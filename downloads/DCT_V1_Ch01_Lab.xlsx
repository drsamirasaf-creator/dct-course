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Dashboard" sheetId="3" state="visible" r:id="rId5"/>
    <sheet name="Paths" sheetId="4" state="visible" r:id="rId6"/>
    <sheet name="Compare" sheetId="5" state="visible" r:id="rId7"/>
    <sheet name="Uncertainty" sheetId="6" state="visible" r:id="rId8"/>
    <sheet name="Scorecard" sheetId="7" state="visible" r:id="rId9"/>
    <sheet name="Reference_Values" sheetId="8" state="visible" r:id="rId10"/>
    <sheet name="Checks" sheetId="9" state="visible" r:id="rId11"/>
  </sheets>
  <definedNames>
    <definedName function="false" hidden="false" name="Carry_q" vbProcedure="false">Declarations!$C$43</definedName>
    <definedName function="false" hidden="false" name="Depth_ph" vbProcedure="false">Declarations!$C$48</definedName>
    <definedName function="false" hidden="false" name="Eff_today" vbProcedure="false">Declarations!$C$8</definedName>
    <definedName function="false" hidden="false" name="Floor_liq" vbProcedure="false">Declarations!$C$41</definedName>
    <definedName function="false" hidden="false" name="J_mean" vbProcedure="false">Declarations!$C$45</definedName>
    <definedName function="false" hidden="false" name="J_sd" vbProcedure="false">Declarations!$C$46</definedName>
    <definedName function="false" hidden="false" name="Lam_cl" vbProcedure="false">Declarations!$C$44</definedName>
    <definedName function="false" hidden="false" name="Line_sb" vbProcedure="false">Declarations!$C$47</definedName>
    <definedName function="false" hidden="false" name="Liq_today" vbProcedure="false">Declarations!$C$4</definedName>
    <definedName function="false" hidden="false" name="Liq_usd" vbProcedure="false">Declarations!$C$14</definedName>
    <definedName function="false" hidden="false" name="Risk_ceiling" vbProcedure="false">Declarations!$C$17</definedName>
    <definedName function="false" hidden="false" name="Risk_today" vbProcedure="false">Declarations!$C$10</definedName>
    <definedName function="false" hidden="false" name="SD_w" vbProcedure="false">Declarations!$C$42</definedName>
    <definedName function="false" hidden="false" name="Tech_today" vbProcedure="false">Declarations!$C$7</definedName>
    <definedName function="false" hidden="false" name="T_sale" vbProcedure="false">Declarations!$C$16</definedName>
    <definedName function="false" hidden="false" name="USD_pt" vbProcedure="false">Declarations!$C$15</definedName>
    <definedName function="false" hidden="false" name="W_E" vbProcedure="false">Declarations!$C$37</definedName>
    <definedName function="false" hidden="false" name="W_L" vbProcedure="false">Declarations!$C$35</definedName>
    <definedName function="false" hidden="false" name="W_R" vbProcedure="false">Declarations!$C$38</definedName>
    <definedName function="false" hidden="false" name="W_T" vbProcedure="false">Declarations!$C$36</definedName>
    <definedName function="false" hidden="false" name="Years_prog" vbProcedure="false">Declarations!$C$49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<sst xmlns="http://schemas.openxmlformats.org/spreadsheetml/2006/main" count="518" uniqueCount="354">
  <si>
    <t xml:space="preserve">DCT Laboratory — Vol I, Ch 1: Introduction to Dynamic Corporate Transformation</t>
  </si>
  <si>
    <t xml:space="preserve">Seed 26101 · Companion to DCT_V1_Ch01_Lab.ipynb and AXIOM Lab 1.1 (module AXIOM-01). Money in $ million.</t>
  </si>
  <si>
    <t xml:space="preserve">Worked Example 1.1, Same Score, Different Company, with the book's declarations: Meridian's state of Chapter 3 and the Chapter 1 model of Online Appendix 1.B.4.</t>
  </si>
  <si>
    <t xml:space="preserve">Declarations: the eight readings, Table 1.B.1's parameters, the CFO's weights, and the digital program's declared uncertainty (Volume I, Worked Example 8.1).</t>
  </si>
  <si>
    <t xml:space="preserve">Dashboard: the eight readings, their sources and error bands, and today's score (lab step 1).</t>
  </si>
  <si>
    <t xml:space="preserve">Paths: Equation 1.B.1 month by month for the three options, with Table 1.9 and the scores (lab step 2).</t>
  </si>
  <si>
    <t xml:space="preserve">Compare: the digital low point, the sale-date jump, the strategic-risk margin and the scorecard's own path (lab step 3).</t>
  </si>
  <si>
    <t xml:space="preserve">Uncertainty: the quarterly plan, its headroom and the closed-form parts of the risk; the 100,000-path breach odds come from the notebook's simulation (lab step 4).</t>
  </si>
  <si>
    <t xml:space="preserve">Scorecard: the $25 million tie, the 1.6 weight points, your own weightings, and the directions that leave a score unchanged (lab step 5).</t>
  </si>
  <si>
    <t xml:space="preserve">Reference_Values and Checks: the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</si>
  <si>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</si>
  <si>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</si>
  <si>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</si>
  <si>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</si>
  <si>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</si>
  <si>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1.1, Step 1; Online Appendix 1.B.4). Money in $ million; liquidity also as an index, today = 100.</t>
  </si>
  <si>
    <t xml:space="preserve">Reading</t>
  </si>
  <si>
    <t xml:space="preserve">Symbol</t>
  </si>
  <si>
    <t xml:space="preserve">Today</t>
  </si>
  <si>
    <t xml:space="preserve">Unit</t>
  </si>
  <si>
    <t xml:space="preserve">Declared in</t>
  </si>
  <si>
    <t xml:space="preserve">liquidity</t>
  </si>
  <si>
    <t xml:space="preserve">x1</t>
  </si>
  <si>
    <t xml:space="preserve">index, today = 100 ($0.62 billion)</t>
  </si>
  <si>
    <t xml:space="preserve">Chapter 3, Table 3.1</t>
  </si>
  <si>
    <t xml:space="preserve">net leverage</t>
  </si>
  <si>
    <t xml:space="preserve">x2</t>
  </si>
  <si>
    <t xml:space="preserve">net debt / EBITDA</t>
  </si>
  <si>
    <t xml:space="preserve">workforce capability</t>
  </si>
  <si>
    <t xml:space="preserve">x3</t>
  </si>
  <si>
    <t xml:space="preserve">index, 0-100</t>
  </si>
  <si>
    <t xml:space="preserve">technology platform</t>
  </si>
  <si>
    <t xml:space="preserve">x4</t>
  </si>
  <si>
    <t xml:space="preserve">operational efficiency</t>
  </si>
  <si>
    <t xml:space="preserve">x5</t>
  </si>
  <si>
    <t xml:space="preserve">return on invested capital</t>
  </si>
  <si>
    <t xml:space="preserve">x6</t>
  </si>
  <si>
    <t xml:space="preserve">ratio</t>
  </si>
  <si>
    <t xml:space="preserve">strategic risk (lower is better)</t>
  </si>
  <si>
    <t xml:space="preserve">x7</t>
  </si>
  <si>
    <t xml:space="preserve">market share</t>
  </si>
  <si>
    <t xml:space="preserve">x8</t>
  </si>
  <si>
    <t xml:space="preserve">Quantity</t>
  </si>
  <si>
    <t xml:space="preserve">Value</t>
  </si>
  <si>
    <t xml:space="preserve">Liquidity today ($ million)</t>
  </si>
  <si>
    <t xml:space="preserve">Chapter 3, Table 3.1: $0.62 billion</t>
  </si>
  <si>
    <t xml:space="preserve">$ million per liquidity point</t>
  </si>
  <si>
    <t xml:space="preserve">Online Appendix 1.B.2: $6.2 million</t>
  </si>
  <si>
    <t xml:space="preserve">The sale closes at t (years)</t>
  </si>
  <si>
    <t xml:space="preserve">Online Appendix 1.B.4</t>
  </si>
  <si>
    <t xml:space="preserve">Strategic-risk ceiling</t>
  </si>
  <si>
    <t xml:space="preserve">Chapter 5, Table 5.4; Table 1.5's margin</t>
  </si>
  <si>
    <t xml:space="preserve">Option</t>
  </si>
  <si>
    <t xml:space="preserve">Target</t>
  </si>
  <si>
    <t xml:space="preserve">Speed k</t>
  </si>
  <si>
    <t xml:space="preserve">Trough (sign x depth)</t>
  </si>
  <si>
    <t xml:space="preserve">Trough time tau</t>
  </si>
  <si>
    <t xml:space="preserve">Jump at the sale</t>
  </si>
  <si>
    <t xml:space="preserve">Digital</t>
  </si>
  <si>
    <t xml:space="preserve">technology</t>
  </si>
  <si>
    <t xml:space="preserve">efficiency</t>
  </si>
  <si>
    <t xml:space="preserve">strategic risk</t>
  </si>
  <si>
    <t xml:space="preserve">Restructuring</t>
  </si>
  <si>
    <t xml:space="preserve">Turnaround</t>
  </si>
  <si>
    <t xml:space="preserve">Table 1.B.1 (Online Appendix 1.B.4); zeros are the table's blank cells. Efficiency and risk targets are the course model's re-based onto the book's state (+3 and +9).</t>
  </si>
  <si>
    <t xml:space="preserve">The CFO's scorecard (Worked Example 1.1)</t>
  </si>
  <si>
    <t xml:space="preserve">Weight</t>
  </si>
  <si>
    <t xml:space="preserve">strategic risk (subtracted)</t>
  </si>
  <si>
    <t xml:space="preserve">Uncertainty of the digital program (Volume I, Worked Example 8.1)</t>
  </si>
  <si>
    <t xml:space="preserve">Board liquidity floor ($ million)</t>
  </si>
  <si>
    <t xml:space="preserve">Chapter 5, Table 5.4</t>
  </si>
  <si>
    <t xml:space="preserve">Execution and market surprise, sd a quarter ($ million)</t>
  </si>
  <si>
    <t xml:space="preserve">Worked Example 8.1, Step 1</t>
  </si>
  <si>
    <t xml:space="preserve">Share of a surprise carried into the next quarter</t>
  </si>
  <si>
    <t xml:space="preserve">Funding-window closures a year</t>
  </si>
  <si>
    <t xml:space="preserve">Closure size, mean ($ million, not recovered)</t>
  </si>
  <si>
    <t xml:space="preserve">Closure size, sd ($ million)</t>
  </si>
  <si>
    <t xml:space="preserve">Standby line, per closure ($ million)</t>
  </si>
  <si>
    <t xml:space="preserve">Worked Example 8.1, Step 5</t>
  </si>
  <si>
    <t xml:space="preserve">Phased build: trough depth (points; plan 28)</t>
  </si>
  <si>
    <t xml:space="preserve">Program length (years)</t>
  </si>
  <si>
    <t xml:space="preserve">Worked Example 8.1</t>
  </si>
  <si>
    <t xml:space="preserve">Read the dashboard: Meridian's eight readings (AXIOM Lab 1.1, step 1; Worked Example 1.1, Step 1)</t>
  </si>
  <si>
    <t xml:space="preserve">Sources and error bands: Chapter 5, Table 5.2. Declared scale: Chapter 3 (unbounded readings divided by today's value, indices by their range of 100).</t>
  </si>
  <si>
    <t xml:space="preserve">x</t>
  </si>
  <si>
    <t xml:space="preserve">Chapter 1 model</t>
  </si>
  <si>
    <t xml:space="preserve">Measured by</t>
  </si>
  <si>
    <t xml:space="preserve">Error band</t>
  </si>
  <si>
    <t xml:space="preserve">Error in the reading's unit</t>
  </si>
  <si>
    <t xml:space="preserve">Declared scale</t>
  </si>
  <si>
    <t xml:space="preserve">Scaled error</t>
  </si>
  <si>
    <t xml:space="preserve">moves</t>
  </si>
  <si>
    <t xml:space="preserve">treasury systems</t>
  </si>
  <si>
    <t xml:space="preserve">+/-1%</t>
  </si>
  <si>
    <t xml:space="preserve">held at today</t>
  </si>
  <si>
    <t xml:space="preserve">audited accounts</t>
  </si>
  <si>
    <t xml:space="preserve">+/-2%</t>
  </si>
  <si>
    <t xml:space="preserve">skills survey</t>
  </si>
  <si>
    <t xml:space="preserve">+/-5</t>
  </si>
  <si>
    <t xml:space="preserve">architecture audit</t>
  </si>
  <si>
    <t xml:space="preserve">+/-4</t>
  </si>
  <si>
    <t xml:space="preserve">cost benchmarking</t>
  </si>
  <si>
    <t xml:space="preserve">+/-3</t>
  </si>
  <si>
    <t xml:space="preserve">+/-0.4 pp</t>
  </si>
  <si>
    <t xml:space="preserve">risk committee</t>
  </si>
  <si>
    <t xml:space="preserve">+/-6</t>
  </si>
  <si>
    <t xml:space="preserve">industry data</t>
  </si>
  <si>
    <t xml:space="preserve">+/-0.8 pp</t>
  </si>
  <si>
    <t xml:space="preserve">Widest scaled error band</t>
  </si>
  <si>
    <t xml:space="preserve">Second widest</t>
  </si>
  <si>
    <t xml:space="preserve">The two readings whose margins Chapter 16 finds thinner than their reading error (Table 1.5).</t>
  </si>
  <si>
    <t xml:space="preserve">Today's score, (liquidity + technology + efficiency - strategic risk)/4</t>
  </si>
  <si>
    <t xml:space="preserve">Play the three options: Equation 1.B.1 month by month for five years (AXIOM Lab 1.1, step 2; Worked Example 1.1, Step 2; Table 1.9)</t>
  </si>
  <si>
    <t xml:space="preserve">x(t) = target + (x(0) - target) exp(-k t) + trough x (t/tau) exp(1 - t/tau) + jump [t &gt;= 1]; parameters on Declarations. Four readings move; the other four are held at today's values.</t>
  </si>
  <si>
    <t xml:space="preserve">Table 1.9</t>
  </si>
  <si>
    <t xml:space="preserve">liquidity (index)</t>
  </si>
  <si>
    <t xml:space="preserve">Year 5 (month 60). Lower strategic risk is better.</t>
  </si>
  <si>
    <t xml:space="preserve">score</t>
  </si>
  <si>
    <t xml:space="preserve">Month</t>
  </si>
  <si>
    <t xml:space="preserve">t (years)</t>
  </si>
  <si>
    <t xml:space="preserve">D: liquidity</t>
  </si>
  <si>
    <t xml:space="preserve">D: technology</t>
  </si>
  <si>
    <t xml:space="preserve">D: efficiency</t>
  </si>
  <si>
    <t xml:space="preserve">D: risk</t>
  </si>
  <si>
    <t xml:space="preserve">R: liquidity</t>
  </si>
  <si>
    <t xml:space="preserve">R: technology</t>
  </si>
  <si>
    <t xml:space="preserve">R: efficiency</t>
  </si>
  <si>
    <t xml:space="preserve">R: risk</t>
  </si>
  <si>
    <t xml:space="preserve">T: liquidity</t>
  </si>
  <si>
    <t xml:space="preserve">T: technology</t>
  </si>
  <si>
    <t xml:space="preserve">T: efficiency</t>
  </si>
  <si>
    <t xml:space="preserve">T: risk</t>
  </si>
  <si>
    <t xml:space="preserve">Score: digital</t>
  </si>
  <si>
    <t xml:space="preserve">Score: restructuring</t>
  </si>
  <si>
    <t xml:space="preserve">Score: turnaround</t>
  </si>
  <si>
    <t xml:space="preserve">Digital back at today's score</t>
  </si>
  <si>
    <t xml:space="preserve">Compare paths, not just endpoints (AXIOM Lab 1.1, step 3; Worked Example 1.1, Step 5; Figure 1.3)</t>
  </si>
  <si>
    <t xml:space="preserve">Digital liquidity: lowest monthly reading</t>
  </si>
  <si>
    <t xml:space="preserve">Figure 1.3: low point</t>
  </si>
  <si>
    <t xml:space="preserve">Its month</t>
  </si>
  <si>
    <t xml:space="preserve">Worked Example 1.1, Step 5: month 21</t>
  </si>
  <si>
    <t xml:space="preserve">Lowest on a 0.01-year grid (rows 33-83)</t>
  </si>
  <si>
    <t xml:space="preserve">Online Appendix 1.B.4: 77.73</t>
  </si>
  <si>
    <t xml:space="preserve">Its time (years)</t>
  </si>
  <si>
    <t xml:space="preserve">about 1.71 years</t>
  </si>
  <si>
    <t xml:space="preserve">Below today (points)</t>
  </si>
  <si>
    <t xml:space="preserve">22.3 points</t>
  </si>
  <si>
    <t xml:space="preserve">Below today (share)</t>
  </si>
  <si>
    <t xml:space="preserve">22 percent</t>
  </si>
  <si>
    <t xml:space="preserve">Below today ($ million)</t>
  </si>
  <si>
    <t xml:space="preserve">about $138 million</t>
  </si>
  <si>
    <t xml:space="preserve">Restructuring: jump when the sale closes (points)</t>
  </si>
  <si>
    <t xml:space="preserve">Its value ($ million)</t>
  </si>
  <si>
    <t xml:space="preserve">about $112 million</t>
  </si>
  <si>
    <t xml:space="preserve">Restructuring liquidity in month 11</t>
  </si>
  <si>
    <t xml:space="preserve">before the sale</t>
  </si>
  <si>
    <t xml:space="preserve">Restructuring liquidity in month 12</t>
  </si>
  <si>
    <t xml:space="preserve">the sale has closed</t>
  </si>
  <si>
    <t xml:space="preserve">Digital strategic risk: highest monthly reading</t>
  </si>
  <si>
    <t xml:space="preserve">the peak</t>
  </si>
  <si>
    <t xml:space="preserve">month 11</t>
  </si>
  <si>
    <t xml:space="preserve">Margin to the ceiling (points)</t>
  </si>
  <si>
    <t xml:space="preserve">Table 1.5: 1.4 points, inside the +/-6 band</t>
  </si>
  <si>
    <t xml:space="preserve">Digital score: lowest</t>
  </si>
  <si>
    <t xml:space="preserve">Months with the digital score below today's</t>
  </si>
  <si>
    <t xml:space="preserve">First month the digital score is back at today's</t>
  </si>
  <si>
    <t xml:space="preserve">Section 1.5.4: month 29</t>
  </si>
  <si>
    <t xml:space="preserve">Annual review</t>
  </si>
  <si>
    <t xml:space="preserve">Digital's rank</t>
  </si>
  <si>
    <t xml:space="preserve">Digital last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</si>
  <si>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</si>
  <si>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</si>
  <si>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</si>
  <si>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</si>
  <si>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</si>
  <si>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Annual reviews that rank digital last</t>
  </si>
  <si>
    <t xml:space="preserve">Section 1.5.4: digital stays below today's score until month 29, so annual reviews rank it last for two years.</t>
  </si>
  <si>
    <t xml:space="preserve">Digital liquidity</t>
  </si>
  <si>
    <t xml:space="preserve">Add uncertainty: the digital program's liquidity under the book's declared uncertainty (AXIOM Lab 1.1, step 4; Volume I, Worked Example 8.1)</t>
  </si>
  <si>
    <t xml:space="preserve">The plan is Chapter 1's digital liquidity path read quarterly in $ million. The 100,000-path simulation runs in the notebook with the book's seed 8; its results are engine values (green).</t>
  </si>
  <si>
    <t xml:space="preserve">Quarter</t>
  </si>
  <si>
    <t xml:space="preserve">Plan (index)</t>
  </si>
  <si>
    <t xml:space="preserve">Plan ($ million)</t>
  </si>
  <si>
    <t xml:space="preserve">Above the floor</t>
  </si>
  <si>
    <t xml:space="preserve">Phased build (index)</t>
  </si>
  <si>
    <t xml:space="preserve">Phased build ($ million)</t>
  </si>
  <si>
    <t xml:space="preserve">Plan trough ($ million)</t>
  </si>
  <si>
    <t xml:space="preserve">Section 1.5.10: $482 million</t>
  </si>
  <si>
    <t xml:space="preserve">Its quarter</t>
  </si>
  <si>
    <t xml:space="preserve">quarter 7 = month 21</t>
  </si>
  <si>
    <t xml:space="preserve">Above the floor ($ million)</t>
  </si>
  <si>
    <t xml:space="preserve">Table 1.4: $132 million</t>
  </si>
  <si>
    <t xml:space="preserve">The program's draw ($ million)</t>
  </si>
  <si>
    <t xml:space="preserve">Section 1.5.4: $138 million</t>
  </si>
  <si>
    <t xml:space="preserve">Phased build's trough ($ million)</t>
  </si>
  <si>
    <t xml:space="preserve">Worked Example 8.1: $531 million</t>
  </si>
  <si>
    <t xml:space="preserve">Long-run sd of the surprises ($ million)</t>
  </si>
  <si>
    <t xml:space="preserve">Worked Example 8.1, Step 2</t>
  </si>
  <si>
    <t xml:space="preserve">Headroom at the trough, in long-run sds</t>
  </si>
  <si>
    <t xml:space="preserve">Closures' plan line ($ million a year)</t>
  </si>
  <si>
    <t xml:space="preserve">P(at least one closure in the program)</t>
  </si>
  <si>
    <t xml:space="preserve">Closure size: gamma shape</t>
  </si>
  <si>
    <t xml:space="preserve">Closure size: gamma scale ($ million)</t>
  </si>
  <si>
    <t xml:space="preserve">A bad closure: 90th percentile ($ million)</t>
  </si>
  <si>
    <t xml:space="preserve">Section 1.5.4: $187 million</t>
  </si>
  <si>
    <t xml:space="preserve">Cash above the floor today ($ million)</t>
  </si>
  <si>
    <t xml:space="preserve">$270 million</t>
  </si>
  <si>
    <t xml:space="preserve">The draw plus a bad closure ($ million)</t>
  </si>
  <si>
    <t xml:space="preserve">Section 1.5.4: $325 million</t>
  </si>
  <si>
    <t xml:space="preserve">Left over (negative: the same cash promised twice)</t>
  </si>
  <si>
    <t xml:space="preserve">Simulation (engine, seed 8: the book's draws)</t>
  </si>
  <si>
    <t xml:space="preserve">Plan trough</t>
  </si>
  <si>
    <t xml:space="preserve">Breach odds</t>
  </si>
  <si>
    <t xml:space="preserve">s.e.</t>
  </si>
  <si>
    <t xml:space="preserve">Worst 5% of troughs</t>
  </si>
  <si>
    <t xml:space="preserve">Below the floor</t>
  </si>
  <si>
    <t xml:space="preserve">Printed in the book</t>
  </si>
  <si>
    <t xml:space="preserve">plan as drawn</t>
  </si>
  <si>
    <t xml:space="preserve">24.6% (Section 1.5.3)</t>
  </si>
  <si>
    <t xml:space="preserve">standby line ($100m)</t>
  </si>
  <si>
    <t xml:space="preserve">12.4% (Worked Example 8.1)</t>
  </si>
  <si>
    <t xml:space="preserve">phased build</t>
  </si>
  <si>
    <t xml:space="preserve">13.1% (Worked Example 8.1)</t>
  </si>
  <si>
    <t xml:space="preserve">line and phased build</t>
  </si>
  <si>
    <t xml:space="preserve">3.0% (Section 1.5.3); $18 million below (Section 1.5.4)</t>
  </si>
  <si>
    <t xml:space="preserve">Fan at quarter 7: 10th percentile ($ million)</t>
  </si>
  <si>
    <t xml:space="preserve">Fan at quarter 7: 90th percentile ($ million)</t>
  </si>
  <si>
    <t xml:space="preserve">Width of the band holding 80 percent of paths</t>
  </si>
  <si>
    <t xml:space="preserve">Drawn, as in the book, with seed 8 (Volume II, Online Appendix 1.B.4: "Volume I's Chapter 8 model, random seed 8"). A fresh stream with the lab's seed 26101 differs only by sampling error.</t>
  </si>
  <si>
    <t xml:space="preserve">Build your own score: every weighting ties different companies (AXIOM Lab 1.1, step 5; Worked Example 1.1, Steps 3-4; Online Appendix 1.B.2)</t>
  </si>
  <si>
    <t xml:space="preserve">CFO's weight</t>
  </si>
  <si>
    <t xml:space="preserve">Digital's advantage</t>
  </si>
  <si>
    <t xml:space="preserve">Digital's advantage: digital less restructuring, sign reversed for strategic risk (lower is better).</t>
  </si>
  <si>
    <t xml:space="preserve">Score</t>
  </si>
  <si>
    <t xml:space="preserve">Digital's lead over restructuring (points)</t>
  </si>
  <si>
    <t xml:space="preserve">Section 1.5.4: 1.01</t>
  </si>
  <si>
    <t xml:space="preserve">Liquidity points that tie them (Step 3)</t>
  </si>
  <si>
    <t xml:space="preserve">Online Appendix 1.B.2: 4.05</t>
  </si>
  <si>
    <t xml:space="preserve">Their value ($ million)</t>
  </si>
  <si>
    <t xml:space="preserve">about $25 million</t>
  </si>
  <si>
    <t xml:space="preserve">Score-matched restructured liquidity</t>
  </si>
  <si>
    <t xml:space="preserve">Step 3: 125.2</t>
  </si>
  <si>
    <t xml:space="preserve">Its score</t>
  </si>
  <si>
    <t xml:space="preserve">equal to digital's: the board should be indifferent</t>
  </si>
  <si>
    <t xml:space="preserve">Weight points moved from technology to liquidity that tie</t>
  </si>
  <si>
    <t xml:space="preserve">Table 1.4: 1.6</t>
  </si>
  <si>
    <t xml:space="preserve">... from technology to efficiency</t>
  </si>
  <si>
    <t xml:space="preserve">... from technology to strategic risk</t>
  </si>
  <si>
    <t xml:space="preserve">Your weighting</t>
  </si>
  <si>
    <t xml:space="preserve">w liquidity</t>
  </si>
  <si>
    <t xml:space="preserve">w technology</t>
  </si>
  <si>
    <t xml:space="preserve">w efficiency</t>
  </si>
  <si>
    <t xml:space="preserve">w strategic risk</t>
  </si>
  <si>
    <t xml:space="preserve">Leader</t>
  </si>
  <si>
    <t xml:space="preserve">Runner-up</t>
  </si>
  <si>
    <t xml:space="preserve">Extra liquidity for the runner-up</t>
  </si>
  <si>
    <t xml:space="preserve">Leader's score</t>
  </si>
  <si>
    <t xml:space="preserve">Runner-up's score with it</t>
  </si>
  <si>
    <t xml:space="preserve">CFO</t>
  </si>
  <si>
    <t xml:space="preserve">liquidity first</t>
  </si>
  <si>
    <t xml:space="preserve">technology first</t>
  </si>
  <si>
    <t xml:space="preserve">risk first</t>
  </si>
  <si>
    <t xml:space="preserve">Change any weight: the runner-up, raised by the extra liquidity, always scores exactly the leader's score. No weighting avoids ties (Proposition 1.2).</t>
  </si>
  <si>
    <t xml:space="preserve">Result 1.B.2: moves that leave the CFO's score unchanged</t>
  </si>
  <si>
    <t xml:space="preserve">d liquidity</t>
  </si>
  <si>
    <t xml:space="preserve">d technology</t>
  </si>
  <si>
    <t xml:space="preserve">d efficiency</t>
  </si>
  <si>
    <t xml:space="preserve">d strategic risk</t>
  </si>
  <si>
    <t xml:space="preserve">w . d</t>
  </si>
  <si>
    <t xml:space="preserve">Digital, Year 5, moved 10 points along d: score</t>
  </si>
  <si>
    <t xml:space="preserve">direction 1</t>
  </si>
  <si>
    <t xml:space="preserve">direction 2</t>
  </si>
  <si>
    <t xml:space="preserve">direction 3</t>
  </si>
  <si>
    <t xml:space="preserve">Three independent directions with w . d = 0: the CFO's tie set through any state is a three-dimensional family of different companies with one score.</t>
  </si>
  <si>
    <t xml:space="preserve">Checkpoint</t>
  </si>
  <si>
    <t xml:space="preserve">Engine value</t>
  </si>
  <si>
    <t xml:space="preserve">Meaning (where in the book)</t>
  </si>
  <si>
    <t xml:space="preserve">Today's score</t>
  </si>
  <si>
    <t xml:space="preserve">Worked Example 1.1, Step 1: 37.0</t>
  </si>
  <si>
    <t xml:space="preserve">Table 1.9: digital liquidity</t>
  </si>
  <si>
    <t xml:space="preserve">Table 1.9, Year 5: 94.3</t>
  </si>
  <si>
    <t xml:space="preserve">Table 1.9: digital technology</t>
  </si>
  <si>
    <t xml:space="preserve">Table 1.9, Year 5: 75.6</t>
  </si>
  <si>
    <t xml:space="preserve">Table 1.9: digital efficiency</t>
  </si>
  <si>
    <t xml:space="preserve">Table 1.9, Year 5: 73.6</t>
  </si>
  <si>
    <t xml:space="preserve">Table 1.9: digital strategic risk</t>
  </si>
  <si>
    <t xml:space="preserve">Table 1.9, Year 5: 55.2</t>
  </si>
  <si>
    <t xml:space="preserve">Table 1.9: restructuring liquidity</t>
  </si>
  <si>
    <t xml:space="preserve">Table 1.9, Year 5: 121.1</t>
  </si>
  <si>
    <t xml:space="preserve">Table 1.9: restructuring technology</t>
  </si>
  <si>
    <t xml:space="preserve">Table 1.9, Year 5: 38.9</t>
  </si>
  <si>
    <t xml:space="preserve">Table 1.9: restructuring efficiency</t>
  </si>
  <si>
    <t xml:space="preserve">Table 1.9, Year 5: 73.7</t>
  </si>
  <si>
    <t xml:space="preserve">Table 1.9: restructuring strategic risk</t>
  </si>
  <si>
    <t xml:space="preserve">Table 1.9, Year 5: 49.4</t>
  </si>
  <si>
    <t xml:space="preserve">Table 1.9: turnaround liquidity</t>
  </si>
  <si>
    <t xml:space="preserve">Table 1.9, Year 5: 105.4</t>
  </si>
  <si>
    <t xml:space="preserve">Table 1.9: turnaround technology</t>
  </si>
  <si>
    <t xml:space="preserve">Table 1.9, Year 5: 35.9</t>
  </si>
  <si>
    <t xml:space="preserve">Table 1.9: turnaround efficiency</t>
  </si>
  <si>
    <t xml:space="preserve">Table 1.9, Year 5: 78.6</t>
  </si>
  <si>
    <t xml:space="preserve">Table 1.9: turnaround strategic risk</t>
  </si>
  <si>
    <t xml:space="preserve">Table 1.9, Year 5: 66.3</t>
  </si>
  <si>
    <t xml:space="preserve">Year-5 score: digital</t>
  </si>
  <si>
    <t xml:space="preserve">Table 1.9: 47.1; Online Appendix 1.B.2: 47.078</t>
  </si>
  <si>
    <t xml:space="preserve">Year-5 score: restructuring</t>
  </si>
  <si>
    <t xml:space="preserve">Table 1.9: 46.1; Online Appendix 1.B.2: 46.065</t>
  </si>
  <si>
    <t xml:space="preserve">Year-5 score: turnaround</t>
  </si>
  <si>
    <t xml:space="preserve">Table 1.9: 38.4</t>
  </si>
  <si>
    <t xml:space="preserve">Digital low point (monthly)</t>
  </si>
  <si>
    <t xml:space="preserve">Figure 1.3: 77.7</t>
  </si>
  <si>
    <t xml:space="preserve">Month of the low point</t>
  </si>
  <si>
    <t xml:space="preserve">Low point on a 0.01-year grid</t>
  </si>
  <si>
    <t xml:space="preserve">Time of the low point (years)</t>
  </si>
  <si>
    <t xml:space="preserve">Online Appendix 1.B.4: 1.71</t>
  </si>
  <si>
    <t xml:space="preserve">Low point below today ($ million)</t>
  </si>
  <si>
    <t xml:space="preserve">Worked Example 1.1, Step 5: about $138 million (engine: continuous minimum)</t>
  </si>
  <si>
    <t xml:space="preserve">Sale-date jump ($ million)</t>
  </si>
  <si>
    <t xml:space="preserve">Worked Example 1.1, Step 5: about $112 million</t>
  </si>
  <si>
    <t xml:space="preserve">Risk-ceiling margin at the digital peak (monthly)</t>
  </si>
  <si>
    <t xml:space="preserve">Table 1.5: 1.4 points</t>
  </si>
  <si>
    <t xml:space="preserve">Annual reviews ranking digital last</t>
  </si>
  <si>
    <t xml:space="preserve">Section 1.5.4: two years</t>
  </si>
  <si>
    <t xml:space="preserve">Trough above the floor ($ million)</t>
  </si>
  <si>
    <t xml:space="preserve">Volume I, Worked Example 8.1: $531 million</t>
  </si>
  <si>
    <t xml:space="preserve">Volume I, Worked Example 8.1: $62.5 million</t>
  </si>
  <si>
    <t xml:space="preserve">P(at least one closure in three years)</t>
  </si>
  <si>
    <t xml:space="preserve">Volume I, Worked Example 8.1: 26 percent</t>
  </si>
  <si>
    <t xml:space="preserve">Draw plus a bad closure ($ million)</t>
  </si>
  <si>
    <t xml:space="preserve">Worst 5% of troughs below the floor, both levers</t>
  </si>
  <si>
    <t xml:space="preserve">Section 1.5.4: $18 million (simulated with the book's seed 8)</t>
  </si>
  <si>
    <t xml:space="preserve">Liquidity points that tie the scores</t>
  </si>
  <si>
    <t xml:space="preserve">Worked Example 1.1, Step 3: about $25 million</t>
  </si>
  <si>
    <t xml:space="preserve">Worked Example 1.1, Step 3: 125.2</t>
  </si>
  <si>
    <t xml:space="preserve">Worked Example 1.1, Step 3: 47.1</t>
  </si>
  <si>
    <t xml:space="preserve">Weight points to liquidity that tie</t>
  </si>
  <si>
    <t xml:space="preserve">Table 1.4: 1.6 weight points</t>
  </si>
  <si>
    <t xml:space="preserve">Weight points to efficiency that tie</t>
  </si>
  <si>
    <t xml:space="preserve">the notebook's Panel 5</t>
  </si>
  <si>
    <t xml:space="preserve">Weight points to strategic risk that tie</t>
  </si>
  <si>
    <t xml:space="preserve">Tie under 'liquidity first': extra liquidity</t>
  </si>
  <si>
    <t xml:space="preserve">the notebook's Panel 5: digital ties restructuring</t>
  </si>
  <si>
    <t xml:space="preserve">Tie under 'liquidity first': the tied score</t>
  </si>
  <si>
    <t xml:space="preserve">the runner-up's readings, with the extra liquidity, score the leader's score</t>
  </si>
  <si>
    <t xml:space="preserve">Tie under 'technology first': extra liquidity</t>
  </si>
  <si>
    <t xml:space="preserve">the notebook's Panel 5: restructuring ties digital</t>
  </si>
  <si>
    <t xml:space="preserve">Tie under 'technology first': the tied score</t>
  </si>
  <si>
    <t xml:space="preserve">Tie under 'risk first': extra liquidity</t>
  </si>
  <si>
    <t xml:space="preserve">Tie under 'risk first': the tied score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</si>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</sst>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0.000"/>
    <numFmt numFmtId="167" formatCode="0.00"/>
    <numFmt numFmtId="168" formatCode="0"/>
    <numFmt numFmtId="169" formatCode="0.0000"/>
    <numFmt numFmtId="170" formatCode="0.0%"/>
    <numFmt numFmtId="171" formatCode="0.00%"/>
    <numFmt numFmtId="172" formatCode="0.000000"/>
    <numFmt numFmtId="173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23.8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5" t="s">
        <v>11</v>
      </c>
    </row>
    <row r="15" customFormat="false" ht="15" hidden="false" customHeight="false" outlineLevel="0" collapsed="false">
      <c r="B15" s="2" t="s">
        <v>12</v>
      </c>
    </row>
    <row r="16" customFormat="false" ht="15" hidden="false" customHeight="false" outlineLevel="0" collapsed="false">
      <c r="B16" s="6" t="s">
        <v>13</v>
      </c>
    </row>
    <row r="17" customFormat="false" ht="15" hidden="false" customHeight="false" outlineLevel="0" collapsed="false">
      <c r="B17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5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15</v>
      </c>
    </row>
    <row r="3" customFormat="false" ht="15" hidden="false" customHeight="false" outlineLevel="0" collapsed="false">
      <c r="A3" s="8" t="s">
        <v>16</v>
      </c>
      <c r="B3" s="8" t="s">
        <v>17</v>
      </c>
      <c r="C3" s="8" t="s">
        <v>18</v>
      </c>
      <c r="D3" s="8" t="s">
        <v>19</v>
      </c>
      <c r="E3" s="8" t="s">
        <v>20</v>
      </c>
    </row>
    <row r="4" customFormat="false" ht="15" hidden="false" customHeight="false" outlineLevel="0" collapsed="false">
      <c r="A4" s="2" t="s">
        <v>21</v>
      </c>
      <c r="B4" s="2" t="s">
        <v>22</v>
      </c>
      <c r="C4" s="9" t="n">
        <v>100</v>
      </c>
      <c r="D4" s="10" t="s">
        <v>23</v>
      </c>
      <c r="E4" s="10" t="s">
        <v>24</v>
      </c>
    </row>
    <row r="5" customFormat="false" ht="15" hidden="false" customHeight="false" outlineLevel="0" collapsed="false">
      <c r="A5" s="2" t="s">
        <v>25</v>
      </c>
      <c r="B5" s="2" t="s">
        <v>26</v>
      </c>
      <c r="C5" s="9" t="n">
        <v>3.4</v>
      </c>
      <c r="D5" s="10" t="s">
        <v>27</v>
      </c>
      <c r="E5" s="10" t="s">
        <v>24</v>
      </c>
    </row>
    <row r="6" customFormat="false" ht="15" hidden="false" customHeight="false" outlineLevel="0" collapsed="false">
      <c r="A6" s="2" t="s">
        <v>28</v>
      </c>
      <c r="B6" s="2" t="s">
        <v>29</v>
      </c>
      <c r="C6" s="9" t="n">
        <v>58</v>
      </c>
      <c r="D6" s="10" t="s">
        <v>30</v>
      </c>
      <c r="E6" s="10" t="s">
        <v>24</v>
      </c>
    </row>
    <row r="7" customFormat="false" ht="15" hidden="false" customHeight="false" outlineLevel="0" collapsed="false">
      <c r="A7" s="2" t="s">
        <v>31</v>
      </c>
      <c r="B7" s="2" t="s">
        <v>32</v>
      </c>
      <c r="C7" s="9" t="n">
        <v>41</v>
      </c>
      <c r="D7" s="10" t="s">
        <v>30</v>
      </c>
      <c r="E7" s="10" t="s">
        <v>24</v>
      </c>
    </row>
    <row r="8" customFormat="false" ht="15" hidden="false" customHeight="false" outlineLevel="0" collapsed="false">
      <c r="A8" s="2" t="s">
        <v>33</v>
      </c>
      <c r="B8" s="2" t="s">
        <v>34</v>
      </c>
      <c r="C8" s="9" t="n">
        <v>71</v>
      </c>
      <c r="D8" s="10" t="s">
        <v>30</v>
      </c>
      <c r="E8" s="10" t="s">
        <v>24</v>
      </c>
    </row>
    <row r="9" customFormat="false" ht="15" hidden="false" customHeight="false" outlineLevel="0" collapsed="false">
      <c r="A9" s="2" t="s">
        <v>35</v>
      </c>
      <c r="B9" s="2" t="s">
        <v>36</v>
      </c>
      <c r="C9" s="11" t="n">
        <v>0.083</v>
      </c>
      <c r="D9" s="10" t="s">
        <v>37</v>
      </c>
      <c r="E9" s="10" t="s">
        <v>24</v>
      </c>
    </row>
    <row r="10" customFormat="false" ht="15" hidden="false" customHeight="false" outlineLevel="0" collapsed="false">
      <c r="A10" s="2" t="s">
        <v>38</v>
      </c>
      <c r="B10" s="2" t="s">
        <v>39</v>
      </c>
      <c r="C10" s="9" t="n">
        <v>64</v>
      </c>
      <c r="D10" s="10" t="s">
        <v>30</v>
      </c>
      <c r="E10" s="10" t="s">
        <v>24</v>
      </c>
    </row>
    <row r="11" customFormat="false" ht="15" hidden="false" customHeight="false" outlineLevel="0" collapsed="false">
      <c r="A11" s="2" t="s">
        <v>40</v>
      </c>
      <c r="B11" s="2" t="s">
        <v>41</v>
      </c>
      <c r="C11" s="11" t="n">
        <v>0.19</v>
      </c>
      <c r="D11" s="10" t="s">
        <v>37</v>
      </c>
      <c r="E11" s="10" t="s">
        <v>24</v>
      </c>
    </row>
    <row r="13" customFormat="false" ht="15" hidden="false" customHeight="false" outlineLevel="0" collapsed="false">
      <c r="A13" s="8" t="s">
        <v>42</v>
      </c>
      <c r="B13" s="8"/>
      <c r="C13" s="8" t="s">
        <v>43</v>
      </c>
      <c r="D13" s="8"/>
      <c r="E13" s="8" t="s">
        <v>20</v>
      </c>
    </row>
    <row r="14" customFormat="false" ht="15" hidden="false" customHeight="false" outlineLevel="0" collapsed="false">
      <c r="A14" s="2" t="s">
        <v>44</v>
      </c>
      <c r="C14" s="9" t="n">
        <v>620</v>
      </c>
      <c r="E14" s="10" t="s">
        <v>45</v>
      </c>
    </row>
    <row r="15" customFormat="false" ht="15" hidden="false" customHeight="false" outlineLevel="0" collapsed="false">
      <c r="A15" s="2" t="s">
        <v>46</v>
      </c>
      <c r="C15" s="12" t="n">
        <f aca="false">C14/C4</f>
        <v>6.2</v>
      </c>
      <c r="E15" s="10" t="s">
        <v>47</v>
      </c>
    </row>
    <row r="16" customFormat="false" ht="15" hidden="false" customHeight="false" outlineLevel="0" collapsed="false">
      <c r="A16" s="2" t="s">
        <v>48</v>
      </c>
      <c r="C16" s="13" t="n">
        <v>1</v>
      </c>
      <c r="E16" s="10" t="s">
        <v>49</v>
      </c>
    </row>
    <row r="17" customFormat="false" ht="15" hidden="false" customHeight="false" outlineLevel="0" collapsed="false">
      <c r="A17" s="2" t="s">
        <v>50</v>
      </c>
      <c r="C17" s="9" t="n">
        <v>75</v>
      </c>
      <c r="E17" s="10" t="s">
        <v>51</v>
      </c>
    </row>
    <row r="19" customFormat="false" ht="15" hidden="false" customHeight="false" outlineLevel="0" collapsed="false">
      <c r="A19" s="8" t="s">
        <v>52</v>
      </c>
      <c r="B19" s="8" t="s">
        <v>16</v>
      </c>
      <c r="C19" s="8" t="s">
        <v>53</v>
      </c>
      <c r="D19" s="8" t="s">
        <v>54</v>
      </c>
      <c r="E19" s="8" t="s">
        <v>55</v>
      </c>
      <c r="F19" s="8" t="s">
        <v>56</v>
      </c>
      <c r="G19" s="8" t="s">
        <v>57</v>
      </c>
    </row>
    <row r="20" customFormat="false" ht="15" hidden="false" customHeight="false" outlineLevel="0" collapsed="false">
      <c r="A20" s="2" t="s">
        <v>58</v>
      </c>
      <c r="B20" s="2" t="s">
        <v>21</v>
      </c>
      <c r="C20" s="14" t="n">
        <v>112</v>
      </c>
      <c r="D20" s="13" t="n">
        <v>0.35</v>
      </c>
      <c r="E20" s="14" t="n">
        <v>-28</v>
      </c>
      <c r="F20" s="13" t="n">
        <v>2</v>
      </c>
      <c r="G20" s="14" t="n">
        <v>0</v>
      </c>
    </row>
    <row r="21" customFormat="false" ht="15" hidden="false" customHeight="false" outlineLevel="0" collapsed="false">
      <c r="A21" s="2"/>
      <c r="B21" s="2" t="s">
        <v>59</v>
      </c>
      <c r="C21" s="14" t="n">
        <v>78</v>
      </c>
      <c r="D21" s="13" t="n">
        <v>0.55</v>
      </c>
      <c r="E21" s="14" t="n">
        <v>0</v>
      </c>
      <c r="F21" s="13" t="n">
        <v>0</v>
      </c>
      <c r="G21" s="14" t="n">
        <v>0</v>
      </c>
    </row>
    <row r="22" customFormat="false" ht="15" hidden="false" customHeight="false" outlineLevel="0" collapsed="false">
      <c r="A22" s="2"/>
      <c r="B22" s="2" t="s">
        <v>60</v>
      </c>
      <c r="C22" s="14" t="n">
        <v>77</v>
      </c>
      <c r="D22" s="13" t="n">
        <v>0.5</v>
      </c>
      <c r="E22" s="14" t="n">
        <v>-9</v>
      </c>
      <c r="F22" s="13" t="n">
        <v>1.5</v>
      </c>
      <c r="G22" s="14" t="n">
        <v>0</v>
      </c>
    </row>
    <row r="23" customFormat="false" ht="15" hidden="false" customHeight="false" outlineLevel="0" collapsed="false">
      <c r="A23" s="2"/>
      <c r="B23" s="2" t="s">
        <v>61</v>
      </c>
      <c r="C23" s="14" t="n">
        <v>51</v>
      </c>
      <c r="D23" s="13" t="n">
        <v>0.4</v>
      </c>
      <c r="E23" s="14" t="n">
        <v>14</v>
      </c>
      <c r="F23" s="13" t="n">
        <v>1.2</v>
      </c>
      <c r="G23" s="14" t="n">
        <v>0</v>
      </c>
    </row>
    <row r="24" customFormat="false" ht="15" hidden="false" customHeight="false" outlineLevel="0" collapsed="false">
      <c r="A24" s="2" t="s">
        <v>62</v>
      </c>
      <c r="B24" s="2" t="s">
        <v>21</v>
      </c>
      <c r="C24" s="14" t="n">
        <v>104</v>
      </c>
      <c r="D24" s="13" t="n">
        <v>0.3</v>
      </c>
      <c r="E24" s="14" t="n">
        <v>0</v>
      </c>
      <c r="F24" s="13" t="n">
        <v>0</v>
      </c>
      <c r="G24" s="14" t="n">
        <v>18</v>
      </c>
    </row>
    <row r="25" customFormat="false" ht="15" hidden="false" customHeight="false" outlineLevel="0" collapsed="false">
      <c r="A25" s="2"/>
      <c r="B25" s="2" t="s">
        <v>59</v>
      </c>
      <c r="C25" s="14" t="n">
        <v>38</v>
      </c>
      <c r="D25" s="13" t="n">
        <v>0.25</v>
      </c>
      <c r="E25" s="14" t="n">
        <v>0</v>
      </c>
      <c r="F25" s="13" t="n">
        <v>0</v>
      </c>
      <c r="G25" s="14" t="n">
        <v>0</v>
      </c>
    </row>
    <row r="26" customFormat="false" ht="15" hidden="false" customHeight="false" outlineLevel="0" collapsed="false">
      <c r="A26" s="2"/>
      <c r="B26" s="2" t="s">
        <v>60</v>
      </c>
      <c r="C26" s="14" t="n">
        <v>74</v>
      </c>
      <c r="D26" s="13" t="n">
        <v>0.45</v>
      </c>
      <c r="E26" s="14" t="n">
        <v>0</v>
      </c>
      <c r="F26" s="13" t="n">
        <v>0</v>
      </c>
      <c r="G26" s="14" t="n">
        <v>0</v>
      </c>
    </row>
    <row r="27" customFormat="false" ht="15" hidden="false" customHeight="false" outlineLevel="0" collapsed="false">
      <c r="A27" s="2"/>
      <c r="B27" s="2" t="s">
        <v>61</v>
      </c>
      <c r="C27" s="14" t="n">
        <v>56</v>
      </c>
      <c r="D27" s="13" t="n">
        <v>0.35</v>
      </c>
      <c r="E27" s="14" t="n">
        <v>0</v>
      </c>
      <c r="F27" s="13" t="n">
        <v>0</v>
      </c>
      <c r="G27" s="14" t="n">
        <v>-8</v>
      </c>
    </row>
    <row r="28" customFormat="false" ht="15" hidden="false" customHeight="false" outlineLevel="0" collapsed="false">
      <c r="A28" s="2" t="s">
        <v>63</v>
      </c>
      <c r="B28" s="2" t="s">
        <v>21</v>
      </c>
      <c r="C28" s="14" t="n">
        <v>106</v>
      </c>
      <c r="D28" s="13" t="n">
        <v>0.45</v>
      </c>
      <c r="E28" s="14" t="n">
        <v>0</v>
      </c>
      <c r="F28" s="13" t="n">
        <v>0</v>
      </c>
      <c r="G28" s="14" t="n">
        <v>0</v>
      </c>
    </row>
    <row r="29" customFormat="false" ht="15" hidden="false" customHeight="false" outlineLevel="0" collapsed="false">
      <c r="A29" s="2"/>
      <c r="B29" s="2" t="s">
        <v>59</v>
      </c>
      <c r="C29" s="14" t="n">
        <v>33</v>
      </c>
      <c r="D29" s="13" t="n">
        <v>0.2</v>
      </c>
      <c r="E29" s="14" t="n">
        <v>0</v>
      </c>
      <c r="F29" s="13" t="n">
        <v>0</v>
      </c>
      <c r="G29" s="14" t="n">
        <v>0</v>
      </c>
    </row>
    <row r="30" customFormat="false" ht="15" hidden="false" customHeight="false" outlineLevel="0" collapsed="false">
      <c r="A30" s="2"/>
      <c r="B30" s="2" t="s">
        <v>60</v>
      </c>
      <c r="C30" s="14" t="n">
        <v>79</v>
      </c>
      <c r="D30" s="13" t="n">
        <v>0.6</v>
      </c>
      <c r="E30" s="14" t="n">
        <v>0</v>
      </c>
      <c r="F30" s="13" t="n">
        <v>0</v>
      </c>
      <c r="G30" s="14" t="n">
        <v>0</v>
      </c>
    </row>
    <row r="31" customFormat="false" ht="15" hidden="false" customHeight="false" outlineLevel="0" collapsed="false">
      <c r="A31" s="2"/>
      <c r="B31" s="2" t="s">
        <v>61</v>
      </c>
      <c r="C31" s="14" t="n">
        <v>67</v>
      </c>
      <c r="D31" s="13" t="n">
        <v>0.3</v>
      </c>
      <c r="E31" s="14" t="n">
        <v>0</v>
      </c>
      <c r="F31" s="13" t="n">
        <v>0</v>
      </c>
      <c r="G31" s="14" t="n">
        <v>0</v>
      </c>
    </row>
    <row r="32" customFormat="false" ht="15" hidden="false" customHeight="false" outlineLevel="0" collapsed="false">
      <c r="A32" s="10" t="s">
        <v>64</v>
      </c>
    </row>
    <row r="34" customFormat="false" ht="15" hidden="false" customHeight="false" outlineLevel="0" collapsed="false">
      <c r="A34" s="8" t="s">
        <v>65</v>
      </c>
      <c r="B34" s="8"/>
      <c r="C34" s="8" t="s">
        <v>66</v>
      </c>
    </row>
    <row r="35" customFormat="false" ht="15" hidden="false" customHeight="false" outlineLevel="0" collapsed="false">
      <c r="A35" s="2" t="s">
        <v>21</v>
      </c>
      <c r="C35" s="13" t="n">
        <v>0.25</v>
      </c>
    </row>
    <row r="36" customFormat="false" ht="15" hidden="false" customHeight="false" outlineLevel="0" collapsed="false">
      <c r="A36" s="2" t="s">
        <v>31</v>
      </c>
      <c r="C36" s="13" t="n">
        <v>0.25</v>
      </c>
    </row>
    <row r="37" customFormat="false" ht="15" hidden="false" customHeight="false" outlineLevel="0" collapsed="false">
      <c r="A37" s="2" t="s">
        <v>33</v>
      </c>
      <c r="C37" s="13" t="n">
        <v>0.25</v>
      </c>
    </row>
    <row r="38" customFormat="false" ht="15" hidden="false" customHeight="false" outlineLevel="0" collapsed="false">
      <c r="A38" s="2" t="s">
        <v>67</v>
      </c>
      <c r="C38" s="13" t="n">
        <v>-0.25</v>
      </c>
    </row>
    <row r="40" customFormat="false" ht="23.85" hidden="false" customHeight="false" outlineLevel="0" collapsed="false">
      <c r="A40" s="8" t="s">
        <v>68</v>
      </c>
      <c r="B40" s="8"/>
      <c r="C40" s="8" t="s">
        <v>43</v>
      </c>
      <c r="D40" s="8"/>
      <c r="E40" s="8" t="s">
        <v>20</v>
      </c>
    </row>
    <row r="41" customFormat="false" ht="15" hidden="false" customHeight="false" outlineLevel="0" collapsed="false">
      <c r="A41" s="2" t="s">
        <v>69</v>
      </c>
      <c r="C41" s="14" t="n">
        <v>350</v>
      </c>
      <c r="E41" s="10" t="s">
        <v>70</v>
      </c>
    </row>
    <row r="42" customFormat="false" ht="15" hidden="false" customHeight="false" outlineLevel="0" collapsed="false">
      <c r="A42" s="2" t="s">
        <v>71</v>
      </c>
      <c r="C42" s="14" t="n">
        <v>50</v>
      </c>
      <c r="E42" s="10" t="s">
        <v>72</v>
      </c>
    </row>
    <row r="43" customFormat="false" ht="15" hidden="false" customHeight="false" outlineLevel="0" collapsed="false">
      <c r="A43" s="2" t="s">
        <v>73</v>
      </c>
      <c r="C43" s="13" t="n">
        <v>0.6</v>
      </c>
      <c r="E43" s="10" t="s">
        <v>72</v>
      </c>
    </row>
    <row r="44" customFormat="false" ht="15" hidden="false" customHeight="false" outlineLevel="0" collapsed="false">
      <c r="A44" s="2" t="s">
        <v>74</v>
      </c>
      <c r="C44" s="13" t="n">
        <v>0.1</v>
      </c>
      <c r="E44" s="10" t="s">
        <v>72</v>
      </c>
    </row>
    <row r="45" customFormat="false" ht="15" hidden="false" customHeight="false" outlineLevel="0" collapsed="false">
      <c r="A45" s="2" t="s">
        <v>75</v>
      </c>
      <c r="C45" s="14" t="n">
        <v>120</v>
      </c>
      <c r="E45" s="10" t="s">
        <v>72</v>
      </c>
    </row>
    <row r="46" customFormat="false" ht="15" hidden="false" customHeight="false" outlineLevel="0" collapsed="false">
      <c r="A46" s="2" t="s">
        <v>76</v>
      </c>
      <c r="C46" s="14" t="n">
        <v>50</v>
      </c>
      <c r="E46" s="10" t="s">
        <v>72</v>
      </c>
    </row>
    <row r="47" customFormat="false" ht="15" hidden="false" customHeight="false" outlineLevel="0" collapsed="false">
      <c r="A47" s="2" t="s">
        <v>77</v>
      </c>
      <c r="C47" s="14" t="n">
        <v>100</v>
      </c>
      <c r="E47" s="10" t="s">
        <v>78</v>
      </c>
    </row>
    <row r="48" customFormat="false" ht="15" hidden="false" customHeight="false" outlineLevel="0" collapsed="false">
      <c r="A48" s="2" t="s">
        <v>79</v>
      </c>
      <c r="C48" s="14" t="n">
        <v>20</v>
      </c>
      <c r="E48" s="10" t="s">
        <v>78</v>
      </c>
    </row>
    <row r="49" customFormat="false" ht="15" hidden="false" customHeight="false" outlineLevel="0" collapsed="false">
      <c r="A49" s="2" t="s">
        <v>80</v>
      </c>
      <c r="C49" s="14" t="n">
        <v>3</v>
      </c>
      <c r="E49" s="1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1" t="s">
        <v>82</v>
      </c>
    </row>
    <row r="2" customFormat="false" ht="15" hidden="false" customHeight="false" outlineLevel="0" collapsed="false">
      <c r="A2" s="10" t="s">
        <v>83</v>
      </c>
    </row>
    <row r="3" customFormat="false" ht="23.85" hidden="false" customHeight="false" outlineLevel="0" collapsed="false">
      <c r="A3" s="8" t="s">
        <v>84</v>
      </c>
      <c r="B3" s="8" t="s">
        <v>16</v>
      </c>
      <c r="C3" s="8" t="s">
        <v>18</v>
      </c>
      <c r="D3" s="8" t="s">
        <v>85</v>
      </c>
      <c r="E3" s="8" t="s">
        <v>86</v>
      </c>
      <c r="F3" s="8" t="s">
        <v>87</v>
      </c>
      <c r="G3" s="8" t="s">
        <v>88</v>
      </c>
      <c r="H3" s="8" t="s">
        <v>89</v>
      </c>
      <c r="I3" s="8" t="s">
        <v>90</v>
      </c>
    </row>
    <row r="4" customFormat="false" ht="15" hidden="false" customHeight="false" outlineLevel="0" collapsed="false">
      <c r="A4" s="2" t="s">
        <v>22</v>
      </c>
      <c r="B4" s="2" t="s">
        <v>21</v>
      </c>
      <c r="C4" s="15" t="n">
        <f aca="false">Declarations!C4</f>
        <v>100</v>
      </c>
      <c r="D4" s="2" t="s">
        <v>91</v>
      </c>
      <c r="E4" s="2" t="s">
        <v>92</v>
      </c>
      <c r="F4" s="2" t="s">
        <v>93</v>
      </c>
      <c r="G4" s="16" t="n">
        <f aca="false">0.01*C4</f>
        <v>1</v>
      </c>
      <c r="H4" s="16" t="n">
        <f aca="false">C4</f>
        <v>100</v>
      </c>
      <c r="I4" s="16" t="n">
        <f aca="false">G4/H4</f>
        <v>0.01</v>
      </c>
    </row>
    <row r="5" customFormat="false" ht="15" hidden="false" customHeight="false" outlineLevel="0" collapsed="false">
      <c r="A5" s="2" t="s">
        <v>26</v>
      </c>
      <c r="B5" s="2" t="s">
        <v>25</v>
      </c>
      <c r="C5" s="15" t="n">
        <f aca="false">Declarations!C5</f>
        <v>3.4</v>
      </c>
      <c r="D5" s="2" t="s">
        <v>94</v>
      </c>
      <c r="E5" s="2" t="s">
        <v>95</v>
      </c>
      <c r="F5" s="2" t="s">
        <v>96</v>
      </c>
      <c r="G5" s="16" t="n">
        <f aca="false">0.02*C5</f>
        <v>0.068</v>
      </c>
      <c r="H5" s="16" t="n">
        <f aca="false">C5</f>
        <v>3.4</v>
      </c>
      <c r="I5" s="16" t="n">
        <f aca="false">G5/H5</f>
        <v>0.02</v>
      </c>
    </row>
    <row r="6" customFormat="false" ht="15" hidden="false" customHeight="false" outlineLevel="0" collapsed="false">
      <c r="A6" s="2" t="s">
        <v>29</v>
      </c>
      <c r="B6" s="2" t="s">
        <v>28</v>
      </c>
      <c r="C6" s="15" t="n">
        <f aca="false">Declarations!C6</f>
        <v>58</v>
      </c>
      <c r="D6" s="2" t="s">
        <v>94</v>
      </c>
      <c r="E6" s="2" t="s">
        <v>97</v>
      </c>
      <c r="F6" s="2" t="s">
        <v>98</v>
      </c>
      <c r="G6" s="11" t="n">
        <v>5</v>
      </c>
      <c r="H6" s="11" t="n">
        <v>100</v>
      </c>
      <c r="I6" s="16" t="n">
        <f aca="false">G6/H6</f>
        <v>0.05</v>
      </c>
    </row>
    <row r="7" customFormat="false" ht="15" hidden="false" customHeight="false" outlineLevel="0" collapsed="false">
      <c r="A7" s="2" t="s">
        <v>32</v>
      </c>
      <c r="B7" s="2" t="s">
        <v>31</v>
      </c>
      <c r="C7" s="15" t="n">
        <f aca="false">Declarations!C7</f>
        <v>41</v>
      </c>
      <c r="D7" s="2" t="s">
        <v>91</v>
      </c>
      <c r="E7" s="2" t="s">
        <v>99</v>
      </c>
      <c r="F7" s="2" t="s">
        <v>100</v>
      </c>
      <c r="G7" s="11" t="n">
        <v>4</v>
      </c>
      <c r="H7" s="11" t="n">
        <v>100</v>
      </c>
      <c r="I7" s="16" t="n">
        <f aca="false">G7/H7</f>
        <v>0.04</v>
      </c>
    </row>
    <row r="8" customFormat="false" ht="15" hidden="false" customHeight="false" outlineLevel="0" collapsed="false">
      <c r="A8" s="2" t="s">
        <v>34</v>
      </c>
      <c r="B8" s="2" t="s">
        <v>33</v>
      </c>
      <c r="C8" s="15" t="n">
        <f aca="false">Declarations!C8</f>
        <v>71</v>
      </c>
      <c r="D8" s="2" t="s">
        <v>91</v>
      </c>
      <c r="E8" s="2" t="s">
        <v>101</v>
      </c>
      <c r="F8" s="2" t="s">
        <v>102</v>
      </c>
      <c r="G8" s="11" t="n">
        <v>3</v>
      </c>
      <c r="H8" s="11" t="n">
        <v>100</v>
      </c>
      <c r="I8" s="16" t="n">
        <f aca="false">G8/H8</f>
        <v>0.03</v>
      </c>
    </row>
    <row r="9" customFormat="false" ht="15" hidden="false" customHeight="false" outlineLevel="0" collapsed="false">
      <c r="A9" s="2" t="s">
        <v>36</v>
      </c>
      <c r="B9" s="2" t="s">
        <v>35</v>
      </c>
      <c r="C9" s="17" t="n">
        <f aca="false">Declarations!C9</f>
        <v>0.083</v>
      </c>
      <c r="D9" s="2" t="s">
        <v>94</v>
      </c>
      <c r="E9" s="2" t="s">
        <v>95</v>
      </c>
      <c r="F9" s="2" t="s">
        <v>103</v>
      </c>
      <c r="G9" s="11" t="n">
        <v>0.004</v>
      </c>
      <c r="H9" s="16" t="n">
        <f aca="false">C9</f>
        <v>0.083</v>
      </c>
      <c r="I9" s="16" t="n">
        <f aca="false">G9/H9</f>
        <v>0.0481927710843373</v>
      </c>
    </row>
    <row r="10" customFormat="false" ht="15" hidden="false" customHeight="false" outlineLevel="0" collapsed="false">
      <c r="A10" s="2" t="s">
        <v>39</v>
      </c>
      <c r="B10" s="2" t="s">
        <v>61</v>
      </c>
      <c r="C10" s="15" t="n">
        <f aca="false">Declarations!C10</f>
        <v>64</v>
      </c>
      <c r="D10" s="2" t="s">
        <v>91</v>
      </c>
      <c r="E10" s="2" t="s">
        <v>104</v>
      </c>
      <c r="F10" s="2" t="s">
        <v>105</v>
      </c>
      <c r="G10" s="11" t="n">
        <v>6</v>
      </c>
      <c r="H10" s="11" t="n">
        <v>100</v>
      </c>
      <c r="I10" s="16" t="n">
        <f aca="false">G10/H10</f>
        <v>0.06</v>
      </c>
    </row>
    <row r="11" customFormat="false" ht="15" hidden="false" customHeight="false" outlineLevel="0" collapsed="false">
      <c r="A11" s="2" t="s">
        <v>41</v>
      </c>
      <c r="B11" s="2" t="s">
        <v>40</v>
      </c>
      <c r="C11" s="17" t="n">
        <f aca="false">Declarations!C11</f>
        <v>0.19</v>
      </c>
      <c r="D11" s="2" t="s">
        <v>94</v>
      </c>
      <c r="E11" s="2" t="s">
        <v>106</v>
      </c>
      <c r="F11" s="2" t="s">
        <v>107</v>
      </c>
      <c r="G11" s="11" t="n">
        <v>0.008</v>
      </c>
      <c r="H11" s="16" t="n">
        <f aca="false">C11</f>
        <v>0.19</v>
      </c>
      <c r="I11" s="16" t="n">
        <f aca="false">G11/H11</f>
        <v>0.0421052631578947</v>
      </c>
    </row>
    <row r="13" customFormat="false" ht="15" hidden="false" customHeight="false" outlineLevel="0" collapsed="false">
      <c r="A13" s="0" t="s">
        <v>108</v>
      </c>
      <c r="C13" s="2" t="str">
        <f aca="false">INDEX(B4:B11,MATCH(LARGE(I4:I11,1),I4:I11,0))</f>
        <v>strategic risk</v>
      </c>
      <c r="E13" s="16" t="n">
        <f aca="false">LARGE(I4:I11,1)</f>
        <v>0.06</v>
      </c>
    </row>
    <row r="14" customFormat="false" ht="15" hidden="false" customHeight="false" outlineLevel="0" collapsed="false">
      <c r="A14" s="0" t="s">
        <v>109</v>
      </c>
      <c r="C14" s="2" t="str">
        <f aca="false">INDEX(B4:B11,MATCH(LARGE(I4:I11,2),I4:I11,0))</f>
        <v>workforce capability</v>
      </c>
      <c r="E14" s="16" t="n">
        <f aca="false">LARGE(I4:I11,2)</f>
        <v>0.05</v>
      </c>
    </row>
    <row r="15" customFormat="false" ht="15" hidden="false" customHeight="false" outlineLevel="0" collapsed="false">
      <c r="A15" s="10" t="s">
        <v>110</v>
      </c>
    </row>
    <row r="17" customFormat="false" ht="15" hidden="false" customHeight="false" outlineLevel="0" collapsed="false">
      <c r="A17" s="4" t="s">
        <v>111</v>
      </c>
      <c r="E17" s="12" t="n">
        <f aca="false">W_L*C4+W_T*C7+W_E*C8+W_R*C10</f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17" min="3" style="0" width="12"/>
    <col collapsed="false" customWidth="true" hidden="false" outlineLevel="0" max="18" min="18" style="0" width="16"/>
  </cols>
  <sheetData>
    <row r="1" customFormat="false" ht="1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10" t="s">
        <v>113</v>
      </c>
    </row>
    <row r="4" customFormat="false" ht="23.85" hidden="false" customHeight="false" outlineLevel="0" collapsed="false">
      <c r="A4" s="8" t="s">
        <v>114</v>
      </c>
      <c r="B4" s="8" t="s">
        <v>18</v>
      </c>
      <c r="C4" s="8" t="s">
        <v>58</v>
      </c>
      <c r="D4" s="8" t="s">
        <v>62</v>
      </c>
      <c r="E4" s="8" t="s">
        <v>63</v>
      </c>
    </row>
    <row r="5" customFormat="false" ht="15" hidden="false" customHeight="false" outlineLevel="0" collapsed="false">
      <c r="A5" s="2" t="s">
        <v>115</v>
      </c>
      <c r="B5" s="15" t="n">
        <f aca="false">Declarations!C4</f>
        <v>100</v>
      </c>
      <c r="C5" s="18" t="n">
        <f aca="false">C72</f>
        <v>94.2956014682046</v>
      </c>
      <c r="D5" s="18" t="n">
        <f aca="false">G72</f>
        <v>121.107479359406</v>
      </c>
      <c r="E5" s="18" t="n">
        <f aca="false">K72</f>
        <v>105.367604652629</v>
      </c>
      <c r="F5" s="10" t="s">
        <v>116</v>
      </c>
    </row>
    <row r="6" customFormat="false" ht="15" hidden="false" customHeight="false" outlineLevel="0" collapsed="false">
      <c r="A6" s="2" t="s">
        <v>31</v>
      </c>
      <c r="B6" s="15" t="n">
        <f aca="false">Declarations!C7</f>
        <v>41</v>
      </c>
      <c r="C6" s="18" t="n">
        <f aca="false">D72</f>
        <v>75.6346691353518</v>
      </c>
      <c r="D6" s="18" t="n">
        <f aca="false">H72</f>
        <v>38.8595143905806</v>
      </c>
      <c r="E6" s="18" t="n">
        <f aca="false">L72</f>
        <v>35.9430355293715</v>
      </c>
    </row>
    <row r="7" customFormat="false" ht="15" hidden="false" customHeight="false" outlineLevel="0" collapsed="false">
      <c r="A7" s="2" t="s">
        <v>33</v>
      </c>
      <c r="B7" s="15" t="n">
        <f aca="false">Declarations!C8</f>
        <v>71</v>
      </c>
      <c r="C7" s="18" t="n">
        <f aca="false">E72</f>
        <v>73.5983309723245</v>
      </c>
      <c r="D7" s="18" t="n">
        <f aca="false">I72</f>
        <v>73.6838023263144</v>
      </c>
      <c r="E7" s="18" t="n">
        <f aca="false">M72</f>
        <v>78.6017034530571</v>
      </c>
    </row>
    <row r="8" customFormat="false" ht="15" hidden="false" customHeight="false" outlineLevel="0" collapsed="false">
      <c r="A8" s="2" t="s">
        <v>61</v>
      </c>
      <c r="B8" s="15" t="n">
        <f aca="false">Declarations!C10</f>
        <v>64</v>
      </c>
      <c r="C8" s="18" t="n">
        <f aca="false">F72</f>
        <v>55.2177495534504</v>
      </c>
      <c r="D8" s="18" t="n">
        <f aca="false">J72</f>
        <v>49.3901915476036</v>
      </c>
      <c r="E8" s="18" t="n">
        <f aca="false">N72</f>
        <v>66.3306095195547</v>
      </c>
    </row>
    <row r="9" customFormat="false" ht="15" hidden="false" customHeight="false" outlineLevel="0" collapsed="false">
      <c r="A9" s="4" t="s">
        <v>117</v>
      </c>
      <c r="B9" s="18" t="n">
        <f aca="false">W_L*B5+W_T*B6+W_E*B7+W_R*B8</f>
        <v>37</v>
      </c>
      <c r="C9" s="16" t="n">
        <f aca="false">O72</f>
        <v>47.0777130056076</v>
      </c>
      <c r="D9" s="16" t="n">
        <f aca="false">P72</f>
        <v>46.0651511321744</v>
      </c>
      <c r="E9" s="16" t="n">
        <f aca="false">Q72</f>
        <v>38.3954335288757</v>
      </c>
    </row>
    <row r="11" customFormat="false" ht="23.85" hidden="false" customHeight="false" outlineLevel="0" collapsed="false">
      <c r="A11" s="8" t="s">
        <v>118</v>
      </c>
      <c r="B11" s="8" t="s">
        <v>119</v>
      </c>
      <c r="C11" s="8" t="s">
        <v>120</v>
      </c>
      <c r="D11" s="8" t="s">
        <v>121</v>
      </c>
      <c r="E11" s="8" t="s">
        <v>122</v>
      </c>
      <c r="F11" s="8" t="s">
        <v>123</v>
      </c>
      <c r="G11" s="8" t="s">
        <v>124</v>
      </c>
      <c r="H11" s="8" t="s">
        <v>125</v>
      </c>
      <c r="I11" s="8" t="s">
        <v>126</v>
      </c>
      <c r="J11" s="8" t="s">
        <v>127</v>
      </c>
      <c r="K11" s="8" t="s">
        <v>128</v>
      </c>
      <c r="L11" s="8" t="s">
        <v>129</v>
      </c>
      <c r="M11" s="8" t="s">
        <v>130</v>
      </c>
      <c r="N11" s="8" t="s">
        <v>131</v>
      </c>
      <c r="O11" s="8" t="s">
        <v>132</v>
      </c>
      <c r="P11" s="8" t="s">
        <v>133</v>
      </c>
      <c r="Q11" s="8" t="s">
        <v>134</v>
      </c>
      <c r="R11" s="8" t="s">
        <v>135</v>
      </c>
    </row>
    <row r="12" customFormat="false" ht="15" hidden="false" customHeight="false" outlineLevel="0" collapsed="false">
      <c r="A12" s="19" t="n">
        <v>0</v>
      </c>
      <c r="B12" s="20" t="n">
        <f aca="false">A12/12</f>
        <v>0</v>
      </c>
      <c r="C12" s="16" t="n">
        <f aca="false">Declarations!$C$20+(Declarations!$C$4-Declarations!$C$20)*EXP(-Declarations!$D$20*$B12)+IF(Declarations!$E$20=0,0,Declarations!$E$20*($B12/Declarations!$F$20)*EXP(1-$B12/Declarations!$F$20))+IF($B12&gt;=T_sale,Declarations!$G$20,0)</f>
        <v>100</v>
      </c>
      <c r="D12" s="16" t="n">
        <f aca="false">Declarations!$C$21+(Declarations!$C$7-Declarations!$C$21)*EXP(-Declarations!$D$21*$B12)+IF(Declarations!$E$21=0,0,Declarations!$E$21*($B12/Declarations!$F$21)*EXP(1-$B12/Declarations!$F$21))+IF($B12&gt;=T_sale,Declarations!$G$21,0)</f>
        <v>41</v>
      </c>
      <c r="E12" s="16" t="n">
        <f aca="false">Declarations!$C$22+(Declarations!$C$8-Declarations!$C$22)*EXP(-Declarations!$D$22*$B12)+IF(Declarations!$E$22=0,0,Declarations!$E$22*($B12/Declarations!$F$22)*EXP(1-$B12/Declarations!$F$22))+IF($B12&gt;=T_sale,Declarations!$G$22,0)</f>
        <v>71</v>
      </c>
      <c r="F12" s="16" t="n">
        <f aca="false">Declarations!$C$23+(Declarations!$C$10-Declarations!$C$23)*EXP(-Declarations!$D$23*$B12)+IF(Declarations!$E$23=0,0,Declarations!$E$23*($B12/Declarations!$F$23)*EXP(1-$B12/Declarations!$F$23))+IF($B12&gt;=T_sale,Declarations!$G$23,0)</f>
        <v>64</v>
      </c>
      <c r="G12" s="16" t="n">
        <f aca="false">Declarations!$C$24+(Declarations!$C$4-Declarations!$C$24)*EXP(-Declarations!$D$24*$B12)+IF(Declarations!$E$24=0,0,Declarations!$E$24*($B12/Declarations!$F$24)*EXP(1-$B12/Declarations!$F$24))+IF($B12&gt;=T_sale,Declarations!$G$24,0)</f>
        <v>100</v>
      </c>
      <c r="H12" s="16" t="n">
        <f aca="false">Declarations!$C$25+(Declarations!$C$7-Declarations!$C$25)*EXP(-Declarations!$D$25*$B12)+IF(Declarations!$E$25=0,0,Declarations!$E$25*($B12/Declarations!$F$25)*EXP(1-$B12/Declarations!$F$25))+IF($B12&gt;=T_sale,Declarations!$G$25,0)</f>
        <v>41</v>
      </c>
      <c r="I12" s="16" t="n">
        <f aca="false">Declarations!$C$26+(Declarations!$C$8-Declarations!$C$26)*EXP(-Declarations!$D$26*$B12)+IF(Declarations!$E$26=0,0,Declarations!$E$26*($B12/Declarations!$F$26)*EXP(1-$B12/Declarations!$F$26))+IF($B12&gt;=T_sale,Declarations!$G$26,0)</f>
        <v>71</v>
      </c>
      <c r="J12" s="16" t="n">
        <f aca="false">Declarations!$C$27+(Declarations!$C$10-Declarations!$C$27)*EXP(-Declarations!$D$27*$B12)+IF(Declarations!$E$27=0,0,Declarations!$E$27*($B12/Declarations!$F$27)*EXP(1-$B12/Declarations!$F$27))+IF($B12&gt;=T_sale,Declarations!$G$27,0)</f>
        <v>64</v>
      </c>
      <c r="K12" s="16" t="n">
        <f aca="false">Declarations!$C$28+(Declarations!$C$4-Declarations!$C$28)*EXP(-Declarations!$D$28*$B12)+IF(Declarations!$E$28=0,0,Declarations!$E$28*($B12/Declarations!$F$28)*EXP(1-$B12/Declarations!$F$28))+IF($B12&gt;=T_sale,Declarations!$G$28,0)</f>
        <v>100</v>
      </c>
      <c r="L12" s="16" t="n">
        <f aca="false">Declarations!$C$29+(Declarations!$C$7-Declarations!$C$29)*EXP(-Declarations!$D$29*$B12)+IF(Declarations!$E$29=0,0,Declarations!$E$29*($B12/Declarations!$F$29)*EXP(1-$B12/Declarations!$F$29))+IF($B12&gt;=T_sale,Declarations!$G$29,0)</f>
        <v>41</v>
      </c>
      <c r="M12" s="16" t="n">
        <f aca="false">Declarations!$C$30+(Declarations!$C$8-Declarations!$C$30)*EXP(-Declarations!$D$30*$B12)+IF(Declarations!$E$30=0,0,Declarations!$E$30*($B12/Declarations!$F$30)*EXP(1-$B12/Declarations!$F$30))+IF($B12&gt;=T_sale,Declarations!$G$30,0)</f>
        <v>71</v>
      </c>
      <c r="N12" s="16" t="n">
        <f aca="false">Declarations!$C$31+(Declarations!$C$10-Declarations!$C$31)*EXP(-Declarations!$D$31*$B12)+IF(Declarations!$E$31=0,0,Declarations!$E$31*($B12/Declarations!$F$31)*EXP(1-$B12/Declarations!$F$31))+IF($B12&gt;=T_sale,Declarations!$G$31,0)</f>
        <v>64</v>
      </c>
      <c r="O12" s="16" t="n">
        <f aca="false">W_L*C12+W_T*D12+W_E*E12+W_R*F12</f>
        <v>37</v>
      </c>
      <c r="P12" s="16" t="n">
        <f aca="false">W_L*G12+W_T*H12+W_E*I12+W_R*J12</f>
        <v>37</v>
      </c>
      <c r="Q12" s="16" t="n">
        <f aca="false">W_L*K12+W_T*L12+W_E*M12+W_R*N12</f>
        <v>37</v>
      </c>
    </row>
    <row r="13" customFormat="false" ht="15" hidden="false" customHeight="false" outlineLevel="0" collapsed="false">
      <c r="A13" s="19" t="n">
        <v>1</v>
      </c>
      <c r="B13" s="20" t="n">
        <f aca="false">A13/12</f>
        <v>0.0833333333333333</v>
      </c>
      <c r="C13" s="16" t="n">
        <f aca="false">Declarations!$C$20+(Declarations!$C$4-Declarations!$C$20)*EXP(-Declarations!$D$20*$B13)+IF(Declarations!$E$20=0,0,Declarations!$E$20*($B13/Declarations!$F$20)*EXP(1-$B13/Declarations!$F$20))+IF($B13&gt;=T_sale,Declarations!$G$20,0)</f>
        <v>97.3030399475751</v>
      </c>
      <c r="D13" s="16" t="n">
        <f aca="false">Declarations!$C$21+(Declarations!$C$7-Declarations!$C$21)*EXP(-Declarations!$D$21*$B13)+IF(Declarations!$E$21=0,0,Declarations!$E$21*($B13/Declarations!$F$21)*EXP(1-$B13/Declarations!$F$21))+IF($B13&gt;=T_sale,Declarations!$G$21,0)</f>
        <v>42.6575574826973</v>
      </c>
      <c r="E13" s="16" t="n">
        <f aca="false">Declarations!$C$22+(Declarations!$C$8-Declarations!$C$22)*EXP(-Declarations!$D$22*$B13)+IF(Declarations!$E$22=0,0,Declarations!$E$22*($B13/Declarations!$F$22)*EXP(1-$B13/Declarations!$F$22))+IF($B13&gt;=T_sale,Declarations!$G$22,0)</f>
        <v>69.9591710399512</v>
      </c>
      <c r="F13" s="16" t="n">
        <f aca="false">Declarations!$C$23+(Declarations!$C$10-Declarations!$C$23)*EXP(-Declarations!$D$23*$B13)+IF(Declarations!$E$23=0,0,Declarations!$E$23*($B13/Declarations!$F$23)*EXP(1-$B13/Declarations!$F$23))+IF($B13&gt;=T_sale,Declarations!$G$23,0)</f>
        <v>66.0392847793643</v>
      </c>
      <c r="G13" s="16" t="n">
        <f aca="false">Declarations!$C$24+(Declarations!$C$4-Declarations!$C$24)*EXP(-Declarations!$D$24*$B13)+IF(Declarations!$E$24=0,0,Declarations!$E$24*($B13/Declarations!$F$24)*EXP(1-$B13/Declarations!$F$24))+IF($B13&gt;=T_sale,Declarations!$G$24,0)</f>
        <v>100.098760351887</v>
      </c>
      <c r="H13" s="16" t="n">
        <f aca="false">Declarations!$C$25+(Declarations!$C$7-Declarations!$C$25)*EXP(-Declarations!$D$25*$B13)+IF(Declarations!$E$25=0,0,Declarations!$E$25*($B13/Declarations!$F$25)*EXP(1-$B13/Declarations!$F$25))+IF($B13&gt;=T_sale,Declarations!$G$25,0)</f>
        <v>40.9381465439937</v>
      </c>
      <c r="I13" s="16" t="n">
        <f aca="false">Declarations!$C$26+(Declarations!$C$8-Declarations!$C$26)*EXP(-Declarations!$D$26*$B13)+IF(Declarations!$E$26=0,0,Declarations!$E$26*($B13/Declarations!$F$26)*EXP(1-$B13/Declarations!$F$26))+IF($B13&gt;=T_sale,Declarations!$G$26,0)</f>
        <v>71.1104167468375</v>
      </c>
      <c r="J13" s="16" t="n">
        <f aca="false">Declarations!$C$27+(Declarations!$C$10-Declarations!$C$27)*EXP(-Declarations!$D$27*$B13)+IF(Declarations!$E$27=0,0,Declarations!$E$27*($B13/Declarations!$F$27)*EXP(1-$B13/Declarations!$F$27))+IF($B13&gt;=T_sale,Declarations!$G$27,0)</f>
        <v>63.7700366017094</v>
      </c>
      <c r="K13" s="16" t="n">
        <f aca="false">Declarations!$C$28+(Declarations!$C$4-Declarations!$C$28)*EXP(-Declarations!$D$28*$B13)+IF(Declarations!$E$28=0,0,Declarations!$E$28*($B13/Declarations!$F$28)*EXP(1-$B13/Declarations!$F$28))+IF($B13&gt;=T_sale,Declarations!$G$28,0)</f>
        <v>100.220833493675</v>
      </c>
      <c r="L13" s="16" t="n">
        <f aca="false">Declarations!$C$29+(Declarations!$C$7-Declarations!$C$29)*EXP(-Declarations!$D$29*$B13)+IF(Declarations!$E$29=0,0,Declarations!$E$29*($B13/Declarations!$F$29)*EXP(1-$B13/Declarations!$F$29))+IF($B13&gt;=T_sale,Declarations!$G$29,0)</f>
        <v>40.8677716305729</v>
      </c>
      <c r="M13" s="16" t="n">
        <f aca="false">Declarations!$C$30+(Declarations!$C$8-Declarations!$C$30)*EXP(-Declarations!$D$30*$B13)+IF(Declarations!$E$30=0,0,Declarations!$E$30*($B13/Declarations!$F$30)*EXP(1-$B13/Declarations!$F$30))+IF($B13&gt;=T_sale,Declarations!$G$30,0)</f>
        <v>71.3901646039943</v>
      </c>
      <c r="N13" s="16" t="n">
        <f aca="false">Declarations!$C$31+(Declarations!$C$10-Declarations!$C$31)*EXP(-Declarations!$D$31*$B13)+IF(Declarations!$E$31=0,0,Declarations!$E$31*($B13/Declarations!$F$31)*EXP(1-$B13/Declarations!$F$31))+IF($B13&gt;=T_sale,Declarations!$G$31,0)</f>
        <v>64.074070263915</v>
      </c>
      <c r="O13" s="16" t="n">
        <f aca="false">W_L*C13+W_T*D13+W_E*E13+W_R*F13</f>
        <v>35.9701209227148</v>
      </c>
      <c r="P13" s="16" t="n">
        <f aca="false">W_L*G13+W_T*H13+W_E*I13+W_R*J13</f>
        <v>37.0943217602521</v>
      </c>
      <c r="Q13" s="16" t="n">
        <f aca="false">W_L*K13+W_T*L13+W_E*M13+W_R*N13</f>
        <v>37.1011748660818</v>
      </c>
      <c r="R13" s="19" t="str">
        <f aca="false">IF(AND(O13&gt;=$B$9,O12&lt;$B$9),A13,"")</f>
        <v/>
      </c>
    </row>
    <row r="14" customFormat="false" ht="15" hidden="false" customHeight="false" outlineLevel="0" collapsed="false">
      <c r="A14" s="19" t="n">
        <v>2</v>
      </c>
      <c r="B14" s="20" t="n">
        <f aca="false">A14/12</f>
        <v>0.166666666666667</v>
      </c>
      <c r="C14" s="16" t="n">
        <f aca="false">Declarations!$C$20+(Declarations!$C$4-Declarations!$C$20)*EXP(-Declarations!$D$20*$B14)+IF(Declarations!$E$20=0,0,Declarations!$E$20*($B14/Declarations!$F$20)*EXP(1-$B14/Declarations!$F$20))+IF($B14&gt;=T_sale,Declarations!$G$20,0)</f>
        <v>94.8444479029731</v>
      </c>
      <c r="D14" s="16" t="n">
        <f aca="false">Declarations!$C$21+(Declarations!$C$7-Declarations!$C$21)*EXP(-Declarations!$D$21*$B14)+IF(Declarations!$E$21=0,0,Declarations!$E$21*($B14/Declarations!$F$21)*EXP(1-$B14/Declarations!$F$21))+IF($B14&gt;=T_sale,Declarations!$G$21,0)</f>
        <v>44.2408582948961</v>
      </c>
      <c r="E14" s="16" t="n">
        <f aca="false">Declarations!$C$22+(Declarations!$C$8-Declarations!$C$22)*EXP(-Declarations!$D$22*$B14)+IF(Declarations!$E$22=0,0,Declarations!$E$22*($B14/Declarations!$F$22)*EXP(1-$B14/Declarations!$F$22))+IF($B14&gt;=T_sale,Declarations!$G$22,0)</f>
        <v>69.0473080579369</v>
      </c>
      <c r="F14" s="16" t="n">
        <f aca="false">Declarations!$C$23+(Declarations!$C$10-Declarations!$C$23)*EXP(-Declarations!$D$23*$B14)+IF(Declarations!$E$23=0,0,Declarations!$E$23*($B14/Declarations!$F$23)*EXP(1-$B14/Declarations!$F$23))+IF($B14&gt;=T_sale,Declarations!$G$23,0)</f>
        <v>67.7617339192001</v>
      </c>
      <c r="G14" s="16" t="n">
        <f aca="false">Declarations!$C$24+(Declarations!$C$4-Declarations!$C$24)*EXP(-Declarations!$D$24*$B14)+IF(Declarations!$E$24=0,0,Declarations!$E$24*($B14/Declarations!$F$24)*EXP(1-$B14/Declarations!$F$24))+IF($B14&gt;=T_sale,Declarations!$G$24,0)</f>
        <v>100.195082301997</v>
      </c>
      <c r="H14" s="16" t="n">
        <f aca="false">Declarations!$C$25+(Declarations!$C$7-Declarations!$C$25)*EXP(-Declarations!$D$25*$B14)+IF(Declarations!$E$25=0,0,Declarations!$E$25*($B14/Declarations!$F$25)*EXP(1-$B14/Declarations!$F$25))+IF($B14&gt;=T_sale,Declarations!$G$25,0)</f>
        <v>40.8775683713274</v>
      </c>
      <c r="I14" s="16" t="n">
        <f aca="false">Declarations!$C$26+(Declarations!$C$8-Declarations!$C$26)*EXP(-Declarations!$D$26*$B14)+IF(Declarations!$E$26=0,0,Declarations!$E$26*($B14/Declarations!$F$26)*EXP(1-$B14/Declarations!$F$26))+IF($B14&gt;=T_sale,Declarations!$G$26,0)</f>
        <v>71.2167695410143</v>
      </c>
      <c r="J14" s="16" t="n">
        <f aca="false">Declarations!$C$27+(Declarations!$C$10-Declarations!$C$27)*EXP(-Declarations!$D$27*$B14)+IF(Declarations!$E$27=0,0,Declarations!$E$27*($B14/Declarations!$F$27)*EXP(1-$B14/Declarations!$F$27))+IF($B14&gt;=T_sale,Declarations!$G$27,0)</f>
        <v>63.5466835989879</v>
      </c>
      <c r="K14" s="16" t="n">
        <f aca="false">Declarations!$C$28+(Declarations!$C$4-Declarations!$C$28)*EXP(-Declarations!$D$28*$B14)+IF(Declarations!$E$28=0,0,Declarations!$E$28*($B14/Declarations!$F$28)*EXP(1-$B14/Declarations!$F$28))+IF($B14&gt;=T_sale,Declarations!$G$28,0)</f>
        <v>100.433539082029</v>
      </c>
      <c r="L14" s="16" t="n">
        <f aca="false">Declarations!$C$29+(Declarations!$C$7-Declarations!$C$29)*EXP(-Declarations!$D$29*$B14)+IF(Declarations!$E$29=0,0,Declarations!$E$29*($B14/Declarations!$F$29)*EXP(1-$B14/Declarations!$F$29))+IF($B14&gt;=T_sale,Declarations!$G$29,0)</f>
        <v>40.737728803856</v>
      </c>
      <c r="M14" s="16" t="n">
        <f aca="false">Declarations!$C$30+(Declarations!$C$8-Declarations!$C$30)*EXP(-Declarations!$D$30*$B14)+IF(Declarations!$E$30=0,0,Declarations!$E$30*($B14/Declarations!$F$30)*EXP(1-$B14/Declarations!$F$30))+IF($B14&gt;=T_sale,Declarations!$G$30,0)</f>
        <v>71.7613006557123</v>
      </c>
      <c r="N14" s="16" t="n">
        <f aca="false">Declarations!$C$31+(Declarations!$C$10-Declarations!$C$31)*EXP(-Declarations!$D$31*$B14)+IF(Declarations!$E$31=0,0,Declarations!$E$31*($B14/Declarations!$F$31)*EXP(1-$B14/Declarations!$F$31))+IF($B14&gt;=T_sale,Declarations!$G$31,0)</f>
        <v>64.1463117264979</v>
      </c>
      <c r="O14" s="16" t="n">
        <f aca="false">W_L*C14+W_T*D14+W_E*E14+W_R*F14</f>
        <v>35.0927200841515</v>
      </c>
      <c r="P14" s="16" t="n">
        <f aca="false">W_L*G14+W_T*H14+W_E*I14+W_R*J14</f>
        <v>37.1856841538377</v>
      </c>
      <c r="Q14" s="16" t="n">
        <f aca="false">W_L*K14+W_T*L14+W_E*M14+W_R*N14</f>
        <v>37.1965642037748</v>
      </c>
      <c r="R14" s="19" t="str">
        <f aca="false">IF(AND(O14&gt;=$B$9,O13&lt;$B$9),A14,"")</f>
        <v/>
      </c>
    </row>
    <row r="15" customFormat="false" ht="15" hidden="false" customHeight="false" outlineLevel="0" collapsed="false">
      <c r="A15" s="19" t="n">
        <v>3</v>
      </c>
      <c r="B15" s="20" t="n">
        <f aca="false">A15/12</f>
        <v>0.25</v>
      </c>
      <c r="C15" s="16" t="n">
        <f aca="false">Declarations!$C$20+(Declarations!$C$4-Declarations!$C$20)*EXP(-Declarations!$D$20*$B15)+IF(Declarations!$E$20=0,0,Declarations!$E$20*($B15/Declarations!$F$20)*EXP(1-$B15/Declarations!$F$20))+IF($B15&gt;=T_sale,Declarations!$G$20,0)</f>
        <v>92.6093100113046</v>
      </c>
      <c r="D15" s="16" t="n">
        <f aca="false">Declarations!$C$21+(Declarations!$C$7-Declarations!$C$21)*EXP(-Declarations!$D$21*$B15)+IF(Declarations!$E$21=0,0,Declarations!$E$21*($B15/Declarations!$F$21)*EXP(1-$B15/Declarations!$F$21))+IF($B15&gt;=T_sale,Declarations!$G$21,0)</f>
        <v>45.7532290501052</v>
      </c>
      <c r="E15" s="16" t="n">
        <f aca="false">Declarations!$C$22+(Declarations!$C$8-Declarations!$C$22)*EXP(-Declarations!$D$22*$B15)+IF(Declarations!$E$22=0,0,Declarations!$E$22*($B15/Declarations!$F$22)*EXP(1-$B15/Declarations!$F$22))+IF($B15&gt;=T_sale,Declarations!$G$22,0)</f>
        <v>68.2535547481532</v>
      </c>
      <c r="F15" s="16" t="n">
        <f aca="false">Declarations!$C$23+(Declarations!$C$10-Declarations!$C$23)*EXP(-Declarations!$D$23*$B15)+IF(Declarations!$E$23=0,0,Declarations!$E$23*($B15/Declarations!$F$23)*EXP(1-$B15/Declarations!$F$23))+IF($B15&gt;=T_sale,Declarations!$G$23,0)</f>
        <v>69.200179229987</v>
      </c>
      <c r="G15" s="16" t="n">
        <f aca="false">Declarations!$C$24+(Declarations!$C$4-Declarations!$C$24)*EXP(-Declarations!$D$24*$B15)+IF(Declarations!$E$24=0,0,Declarations!$E$24*($B15/Declarations!$F$24)*EXP(1-$B15/Declarations!$F$24))+IF($B15&gt;=T_sale,Declarations!$G$24,0)</f>
        <v>100.289026054686</v>
      </c>
      <c r="H15" s="16" t="n">
        <f aca="false">Declarations!$C$25+(Declarations!$C$7-Declarations!$C$25)*EXP(-Declarations!$D$25*$B15)+IF(Declarations!$E$25=0,0,Declarations!$E$25*($B15/Declarations!$F$25)*EXP(1-$B15/Declarations!$F$25))+IF($B15&gt;=T_sale,Declarations!$G$25,0)</f>
        <v>40.8182391884404</v>
      </c>
      <c r="I15" s="16" t="n">
        <f aca="false">Declarations!$C$26+(Declarations!$C$8-Declarations!$C$26)*EXP(-Declarations!$D$26*$B15)+IF(Declarations!$E$26=0,0,Declarations!$E$26*($B15/Declarations!$F$26)*EXP(1-$B15/Declarations!$F$26))+IF($B15&gt;=T_sale,Declarations!$G$26,0)</f>
        <v>71.3192079586745</v>
      </c>
      <c r="J15" s="16" t="n">
        <f aca="false">Declarations!$C$27+(Declarations!$C$10-Declarations!$C$27)*EXP(-Declarations!$D$27*$B15)+IF(Declarations!$E$27=0,0,Declarations!$E$27*($B15/Declarations!$F$27)*EXP(1-$B15/Declarations!$F$27))+IF($B15&gt;=T_sale,Declarations!$G$27,0)</f>
        <v>63.329750973207</v>
      </c>
      <c r="K15" s="16" t="n">
        <f aca="false">Declarations!$C$28+(Declarations!$C$4-Declarations!$C$28)*EXP(-Declarations!$D$28*$B15)+IF(Declarations!$E$28=0,0,Declarations!$E$28*($B15/Declarations!$F$28)*EXP(1-$B15/Declarations!$F$28))+IF($B15&gt;=T_sale,Declarations!$G$28,0)</f>
        <v>100.638415917349</v>
      </c>
      <c r="L15" s="16" t="n">
        <f aca="false">Declarations!$C$29+(Declarations!$C$7-Declarations!$C$29)*EXP(-Declarations!$D$29*$B15)+IF(Declarations!$E$29=0,0,Declarations!$E$29*($B15/Declarations!$F$29)*EXP(1-$B15/Declarations!$F$29))+IF($B15&gt;=T_sale,Declarations!$G$29,0)</f>
        <v>40.6098353960057</v>
      </c>
      <c r="M15" s="16" t="n">
        <f aca="false">Declarations!$C$30+(Declarations!$C$8-Declarations!$C$30)*EXP(-Declarations!$D$30*$B15)+IF(Declarations!$E$30=0,0,Declarations!$E$30*($B15/Declarations!$F$30)*EXP(1-$B15/Declarations!$F$30))+IF($B15&gt;=T_sale,Declarations!$G$30,0)</f>
        <v>72.1143361885995</v>
      </c>
      <c r="N15" s="16" t="n">
        <f aca="false">Declarations!$C$31+(Declarations!$C$10-Declarations!$C$31)*EXP(-Declarations!$D$31*$B15)+IF(Declarations!$E$31=0,0,Declarations!$E$31*($B15/Declarations!$F$31)*EXP(1-$B15/Declarations!$F$31))+IF($B15&gt;=T_sale,Declarations!$G$31,0)</f>
        <v>64.2167695410143</v>
      </c>
      <c r="O15" s="16" t="n">
        <f aca="false">W_L*C15+W_T*D15+W_E*E15+W_R*F15</f>
        <v>34.353978644894</v>
      </c>
      <c r="P15" s="16" t="n">
        <f aca="false">W_L*G15+W_T*H15+W_E*I15+W_R*J15</f>
        <v>37.2741805571484</v>
      </c>
      <c r="Q15" s="16" t="n">
        <f aca="false">W_L*K15+W_T*L15+W_E*M15+W_R*N15</f>
        <v>37.286454490235</v>
      </c>
      <c r="R15" s="19" t="str">
        <f aca="false">IF(AND(O15&gt;=$B$9,O14&lt;$B$9),A15,"")</f>
        <v/>
      </c>
    </row>
    <row r="16" customFormat="false" ht="15" hidden="false" customHeight="false" outlineLevel="0" collapsed="false">
      <c r="A16" s="19" t="n">
        <v>4</v>
      </c>
      <c r="B16" s="20" t="n">
        <f aca="false">A16/12</f>
        <v>0.333333333333333</v>
      </c>
      <c r="C16" s="16" t="n">
        <f aca="false">Declarations!$C$20+(Declarations!$C$4-Declarations!$C$20)*EXP(-Declarations!$D$20*$B16)+IF(Declarations!$E$20=0,0,Declarations!$E$20*($B16/Declarations!$F$20)*EXP(1-$B16/Declarations!$F$20))+IF($B16&gt;=T_sale,Declarations!$G$20,0)</f>
        <v>90.5835312573105</v>
      </c>
      <c r="D16" s="16" t="n">
        <f aca="false">Declarations!$C$21+(Declarations!$C$7-Declarations!$C$21)*EXP(-Declarations!$D$21*$B16)+IF(Declarations!$E$21=0,0,Declarations!$E$21*($B16/Declarations!$F$21)*EXP(1-$B16/Declarations!$F$21))+IF($B16&gt;=T_sale,Declarations!$G$21,0)</f>
        <v>47.1978473333707</v>
      </c>
      <c r="E16" s="16" t="n">
        <f aca="false">Declarations!$C$22+(Declarations!$C$8-Declarations!$C$22)*EXP(-Declarations!$D$22*$B16)+IF(Declarations!$E$22=0,0,Declarations!$E$22*($B16/Declarations!$F$22)*EXP(1-$B16/Declarations!$F$22))+IF($B16&gt;=T_sale,Declarations!$G$22,0)</f>
        <v>67.5678497872238</v>
      </c>
      <c r="F16" s="16" t="n">
        <f aca="false">Declarations!$C$23+(Declarations!$C$10-Declarations!$C$23)*EXP(-Declarations!$D$23*$B16)+IF(Declarations!$E$23=0,0,Declarations!$E$23*($B16/Declarations!$F$23)*EXP(1-$B16/Declarations!$F$23))+IF($B16&gt;=T_sale,Declarations!$G$23,0)</f>
        <v>70.3844897361639</v>
      </c>
      <c r="G16" s="16" t="n">
        <f aca="false">Declarations!$C$24+(Declarations!$C$4-Declarations!$C$24)*EXP(-Declarations!$D$24*$B16)+IF(Declarations!$E$24=0,0,Declarations!$E$24*($B16/Declarations!$F$24)*EXP(1-$B16/Declarations!$F$24))+IF($B16&gt;=T_sale,Declarations!$G$24,0)</f>
        <v>100.380650327856</v>
      </c>
      <c r="H16" s="16" t="n">
        <f aca="false">Declarations!$C$25+(Declarations!$C$7-Declarations!$C$25)*EXP(-Declarations!$D$25*$B16)+IF(Declarations!$E$25=0,0,Declarations!$E$25*($B16/Declarations!$F$25)*EXP(1-$B16/Declarations!$F$25))+IF($B16&gt;=T_sale,Declarations!$G$25,0)</f>
        <v>40.760133243888</v>
      </c>
      <c r="I16" s="16" t="n">
        <f aca="false">Declarations!$C$26+(Declarations!$C$8-Declarations!$C$26)*EXP(-Declarations!$D$26*$B16)+IF(Declarations!$E$26=0,0,Declarations!$E$26*($B16/Declarations!$F$26)*EXP(1-$B16/Declarations!$F$26))+IF($B16&gt;=T_sale,Declarations!$G$26,0)</f>
        <v>71.4178760707248</v>
      </c>
      <c r="J16" s="16" t="n">
        <f aca="false">Declarations!$C$27+(Declarations!$C$10-Declarations!$C$27)*EXP(-Declarations!$D$27*$B16)+IF(Declarations!$E$27=0,0,Declarations!$E$27*($B16/Declarations!$F$27)*EXP(1-$B16/Declarations!$F$27))+IF($B16&gt;=T_sale,Declarations!$G$27,0)</f>
        <v>63.1190541679042</v>
      </c>
      <c r="K16" s="16" t="n">
        <f aca="false">Declarations!$C$28+(Declarations!$C$4-Declarations!$C$28)*EXP(-Declarations!$D$28*$B16)+IF(Declarations!$E$28=0,0,Declarations!$E$28*($B16/Declarations!$F$28)*EXP(1-$B16/Declarations!$F$28))+IF($B16&gt;=T_sale,Declarations!$G$28,0)</f>
        <v>100.83575214145</v>
      </c>
      <c r="L16" s="16" t="n">
        <f aca="false">Declarations!$C$29+(Declarations!$C$7-Declarations!$C$29)*EXP(-Declarations!$D$29*$B16)+IF(Declarations!$E$29=0,0,Declarations!$E$29*($B16/Declarations!$F$29)*EXP(1-$B16/Declarations!$F$29))+IF($B16&gt;=T_sale,Declarations!$G$29,0)</f>
        <v>40.4840558802529</v>
      </c>
      <c r="M16" s="16" t="n">
        <f aca="false">Declarations!$C$30+(Declarations!$C$8-Declarations!$C$30)*EXP(-Declarations!$D$30*$B16)+IF(Declarations!$E$30=0,0,Declarations!$E$30*($B16/Declarations!$F$30)*EXP(1-$B16/Declarations!$F$30))+IF($B16&gt;=T_sale,Declarations!$G$30,0)</f>
        <v>72.4501539753761</v>
      </c>
      <c r="N16" s="16" t="n">
        <f aca="false">Declarations!$C$31+(Declarations!$C$10-Declarations!$C$31)*EXP(-Declarations!$D$31*$B16)+IF(Declarations!$E$31=0,0,Declarations!$E$31*($B16/Declarations!$F$31)*EXP(1-$B16/Declarations!$F$31))+IF($B16&gt;=T_sale,Declarations!$G$31,0)</f>
        <v>64.2854877458921</v>
      </c>
      <c r="O16" s="16" t="n">
        <f aca="false">W_L*C16+W_T*D16+W_E*E16+W_R*F16</f>
        <v>33.7411846604353</v>
      </c>
      <c r="P16" s="16" t="n">
        <f aca="false">W_L*G16+W_T*H16+W_E*I16+W_R*J16</f>
        <v>37.3599013686412</v>
      </c>
      <c r="Q16" s="16" t="n">
        <f aca="false">W_L*K16+W_T*L16+W_E*M16+W_R*N16</f>
        <v>37.3711185627967</v>
      </c>
      <c r="R16" s="19" t="str">
        <f aca="false">IF(AND(O16&gt;=$B$9,O15&lt;$B$9),A16,"")</f>
        <v/>
      </c>
    </row>
    <row r="17" customFormat="false" ht="15" hidden="false" customHeight="false" outlineLevel="0" collapsed="false">
      <c r="A17" s="19" t="n">
        <v>5</v>
      </c>
      <c r="B17" s="20" t="n">
        <f aca="false">A17/12</f>
        <v>0.416666666666667</v>
      </c>
      <c r="C17" s="16" t="n">
        <f aca="false">Declarations!$C$20+(Declarations!$C$4-Declarations!$C$20)*EXP(-Declarations!$D$20*$B17)+IF(Declarations!$E$20=0,0,Declarations!$E$20*($B17/Declarations!$F$20)*EXP(1-$B17/Declarations!$F$20))+IF($B17&gt;=T_sale,Declarations!$G$20,0)</f>
        <v>88.7537935113045</v>
      </c>
      <c r="D17" s="16" t="n">
        <f aca="false">Declarations!$C$21+(Declarations!$C$7-Declarations!$C$21)*EXP(-Declarations!$D$21*$B17)+IF(Declarations!$E$21=0,0,Declarations!$E$21*($B17/Declarations!$F$21)*EXP(1-$B17/Declarations!$F$21))+IF($B17&gt;=T_sale,Declarations!$G$21,0)</f>
        <v>48.5777483775804</v>
      </c>
      <c r="E17" s="16" t="n">
        <f aca="false">Declarations!$C$22+(Declarations!$C$8-Declarations!$C$22)*EXP(-Declarations!$D$22*$B17)+IF(Declarations!$E$22=0,0,Declarations!$E$22*($B17/Declarations!$F$22)*EXP(1-$B17/Declarations!$F$22))+IF($B17&gt;=T_sale,Declarations!$G$22,0)</f>
        <v>66.980872687564</v>
      </c>
      <c r="F17" s="16" t="n">
        <f aca="false">Declarations!$C$23+(Declarations!$C$10-Declarations!$C$23)*EXP(-Declarations!$D$23*$B17)+IF(Declarations!$E$23=0,0,Declarations!$E$23*($B17/Declarations!$F$23)*EXP(1-$B17/Declarations!$F$23))+IF($B17&gt;=T_sale,Declarations!$G$23,0)</f>
        <v>71.3418209025277</v>
      </c>
      <c r="G17" s="16" t="n">
        <f aca="false">Declarations!$C$24+(Declarations!$C$4-Declarations!$C$24)*EXP(-Declarations!$D$24*$B17)+IF(Declarations!$E$24=0,0,Declarations!$E$24*($B17/Declarations!$F$24)*EXP(1-$B17/Declarations!$F$24))+IF($B17&gt;=T_sale,Declarations!$G$24,0)</f>
        <v>100.470012389662</v>
      </c>
      <c r="H17" s="16" t="n">
        <f aca="false">Declarations!$C$25+(Declarations!$C$7-Declarations!$C$25)*EXP(-Declarations!$D$25*$B17)+IF(Declarations!$E$25=0,0,Declarations!$E$25*($B17/Declarations!$F$25)*EXP(1-$B17/Declarations!$F$25))+IF($B17&gt;=T_sale,Declarations!$G$25,0)</f>
        <v>40.7032253171639</v>
      </c>
      <c r="I17" s="16" t="n">
        <f aca="false">Declarations!$C$26+(Declarations!$C$8-Declarations!$C$26)*EXP(-Declarations!$D$26*$B17)+IF(Declarations!$E$26=0,0,Declarations!$E$26*($B17/Declarations!$F$26)*EXP(1-$B17/Declarations!$F$26))+IF($B17&gt;=T_sale,Declarations!$G$26,0)</f>
        <v>71.5129126454588</v>
      </c>
      <c r="J17" s="16" t="n">
        <f aca="false">Declarations!$C$27+(Declarations!$C$10-Declarations!$C$27)*EXP(-Declarations!$D$27*$B17)+IF(Declarations!$E$27=0,0,Declarations!$E$27*($B17/Declarations!$F$27)*EXP(1-$B17/Declarations!$F$27))+IF($B17&gt;=T_sale,Declarations!$G$27,0)</f>
        <v>62.9144139317709</v>
      </c>
      <c r="K17" s="16" t="n">
        <f aca="false">Declarations!$C$28+(Declarations!$C$4-Declarations!$C$28)*EXP(-Declarations!$D$28*$B17)+IF(Declarations!$E$28=0,0,Declarations!$E$28*($B17/Declarations!$F$28)*EXP(1-$B17/Declarations!$F$28))+IF($B17&gt;=T_sale,Declarations!$G$28,0)</f>
        <v>101.025825290918</v>
      </c>
      <c r="L17" s="16" t="n">
        <f aca="false">Declarations!$C$29+(Declarations!$C$7-Declarations!$C$29)*EXP(-Declarations!$D$29*$B17)+IF(Declarations!$E$29=0,0,Declarations!$E$29*($B17/Declarations!$F$29)*EXP(1-$B17/Declarations!$F$29))+IF($B17&gt;=T_sale,Declarations!$G$29,0)</f>
        <v>40.3603553170346</v>
      </c>
      <c r="M17" s="16" t="n">
        <f aca="false">Declarations!$C$30+(Declarations!$C$8-Declarations!$C$30)*EXP(-Declarations!$D$30*$B17)+IF(Declarations!$E$30=0,0,Declarations!$E$30*($B17/Declarations!$F$30)*EXP(1-$B17/Declarations!$F$30))+IF($B17&gt;=T_sale,Declarations!$G$30,0)</f>
        <v>72.7695937354288</v>
      </c>
      <c r="N17" s="16" t="n">
        <f aca="false">Declarations!$C$31+(Declarations!$C$10-Declarations!$C$31)*EXP(-Declarations!$D$31*$B17)+IF(Declarations!$E$31=0,0,Declarations!$E$31*($B17/Declarations!$F$31)*EXP(1-$B17/Declarations!$F$31))+IF($B17&gt;=T_sale,Declarations!$G$31,0)</f>
        <v>64.3525092922462</v>
      </c>
      <c r="O17" s="16" t="n">
        <f aca="false">W_L*C17+W_T*D17+W_E*E17+W_R*F17</f>
        <v>33.2426484184803</v>
      </c>
      <c r="P17" s="16" t="n">
        <f aca="false">W_L*G17+W_T*H17+W_E*I17+W_R*J17</f>
        <v>37.4429341051283</v>
      </c>
      <c r="Q17" s="16" t="n">
        <f aca="false">W_L*K17+W_T*L17+W_E*M17+W_R*N17</f>
        <v>37.4508162627837</v>
      </c>
      <c r="R17" s="19" t="str">
        <f aca="false">IF(AND(O17&gt;=$B$9,O16&lt;$B$9),A17,"")</f>
        <v/>
      </c>
    </row>
    <row r="18" customFormat="false" ht="15" hidden="false" customHeight="false" outlineLevel="0" collapsed="false">
      <c r="A18" s="19" t="n">
        <v>6</v>
      </c>
      <c r="B18" s="20" t="n">
        <f aca="false">A18/12</f>
        <v>0.5</v>
      </c>
      <c r="C18" s="16" t="n">
        <f aca="false">Declarations!$C$20+(Declarations!$C$4-Declarations!$C$20)*EXP(-Declarations!$D$20*$B18)+IF(Declarations!$E$20=0,0,Declarations!$E$20*($B18/Declarations!$F$20)*EXP(1-$B18/Declarations!$F$20))+IF($B18&gt;=T_sale,Declarations!$G$20,0)</f>
        <v>87.1075156344808</v>
      </c>
      <c r="D18" s="16" t="n">
        <f aca="false">Declarations!$C$21+(Declarations!$C$7-Declarations!$C$21)*EXP(-Declarations!$D$21*$B18)+IF(Declarations!$E$21=0,0,Declarations!$E$21*($B18/Declarations!$F$21)*EXP(1-$B18/Declarations!$F$21))+IF($B18&gt;=T_sale,Declarations!$G$21,0)</f>
        <v>49.8958314406762</v>
      </c>
      <c r="E18" s="16" t="n">
        <f aca="false">Declarations!$C$22+(Declarations!$C$8-Declarations!$C$22)*EXP(-Declarations!$D$22*$B18)+IF(Declarations!$E$22=0,0,Declarations!$E$22*($B18/Declarations!$F$22)*EXP(1-$B18/Declarations!$F$22))+IF($B18&gt;=T_sale,Declarations!$G$22,0)</f>
        <v>66.4839931784075</v>
      </c>
      <c r="F18" s="16" t="n">
        <f aca="false">Declarations!$C$23+(Declarations!$C$10-Declarations!$C$23)*EXP(-Declarations!$D$23*$B18)+IF(Declarations!$E$23=0,0,Declarations!$E$23*($B18/Declarations!$F$23)*EXP(1-$B18/Declarations!$F$23))+IF($B18&gt;=T_sale,Declarations!$G$23,0)</f>
        <v>72.0968437730057</v>
      </c>
      <c r="G18" s="16" t="n">
        <f aca="false">Declarations!$C$24+(Declarations!$C$4-Declarations!$C$24)*EXP(-Declarations!$D$24*$B18)+IF(Declarations!$E$24=0,0,Declarations!$E$24*($B18/Declarations!$F$24)*EXP(1-$B18/Declarations!$F$24))+IF($B18&gt;=T_sale,Declarations!$G$24,0)</f>
        <v>100.5571680943</v>
      </c>
      <c r="H18" s="16" t="n">
        <f aca="false">Declarations!$C$25+(Declarations!$C$7-Declarations!$C$25)*EXP(-Declarations!$D$25*$B18)+IF(Declarations!$E$25=0,0,Declarations!$E$25*($B18/Declarations!$F$25)*EXP(1-$B18/Declarations!$F$25))+IF($B18&gt;=T_sale,Declarations!$G$25,0)</f>
        <v>40.6474907077538</v>
      </c>
      <c r="I18" s="16" t="n">
        <f aca="false">Declarations!$C$26+(Declarations!$C$8-Declarations!$C$26)*EXP(-Declarations!$D$26*$B18)+IF(Declarations!$E$26=0,0,Declarations!$E$26*($B18/Declarations!$F$26)*EXP(1-$B18/Declarations!$F$26))+IF($B18&gt;=T_sale,Declarations!$G$26,0)</f>
        <v>71.6044513437219</v>
      </c>
      <c r="J18" s="16" t="n">
        <f aca="false">Declarations!$C$27+(Declarations!$C$10-Declarations!$C$27)*EXP(-Declarations!$D$27*$B18)+IF(Declarations!$E$27=0,0,Declarations!$E$27*($B18/Declarations!$F$27)*EXP(1-$B18/Declarations!$F$27))+IF($B18&gt;=T_sale,Declarations!$G$27,0)</f>
        <v>62.7156561661537</v>
      </c>
      <c r="K18" s="16" t="n">
        <f aca="false">Declarations!$C$28+(Declarations!$C$4-Declarations!$C$28)*EXP(-Declarations!$D$28*$B18)+IF(Declarations!$E$28=0,0,Declarations!$E$28*($B18/Declarations!$F$28)*EXP(1-$B18/Declarations!$F$28))+IF($B18&gt;=T_sale,Declarations!$G$28,0)</f>
        <v>101.208902687444</v>
      </c>
      <c r="L18" s="16" t="n">
        <f aca="false">Declarations!$C$29+(Declarations!$C$7-Declarations!$C$29)*EXP(-Declarations!$D$29*$B18)+IF(Declarations!$E$29=0,0,Declarations!$E$29*($B18/Declarations!$F$29)*EXP(1-$B18/Declarations!$F$29))+IF($B18&gt;=T_sale,Declarations!$G$29,0)</f>
        <v>40.2386993442877</v>
      </c>
      <c r="M18" s="16" t="n">
        <f aca="false">Declarations!$C$30+(Declarations!$C$8-Declarations!$C$30)*EXP(-Declarations!$D$30*$B18)+IF(Declarations!$E$30=0,0,Declarations!$E$30*($B18/Declarations!$F$30)*EXP(1-$B18/Declarations!$F$30))+IF($B18&gt;=T_sale,Declarations!$G$30,0)</f>
        <v>73.0734542345463</v>
      </c>
      <c r="N18" s="16" t="n">
        <f aca="false">Declarations!$C$31+(Declarations!$C$10-Declarations!$C$31)*EXP(-Declarations!$D$31*$B18)+IF(Declarations!$E$31=0,0,Declarations!$E$31*($B18/Declarations!$F$31)*EXP(1-$B18/Declarations!$F$31))+IF($B18&gt;=T_sale,Declarations!$G$31,0)</f>
        <v>64.4178760707248</v>
      </c>
      <c r="O18" s="16" t="n">
        <f aca="false">W_L*C18+W_T*D18+W_E*E18+W_R*F18</f>
        <v>32.8476241201397</v>
      </c>
      <c r="P18" s="16" t="n">
        <f aca="false">W_L*G18+W_T*H18+W_E*I18+W_R*J18</f>
        <v>37.5233634949054</v>
      </c>
      <c r="Q18" s="16" t="n">
        <f aca="false">W_L*K18+W_T*L18+W_E*M18+W_R*N18</f>
        <v>37.5257950488882</v>
      </c>
      <c r="R18" s="19" t="str">
        <f aca="false">IF(AND(O18&gt;=$B$9,O17&lt;$B$9),A18,"")</f>
        <v/>
      </c>
    </row>
    <row r="19" customFormat="false" ht="15" hidden="false" customHeight="false" outlineLevel="0" collapsed="false">
      <c r="A19" s="19" t="n">
        <v>7</v>
      </c>
      <c r="B19" s="20" t="n">
        <f aca="false">A19/12</f>
        <v>0.583333333333333</v>
      </c>
      <c r="C19" s="16" t="n">
        <f aca="false">Declarations!$C$20+(Declarations!$C$4-Declarations!$C$20)*EXP(-Declarations!$D$20*$B19)+IF(Declarations!$E$20=0,0,Declarations!$E$20*($B19/Declarations!$F$20)*EXP(1-$B19/Declarations!$F$20))+IF($B19&gt;=T_sale,Declarations!$G$20,0)</f>
        <v>85.6328155454083</v>
      </c>
      <c r="D19" s="16" t="n">
        <f aca="false">Declarations!$C$21+(Declarations!$C$7-Declarations!$C$21)*EXP(-Declarations!$D$21*$B19)+IF(Declarations!$E$21=0,0,Declarations!$E$21*($B19/Declarations!$F$21)*EXP(1-$B19/Declarations!$F$21))+IF($B19&gt;=T_sale,Declarations!$G$21,0)</f>
        <v>51.154865897176</v>
      </c>
      <c r="E19" s="16" t="n">
        <f aca="false">Declarations!$C$22+(Declarations!$C$8-Declarations!$C$22)*EXP(-Declarations!$D$22*$B19)+IF(Declarations!$E$22=0,0,Declarations!$E$22*($B19/Declarations!$F$22)*EXP(1-$B19/Declarations!$F$22))+IF($B19&gt;=T_sale,Declarations!$G$22,0)</f>
        <v>66.0692238914704</v>
      </c>
      <c r="F19" s="16" t="n">
        <f aca="false">Declarations!$C$23+(Declarations!$C$10-Declarations!$C$23)*EXP(-Declarations!$D$23*$B19)+IF(Declarations!$E$23=0,0,Declarations!$E$23*($B19/Declarations!$F$23)*EXP(1-$B19/Declarations!$F$23))+IF($B19&gt;=T_sale,Declarations!$G$23,0)</f>
        <v>72.6719555947814</v>
      </c>
      <c r="G19" s="16" t="n">
        <f aca="false">Declarations!$C$24+(Declarations!$C$4-Declarations!$C$24)*EXP(-Declarations!$D$24*$B19)+IF(Declarations!$E$24=0,0,Declarations!$E$24*($B19/Declarations!$F$24)*EXP(1-$B19/Declarations!$F$24))+IF($B19&gt;=T_sale,Declarations!$G$24,0)</f>
        <v>100.642171916923</v>
      </c>
      <c r="H19" s="16" t="n">
        <f aca="false">Declarations!$C$25+(Declarations!$C$7-Declarations!$C$25)*EXP(-Declarations!$D$25*$B19)+IF(Declarations!$E$25=0,0,Declarations!$E$25*($B19/Declarations!$F$25)*EXP(1-$B19/Declarations!$F$25))+IF($B19&gt;=T_sale,Declarations!$G$25,0)</f>
        <v>40.5929052244141</v>
      </c>
      <c r="I19" s="16" t="n">
        <f aca="false">Declarations!$C$26+(Declarations!$C$8-Declarations!$C$26)*EXP(-Declarations!$D$26*$B19)+IF(Declarations!$E$26=0,0,Declarations!$E$26*($B19/Declarations!$F$26)*EXP(1-$B19/Declarations!$F$26))+IF($B19&gt;=T_sale,Declarations!$G$26,0)</f>
        <v>71.6926209068943</v>
      </c>
      <c r="J19" s="16" t="n">
        <f aca="false">Declarations!$C$27+(Declarations!$C$10-Declarations!$C$27)*EXP(-Declarations!$D$27*$B19)+IF(Declarations!$E$27=0,0,Declarations!$E$27*($B19/Declarations!$F$27)*EXP(1-$B19/Declarations!$F$27))+IF($B19&gt;=T_sale,Declarations!$G$27,0)</f>
        <v>62.5226117769387</v>
      </c>
      <c r="K19" s="16" t="n">
        <f aca="false">Declarations!$C$28+(Declarations!$C$4-Declarations!$C$28)*EXP(-Declarations!$D$28*$B19)+IF(Declarations!$E$28=0,0,Declarations!$E$28*($B19/Declarations!$F$28)*EXP(1-$B19/Declarations!$F$28))+IF($B19&gt;=T_sale,Declarations!$G$28,0)</f>
        <v>101.385241813789</v>
      </c>
      <c r="L19" s="16" t="n">
        <f aca="false">Declarations!$C$29+(Declarations!$C$7-Declarations!$C$29)*EXP(-Declarations!$D$29*$B19)+IF(Declarations!$E$29=0,0,Declarations!$E$29*($B19/Declarations!$F$29)*EXP(1-$B19/Declarations!$F$29))+IF($B19&gt;=T_sale,Declarations!$G$29,0)</f>
        <v>40.1190541679042</v>
      </c>
      <c r="M19" s="16" t="n">
        <f aca="false">Declarations!$C$30+(Declarations!$C$8-Declarations!$C$30)*EXP(-Declarations!$D$30*$B19)+IF(Declarations!$E$30=0,0,Declarations!$E$30*($B19/Declarations!$F$30)*EXP(1-$B19/Declarations!$F$30))+IF($B19&gt;=T_sale,Declarations!$G$30,0)</f>
        <v>73.3624952822503</v>
      </c>
      <c r="N19" s="16" t="n">
        <f aca="false">Declarations!$C$31+(Declarations!$C$10-Declarations!$C$31)*EXP(-Declarations!$D$31*$B19)+IF(Declarations!$E$31=0,0,Declarations!$E$31*($B19/Declarations!$F$31)*EXP(1-$B19/Declarations!$F$31))+IF($B19&gt;=T_sale,Declarations!$G$31,0)</f>
        <v>64.4816289376924</v>
      </c>
      <c r="O19" s="16" t="n">
        <f aca="false">W_L*C19+W_T*D19+W_E*E19+W_R*F19</f>
        <v>32.5462374348183</v>
      </c>
      <c r="P19" s="16" t="n">
        <f aca="false">W_L*G19+W_T*H19+W_E*I19+W_R*J19</f>
        <v>37.6012715678232</v>
      </c>
      <c r="Q19" s="16" t="n">
        <f aca="false">W_L*K19+W_T*L19+W_E*M19+W_R*N19</f>
        <v>37.5962905815627</v>
      </c>
      <c r="R19" s="19" t="str">
        <f aca="false">IF(AND(O19&gt;=$B$9,O18&lt;$B$9),A19,"")</f>
        <v/>
      </c>
    </row>
    <row r="20" customFormat="false" ht="15" hidden="false" customHeight="false" outlineLevel="0" collapsed="false">
      <c r="A20" s="19" t="n">
        <v>8</v>
      </c>
      <c r="B20" s="20" t="n">
        <f aca="false">A20/12</f>
        <v>0.666666666666667</v>
      </c>
      <c r="C20" s="16" t="n">
        <f aca="false">Declarations!$C$20+(Declarations!$C$4-Declarations!$C$20)*EXP(-Declarations!$D$20*$B20)+IF(Declarations!$E$20=0,0,Declarations!$E$20*($B20/Declarations!$F$20)*EXP(1-$B20/Declarations!$F$20))+IF($B20&gt;=T_sale,Declarations!$G$20,0)</f>
        <v>84.318474154115</v>
      </c>
      <c r="D20" s="16" t="n">
        <f aca="false">Declarations!$C$21+(Declarations!$C$7-Declarations!$C$21)*EXP(-Declarations!$D$21*$B20)+IF(Declarations!$E$21=0,0,Declarations!$E$21*($B20/Declarations!$F$21)*EXP(1-$B20/Declarations!$F$21))+IF($B20&gt;=T_sale,Declarations!$G$21,0)</f>
        <v>52.3574970568017</v>
      </c>
      <c r="E20" s="16" t="n">
        <f aca="false">Declarations!$C$22+(Declarations!$C$8-Declarations!$C$22)*EXP(-Declarations!$D$22*$B20)+IF(Declarations!$E$22=0,0,Declarations!$E$22*($B20/Declarations!$F$22)*EXP(1-$B20/Declarations!$F$22))+IF($B20&gt;=T_sale,Declarations!$G$22,0)</f>
        <v>65.7291761420234</v>
      </c>
      <c r="F20" s="16" t="n">
        <f aca="false">Declarations!$C$23+(Declarations!$C$10-Declarations!$C$23)*EXP(-Declarations!$D$23*$B20)+IF(Declarations!$E$23=0,0,Declarations!$E$23*($B20/Declarations!$F$23)*EXP(1-$B20/Declarations!$F$23))+IF($B20&gt;=T_sale,Declarations!$G$23,0)</f>
        <v>73.0874733801265</v>
      </c>
      <c r="G20" s="16" t="n">
        <f aca="false">Declarations!$C$24+(Declarations!$C$4-Declarations!$C$24)*EXP(-Declarations!$D$24*$B20)+IF(Declarations!$E$24=0,0,Declarations!$E$24*($B20/Declarations!$F$24)*EXP(1-$B20/Declarations!$F$24))+IF($B20&gt;=T_sale,Declarations!$G$24,0)</f>
        <v>100.725076987688</v>
      </c>
      <c r="H20" s="16" t="n">
        <f aca="false">Declarations!$C$25+(Declarations!$C$7-Declarations!$C$25)*EXP(-Declarations!$D$25*$B20)+IF(Declarations!$E$25=0,0,Declarations!$E$25*($B20/Declarations!$F$25)*EXP(1-$B20/Declarations!$F$25))+IF($B20&gt;=T_sale,Declarations!$G$25,0)</f>
        <v>40.5394451746718</v>
      </c>
      <c r="I20" s="16" t="n">
        <f aca="false">Declarations!$C$26+(Declarations!$C$8-Declarations!$C$26)*EXP(-Declarations!$D$26*$B20)+IF(Declarations!$E$26=0,0,Declarations!$E$26*($B20/Declarations!$F$26)*EXP(1-$B20/Declarations!$F$26))+IF($B20&gt;=T_sale,Declarations!$G$26,0)</f>
        <v>71.7775453379549</v>
      </c>
      <c r="J20" s="16" t="n">
        <f aca="false">Declarations!$C$27+(Declarations!$C$10-Declarations!$C$27)*EXP(-Declarations!$D$27*$B20)+IF(Declarations!$E$27=0,0,Declarations!$E$27*($B20/Declarations!$F$27)*EXP(1-$B20/Declarations!$F$27))+IF($B20&gt;=T_sale,Declarations!$G$27,0)</f>
        <v>62.3351165306943</v>
      </c>
      <c r="K20" s="16" t="n">
        <f aca="false">Declarations!$C$28+(Declarations!$C$4-Declarations!$C$28)*EXP(-Declarations!$D$28*$B20)+IF(Declarations!$E$28=0,0,Declarations!$E$28*($B20/Declarations!$F$28)*EXP(1-$B20/Declarations!$F$28))+IF($B20&gt;=T_sale,Declarations!$G$28,0)</f>
        <v>101.55509067591</v>
      </c>
      <c r="L20" s="16" t="n">
        <f aca="false">Declarations!$C$29+(Declarations!$C$7-Declarations!$C$29)*EXP(-Declarations!$D$29*$B20)+IF(Declarations!$E$29=0,0,Declarations!$E$29*($B20/Declarations!$F$29)*EXP(1-$B20/Declarations!$F$29))+IF($B20&gt;=T_sale,Declarations!$G$29,0)</f>
        <v>40.0013865523436</v>
      </c>
      <c r="M20" s="16" t="n">
        <f aca="false">Declarations!$C$30+(Declarations!$C$8-Declarations!$C$30)*EXP(-Declarations!$D$30*$B20)+IF(Declarations!$E$30=0,0,Declarations!$E$30*($B20/Declarations!$F$30)*EXP(1-$B20/Declarations!$F$30))+IF($B20&gt;=T_sale,Declarations!$G$30,0)</f>
        <v>73.6374396317149</v>
      </c>
      <c r="N20" s="16" t="n">
        <f aca="false">Declarations!$C$31+(Declarations!$C$10-Declarations!$C$31)*EXP(-Declarations!$D$31*$B20)+IF(Declarations!$E$31=0,0,Declarations!$E$31*($B20/Declarations!$F$31)*EXP(1-$B20/Declarations!$F$31))+IF($B20&gt;=T_sale,Declarations!$G$31,0)</f>
        <v>64.5438077407661</v>
      </c>
      <c r="O20" s="16" t="n">
        <f aca="false">W_L*C20+W_T*D20+W_E*E20+W_R*F20</f>
        <v>32.3294184932034</v>
      </c>
      <c r="P20" s="16" t="n">
        <f aca="false">W_L*G20+W_T*H20+W_E*I20+W_R*J20</f>
        <v>37.6767377424051</v>
      </c>
      <c r="Q20" s="16" t="n">
        <f aca="false">W_L*K20+W_T*L20+W_E*M20+W_R*N20</f>
        <v>37.6625272798005</v>
      </c>
      <c r="R20" s="19" t="str">
        <f aca="false">IF(AND(O20&gt;=$B$9,O19&lt;$B$9),A20,"")</f>
        <v/>
      </c>
    </row>
    <row r="21" customFormat="false" ht="15" hidden="false" customHeight="false" outlineLevel="0" collapsed="false">
      <c r="A21" s="19" t="n">
        <v>9</v>
      </c>
      <c r="B21" s="20" t="n">
        <f aca="false">A21/12</f>
        <v>0.75</v>
      </c>
      <c r="C21" s="16" t="n">
        <f aca="false">Declarations!$C$20+(Declarations!$C$4-Declarations!$C$20)*EXP(-Declarations!$D$20*$B21)+IF(Declarations!$E$20=0,0,Declarations!$E$20*($B21/Declarations!$F$20)*EXP(1-$B21/Declarations!$F$20))+IF($B21&gt;=T_sale,Declarations!$G$20,0)</f>
        <v>83.1539010745388</v>
      </c>
      <c r="D21" s="16" t="n">
        <f aca="false">Declarations!$C$21+(Declarations!$C$7-Declarations!$C$21)*EXP(-Declarations!$D$21*$B21)+IF(Declarations!$E$21=0,0,Declarations!$E$21*($B21/Declarations!$F$21)*EXP(1-$B21/Declarations!$F$21))+IF($B21&gt;=T_sale,Declarations!$G$21,0)</f>
        <v>53.5062517224391</v>
      </c>
      <c r="E21" s="16" t="n">
        <f aca="false">Declarations!$C$22+(Declarations!$C$8-Declarations!$C$22)*EXP(-Declarations!$D$22*$B21)+IF(Declarations!$E$22=0,0,Declarations!$E$22*($B21/Declarations!$F$22)*EXP(1-$B21/Declarations!$F$22))+IF($B21&gt;=T_sale,Declarations!$G$22,0)</f>
        <v>65.4570186091036</v>
      </c>
      <c r="F21" s="16" t="n">
        <f aca="false">Declarations!$C$23+(Declarations!$C$10-Declarations!$C$23)*EXP(-Declarations!$D$23*$B21)+IF(Declarations!$E$23=0,0,Declarations!$E$23*($B21/Declarations!$F$23)*EXP(1-$B21/Declarations!$F$23))+IF($B21&gt;=T_sale,Declarations!$G$23,0)</f>
        <v>73.3618117467716</v>
      </c>
      <c r="G21" s="16" t="n">
        <f aca="false">Declarations!$C$24+(Declarations!$C$4-Declarations!$C$24)*EXP(-Declarations!$D$24*$B21)+IF(Declarations!$E$24=0,0,Declarations!$E$24*($B21/Declarations!$F$24)*EXP(1-$B21/Declarations!$F$24))+IF($B21&gt;=T_sale,Declarations!$G$24,0)</f>
        <v>100.805935124962</v>
      </c>
      <c r="H21" s="16" t="n">
        <f aca="false">Declarations!$C$25+(Declarations!$C$7-Declarations!$C$25)*EXP(-Declarations!$D$25*$B21)+IF(Declarations!$E$25=0,0,Declarations!$E$25*($B21/Declarations!$F$25)*EXP(1-$B21/Declarations!$F$25))+IF($B21&gt;=T_sale,Declarations!$G$25,0)</f>
        <v>40.4870873545412</v>
      </c>
      <c r="I21" s="16" t="n">
        <f aca="false">Declarations!$C$26+(Declarations!$C$8-Declarations!$C$26)*EXP(-Declarations!$D$26*$B21)+IF(Declarations!$E$26=0,0,Declarations!$E$26*($B21/Declarations!$F$26)*EXP(1-$B21/Declarations!$F$26))+IF($B21&gt;=T_sale,Declarations!$G$26,0)</f>
        <v>71.8593440758805</v>
      </c>
      <c r="J21" s="16" t="n">
        <f aca="false">Declarations!$C$27+(Declarations!$C$10-Declarations!$C$27)*EXP(-Declarations!$D$27*$B21)+IF(Declarations!$E$27=0,0,Declarations!$E$27*($B21/Declarations!$F$27)*EXP(1-$B21/Declarations!$F$27))+IF($B21&gt;=T_sale,Declarations!$G$27,0)</f>
        <v>62.1530109149486</v>
      </c>
      <c r="K21" s="16" t="n">
        <f aca="false">Declarations!$C$28+(Declarations!$C$4-Declarations!$C$28)*EXP(-Declarations!$D$28*$B21)+IF(Declarations!$E$28=0,0,Declarations!$E$28*($B21/Declarations!$F$28)*EXP(1-$B21/Declarations!$F$28))+IF($B21&gt;=T_sale,Declarations!$G$28,0)</f>
        <v>101.718688151761</v>
      </c>
      <c r="L21" s="16" t="n">
        <f aca="false">Declarations!$C$29+(Declarations!$C$7-Declarations!$C$29)*EXP(-Declarations!$D$29*$B21)+IF(Declarations!$E$29=0,0,Declarations!$E$29*($B21/Declarations!$F$29)*EXP(1-$B21/Declarations!$F$29))+IF($B21&gt;=T_sale,Declarations!$G$29,0)</f>
        <v>39.8856638114005</v>
      </c>
      <c r="M21" s="16" t="n">
        <f aca="false">Declarations!$C$30+(Declarations!$C$8-Declarations!$C$30)*EXP(-Declarations!$D$30*$B21)+IF(Declarations!$E$30=0,0,Declarations!$E$30*($B21/Declarations!$F$30)*EXP(1-$B21/Declarations!$F$30))+IF($B21&gt;=T_sale,Declarations!$G$30,0)</f>
        <v>73.8989747870258</v>
      </c>
      <c r="N21" s="16" t="n">
        <f aca="false">Declarations!$C$31+(Declarations!$C$10-Declarations!$C$31)*EXP(-Declarations!$D$31*$B21)+IF(Declarations!$E$31=0,0,Declarations!$E$31*($B21/Declarations!$F$31)*EXP(1-$B21/Declarations!$F$31))+IF($B21&gt;=T_sale,Declarations!$G$31,0)</f>
        <v>64.6044513437219</v>
      </c>
      <c r="O21" s="16" t="n">
        <f aca="false">W_L*C21+W_T*D21+W_E*E21+W_R*F21</f>
        <v>32.1888399148275</v>
      </c>
      <c r="P21" s="16" t="n">
        <f aca="false">W_L*G21+W_T*H21+W_E*I21+W_R*J21</f>
        <v>37.7498389101089</v>
      </c>
      <c r="Q21" s="16" t="n">
        <f aca="false">W_L*K21+W_T*L21+W_E*M21+W_R*N21</f>
        <v>37.7247188516163</v>
      </c>
      <c r="R21" s="19" t="str">
        <f aca="false">IF(AND(O21&gt;=$B$9,O20&lt;$B$9),A21,"")</f>
        <v/>
      </c>
    </row>
    <row r="22" customFormat="false" ht="15" hidden="false" customHeight="false" outlineLevel="0" collapsed="false">
      <c r="A22" s="19" t="n">
        <v>10</v>
      </c>
      <c r="B22" s="20" t="n">
        <f aca="false">A22/12</f>
        <v>0.833333333333333</v>
      </c>
      <c r="C22" s="16" t="n">
        <f aca="false">Declarations!$C$20+(Declarations!$C$4-Declarations!$C$20)*EXP(-Declarations!$D$20*$B22)+IF(Declarations!$E$20=0,0,Declarations!$E$20*($B22/Declarations!$F$20)*EXP(1-$B22/Declarations!$F$20))+IF($B22&gt;=T_sale,Declarations!$G$20,0)</f>
        <v>82.129102030291</v>
      </c>
      <c r="D22" s="16" t="n">
        <f aca="false">Declarations!$C$21+(Declarations!$C$7-Declarations!$C$21)*EXP(-Declarations!$D$21*$B22)+IF(Declarations!$E$21=0,0,Declarations!$E$21*($B22/Declarations!$F$21)*EXP(1-$B22/Declarations!$F$21))+IF($B22&gt;=T_sale,Declarations!$G$21,0)</f>
        <v>54.6035434991088</v>
      </c>
      <c r="E22" s="16" t="n">
        <f aca="false">Declarations!$C$22+(Declarations!$C$8-Declarations!$C$22)*EXP(-Declarations!$D$22*$B22)+IF(Declarations!$E$22=0,0,Declarations!$E$22*($B22/Declarations!$F$22)*EXP(1-$B22/Declarations!$F$22))+IF($B22&gt;=T_sale,Declarations!$G$22,0)</f>
        <v>65.2464387307634</v>
      </c>
      <c r="F22" s="16" t="n">
        <f aca="false">Declarations!$C$23+(Declarations!$C$10-Declarations!$C$23)*EXP(-Declarations!$D$23*$B22)+IF(Declarations!$E$23=0,0,Declarations!$E$23*($B22/Declarations!$F$23)*EXP(1-$B22/Declarations!$F$23))+IF($B22&gt;=T_sale,Declarations!$G$23,0)</f>
        <v>73.5116462745503</v>
      </c>
      <c r="G22" s="16" t="n">
        <f aca="false">Declarations!$C$24+(Declarations!$C$4-Declarations!$C$24)*EXP(-Declarations!$D$24*$B22)+IF(Declarations!$E$24=0,0,Declarations!$E$24*($B22/Declarations!$F$24)*EXP(1-$B22/Declarations!$F$24))+IF($B22&gt;=T_sale,Declarations!$G$24,0)</f>
        <v>100.884796867714</v>
      </c>
      <c r="H22" s="16" t="n">
        <f aca="false">Declarations!$C$25+(Declarations!$C$7-Declarations!$C$25)*EXP(-Declarations!$D$25*$B22)+IF(Declarations!$E$25=0,0,Declarations!$E$25*($B22/Declarations!$F$25)*EXP(1-$B22/Declarations!$F$25))+IF($B22&gt;=T_sale,Declarations!$G$25,0)</f>
        <v>40.4358090384519</v>
      </c>
      <c r="I22" s="16" t="n">
        <f aca="false">Declarations!$C$26+(Declarations!$C$8-Declarations!$C$26)*EXP(-Declarations!$D$26*$B22)+IF(Declarations!$E$26=0,0,Declarations!$E$26*($B22/Declarations!$F$26)*EXP(1-$B22/Declarations!$F$26))+IF($B22&gt;=T_sale,Declarations!$G$26,0)</f>
        <v>71.9381321636271</v>
      </c>
      <c r="J22" s="16" t="n">
        <f aca="false">Declarations!$C$27+(Declarations!$C$10-Declarations!$C$27)*EXP(-Declarations!$D$27*$B22)+IF(Declarations!$E$27=0,0,Declarations!$E$27*($B22/Declarations!$F$27)*EXP(1-$B22/Declarations!$F$27))+IF($B22&gt;=T_sale,Declarations!$G$27,0)</f>
        <v>61.9761400024835</v>
      </c>
      <c r="K22" s="16" t="n">
        <f aca="false">Declarations!$C$28+(Declarations!$C$4-Declarations!$C$28)*EXP(-Declarations!$D$28*$B22)+IF(Declarations!$E$28=0,0,Declarations!$E$28*($B22/Declarations!$F$28)*EXP(1-$B22/Declarations!$F$28))+IF($B22&gt;=T_sale,Declarations!$G$28,0)</f>
        <v>101.876264327254</v>
      </c>
      <c r="L22" s="16" t="n">
        <f aca="false">Declarations!$C$29+(Declarations!$C$7-Declarations!$C$29)*EXP(-Declarations!$D$29*$B22)+IF(Declarations!$E$29=0,0,Declarations!$E$29*($B22/Declarations!$F$29)*EXP(1-$B22/Declarations!$F$29))+IF($B22&gt;=T_sale,Declarations!$G$29,0)</f>
        <v>39.7718537991249</v>
      </c>
      <c r="M22" s="16" t="n">
        <f aca="false">Declarations!$C$30+(Declarations!$C$8-Declarations!$C$30)*EXP(-Declarations!$D$30*$B22)+IF(Declarations!$E$30=0,0,Declarations!$E$30*($B22/Declarations!$F$30)*EXP(1-$B22/Declarations!$F$30))+IF($B22&gt;=T_sale,Declarations!$G$30,0)</f>
        <v>74.1477547222989</v>
      </c>
      <c r="N22" s="16" t="n">
        <f aca="false">Declarations!$C$31+(Declarations!$C$10-Declarations!$C$31)*EXP(-Declarations!$D$31*$B22)+IF(Declarations!$E$31=0,0,Declarations!$E$31*($B22/Declarations!$F$31)*EXP(1-$B22/Declarations!$F$31))+IF($B22&gt;=T_sale,Declarations!$G$31,0)</f>
        <v>64.6635976507858</v>
      </c>
      <c r="O22" s="16" t="n">
        <f aca="false">W_L*C22+W_T*D22+W_E*E22+W_R*F22</f>
        <v>32.1168594964032</v>
      </c>
      <c r="P22" s="16" t="n">
        <f aca="false">W_L*G22+W_T*H22+W_E*I22+W_R*J22</f>
        <v>37.8206495168275</v>
      </c>
      <c r="Q22" s="16" t="n">
        <f aca="false">W_L*K22+W_T*L22+W_E*M22+W_R*N22</f>
        <v>37.7830687994731</v>
      </c>
      <c r="R22" s="19" t="str">
        <f aca="false">IF(AND(O22&gt;=$B$9,O21&lt;$B$9),A22,"")</f>
        <v/>
      </c>
    </row>
    <row r="23" customFormat="false" ht="15" hidden="false" customHeight="false" outlineLevel="0" collapsed="false">
      <c r="A23" s="19" t="n">
        <v>11</v>
      </c>
      <c r="B23" s="20" t="n">
        <f aca="false">A23/12</f>
        <v>0.916666666666667</v>
      </c>
      <c r="C23" s="16" t="n">
        <f aca="false">Declarations!$C$20+(Declarations!$C$4-Declarations!$C$20)*EXP(-Declarations!$D$20*$B23)+IF(Declarations!$E$20=0,0,Declarations!$E$20*($B23/Declarations!$F$20)*EXP(1-$B23/Declarations!$F$20))+IF($B23&gt;=T_sale,Declarations!$G$20,0)</f>
        <v>81.2346478726594</v>
      </c>
      <c r="D23" s="16" t="n">
        <f aca="false">Declarations!$C$21+(Declarations!$C$7-Declarations!$C$21)*EXP(-Declarations!$D$21*$B23)+IF(Declarations!$E$21=0,0,Declarations!$E$21*($B23/Declarations!$F$21)*EXP(1-$B23/Declarations!$F$21))+IF($B23&gt;=T_sale,Declarations!$G$21,0)</f>
        <v>55.6516778650994</v>
      </c>
      <c r="E23" s="16" t="n">
        <f aca="false">Declarations!$C$22+(Declarations!$C$8-Declarations!$C$22)*EXP(-Declarations!$D$22*$B23)+IF(Declarations!$E$22=0,0,Declarations!$E$22*($B23/Declarations!$F$22)*EXP(1-$B23/Declarations!$F$22))+IF($B23&gt;=T_sale,Declarations!$G$22,0)</f>
        <v>65.0916066416841</v>
      </c>
      <c r="F23" s="16" t="n">
        <f aca="false">Declarations!$C$23+(Declarations!$C$10-Declarations!$C$23)*EXP(-Declarations!$D$23*$B23)+IF(Declarations!$E$23=0,0,Declarations!$E$23*($B23/Declarations!$F$23)*EXP(1-$B23/Declarations!$F$23))+IF($B23&gt;=T_sale,Declarations!$G$23,0)</f>
        <v>73.5520635207556</v>
      </c>
      <c r="G23" s="16" t="n">
        <f aca="false">Declarations!$C$24+(Declarations!$C$4-Declarations!$C$24)*EXP(-Declarations!$D$24*$B23)+IF(Declarations!$E$24=0,0,Declarations!$E$24*($B23/Declarations!$F$24)*EXP(1-$B23/Declarations!$F$24))+IF($B23&gt;=T_sale,Declarations!$G$24,0)</f>
        <v>100.9617115071</v>
      </c>
      <c r="H23" s="16" t="n">
        <f aca="false">Declarations!$C$25+(Declarations!$C$7-Declarations!$C$25)*EXP(-Declarations!$D$25*$B23)+IF(Declarations!$E$25=0,0,Declarations!$E$25*($B23/Declarations!$F$25)*EXP(1-$B23/Declarations!$F$25))+IF($B23&gt;=T_sale,Declarations!$G$25,0)</f>
        <v>40.3855879693854</v>
      </c>
      <c r="I23" s="16" t="n">
        <f aca="false">Declarations!$C$26+(Declarations!$C$8-Declarations!$C$26)*EXP(-Declarations!$D$26*$B23)+IF(Declarations!$E$26=0,0,Declarations!$E$26*($B23/Declarations!$F$26)*EXP(1-$B23/Declarations!$F$26))+IF($B23&gt;=T_sale,Declarations!$G$26,0)</f>
        <v>72.0140204099275</v>
      </c>
      <c r="J23" s="16" t="n">
        <f aca="false">Declarations!$C$27+(Declarations!$C$10-Declarations!$C$27)*EXP(-Declarations!$D$27*$B23)+IF(Declarations!$E$27=0,0,Declarations!$E$27*($B23/Declarations!$F$27)*EXP(1-$B23/Declarations!$F$27))+IF($B23&gt;=T_sale,Declarations!$G$27,0)</f>
        <v>61.8043533195295</v>
      </c>
      <c r="K23" s="16" t="n">
        <f aca="false">Declarations!$C$28+(Declarations!$C$4-Declarations!$C$28)*EXP(-Declarations!$D$28*$B23)+IF(Declarations!$E$28=0,0,Declarations!$E$28*($B23/Declarations!$F$28)*EXP(1-$B23/Declarations!$F$28))+IF($B23&gt;=T_sale,Declarations!$G$28,0)</f>
        <v>102.028040819855</v>
      </c>
      <c r="L23" s="16" t="n">
        <f aca="false">Declarations!$C$29+(Declarations!$C$7-Declarations!$C$29)*EXP(-Declarations!$D$29*$B23)+IF(Declarations!$E$29=0,0,Declarations!$E$29*($B23/Declarations!$F$29)*EXP(1-$B23/Declarations!$F$29))+IF($B23&gt;=T_sale,Declarations!$G$29,0)</f>
        <v>39.6599249008928</v>
      </c>
      <c r="M23" s="16" t="n">
        <f aca="false">Declarations!$C$30+(Declarations!$C$8-Declarations!$C$30)*EXP(-Declarations!$D$30*$B23)+IF(Declarations!$E$30=0,0,Declarations!$E$30*($B23/Declarations!$F$30)*EXP(1-$B23/Declarations!$F$30))+IF($B23&gt;=T_sale,Declarations!$G$30,0)</f>
        <v>74.3844015169561</v>
      </c>
      <c r="N23" s="16" t="n">
        <f aca="false">Declarations!$C$31+(Declarations!$C$10-Declarations!$C$31)*EXP(-Declarations!$D$31*$B23)+IF(Declarations!$E$31=0,0,Declarations!$E$31*($B23/Declarations!$F$31)*EXP(1-$B23/Declarations!$F$31))+IF($B23&gt;=T_sale,Declarations!$G$31,0)</f>
        <v>64.7212836303251</v>
      </c>
      <c r="O23" s="16" t="n">
        <f aca="false">W_L*C23+W_T*D23+W_E*E23+W_R*F23</f>
        <v>32.1064672146718</v>
      </c>
      <c r="P23" s="16" t="n">
        <f aca="false">W_L*G23+W_T*H23+W_E*I23+W_R*J23</f>
        <v>37.8892416417209</v>
      </c>
      <c r="Q23" s="16" t="n">
        <f aca="false">W_L*K23+W_T*L23+W_E*M23+W_R*N23</f>
        <v>37.8377709018447</v>
      </c>
      <c r="R23" s="19" t="str">
        <f aca="false">IF(AND(O23&gt;=$B$9,O22&lt;$B$9),A23,"")</f>
        <v/>
      </c>
    </row>
    <row r="24" customFormat="false" ht="15" hidden="false" customHeight="false" outlineLevel="0" collapsed="false">
      <c r="A24" s="19" t="n">
        <v>12</v>
      </c>
      <c r="B24" s="20" t="n">
        <f aca="false">A24/12</f>
        <v>1</v>
      </c>
      <c r="C24" s="16" t="n">
        <f aca="false">Declarations!$C$20+(Declarations!$C$4-Declarations!$C$20)*EXP(-Declarations!$D$20*$B24)+IF(Declarations!$E$20=0,0,Declarations!$E$20*($B24/Declarations!$F$20)*EXP(1-$B24/Declarations!$F$20))+IF($B24&gt;=T_sale,Declarations!$G$20,0)</f>
        <v>80.4616451335736</v>
      </c>
      <c r="D24" s="16" t="n">
        <f aca="false">Declarations!$C$21+(Declarations!$C$7-Declarations!$C$21)*EXP(-Declarations!$D$21*$B24)+IF(Declarations!$E$21=0,0,Declarations!$E$21*($B24/Declarations!$F$21)*EXP(1-$B24/Declarations!$F$21))+IF($B24&gt;=T_sale,Declarations!$G$21,0)</f>
        <v>56.652857015922</v>
      </c>
      <c r="E24" s="16" t="n">
        <f aca="false">Declarations!$C$22+(Declarations!$C$8-Declarations!$C$22)*EXP(-Declarations!$D$22*$B24)+IF(Declarations!$E$22=0,0,Declarations!$E$22*($B24/Declarations!$F$22)*EXP(1-$B24/Declarations!$F$22))+IF($B24&gt;=T_sale,Declarations!$G$22,0)</f>
        <v>64.9871414912077</v>
      </c>
      <c r="F24" s="16" t="n">
        <f aca="false">Declarations!$C$23+(Declarations!$C$10-Declarations!$C$23)*EXP(-Declarations!$D$23*$B24)+IF(Declarations!$E$23=0,0,Declarations!$E$23*($B24/Declarations!$F$23)*EXP(1-$B24/Declarations!$F$23))+IF($B24&gt;=T_sale,Declarations!$G$23,0)</f>
        <v>73.4966987485625</v>
      </c>
      <c r="G24" s="16" t="n">
        <f aca="false">Declarations!$C$24+(Declarations!$C$4-Declarations!$C$24)*EXP(-Declarations!$D$24*$B24)+IF(Declarations!$E$24=0,0,Declarations!$E$24*($B24/Declarations!$F$24)*EXP(1-$B24/Declarations!$F$24))+IF($B24&gt;=T_sale,Declarations!$G$24,0)</f>
        <v>119.036727117273</v>
      </c>
      <c r="H24" s="16" t="n">
        <f aca="false">Declarations!$C$25+(Declarations!$C$7-Declarations!$C$25)*EXP(-Declarations!$D$25*$B24)+IF(Declarations!$E$25=0,0,Declarations!$E$25*($B24/Declarations!$F$25)*EXP(1-$B24/Declarations!$F$25))+IF($B24&gt;=T_sale,Declarations!$G$25,0)</f>
        <v>40.3364023492142</v>
      </c>
      <c r="I24" s="16" t="n">
        <f aca="false">Declarations!$C$26+(Declarations!$C$8-Declarations!$C$26)*EXP(-Declarations!$D$26*$B24)+IF(Declarations!$E$26=0,0,Declarations!$E$26*($B24/Declarations!$F$26)*EXP(1-$B24/Declarations!$F$26))+IF($B24&gt;=T_sale,Declarations!$G$26,0)</f>
        <v>72.0871155451347</v>
      </c>
      <c r="J24" s="16" t="n">
        <f aca="false">Declarations!$C$27+(Declarations!$C$10-Declarations!$C$27)*EXP(-Declarations!$D$27*$B24)+IF(Declarations!$E$27=0,0,Declarations!$E$27*($B24/Declarations!$F$27)*EXP(1-$B24/Declarations!$F$27))+IF($B24&gt;=T_sale,Declarations!$G$27,0)</f>
        <v>53.6375047177497</v>
      </c>
      <c r="K24" s="16" t="n">
        <f aca="false">Declarations!$C$28+(Declarations!$C$4-Declarations!$C$28)*EXP(-Declarations!$D$28*$B24)+IF(Declarations!$E$28=0,0,Declarations!$E$28*($B24/Declarations!$F$28)*EXP(1-$B24/Declarations!$F$28))+IF($B24&gt;=T_sale,Declarations!$G$28,0)</f>
        <v>102.174231090269</v>
      </c>
      <c r="L24" s="16" t="n">
        <f aca="false">Declarations!$C$29+(Declarations!$C$7-Declarations!$C$29)*EXP(-Declarations!$D$29*$B24)+IF(Declarations!$E$29=0,0,Declarations!$E$29*($B24/Declarations!$F$29)*EXP(1-$B24/Declarations!$F$29))+IF($B24&gt;=T_sale,Declarations!$G$29,0)</f>
        <v>39.5498460246239</v>
      </c>
      <c r="M24" s="16" t="n">
        <f aca="false">Declarations!$C$30+(Declarations!$C$8-Declarations!$C$30)*EXP(-Declarations!$D$30*$B24)+IF(Declarations!$E$30=0,0,Declarations!$E$30*($B24/Declarations!$F$30)*EXP(1-$B24/Declarations!$F$30))+IF($B24&gt;=T_sale,Declarations!$G$30,0)</f>
        <v>74.6095069112478</v>
      </c>
      <c r="N24" s="16" t="n">
        <f aca="false">Declarations!$C$31+(Declarations!$C$10-Declarations!$C$31)*EXP(-Declarations!$D$31*$B24)+IF(Declarations!$E$31=0,0,Declarations!$E$31*($B24/Declarations!$F$31)*EXP(1-$B24/Declarations!$F$31))+IF($B24&gt;=T_sale,Declarations!$G$31,0)</f>
        <v>64.7775453379549</v>
      </c>
      <c r="O24" s="16" t="n">
        <f aca="false">W_L*C24+W_T*D24+W_E*E24+W_R*F24</f>
        <v>32.1512362230352</v>
      </c>
      <c r="P24" s="16" t="n">
        <f aca="false">W_L*G24+W_T*H24+W_E*I24+W_R*J24</f>
        <v>44.4556850734681</v>
      </c>
      <c r="Q24" s="16" t="n">
        <f aca="false">W_L*K24+W_T*L24+W_E*M24+W_R*N24</f>
        <v>37.8890096720465</v>
      </c>
      <c r="R24" s="19" t="str">
        <f aca="false">IF(AND(O24&gt;=$B$9,O23&lt;$B$9),A24,"")</f>
        <v/>
      </c>
    </row>
    <row r="25" customFormat="false" ht="15" hidden="false" customHeight="false" outlineLevel="0" collapsed="false">
      <c r="A25" s="19" t="n">
        <v>13</v>
      </c>
      <c r="B25" s="20" t="n">
        <f aca="false">A25/12</f>
        <v>1.08333333333333</v>
      </c>
      <c r="C25" s="16" t="n">
        <f aca="false">Declarations!$C$20+(Declarations!$C$4-Declarations!$C$20)*EXP(-Declarations!$D$20*$B25)+IF(Declarations!$E$20=0,0,Declarations!$E$20*($B25/Declarations!$F$20)*EXP(1-$B25/Declarations!$F$20))+IF($B25&gt;=T_sale,Declarations!$G$20,0)</f>
        <v>79.801708039877</v>
      </c>
      <c r="D25" s="16" t="n">
        <f aca="false">Declarations!$C$21+(Declarations!$C$7-Declarations!$C$21)*EXP(-Declarations!$D$21*$B25)+IF(Declarations!$E$21=0,0,Declarations!$E$21*($B25/Declarations!$F$21)*EXP(1-$B25/Declarations!$F$21))+IF($B25&gt;=T_sale,Declarations!$G$21,0)</f>
        <v>57.609184491259</v>
      </c>
      <c r="E25" s="16" t="n">
        <f aca="false">Declarations!$C$22+(Declarations!$C$8-Declarations!$C$22)*EXP(-Declarations!$D$22*$B25)+IF(Declarations!$E$22=0,0,Declarations!$E$22*($B25/Declarations!$F$22)*EXP(1-$B25/Declarations!$F$22))+IF($B25&gt;=T_sale,Declarations!$G$22,0)</f>
        <v>64.9280799899194</v>
      </c>
      <c r="F25" s="16" t="n">
        <f aca="false">Declarations!$C$23+(Declarations!$C$10-Declarations!$C$23)*EXP(-Declarations!$D$23*$B25)+IF(Declarations!$E$23=0,0,Declarations!$E$23*($B25/Declarations!$F$23)*EXP(1-$B25/Declarations!$F$23))+IF($B25&gt;=T_sale,Declarations!$G$23,0)</f>
        <v>73.357862341466</v>
      </c>
      <c r="G25" s="16" t="n">
        <f aca="false">Declarations!$C$24+(Declarations!$C$4-Declarations!$C$24)*EXP(-Declarations!$D$24*$B25)+IF(Declarations!$E$24=0,0,Declarations!$E$24*($B25/Declarations!$F$24)*EXP(1-$B25/Declarations!$F$24))+IF($B25&gt;=T_sale,Declarations!$G$24,0)</f>
        <v>119.109890585432</v>
      </c>
      <c r="H25" s="16" t="n">
        <f aca="false">Declarations!$C$25+(Declarations!$C$7-Declarations!$C$25)*EXP(-Declarations!$D$25*$B25)+IF(Declarations!$E$25=0,0,Declarations!$E$25*($B25/Declarations!$F$25)*EXP(1-$B25/Declarations!$F$25))+IF($B25&gt;=T_sale,Declarations!$G$25,0)</f>
        <v>40.2882308292409</v>
      </c>
      <c r="I25" s="16" t="n">
        <f aca="false">Declarations!$C$26+(Declarations!$C$8-Declarations!$C$26)*EXP(-Declarations!$D$26*$B25)+IF(Declarations!$E$26=0,0,Declarations!$E$26*($B25/Declarations!$F$26)*EXP(1-$B25/Declarations!$F$26))+IF($B25&gt;=T_sale,Declarations!$G$26,0)</f>
        <v>72.1575203713288</v>
      </c>
      <c r="J25" s="16" t="n">
        <f aca="false">Declarations!$C$27+(Declarations!$C$10-Declarations!$C$27)*EXP(-Declarations!$D$27*$B25)+IF(Declarations!$E$27=0,0,Declarations!$E$27*($B25/Declarations!$F$27)*EXP(1-$B25/Declarations!$F$27))+IF($B25&gt;=T_sale,Declarations!$G$27,0)</f>
        <v>53.4754522499031</v>
      </c>
      <c r="K25" s="16" t="n">
        <f aca="false">Declarations!$C$28+(Declarations!$C$4-Declarations!$C$28)*EXP(-Declarations!$D$28*$B25)+IF(Declarations!$E$28=0,0,Declarations!$E$28*($B25/Declarations!$F$28)*EXP(1-$B25/Declarations!$F$28))+IF($B25&gt;=T_sale,Declarations!$G$28,0)</f>
        <v>102.315040742658</v>
      </c>
      <c r="L25" s="16" t="n">
        <f aca="false">Declarations!$C$29+(Declarations!$C$7-Declarations!$C$29)*EXP(-Declarations!$D$29*$B25)+IF(Declarations!$E$29=0,0,Declarations!$E$29*($B25/Declarations!$F$29)*EXP(1-$B25/Declarations!$F$29))+IF($B25&gt;=T_sale,Declarations!$G$29,0)</f>
        <v>39.4415865921446</v>
      </c>
      <c r="M25" s="16" t="n">
        <f aca="false">Declarations!$C$30+(Declarations!$C$8-Declarations!$C$30)*EXP(-Declarations!$D$30*$B25)+IF(Declarations!$E$30=0,0,Declarations!$E$30*($B25/Declarations!$F$30)*EXP(1-$B25/Declarations!$F$30))+IF($B25&gt;=T_sale,Declarations!$G$30,0)</f>
        <v>74.8236337859119</v>
      </c>
      <c r="N25" s="16" t="n">
        <f aca="false">Declarations!$C$31+(Declarations!$C$10-Declarations!$C$31)*EXP(-Declarations!$D$31*$B25)+IF(Declarations!$E$31=0,0,Declarations!$E$31*($B25/Declarations!$F$31)*EXP(1-$B25/Declarations!$F$31))+IF($B25&gt;=T_sale,Declarations!$G$31,0)</f>
        <v>64.8324179390738</v>
      </c>
      <c r="O25" s="16" t="n">
        <f aca="false">W_L*C25+W_T*D25+W_E*E25+W_R*F25</f>
        <v>32.2452775448974</v>
      </c>
      <c r="P25" s="16" t="n">
        <f aca="false">W_L*G25+W_T*H25+W_E*I25+W_R*J25</f>
        <v>44.5200473840246</v>
      </c>
      <c r="Q25" s="16" t="n">
        <f aca="false">W_L*K25+W_T*L25+W_E*M25+W_R*N25</f>
        <v>37.9369607954101</v>
      </c>
      <c r="R25" s="19" t="str">
        <f aca="false">IF(AND(O25&gt;=$B$9,O24&lt;$B$9),A25,"")</f>
        <v/>
      </c>
    </row>
    <row r="26" customFormat="false" ht="15" hidden="false" customHeight="false" outlineLevel="0" collapsed="false">
      <c r="A26" s="19" t="n">
        <v>14</v>
      </c>
      <c r="B26" s="20" t="n">
        <f aca="false">A26/12</f>
        <v>1.16666666666667</v>
      </c>
      <c r="C26" s="16" t="n">
        <f aca="false">Declarations!$C$20+(Declarations!$C$4-Declarations!$C$20)*EXP(-Declarations!$D$20*$B26)+IF(Declarations!$E$20=0,0,Declarations!$E$20*($B26/Declarations!$F$20)*EXP(1-$B26/Declarations!$F$20))+IF($B26&gt;=T_sale,Declarations!$G$20,0)</f>
        <v>79.2469319187023</v>
      </c>
      <c r="D26" s="16" t="n">
        <f aca="false">Declarations!$C$21+(Declarations!$C$7-Declarations!$C$21)*EXP(-Declarations!$D$21*$B26)+IF(Declarations!$E$21=0,0,Declarations!$E$21*($B26/Declarations!$F$21)*EXP(1-$B26/Declarations!$F$21))+IF($B26&gt;=T_sale,Declarations!$G$21,0)</f>
        <v>58.5226695946323</v>
      </c>
      <c r="E26" s="16" t="n">
        <f aca="false">Declarations!$C$22+(Declarations!$C$8-Declarations!$C$22)*EXP(-Declarations!$D$22*$B26)+IF(Declarations!$E$22=0,0,Declarations!$E$22*($B26/Declarations!$F$22)*EXP(1-$B26/Declarations!$F$22))+IF($B26&gt;=T_sale,Declarations!$G$22,0)</f>
        <v>64.9098470423679</v>
      </c>
      <c r="F26" s="16" t="n">
        <f aca="false">Declarations!$C$23+(Declarations!$C$10-Declarations!$C$23)*EXP(-Declarations!$D$23*$B26)+IF(Declarations!$E$23=0,0,Declarations!$E$23*($B26/Declarations!$F$23)*EXP(1-$B26/Declarations!$F$23))+IF($B26&gt;=T_sale,Declarations!$G$23,0)</f>
        <v>73.146655801452</v>
      </c>
      <c r="G26" s="16" t="n">
        <f aca="false">Declarations!$C$24+(Declarations!$C$4-Declarations!$C$24)*EXP(-Declarations!$D$24*$B26)+IF(Declarations!$E$24=0,0,Declarations!$E$24*($B26/Declarations!$F$24)*EXP(1-$B26/Declarations!$F$24))+IF($B26&gt;=T_sale,Declarations!$G$24,0)</f>
        <v>119.181247641125</v>
      </c>
      <c r="H26" s="16" t="n">
        <f aca="false">Declarations!$C$25+(Declarations!$C$7-Declarations!$C$25)*EXP(-Declarations!$D$25*$B26)+IF(Declarations!$E$25=0,0,Declarations!$E$25*($B26/Declarations!$F$25)*EXP(1-$B26/Declarations!$F$25))+IF($B26&gt;=T_sale,Declarations!$G$25,0)</f>
        <v>40.2410525009313</v>
      </c>
      <c r="I26" s="16" t="n">
        <f aca="false">Declarations!$C$26+(Declarations!$C$8-Declarations!$C$26)*EXP(-Declarations!$D$26*$B26)+IF(Declarations!$E$26=0,0,Declarations!$E$26*($B26/Declarations!$F$26)*EXP(1-$B26/Declarations!$F$26))+IF($B26&gt;=T_sale,Declarations!$G$26,0)</f>
        <v>72.2253339068996</v>
      </c>
      <c r="J26" s="16" t="n">
        <f aca="false">Declarations!$C$27+(Declarations!$C$10-Declarations!$C$27)*EXP(-Declarations!$D$27*$B26)+IF(Declarations!$E$27=0,0,Declarations!$E$27*($B26/Declarations!$F$27)*EXP(1-$B26/Declarations!$F$27))+IF($B26&gt;=T_sale,Declarations!$G$27,0)</f>
        <v>53.3180580490824</v>
      </c>
      <c r="K26" s="16" t="n">
        <f aca="false">Declarations!$C$28+(Declarations!$C$4-Declarations!$C$28)*EXP(-Declarations!$D$28*$B26)+IF(Declarations!$E$28=0,0,Declarations!$E$28*($B26/Declarations!$F$28)*EXP(1-$B26/Declarations!$F$28))+IF($B26&gt;=T_sale,Declarations!$G$28,0)</f>
        <v>102.450667813799</v>
      </c>
      <c r="L26" s="16" t="n">
        <f aca="false">Declarations!$C$29+(Declarations!$C$7-Declarations!$C$29)*EXP(-Declarations!$D$29*$B26)+IF(Declarations!$E$29=0,0,Declarations!$E$29*($B26/Declarations!$F$29)*EXP(1-$B26/Declarations!$F$29))+IF($B26&gt;=T_sale,Declarations!$G$29,0)</f>
        <v>39.3351165306943</v>
      </c>
      <c r="M26" s="16" t="n">
        <f aca="false">Declarations!$C$30+(Declarations!$C$8-Declarations!$C$30)*EXP(-Declarations!$D$30*$B26)+IF(Declarations!$E$30=0,0,Declarations!$E$30*($B26/Declarations!$F$30)*EXP(1-$B26/Declarations!$F$30))+IF($B26&gt;=T_sale,Declarations!$G$30,0)</f>
        <v>75.0273175696687</v>
      </c>
      <c r="N26" s="16" t="n">
        <f aca="false">Declarations!$C$31+(Declarations!$C$10-Declarations!$C$31)*EXP(-Declarations!$D$31*$B26)+IF(Declarations!$E$31=0,0,Declarations!$E$31*($B26/Declarations!$F$31)*EXP(1-$B26/Declarations!$F$31))+IF($B26&gt;=T_sale,Declarations!$G$31,0)</f>
        <v>64.8859357308439</v>
      </c>
      <c r="O26" s="16" t="n">
        <f aca="false">W_L*C26+W_T*D26+W_E*E26+W_R*F26</f>
        <v>32.3831981885627</v>
      </c>
      <c r="P26" s="16" t="n">
        <f aca="false">W_L*G26+W_T*H26+W_E*I26+W_R*J26</f>
        <v>44.5823939999684</v>
      </c>
      <c r="Q26" s="16" t="n">
        <f aca="false">W_L*K26+W_T*L26+W_E*M26+W_R*N26</f>
        <v>37.9817915458296</v>
      </c>
      <c r="R26" s="19" t="str">
        <f aca="false">IF(AND(O26&gt;=$B$9,O25&lt;$B$9),A26,"")</f>
        <v/>
      </c>
    </row>
    <row r="27" customFormat="false" ht="15" hidden="false" customHeight="false" outlineLevel="0" collapsed="false">
      <c r="A27" s="19" t="n">
        <v>15</v>
      </c>
      <c r="B27" s="20" t="n">
        <f aca="false">A27/12</f>
        <v>1.25</v>
      </c>
      <c r="C27" s="16" t="n">
        <f aca="false">Declarations!$C$20+(Declarations!$C$4-Declarations!$C$20)*EXP(-Declarations!$D$20*$B27)+IF(Declarations!$E$20=0,0,Declarations!$E$20*($B27/Declarations!$F$20)*EXP(1-$B27/Declarations!$F$20))+IF($B27&gt;=T_sale,Declarations!$G$20,0)</f>
        <v>78.7898679270468</v>
      </c>
      <c r="D27" s="16" t="n">
        <f aca="false">Declarations!$C$21+(Declarations!$C$7-Declarations!$C$21)*EXP(-Declarations!$D$21*$B27)+IF(Declarations!$E$21=0,0,Declarations!$E$21*($B27/Declarations!$F$21)*EXP(1-$B27/Declarations!$F$21))+IF($B27&gt;=T_sale,Declarations!$G$21,0)</f>
        <v>59.3952316150752</v>
      </c>
      <c r="E27" s="16" t="n">
        <f aca="false">Declarations!$C$22+(Declarations!$C$8-Declarations!$C$22)*EXP(-Declarations!$D$22*$B27)+IF(Declarations!$E$22=0,0,Declarations!$E$22*($B27/Declarations!$F$22)*EXP(1-$B27/Declarations!$F$22))+IF($B27&gt;=T_sale,Declarations!$G$22,0)</f>
        <v>64.9282283323937</v>
      </c>
      <c r="F27" s="16" t="n">
        <f aca="false">Declarations!$C$23+(Declarations!$C$10-Declarations!$C$23)*EXP(-Declarations!$D$23*$B27)+IF(Declarations!$E$23=0,0,Declarations!$E$23*($B27/Declarations!$F$23)*EXP(1-$B27/Declarations!$F$23))+IF($B27&gt;=T_sale,Declarations!$G$23,0)</f>
        <v>72.8730781591058</v>
      </c>
      <c r="G27" s="16" t="n">
        <f aca="false">Declarations!$C$24+(Declarations!$C$4-Declarations!$C$24)*EXP(-Declarations!$D$24*$B27)+IF(Declarations!$E$24=0,0,Declarations!$E$24*($B27/Declarations!$F$24)*EXP(1-$B27/Declarations!$F$24))+IF($B27&gt;=T_sale,Declarations!$G$24,0)</f>
        <v>119.250842884836</v>
      </c>
      <c r="H27" s="16" t="n">
        <f aca="false">Declarations!$C$25+(Declarations!$C$7-Declarations!$C$25)*EXP(-Declarations!$D$25*$B27)+IF(Declarations!$E$25=0,0,Declarations!$E$25*($B27/Declarations!$F$25)*EXP(1-$B27/Declarations!$F$25))+IF($B27&gt;=T_sale,Declarations!$G$25,0)</f>
        <v>40.1948468868399</v>
      </c>
      <c r="I27" s="16" t="n">
        <f aca="false">Declarations!$C$26+(Declarations!$C$8-Declarations!$C$26)*EXP(-Declarations!$D$26*$B27)+IF(Declarations!$E$26=0,0,Declarations!$E$26*($B27/Declarations!$F$26)*EXP(1-$B27/Declarations!$F$26))+IF($B27&gt;=T_sale,Declarations!$G$26,0)</f>
        <v>72.2906515258072</v>
      </c>
      <c r="J27" s="16" t="n">
        <f aca="false">Declarations!$C$27+(Declarations!$C$10-Declarations!$C$27)*EXP(-Declarations!$D$27*$B27)+IF(Declarations!$E$27=0,0,Declarations!$E$27*($B27/Declarations!$F$27)*EXP(1-$B27/Declarations!$F$27))+IF($B27&gt;=T_sale,Declarations!$G$27,0)</f>
        <v>53.1651882114231</v>
      </c>
      <c r="K27" s="16" t="n">
        <f aca="false">Declarations!$C$28+(Declarations!$C$4-Declarations!$C$28)*EXP(-Declarations!$D$28*$B27)+IF(Declarations!$E$28=0,0,Declarations!$E$28*($B27/Declarations!$F$28)*EXP(1-$B27/Declarations!$F$28))+IF($B27&gt;=T_sale,Declarations!$G$28,0)</f>
        <v>102.581303051614</v>
      </c>
      <c r="L27" s="16" t="n">
        <f aca="false">Declarations!$C$29+(Declarations!$C$7-Declarations!$C$29)*EXP(-Declarations!$D$29*$B27)+IF(Declarations!$E$29=0,0,Declarations!$E$29*($B27/Declarations!$F$29)*EXP(1-$B27/Declarations!$F$29))+IF($B27&gt;=T_sale,Declarations!$G$29,0)</f>
        <v>39.2304062645712</v>
      </c>
      <c r="M27" s="16" t="n">
        <f aca="false">Declarations!$C$30+(Declarations!$C$8-Declarations!$C$30)*EXP(-Declarations!$D$30*$B27)+IF(Declarations!$E$30=0,0,Declarations!$E$30*($B27/Declarations!$F$30)*EXP(1-$B27/Declarations!$F$30))+IF($B27&gt;=T_sale,Declarations!$G$30,0)</f>
        <v>75.2210675780719</v>
      </c>
      <c r="N27" s="16" t="n">
        <f aca="false">Declarations!$C$31+(Declarations!$C$10-Declarations!$C$31)*EXP(-Declarations!$D$31*$B27)+IF(Declarations!$E$31=0,0,Declarations!$E$31*($B27/Declarations!$F$31)*EXP(1-$B27/Declarations!$F$31))+IF($B27&gt;=T_sale,Declarations!$G$31,0)</f>
        <v>64.9381321636271</v>
      </c>
      <c r="O27" s="16" t="n">
        <f aca="false">W_L*C27+W_T*D27+W_E*E27+W_R*F27</f>
        <v>32.5600624288525</v>
      </c>
      <c r="P27" s="16" t="n">
        <f aca="false">W_L*G27+W_T*H27+W_E*I27+W_R*J27</f>
        <v>44.642788271515</v>
      </c>
      <c r="Q27" s="16" t="n">
        <f aca="false">W_L*K27+W_T*L27+W_E*M27+W_R*N27</f>
        <v>38.0236611826576</v>
      </c>
      <c r="R27" s="19" t="str">
        <f aca="false">IF(AND(O27&gt;=$B$9,O26&lt;$B$9),A27,"")</f>
        <v/>
      </c>
    </row>
    <row r="28" customFormat="false" ht="15" hidden="false" customHeight="false" outlineLevel="0" collapsed="false">
      <c r="A28" s="19" t="n">
        <v>16</v>
      </c>
      <c r="B28" s="20" t="n">
        <f aca="false">A28/12</f>
        <v>1.33333333333333</v>
      </c>
      <c r="C28" s="16" t="n">
        <f aca="false">Declarations!$C$20+(Declarations!$C$4-Declarations!$C$20)*EXP(-Declarations!$D$20*$B28)+IF(Declarations!$E$20=0,0,Declarations!$E$20*($B28/Declarations!$F$20)*EXP(1-$B28/Declarations!$F$20))+IF($B28&gt;=T_sale,Declarations!$G$20,0)</f>
        <v>78.423499041783</v>
      </c>
      <c r="D28" s="16" t="n">
        <f aca="false">Declarations!$C$21+(Declarations!$C$7-Declarations!$C$21)*EXP(-Declarations!$D$21*$B28)+IF(Declarations!$E$21=0,0,Declarations!$E$21*($B28/Declarations!$F$21)*EXP(1-$B28/Declarations!$F$21))+IF($B28&gt;=T_sale,Declarations!$G$21,0)</f>
        <v>60.2287038596774</v>
      </c>
      <c r="E28" s="16" t="n">
        <f aca="false">Declarations!$C$22+(Declarations!$C$8-Declarations!$C$22)*EXP(-Declarations!$D$22*$B28)+IF(Declarations!$E$22=0,0,Declarations!$E$22*($B28/Declarations!$F$22)*EXP(1-$B28/Declarations!$F$22))+IF($B28&gt;=T_sale,Declarations!$G$22,0)</f>
        <v>64.9793447358696</v>
      </c>
      <c r="F28" s="16" t="n">
        <f aca="false">Declarations!$C$23+(Declarations!$C$10-Declarations!$C$23)*EXP(-Declarations!$D$23*$B28)+IF(Declarations!$E$23=0,0,Declarations!$E$23*($B28/Declarations!$F$23)*EXP(1-$B28/Declarations!$F$23))+IF($B28&gt;=T_sale,Declarations!$G$23,0)</f>
        <v>72.5461235596317</v>
      </c>
      <c r="G28" s="16" t="n">
        <f aca="false">Declarations!$C$24+(Declarations!$C$4-Declarations!$C$24)*EXP(-Declarations!$D$24*$B28)+IF(Declarations!$E$24=0,0,Declarations!$E$24*($B28/Declarations!$F$24)*EXP(1-$B28/Declarations!$F$24))+IF($B28&gt;=T_sale,Declarations!$G$24,0)</f>
        <v>119.318719815857</v>
      </c>
      <c r="H28" s="16" t="n">
        <f aca="false">Declarations!$C$25+(Declarations!$C$7-Declarations!$C$25)*EXP(-Declarations!$D$25*$B28)+IF(Declarations!$E$25=0,0,Declarations!$E$25*($B28/Declarations!$F$25)*EXP(1-$B28/Declarations!$F$25))+IF($B28&gt;=T_sale,Declarations!$G$25,0)</f>
        <v>40.1495939317214</v>
      </c>
      <c r="I28" s="16" t="n">
        <f aca="false">Declarations!$C$26+(Declarations!$C$8-Declarations!$C$26)*EXP(-Declarations!$D$26*$B28)+IF(Declarations!$E$26=0,0,Declarations!$E$26*($B28/Declarations!$F$26)*EXP(1-$B28/Declarations!$F$26))+IF($B28&gt;=T_sale,Declarations!$G$26,0)</f>
        <v>72.3535650917179</v>
      </c>
      <c r="J28" s="16" t="n">
        <f aca="false">Declarations!$C$27+(Declarations!$C$10-Declarations!$C$27)*EXP(-Declarations!$D$27*$B28)+IF(Declarations!$E$27=0,0,Declarations!$E$27*($B28/Declarations!$F$27)*EXP(1-$B28/Declarations!$F$27))+IF($B28&gt;=T_sale,Declarations!$G$27,0)</f>
        <v>53.0167126821845</v>
      </c>
      <c r="K28" s="16" t="n">
        <f aca="false">Declarations!$C$28+(Declarations!$C$4-Declarations!$C$28)*EXP(-Declarations!$D$28*$B28)+IF(Declarations!$E$28=0,0,Declarations!$E$28*($B28/Declarations!$F$28)*EXP(1-$B28/Declarations!$F$28))+IF($B28&gt;=T_sale,Declarations!$G$28,0)</f>
        <v>102.707130183436</v>
      </c>
      <c r="L28" s="16" t="n">
        <f aca="false">Declarations!$C$29+(Declarations!$C$7-Declarations!$C$29)*EXP(-Declarations!$D$29*$B28)+IF(Declarations!$E$29=0,0,Declarations!$E$29*($B28/Declarations!$F$29)*EXP(1-$B28/Declarations!$F$29))+IF($B28&gt;=T_sale,Declarations!$G$29,0)</f>
        <v>39.1274267069172</v>
      </c>
      <c r="M28" s="16" t="n">
        <f aca="false">Declarations!$C$30+(Declarations!$C$8-Declarations!$C$30)*EXP(-Declarations!$D$30*$B28)+IF(Declarations!$E$30=0,0,Declarations!$E$30*($B28/Declarations!$F$30)*EXP(1-$B28/Declarations!$F$30))+IF($B28&gt;=T_sale,Declarations!$G$30,0)</f>
        <v>75.4053682870622</v>
      </c>
      <c r="N28" s="16" t="n">
        <f aca="false">Declarations!$C$31+(Declarations!$C$10-Declarations!$C$31)*EXP(-Declarations!$D$31*$B28)+IF(Declarations!$E$31=0,0,Declarations!$E$31*($B28/Declarations!$F$31)*EXP(1-$B28/Declarations!$F$31))+IF($B28&gt;=T_sale,Declarations!$G$31,0)</f>
        <v>64.9890398618931</v>
      </c>
      <c r="O28" s="16" t="n">
        <f aca="false">W_L*C28+W_T*D28+W_E*E28+W_R*F28</f>
        <v>32.7713560194246</v>
      </c>
      <c r="P28" s="16" t="n">
        <f aca="false">W_L*G28+W_T*H28+W_E*I28+W_R*J28</f>
        <v>44.7012915392781</v>
      </c>
      <c r="Q28" s="16" t="n">
        <f aca="false">W_L*K28+W_T*L28+W_E*M28+W_R*N28</f>
        <v>38.0627213288806</v>
      </c>
      <c r="R28" s="19" t="str">
        <f aca="false">IF(AND(O28&gt;=$B$9,O27&lt;$B$9),A28,"")</f>
        <v/>
      </c>
    </row>
    <row r="29" customFormat="false" ht="15" hidden="false" customHeight="false" outlineLevel="0" collapsed="false">
      <c r="A29" s="19" t="n">
        <v>17</v>
      </c>
      <c r="B29" s="20" t="n">
        <f aca="false">A29/12</f>
        <v>1.41666666666667</v>
      </c>
      <c r="C29" s="16" t="n">
        <f aca="false">Declarations!$C$20+(Declarations!$C$4-Declarations!$C$20)*EXP(-Declarations!$D$20*$B29)+IF(Declarations!$E$20=0,0,Declarations!$E$20*($B29/Declarations!$F$20)*EXP(1-$B29/Declarations!$F$20))+IF($B29&gt;=T_sale,Declarations!$G$20,0)</f>
        <v>78.1412172493408</v>
      </c>
      <c r="D29" s="16" t="n">
        <f aca="false">Declarations!$C$21+(Declarations!$C$7-Declarations!$C$21)*EXP(-Declarations!$D$21*$B29)+IF(Declarations!$E$21=0,0,Declarations!$E$21*($B29/Declarations!$F$21)*EXP(1-$B29/Declarations!$F$21))+IF($B29&gt;=T_sale,Declarations!$G$21,0)</f>
        <v>61.024837505478</v>
      </c>
      <c r="E29" s="16" t="n">
        <f aca="false">Declarations!$C$22+(Declarations!$C$8-Declarations!$C$22)*EXP(-Declarations!$D$22*$B29)+IF(Declarations!$E$22=0,0,Declarations!$E$22*($B29/Declarations!$F$22)*EXP(1-$B29/Declarations!$F$22))+IF($B29&gt;=T_sale,Declarations!$G$22,0)</f>
        <v>65.0596284434855</v>
      </c>
      <c r="F29" s="16" t="n">
        <f aca="false">Declarations!$C$23+(Declarations!$C$10-Declarations!$C$23)*EXP(-Declarations!$D$23*$B29)+IF(Declarations!$E$23=0,0,Declarations!$E$23*($B29/Declarations!$F$23)*EXP(1-$B29/Declarations!$F$23))+IF($B29&gt;=T_sale,Declarations!$G$23,0)</f>
        <v>72.1738707294185</v>
      </c>
      <c r="G29" s="16" t="n">
        <f aca="false">Declarations!$C$24+(Declarations!$C$4-Declarations!$C$24)*EXP(-Declarations!$D$24*$B29)+IF(Declarations!$E$24=0,0,Declarations!$E$24*($B29/Declarations!$F$24)*EXP(1-$B29/Declarations!$F$24))+IF($B29&gt;=T_sale,Declarations!$G$24,0)</f>
        <v>119.384920859481</v>
      </c>
      <c r="H29" s="16" t="n">
        <f aca="false">Declarations!$C$25+(Declarations!$C$7-Declarations!$C$25)*EXP(-Declarations!$D$25*$B29)+IF(Declarations!$E$25=0,0,Declarations!$E$25*($B29/Declarations!$F$25)*EXP(1-$B29/Declarations!$F$25))+IF($B29&gt;=T_sale,Declarations!$G$25,0)</f>
        <v>40.1052739938257</v>
      </c>
      <c r="I29" s="16" t="n">
        <f aca="false">Declarations!$C$26+(Declarations!$C$8-Declarations!$C$26)*EXP(-Declarations!$D$26*$B29)+IF(Declarations!$E$26=0,0,Declarations!$E$26*($B29/Declarations!$F$26)*EXP(1-$B29/Declarations!$F$26))+IF($B29&gt;=T_sale,Declarations!$G$26,0)</f>
        <v>72.414163087202</v>
      </c>
      <c r="J29" s="16" t="n">
        <f aca="false">Declarations!$C$27+(Declarations!$C$10-Declarations!$C$27)*EXP(-Declarations!$D$27*$B29)+IF(Declarations!$E$27=0,0,Declarations!$E$27*($B29/Declarations!$F$27)*EXP(1-$B29/Declarations!$F$27))+IF($B29&gt;=T_sale,Declarations!$G$27,0)</f>
        <v>52.8725051451041</v>
      </c>
      <c r="K29" s="16" t="n">
        <f aca="false">Declarations!$C$28+(Declarations!$C$4-Declarations!$C$28)*EXP(-Declarations!$D$28*$B29)+IF(Declarations!$E$28=0,0,Declarations!$E$28*($B29/Declarations!$F$28)*EXP(1-$B29/Declarations!$F$28))+IF($B29&gt;=T_sale,Declarations!$G$28,0)</f>
        <v>102.828326174404</v>
      </c>
      <c r="L29" s="16" t="n">
        <f aca="false">Declarations!$C$29+(Declarations!$C$7-Declarations!$C$29)*EXP(-Declarations!$D$29*$B29)+IF(Declarations!$E$29=0,0,Declarations!$E$29*($B29/Declarations!$F$29)*EXP(1-$B29/Declarations!$F$29))+IF($B29&gt;=T_sale,Declarations!$G$29,0)</f>
        <v>39.0261492516373</v>
      </c>
      <c r="M29" s="16" t="n">
        <f aca="false">Declarations!$C$30+(Declarations!$C$8-Declarations!$C$30)*EXP(-Declarations!$D$30*$B29)+IF(Declarations!$E$30=0,0,Declarations!$E$30*($B29/Declarations!$F$30)*EXP(1-$B29/Declarations!$F$30))+IF($B29&gt;=T_sale,Declarations!$G$30,0)</f>
        <v>75.5806805444102</v>
      </c>
      <c r="N29" s="16" t="n">
        <f aca="false">Declarations!$C$31+(Declarations!$C$10-Declarations!$C$31)*EXP(-Declarations!$D$31*$B29)+IF(Declarations!$E$31=0,0,Declarations!$E$31*($B29/Declarations!$F$31)*EXP(1-$B29/Declarations!$F$31))+IF($B29&gt;=T_sale,Declarations!$G$31,0)</f>
        <v>65.0386906446105</v>
      </c>
      <c r="O29" s="16" t="n">
        <f aca="false">W_L*C29+W_T*D29+W_E*E29+W_R*F29</f>
        <v>33.0129531172215</v>
      </c>
      <c r="P29" s="16" t="n">
        <f aca="false">W_L*G29+W_T*H29+W_E*I29+W_R*J29</f>
        <v>44.7579631988511</v>
      </c>
      <c r="Q29" s="16" t="n">
        <f aca="false">W_L*K29+W_T*L29+W_E*M29+W_R*N29</f>
        <v>38.0991163314602</v>
      </c>
      <c r="R29" s="19" t="str">
        <f aca="false">IF(AND(O29&gt;=$B$9,O28&lt;$B$9),A29,"")</f>
        <v/>
      </c>
    </row>
    <row r="30" customFormat="false" ht="15" hidden="false" customHeight="false" outlineLevel="0" collapsed="false">
      <c r="A30" s="19" t="n">
        <v>18</v>
      </c>
      <c r="B30" s="20" t="n">
        <f aca="false">A30/12</f>
        <v>1.5</v>
      </c>
      <c r="C30" s="16" t="n">
        <f aca="false">Declarations!$C$20+(Declarations!$C$4-Declarations!$C$20)*EXP(-Declarations!$D$20*$B30)+IF(Declarations!$E$20=0,0,Declarations!$E$20*($B30/Declarations!$F$20)*EXP(1-$B30/Declarations!$F$20))+IF($B30&gt;=T_sale,Declarations!$G$20,0)</f>
        <v>77.9368018771557</v>
      </c>
      <c r="D30" s="16" t="n">
        <f aca="false">Declarations!$C$21+(Declarations!$C$7-Declarations!$C$21)*EXP(-Declarations!$D$21*$B30)+IF(Declarations!$E$21=0,0,Declarations!$E$21*($B30/Declarations!$F$21)*EXP(1-$B30/Declarations!$F$21))+IF($B30&gt;=T_sale,Declarations!$G$21,0)</f>
        <v>61.7853052787969</v>
      </c>
      <c r="E30" s="16" t="n">
        <f aca="false">Declarations!$C$22+(Declarations!$C$8-Declarations!$C$22)*EXP(-Declarations!$D$22*$B30)+IF(Declarations!$E$22=0,0,Declarations!$E$22*($B30/Declarations!$F$22)*EXP(1-$B30/Declarations!$F$22))+IF($B30&gt;=T_sale,Declarations!$G$22,0)</f>
        <v>65.1658006835539</v>
      </c>
      <c r="F30" s="16" t="n">
        <f aca="false">Declarations!$C$23+(Declarations!$C$10-Declarations!$C$23)*EXP(-Declarations!$D$23*$B30)+IF(Declarations!$E$23=0,0,Declarations!$E$23*($B30/Declarations!$F$23)*EXP(1-$B30/Declarations!$F$23))+IF($B30&gt;=T_sale,Declarations!$G$23,0)</f>
        <v>71.7635649729719</v>
      </c>
      <c r="G30" s="16" t="n">
        <f aca="false">Declarations!$C$24+(Declarations!$C$4-Declarations!$C$24)*EXP(-Declarations!$D$24*$B30)+IF(Declarations!$E$24=0,0,Declarations!$E$24*($B30/Declarations!$F$24)*EXP(1-$B30/Declarations!$F$24))+IF($B30&gt;=T_sale,Declarations!$G$24,0)</f>
        <v>119.449487393513</v>
      </c>
      <c r="H30" s="16" t="n">
        <f aca="false">Declarations!$C$25+(Declarations!$C$7-Declarations!$C$25)*EXP(-Declarations!$D$25*$B30)+IF(Declarations!$E$25=0,0,Declarations!$E$25*($B30/Declarations!$F$25)*EXP(1-$B30/Declarations!$F$25))+IF($B30&gt;=T_sale,Declarations!$G$25,0)</f>
        <v>40.0618678363729</v>
      </c>
      <c r="I30" s="16" t="n">
        <f aca="false">Declarations!$C$26+(Declarations!$C$8-Declarations!$C$26)*EXP(-Declarations!$D$26*$B30)+IF(Declarations!$E$26=0,0,Declarations!$E$26*($B30/Declarations!$F$26)*EXP(1-$B30/Declarations!$F$26))+IF($B30&gt;=T_sale,Declarations!$G$26,0)</f>
        <v>72.4725307381774</v>
      </c>
      <c r="J30" s="16" t="n">
        <f aca="false">Declarations!$C$27+(Declarations!$C$10-Declarations!$C$27)*EXP(-Declarations!$D$27*$B30)+IF(Declarations!$E$27=0,0,Declarations!$E$27*($B30/Declarations!$F$27)*EXP(1-$B30/Declarations!$F$27))+IF($B30&gt;=T_sale,Declarations!$G$27,0)</f>
        <v>52.7324429149345</v>
      </c>
      <c r="K30" s="16" t="n">
        <f aca="false">Declarations!$C$28+(Declarations!$C$4-Declarations!$C$28)*EXP(-Declarations!$D$28*$B30)+IF(Declarations!$E$28=0,0,Declarations!$E$28*($B30/Declarations!$F$28)*EXP(1-$B30/Declarations!$F$28))+IF($B30&gt;=T_sale,Declarations!$G$28,0)</f>
        <v>102.945061476355</v>
      </c>
      <c r="L30" s="16" t="n">
        <f aca="false">Declarations!$C$29+(Declarations!$C$7-Declarations!$C$29)*EXP(-Declarations!$D$29*$B30)+IF(Declarations!$E$29=0,0,Declarations!$E$29*($B30/Declarations!$F$29)*EXP(1-$B30/Declarations!$F$29))+IF($B30&gt;=T_sale,Declarations!$G$29,0)</f>
        <v>38.9265457654537</v>
      </c>
      <c r="M30" s="16" t="n">
        <f aca="false">Declarations!$C$30+(Declarations!$C$8-Declarations!$C$30)*EXP(-Declarations!$D$30*$B30)+IF(Declarations!$E$30=0,0,Declarations!$E$30*($B30/Declarations!$F$30)*EXP(1-$B30/Declarations!$F$30))+IF($B30&gt;=T_sale,Declarations!$G$30,0)</f>
        <v>75.7474427220752</v>
      </c>
      <c r="N30" s="16" t="n">
        <f aca="false">Declarations!$C$31+(Declarations!$C$10-Declarations!$C$31)*EXP(-Declarations!$D$31*$B30)+IF(Declarations!$E$31=0,0,Declarations!$E$31*($B30/Declarations!$F$31)*EXP(1-$B30/Declarations!$F$31))+IF($B30&gt;=T_sale,Declarations!$G$31,0)</f>
        <v>65.0871155451347</v>
      </c>
      <c r="O30" s="16" t="n">
        <f aca="false">W_L*C30+W_T*D30+W_E*E30+W_R*F30</f>
        <v>33.2810857166336</v>
      </c>
      <c r="P30" s="16" t="n">
        <f aca="false">W_L*G30+W_T*H30+W_E*I30+W_R*J30</f>
        <v>44.8128607632822</v>
      </c>
      <c r="Q30" s="16" t="n">
        <f aca="false">W_L*K30+W_T*L30+W_E*M30+W_R*N30</f>
        <v>38.1329836046872</v>
      </c>
      <c r="R30" s="19" t="str">
        <f aca="false">IF(AND(O30&gt;=$B$9,O29&lt;$B$9),A30,"")</f>
        <v/>
      </c>
    </row>
    <row r="31" customFormat="false" ht="15" hidden="false" customHeight="false" outlineLevel="0" collapsed="false">
      <c r="A31" s="19" t="n">
        <v>19</v>
      </c>
      <c r="B31" s="20" t="n">
        <f aca="false">A31/12</f>
        <v>1.58333333333333</v>
      </c>
      <c r="C31" s="16" t="n">
        <f aca="false">Declarations!$C$20+(Declarations!$C$4-Declarations!$C$20)*EXP(-Declarations!$D$20*$B31)+IF(Declarations!$E$20=0,0,Declarations!$E$20*($B31/Declarations!$F$20)*EXP(1-$B31/Declarations!$F$20))+IF($B31&gt;=T_sale,Declarations!$G$20,0)</f>
        <v>77.8043990117055</v>
      </c>
      <c r="D31" s="16" t="n">
        <f aca="false">Declarations!$C$21+(Declarations!$C$7-Declarations!$C$21)*EXP(-Declarations!$D$21*$B31)+IF(Declarations!$E$21=0,0,Declarations!$E$21*($B31/Declarations!$F$21)*EXP(1-$B31/Declarations!$F$21))+IF($B31&gt;=T_sale,Declarations!$G$21,0)</f>
        <v>62.511704969737</v>
      </c>
      <c r="E31" s="16" t="n">
        <f aca="false">Declarations!$C$22+(Declarations!$C$8-Declarations!$C$22)*EXP(-Declarations!$D$22*$B31)+IF(Declarations!$E$22=0,0,Declarations!$E$22*($B31/Declarations!$F$22)*EXP(1-$B31/Declarations!$F$22))+IF($B31&gt;=T_sale,Declarations!$G$22,0)</f>
        <v>65.2948509417047</v>
      </c>
      <c r="F31" s="16" t="n">
        <f aca="false">Declarations!$C$23+(Declarations!$C$10-Declarations!$C$23)*EXP(-Declarations!$D$23*$B31)+IF(Declarations!$E$23=0,0,Declarations!$E$23*($B31/Declarations!$F$23)*EXP(1-$B31/Declarations!$F$23))+IF($B31&gt;=T_sale,Declarations!$G$23,0)</f>
        <v>71.3216932993983</v>
      </c>
      <c r="G31" s="16" t="n">
        <f aca="false">Declarations!$C$24+(Declarations!$C$4-Declarations!$C$24)*EXP(-Declarations!$D$24*$B31)+IF(Declarations!$E$24=0,0,Declarations!$E$24*($B31/Declarations!$F$24)*EXP(1-$B31/Declarations!$F$24))+IF($B31&gt;=T_sale,Declarations!$G$24,0)</f>
        <v>119.51245977414</v>
      </c>
      <c r="H31" s="16" t="n">
        <f aca="false">Declarations!$C$25+(Declarations!$C$7-Declarations!$C$25)*EXP(-Declarations!$D$25*$B31)+IF(Declarations!$E$25=0,0,Declarations!$E$25*($B31/Declarations!$F$25)*EXP(1-$B31/Declarations!$F$25))+IF($B31&gt;=T_sale,Declarations!$G$25,0)</f>
        <v>40.0193566192036</v>
      </c>
      <c r="I31" s="16" t="n">
        <f aca="false">Declarations!$C$26+(Declarations!$C$8-Declarations!$C$26)*EXP(-Declarations!$D$26*$B31)+IF(Declarations!$E$26=0,0,Declarations!$E$26*($B31/Declarations!$F$26)*EXP(1-$B31/Declarations!$F$26))+IF($B31&gt;=T_sale,Declarations!$G$26,0)</f>
        <v>72.5287501337723</v>
      </c>
      <c r="J31" s="16" t="n">
        <f aca="false">Declarations!$C$27+(Declarations!$C$10-Declarations!$C$27)*EXP(-Declarations!$D$27*$B31)+IF(Declarations!$E$27=0,0,Declarations!$E$27*($B31/Declarations!$F$27)*EXP(1-$B31/Declarations!$F$27))+IF($B31&gt;=T_sale,Declarations!$G$27,0)</f>
        <v>52.5964068330677</v>
      </c>
      <c r="K31" s="16" t="n">
        <f aca="false">Declarations!$C$28+(Declarations!$C$4-Declarations!$C$28)*EXP(-Declarations!$D$28*$B31)+IF(Declarations!$E$28=0,0,Declarations!$E$28*($B31/Declarations!$F$28)*EXP(1-$B31/Declarations!$F$28))+IF($B31&gt;=T_sale,Declarations!$G$28,0)</f>
        <v>103.057500267545</v>
      </c>
      <c r="L31" s="16" t="n">
        <f aca="false">Declarations!$C$29+(Declarations!$C$7-Declarations!$C$29)*EXP(-Declarations!$D$29*$B31)+IF(Declarations!$E$29=0,0,Declarations!$E$29*($B31/Declarations!$F$29)*EXP(1-$B31/Declarations!$F$29))+IF($B31&gt;=T_sale,Declarations!$G$29,0)</f>
        <v>38.8285885800911</v>
      </c>
      <c r="M31" s="16" t="n">
        <f aca="false">Declarations!$C$30+(Declarations!$C$8-Declarations!$C$30)*EXP(-Declarations!$D$30*$B31)+IF(Declarations!$E$30=0,0,Declarations!$E$30*($B31/Declarations!$F$30)*EXP(1-$B31/Declarations!$F$30))+IF($B31&gt;=T_sale,Declarations!$G$30,0)</f>
        <v>75.906071812364</v>
      </c>
      <c r="N31" s="16" t="n">
        <f aca="false">Declarations!$C$31+(Declarations!$C$10-Declarations!$C$31)*EXP(-Declarations!$D$31*$B31)+IF(Declarations!$E$31=0,0,Declarations!$E$31*($B31/Declarations!$F$31)*EXP(1-$B31/Declarations!$F$31))+IF($B31&gt;=T_sale,Declarations!$G$31,0)</f>
        <v>65.134344830605</v>
      </c>
      <c r="O31" s="16" t="n">
        <f aca="false">W_L*C31+W_T*D31+W_E*E31+W_R*F31</f>
        <v>33.5723154059372</v>
      </c>
      <c r="P31" s="16" t="n">
        <f aca="false">W_L*G31+W_T*H31+W_E*I31+W_R*J31</f>
        <v>44.866039923512</v>
      </c>
      <c r="Q31" s="16" t="n">
        <f aca="false">W_L*K31+W_T*L31+W_E*M31+W_R*N31</f>
        <v>38.1644539573487</v>
      </c>
      <c r="R31" s="19" t="str">
        <f aca="false">IF(AND(O31&gt;=$B$9,O30&lt;$B$9),A31,"")</f>
        <v/>
      </c>
    </row>
    <row r="32" customFormat="false" ht="15" hidden="false" customHeight="false" outlineLevel="0" collapsed="false">
      <c r="A32" s="19" t="n">
        <v>20</v>
      </c>
      <c r="B32" s="20" t="n">
        <f aca="false">A32/12</f>
        <v>1.66666666666667</v>
      </c>
      <c r="C32" s="16" t="n">
        <f aca="false">Declarations!$C$20+(Declarations!$C$4-Declarations!$C$20)*EXP(-Declarations!$D$20*$B32)+IF(Declarations!$E$20=0,0,Declarations!$E$20*($B32/Declarations!$F$20)*EXP(1-$B32/Declarations!$F$20))+IF($B32&gt;=T_sale,Declarations!$G$20,0)</f>
        <v>77.738501950561</v>
      </c>
      <c r="D32" s="16" t="n">
        <f aca="false">Declarations!$C$21+(Declarations!$C$7-Declarations!$C$21)*EXP(-Declarations!$D$21*$B32)+IF(Declarations!$E$21=0,0,Declarations!$E$21*($B32/Declarations!$F$21)*EXP(1-$B32/Declarations!$F$21))+IF($B32&gt;=T_sale,Declarations!$G$21,0)</f>
        <v>63.2055627892406</v>
      </c>
      <c r="E32" s="16" t="n">
        <f aca="false">Declarations!$C$22+(Declarations!$C$8-Declarations!$C$22)*EXP(-Declarations!$D$22*$B32)+IF(Declarations!$E$22=0,0,Declarations!$E$22*($B32/Declarations!$F$22)*EXP(1-$B32/Declarations!$F$22))+IF($B32&gt;=T_sale,Declarations!$G$22,0)</f>
        <v>65.4440175808138</v>
      </c>
      <c r="F32" s="16" t="n">
        <f aca="false">Declarations!$C$23+(Declarations!$C$10-Declarations!$C$23)*EXP(-Declarations!$D$23*$B32)+IF(Declarations!$E$23=0,0,Declarations!$E$23*($B32/Declarations!$F$23)*EXP(1-$B32/Declarations!$F$23))+IF($B32&gt;=T_sale,Declarations!$G$23,0)</f>
        <v>70.854053230863</v>
      </c>
      <c r="G32" s="16" t="n">
        <f aca="false">Declarations!$C$24+(Declarations!$C$4-Declarations!$C$24)*EXP(-Declarations!$D$24*$B32)+IF(Declarations!$E$24=0,0,Declarations!$E$24*($B32/Declarations!$F$24)*EXP(1-$B32/Declarations!$F$24))+IF($B32&gt;=T_sale,Declarations!$G$24,0)</f>
        <v>119.573877361149</v>
      </c>
      <c r="H32" s="16" t="n">
        <f aca="false">Declarations!$C$25+(Declarations!$C$7-Declarations!$C$25)*EXP(-Declarations!$D$25*$B32)+IF(Declarations!$E$25=0,0,Declarations!$E$25*($B32/Declarations!$F$25)*EXP(1-$B32/Declarations!$F$25))+IF($B32&gt;=T_sale,Declarations!$G$25,0)</f>
        <v>39.9777218906013</v>
      </c>
      <c r="I32" s="16" t="n">
        <f aca="false">Declarations!$C$26+(Declarations!$C$8-Declarations!$C$26)*EXP(-Declarations!$D$26*$B32)+IF(Declarations!$E$26=0,0,Declarations!$E$26*($B32/Declarations!$F$26)*EXP(1-$B32/Declarations!$F$26))+IF($B32&gt;=T_sale,Declarations!$G$26,0)</f>
        <v>72.582900341777</v>
      </c>
      <c r="J32" s="16" t="n">
        <f aca="false">Declarations!$C$27+(Declarations!$C$10-Declarations!$C$27)*EXP(-Declarations!$D$27*$B32)+IF(Declarations!$E$27=0,0,Declarations!$E$27*($B32/Declarations!$F$27)*EXP(1-$B32/Declarations!$F$27))+IF($B32&gt;=T_sale,Declarations!$G$27,0)</f>
        <v>52.4642811661604</v>
      </c>
      <c r="K32" s="16" t="n">
        <f aca="false">Declarations!$C$28+(Declarations!$C$4-Declarations!$C$28)*EXP(-Declarations!$D$28*$B32)+IF(Declarations!$E$28=0,0,Declarations!$E$28*($B32/Declarations!$F$28)*EXP(1-$B32/Declarations!$F$28))+IF($B32&gt;=T_sale,Declarations!$G$28,0)</f>
        <v>103.165800683554</v>
      </c>
      <c r="L32" s="16" t="n">
        <f aca="false">Declarations!$C$29+(Declarations!$C$7-Declarations!$C$29)*EXP(-Declarations!$D$29*$B32)+IF(Declarations!$E$29=0,0,Declarations!$E$29*($B32/Declarations!$F$29)*EXP(1-$B32/Declarations!$F$29))+IF($B32&gt;=T_sale,Declarations!$G$29,0)</f>
        <v>38.7322504845903</v>
      </c>
      <c r="M32" s="16" t="n">
        <f aca="false">Declarations!$C$30+(Declarations!$C$8-Declarations!$C$30)*EXP(-Declarations!$D$30*$B32)+IF(Declarations!$E$30=0,0,Declarations!$E$30*($B32/Declarations!$F$30)*EXP(1-$B32/Declarations!$F$30))+IF($B32&gt;=T_sale,Declarations!$G$30,0)</f>
        <v>76.0569644706285</v>
      </c>
      <c r="N32" s="16" t="n">
        <f aca="false">Declarations!$C$31+(Declarations!$C$10-Declarations!$C$31)*EXP(-Declarations!$D$31*$B32)+IF(Declarations!$E$31=0,0,Declarations!$E$31*($B32/Declarations!$F$31)*EXP(1-$B32/Declarations!$F$31))+IF($B32&gt;=T_sale,Declarations!$G$31,0)</f>
        <v>65.1804080208621</v>
      </c>
      <c r="O32" s="16" t="n">
        <f aca="false">W_L*C32+W_T*D32+W_E*E32+W_R*F32</f>
        <v>33.8835072724381</v>
      </c>
      <c r="P32" s="16" t="n">
        <f aca="false">W_L*G32+W_T*H32+W_E*I32+W_R*J32</f>
        <v>44.9175546068419</v>
      </c>
      <c r="Q32" s="16" t="n">
        <f aca="false">W_L*K32+W_T*L32+W_E*M32+W_R*N32</f>
        <v>38.1936519044777</v>
      </c>
      <c r="R32" s="19" t="str">
        <f aca="false">IF(AND(O32&gt;=$B$9,O31&lt;$B$9),A32,"")</f>
        <v/>
      </c>
    </row>
    <row r="33" customFormat="false" ht="15" hidden="false" customHeight="false" outlineLevel="0" collapsed="false">
      <c r="A33" s="19" t="n">
        <v>21</v>
      </c>
      <c r="B33" s="20" t="n">
        <f aca="false">A33/12</f>
        <v>1.75</v>
      </c>
      <c r="C33" s="16" t="n">
        <f aca="false">Declarations!$C$20+(Declarations!$C$4-Declarations!$C$20)*EXP(-Declarations!$D$20*$B33)+IF(Declarations!$E$20=0,0,Declarations!$E$20*($B33/Declarations!$F$20)*EXP(1-$B33/Declarations!$F$20))+IF($B33&gt;=T_sale,Declarations!$G$20,0)</f>
        <v>77.7339326383525</v>
      </c>
      <c r="D33" s="16" t="n">
        <f aca="false">Declarations!$C$21+(Declarations!$C$7-Declarations!$C$21)*EXP(-Declarations!$D$21*$B33)+IF(Declarations!$E$21=0,0,Declarations!$E$21*($B33/Declarations!$F$21)*EXP(1-$B33/Declarations!$F$21))+IF($B33&gt;=T_sale,Declarations!$G$21,0)</f>
        <v>63.8683365757539</v>
      </c>
      <c r="E33" s="16" t="n">
        <f aca="false">Declarations!$C$22+(Declarations!$C$8-Declarations!$C$22)*EXP(-Declarations!$D$22*$B33)+IF(Declarations!$E$22=0,0,Declarations!$E$22*($B33/Declarations!$F$22)*EXP(1-$B33/Declarations!$F$22))+IF($B33&gt;=T_sale,Declarations!$G$22,0)</f>
        <v>65.6107697705775</v>
      </c>
      <c r="F33" s="16" t="n">
        <f aca="false">Declarations!$C$23+(Declarations!$C$10-Declarations!$C$23)*EXP(-Declarations!$D$23*$B33)+IF(Declarations!$E$23=0,0,Declarations!$E$23*($B33/Declarations!$F$23)*EXP(1-$B33/Declarations!$F$23))+IF($B33&gt;=T_sale,Declarations!$G$23,0)</f>
        <v>70.3658158022576</v>
      </c>
      <c r="G33" s="16" t="n">
        <f aca="false">Declarations!$C$24+(Declarations!$C$4-Declarations!$C$24)*EXP(-Declarations!$D$24*$B33)+IF(Declarations!$E$24=0,0,Declarations!$E$24*($B33/Declarations!$F$24)*EXP(1-$B33/Declarations!$F$24))+IF($B33&gt;=T_sale,Declarations!$G$24,0)</f>
        <v>119.633778542533</v>
      </c>
      <c r="H33" s="16" t="n">
        <f aca="false">Declarations!$C$25+(Declarations!$C$7-Declarations!$C$25)*EXP(-Declarations!$D$25*$B33)+IF(Declarations!$E$25=0,0,Declarations!$E$25*($B33/Declarations!$F$25)*EXP(1-$B33/Declarations!$F$25))+IF($B33&gt;=T_sale,Declarations!$G$25,0)</f>
        <v>39.9369455792837</v>
      </c>
      <c r="I33" s="16" t="n">
        <f aca="false">Declarations!$C$26+(Declarations!$C$8-Declarations!$C$26)*EXP(-Declarations!$D$26*$B33)+IF(Declarations!$E$26=0,0,Declarations!$E$26*($B33/Declarations!$F$26)*EXP(1-$B33/Declarations!$F$26))+IF($B33&gt;=T_sale,Declarations!$G$26,0)</f>
        <v>72.6350575198455</v>
      </c>
      <c r="J33" s="16" t="n">
        <f aca="false">Declarations!$C$27+(Declarations!$C$10-Declarations!$C$27)*EXP(-Declarations!$D$27*$B33)+IF(Declarations!$E$27=0,0,Declarations!$E$27*($B33/Declarations!$F$27)*EXP(1-$B33/Declarations!$F$27))+IF($B33&gt;=T_sale,Declarations!$G$27,0)</f>
        <v>52.3359535076735</v>
      </c>
      <c r="K33" s="16" t="n">
        <f aca="false">Declarations!$C$28+(Declarations!$C$4-Declarations!$C$28)*EXP(-Declarations!$D$28*$B33)+IF(Declarations!$E$28=0,0,Declarations!$E$28*($B33/Declarations!$F$28)*EXP(1-$B33/Declarations!$F$28))+IF($B33&gt;=T_sale,Declarations!$G$28,0)</f>
        <v>103.270115039691</v>
      </c>
      <c r="L33" s="16" t="n">
        <f aca="false">Declarations!$C$29+(Declarations!$C$7-Declarations!$C$29)*EXP(-Declarations!$D$29*$B33)+IF(Declarations!$E$29=0,0,Declarations!$E$29*($B33/Declarations!$F$29)*EXP(1-$B33/Declarations!$F$29))+IF($B33&gt;=T_sale,Declarations!$G$29,0)</f>
        <v>38.6375047177497</v>
      </c>
      <c r="M33" s="16" t="n">
        <f aca="false">Declarations!$C$30+(Declarations!$C$8-Declarations!$C$30)*EXP(-Declarations!$D$30*$B33)+IF(Declarations!$E$30=0,0,Declarations!$E$30*($B33/Declarations!$F$30)*EXP(1-$B33/Declarations!$F$30))+IF($B33&gt;=T_sale,Declarations!$G$30,0)</f>
        <v>76.2004980071108</v>
      </c>
      <c r="N33" s="16" t="n">
        <f aca="false">Declarations!$C$31+(Declarations!$C$10-Declarations!$C$31)*EXP(-Declarations!$D$31*$B33)+IF(Declarations!$E$31=0,0,Declarations!$E$31*($B33/Declarations!$F$31)*EXP(1-$B33/Declarations!$F$31))+IF($B33&gt;=T_sale,Declarations!$G$31,0)</f>
        <v>65.2253339068996</v>
      </c>
      <c r="O33" s="16" t="n">
        <f aca="false">W_L*C33+W_T*D33+W_E*E33+W_R*F33</f>
        <v>34.2118057956066</v>
      </c>
      <c r="P33" s="16" t="n">
        <f aca="false">W_L*G33+W_T*H33+W_E*I33+W_R*J33</f>
        <v>44.9674570334971</v>
      </c>
      <c r="Q33" s="16" t="n">
        <f aca="false">W_L*K33+W_T*L33+W_E*M33+W_R*N33</f>
        <v>38.220695964413</v>
      </c>
      <c r="R33" s="19" t="str">
        <f aca="false">IF(AND(O33&gt;=$B$9,O32&lt;$B$9),A33,"")</f>
        <v/>
      </c>
    </row>
    <row r="34" customFormat="false" ht="15" hidden="false" customHeight="false" outlineLevel="0" collapsed="false">
      <c r="A34" s="19" t="n">
        <v>22</v>
      </c>
      <c r="B34" s="20" t="n">
        <f aca="false">A34/12</f>
        <v>1.83333333333333</v>
      </c>
      <c r="C34" s="16" t="n">
        <f aca="false">Declarations!$C$20+(Declarations!$C$4-Declarations!$C$20)*EXP(-Declarations!$D$20*$B34)+IF(Declarations!$E$20=0,0,Declarations!$E$20*($B34/Declarations!$F$20)*EXP(1-$B34/Declarations!$F$20))+IF($B34&gt;=T_sale,Declarations!$G$20,0)</f>
        <v>77.785824038926</v>
      </c>
      <c r="D34" s="16" t="n">
        <f aca="false">Declarations!$C$21+(Declarations!$C$7-Declarations!$C$21)*EXP(-Declarations!$D$21*$B34)+IF(Declarations!$E$21=0,0,Declarations!$E$21*($B34/Declarations!$F$21)*EXP(1-$B34/Declarations!$F$21))+IF($B34&gt;=T_sale,Declarations!$G$21,0)</f>
        <v>64.5014188582355</v>
      </c>
      <c r="E34" s="16" t="n">
        <f aca="false">Declarations!$C$22+(Declarations!$C$8-Declarations!$C$22)*EXP(-Declarations!$D$22*$B34)+IF(Declarations!$E$22=0,0,Declarations!$E$22*($B34/Declarations!$F$22)*EXP(1-$B34/Declarations!$F$22))+IF($B34&gt;=T_sale,Declarations!$G$22,0)</f>
        <v>65.792790641846</v>
      </c>
      <c r="F34" s="16" t="n">
        <f aca="false">Declarations!$C$23+(Declarations!$C$10-Declarations!$C$23)*EXP(-Declarations!$D$23*$B34)+IF(Declarations!$E$23=0,0,Declarations!$E$23*($B34/Declarations!$F$23)*EXP(1-$B34/Declarations!$F$23))+IF($B34&gt;=T_sale,Declarations!$G$23,0)</f>
        <v>69.861583221432</v>
      </c>
      <c r="G34" s="16" t="n">
        <f aca="false">Declarations!$C$24+(Declarations!$C$4-Declarations!$C$24)*EXP(-Declarations!$D$24*$B34)+IF(Declarations!$E$24=0,0,Declarations!$E$24*($B34/Declarations!$F$24)*EXP(1-$B34/Declarations!$F$24))+IF($B34&gt;=T_sale,Declarations!$G$24,0)</f>
        <v>119.692200758478</v>
      </c>
      <c r="H34" s="16" t="n">
        <f aca="false">Declarations!$C$25+(Declarations!$C$7-Declarations!$C$25)*EXP(-Declarations!$D$25*$B34)+IF(Declarations!$E$25=0,0,Declarations!$E$25*($B34/Declarations!$F$25)*EXP(1-$B34/Declarations!$F$25))+IF($B34&gt;=T_sale,Declarations!$G$25,0)</f>
        <v>39.8970099865588</v>
      </c>
      <c r="I34" s="16" t="n">
        <f aca="false">Declarations!$C$26+(Declarations!$C$8-Declarations!$C$26)*EXP(-Declarations!$D$26*$B34)+IF(Declarations!$E$26=0,0,Declarations!$E$26*($B34/Declarations!$F$26)*EXP(1-$B34/Declarations!$F$26))+IF($B34&gt;=T_sale,Declarations!$G$26,0)</f>
        <v>72.6852950226052</v>
      </c>
      <c r="J34" s="16" t="n">
        <f aca="false">Declarations!$C$27+(Declarations!$C$10-Declarations!$C$27)*EXP(-Declarations!$D$27*$B34)+IF(Declarations!$E$27=0,0,Declarations!$E$27*($B34/Declarations!$F$27)*EXP(1-$B34/Declarations!$F$27))+IF($B34&gt;=T_sale,Declarations!$G$27,0)</f>
        <v>52.2113146822417</v>
      </c>
      <c r="K34" s="16" t="n">
        <f aca="false">Declarations!$C$28+(Declarations!$C$4-Declarations!$C$28)*EXP(-Declarations!$D$28*$B34)+IF(Declarations!$E$28=0,0,Declarations!$E$28*($B34/Declarations!$F$28)*EXP(1-$B34/Declarations!$F$28))+IF($B34&gt;=T_sale,Declarations!$G$28,0)</f>
        <v>103.37059004521</v>
      </c>
      <c r="L34" s="16" t="n">
        <f aca="false">Declarations!$C$29+(Declarations!$C$7-Declarations!$C$29)*EXP(-Declarations!$D$29*$B34)+IF(Declarations!$E$29=0,0,Declarations!$E$29*($B34/Declarations!$F$29)*EXP(1-$B34/Declarations!$F$29))+IF($B34&gt;=T_sale,Declarations!$G$29,0)</f>
        <v>38.5443249606915</v>
      </c>
      <c r="M34" s="16" t="n">
        <f aca="false">Declarations!$C$30+(Declarations!$C$8-Declarations!$C$30)*EXP(-Declarations!$D$30*$B34)+IF(Declarations!$E$30=0,0,Declarations!$E$30*($B34/Declarations!$F$30)*EXP(1-$B34/Declarations!$F$30))+IF($B34&gt;=T_sale,Declarations!$G$30,0)</f>
        <v>76.3370313304154</v>
      </c>
      <c r="N34" s="16" t="n">
        <f aca="false">Declarations!$C$31+(Declarations!$C$10-Declarations!$C$31)*EXP(-Declarations!$D$31*$B34)+IF(Declarations!$E$31=0,0,Declarations!$E$31*($B34/Declarations!$F$31)*EXP(1-$B34/Declarations!$F$31))+IF($B34&gt;=T_sale,Declarations!$G$31,0)</f>
        <v>65.2691505688585</v>
      </c>
      <c r="O34" s="16" t="n">
        <f aca="false">W_L*C34+W_T*D34+W_E*E34+W_R*F34</f>
        <v>34.5546125793939</v>
      </c>
      <c r="P34" s="16" t="n">
        <f aca="false">W_L*G34+W_T*H34+W_E*I34+W_R*J34</f>
        <v>45.0157977713501</v>
      </c>
      <c r="Q34" s="16" t="n">
        <f aca="false">W_L*K34+W_T*L34+W_E*M34+W_R*N34</f>
        <v>38.2456989418647</v>
      </c>
      <c r="R34" s="19" t="str">
        <f aca="false">IF(AND(O34&gt;=$B$9,O33&lt;$B$9),A34,"")</f>
        <v/>
      </c>
    </row>
    <row r="35" customFormat="false" ht="15" hidden="false" customHeight="false" outlineLevel="0" collapsed="false">
      <c r="A35" s="19" t="n">
        <v>23</v>
      </c>
      <c r="B35" s="20" t="n">
        <f aca="false">A35/12</f>
        <v>1.91666666666667</v>
      </c>
      <c r="C35" s="16" t="n">
        <f aca="false">Declarations!$C$20+(Declarations!$C$4-Declarations!$C$20)*EXP(-Declarations!$D$20*$B35)+IF(Declarations!$E$20=0,0,Declarations!$E$20*($B35/Declarations!$F$20)*EXP(1-$B35/Declarations!$F$20))+IF($B35&gt;=T_sale,Declarations!$G$20,0)</f>
        <v>77.8896033982143</v>
      </c>
      <c r="D35" s="16" t="n">
        <f aca="false">Declarations!$C$21+(Declarations!$C$7-Declarations!$C$21)*EXP(-Declarations!$D$21*$B35)+IF(Declarations!$E$21=0,0,Declarations!$E$21*($B35/Declarations!$F$21)*EXP(1-$B35/Declarations!$F$21))+IF($B35&gt;=T_sale,Declarations!$G$21,0)</f>
        <v>65.1061397819471</v>
      </c>
      <c r="E35" s="16" t="n">
        <f aca="false">Declarations!$C$22+(Declarations!$C$8-Declarations!$C$22)*EXP(-Declarations!$D$22*$B35)+IF(Declarations!$E$22=0,0,Declarations!$E$22*($B35/Declarations!$F$22)*EXP(1-$B35/Declarations!$F$22))+IF($B35&gt;=T_sale,Declarations!$G$22,0)</f>
        <v>65.987961586177</v>
      </c>
      <c r="F35" s="16" t="n">
        <f aca="false">Declarations!$C$23+(Declarations!$C$10-Declarations!$C$23)*EXP(-Declarations!$D$23*$B35)+IF(Declarations!$E$23=0,0,Declarations!$E$23*($B35/Declarations!$F$23)*EXP(1-$B35/Declarations!$F$23))+IF($B35&gt;=T_sale,Declarations!$G$23,0)</f>
        <v>69.3454416225273</v>
      </c>
      <c r="G35" s="16" t="n">
        <f aca="false">Declarations!$C$24+(Declarations!$C$4-Declarations!$C$24)*EXP(-Declarations!$D$24*$B35)+IF(Declarations!$E$24=0,0,Declarations!$E$24*($B35/Declarations!$F$24)*EXP(1-$B35/Declarations!$F$24))+IF($B35&gt;=T_sale,Declarations!$G$24,0)</f>
        <v>119.749180524772</v>
      </c>
      <c r="H35" s="16" t="n">
        <f aca="false">Declarations!$C$25+(Declarations!$C$7-Declarations!$C$25)*EXP(-Declarations!$D$25*$B35)+IF(Declarations!$E$25=0,0,Declarations!$E$25*($B35/Declarations!$F$25)*EXP(1-$B35/Declarations!$F$25))+IF($B35&gt;=T_sale,Declarations!$G$25,0)</f>
        <v>39.8578977786431</v>
      </c>
      <c r="I35" s="16" t="n">
        <f aca="false">Declarations!$C$26+(Declarations!$C$8-Declarations!$C$26)*EXP(-Declarations!$D$26*$B35)+IF(Declarations!$E$26=0,0,Declarations!$E$26*($B35/Declarations!$F$26)*EXP(1-$B35/Declarations!$F$26))+IF($B35&gt;=T_sale,Declarations!$G$26,0)</f>
        <v>72.7336835048235</v>
      </c>
      <c r="J35" s="16" t="n">
        <f aca="false">Declarations!$C$27+(Declarations!$C$10-Declarations!$C$27)*EXP(-Declarations!$D$27*$B35)+IF(Declarations!$E$27=0,0,Declarations!$E$27*($B35/Declarations!$F$27)*EXP(1-$B35/Declarations!$F$27))+IF($B35&gt;=T_sale,Declarations!$G$27,0)</f>
        <v>52.0902586527917</v>
      </c>
      <c r="K35" s="16" t="n">
        <f aca="false">Declarations!$C$28+(Declarations!$C$4-Declarations!$C$28)*EXP(-Declarations!$D$28*$B35)+IF(Declarations!$E$28=0,0,Declarations!$E$28*($B35/Declarations!$F$28)*EXP(1-$B35/Declarations!$F$28))+IF($B35&gt;=T_sale,Declarations!$G$28,0)</f>
        <v>103.467367009647</v>
      </c>
      <c r="L35" s="16" t="n">
        <f aca="false">Declarations!$C$29+(Declarations!$C$7-Declarations!$C$29)*EXP(-Declarations!$D$29*$B35)+IF(Declarations!$E$29=0,0,Declarations!$E$29*($B35/Declarations!$F$29)*EXP(1-$B35/Declarations!$F$29))+IF($B35&gt;=T_sale,Declarations!$G$29,0)</f>
        <v>38.4526853295508</v>
      </c>
      <c r="M35" s="16" t="n">
        <f aca="false">Declarations!$C$30+(Declarations!$C$8-Declarations!$C$30)*EXP(-Declarations!$D$30*$B35)+IF(Declarations!$E$30=0,0,Declarations!$E$30*($B35/Declarations!$F$30)*EXP(1-$B35/Declarations!$F$30))+IF($B35&gt;=T_sale,Declarations!$G$30,0)</f>
        <v>76.4669058449676</v>
      </c>
      <c r="N35" s="16" t="n">
        <f aca="false">Declarations!$C$31+(Declarations!$C$10-Declarations!$C$31)*EXP(-Declarations!$D$31*$B35)+IF(Declarations!$E$31=0,0,Declarations!$E$31*($B35/Declarations!$F$31)*EXP(1-$B35/Declarations!$F$31))+IF($B35&gt;=T_sale,Declarations!$G$31,0)</f>
        <v>65.3118853935791</v>
      </c>
      <c r="O35" s="16" t="n">
        <f aca="false">W_L*C35+W_T*D35+W_E*E35+W_R*F35</f>
        <v>34.9095657859528</v>
      </c>
      <c r="P35" s="16" t="n">
        <f aca="false">W_L*G35+W_T*H35+W_E*I35+W_R*J35</f>
        <v>45.0626257888617</v>
      </c>
      <c r="Q35" s="16" t="n">
        <f aca="false">W_L*K35+W_T*L35+W_E*M35+W_R*N35</f>
        <v>38.2687681976466</v>
      </c>
      <c r="R35" s="19" t="str">
        <f aca="false">IF(AND(O35&gt;=$B$9,O34&lt;$B$9),A35,"")</f>
        <v/>
      </c>
    </row>
    <row r="36" customFormat="false" ht="15" hidden="false" customHeight="false" outlineLevel="0" collapsed="false">
      <c r="A36" s="19" t="n">
        <v>24</v>
      </c>
      <c r="B36" s="20" t="n">
        <f aca="false">A36/12</f>
        <v>2</v>
      </c>
      <c r="C36" s="16" t="n">
        <f aca="false">Declarations!$C$20+(Declarations!$C$4-Declarations!$C$20)*EXP(-Declarations!$D$20*$B36)+IF(Declarations!$E$20=0,0,Declarations!$E$20*($B36/Declarations!$F$20)*EXP(1-$B36/Declarations!$F$20))+IF($B36&gt;=T_sale,Declarations!$G$20,0)</f>
        <v>78.0409763545031</v>
      </c>
      <c r="D36" s="16" t="n">
        <f aca="false">Declarations!$C$21+(Declarations!$C$7-Declarations!$C$21)*EXP(-Declarations!$D$21*$B36)+IF(Declarations!$E$21=0,0,Declarations!$E$21*($B36/Declarations!$F$21)*EXP(1-$B36/Declarations!$F$21))+IF($B36&gt;=T_sale,Declarations!$G$21,0)</f>
        <v>65.6837699031711</v>
      </c>
      <c r="E36" s="16" t="n">
        <f aca="false">Declarations!$C$22+(Declarations!$C$8-Declarations!$C$22)*EXP(-Declarations!$D$22*$B36)+IF(Declarations!$E$22=0,0,Declarations!$E$22*($B36/Declarations!$F$22)*EXP(1-$B36/Declarations!$F$22))+IF($B36&gt;=T_sale,Declarations!$G$22,0)</f>
        <v>66.1943476260859</v>
      </c>
      <c r="F36" s="16" t="n">
        <f aca="false">Declarations!$C$23+(Declarations!$C$10-Declarations!$C$23)*EXP(-Declarations!$D$23*$B36)+IF(Declarations!$E$23=0,0,Declarations!$E$23*($B36/Declarations!$F$23)*EXP(1-$B36/Declarations!$F$23))+IF($B36&gt;=T_sale,Declarations!$G$23,0)</f>
        <v>68.821009310951</v>
      </c>
      <c r="G36" s="16" t="n">
        <f aca="false">Declarations!$C$24+(Declarations!$C$4-Declarations!$C$24)*EXP(-Declarations!$D$24*$B36)+IF(Declarations!$E$24=0,0,Declarations!$E$24*($B36/Declarations!$F$24)*EXP(1-$B36/Declarations!$F$24))+IF($B36&gt;=T_sale,Declarations!$G$24,0)</f>
        <v>119.804753455624</v>
      </c>
      <c r="H36" s="16" t="n">
        <f aca="false">Declarations!$C$25+(Declarations!$C$7-Declarations!$C$25)*EXP(-Declarations!$D$25*$B36)+IF(Declarations!$E$25=0,0,Declarations!$E$25*($B36/Declarations!$F$25)*EXP(1-$B36/Declarations!$F$25))+IF($B36&gt;=T_sale,Declarations!$G$25,0)</f>
        <v>39.8195919791379</v>
      </c>
      <c r="I36" s="16" t="n">
        <f aca="false">Declarations!$C$26+(Declarations!$C$8-Declarations!$C$26)*EXP(-Declarations!$D$26*$B36)+IF(Declarations!$E$26=0,0,Declarations!$E$26*($B36/Declarations!$F$26)*EXP(1-$B36/Declarations!$F$26))+IF($B36&gt;=T_sale,Declarations!$G$26,0)</f>
        <v>72.7802910207782</v>
      </c>
      <c r="J36" s="16" t="n">
        <f aca="false">Declarations!$C$27+(Declarations!$C$10-Declarations!$C$27)*EXP(-Declarations!$D$27*$B36)+IF(Declarations!$E$27=0,0,Declarations!$E$27*($B36/Declarations!$F$27)*EXP(1-$B36/Declarations!$F$27))+IF($B36&gt;=T_sale,Declarations!$G$27,0)</f>
        <v>51.9726824303313</v>
      </c>
      <c r="K36" s="16" t="n">
        <f aca="false">Declarations!$C$28+(Declarations!$C$4-Declarations!$C$28)*EXP(-Declarations!$D$28*$B36)+IF(Declarations!$E$28=0,0,Declarations!$E$28*($B36/Declarations!$F$28)*EXP(1-$B36/Declarations!$F$28))+IF($B36&gt;=T_sale,Declarations!$G$28,0)</f>
        <v>103.560582041556</v>
      </c>
      <c r="L36" s="16" t="n">
        <f aca="false">Declarations!$C$29+(Declarations!$C$7-Declarations!$C$29)*EXP(-Declarations!$D$29*$B36)+IF(Declarations!$E$29=0,0,Declarations!$E$29*($B36/Declarations!$F$29)*EXP(1-$B36/Declarations!$F$29))+IF($B36&gt;=T_sale,Declarations!$G$29,0)</f>
        <v>38.3625603682851</v>
      </c>
      <c r="M36" s="16" t="n">
        <f aca="false">Declarations!$C$30+(Declarations!$C$8-Declarations!$C$30)*EXP(-Declarations!$D$30*$B36)+IF(Declarations!$E$30=0,0,Declarations!$E$30*($B36/Declarations!$F$30)*EXP(1-$B36/Declarations!$F$30))+IF($B36&gt;=T_sale,Declarations!$G$30,0)</f>
        <v>76.5904463047024</v>
      </c>
      <c r="N36" s="16" t="n">
        <f aca="false">Declarations!$C$31+(Declarations!$C$10-Declarations!$C$31)*EXP(-Declarations!$D$31*$B36)+IF(Declarations!$E$31=0,0,Declarations!$E$31*($B36/Declarations!$F$31)*EXP(1-$B36/Declarations!$F$31))+IF($B36&gt;=T_sale,Declarations!$G$31,0)</f>
        <v>65.3535650917179</v>
      </c>
      <c r="O36" s="16" t="n">
        <f aca="false">W_L*C36+W_T*D36+W_E*E36+W_R*F36</f>
        <v>35.2745211432023</v>
      </c>
      <c r="P36" s="16" t="n">
        <f aca="false">W_L*G36+W_T*H36+W_E*I36+W_R*J36</f>
        <v>45.1079885063022</v>
      </c>
      <c r="Q36" s="16" t="n">
        <f aca="false">W_L*K36+W_T*L36+W_E*M36+W_R*N36</f>
        <v>38.2900059057065</v>
      </c>
      <c r="R36" s="19" t="str">
        <f aca="false">IF(AND(O36&gt;=$B$9,O35&lt;$B$9),A36,"")</f>
        <v/>
      </c>
    </row>
    <row r="37" customFormat="false" ht="15" hidden="false" customHeight="false" outlineLevel="0" collapsed="false">
      <c r="A37" s="19" t="n">
        <v>25</v>
      </c>
      <c r="B37" s="20" t="n">
        <f aca="false">A37/12</f>
        <v>2.08333333333333</v>
      </c>
      <c r="C37" s="16" t="n">
        <f aca="false">Declarations!$C$20+(Declarations!$C$4-Declarations!$C$20)*EXP(-Declarations!$D$20*$B37)+IF(Declarations!$E$20=0,0,Declarations!$E$20*($B37/Declarations!$F$20)*EXP(1-$B37/Declarations!$F$20))+IF($B37&gt;=T_sale,Declarations!$G$20,0)</f>
        <v>78.2359118548215</v>
      </c>
      <c r="D37" s="16" t="n">
        <f aca="false">Declarations!$C$21+(Declarations!$C$7-Declarations!$C$21)*EXP(-Declarations!$D$21*$B37)+IF(Declarations!$E$21=0,0,Declarations!$E$21*($B37/Declarations!$F$21)*EXP(1-$B37/Declarations!$F$21))+IF($B37&gt;=T_sale,Declarations!$G$21,0)</f>
        <v>66.2355228587284</v>
      </c>
      <c r="E37" s="16" t="n">
        <f aca="false">Declarations!$C$22+(Declarations!$C$8-Declarations!$C$22)*EXP(-Declarations!$D$22*$B37)+IF(Declarations!$E$22=0,0,Declarations!$E$22*($B37/Declarations!$F$22)*EXP(1-$B37/Declarations!$F$22))+IF($B37&gt;=T_sale,Declarations!$G$22,0)</f>
        <v>66.4101837861788</v>
      </c>
      <c r="F37" s="16" t="n">
        <f aca="false">Declarations!$C$23+(Declarations!$C$10-Declarations!$C$23)*EXP(-Declarations!$D$23*$B37)+IF(Declarations!$E$23=0,0,Declarations!$E$23*($B37/Declarations!$F$23)*EXP(1-$B37/Declarations!$F$23))+IF($B37&gt;=T_sale,Declarations!$G$23,0)</f>
        <v>68.2914808671584</v>
      </c>
      <c r="G37" s="16" t="n">
        <f aca="false">Declarations!$C$24+(Declarations!$C$4-Declarations!$C$24)*EXP(-Declarations!$D$24*$B37)+IF(Declarations!$E$24=0,0,Declarations!$E$24*($B37/Declarations!$F$24)*EXP(1-$B37/Declarations!$F$24))+IF($B37&gt;=T_sale,Declarations!$G$24,0)</f>
        <v>119.858954285924</v>
      </c>
      <c r="H37" s="16" t="n">
        <f aca="false">Declarations!$C$25+(Declarations!$C$7-Declarations!$C$25)*EXP(-Declarations!$D$25*$B37)+IF(Declarations!$E$25=0,0,Declarations!$E$25*($B37/Declarations!$F$25)*EXP(1-$B37/Declarations!$F$25))+IF($B37&gt;=T_sale,Declarations!$G$25,0)</f>
        <v>39.7820759616609</v>
      </c>
      <c r="I37" s="16" t="n">
        <f aca="false">Declarations!$C$26+(Declarations!$C$8-Declarations!$C$26)*EXP(-Declarations!$D$26*$B37)+IF(Declarations!$E$26=0,0,Declarations!$E$26*($B37/Declarations!$F$26)*EXP(1-$B37/Declarations!$F$26))+IF($B37&gt;=T_sale,Declarations!$G$26,0)</f>
        <v>72.8251831199696</v>
      </c>
      <c r="J37" s="16" t="n">
        <f aca="false">Declarations!$C$27+(Declarations!$C$10-Declarations!$C$27)*EXP(-Declarations!$D$27*$B37)+IF(Declarations!$E$27=0,0,Declarations!$E$27*($B37/Declarations!$F$27)*EXP(1-$B37/Declarations!$F$27))+IF($B37&gt;=T_sale,Declarations!$G$27,0)</f>
        <v>51.8584859863302</v>
      </c>
      <c r="K37" s="16" t="n">
        <f aca="false">Declarations!$C$28+(Declarations!$C$4-Declarations!$C$28)*EXP(-Declarations!$D$28*$B37)+IF(Declarations!$E$28=0,0,Declarations!$E$28*($B37/Declarations!$F$28)*EXP(1-$B37/Declarations!$F$28))+IF($B37&gt;=T_sale,Declarations!$G$28,0)</f>
        <v>103.650366239939</v>
      </c>
      <c r="L37" s="16" t="n">
        <f aca="false">Declarations!$C$29+(Declarations!$C$7-Declarations!$C$29)*EXP(-Declarations!$D$29*$B37)+IF(Declarations!$E$29=0,0,Declarations!$E$29*($B37/Declarations!$F$29)*EXP(1-$B37/Declarations!$F$29))+IF($B37&gt;=T_sale,Declarations!$G$29,0)</f>
        <v>38.2739250416036</v>
      </c>
      <c r="M37" s="16" t="n">
        <f aca="false">Declarations!$C$30+(Declarations!$C$8-Declarations!$C$30)*EXP(-Declarations!$D$30*$B37)+IF(Declarations!$E$30=0,0,Declarations!$E$30*($B37/Declarations!$F$30)*EXP(1-$B37/Declarations!$F$30))+IF($B37&gt;=T_sale,Declarations!$G$30,0)</f>
        <v>76.7079616251185</v>
      </c>
      <c r="N37" s="16" t="n">
        <f aca="false">Declarations!$C$31+(Declarations!$C$10-Declarations!$C$31)*EXP(-Declarations!$D$31*$B37)+IF(Declarations!$E$31=0,0,Declarations!$E$31*($B37/Declarations!$F$31)*EXP(1-$B37/Declarations!$F$31))+IF($B37&gt;=T_sale,Declarations!$G$31,0)</f>
        <v>65.394215714443</v>
      </c>
      <c r="O37" s="16" t="n">
        <f aca="false">W_L*C37+W_T*D37+W_E*E37+W_R*F37</f>
        <v>35.6475344081426</v>
      </c>
      <c r="P37" s="16" t="n">
        <f aca="false">W_L*G37+W_T*H37+W_E*I37+W_R*J37</f>
        <v>45.1519318453061</v>
      </c>
      <c r="Q37" s="16" t="n">
        <f aca="false">W_L*K37+W_T*L37+W_E*M37+W_R*N37</f>
        <v>38.3095092980546</v>
      </c>
      <c r="R37" s="19" t="str">
        <f aca="false">IF(AND(O37&gt;=$B$9,O36&lt;$B$9),A37,"")</f>
        <v/>
      </c>
    </row>
    <row r="38" customFormat="false" ht="15" hidden="false" customHeight="false" outlineLevel="0" collapsed="false">
      <c r="A38" s="19" t="n">
        <v>26</v>
      </c>
      <c r="B38" s="20" t="n">
        <f aca="false">A38/12</f>
        <v>2.16666666666667</v>
      </c>
      <c r="C38" s="16" t="n">
        <f aca="false">Declarations!$C$20+(Declarations!$C$4-Declarations!$C$20)*EXP(-Declarations!$D$20*$B38)+IF(Declarations!$E$20=0,0,Declarations!$E$20*($B38/Declarations!$F$20)*EXP(1-$B38/Declarations!$F$20))+IF($B38&gt;=T_sale,Declarations!$G$20,0)</f>
        <v>78.4706278381456</v>
      </c>
      <c r="D38" s="16" t="n">
        <f aca="false">Declarations!$C$21+(Declarations!$C$7-Declarations!$C$21)*EXP(-Declarations!$D$21*$B38)+IF(Declarations!$E$21=0,0,Declarations!$E$21*($B38/Declarations!$F$21)*EXP(1-$B38/Declarations!$F$21))+IF($B38&gt;=T_sale,Declarations!$G$21,0)</f>
        <v>66.762557915905</v>
      </c>
      <c r="E38" s="16" t="n">
        <f aca="false">Declarations!$C$22+(Declarations!$C$8-Declarations!$C$22)*EXP(-Declarations!$D$22*$B38)+IF(Declarations!$E$22=0,0,Declarations!$E$22*($B38/Declarations!$F$22)*EXP(1-$B38/Declarations!$F$22))+IF($B38&gt;=T_sale,Declarations!$G$22,0)</f>
        <v>66.6338623997701</v>
      </c>
      <c r="F38" s="16" t="n">
        <f aca="false">Declarations!$C$23+(Declarations!$C$10-Declarations!$C$23)*EXP(-Declarations!$D$23*$B38)+IF(Declarations!$E$23=0,0,Declarations!$E$23*($B38/Declarations!$F$23)*EXP(1-$B38/Declarations!$F$23))+IF($B38&gt;=T_sale,Declarations!$G$23,0)</f>
        <v>67.7596674474404</v>
      </c>
      <c r="G38" s="16" t="n">
        <f aca="false">Declarations!$C$24+(Declarations!$C$4-Declarations!$C$24)*EXP(-Declarations!$D$24*$B38)+IF(Declarations!$E$24=0,0,Declarations!$E$24*($B38/Declarations!$F$24)*EXP(1-$B38/Declarations!$F$24))+IF($B38&gt;=T_sale,Declarations!$G$24,0)</f>
        <v>119.911816892956</v>
      </c>
      <c r="H38" s="16" t="n">
        <f aca="false">Declarations!$C$25+(Declarations!$C$7-Declarations!$C$25)*EXP(-Declarations!$D$25*$B38)+IF(Declarations!$E$25=0,0,Declarations!$E$25*($B38/Declarations!$F$25)*EXP(1-$B38/Declarations!$F$25))+IF($B38&gt;=T_sale,Declarations!$G$25,0)</f>
        <v>39.7453334426294</v>
      </c>
      <c r="I38" s="16" t="n">
        <f aca="false">Declarations!$C$26+(Declarations!$C$8-Declarations!$C$26)*EXP(-Declarations!$D$26*$B38)+IF(Declarations!$E$26=0,0,Declarations!$E$26*($B38/Declarations!$F$26)*EXP(1-$B38/Declarations!$F$26))+IF($B38&gt;=T_sale,Declarations!$G$26,0)</f>
        <v>72.8684229393105</v>
      </c>
      <c r="J38" s="16" t="n">
        <f aca="false">Declarations!$C$27+(Declarations!$C$10-Declarations!$C$27)*EXP(-Declarations!$D$27*$B38)+IF(Declarations!$E$27=0,0,Declarations!$E$27*($B38/Declarations!$F$27)*EXP(1-$B38/Declarations!$F$27))+IF($B38&gt;=T_sale,Declarations!$G$27,0)</f>
        <v>51.7475721676211</v>
      </c>
      <c r="K38" s="16" t="n">
        <f aca="false">Declarations!$C$28+(Declarations!$C$4-Declarations!$C$28)*EXP(-Declarations!$D$28*$B38)+IF(Declarations!$E$28=0,0,Declarations!$E$28*($B38/Declarations!$F$28)*EXP(1-$B38/Declarations!$F$28))+IF($B38&gt;=T_sale,Declarations!$G$28,0)</f>
        <v>103.736845878621</v>
      </c>
      <c r="L38" s="16" t="n">
        <f aca="false">Declarations!$C$29+(Declarations!$C$7-Declarations!$C$29)*EXP(-Declarations!$D$29*$B38)+IF(Declarations!$E$29=0,0,Declarations!$E$29*($B38/Declarations!$F$29)*EXP(1-$B38/Declarations!$F$29))+IF($B38&gt;=T_sale,Declarations!$G$29,0)</f>
        <v>38.1867547280121</v>
      </c>
      <c r="M38" s="16" t="n">
        <f aca="false">Declarations!$C$30+(Declarations!$C$8-Declarations!$C$30)*EXP(-Declarations!$D$30*$B38)+IF(Declarations!$E$30=0,0,Declarations!$E$30*($B38/Declarations!$F$30)*EXP(1-$B38/Declarations!$F$30))+IF($B38&gt;=T_sale,Declarations!$G$30,0)</f>
        <v>76.8197456557279</v>
      </c>
      <c r="N38" s="16" t="n">
        <f aca="false">Declarations!$C$31+(Declarations!$C$10-Declarations!$C$31)*EXP(-Declarations!$D$31*$B38)+IF(Declarations!$E$31=0,0,Declarations!$E$31*($B38/Declarations!$F$31)*EXP(1-$B38/Declarations!$F$31))+IF($B38&gt;=T_sale,Declarations!$G$31,0)</f>
        <v>65.433862669717</v>
      </c>
      <c r="O38" s="16" t="n">
        <f aca="false">W_L*C38+W_T*D38+W_E*E38+W_R*F38</f>
        <v>36.0268451765951</v>
      </c>
      <c r="P38" s="16" t="n">
        <f aca="false">W_L*G38+W_T*H38+W_E*I38+W_R*J38</f>
        <v>45.1945002768187</v>
      </c>
      <c r="Q38" s="16" t="n">
        <f aca="false">W_L*K38+W_T*L38+W_E*M38+W_R*N38</f>
        <v>38.327370898161</v>
      </c>
      <c r="R38" s="19" t="str">
        <f aca="false">IF(AND(O38&gt;=$B$9,O37&lt;$B$9),A38,"")</f>
        <v/>
      </c>
    </row>
    <row r="39" customFormat="false" ht="15" hidden="false" customHeight="false" outlineLevel="0" collapsed="false">
      <c r="A39" s="19" t="n">
        <v>27</v>
      </c>
      <c r="B39" s="20" t="n">
        <f aca="false">A39/12</f>
        <v>2.25</v>
      </c>
      <c r="C39" s="16" t="n">
        <f aca="false">Declarations!$C$20+(Declarations!$C$4-Declarations!$C$20)*EXP(-Declarations!$D$20*$B39)+IF(Declarations!$E$20=0,0,Declarations!$E$20*($B39/Declarations!$F$20)*EXP(1-$B39/Declarations!$F$20))+IF($B39&gt;=T_sale,Declarations!$G$20,0)</f>
        <v>78.7415776479672</v>
      </c>
      <c r="D39" s="16" t="n">
        <f aca="false">Declarations!$C$21+(Declarations!$C$7-Declarations!$C$21)*EXP(-Declarations!$D$21*$B39)+IF(Declarations!$E$21=0,0,Declarations!$E$21*($B39/Declarations!$F$21)*EXP(1-$B39/Declarations!$F$21))+IF($B39&gt;=T_sale,Declarations!$G$21,0)</f>
        <v>67.2659824081448</v>
      </c>
      <c r="E39" s="16" t="n">
        <f aca="false">Declarations!$C$22+(Declarations!$C$8-Declarations!$C$22)*EXP(-Declarations!$D$22*$B39)+IF(Declarations!$E$22=0,0,Declarations!$E$22*($B39/Declarations!$F$22)*EXP(1-$B39/Declarations!$F$22))+IF($B39&gt;=T_sale,Declarations!$G$22,0)</f>
        <v>66.8639212897294</v>
      </c>
      <c r="F39" s="16" t="n">
        <f aca="false">Declarations!$C$23+(Declarations!$C$10-Declarations!$C$23)*EXP(-Declarations!$D$23*$B39)+IF(Declarations!$E$23=0,0,Declarations!$E$23*($B39/Declarations!$F$23)*EXP(1-$B39/Declarations!$F$23))+IF($B39&gt;=T_sale,Declarations!$G$23,0)</f>
        <v>67.2280335931886</v>
      </c>
      <c r="G39" s="16" t="n">
        <f aca="false">Declarations!$C$24+(Declarations!$C$4-Declarations!$C$24)*EXP(-Declarations!$D$24*$B39)+IF(Declarations!$E$24=0,0,Declarations!$E$24*($B39/Declarations!$F$24)*EXP(1-$B39/Declarations!$F$24))+IF($B39&gt;=T_sale,Declarations!$G$24,0)</f>
        <v>119.96337431757</v>
      </c>
      <c r="H39" s="16" t="n">
        <f aca="false">Declarations!$C$25+(Declarations!$C$7-Declarations!$C$25)*EXP(-Declarations!$D$25*$B39)+IF(Declarations!$E$25=0,0,Declarations!$E$25*($B39/Declarations!$F$25)*EXP(1-$B39/Declarations!$F$25))+IF($B39&gt;=T_sale,Declarations!$G$25,0)</f>
        <v>39.7093484741928</v>
      </c>
      <c r="I39" s="16" t="n">
        <f aca="false">Declarations!$C$26+(Declarations!$C$8-Declarations!$C$26)*EXP(-Declarations!$D$26*$B39)+IF(Declarations!$E$26=0,0,Declarations!$E$26*($B39/Declarations!$F$26)*EXP(1-$B39/Declarations!$F$26))+IF($B39&gt;=T_sale,Declarations!$G$26,0)</f>
        <v>72.910071291923</v>
      </c>
      <c r="J39" s="16" t="n">
        <f aca="false">Declarations!$C$27+(Declarations!$C$10-Declarations!$C$27)*EXP(-Declarations!$D$27*$B39)+IF(Declarations!$E$27=0,0,Declarations!$E$27*($B39/Declarations!$F$27)*EXP(1-$B39/Declarations!$F$27))+IF($B39&gt;=T_sale,Declarations!$G$27,0)</f>
        <v>51.6398466137454</v>
      </c>
      <c r="K39" s="16" t="n">
        <f aca="false">Declarations!$C$28+(Declarations!$C$4-Declarations!$C$28)*EXP(-Declarations!$D$28*$B39)+IF(Declarations!$E$28=0,0,Declarations!$E$28*($B39/Declarations!$F$28)*EXP(1-$B39/Declarations!$F$28))+IF($B39&gt;=T_sale,Declarations!$G$28,0)</f>
        <v>103.820142583846</v>
      </c>
      <c r="L39" s="16" t="n">
        <f aca="false">Declarations!$C$29+(Declarations!$C$7-Declarations!$C$29)*EXP(-Declarations!$D$29*$B39)+IF(Declarations!$E$29=0,0,Declarations!$E$29*($B39/Declarations!$F$29)*EXP(1-$B39/Declarations!$F$29))+IF($B39&gt;=T_sale,Declarations!$G$29,0)</f>
        <v>38.1010252129742</v>
      </c>
      <c r="M39" s="16" t="n">
        <f aca="false">Declarations!$C$30+(Declarations!$C$8-Declarations!$C$30)*EXP(-Declarations!$D$30*$B39)+IF(Declarations!$E$30=0,0,Declarations!$E$30*($B39/Declarations!$F$30)*EXP(1-$B39/Declarations!$F$30))+IF($B39&gt;=T_sale,Declarations!$G$30,0)</f>
        <v>76.9260779148329</v>
      </c>
      <c r="N39" s="16" t="n">
        <f aca="false">Declarations!$C$31+(Declarations!$C$10-Declarations!$C$31)*EXP(-Declarations!$D$31*$B39)+IF(Declarations!$E$31=0,0,Declarations!$E$31*($B39/Declarations!$F$31)*EXP(1-$B39/Declarations!$F$31))+IF($B39&gt;=T_sale,Declarations!$G$31,0)</f>
        <v>65.4725307381774</v>
      </c>
      <c r="O39" s="16" t="n">
        <f aca="false">W_L*C39+W_T*D39+W_E*E39+W_R*F39</f>
        <v>36.4108619381632</v>
      </c>
      <c r="P39" s="16" t="n">
        <f aca="false">W_L*G39+W_T*H39+W_E*I39+W_R*J39</f>
        <v>45.235736867485</v>
      </c>
      <c r="Q39" s="16" t="n">
        <f aca="false">W_L*K39+W_T*L39+W_E*M39+W_R*N39</f>
        <v>38.3436787433689</v>
      </c>
      <c r="R39" s="19" t="str">
        <f aca="false">IF(AND(O39&gt;=$B$9,O38&lt;$B$9),A39,"")</f>
        <v/>
      </c>
    </row>
    <row r="40" customFormat="false" ht="15" hidden="false" customHeight="false" outlineLevel="0" collapsed="false">
      <c r="A40" s="19" t="n">
        <v>28</v>
      </c>
      <c r="B40" s="20" t="n">
        <f aca="false">A40/12</f>
        <v>2.33333333333333</v>
      </c>
      <c r="C40" s="16" t="n">
        <f aca="false">Declarations!$C$20+(Declarations!$C$4-Declarations!$C$20)*EXP(-Declarations!$D$20*$B40)+IF(Declarations!$E$20=0,0,Declarations!$E$20*($B40/Declarations!$F$20)*EXP(1-$B40/Declarations!$F$20))+IF($B40&gt;=T_sale,Declarations!$G$20,0)</f>
        <v>79.045437138559</v>
      </c>
      <c r="D40" s="16" t="n">
        <f aca="false">Declarations!$C$21+(Declarations!$C$7-Declarations!$C$21)*EXP(-Declarations!$D$21*$B40)+IF(Declarations!$E$21=0,0,Declarations!$E$21*($B40/Declarations!$F$21)*EXP(1-$B40/Declarations!$F$21))+IF($B40&gt;=T_sale,Declarations!$G$21,0)</f>
        <v>67.7468540616254</v>
      </c>
      <c r="E40" s="16" t="n">
        <f aca="false">Declarations!$C$22+(Declarations!$C$8-Declarations!$C$22)*EXP(-Declarations!$D$22*$B40)+IF(Declarations!$E$22=0,0,Declarations!$E$22*($B40/Declarations!$F$22)*EXP(1-$B40/Declarations!$F$22))+IF($B40&gt;=T_sale,Declarations!$G$22,0)</f>
        <v>67.0990327661884</v>
      </c>
      <c r="F40" s="16" t="n">
        <f aca="false">Declarations!$C$23+(Declarations!$C$10-Declarations!$C$23)*EXP(-Declarations!$D$23*$B40)+IF(Declarations!$E$23=0,0,Declarations!$E$23*($B40/Declarations!$F$23)*EXP(1-$B40/Declarations!$F$23))+IF($B40&gt;=T_sale,Declarations!$G$23,0)</f>
        <v>66.6987308354428</v>
      </c>
      <c r="G40" s="16" t="n">
        <f aca="false">Declarations!$C$24+(Declarations!$C$4-Declarations!$C$24)*EXP(-Declarations!$D$24*$B40)+IF(Declarations!$E$24=0,0,Declarations!$E$24*($B40/Declarations!$F$24)*EXP(1-$B40/Declarations!$F$24))+IF($B40&gt;=T_sale,Declarations!$G$24,0)</f>
        <v>120.013658784834</v>
      </c>
      <c r="H40" s="16" t="n">
        <f aca="false">Declarations!$C$25+(Declarations!$C$7-Declarations!$C$25)*EXP(-Declarations!$D$25*$B40)+IF(Declarations!$E$25=0,0,Declarations!$E$25*($B40/Declarations!$F$25)*EXP(1-$B40/Declarations!$F$25))+IF($B40&gt;=T_sale,Declarations!$G$25,0)</f>
        <v>39.6741054373101</v>
      </c>
      <c r="I40" s="16" t="n">
        <f aca="false">Declarations!$C$26+(Declarations!$C$8-Declarations!$C$26)*EXP(-Declarations!$D$26*$B40)+IF(Declarations!$E$26=0,0,Declarations!$E$26*($B40/Declarations!$F$26)*EXP(1-$B40/Declarations!$F$26))+IF($B40&gt;=T_sale,Declarations!$G$26,0)</f>
        <v>72.9501867526665</v>
      </c>
      <c r="J40" s="16" t="n">
        <f aca="false">Declarations!$C$27+(Declarations!$C$10-Declarations!$C$27)*EXP(-Declarations!$D$27*$B40)+IF(Declarations!$E$27=0,0,Declarations!$E$27*($B40/Declarations!$F$27)*EXP(1-$B40/Declarations!$F$27))+IF($B40&gt;=T_sale,Declarations!$G$27,0)</f>
        <v>51.5352176766762</v>
      </c>
      <c r="K40" s="16" t="n">
        <f aca="false">Declarations!$C$28+(Declarations!$C$4-Declarations!$C$28)*EXP(-Declarations!$D$28*$B40)+IF(Declarations!$E$28=0,0,Declarations!$E$28*($B40/Declarations!$F$28)*EXP(1-$B40/Declarations!$F$28))+IF($B40&gt;=T_sale,Declarations!$G$28,0)</f>
        <v>103.900373505333</v>
      </c>
      <c r="L40" s="16" t="n">
        <f aca="false">Declarations!$C$29+(Declarations!$C$7-Declarations!$C$29)*EXP(-Declarations!$D$29*$B40)+IF(Declarations!$E$29=0,0,Declarations!$E$29*($B40/Declarations!$F$29)*EXP(1-$B40/Declarations!$F$29))+IF($B40&gt;=T_sale,Declarations!$G$29,0)</f>
        <v>38.0167126821845</v>
      </c>
      <c r="M40" s="16" t="n">
        <f aca="false">Declarations!$C$30+(Declarations!$C$8-Declarations!$C$30)*EXP(-Declarations!$D$30*$B40)+IF(Declarations!$E$30=0,0,Declarations!$E$30*($B40/Declarations!$F$30)*EXP(1-$B40/Declarations!$F$30))+IF($B40&gt;=T_sale,Declarations!$G$30,0)</f>
        <v>77.0272242884672</v>
      </c>
      <c r="N40" s="16" t="n">
        <f aca="false">Declarations!$C$31+(Declarations!$C$10-Declarations!$C$31)*EXP(-Declarations!$D$31*$B40)+IF(Declarations!$E$31=0,0,Declarations!$E$31*($B40/Declarations!$F$31)*EXP(1-$B40/Declarations!$F$31))+IF($B40&gt;=T_sale,Declarations!$G$31,0)</f>
        <v>65.5102440886258</v>
      </c>
      <c r="O40" s="16" t="n">
        <f aca="false">W_L*C40+W_T*D40+W_E*E40+W_R*F40</f>
        <v>36.7981482827325</v>
      </c>
      <c r="P40" s="16" t="n">
        <f aca="false">W_L*G40+W_T*H40+W_E*I40+W_R*J40</f>
        <v>45.2756833245337</v>
      </c>
      <c r="Q40" s="16" t="n">
        <f aca="false">W_L*K40+W_T*L40+W_E*M40+W_R*N40</f>
        <v>38.3585165968397</v>
      </c>
      <c r="R40" s="19" t="str">
        <f aca="false">IF(AND(O40&gt;=$B$9,O39&lt;$B$9),A40,"")</f>
        <v/>
      </c>
    </row>
    <row r="41" customFormat="false" ht="15" hidden="false" customHeight="false" outlineLevel="0" collapsed="false">
      <c r="A41" s="19" t="n">
        <v>29</v>
      </c>
      <c r="B41" s="20" t="n">
        <f aca="false">A41/12</f>
        <v>2.41666666666667</v>
      </c>
      <c r="C41" s="16" t="n">
        <f aca="false">Declarations!$C$20+(Declarations!$C$4-Declarations!$C$20)*EXP(-Declarations!$D$20*$B41)+IF(Declarations!$E$20=0,0,Declarations!$E$20*($B41/Declarations!$F$20)*EXP(1-$B41/Declarations!$F$20))+IF($B41&gt;=T_sale,Declarations!$G$20,0)</f>
        <v>79.3790924409648</v>
      </c>
      <c r="D41" s="16" t="n">
        <f aca="false">Declarations!$C$21+(Declarations!$C$7-Declarations!$C$21)*EXP(-Declarations!$D$21*$B41)+IF(Declarations!$E$21=0,0,Declarations!$E$21*($B41/Declarations!$F$21)*EXP(1-$B41/Declarations!$F$21))+IF($B41&gt;=T_sale,Declarations!$G$21,0)</f>
        <v>68.2061832176076</v>
      </c>
      <c r="E41" s="16" t="n">
        <f aca="false">Declarations!$C$22+(Declarations!$C$8-Declarations!$C$22)*EXP(-Declarations!$D$22*$B41)+IF(Declarations!$E$22=0,0,Declarations!$E$22*($B41/Declarations!$F$22)*EXP(1-$B41/Declarations!$F$22))+IF($B41&gt;=T_sale,Declarations!$G$22,0)</f>
        <v>67.3379933873867</v>
      </c>
      <c r="F41" s="16" t="n">
        <f aca="false">Declarations!$C$23+(Declarations!$C$10-Declarations!$C$23)*EXP(-Declarations!$D$23*$B41)+IF(Declarations!$E$23=0,0,Declarations!$E$23*($B41/Declarations!$F$23)*EXP(1-$B41/Declarations!$F$23))+IF($B41&gt;=T_sale,Declarations!$G$23,0)</f>
        <v>66.1736283587675</v>
      </c>
      <c r="G41" s="16" t="n">
        <f aca="false">Declarations!$C$24+(Declarations!$C$4-Declarations!$C$24)*EXP(-Declarations!$D$24*$B41)+IF(Declarations!$E$24=0,0,Declarations!$E$24*($B41/Declarations!$F$24)*EXP(1-$B41/Declarations!$F$24))+IF($B41&gt;=T_sale,Declarations!$G$24,0)</f>
        <v>120.062701724179</v>
      </c>
      <c r="H41" s="16" t="n">
        <f aca="false">Declarations!$C$25+(Declarations!$C$7-Declarations!$C$25)*EXP(-Declarations!$D$25*$B41)+IF(Declarations!$E$25=0,0,Declarations!$E$25*($B41/Declarations!$F$25)*EXP(1-$B41/Declarations!$F$25))+IF($B41&gt;=T_sale,Declarations!$G$25,0)</f>
        <v>39.6395890349713</v>
      </c>
      <c r="I41" s="16" t="n">
        <f aca="false">Declarations!$C$26+(Declarations!$C$8-Declarations!$C$26)*EXP(-Declarations!$D$26*$B41)+IF(Declarations!$E$26=0,0,Declarations!$E$26*($B41/Declarations!$F$26)*EXP(1-$B41/Declarations!$F$26))+IF($B41&gt;=T_sale,Declarations!$G$26,0)</f>
        <v>72.988825740519</v>
      </c>
      <c r="J41" s="16" t="n">
        <f aca="false">Declarations!$C$27+(Declarations!$C$10-Declarations!$C$27)*EXP(-Declarations!$D$27*$B41)+IF(Declarations!$E$27=0,0,Declarations!$E$27*($B41/Declarations!$F$27)*EXP(1-$B41/Declarations!$F$27))+IF($B41&gt;=T_sale,Declarations!$G$27,0)</f>
        <v>51.433596342848</v>
      </c>
      <c r="K41" s="16" t="n">
        <f aca="false">Declarations!$C$28+(Declarations!$C$4-Declarations!$C$28)*EXP(-Declarations!$D$28*$B41)+IF(Declarations!$E$28=0,0,Declarations!$E$28*($B41/Declarations!$F$28)*EXP(1-$B41/Declarations!$F$28))+IF($B41&gt;=T_sale,Declarations!$G$28,0)</f>
        <v>103.977651481038</v>
      </c>
      <c r="L41" s="16" t="n">
        <f aca="false">Declarations!$C$29+(Declarations!$C$7-Declarations!$C$29)*EXP(-Declarations!$D$29*$B41)+IF(Declarations!$E$29=0,0,Declarations!$E$29*($B41/Declarations!$F$29)*EXP(1-$B41/Declarations!$F$29))+IF($B41&gt;=T_sale,Declarations!$G$29,0)</f>
        <v>37.9337937149533</v>
      </c>
      <c r="M41" s="16" t="n">
        <f aca="false">Declarations!$C$30+(Declarations!$C$8-Declarations!$C$30)*EXP(-Declarations!$D$30*$B41)+IF(Declarations!$E$30=0,0,Declarations!$E$30*($B41/Declarations!$F$30)*EXP(1-$B41/Declarations!$F$30))+IF($B41&gt;=T_sale,Declarations!$G$30,0)</f>
        <v>77.1234376952496</v>
      </c>
      <c r="N41" s="16" t="n">
        <f aca="false">Declarations!$C$31+(Declarations!$C$10-Declarations!$C$31)*EXP(-Declarations!$D$31*$B41)+IF(Declarations!$E$31=0,0,Declarations!$E$31*($B41/Declarations!$F$31)*EXP(1-$B41/Declarations!$F$31))+IF($B41&gt;=T_sale,Declarations!$G$31,0)</f>
        <v>65.5470262931339</v>
      </c>
      <c r="O41" s="16" t="n">
        <f aca="false">W_L*C41+W_T*D41+W_E*E41+W_R*F41</f>
        <v>37.1874101717979</v>
      </c>
      <c r="P41" s="16" t="n">
        <f aca="false">W_L*G41+W_T*H41+W_E*I41+W_R*J41</f>
        <v>45.3143800392052</v>
      </c>
      <c r="Q41" s="16" t="n">
        <f aca="false">W_L*K41+W_T*L41+W_E*M41+W_R*N41</f>
        <v>38.3719641495268</v>
      </c>
      <c r="R41" s="19" t="n">
        <f aca="false">IF(AND(O41&gt;=$B$9,O40&lt;$B$9),A41,"")</f>
        <v>29</v>
      </c>
    </row>
    <row r="42" customFormat="false" ht="15" hidden="false" customHeight="false" outlineLevel="0" collapsed="false">
      <c r="A42" s="19" t="n">
        <v>30</v>
      </c>
      <c r="B42" s="20" t="n">
        <f aca="false">A42/12</f>
        <v>2.5</v>
      </c>
      <c r="C42" s="16" t="n">
        <f aca="false">Declarations!$C$20+(Declarations!$C$4-Declarations!$C$20)*EXP(-Declarations!$D$20*$B42)+IF(Declarations!$E$20=0,0,Declarations!$E$20*($B42/Declarations!$F$20)*EXP(1-$B42/Declarations!$F$20))+IF($B42&gt;=T_sale,Declarations!$G$20,0)</f>
        <v>79.7396283563587</v>
      </c>
      <c r="D42" s="16" t="n">
        <f aca="false">Declarations!$C$21+(Declarations!$C$7-Declarations!$C$21)*EXP(-Declarations!$D$21*$B42)+IF(Declarations!$E$21=0,0,Declarations!$E$21*($B42/Declarations!$F$21)*EXP(1-$B42/Declarations!$F$21))+IF($B42&gt;=T_sale,Declarations!$G$21,0)</f>
        <v>68.6449349552244</v>
      </c>
      <c r="E42" s="16" t="n">
        <f aca="false">Declarations!$C$22+(Declarations!$C$8-Declarations!$C$22)*EXP(-Declarations!$D$22*$B42)+IF(Declarations!$E$22=0,0,Declarations!$E$22*($B42/Declarations!$F$22)*EXP(1-$B42/Declarations!$F$22))+IF($B42&gt;=T_sale,Declarations!$G$22,0)</f>
        <v>67.57971443335</v>
      </c>
      <c r="F42" s="16" t="n">
        <f aca="false">Declarations!$C$23+(Declarations!$C$10-Declarations!$C$23)*EXP(-Declarations!$D$23*$B42)+IF(Declarations!$E$23=0,0,Declarations!$E$23*($B42/Declarations!$F$23)*EXP(1-$B42/Declarations!$F$23))+IF($B42&gt;=T_sale,Declarations!$G$23,0)</f>
        <v>65.6543409675087</v>
      </c>
      <c r="G42" s="16" t="n">
        <f aca="false">Declarations!$C$24+(Declarations!$C$4-Declarations!$C$24)*EXP(-Declarations!$D$24*$B42)+IF(Declarations!$E$24=0,0,Declarations!$E$24*($B42/Declarations!$F$24)*EXP(1-$B42/Declarations!$F$24))+IF($B42&gt;=T_sale,Declarations!$G$24,0)</f>
        <v>120.110533789036</v>
      </c>
      <c r="H42" s="16" t="n">
        <f aca="false">Declarations!$C$25+(Declarations!$C$7-Declarations!$C$25)*EXP(-Declarations!$D$25*$B42)+IF(Declarations!$E$25=0,0,Declarations!$E$25*($B42/Declarations!$F$25)*EXP(1-$B42/Declarations!$F$25))+IF($B42&gt;=T_sale,Declarations!$G$25,0)</f>
        <v>39.605784285557</v>
      </c>
      <c r="I42" s="16" t="n">
        <f aca="false">Declarations!$C$26+(Declarations!$C$8-Declarations!$C$26)*EXP(-Declarations!$D$26*$B42)+IF(Declarations!$E$26=0,0,Declarations!$E$26*($B42/Declarations!$F$26)*EXP(1-$B42/Declarations!$F$26))+IF($B42&gt;=T_sale,Declarations!$G$26,0)</f>
        <v>73.026042597925</v>
      </c>
      <c r="J42" s="16" t="n">
        <f aca="false">Declarations!$C$27+(Declarations!$C$10-Declarations!$C$27)*EXP(-Declarations!$D$27*$B42)+IF(Declarations!$E$27=0,0,Declarations!$E$27*($B42/Declarations!$F$27)*EXP(1-$B42/Declarations!$F$27))+IF($B42&gt;=T_sale,Declarations!$G$27,0)</f>
        <v>51.3348961574281</v>
      </c>
      <c r="K42" s="16" t="n">
        <f aca="false">Declarations!$C$28+(Declarations!$C$4-Declarations!$C$28)*EXP(-Declarations!$D$28*$B42)+IF(Declarations!$E$28=0,0,Declarations!$E$28*($B42/Declarations!$F$28)*EXP(1-$B42/Declarations!$F$28))+IF($B42&gt;=T_sale,Declarations!$G$28,0)</f>
        <v>104.05208519585</v>
      </c>
      <c r="L42" s="16" t="n">
        <f aca="false">Declarations!$C$29+(Declarations!$C$7-Declarations!$C$29)*EXP(-Declarations!$D$29*$B42)+IF(Declarations!$E$29=0,0,Declarations!$E$29*($B42/Declarations!$F$29)*EXP(1-$B42/Declarations!$F$29))+IF($B42&gt;=T_sale,Declarations!$G$29,0)</f>
        <v>37.8522452777011</v>
      </c>
      <c r="M42" s="16" t="n">
        <f aca="false">Declarations!$C$30+(Declarations!$C$8-Declarations!$C$30)*EXP(-Declarations!$D$30*$B42)+IF(Declarations!$E$30=0,0,Declarations!$E$30*($B42/Declarations!$F$30)*EXP(1-$B42/Declarations!$F$30))+IF($B42&gt;=T_sale,Declarations!$G$30,0)</f>
        <v>77.2149587188126</v>
      </c>
      <c r="N42" s="16" t="n">
        <f aca="false">Declarations!$C$31+(Declarations!$C$10-Declarations!$C$31)*EXP(-Declarations!$D$31*$B42)+IF(Declarations!$E$31=0,0,Declarations!$E$31*($B42/Declarations!$F$31)*EXP(1-$B42/Declarations!$F$31))+IF($B42&gt;=T_sale,Declarations!$G$31,0)</f>
        <v>65.582900341777</v>
      </c>
      <c r="O42" s="16" t="n">
        <f aca="false">W_L*C42+W_T*D42+W_E*E42+W_R*F42</f>
        <v>37.5774841943561</v>
      </c>
      <c r="P42" s="16" t="n">
        <f aca="false">W_L*G42+W_T*H42+W_E*I42+W_R*J42</f>
        <v>45.3518661287725</v>
      </c>
      <c r="Q42" s="16" t="n">
        <f aca="false">W_L*K42+W_T*L42+W_E*M42+W_R*N42</f>
        <v>38.3840972126466</v>
      </c>
      <c r="R42" s="19" t="str">
        <f aca="false">IF(AND(O42&gt;=$B$9,O41&lt;$B$9),A42,"")</f>
        <v/>
      </c>
    </row>
    <row r="43" customFormat="false" ht="15" hidden="false" customHeight="false" outlineLevel="0" collapsed="false">
      <c r="A43" s="19" t="n">
        <v>31</v>
      </c>
      <c r="B43" s="20" t="n">
        <f aca="false">A43/12</f>
        <v>2.58333333333333</v>
      </c>
      <c r="C43" s="16" t="n">
        <f aca="false">Declarations!$C$20+(Declarations!$C$4-Declarations!$C$20)*EXP(-Declarations!$D$20*$B43)+IF(Declarations!$E$20=0,0,Declarations!$E$20*($B43/Declarations!$F$20)*EXP(1-$B43/Declarations!$F$20))+IF($B43&gt;=T_sale,Declarations!$G$20,0)</f>
        <v>80.1243173459593</v>
      </c>
      <c r="D43" s="16" t="n">
        <f aca="false">Declarations!$C$21+(Declarations!$C$7-Declarations!$C$21)*EXP(-Declarations!$D$21*$B43)+IF(Declarations!$E$21=0,0,Declarations!$E$21*($B43/Declarations!$F$21)*EXP(1-$B43/Declarations!$F$21))+IF($B43&gt;=T_sale,Declarations!$G$21,0)</f>
        <v>69.0640311191727</v>
      </c>
      <c r="E43" s="16" t="n">
        <f aca="false">Declarations!$C$22+(Declarations!$C$8-Declarations!$C$22)*EXP(-Declarations!$D$22*$B43)+IF(Declarations!$E$22=0,0,Declarations!$E$22*($B43/Declarations!$F$22)*EXP(1-$B43/Declarations!$F$22))+IF($B43&gt;=T_sale,Declarations!$G$22,0)</f>
        <v>67.8232130453035</v>
      </c>
      <c r="F43" s="16" t="n">
        <f aca="false">Declarations!$C$23+(Declarations!$C$10-Declarations!$C$23)*EXP(-Declarations!$D$23*$B43)+IF(Declarations!$E$23=0,0,Declarations!$E$23*($B43/Declarations!$F$23)*EXP(1-$B43/Declarations!$F$23))+IF($B43&gt;=T_sale,Declarations!$G$23,0)</f>
        <v>65.1422545781151</v>
      </c>
      <c r="G43" s="16" t="n">
        <f aca="false">Declarations!$C$24+(Declarations!$C$4-Declarations!$C$24)*EXP(-Declarations!$D$24*$B43)+IF(Declarations!$E$24=0,0,Declarations!$E$24*($B43/Declarations!$F$24)*EXP(1-$B43/Declarations!$F$24))+IF($B43&gt;=T_sale,Declarations!$G$24,0)</f>
        <v>120.157184876004</v>
      </c>
      <c r="H43" s="16" t="n">
        <f aca="false">Declarations!$C$25+(Declarations!$C$7-Declarations!$C$25)*EXP(-Declarations!$D$25*$B43)+IF(Declarations!$E$25=0,0,Declarations!$E$25*($B43/Declarations!$F$25)*EXP(1-$B43/Declarations!$F$25))+IF($B43&gt;=T_sale,Declarations!$G$25,0)</f>
        <v>39.5726765163362</v>
      </c>
      <c r="I43" s="16" t="n">
        <f aca="false">Declarations!$C$26+(Declarations!$C$8-Declarations!$C$26)*EXP(-Declarations!$D$26*$B43)+IF(Declarations!$E$26=0,0,Declarations!$E$26*($B43/Declarations!$F$26)*EXP(1-$B43/Declarations!$F$26))+IF($B43&gt;=T_sale,Declarations!$G$26,0)</f>
        <v>73.0618896672234</v>
      </c>
      <c r="J43" s="16" t="n">
        <f aca="false">Declarations!$C$27+(Declarations!$C$10-Declarations!$C$27)*EXP(-Declarations!$D$27*$B43)+IF(Declarations!$E$27=0,0,Declarations!$E$27*($B43/Declarations!$F$27)*EXP(1-$B43/Declarations!$F$27))+IF($B43&gt;=T_sale,Declarations!$G$27,0)</f>
        <v>51.2390331507645</v>
      </c>
      <c r="K43" s="16" t="n">
        <f aca="false">Declarations!$C$28+(Declarations!$C$4-Declarations!$C$28)*EXP(-Declarations!$D$28*$B43)+IF(Declarations!$E$28=0,0,Declarations!$E$28*($B43/Declarations!$F$28)*EXP(1-$B43/Declarations!$F$28))+IF($B43&gt;=T_sale,Declarations!$G$28,0)</f>
        <v>104.123779334447</v>
      </c>
      <c r="L43" s="16" t="n">
        <f aca="false">Declarations!$C$29+(Declarations!$C$7-Declarations!$C$29)*EXP(-Declarations!$D$29*$B43)+IF(Declarations!$E$29=0,0,Declarations!$E$29*($B43/Declarations!$F$29)*EXP(1-$B43/Declarations!$F$29))+IF($B43&gt;=T_sale,Declarations!$G$29,0)</f>
        <v>37.7720447175597</v>
      </c>
      <c r="M43" s="16" t="n">
        <f aca="false">Declarations!$C$30+(Declarations!$C$8-Declarations!$C$30)*EXP(-Declarations!$D$30*$B43)+IF(Declarations!$E$30=0,0,Declarations!$E$30*($B43/Declarations!$F$30)*EXP(1-$B43/Declarations!$F$30))+IF($B43&gt;=T_sale,Declarations!$G$30,0)</f>
        <v>77.3020162093861</v>
      </c>
      <c r="N43" s="16" t="n">
        <f aca="false">Declarations!$C$31+(Declarations!$C$10-Declarations!$C$31)*EXP(-Declarations!$D$31*$B43)+IF(Declarations!$E$31=0,0,Declarations!$E$31*($B43/Declarations!$F$31)*EXP(1-$B43/Declarations!$F$31))+IF($B43&gt;=T_sale,Declarations!$G$31,0)</f>
        <v>65.6178886570031</v>
      </c>
      <c r="O43" s="16" t="n">
        <f aca="false">W_L*C43+W_T*D43+W_E*E43+W_R*F43</f>
        <v>37.9673267330801</v>
      </c>
      <c r="P43" s="16" t="n">
        <f aca="false">W_L*G43+W_T*H43+W_E*I43+W_R*J43</f>
        <v>45.3881794771998</v>
      </c>
      <c r="Q43" s="16" t="n">
        <f aca="false">W_L*K43+W_T*L43+W_E*M43+W_R*N43</f>
        <v>38.3949879010974</v>
      </c>
      <c r="R43" s="19" t="str">
        <f aca="false">IF(AND(O43&gt;=$B$9,O42&lt;$B$9),A43,"")</f>
        <v/>
      </c>
    </row>
    <row r="44" customFormat="false" ht="15" hidden="false" customHeight="false" outlineLevel="0" collapsed="false">
      <c r="A44" s="19" t="n">
        <v>32</v>
      </c>
      <c r="B44" s="20" t="n">
        <f aca="false">A44/12</f>
        <v>2.66666666666667</v>
      </c>
      <c r="C44" s="16" t="n">
        <f aca="false">Declarations!$C$20+(Declarations!$C$4-Declarations!$C$20)*EXP(-Declarations!$D$20*$B44)+IF(Declarations!$E$20=0,0,Declarations!$E$20*($B44/Declarations!$F$20)*EXP(1-$B44/Declarations!$F$20))+IF($B44&gt;=T_sale,Declarations!$G$20,0)</f>
        <v>80.5306090881554</v>
      </c>
      <c r="D44" s="16" t="n">
        <f aca="false">Declarations!$C$21+(Declarations!$C$7-Declarations!$C$21)*EXP(-Declarations!$D$21*$B44)+IF(Declarations!$E$21=0,0,Declarations!$E$21*($B44/Declarations!$F$21)*EXP(1-$B44/Declarations!$F$21))+IF($B44&gt;=T_sale,Declarations!$G$21,0)</f>
        <v>69.4643522565664</v>
      </c>
      <c r="E44" s="16" t="n">
        <f aca="false">Declarations!$C$22+(Declarations!$C$8-Declarations!$C$22)*EXP(-Declarations!$D$22*$B44)+IF(Declarations!$E$22=0,0,Declarations!$E$22*($B44/Declarations!$F$22)*EXP(1-$B44/Declarations!$F$22))+IF($B44&gt;=T_sale,Declarations!$G$22,0)</f>
        <v>68.0676039867308</v>
      </c>
      <c r="F44" s="16" t="n">
        <f aca="false">Declarations!$C$23+(Declarations!$C$10-Declarations!$C$23)*EXP(-Declarations!$D$23*$B44)+IF(Declarations!$E$23=0,0,Declarations!$E$23*($B44/Declarations!$F$23)*EXP(1-$B44/Declarations!$F$23))+IF($B44&gt;=T_sale,Declarations!$G$23,0)</f>
        <v>64.6385494433426</v>
      </c>
      <c r="G44" s="16" t="n">
        <f aca="false">Declarations!$C$24+(Declarations!$C$4-Declarations!$C$24)*EXP(-Declarations!$D$24*$B44)+IF(Declarations!$E$24=0,0,Declarations!$E$24*($B44/Declarations!$F$24)*EXP(1-$B44/Declarations!$F$24))+IF($B44&gt;=T_sale,Declarations!$G$24,0)</f>
        <v>120.202684143531</v>
      </c>
      <c r="H44" s="16" t="n">
        <f aca="false">Declarations!$C$25+(Declarations!$C$7-Declarations!$C$25)*EXP(-Declarations!$D$25*$B44)+IF(Declarations!$E$25=0,0,Declarations!$E$25*($B44/Declarations!$F$25)*EXP(1-$B44/Declarations!$F$25))+IF($B44&gt;=T_sale,Declarations!$G$25,0)</f>
        <v>39.5402513570978</v>
      </c>
      <c r="I44" s="16" t="n">
        <f aca="false">Declarations!$C$26+(Declarations!$C$8-Declarations!$C$26)*EXP(-Declarations!$D$26*$B44)+IF(Declarations!$E$26=0,0,Declarations!$E$26*($B44/Declarations!$F$26)*EXP(1-$B44/Declarations!$F$26))+IF($B44&gt;=T_sale,Declarations!$G$26,0)</f>
        <v>73.0964173642634</v>
      </c>
      <c r="J44" s="16" t="n">
        <f aca="false">Declarations!$C$27+(Declarations!$C$10-Declarations!$C$27)*EXP(-Declarations!$D$27*$B44)+IF(Declarations!$E$27=0,0,Declarations!$E$27*($B44/Declarations!$F$27)*EXP(1-$B44/Declarations!$F$27))+IF($B44&gt;=T_sale,Declarations!$G$27,0)</f>
        <v>51.1459257669488</v>
      </c>
      <c r="K44" s="16" t="n">
        <f aca="false">Declarations!$C$28+(Declarations!$C$4-Declarations!$C$28)*EXP(-Declarations!$D$28*$B44)+IF(Declarations!$E$28=0,0,Declarations!$E$28*($B44/Declarations!$F$28)*EXP(1-$B44/Declarations!$F$28))+IF($B44&gt;=T_sale,Declarations!$G$28,0)</f>
        <v>104.192834728527</v>
      </c>
      <c r="L44" s="16" t="n">
        <f aca="false">Declarations!$C$29+(Declarations!$C$7-Declarations!$C$29)*EXP(-Declarations!$D$29*$B44)+IF(Declarations!$E$29=0,0,Declarations!$E$29*($B44/Declarations!$F$29)*EXP(1-$B44/Declarations!$F$29))+IF($B44&gt;=T_sale,Declarations!$G$29,0)</f>
        <v>37.6931697560803</v>
      </c>
      <c r="M44" s="16" t="n">
        <f aca="false">Declarations!$C$30+(Declarations!$C$8-Declarations!$C$30)*EXP(-Declarations!$D$30*$B44)+IF(Declarations!$E$30=0,0,Declarations!$E$30*($B44/Declarations!$F$30)*EXP(1-$B44/Declarations!$F$30))+IF($B44&gt;=T_sale,Declarations!$G$30,0)</f>
        <v>77.3848278560428</v>
      </c>
      <c r="N44" s="16" t="n">
        <f aca="false">Declarations!$C$31+(Declarations!$C$10-Declarations!$C$31)*EXP(-Declarations!$D$31*$B44)+IF(Declarations!$E$31=0,0,Declarations!$E$31*($B44/Declarations!$F$31)*EXP(1-$B44/Declarations!$F$31))+IF($B44&gt;=T_sale,Declarations!$G$31,0)</f>
        <v>65.6520131076483</v>
      </c>
      <c r="O44" s="16" t="n">
        <f aca="false">W_L*C44+W_T*D44+W_E*E44+W_R*F44</f>
        <v>38.3560039720275</v>
      </c>
      <c r="P44" s="16" t="n">
        <f aca="false">W_L*G44+W_T*H44+W_E*I44+W_R*J44</f>
        <v>45.4233567744859</v>
      </c>
      <c r="Q44" s="16" t="n">
        <f aca="false">W_L*K44+W_T*L44+W_E*M44+W_R*N44</f>
        <v>38.4047048082504</v>
      </c>
      <c r="R44" s="19" t="str">
        <f aca="false">IF(AND(O44&gt;=$B$9,O43&lt;$B$9),A44,"")</f>
        <v/>
      </c>
    </row>
    <row r="45" customFormat="false" ht="15" hidden="false" customHeight="false" outlineLevel="0" collapsed="false">
      <c r="A45" s="19" t="n">
        <v>33</v>
      </c>
      <c r="B45" s="20" t="n">
        <f aca="false">A45/12</f>
        <v>2.75</v>
      </c>
      <c r="C45" s="16" t="n">
        <f aca="false">Declarations!$C$20+(Declarations!$C$4-Declarations!$C$20)*EXP(-Declarations!$D$20*$B45)+IF(Declarations!$E$20=0,0,Declarations!$E$20*($B45/Declarations!$F$20)*EXP(1-$B45/Declarations!$F$20))+IF($B45&gt;=T_sale,Declarations!$G$20,0)</f>
        <v>80.9561205749002</v>
      </c>
      <c r="D45" s="16" t="n">
        <f aca="false">Declarations!$C$21+(Declarations!$C$7-Declarations!$C$21)*EXP(-Declarations!$D$21*$B45)+IF(Declarations!$E$21=0,0,Declarations!$E$21*($B45/Declarations!$F$21)*EXP(1-$B45/Declarations!$F$21))+IF($B45&gt;=T_sale,Declarations!$G$21,0)</f>
        <v>69.8467394670203</v>
      </c>
      <c r="E45" s="16" t="n">
        <f aca="false">Declarations!$C$22+(Declarations!$C$8-Declarations!$C$22)*EXP(-Declarations!$D$22*$B45)+IF(Declarations!$E$22=0,0,Declarations!$E$22*($B45/Declarations!$F$22)*EXP(1-$B45/Declarations!$F$22))+IF($B45&gt;=T_sale,Declarations!$G$22,0)</f>
        <v>68.3120919848047</v>
      </c>
      <c r="F45" s="16" t="n">
        <f aca="false">Declarations!$C$23+(Declarations!$C$10-Declarations!$C$23)*EXP(-Declarations!$D$23*$B45)+IF(Declarations!$E$23=0,0,Declarations!$E$23*($B45/Declarations!$F$23)*EXP(1-$B45/Declarations!$F$23))+IF($B45&gt;=T_sale,Declarations!$G$23,0)</f>
        <v>64.144221297692</v>
      </c>
      <c r="G45" s="16" t="n">
        <f aca="false">Declarations!$C$24+(Declarations!$C$4-Declarations!$C$24)*EXP(-Declarations!$D$24*$B45)+IF(Declarations!$E$24=0,0,Declarations!$E$24*($B45/Declarations!$F$24)*EXP(1-$B45/Declarations!$F$24))+IF($B45&gt;=T_sale,Declarations!$G$24,0)</f>
        <v>120.24706003014</v>
      </c>
      <c r="H45" s="16" t="n">
        <f aca="false">Declarations!$C$25+(Declarations!$C$7-Declarations!$C$25)*EXP(-Declarations!$D$25*$B45)+IF(Declarations!$E$25=0,0,Declarations!$E$25*($B45/Declarations!$F$25)*EXP(1-$B45/Declarations!$F$25))+IF($B45&gt;=T_sale,Declarations!$G$25,0)</f>
        <v>39.5084947339128</v>
      </c>
      <c r="I45" s="16" t="n">
        <f aca="false">Declarations!$C$26+(Declarations!$C$8-Declarations!$C$26)*EXP(-Declarations!$D$26*$B45)+IF(Declarations!$E$26=0,0,Declarations!$E$26*($B45/Declarations!$F$26)*EXP(1-$B45/Declarations!$F$26))+IF($B45&gt;=T_sale,Declarations!$G$26,0)</f>
        <v>73.129674249309</v>
      </c>
      <c r="J45" s="16" t="n">
        <f aca="false">Declarations!$C$27+(Declarations!$C$10-Declarations!$C$27)*EXP(-Declarations!$D$27*$B45)+IF(Declarations!$E$27=0,0,Declarations!$E$27*($B45/Declarations!$F$27)*EXP(1-$B45/Declarations!$F$27))+IF($B45&gt;=T_sale,Declarations!$G$27,0)</f>
        <v>51.0554947944316</v>
      </c>
      <c r="K45" s="16" t="n">
        <f aca="false">Declarations!$C$28+(Declarations!$C$4-Declarations!$C$28)*EXP(-Declarations!$D$28*$B45)+IF(Declarations!$E$28=0,0,Declarations!$E$28*($B45/Declarations!$F$28)*EXP(1-$B45/Declarations!$F$28))+IF($B45&gt;=T_sale,Declarations!$G$28,0)</f>
        <v>104.259348498618</v>
      </c>
      <c r="L45" s="16" t="n">
        <f aca="false">Declarations!$C$29+(Declarations!$C$7-Declarations!$C$29)*EXP(-Declarations!$D$29*$B45)+IF(Declarations!$E$29=0,0,Declarations!$E$29*($B45/Declarations!$F$29)*EXP(1-$B45/Declarations!$F$29))+IF($B45&gt;=T_sale,Declarations!$G$29,0)</f>
        <v>37.6155984830439</v>
      </c>
      <c r="M45" s="16" t="n">
        <f aca="false">Declarations!$C$30+(Declarations!$C$8-Declarations!$C$30)*EXP(-Declarations!$D$30*$B45)+IF(Declarations!$E$30=0,0,Declarations!$E$30*($B45/Declarations!$F$30)*EXP(1-$B45/Declarations!$F$30))+IF($B45&gt;=T_sale,Declarations!$G$30,0)</f>
        <v>77.463600731034</v>
      </c>
      <c r="N45" s="16" t="n">
        <f aca="false">Declarations!$C$31+(Declarations!$C$10-Declarations!$C$31)*EXP(-Declarations!$D$31*$B45)+IF(Declarations!$E$31=0,0,Declarations!$E$31*($B45/Declarations!$F$31)*EXP(1-$B45/Declarations!$F$31))+IF($B45&gt;=T_sale,Declarations!$G$31,0)</f>
        <v>65.6852950226052</v>
      </c>
      <c r="O45" s="16" t="n">
        <f aca="false">W_L*C45+W_T*D45+W_E*E45+W_R*F45</f>
        <v>38.7426826822583</v>
      </c>
      <c r="P45" s="16" t="n">
        <f aca="false">W_L*G45+W_T*H45+W_E*I45+W_R*J45</f>
        <v>45.4574335547326</v>
      </c>
      <c r="Q45" s="16" t="n">
        <f aca="false">W_L*K45+W_T*L45+W_E*M45+W_R*N45</f>
        <v>38.4133131725227</v>
      </c>
      <c r="R45" s="19" t="str">
        <f aca="false">IF(AND(O45&gt;=$B$9,O44&lt;$B$9),A45,"")</f>
        <v/>
      </c>
    </row>
    <row r="46" customFormat="false" ht="15" hidden="false" customHeight="false" outlineLevel="0" collapsed="false">
      <c r="A46" s="19" t="n">
        <v>34</v>
      </c>
      <c r="B46" s="20" t="n">
        <f aca="false">A46/12</f>
        <v>2.83333333333333</v>
      </c>
      <c r="C46" s="16" t="n">
        <f aca="false">Declarations!$C$20+(Declarations!$C$4-Declarations!$C$20)*EXP(-Declarations!$D$20*$B46)+IF(Declarations!$E$20=0,0,Declarations!$E$20*($B46/Declarations!$F$20)*EXP(1-$B46/Declarations!$F$20))+IF($B46&gt;=T_sale,Declarations!$G$20,0)</f>
        <v>81.3986267207659</v>
      </c>
      <c r="D46" s="16" t="n">
        <f aca="false">Declarations!$C$21+(Declarations!$C$7-Declarations!$C$21)*EXP(-Declarations!$D$21*$B46)+IF(Declarations!$E$21=0,0,Declarations!$E$21*($B46/Declarations!$F$21)*EXP(1-$B46/Declarations!$F$21))+IF($B46&gt;=T_sale,Declarations!$G$21,0)</f>
        <v>70.2119961698534</v>
      </c>
      <c r="E46" s="16" t="n">
        <f aca="false">Declarations!$C$22+(Declarations!$C$8-Declarations!$C$22)*EXP(-Declarations!$D$22*$B46)+IF(Declarations!$E$22=0,0,Declarations!$E$22*($B46/Declarations!$F$22)*EXP(1-$B46/Declarations!$F$22))+IF($B46&gt;=T_sale,Declarations!$G$22,0)</f>
        <v>68.5559646135639</v>
      </c>
      <c r="F46" s="16" t="n">
        <f aca="false">Declarations!$C$23+(Declarations!$C$10-Declarations!$C$23)*EXP(-Declarations!$D$23*$B46)+IF(Declarations!$E$23=0,0,Declarations!$E$23*($B46/Declarations!$F$23)*EXP(1-$B46/Declarations!$F$23))+IF($B46&gt;=T_sale,Declarations!$G$23,0)</f>
        <v>63.6601005982351</v>
      </c>
      <c r="G46" s="16" t="n">
        <f aca="false">Declarations!$C$24+(Declarations!$C$4-Declarations!$C$24)*EXP(-Declarations!$D$24*$B46)+IF(Declarations!$E$24=0,0,Declarations!$E$24*($B46/Declarations!$F$24)*EXP(1-$B46/Declarations!$F$24))+IF($B46&gt;=T_sale,Declarations!$G$24,0)</f>
        <v>120.290340272205</v>
      </c>
      <c r="H46" s="16" t="n">
        <f aca="false">Declarations!$C$25+(Declarations!$C$7-Declarations!$C$25)*EXP(-Declarations!$D$25*$B46)+IF(Declarations!$E$25=0,0,Declarations!$E$25*($B46/Declarations!$F$25)*EXP(1-$B46/Declarations!$F$25))+IF($B46&gt;=T_sale,Declarations!$G$25,0)</f>
        <v>39.4773928630262</v>
      </c>
      <c r="I46" s="16" t="n">
        <f aca="false">Declarations!$C$26+(Declarations!$C$8-Declarations!$C$26)*EXP(-Declarations!$D$26*$B46)+IF(Declarations!$E$26=0,0,Declarations!$E$26*($B46/Declarations!$F$26)*EXP(1-$B46/Declarations!$F$26))+IF($B46&gt;=T_sale,Declarations!$G$26,0)</f>
        <v>73.1617070953358</v>
      </c>
      <c r="J46" s="16" t="n">
        <f aca="false">Declarations!$C$27+(Declarations!$C$10-Declarations!$C$27)*EXP(-Declarations!$D$27*$B46)+IF(Declarations!$E$27=0,0,Declarations!$E$27*($B46/Declarations!$F$27)*EXP(1-$B46/Declarations!$F$27))+IF($B46&gt;=T_sale,Declarations!$G$27,0)</f>
        <v>50.9676632986332</v>
      </c>
      <c r="K46" s="16" t="n">
        <f aca="false">Declarations!$C$28+(Declarations!$C$4-Declarations!$C$28)*EXP(-Declarations!$D$28*$B46)+IF(Declarations!$E$28=0,0,Declarations!$E$28*($B46/Declarations!$F$28)*EXP(1-$B46/Declarations!$F$28))+IF($B46&gt;=T_sale,Declarations!$G$28,0)</f>
        <v>104.323414190672</v>
      </c>
      <c r="L46" s="16" t="n">
        <f aca="false">Declarations!$C$29+(Declarations!$C$7-Declarations!$C$29)*EXP(-Declarations!$D$29*$B46)+IF(Declarations!$E$29=0,0,Declarations!$E$29*($B46/Declarations!$F$29)*EXP(1-$B46/Declarations!$F$29))+IF($B46&gt;=T_sale,Declarations!$G$29,0)</f>
        <v>37.539309350376</v>
      </c>
      <c r="M46" s="16" t="n">
        <f aca="false">Declarations!$C$30+(Declarations!$C$8-Declarations!$C$30)*EXP(-Declarations!$D$30*$B46)+IF(Declarations!$E$30=0,0,Declarations!$E$30*($B46/Declarations!$F$30)*EXP(1-$B46/Declarations!$F$30))+IF($B46&gt;=T_sale,Declarations!$G$30,0)</f>
        <v>77.5385318075781</v>
      </c>
      <c r="N46" s="16" t="n">
        <f aca="false">Declarations!$C$31+(Declarations!$C$10-Declarations!$C$31)*EXP(-Declarations!$D$31*$B46)+IF(Declarations!$E$31=0,0,Declarations!$E$31*($B46/Declarations!$F$31)*EXP(1-$B46/Declarations!$F$31))+IF($B46&gt;=T_sale,Declarations!$G$31,0)</f>
        <v>65.7177552041538</v>
      </c>
      <c r="O46" s="16" t="n">
        <f aca="false">W_L*C46+W_T*D46+W_E*E46+W_R*F46</f>
        <v>39.126621726487</v>
      </c>
      <c r="P46" s="16" t="n">
        <f aca="false">W_L*G46+W_T*H46+W_E*I46+W_R*J46</f>
        <v>45.4904442329835</v>
      </c>
      <c r="Q46" s="16" t="n">
        <f aca="false">W_L*K46+W_T*L46+W_E*M46+W_R*N46</f>
        <v>38.420875036118</v>
      </c>
      <c r="R46" s="19" t="str">
        <f aca="false">IF(AND(O46&gt;=$B$9,O45&lt;$B$9),A46,"")</f>
        <v/>
      </c>
    </row>
    <row r="47" customFormat="false" ht="15" hidden="false" customHeight="false" outlineLevel="0" collapsed="false">
      <c r="A47" s="19" t="n">
        <v>35</v>
      </c>
      <c r="B47" s="20" t="n">
        <f aca="false">A47/12</f>
        <v>2.91666666666667</v>
      </c>
      <c r="C47" s="16" t="n">
        <f aca="false">Declarations!$C$20+(Declarations!$C$4-Declarations!$C$20)*EXP(-Declarations!$D$20*$B47)+IF(Declarations!$E$20=0,0,Declarations!$E$20*($B47/Declarations!$F$20)*EXP(1-$B47/Declarations!$F$20))+IF($B47&gt;=T_sale,Declarations!$G$20,0)</f>
        <v>81.8560514593246</v>
      </c>
      <c r="D47" s="16" t="n">
        <f aca="false">Declarations!$C$21+(Declarations!$C$7-Declarations!$C$21)*EXP(-Declarations!$D$21*$B47)+IF(Declarations!$E$21=0,0,Declarations!$E$21*($B47/Declarations!$F$21)*EXP(1-$B47/Declarations!$F$21))+IF($B47&gt;=T_sale,Declarations!$G$21,0)</f>
        <v>70.5608897921219</v>
      </c>
      <c r="E47" s="16" t="n">
        <f aca="false">Declarations!$C$22+(Declarations!$C$8-Declarations!$C$22)*EXP(-Declarations!$D$22*$B47)+IF(Declarations!$E$22=0,0,Declarations!$E$22*($B47/Declarations!$F$22)*EXP(1-$B47/Declarations!$F$22))+IF($B47&gt;=T_sale,Declarations!$G$22,0)</f>
        <v>68.7985856826848</v>
      </c>
      <c r="F47" s="16" t="n">
        <f aca="false">Declarations!$C$23+(Declarations!$C$10-Declarations!$C$23)*EXP(-Declarations!$D$23*$B47)+IF(Declarations!$E$23=0,0,Declarations!$E$23*($B47/Declarations!$F$23)*EXP(1-$B47/Declarations!$F$23))+IF($B47&gt;=T_sale,Declarations!$G$23,0)</f>
        <v>63.1868700209848</v>
      </c>
      <c r="G47" s="16" t="n">
        <f aca="false">Declarations!$C$24+(Declarations!$C$4-Declarations!$C$24)*EXP(-Declarations!$D$24*$B47)+IF(Declarations!$E$24=0,0,Declarations!$E$24*($B47/Declarations!$F$24)*EXP(1-$B47/Declarations!$F$24))+IF($B47&gt;=T_sale,Declarations!$G$24,0)</f>
        <v>120.332551921286</v>
      </c>
      <c r="H47" s="16" t="n">
        <f aca="false">Declarations!$C$25+(Declarations!$C$7-Declarations!$C$25)*EXP(-Declarations!$D$25*$B47)+IF(Declarations!$E$25=0,0,Declarations!$E$25*($B47/Declarations!$F$25)*EXP(1-$B47/Declarations!$F$25))+IF($B47&gt;=T_sale,Declarations!$G$25,0)</f>
        <v>39.4469322448738</v>
      </c>
      <c r="I47" s="16" t="n">
        <f aca="false">Declarations!$C$26+(Declarations!$C$8-Declarations!$C$26)*EXP(-Declarations!$D$26*$B47)+IF(Declarations!$E$26=0,0,Declarations!$E$26*($B47/Declarations!$F$26)*EXP(1-$B47/Declarations!$F$26))+IF($B47&gt;=T_sale,Declarations!$G$26,0)</f>
        <v>73.1925609538125</v>
      </c>
      <c r="J47" s="16" t="n">
        <f aca="false">Declarations!$C$27+(Declarations!$C$10-Declarations!$C$27)*EXP(-Declarations!$D$27*$B47)+IF(Declarations!$E$27=0,0,Declarations!$E$27*($B47/Declarations!$F$27)*EXP(1-$B47/Declarations!$F$27))+IF($B47&gt;=T_sale,Declarations!$G$27,0)</f>
        <v>50.8823565564912</v>
      </c>
      <c r="K47" s="16" t="n">
        <f aca="false">Declarations!$C$28+(Declarations!$C$4-Declarations!$C$28)*EXP(-Declarations!$D$28*$B47)+IF(Declarations!$E$28=0,0,Declarations!$E$28*($B47/Declarations!$F$28)*EXP(1-$B47/Declarations!$F$28))+IF($B47&gt;=T_sale,Declarations!$G$28,0)</f>
        <v>104.385121907625</v>
      </c>
      <c r="L47" s="16" t="n">
        <f aca="false">Declarations!$C$29+(Declarations!$C$7-Declarations!$C$29)*EXP(-Declarations!$D$29*$B47)+IF(Declarations!$E$29=0,0,Declarations!$E$29*($B47/Declarations!$F$29)*EXP(1-$B47/Declarations!$F$29))+IF($B47&gt;=T_sale,Declarations!$G$29,0)</f>
        <v>37.4642811661604</v>
      </c>
      <c r="M47" s="16" t="n">
        <f aca="false">Declarations!$C$30+(Declarations!$C$8-Declarations!$C$30)*EXP(-Declarations!$D$30*$B47)+IF(Declarations!$E$30=0,0,Declarations!$E$30*($B47/Declarations!$F$30)*EXP(1-$B47/Declarations!$F$30))+IF($B47&gt;=T_sale,Declarations!$G$30,0)</f>
        <v>77.6098084523964</v>
      </c>
      <c r="N47" s="16" t="n">
        <f aca="false">Declarations!$C$31+(Declarations!$C$10-Declarations!$C$31)*EXP(-Declarations!$D$31*$B47)+IF(Declarations!$E$31=0,0,Declarations!$E$31*($B47/Declarations!$F$31)*EXP(1-$B47/Declarations!$F$31))+IF($B47&gt;=T_sale,Declarations!$G$31,0)</f>
        <v>65.7494139409645</v>
      </c>
      <c r="O47" s="16" t="n">
        <f aca="false">W_L*C47+W_T*D47+W_E*E47+W_R*F47</f>
        <v>39.5071642282866</v>
      </c>
      <c r="P47" s="16" t="n">
        <f aca="false">W_L*G47+W_T*H47+W_E*I47+W_R*J47</f>
        <v>45.5224221408703</v>
      </c>
      <c r="Q47" s="16" t="n">
        <f aca="false">W_L*K47+W_T*L47+W_E*M47+W_R*N47</f>
        <v>38.4274493963043</v>
      </c>
      <c r="R47" s="19" t="str">
        <f aca="false">IF(AND(O47&gt;=$B$9,O46&lt;$B$9),A47,"")</f>
        <v/>
      </c>
    </row>
    <row r="48" customFormat="false" ht="15" hidden="false" customHeight="false" outlineLevel="0" collapsed="false">
      <c r="A48" s="19" t="n">
        <v>36</v>
      </c>
      <c r="B48" s="20" t="n">
        <f aca="false">A48/12</f>
        <v>3</v>
      </c>
      <c r="C48" s="16" t="n">
        <f aca="false">Declarations!$C$20+(Declarations!$C$4-Declarations!$C$20)*EXP(-Declarations!$D$20*$B48)+IF(Declarations!$E$20=0,0,Declarations!$E$20*($B48/Declarations!$F$20)*EXP(1-$B48/Declarations!$F$20))+IF($B48&gt;=T_sale,Declarations!$G$20,0)</f>
        <v>82.3264593027355</v>
      </c>
      <c r="D48" s="16" t="n">
        <f aca="false">Declarations!$C$21+(Declarations!$C$7-Declarations!$C$21)*EXP(-Declarations!$D$21*$B48)+IF(Declarations!$E$21=0,0,Declarations!$E$21*($B48/Declarations!$F$21)*EXP(1-$B48/Declarations!$F$21))+IF($B48&gt;=T_sale,Declarations!$G$21,0)</f>
        <v>70.8941533810321</v>
      </c>
      <c r="E48" s="16" t="n">
        <f aca="false">Declarations!$C$22+(Declarations!$C$8-Declarations!$C$22)*EXP(-Declarations!$D$22*$B48)+IF(Declarations!$E$22=0,0,Declarations!$E$22*($B48/Declarations!$F$22)*EXP(1-$B48/Declarations!$F$22))+IF($B48&gt;=T_sale,Declarations!$G$22,0)</f>
        <v>69.0393890980235</v>
      </c>
      <c r="F48" s="16" t="n">
        <f aca="false">Declarations!$C$23+(Declarations!$C$10-Declarations!$C$23)*EXP(-Declarations!$D$23*$B48)+IF(Declarations!$E$23=0,0,Declarations!$E$23*($B48/Declarations!$F$23)*EXP(1-$B48/Declarations!$F$23))+IF($B48&gt;=T_sale,Declarations!$G$23,0)</f>
        <v>62.7250803600537</v>
      </c>
      <c r="G48" s="16" t="n">
        <f aca="false">Declarations!$C$24+(Declarations!$C$4-Declarations!$C$24)*EXP(-Declarations!$D$24*$B48)+IF(Declarations!$E$24=0,0,Declarations!$E$24*($B48/Declarations!$F$24)*EXP(1-$B48/Declarations!$F$24))+IF($B48&gt;=T_sale,Declarations!$G$24,0)</f>
        <v>120.373721361038</v>
      </c>
      <c r="H48" s="16" t="n">
        <f aca="false">Declarations!$C$25+(Declarations!$C$7-Declarations!$C$25)*EXP(-Declarations!$D$25*$B48)+IF(Declarations!$E$25=0,0,Declarations!$E$25*($B48/Declarations!$F$25)*EXP(1-$B48/Declarations!$F$25))+IF($B48&gt;=T_sale,Declarations!$G$25,0)</f>
        <v>39.417099658223</v>
      </c>
      <c r="I48" s="16" t="n">
        <f aca="false">Declarations!$C$26+(Declarations!$C$8-Declarations!$C$26)*EXP(-Declarations!$D$26*$B48)+IF(Declarations!$E$26=0,0,Declarations!$E$26*($B48/Declarations!$F$26)*EXP(1-$B48/Declarations!$F$26))+IF($B48&gt;=T_sale,Declarations!$G$26,0)</f>
        <v>73.2222792180623</v>
      </c>
      <c r="J48" s="16" t="n">
        <f aca="false">Declarations!$C$27+(Declarations!$C$10-Declarations!$C$27)*EXP(-Declarations!$D$27*$B48)+IF(Declarations!$E$27=0,0,Declarations!$E$27*($B48/Declarations!$F$27)*EXP(1-$B48/Declarations!$F$27))+IF($B48&gt;=T_sale,Declarations!$G$27,0)</f>
        <v>50.7995019928892</v>
      </c>
      <c r="K48" s="16" t="n">
        <f aca="false">Declarations!$C$28+(Declarations!$C$4-Declarations!$C$28)*EXP(-Declarations!$D$28*$B48)+IF(Declarations!$E$28=0,0,Declarations!$E$28*($B48/Declarations!$F$28)*EXP(1-$B48/Declarations!$F$28))+IF($B48&gt;=T_sale,Declarations!$G$28,0)</f>
        <v>104.444558436125</v>
      </c>
      <c r="L48" s="16" t="n">
        <f aca="false">Declarations!$C$29+(Declarations!$C$7-Declarations!$C$29)*EXP(-Declarations!$D$29*$B48)+IF(Declarations!$E$29=0,0,Declarations!$E$29*($B48/Declarations!$F$29)*EXP(1-$B48/Declarations!$F$29))+IF($B48&gt;=T_sale,Declarations!$G$29,0)</f>
        <v>37.3904930887522</v>
      </c>
      <c r="M48" s="16" t="n">
        <f aca="false">Declarations!$C$30+(Declarations!$C$8-Declarations!$C$30)*EXP(-Declarations!$D$30*$B48)+IF(Declarations!$E$30=0,0,Declarations!$E$30*($B48/Declarations!$F$30)*EXP(1-$B48/Declarations!$F$30))+IF($B48&gt;=T_sale,Declarations!$G$30,0)</f>
        <v>77.6776088942273</v>
      </c>
      <c r="N48" s="16" t="n">
        <f aca="false">Declarations!$C$31+(Declarations!$C$10-Declarations!$C$31)*EXP(-Declarations!$D$31*$B48)+IF(Declarations!$E$31=0,0,Declarations!$E$31*($B48/Declarations!$F$31)*EXP(1-$B48/Declarations!$F$31))+IF($B48&gt;=T_sale,Declarations!$G$31,0)</f>
        <v>65.7802910207782</v>
      </c>
      <c r="O48" s="16" t="n">
        <f aca="false">W_L*C48+W_T*D48+W_E*E48+W_R*F48</f>
        <v>39.8837303554344</v>
      </c>
      <c r="P48" s="16" t="n">
        <f aca="false">W_L*G48+W_T*H48+W_E*I48+W_R*J48</f>
        <v>45.5533995611084</v>
      </c>
      <c r="Q48" s="16" t="n">
        <f aca="false">W_L*K48+W_T*L48+W_E*M48+W_R*N48</f>
        <v>38.4330923495815</v>
      </c>
      <c r="R48" s="19" t="str">
        <f aca="false">IF(AND(O48&gt;=$B$9,O47&lt;$B$9),A48,"")</f>
        <v/>
      </c>
    </row>
    <row r="49" customFormat="false" ht="15" hidden="false" customHeight="false" outlineLevel="0" collapsed="false">
      <c r="A49" s="19" t="n">
        <v>37</v>
      </c>
      <c r="B49" s="20" t="n">
        <f aca="false">A49/12</f>
        <v>3.08333333333333</v>
      </c>
      <c r="C49" s="16" t="n">
        <f aca="false">Declarations!$C$20+(Declarations!$C$4-Declarations!$C$20)*EXP(-Declarations!$D$20*$B49)+IF(Declarations!$E$20=0,0,Declarations!$E$20*($B49/Declarations!$F$20)*EXP(1-$B49/Declarations!$F$20))+IF($B49&gt;=T_sale,Declarations!$G$20,0)</f>
        <v>82.8080473415731</v>
      </c>
      <c r="D49" s="16" t="n">
        <f aca="false">Declarations!$C$21+(Declarations!$C$7-Declarations!$C$21)*EXP(-Declarations!$D$21*$B49)+IF(Declarations!$E$21=0,0,Declarations!$E$21*($B49/Declarations!$F$21)*EXP(1-$B49/Declarations!$F$21))+IF($B49&gt;=T_sale,Declarations!$G$21,0)</f>
        <v>71.2124871441178</v>
      </c>
      <c r="E49" s="16" t="n">
        <f aca="false">Declarations!$C$22+(Declarations!$C$8-Declarations!$C$22)*EXP(-Declarations!$D$22*$B49)+IF(Declarations!$E$22=0,0,Declarations!$E$22*($B49/Declarations!$F$22)*EXP(1-$B49/Declarations!$F$22))+IF($B49&gt;=T_sale,Declarations!$G$22,0)</f>
        <v>69.2778731622786</v>
      </c>
      <c r="F49" s="16" t="n">
        <f aca="false">Declarations!$C$23+(Declarations!$C$10-Declarations!$C$23)*EXP(-Declarations!$D$23*$B49)+IF(Declarations!$E$23=0,0,Declarations!$E$23*($B49/Declarations!$F$23)*EXP(1-$B49/Declarations!$F$23))+IF($B49&gt;=T_sale,Declarations!$G$23,0)</f>
        <v>62.2751649649466</v>
      </c>
      <c r="G49" s="16" t="n">
        <f aca="false">Declarations!$C$24+(Declarations!$C$4-Declarations!$C$24)*EXP(-Declarations!$D$24*$B49)+IF(Declarations!$E$24=0,0,Declarations!$E$24*($B49/Declarations!$F$24)*EXP(1-$B49/Declarations!$F$24))+IF($B49&gt;=T_sale,Declarations!$G$24,0)</f>
        <v>120.4138743237</v>
      </c>
      <c r="H49" s="16" t="n">
        <f aca="false">Declarations!$C$25+(Declarations!$C$7-Declarations!$C$25)*EXP(-Declarations!$D$25*$B49)+IF(Declarations!$E$25=0,0,Declarations!$E$25*($B49/Declarations!$F$25)*EXP(1-$B49/Declarations!$F$25))+IF($B49&gt;=T_sale,Declarations!$G$25,0)</f>
        <v>39.3878821544342</v>
      </c>
      <c r="I49" s="16" t="n">
        <f aca="false">Declarations!$C$26+(Declarations!$C$8-Declarations!$C$26)*EXP(-Declarations!$D$26*$B49)+IF(Declarations!$E$26=0,0,Declarations!$E$26*($B49/Declarations!$F$26)*EXP(1-$B49/Declarations!$F$26))+IF($B49&gt;=T_sale,Declarations!$G$26,0)</f>
        <v>73.2509036842922</v>
      </c>
      <c r="J49" s="16" t="n">
        <f aca="false">Declarations!$C$27+(Declarations!$C$10-Declarations!$C$27)*EXP(-Declarations!$D$27*$B49)+IF(Declarations!$E$27=0,0,Declarations!$E$27*($B49/Declarations!$F$27)*EXP(1-$B49/Declarations!$F$27))+IF($B49&gt;=T_sale,Declarations!$G$27,0)</f>
        <v>50.7190291189135</v>
      </c>
      <c r="K49" s="16" t="n">
        <f aca="false">Declarations!$C$28+(Declarations!$C$4-Declarations!$C$28)*EXP(-Declarations!$D$28*$B49)+IF(Declarations!$E$28=0,0,Declarations!$E$28*($B49/Declarations!$F$28)*EXP(1-$B49/Declarations!$F$28))+IF($B49&gt;=T_sale,Declarations!$G$28,0)</f>
        <v>104.501807368584</v>
      </c>
      <c r="L49" s="16" t="n">
        <f aca="false">Declarations!$C$29+(Declarations!$C$7-Declarations!$C$29)*EXP(-Declarations!$D$29*$B49)+IF(Declarations!$E$29=0,0,Declarations!$E$29*($B49/Declarations!$F$29)*EXP(1-$B49/Declarations!$F$29))+IF($B49&gt;=T_sale,Declarations!$G$29,0)</f>
        <v>37.3179246209889</v>
      </c>
      <c r="M49" s="16" t="n">
        <f aca="false">Declarations!$C$30+(Declarations!$C$8-Declarations!$C$30)*EXP(-Declarations!$D$30*$B49)+IF(Declarations!$E$30=0,0,Declarations!$E$30*($B49/Declarations!$F$30)*EXP(1-$B49/Declarations!$F$30))+IF($B49&gt;=T_sale,Declarations!$G$30,0)</f>
        <v>77.742102669491</v>
      </c>
      <c r="N49" s="16" t="n">
        <f aca="false">Declarations!$C$31+(Declarations!$C$10-Declarations!$C$31)*EXP(-Declarations!$D$31*$B49)+IF(Declarations!$E$31=0,0,Declarations!$E$31*($B49/Declarations!$F$31)*EXP(1-$B49/Declarations!$F$31))+IF($B49&gt;=T_sale,Declarations!$G$31,0)</f>
        <v>65.810405742775</v>
      </c>
      <c r="O49" s="16" t="n">
        <f aca="false">W_L*C49+W_T*D49+W_E*E49+W_R*F49</f>
        <v>40.2558106707557</v>
      </c>
      <c r="P49" s="16" t="n">
        <f aca="false">W_L*G49+W_T*H49+W_E*I49+W_R*J49</f>
        <v>45.5834077608782</v>
      </c>
      <c r="Q49" s="16" t="n">
        <f aca="false">W_L*K49+W_T*L49+W_E*M49+W_R*N49</f>
        <v>38.4378572290723</v>
      </c>
      <c r="R49" s="19" t="str">
        <f aca="false">IF(AND(O49&gt;=$B$9,O48&lt;$B$9),A49,"")</f>
        <v/>
      </c>
    </row>
    <row r="50" customFormat="false" ht="15" hidden="false" customHeight="false" outlineLevel="0" collapsed="false">
      <c r="A50" s="19" t="n">
        <v>38</v>
      </c>
      <c r="B50" s="20" t="n">
        <f aca="false">A50/12</f>
        <v>3.16666666666667</v>
      </c>
      <c r="C50" s="16" t="n">
        <f aca="false">Declarations!$C$20+(Declarations!$C$4-Declarations!$C$20)*EXP(-Declarations!$D$20*$B50)+IF(Declarations!$E$20=0,0,Declarations!$E$20*($B50/Declarations!$F$20)*EXP(1-$B50/Declarations!$F$20))+IF($B50&gt;=T_sale,Declarations!$G$20,0)</f>
        <v>83.2991376630354</v>
      </c>
      <c r="D50" s="16" t="n">
        <f aca="false">Declarations!$C$21+(Declarations!$C$7-Declarations!$C$21)*EXP(-Declarations!$D$21*$B50)+IF(Declarations!$E$21=0,0,Declarations!$E$21*($B50/Declarations!$F$21)*EXP(1-$B50/Declarations!$F$21))+IF($B50&gt;=T_sale,Declarations!$G$21,0)</f>
        <v>71.5165599204197</v>
      </c>
      <c r="E50" s="16" t="n">
        <f aca="false">Declarations!$C$22+(Declarations!$C$8-Declarations!$C$22)*EXP(-Declarations!$D$22*$B50)+IF(Declarations!$E$22=0,0,Declarations!$E$22*($B50/Declarations!$F$22)*EXP(1-$B50/Declarations!$F$22))+IF($B50&gt;=T_sale,Declarations!$G$22,0)</f>
        <v>69.5135952861703</v>
      </c>
      <c r="F50" s="16" t="n">
        <f aca="false">Declarations!$C$23+(Declarations!$C$10-Declarations!$C$23)*EXP(-Declarations!$D$23*$B50)+IF(Declarations!$E$23=0,0,Declarations!$E$23*($B50/Declarations!$F$23)*EXP(1-$B50/Declarations!$F$23))+IF($B50&gt;=T_sale,Declarations!$G$23,0)</f>
        <v>61.8374528403716</v>
      </c>
      <c r="G50" s="16" t="n">
        <f aca="false">Declarations!$C$24+(Declarations!$C$4-Declarations!$C$24)*EXP(-Declarations!$D$24*$B50)+IF(Declarations!$E$24=0,0,Declarations!$E$24*($B50/Declarations!$F$24)*EXP(1-$B50/Declarations!$F$24))+IF($B50&gt;=T_sale,Declarations!$G$24,0)</f>
        <v>120.453035906182</v>
      </c>
      <c r="H50" s="16" t="n">
        <f aca="false">Declarations!$C$25+(Declarations!$C$7-Declarations!$C$25)*EXP(-Declarations!$D$25*$B50)+IF(Declarations!$E$25=0,0,Declarations!$E$25*($B50/Declarations!$F$25)*EXP(1-$B50/Declarations!$F$25))+IF($B50&gt;=T_sale,Declarations!$G$25,0)</f>
        <v>39.3592670518405</v>
      </c>
      <c r="I50" s="16" t="n">
        <f aca="false">Declarations!$C$26+(Declarations!$C$8-Declarations!$C$26)*EXP(-Declarations!$D$26*$B50)+IF(Declarations!$E$26=0,0,Declarations!$E$26*($B50/Declarations!$F$26)*EXP(1-$B50/Declarations!$F$26))+IF($B50&gt;=T_sale,Declarations!$G$26,0)</f>
        <v>73.278474610375</v>
      </c>
      <c r="J50" s="16" t="n">
        <f aca="false">Declarations!$C$27+(Declarations!$C$10-Declarations!$C$27)*EXP(-Declarations!$D$27*$B50)+IF(Declarations!$E$27=0,0,Declarations!$E$27*($B50/Declarations!$F$27)*EXP(1-$B50/Declarations!$F$27))+IF($B50&gt;=T_sale,Declarations!$G$27,0)</f>
        <v>50.6408694718839</v>
      </c>
      <c r="K50" s="16" t="n">
        <f aca="false">Declarations!$C$28+(Declarations!$C$4-Declarations!$C$28)*EXP(-Declarations!$D$28*$B50)+IF(Declarations!$E$28=0,0,Declarations!$E$28*($B50/Declarations!$F$28)*EXP(1-$B50/Declarations!$F$28))+IF($B50&gt;=T_sale,Declarations!$G$28,0)</f>
        <v>104.55694922075</v>
      </c>
      <c r="L50" s="16" t="n">
        <f aca="false">Declarations!$C$29+(Declarations!$C$7-Declarations!$C$29)*EXP(-Declarations!$D$29*$B50)+IF(Declarations!$E$29=0,0,Declarations!$E$29*($B50/Declarations!$F$29)*EXP(1-$B50/Declarations!$F$29))+IF($B50&gt;=T_sale,Declarations!$G$29,0)</f>
        <v>37.2465556044961</v>
      </c>
      <c r="M50" s="16" t="n">
        <f aca="false">Declarations!$C$30+(Declarations!$C$8-Declarations!$C$30)*EXP(-Declarations!$D$30*$B50)+IF(Declarations!$E$30=0,0,Declarations!$E$30*($B50/Declarations!$F$30)*EXP(1-$B50/Declarations!$F$30))+IF($B50&gt;=T_sale,Declarations!$G$30,0)</f>
        <v>77.8034510462189</v>
      </c>
      <c r="N50" s="16" t="n">
        <f aca="false">Declarations!$C$31+(Declarations!$C$10-Declarations!$C$31)*EXP(-Declarations!$D$31*$B50)+IF(Declarations!$E$31=0,0,Declarations!$E$31*($B50/Declarations!$F$31)*EXP(1-$B50/Declarations!$F$31))+IF($B50&gt;=T_sale,Declarations!$G$31,0)</f>
        <v>65.8397769296365</v>
      </c>
      <c r="O50" s="16" t="n">
        <f aca="false">W_L*C50+W_T*D50+W_E*E50+W_R*F50</f>
        <v>40.6229600073135</v>
      </c>
      <c r="P50" s="16" t="n">
        <f aca="false">W_L*G50+W_T*H50+W_E*I50+W_R*J50</f>
        <v>45.6124770241284</v>
      </c>
      <c r="Q50" s="16" t="n">
        <f aca="false">W_L*K50+W_T*L50+W_E*M50+W_R*N50</f>
        <v>38.4417947354571</v>
      </c>
      <c r="R50" s="19" t="str">
        <f aca="false">IF(AND(O50&gt;=$B$9,O49&lt;$B$9),A50,"")</f>
        <v/>
      </c>
    </row>
    <row r="51" customFormat="false" ht="15" hidden="false" customHeight="false" outlineLevel="0" collapsed="false">
      <c r="A51" s="19" t="n">
        <v>39</v>
      </c>
      <c r="B51" s="20" t="n">
        <f aca="false">A51/12</f>
        <v>3.25</v>
      </c>
      <c r="C51" s="16" t="n">
        <f aca="false">Declarations!$C$20+(Declarations!$C$4-Declarations!$C$20)*EXP(-Declarations!$D$20*$B51)+IF(Declarations!$E$20=0,0,Declarations!$E$20*($B51/Declarations!$F$20)*EXP(1-$B51/Declarations!$F$20))+IF($B51&gt;=T_sale,Declarations!$G$20,0)</f>
        <v>83.7981701667219</v>
      </c>
      <c r="D51" s="16" t="n">
        <f aca="false">Declarations!$C$21+(Declarations!$C$7-Declarations!$C$21)*EXP(-Declarations!$D$21*$B51)+IF(Declarations!$E$21=0,0,Declarations!$E$21*($B51/Declarations!$F$21)*EXP(1-$B51/Declarations!$F$21))+IF($B51&gt;=T_sale,Declarations!$G$21,0)</f>
        <v>71.8070105857583</v>
      </c>
      <c r="E51" s="16" t="n">
        <f aca="false">Declarations!$C$22+(Declarations!$C$8-Declarations!$C$22)*EXP(-Declarations!$D$22*$B51)+IF(Declarations!$E$22=0,0,Declarations!$E$22*($B51/Declarations!$F$22)*EXP(1-$B51/Declarations!$F$22))+IF($B51&gt;=T_sale,Declarations!$G$22,0)</f>
        <v>69.7461670824402</v>
      </c>
      <c r="F51" s="16" t="n">
        <f aca="false">Declarations!$C$23+(Declarations!$C$10-Declarations!$C$23)*EXP(-Declarations!$D$23*$B51)+IF(Declarations!$E$23=0,0,Declarations!$E$23*($B51/Declarations!$F$23)*EXP(1-$B51/Declarations!$F$23))+IF($B51&gt;=T_sale,Declarations!$G$23,0)</f>
        <v>61.4121805228463</v>
      </c>
      <c r="G51" s="16" t="n">
        <f aca="false">Declarations!$C$24+(Declarations!$C$4-Declarations!$C$24)*EXP(-Declarations!$D$24*$B51)+IF(Declarations!$E$24=0,0,Declarations!$E$24*($B51/Declarations!$F$24)*EXP(1-$B51/Declarations!$F$24))+IF($B51&gt;=T_sale,Declarations!$G$24,0)</f>
        <v>120.491230585747</v>
      </c>
      <c r="H51" s="16" t="n">
        <f aca="false">Declarations!$C$25+(Declarations!$C$7-Declarations!$C$25)*EXP(-Declarations!$D$25*$B51)+IF(Declarations!$E$25=0,0,Declarations!$E$25*($B51/Declarations!$F$25)*EXP(1-$B51/Declarations!$F$25))+IF($B51&gt;=T_sale,Declarations!$G$25,0)</f>
        <v>39.3312419302432</v>
      </c>
      <c r="I51" s="16" t="n">
        <f aca="false">Declarations!$C$26+(Declarations!$C$8-Declarations!$C$26)*EXP(-Declarations!$D$26*$B51)+IF(Declarations!$E$26=0,0,Declarations!$E$26*($B51/Declarations!$F$26)*EXP(1-$B51/Declarations!$F$26))+IF($B51&gt;=T_sale,Declarations!$G$26,0)</f>
        <v>73.3050307724693</v>
      </c>
      <c r="J51" s="16" t="n">
        <f aca="false">Declarations!$C$27+(Declarations!$C$10-Declarations!$C$27)*EXP(-Declarations!$D$27*$B51)+IF(Declarations!$E$27=0,0,Declarations!$E$27*($B51/Declarations!$F$27)*EXP(1-$B51/Declarations!$F$27))+IF($B51&gt;=T_sale,Declarations!$G$27,0)</f>
        <v>50.5649565571094</v>
      </c>
      <c r="K51" s="16" t="n">
        <f aca="false">Declarations!$C$28+(Declarations!$C$4-Declarations!$C$28)*EXP(-Declarations!$D$28*$B51)+IF(Declarations!$E$28=0,0,Declarations!$E$28*($B51/Declarations!$F$28)*EXP(1-$B51/Declarations!$F$28))+IF($B51&gt;=T_sale,Declarations!$G$28,0)</f>
        <v>104.610061544939</v>
      </c>
      <c r="L51" s="16" t="n">
        <f aca="false">Declarations!$C$29+(Declarations!$C$7-Declarations!$C$29)*EXP(-Declarations!$D$29*$B51)+IF(Declarations!$E$29=0,0,Declarations!$E$29*($B51/Declarations!$F$29)*EXP(1-$B51/Declarations!$F$29))+IF($B51&gt;=T_sale,Declarations!$G$29,0)</f>
        <v>37.1763662140881</v>
      </c>
      <c r="M51" s="16" t="n">
        <f aca="false">Declarations!$C$30+(Declarations!$C$8-Declarations!$C$30)*EXP(-Declarations!$D$30*$B51)+IF(Declarations!$E$30=0,0,Declarations!$E$30*($B51/Declarations!$F$30)*EXP(1-$B51/Declarations!$F$30))+IF($B51&gt;=T_sale,Declarations!$G$30,0)</f>
        <v>77.8618074273079</v>
      </c>
      <c r="N51" s="16" t="n">
        <f aca="false">Declarations!$C$31+(Declarations!$C$10-Declarations!$C$31)*EXP(-Declarations!$D$31*$B51)+IF(Declarations!$E$31=0,0,Declarations!$E$31*($B51/Declarations!$F$31)*EXP(1-$B51/Declarations!$F$31))+IF($B51&gt;=T_sale,Declarations!$G$31,0)</f>
        <v>65.8684229393105</v>
      </c>
      <c r="O51" s="16" t="n">
        <f aca="false">W_L*C51+W_T*D51+W_E*E51+W_R*F51</f>
        <v>40.9847918280185</v>
      </c>
      <c r="P51" s="16" t="n">
        <f aca="false">W_L*G51+W_T*H51+W_E*I51+W_R*J51</f>
        <v>45.6406366828377</v>
      </c>
      <c r="Q51" s="16" t="n">
        <f aca="false">W_L*K51+W_T*L51+W_E*M51+W_R*N51</f>
        <v>38.444953061756</v>
      </c>
      <c r="R51" s="19" t="str">
        <f aca="false">IF(AND(O51&gt;=$B$9,O50&lt;$B$9),A51,"")</f>
        <v/>
      </c>
    </row>
    <row r="52" customFormat="false" ht="15" hidden="false" customHeight="false" outlineLevel="0" collapsed="false">
      <c r="A52" s="19" t="n">
        <v>40</v>
      </c>
      <c r="B52" s="20" t="n">
        <f aca="false">A52/12</f>
        <v>3.33333333333333</v>
      </c>
      <c r="C52" s="16" t="n">
        <f aca="false">Declarations!$C$20+(Declarations!$C$4-Declarations!$C$20)*EXP(-Declarations!$D$20*$B52)+IF(Declarations!$E$20=0,0,Declarations!$E$20*($B52/Declarations!$F$20)*EXP(1-$B52/Declarations!$F$20))+IF($B52&gt;=T_sale,Declarations!$G$20,0)</f>
        <v>84.3036957581705</v>
      </c>
      <c r="D52" s="16" t="n">
        <f aca="false">Declarations!$C$21+(Declarations!$C$7-Declarations!$C$21)*EXP(-Declarations!$D$21*$B52)+IF(Declarations!$E$21=0,0,Declarations!$E$21*($B52/Declarations!$F$21)*EXP(1-$B52/Declarations!$F$21))+IF($B52&gt;=T_sale,Declarations!$G$21,0)</f>
        <v>72.0844493950513</v>
      </c>
      <c r="E52" s="16" t="n">
        <f aca="false">Declarations!$C$22+(Declarations!$C$8-Declarations!$C$22)*EXP(-Declarations!$D$22*$B52)+IF(Declarations!$E$22=0,0,Declarations!$E$22*($B52/Declarations!$F$22)*EXP(1-$B52/Declarations!$F$22))+IF($B52&gt;=T_sale,Declarations!$G$22,0)</f>
        <v>69.9752498167725</v>
      </c>
      <c r="F52" s="16" t="n">
        <f aca="false">Declarations!$C$23+(Declarations!$C$10-Declarations!$C$23)*EXP(-Declarations!$D$23*$B52)+IF(Declarations!$E$23=0,0,Declarations!$E$23*($B52/Declarations!$F$23)*EXP(1-$B52/Declarations!$F$23))+IF($B52&gt;=T_sale,Declarations!$G$23,0)</f>
        <v>60.9995028390737</v>
      </c>
      <c r="G52" s="16" t="n">
        <f aca="false">Declarations!$C$24+(Declarations!$C$4-Declarations!$C$24)*EXP(-Declarations!$D$24*$B52)+IF(Declarations!$E$24=0,0,Declarations!$E$24*($B52/Declarations!$F$24)*EXP(1-$B52/Declarations!$F$24))+IF($B52&gt;=T_sale,Declarations!$G$24,0)</f>
        <v>120.528482235314</v>
      </c>
      <c r="H52" s="16" t="n">
        <f aca="false">Declarations!$C$25+(Declarations!$C$7-Declarations!$C$25)*EXP(-Declarations!$D$25*$B52)+IF(Declarations!$E$25=0,0,Declarations!$E$25*($B52/Declarations!$F$25)*EXP(1-$B52/Declarations!$F$25))+IF($B52&gt;=T_sale,Declarations!$G$25,0)</f>
        <v>39.3037946255212</v>
      </c>
      <c r="I52" s="16" t="n">
        <f aca="false">Declarations!$C$26+(Declarations!$C$8-Declarations!$C$26)*EXP(-Declarations!$D$26*$B52)+IF(Declarations!$E$26=0,0,Declarations!$E$26*($B52/Declarations!$F$26)*EXP(1-$B52/Declarations!$F$26))+IF($B52&gt;=T_sale,Declarations!$G$26,0)</f>
        <v>73.3306095195547</v>
      </c>
      <c r="J52" s="16" t="n">
        <f aca="false">Declarations!$C$27+(Declarations!$C$10-Declarations!$C$27)*EXP(-Declarations!$D$27*$B52)+IF(Declarations!$E$27=0,0,Declarations!$E$27*($B52/Declarations!$F$27)*EXP(1-$B52/Declarations!$F$27))+IF($B52&gt;=T_sale,Declarations!$G$27,0)</f>
        <v>50.4912257913168</v>
      </c>
      <c r="K52" s="16" t="n">
        <f aca="false">Declarations!$C$28+(Declarations!$C$4-Declarations!$C$28)*EXP(-Declarations!$D$28*$B52)+IF(Declarations!$E$28=0,0,Declarations!$E$28*($B52/Declarations!$F$28)*EXP(1-$B52/Declarations!$F$28))+IF($B52&gt;=T_sale,Declarations!$G$28,0)</f>
        <v>104.661219039109</v>
      </c>
      <c r="L52" s="16" t="n">
        <f aca="false">Declarations!$C$29+(Declarations!$C$7-Declarations!$C$29)*EXP(-Declarations!$D$29*$B52)+IF(Declarations!$E$29=0,0,Declarations!$E$29*($B52/Declarations!$F$29)*EXP(1-$B52/Declarations!$F$29))+IF($B52&gt;=T_sale,Declarations!$G$29,0)</f>
        <v>37.1073369522607</v>
      </c>
      <c r="M52" s="16" t="n">
        <f aca="false">Declarations!$C$30+(Declarations!$C$8-Declarations!$C$30)*EXP(-Declarations!$D$30*$B52)+IF(Declarations!$E$30=0,0,Declarations!$E$30*($B52/Declarations!$F$30)*EXP(1-$B52/Declarations!$F$30))+IF($B52&gt;=T_sale,Declarations!$G$30,0)</f>
        <v>77.9173177341071</v>
      </c>
      <c r="N52" s="16" t="n">
        <f aca="false">Declarations!$C$31+(Declarations!$C$10-Declarations!$C$31)*EXP(-Declarations!$D$31*$B52)+IF(Declarations!$E$31=0,0,Declarations!$E$31*($B52/Declarations!$F$31)*EXP(1-$B52/Declarations!$F$31))+IF($B52&gt;=T_sale,Declarations!$G$31,0)</f>
        <v>65.8963616764857</v>
      </c>
      <c r="O52" s="16" t="n">
        <f aca="false">W_L*C52+W_T*D52+W_E*E52+W_R*F52</f>
        <v>41.3409730327302</v>
      </c>
      <c r="P52" s="16" t="n">
        <f aca="false">W_L*G52+W_T*H52+W_E*I52+W_R*J52</f>
        <v>45.6679151472683</v>
      </c>
      <c r="Q52" s="16" t="n">
        <f aca="false">W_L*K52+W_T*L52+W_E*M52+W_R*N52</f>
        <v>38.4473780122479</v>
      </c>
      <c r="R52" s="19" t="str">
        <f aca="false">IF(AND(O52&gt;=$B$9,O51&lt;$B$9),A52,"")</f>
        <v/>
      </c>
    </row>
    <row r="53" customFormat="false" ht="15" hidden="false" customHeight="false" outlineLevel="0" collapsed="false">
      <c r="A53" s="19" t="n">
        <v>41</v>
      </c>
      <c r="B53" s="20" t="n">
        <f aca="false">A53/12</f>
        <v>3.41666666666667</v>
      </c>
      <c r="C53" s="16" t="n">
        <f aca="false">Declarations!$C$20+(Declarations!$C$4-Declarations!$C$20)*EXP(-Declarations!$D$20*$B53)+IF(Declarations!$E$20=0,0,Declarations!$E$20*($B53/Declarations!$F$20)*EXP(1-$B53/Declarations!$F$20))+IF($B53&gt;=T_sale,Declarations!$G$20,0)</f>
        <v>84.8143699012995</v>
      </c>
      <c r="D53" s="16" t="n">
        <f aca="false">Declarations!$C$21+(Declarations!$C$7-Declarations!$C$21)*EXP(-Declarations!$D$21*$B53)+IF(Declarations!$E$21=0,0,Declarations!$E$21*($B53/Declarations!$F$21)*EXP(1-$B53/Declarations!$F$21))+IF($B53&gt;=T_sale,Declarations!$G$21,0)</f>
        <v>72.3494592644975</v>
      </c>
      <c r="E53" s="16" t="n">
        <f aca="false">Declarations!$C$22+(Declarations!$C$8-Declarations!$C$22)*EXP(-Declarations!$D$22*$B53)+IF(Declarations!$E$22=0,0,Declarations!$E$22*($B53/Declarations!$F$22)*EXP(1-$B53/Declarations!$F$22))+IF($B53&gt;=T_sale,Declarations!$G$22,0)</f>
        <v>70.2005501914171</v>
      </c>
      <c r="F53" s="16" t="n">
        <f aca="false">Declarations!$C$23+(Declarations!$C$10-Declarations!$C$23)*EXP(-Declarations!$D$23*$B53)+IF(Declarations!$E$23=0,0,Declarations!$E$23*($B53/Declarations!$F$23)*EXP(1-$B53/Declarations!$F$23))+IF($B53&gt;=T_sale,Declarations!$G$23,0)</f>
        <v>60.5995026424849</v>
      </c>
      <c r="G53" s="16" t="n">
        <f aca="false">Declarations!$C$24+(Declarations!$C$4-Declarations!$C$24)*EXP(-Declarations!$D$24*$B53)+IF(Declarations!$E$24=0,0,Declarations!$E$24*($B53/Declarations!$F$24)*EXP(1-$B53/Declarations!$F$24))+IF($B53&gt;=T_sale,Declarations!$G$24,0)</f>
        <v>120.564814138376</v>
      </c>
      <c r="H53" s="16" t="n">
        <f aca="false">Declarations!$C$25+(Declarations!$C$7-Declarations!$C$25)*EXP(-Declarations!$D$25*$B53)+IF(Declarations!$E$25=0,0,Declarations!$E$25*($B53/Declarations!$F$25)*EXP(1-$B53/Declarations!$F$25))+IF($B53&gt;=T_sale,Declarations!$G$25,0)</f>
        <v>39.2769132243509</v>
      </c>
      <c r="I53" s="16" t="n">
        <f aca="false">Declarations!$C$26+(Declarations!$C$8-Declarations!$C$26)*EXP(-Declarations!$D$26*$B53)+IF(Declarations!$E$26=0,0,Declarations!$E$26*($B53/Declarations!$F$26)*EXP(1-$B53/Declarations!$F$26))+IF($B53&gt;=T_sale,Declarations!$G$26,0)</f>
        <v>73.3552468259596</v>
      </c>
      <c r="J53" s="16" t="n">
        <f aca="false">Declarations!$C$27+(Declarations!$C$10-Declarations!$C$27)*EXP(-Declarations!$D$27*$B53)+IF(Declarations!$E$27=0,0,Declarations!$E$27*($B53/Declarations!$F$27)*EXP(1-$B53/Declarations!$F$27))+IF($B53&gt;=T_sale,Declarations!$G$27,0)</f>
        <v>50.4196144477067</v>
      </c>
      <c r="K53" s="16" t="n">
        <f aca="false">Declarations!$C$28+(Declarations!$C$4-Declarations!$C$28)*EXP(-Declarations!$D$28*$B53)+IF(Declarations!$E$28=0,0,Declarations!$E$28*($B53/Declarations!$F$28)*EXP(1-$B53/Declarations!$F$28))+IF($B53&gt;=T_sale,Declarations!$G$28,0)</f>
        <v>104.710493651919</v>
      </c>
      <c r="L53" s="16" t="n">
        <f aca="false">Declarations!$C$29+(Declarations!$C$7-Declarations!$C$29)*EXP(-Declarations!$D$29*$B53)+IF(Declarations!$E$29=0,0,Declarations!$E$29*($B53/Declarations!$F$29)*EXP(1-$B53/Declarations!$F$29))+IF($B53&gt;=T_sale,Declarations!$G$29,0)</f>
        <v>37.0394486437751</v>
      </c>
      <c r="M53" s="16" t="n">
        <f aca="false">Declarations!$C$30+(Declarations!$C$8-Declarations!$C$30)*EXP(-Declarations!$D$30*$B53)+IF(Declarations!$E$30=0,0,Declarations!$E$30*($B53/Declarations!$F$30)*EXP(1-$B53/Declarations!$F$30))+IF($B53&gt;=T_sale,Declarations!$G$30,0)</f>
        <v>77.9701207712976</v>
      </c>
      <c r="N53" s="16" t="n">
        <f aca="false">Declarations!$C$31+(Declarations!$C$10-Declarations!$C$31)*EXP(-Declarations!$D$31*$B53)+IF(Declarations!$E$31=0,0,Declarations!$E$31*($B53/Declarations!$F$31)*EXP(1-$B53/Declarations!$F$31))+IF($B53&gt;=T_sale,Declarations!$G$31,0)</f>
        <v>65.9236106037822</v>
      </c>
      <c r="O53" s="16" t="n">
        <f aca="false">W_L*C53+W_T*D53+W_E*E53+W_R*F53</f>
        <v>41.6912191786823</v>
      </c>
      <c r="P53" s="16" t="n">
        <f aca="false">W_L*G53+W_T*H53+W_E*I53+W_R*J53</f>
        <v>45.694339935245</v>
      </c>
      <c r="Q53" s="16" t="n">
        <f aca="false">W_L*K53+W_T*L53+W_E*M53+W_R*N53</f>
        <v>38.4491131158025</v>
      </c>
      <c r="R53" s="19" t="str">
        <f aca="false">IF(AND(O53&gt;=$B$9,O52&lt;$B$9),A53,"")</f>
        <v/>
      </c>
    </row>
    <row r="54" customFormat="false" ht="15" hidden="false" customHeight="false" outlineLevel="0" collapsed="false">
      <c r="A54" s="19" t="n">
        <v>42</v>
      </c>
      <c r="B54" s="20" t="n">
        <f aca="false">A54/12</f>
        <v>3.5</v>
      </c>
      <c r="C54" s="16" t="n">
        <f aca="false">Declarations!$C$20+(Declarations!$C$4-Declarations!$C$20)*EXP(-Declarations!$D$20*$B54)+IF(Declarations!$E$20=0,0,Declarations!$E$20*($B54/Declarations!$F$20)*EXP(1-$B54/Declarations!$F$20))+IF($B54&gt;=T_sale,Declarations!$G$20,0)</f>
        <v>85.3289465118079</v>
      </c>
      <c r="D54" s="16" t="n">
        <f aca="false">Declarations!$C$21+(Declarations!$C$7-Declarations!$C$21)*EXP(-Declarations!$D$21*$B54)+IF(Declarations!$E$21=0,0,Declarations!$E$21*($B54/Declarations!$F$21)*EXP(1-$B54/Declarations!$F$21))+IF($B54&gt;=T_sale,Declarations!$G$21,0)</f>
        <v>72.6025969963196</v>
      </c>
      <c r="E54" s="16" t="n">
        <f aca="false">Declarations!$C$22+(Declarations!$C$8-Declarations!$C$22)*EXP(-Declarations!$D$22*$B54)+IF(Declarations!$E$22=0,0,Declarations!$E$22*($B54/Declarations!$F$22)*EXP(1-$B54/Declarations!$F$22))+IF($B54&gt;=T_sale,Declarations!$G$22,0)</f>
        <v>70.4218164388671</v>
      </c>
      <c r="F54" s="16" t="n">
        <f aca="false">Declarations!$C$23+(Declarations!$C$10-Declarations!$C$23)*EXP(-Declarations!$D$23*$B54)+IF(Declarations!$E$23=0,0,Declarations!$E$23*($B54/Declarations!$F$23)*EXP(1-$B54/Declarations!$F$23))+IF($B54&gt;=T_sale,Declarations!$G$23,0)</f>
        <v>60.2121996164541</v>
      </c>
      <c r="G54" s="16" t="n">
        <f aca="false">Declarations!$C$24+(Declarations!$C$4-Declarations!$C$24)*EXP(-Declarations!$D$24*$B54)+IF(Declarations!$E$24=0,0,Declarations!$E$24*($B54/Declarations!$F$24)*EXP(1-$B54/Declarations!$F$24))+IF($B54&gt;=T_sale,Declarations!$G$24,0)</f>
        <v>120.600249003555</v>
      </c>
      <c r="H54" s="16" t="n">
        <f aca="false">Declarations!$C$25+(Declarations!$C$7-Declarations!$C$25)*EXP(-Declarations!$D$25*$B54)+IF(Declarations!$E$25=0,0,Declarations!$E$25*($B54/Declarations!$F$25)*EXP(1-$B54/Declarations!$F$25))+IF($B54&gt;=T_sale,Declarations!$G$25,0)</f>
        <v>39.2505860590355</v>
      </c>
      <c r="I54" s="16" t="n">
        <f aca="false">Declarations!$C$26+(Declarations!$C$8-Declarations!$C$26)*EXP(-Declarations!$D$26*$B54)+IF(Declarations!$E$26=0,0,Declarations!$E$26*($B54/Declarations!$F$26)*EXP(1-$B54/Declarations!$F$26))+IF($B54&gt;=T_sale,Declarations!$G$26,0)</f>
        <v>73.3789773419565</v>
      </c>
      <c r="J54" s="16" t="n">
        <f aca="false">Declarations!$C$27+(Declarations!$C$10-Declarations!$C$27)*EXP(-Declarations!$D$27*$B54)+IF(Declarations!$E$27=0,0,Declarations!$E$27*($B54/Declarations!$F$27)*EXP(1-$B54/Declarations!$F$27))+IF($B54&gt;=T_sale,Declarations!$G$27,0)</f>
        <v>50.3500616025883</v>
      </c>
      <c r="K54" s="16" t="n">
        <f aca="false">Declarations!$C$28+(Declarations!$C$4-Declarations!$C$28)*EXP(-Declarations!$D$28*$B54)+IF(Declarations!$E$28=0,0,Declarations!$E$28*($B54/Declarations!$F$28)*EXP(1-$B54/Declarations!$F$28))+IF($B54&gt;=T_sale,Declarations!$G$28,0)</f>
        <v>104.757954683913</v>
      </c>
      <c r="L54" s="16" t="n">
        <f aca="false">Declarations!$C$29+(Declarations!$C$7-Declarations!$C$29)*EXP(-Declarations!$D$29*$B54)+IF(Declarations!$E$29=0,0,Declarations!$E$29*($B54/Declarations!$F$29)*EXP(1-$B54/Declarations!$F$29))+IF($B54&gt;=T_sale,Declarations!$G$29,0)</f>
        <v>36.9726824303313</v>
      </c>
      <c r="M54" s="16" t="n">
        <f aca="false">Declarations!$C$30+(Declarations!$C$8-Declarations!$C$30)*EXP(-Declarations!$D$30*$B54)+IF(Declarations!$E$30=0,0,Declarations!$E$30*($B54/Declarations!$F$30)*EXP(1-$B54/Declarations!$F$30))+IF($B54&gt;=T_sale,Declarations!$G$30,0)</f>
        <v>78.0203485739762</v>
      </c>
      <c r="N54" s="16" t="n">
        <f aca="false">Declarations!$C$31+(Declarations!$C$10-Declarations!$C$31)*EXP(-Declarations!$D$31*$B54)+IF(Declarations!$E$31=0,0,Declarations!$E$31*($B54/Declarations!$F$31)*EXP(1-$B54/Declarations!$F$31))+IF($B54&gt;=T_sale,Declarations!$G$31,0)</f>
        <v>65.9501867526665</v>
      </c>
      <c r="O54" s="16" t="n">
        <f aca="false">W_L*C54+W_T*D54+W_E*E54+W_R*F54</f>
        <v>42.0352900826351</v>
      </c>
      <c r="P54" s="16" t="n">
        <f aca="false">W_L*G54+W_T*H54+W_E*I54+W_R*J54</f>
        <v>45.7199377004898</v>
      </c>
      <c r="Q54" s="16" t="n">
        <f aca="false">W_L*K54+W_T*L54+W_E*M54+W_R*N54</f>
        <v>38.4501997338885</v>
      </c>
      <c r="R54" s="19" t="str">
        <f aca="false">IF(AND(O54&gt;=$B$9,O53&lt;$B$9),A54,"")</f>
        <v/>
      </c>
    </row>
    <row r="55" customFormat="false" ht="15" hidden="false" customHeight="false" outlineLevel="0" collapsed="false">
      <c r="A55" s="19" t="n">
        <v>43</v>
      </c>
      <c r="B55" s="20" t="n">
        <f aca="false">A55/12</f>
        <v>3.58333333333333</v>
      </c>
      <c r="C55" s="16" t="n">
        <f aca="false">Declarations!$C$20+(Declarations!$C$4-Declarations!$C$20)*EXP(-Declarations!$D$20*$B55)+IF(Declarations!$E$20=0,0,Declarations!$E$20*($B55/Declarations!$F$20)*EXP(1-$B55/Declarations!$F$20))+IF($B55&gt;=T_sale,Declarations!$G$20,0)</f>
        <v>85.8462721744564</v>
      </c>
      <c r="D55" s="16" t="n">
        <f aca="false">Declarations!$C$21+(Declarations!$C$7-Declarations!$C$21)*EXP(-Declarations!$D$21*$B55)+IF(Declarations!$E$21=0,0,Declarations!$E$21*($B55/Declarations!$F$21)*EXP(1-$B55/Declarations!$F$21))+IF($B55&gt;=T_sale,Declarations!$G$21,0)</f>
        <v>72.8443944486408</v>
      </c>
      <c r="E55" s="16" t="n">
        <f aca="false">Declarations!$C$22+(Declarations!$C$8-Declarations!$C$22)*EXP(-Declarations!$D$22*$B55)+IF(Declarations!$E$22=0,0,Declarations!$E$22*($B55/Declarations!$F$22)*EXP(1-$B55/Declarations!$F$22))+IF($B55&gt;=T_sale,Declarations!$G$22,0)</f>
        <v>70.6388347044205</v>
      </c>
      <c r="F55" s="16" t="n">
        <f aca="false">Declarations!$C$23+(Declarations!$C$10-Declarations!$C$23)*EXP(-Declarations!$D$23*$B55)+IF(Declarations!$E$23=0,0,Declarations!$E$23*($B55/Declarations!$F$23)*EXP(1-$B55/Declarations!$F$23))+IF($B55&gt;=T_sale,Declarations!$G$23,0)</f>
        <v>59.8375582254175</v>
      </c>
      <c r="G55" s="16" t="n">
        <f aca="false">Declarations!$C$24+(Declarations!$C$4-Declarations!$C$24)*EXP(-Declarations!$D$24*$B55)+IF(Declarations!$E$24=0,0,Declarations!$E$24*($B55/Declarations!$F$24)*EXP(1-$B55/Declarations!$F$24))+IF($B55&gt;=T_sale,Declarations!$G$24,0)</f>
        <v>120.634808978796</v>
      </c>
      <c r="H55" s="16" t="n">
        <f aca="false">Declarations!$C$25+(Declarations!$C$7-Declarations!$C$25)*EXP(-Declarations!$D$25*$B55)+IF(Declarations!$E$25=0,0,Declarations!$E$25*($B55/Declarations!$F$25)*EXP(1-$B55/Declarations!$F$25))+IF($B55&gt;=T_sale,Declarations!$G$25,0)</f>
        <v>39.2248017024407</v>
      </c>
      <c r="I55" s="16" t="n">
        <f aca="false">Declarations!$C$26+(Declarations!$C$8-Declarations!$C$26)*EXP(-Declarations!$D$26*$B55)+IF(Declarations!$E$26=0,0,Declarations!$E$26*($B55/Declarations!$F$26)*EXP(1-$B55/Declarations!$F$26))+IF($B55&gt;=T_sale,Declarations!$G$26,0)</f>
        <v>73.4018344424944</v>
      </c>
      <c r="J55" s="16" t="n">
        <f aca="false">Declarations!$C$27+(Declarations!$C$10-Declarations!$C$27)*EXP(-Declarations!$D$27*$B55)+IF(Declarations!$E$27=0,0,Declarations!$E$27*($B55/Declarations!$F$27)*EXP(1-$B55/Declarations!$F$27))+IF($B55&gt;=T_sale,Declarations!$G$27,0)</f>
        <v>50.2825080835478</v>
      </c>
      <c r="K55" s="16" t="n">
        <f aca="false">Declarations!$C$28+(Declarations!$C$4-Declarations!$C$28)*EXP(-Declarations!$D$28*$B55)+IF(Declarations!$E$28=0,0,Declarations!$E$28*($B55/Declarations!$F$28)*EXP(1-$B55/Declarations!$F$28))+IF($B55&gt;=T_sale,Declarations!$G$28,0)</f>
        <v>104.803668884989</v>
      </c>
      <c r="L55" s="16" t="n">
        <f aca="false">Declarations!$C$29+(Declarations!$C$7-Declarations!$C$29)*EXP(-Declarations!$D$29*$B55)+IF(Declarations!$E$29=0,0,Declarations!$E$29*($B55/Declarations!$F$29)*EXP(1-$B55/Declarations!$F$29))+IF($B55&gt;=T_sale,Declarations!$G$29,0)</f>
        <v>36.9070197653295</v>
      </c>
      <c r="M55" s="16" t="n">
        <f aca="false">Declarations!$C$30+(Declarations!$C$8-Declarations!$C$30)*EXP(-Declarations!$D$30*$B55)+IF(Declarations!$E$30=0,0,Declarations!$E$30*($B55/Declarations!$F$30)*EXP(1-$B55/Declarations!$F$30))+IF($B55&gt;=T_sale,Declarations!$G$30,0)</f>
        <v>78.068126737812</v>
      </c>
      <c r="N55" s="16" t="n">
        <f aca="false">Declarations!$C$31+(Declarations!$C$10-Declarations!$C$31)*EXP(-Declarations!$D$31*$B55)+IF(Declarations!$E$31=0,0,Declarations!$E$31*($B55/Declarations!$F$31)*EXP(1-$B55/Declarations!$F$31))+IF($B55&gt;=T_sale,Declarations!$G$31,0)</f>
        <v>65.976106734097</v>
      </c>
      <c r="O55" s="16" t="n">
        <f aca="false">W_L*C55+W_T*D55+W_E*E55+W_R*F55</f>
        <v>42.372985775525</v>
      </c>
      <c r="P55" s="16" t="n">
        <f aca="false">W_L*G55+W_T*H55+W_E*I55+W_R*J55</f>
        <v>45.7447342600458</v>
      </c>
      <c r="Q55" s="16" t="n">
        <f aca="false">W_L*K55+W_T*L55+W_E*M55+W_R*N55</f>
        <v>38.4506771635083</v>
      </c>
      <c r="R55" s="19" t="str">
        <f aca="false">IF(AND(O55&gt;=$B$9,O54&lt;$B$9),A55,"")</f>
        <v/>
      </c>
    </row>
    <row r="56" customFormat="false" ht="15" hidden="false" customHeight="false" outlineLevel="0" collapsed="false">
      <c r="A56" s="19" t="n">
        <v>44</v>
      </c>
      <c r="B56" s="20" t="n">
        <f aca="false">A56/12</f>
        <v>3.66666666666667</v>
      </c>
      <c r="C56" s="16" t="n">
        <f aca="false">Declarations!$C$20+(Declarations!$C$4-Declarations!$C$20)*EXP(-Declarations!$D$20*$B56)+IF(Declarations!$E$20=0,0,Declarations!$E$20*($B56/Declarations!$F$20)*EXP(1-$B56/Declarations!$F$20))+IF($B56&gt;=T_sale,Declarations!$G$20,0)</f>
        <v>86.3652806679746</v>
      </c>
      <c r="D56" s="16" t="n">
        <f aca="false">Declarations!$C$21+(Declarations!$C$7-Declarations!$C$21)*EXP(-Declarations!$D$21*$B56)+IF(Declarations!$E$21=0,0,Declarations!$E$21*($B56/Declarations!$F$21)*EXP(1-$B56/Declarations!$F$21))+IF($B56&gt;=T_sale,Declarations!$G$21,0)</f>
        <v>73.0753596529513</v>
      </c>
      <c r="E56" s="16" t="n">
        <f aca="false">Declarations!$C$22+(Declarations!$C$8-Declarations!$C$22)*EXP(-Declarations!$D$22*$B56)+IF(Declarations!$E$22=0,0,Declarations!$E$22*($B56/Declarations!$F$22)*EXP(1-$B56/Declarations!$F$22))+IF($B56&gt;=T_sale,Declarations!$G$22,0)</f>
        <v>70.8514256978364</v>
      </c>
      <c r="F56" s="16" t="n">
        <f aca="false">Declarations!$C$23+(Declarations!$C$10-Declarations!$C$23)*EXP(-Declarations!$D$23*$B56)+IF(Declarations!$E$23=0,0,Declarations!$E$23*($B56/Declarations!$F$23)*EXP(1-$B56/Declarations!$F$23))+IF($B56&gt;=T_sale,Declarations!$G$23,0)</f>
        <v>59.4754948884388</v>
      </c>
      <c r="G56" s="16" t="n">
        <f aca="false">Declarations!$C$24+(Declarations!$C$4-Declarations!$C$24)*EXP(-Declarations!$D$24*$B56)+IF(Declarations!$E$24=0,0,Declarations!$E$24*($B56/Declarations!$F$24)*EXP(1-$B56/Declarations!$F$24))+IF($B56&gt;=T_sale,Declarations!$G$24,0)</f>
        <v>120.668515665208</v>
      </c>
      <c r="H56" s="16" t="n">
        <f aca="false">Declarations!$C$25+(Declarations!$C$7-Declarations!$C$25)*EXP(-Declarations!$D$25*$B56)+IF(Declarations!$E$25=0,0,Declarations!$E$25*($B56/Declarations!$F$25)*EXP(1-$B56/Declarations!$F$25))+IF($B56&gt;=T_sale,Declarations!$G$25,0)</f>
        <v>39.1995489630345</v>
      </c>
      <c r="I56" s="16" t="n">
        <f aca="false">Declarations!$C$26+(Declarations!$C$8-Declarations!$C$26)*EXP(-Declarations!$D$26*$B56)+IF(Declarations!$E$26=0,0,Declarations!$E$26*($B56/Declarations!$F$26)*EXP(1-$B56/Declarations!$F$26))+IF($B56&gt;=T_sale,Declarations!$G$26,0)</f>
        <v>73.4238502741377</v>
      </c>
      <c r="J56" s="16" t="n">
        <f aca="false">Declarations!$C$27+(Declarations!$C$10-Declarations!$C$27)*EXP(-Declarations!$D$27*$B56)+IF(Declarations!$E$27=0,0,Declarations!$E$27*($B56/Declarations!$F$27)*EXP(1-$B56/Declarations!$F$27))+IF($B56&gt;=T_sale,Declarations!$G$27,0)</f>
        <v>50.216896419108</v>
      </c>
      <c r="K56" s="16" t="n">
        <f aca="false">Declarations!$C$28+(Declarations!$C$4-Declarations!$C$28)*EXP(-Declarations!$D$28*$B56)+IF(Declarations!$E$28=0,0,Declarations!$E$28*($B56/Declarations!$F$28)*EXP(1-$B56/Declarations!$F$28))+IF($B56&gt;=T_sale,Declarations!$G$28,0)</f>
        <v>104.847700548275</v>
      </c>
      <c r="L56" s="16" t="n">
        <f aca="false">Declarations!$C$29+(Declarations!$C$7-Declarations!$C$29)*EXP(-Declarations!$D$29*$B56)+IF(Declarations!$E$29=0,0,Declarations!$E$29*($B56/Declarations!$F$29)*EXP(1-$B56/Declarations!$F$29))+IF($B56&gt;=T_sale,Declarations!$G$29,0)</f>
        <v>36.8424424087184</v>
      </c>
      <c r="M56" s="16" t="n">
        <f aca="false">Declarations!$C$30+(Declarations!$C$8-Declarations!$C$30)*EXP(-Declarations!$D$30*$B56)+IF(Declarations!$E$30=0,0,Declarations!$E$30*($B56/Declarations!$F$30)*EXP(1-$B56/Declarations!$F$30))+IF($B56&gt;=T_sale,Declarations!$G$30,0)</f>
        <v>78.1135747331013</v>
      </c>
      <c r="N56" s="16" t="n">
        <f aca="false">Declarations!$C$31+(Declarations!$C$10-Declarations!$C$31)*EXP(-Declarations!$D$31*$B56)+IF(Declarations!$E$31=0,0,Declarations!$E$31*($B56/Declarations!$F$31)*EXP(1-$B56/Declarations!$F$31))+IF($B56&gt;=T_sale,Declarations!$G$31,0)</f>
        <v>66.0013867489058</v>
      </c>
      <c r="O56" s="16" t="n">
        <f aca="false">W_L*C56+W_T*D56+W_E*E56+W_R*F56</f>
        <v>42.7041427825809</v>
      </c>
      <c r="P56" s="16" t="n">
        <f aca="false">W_L*G56+W_T*H56+W_E*I56+W_R*J56</f>
        <v>45.768754620818</v>
      </c>
      <c r="Q56" s="16" t="n">
        <f aca="false">W_L*K56+W_T*L56+W_E*M56+W_R*N56</f>
        <v>38.4505827352974</v>
      </c>
      <c r="R56" s="19" t="str">
        <f aca="false">IF(AND(O56&gt;=$B$9,O55&lt;$B$9),A56,"")</f>
        <v/>
      </c>
    </row>
    <row r="57" customFormat="false" ht="15" hidden="false" customHeight="false" outlineLevel="0" collapsed="false">
      <c r="A57" s="19" t="n">
        <v>45</v>
      </c>
      <c r="B57" s="20" t="n">
        <f aca="false">A57/12</f>
        <v>3.75</v>
      </c>
      <c r="C57" s="16" t="n">
        <f aca="false">Declarations!$C$20+(Declarations!$C$4-Declarations!$C$20)*EXP(-Declarations!$D$20*$B57)+IF(Declarations!$E$20=0,0,Declarations!$E$20*($B57/Declarations!$F$20)*EXP(1-$B57/Declarations!$F$20))+IF($B57&gt;=T_sale,Declarations!$G$20,0)</f>
        <v>86.8849877821281</v>
      </c>
      <c r="D57" s="16" t="n">
        <f aca="false">Declarations!$C$21+(Declarations!$C$7-Declarations!$C$21)*EXP(-Declarations!$D$21*$B57)+IF(Declarations!$E$21=0,0,Declarations!$E$21*($B57/Declarations!$F$21)*EXP(1-$B57/Declarations!$F$21))+IF($B57&gt;=T_sale,Declarations!$G$21,0)</f>
        <v>73.2959778815147</v>
      </c>
      <c r="E57" s="16" t="n">
        <f aca="false">Declarations!$C$22+(Declarations!$C$8-Declarations!$C$22)*EXP(-Declarations!$D$22*$B57)+IF(Declarations!$E$22=0,0,Declarations!$E$22*($B57/Declarations!$F$22)*EXP(1-$B57/Declarations!$F$22))+IF($B57&gt;=T_sale,Declarations!$G$22,0)</f>
        <v>71.0594415955908</v>
      </c>
      <c r="F57" s="16" t="n">
        <f aca="false">Declarations!$C$23+(Declarations!$C$10-Declarations!$C$23)*EXP(-Declarations!$D$23*$B57)+IF(Declarations!$E$23=0,0,Declarations!$E$23*($B57/Declarations!$F$23)*EXP(1-$B57/Declarations!$F$23))+IF($B57&gt;=T_sale,Declarations!$G$23,0)</f>
        <v>59.1258844435986</v>
      </c>
      <c r="G57" s="16" t="n">
        <f aca="false">Declarations!$C$24+(Declarations!$C$4-Declarations!$C$24)*EXP(-Declarations!$D$24*$B57)+IF(Declarations!$E$24=0,0,Declarations!$E$24*($B57/Declarations!$F$24)*EXP(1-$B57/Declarations!$F$24))+IF($B57&gt;=T_sale,Declarations!$G$24,0)</f>
        <v>120.701390130567</v>
      </c>
      <c r="H57" s="16" t="n">
        <f aca="false">Declarations!$C$25+(Declarations!$C$7-Declarations!$C$25)*EXP(-Declarations!$D$25*$B57)+IF(Declarations!$E$25=0,0,Declarations!$E$25*($B57/Declarations!$F$25)*EXP(1-$B57/Declarations!$F$25))+IF($B57&gt;=T_sale,Declarations!$G$25,0)</f>
        <v>39.1748168800304</v>
      </c>
      <c r="I57" s="16" t="n">
        <f aca="false">Declarations!$C$26+(Declarations!$C$8-Declarations!$C$26)*EXP(-Declarations!$D$26*$B57)+IF(Declarations!$E$26=0,0,Declarations!$E$26*($B57/Declarations!$F$26)*EXP(1-$B57/Declarations!$F$26))+IF($B57&gt;=T_sale,Declarations!$G$26,0)</f>
        <v>73.4450558002781</v>
      </c>
      <c r="J57" s="16" t="n">
        <f aca="false">Declarations!$C$27+(Declarations!$C$10-Declarations!$C$27)*EXP(-Declarations!$D$27*$B57)+IF(Declarations!$E$27=0,0,Declarations!$E$27*($B57/Declarations!$F$27)*EXP(1-$B57/Declarations!$F$27))+IF($B57&gt;=T_sale,Declarations!$G$27,0)</f>
        <v>50.1531707898335</v>
      </c>
      <c r="K57" s="16" t="n">
        <f aca="false">Declarations!$C$28+(Declarations!$C$4-Declarations!$C$28)*EXP(-Declarations!$D$28*$B57)+IF(Declarations!$E$28=0,0,Declarations!$E$28*($B57/Declarations!$F$28)*EXP(1-$B57/Declarations!$F$28))+IF($B57&gt;=T_sale,Declarations!$G$28,0)</f>
        <v>104.890111600556</v>
      </c>
      <c r="L57" s="16" t="n">
        <f aca="false">Declarations!$C$29+(Declarations!$C$7-Declarations!$C$29)*EXP(-Declarations!$D$29*$B57)+IF(Declarations!$E$29=0,0,Declarations!$E$29*($B57/Declarations!$F$29)*EXP(1-$B57/Declarations!$F$29))+IF($B57&gt;=T_sale,Declarations!$G$29,0)</f>
        <v>36.7789324219281</v>
      </c>
      <c r="M57" s="16" t="n">
        <f aca="false">Declarations!$C$30+(Declarations!$C$8-Declarations!$C$30)*EXP(-Declarations!$D$30*$B57)+IF(Declarations!$E$30=0,0,Declarations!$E$30*($B57/Declarations!$F$30)*EXP(1-$B57/Declarations!$F$30))+IF($B57&gt;=T_sale,Declarations!$G$30,0)</f>
        <v>78.1568062035051</v>
      </c>
      <c r="N57" s="16" t="n">
        <f aca="false">Declarations!$C$31+(Declarations!$C$10-Declarations!$C$31)*EXP(-Declarations!$D$31*$B57)+IF(Declarations!$E$31=0,0,Declarations!$E$31*($B57/Declarations!$F$31)*EXP(1-$B57/Declarations!$F$31))+IF($B57&gt;=T_sale,Declarations!$G$31,0)</f>
        <v>66.026042597925</v>
      </c>
      <c r="O57" s="16" t="n">
        <f aca="false">W_L*C57+W_T*D57+W_E*E57+W_R*F57</f>
        <v>43.0286307039087</v>
      </c>
      <c r="P57" s="16" t="n">
        <f aca="false">W_L*G57+W_T*H57+W_E*I57+W_R*J57</f>
        <v>45.7920230052604</v>
      </c>
      <c r="Q57" s="16" t="n">
        <f aca="false">W_L*K57+W_T*L57+W_E*M57+W_R*N57</f>
        <v>38.4499519070161</v>
      </c>
      <c r="R57" s="19" t="str">
        <f aca="false">IF(AND(O57&gt;=$B$9,O56&lt;$B$9),A57,"")</f>
        <v/>
      </c>
    </row>
    <row r="58" customFormat="false" ht="15" hidden="false" customHeight="false" outlineLevel="0" collapsed="false">
      <c r="A58" s="19" t="n">
        <v>46</v>
      </c>
      <c r="B58" s="20" t="n">
        <f aca="false">A58/12</f>
        <v>3.83333333333333</v>
      </c>
      <c r="C58" s="16" t="n">
        <f aca="false">Declarations!$C$20+(Declarations!$C$4-Declarations!$C$20)*EXP(-Declarations!$D$20*$B58)+IF(Declarations!$E$20=0,0,Declarations!$E$20*($B58/Declarations!$F$20)*EXP(1-$B58/Declarations!$F$20))+IF($B58&gt;=T_sale,Declarations!$G$20,0)</f>
        <v>87.4044864122299</v>
      </c>
      <c r="D58" s="16" t="n">
        <f aca="false">Declarations!$C$21+(Declarations!$C$7-Declarations!$C$21)*EXP(-Declarations!$D$21*$B58)+IF(Declarations!$E$21=0,0,Declarations!$E$21*($B58/Declarations!$F$21)*EXP(1-$B58/Declarations!$F$21))+IF($B58&gt;=T_sale,Declarations!$G$21,0)</f>
        <v>73.5067126669544</v>
      </c>
      <c r="E58" s="16" t="n">
        <f aca="false">Declarations!$C$22+(Declarations!$C$8-Declarations!$C$22)*EXP(-Declarations!$D$22*$B58)+IF(Declarations!$E$22=0,0,Declarations!$E$22*($B58/Declarations!$F$22)*EXP(1-$B58/Declarations!$F$22))+IF($B58&gt;=T_sale,Declarations!$G$22,0)</f>
        <v>71.2627631764471</v>
      </c>
      <c r="F58" s="16" t="n">
        <f aca="false">Declarations!$C$23+(Declarations!$C$10-Declarations!$C$23)*EXP(-Declarations!$D$23*$B58)+IF(Declarations!$E$23=0,0,Declarations!$E$23*($B58/Declarations!$F$23)*EXP(1-$B58/Declarations!$F$23))+IF($B58&gt;=T_sale,Declarations!$G$23,0)</f>
        <v>58.7885659659192</v>
      </c>
      <c r="G58" s="16" t="n">
        <f aca="false">Declarations!$C$24+(Declarations!$C$4-Declarations!$C$24)*EXP(-Declarations!$D$24*$B58)+IF(Declarations!$E$24=0,0,Declarations!$E$24*($B58/Declarations!$F$24)*EXP(1-$B58/Declarations!$F$24))+IF($B58&gt;=T_sale,Declarations!$G$24,0)</f>
        <v>120.733452922484</v>
      </c>
      <c r="H58" s="16" t="n">
        <f aca="false">Declarations!$C$25+(Declarations!$C$7-Declarations!$C$25)*EXP(-Declarations!$D$25*$B58)+IF(Declarations!$E$25=0,0,Declarations!$E$25*($B58/Declarations!$F$25)*EXP(1-$B58/Declarations!$F$25))+IF($B58&gt;=T_sale,Declarations!$G$25,0)</f>
        <v>39.1505947186289</v>
      </c>
      <c r="I58" s="16" t="n">
        <f aca="false">Declarations!$C$26+(Declarations!$C$8-Declarations!$C$26)*EXP(-Declarations!$D$26*$B58)+IF(Declarations!$E$26=0,0,Declarations!$E$26*($B58/Declarations!$F$26)*EXP(1-$B58/Declarations!$F$26))+IF($B58&gt;=T_sale,Declarations!$G$26,0)</f>
        <v>73.4654808446813</v>
      </c>
      <c r="J58" s="16" t="n">
        <f aca="false">Declarations!$C$27+(Declarations!$C$10-Declarations!$C$27)*EXP(-Declarations!$D$27*$B58)+IF(Declarations!$E$27=0,0,Declarations!$E$27*($B58/Declarations!$F$27)*EXP(1-$B58/Declarations!$F$27))+IF($B58&gt;=T_sale,Declarations!$G$27,0)</f>
        <v>50.0912769808422</v>
      </c>
      <c r="K58" s="16" t="n">
        <f aca="false">Declarations!$C$28+(Declarations!$C$4-Declarations!$C$28)*EXP(-Declarations!$D$28*$B58)+IF(Declarations!$E$28=0,0,Declarations!$E$28*($B58/Declarations!$F$28)*EXP(1-$B58/Declarations!$F$28))+IF($B58&gt;=T_sale,Declarations!$G$28,0)</f>
        <v>104.930961689363</v>
      </c>
      <c r="L58" s="16" t="n">
        <f aca="false">Declarations!$C$29+(Declarations!$C$7-Declarations!$C$29)*EXP(-Declarations!$D$29*$B58)+IF(Declarations!$E$29=0,0,Declarations!$E$29*($B58/Declarations!$F$29)*EXP(1-$B58/Declarations!$F$29))+IF($B58&gt;=T_sale,Declarations!$G$29,0)</f>
        <v>36.7164721628873</v>
      </c>
      <c r="M58" s="16" t="n">
        <f aca="false">Declarations!$C$30+(Declarations!$C$8-Declarations!$C$30)*EXP(-Declarations!$D$30*$B58)+IF(Declarations!$E$30=0,0,Declarations!$E$30*($B58/Declarations!$F$30)*EXP(1-$B58/Declarations!$F$30))+IF($B58&gt;=T_sale,Declarations!$G$30,0)</f>
        <v>78.1979292502176</v>
      </c>
      <c r="N58" s="16" t="n">
        <f aca="false">Declarations!$C$31+(Declarations!$C$10-Declarations!$C$31)*EXP(-Declarations!$D$31*$B58)+IF(Declarations!$E$31=0,0,Declarations!$E$31*($B58/Declarations!$F$31)*EXP(1-$B58/Declarations!$F$31))+IF($B58&gt;=T_sale,Declarations!$G$31,0)</f>
        <v>66.0500896918628</v>
      </c>
      <c r="O58" s="16" t="n">
        <f aca="false">W_L*C58+W_T*D58+W_E*E58+W_R*F58</f>
        <v>43.346349072428</v>
      </c>
      <c r="P58" s="16" t="n">
        <f aca="false">W_L*G58+W_T*H58+W_E*I58+W_R*J58</f>
        <v>45.814562876238</v>
      </c>
      <c r="Q58" s="16" t="n">
        <f aca="false">W_L*K58+W_T*L58+W_E*M58+W_R*N58</f>
        <v>38.4488183526512</v>
      </c>
      <c r="R58" s="19" t="str">
        <f aca="false">IF(AND(O58&gt;=$B$9,O57&lt;$B$9),A58,"")</f>
        <v/>
      </c>
    </row>
    <row r="59" customFormat="false" ht="15" hidden="false" customHeight="false" outlineLevel="0" collapsed="false">
      <c r="A59" s="19" t="n">
        <v>47</v>
      </c>
      <c r="B59" s="20" t="n">
        <f aca="false">A59/12</f>
        <v>3.91666666666667</v>
      </c>
      <c r="C59" s="16" t="n">
        <f aca="false">Declarations!$C$20+(Declarations!$C$4-Declarations!$C$20)*EXP(-Declarations!$D$20*$B59)+IF(Declarations!$E$20=0,0,Declarations!$E$20*($B59/Declarations!$F$20)*EXP(1-$B59/Declarations!$F$20))+IF($B59&gt;=T_sale,Declarations!$G$20,0)</f>
        <v>87.9229419170926</v>
      </c>
      <c r="D59" s="16" t="n">
        <f aca="false">Declarations!$C$21+(Declarations!$C$7-Declarations!$C$21)*EXP(-Declarations!$D$21*$B59)+IF(Declarations!$E$21=0,0,Declarations!$E$21*($B59/Declarations!$F$21)*EXP(1-$B59/Declarations!$F$21))+IF($B59&gt;=T_sale,Declarations!$G$21,0)</f>
        <v>73.7080067761652</v>
      </c>
      <c r="E59" s="16" t="n">
        <f aca="false">Declarations!$C$22+(Declarations!$C$8-Declarations!$C$22)*EXP(-Declarations!$D$22*$B59)+IF(Declarations!$E$22=0,0,Declarations!$E$22*($B59/Declarations!$F$22)*EXP(1-$B59/Declarations!$F$22))+IF($B59&gt;=T_sale,Declarations!$G$22,0)</f>
        <v>71.4612971741963</v>
      </c>
      <c r="F59" s="16" t="n">
        <f aca="false">Declarations!$C$23+(Declarations!$C$10-Declarations!$C$23)*EXP(-Declarations!$D$23*$B59)+IF(Declarations!$E$23=0,0,Declarations!$E$23*($B59/Declarations!$F$23)*EXP(1-$B59/Declarations!$F$23))+IF($B59&gt;=T_sale,Declarations!$G$23,0)</f>
        <v>58.463347996316</v>
      </c>
      <c r="G59" s="16" t="n">
        <f aca="false">Declarations!$C$24+(Declarations!$C$4-Declarations!$C$24)*EXP(-Declarations!$D$24*$B59)+IF(Declarations!$E$24=0,0,Declarations!$E$24*($B59/Declarations!$F$24)*EXP(1-$B59/Declarations!$F$24))+IF($B59&gt;=T_sale,Declarations!$G$24,0)</f>
        <v>120.764724081248</v>
      </c>
      <c r="H59" s="16" t="n">
        <f aca="false">Declarations!$C$25+(Declarations!$C$7-Declarations!$C$25)*EXP(-Declarations!$D$25*$B59)+IF(Declarations!$E$25=0,0,Declarations!$E$25*($B59/Declarations!$F$25)*EXP(1-$B59/Declarations!$F$25))+IF($B59&gt;=T_sale,Declarations!$G$25,0)</f>
        <v>39.126871965359</v>
      </c>
      <c r="I59" s="16" t="n">
        <f aca="false">Declarations!$C$26+(Declarations!$C$8-Declarations!$C$26)*EXP(-Declarations!$D$26*$B59)+IF(Declarations!$E$26=0,0,Declarations!$E$26*($B59/Declarations!$F$26)*EXP(1-$B59/Declarations!$F$26))+IF($B59&gt;=T_sale,Declarations!$G$26,0)</f>
        <v>73.4851541334322</v>
      </c>
      <c r="J59" s="16" t="n">
        <f aca="false">Declarations!$C$27+(Declarations!$C$10-Declarations!$C$27)*EXP(-Declarations!$D$27*$B59)+IF(Declarations!$E$27=0,0,Declarations!$E$27*($B59/Declarations!$F$27)*EXP(1-$B59/Declarations!$F$27))+IF($B59&gt;=T_sale,Declarations!$G$27,0)</f>
        <v>50.031162335682</v>
      </c>
      <c r="K59" s="16" t="n">
        <f aca="false">Declarations!$C$28+(Declarations!$C$4-Declarations!$C$28)*EXP(-Declarations!$D$28*$B59)+IF(Declarations!$E$28=0,0,Declarations!$E$28*($B59/Declarations!$F$28)*EXP(1-$B59/Declarations!$F$28))+IF($B59&gt;=T_sale,Declarations!$G$28,0)</f>
        <v>104.970308266864</v>
      </c>
      <c r="L59" s="16" t="n">
        <f aca="false">Declarations!$C$29+(Declarations!$C$7-Declarations!$C$29)*EXP(-Declarations!$D$29*$B59)+IF(Declarations!$E$29=0,0,Declarations!$E$29*($B59/Declarations!$F$29)*EXP(1-$B59/Declarations!$F$29))+IF($B59&gt;=T_sale,Declarations!$G$29,0)</f>
        <v>36.6550442811223</v>
      </c>
      <c r="M59" s="16" t="n">
        <f aca="false">Declarations!$C$30+(Declarations!$C$8-Declarations!$C$30)*EXP(-Declarations!$D$30*$B59)+IF(Declarations!$E$30=0,0,Declarations!$E$30*($B59/Declarations!$F$30)*EXP(1-$B59/Declarations!$F$30))+IF($B59&gt;=T_sale,Declarations!$G$30,0)</f>
        <v>78.2370467022756</v>
      </c>
      <c r="N59" s="16" t="n">
        <f aca="false">Declarations!$C$31+(Declarations!$C$10-Declarations!$C$31)*EXP(-Declarations!$D$31*$B59)+IF(Declarations!$E$31=0,0,Declarations!$E$31*($B59/Declarations!$F$31)*EXP(1-$B59/Declarations!$F$31))+IF($B59&gt;=T_sale,Declarations!$G$31,0)</f>
        <v>66.073543060936</v>
      </c>
      <c r="O59" s="16" t="n">
        <f aca="false">W_L*C59+W_T*D59+W_E*E59+W_R*F59</f>
        <v>43.6572244677845</v>
      </c>
      <c r="P59" s="16" t="n">
        <f aca="false">W_L*G59+W_T*H59+W_E*I59+W_R*J59</f>
        <v>45.8363969610893</v>
      </c>
      <c r="Q59" s="16" t="n">
        <f aca="false">W_L*K59+W_T*L59+W_E*M59+W_R*N59</f>
        <v>38.4472140473316</v>
      </c>
      <c r="R59" s="19" t="str">
        <f aca="false">IF(AND(O59&gt;=$B$9,O58&lt;$B$9),A59,"")</f>
        <v/>
      </c>
    </row>
    <row r="60" customFormat="false" ht="15" hidden="false" customHeight="false" outlineLevel="0" collapsed="false">
      <c r="A60" s="19" t="n">
        <v>48</v>
      </c>
      <c r="B60" s="20" t="n">
        <f aca="false">A60/12</f>
        <v>4</v>
      </c>
      <c r="C60" s="16" t="n">
        <f aca="false">Declarations!$C$20+(Declarations!$C$4-Declarations!$C$20)*EXP(-Declarations!$D$20*$B60)+IF(Declarations!$E$20=0,0,Declarations!$E$20*($B60/Declarations!$F$20)*EXP(1-$B60/Declarations!$F$20))+IF($B60&gt;=T_sale,Declarations!$G$20,0)</f>
        <v>88.4395877271</v>
      </c>
      <c r="D60" s="16" t="n">
        <f aca="false">Declarations!$C$21+(Declarations!$C$7-Declarations!$C$21)*EXP(-Declarations!$D$21*$B60)+IF(Declarations!$E$21=0,0,Declarations!$E$21*($B60/Declarations!$F$21)*EXP(1-$B60/Declarations!$F$21))+IF($B60&gt;=T_sale,Declarations!$G$21,0)</f>
        <v>73.9002831405936</v>
      </c>
      <c r="E60" s="16" t="n">
        <f aca="false">Declarations!$C$22+(Declarations!$C$8-Declarations!$C$22)*EXP(-Declarations!$D$22*$B60)+IF(Declarations!$E$22=0,0,Declarations!$E$22*($B60/Declarations!$F$22)*EXP(1-$B60/Declarations!$F$22))+IF($B60&gt;=T_sale,Declarations!$G$22,0)</f>
        <v>71.6549738324788</v>
      </c>
      <c r="F60" s="16" t="n">
        <f aca="false">Declarations!$C$23+(Declarations!$C$10-Declarations!$C$23)*EXP(-Declarations!$D$23*$B60)+IF(Declarations!$E$23=0,0,Declarations!$E$23*($B60/Declarations!$F$23)*EXP(1-$B60/Declarations!$F$23))+IF($B60&gt;=T_sale,Declarations!$G$23,0)</f>
        <v>58.1500132342694</v>
      </c>
      <c r="G60" s="16" t="n">
        <f aca="false">Declarations!$C$24+(Declarations!$C$4-Declarations!$C$24)*EXP(-Declarations!$D$24*$B60)+IF(Declarations!$E$24=0,0,Declarations!$E$24*($B60/Declarations!$F$24)*EXP(1-$B60/Declarations!$F$24))+IF($B60&gt;=T_sale,Declarations!$G$24,0)</f>
        <v>120.795223152351</v>
      </c>
      <c r="H60" s="16" t="n">
        <f aca="false">Declarations!$C$25+(Declarations!$C$7-Declarations!$C$25)*EXP(-Declarations!$D$25*$B60)+IF(Declarations!$E$25=0,0,Declarations!$E$25*($B60/Declarations!$F$25)*EXP(1-$B60/Declarations!$F$25))+IF($B60&gt;=T_sale,Declarations!$G$25,0)</f>
        <v>39.1036383235143</v>
      </c>
      <c r="I60" s="16" t="n">
        <f aca="false">Declarations!$C$26+(Declarations!$C$8-Declarations!$C$26)*EXP(-Declarations!$D$26*$B60)+IF(Declarations!$E$26=0,0,Declarations!$E$26*($B60/Declarations!$F$26)*EXP(1-$B60/Declarations!$F$26))+IF($B60&gt;=T_sale,Declarations!$G$26,0)</f>
        <v>73.5041033353352</v>
      </c>
      <c r="J60" s="16" t="n">
        <f aca="false">Declarations!$C$27+(Declarations!$C$10-Declarations!$C$27)*EXP(-Declarations!$D$27*$B60)+IF(Declarations!$E$27=0,0,Declarations!$E$27*($B60/Declarations!$F$27)*EXP(1-$B60/Declarations!$F$27))+IF($B60&gt;=T_sale,Declarations!$G$27,0)</f>
        <v>49.9727757115329</v>
      </c>
      <c r="K60" s="16" t="n">
        <f aca="false">Declarations!$C$28+(Declarations!$C$4-Declarations!$C$28)*EXP(-Declarations!$D$28*$B60)+IF(Declarations!$E$28=0,0,Declarations!$E$28*($B60/Declarations!$F$28)*EXP(1-$B60/Declarations!$F$28))+IF($B60&gt;=T_sale,Declarations!$G$28,0)</f>
        <v>105.00820667067</v>
      </c>
      <c r="L60" s="16" t="n">
        <f aca="false">Declarations!$C$29+(Declarations!$C$7-Declarations!$C$29)*EXP(-Declarations!$D$29*$B60)+IF(Declarations!$E$29=0,0,Declarations!$E$29*($B60/Declarations!$F$29)*EXP(1-$B60/Declarations!$F$29))+IF($B60&gt;=T_sale,Declarations!$G$29,0)</f>
        <v>36.5946317129378</v>
      </c>
      <c r="M60" s="16" t="n">
        <f aca="false">Declarations!$C$30+(Declarations!$C$8-Declarations!$C$30)*EXP(-Declarations!$D$30*$B60)+IF(Declarations!$E$30=0,0,Declarations!$E$30*($B60/Declarations!$F$30)*EXP(1-$B60/Declarations!$F$30))+IF($B60&gt;=T_sale,Declarations!$G$30,0)</f>
        <v>78.2742563736847</v>
      </c>
      <c r="N60" s="16" t="n">
        <f aca="false">Declarations!$C$31+(Declarations!$C$10-Declarations!$C$31)*EXP(-Declarations!$D$31*$B60)+IF(Declarations!$E$31=0,0,Declarations!$E$31*($B60/Declarations!$F$31)*EXP(1-$B60/Declarations!$F$31))+IF($B60&gt;=T_sale,Declarations!$G$31,0)</f>
        <v>66.0964173642634</v>
      </c>
      <c r="O60" s="16" t="n">
        <f aca="false">W_L*C60+W_T*D60+W_E*E60+W_R*F60</f>
        <v>43.9612078664758</v>
      </c>
      <c r="P60" s="16" t="n">
        <f aca="false">W_L*G60+W_T*H60+W_E*I60+W_R*J60</f>
        <v>45.857547274917</v>
      </c>
      <c r="Q60" s="16" t="n">
        <f aca="false">W_L*K60+W_T*L60+W_E*M60+W_R*N60</f>
        <v>38.4451693482574</v>
      </c>
      <c r="R60" s="19" t="str">
        <f aca="false">IF(AND(O60&gt;=$B$9,O59&lt;$B$9),A60,"")</f>
        <v/>
      </c>
    </row>
    <row r="61" customFormat="false" ht="15" hidden="false" customHeight="false" outlineLevel="0" collapsed="false">
      <c r="A61" s="19" t="n">
        <v>49</v>
      </c>
      <c r="B61" s="20" t="n">
        <f aca="false">A61/12</f>
        <v>4.08333333333333</v>
      </c>
      <c r="C61" s="16" t="n">
        <f aca="false">Declarations!$C$20+(Declarations!$C$4-Declarations!$C$20)*EXP(-Declarations!$D$20*$B61)+IF(Declarations!$E$20=0,0,Declarations!$E$20*($B61/Declarations!$F$20)*EXP(1-$B61/Declarations!$F$20))+IF($B61&gt;=T_sale,Declarations!$G$20,0)</f>
        <v>88.9537211897241</v>
      </c>
      <c r="D61" s="16" t="n">
        <f aca="false">Declarations!$C$21+(Declarations!$C$7-Declarations!$C$21)*EXP(-Declarations!$D$21*$B61)+IF(Declarations!$E$21=0,0,Declarations!$E$21*($B61/Declarations!$F$21)*EXP(1-$B61/Declarations!$F$21))+IF($B61&gt;=T_sale,Declarations!$G$21,0)</f>
        <v>74.0839457448436</v>
      </c>
      <c r="E61" s="16" t="n">
        <f aca="false">Declarations!$C$22+(Declarations!$C$8-Declarations!$C$22)*EXP(-Declarations!$D$22*$B61)+IF(Declarations!$E$22=0,0,Declarations!$E$22*($B61/Declarations!$F$22)*EXP(1-$B61/Declarations!$F$22))+IF($B61&gt;=T_sale,Declarations!$G$22,0)</f>
        <v>71.8437446476006</v>
      </c>
      <c r="F61" s="16" t="n">
        <f aca="false">Declarations!$C$23+(Declarations!$C$10-Declarations!$C$23)*EXP(-Declarations!$D$23*$B61)+IF(Declarations!$E$23=0,0,Declarations!$E$23*($B61/Declarations!$F$23)*EXP(1-$B61/Declarations!$F$23))+IF($B61&gt;=T_sale,Declarations!$G$23,0)</f>
        <v>57.8483227424948</v>
      </c>
      <c r="G61" s="16" t="n">
        <f aca="false">Declarations!$C$24+(Declarations!$C$4-Declarations!$C$24)*EXP(-Declarations!$D$24*$B61)+IF(Declarations!$E$24=0,0,Declarations!$E$24*($B61/Declarations!$F$24)*EXP(1-$B61/Declarations!$F$24))+IF($B61&gt;=T_sale,Declarations!$G$24,0)</f>
        <v>120.824969198706</v>
      </c>
      <c r="H61" s="16" t="n">
        <f aca="false">Declarations!$C$25+(Declarations!$C$7-Declarations!$C$25)*EXP(-Declarations!$D$25*$B61)+IF(Declarations!$E$25=0,0,Declarations!$E$25*($B61/Declarations!$F$25)*EXP(1-$B61/Declarations!$F$25))+IF($B61&gt;=T_sale,Declarations!$G$25,0)</f>
        <v>39.0808837086842</v>
      </c>
      <c r="I61" s="16" t="n">
        <f aca="false">Declarations!$C$26+(Declarations!$C$8-Declarations!$C$26)*EXP(-Declarations!$D$26*$B61)+IF(Declarations!$E$26=0,0,Declarations!$E$26*($B61/Declarations!$F$26)*EXP(1-$B61/Declarations!$F$26))+IF($B61&gt;=T_sale,Declarations!$G$26,0)</f>
        <v>73.5223551008285</v>
      </c>
      <c r="J61" s="16" t="n">
        <f aca="false">Declarations!$C$27+(Declarations!$C$10-Declarations!$C$27)*EXP(-Declarations!$D$27*$B61)+IF(Declarations!$E$27=0,0,Declarations!$E$27*($B61/Declarations!$F$27)*EXP(1-$B61/Declarations!$F$27))+IF($B61&gt;=T_sale,Declarations!$G$27,0)</f>
        <v>49.9160674356967</v>
      </c>
      <c r="K61" s="16" t="n">
        <f aca="false">Declarations!$C$28+(Declarations!$C$4-Declarations!$C$28)*EXP(-Declarations!$D$28*$B61)+IF(Declarations!$E$28=0,0,Declarations!$E$28*($B61/Declarations!$F$28)*EXP(1-$B61/Declarations!$F$28))+IF($B61&gt;=T_sale,Declarations!$G$28,0)</f>
        <v>105.044710201657</v>
      </c>
      <c r="L61" s="16" t="n">
        <f aca="false">Declarations!$C$29+(Declarations!$C$7-Declarations!$C$29)*EXP(-Declarations!$D$29*$B61)+IF(Declarations!$E$29=0,0,Declarations!$E$29*($B61/Declarations!$F$29)*EXP(1-$B61/Declarations!$F$29))+IF($B61&gt;=T_sale,Declarations!$G$29,0)</f>
        <v>36.5352176766762</v>
      </c>
      <c r="M61" s="16" t="n">
        <f aca="false">Declarations!$C$30+(Declarations!$C$8-Declarations!$C$30)*EXP(-Declarations!$D$30*$B61)+IF(Declarations!$E$30=0,0,Declarations!$E$30*($B61/Declarations!$F$30)*EXP(1-$B61/Declarations!$F$30))+IF($B61&gt;=T_sale,Declarations!$G$30,0)</f>
        <v>78.309651308005</v>
      </c>
      <c r="N61" s="16" t="n">
        <f aca="false">Declarations!$C$31+(Declarations!$C$10-Declarations!$C$31)*EXP(-Declarations!$D$31*$B61)+IF(Declarations!$E$31=0,0,Declarations!$E$31*($B61/Declarations!$F$31)*EXP(1-$B61/Declarations!$F$31))+IF($B61&gt;=T_sale,Declarations!$G$31,0)</f>
        <v>66.1187268990294</v>
      </c>
      <c r="O61" s="16" t="n">
        <f aca="false">W_L*C61+W_T*D61+W_E*E61+W_R*F61</f>
        <v>44.2582722099184</v>
      </c>
      <c r="P61" s="16" t="n">
        <f aca="false">W_L*G61+W_T*H61+W_E*I61+W_R*J61</f>
        <v>45.8780351431305</v>
      </c>
      <c r="Q61" s="16" t="n">
        <f aca="false">W_L*K61+W_T*L61+W_E*M61+W_R*N61</f>
        <v>38.4427130718272</v>
      </c>
      <c r="R61" s="19" t="str">
        <f aca="false">IF(AND(O61&gt;=$B$9,O60&lt;$B$9),A61,"")</f>
        <v/>
      </c>
    </row>
    <row r="62" customFormat="false" ht="15" hidden="false" customHeight="false" outlineLevel="0" collapsed="false">
      <c r="A62" s="19" t="n">
        <v>50</v>
      </c>
      <c r="B62" s="20" t="n">
        <f aca="false">A62/12</f>
        <v>4.16666666666667</v>
      </c>
      <c r="C62" s="16" t="n">
        <f aca="false">Declarations!$C$20+(Declarations!$C$4-Declarations!$C$20)*EXP(-Declarations!$D$20*$B62)+IF(Declarations!$E$20=0,0,Declarations!$E$20*($B62/Declarations!$F$20)*EXP(1-$B62/Declarations!$F$20))+IF($B62&gt;=T_sale,Declarations!$G$20,0)</f>
        <v>89.4646996404325</v>
      </c>
      <c r="D62" s="16" t="n">
        <f aca="false">Declarations!$C$21+(Declarations!$C$7-Declarations!$C$21)*EXP(-Declarations!$D$21*$B62)+IF(Declarations!$E$21=0,0,Declarations!$E$21*($B62/Declarations!$F$21)*EXP(1-$B62/Declarations!$F$21))+IF($B62&gt;=T_sale,Declarations!$G$21,0)</f>
        <v>74.2593804754729</v>
      </c>
      <c r="E62" s="16" t="n">
        <f aca="false">Declarations!$C$22+(Declarations!$C$8-Declarations!$C$22)*EXP(-Declarations!$D$22*$B62)+IF(Declarations!$E$22=0,0,Declarations!$E$22*($B62/Declarations!$F$22)*EXP(1-$B62/Declarations!$F$22))+IF($B62&gt;=T_sale,Declarations!$G$22,0)</f>
        <v>72.0275802861836</v>
      </c>
      <c r="F62" s="16" t="n">
        <f aca="false">Declarations!$C$23+(Declarations!$C$10-Declarations!$C$23)*EXP(-Declarations!$D$23*$B62)+IF(Declarations!$E$23=0,0,Declarations!$E$23*($B62/Declarations!$F$23)*EXP(1-$B62/Declarations!$F$23))+IF($B62&gt;=T_sale,Declarations!$G$23,0)</f>
        <v>57.5580197078313</v>
      </c>
      <c r="G62" s="16" t="n">
        <f aca="false">Declarations!$C$24+(Declarations!$C$4-Declarations!$C$24)*EXP(-Declarations!$D$24*$B62)+IF(Declarations!$E$24=0,0,Declarations!$E$24*($B62/Declarations!$F$24)*EXP(1-$B62/Declarations!$F$24))+IF($B62&gt;=T_sale,Declarations!$G$24,0)</f>
        <v>120.853980812559</v>
      </c>
      <c r="H62" s="16" t="n">
        <f aca="false">Declarations!$C$25+(Declarations!$C$7-Declarations!$C$25)*EXP(-Declarations!$D$25*$B62)+IF(Declarations!$E$25=0,0,Declarations!$E$25*($B62/Declarations!$F$25)*EXP(1-$B62/Declarations!$F$25))+IF($B62&gt;=T_sale,Declarations!$G$25,0)</f>
        <v>39.0585982443766</v>
      </c>
      <c r="I62" s="16" t="n">
        <f aca="false">Declarations!$C$26+(Declarations!$C$8-Declarations!$C$26)*EXP(-Declarations!$D$26*$B62)+IF(Declarations!$E$26=0,0,Declarations!$E$26*($B62/Declarations!$F$26)*EXP(1-$B62/Declarations!$F$26))+IF($B62&gt;=T_sale,Declarations!$G$26,0)</f>
        <v>73.5399350994652</v>
      </c>
      <c r="J62" s="16" t="n">
        <f aca="false">Declarations!$C$27+(Declarations!$C$10-Declarations!$C$27)*EXP(-Declarations!$D$27*$B62)+IF(Declarations!$E$27=0,0,Declarations!$E$27*($B62/Declarations!$F$27)*EXP(1-$B62/Declarations!$F$27))+IF($B62&gt;=T_sale,Declarations!$G$27,0)</f>
        <v>49.8609892633383</v>
      </c>
      <c r="K62" s="16" t="n">
        <f aca="false">Declarations!$C$28+(Declarations!$C$4-Declarations!$C$28)*EXP(-Declarations!$D$28*$B62)+IF(Declarations!$E$28=0,0,Declarations!$E$28*($B62/Declarations!$F$28)*EXP(1-$B62/Declarations!$F$28))+IF($B62&gt;=T_sale,Declarations!$G$28,0)</f>
        <v>105.07987019893</v>
      </c>
      <c r="L62" s="16" t="n">
        <f aca="false">Declarations!$C$29+(Declarations!$C$7-Declarations!$C$29)*EXP(-Declarations!$D$29*$B62)+IF(Declarations!$E$29=0,0,Declarations!$E$29*($B62/Declarations!$F$29)*EXP(1-$B62/Declarations!$F$29))+IF($B62&gt;=T_sale,Declarations!$G$29,0)</f>
        <v>36.4767856680566</v>
      </c>
      <c r="M62" s="16" t="n">
        <f aca="false">Declarations!$C$30+(Declarations!$C$8-Declarations!$C$30)*EXP(-Declarations!$D$30*$B62)+IF(Declarations!$E$30=0,0,Declarations!$E$30*($B62/Declarations!$F$30)*EXP(1-$B62/Declarations!$F$30))+IF($B62&gt;=T_sale,Declarations!$G$30,0)</f>
        <v>78.3433200110088</v>
      </c>
      <c r="N62" s="16" t="n">
        <f aca="false">Declarations!$C$31+(Declarations!$C$10-Declarations!$C$31)*EXP(-Declarations!$D$31*$B62)+IF(Declarations!$E$31=0,0,Declarations!$E$31*($B62/Declarations!$F$31)*EXP(1-$B62/Declarations!$F$31))+IF($B62&gt;=T_sale,Declarations!$G$31,0)</f>
        <v>66.1404856094194</v>
      </c>
      <c r="O62" s="16" t="n">
        <f aca="false">W_L*C62+W_T*D62+W_E*E62+W_R*F62</f>
        <v>44.5484101735645</v>
      </c>
      <c r="P62" s="16" t="n">
        <f aca="false">W_L*G62+W_T*H62+W_E*I62+W_R*J62</f>
        <v>45.8978812232657</v>
      </c>
      <c r="Q62" s="16" t="n">
        <f aca="false">W_L*K62+W_T*L62+W_E*M62+W_R*N62</f>
        <v>38.4398725671441</v>
      </c>
      <c r="R62" s="19" t="str">
        <f aca="false">IF(AND(O62&gt;=$B$9,O61&lt;$B$9),A62,"")</f>
        <v/>
      </c>
    </row>
    <row r="63" customFormat="false" ht="15" hidden="false" customHeight="false" outlineLevel="0" collapsed="false">
      <c r="A63" s="19" t="n">
        <v>51</v>
      </c>
      <c r="B63" s="20" t="n">
        <f aca="false">A63/12</f>
        <v>4.25</v>
      </c>
      <c r="C63" s="16" t="n">
        <f aca="false">Declarations!$C$20+(Declarations!$C$4-Declarations!$C$20)*EXP(-Declarations!$D$20*$B63)+IF(Declarations!$E$20=0,0,Declarations!$E$20*($B63/Declarations!$F$20)*EXP(1-$B63/Declarations!$F$20))+IF($B63&gt;=T_sale,Declarations!$G$20,0)</f>
        <v>89.9719366875169</v>
      </c>
      <c r="D63" s="16" t="n">
        <f aca="false">Declarations!$C$21+(Declarations!$C$7-Declarations!$C$21)*EXP(-Declarations!$D$21*$B63)+IF(Declarations!$E$21=0,0,Declarations!$E$21*($B63/Declarations!$F$21)*EXP(1-$B63/Declarations!$F$21))+IF($B63&gt;=T_sale,Declarations!$G$21,0)</f>
        <v>74.4269559317649</v>
      </c>
      <c r="E63" s="16" t="n">
        <f aca="false">Declarations!$C$22+(Declarations!$C$8-Declarations!$C$22)*EXP(-Declarations!$D$22*$B63)+IF(Declarations!$E$22=0,0,Declarations!$E$22*($B63/Declarations!$F$22)*EXP(1-$B63/Declarations!$F$22))+IF($B63&gt;=T_sale,Declarations!$G$22,0)</f>
        <v>72.2064686653675</v>
      </c>
      <c r="F63" s="16" t="n">
        <f aca="false">Declarations!$C$23+(Declarations!$C$10-Declarations!$C$23)*EXP(-Declarations!$D$23*$B63)+IF(Declarations!$E$23=0,0,Declarations!$E$23*($B63/Declarations!$F$23)*EXP(1-$B63/Declarations!$F$23))+IF($B63&gt;=T_sale,Declarations!$G$23,0)</f>
        <v>57.2788327988341</v>
      </c>
      <c r="G63" s="16" t="n">
        <f aca="false">Declarations!$C$24+(Declarations!$C$4-Declarations!$C$24)*EXP(-Declarations!$D$24*$B63)+IF(Declarations!$E$24=0,0,Declarations!$E$24*($B63/Declarations!$F$24)*EXP(1-$B63/Declarations!$F$24))+IF($B63&gt;=T_sale,Declarations!$G$24,0)</f>
        <v>120.882276127114</v>
      </c>
      <c r="H63" s="16" t="n">
        <f aca="false">Declarations!$C$25+(Declarations!$C$7-Declarations!$C$25)*EXP(-Declarations!$D$25*$B63)+IF(Declarations!$E$25=0,0,Declarations!$E$25*($B63/Declarations!$F$25)*EXP(1-$B63/Declarations!$F$25))+IF($B63&gt;=T_sale,Declarations!$G$25,0)</f>
        <v>39.0367722577309</v>
      </c>
      <c r="I63" s="16" t="n">
        <f aca="false">Declarations!$C$26+(Declarations!$C$8-Declarations!$C$26)*EXP(-Declarations!$D$26*$B63)+IF(Declarations!$E$26=0,0,Declarations!$E$26*($B63/Declarations!$F$26)*EXP(1-$B63/Declarations!$F$26))+IF($B63&gt;=T_sale,Declarations!$G$26,0)</f>
        <v>73.5568680560156</v>
      </c>
      <c r="J63" s="16" t="n">
        <f aca="false">Declarations!$C$27+(Declarations!$C$10-Declarations!$C$27)*EXP(-Declarations!$D$27*$B63)+IF(Declarations!$E$27=0,0,Declarations!$E$27*($B63/Declarations!$F$27)*EXP(1-$B63/Declarations!$F$27))+IF($B63&gt;=T_sale,Declarations!$G$27,0)</f>
        <v>49.8074943364409</v>
      </c>
      <c r="K63" s="16" t="n">
        <f aca="false">Declarations!$C$28+(Declarations!$C$4-Declarations!$C$28)*EXP(-Declarations!$D$28*$B63)+IF(Declarations!$E$28=0,0,Declarations!$E$28*($B63/Declarations!$F$28)*EXP(1-$B63/Declarations!$F$28))+IF($B63&gt;=T_sale,Declarations!$G$28,0)</f>
        <v>105.113736112031</v>
      </c>
      <c r="L63" s="16" t="n">
        <f aca="false">Declarations!$C$29+(Declarations!$C$7-Declarations!$C$29)*EXP(-Declarations!$D$29*$B63)+IF(Declarations!$E$29=0,0,Declarations!$E$29*($B63/Declarations!$F$29)*EXP(1-$B63/Declarations!$F$29))+IF($B63&gt;=T_sale,Declarations!$G$29,0)</f>
        <v>36.4193194555898</v>
      </c>
      <c r="M63" s="16" t="n">
        <f aca="false">Declarations!$C$30+(Declarations!$C$8-Declarations!$C$30)*EXP(-Declarations!$D$30*$B63)+IF(Declarations!$E$30=0,0,Declarations!$E$30*($B63/Declarations!$F$30)*EXP(1-$B63/Declarations!$F$30))+IF($B63&gt;=T_sale,Declarations!$G$30,0)</f>
        <v>78.3753466719908</v>
      </c>
      <c r="N63" s="16" t="n">
        <f aca="false">Declarations!$C$31+(Declarations!$C$10-Declarations!$C$31)*EXP(-Declarations!$D$31*$B63)+IF(Declarations!$E$31=0,0,Declarations!$E$31*($B63/Declarations!$F$31)*EXP(1-$B63/Declarations!$F$31))+IF($B63&gt;=T_sale,Declarations!$G$31,0)</f>
        <v>66.1617070953358</v>
      </c>
      <c r="O63" s="16" t="n">
        <f aca="false">W_L*C63+W_T*D63+W_E*E63+W_R*F63</f>
        <v>44.8316321214538</v>
      </c>
      <c r="P63" s="16" t="n">
        <f aca="false">W_L*G63+W_T*H63+W_E*I63+W_R*J63</f>
        <v>45.917105526105</v>
      </c>
      <c r="Q63" s="16" t="n">
        <f aca="false">W_L*K63+W_T*L63+W_E*M63+W_R*N63</f>
        <v>38.436673786069</v>
      </c>
      <c r="R63" s="19" t="str">
        <f aca="false">IF(AND(O63&gt;=$B$9,O62&lt;$B$9),A63,"")</f>
        <v/>
      </c>
    </row>
    <row r="64" customFormat="false" ht="15" hidden="false" customHeight="false" outlineLevel="0" collapsed="false">
      <c r="A64" s="19" t="n">
        <v>52</v>
      </c>
      <c r="B64" s="20" t="n">
        <f aca="false">A64/12</f>
        <v>4.33333333333333</v>
      </c>
      <c r="C64" s="16" t="n">
        <f aca="false">Declarations!$C$20+(Declarations!$C$4-Declarations!$C$20)*EXP(-Declarations!$D$20*$B64)+IF(Declarations!$E$20=0,0,Declarations!$E$20*($B64/Declarations!$F$20)*EXP(1-$B64/Declarations!$F$20))+IF($B64&gt;=T_sale,Declarations!$G$20,0)</f>
        <v>90.4748986999362</v>
      </c>
      <c r="D64" s="16" t="n">
        <f aca="false">Declarations!$C$21+(Declarations!$C$7-Declarations!$C$21)*EXP(-Declarations!$D$21*$B64)+IF(Declarations!$E$21=0,0,Declarations!$E$21*($B64/Declarations!$F$21)*EXP(1-$B64/Declarations!$F$21))+IF($B64&gt;=T_sale,Declarations!$G$21,0)</f>
        <v>74.5870242001787</v>
      </c>
      <c r="E64" s="16" t="n">
        <f aca="false">Declarations!$C$22+(Declarations!$C$8-Declarations!$C$22)*EXP(-Declarations!$D$22*$B64)+IF(Declarations!$E$22=0,0,Declarations!$E$22*($B64/Declarations!$F$22)*EXP(1-$B64/Declarations!$F$22))+IF($B64&gt;=T_sale,Declarations!$G$22,0)</f>
        <v>72.380413184091</v>
      </c>
      <c r="F64" s="16" t="n">
        <f aca="false">Declarations!$C$23+(Declarations!$C$10-Declarations!$C$23)*EXP(-Declarations!$D$23*$B64)+IF(Declarations!$E$23=0,0,Declarations!$E$23*($B64/Declarations!$F$23)*EXP(1-$B64/Declarations!$F$23))+IF($B64&gt;=T_sale,Declarations!$G$23,0)</f>
        <v>57.0104791571291</v>
      </c>
      <c r="G64" s="16" t="n">
        <f aca="false">Declarations!$C$24+(Declarations!$C$4-Declarations!$C$24)*EXP(-Declarations!$D$24*$B64)+IF(Declarations!$E$24=0,0,Declarations!$E$24*($B64/Declarations!$F$24)*EXP(1-$B64/Declarations!$F$24))+IF($B64&gt;=T_sale,Declarations!$G$24,0)</f>
        <v>120.909872827864</v>
      </c>
      <c r="H64" s="16" t="n">
        <f aca="false">Declarations!$C$25+(Declarations!$C$7-Declarations!$C$25)*EXP(-Declarations!$D$25*$B64)+IF(Declarations!$E$25=0,0,Declarations!$E$25*($B64/Declarations!$F$25)*EXP(1-$B64/Declarations!$F$25))+IF($B64&gt;=T_sale,Declarations!$G$25,0)</f>
        <v>39.0153962753202</v>
      </c>
      <c r="I64" s="16" t="n">
        <f aca="false">Declarations!$C$26+(Declarations!$C$8-Declarations!$C$26)*EXP(-Declarations!$D$26*$B64)+IF(Declarations!$E$26=0,0,Declarations!$E$26*($B64/Declarations!$F$26)*EXP(1-$B64/Declarations!$F$26))+IF($B64&gt;=T_sale,Declarations!$G$26,0)</f>
        <v>73.5731777852405</v>
      </c>
      <c r="J64" s="16" t="n">
        <f aca="false">Declarations!$C$27+(Declarations!$C$10-Declarations!$C$27)*EXP(-Declarations!$D$27*$B64)+IF(Declarations!$E$27=0,0,Declarations!$E$27*($B64/Declarations!$F$27)*EXP(1-$B64/Declarations!$F$27))+IF($B64&gt;=T_sale,Declarations!$G$27,0)</f>
        <v>49.755537143941</v>
      </c>
      <c r="K64" s="16" t="n">
        <f aca="false">Declarations!$C$28+(Declarations!$C$4-Declarations!$C$28)*EXP(-Declarations!$D$28*$B64)+IF(Declarations!$E$28=0,0,Declarations!$E$28*($B64/Declarations!$F$28)*EXP(1-$B64/Declarations!$F$28))+IF($B64&gt;=T_sale,Declarations!$G$28,0)</f>
        <v>105.146355570481</v>
      </c>
      <c r="L64" s="16" t="n">
        <f aca="false">Declarations!$C$29+(Declarations!$C$7-Declarations!$C$29)*EXP(-Declarations!$D$29*$B64)+IF(Declarations!$E$29=0,0,Declarations!$E$29*($B64/Declarations!$F$29)*EXP(1-$B64/Declarations!$F$29))+IF($B64&gt;=T_sale,Declarations!$G$29,0)</f>
        <v>36.3628030760695</v>
      </c>
      <c r="M64" s="16" t="n">
        <f aca="false">Declarations!$C$30+(Declarations!$C$8-Declarations!$C$30)*EXP(-Declarations!$D$30*$B64)+IF(Declarations!$E$30=0,0,Declarations!$E$30*($B64/Declarations!$F$30)*EXP(1-$B64/Declarations!$F$30))+IF($B64&gt;=T_sale,Declarations!$G$30,0)</f>
        <v>78.4058113742853</v>
      </c>
      <c r="N64" s="16" t="n">
        <f aca="false">Declarations!$C$31+(Declarations!$C$10-Declarations!$C$31)*EXP(-Declarations!$D$31*$B64)+IF(Declarations!$E$31=0,0,Declarations!$E$31*($B64/Declarations!$F$31)*EXP(1-$B64/Declarations!$F$31))+IF($B64&gt;=T_sale,Declarations!$G$31,0)</f>
        <v>66.182404620898</v>
      </c>
      <c r="O64" s="16" t="n">
        <f aca="false">W_L*C64+W_T*D64+W_E*E64+W_R*F64</f>
        <v>45.1079642317692</v>
      </c>
      <c r="P64" s="16" t="n">
        <f aca="false">W_L*G64+W_T*H64+W_E*I64+W_R*J64</f>
        <v>45.9357274361209</v>
      </c>
      <c r="Q64" s="16" t="n">
        <f aca="false">W_L*K64+W_T*L64+W_E*M64+W_R*N64</f>
        <v>38.4331413499844</v>
      </c>
      <c r="R64" s="19" t="str">
        <f aca="false">IF(AND(O64&gt;=$B$9,O63&lt;$B$9),A64,"")</f>
        <v/>
      </c>
    </row>
    <row r="65" customFormat="false" ht="15" hidden="false" customHeight="false" outlineLevel="0" collapsed="false">
      <c r="A65" s="19" t="n">
        <v>53</v>
      </c>
      <c r="B65" s="20" t="n">
        <f aca="false">A65/12</f>
        <v>4.41666666666667</v>
      </c>
      <c r="C65" s="16" t="n">
        <f aca="false">Declarations!$C$20+(Declarations!$C$4-Declarations!$C$20)*EXP(-Declarations!$D$20*$B65)+IF(Declarations!$E$20=0,0,Declarations!$E$20*($B65/Declarations!$F$20)*EXP(1-$B65/Declarations!$F$20))+IF($B65&gt;=T_sale,Declarations!$G$20,0)</f>
        <v>90.9731014878013</v>
      </c>
      <c r="D65" s="16" t="n">
        <f aca="false">Declarations!$C$21+(Declarations!$C$7-Declarations!$C$21)*EXP(-Declarations!$D$21*$B65)+IF(Declarations!$E$21=0,0,Declarations!$E$21*($B65/Declarations!$F$21)*EXP(1-$B65/Declarations!$F$21))+IF($B65&gt;=T_sale,Declarations!$G$21,0)</f>
        <v>74.7399215941046</v>
      </c>
      <c r="E65" s="16" t="n">
        <f aca="false">Declarations!$C$22+(Declarations!$C$8-Declarations!$C$22)*EXP(-Declarations!$D$22*$B65)+IF(Declarations!$E$22=0,0,Declarations!$E$22*($B65/Declarations!$F$22)*EXP(1-$B65/Declarations!$F$22))+IF($B65&gt;=T_sale,Declarations!$G$22,0)</f>
        <v>72.5494310947498</v>
      </c>
      <c r="F65" s="16" t="n">
        <f aca="false">Declarations!$C$23+(Declarations!$C$10-Declarations!$C$23)*EXP(-Declarations!$D$23*$B65)+IF(Declarations!$E$23=0,0,Declarations!$E$23*($B65/Declarations!$F$23)*EXP(1-$B65/Declarations!$F$23))+IF($B65&gt;=T_sale,Declarations!$G$23,0)</f>
        <v>56.7526670564307</v>
      </c>
      <c r="G65" s="16" t="n">
        <f aca="false">Declarations!$C$24+(Declarations!$C$4-Declarations!$C$24)*EXP(-Declarations!$D$24*$B65)+IF(Declarations!$E$24=0,0,Declarations!$E$24*($B65/Declarations!$F$24)*EXP(1-$B65/Declarations!$F$24))+IF($B65&gt;=T_sale,Declarations!$G$24,0)</f>
        <v>120.936788163644</v>
      </c>
      <c r="H65" s="16" t="n">
        <f aca="false">Declarations!$C$25+(Declarations!$C$7-Declarations!$C$25)*EXP(-Declarations!$D$25*$B65)+IF(Declarations!$E$25=0,0,Declarations!$E$25*($B65/Declarations!$F$25)*EXP(1-$B65/Declarations!$F$25))+IF($B65&gt;=T_sale,Declarations!$G$25,0)</f>
        <v>38.9944610190387</v>
      </c>
      <c r="I65" s="16" t="n">
        <f aca="false">Declarations!$C$26+(Declarations!$C$8-Declarations!$C$26)*EXP(-Declarations!$D$26*$B65)+IF(Declarations!$E$26=0,0,Declarations!$E$26*($B65/Declarations!$F$26)*EXP(1-$B65/Declarations!$F$26))+IF($B65&gt;=T_sale,Declarations!$G$26,0)</f>
        <v>73.5888872253844</v>
      </c>
      <c r="J65" s="16" t="n">
        <f aca="false">Declarations!$C$27+(Declarations!$C$10-Declarations!$C$27)*EXP(-Declarations!$D$27*$B65)+IF(Declarations!$E$27=0,0,Declarations!$E$27*($B65/Declarations!$F$27)*EXP(1-$B65/Declarations!$F$27))+IF($B65&gt;=T_sale,Declarations!$G$27,0)</f>
        <v>49.7050734830103</v>
      </c>
      <c r="K65" s="16" t="n">
        <f aca="false">Declarations!$C$28+(Declarations!$C$4-Declarations!$C$28)*EXP(-Declarations!$D$28*$B65)+IF(Declarations!$E$28=0,0,Declarations!$E$28*($B65/Declarations!$F$28)*EXP(1-$B65/Declarations!$F$28))+IF($B65&gt;=T_sale,Declarations!$G$28,0)</f>
        <v>105.177774450769</v>
      </c>
      <c r="L65" s="16" t="n">
        <f aca="false">Declarations!$C$29+(Declarations!$C$7-Declarations!$C$29)*EXP(-Declarations!$D$29*$B65)+IF(Declarations!$E$29=0,0,Declarations!$E$29*($B65/Declarations!$F$29)*EXP(1-$B65/Declarations!$F$29))+IF($B65&gt;=T_sale,Declarations!$G$29,0)</f>
        <v>36.3072208301378</v>
      </c>
      <c r="M65" s="16" t="n">
        <f aca="false">Declarations!$C$30+(Declarations!$C$8-Declarations!$C$30)*EXP(-Declarations!$D$30*$B65)+IF(Declarations!$E$30=0,0,Declarations!$E$30*($B65/Declarations!$F$30)*EXP(1-$B65/Declarations!$F$30))+IF($B65&gt;=T_sale,Declarations!$G$30,0)</f>
        <v>78.4347902955166</v>
      </c>
      <c r="N65" s="16" t="n">
        <f aca="false">Declarations!$C$31+(Declarations!$C$10-Declarations!$C$31)*EXP(-Declarations!$D$31*$B65)+IF(Declarations!$E$31=0,0,Declarations!$E$31*($B65/Declarations!$F$31)*EXP(1-$B65/Declarations!$F$31))+IF($B65&gt;=T_sale,Declarations!$G$31,0)</f>
        <v>66.2025911227332</v>
      </c>
      <c r="O65" s="16" t="n">
        <f aca="false">W_L*C65+W_T*D65+W_E*E65+W_R*F65</f>
        <v>45.3774467800563</v>
      </c>
      <c r="P65" s="16" t="n">
        <f aca="false">W_L*G65+W_T*H65+W_E*I65+W_R*J65</f>
        <v>45.9537657312643</v>
      </c>
      <c r="Q65" s="16" t="n">
        <f aca="false">W_L*K65+W_T*L65+W_E*M65+W_R*N65</f>
        <v>38.4292986134225</v>
      </c>
      <c r="R65" s="19" t="str">
        <f aca="false">IF(AND(O65&gt;=$B$9,O64&lt;$B$9),A65,"")</f>
        <v/>
      </c>
    </row>
    <row r="66" customFormat="false" ht="15" hidden="false" customHeight="false" outlineLevel="0" collapsed="false">
      <c r="A66" s="19" t="n">
        <v>54</v>
      </c>
      <c r="B66" s="20" t="n">
        <f aca="false">A66/12</f>
        <v>4.5</v>
      </c>
      <c r="C66" s="16" t="n">
        <f aca="false">Declarations!$C$20+(Declarations!$C$4-Declarations!$C$20)*EXP(-Declarations!$D$20*$B66)+IF(Declarations!$E$20=0,0,Declarations!$E$20*($B66/Declarations!$F$20)*EXP(1-$B66/Declarations!$F$20))+IF($B66&gt;=T_sale,Declarations!$G$20,0)</f>
        <v>91.4661071656342</v>
      </c>
      <c r="D66" s="16" t="n">
        <f aca="false">Declarations!$C$21+(Declarations!$C$7-Declarations!$C$21)*EXP(-Declarations!$D$21*$B66)+IF(Declarations!$E$21=0,0,Declarations!$E$21*($B66/Declarations!$F$21)*EXP(1-$B66/Declarations!$F$21))+IF($B66&gt;=T_sale,Declarations!$G$21,0)</f>
        <v>74.8859693604795</v>
      </c>
      <c r="E66" s="16" t="n">
        <f aca="false">Declarations!$C$22+(Declarations!$C$8-Declarations!$C$22)*EXP(-Declarations!$D$22*$B66)+IF(Declarations!$E$22=0,0,Declarations!$E$22*($B66/Declarations!$F$22)*EXP(1-$B66/Declarations!$F$22))+IF($B66&gt;=T_sale,Declarations!$G$22,0)</f>
        <v>72.7135520052403</v>
      </c>
      <c r="F66" s="16" t="n">
        <f aca="false">Declarations!$C$23+(Declarations!$C$10-Declarations!$C$23)*EXP(-Declarations!$D$23*$B66)+IF(Declarations!$E$23=0,0,Declarations!$E$23*($B66/Declarations!$F$23)*EXP(1-$B66/Declarations!$F$23))+IF($B66&gt;=T_sale,Declarations!$G$23,0)</f>
        <v>56.5050982602328</v>
      </c>
      <c r="G66" s="16" t="n">
        <f aca="false">Declarations!$C$24+(Declarations!$C$4-Declarations!$C$24)*EXP(-Declarations!$D$24*$B66)+IF(Declarations!$E$24=0,0,Declarations!$E$24*($B66/Declarations!$F$24)*EXP(1-$B66/Declarations!$F$24))+IF($B66&gt;=T_sale,Declarations!$G$24,0)</f>
        <v>120.963038957416</v>
      </c>
      <c r="H66" s="16" t="n">
        <f aca="false">Declarations!$C$25+(Declarations!$C$7-Declarations!$C$25)*EXP(-Declarations!$D$25*$B66)+IF(Declarations!$E$25=0,0,Declarations!$E$25*($B66/Declarations!$F$25)*EXP(1-$B66/Declarations!$F$25))+IF($B66&gt;=T_sale,Declarations!$G$25,0)</f>
        <v>38.9739574020751</v>
      </c>
      <c r="I66" s="16" t="n">
        <f aca="false">Declarations!$C$26+(Declarations!$C$8-Declarations!$C$26)*EXP(-Declarations!$D$26*$B66)+IF(Declarations!$E$26=0,0,Declarations!$E$26*($B66/Declarations!$F$26)*EXP(1-$B66/Declarations!$F$26))+IF($B66&gt;=T_sale,Declarations!$G$26,0)</f>
        <v>73.6040184704365</v>
      </c>
      <c r="J66" s="16" t="n">
        <f aca="false">Declarations!$C$27+(Declarations!$C$10-Declarations!$C$27)*EXP(-Declarations!$D$27*$B66)+IF(Declarations!$E$27=0,0,Declarations!$E$27*($B66/Declarations!$F$27)*EXP(1-$B66/Declarations!$F$27))+IF($B66&gt;=T_sale,Declarations!$G$27,0)</f>
        <v>49.6560604214492</v>
      </c>
      <c r="K66" s="16" t="n">
        <f aca="false">Declarations!$C$28+(Declarations!$C$4-Declarations!$C$28)*EXP(-Declarations!$D$28*$B66)+IF(Declarations!$E$28=0,0,Declarations!$E$28*($B66/Declarations!$F$28)*EXP(1-$B66/Declarations!$F$28))+IF($B66&gt;=T_sale,Declarations!$G$28,0)</f>
        <v>105.208036940873</v>
      </c>
      <c r="L66" s="16" t="n">
        <f aca="false">Declarations!$C$29+(Declarations!$C$7-Declarations!$C$29)*EXP(-Declarations!$D$29*$B66)+IF(Declarations!$E$29=0,0,Declarations!$E$29*($B66/Declarations!$F$29)*EXP(1-$B66/Declarations!$F$29))+IF($B66&gt;=T_sale,Declarations!$G$29,0)</f>
        <v>36.2525572779248</v>
      </c>
      <c r="M66" s="16" t="n">
        <f aca="false">Declarations!$C$30+(Declarations!$C$8-Declarations!$C$30)*EXP(-Declarations!$D$30*$B66)+IF(Declarations!$E$30=0,0,Declarations!$E$30*($B66/Declarations!$F$30)*EXP(1-$B66/Declarations!$F$30))+IF($B66&gt;=T_sale,Declarations!$G$30,0)</f>
        <v>78.462355898082</v>
      </c>
      <c r="N66" s="16" t="n">
        <f aca="false">Declarations!$C$31+(Declarations!$C$10-Declarations!$C$31)*EXP(-Declarations!$D$31*$B66)+IF(Declarations!$E$31=0,0,Declarations!$E$31*($B66/Declarations!$F$31)*EXP(1-$B66/Declarations!$F$31))+IF($B66&gt;=T_sale,Declarations!$G$31,0)</f>
        <v>66.2222792180623</v>
      </c>
      <c r="O66" s="16" t="n">
        <f aca="false">W_L*C66+W_T*D66+W_E*E66+W_R*F66</f>
        <v>45.6401325677803</v>
      </c>
      <c r="P66" s="16" t="n">
        <f aca="false">W_L*G66+W_T*H66+W_E*I66+W_R*J66</f>
        <v>45.9712386021197</v>
      </c>
      <c r="Q66" s="16" t="n">
        <f aca="false">W_L*K66+W_T*L66+W_E*M66+W_R*N66</f>
        <v>38.4251677247044</v>
      </c>
      <c r="R66" s="19" t="str">
        <f aca="false">IF(AND(O66&gt;=$B$9,O65&lt;$B$9),A66,"")</f>
        <v/>
      </c>
    </row>
    <row r="67" customFormat="false" ht="15" hidden="false" customHeight="false" outlineLevel="0" collapsed="false">
      <c r="A67" s="19" t="n">
        <v>55</v>
      </c>
      <c r="B67" s="20" t="n">
        <f aca="false">A67/12</f>
        <v>4.58333333333333</v>
      </c>
      <c r="C67" s="16" t="n">
        <f aca="false">Declarations!$C$20+(Declarations!$C$4-Declarations!$C$20)*EXP(-Declarations!$D$20*$B67)+IF(Declarations!$E$20=0,0,Declarations!$E$20*($B67/Declarations!$F$20)*EXP(1-$B67/Declarations!$F$20))+IF($B67&gt;=T_sale,Declarations!$G$20,0)</f>
        <v>91.9535211890218</v>
      </c>
      <c r="D67" s="16" t="n">
        <f aca="false">Declarations!$C$21+(Declarations!$C$7-Declarations!$C$21)*EXP(-Declarations!$D$21*$B67)+IF(Declarations!$E$21=0,0,Declarations!$E$21*($B67/Declarations!$F$21)*EXP(1-$B67/Declarations!$F$21))+IF($B67&gt;=T_sale,Declarations!$G$21,0)</f>
        <v>75.0254743547467</v>
      </c>
      <c r="E67" s="16" t="n">
        <f aca="false">Declarations!$C$22+(Declarations!$C$8-Declarations!$C$22)*EXP(-Declarations!$D$22*$B67)+IF(Declarations!$E$22=0,0,Declarations!$E$22*($B67/Declarations!$F$22)*EXP(1-$B67/Declarations!$F$22))+IF($B67&gt;=T_sale,Declarations!$G$22,0)</f>
        <v>72.8728165020682</v>
      </c>
      <c r="F67" s="16" t="n">
        <f aca="false">Declarations!$C$23+(Declarations!$C$10-Declarations!$C$23)*EXP(-Declarations!$D$23*$B67)+IF(Declarations!$E$23=0,0,Declarations!$E$23*($B67/Declarations!$F$23)*EXP(1-$B67/Declarations!$F$23))+IF($B67&gt;=T_sale,Declarations!$G$23,0)</f>
        <v>56.2674701065162</v>
      </c>
      <c r="G67" s="16" t="n">
        <f aca="false">Declarations!$C$24+(Declarations!$C$4-Declarations!$C$24)*EXP(-Declarations!$D$24*$B67)+IF(Declarations!$E$24=0,0,Declarations!$E$24*($B67/Declarations!$F$24)*EXP(1-$B67/Declarations!$F$24))+IF($B67&gt;=T_sale,Declarations!$G$24,0)</f>
        <v>120.988641616781</v>
      </c>
      <c r="H67" s="16" t="n">
        <f aca="false">Declarations!$C$25+(Declarations!$C$7-Declarations!$C$25)*EXP(-Declarations!$D$25*$B67)+IF(Declarations!$E$25=0,0,Declarations!$E$25*($B67/Declarations!$F$25)*EXP(1-$B67/Declarations!$F$25))+IF($B67&gt;=T_sale,Declarations!$G$25,0)</f>
        <v>38.953876524968</v>
      </c>
      <c r="I67" s="16" t="n">
        <f aca="false">Declarations!$C$26+(Declarations!$C$8-Declarations!$C$26)*EXP(-Declarations!$D$26*$B67)+IF(Declarations!$E$26=0,0,Declarations!$E$26*($B67/Declarations!$F$26)*EXP(1-$B67/Declarations!$F$26))+IF($B67&gt;=T_sale,Declarations!$G$26,0)</f>
        <v>73.6185928012039</v>
      </c>
      <c r="J67" s="16" t="n">
        <f aca="false">Declarations!$C$27+(Declarations!$C$10-Declarations!$C$27)*EXP(-Declarations!$D$27*$B67)+IF(Declarations!$E$27=0,0,Declarations!$E$27*($B67/Declarations!$F$27)*EXP(1-$B67/Declarations!$F$27))+IF($B67&gt;=T_sale,Declarations!$G$27,0)</f>
        <v>49.6084562611628</v>
      </c>
      <c r="K67" s="16" t="n">
        <f aca="false">Declarations!$C$28+(Declarations!$C$4-Declarations!$C$28)*EXP(-Declarations!$D$28*$B67)+IF(Declarations!$E$28=0,0,Declarations!$E$28*($B67/Declarations!$F$28)*EXP(1-$B67/Declarations!$F$28))+IF($B67&gt;=T_sale,Declarations!$G$28,0)</f>
        <v>105.237185602408</v>
      </c>
      <c r="L67" s="16" t="n">
        <f aca="false">Declarations!$C$29+(Declarations!$C$7-Declarations!$C$29)*EXP(-Declarations!$D$29*$B67)+IF(Declarations!$E$29=0,0,Declarations!$E$29*($B67/Declarations!$F$29)*EXP(1-$B67/Declarations!$F$29))+IF($B67&gt;=T_sale,Declarations!$G$29,0)</f>
        <v>36.1987972347588</v>
      </c>
      <c r="M67" s="16" t="n">
        <f aca="false">Declarations!$C$30+(Declarations!$C$8-Declarations!$C$30)*EXP(-Declarations!$D$30*$B67)+IF(Declarations!$E$30=0,0,Declarations!$E$30*($B67/Declarations!$F$30)*EXP(1-$B67/Declarations!$F$30))+IF($B67&gt;=T_sale,Declarations!$G$30,0)</f>
        <v>78.4885771103463</v>
      </c>
      <c r="N67" s="16" t="n">
        <f aca="false">Declarations!$C$31+(Declarations!$C$10-Declarations!$C$31)*EXP(-Declarations!$D$31*$B67)+IF(Declarations!$E$31=0,0,Declarations!$E$31*($B67/Declarations!$F$31)*EXP(1-$B67/Declarations!$F$31))+IF($B67&gt;=T_sale,Declarations!$G$31,0)</f>
        <v>66.2414812125858</v>
      </c>
      <c r="O67" s="16" t="n">
        <f aca="false">W_L*C67+W_T*D67+W_E*E67+W_R*F67</f>
        <v>45.8960854848301</v>
      </c>
      <c r="P67" s="16" t="n">
        <f aca="false">W_L*G67+W_T*H67+W_E*I67+W_R*J67</f>
        <v>45.9881636704475</v>
      </c>
      <c r="Q67" s="16" t="n">
        <f aca="false">W_L*K67+W_T*L67+W_E*M67+W_R*N67</f>
        <v>38.4207696837318</v>
      </c>
      <c r="R67" s="19" t="str">
        <f aca="false">IF(AND(O67&gt;=$B$9,O66&lt;$B$9),A67,"")</f>
        <v/>
      </c>
    </row>
    <row r="68" customFormat="false" ht="15" hidden="false" customHeight="false" outlineLevel="0" collapsed="false">
      <c r="A68" s="19" t="n">
        <v>56</v>
      </c>
      <c r="B68" s="20" t="n">
        <f aca="false">A68/12</f>
        <v>4.66666666666667</v>
      </c>
      <c r="C68" s="16" t="n">
        <f aca="false">Declarations!$C$20+(Declarations!$C$4-Declarations!$C$20)*EXP(-Declarations!$D$20*$B68)+IF(Declarations!$E$20=0,0,Declarations!$E$20*($B68/Declarations!$F$20)*EXP(1-$B68/Declarations!$F$20))+IF($B68&gt;=T_sale,Declarations!$G$20,0)</f>
        <v>92.4349895557443</v>
      </c>
      <c r="D68" s="16" t="n">
        <f aca="false">Declarations!$C$21+(Declarations!$C$7-Declarations!$C$21)*EXP(-Declarations!$D$21*$B68)+IF(Declarations!$E$21=0,0,Declarations!$E$21*($B68/Declarations!$F$21)*EXP(1-$B68/Declarations!$F$21))+IF($B68&gt;=T_sale,Declarations!$G$21,0)</f>
        <v>75.1587296855782</v>
      </c>
      <c r="E68" s="16" t="n">
        <f aca="false">Declarations!$C$22+(Declarations!$C$8-Declarations!$C$22)*EXP(-Declarations!$D$22*$B68)+IF(Declarations!$E$22=0,0,Declarations!$E$22*($B68/Declarations!$F$22)*EXP(1-$B68/Declarations!$F$22))+IF($B68&gt;=T_sale,Declarations!$G$22,0)</f>
        <v>73.0272748858283</v>
      </c>
      <c r="F68" s="16" t="n">
        <f aca="false">Declarations!$C$23+(Declarations!$C$10-Declarations!$C$23)*EXP(-Declarations!$D$23*$B68)+IF(Declarations!$E$23=0,0,Declarations!$E$23*($B68/Declarations!$F$23)*EXP(1-$B68/Declarations!$F$23))+IF($B68&gt;=T_sale,Declarations!$G$23,0)</f>
        <v>56.0394773453784</v>
      </c>
      <c r="G68" s="16" t="n">
        <f aca="false">Declarations!$C$24+(Declarations!$C$4-Declarations!$C$24)*EXP(-Declarations!$D$24*$B68)+IF(Declarations!$E$24=0,0,Declarations!$E$24*($B68/Declarations!$F$24)*EXP(1-$B68/Declarations!$F$24))+IF($B68&gt;=T_sale,Declarations!$G$24,0)</f>
        <v>121.013612144234</v>
      </c>
      <c r="H68" s="16" t="n">
        <f aca="false">Declarations!$C$25+(Declarations!$C$7-Declarations!$C$25)*EXP(-Declarations!$D$25*$B68)+IF(Declarations!$E$25=0,0,Declarations!$E$25*($B68/Declarations!$F$25)*EXP(1-$B68/Declarations!$F$25))+IF($B68&gt;=T_sale,Declarations!$G$25,0)</f>
        <v>38.9342096717438</v>
      </c>
      <c r="I68" s="16" t="n">
        <f aca="false">Declarations!$C$26+(Declarations!$C$8-Declarations!$C$26)*EXP(-Declarations!$D$26*$B68)+IF(Declarations!$E$26=0,0,Declarations!$E$26*($B68/Declarations!$F$26)*EXP(1-$B68/Declarations!$F$26))+IF($B68&gt;=T_sale,Declarations!$G$26,0)</f>
        <v>73.6326307152411</v>
      </c>
      <c r="J68" s="16" t="n">
        <f aca="false">Declarations!$C$27+(Declarations!$C$10-Declarations!$C$27)*EXP(-Declarations!$D$27*$B68)+IF(Declarations!$E$27=0,0,Declarations!$E$27*($B68/Declarations!$F$27)*EXP(1-$B68/Declarations!$F$27))+IF($B68&gt;=T_sale,Declarations!$G$27,0)</f>
        <v>49.5622205026855</v>
      </c>
      <c r="K68" s="16" t="n">
        <f aca="false">Declarations!$C$28+(Declarations!$C$4-Declarations!$C$28)*EXP(-Declarations!$D$28*$B68)+IF(Declarations!$E$28=0,0,Declarations!$E$28*($B68/Declarations!$F$28)*EXP(1-$B68/Declarations!$F$28))+IF($B68&gt;=T_sale,Declarations!$G$28,0)</f>
        <v>105.265261430482</v>
      </c>
      <c r="L68" s="16" t="n">
        <f aca="false">Declarations!$C$29+(Declarations!$C$7-Declarations!$C$29)*EXP(-Declarations!$D$29*$B68)+IF(Declarations!$E$29=0,0,Declarations!$E$29*($B68/Declarations!$F$29)*EXP(1-$B68/Declarations!$F$29))+IF($B68&gt;=T_sale,Declarations!$G$29,0)</f>
        <v>36.1459257669488</v>
      </c>
      <c r="M68" s="16" t="n">
        <f aca="false">Declarations!$C$30+(Declarations!$C$8-Declarations!$C$30)*EXP(-Declarations!$D$30*$B68)+IF(Declarations!$E$30=0,0,Declarations!$E$30*($B68/Declarations!$F$30)*EXP(1-$B68/Declarations!$F$30))+IF($B68&gt;=T_sale,Declarations!$G$30,0)</f>
        <v>78.5135194989983</v>
      </c>
      <c r="N68" s="16" t="n">
        <f aca="false">Declarations!$C$31+(Declarations!$C$10-Declarations!$C$31)*EXP(-Declarations!$D$31*$B68)+IF(Declarations!$E$31=0,0,Declarations!$E$31*($B68/Declarations!$F$31)*EXP(1-$B68/Declarations!$F$31))+IF($B68&gt;=T_sale,Declarations!$G$31,0)</f>
        <v>66.2602091081752</v>
      </c>
      <c r="O68" s="16" t="n">
        <f aca="false">W_L*C68+W_T*D68+W_E*E68+W_R*F68</f>
        <v>46.1453791954431</v>
      </c>
      <c r="P68" s="16" t="n">
        <f aca="false">W_L*G68+W_T*H68+W_E*I68+W_R*J68</f>
        <v>46.0045580071332</v>
      </c>
      <c r="Q68" s="16" t="n">
        <f aca="false">W_L*K68+W_T*L68+W_E*M68+W_R*N68</f>
        <v>38.4161243970635</v>
      </c>
      <c r="R68" s="19" t="str">
        <f aca="false">IF(AND(O68&gt;=$B$9,O67&lt;$B$9),A68,"")</f>
        <v/>
      </c>
    </row>
    <row r="69" customFormat="false" ht="15" hidden="false" customHeight="false" outlineLevel="0" collapsed="false">
      <c r="A69" s="19" t="n">
        <v>57</v>
      </c>
      <c r="B69" s="20" t="n">
        <f aca="false">A69/12</f>
        <v>4.75</v>
      </c>
      <c r="C69" s="16" t="n">
        <f aca="false">Declarations!$C$20+(Declarations!$C$4-Declarations!$C$20)*EXP(-Declarations!$D$20*$B69)+IF(Declarations!$E$20=0,0,Declarations!$E$20*($B69/Declarations!$F$20)*EXP(1-$B69/Declarations!$F$20))+IF($B69&gt;=T_sale,Declarations!$G$20,0)</f>
        <v>92.9101961628956</v>
      </c>
      <c r="D69" s="16" t="n">
        <f aca="false">Declarations!$C$21+(Declarations!$C$7-Declarations!$C$21)*EXP(-Declarations!$D$21*$B69)+IF(Declarations!$E$21=0,0,Declarations!$E$21*($B69/Declarations!$F$21)*EXP(1-$B69/Declarations!$F$21))+IF($B69&gt;=T_sale,Declarations!$G$21,0)</f>
        <v>75.2860153307143</v>
      </c>
      <c r="E69" s="16" t="n">
        <f aca="false">Declarations!$C$22+(Declarations!$C$8-Declarations!$C$22)*EXP(-Declarations!$D$22*$B69)+IF(Declarations!$E$22=0,0,Declarations!$E$22*($B69/Declarations!$F$22)*EXP(1-$B69/Declarations!$F$22))+IF($B69&gt;=T_sale,Declarations!$G$22,0)</f>
        <v>73.1769860109444</v>
      </c>
      <c r="F69" s="16" t="n">
        <f aca="false">Declarations!$C$23+(Declarations!$C$10-Declarations!$C$23)*EXP(-Declarations!$D$23*$B69)+IF(Declarations!$E$23=0,0,Declarations!$E$23*($B69/Declarations!$F$23)*EXP(1-$B69/Declarations!$F$23))+IF($B69&gt;=T_sale,Declarations!$G$23,0)</f>
        <v>55.8208137532435</v>
      </c>
      <c r="G69" s="16" t="n">
        <f aca="false">Declarations!$C$24+(Declarations!$C$4-Declarations!$C$24)*EXP(-Declarations!$D$24*$B69)+IF(Declarations!$E$24=0,0,Declarations!$E$24*($B69/Declarations!$F$24)*EXP(1-$B69/Declarations!$F$24))+IF($B69&gt;=T_sale,Declarations!$G$24,0)</f>
        <v>121.037966147167</v>
      </c>
      <c r="H69" s="16" t="n">
        <f aca="false">Declarations!$C$25+(Declarations!$C$7-Declarations!$C$25)*EXP(-Declarations!$D$25*$B69)+IF(Declarations!$E$25=0,0,Declarations!$E$25*($B69/Declarations!$F$25)*EXP(1-$B69/Declarations!$F$25))+IF($B69&gt;=T_sale,Declarations!$G$25,0)</f>
        <v>38.9149483061332</v>
      </c>
      <c r="I69" s="16" t="n">
        <f aca="false">Declarations!$C$26+(Declarations!$C$8-Declarations!$C$26)*EXP(-Declarations!$D$26*$B69)+IF(Declarations!$E$26=0,0,Declarations!$E$26*($B69/Declarations!$F$26)*EXP(1-$B69/Declarations!$F$26))+IF($B69&gt;=T_sale,Declarations!$G$26,0)</f>
        <v>73.6461519556781</v>
      </c>
      <c r="J69" s="16" t="n">
        <f aca="false">Declarations!$C$27+(Declarations!$C$10-Declarations!$C$27)*EXP(-Declarations!$D$27*$B69)+IF(Declarations!$E$27=0,0,Declarations!$E$27*($B69/Declarations!$F$27)*EXP(1-$B69/Declarations!$F$27))+IF($B69&gt;=T_sale,Declarations!$G$27,0)</f>
        <v>49.5173138107259</v>
      </c>
      <c r="K69" s="16" t="n">
        <f aca="false">Declarations!$C$28+(Declarations!$C$4-Declarations!$C$28)*EXP(-Declarations!$D$28*$B69)+IF(Declarations!$E$28=0,0,Declarations!$E$28*($B69/Declarations!$F$28)*EXP(1-$B69/Declarations!$F$28))+IF($B69&gt;=T_sale,Declarations!$G$28,0)</f>
        <v>105.292303911356</v>
      </c>
      <c r="L69" s="16" t="n">
        <f aca="false">Declarations!$C$29+(Declarations!$C$7-Declarations!$C$29)*EXP(-Declarations!$D$29*$B69)+IF(Declarations!$E$29=0,0,Declarations!$E$29*($B69/Declarations!$F$29)*EXP(1-$B69/Declarations!$F$29))+IF($B69&gt;=T_sale,Declarations!$G$29,0)</f>
        <v>36.093928187636</v>
      </c>
      <c r="M69" s="16" t="n">
        <f aca="false">Declarations!$C$30+(Declarations!$C$8-Declarations!$C$30)*EXP(-Declarations!$D$30*$B69)+IF(Declarations!$E$30=0,0,Declarations!$E$30*($B69/Declarations!$F$30)*EXP(1-$B69/Declarations!$F$30))+IF($B69&gt;=T_sale,Declarations!$G$30,0)</f>
        <v>78.5372454330013</v>
      </c>
      <c r="N69" s="16" t="n">
        <f aca="false">Declarations!$C$31+(Declarations!$C$10-Declarations!$C$31)*EXP(-Declarations!$D$31*$B69)+IF(Declarations!$E$31=0,0,Declarations!$E$31*($B69/Declarations!$F$31)*EXP(1-$B69/Declarations!$F$31))+IF($B69&gt;=T_sale,Declarations!$G$31,0)</f>
        <v>66.278474610375</v>
      </c>
      <c r="O69" s="16" t="n">
        <f aca="false">W_L*C69+W_T*D69+W_E*E69+W_R*F69</f>
        <v>46.3880959378277</v>
      </c>
      <c r="P69" s="16" t="n">
        <f aca="false">W_L*G69+W_T*H69+W_E*I69+W_R*J69</f>
        <v>46.020438149563</v>
      </c>
      <c r="Q69" s="16" t="n">
        <f aca="false">W_L*K69+W_T*L69+W_E*M69+W_R*N69</f>
        <v>38.4112507304046</v>
      </c>
      <c r="R69" s="19" t="str">
        <f aca="false">IF(AND(O69&gt;=$B$9,O68&lt;$B$9),A69,"")</f>
        <v/>
      </c>
    </row>
    <row r="70" customFormat="false" ht="15" hidden="false" customHeight="false" outlineLevel="0" collapsed="false">
      <c r="A70" s="19" t="n">
        <v>58</v>
      </c>
      <c r="B70" s="20" t="n">
        <f aca="false">A70/12</f>
        <v>4.83333333333333</v>
      </c>
      <c r="C70" s="16" t="n">
        <f aca="false">Declarations!$C$20+(Declarations!$C$4-Declarations!$C$20)*EXP(-Declarations!$D$20*$B70)+IF(Declarations!$E$20=0,0,Declarations!$E$20*($B70/Declarations!$F$20)*EXP(1-$B70/Declarations!$F$20))+IF($B70&gt;=T_sale,Declarations!$G$20,0)</f>
        <v>93.3788603119342</v>
      </c>
      <c r="D70" s="16" t="n">
        <f aca="false">Declarations!$C$21+(Declarations!$C$7-Declarations!$C$21)*EXP(-Declarations!$D$21*$B70)+IF(Declarations!$E$21=0,0,Declarations!$E$21*($B70/Declarations!$F$21)*EXP(1-$B70/Declarations!$F$21))+IF($B70&gt;=T_sale,Declarations!$G$21,0)</f>
        <v>75.4075987252143</v>
      </c>
      <c r="E70" s="16" t="n">
        <f aca="false">Declarations!$C$22+(Declarations!$C$8-Declarations!$C$22)*EXP(-Declarations!$D$22*$B70)+IF(Declarations!$E$22=0,0,Declarations!$E$22*($B70/Declarations!$F$22)*EXP(1-$B70/Declarations!$F$22))+IF($B70&gt;=T_sale,Declarations!$G$22,0)</f>
        <v>73.3220162221095</v>
      </c>
      <c r="F70" s="16" t="n">
        <f aca="false">Declarations!$C$23+(Declarations!$C$10-Declarations!$C$23)*EXP(-Declarations!$D$23*$B70)+IF(Declarations!$E$23=0,0,Declarations!$E$23*($B70/Declarations!$F$23)*EXP(1-$B70/Declarations!$F$23))+IF($B70&gt;=T_sale,Declarations!$G$23,0)</f>
        <v>55.6111735452535</v>
      </c>
      <c r="G70" s="16" t="n">
        <f aca="false">Declarations!$C$24+(Declarations!$C$4-Declarations!$C$24)*EXP(-Declarations!$D$24*$B70)+IF(Declarations!$E$24=0,0,Declarations!$E$24*($B70/Declarations!$F$24)*EXP(1-$B70/Declarations!$F$24))+IF($B70&gt;=T_sale,Declarations!$G$24,0)</f>
        <v>121.061718847625</v>
      </c>
      <c r="H70" s="16" t="n">
        <f aca="false">Declarations!$C$25+(Declarations!$C$7-Declarations!$C$25)*EXP(-Declarations!$D$25*$B70)+IF(Declarations!$E$25=0,0,Declarations!$E$25*($B70/Declarations!$F$25)*EXP(1-$B70/Declarations!$F$25))+IF($B70&gt;=T_sale,Declarations!$G$25,0)</f>
        <v>38.896084067866</v>
      </c>
      <c r="I70" s="16" t="n">
        <f aca="false">Declarations!$C$26+(Declarations!$C$8-Declarations!$C$26)*EXP(-Declarations!$D$26*$B70)+IF(Declarations!$E$26=0,0,Declarations!$E$26*($B70/Declarations!$F$26)*EXP(1-$B70/Declarations!$F$26))+IF($B70&gt;=T_sale,Declarations!$G$26,0)</f>
        <v>73.6591755389877</v>
      </c>
      <c r="J70" s="16" t="n">
        <f aca="false">Declarations!$C$27+(Declarations!$C$10-Declarations!$C$27)*EXP(-Declarations!$D$27*$B70)+IF(Declarations!$E$27=0,0,Declarations!$E$27*($B70/Declarations!$F$27)*EXP(1-$B70/Declarations!$F$27))+IF($B70&gt;=T_sale,Declarations!$G$27,0)</f>
        <v>49.4736979807024</v>
      </c>
      <c r="K70" s="16" t="n">
        <f aca="false">Declarations!$C$28+(Declarations!$C$4-Declarations!$C$28)*EXP(-Declarations!$D$28*$B70)+IF(Declarations!$E$28=0,0,Declarations!$E$28*($B70/Declarations!$F$28)*EXP(1-$B70/Declarations!$F$28))+IF($B70&gt;=T_sale,Declarations!$G$28,0)</f>
        <v>105.318351077975</v>
      </c>
      <c r="L70" s="16" t="n">
        <f aca="false">Declarations!$C$29+(Declarations!$C$7-Declarations!$C$29)*EXP(-Declarations!$D$29*$B70)+IF(Declarations!$E$29=0,0,Declarations!$E$29*($B70/Declarations!$F$29)*EXP(1-$B70/Declarations!$F$29))+IF($B70&gt;=T_sale,Declarations!$G$29,0)</f>
        <v>36.0427900527141</v>
      </c>
      <c r="M70" s="16" t="n">
        <f aca="false">Declarations!$C$30+(Declarations!$C$8-Declarations!$C$30)*EXP(-Declarations!$D$30*$B70)+IF(Declarations!$E$30=0,0,Declarations!$E$30*($B70/Declarations!$F$30)*EXP(1-$B70/Declarations!$F$30))+IF($B70&gt;=T_sale,Declarations!$G$30,0)</f>
        <v>78.5598142395487</v>
      </c>
      <c r="N70" s="16" t="n">
        <f aca="false">Declarations!$C$31+(Declarations!$C$10-Declarations!$C$31)*EXP(-Declarations!$D$31*$B70)+IF(Declarations!$E$31=0,0,Declarations!$E$31*($B70/Declarations!$F$31)*EXP(1-$B70/Declarations!$F$31))+IF($B70&gt;=T_sale,Declarations!$G$31,0)</f>
        <v>66.2962891357186</v>
      </c>
      <c r="O70" s="16" t="n">
        <f aca="false">W_L*C70+W_T*D70+W_E*E70+W_R*F70</f>
        <v>46.6243254285011</v>
      </c>
      <c r="P70" s="16" t="n">
        <f aca="false">W_L*G70+W_T*H70+W_E*I70+W_R*J70</f>
        <v>46.035820118444</v>
      </c>
      <c r="Q70" s="16" t="n">
        <f aca="false">W_L*K70+W_T*L70+W_E*M70+W_R*N70</f>
        <v>38.4061665586299</v>
      </c>
      <c r="R70" s="19" t="str">
        <f aca="false">IF(AND(O70&gt;=$B$9,O69&lt;$B$9),A70,"")</f>
        <v/>
      </c>
    </row>
    <row r="71" customFormat="false" ht="15" hidden="false" customHeight="false" outlineLevel="0" collapsed="false">
      <c r="A71" s="19" t="n">
        <v>59</v>
      </c>
      <c r="B71" s="20" t="n">
        <f aca="false">A71/12</f>
        <v>4.91666666666667</v>
      </c>
      <c r="C71" s="16" t="n">
        <f aca="false">Declarations!$C$20+(Declarations!$C$4-Declarations!$C$20)*EXP(-Declarations!$D$20*$B71)+IF(Declarations!$E$20=0,0,Declarations!$E$20*($B71/Declarations!$F$20)*EXP(1-$B71/Declarations!$F$20))+IF($B71&gt;=T_sale,Declarations!$G$20,0)</f>
        <v>93.8407343539992</v>
      </c>
      <c r="D71" s="16" t="n">
        <f aca="false">Declarations!$C$21+(Declarations!$C$7-Declarations!$C$21)*EXP(-Declarations!$D$21*$B71)+IF(Declarations!$E$21=0,0,Declarations!$E$21*($B71/Declarations!$F$21)*EXP(1-$B71/Declarations!$F$21))+IF($B71&gt;=T_sale,Declarations!$G$21,0)</f>
        <v>75.5237353233542</v>
      </c>
      <c r="E71" s="16" t="n">
        <f aca="false">Declarations!$C$22+(Declarations!$C$8-Declarations!$C$22)*EXP(-Declarations!$D$22*$B71)+IF(Declarations!$E$22=0,0,Declarations!$E$22*($B71/Declarations!$F$22)*EXP(1-$B71/Declarations!$F$22))+IF($B71&gt;=T_sale,Declarations!$G$22,0)</f>
        <v>73.4624383803757</v>
      </c>
      <c r="F71" s="16" t="n">
        <f aca="false">Declarations!$C$23+(Declarations!$C$10-Declarations!$C$23)*EXP(-Declarations!$D$23*$B71)+IF(Declarations!$E$23=0,0,Declarations!$E$23*($B71/Declarations!$F$23)*EXP(1-$B71/Declarations!$F$23))+IF($B71&gt;=T_sale,Declarations!$G$23,0)</f>
        <v>55.4102526055541</v>
      </c>
      <c r="G71" s="16" t="n">
        <f aca="false">Declarations!$C$24+(Declarations!$C$4-Declarations!$C$24)*EXP(-Declarations!$D$24*$B71)+IF(Declarations!$E$24=0,0,Declarations!$E$24*($B71/Declarations!$F$24)*EXP(1-$B71/Declarations!$F$24))+IF($B71&gt;=T_sale,Declarations!$G$24,0)</f>
        <v>121.084885091819</v>
      </c>
      <c r="H71" s="16" t="n">
        <f aca="false">Declarations!$C$25+(Declarations!$C$7-Declarations!$C$25)*EXP(-Declarations!$D$25*$B71)+IF(Declarations!$E$25=0,0,Declarations!$E$25*($B71/Declarations!$F$25)*EXP(1-$B71/Declarations!$F$25))+IF($B71&gt;=T_sale,Declarations!$G$25,0)</f>
        <v>38.8776087690428</v>
      </c>
      <c r="I71" s="16" t="n">
        <f aca="false">Declarations!$C$26+(Declarations!$C$8-Declarations!$C$26)*EXP(-Declarations!$D$26*$B71)+IF(Declarations!$E$26=0,0,Declarations!$E$26*($B71/Declarations!$F$26)*EXP(1-$B71/Declarations!$F$26))+IF($B71&gt;=T_sale,Declarations!$G$26,0)</f>
        <v>73.6717197817303</v>
      </c>
      <c r="J71" s="16" t="n">
        <f aca="false">Declarations!$C$27+(Declarations!$C$10-Declarations!$C$27)*EXP(-Declarations!$D$27*$B71)+IF(Declarations!$E$27=0,0,Declarations!$E$27*($B71/Declarations!$F$27)*EXP(1-$B71/Declarations!$F$27))+IF($B71&gt;=T_sale,Declarations!$G$27,0)</f>
        <v>49.4313359062404</v>
      </c>
      <c r="K71" s="16" t="n">
        <f aca="false">Declarations!$C$28+(Declarations!$C$4-Declarations!$C$28)*EXP(-Declarations!$D$28*$B71)+IF(Declarations!$E$28=0,0,Declarations!$E$28*($B71/Declarations!$F$28)*EXP(1-$B71/Declarations!$F$28))+IF($B71&gt;=T_sale,Declarations!$G$28,0)</f>
        <v>105.343439563461</v>
      </c>
      <c r="L71" s="16" t="n">
        <f aca="false">Declarations!$C$29+(Declarations!$C$7-Declarations!$C$29)*EXP(-Declarations!$D$29*$B71)+IF(Declarations!$E$29=0,0,Declarations!$E$29*($B71/Declarations!$F$29)*EXP(1-$B71/Declarations!$F$29))+IF($B71&gt;=T_sale,Declarations!$G$29,0)</f>
        <v>35.9924971568167</v>
      </c>
      <c r="M71" s="16" t="n">
        <f aca="false">Declarations!$C$30+(Declarations!$C$8-Declarations!$C$30)*EXP(-Declarations!$D$30*$B71)+IF(Declarations!$E$30=0,0,Declarations!$E$30*($B71/Declarations!$F$30)*EXP(1-$B71/Declarations!$F$30))+IF($B71&gt;=T_sale,Declarations!$G$30,0)</f>
        <v>78.5812823524125</v>
      </c>
      <c r="N71" s="16" t="n">
        <f aca="false">Declarations!$C$31+(Declarations!$C$10-Declarations!$C$31)*EXP(-Declarations!$D$31*$B71)+IF(Declarations!$E$31=0,0,Declarations!$E$31*($B71/Declarations!$F$31)*EXP(1-$B71/Declarations!$F$31))+IF($B71&gt;=T_sale,Declarations!$G$31,0)</f>
        <v>66.3136638188643</v>
      </c>
      <c r="O71" s="16" t="n">
        <f aca="false">W_L*C71+W_T*D71+W_E*E71+W_R*F71</f>
        <v>46.8541638630438</v>
      </c>
      <c r="P71" s="16" t="n">
        <f aca="false">W_L*G71+W_T*H71+W_E*I71+W_R*J71</f>
        <v>46.050719434088</v>
      </c>
      <c r="Q71" s="16" t="n">
        <f aca="false">W_L*K71+W_T*L71+W_E*M71+W_R*N71</f>
        <v>38.4008888134564</v>
      </c>
      <c r="R71" s="19" t="str">
        <f aca="false">IF(AND(O71&gt;=$B$9,O70&lt;$B$9),A71,"")</f>
        <v/>
      </c>
    </row>
    <row r="72" customFormat="false" ht="15" hidden="false" customHeight="false" outlineLevel="0" collapsed="false">
      <c r="A72" s="19" t="n">
        <v>60</v>
      </c>
      <c r="B72" s="20" t="n">
        <f aca="false">A72/12</f>
        <v>5</v>
      </c>
      <c r="C72" s="16" t="n">
        <f aca="false">Declarations!$C$20+(Declarations!$C$4-Declarations!$C$20)*EXP(-Declarations!$D$20*$B72)+IF(Declarations!$E$20=0,0,Declarations!$E$20*($B72/Declarations!$F$20)*EXP(1-$B72/Declarations!$F$20))+IF($B72&gt;=T_sale,Declarations!$G$20,0)</f>
        <v>94.2956014682046</v>
      </c>
      <c r="D72" s="16" t="n">
        <f aca="false">Declarations!$C$21+(Declarations!$C$7-Declarations!$C$21)*EXP(-Declarations!$D$21*$B72)+IF(Declarations!$E$21=0,0,Declarations!$E$21*($B72/Declarations!$F$21)*EXP(1-$B72/Declarations!$F$21))+IF($B72&gt;=T_sale,Declarations!$G$21,0)</f>
        <v>75.6346691353518</v>
      </c>
      <c r="E72" s="16" t="n">
        <f aca="false">Declarations!$C$22+(Declarations!$C$8-Declarations!$C$22)*EXP(-Declarations!$D$22*$B72)+IF(Declarations!$E$22=0,0,Declarations!$E$22*($B72/Declarations!$F$22)*EXP(1-$B72/Declarations!$F$22))+IF($B72&gt;=T_sale,Declarations!$G$22,0)</f>
        <v>73.5983309723245</v>
      </c>
      <c r="F72" s="16" t="n">
        <f aca="false">Declarations!$C$23+(Declarations!$C$10-Declarations!$C$23)*EXP(-Declarations!$D$23*$B72)+IF(Declarations!$E$23=0,0,Declarations!$E$23*($B72/Declarations!$F$23)*EXP(1-$B72/Declarations!$F$23))+IF($B72&gt;=T_sale,Declarations!$G$23,0)</f>
        <v>55.2177495534504</v>
      </c>
      <c r="G72" s="16" t="n">
        <f aca="false">Declarations!$C$24+(Declarations!$C$4-Declarations!$C$24)*EXP(-Declarations!$D$24*$B72)+IF(Declarations!$E$24=0,0,Declarations!$E$24*($B72/Declarations!$F$24)*EXP(1-$B72/Declarations!$F$24))+IF($B72&gt;=T_sale,Declarations!$G$24,0)</f>
        <v>121.107479359406</v>
      </c>
      <c r="H72" s="16" t="n">
        <f aca="false">Declarations!$C$25+(Declarations!$C$7-Declarations!$C$25)*EXP(-Declarations!$D$25*$B72)+IF(Declarations!$E$25=0,0,Declarations!$E$25*($B72/Declarations!$F$25)*EXP(1-$B72/Declarations!$F$25))+IF($B72&gt;=T_sale,Declarations!$G$25,0)</f>
        <v>38.8595143905806</v>
      </c>
      <c r="I72" s="16" t="n">
        <f aca="false">Declarations!$C$26+(Declarations!$C$8-Declarations!$C$26)*EXP(-Declarations!$D$26*$B72)+IF(Declarations!$E$26=0,0,Declarations!$E$26*($B72/Declarations!$F$26)*EXP(1-$B72/Declarations!$F$26))+IF($B72&gt;=T_sale,Declarations!$G$26,0)</f>
        <v>73.6838023263144</v>
      </c>
      <c r="J72" s="16" t="n">
        <f aca="false">Declarations!$C$27+(Declarations!$C$10-Declarations!$C$27)*EXP(-Declarations!$D$27*$B72)+IF(Declarations!$E$27=0,0,Declarations!$E$27*($B72/Declarations!$F$27)*EXP(1-$B72/Declarations!$F$27))+IF($B72&gt;=T_sale,Declarations!$G$27,0)</f>
        <v>49.3901915476036</v>
      </c>
      <c r="K72" s="16" t="n">
        <f aca="false">Declarations!$C$28+(Declarations!$C$4-Declarations!$C$28)*EXP(-Declarations!$D$28*$B72)+IF(Declarations!$E$28=0,0,Declarations!$E$28*($B72/Declarations!$F$28)*EXP(1-$B72/Declarations!$F$28))+IF($B72&gt;=T_sale,Declarations!$G$28,0)</f>
        <v>105.367604652629</v>
      </c>
      <c r="L72" s="16" t="n">
        <f aca="false">Declarations!$C$29+(Declarations!$C$7-Declarations!$C$29)*EXP(-Declarations!$D$29*$B72)+IF(Declarations!$E$29=0,0,Declarations!$E$29*($B72/Declarations!$F$29)*EXP(1-$B72/Declarations!$F$29))+IF($B72&gt;=T_sale,Declarations!$G$29,0)</f>
        <v>35.9430355293715</v>
      </c>
      <c r="M72" s="16" t="n">
        <f aca="false">Declarations!$C$30+(Declarations!$C$8-Declarations!$C$30)*EXP(-Declarations!$D$30*$B72)+IF(Declarations!$E$30=0,0,Declarations!$E$30*($B72/Declarations!$F$30)*EXP(1-$B72/Declarations!$F$30))+IF($B72&gt;=T_sale,Declarations!$G$30,0)</f>
        <v>78.6017034530571</v>
      </c>
      <c r="N72" s="16" t="n">
        <f aca="false">Declarations!$C$31+(Declarations!$C$10-Declarations!$C$31)*EXP(-Declarations!$D$31*$B72)+IF(Declarations!$E$31=0,0,Declarations!$E$31*($B72/Declarations!$F$31)*EXP(1-$B72/Declarations!$F$31))+IF($B72&gt;=T_sale,Declarations!$G$31,0)</f>
        <v>66.3306095195547</v>
      </c>
      <c r="O72" s="16" t="n">
        <f aca="false">W_L*C72+W_T*D72+W_E*E72+W_R*F72</f>
        <v>47.0777130056076</v>
      </c>
      <c r="P72" s="16" t="n">
        <f aca="false">W_L*G72+W_T*H72+W_E*I72+W_R*J72</f>
        <v>46.0651511321744</v>
      </c>
      <c r="Q72" s="16" t="n">
        <f aca="false">W_L*K72+W_T*L72+W_E*M72+W_R*N72</f>
        <v>38.3954335288757</v>
      </c>
      <c r="R72" s="19" t="str">
        <f aca="false">IF(AND(O72&gt;=$B$9,O71&lt;$B$9),A72,"")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6" min="4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136</v>
      </c>
    </row>
    <row r="3" customFormat="false" ht="15" hidden="false" customHeight="false" outlineLevel="0" collapsed="false">
      <c r="A3" s="8" t="s">
        <v>42</v>
      </c>
      <c r="B3" s="8" t="s">
        <v>43</v>
      </c>
      <c r="C3" s="8" t="s">
        <v>16</v>
      </c>
    </row>
    <row r="4" customFormat="false" ht="15" hidden="false" customHeight="false" outlineLevel="0" collapsed="false">
      <c r="A4" s="2" t="s">
        <v>137</v>
      </c>
      <c r="B4" s="16" t="n">
        <f aca="false">MIN(Paths!$C$12:$C$72)</f>
        <v>77.7339326383525</v>
      </c>
      <c r="C4" s="10" t="s">
        <v>138</v>
      </c>
    </row>
    <row r="5" customFormat="false" ht="15" hidden="false" customHeight="false" outlineLevel="0" collapsed="false">
      <c r="A5" s="2" t="s">
        <v>139</v>
      </c>
      <c r="B5" s="19" t="n">
        <f aca="false">INDEX(Paths!$A$12:$A$72,MATCH(B4,Paths!$C$12:$C$72,0))</f>
        <v>21</v>
      </c>
      <c r="C5" s="10" t="s">
        <v>140</v>
      </c>
    </row>
    <row r="6" customFormat="false" ht="15" hidden="false" customHeight="false" outlineLevel="0" collapsed="false">
      <c r="A6" s="2" t="s">
        <v>141</v>
      </c>
      <c r="B6" s="16" t="n">
        <f aca="false">MIN(B33:B83)</f>
        <v>77.7287870325426</v>
      </c>
      <c r="C6" s="10" t="s">
        <v>142</v>
      </c>
    </row>
    <row r="7" customFormat="false" ht="15" hidden="false" customHeight="false" outlineLevel="0" collapsed="false">
      <c r="A7" s="2" t="s">
        <v>143</v>
      </c>
      <c r="B7" s="12" t="n">
        <f aca="false">INDEX(A33:A83,MATCH(B6,B33:B83,0))</f>
        <v>1.71</v>
      </c>
      <c r="C7" s="10" t="s">
        <v>144</v>
      </c>
    </row>
    <row r="8" customFormat="false" ht="15" hidden="false" customHeight="false" outlineLevel="0" collapsed="false">
      <c r="A8" s="2" t="s">
        <v>145</v>
      </c>
      <c r="B8" s="12" t="n">
        <f aca="false">Liq_today-B6</f>
        <v>22.2712129674574</v>
      </c>
      <c r="C8" s="10" t="s">
        <v>146</v>
      </c>
    </row>
    <row r="9" customFormat="false" ht="15" hidden="false" customHeight="false" outlineLevel="0" collapsed="false">
      <c r="A9" s="2" t="s">
        <v>147</v>
      </c>
      <c r="B9" s="21" t="n">
        <f aca="false">B8/Liq_today</f>
        <v>0.222712129674574</v>
      </c>
      <c r="C9" s="10" t="s">
        <v>148</v>
      </c>
    </row>
    <row r="10" customFormat="false" ht="15" hidden="false" customHeight="false" outlineLevel="0" collapsed="false">
      <c r="A10" s="2" t="s">
        <v>149</v>
      </c>
      <c r="B10" s="18" t="n">
        <f aca="false">B8*USD_pt</f>
        <v>138.081520398236</v>
      </c>
      <c r="C10" s="10" t="s">
        <v>150</v>
      </c>
    </row>
    <row r="11" customFormat="false" ht="15" hidden="false" customHeight="false" outlineLevel="0" collapsed="false">
      <c r="A11" s="2" t="s">
        <v>151</v>
      </c>
      <c r="B11" s="19" t="n">
        <f aca="false">Declarations!G24</f>
        <v>18</v>
      </c>
      <c r="C11" s="10" t="s">
        <v>49</v>
      </c>
    </row>
    <row r="12" customFormat="false" ht="15" hidden="false" customHeight="false" outlineLevel="0" collapsed="false">
      <c r="A12" s="2" t="s">
        <v>152</v>
      </c>
      <c r="B12" s="18" t="n">
        <f aca="false">B11*USD_pt</f>
        <v>111.6</v>
      </c>
      <c r="C12" s="10" t="s">
        <v>153</v>
      </c>
    </row>
    <row r="13" customFormat="false" ht="15" hidden="false" customHeight="false" outlineLevel="0" collapsed="false">
      <c r="A13" s="2" t="s">
        <v>154</v>
      </c>
      <c r="B13" s="12" t="n">
        <f aca="false">Paths!G23</f>
        <v>100.9617115071</v>
      </c>
      <c r="C13" s="10" t="s">
        <v>155</v>
      </c>
    </row>
    <row r="14" customFormat="false" ht="15" hidden="false" customHeight="false" outlineLevel="0" collapsed="false">
      <c r="A14" s="2" t="s">
        <v>156</v>
      </c>
      <c r="B14" s="12" t="n">
        <f aca="false">Paths!G24</f>
        <v>119.036727117273</v>
      </c>
      <c r="C14" s="10" t="s">
        <v>157</v>
      </c>
    </row>
    <row r="15" customFormat="false" ht="15" hidden="false" customHeight="false" outlineLevel="0" collapsed="false">
      <c r="A15" s="2" t="s">
        <v>158</v>
      </c>
      <c r="B15" s="12" t="n">
        <f aca="false">MAX(Paths!$F$12:$F$72)</f>
        <v>73.5520635207556</v>
      </c>
      <c r="C15" s="10" t="s">
        <v>159</v>
      </c>
    </row>
    <row r="16" customFormat="false" ht="15" hidden="false" customHeight="false" outlineLevel="0" collapsed="false">
      <c r="A16" s="2" t="s">
        <v>139</v>
      </c>
      <c r="B16" s="19" t="n">
        <f aca="false">INDEX(Paths!$A$12:$A$72,MATCH(B15,Paths!$F$12:$F$72,0))</f>
        <v>11</v>
      </c>
      <c r="C16" s="10" t="s">
        <v>160</v>
      </c>
    </row>
    <row r="17" customFormat="false" ht="15" hidden="false" customHeight="false" outlineLevel="0" collapsed="false">
      <c r="A17" s="2" t="s">
        <v>161</v>
      </c>
      <c r="B17" s="12" t="n">
        <f aca="false">Risk_ceiling-B15</f>
        <v>1.44793647924442</v>
      </c>
      <c r="C17" s="10" t="s">
        <v>162</v>
      </c>
    </row>
    <row r="18" customFormat="false" ht="15" hidden="false" customHeight="false" outlineLevel="0" collapsed="false">
      <c r="A18" s="2" t="s">
        <v>163</v>
      </c>
      <c r="B18" s="12" t="n">
        <f aca="false">MIN(Paths!$O$12:$O$72)</f>
        <v>32.1064672146718</v>
      </c>
      <c r="C18" s="10"/>
    </row>
    <row r="19" customFormat="false" ht="15" hidden="false" customHeight="false" outlineLevel="0" collapsed="false">
      <c r="A19" s="2" t="s">
        <v>139</v>
      </c>
      <c r="B19" s="19" t="n">
        <f aca="false">INDEX(Paths!$A$12:$A$72,MATCH(B18,Paths!$O$12:$O$72,0))</f>
        <v>11</v>
      </c>
      <c r="C19" s="10"/>
    </row>
    <row r="20" customFormat="false" ht="15" hidden="false" customHeight="false" outlineLevel="0" collapsed="false">
      <c r="A20" s="2" t="s">
        <v>164</v>
      </c>
      <c r="B20" s="19" t="n">
        <f aca="false">COUNTIF(Paths!$O$13:$O$72,"&lt;"&amp;Paths!$B$9)</f>
        <v>28</v>
      </c>
      <c r="C20" s="10"/>
    </row>
    <row r="21" customFormat="false" ht="15" hidden="false" customHeight="false" outlineLevel="0" collapsed="false">
      <c r="A21" s="2" t="s">
        <v>165</v>
      </c>
      <c r="B21" s="19" t="n">
        <f aca="false">MIN(Paths!$R$13:$R$72)</f>
        <v>29</v>
      </c>
      <c r="C21" s="10" t="s">
        <v>166</v>
      </c>
    </row>
    <row r="23" customFormat="false" ht="15" hidden="false" customHeight="false" outlineLevel="0" collapsed="false">
      <c r="A23" s="8" t="s">
        <v>167</v>
      </c>
      <c r="B23" s="8" t="s">
        <v>118</v>
      </c>
      <c r="C23" s="8" t="s">
        <v>58</v>
      </c>
      <c r="D23" s="8" t="s">
        <v>62</v>
      </c>
      <c r="E23" s="8" t="s">
        <v>63</v>
      </c>
      <c r="F23" s="8" t="s">
        <v>168</v>
      </c>
      <c r="G23" s="8" t="s">
        <v>169</v>
      </c>
    </row>
    <row r="24" customFormat="false" ht="15" hidden="false" customHeight="false" outlineLevel="0" collapsed="false">
      <c r="A24" s="2" t="s">
        <v>170</v>
      </c>
      <c r="B24" s="19" t="n">
        <v>12</v>
      </c>
      <c r="C24" s="12" t="n">
        <f aca="false">INDEX(Paths!$O$12:$O$72,B24+1)</f>
        <v>32.1512362230352</v>
      </c>
      <c r="D24" s="12" t="n">
        <f aca="false">INDEX(Paths!$P$12:$P$72,B24+1)</f>
        <v>44.4556850734681</v>
      </c>
      <c r="E24" s="12" t="n">
        <f aca="false">INDEX(Paths!$Q$12:$Q$72,B24+1)</f>
        <v>37.8890096720465</v>
      </c>
      <c r="F24" s="19" t="n">
        <f aca="false">1+(D24&gt;C24)+(E24&gt;C24)</f>
        <v>3</v>
      </c>
      <c r="G24" s="19" t="n">
        <f aca="false">IF(F24=3,1,0)</f>
        <v>1</v>
      </c>
    </row>
    <row r="25" customFormat="false" ht="15" hidden="false" customHeight="false" outlineLevel="0" collapsed="false">
      <c r="A25" s="2" t="s">
        <v>171</v>
      </c>
      <c r="B25" s="19" t="n">
        <v>24</v>
      </c>
      <c r="C25" s="12" t="n">
        <f aca="false">INDEX(Paths!$O$12:$O$72,B25+1)</f>
        <v>35.2745211432023</v>
      </c>
      <c r="D25" s="12" t="n">
        <f aca="false">INDEX(Paths!$P$12:$P$72,B25+1)</f>
        <v>45.1079885063022</v>
      </c>
      <c r="E25" s="12" t="n">
        <f aca="false">INDEX(Paths!$Q$12:$Q$72,B25+1)</f>
        <v>38.2900059057065</v>
      </c>
      <c r="F25" s="19" t="n">
        <f aca="false">1+(D25&gt;C25)+(E25&gt;C25)</f>
        <v>3</v>
      </c>
      <c r="G25" s="19" t="n">
        <f aca="false">IF(F25=3,1,0)</f>
        <v>1</v>
      </c>
    </row>
    <row r="26" customFormat="false" ht="15" hidden="false" customHeight="false" outlineLevel="0" collapsed="false">
      <c r="A26" s="2" t="s">
        <v>172</v>
      </c>
      <c r="B26" s="19" t="n">
        <v>36</v>
      </c>
      <c r="C26" s="12" t="n">
        <f aca="false">INDEX(Paths!$O$12:$O$72,B26+1)</f>
        <v>39.8837303554344</v>
      </c>
      <c r="D26" s="12" t="n">
        <f aca="false">INDEX(Paths!$P$12:$P$72,B26+1)</f>
        <v>45.5533995611084</v>
      </c>
      <c r="E26" s="12" t="n">
        <f aca="false">INDEX(Paths!$Q$12:$Q$72,B26+1)</f>
        <v>38.4330923495815</v>
      </c>
      <c r="F26" s="19" t="n">
        <f aca="false">1+(D26&gt;C26)+(E26&gt;C26)</f>
        <v>2</v>
      </c>
      <c r="G26" s="19" t="n">
        <f aca="false">IF(F26=3,1,0)</f>
        <v>0</v>
      </c>
    </row>
    <row r="27" customFormat="false" ht="15" hidden="false" customHeight="false" outlineLevel="0" collapsed="false">
      <c r="A27" s="2" t="s">
        <v>173</v>
      </c>
      <c r="B27" s="19" t="n">
        <v>48</v>
      </c>
      <c r="C27" s="12" t="n">
        <f aca="false">INDEX(Paths!$O$12:$O$72,B27+1)</f>
        <v>43.9612078664758</v>
      </c>
      <c r="D27" s="12" t="n">
        <f aca="false">INDEX(Paths!$P$12:$P$72,B27+1)</f>
        <v>45.857547274917</v>
      </c>
      <c r="E27" s="12" t="n">
        <f aca="false">INDEX(Paths!$Q$12:$Q$72,B27+1)</f>
        <v>38.4451693482574</v>
      </c>
      <c r="F27" s="19" t="n">
        <f aca="false">1+(D27&gt;C27)+(E27&gt;C27)</f>
        <v>2</v>
      </c>
      <c r="G27" s="19" t="n">
        <f aca="false">IF(F27=3,1,0)</f>
        <v>0</v>
      </c>
    </row>
    <row r="28" customFormat="false" ht="15" hidden="false" customHeight="false" outlineLevel="0" collapsed="false">
      <c r="A28" s="2" t="s">
        <v>174</v>
      </c>
      <c r="B28" s="19" t="n">
        <v>60</v>
      </c>
      <c r="C28" s="12" t="n">
        <f aca="false">INDEX(Paths!$O$12:$O$72,B28+1)</f>
        <v>47.0777130056076</v>
      </c>
      <c r="D28" s="12" t="n">
        <f aca="false">INDEX(Paths!$P$12:$P$72,B28+1)</f>
        <v>46.0651511321744</v>
      </c>
      <c r="E28" s="12" t="n">
        <f aca="false">INDEX(Paths!$Q$12:$Q$72,B28+1)</f>
        <v>38.3954335288757</v>
      </c>
      <c r="F28" s="19" t="n">
        <f aca="false">1+(D28&gt;C28)+(E28&gt;C28)</f>
        <v>1</v>
      </c>
      <c r="G28" s="19" t="n">
        <f aca="false">IF(F28=3,1,0)</f>
        <v>0</v>
      </c>
    </row>
    <row r="29" customFormat="false" ht="15" hidden="false" customHeight="false" outlineLevel="0" collapsed="false">
      <c r="A29" s="4" t="s">
        <v>175</v>
      </c>
      <c r="G29" s="19" t="n">
        <f aca="false">SUM(G24:G28)</f>
        <v>2</v>
      </c>
    </row>
    <row r="30" customFormat="false" ht="15" hidden="false" customHeight="false" outlineLevel="0" collapsed="false">
      <c r="A30" s="10" t="s">
        <v>176</v>
      </c>
    </row>
    <row r="32" customFormat="false" ht="15" hidden="false" customHeight="false" outlineLevel="0" collapsed="false">
      <c r="A32" s="8" t="s">
        <v>119</v>
      </c>
      <c r="B32" s="8" t="s">
        <v>177</v>
      </c>
    </row>
    <row r="33" customFormat="false" ht="15" hidden="false" customHeight="false" outlineLevel="0" collapsed="false">
      <c r="A33" s="12" t="n">
        <v>1.5</v>
      </c>
      <c r="B33" s="20" t="n">
        <f aca="false">Declarations!$C$20+(Declarations!$C$4-Declarations!$C$20)*EXP(-Declarations!$D$20*$A33)+IF(Declarations!$E$20=0,0,Declarations!$E$20*($A33/Declarations!$F$20)*EXP(1-$A33/Declarations!$F$20))+IF($A33&gt;=T_sale,Declarations!$G$20,0)</f>
        <v>77.9368018771557</v>
      </c>
    </row>
    <row r="34" customFormat="false" ht="15" hidden="false" customHeight="false" outlineLevel="0" collapsed="false">
      <c r="A34" s="12" t="n">
        <v>1.51</v>
      </c>
      <c r="B34" s="20" t="n">
        <f aca="false">Declarations!$C$20+(Declarations!$C$4-Declarations!$C$20)*EXP(-Declarations!$D$20*$A34)+IF(Declarations!$E$20=0,0,Declarations!$E$20*($A34/Declarations!$F$20)*EXP(1-$A34/Declarations!$F$20))+IF($A34&gt;=T_sale,Declarations!$G$20,0)</f>
        <v>77.9172229631126</v>
      </c>
    </row>
    <row r="35" customFormat="false" ht="15" hidden="false" customHeight="false" outlineLevel="0" collapsed="false">
      <c r="A35" s="12" t="n">
        <v>1.52</v>
      </c>
      <c r="B35" s="20" t="n">
        <f aca="false">Declarations!$C$20+(Declarations!$C$4-Declarations!$C$20)*EXP(-Declarations!$D$20*$A35)+IF(Declarations!$E$20=0,0,Declarations!$E$20*($A35/Declarations!$F$20)*EXP(1-$A35/Declarations!$F$20))+IF($A35&gt;=T_sale,Declarations!$G$20,0)</f>
        <v>77.8986708471862</v>
      </c>
    </row>
    <row r="36" customFormat="false" ht="15" hidden="false" customHeight="false" outlineLevel="0" collapsed="false">
      <c r="A36" s="12" t="n">
        <v>1.53</v>
      </c>
      <c r="B36" s="20" t="n">
        <f aca="false">Declarations!$C$20+(Declarations!$C$4-Declarations!$C$20)*EXP(-Declarations!$D$20*$A36)+IF(Declarations!$E$20=0,0,Declarations!$E$20*($A36/Declarations!$F$20)*EXP(1-$A36/Declarations!$F$20))+IF($A36&gt;=T_sale,Declarations!$G$20,0)</f>
        <v>77.8811358293873</v>
      </c>
    </row>
    <row r="37" customFormat="false" ht="15" hidden="false" customHeight="false" outlineLevel="0" collapsed="false">
      <c r="A37" s="12" t="n">
        <v>1.54</v>
      </c>
      <c r="B37" s="20" t="n">
        <f aca="false">Declarations!$C$20+(Declarations!$C$4-Declarations!$C$20)*EXP(-Declarations!$D$20*$A37)+IF(Declarations!$E$20=0,0,Declarations!$E$20*($A37/Declarations!$F$20)*EXP(1-$A37/Declarations!$F$20))+IF($A37&gt;=T_sale,Declarations!$G$20,0)</f>
        <v>77.8646082807488</v>
      </c>
    </row>
    <row r="38" customFormat="false" ht="15" hidden="false" customHeight="false" outlineLevel="0" collapsed="false">
      <c r="A38" s="12" t="n">
        <v>1.55</v>
      </c>
      <c r="B38" s="20" t="n">
        <f aca="false">Declarations!$C$20+(Declarations!$C$4-Declarations!$C$20)*EXP(-Declarations!$D$20*$A38)+IF(Declarations!$E$20=0,0,Declarations!$E$20*($A38/Declarations!$F$20)*EXP(1-$A38/Declarations!$F$20))+IF($A38&gt;=T_sale,Declarations!$G$20,0)</f>
        <v>77.8490786428599</v>
      </c>
    </row>
    <row r="39" customFormat="false" ht="15" hidden="false" customHeight="false" outlineLevel="0" collapsed="false">
      <c r="A39" s="12" t="n">
        <v>1.56</v>
      </c>
      <c r="B39" s="20" t="n">
        <f aca="false">Declarations!$C$20+(Declarations!$C$4-Declarations!$C$20)*EXP(-Declarations!$D$20*$A39)+IF(Declarations!$E$20=0,0,Declarations!$E$20*($A39/Declarations!$F$20)*EXP(1-$A39/Declarations!$F$20))+IF($A39&gt;=T_sale,Declarations!$G$20,0)</f>
        <v>77.8345374274022</v>
      </c>
    </row>
    <row r="40" customFormat="false" ht="15" hidden="false" customHeight="false" outlineLevel="0" collapsed="false">
      <c r="A40" s="12" t="n">
        <v>1.57</v>
      </c>
      <c r="B40" s="20" t="n">
        <f aca="false">Declarations!$C$20+(Declarations!$C$4-Declarations!$C$20)*EXP(-Declarations!$D$20*$A40)+IF(Declarations!$E$20=0,0,Declarations!$E$20*($A40/Declarations!$F$20)*EXP(1-$A40/Declarations!$F$20))+IF($A40&gt;=T_sale,Declarations!$G$20,0)</f>
        <v>77.8209752156889</v>
      </c>
    </row>
    <row r="41" customFormat="false" ht="15" hidden="false" customHeight="false" outlineLevel="0" collapsed="false">
      <c r="A41" s="12" t="n">
        <v>1.58</v>
      </c>
      <c r="B41" s="20" t="n">
        <f aca="false">Declarations!$C$20+(Declarations!$C$4-Declarations!$C$20)*EXP(-Declarations!$D$20*$A41)+IF(Declarations!$E$20=0,0,Declarations!$E$20*($A41/Declarations!$F$20)*EXP(1-$A41/Declarations!$F$20))+IF($A41&gt;=T_sale,Declarations!$G$20,0)</f>
        <v>77.8083826582069</v>
      </c>
    </row>
    <row r="42" customFormat="false" ht="15" hidden="false" customHeight="false" outlineLevel="0" collapsed="false">
      <c r="A42" s="12" t="n">
        <v>1.59</v>
      </c>
      <c r="B42" s="20" t="n">
        <f aca="false">Declarations!$C$20+(Declarations!$C$4-Declarations!$C$20)*EXP(-Declarations!$D$20*$A42)+IF(Declarations!$E$20=0,0,Declarations!$E$20*($A42/Declarations!$F$20)*EXP(1-$A42/Declarations!$F$20))+IF($A42&gt;=T_sale,Declarations!$G$20,0)</f>
        <v>77.796750474162</v>
      </c>
    </row>
    <row r="43" customFormat="false" ht="15" hidden="false" customHeight="false" outlineLevel="0" collapsed="false">
      <c r="A43" s="12" t="n">
        <v>1.6</v>
      </c>
      <c r="B43" s="20" t="n">
        <f aca="false">Declarations!$C$20+(Declarations!$C$4-Declarations!$C$20)*EXP(-Declarations!$D$20*$A43)+IF(Declarations!$E$20=0,0,Declarations!$E$20*($A43/Declarations!$F$20)*EXP(1-$A43/Declarations!$F$20))+IF($A43&gt;=T_sale,Declarations!$G$20,0)</f>
        <v>77.7860694510264</v>
      </c>
    </row>
    <row r="44" customFormat="false" ht="15" hidden="false" customHeight="false" outlineLevel="0" collapsed="false">
      <c r="A44" s="12" t="n">
        <v>1.61</v>
      </c>
      <c r="B44" s="20" t="n">
        <f aca="false">Declarations!$C$20+(Declarations!$C$4-Declarations!$C$20)*EXP(-Declarations!$D$20*$A44)+IF(Declarations!$E$20=0,0,Declarations!$E$20*($A44/Declarations!$F$20)*EXP(1-$A44/Declarations!$F$20))+IF($A44&gt;=T_sale,Declarations!$G$20,0)</f>
        <v>77.7763304440895</v>
      </c>
    </row>
    <row r="45" customFormat="false" ht="15" hidden="false" customHeight="false" outlineLevel="0" collapsed="false">
      <c r="A45" s="12" t="n">
        <v>1.62</v>
      </c>
      <c r="B45" s="20" t="n">
        <f aca="false">Declarations!$C$20+(Declarations!$C$4-Declarations!$C$20)*EXP(-Declarations!$D$20*$A45)+IF(Declarations!$E$20=0,0,Declarations!$E$20*($A45/Declarations!$F$20)*EXP(1-$A45/Declarations!$F$20))+IF($A45&gt;=T_sale,Declarations!$G$20,0)</f>
        <v>77.7675243760109</v>
      </c>
    </row>
    <row r="46" customFormat="false" ht="15" hidden="false" customHeight="false" outlineLevel="0" collapsed="false">
      <c r="A46" s="12" t="n">
        <v>1.63</v>
      </c>
      <c r="B46" s="20" t="n">
        <f aca="false">Declarations!$C$20+(Declarations!$C$4-Declarations!$C$20)*EXP(-Declarations!$D$20*$A46)+IF(Declarations!$E$20=0,0,Declarations!$E$20*($A46/Declarations!$F$20)*EXP(1-$A46/Declarations!$F$20))+IF($A46&gt;=T_sale,Declarations!$G$20,0)</f>
        <v>77.759642236377</v>
      </c>
    </row>
    <row r="47" customFormat="false" ht="15" hidden="false" customHeight="false" outlineLevel="0" collapsed="false">
      <c r="A47" s="12" t="n">
        <v>1.64</v>
      </c>
      <c r="B47" s="20" t="n">
        <f aca="false">Declarations!$C$20+(Declarations!$C$4-Declarations!$C$20)*EXP(-Declarations!$D$20*$A47)+IF(Declarations!$E$20=0,0,Declarations!$E$20*($A47/Declarations!$F$20)*EXP(1-$A47/Declarations!$F$20))+IF($A47&gt;=T_sale,Declarations!$G$20,0)</f>
        <v>77.7526750812592</v>
      </c>
    </row>
    <row r="48" customFormat="false" ht="15" hidden="false" customHeight="false" outlineLevel="0" collapsed="false">
      <c r="A48" s="12" t="n">
        <v>1.65</v>
      </c>
      <c r="B48" s="20" t="n">
        <f aca="false">Declarations!$C$20+(Declarations!$C$4-Declarations!$C$20)*EXP(-Declarations!$D$20*$A48)+IF(Declarations!$E$20=0,0,Declarations!$E$20*($A48/Declarations!$F$20)*EXP(1-$A48/Declarations!$F$20))+IF($A48&gt;=T_sale,Declarations!$G$20,0)</f>
        <v>77.7466140327762</v>
      </c>
    </row>
    <row r="49" customFormat="false" ht="15" hidden="false" customHeight="false" outlineLevel="0" collapsed="false">
      <c r="A49" s="12" t="n">
        <v>1.66</v>
      </c>
      <c r="B49" s="20" t="n">
        <f aca="false">Declarations!$C$20+(Declarations!$C$4-Declarations!$C$20)*EXP(-Declarations!$D$20*$A49)+IF(Declarations!$E$20=0,0,Declarations!$E$20*($A49/Declarations!$F$20)*EXP(1-$A49/Declarations!$F$20))+IF($A49&gt;=T_sale,Declarations!$G$20,0)</f>
        <v>77.741450278658</v>
      </c>
    </row>
    <row r="50" customFormat="false" ht="15" hidden="false" customHeight="false" outlineLevel="0" collapsed="false">
      <c r="A50" s="12" t="n">
        <v>1.67</v>
      </c>
      <c r="B50" s="20" t="n">
        <f aca="false">Declarations!$C$20+(Declarations!$C$4-Declarations!$C$20)*EXP(-Declarations!$D$20*$A50)+IF(Declarations!$E$20=0,0,Declarations!$E$20*($A50/Declarations!$F$20)*EXP(1-$A50/Declarations!$F$20))+IF($A50&gt;=T_sale,Declarations!$G$20,0)</f>
        <v>77.7371750718126</v>
      </c>
    </row>
    <row r="51" customFormat="false" ht="15" hidden="false" customHeight="false" outlineLevel="0" collapsed="false">
      <c r="A51" s="12" t="n">
        <v>1.68</v>
      </c>
      <c r="B51" s="20" t="n">
        <f aca="false">Declarations!$C$20+(Declarations!$C$4-Declarations!$C$20)*EXP(-Declarations!$D$20*$A51)+IF(Declarations!$E$20=0,0,Declarations!$E$20*($A51/Declarations!$F$20)*EXP(1-$A51/Declarations!$F$20))+IF($A51&gt;=T_sale,Declarations!$G$20,0)</f>
        <v>77.7337797298964</v>
      </c>
    </row>
    <row r="52" customFormat="false" ht="15" hidden="false" customHeight="false" outlineLevel="0" collapsed="false">
      <c r="A52" s="12" t="n">
        <v>1.69</v>
      </c>
      <c r="B52" s="20" t="n">
        <f aca="false">Declarations!$C$20+(Declarations!$C$4-Declarations!$C$20)*EXP(-Declarations!$D$20*$A52)+IF(Declarations!$E$20=0,0,Declarations!$E$20*($A52/Declarations!$F$20)*EXP(1-$A52/Declarations!$F$20))+IF($A52&gt;=T_sale,Declarations!$G$20,0)</f>
        <v>77.7312556348858</v>
      </c>
    </row>
    <row r="53" customFormat="false" ht="15" hidden="false" customHeight="false" outlineLevel="0" collapsed="false">
      <c r="A53" s="12" t="n">
        <v>1.7</v>
      </c>
      <c r="B53" s="20" t="n">
        <f aca="false">Declarations!$C$20+(Declarations!$C$4-Declarations!$C$20)*EXP(-Declarations!$D$20*$A53)+IF(Declarations!$E$20=0,0,Declarations!$E$20*($A53/Declarations!$F$20)*EXP(1-$A53/Declarations!$F$20))+IF($A53&gt;=T_sale,Declarations!$G$20,0)</f>
        <v>77.7295942326529</v>
      </c>
    </row>
    <row r="54" customFormat="false" ht="15" hidden="false" customHeight="false" outlineLevel="0" collapsed="false">
      <c r="A54" s="12" t="n">
        <v>1.71</v>
      </c>
      <c r="B54" s="20" t="n">
        <f aca="false">Declarations!$C$20+(Declarations!$C$4-Declarations!$C$20)*EXP(-Declarations!$D$20*$A54)+IF(Declarations!$E$20=0,0,Declarations!$E$20*($A54/Declarations!$F$20)*EXP(1-$A54/Declarations!$F$20))+IF($A54&gt;=T_sale,Declarations!$G$20,0)</f>
        <v>77.7287870325426</v>
      </c>
    </row>
    <row r="55" customFormat="false" ht="15" hidden="false" customHeight="false" outlineLevel="0" collapsed="false">
      <c r="A55" s="12" t="n">
        <v>1.72</v>
      </c>
      <c r="B55" s="20" t="n">
        <f aca="false">Declarations!$C$20+(Declarations!$C$4-Declarations!$C$20)*EXP(-Declarations!$D$20*$A55)+IF(Declarations!$E$20=0,0,Declarations!$E$20*($A55/Declarations!$F$20)*EXP(1-$A55/Declarations!$F$20))+IF($A55&gt;=T_sale,Declarations!$G$20,0)</f>
        <v>77.7288256069532</v>
      </c>
    </row>
    <row r="56" customFormat="false" ht="15" hidden="false" customHeight="false" outlineLevel="0" collapsed="false">
      <c r="A56" s="12" t="n">
        <v>1.73</v>
      </c>
      <c r="B56" s="20" t="n">
        <f aca="false">Declarations!$C$20+(Declarations!$C$4-Declarations!$C$20)*EXP(-Declarations!$D$20*$A56)+IF(Declarations!$E$20=0,0,Declarations!$E$20*($A56/Declarations!$F$20)*EXP(1-$A56/Declarations!$F$20))+IF($A56&gt;=T_sale,Declarations!$G$20,0)</f>
        <v>77.7297015909194</v>
      </c>
    </row>
    <row r="57" customFormat="false" ht="15" hidden="false" customHeight="false" outlineLevel="0" collapsed="false">
      <c r="A57" s="12" t="n">
        <v>1.74</v>
      </c>
      <c r="B57" s="20" t="n">
        <f aca="false">Declarations!$C$20+(Declarations!$C$4-Declarations!$C$20)*EXP(-Declarations!$D$20*$A57)+IF(Declarations!$E$20=0,0,Declarations!$E$20*($A57/Declarations!$F$20)*EXP(1-$A57/Declarations!$F$20))+IF($A57&gt;=T_sale,Declarations!$G$20,0)</f>
        <v>77.7314066816971</v>
      </c>
    </row>
    <row r="58" customFormat="false" ht="15" hidden="false" customHeight="false" outlineLevel="0" collapsed="false">
      <c r="A58" s="12" t="n">
        <v>1.75</v>
      </c>
      <c r="B58" s="20" t="n">
        <f aca="false">Declarations!$C$20+(Declarations!$C$4-Declarations!$C$20)*EXP(-Declarations!$D$20*$A58)+IF(Declarations!$E$20=0,0,Declarations!$E$20*($A58/Declarations!$F$20)*EXP(1-$A58/Declarations!$F$20))+IF($A58&gt;=T_sale,Declarations!$G$20,0)</f>
        <v>77.7339326383525</v>
      </c>
    </row>
    <row r="59" customFormat="false" ht="15" hidden="false" customHeight="false" outlineLevel="0" collapsed="false">
      <c r="A59" s="12" t="n">
        <v>1.76</v>
      </c>
      <c r="B59" s="20" t="n">
        <f aca="false">Declarations!$C$20+(Declarations!$C$4-Declarations!$C$20)*EXP(-Declarations!$D$20*$A59)+IF(Declarations!$E$20=0,0,Declarations!$E$20*($A59/Declarations!$F$20)*EXP(1-$A59/Declarations!$F$20))+IF($A59&gt;=T_sale,Declarations!$G$20,0)</f>
        <v>77.7372712813517</v>
      </c>
    </row>
    <row r="60" customFormat="false" ht="15" hidden="false" customHeight="false" outlineLevel="0" collapsed="false">
      <c r="A60" s="12" t="n">
        <v>1.77</v>
      </c>
      <c r="B60" s="20" t="n">
        <f aca="false">Declarations!$C$20+(Declarations!$C$4-Declarations!$C$20)*EXP(-Declarations!$D$20*$A60)+IF(Declarations!$E$20=0,0,Declarations!$E$20*($A60/Declarations!$F$20)*EXP(1-$A60/Declarations!$F$20))+IF($A60&gt;=T_sale,Declarations!$G$20,0)</f>
        <v>77.7414144921546</v>
      </c>
    </row>
    <row r="61" customFormat="false" ht="15" hidden="false" customHeight="false" outlineLevel="0" collapsed="false">
      <c r="A61" s="12" t="n">
        <v>1.78</v>
      </c>
      <c r="B61" s="20" t="n">
        <f aca="false">Declarations!$C$20+(Declarations!$C$4-Declarations!$C$20)*EXP(-Declarations!$D$20*$A61)+IF(Declarations!$E$20=0,0,Declarations!$E$20*($A61/Declarations!$F$20)*EXP(1-$A61/Declarations!$F$20))+IF($A61&gt;=T_sale,Declarations!$G$20,0)</f>
        <v>77.7463542128098</v>
      </c>
    </row>
    <row r="62" customFormat="false" ht="15" hidden="false" customHeight="false" outlineLevel="0" collapsed="false">
      <c r="A62" s="12" t="n">
        <v>1.79</v>
      </c>
      <c r="B62" s="20" t="n">
        <f aca="false">Declarations!$C$20+(Declarations!$C$4-Declarations!$C$20)*EXP(-Declarations!$D$20*$A62)+IF(Declarations!$E$20=0,0,Declarations!$E$20*($A62/Declarations!$F$20)*EXP(1-$A62/Declarations!$F$20))+IF($A62&gt;=T_sale,Declarations!$G$20,0)</f>
        <v>77.7520824455539</v>
      </c>
    </row>
    <row r="63" customFormat="false" ht="15" hidden="false" customHeight="false" outlineLevel="0" collapsed="false">
      <c r="A63" s="12" t="n">
        <v>1.8</v>
      </c>
      <c r="B63" s="20" t="n">
        <f aca="false">Declarations!$C$20+(Declarations!$C$4-Declarations!$C$20)*EXP(-Declarations!$D$20*$A63)+IF(Declarations!$E$20=0,0,Declarations!$E$20*($A63/Declarations!$F$20)*EXP(1-$A63/Declarations!$F$20))+IF($A63&gt;=T_sale,Declarations!$G$20,0)</f>
        <v>77.7585912524109</v>
      </c>
    </row>
    <row r="64" customFormat="false" ht="15" hidden="false" customHeight="false" outlineLevel="0" collapsed="false">
      <c r="A64" s="12" t="n">
        <v>1.81</v>
      </c>
      <c r="B64" s="20" t="n">
        <f aca="false">Declarations!$C$20+(Declarations!$C$4-Declarations!$C$20)*EXP(-Declarations!$D$20*$A64)+IF(Declarations!$E$20=0,0,Declarations!$E$20*($A64/Declarations!$F$20)*EXP(1-$A64/Declarations!$F$20))+IF($A64&gt;=T_sale,Declarations!$G$20,0)</f>
        <v>77.7658727547965</v>
      </c>
    </row>
    <row r="65" customFormat="false" ht="15" hidden="false" customHeight="false" outlineLevel="0" collapsed="false">
      <c r="A65" s="12" t="n">
        <v>1.82</v>
      </c>
      <c r="B65" s="20" t="n">
        <f aca="false">Declarations!$C$20+(Declarations!$C$4-Declarations!$C$20)*EXP(-Declarations!$D$20*$A65)+IF(Declarations!$E$20=0,0,Declarations!$E$20*($A65/Declarations!$F$20)*EXP(1-$A65/Declarations!$F$20))+IF($A65&gt;=T_sale,Declarations!$G$20,0)</f>
        <v>77.7739191331231</v>
      </c>
    </row>
    <row r="66" customFormat="false" ht="15" hidden="false" customHeight="false" outlineLevel="0" collapsed="false">
      <c r="A66" s="12" t="n">
        <v>1.83</v>
      </c>
      <c r="B66" s="20" t="n">
        <f aca="false">Declarations!$C$20+(Declarations!$C$4-Declarations!$C$20)*EXP(-Declarations!$D$20*$A66)+IF(Declarations!$E$20=0,0,Declarations!$E$20*($A66/Declarations!$F$20)*EXP(1-$A66/Declarations!$F$20))+IF($A66&gt;=T_sale,Declarations!$G$20,0)</f>
        <v>77.7827226264079</v>
      </c>
    </row>
    <row r="67" customFormat="false" ht="15" hidden="false" customHeight="false" outlineLevel="0" collapsed="false">
      <c r="A67" s="12" t="n">
        <v>1.84</v>
      </c>
      <c r="B67" s="20" t="n">
        <f aca="false">Declarations!$C$20+(Declarations!$C$4-Declarations!$C$20)*EXP(-Declarations!$D$20*$A67)+IF(Declarations!$E$20=0,0,Declarations!$E$20*($A67/Declarations!$F$20)*EXP(1-$A67/Declarations!$F$20))+IF($A67&gt;=T_sale,Declarations!$G$20,0)</f>
        <v>77.7922755318838</v>
      </c>
    </row>
    <row r="68" customFormat="false" ht="15" hidden="false" customHeight="false" outlineLevel="0" collapsed="false">
      <c r="A68" s="12" t="n">
        <v>1.85</v>
      </c>
      <c r="B68" s="20" t="n">
        <f aca="false">Declarations!$C$20+(Declarations!$C$4-Declarations!$C$20)*EXP(-Declarations!$D$20*$A68)+IF(Declarations!$E$20=0,0,Declarations!$E$20*($A68/Declarations!$F$20)*EXP(1-$A68/Declarations!$F$20))+IF($A68&gt;=T_sale,Declarations!$G$20,0)</f>
        <v>77.8025702046123</v>
      </c>
    </row>
    <row r="69" customFormat="false" ht="15" hidden="false" customHeight="false" outlineLevel="0" collapsed="false">
      <c r="A69" s="12" t="n">
        <v>1.86</v>
      </c>
      <c r="B69" s="20" t="n">
        <f aca="false">Declarations!$C$20+(Declarations!$C$4-Declarations!$C$20)*EXP(-Declarations!$D$20*$A69)+IF(Declarations!$E$20=0,0,Declarations!$E$20*($A69/Declarations!$F$20)*EXP(1-$A69/Declarations!$F$20))+IF($A69&gt;=T_sale,Declarations!$G$20,0)</f>
        <v>77.8135990570983</v>
      </c>
    </row>
    <row r="70" customFormat="false" ht="15" hidden="false" customHeight="false" outlineLevel="0" collapsed="false">
      <c r="A70" s="12" t="n">
        <v>1.87</v>
      </c>
      <c r="B70" s="20" t="n">
        <f aca="false">Declarations!$C$20+(Declarations!$C$4-Declarations!$C$20)*EXP(-Declarations!$D$20*$A70)+IF(Declarations!$E$20=0,0,Declarations!$E$20*($A70/Declarations!$F$20)*EXP(1-$A70/Declarations!$F$20))+IF($A70&gt;=T_sale,Declarations!$G$20,0)</f>
        <v>77.8253545589088</v>
      </c>
    </row>
    <row r="71" customFormat="false" ht="15" hidden="false" customHeight="false" outlineLevel="0" collapsed="false">
      <c r="A71" s="12" t="n">
        <v>1.88</v>
      </c>
      <c r="B71" s="20" t="n">
        <f aca="false">Declarations!$C$20+(Declarations!$C$4-Declarations!$C$20)*EXP(-Declarations!$D$20*$A71)+IF(Declarations!$E$20=0,0,Declarations!$E$20*($A71/Declarations!$F$20)*EXP(1-$A71/Declarations!$F$20))+IF($A71&gt;=T_sale,Declarations!$G$20,0)</f>
        <v>77.8378292362922</v>
      </c>
    </row>
    <row r="72" customFormat="false" ht="15" hidden="false" customHeight="false" outlineLevel="0" collapsed="false">
      <c r="A72" s="12" t="n">
        <v>1.89</v>
      </c>
      <c r="B72" s="20" t="n">
        <f aca="false">Declarations!$C$20+(Declarations!$C$4-Declarations!$C$20)*EXP(-Declarations!$D$20*$A72)+IF(Declarations!$E$20=0,0,Declarations!$E$20*($A72/Declarations!$F$20)*EXP(1-$A72/Declarations!$F$20))+IF($A72&gt;=T_sale,Declarations!$G$20,0)</f>
        <v>77.8510156718013</v>
      </c>
    </row>
    <row r="73" customFormat="false" ht="15" hidden="false" customHeight="false" outlineLevel="0" collapsed="false">
      <c r="A73" s="12" t="n">
        <v>1.9</v>
      </c>
      <c r="B73" s="20" t="n">
        <f aca="false">Declarations!$C$20+(Declarations!$C$4-Declarations!$C$20)*EXP(-Declarations!$D$20*$A73)+IF(Declarations!$E$20=0,0,Declarations!$E$20*($A73/Declarations!$F$20)*EXP(1-$A73/Declarations!$F$20))+IF($A73&gt;=T_sale,Declarations!$G$20,0)</f>
        <v>77.8649065039182</v>
      </c>
    </row>
    <row r="74" customFormat="false" ht="15" hidden="false" customHeight="false" outlineLevel="0" collapsed="false">
      <c r="A74" s="12" t="n">
        <v>1.91</v>
      </c>
      <c r="B74" s="20" t="n">
        <f aca="false">Declarations!$C$20+(Declarations!$C$4-Declarations!$C$20)*EXP(-Declarations!$D$20*$A74)+IF(Declarations!$E$20=0,0,Declarations!$E$20*($A74/Declarations!$F$20)*EXP(1-$A74/Declarations!$F$20))+IF($A74&gt;=T_sale,Declarations!$G$20,0)</f>
        <v>77.8794944266811</v>
      </c>
    </row>
    <row r="75" customFormat="false" ht="15" hidden="false" customHeight="false" outlineLevel="0" collapsed="false">
      <c r="A75" s="12" t="n">
        <v>1.92</v>
      </c>
      <c r="B75" s="20" t="n">
        <f aca="false">Declarations!$C$20+(Declarations!$C$4-Declarations!$C$20)*EXP(-Declarations!$D$20*$A75)+IF(Declarations!$E$20=0,0,Declarations!$E$20*($A75/Declarations!$F$20)*EXP(1-$A75/Declarations!$F$20))+IF($A75&gt;=T_sale,Declarations!$G$20,0)</f>
        <v>77.8947721893144</v>
      </c>
    </row>
    <row r="76" customFormat="false" ht="15" hidden="false" customHeight="false" outlineLevel="0" collapsed="false">
      <c r="A76" s="12" t="n">
        <v>1.93</v>
      </c>
      <c r="B76" s="20" t="n">
        <f aca="false">Declarations!$C$20+(Declarations!$C$4-Declarations!$C$20)*EXP(-Declarations!$D$20*$A76)+IF(Declarations!$E$20=0,0,Declarations!$E$20*($A76/Declarations!$F$20)*EXP(1-$A76/Declarations!$F$20))+IF($A76&gt;=T_sale,Declarations!$G$20,0)</f>
        <v>77.9107325958599</v>
      </c>
    </row>
    <row r="77" customFormat="false" ht="15" hidden="false" customHeight="false" outlineLevel="0" collapsed="false">
      <c r="A77" s="12" t="n">
        <v>1.94</v>
      </c>
      <c r="B77" s="20" t="n">
        <f aca="false">Declarations!$C$20+(Declarations!$C$4-Declarations!$C$20)*EXP(-Declarations!$D$20*$A77)+IF(Declarations!$E$20=0,0,Declarations!$E$20*($A77/Declarations!$F$20)*EXP(1-$A77/Declarations!$F$20))+IF($A77&gt;=T_sale,Declarations!$G$20,0)</f>
        <v>77.9273685048116</v>
      </c>
    </row>
    <row r="78" customFormat="false" ht="15" hidden="false" customHeight="false" outlineLevel="0" collapsed="false">
      <c r="A78" s="12" t="n">
        <v>1.95</v>
      </c>
      <c r="B78" s="20" t="n">
        <f aca="false">Declarations!$C$20+(Declarations!$C$4-Declarations!$C$20)*EXP(-Declarations!$D$20*$A78)+IF(Declarations!$E$20=0,0,Declarations!$E$20*($A78/Declarations!$F$20)*EXP(1-$A78/Declarations!$F$20))+IF($A78&gt;=T_sale,Declarations!$G$20,0)</f>
        <v>77.9446728287517</v>
      </c>
    </row>
    <row r="79" customFormat="false" ht="15" hidden="false" customHeight="false" outlineLevel="0" collapsed="false">
      <c r="A79" s="12" t="n">
        <v>1.96</v>
      </c>
      <c r="B79" s="20" t="n">
        <f aca="false">Declarations!$C$20+(Declarations!$C$4-Declarations!$C$20)*EXP(-Declarations!$D$20*$A79)+IF(Declarations!$E$20=0,0,Declarations!$E$20*($A79/Declarations!$F$20)*EXP(1-$A79/Declarations!$F$20))+IF($A79&gt;=T_sale,Declarations!$G$20,0)</f>
        <v>77.9626385339894</v>
      </c>
    </row>
    <row r="80" customFormat="false" ht="15" hidden="false" customHeight="false" outlineLevel="0" collapsed="false">
      <c r="A80" s="12" t="n">
        <v>1.97</v>
      </c>
      <c r="B80" s="20" t="n">
        <f aca="false">Declarations!$C$20+(Declarations!$C$4-Declarations!$C$20)*EXP(-Declarations!$D$20*$A80)+IF(Declarations!$E$20=0,0,Declarations!$E$20*($A80/Declarations!$F$20)*EXP(1-$A80/Declarations!$F$20))+IF($A80&gt;=T_sale,Declarations!$G$20,0)</f>
        <v>77.9812586402019</v>
      </c>
    </row>
    <row r="81" customFormat="false" ht="15" hidden="false" customHeight="false" outlineLevel="0" collapsed="false">
      <c r="A81" s="12" t="n">
        <v>1.98</v>
      </c>
      <c r="B81" s="20" t="n">
        <f aca="false">Declarations!$C$20+(Declarations!$C$4-Declarations!$C$20)*EXP(-Declarations!$D$20*$A81)+IF(Declarations!$E$20=0,0,Declarations!$E$20*($A81/Declarations!$F$20)*EXP(1-$A81/Declarations!$F$20))+IF($A81&gt;=T_sale,Declarations!$G$20,0)</f>
        <v>78.0005262200777</v>
      </c>
    </row>
    <row r="82" customFormat="false" ht="15" hidden="false" customHeight="false" outlineLevel="0" collapsed="false">
      <c r="A82" s="12" t="n">
        <v>1.99</v>
      </c>
      <c r="B82" s="20" t="n">
        <f aca="false">Declarations!$C$20+(Declarations!$C$4-Declarations!$C$20)*EXP(-Declarations!$D$20*$A82)+IF(Declarations!$E$20=0,0,Declarations!$E$20*($A82/Declarations!$F$20)*EXP(1-$A82/Declarations!$F$20))+IF($A82&gt;=T_sale,Declarations!$G$20,0)</f>
        <v>78.0204343989616</v>
      </c>
    </row>
    <row r="83" customFormat="false" ht="15" hidden="false" customHeight="false" outlineLevel="0" collapsed="false">
      <c r="A83" s="12" t="n">
        <v>2</v>
      </c>
      <c r="B83" s="20" t="n">
        <f aca="false">Declarations!$C$20+(Declarations!$C$4-Declarations!$C$20)*EXP(-Declarations!$D$20*$A83)+IF(Declarations!$E$20=0,0,Declarations!$E$20*($A83/Declarations!$F$20)*EXP(1-$A83/Declarations!$F$20))+IF($A83&gt;=T_sale,Declarations!$G$20,0)</f>
        <v>78.0409763545031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3"/>
    <col collapsed="false" customWidth="true" hidden="false" outlineLevel="0" max="9" min="9" style="0" width="50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46"/>
  </cols>
  <sheetData>
    <row r="1" customFormat="false" ht="1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10" t="s">
        <v>179</v>
      </c>
    </row>
    <row r="4" customFormat="false" ht="23.85" hidden="false" customHeight="false" outlineLevel="0" collapsed="false">
      <c r="A4" s="8" t="s">
        <v>180</v>
      </c>
      <c r="B4" s="8" t="s">
        <v>119</v>
      </c>
      <c r="C4" s="8" t="s">
        <v>181</v>
      </c>
      <c r="D4" s="8" t="s">
        <v>182</v>
      </c>
      <c r="E4" s="8" t="s">
        <v>183</v>
      </c>
      <c r="F4" s="8" t="s">
        <v>184</v>
      </c>
      <c r="G4" s="8" t="s">
        <v>185</v>
      </c>
      <c r="I4" s="8" t="s">
        <v>42</v>
      </c>
      <c r="J4" s="8" t="s">
        <v>43</v>
      </c>
      <c r="K4" s="8" t="s">
        <v>16</v>
      </c>
    </row>
    <row r="5" customFormat="false" ht="15" hidden="false" customHeight="false" outlineLevel="0" collapsed="false">
      <c r="A5" s="19" t="n">
        <v>0</v>
      </c>
      <c r="B5" s="12" t="n">
        <f aca="false">A5/4</f>
        <v>0</v>
      </c>
      <c r="C5" s="16" t="n">
        <f aca="false">Declarations!$C$20+(Declarations!$C$4-Declarations!$C$20)*EXP(-Declarations!$D$20*$B5)+IF(Declarations!$E$20=0,0,Declarations!$E$20*($B5/Declarations!$F$20)*EXP(1-$B5/Declarations!$F$20))+IF($B5&gt;=T_sale,Declarations!$G$20,0)</f>
        <v>100</v>
      </c>
      <c r="D5" s="18" t="n">
        <f aca="false">C5*USD_pt</f>
        <v>620</v>
      </c>
      <c r="E5" s="18" t="n">
        <f aca="false">D5-Floor_liq</f>
        <v>270</v>
      </c>
      <c r="F5" s="16" t="n">
        <f aca="false">Declarations!$C$20+(Declarations!$C$4-Declarations!$C$20)*EXP(-Declarations!$D$20*$B5)+IF((-Depth_ph)=0,0,(-Depth_ph)*($B5/Declarations!$F$20)*EXP(1-$B5/Declarations!$F$20))+IF($B5&gt;=T_sale,Declarations!$G$20,0)</f>
        <v>100</v>
      </c>
      <c r="G5" s="18" t="n">
        <f aca="false">F5*USD_pt</f>
        <v>620</v>
      </c>
      <c r="I5" s="2" t="s">
        <v>186</v>
      </c>
      <c r="J5" s="18" t="n">
        <f aca="false">MIN(D5:D17)</f>
        <v>481.950382357786</v>
      </c>
      <c r="K5" s="10" t="s">
        <v>187</v>
      </c>
    </row>
    <row r="6" customFormat="false" ht="15" hidden="false" customHeight="false" outlineLevel="0" collapsed="false">
      <c r="A6" s="19" t="n">
        <v>1</v>
      </c>
      <c r="B6" s="12" t="n">
        <f aca="false">A6/4</f>
        <v>0.25</v>
      </c>
      <c r="C6" s="16" t="n">
        <f aca="false">Declarations!$C$20+(Declarations!$C$4-Declarations!$C$20)*EXP(-Declarations!$D$20*$B6)+IF(Declarations!$E$20=0,0,Declarations!$E$20*($B6/Declarations!$F$20)*EXP(1-$B6/Declarations!$F$20))+IF($B6&gt;=T_sale,Declarations!$G$20,0)</f>
        <v>92.6093100113046</v>
      </c>
      <c r="D6" s="18" t="n">
        <f aca="false">C6*USD_pt</f>
        <v>574.177722070089</v>
      </c>
      <c r="E6" s="18" t="n">
        <f aca="false">D6-Floor_liq</f>
        <v>224.177722070089</v>
      </c>
      <c r="F6" s="16" t="n">
        <f aca="false">Declarations!$C$20+(Declarations!$C$4-Declarations!$C$20)*EXP(-Declarations!$D$20*$B6)+IF((-Depth_ph)=0,0,(-Depth_ph)*($B6/Declarations!$F$20)*EXP(1-$B6/Declarations!$F$20))+IF($B6&gt;=T_sale,Declarations!$G$20,0)</f>
        <v>95.0081853052717</v>
      </c>
      <c r="G6" s="18" t="n">
        <f aca="false">F6*USD_pt</f>
        <v>589.050748892685</v>
      </c>
      <c r="I6" s="2" t="s">
        <v>188</v>
      </c>
      <c r="J6" s="19" t="n">
        <f aca="false">INDEX(A5:A17,MATCH(J5,D5:D17,0))</f>
        <v>7</v>
      </c>
      <c r="K6" s="10" t="s">
        <v>189</v>
      </c>
    </row>
    <row r="7" customFormat="false" ht="15" hidden="false" customHeight="false" outlineLevel="0" collapsed="false">
      <c r="A7" s="19" t="n">
        <v>2</v>
      </c>
      <c r="B7" s="12" t="n">
        <f aca="false">A7/4</f>
        <v>0.5</v>
      </c>
      <c r="C7" s="16" t="n">
        <f aca="false">Declarations!$C$20+(Declarations!$C$4-Declarations!$C$20)*EXP(-Declarations!$D$20*$B7)+IF(Declarations!$E$20=0,0,Declarations!$E$20*($B7/Declarations!$F$20)*EXP(1-$B7/Declarations!$F$20))+IF($B7&gt;=T_sale,Declarations!$G$20,0)</f>
        <v>87.1075156344808</v>
      </c>
      <c r="D7" s="18" t="n">
        <f aca="false">C7*USD_pt</f>
        <v>540.066596933781</v>
      </c>
      <c r="E7" s="18" t="n">
        <f aca="false">D7-Floor_liq</f>
        <v>190.066596933781</v>
      </c>
      <c r="F7" s="16" t="n">
        <f aca="false">Declarations!$C$20+(Declarations!$C$4-Declarations!$C$20)*EXP(-Declarations!$D$20*$B7)+IF((-Depth_ph)=0,0,(-Depth_ph)*($B7/Declarations!$F$20)*EXP(1-$B7/Declarations!$F$20))+IF($B7&gt;=T_sale,Declarations!$G$20,0)</f>
        <v>91.3415156677061</v>
      </c>
      <c r="G7" s="18" t="n">
        <f aca="false">F7*USD_pt</f>
        <v>566.317397139778</v>
      </c>
      <c r="I7" s="2" t="s">
        <v>190</v>
      </c>
      <c r="J7" s="18" t="n">
        <f aca="false">J5-Floor_liq</f>
        <v>131.950382357786</v>
      </c>
      <c r="K7" s="10" t="s">
        <v>191</v>
      </c>
    </row>
    <row r="8" customFormat="false" ht="15" hidden="false" customHeight="false" outlineLevel="0" collapsed="false">
      <c r="A8" s="19" t="n">
        <v>3</v>
      </c>
      <c r="B8" s="12" t="n">
        <f aca="false">A8/4</f>
        <v>0.75</v>
      </c>
      <c r="C8" s="16" t="n">
        <f aca="false">Declarations!$C$20+(Declarations!$C$4-Declarations!$C$20)*EXP(-Declarations!$D$20*$B8)+IF(Declarations!$E$20=0,0,Declarations!$E$20*($B8/Declarations!$F$20)*EXP(1-$B8/Declarations!$F$20))+IF($B8&gt;=T_sale,Declarations!$G$20,0)</f>
        <v>83.1539010745388</v>
      </c>
      <c r="D8" s="18" t="n">
        <f aca="false">C8*USD_pt</f>
        <v>515.554186662141</v>
      </c>
      <c r="E8" s="18" t="n">
        <f aca="false">D8-Floor_liq</f>
        <v>165.554186662141</v>
      </c>
      <c r="F8" s="16" t="n">
        <f aca="false">Declarations!$C$20+(Declarations!$C$4-Declarations!$C$20)*EXP(-Declarations!$D$20*$B8)+IF((-Depth_ph)=0,0,(-Depth_ph)*($B8/Declarations!$F$20)*EXP(1-$B8/Declarations!$F$20))+IF($B8&gt;=T_sale,Declarations!$G$20,0)</f>
        <v>88.7586389468355</v>
      </c>
      <c r="G8" s="18" t="n">
        <f aca="false">F8*USD_pt</f>
        <v>550.30356147038</v>
      </c>
      <c r="I8" s="2" t="s">
        <v>192</v>
      </c>
      <c r="J8" s="18" t="n">
        <f aca="false">D5-J5</f>
        <v>138.049617642214</v>
      </c>
      <c r="K8" s="10" t="s">
        <v>193</v>
      </c>
    </row>
    <row r="9" customFormat="false" ht="15" hidden="false" customHeight="false" outlineLevel="0" collapsed="false">
      <c r="A9" s="19" t="n">
        <v>4</v>
      </c>
      <c r="B9" s="12" t="n">
        <f aca="false">A9/4</f>
        <v>1</v>
      </c>
      <c r="C9" s="16" t="n">
        <f aca="false">Declarations!$C$20+(Declarations!$C$4-Declarations!$C$20)*EXP(-Declarations!$D$20*$B9)+IF(Declarations!$E$20=0,0,Declarations!$E$20*($B9/Declarations!$F$20)*EXP(1-$B9/Declarations!$F$20))+IF($B9&gt;=T_sale,Declarations!$G$20,0)</f>
        <v>80.4616451335736</v>
      </c>
      <c r="D9" s="18" t="n">
        <f aca="false">C9*USD_pt</f>
        <v>498.862199828157</v>
      </c>
      <c r="E9" s="18" t="n">
        <f aca="false">D9-Floor_liq</f>
        <v>148.862199828157</v>
      </c>
      <c r="F9" s="16" t="n">
        <f aca="false">Declarations!$C$20+(Declarations!$C$4-Declarations!$C$20)*EXP(-Declarations!$D$20*$B9)+IF((-Depth_ph)=0,0,(-Depth_ph)*($B9/Declarations!$F$20)*EXP(1-$B9/Declarations!$F$20))+IF($B9&gt;=T_sale,Declarations!$G$20,0)</f>
        <v>87.0565302163741</v>
      </c>
      <c r="G9" s="18" t="n">
        <f aca="false">F9*USD_pt</f>
        <v>539.75048734152</v>
      </c>
      <c r="I9" s="2" t="s">
        <v>194</v>
      </c>
      <c r="J9" s="18" t="n">
        <f aca="false">MIN(G5:G17)</f>
        <v>530.973917139149</v>
      </c>
      <c r="K9" s="10" t="s">
        <v>195</v>
      </c>
    </row>
    <row r="10" customFormat="false" ht="15" hidden="false" customHeight="false" outlineLevel="0" collapsed="false">
      <c r="A10" s="19" t="n">
        <v>5</v>
      </c>
      <c r="B10" s="12" t="n">
        <f aca="false">A10/4</f>
        <v>1.25</v>
      </c>
      <c r="C10" s="16" t="n">
        <f aca="false">Declarations!$C$20+(Declarations!$C$4-Declarations!$C$20)*EXP(-Declarations!$D$20*$B10)+IF(Declarations!$E$20=0,0,Declarations!$E$20*($B10/Declarations!$F$20)*EXP(1-$B10/Declarations!$F$20))+IF($B10&gt;=T_sale,Declarations!$G$20,0)</f>
        <v>78.7898679270468</v>
      </c>
      <c r="D10" s="18" t="n">
        <f aca="false">C10*USD_pt</f>
        <v>488.49718114769</v>
      </c>
      <c r="E10" s="18" t="n">
        <f aca="false">D10-Floor_liq</f>
        <v>138.49718114769</v>
      </c>
      <c r="F10" s="16" t="n">
        <f aca="false">Declarations!$C$20+(Declarations!$C$4-Declarations!$C$20)*EXP(-Declarations!$D$20*$B10)+IF((-Depth_ph)=0,0,(-Depth_ph)*($B10/Declarations!$F$20)*EXP(1-$B10/Declarations!$F$20))+IF($B10&gt;=T_sale,Declarations!$G$20,0)</f>
        <v>86.0648250001378</v>
      </c>
      <c r="G10" s="18" t="n">
        <f aca="false">F10*USD_pt</f>
        <v>533.601915000854</v>
      </c>
      <c r="I10" s="2" t="s">
        <v>196</v>
      </c>
      <c r="J10" s="18" t="n">
        <f aca="false">SD_w/SQRT(1-Carry_q^2)</f>
        <v>62.5</v>
      </c>
      <c r="K10" s="10" t="s">
        <v>197</v>
      </c>
    </row>
    <row r="11" customFormat="false" ht="15" hidden="false" customHeight="false" outlineLevel="0" collapsed="false">
      <c r="A11" s="19" t="n">
        <v>6</v>
      </c>
      <c r="B11" s="12" t="n">
        <f aca="false">A11/4</f>
        <v>1.5</v>
      </c>
      <c r="C11" s="16" t="n">
        <f aca="false">Declarations!$C$20+(Declarations!$C$4-Declarations!$C$20)*EXP(-Declarations!$D$20*$B11)+IF(Declarations!$E$20=0,0,Declarations!$E$20*($B11/Declarations!$F$20)*EXP(1-$B11/Declarations!$F$20))+IF($B11&gt;=T_sale,Declarations!$G$20,0)</f>
        <v>77.9368018771557</v>
      </c>
      <c r="D11" s="18" t="n">
        <f aca="false">C11*USD_pt</f>
        <v>483.208171638365</v>
      </c>
      <c r="E11" s="18" t="n">
        <f aca="false">D11-Floor_liq</f>
        <v>133.208171638365</v>
      </c>
      <c r="F11" s="16" t="n">
        <f aca="false">Declarations!$C$20+(Declarations!$C$4-Declarations!$C$20)*EXP(-Declarations!$D$20*$B11)+IF((-Depth_ph)=0,0,(-Depth_ph)*($B11/Declarations!$F$20)*EXP(1-$B11/Declarations!$F$20))+IF($B11&gt;=T_sale,Declarations!$G$20,0)</f>
        <v>85.6409543772821</v>
      </c>
      <c r="G11" s="18" t="n">
        <f aca="false">F11*USD_pt</f>
        <v>530.973917139149</v>
      </c>
      <c r="I11" s="2" t="s">
        <v>198</v>
      </c>
      <c r="J11" s="12" t="n">
        <f aca="false">J7/J10</f>
        <v>2.11120611772457</v>
      </c>
      <c r="K11" s="10"/>
    </row>
    <row r="12" customFormat="false" ht="15" hidden="false" customHeight="false" outlineLevel="0" collapsed="false">
      <c r="A12" s="19" t="n">
        <v>7</v>
      </c>
      <c r="B12" s="12" t="n">
        <f aca="false">A12/4</f>
        <v>1.75</v>
      </c>
      <c r="C12" s="16" t="n">
        <f aca="false">Declarations!$C$20+(Declarations!$C$4-Declarations!$C$20)*EXP(-Declarations!$D$20*$B12)+IF(Declarations!$E$20=0,0,Declarations!$E$20*($B12/Declarations!$F$20)*EXP(1-$B12/Declarations!$F$20))+IF($B12&gt;=T_sale,Declarations!$G$20,0)</f>
        <v>77.7339326383525</v>
      </c>
      <c r="D12" s="18" t="n">
        <f aca="false">C12*USD_pt</f>
        <v>481.950382357786</v>
      </c>
      <c r="E12" s="18" t="n">
        <f aca="false">D12-Floor_liq</f>
        <v>131.950382357786</v>
      </c>
      <c r="F12" s="16" t="n">
        <f aca="false">Declarations!$C$20+(Declarations!$C$4-Declarations!$C$20)*EXP(-Declarations!$D$20*$B12)+IF((-Depth_ph)=0,0,(-Depth_ph)*($B12/Declarations!$F$20)*EXP(1-$B12/Declarations!$F$20))+IF($B12&gt;=T_sale,Declarations!$G$20,0)</f>
        <v>85.6659718098203</v>
      </c>
      <c r="G12" s="18" t="n">
        <f aca="false">F12*USD_pt</f>
        <v>531.129025220886</v>
      </c>
      <c r="I12" s="2" t="s">
        <v>199</v>
      </c>
      <c r="J12" s="18" t="n">
        <f aca="false">Lam_cl*J_mean</f>
        <v>12</v>
      </c>
      <c r="K12" s="10"/>
    </row>
    <row r="13" customFormat="false" ht="15" hidden="false" customHeight="false" outlineLevel="0" collapsed="false">
      <c r="A13" s="19" t="n">
        <v>8</v>
      </c>
      <c r="B13" s="12" t="n">
        <f aca="false">A13/4</f>
        <v>2</v>
      </c>
      <c r="C13" s="16" t="n">
        <f aca="false">Declarations!$C$20+(Declarations!$C$4-Declarations!$C$20)*EXP(-Declarations!$D$20*$B13)+IF(Declarations!$E$20=0,0,Declarations!$E$20*($B13/Declarations!$F$20)*EXP(1-$B13/Declarations!$F$20))+IF($B13&gt;=T_sale,Declarations!$G$20,0)</f>
        <v>78.0409763545031</v>
      </c>
      <c r="D13" s="18" t="n">
        <f aca="false">C13*USD_pt</f>
        <v>483.854053397919</v>
      </c>
      <c r="E13" s="18" t="n">
        <f aca="false">D13-Floor_liq</f>
        <v>133.854053397919</v>
      </c>
      <c r="F13" s="16" t="n">
        <f aca="false">Declarations!$C$20+(Declarations!$C$4-Declarations!$C$20)*EXP(-Declarations!$D$20*$B13)+IF((-Depth_ph)=0,0,(-Depth_ph)*($B13/Declarations!$F$20)*EXP(1-$B13/Declarations!$F$20))+IF($B13&gt;=T_sale,Declarations!$G$20,0)</f>
        <v>86.0409763545031</v>
      </c>
      <c r="G13" s="18" t="n">
        <f aca="false">F13*USD_pt</f>
        <v>533.454053397919</v>
      </c>
      <c r="I13" s="2" t="s">
        <v>200</v>
      </c>
      <c r="J13" s="16" t="n">
        <f aca="false">1-EXP(-Lam_cl*Years_prog)</f>
        <v>0.259181779318282</v>
      </c>
      <c r="K13" s="10"/>
    </row>
    <row r="14" customFormat="false" ht="15" hidden="false" customHeight="false" outlineLevel="0" collapsed="false">
      <c r="A14" s="19" t="n">
        <v>9</v>
      </c>
      <c r="B14" s="12" t="n">
        <f aca="false">A14/4</f>
        <v>2.25</v>
      </c>
      <c r="C14" s="16" t="n">
        <f aca="false">Declarations!$C$20+(Declarations!$C$4-Declarations!$C$20)*EXP(-Declarations!$D$20*$B14)+IF(Declarations!$E$20=0,0,Declarations!$E$20*($B14/Declarations!$F$20)*EXP(1-$B14/Declarations!$F$20))+IF($B14&gt;=T_sale,Declarations!$G$20,0)</f>
        <v>78.7415776479672</v>
      </c>
      <c r="D14" s="18" t="n">
        <f aca="false">C14*USD_pt</f>
        <v>488.197781417396</v>
      </c>
      <c r="E14" s="18" t="n">
        <f aca="false">D14-Floor_liq</f>
        <v>138.197781417396</v>
      </c>
      <c r="F14" s="16" t="n">
        <f aca="false">Declarations!$C$20+(Declarations!$C$4-Declarations!$C$20)*EXP(-Declarations!$D$20*$B14)+IF((-Depth_ph)=0,0,(-Depth_ph)*($B14/Declarations!$F$20)*EXP(1-$B14/Declarations!$F$20))+IF($B14&gt;=T_sale,Declarations!$G$20,0)</f>
        <v>86.6840497712285</v>
      </c>
      <c r="G14" s="18" t="n">
        <f aca="false">F14*USD_pt</f>
        <v>537.441108581617</v>
      </c>
      <c r="I14" s="2" t="s">
        <v>201</v>
      </c>
      <c r="J14" s="12" t="n">
        <f aca="false">(J_mean/J_sd)^2</f>
        <v>5.76</v>
      </c>
      <c r="K14" s="10"/>
    </row>
    <row r="15" customFormat="false" ht="15" hidden="false" customHeight="false" outlineLevel="0" collapsed="false">
      <c r="A15" s="19" t="n">
        <v>10</v>
      </c>
      <c r="B15" s="12" t="n">
        <f aca="false">A15/4</f>
        <v>2.5</v>
      </c>
      <c r="C15" s="16" t="n">
        <f aca="false">Declarations!$C$20+(Declarations!$C$4-Declarations!$C$20)*EXP(-Declarations!$D$20*$B15)+IF(Declarations!$E$20=0,0,Declarations!$E$20*($B15/Declarations!$F$20)*EXP(1-$B15/Declarations!$F$20))+IF($B15&gt;=T_sale,Declarations!$G$20,0)</f>
        <v>79.7396283563587</v>
      </c>
      <c r="D15" s="18" t="n">
        <f aca="false">C15*USD_pt</f>
        <v>494.385695809424</v>
      </c>
      <c r="E15" s="18" t="n">
        <f aca="false">D15-Floor_liq</f>
        <v>144.385695809424</v>
      </c>
      <c r="F15" s="16" t="n">
        <f aca="false">Declarations!$C$20+(Declarations!$C$4-Declarations!$C$20)*EXP(-Declarations!$D$20*$B15)+IF((-Depth_ph)=0,0,(-Depth_ph)*($B15/Declarations!$F$20)*EXP(1-$B15/Declarations!$F$20))+IF($B15&gt;=T_sale,Declarations!$G$20,0)</f>
        <v>87.5276361870728</v>
      </c>
      <c r="G15" s="18" t="n">
        <f aca="false">F15*USD_pt</f>
        <v>542.671344359851</v>
      </c>
      <c r="I15" s="2" t="s">
        <v>202</v>
      </c>
      <c r="J15" s="16" t="n">
        <f aca="false">J_sd^2/J_mean</f>
        <v>20.8333333333333</v>
      </c>
      <c r="K15" s="10"/>
    </row>
    <row r="16" customFormat="false" ht="15" hidden="false" customHeight="false" outlineLevel="0" collapsed="false">
      <c r="A16" s="19" t="n">
        <v>11</v>
      </c>
      <c r="B16" s="12" t="n">
        <f aca="false">A16/4</f>
        <v>2.75</v>
      </c>
      <c r="C16" s="16" t="n">
        <f aca="false">Declarations!$C$20+(Declarations!$C$4-Declarations!$C$20)*EXP(-Declarations!$D$20*$B16)+IF(Declarations!$E$20=0,0,Declarations!$E$20*($B16/Declarations!$F$20)*EXP(1-$B16/Declarations!$F$20))+IF($B16&gt;=T_sale,Declarations!$G$20,0)</f>
        <v>80.9561205749002</v>
      </c>
      <c r="D16" s="18" t="n">
        <f aca="false">C16*USD_pt</f>
        <v>501.927947564381</v>
      </c>
      <c r="E16" s="18" t="n">
        <f aca="false">D16-Floor_liq</f>
        <v>151.927947564381</v>
      </c>
      <c r="F16" s="16" t="n">
        <f aca="false">Declarations!$C$20+(Declarations!$C$4-Declarations!$C$20)*EXP(-Declarations!$D$20*$B16)+IF((-Depth_ph)=0,0,(-Depth_ph)*($B16/Declarations!$F$20)*EXP(1-$B16/Declarations!$F$20))+IF($B16&gt;=T_sale,Declarations!$G$20,0)</f>
        <v>88.5163026416009</v>
      </c>
      <c r="G16" s="18" t="n">
        <f aca="false">F16*USD_pt</f>
        <v>548.801076377926</v>
      </c>
      <c r="I16" s="2" t="s">
        <v>203</v>
      </c>
      <c r="J16" s="18" t="n">
        <f aca="false">GAMMAINV(0.9,J14,J15)</f>
        <v>186.866976370664</v>
      </c>
      <c r="K16" s="10" t="s">
        <v>204</v>
      </c>
    </row>
    <row r="17" customFormat="false" ht="15" hidden="false" customHeight="false" outlineLevel="0" collapsed="false">
      <c r="A17" s="19" t="n">
        <v>12</v>
      </c>
      <c r="B17" s="12" t="n">
        <f aca="false">A17/4</f>
        <v>3</v>
      </c>
      <c r="C17" s="16" t="n">
        <f aca="false">Declarations!$C$20+(Declarations!$C$4-Declarations!$C$20)*EXP(-Declarations!$D$20*$B17)+IF(Declarations!$E$20=0,0,Declarations!$E$20*($B17/Declarations!$F$20)*EXP(1-$B17/Declarations!$F$20))+IF($B17&gt;=T_sale,Declarations!$G$20,0)</f>
        <v>82.3264593027355</v>
      </c>
      <c r="D17" s="18" t="n">
        <f aca="false">C17*USD_pt</f>
        <v>510.42404767696</v>
      </c>
      <c r="E17" s="18" t="n">
        <f aca="false">D17-Floor_liq</f>
        <v>160.42404767696</v>
      </c>
      <c r="F17" s="16" t="n">
        <f aca="false">Declarations!$C$20+(Declarations!$C$4-Declarations!$C$20)*EXP(-Declarations!$D$20*$B17)+IF((-Depth_ph)=0,0,(-Depth_ph)*($B17/Declarations!$F$20)*EXP(1-$B17/Declarations!$F$20))+IF($B17&gt;=T_sale,Declarations!$G$20,0)</f>
        <v>89.6048272192871</v>
      </c>
      <c r="G17" s="18" t="n">
        <f aca="false">F17*USD_pt</f>
        <v>555.54992875958</v>
      </c>
      <c r="I17" s="2" t="s">
        <v>205</v>
      </c>
      <c r="J17" s="18" t="n">
        <f aca="false">Liq_usd-Floor_liq</f>
        <v>270</v>
      </c>
      <c r="K17" s="10" t="s">
        <v>206</v>
      </c>
    </row>
    <row r="18" customFormat="false" ht="15" hidden="false" customHeight="false" outlineLevel="0" collapsed="false">
      <c r="I18" s="2" t="s">
        <v>207</v>
      </c>
      <c r="J18" s="18" t="n">
        <f aca="false">J8+J16</f>
        <v>324.916594012879</v>
      </c>
      <c r="K18" s="10" t="s">
        <v>208</v>
      </c>
    </row>
    <row r="19" customFormat="false" ht="15" hidden="false" customHeight="false" outlineLevel="0" collapsed="false">
      <c r="I19" s="2" t="s">
        <v>209</v>
      </c>
      <c r="J19" s="18" t="n">
        <f aca="false">J17-J18</f>
        <v>-54.9165940128788</v>
      </c>
      <c r="K19" s="10"/>
    </row>
    <row r="21" customFormat="false" ht="23.85" hidden="false" customHeight="false" outlineLevel="0" collapsed="false">
      <c r="I21" s="8" t="s">
        <v>210</v>
      </c>
      <c r="J21" s="8" t="s">
        <v>211</v>
      </c>
      <c r="K21" s="8" t="s">
        <v>212</v>
      </c>
      <c r="L21" s="8" t="s">
        <v>213</v>
      </c>
      <c r="M21" s="8" t="s">
        <v>214</v>
      </c>
      <c r="N21" s="8" t="s">
        <v>215</v>
      </c>
      <c r="O21" s="8" t="s">
        <v>216</v>
      </c>
    </row>
    <row r="22" customFormat="false" ht="15" hidden="false" customHeight="false" outlineLevel="0" collapsed="false">
      <c r="I22" s="2" t="s">
        <v>217</v>
      </c>
      <c r="J22" s="22" t="n">
        <v>481.950382357786</v>
      </c>
      <c r="K22" s="23" t="n">
        <v>0.24622</v>
      </c>
      <c r="L22" s="24" t="n">
        <v>0.00136233517021326</v>
      </c>
      <c r="M22" s="22" t="n">
        <v>166.327808059532</v>
      </c>
      <c r="N22" s="19" t="n">
        <f aca="false">Floor_liq-M22</f>
        <v>183.672191940469</v>
      </c>
      <c r="O22" s="10" t="s">
        <v>218</v>
      </c>
    </row>
    <row r="23" customFormat="false" ht="15" hidden="false" customHeight="false" outlineLevel="0" collapsed="false">
      <c r="I23" s="2" t="s">
        <v>219</v>
      </c>
      <c r="J23" s="22" t="n">
        <v>481.950382357786</v>
      </c>
      <c r="K23" s="23" t="n">
        <v>0.12374</v>
      </c>
      <c r="L23" s="24" t="n">
        <v>0.00104128964462344</v>
      </c>
      <c r="M23" s="22" t="n">
        <v>285.551559022898</v>
      </c>
      <c r="N23" s="19" t="n">
        <f aca="false">Floor_liq-M23</f>
        <v>64.4484409771019</v>
      </c>
      <c r="O23" s="10" t="s">
        <v>220</v>
      </c>
    </row>
    <row r="24" customFormat="false" ht="15" hidden="false" customHeight="false" outlineLevel="0" collapsed="false">
      <c r="I24" s="2" t="s">
        <v>221</v>
      </c>
      <c r="J24" s="22" t="n">
        <v>530.973917139149</v>
      </c>
      <c r="K24" s="23" t="n">
        <v>0.13068</v>
      </c>
      <c r="L24" s="24" t="n">
        <v>0.00106584585001772</v>
      </c>
      <c r="M24" s="22" t="n">
        <v>213.377453304923</v>
      </c>
      <c r="N24" s="19" t="n">
        <f aca="false">Floor_liq-M24</f>
        <v>136.622546695077</v>
      </c>
      <c r="O24" s="10" t="s">
        <v>222</v>
      </c>
    </row>
    <row r="25" customFormat="false" ht="15" hidden="false" customHeight="false" outlineLevel="0" collapsed="false">
      <c r="I25" s="2" t="s">
        <v>223</v>
      </c>
      <c r="J25" s="22" t="n">
        <v>530.973917139149</v>
      </c>
      <c r="K25" s="23" t="n">
        <v>0.03003</v>
      </c>
      <c r="L25" s="24" t="n">
        <v>0.000539705466898382</v>
      </c>
      <c r="M25" s="22" t="n">
        <v>332.467853897918</v>
      </c>
      <c r="N25" s="19" t="n">
        <f aca="false">Floor_liq-M25</f>
        <v>17.5321461020821</v>
      </c>
      <c r="O25" s="10" t="s">
        <v>224</v>
      </c>
    </row>
    <row r="27" customFormat="false" ht="15" hidden="false" customHeight="false" outlineLevel="0" collapsed="false">
      <c r="I27" s="2" t="s">
        <v>225</v>
      </c>
      <c r="J27" s="22" t="n">
        <v>356.915537646466</v>
      </c>
    </row>
    <row r="28" customFormat="false" ht="15" hidden="false" customHeight="false" outlineLevel="0" collapsed="false">
      <c r="I28" s="2" t="s">
        <v>226</v>
      </c>
      <c r="J28" s="22" t="n">
        <v>555.963417731912</v>
      </c>
    </row>
    <row r="29" customFormat="false" ht="15" hidden="false" customHeight="false" outlineLevel="0" collapsed="false">
      <c r="I29" s="2" t="s">
        <v>227</v>
      </c>
      <c r="J29" s="18" t="n">
        <f aca="false">J28-J27</f>
        <v>199.047880085447</v>
      </c>
    </row>
    <row r="31" customFormat="false" ht="15" hidden="false" customHeight="false" outlineLevel="0" collapsed="false">
      <c r="I31" s="10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1" t="s">
        <v>229</v>
      </c>
    </row>
    <row r="3" customFormat="false" ht="23.85" hidden="false" customHeight="false" outlineLevel="0" collapsed="false">
      <c r="A3" s="8" t="s">
        <v>174</v>
      </c>
      <c r="B3" s="8" t="s">
        <v>58</v>
      </c>
      <c r="C3" s="8" t="s">
        <v>62</v>
      </c>
      <c r="D3" s="8" t="s">
        <v>63</v>
      </c>
      <c r="E3" s="8" t="s">
        <v>230</v>
      </c>
      <c r="F3" s="8" t="s">
        <v>231</v>
      </c>
    </row>
    <row r="4" customFormat="false" ht="15" hidden="false" customHeight="false" outlineLevel="0" collapsed="false">
      <c r="A4" s="2" t="s">
        <v>21</v>
      </c>
      <c r="B4" s="25" t="n">
        <f aca="false">Paths!C5</f>
        <v>94.2956014682046</v>
      </c>
      <c r="C4" s="25" t="n">
        <f aca="false">Paths!D5</f>
        <v>121.107479359406</v>
      </c>
      <c r="D4" s="25" t="n">
        <f aca="false">Paths!E5</f>
        <v>105.367604652629</v>
      </c>
      <c r="E4" s="25" t="n">
        <f aca="false">W_L</f>
        <v>0.25</v>
      </c>
      <c r="F4" s="12" t="n">
        <f aca="false">SIGN(E4)*(B4-C4)</f>
        <v>-26.8118778912017</v>
      </c>
      <c r="G4" s="10" t="s">
        <v>232</v>
      </c>
    </row>
    <row r="5" customFormat="false" ht="15" hidden="false" customHeight="false" outlineLevel="0" collapsed="false">
      <c r="A5" s="2" t="s">
        <v>31</v>
      </c>
      <c r="B5" s="25" t="n">
        <f aca="false">Paths!C6</f>
        <v>75.6346691353518</v>
      </c>
      <c r="C5" s="25" t="n">
        <f aca="false">Paths!D6</f>
        <v>38.8595143905806</v>
      </c>
      <c r="D5" s="25" t="n">
        <f aca="false">Paths!E6</f>
        <v>35.9430355293715</v>
      </c>
      <c r="E5" s="25" t="n">
        <f aca="false">W_T</f>
        <v>0.25</v>
      </c>
      <c r="F5" s="12" t="n">
        <f aca="false">SIGN(E5)*(B5-C5)</f>
        <v>36.7751547447712</v>
      </c>
    </row>
    <row r="6" customFormat="false" ht="15" hidden="false" customHeight="false" outlineLevel="0" collapsed="false">
      <c r="A6" s="2" t="s">
        <v>33</v>
      </c>
      <c r="B6" s="25" t="n">
        <f aca="false">Paths!C7</f>
        <v>73.5983309723245</v>
      </c>
      <c r="C6" s="25" t="n">
        <f aca="false">Paths!D7</f>
        <v>73.6838023263144</v>
      </c>
      <c r="D6" s="25" t="n">
        <f aca="false">Paths!E7</f>
        <v>78.6017034530571</v>
      </c>
      <c r="E6" s="25" t="n">
        <f aca="false">W_E</f>
        <v>0.25</v>
      </c>
      <c r="F6" s="12" t="n">
        <f aca="false">SIGN(E6)*(B6-C6)</f>
        <v>-0.085471353989945</v>
      </c>
    </row>
    <row r="7" customFormat="false" ht="15" hidden="false" customHeight="false" outlineLevel="0" collapsed="false">
      <c r="A7" s="2" t="s">
        <v>61</v>
      </c>
      <c r="B7" s="25" t="n">
        <f aca="false">Paths!C8</f>
        <v>55.2177495534504</v>
      </c>
      <c r="C7" s="25" t="n">
        <f aca="false">Paths!D8</f>
        <v>49.3901915476036</v>
      </c>
      <c r="D7" s="25" t="n">
        <f aca="false">Paths!E8</f>
        <v>66.3306095195547</v>
      </c>
      <c r="E7" s="25" t="n">
        <f aca="false">W_R</f>
        <v>-0.25</v>
      </c>
      <c r="F7" s="12" t="n">
        <f aca="false">SIGN(E7)*(B7-C7)</f>
        <v>-5.82755800584685</v>
      </c>
    </row>
    <row r="8" customFormat="false" ht="15" hidden="false" customHeight="false" outlineLevel="0" collapsed="false">
      <c r="A8" s="4" t="s">
        <v>233</v>
      </c>
      <c r="B8" s="16" t="n">
        <f aca="false">SUMPRODUCT($E$4:$E$7,B4:B7)</f>
        <v>47.0777130056076</v>
      </c>
      <c r="C8" s="16" t="n">
        <f aca="false">SUMPRODUCT($E$4:$E$7,C4:C7)</f>
        <v>46.0651511321744</v>
      </c>
      <c r="D8" s="16" t="n">
        <f aca="false">SUMPRODUCT($E$4:$E$7,D4:D7)</f>
        <v>38.3954335288757</v>
      </c>
    </row>
    <row r="10" customFormat="false" ht="15" hidden="false" customHeight="false" outlineLevel="0" collapsed="false">
      <c r="A10" s="2" t="s">
        <v>234</v>
      </c>
      <c r="B10" s="16" t="n">
        <f aca="false">B8-C8</f>
        <v>1.01256187343319</v>
      </c>
      <c r="C10" s="10" t="s">
        <v>235</v>
      </c>
    </row>
    <row r="11" customFormat="false" ht="15" hidden="false" customHeight="false" outlineLevel="0" collapsed="false">
      <c r="A11" s="2" t="s">
        <v>236</v>
      </c>
      <c r="B11" s="16" t="n">
        <f aca="false">B10/E4</f>
        <v>4.05024749373274</v>
      </c>
      <c r="C11" s="10" t="s">
        <v>237</v>
      </c>
    </row>
    <row r="12" customFormat="false" ht="15" hidden="false" customHeight="false" outlineLevel="0" collapsed="false">
      <c r="A12" s="2" t="s">
        <v>238</v>
      </c>
      <c r="B12" s="18" t="n">
        <f aca="false">B11*USD_pt</f>
        <v>25.111534461143</v>
      </c>
      <c r="C12" s="10" t="s">
        <v>239</v>
      </c>
    </row>
    <row r="13" customFormat="false" ht="15" hidden="false" customHeight="false" outlineLevel="0" collapsed="false">
      <c r="A13" s="2" t="s">
        <v>240</v>
      </c>
      <c r="B13" s="12" t="n">
        <f aca="false">C4+B11</f>
        <v>125.157726853139</v>
      </c>
      <c r="C13" s="10" t="s">
        <v>241</v>
      </c>
    </row>
    <row r="14" customFormat="false" ht="15" hidden="false" customHeight="false" outlineLevel="0" collapsed="false">
      <c r="A14" s="2" t="s">
        <v>242</v>
      </c>
      <c r="B14" s="16" t="n">
        <f aca="false">E4*B13+E5*C5+E6*C6+E7*C7</f>
        <v>47.0777130056076</v>
      </c>
      <c r="C14" s="10" t="s">
        <v>243</v>
      </c>
    </row>
    <row r="15" customFormat="false" ht="15" hidden="false" customHeight="false" outlineLevel="0" collapsed="false">
      <c r="A15" s="2" t="s">
        <v>244</v>
      </c>
      <c r="B15" s="12" t="n">
        <f aca="false">B10/(0.01*(F5-F4))</f>
        <v>1.59240309141325</v>
      </c>
      <c r="C15" s="10" t="s">
        <v>245</v>
      </c>
    </row>
    <row r="16" customFormat="false" ht="15" hidden="false" customHeight="false" outlineLevel="0" collapsed="false">
      <c r="A16" s="2" t="s">
        <v>246</v>
      </c>
      <c r="B16" s="12" t="n">
        <f aca="false">B10/(0.01*(F5-F6))</f>
        <v>2.74700128728203</v>
      </c>
      <c r="C16" s="10"/>
    </row>
    <row r="17" customFormat="false" ht="15" hidden="false" customHeight="false" outlineLevel="0" collapsed="false">
      <c r="A17" s="2" t="s">
        <v>247</v>
      </c>
      <c r="B17" s="12" t="n">
        <f aca="false">B10/(0.01*(F5-F7))</f>
        <v>2.37675445542724</v>
      </c>
      <c r="C17" s="10"/>
    </row>
    <row r="19" customFormat="false" ht="23.85" hidden="false" customHeight="false" outlineLevel="0" collapsed="false">
      <c r="A19" s="8" t="s">
        <v>248</v>
      </c>
      <c r="B19" s="8" t="s">
        <v>249</v>
      </c>
      <c r="C19" s="8" t="s">
        <v>250</v>
      </c>
      <c r="D19" s="8" t="s">
        <v>251</v>
      </c>
      <c r="E19" s="8" t="s">
        <v>252</v>
      </c>
      <c r="F19" s="8" t="s">
        <v>58</v>
      </c>
      <c r="G19" s="8" t="s">
        <v>62</v>
      </c>
      <c r="H19" s="8" t="s">
        <v>63</v>
      </c>
      <c r="I19" s="8" t="s">
        <v>253</v>
      </c>
      <c r="J19" s="8" t="s">
        <v>254</v>
      </c>
      <c r="K19" s="8" t="s">
        <v>255</v>
      </c>
      <c r="L19" s="8" t="s">
        <v>256</v>
      </c>
      <c r="M19" s="8" t="s">
        <v>257</v>
      </c>
    </row>
    <row r="20" customFormat="false" ht="15" hidden="false" customHeight="false" outlineLevel="0" collapsed="false">
      <c r="A20" s="2" t="s">
        <v>258</v>
      </c>
      <c r="B20" s="25" t="n">
        <f aca="false">W_L</f>
        <v>0.25</v>
      </c>
      <c r="C20" s="25" t="n">
        <f aca="false">W_T</f>
        <v>0.25</v>
      </c>
      <c r="D20" s="25" t="n">
        <f aca="false">W_E</f>
        <v>0.25</v>
      </c>
      <c r="E20" s="25" t="n">
        <f aca="false">W_R</f>
        <v>-0.25</v>
      </c>
      <c r="F20" s="12" t="n">
        <f aca="false">$B20*B$4+$C20*B$5+$D20*B$6+$E20*B$7</f>
        <v>47.0777130056076</v>
      </c>
      <c r="G20" s="12" t="n">
        <f aca="false">$B20*C$4+$C20*C$5+$D20*C$6+$E20*C$7</f>
        <v>46.0651511321744</v>
      </c>
      <c r="H20" s="12" t="n">
        <f aca="false">$B20*D$4+$C20*D$5+$D20*D$6+$E20*D$7</f>
        <v>38.3954335288757</v>
      </c>
      <c r="I20" s="2" t="str">
        <f aca="false">INDEX($F$19:$H$19,MATCH(MAX(F20:H20),F20:H20,0))</f>
        <v>Digital</v>
      </c>
      <c r="J20" s="2" t="str">
        <f aca="false">INDEX($F$19:$H$19,MATCH(LARGE(F20:H20,2),F20:H20,0))</f>
        <v>Restructuring</v>
      </c>
      <c r="K20" s="12" t="n">
        <f aca="false">(MAX(F20:H20)-LARGE(F20:H20,2))/B20</f>
        <v>4.05024749373274</v>
      </c>
      <c r="L20" s="12" t="n">
        <f aca="false">MAX(F20:H20)</f>
        <v>47.0777130056076</v>
      </c>
      <c r="M20" s="12" t="n">
        <f aca="false">B20*(INDEX($B$4:$D$4,MATCH(J20,$B$3:$D$3,0))+K20)+C20*INDEX($B$5:$D$5,MATCH(J20,$B$3:$D$3,0))+D20*INDEX($B$6:$D$6,MATCH(J20,$B$3:$D$3,0))+E20*INDEX($B$7:$D$7,MATCH(J20,$B$3:$D$3,0))</f>
        <v>47.0777130056076</v>
      </c>
    </row>
    <row r="21" customFormat="false" ht="15" hidden="false" customHeight="false" outlineLevel="0" collapsed="false">
      <c r="A21" s="2" t="s">
        <v>259</v>
      </c>
      <c r="B21" s="13" t="n">
        <v>0.4</v>
      </c>
      <c r="C21" s="13" t="n">
        <v>0.2</v>
      </c>
      <c r="D21" s="13" t="n">
        <v>0.2</v>
      </c>
      <c r="E21" s="13" t="n">
        <v>-0.2</v>
      </c>
      <c r="F21" s="12" t="n">
        <f aca="false">$B21*B$4+$C21*B$5+$D21*B$6+$E21*B$7</f>
        <v>56.521290698127</v>
      </c>
      <c r="G21" s="12" t="n">
        <f aca="false">$B21*C$4+$C21*C$5+$D21*C$6+$E21*C$7</f>
        <v>61.0736167776208</v>
      </c>
      <c r="H21" s="12" t="n">
        <f aca="false">$B21*D$4+$C21*D$5+$D21*D$6+$E21*D$7</f>
        <v>51.7898677536263</v>
      </c>
      <c r="I21" s="2" t="str">
        <f aca="false">INDEX($F$19:$H$19,MATCH(MAX(F21:H21),F21:H21,0))</f>
        <v>Restructuring</v>
      </c>
      <c r="J21" s="2" t="str">
        <f aca="false">INDEX($F$19:$H$19,MATCH(LARGE(F21:H21,2),F21:H21,0))</f>
        <v>Digital</v>
      </c>
      <c r="K21" s="12" t="n">
        <f aca="false">(MAX(F21:H21)-LARGE(F21:H21,2))/B21</f>
        <v>11.3808151987345</v>
      </c>
      <c r="L21" s="12" t="n">
        <f aca="false">MAX(F21:H21)</f>
        <v>61.0736167776208</v>
      </c>
      <c r="M21" s="12" t="n">
        <f aca="false">B21*(INDEX($B$4:$D$4,MATCH(J21,$B$3:$D$3,0))+K21)+C21*INDEX($B$5:$D$5,MATCH(J21,$B$3:$D$3,0))+D21*INDEX($B$6:$D$6,MATCH(J21,$B$3:$D$3,0))+E21*INDEX($B$7:$D$7,MATCH(J21,$B$3:$D$3,0))</f>
        <v>61.0736167776208</v>
      </c>
    </row>
    <row r="22" customFormat="false" ht="15" hidden="false" customHeight="false" outlineLevel="0" collapsed="false">
      <c r="A22" s="2" t="s">
        <v>260</v>
      </c>
      <c r="B22" s="13" t="n">
        <v>0.2</v>
      </c>
      <c r="C22" s="13" t="n">
        <v>0.4</v>
      </c>
      <c r="D22" s="13" t="n">
        <v>0.2</v>
      </c>
      <c r="E22" s="13" t="n">
        <v>-0.2</v>
      </c>
      <c r="F22" s="12" t="n">
        <f aca="false">$B22*B$4+$C22*B$5+$D22*B$6+$E22*B$7</f>
        <v>52.7891042315565</v>
      </c>
      <c r="G22" s="12" t="n">
        <f aca="false">$B22*C$4+$C22*C$5+$D22*C$6+$E22*C$7</f>
        <v>44.6240237838557</v>
      </c>
      <c r="H22" s="12" t="n">
        <f aca="false">$B22*D$4+$C22*D$5+$D22*D$6+$E22*D$7</f>
        <v>37.9049539289749</v>
      </c>
      <c r="I22" s="2" t="str">
        <f aca="false">INDEX($F$19:$H$19,MATCH(MAX(F22:H22),F22:H22,0))</f>
        <v>Digital</v>
      </c>
      <c r="J22" s="2" t="str">
        <f aca="false">INDEX($F$19:$H$19,MATCH(LARGE(F22:H22,2),F22:H22,0))</f>
        <v>Restructuring</v>
      </c>
      <c r="K22" s="12" t="n">
        <f aca="false">(MAX(F22:H22)-LARGE(F22:H22,2))/B22</f>
        <v>40.8254022385039</v>
      </c>
      <c r="L22" s="12" t="n">
        <f aca="false">MAX(F22:H22)</f>
        <v>52.7891042315565</v>
      </c>
      <c r="M22" s="12" t="n">
        <f aca="false">B22*(INDEX($B$4:$D$4,MATCH(J22,$B$3:$D$3,0))+K22)+C22*INDEX($B$5:$D$5,MATCH(J22,$B$3:$D$3,0))+D22*INDEX($B$6:$D$6,MATCH(J22,$B$3:$D$3,0))+E22*INDEX($B$7:$D$7,MATCH(J22,$B$3:$D$3,0))</f>
        <v>52.7891042315565</v>
      </c>
    </row>
    <row r="23" customFormat="false" ht="15" hidden="false" customHeight="false" outlineLevel="0" collapsed="false">
      <c r="A23" s="2" t="s">
        <v>261</v>
      </c>
      <c r="B23" s="13" t="n">
        <v>0.2</v>
      </c>
      <c r="C23" s="13" t="n">
        <v>0.2</v>
      </c>
      <c r="D23" s="13" t="n">
        <v>0.2</v>
      </c>
      <c r="E23" s="13" t="n">
        <v>-0.4</v>
      </c>
      <c r="F23" s="12" t="n">
        <f aca="false">$B23*B$4+$C23*B$5+$D23*B$6+$E23*B$7</f>
        <v>26.618620493796</v>
      </c>
      <c r="G23" s="12" t="n">
        <f aca="false">$B23*C$4+$C23*C$5+$D23*C$6+$E23*C$7</f>
        <v>26.9740825962188</v>
      </c>
      <c r="H23" s="12" t="n">
        <f aca="false">$B23*D$4+$C23*D$5+$D23*D$6+$E23*D$7</f>
        <v>17.4502249191896</v>
      </c>
      <c r="I23" s="2" t="str">
        <f aca="false">INDEX($F$19:$H$19,MATCH(MAX(F23:H23),F23:H23,0))</f>
        <v>Restructuring</v>
      </c>
      <c r="J23" s="2" t="str">
        <f aca="false">INDEX($F$19:$H$19,MATCH(LARGE(F23:H23,2),F23:H23,0))</f>
        <v>Digital</v>
      </c>
      <c r="K23" s="12" t="n">
        <f aca="false">(MAX(F23:H23)-LARGE(F23:H23,2))/B23</f>
        <v>1.77731051211417</v>
      </c>
      <c r="L23" s="12" t="n">
        <f aca="false">MAX(F23:H23)</f>
        <v>26.9740825962188</v>
      </c>
      <c r="M23" s="12" t="n">
        <f aca="false">B23*(INDEX($B$4:$D$4,MATCH(J23,$B$3:$D$3,0))+K23)+C23*INDEX($B$5:$D$5,MATCH(J23,$B$3:$D$3,0))+D23*INDEX($B$6:$D$6,MATCH(J23,$B$3:$D$3,0))+E23*INDEX($B$7:$D$7,MATCH(J23,$B$3:$D$3,0))</f>
        <v>26.9740825962188</v>
      </c>
    </row>
    <row r="24" customFormat="false" ht="15" hidden="false" customHeight="false" outlineLevel="0" collapsed="false">
      <c r="A24" s="10" t="s">
        <v>262</v>
      </c>
    </row>
    <row r="26" customFormat="false" ht="35.05" hidden="false" customHeight="false" outlineLevel="0" collapsed="false">
      <c r="A26" s="8" t="s">
        <v>263</v>
      </c>
      <c r="B26" s="8" t="s">
        <v>264</v>
      </c>
      <c r="C26" s="8" t="s">
        <v>265</v>
      </c>
      <c r="D26" s="8" t="s">
        <v>266</v>
      </c>
      <c r="E26" s="8" t="s">
        <v>267</v>
      </c>
      <c r="F26" s="8" t="s">
        <v>268</v>
      </c>
      <c r="G26" s="8" t="s">
        <v>269</v>
      </c>
    </row>
    <row r="27" customFormat="false" ht="15" hidden="false" customHeight="false" outlineLevel="0" collapsed="false">
      <c r="A27" s="2" t="s">
        <v>270</v>
      </c>
      <c r="B27" s="14" t="n">
        <v>1</v>
      </c>
      <c r="C27" s="14" t="n">
        <v>-1</v>
      </c>
      <c r="D27" s="14" t="n">
        <v>0</v>
      </c>
      <c r="E27" s="14" t="n">
        <v>0</v>
      </c>
      <c r="F27" s="16" t="n">
        <f aca="false">$E$4*B27+$E$5*C27+$E$6*D27+$E$7*E27</f>
        <v>0</v>
      </c>
      <c r="G27" s="16" t="n">
        <f aca="false">$E$4*($B$4+10*B27)+$E$5*($B$5+10*C27)+$E$6*($B$6+10*D27)+$E$7*($B$7+10*E27)</f>
        <v>47.0777130056076</v>
      </c>
    </row>
    <row r="28" customFormat="false" ht="15" hidden="false" customHeight="false" outlineLevel="0" collapsed="false">
      <c r="A28" s="2" t="s">
        <v>271</v>
      </c>
      <c r="B28" s="14" t="n">
        <v>1</v>
      </c>
      <c r="C28" s="14" t="n">
        <v>0</v>
      </c>
      <c r="D28" s="14" t="n">
        <v>-1</v>
      </c>
      <c r="E28" s="14" t="n">
        <v>0</v>
      </c>
      <c r="F28" s="16" t="n">
        <f aca="false">$E$4*B28+$E$5*C28+$E$6*D28+$E$7*E28</f>
        <v>0</v>
      </c>
      <c r="G28" s="16" t="n">
        <f aca="false">$E$4*($B$4+10*B28)+$E$5*($B$5+10*C28)+$E$6*($B$6+10*D28)+$E$7*($B$7+10*E28)</f>
        <v>47.0777130056076</v>
      </c>
    </row>
    <row r="29" customFormat="false" ht="15" hidden="false" customHeight="false" outlineLevel="0" collapsed="false">
      <c r="A29" s="2" t="s">
        <v>272</v>
      </c>
      <c r="B29" s="14" t="n">
        <v>1</v>
      </c>
      <c r="C29" s="14" t="n">
        <v>0</v>
      </c>
      <c r="D29" s="14" t="n">
        <v>0</v>
      </c>
      <c r="E29" s="14" t="n">
        <v>1</v>
      </c>
      <c r="F29" s="16" t="n">
        <f aca="false">$E$4*B29+$E$5*C29+$E$6*D29+$E$7*E29</f>
        <v>0</v>
      </c>
      <c r="G29" s="16" t="n">
        <f aca="false">$E$4*($B$4+10*B29)+$E$5*($B$5+10*C29)+$E$6*($B$6+10*D29)+$E$7*($B$7+10*E29)</f>
        <v>47.0777130056076</v>
      </c>
    </row>
    <row r="30" customFormat="false" ht="15" hidden="false" customHeight="false" outlineLevel="0" collapsed="false">
      <c r="A30" s="10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274</v>
      </c>
      <c r="B1" s="8" t="s">
        <v>275</v>
      </c>
      <c r="C1" s="8" t="s">
        <v>276</v>
      </c>
    </row>
    <row r="2" customFormat="false" ht="15" hidden="false" customHeight="false" outlineLevel="0" collapsed="false">
      <c r="A2" s="2" t="s">
        <v>277</v>
      </c>
      <c r="B2" s="26" t="n">
        <v>37</v>
      </c>
      <c r="C2" s="2" t="s">
        <v>278</v>
      </c>
    </row>
    <row r="3" customFormat="false" ht="15" hidden="false" customHeight="false" outlineLevel="0" collapsed="false">
      <c r="A3" s="2" t="s">
        <v>279</v>
      </c>
      <c r="B3" s="26" t="n">
        <v>94.2956014682046</v>
      </c>
      <c r="C3" s="2" t="s">
        <v>280</v>
      </c>
    </row>
    <row r="4" customFormat="false" ht="15" hidden="false" customHeight="false" outlineLevel="0" collapsed="false">
      <c r="A4" s="2" t="s">
        <v>281</v>
      </c>
      <c r="B4" s="26" t="n">
        <v>75.6346691353518</v>
      </c>
      <c r="C4" s="2" t="s">
        <v>282</v>
      </c>
    </row>
    <row r="5" customFormat="false" ht="15" hidden="false" customHeight="false" outlineLevel="0" collapsed="false">
      <c r="A5" s="2" t="s">
        <v>283</v>
      </c>
      <c r="B5" s="26" t="n">
        <v>73.5983309723245</v>
      </c>
      <c r="C5" s="2" t="s">
        <v>284</v>
      </c>
    </row>
    <row r="6" customFormat="false" ht="15" hidden="false" customHeight="false" outlineLevel="0" collapsed="false">
      <c r="A6" s="2" t="s">
        <v>285</v>
      </c>
      <c r="B6" s="26" t="n">
        <v>55.2177495534504</v>
      </c>
      <c r="C6" s="2" t="s">
        <v>286</v>
      </c>
    </row>
    <row r="7" customFormat="false" ht="15" hidden="false" customHeight="false" outlineLevel="0" collapsed="false">
      <c r="A7" s="2" t="s">
        <v>287</v>
      </c>
      <c r="B7" s="26" t="n">
        <v>121.107479359406</v>
      </c>
      <c r="C7" s="2" t="s">
        <v>288</v>
      </c>
    </row>
    <row r="8" customFormat="false" ht="15" hidden="false" customHeight="false" outlineLevel="0" collapsed="false">
      <c r="A8" s="2" t="s">
        <v>289</v>
      </c>
      <c r="B8" s="26" t="n">
        <v>38.8595143905806</v>
      </c>
      <c r="C8" s="2" t="s">
        <v>290</v>
      </c>
    </row>
    <row r="9" customFormat="false" ht="15" hidden="false" customHeight="false" outlineLevel="0" collapsed="false">
      <c r="A9" s="2" t="s">
        <v>291</v>
      </c>
      <c r="B9" s="26" t="n">
        <v>73.6838023263144</v>
      </c>
      <c r="C9" s="2" t="s">
        <v>292</v>
      </c>
    </row>
    <row r="10" customFormat="false" ht="15" hidden="false" customHeight="false" outlineLevel="0" collapsed="false">
      <c r="A10" s="2" t="s">
        <v>293</v>
      </c>
      <c r="B10" s="26" t="n">
        <v>49.3901915476036</v>
      </c>
      <c r="C10" s="2" t="s">
        <v>294</v>
      </c>
    </row>
    <row r="11" customFormat="false" ht="15" hidden="false" customHeight="false" outlineLevel="0" collapsed="false">
      <c r="A11" s="2" t="s">
        <v>295</v>
      </c>
      <c r="B11" s="26" t="n">
        <v>105.367604652629</v>
      </c>
      <c r="C11" s="2" t="s">
        <v>296</v>
      </c>
    </row>
    <row r="12" customFormat="false" ht="15" hidden="false" customHeight="false" outlineLevel="0" collapsed="false">
      <c r="A12" s="2" t="s">
        <v>297</v>
      </c>
      <c r="B12" s="26" t="n">
        <v>35.9430355293715</v>
      </c>
      <c r="C12" s="2" t="s">
        <v>298</v>
      </c>
    </row>
    <row r="13" customFormat="false" ht="15" hidden="false" customHeight="false" outlineLevel="0" collapsed="false">
      <c r="A13" s="2" t="s">
        <v>299</v>
      </c>
      <c r="B13" s="26" t="n">
        <v>78.6017034530571</v>
      </c>
      <c r="C13" s="2" t="s">
        <v>300</v>
      </c>
    </row>
    <row r="14" customFormat="false" ht="15" hidden="false" customHeight="false" outlineLevel="0" collapsed="false">
      <c r="A14" s="2" t="s">
        <v>301</v>
      </c>
      <c r="B14" s="26" t="n">
        <v>66.3306095195547</v>
      </c>
      <c r="C14" s="2" t="s">
        <v>302</v>
      </c>
    </row>
    <row r="15" customFormat="false" ht="15" hidden="false" customHeight="false" outlineLevel="0" collapsed="false">
      <c r="A15" s="2" t="s">
        <v>303</v>
      </c>
      <c r="B15" s="26" t="n">
        <v>47.0777130056076</v>
      </c>
      <c r="C15" s="2" t="s">
        <v>304</v>
      </c>
    </row>
    <row r="16" customFormat="false" ht="15" hidden="false" customHeight="false" outlineLevel="0" collapsed="false">
      <c r="A16" s="2" t="s">
        <v>305</v>
      </c>
      <c r="B16" s="26" t="n">
        <v>46.0651511321744</v>
      </c>
      <c r="C16" s="2" t="s">
        <v>306</v>
      </c>
    </row>
    <row r="17" customFormat="false" ht="15" hidden="false" customHeight="false" outlineLevel="0" collapsed="false">
      <c r="A17" s="2" t="s">
        <v>307</v>
      </c>
      <c r="B17" s="26" t="n">
        <v>38.3954335288757</v>
      </c>
      <c r="C17" s="2" t="s">
        <v>308</v>
      </c>
    </row>
    <row r="18" customFormat="false" ht="15" hidden="false" customHeight="false" outlineLevel="0" collapsed="false">
      <c r="A18" s="2" t="s">
        <v>309</v>
      </c>
      <c r="B18" s="26" t="n">
        <v>77.7339326383525</v>
      </c>
      <c r="C18" s="2" t="s">
        <v>310</v>
      </c>
    </row>
    <row r="19" customFormat="false" ht="15" hidden="false" customHeight="false" outlineLevel="0" collapsed="false">
      <c r="A19" s="2" t="s">
        <v>311</v>
      </c>
      <c r="B19" s="26" t="n">
        <v>21</v>
      </c>
      <c r="C19" s="2" t="s">
        <v>140</v>
      </c>
    </row>
    <row r="20" customFormat="false" ht="15" hidden="false" customHeight="false" outlineLevel="0" collapsed="false">
      <c r="A20" s="2" t="s">
        <v>312</v>
      </c>
      <c r="B20" s="26" t="n">
        <v>77.7287870325426</v>
      </c>
      <c r="C20" s="2" t="s">
        <v>142</v>
      </c>
    </row>
    <row r="21" customFormat="false" ht="15" hidden="false" customHeight="false" outlineLevel="0" collapsed="false">
      <c r="A21" s="2" t="s">
        <v>313</v>
      </c>
      <c r="B21" s="26" t="n">
        <v>1.71</v>
      </c>
      <c r="C21" s="2" t="s">
        <v>314</v>
      </c>
    </row>
    <row r="22" customFormat="false" ht="15" hidden="false" customHeight="false" outlineLevel="0" collapsed="false">
      <c r="A22" s="2" t="s">
        <v>315</v>
      </c>
      <c r="B22" s="26" t="n">
        <v>138.082058622032</v>
      </c>
      <c r="C22" s="2" t="s">
        <v>316</v>
      </c>
    </row>
    <row r="23" customFormat="false" ht="15" hidden="false" customHeight="false" outlineLevel="0" collapsed="false">
      <c r="A23" s="2" t="s">
        <v>317</v>
      </c>
      <c r="B23" s="26" t="n">
        <v>111.6</v>
      </c>
      <c r="C23" s="2" t="s">
        <v>318</v>
      </c>
    </row>
    <row r="24" customFormat="false" ht="15" hidden="false" customHeight="false" outlineLevel="0" collapsed="false">
      <c r="A24" s="2" t="s">
        <v>319</v>
      </c>
      <c r="B24" s="26" t="n">
        <v>1.44793647924442</v>
      </c>
      <c r="C24" s="2" t="s">
        <v>320</v>
      </c>
    </row>
    <row r="25" customFormat="false" ht="15" hidden="false" customHeight="false" outlineLevel="0" collapsed="false">
      <c r="A25" s="2" t="s">
        <v>165</v>
      </c>
      <c r="B25" s="26" t="n">
        <v>29</v>
      </c>
      <c r="C25" s="2" t="s">
        <v>166</v>
      </c>
    </row>
    <row r="26" customFormat="false" ht="15" hidden="false" customHeight="false" outlineLevel="0" collapsed="false">
      <c r="A26" s="2" t="s">
        <v>321</v>
      </c>
      <c r="B26" s="26" t="n">
        <v>2</v>
      </c>
      <c r="C26" s="2" t="s">
        <v>322</v>
      </c>
    </row>
    <row r="27" customFormat="false" ht="15" hidden="false" customHeight="false" outlineLevel="0" collapsed="false">
      <c r="A27" s="2" t="s">
        <v>186</v>
      </c>
      <c r="B27" s="26" t="n">
        <v>481.950382357786</v>
      </c>
      <c r="C27" s="2" t="s">
        <v>187</v>
      </c>
    </row>
    <row r="28" customFormat="false" ht="15" hidden="false" customHeight="false" outlineLevel="0" collapsed="false">
      <c r="A28" s="2" t="s">
        <v>323</v>
      </c>
      <c r="B28" s="26" t="n">
        <v>131.950382357786</v>
      </c>
      <c r="C28" s="2" t="s">
        <v>191</v>
      </c>
    </row>
    <row r="29" customFormat="false" ht="15" hidden="false" customHeight="false" outlineLevel="0" collapsed="false">
      <c r="A29" s="2" t="s">
        <v>192</v>
      </c>
      <c r="B29" s="26" t="n">
        <v>138.049617642214</v>
      </c>
      <c r="C29" s="2" t="s">
        <v>193</v>
      </c>
    </row>
    <row r="30" customFormat="false" ht="15" hidden="false" customHeight="false" outlineLevel="0" collapsed="false">
      <c r="A30" s="2" t="s">
        <v>194</v>
      </c>
      <c r="B30" s="26" t="n">
        <v>530.973917139149</v>
      </c>
      <c r="C30" s="2" t="s">
        <v>324</v>
      </c>
    </row>
    <row r="31" customFormat="false" ht="15" hidden="false" customHeight="false" outlineLevel="0" collapsed="false">
      <c r="A31" s="2" t="s">
        <v>196</v>
      </c>
      <c r="B31" s="26" t="n">
        <v>62.5</v>
      </c>
      <c r="C31" s="2" t="s">
        <v>325</v>
      </c>
    </row>
    <row r="32" customFormat="false" ht="15" hidden="false" customHeight="false" outlineLevel="0" collapsed="false">
      <c r="A32" s="2" t="s">
        <v>326</v>
      </c>
      <c r="B32" s="26" t="n">
        <v>0.259181779318282</v>
      </c>
      <c r="C32" s="2" t="s">
        <v>327</v>
      </c>
    </row>
    <row r="33" customFormat="false" ht="15" hidden="false" customHeight="false" outlineLevel="0" collapsed="false">
      <c r="A33" s="2" t="s">
        <v>203</v>
      </c>
      <c r="B33" s="26" t="n">
        <v>186.866976370664</v>
      </c>
      <c r="C33" s="2" t="s">
        <v>204</v>
      </c>
    </row>
    <row r="34" customFormat="false" ht="15" hidden="false" customHeight="false" outlineLevel="0" collapsed="false">
      <c r="A34" s="2" t="s">
        <v>328</v>
      </c>
      <c r="B34" s="26" t="n">
        <v>324.916594012879</v>
      </c>
      <c r="C34" s="2" t="s">
        <v>208</v>
      </c>
    </row>
    <row r="35" customFormat="false" ht="15" hidden="false" customHeight="false" outlineLevel="0" collapsed="false">
      <c r="A35" s="2" t="s">
        <v>329</v>
      </c>
      <c r="B35" s="26" t="n">
        <v>17.5321461020821</v>
      </c>
      <c r="C35" s="2" t="s">
        <v>330</v>
      </c>
    </row>
    <row r="36" customFormat="false" ht="15" hidden="false" customHeight="false" outlineLevel="0" collapsed="false">
      <c r="A36" s="2" t="s">
        <v>234</v>
      </c>
      <c r="B36" s="26" t="n">
        <v>1.01256187343319</v>
      </c>
      <c r="C36" s="2" t="s">
        <v>235</v>
      </c>
    </row>
    <row r="37" customFormat="false" ht="15" hidden="false" customHeight="false" outlineLevel="0" collapsed="false">
      <c r="A37" s="2" t="s">
        <v>331</v>
      </c>
      <c r="B37" s="26" t="n">
        <v>4.05024749373274</v>
      </c>
      <c r="C37" s="2" t="s">
        <v>237</v>
      </c>
    </row>
    <row r="38" customFormat="false" ht="15" hidden="false" customHeight="false" outlineLevel="0" collapsed="false">
      <c r="A38" s="2" t="s">
        <v>238</v>
      </c>
      <c r="B38" s="26" t="n">
        <v>25.111534461143</v>
      </c>
      <c r="C38" s="2" t="s">
        <v>332</v>
      </c>
    </row>
    <row r="39" customFormat="false" ht="15" hidden="false" customHeight="false" outlineLevel="0" collapsed="false">
      <c r="A39" s="2" t="s">
        <v>240</v>
      </c>
      <c r="B39" s="26" t="n">
        <v>125.157726853139</v>
      </c>
      <c r="C39" s="2" t="s">
        <v>333</v>
      </c>
    </row>
    <row r="40" customFormat="false" ht="15" hidden="false" customHeight="false" outlineLevel="0" collapsed="false">
      <c r="A40" s="2" t="s">
        <v>242</v>
      </c>
      <c r="B40" s="26" t="n">
        <v>47.0777130056076</v>
      </c>
      <c r="C40" s="2" t="s">
        <v>334</v>
      </c>
    </row>
    <row r="41" customFormat="false" ht="15" hidden="false" customHeight="false" outlineLevel="0" collapsed="false">
      <c r="A41" s="2" t="s">
        <v>335</v>
      </c>
      <c r="B41" s="26" t="n">
        <v>1.59240309141325</v>
      </c>
      <c r="C41" s="2" t="s">
        <v>336</v>
      </c>
    </row>
    <row r="42" customFormat="false" ht="15" hidden="false" customHeight="false" outlineLevel="0" collapsed="false">
      <c r="A42" s="2" t="s">
        <v>337</v>
      </c>
      <c r="B42" s="26" t="n">
        <v>2.74700128728203</v>
      </c>
      <c r="C42" s="2" t="s">
        <v>338</v>
      </c>
    </row>
    <row r="43" customFormat="false" ht="15" hidden="false" customHeight="false" outlineLevel="0" collapsed="false">
      <c r="A43" s="2" t="s">
        <v>339</v>
      </c>
      <c r="B43" s="26" t="n">
        <v>2.37675445542724</v>
      </c>
      <c r="C43" s="2" t="s">
        <v>338</v>
      </c>
    </row>
    <row r="44" customFormat="false" ht="15" hidden="false" customHeight="false" outlineLevel="0" collapsed="false">
      <c r="A44" s="2" t="s">
        <v>340</v>
      </c>
      <c r="B44" s="26" t="n">
        <v>11.3808151987345</v>
      </c>
      <c r="C44" s="2" t="s">
        <v>341</v>
      </c>
    </row>
    <row r="45" customFormat="false" ht="15" hidden="false" customHeight="false" outlineLevel="0" collapsed="false">
      <c r="A45" s="2" t="s">
        <v>342</v>
      </c>
      <c r="B45" s="26" t="n">
        <v>61.0736167776208</v>
      </c>
      <c r="C45" s="2" t="s">
        <v>343</v>
      </c>
    </row>
    <row r="46" customFormat="false" ht="15" hidden="false" customHeight="false" outlineLevel="0" collapsed="false">
      <c r="A46" s="2" t="s">
        <v>344</v>
      </c>
      <c r="B46" s="26" t="n">
        <v>40.8254022385039</v>
      </c>
      <c r="C46" s="2" t="s">
        <v>345</v>
      </c>
    </row>
    <row r="47" customFormat="false" ht="15" hidden="false" customHeight="false" outlineLevel="0" collapsed="false">
      <c r="A47" s="2" t="s">
        <v>346</v>
      </c>
      <c r="B47" s="26" t="n">
        <v>52.7891042315565</v>
      </c>
      <c r="C47" s="2" t="s">
        <v>343</v>
      </c>
    </row>
    <row r="48" customFormat="false" ht="15" hidden="false" customHeight="false" outlineLevel="0" collapsed="false">
      <c r="A48" s="2" t="s">
        <v>347</v>
      </c>
      <c r="B48" s="26" t="n">
        <v>1.77731051211413</v>
      </c>
      <c r="C48" s="2" t="s">
        <v>341</v>
      </c>
    </row>
    <row r="49" customFormat="false" ht="15" hidden="false" customHeight="false" outlineLevel="0" collapsed="false">
      <c r="A49" s="2" t="s">
        <v>348</v>
      </c>
      <c r="B49" s="26" t="n">
        <v>26.9740825962188</v>
      </c>
      <c r="C49" s="2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274</v>
      </c>
      <c r="B1" s="8" t="s">
        <v>349</v>
      </c>
      <c r="C1" s="8" t="s">
        <v>275</v>
      </c>
      <c r="D1" s="8" t="s">
        <v>350</v>
      </c>
      <c r="E1" s="8" t="s">
        <v>351</v>
      </c>
      <c r="F1" s="8" t="s">
        <v>352</v>
      </c>
    </row>
    <row r="2" customFormat="false" ht="15" hidden="false" customHeight="false" outlineLevel="0" collapsed="false">
      <c r="A2" s="2" t="s">
        <v>277</v>
      </c>
      <c r="B2" s="27" t="n">
        <f aca="false">Dashboard!E17</f>
        <v>37</v>
      </c>
      <c r="C2" s="28" t="n">
        <f aca="false">Reference_Values!B2</f>
        <v>37</v>
      </c>
      <c r="D2" s="29" t="n">
        <f aca="false">ABS(B2-C2)</f>
        <v>0</v>
      </c>
      <c r="E2" s="30" t="n">
        <v>1E-009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279</v>
      </c>
      <c r="B3" s="27" t="n">
        <f aca="false">Paths!C5</f>
        <v>94.2956014682046</v>
      </c>
      <c r="C3" s="28" t="n">
        <f aca="false">Reference_Values!B3</f>
        <v>94.2956014682046</v>
      </c>
      <c r="D3" s="29" t="n">
        <f aca="false">ABS(B3-C3)</f>
        <v>0</v>
      </c>
      <c r="E3" s="30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281</v>
      </c>
      <c r="B4" s="27" t="n">
        <f aca="false">Paths!C6</f>
        <v>75.6346691353518</v>
      </c>
      <c r="C4" s="28" t="n">
        <f aca="false">Reference_Values!B4</f>
        <v>75.6346691353518</v>
      </c>
      <c r="D4" s="29" t="n">
        <f aca="false">ABS(B4-C4)</f>
        <v>0</v>
      </c>
      <c r="E4" s="30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283</v>
      </c>
      <c r="B5" s="27" t="n">
        <f aca="false">Paths!C7</f>
        <v>73.5983309723245</v>
      </c>
      <c r="C5" s="28" t="n">
        <f aca="false">Reference_Values!B5</f>
        <v>73.5983309723245</v>
      </c>
      <c r="D5" s="29" t="n">
        <f aca="false">ABS(B5-C5)</f>
        <v>0</v>
      </c>
      <c r="E5" s="30" t="n">
        <v>1E-009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285</v>
      </c>
      <c r="B6" s="27" t="n">
        <f aca="false">Paths!C8</f>
        <v>55.2177495534504</v>
      </c>
      <c r="C6" s="28" t="n">
        <f aca="false">Reference_Values!B6</f>
        <v>55.2177495534504</v>
      </c>
      <c r="D6" s="29" t="n">
        <f aca="false">ABS(B6-C6)</f>
        <v>0</v>
      </c>
      <c r="E6" s="30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287</v>
      </c>
      <c r="B7" s="27" t="n">
        <f aca="false">Paths!D5</f>
        <v>121.107479359406</v>
      </c>
      <c r="C7" s="28" t="n">
        <f aca="false">Reference_Values!B7</f>
        <v>121.107479359406</v>
      </c>
      <c r="D7" s="29" t="n">
        <f aca="false">ABS(B7-C7)</f>
        <v>0</v>
      </c>
      <c r="E7" s="30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289</v>
      </c>
      <c r="B8" s="27" t="n">
        <f aca="false">Paths!D6</f>
        <v>38.8595143905806</v>
      </c>
      <c r="C8" s="28" t="n">
        <f aca="false">Reference_Values!B8</f>
        <v>38.8595143905806</v>
      </c>
      <c r="D8" s="29" t="n">
        <f aca="false">ABS(B8-C8)</f>
        <v>0</v>
      </c>
      <c r="E8" s="30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291</v>
      </c>
      <c r="B9" s="27" t="n">
        <f aca="false">Paths!D7</f>
        <v>73.6838023263144</v>
      </c>
      <c r="C9" s="28" t="n">
        <f aca="false">Reference_Values!B9</f>
        <v>73.6838023263144</v>
      </c>
      <c r="D9" s="29" t="n">
        <f aca="false">ABS(B9-C9)</f>
        <v>0</v>
      </c>
      <c r="E9" s="30" t="n">
        <v>1E-009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293</v>
      </c>
      <c r="B10" s="27" t="n">
        <f aca="false">Paths!D8</f>
        <v>49.3901915476036</v>
      </c>
      <c r="C10" s="28" t="n">
        <f aca="false">Reference_Values!B10</f>
        <v>49.3901915476036</v>
      </c>
      <c r="D10" s="29" t="n">
        <f aca="false">ABS(B10-C10)</f>
        <v>0</v>
      </c>
      <c r="E10" s="30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295</v>
      </c>
      <c r="B11" s="27" t="n">
        <f aca="false">Paths!E5</f>
        <v>105.367604652629</v>
      </c>
      <c r="C11" s="28" t="n">
        <f aca="false">Reference_Values!B11</f>
        <v>105.367604652629</v>
      </c>
      <c r="D11" s="29" t="n">
        <f aca="false">ABS(B11-C11)</f>
        <v>0</v>
      </c>
      <c r="E11" s="30" t="n">
        <v>1E-009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297</v>
      </c>
      <c r="B12" s="27" t="n">
        <f aca="false">Paths!E6</f>
        <v>35.9430355293715</v>
      </c>
      <c r="C12" s="28" t="n">
        <f aca="false">Reference_Values!B12</f>
        <v>35.9430355293715</v>
      </c>
      <c r="D12" s="29" t="n">
        <f aca="false">ABS(B12-C12)</f>
        <v>0</v>
      </c>
      <c r="E12" s="30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299</v>
      </c>
      <c r="B13" s="27" t="n">
        <f aca="false">Paths!E7</f>
        <v>78.6017034530571</v>
      </c>
      <c r="C13" s="28" t="n">
        <f aca="false">Reference_Values!B13</f>
        <v>78.6017034530571</v>
      </c>
      <c r="D13" s="29" t="n">
        <f aca="false">ABS(B13-C13)</f>
        <v>0</v>
      </c>
      <c r="E13" s="30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301</v>
      </c>
      <c r="B14" s="27" t="n">
        <f aca="false">Paths!E8</f>
        <v>66.3306095195547</v>
      </c>
      <c r="C14" s="28" t="n">
        <f aca="false">Reference_Values!B14</f>
        <v>66.3306095195547</v>
      </c>
      <c r="D14" s="29" t="n">
        <f aca="false">ABS(B14-C14)</f>
        <v>0</v>
      </c>
      <c r="E14" s="30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303</v>
      </c>
      <c r="B15" s="27" t="n">
        <f aca="false">Paths!C9</f>
        <v>47.0777130056076</v>
      </c>
      <c r="C15" s="28" t="n">
        <f aca="false">Reference_Values!B15</f>
        <v>47.0777130056076</v>
      </c>
      <c r="D15" s="29" t="n">
        <f aca="false">ABS(B15-C15)</f>
        <v>0</v>
      </c>
      <c r="E15" s="30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305</v>
      </c>
      <c r="B16" s="27" t="n">
        <f aca="false">Paths!D9</f>
        <v>46.0651511321744</v>
      </c>
      <c r="C16" s="28" t="n">
        <f aca="false">Reference_Values!B16</f>
        <v>46.0651511321744</v>
      </c>
      <c r="D16" s="29" t="n">
        <f aca="false">ABS(B16-C16)</f>
        <v>0</v>
      </c>
      <c r="E16" s="30" t="n">
        <v>1E-009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307</v>
      </c>
      <c r="B17" s="27" t="n">
        <f aca="false">Paths!E9</f>
        <v>38.3954335288757</v>
      </c>
      <c r="C17" s="28" t="n">
        <f aca="false">Reference_Values!B17</f>
        <v>38.3954335288757</v>
      </c>
      <c r="D17" s="29" t="n">
        <f aca="false">ABS(B17-C17)</f>
        <v>0</v>
      </c>
      <c r="E17" s="30" t="n">
        <v>1E-009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309</v>
      </c>
      <c r="B18" s="27" t="n">
        <f aca="false">Compare!B4</f>
        <v>77.7339326383525</v>
      </c>
      <c r="C18" s="28" t="n">
        <f aca="false">Reference_Values!B18</f>
        <v>77.7339326383525</v>
      </c>
      <c r="D18" s="29" t="n">
        <f aca="false">ABS(B18-C18)</f>
        <v>0</v>
      </c>
      <c r="E18" s="30" t="n">
        <v>1E-009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311</v>
      </c>
      <c r="B19" s="27" t="n">
        <f aca="false">Compare!B5</f>
        <v>21</v>
      </c>
      <c r="C19" s="28" t="n">
        <f aca="false">Reference_Values!B19</f>
        <v>21</v>
      </c>
      <c r="D19" s="29" t="n">
        <f aca="false">ABS(B19-C19)</f>
        <v>0</v>
      </c>
      <c r="E19" s="30" t="n">
        <v>0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312</v>
      </c>
      <c r="B20" s="27" t="n">
        <f aca="false">Compare!B6</f>
        <v>77.7287870325426</v>
      </c>
      <c r="C20" s="28" t="n">
        <f aca="false">Reference_Values!B20</f>
        <v>77.7287870325426</v>
      </c>
      <c r="D20" s="29" t="n">
        <f aca="false">ABS(B20-C20)</f>
        <v>0</v>
      </c>
      <c r="E20" s="30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313</v>
      </c>
      <c r="B21" s="27" t="n">
        <f aca="false">Compare!B7</f>
        <v>1.71</v>
      </c>
      <c r="C21" s="28" t="n">
        <f aca="false">Reference_Values!B21</f>
        <v>1.71</v>
      </c>
      <c r="D21" s="29" t="n">
        <f aca="false">ABS(B21-C21)</f>
        <v>0</v>
      </c>
      <c r="E21" s="30" t="n">
        <v>1E-009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315</v>
      </c>
      <c r="B22" s="27" t="n">
        <f aca="false">Compare!B10</f>
        <v>138.081520398236</v>
      </c>
      <c r="C22" s="28" t="n">
        <f aca="false">Reference_Values!B22</f>
        <v>138.082058622032</v>
      </c>
      <c r="D22" s="29" t="n">
        <f aca="false">ABS(B22-C22)</f>
        <v>0.000538223796212378</v>
      </c>
      <c r="E22" s="30" t="n">
        <v>0.001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317</v>
      </c>
      <c r="B23" s="27" t="n">
        <f aca="false">Compare!B12</f>
        <v>111.6</v>
      </c>
      <c r="C23" s="28" t="n">
        <f aca="false">Reference_Values!B23</f>
        <v>111.6</v>
      </c>
      <c r="D23" s="29" t="n">
        <f aca="false">ABS(B23-C23)</f>
        <v>0</v>
      </c>
      <c r="E23" s="30" t="n">
        <v>1E-009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319</v>
      </c>
      <c r="B24" s="27" t="n">
        <f aca="false">Compare!B17</f>
        <v>1.44793647924442</v>
      </c>
      <c r="C24" s="28" t="n">
        <f aca="false">Reference_Values!B24</f>
        <v>1.44793647924442</v>
      </c>
      <c r="D24" s="29" t="n">
        <f aca="false">ABS(B24-C24)</f>
        <v>0</v>
      </c>
      <c r="E24" s="30" t="n">
        <v>1E-009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165</v>
      </c>
      <c r="B25" s="27" t="n">
        <f aca="false">Compare!B21</f>
        <v>29</v>
      </c>
      <c r="C25" s="28" t="n">
        <f aca="false">Reference_Values!B25</f>
        <v>29</v>
      </c>
      <c r="D25" s="29" t="n">
        <f aca="false">ABS(B25-C25)</f>
        <v>0</v>
      </c>
      <c r="E25" s="30" t="n">
        <v>0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321</v>
      </c>
      <c r="B26" s="27" t="n">
        <f aca="false">Compare!G29</f>
        <v>2</v>
      </c>
      <c r="C26" s="28" t="n">
        <f aca="false">Reference_Values!B26</f>
        <v>2</v>
      </c>
      <c r="D26" s="29" t="n">
        <f aca="false">ABS(B26-C26)</f>
        <v>0</v>
      </c>
      <c r="E26" s="30" t="n">
        <v>0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186</v>
      </c>
      <c r="B27" s="27" t="n">
        <f aca="false">Uncertainty!J5</f>
        <v>481.950382357786</v>
      </c>
      <c r="C27" s="28" t="n">
        <f aca="false">Reference_Values!B27</f>
        <v>481.950382357786</v>
      </c>
      <c r="D27" s="29" t="n">
        <f aca="false">ABS(B27-C27)</f>
        <v>0</v>
      </c>
      <c r="E27" s="30" t="n">
        <v>1E-006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323</v>
      </c>
      <c r="B28" s="27" t="n">
        <f aca="false">Uncertainty!J7</f>
        <v>131.950382357786</v>
      </c>
      <c r="C28" s="28" t="n">
        <f aca="false">Reference_Values!B28</f>
        <v>131.950382357786</v>
      </c>
      <c r="D28" s="29" t="n">
        <f aca="false">ABS(B28-C28)</f>
        <v>0</v>
      </c>
      <c r="E28" s="30" t="n">
        <v>1E-006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192</v>
      </c>
      <c r="B29" s="27" t="n">
        <f aca="false">Uncertainty!J8</f>
        <v>138.049617642214</v>
      </c>
      <c r="C29" s="28" t="n">
        <f aca="false">Reference_Values!B29</f>
        <v>138.049617642214</v>
      </c>
      <c r="D29" s="29" t="n">
        <f aca="false">ABS(B29-C29)</f>
        <v>0</v>
      </c>
      <c r="E29" s="30" t="n">
        <v>1E-006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194</v>
      </c>
      <c r="B30" s="27" t="n">
        <f aca="false">Uncertainty!J9</f>
        <v>530.973917139149</v>
      </c>
      <c r="C30" s="28" t="n">
        <f aca="false">Reference_Values!B30</f>
        <v>530.973917139149</v>
      </c>
      <c r="D30" s="29" t="n">
        <f aca="false">ABS(B30-C30)</f>
        <v>0</v>
      </c>
      <c r="E30" s="30" t="n">
        <v>1E-006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196</v>
      </c>
      <c r="B31" s="27" t="n">
        <f aca="false">Uncertainty!J10</f>
        <v>62.5</v>
      </c>
      <c r="C31" s="28" t="n">
        <f aca="false">Reference_Values!B31</f>
        <v>62.5</v>
      </c>
      <c r="D31" s="29" t="n">
        <f aca="false">ABS(B31-C31)</f>
        <v>0</v>
      </c>
      <c r="E31" s="30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326</v>
      </c>
      <c r="B32" s="27" t="n">
        <f aca="false">Uncertainty!J13</f>
        <v>0.259181779318282</v>
      </c>
      <c r="C32" s="28" t="n">
        <f aca="false">Reference_Values!B32</f>
        <v>0.259181779318282</v>
      </c>
      <c r="D32" s="29" t="n">
        <f aca="false">ABS(B32-C32)</f>
        <v>0</v>
      </c>
      <c r="E32" s="30" t="n">
        <v>1E-009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203</v>
      </c>
      <c r="B33" s="27" t="n">
        <f aca="false">Uncertainty!J16</f>
        <v>186.866976370664</v>
      </c>
      <c r="C33" s="28" t="n">
        <f aca="false">Reference_Values!B33</f>
        <v>186.866976370664</v>
      </c>
      <c r="D33" s="29" t="n">
        <f aca="false">ABS(B33-C33)</f>
        <v>0</v>
      </c>
      <c r="E33" s="30" t="n">
        <v>0.0001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328</v>
      </c>
      <c r="B34" s="27" t="n">
        <f aca="false">Uncertainty!J18</f>
        <v>324.916594012879</v>
      </c>
      <c r="C34" s="28" t="n">
        <f aca="false">Reference_Values!B34</f>
        <v>324.916594012879</v>
      </c>
      <c r="D34" s="29" t="n">
        <f aca="false">ABS(B34-C34)</f>
        <v>0</v>
      </c>
      <c r="E34" s="30" t="n">
        <v>0.0001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329</v>
      </c>
      <c r="B35" s="27" t="n">
        <f aca="false">Uncertainty!N25</f>
        <v>17.5321461020821</v>
      </c>
      <c r="C35" s="28" t="n">
        <f aca="false">Reference_Values!B35</f>
        <v>17.5321461020821</v>
      </c>
      <c r="D35" s="29" t="n">
        <f aca="false">ABS(B35-C35)</f>
        <v>0</v>
      </c>
      <c r="E35" s="30" t="n">
        <v>1E-009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234</v>
      </c>
      <c r="B36" s="27" t="n">
        <f aca="false">Scorecard!B10</f>
        <v>1.01256187343319</v>
      </c>
      <c r="C36" s="28" t="n">
        <f aca="false">Reference_Values!B36</f>
        <v>1.01256187343319</v>
      </c>
      <c r="D36" s="29" t="n">
        <f aca="false">ABS(B36-C36)</f>
        <v>0</v>
      </c>
      <c r="E36" s="30" t="n">
        <v>1E-009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331</v>
      </c>
      <c r="B37" s="27" t="n">
        <f aca="false">Scorecard!B11</f>
        <v>4.05024749373274</v>
      </c>
      <c r="C37" s="28" t="n">
        <f aca="false">Reference_Values!B37</f>
        <v>4.05024749373274</v>
      </c>
      <c r="D37" s="29" t="n">
        <f aca="false">ABS(B37-C37)</f>
        <v>0</v>
      </c>
      <c r="E37" s="30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238</v>
      </c>
      <c r="B38" s="27" t="n">
        <f aca="false">Scorecard!B12</f>
        <v>25.111534461143</v>
      </c>
      <c r="C38" s="28" t="n">
        <f aca="false">Reference_Values!B38</f>
        <v>25.111534461143</v>
      </c>
      <c r="D38" s="29" t="n">
        <f aca="false">ABS(B38-C38)</f>
        <v>0</v>
      </c>
      <c r="E38" s="30" t="n">
        <v>1E-009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240</v>
      </c>
      <c r="B39" s="27" t="n">
        <f aca="false">Scorecard!B13</f>
        <v>125.157726853139</v>
      </c>
      <c r="C39" s="28" t="n">
        <f aca="false">Reference_Values!B39</f>
        <v>125.157726853139</v>
      </c>
      <c r="D39" s="29" t="n">
        <f aca="false">ABS(B39-C39)</f>
        <v>0</v>
      </c>
      <c r="E39" s="30" t="n">
        <v>1E-009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242</v>
      </c>
      <c r="B40" s="27" t="n">
        <f aca="false">Scorecard!B14</f>
        <v>47.0777130056076</v>
      </c>
      <c r="C40" s="28" t="n">
        <f aca="false">Reference_Values!B40</f>
        <v>47.0777130056076</v>
      </c>
      <c r="D40" s="29" t="n">
        <f aca="false">ABS(B40-C40)</f>
        <v>0</v>
      </c>
      <c r="E40" s="30" t="n">
        <v>1E-009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335</v>
      </c>
      <c r="B41" s="27" t="n">
        <f aca="false">Scorecard!B15</f>
        <v>1.59240309141325</v>
      </c>
      <c r="C41" s="28" t="n">
        <f aca="false">Reference_Values!B41</f>
        <v>1.59240309141325</v>
      </c>
      <c r="D41" s="29" t="n">
        <f aca="false">ABS(B41-C41)</f>
        <v>0</v>
      </c>
      <c r="E41" s="30" t="n">
        <v>1E-009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337</v>
      </c>
      <c r="B42" s="27" t="n">
        <f aca="false">Scorecard!B16</f>
        <v>2.74700128728203</v>
      </c>
      <c r="C42" s="28" t="n">
        <f aca="false">Reference_Values!B42</f>
        <v>2.74700128728203</v>
      </c>
      <c r="D42" s="29" t="n">
        <f aca="false">ABS(B42-C42)</f>
        <v>0</v>
      </c>
      <c r="E42" s="30" t="n">
        <v>1E-009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339</v>
      </c>
      <c r="B43" s="27" t="n">
        <f aca="false">Scorecard!B17</f>
        <v>2.37675445542724</v>
      </c>
      <c r="C43" s="28" t="n">
        <f aca="false">Reference_Values!B43</f>
        <v>2.37675445542724</v>
      </c>
      <c r="D43" s="29" t="n">
        <f aca="false">ABS(B43-C43)</f>
        <v>0</v>
      </c>
      <c r="E43" s="30" t="n">
        <v>1E-009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340</v>
      </c>
      <c r="B44" s="27" t="n">
        <f aca="false">Scorecard!K21</f>
        <v>11.3808151987345</v>
      </c>
      <c r="C44" s="28" t="n">
        <f aca="false">Reference_Values!B44</f>
        <v>11.3808151987345</v>
      </c>
      <c r="D44" s="29" t="n">
        <f aca="false">ABS(B44-C44)</f>
        <v>0</v>
      </c>
      <c r="E44" s="30" t="n">
        <v>1E-009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342</v>
      </c>
      <c r="B45" s="27" t="n">
        <f aca="false">Scorecard!M21</f>
        <v>61.0736167776208</v>
      </c>
      <c r="C45" s="28" t="n">
        <f aca="false">Reference_Values!B45</f>
        <v>61.0736167776208</v>
      </c>
      <c r="D45" s="29" t="n">
        <f aca="false">ABS(B45-C45)</f>
        <v>0</v>
      </c>
      <c r="E45" s="30" t="n">
        <v>1E-009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344</v>
      </c>
      <c r="B46" s="27" t="n">
        <f aca="false">Scorecard!K22</f>
        <v>40.8254022385039</v>
      </c>
      <c r="C46" s="28" t="n">
        <f aca="false">Reference_Values!B46</f>
        <v>40.8254022385039</v>
      </c>
      <c r="D46" s="29" t="n">
        <f aca="false">ABS(B46-C46)</f>
        <v>0</v>
      </c>
      <c r="E46" s="30" t="n">
        <v>1E-009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346</v>
      </c>
      <c r="B47" s="27" t="n">
        <f aca="false">Scorecard!M22</f>
        <v>52.7891042315565</v>
      </c>
      <c r="C47" s="28" t="n">
        <f aca="false">Reference_Values!B47</f>
        <v>52.7891042315565</v>
      </c>
      <c r="D47" s="29" t="n">
        <f aca="false">ABS(B47-C47)</f>
        <v>0</v>
      </c>
      <c r="E47" s="30" t="n">
        <v>1E-009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347</v>
      </c>
      <c r="B48" s="27" t="n">
        <f aca="false">Scorecard!K23</f>
        <v>1.77731051211417</v>
      </c>
      <c r="C48" s="28" t="n">
        <f aca="false">Reference_Values!B48</f>
        <v>1.77731051211413</v>
      </c>
      <c r="D48" s="29" t="n">
        <f aca="false">ABS(B48-C48)</f>
        <v>3.574918139293E-014</v>
      </c>
      <c r="E48" s="30" t="n">
        <v>1E-009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348</v>
      </c>
      <c r="B49" s="27" t="n">
        <f aca="false">Scorecard!M23</f>
        <v>26.9740825962188</v>
      </c>
      <c r="C49" s="28" t="n">
        <f aca="false">Reference_Values!B49</f>
        <v>26.9740825962188</v>
      </c>
      <c r="D49" s="29" t="n">
        <f aca="false">ABS(B49-C49)</f>
        <v>0</v>
      </c>
      <c r="E49" s="30" t="n">
        <v>1E-009</v>
      </c>
      <c r="F49" s="4" t="str">
        <f aca="false">IF(D49&lt;=E49,"PASS","FAIL")</f>
        <v>PASS</v>
      </c>
    </row>
    <row r="51" customFormat="false" ht="15" hidden="false" customHeight="false" outlineLevel="0" collapsed="false">
      <c r="A51" s="4" t="s">
        <v>353</v>
      </c>
      <c r="F51" s="4" t="str">
        <f aca="false">IF(COUNTIF(F2:F49,"PASS")=48,"ALL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2026-10-05T08:37:07Z</dcterms:created>
  <dc:creator>openpyxl</dc:creator>
  <dc:description/>
  <dc:language>en-US</dc:language>
  <cp:lastModifiedBy/>
  <dcterms:modified xsi:type="dcterms:W3CDTF">2026-10-05T08:37:07Z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