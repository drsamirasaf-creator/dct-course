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Boundaries" sheetId="3" state="visible" r:id="rId5"/>
    <sheet name="AllBoundaries" sheetId="4" state="visible" r:id="rId6"/>
    <sheet name="Levels" sheetId="5" state="visible" r:id="rId7"/>
    <sheet name="Feedback" sheetId="6" state="visible" r:id="rId8"/>
    <sheet name="Adaptation" sheetId="7" state="visible" r:id="rId9"/>
    <sheet name="OutputFeedback" sheetId="8" state="visible" r:id="rId10"/>
    <sheet name="Loops" sheetId="9" state="visible" r:id="rId11"/>
    <sheet name="Reference_Values" sheetId="10" state="visible" r:id="rId12"/>
    <sheet name="Checks" sheetId="11" state="visible" r:id="rId13"/>
  </sheets>
  <definedNames>
    <definedName function="false" hidden="false" name="Eff_speed" vbProcedure="false">Declarations!$B$15</definedName>
    <definedName function="false" hidden="false" name="Eff_target" vbProcedure="false">Declarations!$B$14</definedName>
    <definedName function="false" hidden="false" name="Eff_today" vbProcedure="false">Declarations!$B$13</definedName>
    <definedName function="false" hidden="false" name="Entities" vbProcedure="false">Declarations!$A$20:$A$25</definedName>
    <definedName function="false" hidden="false" name="Flags_A" vbProcedure="false">Declarations!$B$20:$B$25</definedName>
    <definedName function="false" hidden="false" name="Flags_B" vbProcedure="false">Declarations!$C$20:$C$25</definedName>
    <definedName function="false" hidden="false" name="Flags_you" vbProcedure="false">Declarations!$D$20:$D$25</definedName>
    <definedName function="false" hidden="false" name="IS_sales" vbProcedure="false">Declarations!$B$6</definedName>
    <definedName function="false" hidden="false" name="IS_share" vbProcedure="false">Declarations!$B$5</definedName>
    <definedName function="false" hidden="false" name="K_turn" vbProcedure="false">Declarations!$B$16</definedName>
    <definedName function="false" hidden="false" name="Margin" vbProcedure="false">Declarations!$B$11</definedName>
    <definedName function="false" hidden="false" name="Markup" vbProcedure="false">Declarations!$B$9</definedName>
    <definedName function="false" hidden="false" name="Resale" vbProcedure="false">Declarations!$B$10</definedName>
    <definedName function="false" hidden="false" name="Revenue" vbProcedure="false">Declarations!$B$4</definedName>
    <definedName function="false" hidden="false" name="Ship" vbProcedure="false">Declarations!$B$7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<sst xmlns="http://schemas.openxmlformats.org/spreadsheetml/2006/main" count="534" uniqueCount="349">
  <si>
    <t xml:space="preserve">DCT Laboratory — Vol I, Ch 2: Enterprise Systems and Transformation</t>
  </si>
  <si>
    <t xml:space="preserve">Seed 26102 · Companion to DCT_V1_Ch02_Lab.ipynb and AXIOM Lab 1.2 (module AXIOM-02). Money in $ million a year.</t>
  </si>
  <si>
    <t xml:space="preserve">Worked Example 2.1, Where Does Meridian End?, with the book's declarations.</t>
  </si>
  <si>
    <t xml:space="preserve">Declarations: the inputs of Step 1, the six entities with boundary A, boundary B and one you draw, and the nine flows of Table 2.6; for the feedback bench, Meridian's efficiency and the turnaround's target and speed.</t>
  </si>
  <si>
    <t xml:space="preserve">Boundaries: every flow classified under each boundary (Definition 2.3) and checked against Table 2.6; the counts, the goods output and the $308 million gap.</t>
  </si>
  <si>
    <t xml:space="preserve">AllBoundaries: the 64 ways to draw the line; each classifies the same nine flows (Theorem 2.2), and flows by type show which entities can move freely (Corollary 2.B.2).</t>
  </si>
  <si>
    <t xml:space="preserve">Levels: Meridian's group, divisions and units (Figure 2.3), the environment of a subsystem you choose, and the coupling classified level by level.</t>
  </si>
  <si>
    <t xml:space="preserve">Feedback: the turnaround's efficiency program as a feedback rule, a gain to explore, and Proposition 2.2's closed-loop map.</t>
  </si>
  <si>
    <t xml:space="preserve">Adaptation: the bench's adaptive rule after a shift in the environment (bench settings, not book numbers), and Online Appendix 2.B's adaptive company as one map of the augmented state (Proposition 2.3).</t>
  </si>
  <si>
    <t xml:space="preserve">OutputFeedback: Remark 2.B.1's algebraic loops. Loops: the migration loop and the efficiency program, signed.</t>
  </si>
  <si>
    <t xml:space="preserve">The checks over 1,000 random histories (seed 26102) run in the notebook.</t>
  </si>
  <si>
    <t xml:space="preserve">Reference_Values and Checks: the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</si>
  <si>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</si>
  <si>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</si>
  <si>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</si>
  <si>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</si>
  <si>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</si>
  <si>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2.1, Step 1). Money in $ million a year.</t>
  </si>
  <si>
    <t xml:space="preserve">Quantity</t>
  </si>
  <si>
    <t xml:space="preserve">Value</t>
  </si>
  <si>
    <t xml:space="preserve">Source</t>
  </si>
  <si>
    <t xml:space="preserve">Meridian's revenue</t>
  </si>
  <si>
    <t xml:space="preserve">Chapter 1: $4.2 billion</t>
  </si>
  <si>
    <t xml:space="preserve">Industrial Systems' share of revenue</t>
  </si>
  <si>
    <t xml:space="preserve">Chapter 1: 61 percent</t>
  </si>
  <si>
    <t xml:space="preserve">Industrial Systems' sales</t>
  </si>
  <si>
    <t xml:space="preserve">$2.56 billion</t>
  </si>
  <si>
    <t xml:space="preserve">Shipped to independent dealers</t>
  </si>
  <si>
    <t xml:space="preserve">Worked Example 2.1: $1.54 billion</t>
  </si>
  <si>
    <t xml:space="preserve">Share of Industrial Systems' sales shipped to dealers</t>
  </si>
  <si>
    <t xml:space="preserve">about 60 percent</t>
  </si>
  <si>
    <t xml:space="preserve">Dealers' resale price above Meridian's</t>
  </si>
  <si>
    <t xml:space="preserve">about 20 percent</t>
  </si>
  <si>
    <t xml:space="preserve">Dealers' sales to end customers</t>
  </si>
  <si>
    <t xml:space="preserve">$1,848 million (flow F5)</t>
  </si>
  <si>
    <t xml:space="preserve">Dealers' gross margin</t>
  </si>
  <si>
    <t xml:space="preserve">$308 million</t>
  </si>
  <si>
    <t xml:space="preserve">The feedback bench (AXIOM Lab 1.2, step 4): Meridian's efficiency under the turnaround's program</t>
  </si>
  <si>
    <t xml:space="preserve">Operational efficiency today (index, 0-100)</t>
  </si>
  <si>
    <t xml:space="preserve">Table 3.1</t>
  </si>
  <si>
    <t xml:space="preserve">The turnaround's efficiency target</t>
  </si>
  <si>
    <t xml:space="preserve">Online Appendix Table 1.B.1 (Chapter 1 model)</t>
  </si>
  <si>
    <t xml:space="preserve">The turnaround's speed of adjustment a year</t>
  </si>
  <si>
    <t xml:space="preserve">Online Appendix Table 1.B.1</t>
  </si>
  <si>
    <t xml:space="preserve">Share of the gap closed a year, K = 1 - exp(-speed)</t>
  </si>
  <si>
    <t xml:space="preserve">45 percent (Worked Example 5.1)</t>
  </si>
  <si>
    <t xml:space="preserve">Gap factor a year, 1 - K</t>
  </si>
  <si>
    <t xml:space="preserve">0.549 (Worked Example 5.1)</t>
  </si>
  <si>
    <t xml:space="preserve">Entity</t>
  </si>
  <si>
    <t xml:space="preserve">Inside boundary A</t>
  </si>
  <si>
    <t xml:space="preserve">Inside boundary B</t>
  </si>
  <si>
    <t xml:space="preserve">Inside your boundary</t>
  </si>
  <si>
    <t xml:space="preserve">Suppliers</t>
  </si>
  <si>
    <t xml:space="preserve">Meridian</t>
  </si>
  <si>
    <t xml:space="preserve">Dealer network</t>
  </si>
  <si>
    <t xml:space="preserve">End customers</t>
  </si>
  <si>
    <t xml:space="preserve">Capital markets</t>
  </si>
  <si>
    <t xml:space="preserve">Regulator</t>
  </si>
  <si>
    <t xml:space="preserve">1 = inside the perimeter, 0 = outside. Boundary A: only Meridian; boundary B: Meridian and the dealer network. Draw your own in column D.</t>
  </si>
  <si>
    <t xml:space="preserve">Flow</t>
  </si>
  <si>
    <t xml:space="preserve">From</t>
  </si>
  <si>
    <t xml:space="preserve">To</t>
  </si>
  <si>
    <t xml:space="preserve">What flows</t>
  </si>
  <si>
    <t xml:space="preserve">Type</t>
  </si>
  <si>
    <t xml:space="preserve">Value a year</t>
  </si>
  <si>
    <t xml:space="preserve">Table 2.6: boundary A</t>
  </si>
  <si>
    <t xml:space="preserve">Table 2.6: boundary B</t>
  </si>
  <si>
    <t xml:space="preserve">F1</t>
  </si>
  <si>
    <t xml:space="preserve">components</t>
  </si>
  <si>
    <t xml:space="preserve">goods</t>
  </si>
  <si>
    <t xml:space="preserve">input</t>
  </si>
  <si>
    <t xml:space="preserve">F2</t>
  </si>
  <si>
    <t xml:space="preserve">payments</t>
  </si>
  <si>
    <t xml:space="preserve">capital</t>
  </si>
  <si>
    <t xml:space="preserve">output</t>
  </si>
  <si>
    <t xml:space="preserve">F3</t>
  </si>
  <si>
    <t xml:space="preserve">shipments</t>
  </si>
  <si>
    <t xml:space="preserve">interior</t>
  </si>
  <si>
    <t xml:space="preserve">F4</t>
  </si>
  <si>
    <t xml:space="preserve">F5</t>
  </si>
  <si>
    <t xml:space="preserve">sales</t>
  </si>
  <si>
    <t xml:space="preserve">environmental</t>
  </si>
  <si>
    <t xml:space="preserve">F6</t>
  </si>
  <si>
    <t xml:space="preserve">F7</t>
  </si>
  <si>
    <t xml:space="preserve">market intelligence</t>
  </si>
  <si>
    <t xml:space="preserve">information</t>
  </si>
  <si>
    <t xml:space="preserve">F8</t>
  </si>
  <si>
    <t xml:space="preserve">funding</t>
  </si>
  <si>
    <t xml:space="preserve">F9</t>
  </si>
  <si>
    <t xml:space="preserve">rules</t>
  </si>
  <si>
    <t xml:space="preserve">Types from Definition 2.3's list (capital, goods, services, information, personnel). The book values four flows; the others carry no value in Table 2.6.</t>
  </si>
  <si>
    <t xml:space="preserve">Draw boundary A, move the dealers inside (Worked Example 2.1, Steps 2-5; Theorem 2.2; AXIOM Lab 1.2, steps 1-2)</t>
  </si>
  <si>
    <t xml:space="preserve">Definition 2.3: a flow is interior if both ends lie inside the boundary, an input if it enters, an output if it leaves, environmental if neither end is inside. 1 = inside, 0 = outside.</t>
  </si>
  <si>
    <t xml:space="preserve">From inside A</t>
  </si>
  <si>
    <t xml:space="preserve">To inside A</t>
  </si>
  <si>
    <t xml:space="preserve">Class under A</t>
  </si>
  <si>
    <t xml:space="preserve">Table 2.6</t>
  </si>
  <si>
    <t xml:space="preserve">Match</t>
  </si>
  <si>
    <t xml:space="preserve">From inside B</t>
  </si>
  <si>
    <t xml:space="preserve">To inside B</t>
  </si>
  <si>
    <t xml:space="preserve">Class under B</t>
  </si>
  <si>
    <t xml:space="preserve">Relabeled A to B</t>
  </si>
  <si>
    <t xml:space="preserve">From inside yours</t>
  </si>
  <si>
    <t xml:space="preserve">To inside yours</t>
  </si>
  <si>
    <t xml:space="preserve">Class under yours</t>
  </si>
  <si>
    <t xml:space="preserve">Class</t>
  </si>
  <si>
    <t xml:space="preserve">Boundary A</t>
  </si>
  <si>
    <t xml:space="preserve">Boundary B</t>
  </si>
  <si>
    <t xml:space="preserve">Your boundary</t>
  </si>
  <si>
    <t xml:space="preserve">Total: the same nine flows</t>
  </si>
  <si>
    <t xml:space="preserve">Rows that reproduce Table 2.6 (of 9)</t>
  </si>
  <si>
    <t xml:space="preserve">Flows relabeled by moving the dealers inside</t>
  </si>
  <si>
    <t xml:space="preserve">Goods output: valued goods flows leaving the boundary</t>
  </si>
  <si>
    <t xml:space="preserve">Difference from boundary A</t>
  </si>
  <si>
    <t xml:space="preserve">Difference as a share of boundary A's goods output</t>
  </si>
  <si>
    <t xml:space="preserve">The dealers' gross margin (Declarations)</t>
  </si>
  <si>
    <t xml:space="preserve">Valued flows by class ($ million a year)</t>
  </si>
  <si>
    <t xml:space="preserve">Total: the money is the same money</t>
  </si>
  <si>
    <t xml:space="preserve">The $308 million gap is a boundary difference, not a performance difference: compare options under one declared boundary (Worked Example 2.1, Step 6). Drawing the dealers inside does not give Meridian control of their prices.</t>
  </si>
  <si>
    <t xml:space="preserve">Every boundary: the 64 ways to draw the line around six entities (Theorem 2.2; Corollary 2.B.2)</t>
  </si>
  <si>
    <t xml:space="preserve">Boundary n puts entity j inside when bit j of n is 1. Codes: I interior, N input, O output, E environmental. Rows 3-4: each flow's two ends, as entity numbers.</t>
  </si>
  <si>
    <t xml:space="preserve">from (entity no.)</t>
  </si>
  <si>
    <t xml:space="preserve">to (entity no.)</t>
  </si>
  <si>
    <t xml:space="preserve">n</t>
  </si>
  <si>
    <t xml:space="preserve">total</t>
  </si>
  <si>
    <t xml:space="preserve">signature</t>
  </si>
  <si>
    <t xml:space="preserve">Summary</t>
  </si>
  <si>
    <t xml:space="preserve">Boundaries</t>
  </si>
  <si>
    <t xml:space="preserve">Flows under every boundary: fewest</t>
  </si>
  <si>
    <t xml:space="preserve">Flows under every boundary: most</t>
  </si>
  <si>
    <t xml:space="preserve">Flows not in exactly one class, all boundaries (Theorem 2.2(i))</t>
  </si>
  <si>
    <t xml:space="preserve">Distinct classifications of the nine flows (Theorem 2.2(iii))</t>
  </si>
  <si>
    <t xml:space="preserve">Distinct classifications of the goods flows</t>
  </si>
  <si>
    <t xml:space="preserve">Distinct classifications of the capital flows</t>
  </si>
  <si>
    <t xml:space="preserve">Distinct classifications of the information flows</t>
  </si>
  <si>
    <t xml:space="preserve">Move one entity, starting from boundary A</t>
  </si>
  <si>
    <t xml:space="preserve">Flows relabeled</t>
  </si>
  <si>
    <t xml:space="preserve">Suppliers inside (boundary 3)</t>
  </si>
  <si>
    <t xml:space="preserve">Meridian outside (boundary 0)</t>
  </si>
  <si>
    <t xml:space="preserve">Dealer network inside (boundary 6)</t>
  </si>
  <si>
    <t xml:space="preserve">End customers inside (boundary 10)</t>
  </si>
  <si>
    <t xml:space="preserve">Capital markets inside (boundary 18)</t>
  </si>
  <si>
    <t xml:space="preserve">Regulator inside (boundary 34)</t>
  </si>
  <si>
    <t xml:space="preserve">Every entity takes part in some flow, so every move relabels something. For the goods question alone, capital markets and the regulator take part in no flow: 2^4 = 16 goods classifications, whatever side of the line they sit on (Corollary 2.B.2).</t>
  </si>
  <si>
    <t xml:space="preserve">Change levels: each subsystem's environment includes its siblings (Definition 2.4; Figure 2.3; AXIOM Lab 1.2, step 3)</t>
  </si>
  <si>
    <t xml:space="preserve">Subsystem to inspect</t>
  </si>
  <si>
    <t xml:space="preserve">Digital Solutions</t>
  </si>
  <si>
    <t xml:space="preserve">Its parent</t>
  </si>
  <si>
    <t xml:space="preserve">Subsystem</t>
  </si>
  <si>
    <t xml:space="preserve">Level</t>
  </si>
  <si>
    <t xml:space="preserve">Parent</t>
  </si>
  <si>
    <t xml:space="preserve">Sibling: in its environment</t>
  </si>
  <si>
    <t xml:space="preserve">One of its units</t>
  </si>
  <si>
    <t xml:space="preserve">A sibling's unit: in its environment</t>
  </si>
  <si>
    <t xml:space="preserve">Meridian Group</t>
  </si>
  <si>
    <t xml:space="preserve">group</t>
  </si>
  <si>
    <t xml:space="preserve">-</t>
  </si>
  <si>
    <t xml:space="preserve">Industrial Systems</t>
  </si>
  <si>
    <t xml:space="preserve">division</t>
  </si>
  <si>
    <t xml:space="preserve">Advanced Materials</t>
  </si>
  <si>
    <t xml:space="preserve">Plants</t>
  </si>
  <si>
    <t xml:space="preserve">unit</t>
  </si>
  <si>
    <t xml:space="preserve">Service</t>
  </si>
  <si>
    <t xml:space="preserve">Platform</t>
  </si>
  <si>
    <t xml:space="preserve">Apps</t>
  </si>
  <si>
    <t xml:space="preserve">Polymers</t>
  </si>
  <si>
    <t xml:space="preserve">Composites</t>
  </si>
  <si>
    <t xml:space="preserve">Divisions (Figure 2.3)</t>
  </si>
  <si>
    <t xml:space="preserve">Units (Figure 2.3)</t>
  </si>
  <si>
    <t xml:space="preserve">Sibling subsystems in its environment</t>
  </si>
  <si>
    <t xml:space="preserve">Siblings' units in its environment</t>
  </si>
  <si>
    <t xml:space="preserve">Its own units</t>
  </si>
  <si>
    <t xml:space="preserve">Plus the external environment at every level: demand, technology, regulation, capital markets (Figure 2.3). Try Platform, or Industrial Systems.</t>
  </si>
  <si>
    <t xml:space="preserve">Coupling (Figure 2.3)</t>
  </si>
  <si>
    <t xml:space="preserve">Group boundary</t>
  </si>
  <si>
    <t xml:space="preserve">Inside the boundary?</t>
  </si>
  <si>
    <t xml:space="preserve">all three</t>
  </si>
  <si>
    <t xml:space="preserve">IS only</t>
  </si>
  <si>
    <t xml:space="preserve">DS only</t>
  </si>
  <si>
    <t xml:space="preserve">AM only</t>
  </si>
  <si>
    <t xml:space="preserve">C1</t>
  </si>
  <si>
    <t xml:space="preserve">C2</t>
  </si>
  <si>
    <t xml:space="preserve">C3</t>
  </si>
  <si>
    <t xml:space="preserve">C4</t>
  </si>
  <si>
    <t xml:space="preserve">Interior at the group level; at the division level the coupling crosses the boundary of each division it joins and is environmental for the third.</t>
  </si>
  <si>
    <t xml:space="preserve">Close the loop: the turnaround's efficiency program as state feedback (Definition 2.5; Proposition 2.2; AXIOM Lab 1.2, step 4)</t>
  </si>
  <si>
    <t xml:space="preserve">Rule u_k = K (target - x_k); transition x_k+1 = x_k + u_k + w_k. Chapter 1's model: target 79, speed 0.60 a year, K = 1 - exp(-0.60) = 0.451 (Declarations).</t>
  </si>
  <si>
    <t xml:space="preserve">A gain to explore (try 0.25, 1, 1.6, 2.2)</t>
  </si>
  <si>
    <t xml:space="preserve">Year</t>
  </si>
  <si>
    <t xml:space="preserve">Feedback off</t>
  </si>
  <si>
    <t xml:space="preserve">The turnaround's rule</t>
  </si>
  <si>
    <t xml:space="preserve">The gain to explore</t>
  </si>
  <si>
    <t xml:space="preserve">Environment input w</t>
  </si>
  <si>
    <t xml:space="preserve">Rule, then transition</t>
  </si>
  <si>
    <t xml:space="preserve">Closed-loop map</t>
  </si>
  <si>
    <t xml:space="preserve">|difference|</t>
  </si>
  <si>
    <t xml:space="preserve">Tables 1.9 and 5.5</t>
  </si>
  <si>
    <t xml:space="preserve">Proposition 2.2: largest difference, rule then transition vs the closed-loop map</t>
  </si>
  <si>
    <t xml:space="preserve">Column E is an environment path (any path will do): a shift of one point a year from year 5 plus an alternating half point. Substituting the rule into the transition gives one map of state and input: the closed loop is again a system (Proposition 2.2).</t>
  </si>
  <si>
    <t xml:space="preserve">Adaptation: the rule's gain becomes a state (Definition 2.6; Proposition 2.3; Online Appendix 2.B; AXIOM Lab 1.2, step 4)</t>
  </si>
  <si>
    <t xml:space="preserve">Bench settings, not book numbers: the book prints none for this step. Change them and watch the fixed rule stay predictable while the adaptive one does not.</t>
  </si>
  <si>
    <t xml:space="preserve">Year the environment shifts and the adaptation law is switched on</t>
  </si>
  <si>
    <t xml:space="preserve">Shift: efficiency points the environment takes a year</t>
  </si>
  <si>
    <t xml:space="preserve">Adaptation speed eta</t>
  </si>
  <si>
    <t xml:space="preserve">Tolerated squared gap c</t>
  </si>
  <si>
    <t xml:space="preserve">theta_k+1 = theta_k + eta ((x_k - 79)^2 - c) after the shift: revised upward when the gap is large, downward when it is small (the law of Online Appendix 2.B).</t>
  </si>
  <si>
    <t xml:space="preserve">Feedback off after the shift</t>
  </si>
  <si>
    <t xml:space="preserve">Fixed rule</t>
  </si>
  <si>
    <t xml:space="preserve">Adaptive rule</t>
  </si>
  <si>
    <t xml:space="preserve">Adaptive gain theta</t>
  </si>
  <si>
    <t xml:space="preserve">Frozen-rule forecast error</t>
  </si>
  <si>
    <t xml:space="preserve">Fixed rule: long-run shortfall, shift / K</t>
  </si>
  <si>
    <t xml:space="preserve">Fixed rule: settles at, 79 - shift / K</t>
  </si>
  <si>
    <t xml:space="preserve">Adaptive rule: efficiency in year 20</t>
  </si>
  <si>
    <t xml:space="preserve">Adaptive rule: gain in year 20</t>
  </si>
  <si>
    <t xml:space="preserve">Adaptive rule: where it settles if it does, 79 - sqrt(c)</t>
  </si>
  <si>
    <t xml:space="preserve">Online Appendix 2.B's adaptive company</t>
  </si>
  <si>
    <t xml:space="preserve">Starting deviation x_0</t>
  </si>
  <si>
    <t xml:space="preserve">Starting rule theta_0</t>
  </si>
  <si>
    <t xml:space="preserve">eta</t>
  </si>
  <si>
    <t xml:space="preserve">c</t>
  </si>
  <si>
    <t xml:space="preserve">Own persistence a</t>
  </si>
  <si>
    <t xml:space="preserve">k</t>
  </si>
  <si>
    <t xml:space="preserve">w (any path)</t>
  </si>
  <si>
    <t xml:space="preserve">Decision u = -theta x</t>
  </si>
  <si>
    <t xml:space="preserve">x: a x + u + w</t>
  </si>
  <si>
    <t xml:space="preserve">theta: two loops</t>
  </si>
  <si>
    <t xml:space="preserve">x: one map F</t>
  </si>
  <si>
    <t xml:space="preserve">theta: one map F</t>
  </si>
  <si>
    <t xml:space="preserve">Proposition 2.3: largest difference between the two loops and the one map</t>
  </si>
  <si>
    <t xml:space="preserve">Output feedback needs a reporting lag (Online Appendix Remark 2.B.1)</t>
  </si>
  <si>
    <t xml:space="preserve">If the reported figure responds instantly to the decision, y = g(x, u) = u, output feedback must solve u = phi(u).</t>
  </si>
  <si>
    <t xml:space="preserve">u</t>
  </si>
  <si>
    <t xml:space="preserve">phi(u) = u + 1: phi(u) - u</t>
  </si>
  <si>
    <t xml:space="preserve">phi(u) = u^2: phi(u) - u</t>
  </si>
  <si>
    <t xml:space="preserve">phi(y) = y + 1: grid points that solve u = phi(u)</t>
  </si>
  <si>
    <t xml:space="preserve">phi(y) = y + 1: smallest residual phi(u) - u on the grid (never zero)</t>
  </si>
  <si>
    <t xml:space="preserve">phi(y) = y^2: u^2 - u = 0, discriminant</t>
  </si>
  <si>
    <t xml:space="preserve">phi(y) = y^2: number of real solutions</t>
  </si>
  <si>
    <t xml:space="preserve">phi(y) = y^2: the smaller solution</t>
  </si>
  <si>
    <t xml:space="preserve">phi(y) = y^2: the larger solution</t>
  </si>
  <si>
    <t xml:space="preserve">phi(y) = y^2: grid points that solve u = phi(u)</t>
  </si>
  <si>
    <t xml:space="preserve">Period</t>
  </si>
  <si>
    <t xml:space="preserve">With a one-period lag: u_k = phi(y_k-1), phi(y) = y + 1</t>
  </si>
  <si>
    <t xml:space="preserve">With the lag every rule gives one path, as the book's discrete-time convention builds in.</t>
  </si>
  <si>
    <t xml:space="preserve">Map a loop: signs, polarity, kind (Tables 2.4 and 2.5; AXIOM Lab 1.2, step 5)</t>
  </si>
  <si>
    <t xml:space="preserve">+1: the link moves its target the same way; -1: the opposite way. A loop's polarity is the product of its links' signs: +1 reinforcing, -1 balancing.</t>
  </si>
  <si>
    <t xml:space="preserve">Industrial Systems' migration loop (Table 2.5)</t>
  </si>
  <si>
    <t xml:space="preserve">Sign</t>
  </si>
  <si>
    <t xml:space="preserve">Meaning</t>
  </si>
  <si>
    <t xml:space="preserve">customer migration</t>
  </si>
  <si>
    <t xml:space="preserve">volume</t>
  </si>
  <si>
    <t xml:space="preserve">migration cuts volume</t>
  </si>
  <si>
    <t xml:space="preserve">unit cost</t>
  </si>
  <si>
    <t xml:space="preserve">less volume raises unit cost</t>
  </si>
  <si>
    <t xml:space="preserve">higher unit cost speeds migration</t>
  </si>
  <si>
    <t xml:space="preserve">Opposite links</t>
  </si>
  <si>
    <t xml:space="preserve">Polarity: the product of the signs</t>
  </si>
  <si>
    <t xml:space="preserve">The turnaround's efficiency program (Table 2.4: balancing)</t>
  </si>
  <si>
    <t xml:space="preserve">efficiency gap</t>
  </si>
  <si>
    <t xml:space="preserve">program effort</t>
  </si>
  <si>
    <t xml:space="preserve">a wider gap draws more effort</t>
  </si>
  <si>
    <t xml:space="preserve">efficiency</t>
  </si>
  <si>
    <t xml:space="preserve">effort raises efficiency</t>
  </si>
  <si>
    <t xml:space="preserve">higher efficiency narrows the gap</t>
  </si>
  <si>
    <t xml:space="preserve">Checkpoint</t>
  </si>
  <si>
    <t xml:space="preserve">Engine value</t>
  </si>
  <si>
    <t xml:space="preserve">Meaning (where in the book)</t>
  </si>
  <si>
    <t xml:space="preserve">Worked Example 2.1: $2.56 billion</t>
  </si>
  <si>
    <t xml:space="preserve">Share shipped to dealers</t>
  </si>
  <si>
    <t xml:space="preserve">Table 2.6: $1,848m (F5)</t>
  </si>
  <si>
    <t xml:space="preserve">Goods output, boundary A</t>
  </si>
  <si>
    <t xml:space="preserve">Worked Example 2.1, Step 2: $1,540m</t>
  </si>
  <si>
    <t xml:space="preserve">Goods output, boundary B</t>
  </si>
  <si>
    <t xml:space="preserve">Worked Example 2.1, Step 3: $1,848m</t>
  </si>
  <si>
    <t xml:space="preserve">The gap, B less A</t>
  </si>
  <si>
    <t xml:space="preserve">Worked Example 2.1, Step 5: $308m</t>
  </si>
  <si>
    <t xml:space="preserve">The gap as a share of shipments</t>
  </si>
  <si>
    <t xml:space="preserve">20 percent</t>
  </si>
  <si>
    <t xml:space="preserve">Boundary A: interior</t>
  </si>
  <si>
    <t xml:space="preserve">Table 2.6: 0 / 5 / 2 / 2</t>
  </si>
  <si>
    <t xml:space="preserve">Boundary A: input</t>
  </si>
  <si>
    <t xml:space="preserve">Boundary A: output</t>
  </si>
  <si>
    <t xml:space="preserve">Boundary A: environmental</t>
  </si>
  <si>
    <t xml:space="preserve">Boundary B: interior</t>
  </si>
  <si>
    <t xml:space="preserve">Table 2.6: 3 / 4 / 2 / 0</t>
  </si>
  <si>
    <t xml:space="preserve">Boundary B: input</t>
  </si>
  <si>
    <t xml:space="preserve">Boundary B: output</t>
  </si>
  <si>
    <t xml:space="preserve">Boundary B: environmental</t>
  </si>
  <si>
    <t xml:space="preserve">Table 2.6 rows reproduced, boundary A</t>
  </si>
  <si>
    <t xml:space="preserve">9 of 9</t>
  </si>
  <si>
    <t xml:space="preserve">Table 2.6 rows reproduced, boundary B</t>
  </si>
  <si>
    <t xml:space="preserve">Flows relabeled by the move</t>
  </si>
  <si>
    <t xml:space="preserve">Table 2.6: F3-F7</t>
  </si>
  <si>
    <t xml:space="preserve">All boundaries: flows not in exactly one class</t>
  </si>
  <si>
    <t xml:space="preserve">Theorem 2.2(i): 0</t>
  </si>
  <si>
    <t xml:space="preserve">All boundaries: fewest flows</t>
  </si>
  <si>
    <t xml:space="preserve">Theorem 2.2(ii): the same nine flows</t>
  </si>
  <si>
    <t xml:space="preserve">All boundaries: distinct classifications</t>
  </si>
  <si>
    <t xml:space="preserve">Theorem 2.2(iii): every entity takes part in a flow</t>
  </si>
  <si>
    <t xml:space="preserve">Goods flows: distinct classifications</t>
  </si>
  <si>
    <t xml:space="preserve">Corollary 2.B.2: capital markets and the regulator move freely</t>
  </si>
  <si>
    <t xml:space="preserve">Capital flows: distinct classifications</t>
  </si>
  <si>
    <t xml:space="preserve">Corollary 2.B.2: the regulator moves freely</t>
  </si>
  <si>
    <t xml:space="preserve">Information flows: distinct classifications</t>
  </si>
  <si>
    <t xml:space="preserve">Corollary 2.B.2</t>
  </si>
  <si>
    <t xml:space="preserve">Moving the dealers inside relabels</t>
  </si>
  <si>
    <t xml:space="preserve">Table 2.6: five flows</t>
  </si>
  <si>
    <t xml:space="preserve">Moving Meridian outside relabels</t>
  </si>
  <si>
    <t xml:space="preserve">every flow Meridian takes part in</t>
  </si>
  <si>
    <t xml:space="preserve">Figure 2.3: divisions</t>
  </si>
  <si>
    <t xml:space="preserve">three</t>
  </si>
  <si>
    <t xml:space="preserve">Figure 2.3: units</t>
  </si>
  <si>
    <t xml:space="preserve">six</t>
  </si>
  <si>
    <t xml:space="preserve">Digital Solutions' sibling divisions</t>
  </si>
  <si>
    <t xml:space="preserve">Definition 2.4</t>
  </si>
  <si>
    <t xml:space="preserve">Turnaround efficiency, year 1</t>
  </si>
  <si>
    <t xml:space="preserve">Table 5.5: 74.6</t>
  </si>
  <si>
    <t xml:space="preserve">Turnaround efficiency, year 3</t>
  </si>
  <si>
    <t xml:space="preserve">Table 5.5: 77.7</t>
  </si>
  <si>
    <t xml:space="preserve">Turnaround efficiency, year 5</t>
  </si>
  <si>
    <t xml:space="preserve">Tables 1.9 and 5.5: 78.6</t>
  </si>
  <si>
    <t xml:space="preserve">Turnaround efficiency, year 11</t>
  </si>
  <si>
    <t xml:space="preserve">Table 5.5: 79.0</t>
  </si>
  <si>
    <t xml:space="preserve">Gap factor a year</t>
  </si>
  <si>
    <t xml:space="preserve">Worked Example 5.1: 0.549</t>
  </si>
  <si>
    <t xml:space="preserve">Proposition 2.2: closed-loop map vs rule</t>
  </si>
  <si>
    <t xml:space="preserve">the same path</t>
  </si>
  <si>
    <t xml:space="preserve">Bench: fixed rule, year 20 (shift 1)</t>
  </si>
  <si>
    <t xml:space="preserve">bench setting, not a book number</t>
  </si>
  <si>
    <t xml:space="preserve">Bench: adaptive rule, year 20 (shift 1)</t>
  </si>
  <si>
    <t xml:space="preserve">Bench: adaptive gain, year 20 (shift 1)</t>
  </si>
  <si>
    <t xml:space="preserve">Proposition 2.3: two loops vs one map</t>
  </si>
  <si>
    <t xml:space="preserve">Online Appendix 2.B</t>
  </si>
  <si>
    <t xml:space="preserve">Remark 2.B.1: solutions of u = u + 1</t>
  </si>
  <si>
    <t xml:space="preserve">none</t>
  </si>
  <si>
    <t xml:space="preserve">Remark 2.B.1: solutions of u = u^2</t>
  </si>
  <si>
    <t xml:space="preserve">two: u = 0 and u = 1</t>
  </si>
  <si>
    <t xml:space="preserve">Remark 2.B.1: the larger solution</t>
  </si>
  <si>
    <t xml:space="preserve">u = 1</t>
  </si>
  <si>
    <t xml:space="preserve">Migration loop polarity</t>
  </si>
  <si>
    <t xml:space="preserve">Table 2.5: reinforcing</t>
  </si>
  <si>
    <t xml:space="preserve">Efficiency program polarity</t>
  </si>
  <si>
    <t xml:space="preserve">Table 2.4: balancing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</si>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</sst>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%"/>
    <numFmt numFmtId="167" formatCode="0.0%"/>
    <numFmt numFmtId="168" formatCode="0.0"/>
    <numFmt numFmtId="169" formatCode="0.00"/>
    <numFmt numFmtId="170" formatCode="0.0000"/>
    <numFmt numFmtId="171" formatCode="0"/>
    <numFmt numFmtId="172" formatCode="0.000"/>
    <numFmt numFmtId="173" formatCode="0.0E+00"/>
    <numFmt numFmtId="174" formatCode="\+0.00;\-0.00;0.00"/>
    <numFmt numFmtId="175" formatCode="\+0;\-0"/>
    <numFmt numFmtId="176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3" t="s">
        <v>3</v>
      </c>
    </row>
    <row r="6" customFormat="false" ht="23.85" hidden="false" customHeight="false" outlineLevel="0" collapsed="false">
      <c r="B6" s="3" t="s">
        <v>4</v>
      </c>
    </row>
    <row r="7" customFormat="false" ht="23.8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23.8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3" t="s">
        <v>10</v>
      </c>
    </row>
    <row r="13" customFormat="false" ht="15" hidden="false" customHeight="false" outlineLevel="0" collapsed="false">
      <c r="B13" s="3" t="s">
        <v>11</v>
      </c>
    </row>
    <row r="15" customFormat="false" ht="15" hidden="false" customHeight="false" outlineLevel="0" collapsed="false">
      <c r="B15" s="4" t="s">
        <v>12</v>
      </c>
    </row>
    <row r="16" customFormat="false" ht="15" hidden="false" customHeight="false" outlineLevel="0" collapsed="false">
      <c r="B16" s="5" t="s">
        <v>13</v>
      </c>
    </row>
    <row r="17" customFormat="false" ht="15" hidden="false" customHeight="false" outlineLevel="0" collapsed="false">
      <c r="B17" s="2" t="s">
        <v>14</v>
      </c>
    </row>
    <row r="18" customFormat="false" ht="15" hidden="false" customHeight="false" outlineLevel="0" collapsed="false">
      <c r="B18" s="6" t="s">
        <v>15</v>
      </c>
    </row>
    <row r="19" customFormat="false" ht="15" hidden="false" customHeight="false" outlineLevel="0" collapsed="false">
      <c r="B19" s="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8" min="7" style="0" width="20"/>
  </cols>
  <sheetData>
    <row r="1" customFormat="false" ht="15" hidden="false" customHeight="false" outlineLevel="0" collapsed="false">
      <c r="A1" s="1" t="s">
        <v>17</v>
      </c>
    </row>
    <row r="3" customFormat="false" ht="15" hidden="false" customHeight="false" outlineLevel="0" collapsed="false">
      <c r="A3" s="8" t="s">
        <v>18</v>
      </c>
      <c r="B3" s="8" t="s">
        <v>19</v>
      </c>
      <c r="C3" s="8" t="s">
        <v>20</v>
      </c>
    </row>
    <row r="4" customFormat="false" ht="15" hidden="false" customHeight="false" outlineLevel="0" collapsed="false">
      <c r="A4" s="2" t="s">
        <v>21</v>
      </c>
      <c r="B4" s="9" t="n">
        <v>4200</v>
      </c>
      <c r="C4" s="10" t="s">
        <v>22</v>
      </c>
    </row>
    <row r="5" customFormat="false" ht="15" hidden="false" customHeight="false" outlineLevel="0" collapsed="false">
      <c r="A5" s="2" t="s">
        <v>23</v>
      </c>
      <c r="B5" s="11" t="n">
        <v>0.61</v>
      </c>
      <c r="C5" s="10" t="s">
        <v>24</v>
      </c>
    </row>
    <row r="6" customFormat="false" ht="15" hidden="false" customHeight="false" outlineLevel="0" collapsed="false">
      <c r="A6" s="2" t="s">
        <v>25</v>
      </c>
      <c r="B6" s="12" t="n">
        <f aca="false">B4*B5</f>
        <v>2562</v>
      </c>
      <c r="C6" s="10" t="s">
        <v>26</v>
      </c>
    </row>
    <row r="7" customFormat="false" ht="15" hidden="false" customHeight="false" outlineLevel="0" collapsed="false">
      <c r="A7" s="2" t="s">
        <v>27</v>
      </c>
      <c r="B7" s="9" t="n">
        <v>1540</v>
      </c>
      <c r="C7" s="10" t="s">
        <v>28</v>
      </c>
    </row>
    <row r="8" customFormat="false" ht="15" hidden="false" customHeight="false" outlineLevel="0" collapsed="false">
      <c r="A8" s="2" t="s">
        <v>29</v>
      </c>
      <c r="B8" s="13" t="n">
        <f aca="false">B7/B6</f>
        <v>0.601092896174863</v>
      </c>
      <c r="C8" s="10" t="s">
        <v>30</v>
      </c>
    </row>
    <row r="9" customFormat="false" ht="15" hidden="false" customHeight="false" outlineLevel="0" collapsed="false">
      <c r="A9" s="2" t="s">
        <v>31</v>
      </c>
      <c r="B9" s="11" t="n">
        <v>0.2</v>
      </c>
      <c r="C9" s="10" t="s">
        <v>32</v>
      </c>
    </row>
    <row r="10" customFormat="false" ht="15" hidden="false" customHeight="false" outlineLevel="0" collapsed="false">
      <c r="A10" s="2" t="s">
        <v>33</v>
      </c>
      <c r="B10" s="12" t="n">
        <f aca="false">B7*(1+B9)</f>
        <v>1848</v>
      </c>
      <c r="C10" s="10" t="s">
        <v>34</v>
      </c>
    </row>
    <row r="11" customFormat="false" ht="15" hidden="false" customHeight="false" outlineLevel="0" collapsed="false">
      <c r="A11" s="2" t="s">
        <v>35</v>
      </c>
      <c r="B11" s="12" t="n">
        <f aca="false">B10-B7</f>
        <v>308</v>
      </c>
      <c r="C11" s="10" t="s">
        <v>36</v>
      </c>
    </row>
    <row r="12" customFormat="false" ht="15" hidden="false" customHeight="false" outlineLevel="0" collapsed="false">
      <c r="A12" s="4" t="s">
        <v>37</v>
      </c>
    </row>
    <row r="13" customFormat="false" ht="15" hidden="false" customHeight="false" outlineLevel="0" collapsed="false">
      <c r="A13" s="2" t="s">
        <v>38</v>
      </c>
      <c r="B13" s="14" t="n">
        <v>71</v>
      </c>
      <c r="C13" s="10" t="s">
        <v>39</v>
      </c>
    </row>
    <row r="14" customFormat="false" ht="15" hidden="false" customHeight="false" outlineLevel="0" collapsed="false">
      <c r="A14" s="2" t="s">
        <v>40</v>
      </c>
      <c r="B14" s="14" t="n">
        <v>79</v>
      </c>
      <c r="C14" s="10" t="s">
        <v>41</v>
      </c>
    </row>
    <row r="15" customFormat="false" ht="15" hidden="false" customHeight="false" outlineLevel="0" collapsed="false">
      <c r="A15" s="2" t="s">
        <v>42</v>
      </c>
      <c r="B15" s="15" t="n">
        <v>0.6</v>
      </c>
      <c r="C15" s="10" t="s">
        <v>43</v>
      </c>
    </row>
    <row r="16" customFormat="false" ht="15" hidden="false" customHeight="false" outlineLevel="0" collapsed="false">
      <c r="A16" s="2" t="s">
        <v>44</v>
      </c>
      <c r="B16" s="16" t="n">
        <f aca="false">1-EXP(-B15)</f>
        <v>0.451188363905974</v>
      </c>
      <c r="C16" s="10" t="s">
        <v>45</v>
      </c>
    </row>
    <row r="17" customFormat="false" ht="15" hidden="false" customHeight="false" outlineLevel="0" collapsed="false">
      <c r="A17" s="2" t="s">
        <v>46</v>
      </c>
      <c r="B17" s="16" t="n">
        <f aca="false">1-B16</f>
        <v>0.548811636094026</v>
      </c>
      <c r="C17" s="10" t="s">
        <v>47</v>
      </c>
    </row>
    <row r="19" customFormat="false" ht="15" hidden="false" customHeight="false" outlineLevel="0" collapsed="false">
      <c r="A19" s="8" t="s">
        <v>48</v>
      </c>
      <c r="B19" s="8" t="s">
        <v>49</v>
      </c>
      <c r="C19" s="8" t="s">
        <v>50</v>
      </c>
      <c r="D19" s="8" t="s">
        <v>51</v>
      </c>
    </row>
    <row r="20" customFormat="false" ht="15" hidden="false" customHeight="false" outlineLevel="0" collapsed="false">
      <c r="A20" s="2" t="s">
        <v>52</v>
      </c>
      <c r="B20" s="17" t="n">
        <v>0</v>
      </c>
      <c r="C20" s="17" t="n">
        <v>0</v>
      </c>
      <c r="D20" s="17" t="n">
        <v>0</v>
      </c>
    </row>
    <row r="21" customFormat="false" ht="15" hidden="false" customHeight="false" outlineLevel="0" collapsed="false">
      <c r="A21" s="2" t="s">
        <v>53</v>
      </c>
      <c r="B21" s="17" t="n">
        <v>1</v>
      </c>
      <c r="C21" s="17" t="n">
        <v>1</v>
      </c>
      <c r="D21" s="17" t="n">
        <v>1</v>
      </c>
    </row>
    <row r="22" customFormat="false" ht="15" hidden="false" customHeight="false" outlineLevel="0" collapsed="false">
      <c r="A22" s="2" t="s">
        <v>54</v>
      </c>
      <c r="B22" s="17" t="n">
        <v>0</v>
      </c>
      <c r="C22" s="17" t="n">
        <v>1</v>
      </c>
      <c r="D22" s="17" t="n">
        <v>0</v>
      </c>
    </row>
    <row r="23" customFormat="false" ht="15" hidden="false" customHeight="false" outlineLevel="0" collapsed="false">
      <c r="A23" s="2" t="s">
        <v>55</v>
      </c>
      <c r="B23" s="17" t="n">
        <v>0</v>
      </c>
      <c r="C23" s="17" t="n">
        <v>0</v>
      </c>
      <c r="D23" s="17" t="n">
        <v>0</v>
      </c>
    </row>
    <row r="24" customFormat="false" ht="15" hidden="false" customHeight="false" outlineLevel="0" collapsed="false">
      <c r="A24" s="2" t="s">
        <v>56</v>
      </c>
      <c r="B24" s="17" t="n">
        <v>0</v>
      </c>
      <c r="C24" s="17" t="n">
        <v>0</v>
      </c>
      <c r="D24" s="17" t="n">
        <v>0</v>
      </c>
    </row>
    <row r="25" customFormat="false" ht="15" hidden="false" customHeight="false" outlineLevel="0" collapsed="false">
      <c r="A25" s="2" t="s">
        <v>57</v>
      </c>
      <c r="B25" s="17" t="n">
        <v>0</v>
      </c>
      <c r="C25" s="17" t="n">
        <v>0</v>
      </c>
      <c r="D25" s="17" t="n">
        <v>0</v>
      </c>
    </row>
    <row r="26" customFormat="false" ht="15" hidden="false" customHeight="false" outlineLevel="0" collapsed="false">
      <c r="A26" s="10" t="s">
        <v>58</v>
      </c>
    </row>
    <row r="28" customFormat="false" ht="15" hidden="false" customHeight="false" outlineLevel="0" collapsed="false">
      <c r="A28" s="8" t="s">
        <v>59</v>
      </c>
      <c r="B28" s="8" t="s">
        <v>60</v>
      </c>
      <c r="C28" s="8" t="s">
        <v>61</v>
      </c>
      <c r="D28" s="8" t="s">
        <v>62</v>
      </c>
      <c r="E28" s="8" t="s">
        <v>63</v>
      </c>
      <c r="F28" s="8" t="s">
        <v>64</v>
      </c>
      <c r="G28" s="8" t="s">
        <v>65</v>
      </c>
      <c r="H28" s="8" t="s">
        <v>66</v>
      </c>
    </row>
    <row r="29" customFormat="false" ht="15" hidden="false" customHeight="false" outlineLevel="0" collapsed="false">
      <c r="A29" s="5" t="s">
        <v>67</v>
      </c>
      <c r="B29" s="5" t="s">
        <v>52</v>
      </c>
      <c r="C29" s="5" t="s">
        <v>53</v>
      </c>
      <c r="D29" s="5" t="s">
        <v>68</v>
      </c>
      <c r="E29" s="5" t="s">
        <v>69</v>
      </c>
      <c r="G29" s="5" t="s">
        <v>70</v>
      </c>
      <c r="H29" s="5" t="s">
        <v>70</v>
      </c>
    </row>
    <row r="30" customFormat="false" ht="15" hidden="false" customHeight="false" outlineLevel="0" collapsed="false">
      <c r="A30" s="5" t="s">
        <v>71</v>
      </c>
      <c r="B30" s="5" t="s">
        <v>53</v>
      </c>
      <c r="C30" s="5" t="s">
        <v>52</v>
      </c>
      <c r="D30" s="5" t="s">
        <v>72</v>
      </c>
      <c r="E30" s="5" t="s">
        <v>73</v>
      </c>
      <c r="G30" s="5" t="s">
        <v>74</v>
      </c>
      <c r="H30" s="5" t="s">
        <v>74</v>
      </c>
    </row>
    <row r="31" customFormat="false" ht="15" hidden="false" customHeight="false" outlineLevel="0" collapsed="false">
      <c r="A31" s="5" t="s">
        <v>75</v>
      </c>
      <c r="B31" s="5" t="s">
        <v>53</v>
      </c>
      <c r="C31" s="5" t="s">
        <v>54</v>
      </c>
      <c r="D31" s="5" t="s">
        <v>76</v>
      </c>
      <c r="E31" s="5" t="s">
        <v>69</v>
      </c>
      <c r="F31" s="12" t="n">
        <f aca="false">B7</f>
        <v>1540</v>
      </c>
      <c r="G31" s="5" t="s">
        <v>74</v>
      </c>
      <c r="H31" s="5" t="s">
        <v>77</v>
      </c>
    </row>
    <row r="32" customFormat="false" ht="15" hidden="false" customHeight="false" outlineLevel="0" collapsed="false">
      <c r="A32" s="5" t="s">
        <v>78</v>
      </c>
      <c r="B32" s="5" t="s">
        <v>54</v>
      </c>
      <c r="C32" s="5" t="s">
        <v>53</v>
      </c>
      <c r="D32" s="5" t="s">
        <v>72</v>
      </c>
      <c r="E32" s="5" t="s">
        <v>73</v>
      </c>
      <c r="F32" s="12" t="n">
        <f aca="false">B7</f>
        <v>1540</v>
      </c>
      <c r="G32" s="5" t="s">
        <v>70</v>
      </c>
      <c r="H32" s="5" t="s">
        <v>77</v>
      </c>
    </row>
    <row r="33" customFormat="false" ht="15" hidden="false" customHeight="false" outlineLevel="0" collapsed="false">
      <c r="A33" s="5" t="s">
        <v>79</v>
      </c>
      <c r="B33" s="5" t="s">
        <v>54</v>
      </c>
      <c r="C33" s="5" t="s">
        <v>55</v>
      </c>
      <c r="D33" s="5" t="s">
        <v>80</v>
      </c>
      <c r="E33" s="5" t="s">
        <v>69</v>
      </c>
      <c r="F33" s="12" t="n">
        <f aca="false">B10</f>
        <v>1848</v>
      </c>
      <c r="G33" s="5" t="s">
        <v>81</v>
      </c>
      <c r="H33" s="5" t="s">
        <v>74</v>
      </c>
    </row>
    <row r="34" customFormat="false" ht="15" hidden="false" customHeight="false" outlineLevel="0" collapsed="false">
      <c r="A34" s="5" t="s">
        <v>82</v>
      </c>
      <c r="B34" s="5" t="s">
        <v>55</v>
      </c>
      <c r="C34" s="5" t="s">
        <v>54</v>
      </c>
      <c r="D34" s="5" t="s">
        <v>72</v>
      </c>
      <c r="E34" s="5" t="s">
        <v>73</v>
      </c>
      <c r="F34" s="12" t="n">
        <f aca="false">B10</f>
        <v>1848</v>
      </c>
      <c r="G34" s="5" t="s">
        <v>81</v>
      </c>
      <c r="H34" s="5" t="s">
        <v>70</v>
      </c>
    </row>
    <row r="35" customFormat="false" ht="15" hidden="false" customHeight="false" outlineLevel="0" collapsed="false">
      <c r="A35" s="5" t="s">
        <v>83</v>
      </c>
      <c r="B35" s="5" t="s">
        <v>54</v>
      </c>
      <c r="C35" s="5" t="s">
        <v>53</v>
      </c>
      <c r="D35" s="5" t="s">
        <v>84</v>
      </c>
      <c r="E35" s="5" t="s">
        <v>85</v>
      </c>
      <c r="G35" s="5" t="s">
        <v>70</v>
      </c>
      <c r="H35" s="5" t="s">
        <v>77</v>
      </c>
    </row>
    <row r="36" customFormat="false" ht="15" hidden="false" customHeight="false" outlineLevel="0" collapsed="false">
      <c r="A36" s="5" t="s">
        <v>86</v>
      </c>
      <c r="B36" s="5" t="s">
        <v>56</v>
      </c>
      <c r="C36" s="5" t="s">
        <v>53</v>
      </c>
      <c r="D36" s="5" t="s">
        <v>87</v>
      </c>
      <c r="E36" s="5" t="s">
        <v>73</v>
      </c>
      <c r="G36" s="5" t="s">
        <v>70</v>
      </c>
      <c r="H36" s="5" t="s">
        <v>70</v>
      </c>
    </row>
    <row r="37" customFormat="false" ht="15" hidden="false" customHeight="false" outlineLevel="0" collapsed="false">
      <c r="A37" s="5" t="s">
        <v>88</v>
      </c>
      <c r="B37" s="5" t="s">
        <v>57</v>
      </c>
      <c r="C37" s="5" t="s">
        <v>53</v>
      </c>
      <c r="D37" s="5" t="s">
        <v>89</v>
      </c>
      <c r="E37" s="5" t="s">
        <v>85</v>
      </c>
      <c r="G37" s="5" t="s">
        <v>70</v>
      </c>
      <c r="H37" s="5" t="s">
        <v>70</v>
      </c>
    </row>
    <row r="39" customFormat="false" ht="15" hidden="false" customHeight="false" outlineLevel="0" collapsed="false">
      <c r="A39" s="10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5" min="2" style="0" width="12"/>
  </cols>
  <sheetData>
    <row r="1" customFormat="false" ht="15" hidden="false" customHeight="false" outlineLevel="0" collapsed="false">
      <c r="A1" s="1" t="s">
        <v>91</v>
      </c>
    </row>
    <row r="2" customFormat="false" ht="15" hidden="false" customHeight="false" outlineLevel="0" collapsed="false">
      <c r="A2" s="10" t="s">
        <v>92</v>
      </c>
    </row>
    <row r="4" customFormat="false" ht="23.85" hidden="false" customHeight="false" outlineLevel="0" collapsed="false">
      <c r="A4" s="8" t="s">
        <v>59</v>
      </c>
      <c r="B4" s="8" t="s">
        <v>93</v>
      </c>
      <c r="C4" s="8" t="s">
        <v>94</v>
      </c>
      <c r="D4" s="8" t="s">
        <v>95</v>
      </c>
      <c r="E4" s="8" t="s">
        <v>96</v>
      </c>
      <c r="F4" s="8" t="s">
        <v>97</v>
      </c>
      <c r="G4" s="8" t="s">
        <v>98</v>
      </c>
      <c r="H4" s="8" t="s">
        <v>99</v>
      </c>
      <c r="I4" s="8" t="s">
        <v>100</v>
      </c>
      <c r="J4" s="8" t="s">
        <v>96</v>
      </c>
      <c r="K4" s="8" t="s">
        <v>97</v>
      </c>
      <c r="L4" s="8" t="s">
        <v>101</v>
      </c>
      <c r="M4" s="8" t="s">
        <v>102</v>
      </c>
      <c r="N4" s="8" t="s">
        <v>103</v>
      </c>
      <c r="O4" s="8" t="s">
        <v>104</v>
      </c>
    </row>
    <row r="5" customFormat="false" ht="15" hidden="false" customHeight="false" outlineLevel="0" collapsed="false">
      <c r="A5" s="7" t="str">
        <f aca="false">Declarations!A29</f>
        <v>F1</v>
      </c>
      <c r="B5" s="18" t="n">
        <f aca="false">INDEX(Flags_A,MATCH(Declarations!$B29,Entities,0))</f>
        <v>0</v>
      </c>
      <c r="C5" s="18" t="n">
        <f aca="false">INDEX(Flags_A,MATCH(Declarations!$C29,Entities,0))</f>
        <v>1</v>
      </c>
      <c r="D5" s="2" t="str">
        <f aca="false">IF(AND(B5=1,C5=1),"interior",IF(AND(B5=0,C5=1),"input",IF(AND(B5=1,C5=0),"output","environmental")))</f>
        <v>input</v>
      </c>
      <c r="E5" s="7" t="str">
        <f aca="false">Declarations!G29</f>
        <v>input</v>
      </c>
      <c r="F5" s="18" t="n">
        <f aca="false">IF(D5=E5,1,0)</f>
        <v>1</v>
      </c>
      <c r="G5" s="18" t="n">
        <f aca="false">INDEX(Flags_B,MATCH(Declarations!$B29,Entities,0))</f>
        <v>0</v>
      </c>
      <c r="H5" s="18" t="n">
        <f aca="false">INDEX(Flags_B,MATCH(Declarations!$C29,Entities,0))</f>
        <v>1</v>
      </c>
      <c r="I5" s="2" t="str">
        <f aca="false">IF(AND(G5=1,H5=1),"interior",IF(AND(G5=0,H5=1),"input",IF(AND(G5=1,H5=0),"output","environmental")))</f>
        <v>input</v>
      </c>
      <c r="J5" s="7" t="str">
        <f aca="false">Declarations!H29</f>
        <v>input</v>
      </c>
      <c r="K5" s="18" t="n">
        <f aca="false">IF(I5=J5,1,0)</f>
        <v>1</v>
      </c>
      <c r="L5" s="18" t="n">
        <f aca="false">IF(D5&lt;&gt;I5,1,0)</f>
        <v>0</v>
      </c>
      <c r="M5" s="18" t="n">
        <f aca="false">INDEX(Flags_you,MATCH(Declarations!$B29,Entities,0))</f>
        <v>0</v>
      </c>
      <c r="N5" s="18" t="n">
        <f aca="false">INDEX(Flags_you,MATCH(Declarations!$C29,Entities,0))</f>
        <v>1</v>
      </c>
      <c r="O5" s="2" t="str">
        <f aca="false">IF(AND(M5=1,N5=1),"interior",IF(AND(M5=0,N5=1),"input",IF(AND(M5=1,N5=0),"output","environmental")))</f>
        <v>input</v>
      </c>
    </row>
    <row r="6" customFormat="false" ht="15" hidden="false" customHeight="false" outlineLevel="0" collapsed="false">
      <c r="A6" s="7" t="str">
        <f aca="false">Declarations!A30</f>
        <v>F2</v>
      </c>
      <c r="B6" s="18" t="n">
        <f aca="false">INDEX(Flags_A,MATCH(Declarations!$B30,Entities,0))</f>
        <v>1</v>
      </c>
      <c r="C6" s="18" t="n">
        <f aca="false">INDEX(Flags_A,MATCH(Declarations!$C30,Entities,0))</f>
        <v>0</v>
      </c>
      <c r="D6" s="2" t="str">
        <f aca="false">IF(AND(B6=1,C6=1),"interior",IF(AND(B6=0,C6=1),"input",IF(AND(B6=1,C6=0),"output","environmental")))</f>
        <v>output</v>
      </c>
      <c r="E6" s="7" t="str">
        <f aca="false">Declarations!G30</f>
        <v>output</v>
      </c>
      <c r="F6" s="18" t="n">
        <f aca="false">IF(D6=E6,1,0)</f>
        <v>1</v>
      </c>
      <c r="G6" s="18" t="n">
        <f aca="false">INDEX(Flags_B,MATCH(Declarations!$B30,Entities,0))</f>
        <v>1</v>
      </c>
      <c r="H6" s="18" t="n">
        <f aca="false">INDEX(Flags_B,MATCH(Declarations!$C30,Entities,0))</f>
        <v>0</v>
      </c>
      <c r="I6" s="2" t="str">
        <f aca="false">IF(AND(G6=1,H6=1),"interior",IF(AND(G6=0,H6=1),"input",IF(AND(G6=1,H6=0),"output","environmental")))</f>
        <v>output</v>
      </c>
      <c r="J6" s="7" t="str">
        <f aca="false">Declarations!H30</f>
        <v>output</v>
      </c>
      <c r="K6" s="18" t="n">
        <f aca="false">IF(I6=J6,1,0)</f>
        <v>1</v>
      </c>
      <c r="L6" s="18" t="n">
        <f aca="false">IF(D6&lt;&gt;I6,1,0)</f>
        <v>0</v>
      </c>
      <c r="M6" s="18" t="n">
        <f aca="false">INDEX(Flags_you,MATCH(Declarations!$B30,Entities,0))</f>
        <v>1</v>
      </c>
      <c r="N6" s="18" t="n">
        <f aca="false">INDEX(Flags_you,MATCH(Declarations!$C30,Entities,0))</f>
        <v>0</v>
      </c>
      <c r="O6" s="2" t="str">
        <f aca="false">IF(AND(M6=1,N6=1),"interior",IF(AND(M6=0,N6=1),"input",IF(AND(M6=1,N6=0),"output","environmental")))</f>
        <v>output</v>
      </c>
    </row>
    <row r="7" customFormat="false" ht="15" hidden="false" customHeight="false" outlineLevel="0" collapsed="false">
      <c r="A7" s="7" t="str">
        <f aca="false">Declarations!A31</f>
        <v>F3</v>
      </c>
      <c r="B7" s="18" t="n">
        <f aca="false">INDEX(Flags_A,MATCH(Declarations!$B31,Entities,0))</f>
        <v>1</v>
      </c>
      <c r="C7" s="18" t="n">
        <f aca="false">INDEX(Flags_A,MATCH(Declarations!$C31,Entities,0))</f>
        <v>0</v>
      </c>
      <c r="D7" s="2" t="str">
        <f aca="false">IF(AND(B7=1,C7=1),"interior",IF(AND(B7=0,C7=1),"input",IF(AND(B7=1,C7=0),"output","environmental")))</f>
        <v>output</v>
      </c>
      <c r="E7" s="7" t="str">
        <f aca="false">Declarations!G31</f>
        <v>output</v>
      </c>
      <c r="F7" s="18" t="n">
        <f aca="false">IF(D7=E7,1,0)</f>
        <v>1</v>
      </c>
      <c r="G7" s="18" t="n">
        <f aca="false">INDEX(Flags_B,MATCH(Declarations!$B31,Entities,0))</f>
        <v>1</v>
      </c>
      <c r="H7" s="18" t="n">
        <f aca="false">INDEX(Flags_B,MATCH(Declarations!$C31,Entities,0))</f>
        <v>1</v>
      </c>
      <c r="I7" s="2" t="str">
        <f aca="false">IF(AND(G7=1,H7=1),"interior",IF(AND(G7=0,H7=1),"input",IF(AND(G7=1,H7=0),"output","environmental")))</f>
        <v>interior</v>
      </c>
      <c r="J7" s="7" t="str">
        <f aca="false">Declarations!H31</f>
        <v>interior</v>
      </c>
      <c r="K7" s="18" t="n">
        <f aca="false">IF(I7=J7,1,0)</f>
        <v>1</v>
      </c>
      <c r="L7" s="18" t="n">
        <f aca="false">IF(D7&lt;&gt;I7,1,0)</f>
        <v>1</v>
      </c>
      <c r="M7" s="18" t="n">
        <f aca="false">INDEX(Flags_you,MATCH(Declarations!$B31,Entities,0))</f>
        <v>1</v>
      </c>
      <c r="N7" s="18" t="n">
        <f aca="false">INDEX(Flags_you,MATCH(Declarations!$C31,Entities,0))</f>
        <v>0</v>
      </c>
      <c r="O7" s="2" t="str">
        <f aca="false">IF(AND(M7=1,N7=1),"interior",IF(AND(M7=0,N7=1),"input",IF(AND(M7=1,N7=0),"output","environmental")))</f>
        <v>output</v>
      </c>
    </row>
    <row r="8" customFormat="false" ht="15" hidden="false" customHeight="false" outlineLevel="0" collapsed="false">
      <c r="A8" s="7" t="str">
        <f aca="false">Declarations!A32</f>
        <v>F4</v>
      </c>
      <c r="B8" s="18" t="n">
        <f aca="false">INDEX(Flags_A,MATCH(Declarations!$B32,Entities,0))</f>
        <v>0</v>
      </c>
      <c r="C8" s="18" t="n">
        <f aca="false">INDEX(Flags_A,MATCH(Declarations!$C32,Entities,0))</f>
        <v>1</v>
      </c>
      <c r="D8" s="2" t="str">
        <f aca="false">IF(AND(B8=1,C8=1),"interior",IF(AND(B8=0,C8=1),"input",IF(AND(B8=1,C8=0),"output","environmental")))</f>
        <v>input</v>
      </c>
      <c r="E8" s="7" t="str">
        <f aca="false">Declarations!G32</f>
        <v>input</v>
      </c>
      <c r="F8" s="18" t="n">
        <f aca="false">IF(D8=E8,1,0)</f>
        <v>1</v>
      </c>
      <c r="G8" s="18" t="n">
        <f aca="false">INDEX(Flags_B,MATCH(Declarations!$B32,Entities,0))</f>
        <v>1</v>
      </c>
      <c r="H8" s="18" t="n">
        <f aca="false">INDEX(Flags_B,MATCH(Declarations!$C32,Entities,0))</f>
        <v>1</v>
      </c>
      <c r="I8" s="2" t="str">
        <f aca="false">IF(AND(G8=1,H8=1),"interior",IF(AND(G8=0,H8=1),"input",IF(AND(G8=1,H8=0),"output","environmental")))</f>
        <v>interior</v>
      </c>
      <c r="J8" s="7" t="str">
        <f aca="false">Declarations!H32</f>
        <v>interior</v>
      </c>
      <c r="K8" s="18" t="n">
        <f aca="false">IF(I8=J8,1,0)</f>
        <v>1</v>
      </c>
      <c r="L8" s="18" t="n">
        <f aca="false">IF(D8&lt;&gt;I8,1,0)</f>
        <v>1</v>
      </c>
      <c r="M8" s="18" t="n">
        <f aca="false">INDEX(Flags_you,MATCH(Declarations!$B32,Entities,0))</f>
        <v>0</v>
      </c>
      <c r="N8" s="18" t="n">
        <f aca="false">INDEX(Flags_you,MATCH(Declarations!$C32,Entities,0))</f>
        <v>1</v>
      </c>
      <c r="O8" s="2" t="str">
        <f aca="false">IF(AND(M8=1,N8=1),"interior",IF(AND(M8=0,N8=1),"input",IF(AND(M8=1,N8=0),"output","environmental")))</f>
        <v>input</v>
      </c>
    </row>
    <row r="9" customFormat="false" ht="15" hidden="false" customHeight="false" outlineLevel="0" collapsed="false">
      <c r="A9" s="7" t="str">
        <f aca="false">Declarations!A33</f>
        <v>F5</v>
      </c>
      <c r="B9" s="18" t="n">
        <f aca="false">INDEX(Flags_A,MATCH(Declarations!$B33,Entities,0))</f>
        <v>0</v>
      </c>
      <c r="C9" s="18" t="n">
        <f aca="false">INDEX(Flags_A,MATCH(Declarations!$C33,Entities,0))</f>
        <v>0</v>
      </c>
      <c r="D9" s="2" t="str">
        <f aca="false">IF(AND(B9=1,C9=1),"interior",IF(AND(B9=0,C9=1),"input",IF(AND(B9=1,C9=0),"output","environmental")))</f>
        <v>environmental</v>
      </c>
      <c r="E9" s="7" t="str">
        <f aca="false">Declarations!G33</f>
        <v>environmental</v>
      </c>
      <c r="F9" s="18" t="n">
        <f aca="false">IF(D9=E9,1,0)</f>
        <v>1</v>
      </c>
      <c r="G9" s="18" t="n">
        <f aca="false">INDEX(Flags_B,MATCH(Declarations!$B33,Entities,0))</f>
        <v>1</v>
      </c>
      <c r="H9" s="18" t="n">
        <f aca="false">INDEX(Flags_B,MATCH(Declarations!$C33,Entities,0))</f>
        <v>0</v>
      </c>
      <c r="I9" s="2" t="str">
        <f aca="false">IF(AND(G9=1,H9=1),"interior",IF(AND(G9=0,H9=1),"input",IF(AND(G9=1,H9=0),"output","environmental")))</f>
        <v>output</v>
      </c>
      <c r="J9" s="7" t="str">
        <f aca="false">Declarations!H33</f>
        <v>output</v>
      </c>
      <c r="K9" s="18" t="n">
        <f aca="false">IF(I9=J9,1,0)</f>
        <v>1</v>
      </c>
      <c r="L9" s="18" t="n">
        <f aca="false">IF(D9&lt;&gt;I9,1,0)</f>
        <v>1</v>
      </c>
      <c r="M9" s="18" t="n">
        <f aca="false">INDEX(Flags_you,MATCH(Declarations!$B33,Entities,0))</f>
        <v>0</v>
      </c>
      <c r="N9" s="18" t="n">
        <f aca="false">INDEX(Flags_you,MATCH(Declarations!$C33,Entities,0))</f>
        <v>0</v>
      </c>
      <c r="O9" s="2" t="str">
        <f aca="false">IF(AND(M9=1,N9=1),"interior",IF(AND(M9=0,N9=1),"input",IF(AND(M9=1,N9=0),"output","environmental")))</f>
        <v>environmental</v>
      </c>
    </row>
    <row r="10" customFormat="false" ht="15" hidden="false" customHeight="false" outlineLevel="0" collapsed="false">
      <c r="A10" s="7" t="str">
        <f aca="false">Declarations!A34</f>
        <v>F6</v>
      </c>
      <c r="B10" s="18" t="n">
        <f aca="false">INDEX(Flags_A,MATCH(Declarations!$B34,Entities,0))</f>
        <v>0</v>
      </c>
      <c r="C10" s="18" t="n">
        <f aca="false">INDEX(Flags_A,MATCH(Declarations!$C34,Entities,0))</f>
        <v>0</v>
      </c>
      <c r="D10" s="2" t="str">
        <f aca="false">IF(AND(B10=1,C10=1),"interior",IF(AND(B10=0,C10=1),"input",IF(AND(B10=1,C10=0),"output","environmental")))</f>
        <v>environmental</v>
      </c>
      <c r="E10" s="7" t="str">
        <f aca="false">Declarations!G34</f>
        <v>environmental</v>
      </c>
      <c r="F10" s="18" t="n">
        <f aca="false">IF(D10=E10,1,0)</f>
        <v>1</v>
      </c>
      <c r="G10" s="18" t="n">
        <f aca="false">INDEX(Flags_B,MATCH(Declarations!$B34,Entities,0))</f>
        <v>0</v>
      </c>
      <c r="H10" s="18" t="n">
        <f aca="false">INDEX(Flags_B,MATCH(Declarations!$C34,Entities,0))</f>
        <v>1</v>
      </c>
      <c r="I10" s="2" t="str">
        <f aca="false">IF(AND(G10=1,H10=1),"interior",IF(AND(G10=0,H10=1),"input",IF(AND(G10=1,H10=0),"output","environmental")))</f>
        <v>input</v>
      </c>
      <c r="J10" s="7" t="str">
        <f aca="false">Declarations!H34</f>
        <v>input</v>
      </c>
      <c r="K10" s="18" t="n">
        <f aca="false">IF(I10=J10,1,0)</f>
        <v>1</v>
      </c>
      <c r="L10" s="18" t="n">
        <f aca="false">IF(D10&lt;&gt;I10,1,0)</f>
        <v>1</v>
      </c>
      <c r="M10" s="18" t="n">
        <f aca="false">INDEX(Flags_you,MATCH(Declarations!$B34,Entities,0))</f>
        <v>0</v>
      </c>
      <c r="N10" s="18" t="n">
        <f aca="false">INDEX(Flags_you,MATCH(Declarations!$C34,Entities,0))</f>
        <v>0</v>
      </c>
      <c r="O10" s="2" t="str">
        <f aca="false">IF(AND(M10=1,N10=1),"interior",IF(AND(M10=0,N10=1),"input",IF(AND(M10=1,N10=0),"output","environmental")))</f>
        <v>environmental</v>
      </c>
    </row>
    <row r="11" customFormat="false" ht="15" hidden="false" customHeight="false" outlineLevel="0" collapsed="false">
      <c r="A11" s="7" t="str">
        <f aca="false">Declarations!A35</f>
        <v>F7</v>
      </c>
      <c r="B11" s="18" t="n">
        <f aca="false">INDEX(Flags_A,MATCH(Declarations!$B35,Entities,0))</f>
        <v>0</v>
      </c>
      <c r="C11" s="18" t="n">
        <f aca="false">INDEX(Flags_A,MATCH(Declarations!$C35,Entities,0))</f>
        <v>1</v>
      </c>
      <c r="D11" s="2" t="str">
        <f aca="false">IF(AND(B11=1,C11=1),"interior",IF(AND(B11=0,C11=1),"input",IF(AND(B11=1,C11=0),"output","environmental")))</f>
        <v>input</v>
      </c>
      <c r="E11" s="7" t="str">
        <f aca="false">Declarations!G35</f>
        <v>input</v>
      </c>
      <c r="F11" s="18" t="n">
        <f aca="false">IF(D11=E11,1,0)</f>
        <v>1</v>
      </c>
      <c r="G11" s="18" t="n">
        <f aca="false">INDEX(Flags_B,MATCH(Declarations!$B35,Entities,0))</f>
        <v>1</v>
      </c>
      <c r="H11" s="18" t="n">
        <f aca="false">INDEX(Flags_B,MATCH(Declarations!$C35,Entities,0))</f>
        <v>1</v>
      </c>
      <c r="I11" s="2" t="str">
        <f aca="false">IF(AND(G11=1,H11=1),"interior",IF(AND(G11=0,H11=1),"input",IF(AND(G11=1,H11=0),"output","environmental")))</f>
        <v>interior</v>
      </c>
      <c r="J11" s="7" t="str">
        <f aca="false">Declarations!H35</f>
        <v>interior</v>
      </c>
      <c r="K11" s="18" t="n">
        <f aca="false">IF(I11=J11,1,0)</f>
        <v>1</v>
      </c>
      <c r="L11" s="18" t="n">
        <f aca="false">IF(D11&lt;&gt;I11,1,0)</f>
        <v>1</v>
      </c>
      <c r="M11" s="18" t="n">
        <f aca="false">INDEX(Flags_you,MATCH(Declarations!$B35,Entities,0))</f>
        <v>0</v>
      </c>
      <c r="N11" s="18" t="n">
        <f aca="false">INDEX(Flags_you,MATCH(Declarations!$C35,Entities,0))</f>
        <v>1</v>
      </c>
      <c r="O11" s="2" t="str">
        <f aca="false">IF(AND(M11=1,N11=1),"interior",IF(AND(M11=0,N11=1),"input",IF(AND(M11=1,N11=0),"output","environmental")))</f>
        <v>input</v>
      </c>
    </row>
    <row r="12" customFormat="false" ht="15" hidden="false" customHeight="false" outlineLevel="0" collapsed="false">
      <c r="A12" s="7" t="str">
        <f aca="false">Declarations!A36</f>
        <v>F8</v>
      </c>
      <c r="B12" s="18" t="n">
        <f aca="false">INDEX(Flags_A,MATCH(Declarations!$B36,Entities,0))</f>
        <v>0</v>
      </c>
      <c r="C12" s="18" t="n">
        <f aca="false">INDEX(Flags_A,MATCH(Declarations!$C36,Entities,0))</f>
        <v>1</v>
      </c>
      <c r="D12" s="2" t="str">
        <f aca="false">IF(AND(B12=1,C12=1),"interior",IF(AND(B12=0,C12=1),"input",IF(AND(B12=1,C12=0),"output","environmental")))</f>
        <v>input</v>
      </c>
      <c r="E12" s="7" t="str">
        <f aca="false">Declarations!G36</f>
        <v>input</v>
      </c>
      <c r="F12" s="18" t="n">
        <f aca="false">IF(D12=E12,1,0)</f>
        <v>1</v>
      </c>
      <c r="G12" s="18" t="n">
        <f aca="false">INDEX(Flags_B,MATCH(Declarations!$B36,Entities,0))</f>
        <v>0</v>
      </c>
      <c r="H12" s="18" t="n">
        <f aca="false">INDEX(Flags_B,MATCH(Declarations!$C36,Entities,0))</f>
        <v>1</v>
      </c>
      <c r="I12" s="2" t="str">
        <f aca="false">IF(AND(G12=1,H12=1),"interior",IF(AND(G12=0,H12=1),"input",IF(AND(G12=1,H12=0),"output","environmental")))</f>
        <v>input</v>
      </c>
      <c r="J12" s="7" t="str">
        <f aca="false">Declarations!H36</f>
        <v>input</v>
      </c>
      <c r="K12" s="18" t="n">
        <f aca="false">IF(I12=J12,1,0)</f>
        <v>1</v>
      </c>
      <c r="L12" s="18" t="n">
        <f aca="false">IF(D12&lt;&gt;I12,1,0)</f>
        <v>0</v>
      </c>
      <c r="M12" s="18" t="n">
        <f aca="false">INDEX(Flags_you,MATCH(Declarations!$B36,Entities,0))</f>
        <v>0</v>
      </c>
      <c r="N12" s="18" t="n">
        <f aca="false">INDEX(Flags_you,MATCH(Declarations!$C36,Entities,0))</f>
        <v>1</v>
      </c>
      <c r="O12" s="2" t="str">
        <f aca="false">IF(AND(M12=1,N12=1),"interior",IF(AND(M12=0,N12=1),"input",IF(AND(M12=1,N12=0),"output","environmental")))</f>
        <v>input</v>
      </c>
    </row>
    <row r="13" customFormat="false" ht="15" hidden="false" customHeight="false" outlineLevel="0" collapsed="false">
      <c r="A13" s="7" t="str">
        <f aca="false">Declarations!A37</f>
        <v>F9</v>
      </c>
      <c r="B13" s="18" t="n">
        <f aca="false">INDEX(Flags_A,MATCH(Declarations!$B37,Entities,0))</f>
        <v>0</v>
      </c>
      <c r="C13" s="18" t="n">
        <f aca="false">INDEX(Flags_A,MATCH(Declarations!$C37,Entities,0))</f>
        <v>1</v>
      </c>
      <c r="D13" s="2" t="str">
        <f aca="false">IF(AND(B13=1,C13=1),"interior",IF(AND(B13=0,C13=1),"input",IF(AND(B13=1,C13=0),"output","environmental")))</f>
        <v>input</v>
      </c>
      <c r="E13" s="7" t="str">
        <f aca="false">Declarations!G37</f>
        <v>input</v>
      </c>
      <c r="F13" s="18" t="n">
        <f aca="false">IF(D13=E13,1,0)</f>
        <v>1</v>
      </c>
      <c r="G13" s="18" t="n">
        <f aca="false">INDEX(Flags_B,MATCH(Declarations!$B37,Entities,0))</f>
        <v>0</v>
      </c>
      <c r="H13" s="18" t="n">
        <f aca="false">INDEX(Flags_B,MATCH(Declarations!$C37,Entities,0))</f>
        <v>1</v>
      </c>
      <c r="I13" s="2" t="str">
        <f aca="false">IF(AND(G13=1,H13=1),"interior",IF(AND(G13=0,H13=1),"input",IF(AND(G13=1,H13=0),"output","environmental")))</f>
        <v>input</v>
      </c>
      <c r="J13" s="7" t="str">
        <f aca="false">Declarations!H37</f>
        <v>input</v>
      </c>
      <c r="K13" s="18" t="n">
        <f aca="false">IF(I13=J13,1,0)</f>
        <v>1</v>
      </c>
      <c r="L13" s="18" t="n">
        <f aca="false">IF(D13&lt;&gt;I13,1,0)</f>
        <v>0</v>
      </c>
      <c r="M13" s="18" t="n">
        <f aca="false">INDEX(Flags_you,MATCH(Declarations!$B37,Entities,0))</f>
        <v>0</v>
      </c>
      <c r="N13" s="18" t="n">
        <f aca="false">INDEX(Flags_you,MATCH(Declarations!$C37,Entities,0))</f>
        <v>1</v>
      </c>
      <c r="O13" s="2" t="str">
        <f aca="false">IF(AND(M13=1,N13=1),"interior",IF(AND(M13=0,N13=1),"input",IF(AND(M13=1,N13=0),"output","environmental")))</f>
        <v>input</v>
      </c>
    </row>
    <row r="16" customFormat="false" ht="23.85" hidden="false" customHeight="false" outlineLevel="0" collapsed="false">
      <c r="A16" s="8" t="s">
        <v>105</v>
      </c>
      <c r="B16" s="8" t="s">
        <v>106</v>
      </c>
      <c r="C16" s="8" t="s">
        <v>107</v>
      </c>
      <c r="D16" s="8" t="s">
        <v>108</v>
      </c>
    </row>
    <row r="17" customFormat="false" ht="15" hidden="false" customHeight="false" outlineLevel="0" collapsed="false">
      <c r="A17" s="2" t="s">
        <v>77</v>
      </c>
      <c r="B17" s="18" t="n">
        <f aca="false">COUNTIF(D$5:D$13,$A17)</f>
        <v>0</v>
      </c>
      <c r="C17" s="18" t="n">
        <f aca="false">COUNTIF(I$5:I$13,$A17)</f>
        <v>3</v>
      </c>
      <c r="D17" s="18" t="n">
        <f aca="false">COUNTIF(O$5:O$13,$A17)</f>
        <v>0</v>
      </c>
    </row>
    <row r="18" customFormat="false" ht="15" hidden="false" customHeight="false" outlineLevel="0" collapsed="false">
      <c r="A18" s="2" t="s">
        <v>70</v>
      </c>
      <c r="B18" s="18" t="n">
        <f aca="false">COUNTIF(D$5:D$13,$A18)</f>
        <v>5</v>
      </c>
      <c r="C18" s="18" t="n">
        <f aca="false">COUNTIF(I$5:I$13,$A18)</f>
        <v>4</v>
      </c>
      <c r="D18" s="18" t="n">
        <f aca="false">COUNTIF(O$5:O$13,$A18)</f>
        <v>5</v>
      </c>
    </row>
    <row r="19" customFormat="false" ht="15" hidden="false" customHeight="false" outlineLevel="0" collapsed="false">
      <c r="A19" s="2" t="s">
        <v>74</v>
      </c>
      <c r="B19" s="18" t="n">
        <f aca="false">COUNTIF(D$5:D$13,$A19)</f>
        <v>2</v>
      </c>
      <c r="C19" s="18" t="n">
        <f aca="false">COUNTIF(I$5:I$13,$A19)</f>
        <v>2</v>
      </c>
      <c r="D19" s="18" t="n">
        <f aca="false">COUNTIF(O$5:O$13,$A19)</f>
        <v>2</v>
      </c>
    </row>
    <row r="20" customFormat="false" ht="15" hidden="false" customHeight="false" outlineLevel="0" collapsed="false">
      <c r="A20" s="2" t="s">
        <v>81</v>
      </c>
      <c r="B20" s="18" t="n">
        <f aca="false">COUNTIF(D$5:D$13,$A20)</f>
        <v>2</v>
      </c>
      <c r="C20" s="18" t="n">
        <f aca="false">COUNTIF(I$5:I$13,$A20)</f>
        <v>0</v>
      </c>
      <c r="D20" s="18" t="n">
        <f aca="false">COUNTIF(O$5:O$13,$A20)</f>
        <v>2</v>
      </c>
    </row>
    <row r="21" customFormat="false" ht="15" hidden="false" customHeight="false" outlineLevel="0" collapsed="false">
      <c r="A21" s="0" t="s">
        <v>109</v>
      </c>
      <c r="B21" s="18" t="n">
        <f aca="false">SUM(B17:B20)</f>
        <v>9</v>
      </c>
      <c r="C21" s="18" t="n">
        <f aca="false">SUM(C17:C20)</f>
        <v>9</v>
      </c>
      <c r="D21" s="18" t="n">
        <f aca="false">SUM(D17:D20)</f>
        <v>9</v>
      </c>
    </row>
    <row r="22" customFormat="false" ht="15" hidden="false" customHeight="false" outlineLevel="0" collapsed="false">
      <c r="A22" s="2" t="s">
        <v>110</v>
      </c>
      <c r="B22" s="18" t="n">
        <f aca="false">SUM(F5:F13)</f>
        <v>9</v>
      </c>
      <c r="C22" s="18" t="n">
        <f aca="false">SUM(K5:K13)</f>
        <v>9</v>
      </c>
    </row>
    <row r="23" customFormat="false" ht="15" hidden="false" customHeight="false" outlineLevel="0" collapsed="false">
      <c r="A23" s="2" t="s">
        <v>111</v>
      </c>
      <c r="C23" s="18" t="n">
        <f aca="false">SUM(L5:L13)</f>
        <v>5</v>
      </c>
    </row>
    <row r="24" customFormat="false" ht="15" hidden="false" customHeight="false" outlineLevel="0" collapsed="false">
      <c r="A24" s="2" t="s">
        <v>112</v>
      </c>
      <c r="B24" s="12" t="n">
        <f aca="false">SUMIFS(Declarations!$F$29:$F$37,D$5:D$13,"output",Declarations!$E$29:$E$37,"goods")</f>
        <v>1540</v>
      </c>
      <c r="C24" s="12" t="n">
        <f aca="false">SUMIFS(Declarations!$F$29:$F$37,I$5:I$13,"output",Declarations!$E$29:$E$37,"goods")</f>
        <v>1848</v>
      </c>
      <c r="D24" s="12" t="n">
        <f aca="false">SUMIFS(Declarations!$F$29:$F$37,O$5:O$13,"output",Declarations!$E$29:$E$37,"goods")</f>
        <v>1540</v>
      </c>
    </row>
    <row r="25" customFormat="false" ht="15" hidden="false" customHeight="false" outlineLevel="0" collapsed="false">
      <c r="A25" s="2" t="s">
        <v>113</v>
      </c>
      <c r="C25" s="12" t="n">
        <f aca="false">C24-B24</f>
        <v>308</v>
      </c>
      <c r="D25" s="12" t="n">
        <f aca="false">D24-B24</f>
        <v>0</v>
      </c>
    </row>
    <row r="26" customFormat="false" ht="15" hidden="false" customHeight="false" outlineLevel="0" collapsed="false">
      <c r="A26" s="2" t="s">
        <v>114</v>
      </c>
      <c r="C26" s="13" t="n">
        <f aca="false">C25/B24</f>
        <v>0.2</v>
      </c>
    </row>
    <row r="27" customFormat="false" ht="15" hidden="false" customHeight="false" outlineLevel="0" collapsed="false">
      <c r="A27" s="2" t="s">
        <v>115</v>
      </c>
      <c r="C27" s="12" t="n">
        <f aca="false">Margin</f>
        <v>308</v>
      </c>
    </row>
    <row r="29" customFormat="false" ht="23.85" hidden="false" customHeight="false" outlineLevel="0" collapsed="false">
      <c r="A29" s="8" t="s">
        <v>116</v>
      </c>
      <c r="B29" s="8" t="s">
        <v>106</v>
      </c>
      <c r="C29" s="8" t="s">
        <v>107</v>
      </c>
      <c r="D29" s="8" t="s">
        <v>108</v>
      </c>
    </row>
    <row r="30" customFormat="false" ht="15" hidden="false" customHeight="false" outlineLevel="0" collapsed="false">
      <c r="A30" s="2" t="s">
        <v>77</v>
      </c>
      <c r="B30" s="12" t="n">
        <f aca="false">SUMIFS(Declarations!$F$29:$F$37,D$5:D$13,$A30)</f>
        <v>0</v>
      </c>
      <c r="C30" s="12" t="n">
        <f aca="false">SUMIFS(Declarations!$F$29:$F$37,I$5:I$13,$A30)</f>
        <v>3080</v>
      </c>
      <c r="D30" s="12" t="n">
        <f aca="false">SUMIFS(Declarations!$F$29:$F$37,O$5:O$13,$A30)</f>
        <v>0</v>
      </c>
    </row>
    <row r="31" customFormat="false" ht="15" hidden="false" customHeight="false" outlineLevel="0" collapsed="false">
      <c r="A31" s="2" t="s">
        <v>70</v>
      </c>
      <c r="B31" s="12" t="n">
        <f aca="false">SUMIFS(Declarations!$F$29:$F$37,D$5:D$13,$A31)</f>
        <v>1540</v>
      </c>
      <c r="C31" s="12" t="n">
        <f aca="false">SUMIFS(Declarations!$F$29:$F$37,I$5:I$13,$A31)</f>
        <v>1848</v>
      </c>
      <c r="D31" s="12" t="n">
        <f aca="false">SUMIFS(Declarations!$F$29:$F$37,O$5:O$13,$A31)</f>
        <v>1540</v>
      </c>
    </row>
    <row r="32" customFormat="false" ht="15" hidden="false" customHeight="false" outlineLevel="0" collapsed="false">
      <c r="A32" s="2" t="s">
        <v>74</v>
      </c>
      <c r="B32" s="12" t="n">
        <f aca="false">SUMIFS(Declarations!$F$29:$F$37,D$5:D$13,$A32)</f>
        <v>1540</v>
      </c>
      <c r="C32" s="12" t="n">
        <f aca="false">SUMIFS(Declarations!$F$29:$F$37,I$5:I$13,$A32)</f>
        <v>1848</v>
      </c>
      <c r="D32" s="12" t="n">
        <f aca="false">SUMIFS(Declarations!$F$29:$F$37,O$5:O$13,$A32)</f>
        <v>1540</v>
      </c>
    </row>
    <row r="33" customFormat="false" ht="15" hidden="false" customHeight="false" outlineLevel="0" collapsed="false">
      <c r="A33" s="2" t="s">
        <v>81</v>
      </c>
      <c r="B33" s="12" t="n">
        <f aca="false">SUMIFS(Declarations!$F$29:$F$37,D$5:D$13,$A33)</f>
        <v>3696</v>
      </c>
      <c r="C33" s="12" t="n">
        <f aca="false">SUMIFS(Declarations!$F$29:$F$37,I$5:I$13,$A33)</f>
        <v>0</v>
      </c>
      <c r="D33" s="12" t="n">
        <f aca="false">SUMIFS(Declarations!$F$29:$F$37,O$5:O$13,$A33)</f>
        <v>3696</v>
      </c>
    </row>
    <row r="34" customFormat="false" ht="15" hidden="false" customHeight="false" outlineLevel="0" collapsed="false">
      <c r="A34" s="0" t="s">
        <v>117</v>
      </c>
      <c r="B34" s="12" t="n">
        <f aca="false">SUM(B30:B33)</f>
        <v>6776</v>
      </c>
      <c r="C34" s="12" t="n">
        <f aca="false">SUM(C30:C33)</f>
        <v>6776</v>
      </c>
      <c r="D34" s="12" t="n">
        <f aca="false">SUM(D30:D33)</f>
        <v>6776</v>
      </c>
    </row>
    <row r="36" customFormat="false" ht="15" hidden="false" customHeight="false" outlineLevel="0" collapsed="false">
      <c r="A36" s="10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7" min="2" style="0" width="9"/>
    <col collapsed="false" customWidth="true" hidden="false" outlineLevel="0" max="16" min="8" style="0" width="4"/>
    <col collapsed="false" customWidth="true" hidden="false" outlineLevel="0" max="21" min="17" style="0" width="9"/>
    <col collapsed="false" customWidth="true" hidden="false" outlineLevel="0" max="22" min="22" style="0" width="12"/>
    <col collapsed="false" customWidth="true" hidden="false" outlineLevel="0" max="25" min="23" style="0" width="8"/>
    <col collapsed="false" customWidth="true" hidden="false" outlineLevel="0" max="26" min="26" style="0" width="3"/>
    <col collapsed="false" customWidth="true" hidden="false" outlineLevel="0" max="27" min="27" style="0" width="62"/>
    <col collapsed="false" customWidth="true" hidden="false" outlineLevel="0" max="28" min="28" style="0" width="10"/>
  </cols>
  <sheetData>
    <row r="1" customFormat="false" ht="1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10" t="s">
        <v>120</v>
      </c>
    </row>
    <row r="3" customFormat="false" ht="15" hidden="false" customHeight="false" outlineLevel="0" collapsed="false">
      <c r="A3" s="0" t="s">
        <v>121</v>
      </c>
      <c r="H3" s="18" t="n">
        <f aca="false">MATCH(Declarations!B29,Entities,0)</f>
        <v>1</v>
      </c>
      <c r="I3" s="18" t="n">
        <f aca="false">MATCH(Declarations!B30,Entities,0)</f>
        <v>2</v>
      </c>
      <c r="J3" s="18" t="n">
        <f aca="false">MATCH(Declarations!B31,Entities,0)</f>
        <v>2</v>
      </c>
      <c r="K3" s="18" t="n">
        <f aca="false">MATCH(Declarations!B32,Entities,0)</f>
        <v>3</v>
      </c>
      <c r="L3" s="18" t="n">
        <f aca="false">MATCH(Declarations!B33,Entities,0)</f>
        <v>3</v>
      </c>
      <c r="M3" s="18" t="n">
        <f aca="false">MATCH(Declarations!B34,Entities,0)</f>
        <v>4</v>
      </c>
      <c r="N3" s="18" t="n">
        <f aca="false">MATCH(Declarations!B35,Entities,0)</f>
        <v>3</v>
      </c>
      <c r="O3" s="18" t="n">
        <f aca="false">MATCH(Declarations!B36,Entities,0)</f>
        <v>5</v>
      </c>
      <c r="P3" s="18" t="n">
        <f aca="false">MATCH(Declarations!B37,Entities,0)</f>
        <v>6</v>
      </c>
    </row>
    <row r="4" customFormat="false" ht="15" hidden="false" customHeight="false" outlineLevel="0" collapsed="false">
      <c r="A4" s="0" t="s">
        <v>122</v>
      </c>
      <c r="H4" s="18" t="n">
        <f aca="false">MATCH(Declarations!C29,Entities,0)</f>
        <v>2</v>
      </c>
      <c r="I4" s="18" t="n">
        <f aca="false">MATCH(Declarations!C30,Entities,0)</f>
        <v>1</v>
      </c>
      <c r="J4" s="18" t="n">
        <f aca="false">MATCH(Declarations!C31,Entities,0)</f>
        <v>3</v>
      </c>
      <c r="K4" s="18" t="n">
        <f aca="false">MATCH(Declarations!C32,Entities,0)</f>
        <v>2</v>
      </c>
      <c r="L4" s="18" t="n">
        <f aca="false">MATCH(Declarations!C33,Entities,0)</f>
        <v>4</v>
      </c>
      <c r="M4" s="18" t="n">
        <f aca="false">MATCH(Declarations!C34,Entities,0)</f>
        <v>3</v>
      </c>
      <c r="N4" s="18" t="n">
        <f aca="false">MATCH(Declarations!C35,Entities,0)</f>
        <v>2</v>
      </c>
      <c r="O4" s="18" t="n">
        <f aca="false">MATCH(Declarations!C36,Entities,0)</f>
        <v>2</v>
      </c>
      <c r="P4" s="18" t="n">
        <f aca="false">MATCH(Declarations!C37,Entities,0)</f>
        <v>2</v>
      </c>
    </row>
    <row r="5" customFormat="false" ht="35.05" hidden="false" customHeight="false" outlineLevel="0" collapsed="false">
      <c r="A5" s="8" t="s">
        <v>123</v>
      </c>
      <c r="B5" s="8" t="s">
        <v>52</v>
      </c>
      <c r="C5" s="8" t="s">
        <v>53</v>
      </c>
      <c r="D5" s="8" t="s">
        <v>54</v>
      </c>
      <c r="E5" s="8" t="s">
        <v>55</v>
      </c>
      <c r="F5" s="8" t="s">
        <v>56</v>
      </c>
      <c r="G5" s="8" t="s">
        <v>57</v>
      </c>
      <c r="H5" s="8" t="s">
        <v>67</v>
      </c>
      <c r="I5" s="8" t="s">
        <v>71</v>
      </c>
      <c r="J5" s="8" t="s">
        <v>75</v>
      </c>
      <c r="K5" s="8" t="s">
        <v>78</v>
      </c>
      <c r="L5" s="8" t="s">
        <v>79</v>
      </c>
      <c r="M5" s="8" t="s">
        <v>82</v>
      </c>
      <c r="N5" s="8" t="s">
        <v>83</v>
      </c>
      <c r="O5" s="8" t="s">
        <v>86</v>
      </c>
      <c r="P5" s="8" t="s">
        <v>88</v>
      </c>
      <c r="Q5" s="8" t="s">
        <v>77</v>
      </c>
      <c r="R5" s="8" t="s">
        <v>70</v>
      </c>
      <c r="S5" s="8" t="s">
        <v>74</v>
      </c>
      <c r="T5" s="8" t="s">
        <v>81</v>
      </c>
      <c r="U5" s="8" t="s">
        <v>124</v>
      </c>
      <c r="V5" s="8" t="s">
        <v>125</v>
      </c>
      <c r="W5" s="8" t="s">
        <v>69</v>
      </c>
      <c r="X5" s="8" t="s">
        <v>73</v>
      </c>
      <c r="Y5" s="8" t="s">
        <v>85</v>
      </c>
      <c r="AA5" s="8" t="s">
        <v>126</v>
      </c>
      <c r="AB5" s="8" t="s">
        <v>19</v>
      </c>
    </row>
    <row r="6" customFormat="false" ht="15" hidden="false" customHeight="false" outlineLevel="0" collapsed="false">
      <c r="A6" s="18" t="n">
        <v>0</v>
      </c>
      <c r="B6" s="18" t="n">
        <f aca="false">MOD(INT($A6/2^0),2)</f>
        <v>0</v>
      </c>
      <c r="C6" s="18" t="n">
        <f aca="false">MOD(INT($A6/2^1),2)</f>
        <v>0</v>
      </c>
      <c r="D6" s="18" t="n">
        <f aca="false">MOD(INT($A6/2^2),2)</f>
        <v>0</v>
      </c>
      <c r="E6" s="18" t="n">
        <f aca="false">MOD(INT($A6/2^3),2)</f>
        <v>0</v>
      </c>
      <c r="F6" s="18" t="n">
        <f aca="false">MOD(INT($A6/2^4),2)</f>
        <v>0</v>
      </c>
      <c r="G6" s="18" t="n">
        <f aca="false">MOD(INT($A6/2^5),2)</f>
        <v>0</v>
      </c>
      <c r="H6" s="2" t="str">
        <f aca="false">CHOOSE(1+2*INDEX($B6:$G6,H$3)+INDEX($B6:$G6,H$4),"E","N","O","I")</f>
        <v>E</v>
      </c>
      <c r="I6" s="2" t="str">
        <f aca="false">CHOOSE(1+2*INDEX($B6:$G6,I$3)+INDEX($B6:$G6,I$4),"E","N","O","I")</f>
        <v>E</v>
      </c>
      <c r="J6" s="2" t="str">
        <f aca="false">CHOOSE(1+2*INDEX($B6:$G6,J$3)+INDEX($B6:$G6,J$4),"E","N","O","I")</f>
        <v>E</v>
      </c>
      <c r="K6" s="2" t="str">
        <f aca="false">CHOOSE(1+2*INDEX($B6:$G6,K$3)+INDEX($B6:$G6,K$4),"E","N","O","I")</f>
        <v>E</v>
      </c>
      <c r="L6" s="2" t="str">
        <f aca="false">CHOOSE(1+2*INDEX($B6:$G6,L$3)+INDEX($B6:$G6,L$4),"E","N","O","I")</f>
        <v>E</v>
      </c>
      <c r="M6" s="2" t="str">
        <f aca="false">CHOOSE(1+2*INDEX($B6:$G6,M$3)+INDEX($B6:$G6,M$4),"E","N","O","I")</f>
        <v>E</v>
      </c>
      <c r="N6" s="2" t="str">
        <f aca="false">CHOOSE(1+2*INDEX($B6:$G6,N$3)+INDEX($B6:$G6,N$4),"E","N","O","I")</f>
        <v>E</v>
      </c>
      <c r="O6" s="2" t="str">
        <f aca="false">CHOOSE(1+2*INDEX($B6:$G6,O$3)+INDEX($B6:$G6,O$4),"E","N","O","I")</f>
        <v>E</v>
      </c>
      <c r="P6" s="2" t="str">
        <f aca="false">CHOOSE(1+2*INDEX($B6:$G6,P$3)+INDEX($B6:$G6,P$4),"E","N","O","I")</f>
        <v>E</v>
      </c>
      <c r="Q6" s="18" t="n">
        <f aca="false">COUNTIF($H6:$P6,"I")</f>
        <v>0</v>
      </c>
      <c r="R6" s="18" t="n">
        <f aca="false">COUNTIF($H6:$P6,"N")</f>
        <v>0</v>
      </c>
      <c r="S6" s="18" t="n">
        <f aca="false">COUNTIF($H6:$P6,"O")</f>
        <v>0</v>
      </c>
      <c r="T6" s="18" t="n">
        <f aca="false">COUNTIF($H6:$P6,"E")</f>
        <v>9</v>
      </c>
      <c r="U6" s="18" t="n">
        <f aca="false">SUM(Q6:T6)</f>
        <v>9</v>
      </c>
      <c r="V6" s="2" t="str">
        <f aca="false">H6&amp;I6&amp;J6&amp;K6&amp;L6&amp;M6&amp;N6&amp;O6&amp;P6</f>
        <v>EEEEEEEEE</v>
      </c>
      <c r="W6" s="2" t="str">
        <f aca="false">IF(Declarations!$E$29="goods",H6,"")&amp;IF(Declarations!$E$30="goods",I6,"")&amp;IF(Declarations!$E$31="goods",J6,"")&amp;IF(Declarations!$E$32="goods",K6,"")&amp;IF(Declarations!$E$33="goods",L6,"")&amp;IF(Declarations!$E$34="goods",M6,"")&amp;IF(Declarations!$E$35="goods",N6,"")&amp;IF(Declarations!$E$36="goods",O6,"")&amp;IF(Declarations!$E$37="goods",P6,"")</f>
        <v>EEE</v>
      </c>
      <c r="X6" s="2" t="str">
        <f aca="false">IF(Declarations!$E$29="capital",H6,"")&amp;IF(Declarations!$E$30="capital",I6,"")&amp;IF(Declarations!$E$31="capital",J6,"")&amp;IF(Declarations!$E$32="capital",K6,"")&amp;IF(Declarations!$E$33="capital",L6,"")&amp;IF(Declarations!$E$34="capital",M6,"")&amp;IF(Declarations!$E$35="capital",N6,"")&amp;IF(Declarations!$E$36="capital",O6,"")&amp;IF(Declarations!$E$37="capital",P6,"")</f>
        <v>EEEE</v>
      </c>
      <c r="Y6" s="2" t="str">
        <f aca="false">IF(Declarations!$E$29="information",H6,"")&amp;IF(Declarations!$E$30="information",I6,"")&amp;IF(Declarations!$E$31="information",J6,"")&amp;IF(Declarations!$E$32="information",K6,"")&amp;IF(Declarations!$E$33="information",L6,"")&amp;IF(Declarations!$E$34="information",M6,"")&amp;IF(Declarations!$E$35="information",N6,"")&amp;IF(Declarations!$E$36="information",O6,"")&amp;IF(Declarations!$E$37="information",P6,"")</f>
        <v>EE</v>
      </c>
      <c r="AA6" s="2" t="s">
        <v>127</v>
      </c>
      <c r="AB6" s="18" t="n">
        <f aca="false">COUNT(A6:A69)</f>
        <v>64</v>
      </c>
    </row>
    <row r="7" customFormat="false" ht="15" hidden="false" customHeight="false" outlineLevel="0" collapsed="false">
      <c r="A7" s="18" t="n">
        <v>1</v>
      </c>
      <c r="B7" s="18" t="n">
        <f aca="false">MOD(INT($A7/2^0),2)</f>
        <v>1</v>
      </c>
      <c r="C7" s="18" t="n">
        <f aca="false">MOD(INT($A7/2^1),2)</f>
        <v>0</v>
      </c>
      <c r="D7" s="18" t="n">
        <f aca="false">MOD(INT($A7/2^2),2)</f>
        <v>0</v>
      </c>
      <c r="E7" s="18" t="n">
        <f aca="false">MOD(INT($A7/2^3),2)</f>
        <v>0</v>
      </c>
      <c r="F7" s="18" t="n">
        <f aca="false">MOD(INT($A7/2^4),2)</f>
        <v>0</v>
      </c>
      <c r="G7" s="18" t="n">
        <f aca="false">MOD(INT($A7/2^5),2)</f>
        <v>0</v>
      </c>
      <c r="H7" s="2" t="str">
        <f aca="false">CHOOSE(1+2*INDEX($B7:$G7,H$3)+INDEX($B7:$G7,H$4),"E","N","O","I")</f>
        <v>O</v>
      </c>
      <c r="I7" s="2" t="str">
        <f aca="false">CHOOSE(1+2*INDEX($B7:$G7,I$3)+INDEX($B7:$G7,I$4),"E","N","O","I")</f>
        <v>N</v>
      </c>
      <c r="J7" s="2" t="str">
        <f aca="false">CHOOSE(1+2*INDEX($B7:$G7,J$3)+INDEX($B7:$G7,J$4),"E","N","O","I")</f>
        <v>E</v>
      </c>
      <c r="K7" s="2" t="str">
        <f aca="false">CHOOSE(1+2*INDEX($B7:$G7,K$3)+INDEX($B7:$G7,K$4),"E","N","O","I")</f>
        <v>E</v>
      </c>
      <c r="L7" s="2" t="str">
        <f aca="false">CHOOSE(1+2*INDEX($B7:$G7,L$3)+INDEX($B7:$G7,L$4),"E","N","O","I")</f>
        <v>E</v>
      </c>
      <c r="M7" s="2" t="str">
        <f aca="false">CHOOSE(1+2*INDEX($B7:$G7,M$3)+INDEX($B7:$G7,M$4),"E","N","O","I")</f>
        <v>E</v>
      </c>
      <c r="N7" s="2" t="str">
        <f aca="false">CHOOSE(1+2*INDEX($B7:$G7,N$3)+INDEX($B7:$G7,N$4),"E","N","O","I")</f>
        <v>E</v>
      </c>
      <c r="O7" s="2" t="str">
        <f aca="false">CHOOSE(1+2*INDEX($B7:$G7,O$3)+INDEX($B7:$G7,O$4),"E","N","O","I")</f>
        <v>E</v>
      </c>
      <c r="P7" s="2" t="str">
        <f aca="false">CHOOSE(1+2*INDEX($B7:$G7,P$3)+INDEX($B7:$G7,P$4),"E","N","O","I")</f>
        <v>E</v>
      </c>
      <c r="Q7" s="18" t="n">
        <f aca="false">COUNTIF($H7:$P7,"I")</f>
        <v>0</v>
      </c>
      <c r="R7" s="18" t="n">
        <f aca="false">COUNTIF($H7:$P7,"N")</f>
        <v>1</v>
      </c>
      <c r="S7" s="18" t="n">
        <f aca="false">COUNTIF($H7:$P7,"O")</f>
        <v>1</v>
      </c>
      <c r="T7" s="18" t="n">
        <f aca="false">COUNTIF($H7:$P7,"E")</f>
        <v>7</v>
      </c>
      <c r="U7" s="18" t="n">
        <f aca="false">SUM(Q7:T7)</f>
        <v>9</v>
      </c>
      <c r="V7" s="2" t="str">
        <f aca="false">H7&amp;I7&amp;J7&amp;K7&amp;L7&amp;M7&amp;N7&amp;O7&amp;P7</f>
        <v>ONEEEEEEE</v>
      </c>
      <c r="W7" s="2" t="str">
        <f aca="false">IF(Declarations!$E$29="goods",H7,"")&amp;IF(Declarations!$E$30="goods",I7,"")&amp;IF(Declarations!$E$31="goods",J7,"")&amp;IF(Declarations!$E$32="goods",K7,"")&amp;IF(Declarations!$E$33="goods",L7,"")&amp;IF(Declarations!$E$34="goods",M7,"")&amp;IF(Declarations!$E$35="goods",N7,"")&amp;IF(Declarations!$E$36="goods",O7,"")&amp;IF(Declarations!$E$37="goods",P7,"")</f>
        <v>OEE</v>
      </c>
      <c r="X7" s="2" t="str">
        <f aca="false">IF(Declarations!$E$29="capital",H7,"")&amp;IF(Declarations!$E$30="capital",I7,"")&amp;IF(Declarations!$E$31="capital",J7,"")&amp;IF(Declarations!$E$32="capital",K7,"")&amp;IF(Declarations!$E$33="capital",L7,"")&amp;IF(Declarations!$E$34="capital",M7,"")&amp;IF(Declarations!$E$35="capital",N7,"")&amp;IF(Declarations!$E$36="capital",O7,"")&amp;IF(Declarations!$E$37="capital",P7,"")</f>
        <v>NEEE</v>
      </c>
      <c r="Y7" s="2" t="str">
        <f aca="false">IF(Declarations!$E$29="information",H7,"")&amp;IF(Declarations!$E$30="information",I7,"")&amp;IF(Declarations!$E$31="information",J7,"")&amp;IF(Declarations!$E$32="information",K7,"")&amp;IF(Declarations!$E$33="information",L7,"")&amp;IF(Declarations!$E$34="information",M7,"")&amp;IF(Declarations!$E$35="information",N7,"")&amp;IF(Declarations!$E$36="information",O7,"")&amp;IF(Declarations!$E$37="information",P7,"")</f>
        <v>EE</v>
      </c>
      <c r="AA7" s="2" t="s">
        <v>128</v>
      </c>
      <c r="AB7" s="18" t="n">
        <f aca="false">MIN(U6:U69)</f>
        <v>9</v>
      </c>
    </row>
    <row r="8" customFormat="false" ht="15" hidden="false" customHeight="false" outlineLevel="0" collapsed="false">
      <c r="A8" s="18" t="n">
        <v>2</v>
      </c>
      <c r="B8" s="18" t="n">
        <f aca="false">MOD(INT($A8/2^0),2)</f>
        <v>0</v>
      </c>
      <c r="C8" s="18" t="n">
        <f aca="false">MOD(INT($A8/2^1),2)</f>
        <v>1</v>
      </c>
      <c r="D8" s="18" t="n">
        <f aca="false">MOD(INT($A8/2^2),2)</f>
        <v>0</v>
      </c>
      <c r="E8" s="18" t="n">
        <f aca="false">MOD(INT($A8/2^3),2)</f>
        <v>0</v>
      </c>
      <c r="F8" s="18" t="n">
        <f aca="false">MOD(INT($A8/2^4),2)</f>
        <v>0</v>
      </c>
      <c r="G8" s="18" t="n">
        <f aca="false">MOD(INT($A8/2^5),2)</f>
        <v>0</v>
      </c>
      <c r="H8" s="2" t="str">
        <f aca="false">CHOOSE(1+2*INDEX($B8:$G8,H$3)+INDEX($B8:$G8,H$4),"E","N","O","I")</f>
        <v>N</v>
      </c>
      <c r="I8" s="2" t="str">
        <f aca="false">CHOOSE(1+2*INDEX($B8:$G8,I$3)+INDEX($B8:$G8,I$4),"E","N","O","I")</f>
        <v>O</v>
      </c>
      <c r="J8" s="2" t="str">
        <f aca="false">CHOOSE(1+2*INDEX($B8:$G8,J$3)+INDEX($B8:$G8,J$4),"E","N","O","I")</f>
        <v>O</v>
      </c>
      <c r="K8" s="2" t="str">
        <f aca="false">CHOOSE(1+2*INDEX($B8:$G8,K$3)+INDEX($B8:$G8,K$4),"E","N","O","I")</f>
        <v>N</v>
      </c>
      <c r="L8" s="2" t="str">
        <f aca="false">CHOOSE(1+2*INDEX($B8:$G8,L$3)+INDEX($B8:$G8,L$4),"E","N","O","I")</f>
        <v>E</v>
      </c>
      <c r="M8" s="2" t="str">
        <f aca="false">CHOOSE(1+2*INDEX($B8:$G8,M$3)+INDEX($B8:$G8,M$4),"E","N","O","I")</f>
        <v>E</v>
      </c>
      <c r="N8" s="2" t="str">
        <f aca="false">CHOOSE(1+2*INDEX($B8:$G8,N$3)+INDEX($B8:$G8,N$4),"E","N","O","I")</f>
        <v>N</v>
      </c>
      <c r="O8" s="2" t="str">
        <f aca="false">CHOOSE(1+2*INDEX($B8:$G8,O$3)+INDEX($B8:$G8,O$4),"E","N","O","I")</f>
        <v>N</v>
      </c>
      <c r="P8" s="2" t="str">
        <f aca="false">CHOOSE(1+2*INDEX($B8:$G8,P$3)+INDEX($B8:$G8,P$4),"E","N","O","I")</f>
        <v>N</v>
      </c>
      <c r="Q8" s="18" t="n">
        <f aca="false">COUNTIF($H8:$P8,"I")</f>
        <v>0</v>
      </c>
      <c r="R8" s="18" t="n">
        <f aca="false">COUNTIF($H8:$P8,"N")</f>
        <v>5</v>
      </c>
      <c r="S8" s="18" t="n">
        <f aca="false">COUNTIF($H8:$P8,"O")</f>
        <v>2</v>
      </c>
      <c r="T8" s="18" t="n">
        <f aca="false">COUNTIF($H8:$P8,"E")</f>
        <v>2</v>
      </c>
      <c r="U8" s="18" t="n">
        <f aca="false">SUM(Q8:T8)</f>
        <v>9</v>
      </c>
      <c r="V8" s="2" t="str">
        <f aca="false">H8&amp;I8&amp;J8&amp;K8&amp;L8&amp;M8&amp;N8&amp;O8&amp;P8</f>
        <v>NOONEENNN</v>
      </c>
      <c r="W8" s="2" t="str">
        <f aca="false">IF(Declarations!$E$29="goods",H8,"")&amp;IF(Declarations!$E$30="goods",I8,"")&amp;IF(Declarations!$E$31="goods",J8,"")&amp;IF(Declarations!$E$32="goods",K8,"")&amp;IF(Declarations!$E$33="goods",L8,"")&amp;IF(Declarations!$E$34="goods",M8,"")&amp;IF(Declarations!$E$35="goods",N8,"")&amp;IF(Declarations!$E$36="goods",O8,"")&amp;IF(Declarations!$E$37="goods",P8,"")</f>
        <v>NOE</v>
      </c>
      <c r="X8" s="2" t="str">
        <f aca="false">IF(Declarations!$E$29="capital",H8,"")&amp;IF(Declarations!$E$30="capital",I8,"")&amp;IF(Declarations!$E$31="capital",J8,"")&amp;IF(Declarations!$E$32="capital",K8,"")&amp;IF(Declarations!$E$33="capital",L8,"")&amp;IF(Declarations!$E$34="capital",M8,"")&amp;IF(Declarations!$E$35="capital",N8,"")&amp;IF(Declarations!$E$36="capital",O8,"")&amp;IF(Declarations!$E$37="capital",P8,"")</f>
        <v>ONEN</v>
      </c>
      <c r="Y8" s="2" t="str">
        <f aca="false">IF(Declarations!$E$29="information",H8,"")&amp;IF(Declarations!$E$30="information",I8,"")&amp;IF(Declarations!$E$31="information",J8,"")&amp;IF(Declarations!$E$32="information",K8,"")&amp;IF(Declarations!$E$33="information",L8,"")&amp;IF(Declarations!$E$34="information",M8,"")&amp;IF(Declarations!$E$35="information",N8,"")&amp;IF(Declarations!$E$36="information",O8,"")&amp;IF(Declarations!$E$37="information",P8,"")</f>
        <v>NN</v>
      </c>
      <c r="AA8" s="2" t="s">
        <v>129</v>
      </c>
      <c r="AB8" s="18" t="n">
        <f aca="false">MAX(U6:U69)</f>
        <v>9</v>
      </c>
    </row>
    <row r="9" customFormat="false" ht="15" hidden="false" customHeight="false" outlineLevel="0" collapsed="false">
      <c r="A9" s="18" t="n">
        <v>3</v>
      </c>
      <c r="B9" s="18" t="n">
        <f aca="false">MOD(INT($A9/2^0),2)</f>
        <v>1</v>
      </c>
      <c r="C9" s="18" t="n">
        <f aca="false">MOD(INT($A9/2^1),2)</f>
        <v>1</v>
      </c>
      <c r="D9" s="18" t="n">
        <f aca="false">MOD(INT($A9/2^2),2)</f>
        <v>0</v>
      </c>
      <c r="E9" s="18" t="n">
        <f aca="false">MOD(INT($A9/2^3),2)</f>
        <v>0</v>
      </c>
      <c r="F9" s="18" t="n">
        <f aca="false">MOD(INT($A9/2^4),2)</f>
        <v>0</v>
      </c>
      <c r="G9" s="18" t="n">
        <f aca="false">MOD(INT($A9/2^5),2)</f>
        <v>0</v>
      </c>
      <c r="H9" s="2" t="str">
        <f aca="false">CHOOSE(1+2*INDEX($B9:$G9,H$3)+INDEX($B9:$G9,H$4),"E","N","O","I")</f>
        <v>I</v>
      </c>
      <c r="I9" s="2" t="str">
        <f aca="false">CHOOSE(1+2*INDEX($B9:$G9,I$3)+INDEX($B9:$G9,I$4),"E","N","O","I")</f>
        <v>I</v>
      </c>
      <c r="J9" s="2" t="str">
        <f aca="false">CHOOSE(1+2*INDEX($B9:$G9,J$3)+INDEX($B9:$G9,J$4),"E","N","O","I")</f>
        <v>O</v>
      </c>
      <c r="K9" s="2" t="str">
        <f aca="false">CHOOSE(1+2*INDEX($B9:$G9,K$3)+INDEX($B9:$G9,K$4),"E","N","O","I")</f>
        <v>N</v>
      </c>
      <c r="L9" s="2" t="str">
        <f aca="false">CHOOSE(1+2*INDEX($B9:$G9,L$3)+INDEX($B9:$G9,L$4),"E","N","O","I")</f>
        <v>E</v>
      </c>
      <c r="M9" s="2" t="str">
        <f aca="false">CHOOSE(1+2*INDEX($B9:$G9,M$3)+INDEX($B9:$G9,M$4),"E","N","O","I")</f>
        <v>E</v>
      </c>
      <c r="N9" s="2" t="str">
        <f aca="false">CHOOSE(1+2*INDEX($B9:$G9,N$3)+INDEX($B9:$G9,N$4),"E","N","O","I")</f>
        <v>N</v>
      </c>
      <c r="O9" s="2" t="str">
        <f aca="false">CHOOSE(1+2*INDEX($B9:$G9,O$3)+INDEX($B9:$G9,O$4),"E","N","O","I")</f>
        <v>N</v>
      </c>
      <c r="P9" s="2" t="str">
        <f aca="false">CHOOSE(1+2*INDEX($B9:$G9,P$3)+INDEX($B9:$G9,P$4),"E","N","O","I")</f>
        <v>N</v>
      </c>
      <c r="Q9" s="18" t="n">
        <f aca="false">COUNTIF($H9:$P9,"I")</f>
        <v>2</v>
      </c>
      <c r="R9" s="18" t="n">
        <f aca="false">COUNTIF($H9:$P9,"N")</f>
        <v>4</v>
      </c>
      <c r="S9" s="18" t="n">
        <f aca="false">COUNTIF($H9:$P9,"O")</f>
        <v>1</v>
      </c>
      <c r="T9" s="18" t="n">
        <f aca="false">COUNTIF($H9:$P9,"E")</f>
        <v>2</v>
      </c>
      <c r="U9" s="18" t="n">
        <f aca="false">SUM(Q9:T9)</f>
        <v>9</v>
      </c>
      <c r="V9" s="2" t="str">
        <f aca="false">H9&amp;I9&amp;J9&amp;K9&amp;L9&amp;M9&amp;N9&amp;O9&amp;P9</f>
        <v>IIONEENNN</v>
      </c>
      <c r="W9" s="2" t="str">
        <f aca="false">IF(Declarations!$E$29="goods",H9,"")&amp;IF(Declarations!$E$30="goods",I9,"")&amp;IF(Declarations!$E$31="goods",J9,"")&amp;IF(Declarations!$E$32="goods",K9,"")&amp;IF(Declarations!$E$33="goods",L9,"")&amp;IF(Declarations!$E$34="goods",M9,"")&amp;IF(Declarations!$E$35="goods",N9,"")&amp;IF(Declarations!$E$36="goods",O9,"")&amp;IF(Declarations!$E$37="goods",P9,"")</f>
        <v>IOE</v>
      </c>
      <c r="X9" s="2" t="str">
        <f aca="false">IF(Declarations!$E$29="capital",H9,"")&amp;IF(Declarations!$E$30="capital",I9,"")&amp;IF(Declarations!$E$31="capital",J9,"")&amp;IF(Declarations!$E$32="capital",K9,"")&amp;IF(Declarations!$E$33="capital",L9,"")&amp;IF(Declarations!$E$34="capital",M9,"")&amp;IF(Declarations!$E$35="capital",N9,"")&amp;IF(Declarations!$E$36="capital",O9,"")&amp;IF(Declarations!$E$37="capital",P9,"")</f>
        <v>INEN</v>
      </c>
      <c r="Y9" s="2" t="str">
        <f aca="false">IF(Declarations!$E$29="information",H9,"")&amp;IF(Declarations!$E$30="information",I9,"")&amp;IF(Declarations!$E$31="information",J9,"")&amp;IF(Declarations!$E$32="information",K9,"")&amp;IF(Declarations!$E$33="information",L9,"")&amp;IF(Declarations!$E$34="information",M9,"")&amp;IF(Declarations!$E$35="information",N9,"")&amp;IF(Declarations!$E$36="information",O9,"")&amp;IF(Declarations!$E$37="information",P9,"")</f>
        <v>NN</v>
      </c>
      <c r="AA9" s="2" t="s">
        <v>130</v>
      </c>
      <c r="AB9" s="18" t="n">
        <f aca="false">SUMPRODUCT(ABS(U6:U69-9))</f>
        <v>0</v>
      </c>
    </row>
    <row r="10" customFormat="false" ht="15" hidden="false" customHeight="false" outlineLevel="0" collapsed="false">
      <c r="A10" s="18" t="n">
        <v>4</v>
      </c>
      <c r="B10" s="18" t="n">
        <f aca="false">MOD(INT($A10/2^0),2)</f>
        <v>0</v>
      </c>
      <c r="C10" s="18" t="n">
        <f aca="false">MOD(INT($A10/2^1),2)</f>
        <v>0</v>
      </c>
      <c r="D10" s="18" t="n">
        <f aca="false">MOD(INT($A10/2^2),2)</f>
        <v>1</v>
      </c>
      <c r="E10" s="18" t="n">
        <f aca="false">MOD(INT($A10/2^3),2)</f>
        <v>0</v>
      </c>
      <c r="F10" s="18" t="n">
        <f aca="false">MOD(INT($A10/2^4),2)</f>
        <v>0</v>
      </c>
      <c r="G10" s="18" t="n">
        <f aca="false">MOD(INT($A10/2^5),2)</f>
        <v>0</v>
      </c>
      <c r="H10" s="2" t="str">
        <f aca="false">CHOOSE(1+2*INDEX($B10:$G10,H$3)+INDEX($B10:$G10,H$4),"E","N","O","I")</f>
        <v>E</v>
      </c>
      <c r="I10" s="2" t="str">
        <f aca="false">CHOOSE(1+2*INDEX($B10:$G10,I$3)+INDEX($B10:$G10,I$4),"E","N","O","I")</f>
        <v>E</v>
      </c>
      <c r="J10" s="2" t="str">
        <f aca="false">CHOOSE(1+2*INDEX($B10:$G10,J$3)+INDEX($B10:$G10,J$4),"E","N","O","I")</f>
        <v>N</v>
      </c>
      <c r="K10" s="2" t="str">
        <f aca="false">CHOOSE(1+2*INDEX($B10:$G10,K$3)+INDEX($B10:$G10,K$4),"E","N","O","I")</f>
        <v>O</v>
      </c>
      <c r="L10" s="2" t="str">
        <f aca="false">CHOOSE(1+2*INDEX($B10:$G10,L$3)+INDEX($B10:$G10,L$4),"E","N","O","I")</f>
        <v>O</v>
      </c>
      <c r="M10" s="2" t="str">
        <f aca="false">CHOOSE(1+2*INDEX($B10:$G10,M$3)+INDEX($B10:$G10,M$4),"E","N","O","I")</f>
        <v>N</v>
      </c>
      <c r="N10" s="2" t="str">
        <f aca="false">CHOOSE(1+2*INDEX($B10:$G10,N$3)+INDEX($B10:$G10,N$4),"E","N","O","I")</f>
        <v>O</v>
      </c>
      <c r="O10" s="2" t="str">
        <f aca="false">CHOOSE(1+2*INDEX($B10:$G10,O$3)+INDEX($B10:$G10,O$4),"E","N","O","I")</f>
        <v>E</v>
      </c>
      <c r="P10" s="2" t="str">
        <f aca="false">CHOOSE(1+2*INDEX($B10:$G10,P$3)+INDEX($B10:$G10,P$4),"E","N","O","I")</f>
        <v>E</v>
      </c>
      <c r="Q10" s="18" t="n">
        <f aca="false">COUNTIF($H10:$P10,"I")</f>
        <v>0</v>
      </c>
      <c r="R10" s="18" t="n">
        <f aca="false">COUNTIF($H10:$P10,"N")</f>
        <v>2</v>
      </c>
      <c r="S10" s="18" t="n">
        <f aca="false">COUNTIF($H10:$P10,"O")</f>
        <v>3</v>
      </c>
      <c r="T10" s="18" t="n">
        <f aca="false">COUNTIF($H10:$P10,"E")</f>
        <v>4</v>
      </c>
      <c r="U10" s="18" t="n">
        <f aca="false">SUM(Q10:T10)</f>
        <v>9</v>
      </c>
      <c r="V10" s="2" t="str">
        <f aca="false">H10&amp;I10&amp;J10&amp;K10&amp;L10&amp;M10&amp;N10&amp;O10&amp;P10</f>
        <v>EENOONOEE</v>
      </c>
      <c r="W10" s="2" t="str">
        <f aca="false">IF(Declarations!$E$29="goods",H10,"")&amp;IF(Declarations!$E$30="goods",I10,"")&amp;IF(Declarations!$E$31="goods",J10,"")&amp;IF(Declarations!$E$32="goods",K10,"")&amp;IF(Declarations!$E$33="goods",L10,"")&amp;IF(Declarations!$E$34="goods",M10,"")&amp;IF(Declarations!$E$35="goods",N10,"")&amp;IF(Declarations!$E$36="goods",O10,"")&amp;IF(Declarations!$E$37="goods",P10,"")</f>
        <v>ENO</v>
      </c>
      <c r="X10" s="2" t="str">
        <f aca="false">IF(Declarations!$E$29="capital",H10,"")&amp;IF(Declarations!$E$30="capital",I10,"")&amp;IF(Declarations!$E$31="capital",J10,"")&amp;IF(Declarations!$E$32="capital",K10,"")&amp;IF(Declarations!$E$33="capital",L10,"")&amp;IF(Declarations!$E$34="capital",M10,"")&amp;IF(Declarations!$E$35="capital",N10,"")&amp;IF(Declarations!$E$36="capital",O10,"")&amp;IF(Declarations!$E$37="capital",P10,"")</f>
        <v>EONE</v>
      </c>
      <c r="Y10" s="2" t="str">
        <f aca="false">IF(Declarations!$E$29="information",H10,"")&amp;IF(Declarations!$E$30="information",I10,"")&amp;IF(Declarations!$E$31="information",J10,"")&amp;IF(Declarations!$E$32="information",K10,"")&amp;IF(Declarations!$E$33="information",L10,"")&amp;IF(Declarations!$E$34="information",M10,"")&amp;IF(Declarations!$E$35="information",N10,"")&amp;IF(Declarations!$E$36="information",O10,"")&amp;IF(Declarations!$E$37="information",P10,"")</f>
        <v>OE</v>
      </c>
      <c r="AA10" s="2" t="s">
        <v>131</v>
      </c>
      <c r="AB10" s="18" t="n">
        <f aca="false">SUMPRODUCT(1/COUNTIF(V6:V69,V6:V69))</f>
        <v>64</v>
      </c>
    </row>
    <row r="11" customFormat="false" ht="15" hidden="false" customHeight="false" outlineLevel="0" collapsed="false">
      <c r="A11" s="18" t="n">
        <v>5</v>
      </c>
      <c r="B11" s="18" t="n">
        <f aca="false">MOD(INT($A11/2^0),2)</f>
        <v>1</v>
      </c>
      <c r="C11" s="18" t="n">
        <f aca="false">MOD(INT($A11/2^1),2)</f>
        <v>0</v>
      </c>
      <c r="D11" s="18" t="n">
        <f aca="false">MOD(INT($A11/2^2),2)</f>
        <v>1</v>
      </c>
      <c r="E11" s="18" t="n">
        <f aca="false">MOD(INT($A11/2^3),2)</f>
        <v>0</v>
      </c>
      <c r="F11" s="18" t="n">
        <f aca="false">MOD(INT($A11/2^4),2)</f>
        <v>0</v>
      </c>
      <c r="G11" s="18" t="n">
        <f aca="false">MOD(INT($A11/2^5),2)</f>
        <v>0</v>
      </c>
      <c r="H11" s="2" t="str">
        <f aca="false">CHOOSE(1+2*INDEX($B11:$G11,H$3)+INDEX($B11:$G11,H$4),"E","N","O","I")</f>
        <v>O</v>
      </c>
      <c r="I11" s="2" t="str">
        <f aca="false">CHOOSE(1+2*INDEX($B11:$G11,I$3)+INDEX($B11:$G11,I$4),"E","N","O","I")</f>
        <v>N</v>
      </c>
      <c r="J11" s="2" t="str">
        <f aca="false">CHOOSE(1+2*INDEX($B11:$G11,J$3)+INDEX($B11:$G11,J$4),"E","N","O","I")</f>
        <v>N</v>
      </c>
      <c r="K11" s="2" t="str">
        <f aca="false">CHOOSE(1+2*INDEX($B11:$G11,K$3)+INDEX($B11:$G11,K$4),"E","N","O","I")</f>
        <v>O</v>
      </c>
      <c r="L11" s="2" t="str">
        <f aca="false">CHOOSE(1+2*INDEX($B11:$G11,L$3)+INDEX($B11:$G11,L$4),"E","N","O","I")</f>
        <v>O</v>
      </c>
      <c r="M11" s="2" t="str">
        <f aca="false">CHOOSE(1+2*INDEX($B11:$G11,M$3)+INDEX($B11:$G11,M$4),"E","N","O","I")</f>
        <v>N</v>
      </c>
      <c r="N11" s="2" t="str">
        <f aca="false">CHOOSE(1+2*INDEX($B11:$G11,N$3)+INDEX($B11:$G11,N$4),"E","N","O","I")</f>
        <v>O</v>
      </c>
      <c r="O11" s="2" t="str">
        <f aca="false">CHOOSE(1+2*INDEX($B11:$G11,O$3)+INDEX($B11:$G11,O$4),"E","N","O","I")</f>
        <v>E</v>
      </c>
      <c r="P11" s="2" t="str">
        <f aca="false">CHOOSE(1+2*INDEX($B11:$G11,P$3)+INDEX($B11:$G11,P$4),"E","N","O","I")</f>
        <v>E</v>
      </c>
      <c r="Q11" s="18" t="n">
        <f aca="false">COUNTIF($H11:$P11,"I")</f>
        <v>0</v>
      </c>
      <c r="R11" s="18" t="n">
        <f aca="false">COUNTIF($H11:$P11,"N")</f>
        <v>3</v>
      </c>
      <c r="S11" s="18" t="n">
        <f aca="false">COUNTIF($H11:$P11,"O")</f>
        <v>4</v>
      </c>
      <c r="T11" s="18" t="n">
        <f aca="false">COUNTIF($H11:$P11,"E")</f>
        <v>2</v>
      </c>
      <c r="U11" s="18" t="n">
        <f aca="false">SUM(Q11:T11)</f>
        <v>9</v>
      </c>
      <c r="V11" s="2" t="str">
        <f aca="false">H11&amp;I11&amp;J11&amp;K11&amp;L11&amp;M11&amp;N11&amp;O11&amp;P11</f>
        <v>ONNOONOEE</v>
      </c>
      <c r="W11" s="2" t="str">
        <f aca="false">IF(Declarations!$E$29="goods",H11,"")&amp;IF(Declarations!$E$30="goods",I11,"")&amp;IF(Declarations!$E$31="goods",J11,"")&amp;IF(Declarations!$E$32="goods",K11,"")&amp;IF(Declarations!$E$33="goods",L11,"")&amp;IF(Declarations!$E$34="goods",M11,"")&amp;IF(Declarations!$E$35="goods",N11,"")&amp;IF(Declarations!$E$36="goods",O11,"")&amp;IF(Declarations!$E$37="goods",P11,"")</f>
        <v>ONO</v>
      </c>
      <c r="X11" s="2" t="str">
        <f aca="false">IF(Declarations!$E$29="capital",H11,"")&amp;IF(Declarations!$E$30="capital",I11,"")&amp;IF(Declarations!$E$31="capital",J11,"")&amp;IF(Declarations!$E$32="capital",K11,"")&amp;IF(Declarations!$E$33="capital",L11,"")&amp;IF(Declarations!$E$34="capital",M11,"")&amp;IF(Declarations!$E$35="capital",N11,"")&amp;IF(Declarations!$E$36="capital",O11,"")&amp;IF(Declarations!$E$37="capital",P11,"")</f>
        <v>NONE</v>
      </c>
      <c r="Y11" s="2" t="str">
        <f aca="false">IF(Declarations!$E$29="information",H11,"")&amp;IF(Declarations!$E$30="information",I11,"")&amp;IF(Declarations!$E$31="information",J11,"")&amp;IF(Declarations!$E$32="information",K11,"")&amp;IF(Declarations!$E$33="information",L11,"")&amp;IF(Declarations!$E$34="information",M11,"")&amp;IF(Declarations!$E$35="information",N11,"")&amp;IF(Declarations!$E$36="information",O11,"")&amp;IF(Declarations!$E$37="information",P11,"")</f>
        <v>OE</v>
      </c>
      <c r="AA11" s="2" t="s">
        <v>132</v>
      </c>
      <c r="AB11" s="18" t="n">
        <f aca="false">SUMPRODUCT(1/COUNTIF(W6:W69,W6:W69))</f>
        <v>16</v>
      </c>
    </row>
    <row r="12" customFormat="false" ht="15" hidden="false" customHeight="false" outlineLevel="0" collapsed="false">
      <c r="A12" s="18" t="n">
        <v>6</v>
      </c>
      <c r="B12" s="18" t="n">
        <f aca="false">MOD(INT($A12/2^0),2)</f>
        <v>0</v>
      </c>
      <c r="C12" s="18" t="n">
        <f aca="false">MOD(INT($A12/2^1),2)</f>
        <v>1</v>
      </c>
      <c r="D12" s="18" t="n">
        <f aca="false">MOD(INT($A12/2^2),2)</f>
        <v>1</v>
      </c>
      <c r="E12" s="18" t="n">
        <f aca="false">MOD(INT($A12/2^3),2)</f>
        <v>0</v>
      </c>
      <c r="F12" s="18" t="n">
        <f aca="false">MOD(INT($A12/2^4),2)</f>
        <v>0</v>
      </c>
      <c r="G12" s="18" t="n">
        <f aca="false">MOD(INT($A12/2^5),2)</f>
        <v>0</v>
      </c>
      <c r="H12" s="2" t="str">
        <f aca="false">CHOOSE(1+2*INDEX($B12:$G12,H$3)+INDEX($B12:$G12,H$4),"E","N","O","I")</f>
        <v>N</v>
      </c>
      <c r="I12" s="2" t="str">
        <f aca="false">CHOOSE(1+2*INDEX($B12:$G12,I$3)+INDEX($B12:$G12,I$4),"E","N","O","I")</f>
        <v>O</v>
      </c>
      <c r="J12" s="2" t="str">
        <f aca="false">CHOOSE(1+2*INDEX($B12:$G12,J$3)+INDEX($B12:$G12,J$4),"E","N","O","I")</f>
        <v>I</v>
      </c>
      <c r="K12" s="2" t="str">
        <f aca="false">CHOOSE(1+2*INDEX($B12:$G12,K$3)+INDEX($B12:$G12,K$4),"E","N","O","I")</f>
        <v>I</v>
      </c>
      <c r="L12" s="2" t="str">
        <f aca="false">CHOOSE(1+2*INDEX($B12:$G12,L$3)+INDEX($B12:$G12,L$4),"E","N","O","I")</f>
        <v>O</v>
      </c>
      <c r="M12" s="2" t="str">
        <f aca="false">CHOOSE(1+2*INDEX($B12:$G12,M$3)+INDEX($B12:$G12,M$4),"E","N","O","I")</f>
        <v>N</v>
      </c>
      <c r="N12" s="2" t="str">
        <f aca="false">CHOOSE(1+2*INDEX($B12:$G12,N$3)+INDEX($B12:$G12,N$4),"E","N","O","I")</f>
        <v>I</v>
      </c>
      <c r="O12" s="2" t="str">
        <f aca="false">CHOOSE(1+2*INDEX($B12:$G12,O$3)+INDEX($B12:$G12,O$4),"E","N","O","I")</f>
        <v>N</v>
      </c>
      <c r="P12" s="2" t="str">
        <f aca="false">CHOOSE(1+2*INDEX($B12:$G12,P$3)+INDEX($B12:$G12,P$4),"E","N","O","I")</f>
        <v>N</v>
      </c>
      <c r="Q12" s="18" t="n">
        <f aca="false">COUNTIF($H12:$P12,"I")</f>
        <v>3</v>
      </c>
      <c r="R12" s="18" t="n">
        <f aca="false">COUNTIF($H12:$P12,"N")</f>
        <v>4</v>
      </c>
      <c r="S12" s="18" t="n">
        <f aca="false">COUNTIF($H12:$P12,"O")</f>
        <v>2</v>
      </c>
      <c r="T12" s="18" t="n">
        <f aca="false">COUNTIF($H12:$P12,"E")</f>
        <v>0</v>
      </c>
      <c r="U12" s="18" t="n">
        <f aca="false">SUM(Q12:T12)</f>
        <v>9</v>
      </c>
      <c r="V12" s="2" t="str">
        <f aca="false">H12&amp;I12&amp;J12&amp;K12&amp;L12&amp;M12&amp;N12&amp;O12&amp;P12</f>
        <v>NOIIONINN</v>
      </c>
      <c r="W12" s="2" t="str">
        <f aca="false">IF(Declarations!$E$29="goods",H12,"")&amp;IF(Declarations!$E$30="goods",I12,"")&amp;IF(Declarations!$E$31="goods",J12,"")&amp;IF(Declarations!$E$32="goods",K12,"")&amp;IF(Declarations!$E$33="goods",L12,"")&amp;IF(Declarations!$E$34="goods",M12,"")&amp;IF(Declarations!$E$35="goods",N12,"")&amp;IF(Declarations!$E$36="goods",O12,"")&amp;IF(Declarations!$E$37="goods",P12,"")</f>
        <v>NIO</v>
      </c>
      <c r="X12" s="2" t="str">
        <f aca="false">IF(Declarations!$E$29="capital",H12,"")&amp;IF(Declarations!$E$30="capital",I12,"")&amp;IF(Declarations!$E$31="capital",J12,"")&amp;IF(Declarations!$E$32="capital",K12,"")&amp;IF(Declarations!$E$33="capital",L12,"")&amp;IF(Declarations!$E$34="capital",M12,"")&amp;IF(Declarations!$E$35="capital",N12,"")&amp;IF(Declarations!$E$36="capital",O12,"")&amp;IF(Declarations!$E$37="capital",P12,"")</f>
        <v>OINN</v>
      </c>
      <c r="Y12" s="2" t="str">
        <f aca="false">IF(Declarations!$E$29="information",H12,"")&amp;IF(Declarations!$E$30="information",I12,"")&amp;IF(Declarations!$E$31="information",J12,"")&amp;IF(Declarations!$E$32="information",K12,"")&amp;IF(Declarations!$E$33="information",L12,"")&amp;IF(Declarations!$E$34="information",M12,"")&amp;IF(Declarations!$E$35="information",N12,"")&amp;IF(Declarations!$E$36="information",O12,"")&amp;IF(Declarations!$E$37="information",P12,"")</f>
        <v>IN</v>
      </c>
      <c r="AA12" s="2" t="s">
        <v>133</v>
      </c>
      <c r="AB12" s="18" t="n">
        <f aca="false">SUMPRODUCT(1/COUNTIF(X6:X69,X6:X69))</f>
        <v>32</v>
      </c>
    </row>
    <row r="13" customFormat="false" ht="15" hidden="false" customHeight="false" outlineLevel="0" collapsed="false">
      <c r="A13" s="18" t="n">
        <v>7</v>
      </c>
      <c r="B13" s="18" t="n">
        <f aca="false">MOD(INT($A13/2^0),2)</f>
        <v>1</v>
      </c>
      <c r="C13" s="18" t="n">
        <f aca="false">MOD(INT($A13/2^1),2)</f>
        <v>1</v>
      </c>
      <c r="D13" s="18" t="n">
        <f aca="false">MOD(INT($A13/2^2),2)</f>
        <v>1</v>
      </c>
      <c r="E13" s="18" t="n">
        <f aca="false">MOD(INT($A13/2^3),2)</f>
        <v>0</v>
      </c>
      <c r="F13" s="18" t="n">
        <f aca="false">MOD(INT($A13/2^4),2)</f>
        <v>0</v>
      </c>
      <c r="G13" s="18" t="n">
        <f aca="false">MOD(INT($A13/2^5),2)</f>
        <v>0</v>
      </c>
      <c r="H13" s="2" t="str">
        <f aca="false">CHOOSE(1+2*INDEX($B13:$G13,H$3)+INDEX($B13:$G13,H$4),"E","N","O","I")</f>
        <v>I</v>
      </c>
      <c r="I13" s="2" t="str">
        <f aca="false">CHOOSE(1+2*INDEX($B13:$G13,I$3)+INDEX($B13:$G13,I$4),"E","N","O","I")</f>
        <v>I</v>
      </c>
      <c r="J13" s="2" t="str">
        <f aca="false">CHOOSE(1+2*INDEX($B13:$G13,J$3)+INDEX($B13:$G13,J$4),"E","N","O","I")</f>
        <v>I</v>
      </c>
      <c r="K13" s="2" t="str">
        <f aca="false">CHOOSE(1+2*INDEX($B13:$G13,K$3)+INDEX($B13:$G13,K$4),"E","N","O","I")</f>
        <v>I</v>
      </c>
      <c r="L13" s="2" t="str">
        <f aca="false">CHOOSE(1+2*INDEX($B13:$G13,L$3)+INDEX($B13:$G13,L$4),"E","N","O","I")</f>
        <v>O</v>
      </c>
      <c r="M13" s="2" t="str">
        <f aca="false">CHOOSE(1+2*INDEX($B13:$G13,M$3)+INDEX($B13:$G13,M$4),"E","N","O","I")</f>
        <v>N</v>
      </c>
      <c r="N13" s="2" t="str">
        <f aca="false">CHOOSE(1+2*INDEX($B13:$G13,N$3)+INDEX($B13:$G13,N$4),"E","N","O","I")</f>
        <v>I</v>
      </c>
      <c r="O13" s="2" t="str">
        <f aca="false">CHOOSE(1+2*INDEX($B13:$G13,O$3)+INDEX($B13:$G13,O$4),"E","N","O","I")</f>
        <v>N</v>
      </c>
      <c r="P13" s="2" t="str">
        <f aca="false">CHOOSE(1+2*INDEX($B13:$G13,P$3)+INDEX($B13:$G13,P$4),"E","N","O","I")</f>
        <v>N</v>
      </c>
      <c r="Q13" s="18" t="n">
        <f aca="false">COUNTIF($H13:$P13,"I")</f>
        <v>5</v>
      </c>
      <c r="R13" s="18" t="n">
        <f aca="false">COUNTIF($H13:$P13,"N")</f>
        <v>3</v>
      </c>
      <c r="S13" s="18" t="n">
        <f aca="false">COUNTIF($H13:$P13,"O")</f>
        <v>1</v>
      </c>
      <c r="T13" s="18" t="n">
        <f aca="false">COUNTIF($H13:$P13,"E")</f>
        <v>0</v>
      </c>
      <c r="U13" s="18" t="n">
        <f aca="false">SUM(Q13:T13)</f>
        <v>9</v>
      </c>
      <c r="V13" s="2" t="str">
        <f aca="false">H13&amp;I13&amp;J13&amp;K13&amp;L13&amp;M13&amp;N13&amp;O13&amp;P13</f>
        <v>IIIIONINN</v>
      </c>
      <c r="W13" s="2" t="str">
        <f aca="false">IF(Declarations!$E$29="goods",H13,"")&amp;IF(Declarations!$E$30="goods",I13,"")&amp;IF(Declarations!$E$31="goods",J13,"")&amp;IF(Declarations!$E$32="goods",K13,"")&amp;IF(Declarations!$E$33="goods",L13,"")&amp;IF(Declarations!$E$34="goods",M13,"")&amp;IF(Declarations!$E$35="goods",N13,"")&amp;IF(Declarations!$E$36="goods",O13,"")&amp;IF(Declarations!$E$37="goods",P13,"")</f>
        <v>IIO</v>
      </c>
      <c r="X13" s="2" t="str">
        <f aca="false">IF(Declarations!$E$29="capital",H13,"")&amp;IF(Declarations!$E$30="capital",I13,"")&amp;IF(Declarations!$E$31="capital",J13,"")&amp;IF(Declarations!$E$32="capital",K13,"")&amp;IF(Declarations!$E$33="capital",L13,"")&amp;IF(Declarations!$E$34="capital",M13,"")&amp;IF(Declarations!$E$35="capital",N13,"")&amp;IF(Declarations!$E$36="capital",O13,"")&amp;IF(Declarations!$E$37="capital",P13,"")</f>
        <v>IINN</v>
      </c>
      <c r="Y13" s="2" t="str">
        <f aca="false">IF(Declarations!$E$29="information",H13,"")&amp;IF(Declarations!$E$30="information",I13,"")&amp;IF(Declarations!$E$31="information",J13,"")&amp;IF(Declarations!$E$32="information",K13,"")&amp;IF(Declarations!$E$33="information",L13,"")&amp;IF(Declarations!$E$34="information",M13,"")&amp;IF(Declarations!$E$35="information",N13,"")&amp;IF(Declarations!$E$36="information",O13,"")&amp;IF(Declarations!$E$37="information",P13,"")</f>
        <v>IN</v>
      </c>
      <c r="AA13" s="2" t="s">
        <v>134</v>
      </c>
      <c r="AB13" s="18" t="n">
        <f aca="false">SUMPRODUCT(1/COUNTIF(Y6:Y69,Y6:Y69))</f>
        <v>8</v>
      </c>
    </row>
    <row r="14" customFormat="false" ht="15" hidden="false" customHeight="false" outlineLevel="0" collapsed="false">
      <c r="A14" s="18" t="n">
        <v>8</v>
      </c>
      <c r="B14" s="18" t="n">
        <f aca="false">MOD(INT($A14/2^0),2)</f>
        <v>0</v>
      </c>
      <c r="C14" s="18" t="n">
        <f aca="false">MOD(INT($A14/2^1),2)</f>
        <v>0</v>
      </c>
      <c r="D14" s="18" t="n">
        <f aca="false">MOD(INT($A14/2^2),2)</f>
        <v>0</v>
      </c>
      <c r="E14" s="18" t="n">
        <f aca="false">MOD(INT($A14/2^3),2)</f>
        <v>1</v>
      </c>
      <c r="F14" s="18" t="n">
        <f aca="false">MOD(INT($A14/2^4),2)</f>
        <v>0</v>
      </c>
      <c r="G14" s="18" t="n">
        <f aca="false">MOD(INT($A14/2^5),2)</f>
        <v>0</v>
      </c>
      <c r="H14" s="2" t="str">
        <f aca="false">CHOOSE(1+2*INDEX($B14:$G14,H$3)+INDEX($B14:$G14,H$4),"E","N","O","I")</f>
        <v>E</v>
      </c>
      <c r="I14" s="2" t="str">
        <f aca="false">CHOOSE(1+2*INDEX($B14:$G14,I$3)+INDEX($B14:$G14,I$4),"E","N","O","I")</f>
        <v>E</v>
      </c>
      <c r="J14" s="2" t="str">
        <f aca="false">CHOOSE(1+2*INDEX($B14:$G14,J$3)+INDEX($B14:$G14,J$4),"E","N","O","I")</f>
        <v>E</v>
      </c>
      <c r="K14" s="2" t="str">
        <f aca="false">CHOOSE(1+2*INDEX($B14:$G14,K$3)+INDEX($B14:$G14,K$4),"E","N","O","I")</f>
        <v>E</v>
      </c>
      <c r="L14" s="2" t="str">
        <f aca="false">CHOOSE(1+2*INDEX($B14:$G14,L$3)+INDEX($B14:$G14,L$4),"E","N","O","I")</f>
        <v>N</v>
      </c>
      <c r="M14" s="2" t="str">
        <f aca="false">CHOOSE(1+2*INDEX($B14:$G14,M$3)+INDEX($B14:$G14,M$4),"E","N","O","I")</f>
        <v>O</v>
      </c>
      <c r="N14" s="2" t="str">
        <f aca="false">CHOOSE(1+2*INDEX($B14:$G14,N$3)+INDEX($B14:$G14,N$4),"E","N","O","I")</f>
        <v>E</v>
      </c>
      <c r="O14" s="2" t="str">
        <f aca="false">CHOOSE(1+2*INDEX($B14:$G14,O$3)+INDEX($B14:$G14,O$4),"E","N","O","I")</f>
        <v>E</v>
      </c>
      <c r="P14" s="2" t="str">
        <f aca="false">CHOOSE(1+2*INDEX($B14:$G14,P$3)+INDEX($B14:$G14,P$4),"E","N","O","I")</f>
        <v>E</v>
      </c>
      <c r="Q14" s="18" t="n">
        <f aca="false">COUNTIF($H14:$P14,"I")</f>
        <v>0</v>
      </c>
      <c r="R14" s="18" t="n">
        <f aca="false">COUNTIF($H14:$P14,"N")</f>
        <v>1</v>
      </c>
      <c r="S14" s="18" t="n">
        <f aca="false">COUNTIF($H14:$P14,"O")</f>
        <v>1</v>
      </c>
      <c r="T14" s="18" t="n">
        <f aca="false">COUNTIF($H14:$P14,"E")</f>
        <v>7</v>
      </c>
      <c r="U14" s="18" t="n">
        <f aca="false">SUM(Q14:T14)</f>
        <v>9</v>
      </c>
      <c r="V14" s="2" t="str">
        <f aca="false">H14&amp;I14&amp;J14&amp;K14&amp;L14&amp;M14&amp;N14&amp;O14&amp;P14</f>
        <v>EEEENOEEE</v>
      </c>
      <c r="W14" s="2" t="str">
        <f aca="false">IF(Declarations!$E$29="goods",H14,"")&amp;IF(Declarations!$E$30="goods",I14,"")&amp;IF(Declarations!$E$31="goods",J14,"")&amp;IF(Declarations!$E$32="goods",K14,"")&amp;IF(Declarations!$E$33="goods",L14,"")&amp;IF(Declarations!$E$34="goods",M14,"")&amp;IF(Declarations!$E$35="goods",N14,"")&amp;IF(Declarations!$E$36="goods",O14,"")&amp;IF(Declarations!$E$37="goods",P14,"")</f>
        <v>EEN</v>
      </c>
      <c r="X14" s="2" t="str">
        <f aca="false">IF(Declarations!$E$29="capital",H14,"")&amp;IF(Declarations!$E$30="capital",I14,"")&amp;IF(Declarations!$E$31="capital",J14,"")&amp;IF(Declarations!$E$32="capital",K14,"")&amp;IF(Declarations!$E$33="capital",L14,"")&amp;IF(Declarations!$E$34="capital",M14,"")&amp;IF(Declarations!$E$35="capital",N14,"")&amp;IF(Declarations!$E$36="capital",O14,"")&amp;IF(Declarations!$E$37="capital",P14,"")</f>
        <v>EEOE</v>
      </c>
      <c r="Y14" s="2" t="str">
        <f aca="false">IF(Declarations!$E$29="information",H14,"")&amp;IF(Declarations!$E$30="information",I14,"")&amp;IF(Declarations!$E$31="information",J14,"")&amp;IF(Declarations!$E$32="information",K14,"")&amp;IF(Declarations!$E$33="information",L14,"")&amp;IF(Declarations!$E$34="information",M14,"")&amp;IF(Declarations!$E$35="information",N14,"")&amp;IF(Declarations!$E$36="information",O14,"")&amp;IF(Declarations!$E$37="information",P14,"")</f>
        <v>EE</v>
      </c>
    </row>
    <row r="15" customFormat="false" ht="23.85" hidden="false" customHeight="false" outlineLevel="0" collapsed="false">
      <c r="A15" s="18" t="n">
        <v>9</v>
      </c>
      <c r="B15" s="18" t="n">
        <f aca="false">MOD(INT($A15/2^0),2)</f>
        <v>1</v>
      </c>
      <c r="C15" s="18" t="n">
        <f aca="false">MOD(INT($A15/2^1),2)</f>
        <v>0</v>
      </c>
      <c r="D15" s="18" t="n">
        <f aca="false">MOD(INT($A15/2^2),2)</f>
        <v>0</v>
      </c>
      <c r="E15" s="18" t="n">
        <f aca="false">MOD(INT($A15/2^3),2)</f>
        <v>1</v>
      </c>
      <c r="F15" s="18" t="n">
        <f aca="false">MOD(INT($A15/2^4),2)</f>
        <v>0</v>
      </c>
      <c r="G15" s="18" t="n">
        <f aca="false">MOD(INT($A15/2^5),2)</f>
        <v>0</v>
      </c>
      <c r="H15" s="2" t="str">
        <f aca="false">CHOOSE(1+2*INDEX($B15:$G15,H$3)+INDEX($B15:$G15,H$4),"E","N","O","I")</f>
        <v>O</v>
      </c>
      <c r="I15" s="2" t="str">
        <f aca="false">CHOOSE(1+2*INDEX($B15:$G15,I$3)+INDEX($B15:$G15,I$4),"E","N","O","I")</f>
        <v>N</v>
      </c>
      <c r="J15" s="2" t="str">
        <f aca="false">CHOOSE(1+2*INDEX($B15:$G15,J$3)+INDEX($B15:$G15,J$4),"E","N","O","I")</f>
        <v>E</v>
      </c>
      <c r="K15" s="2" t="str">
        <f aca="false">CHOOSE(1+2*INDEX($B15:$G15,K$3)+INDEX($B15:$G15,K$4),"E","N","O","I")</f>
        <v>E</v>
      </c>
      <c r="L15" s="2" t="str">
        <f aca="false">CHOOSE(1+2*INDEX($B15:$G15,L$3)+INDEX($B15:$G15,L$4),"E","N","O","I")</f>
        <v>N</v>
      </c>
      <c r="M15" s="2" t="str">
        <f aca="false">CHOOSE(1+2*INDEX($B15:$G15,M$3)+INDEX($B15:$G15,M$4),"E","N","O","I")</f>
        <v>O</v>
      </c>
      <c r="N15" s="2" t="str">
        <f aca="false">CHOOSE(1+2*INDEX($B15:$G15,N$3)+INDEX($B15:$G15,N$4),"E","N","O","I")</f>
        <v>E</v>
      </c>
      <c r="O15" s="2" t="str">
        <f aca="false">CHOOSE(1+2*INDEX($B15:$G15,O$3)+INDEX($B15:$G15,O$4),"E","N","O","I")</f>
        <v>E</v>
      </c>
      <c r="P15" s="2" t="str">
        <f aca="false">CHOOSE(1+2*INDEX($B15:$G15,P$3)+INDEX($B15:$G15,P$4),"E","N","O","I")</f>
        <v>E</v>
      </c>
      <c r="Q15" s="18" t="n">
        <f aca="false">COUNTIF($H15:$P15,"I")</f>
        <v>0</v>
      </c>
      <c r="R15" s="18" t="n">
        <f aca="false">COUNTIF($H15:$P15,"N")</f>
        <v>2</v>
      </c>
      <c r="S15" s="18" t="n">
        <f aca="false">COUNTIF($H15:$P15,"O")</f>
        <v>2</v>
      </c>
      <c r="T15" s="18" t="n">
        <f aca="false">COUNTIF($H15:$P15,"E")</f>
        <v>5</v>
      </c>
      <c r="U15" s="18" t="n">
        <f aca="false">SUM(Q15:T15)</f>
        <v>9</v>
      </c>
      <c r="V15" s="2" t="str">
        <f aca="false">H15&amp;I15&amp;J15&amp;K15&amp;L15&amp;M15&amp;N15&amp;O15&amp;P15</f>
        <v>ONEENOEEE</v>
      </c>
      <c r="W15" s="2" t="str">
        <f aca="false">IF(Declarations!$E$29="goods",H15,"")&amp;IF(Declarations!$E$30="goods",I15,"")&amp;IF(Declarations!$E$31="goods",J15,"")&amp;IF(Declarations!$E$32="goods",K15,"")&amp;IF(Declarations!$E$33="goods",L15,"")&amp;IF(Declarations!$E$34="goods",M15,"")&amp;IF(Declarations!$E$35="goods",N15,"")&amp;IF(Declarations!$E$36="goods",O15,"")&amp;IF(Declarations!$E$37="goods",P15,"")</f>
        <v>OEN</v>
      </c>
      <c r="X15" s="2" t="str">
        <f aca="false">IF(Declarations!$E$29="capital",H15,"")&amp;IF(Declarations!$E$30="capital",I15,"")&amp;IF(Declarations!$E$31="capital",J15,"")&amp;IF(Declarations!$E$32="capital",K15,"")&amp;IF(Declarations!$E$33="capital",L15,"")&amp;IF(Declarations!$E$34="capital",M15,"")&amp;IF(Declarations!$E$35="capital",N15,"")&amp;IF(Declarations!$E$36="capital",O15,"")&amp;IF(Declarations!$E$37="capital",P15,"")</f>
        <v>NEOE</v>
      </c>
      <c r="Y15" s="2" t="str">
        <f aca="false">IF(Declarations!$E$29="information",H15,"")&amp;IF(Declarations!$E$30="information",I15,"")&amp;IF(Declarations!$E$31="information",J15,"")&amp;IF(Declarations!$E$32="information",K15,"")&amp;IF(Declarations!$E$33="information",L15,"")&amp;IF(Declarations!$E$34="information",M15,"")&amp;IF(Declarations!$E$35="information",N15,"")&amp;IF(Declarations!$E$36="information",O15,"")&amp;IF(Declarations!$E$37="information",P15,"")</f>
        <v>EE</v>
      </c>
      <c r="AA15" s="8" t="s">
        <v>135</v>
      </c>
      <c r="AB15" s="8" t="s">
        <v>136</v>
      </c>
    </row>
    <row r="16" customFormat="false" ht="15" hidden="false" customHeight="false" outlineLevel="0" collapsed="false">
      <c r="A16" s="18" t="n">
        <v>10</v>
      </c>
      <c r="B16" s="18" t="n">
        <f aca="false">MOD(INT($A16/2^0),2)</f>
        <v>0</v>
      </c>
      <c r="C16" s="18" t="n">
        <f aca="false">MOD(INT($A16/2^1),2)</f>
        <v>1</v>
      </c>
      <c r="D16" s="18" t="n">
        <f aca="false">MOD(INT($A16/2^2),2)</f>
        <v>0</v>
      </c>
      <c r="E16" s="18" t="n">
        <f aca="false">MOD(INT($A16/2^3),2)</f>
        <v>1</v>
      </c>
      <c r="F16" s="18" t="n">
        <f aca="false">MOD(INT($A16/2^4),2)</f>
        <v>0</v>
      </c>
      <c r="G16" s="18" t="n">
        <f aca="false">MOD(INT($A16/2^5),2)</f>
        <v>0</v>
      </c>
      <c r="H16" s="2" t="str">
        <f aca="false">CHOOSE(1+2*INDEX($B16:$G16,H$3)+INDEX($B16:$G16,H$4),"E","N","O","I")</f>
        <v>N</v>
      </c>
      <c r="I16" s="2" t="str">
        <f aca="false">CHOOSE(1+2*INDEX($B16:$G16,I$3)+INDEX($B16:$G16,I$4),"E","N","O","I")</f>
        <v>O</v>
      </c>
      <c r="J16" s="2" t="str">
        <f aca="false">CHOOSE(1+2*INDEX($B16:$G16,J$3)+INDEX($B16:$G16,J$4),"E","N","O","I")</f>
        <v>O</v>
      </c>
      <c r="K16" s="2" t="str">
        <f aca="false">CHOOSE(1+2*INDEX($B16:$G16,K$3)+INDEX($B16:$G16,K$4),"E","N","O","I")</f>
        <v>N</v>
      </c>
      <c r="L16" s="2" t="str">
        <f aca="false">CHOOSE(1+2*INDEX($B16:$G16,L$3)+INDEX($B16:$G16,L$4),"E","N","O","I")</f>
        <v>N</v>
      </c>
      <c r="M16" s="2" t="str">
        <f aca="false">CHOOSE(1+2*INDEX($B16:$G16,M$3)+INDEX($B16:$G16,M$4),"E","N","O","I")</f>
        <v>O</v>
      </c>
      <c r="N16" s="2" t="str">
        <f aca="false">CHOOSE(1+2*INDEX($B16:$G16,N$3)+INDEX($B16:$G16,N$4),"E","N","O","I")</f>
        <v>N</v>
      </c>
      <c r="O16" s="2" t="str">
        <f aca="false">CHOOSE(1+2*INDEX($B16:$G16,O$3)+INDEX($B16:$G16,O$4),"E","N","O","I")</f>
        <v>N</v>
      </c>
      <c r="P16" s="2" t="str">
        <f aca="false">CHOOSE(1+2*INDEX($B16:$G16,P$3)+INDEX($B16:$G16,P$4),"E","N","O","I")</f>
        <v>N</v>
      </c>
      <c r="Q16" s="18" t="n">
        <f aca="false">COUNTIF($H16:$P16,"I")</f>
        <v>0</v>
      </c>
      <c r="R16" s="18" t="n">
        <f aca="false">COUNTIF($H16:$P16,"N")</f>
        <v>6</v>
      </c>
      <c r="S16" s="18" t="n">
        <f aca="false">COUNTIF($H16:$P16,"O")</f>
        <v>3</v>
      </c>
      <c r="T16" s="18" t="n">
        <f aca="false">COUNTIF($H16:$P16,"E")</f>
        <v>0</v>
      </c>
      <c r="U16" s="18" t="n">
        <f aca="false">SUM(Q16:T16)</f>
        <v>9</v>
      </c>
      <c r="V16" s="2" t="str">
        <f aca="false">H16&amp;I16&amp;J16&amp;K16&amp;L16&amp;M16&amp;N16&amp;O16&amp;P16</f>
        <v>NOONNONNN</v>
      </c>
      <c r="W16" s="2" t="str">
        <f aca="false">IF(Declarations!$E$29="goods",H16,"")&amp;IF(Declarations!$E$30="goods",I16,"")&amp;IF(Declarations!$E$31="goods",J16,"")&amp;IF(Declarations!$E$32="goods",K16,"")&amp;IF(Declarations!$E$33="goods",L16,"")&amp;IF(Declarations!$E$34="goods",M16,"")&amp;IF(Declarations!$E$35="goods",N16,"")&amp;IF(Declarations!$E$36="goods",O16,"")&amp;IF(Declarations!$E$37="goods",P16,"")</f>
        <v>NON</v>
      </c>
      <c r="X16" s="2" t="str">
        <f aca="false">IF(Declarations!$E$29="capital",H16,"")&amp;IF(Declarations!$E$30="capital",I16,"")&amp;IF(Declarations!$E$31="capital",J16,"")&amp;IF(Declarations!$E$32="capital",K16,"")&amp;IF(Declarations!$E$33="capital",L16,"")&amp;IF(Declarations!$E$34="capital",M16,"")&amp;IF(Declarations!$E$35="capital",N16,"")&amp;IF(Declarations!$E$36="capital",O16,"")&amp;IF(Declarations!$E$37="capital",P16,"")</f>
        <v>ONON</v>
      </c>
      <c r="Y16" s="2" t="str">
        <f aca="false">IF(Declarations!$E$29="information",H16,"")&amp;IF(Declarations!$E$30="information",I16,"")&amp;IF(Declarations!$E$31="information",J16,"")&amp;IF(Declarations!$E$32="information",K16,"")&amp;IF(Declarations!$E$33="information",L16,"")&amp;IF(Declarations!$E$34="information",M16,"")&amp;IF(Declarations!$E$35="information",N16,"")&amp;IF(Declarations!$E$36="information",O16,"")&amp;IF(Declarations!$E$37="information",P16,"")</f>
        <v>NN</v>
      </c>
      <c r="AA16" s="2" t="s">
        <v>137</v>
      </c>
      <c r="AB16" s="18" t="n">
        <f aca="false">SUMPRODUCT(--($H$8:$P$8&lt;&gt;H9:P9))</f>
        <v>2</v>
      </c>
    </row>
    <row r="17" customFormat="false" ht="15" hidden="false" customHeight="false" outlineLevel="0" collapsed="false">
      <c r="A17" s="18" t="n">
        <v>11</v>
      </c>
      <c r="B17" s="18" t="n">
        <f aca="false">MOD(INT($A17/2^0),2)</f>
        <v>1</v>
      </c>
      <c r="C17" s="18" t="n">
        <f aca="false">MOD(INT($A17/2^1),2)</f>
        <v>1</v>
      </c>
      <c r="D17" s="18" t="n">
        <f aca="false">MOD(INT($A17/2^2),2)</f>
        <v>0</v>
      </c>
      <c r="E17" s="18" t="n">
        <f aca="false">MOD(INT($A17/2^3),2)</f>
        <v>1</v>
      </c>
      <c r="F17" s="18" t="n">
        <f aca="false">MOD(INT($A17/2^4),2)</f>
        <v>0</v>
      </c>
      <c r="G17" s="18" t="n">
        <f aca="false">MOD(INT($A17/2^5),2)</f>
        <v>0</v>
      </c>
      <c r="H17" s="2" t="str">
        <f aca="false">CHOOSE(1+2*INDEX($B17:$G17,H$3)+INDEX($B17:$G17,H$4),"E","N","O","I")</f>
        <v>I</v>
      </c>
      <c r="I17" s="2" t="str">
        <f aca="false">CHOOSE(1+2*INDEX($B17:$G17,I$3)+INDEX($B17:$G17,I$4),"E","N","O","I")</f>
        <v>I</v>
      </c>
      <c r="J17" s="2" t="str">
        <f aca="false">CHOOSE(1+2*INDEX($B17:$G17,J$3)+INDEX($B17:$G17,J$4),"E","N","O","I")</f>
        <v>O</v>
      </c>
      <c r="K17" s="2" t="str">
        <f aca="false">CHOOSE(1+2*INDEX($B17:$G17,K$3)+INDEX($B17:$G17,K$4),"E","N","O","I")</f>
        <v>N</v>
      </c>
      <c r="L17" s="2" t="str">
        <f aca="false">CHOOSE(1+2*INDEX($B17:$G17,L$3)+INDEX($B17:$G17,L$4),"E","N","O","I")</f>
        <v>N</v>
      </c>
      <c r="M17" s="2" t="str">
        <f aca="false">CHOOSE(1+2*INDEX($B17:$G17,M$3)+INDEX($B17:$G17,M$4),"E","N","O","I")</f>
        <v>O</v>
      </c>
      <c r="N17" s="2" t="str">
        <f aca="false">CHOOSE(1+2*INDEX($B17:$G17,N$3)+INDEX($B17:$G17,N$4),"E","N","O","I")</f>
        <v>N</v>
      </c>
      <c r="O17" s="2" t="str">
        <f aca="false">CHOOSE(1+2*INDEX($B17:$G17,O$3)+INDEX($B17:$G17,O$4),"E","N","O","I")</f>
        <v>N</v>
      </c>
      <c r="P17" s="2" t="str">
        <f aca="false">CHOOSE(1+2*INDEX($B17:$G17,P$3)+INDEX($B17:$G17,P$4),"E","N","O","I")</f>
        <v>N</v>
      </c>
      <c r="Q17" s="18" t="n">
        <f aca="false">COUNTIF($H17:$P17,"I")</f>
        <v>2</v>
      </c>
      <c r="R17" s="18" t="n">
        <f aca="false">COUNTIF($H17:$P17,"N")</f>
        <v>5</v>
      </c>
      <c r="S17" s="18" t="n">
        <f aca="false">COUNTIF($H17:$P17,"O")</f>
        <v>2</v>
      </c>
      <c r="T17" s="18" t="n">
        <f aca="false">COUNTIF($H17:$P17,"E")</f>
        <v>0</v>
      </c>
      <c r="U17" s="18" t="n">
        <f aca="false">SUM(Q17:T17)</f>
        <v>9</v>
      </c>
      <c r="V17" s="2" t="str">
        <f aca="false">H17&amp;I17&amp;J17&amp;K17&amp;L17&amp;M17&amp;N17&amp;O17&amp;P17</f>
        <v>IIONNONNN</v>
      </c>
      <c r="W17" s="2" t="str">
        <f aca="false">IF(Declarations!$E$29="goods",H17,"")&amp;IF(Declarations!$E$30="goods",I17,"")&amp;IF(Declarations!$E$31="goods",J17,"")&amp;IF(Declarations!$E$32="goods",K17,"")&amp;IF(Declarations!$E$33="goods",L17,"")&amp;IF(Declarations!$E$34="goods",M17,"")&amp;IF(Declarations!$E$35="goods",N17,"")&amp;IF(Declarations!$E$36="goods",O17,"")&amp;IF(Declarations!$E$37="goods",P17,"")</f>
        <v>ION</v>
      </c>
      <c r="X17" s="2" t="str">
        <f aca="false">IF(Declarations!$E$29="capital",H17,"")&amp;IF(Declarations!$E$30="capital",I17,"")&amp;IF(Declarations!$E$31="capital",J17,"")&amp;IF(Declarations!$E$32="capital",K17,"")&amp;IF(Declarations!$E$33="capital",L17,"")&amp;IF(Declarations!$E$34="capital",M17,"")&amp;IF(Declarations!$E$35="capital",N17,"")&amp;IF(Declarations!$E$36="capital",O17,"")&amp;IF(Declarations!$E$37="capital",P17,"")</f>
        <v>INON</v>
      </c>
      <c r="Y17" s="2" t="str">
        <f aca="false">IF(Declarations!$E$29="information",H17,"")&amp;IF(Declarations!$E$30="information",I17,"")&amp;IF(Declarations!$E$31="information",J17,"")&amp;IF(Declarations!$E$32="information",K17,"")&amp;IF(Declarations!$E$33="information",L17,"")&amp;IF(Declarations!$E$34="information",M17,"")&amp;IF(Declarations!$E$35="information",N17,"")&amp;IF(Declarations!$E$36="information",O17,"")&amp;IF(Declarations!$E$37="information",P17,"")</f>
        <v>NN</v>
      </c>
      <c r="AA17" s="2" t="s">
        <v>138</v>
      </c>
      <c r="AB17" s="18" t="n">
        <f aca="false">SUMPRODUCT(--($H$8:$P$8&lt;&gt;H6:P6))</f>
        <v>7</v>
      </c>
    </row>
    <row r="18" customFormat="false" ht="15" hidden="false" customHeight="false" outlineLevel="0" collapsed="false">
      <c r="A18" s="18" t="n">
        <v>12</v>
      </c>
      <c r="B18" s="18" t="n">
        <f aca="false">MOD(INT($A18/2^0),2)</f>
        <v>0</v>
      </c>
      <c r="C18" s="18" t="n">
        <f aca="false">MOD(INT($A18/2^1),2)</f>
        <v>0</v>
      </c>
      <c r="D18" s="18" t="n">
        <f aca="false">MOD(INT($A18/2^2),2)</f>
        <v>1</v>
      </c>
      <c r="E18" s="18" t="n">
        <f aca="false">MOD(INT($A18/2^3),2)</f>
        <v>1</v>
      </c>
      <c r="F18" s="18" t="n">
        <f aca="false">MOD(INT($A18/2^4),2)</f>
        <v>0</v>
      </c>
      <c r="G18" s="18" t="n">
        <f aca="false">MOD(INT($A18/2^5),2)</f>
        <v>0</v>
      </c>
      <c r="H18" s="2" t="str">
        <f aca="false">CHOOSE(1+2*INDEX($B18:$G18,H$3)+INDEX($B18:$G18,H$4),"E","N","O","I")</f>
        <v>E</v>
      </c>
      <c r="I18" s="2" t="str">
        <f aca="false">CHOOSE(1+2*INDEX($B18:$G18,I$3)+INDEX($B18:$G18,I$4),"E","N","O","I")</f>
        <v>E</v>
      </c>
      <c r="J18" s="2" t="str">
        <f aca="false">CHOOSE(1+2*INDEX($B18:$G18,J$3)+INDEX($B18:$G18,J$4),"E","N","O","I")</f>
        <v>N</v>
      </c>
      <c r="K18" s="2" t="str">
        <f aca="false">CHOOSE(1+2*INDEX($B18:$G18,K$3)+INDEX($B18:$G18,K$4),"E","N","O","I")</f>
        <v>O</v>
      </c>
      <c r="L18" s="2" t="str">
        <f aca="false">CHOOSE(1+2*INDEX($B18:$G18,L$3)+INDEX($B18:$G18,L$4),"E","N","O","I")</f>
        <v>I</v>
      </c>
      <c r="M18" s="2" t="str">
        <f aca="false">CHOOSE(1+2*INDEX($B18:$G18,M$3)+INDEX($B18:$G18,M$4),"E","N","O","I")</f>
        <v>I</v>
      </c>
      <c r="N18" s="2" t="str">
        <f aca="false">CHOOSE(1+2*INDEX($B18:$G18,N$3)+INDEX($B18:$G18,N$4),"E","N","O","I")</f>
        <v>O</v>
      </c>
      <c r="O18" s="2" t="str">
        <f aca="false">CHOOSE(1+2*INDEX($B18:$G18,O$3)+INDEX($B18:$G18,O$4),"E","N","O","I")</f>
        <v>E</v>
      </c>
      <c r="P18" s="2" t="str">
        <f aca="false">CHOOSE(1+2*INDEX($B18:$G18,P$3)+INDEX($B18:$G18,P$4),"E","N","O","I")</f>
        <v>E</v>
      </c>
      <c r="Q18" s="18" t="n">
        <f aca="false">COUNTIF($H18:$P18,"I")</f>
        <v>2</v>
      </c>
      <c r="R18" s="18" t="n">
        <f aca="false">COUNTIF($H18:$P18,"N")</f>
        <v>1</v>
      </c>
      <c r="S18" s="18" t="n">
        <f aca="false">COUNTIF($H18:$P18,"O")</f>
        <v>2</v>
      </c>
      <c r="T18" s="18" t="n">
        <f aca="false">COUNTIF($H18:$P18,"E")</f>
        <v>4</v>
      </c>
      <c r="U18" s="18" t="n">
        <f aca="false">SUM(Q18:T18)</f>
        <v>9</v>
      </c>
      <c r="V18" s="2" t="str">
        <f aca="false">H18&amp;I18&amp;J18&amp;K18&amp;L18&amp;M18&amp;N18&amp;O18&amp;P18</f>
        <v>EENOIIOEE</v>
      </c>
      <c r="W18" s="2" t="str">
        <f aca="false">IF(Declarations!$E$29="goods",H18,"")&amp;IF(Declarations!$E$30="goods",I18,"")&amp;IF(Declarations!$E$31="goods",J18,"")&amp;IF(Declarations!$E$32="goods",K18,"")&amp;IF(Declarations!$E$33="goods",L18,"")&amp;IF(Declarations!$E$34="goods",M18,"")&amp;IF(Declarations!$E$35="goods",N18,"")&amp;IF(Declarations!$E$36="goods",O18,"")&amp;IF(Declarations!$E$37="goods",P18,"")</f>
        <v>ENI</v>
      </c>
      <c r="X18" s="2" t="str">
        <f aca="false">IF(Declarations!$E$29="capital",H18,"")&amp;IF(Declarations!$E$30="capital",I18,"")&amp;IF(Declarations!$E$31="capital",J18,"")&amp;IF(Declarations!$E$32="capital",K18,"")&amp;IF(Declarations!$E$33="capital",L18,"")&amp;IF(Declarations!$E$34="capital",M18,"")&amp;IF(Declarations!$E$35="capital",N18,"")&amp;IF(Declarations!$E$36="capital",O18,"")&amp;IF(Declarations!$E$37="capital",P18,"")</f>
        <v>EOIE</v>
      </c>
      <c r="Y18" s="2" t="str">
        <f aca="false">IF(Declarations!$E$29="information",H18,"")&amp;IF(Declarations!$E$30="information",I18,"")&amp;IF(Declarations!$E$31="information",J18,"")&amp;IF(Declarations!$E$32="information",K18,"")&amp;IF(Declarations!$E$33="information",L18,"")&amp;IF(Declarations!$E$34="information",M18,"")&amp;IF(Declarations!$E$35="information",N18,"")&amp;IF(Declarations!$E$36="information",O18,"")&amp;IF(Declarations!$E$37="information",P18,"")</f>
        <v>OE</v>
      </c>
      <c r="AA18" s="2" t="s">
        <v>139</v>
      </c>
      <c r="AB18" s="18" t="n">
        <f aca="false">SUMPRODUCT(--($H$8:$P$8&lt;&gt;H12:P12))</f>
        <v>5</v>
      </c>
    </row>
    <row r="19" customFormat="false" ht="15" hidden="false" customHeight="false" outlineLevel="0" collapsed="false">
      <c r="A19" s="18" t="n">
        <v>13</v>
      </c>
      <c r="B19" s="18" t="n">
        <f aca="false">MOD(INT($A19/2^0),2)</f>
        <v>1</v>
      </c>
      <c r="C19" s="18" t="n">
        <f aca="false">MOD(INT($A19/2^1),2)</f>
        <v>0</v>
      </c>
      <c r="D19" s="18" t="n">
        <f aca="false">MOD(INT($A19/2^2),2)</f>
        <v>1</v>
      </c>
      <c r="E19" s="18" t="n">
        <f aca="false">MOD(INT($A19/2^3),2)</f>
        <v>1</v>
      </c>
      <c r="F19" s="18" t="n">
        <f aca="false">MOD(INT($A19/2^4),2)</f>
        <v>0</v>
      </c>
      <c r="G19" s="18" t="n">
        <f aca="false">MOD(INT($A19/2^5),2)</f>
        <v>0</v>
      </c>
      <c r="H19" s="2" t="str">
        <f aca="false">CHOOSE(1+2*INDEX($B19:$G19,H$3)+INDEX($B19:$G19,H$4),"E","N","O","I")</f>
        <v>O</v>
      </c>
      <c r="I19" s="2" t="str">
        <f aca="false">CHOOSE(1+2*INDEX($B19:$G19,I$3)+INDEX($B19:$G19,I$4),"E","N","O","I")</f>
        <v>N</v>
      </c>
      <c r="J19" s="2" t="str">
        <f aca="false">CHOOSE(1+2*INDEX($B19:$G19,J$3)+INDEX($B19:$G19,J$4),"E","N","O","I")</f>
        <v>N</v>
      </c>
      <c r="K19" s="2" t="str">
        <f aca="false">CHOOSE(1+2*INDEX($B19:$G19,K$3)+INDEX($B19:$G19,K$4),"E","N","O","I")</f>
        <v>O</v>
      </c>
      <c r="L19" s="2" t="str">
        <f aca="false">CHOOSE(1+2*INDEX($B19:$G19,L$3)+INDEX($B19:$G19,L$4),"E","N","O","I")</f>
        <v>I</v>
      </c>
      <c r="M19" s="2" t="str">
        <f aca="false">CHOOSE(1+2*INDEX($B19:$G19,M$3)+INDEX($B19:$G19,M$4),"E","N","O","I")</f>
        <v>I</v>
      </c>
      <c r="N19" s="2" t="str">
        <f aca="false">CHOOSE(1+2*INDEX($B19:$G19,N$3)+INDEX($B19:$G19,N$4),"E","N","O","I")</f>
        <v>O</v>
      </c>
      <c r="O19" s="2" t="str">
        <f aca="false">CHOOSE(1+2*INDEX($B19:$G19,O$3)+INDEX($B19:$G19,O$4),"E","N","O","I")</f>
        <v>E</v>
      </c>
      <c r="P19" s="2" t="str">
        <f aca="false">CHOOSE(1+2*INDEX($B19:$G19,P$3)+INDEX($B19:$G19,P$4),"E","N","O","I")</f>
        <v>E</v>
      </c>
      <c r="Q19" s="18" t="n">
        <f aca="false">COUNTIF($H19:$P19,"I")</f>
        <v>2</v>
      </c>
      <c r="R19" s="18" t="n">
        <f aca="false">COUNTIF($H19:$P19,"N")</f>
        <v>2</v>
      </c>
      <c r="S19" s="18" t="n">
        <f aca="false">COUNTIF($H19:$P19,"O")</f>
        <v>3</v>
      </c>
      <c r="T19" s="18" t="n">
        <f aca="false">COUNTIF($H19:$P19,"E")</f>
        <v>2</v>
      </c>
      <c r="U19" s="18" t="n">
        <f aca="false">SUM(Q19:T19)</f>
        <v>9</v>
      </c>
      <c r="V19" s="2" t="str">
        <f aca="false">H19&amp;I19&amp;J19&amp;K19&amp;L19&amp;M19&amp;N19&amp;O19&amp;P19</f>
        <v>ONNOIIOEE</v>
      </c>
      <c r="W19" s="2" t="str">
        <f aca="false">IF(Declarations!$E$29="goods",H19,"")&amp;IF(Declarations!$E$30="goods",I19,"")&amp;IF(Declarations!$E$31="goods",J19,"")&amp;IF(Declarations!$E$32="goods",K19,"")&amp;IF(Declarations!$E$33="goods",L19,"")&amp;IF(Declarations!$E$34="goods",M19,"")&amp;IF(Declarations!$E$35="goods",N19,"")&amp;IF(Declarations!$E$36="goods",O19,"")&amp;IF(Declarations!$E$37="goods",P19,"")</f>
        <v>ONI</v>
      </c>
      <c r="X19" s="2" t="str">
        <f aca="false">IF(Declarations!$E$29="capital",H19,"")&amp;IF(Declarations!$E$30="capital",I19,"")&amp;IF(Declarations!$E$31="capital",J19,"")&amp;IF(Declarations!$E$32="capital",K19,"")&amp;IF(Declarations!$E$33="capital",L19,"")&amp;IF(Declarations!$E$34="capital",M19,"")&amp;IF(Declarations!$E$35="capital",N19,"")&amp;IF(Declarations!$E$36="capital",O19,"")&amp;IF(Declarations!$E$37="capital",P19,"")</f>
        <v>NOIE</v>
      </c>
      <c r="Y19" s="2" t="str">
        <f aca="false">IF(Declarations!$E$29="information",H19,"")&amp;IF(Declarations!$E$30="information",I19,"")&amp;IF(Declarations!$E$31="information",J19,"")&amp;IF(Declarations!$E$32="information",K19,"")&amp;IF(Declarations!$E$33="information",L19,"")&amp;IF(Declarations!$E$34="information",M19,"")&amp;IF(Declarations!$E$35="information",N19,"")&amp;IF(Declarations!$E$36="information",O19,"")&amp;IF(Declarations!$E$37="information",P19,"")</f>
        <v>OE</v>
      </c>
      <c r="AA19" s="2" t="s">
        <v>140</v>
      </c>
      <c r="AB19" s="18" t="n">
        <f aca="false">SUMPRODUCT(--($H$8:$P$8&lt;&gt;H16:P16))</f>
        <v>2</v>
      </c>
    </row>
    <row r="20" customFormat="false" ht="15" hidden="false" customHeight="false" outlineLevel="0" collapsed="false">
      <c r="A20" s="18" t="n">
        <v>14</v>
      </c>
      <c r="B20" s="18" t="n">
        <f aca="false">MOD(INT($A20/2^0),2)</f>
        <v>0</v>
      </c>
      <c r="C20" s="18" t="n">
        <f aca="false">MOD(INT($A20/2^1),2)</f>
        <v>1</v>
      </c>
      <c r="D20" s="18" t="n">
        <f aca="false">MOD(INT($A20/2^2),2)</f>
        <v>1</v>
      </c>
      <c r="E20" s="18" t="n">
        <f aca="false">MOD(INT($A20/2^3),2)</f>
        <v>1</v>
      </c>
      <c r="F20" s="18" t="n">
        <f aca="false">MOD(INT($A20/2^4),2)</f>
        <v>0</v>
      </c>
      <c r="G20" s="18" t="n">
        <f aca="false">MOD(INT($A20/2^5),2)</f>
        <v>0</v>
      </c>
      <c r="H20" s="2" t="str">
        <f aca="false">CHOOSE(1+2*INDEX($B20:$G20,H$3)+INDEX($B20:$G20,H$4),"E","N","O","I")</f>
        <v>N</v>
      </c>
      <c r="I20" s="2" t="str">
        <f aca="false">CHOOSE(1+2*INDEX($B20:$G20,I$3)+INDEX($B20:$G20,I$4),"E","N","O","I")</f>
        <v>O</v>
      </c>
      <c r="J20" s="2" t="str">
        <f aca="false">CHOOSE(1+2*INDEX($B20:$G20,J$3)+INDEX($B20:$G20,J$4),"E","N","O","I")</f>
        <v>I</v>
      </c>
      <c r="K20" s="2" t="str">
        <f aca="false">CHOOSE(1+2*INDEX($B20:$G20,K$3)+INDEX($B20:$G20,K$4),"E","N","O","I")</f>
        <v>I</v>
      </c>
      <c r="L20" s="2" t="str">
        <f aca="false">CHOOSE(1+2*INDEX($B20:$G20,L$3)+INDEX($B20:$G20,L$4),"E","N","O","I")</f>
        <v>I</v>
      </c>
      <c r="M20" s="2" t="str">
        <f aca="false">CHOOSE(1+2*INDEX($B20:$G20,M$3)+INDEX($B20:$G20,M$4),"E","N","O","I")</f>
        <v>I</v>
      </c>
      <c r="N20" s="2" t="str">
        <f aca="false">CHOOSE(1+2*INDEX($B20:$G20,N$3)+INDEX($B20:$G20,N$4),"E","N","O","I")</f>
        <v>I</v>
      </c>
      <c r="O20" s="2" t="str">
        <f aca="false">CHOOSE(1+2*INDEX($B20:$G20,O$3)+INDEX($B20:$G20,O$4),"E","N","O","I")</f>
        <v>N</v>
      </c>
      <c r="P20" s="2" t="str">
        <f aca="false">CHOOSE(1+2*INDEX($B20:$G20,P$3)+INDEX($B20:$G20,P$4),"E","N","O","I")</f>
        <v>N</v>
      </c>
      <c r="Q20" s="18" t="n">
        <f aca="false">COUNTIF($H20:$P20,"I")</f>
        <v>5</v>
      </c>
      <c r="R20" s="18" t="n">
        <f aca="false">COUNTIF($H20:$P20,"N")</f>
        <v>3</v>
      </c>
      <c r="S20" s="18" t="n">
        <f aca="false">COUNTIF($H20:$P20,"O")</f>
        <v>1</v>
      </c>
      <c r="T20" s="18" t="n">
        <f aca="false">COUNTIF($H20:$P20,"E")</f>
        <v>0</v>
      </c>
      <c r="U20" s="18" t="n">
        <f aca="false">SUM(Q20:T20)</f>
        <v>9</v>
      </c>
      <c r="V20" s="2" t="str">
        <f aca="false">H20&amp;I20&amp;J20&amp;K20&amp;L20&amp;M20&amp;N20&amp;O20&amp;P20</f>
        <v>NOIIIIINN</v>
      </c>
      <c r="W20" s="2" t="str">
        <f aca="false">IF(Declarations!$E$29="goods",H20,"")&amp;IF(Declarations!$E$30="goods",I20,"")&amp;IF(Declarations!$E$31="goods",J20,"")&amp;IF(Declarations!$E$32="goods",K20,"")&amp;IF(Declarations!$E$33="goods",L20,"")&amp;IF(Declarations!$E$34="goods",M20,"")&amp;IF(Declarations!$E$35="goods",N20,"")&amp;IF(Declarations!$E$36="goods",O20,"")&amp;IF(Declarations!$E$37="goods",P20,"")</f>
        <v>NII</v>
      </c>
      <c r="X20" s="2" t="str">
        <f aca="false">IF(Declarations!$E$29="capital",H20,"")&amp;IF(Declarations!$E$30="capital",I20,"")&amp;IF(Declarations!$E$31="capital",J20,"")&amp;IF(Declarations!$E$32="capital",K20,"")&amp;IF(Declarations!$E$33="capital",L20,"")&amp;IF(Declarations!$E$34="capital",M20,"")&amp;IF(Declarations!$E$35="capital",N20,"")&amp;IF(Declarations!$E$36="capital",O20,"")&amp;IF(Declarations!$E$37="capital",P20,"")</f>
        <v>OIIN</v>
      </c>
      <c r="Y20" s="2" t="str">
        <f aca="false">IF(Declarations!$E$29="information",H20,"")&amp;IF(Declarations!$E$30="information",I20,"")&amp;IF(Declarations!$E$31="information",J20,"")&amp;IF(Declarations!$E$32="information",K20,"")&amp;IF(Declarations!$E$33="information",L20,"")&amp;IF(Declarations!$E$34="information",M20,"")&amp;IF(Declarations!$E$35="information",N20,"")&amp;IF(Declarations!$E$36="information",O20,"")&amp;IF(Declarations!$E$37="information",P20,"")</f>
        <v>IN</v>
      </c>
      <c r="AA20" s="2" t="s">
        <v>141</v>
      </c>
      <c r="AB20" s="18" t="n">
        <f aca="false">SUMPRODUCT(--($H$8:$P$8&lt;&gt;H24:P24))</f>
        <v>1</v>
      </c>
    </row>
    <row r="21" customFormat="false" ht="15" hidden="false" customHeight="false" outlineLevel="0" collapsed="false">
      <c r="A21" s="18" t="n">
        <v>15</v>
      </c>
      <c r="B21" s="18" t="n">
        <f aca="false">MOD(INT($A21/2^0),2)</f>
        <v>1</v>
      </c>
      <c r="C21" s="18" t="n">
        <f aca="false">MOD(INT($A21/2^1),2)</f>
        <v>1</v>
      </c>
      <c r="D21" s="18" t="n">
        <f aca="false">MOD(INT($A21/2^2),2)</f>
        <v>1</v>
      </c>
      <c r="E21" s="18" t="n">
        <f aca="false">MOD(INT($A21/2^3),2)</f>
        <v>1</v>
      </c>
      <c r="F21" s="18" t="n">
        <f aca="false">MOD(INT($A21/2^4),2)</f>
        <v>0</v>
      </c>
      <c r="G21" s="18" t="n">
        <f aca="false">MOD(INT($A21/2^5),2)</f>
        <v>0</v>
      </c>
      <c r="H21" s="2" t="str">
        <f aca="false">CHOOSE(1+2*INDEX($B21:$G21,H$3)+INDEX($B21:$G21,H$4),"E","N","O","I")</f>
        <v>I</v>
      </c>
      <c r="I21" s="2" t="str">
        <f aca="false">CHOOSE(1+2*INDEX($B21:$G21,I$3)+INDEX($B21:$G21,I$4),"E","N","O","I")</f>
        <v>I</v>
      </c>
      <c r="J21" s="2" t="str">
        <f aca="false">CHOOSE(1+2*INDEX($B21:$G21,J$3)+INDEX($B21:$G21,J$4),"E","N","O","I")</f>
        <v>I</v>
      </c>
      <c r="K21" s="2" t="str">
        <f aca="false">CHOOSE(1+2*INDEX($B21:$G21,K$3)+INDEX($B21:$G21,K$4),"E","N","O","I")</f>
        <v>I</v>
      </c>
      <c r="L21" s="2" t="str">
        <f aca="false">CHOOSE(1+2*INDEX($B21:$G21,L$3)+INDEX($B21:$G21,L$4),"E","N","O","I")</f>
        <v>I</v>
      </c>
      <c r="M21" s="2" t="str">
        <f aca="false">CHOOSE(1+2*INDEX($B21:$G21,M$3)+INDEX($B21:$G21,M$4),"E","N","O","I")</f>
        <v>I</v>
      </c>
      <c r="N21" s="2" t="str">
        <f aca="false">CHOOSE(1+2*INDEX($B21:$G21,N$3)+INDEX($B21:$G21,N$4),"E","N","O","I")</f>
        <v>I</v>
      </c>
      <c r="O21" s="2" t="str">
        <f aca="false">CHOOSE(1+2*INDEX($B21:$G21,O$3)+INDEX($B21:$G21,O$4),"E","N","O","I")</f>
        <v>N</v>
      </c>
      <c r="P21" s="2" t="str">
        <f aca="false">CHOOSE(1+2*INDEX($B21:$G21,P$3)+INDEX($B21:$G21,P$4),"E","N","O","I")</f>
        <v>N</v>
      </c>
      <c r="Q21" s="18" t="n">
        <f aca="false">COUNTIF($H21:$P21,"I")</f>
        <v>7</v>
      </c>
      <c r="R21" s="18" t="n">
        <f aca="false">COUNTIF($H21:$P21,"N")</f>
        <v>2</v>
      </c>
      <c r="S21" s="18" t="n">
        <f aca="false">COUNTIF($H21:$P21,"O")</f>
        <v>0</v>
      </c>
      <c r="T21" s="18" t="n">
        <f aca="false">COUNTIF($H21:$P21,"E")</f>
        <v>0</v>
      </c>
      <c r="U21" s="18" t="n">
        <f aca="false">SUM(Q21:T21)</f>
        <v>9</v>
      </c>
      <c r="V21" s="2" t="str">
        <f aca="false">H21&amp;I21&amp;J21&amp;K21&amp;L21&amp;M21&amp;N21&amp;O21&amp;P21</f>
        <v>IIIIIIINN</v>
      </c>
      <c r="W21" s="2" t="str">
        <f aca="false">IF(Declarations!$E$29="goods",H21,"")&amp;IF(Declarations!$E$30="goods",I21,"")&amp;IF(Declarations!$E$31="goods",J21,"")&amp;IF(Declarations!$E$32="goods",K21,"")&amp;IF(Declarations!$E$33="goods",L21,"")&amp;IF(Declarations!$E$34="goods",M21,"")&amp;IF(Declarations!$E$35="goods",N21,"")&amp;IF(Declarations!$E$36="goods",O21,"")&amp;IF(Declarations!$E$37="goods",P21,"")</f>
        <v>III</v>
      </c>
      <c r="X21" s="2" t="str">
        <f aca="false">IF(Declarations!$E$29="capital",H21,"")&amp;IF(Declarations!$E$30="capital",I21,"")&amp;IF(Declarations!$E$31="capital",J21,"")&amp;IF(Declarations!$E$32="capital",K21,"")&amp;IF(Declarations!$E$33="capital",L21,"")&amp;IF(Declarations!$E$34="capital",M21,"")&amp;IF(Declarations!$E$35="capital",N21,"")&amp;IF(Declarations!$E$36="capital",O21,"")&amp;IF(Declarations!$E$37="capital",P21,"")</f>
        <v>IIIN</v>
      </c>
      <c r="Y21" s="2" t="str">
        <f aca="false">IF(Declarations!$E$29="information",H21,"")&amp;IF(Declarations!$E$30="information",I21,"")&amp;IF(Declarations!$E$31="information",J21,"")&amp;IF(Declarations!$E$32="information",K21,"")&amp;IF(Declarations!$E$33="information",L21,"")&amp;IF(Declarations!$E$34="information",M21,"")&amp;IF(Declarations!$E$35="information",N21,"")&amp;IF(Declarations!$E$36="information",O21,"")&amp;IF(Declarations!$E$37="information",P21,"")</f>
        <v>IN</v>
      </c>
      <c r="AA21" s="2" t="s">
        <v>142</v>
      </c>
      <c r="AB21" s="18" t="n">
        <f aca="false">SUMPRODUCT(--($H$8:$P$8&lt;&gt;H40:P40))</f>
        <v>1</v>
      </c>
    </row>
    <row r="22" customFormat="false" ht="15" hidden="false" customHeight="false" outlineLevel="0" collapsed="false">
      <c r="A22" s="18" t="n">
        <v>16</v>
      </c>
      <c r="B22" s="18" t="n">
        <f aca="false">MOD(INT($A22/2^0),2)</f>
        <v>0</v>
      </c>
      <c r="C22" s="18" t="n">
        <f aca="false">MOD(INT($A22/2^1),2)</f>
        <v>0</v>
      </c>
      <c r="D22" s="18" t="n">
        <f aca="false">MOD(INT($A22/2^2),2)</f>
        <v>0</v>
      </c>
      <c r="E22" s="18" t="n">
        <f aca="false">MOD(INT($A22/2^3),2)</f>
        <v>0</v>
      </c>
      <c r="F22" s="18" t="n">
        <f aca="false">MOD(INT($A22/2^4),2)</f>
        <v>1</v>
      </c>
      <c r="G22" s="18" t="n">
        <f aca="false">MOD(INT($A22/2^5),2)</f>
        <v>0</v>
      </c>
      <c r="H22" s="2" t="str">
        <f aca="false">CHOOSE(1+2*INDEX($B22:$G22,H$3)+INDEX($B22:$G22,H$4),"E","N","O","I")</f>
        <v>E</v>
      </c>
      <c r="I22" s="2" t="str">
        <f aca="false">CHOOSE(1+2*INDEX($B22:$G22,I$3)+INDEX($B22:$G22,I$4),"E","N","O","I")</f>
        <v>E</v>
      </c>
      <c r="J22" s="2" t="str">
        <f aca="false">CHOOSE(1+2*INDEX($B22:$G22,J$3)+INDEX($B22:$G22,J$4),"E","N","O","I")</f>
        <v>E</v>
      </c>
      <c r="K22" s="2" t="str">
        <f aca="false">CHOOSE(1+2*INDEX($B22:$G22,K$3)+INDEX($B22:$G22,K$4),"E","N","O","I")</f>
        <v>E</v>
      </c>
      <c r="L22" s="2" t="str">
        <f aca="false">CHOOSE(1+2*INDEX($B22:$G22,L$3)+INDEX($B22:$G22,L$4),"E","N","O","I")</f>
        <v>E</v>
      </c>
      <c r="M22" s="2" t="str">
        <f aca="false">CHOOSE(1+2*INDEX($B22:$G22,M$3)+INDEX($B22:$G22,M$4),"E","N","O","I")</f>
        <v>E</v>
      </c>
      <c r="N22" s="2" t="str">
        <f aca="false">CHOOSE(1+2*INDEX($B22:$G22,N$3)+INDEX($B22:$G22,N$4),"E","N","O","I")</f>
        <v>E</v>
      </c>
      <c r="O22" s="2" t="str">
        <f aca="false">CHOOSE(1+2*INDEX($B22:$G22,O$3)+INDEX($B22:$G22,O$4),"E","N","O","I")</f>
        <v>O</v>
      </c>
      <c r="P22" s="2" t="str">
        <f aca="false">CHOOSE(1+2*INDEX($B22:$G22,P$3)+INDEX($B22:$G22,P$4),"E","N","O","I")</f>
        <v>E</v>
      </c>
      <c r="Q22" s="18" t="n">
        <f aca="false">COUNTIF($H22:$P22,"I")</f>
        <v>0</v>
      </c>
      <c r="R22" s="18" t="n">
        <f aca="false">COUNTIF($H22:$P22,"N")</f>
        <v>0</v>
      </c>
      <c r="S22" s="18" t="n">
        <f aca="false">COUNTIF($H22:$P22,"O")</f>
        <v>1</v>
      </c>
      <c r="T22" s="18" t="n">
        <f aca="false">COUNTIF($H22:$P22,"E")</f>
        <v>8</v>
      </c>
      <c r="U22" s="18" t="n">
        <f aca="false">SUM(Q22:T22)</f>
        <v>9</v>
      </c>
      <c r="V22" s="2" t="str">
        <f aca="false">H22&amp;I22&amp;J22&amp;K22&amp;L22&amp;M22&amp;N22&amp;O22&amp;P22</f>
        <v>EEEEEEEOE</v>
      </c>
      <c r="W22" s="2" t="str">
        <f aca="false">IF(Declarations!$E$29="goods",H22,"")&amp;IF(Declarations!$E$30="goods",I22,"")&amp;IF(Declarations!$E$31="goods",J22,"")&amp;IF(Declarations!$E$32="goods",K22,"")&amp;IF(Declarations!$E$33="goods",L22,"")&amp;IF(Declarations!$E$34="goods",M22,"")&amp;IF(Declarations!$E$35="goods",N22,"")&amp;IF(Declarations!$E$36="goods",O22,"")&amp;IF(Declarations!$E$37="goods",P22,"")</f>
        <v>EEE</v>
      </c>
      <c r="X22" s="2" t="str">
        <f aca="false">IF(Declarations!$E$29="capital",H22,"")&amp;IF(Declarations!$E$30="capital",I22,"")&amp;IF(Declarations!$E$31="capital",J22,"")&amp;IF(Declarations!$E$32="capital",K22,"")&amp;IF(Declarations!$E$33="capital",L22,"")&amp;IF(Declarations!$E$34="capital",M22,"")&amp;IF(Declarations!$E$35="capital",N22,"")&amp;IF(Declarations!$E$36="capital",O22,"")&amp;IF(Declarations!$E$37="capital",P22,"")</f>
        <v>EEEO</v>
      </c>
      <c r="Y22" s="2" t="str">
        <f aca="false">IF(Declarations!$E$29="information",H22,"")&amp;IF(Declarations!$E$30="information",I22,"")&amp;IF(Declarations!$E$31="information",J22,"")&amp;IF(Declarations!$E$32="information",K22,"")&amp;IF(Declarations!$E$33="information",L22,"")&amp;IF(Declarations!$E$34="information",M22,"")&amp;IF(Declarations!$E$35="information",N22,"")&amp;IF(Declarations!$E$36="information",O22,"")&amp;IF(Declarations!$E$37="information",P22,"")</f>
        <v>EE</v>
      </c>
    </row>
    <row r="23" customFormat="false" ht="15" hidden="false" customHeight="false" outlineLevel="0" collapsed="false">
      <c r="A23" s="18" t="n">
        <v>17</v>
      </c>
      <c r="B23" s="18" t="n">
        <f aca="false">MOD(INT($A23/2^0),2)</f>
        <v>1</v>
      </c>
      <c r="C23" s="18" t="n">
        <f aca="false">MOD(INT($A23/2^1),2)</f>
        <v>0</v>
      </c>
      <c r="D23" s="18" t="n">
        <f aca="false">MOD(INT($A23/2^2),2)</f>
        <v>0</v>
      </c>
      <c r="E23" s="18" t="n">
        <f aca="false">MOD(INT($A23/2^3),2)</f>
        <v>0</v>
      </c>
      <c r="F23" s="18" t="n">
        <f aca="false">MOD(INT($A23/2^4),2)</f>
        <v>1</v>
      </c>
      <c r="G23" s="18" t="n">
        <f aca="false">MOD(INT($A23/2^5),2)</f>
        <v>0</v>
      </c>
      <c r="H23" s="2" t="str">
        <f aca="false">CHOOSE(1+2*INDEX($B23:$G23,H$3)+INDEX($B23:$G23,H$4),"E","N","O","I")</f>
        <v>O</v>
      </c>
      <c r="I23" s="2" t="str">
        <f aca="false">CHOOSE(1+2*INDEX($B23:$G23,I$3)+INDEX($B23:$G23,I$4),"E","N","O","I")</f>
        <v>N</v>
      </c>
      <c r="J23" s="2" t="str">
        <f aca="false">CHOOSE(1+2*INDEX($B23:$G23,J$3)+INDEX($B23:$G23,J$4),"E","N","O","I")</f>
        <v>E</v>
      </c>
      <c r="K23" s="2" t="str">
        <f aca="false">CHOOSE(1+2*INDEX($B23:$G23,K$3)+INDEX($B23:$G23,K$4),"E","N","O","I")</f>
        <v>E</v>
      </c>
      <c r="L23" s="2" t="str">
        <f aca="false">CHOOSE(1+2*INDEX($B23:$G23,L$3)+INDEX($B23:$G23,L$4),"E","N","O","I")</f>
        <v>E</v>
      </c>
      <c r="M23" s="2" t="str">
        <f aca="false">CHOOSE(1+2*INDEX($B23:$G23,M$3)+INDEX($B23:$G23,M$4),"E","N","O","I")</f>
        <v>E</v>
      </c>
      <c r="N23" s="2" t="str">
        <f aca="false">CHOOSE(1+2*INDEX($B23:$G23,N$3)+INDEX($B23:$G23,N$4),"E","N","O","I")</f>
        <v>E</v>
      </c>
      <c r="O23" s="2" t="str">
        <f aca="false">CHOOSE(1+2*INDEX($B23:$G23,O$3)+INDEX($B23:$G23,O$4),"E","N","O","I")</f>
        <v>O</v>
      </c>
      <c r="P23" s="2" t="str">
        <f aca="false">CHOOSE(1+2*INDEX($B23:$G23,P$3)+INDEX($B23:$G23,P$4),"E","N","O","I")</f>
        <v>E</v>
      </c>
      <c r="Q23" s="18" t="n">
        <f aca="false">COUNTIF($H23:$P23,"I")</f>
        <v>0</v>
      </c>
      <c r="R23" s="18" t="n">
        <f aca="false">COUNTIF($H23:$P23,"N")</f>
        <v>1</v>
      </c>
      <c r="S23" s="18" t="n">
        <f aca="false">COUNTIF($H23:$P23,"O")</f>
        <v>2</v>
      </c>
      <c r="T23" s="18" t="n">
        <f aca="false">COUNTIF($H23:$P23,"E")</f>
        <v>6</v>
      </c>
      <c r="U23" s="18" t="n">
        <f aca="false">SUM(Q23:T23)</f>
        <v>9</v>
      </c>
      <c r="V23" s="2" t="str">
        <f aca="false">H23&amp;I23&amp;J23&amp;K23&amp;L23&amp;M23&amp;N23&amp;O23&amp;P23</f>
        <v>ONEEEEEOE</v>
      </c>
      <c r="W23" s="2" t="str">
        <f aca="false">IF(Declarations!$E$29="goods",H23,"")&amp;IF(Declarations!$E$30="goods",I23,"")&amp;IF(Declarations!$E$31="goods",J23,"")&amp;IF(Declarations!$E$32="goods",K23,"")&amp;IF(Declarations!$E$33="goods",L23,"")&amp;IF(Declarations!$E$34="goods",M23,"")&amp;IF(Declarations!$E$35="goods",N23,"")&amp;IF(Declarations!$E$36="goods",O23,"")&amp;IF(Declarations!$E$37="goods",P23,"")</f>
        <v>OEE</v>
      </c>
      <c r="X23" s="2" t="str">
        <f aca="false">IF(Declarations!$E$29="capital",H23,"")&amp;IF(Declarations!$E$30="capital",I23,"")&amp;IF(Declarations!$E$31="capital",J23,"")&amp;IF(Declarations!$E$32="capital",K23,"")&amp;IF(Declarations!$E$33="capital",L23,"")&amp;IF(Declarations!$E$34="capital",M23,"")&amp;IF(Declarations!$E$35="capital",N23,"")&amp;IF(Declarations!$E$36="capital",O23,"")&amp;IF(Declarations!$E$37="capital",P23,"")</f>
        <v>NEEO</v>
      </c>
      <c r="Y23" s="2" t="str">
        <f aca="false">IF(Declarations!$E$29="information",H23,"")&amp;IF(Declarations!$E$30="information",I23,"")&amp;IF(Declarations!$E$31="information",J23,"")&amp;IF(Declarations!$E$32="information",K23,"")&amp;IF(Declarations!$E$33="information",L23,"")&amp;IF(Declarations!$E$34="information",M23,"")&amp;IF(Declarations!$E$35="information",N23,"")&amp;IF(Declarations!$E$36="information",O23,"")&amp;IF(Declarations!$E$37="information",P23,"")</f>
        <v>EE</v>
      </c>
      <c r="AA23" s="10" t="s">
        <v>143</v>
      </c>
    </row>
    <row r="24" customFormat="false" ht="15" hidden="false" customHeight="false" outlineLevel="0" collapsed="false">
      <c r="A24" s="18" t="n">
        <v>18</v>
      </c>
      <c r="B24" s="18" t="n">
        <f aca="false">MOD(INT($A24/2^0),2)</f>
        <v>0</v>
      </c>
      <c r="C24" s="18" t="n">
        <f aca="false">MOD(INT($A24/2^1),2)</f>
        <v>1</v>
      </c>
      <c r="D24" s="18" t="n">
        <f aca="false">MOD(INT($A24/2^2),2)</f>
        <v>0</v>
      </c>
      <c r="E24" s="18" t="n">
        <f aca="false">MOD(INT($A24/2^3),2)</f>
        <v>0</v>
      </c>
      <c r="F24" s="18" t="n">
        <f aca="false">MOD(INT($A24/2^4),2)</f>
        <v>1</v>
      </c>
      <c r="G24" s="18" t="n">
        <f aca="false">MOD(INT($A24/2^5),2)</f>
        <v>0</v>
      </c>
      <c r="H24" s="2" t="str">
        <f aca="false">CHOOSE(1+2*INDEX($B24:$G24,H$3)+INDEX($B24:$G24,H$4),"E","N","O","I")</f>
        <v>N</v>
      </c>
      <c r="I24" s="2" t="str">
        <f aca="false">CHOOSE(1+2*INDEX($B24:$G24,I$3)+INDEX($B24:$G24,I$4),"E","N","O","I")</f>
        <v>O</v>
      </c>
      <c r="J24" s="2" t="str">
        <f aca="false">CHOOSE(1+2*INDEX($B24:$G24,J$3)+INDEX($B24:$G24,J$4),"E","N","O","I")</f>
        <v>O</v>
      </c>
      <c r="K24" s="2" t="str">
        <f aca="false">CHOOSE(1+2*INDEX($B24:$G24,K$3)+INDEX($B24:$G24,K$4),"E","N","O","I")</f>
        <v>N</v>
      </c>
      <c r="L24" s="2" t="str">
        <f aca="false">CHOOSE(1+2*INDEX($B24:$G24,L$3)+INDEX($B24:$G24,L$4),"E","N","O","I")</f>
        <v>E</v>
      </c>
      <c r="M24" s="2" t="str">
        <f aca="false">CHOOSE(1+2*INDEX($B24:$G24,M$3)+INDEX($B24:$G24,M$4),"E","N","O","I")</f>
        <v>E</v>
      </c>
      <c r="N24" s="2" t="str">
        <f aca="false">CHOOSE(1+2*INDEX($B24:$G24,N$3)+INDEX($B24:$G24,N$4),"E","N","O","I")</f>
        <v>N</v>
      </c>
      <c r="O24" s="2" t="str">
        <f aca="false">CHOOSE(1+2*INDEX($B24:$G24,O$3)+INDEX($B24:$G24,O$4),"E","N","O","I")</f>
        <v>I</v>
      </c>
      <c r="P24" s="2" t="str">
        <f aca="false">CHOOSE(1+2*INDEX($B24:$G24,P$3)+INDEX($B24:$G24,P$4),"E","N","O","I")</f>
        <v>N</v>
      </c>
      <c r="Q24" s="18" t="n">
        <f aca="false">COUNTIF($H24:$P24,"I")</f>
        <v>1</v>
      </c>
      <c r="R24" s="18" t="n">
        <f aca="false">COUNTIF($H24:$P24,"N")</f>
        <v>4</v>
      </c>
      <c r="S24" s="18" t="n">
        <f aca="false">COUNTIF($H24:$P24,"O")</f>
        <v>2</v>
      </c>
      <c r="T24" s="18" t="n">
        <f aca="false">COUNTIF($H24:$P24,"E")</f>
        <v>2</v>
      </c>
      <c r="U24" s="18" t="n">
        <f aca="false">SUM(Q24:T24)</f>
        <v>9</v>
      </c>
      <c r="V24" s="2" t="str">
        <f aca="false">H24&amp;I24&amp;J24&amp;K24&amp;L24&amp;M24&amp;N24&amp;O24&amp;P24</f>
        <v>NOONEENIN</v>
      </c>
      <c r="W24" s="2" t="str">
        <f aca="false">IF(Declarations!$E$29="goods",H24,"")&amp;IF(Declarations!$E$30="goods",I24,"")&amp;IF(Declarations!$E$31="goods",J24,"")&amp;IF(Declarations!$E$32="goods",K24,"")&amp;IF(Declarations!$E$33="goods",L24,"")&amp;IF(Declarations!$E$34="goods",M24,"")&amp;IF(Declarations!$E$35="goods",N24,"")&amp;IF(Declarations!$E$36="goods",O24,"")&amp;IF(Declarations!$E$37="goods",P24,"")</f>
        <v>NOE</v>
      </c>
      <c r="X24" s="2" t="str">
        <f aca="false">IF(Declarations!$E$29="capital",H24,"")&amp;IF(Declarations!$E$30="capital",I24,"")&amp;IF(Declarations!$E$31="capital",J24,"")&amp;IF(Declarations!$E$32="capital",K24,"")&amp;IF(Declarations!$E$33="capital",L24,"")&amp;IF(Declarations!$E$34="capital",M24,"")&amp;IF(Declarations!$E$35="capital",N24,"")&amp;IF(Declarations!$E$36="capital",O24,"")&amp;IF(Declarations!$E$37="capital",P24,"")</f>
        <v>ONEI</v>
      </c>
      <c r="Y24" s="2" t="str">
        <f aca="false">IF(Declarations!$E$29="information",H24,"")&amp;IF(Declarations!$E$30="information",I24,"")&amp;IF(Declarations!$E$31="information",J24,"")&amp;IF(Declarations!$E$32="information",K24,"")&amp;IF(Declarations!$E$33="information",L24,"")&amp;IF(Declarations!$E$34="information",M24,"")&amp;IF(Declarations!$E$35="information",N24,"")&amp;IF(Declarations!$E$36="information",O24,"")&amp;IF(Declarations!$E$37="information",P24,"")</f>
        <v>NN</v>
      </c>
    </row>
    <row r="25" customFormat="false" ht="15" hidden="false" customHeight="false" outlineLevel="0" collapsed="false">
      <c r="A25" s="18" t="n">
        <v>19</v>
      </c>
      <c r="B25" s="18" t="n">
        <f aca="false">MOD(INT($A25/2^0),2)</f>
        <v>1</v>
      </c>
      <c r="C25" s="18" t="n">
        <f aca="false">MOD(INT($A25/2^1),2)</f>
        <v>1</v>
      </c>
      <c r="D25" s="18" t="n">
        <f aca="false">MOD(INT($A25/2^2),2)</f>
        <v>0</v>
      </c>
      <c r="E25" s="18" t="n">
        <f aca="false">MOD(INT($A25/2^3),2)</f>
        <v>0</v>
      </c>
      <c r="F25" s="18" t="n">
        <f aca="false">MOD(INT($A25/2^4),2)</f>
        <v>1</v>
      </c>
      <c r="G25" s="18" t="n">
        <f aca="false">MOD(INT($A25/2^5),2)</f>
        <v>0</v>
      </c>
      <c r="H25" s="2" t="str">
        <f aca="false">CHOOSE(1+2*INDEX($B25:$G25,H$3)+INDEX($B25:$G25,H$4),"E","N","O","I")</f>
        <v>I</v>
      </c>
      <c r="I25" s="2" t="str">
        <f aca="false">CHOOSE(1+2*INDEX($B25:$G25,I$3)+INDEX($B25:$G25,I$4),"E","N","O","I")</f>
        <v>I</v>
      </c>
      <c r="J25" s="2" t="str">
        <f aca="false">CHOOSE(1+2*INDEX($B25:$G25,J$3)+INDEX($B25:$G25,J$4),"E","N","O","I")</f>
        <v>O</v>
      </c>
      <c r="K25" s="2" t="str">
        <f aca="false">CHOOSE(1+2*INDEX($B25:$G25,K$3)+INDEX($B25:$G25,K$4),"E","N","O","I")</f>
        <v>N</v>
      </c>
      <c r="L25" s="2" t="str">
        <f aca="false">CHOOSE(1+2*INDEX($B25:$G25,L$3)+INDEX($B25:$G25,L$4),"E","N","O","I")</f>
        <v>E</v>
      </c>
      <c r="M25" s="2" t="str">
        <f aca="false">CHOOSE(1+2*INDEX($B25:$G25,M$3)+INDEX($B25:$G25,M$4),"E","N","O","I")</f>
        <v>E</v>
      </c>
      <c r="N25" s="2" t="str">
        <f aca="false">CHOOSE(1+2*INDEX($B25:$G25,N$3)+INDEX($B25:$G25,N$4),"E","N","O","I")</f>
        <v>N</v>
      </c>
      <c r="O25" s="2" t="str">
        <f aca="false">CHOOSE(1+2*INDEX($B25:$G25,O$3)+INDEX($B25:$G25,O$4),"E","N","O","I")</f>
        <v>I</v>
      </c>
      <c r="P25" s="2" t="str">
        <f aca="false">CHOOSE(1+2*INDEX($B25:$G25,P$3)+INDEX($B25:$G25,P$4),"E","N","O","I")</f>
        <v>N</v>
      </c>
      <c r="Q25" s="18" t="n">
        <f aca="false">COUNTIF($H25:$P25,"I")</f>
        <v>3</v>
      </c>
      <c r="R25" s="18" t="n">
        <f aca="false">COUNTIF($H25:$P25,"N")</f>
        <v>3</v>
      </c>
      <c r="S25" s="18" t="n">
        <f aca="false">COUNTIF($H25:$P25,"O")</f>
        <v>1</v>
      </c>
      <c r="T25" s="18" t="n">
        <f aca="false">COUNTIF($H25:$P25,"E")</f>
        <v>2</v>
      </c>
      <c r="U25" s="18" t="n">
        <f aca="false">SUM(Q25:T25)</f>
        <v>9</v>
      </c>
      <c r="V25" s="2" t="str">
        <f aca="false">H25&amp;I25&amp;J25&amp;K25&amp;L25&amp;M25&amp;N25&amp;O25&amp;P25</f>
        <v>IIONEENIN</v>
      </c>
      <c r="W25" s="2" t="str">
        <f aca="false">IF(Declarations!$E$29="goods",H25,"")&amp;IF(Declarations!$E$30="goods",I25,"")&amp;IF(Declarations!$E$31="goods",J25,"")&amp;IF(Declarations!$E$32="goods",K25,"")&amp;IF(Declarations!$E$33="goods",L25,"")&amp;IF(Declarations!$E$34="goods",M25,"")&amp;IF(Declarations!$E$35="goods",N25,"")&amp;IF(Declarations!$E$36="goods",O25,"")&amp;IF(Declarations!$E$37="goods",P25,"")</f>
        <v>IOE</v>
      </c>
      <c r="X25" s="2" t="str">
        <f aca="false">IF(Declarations!$E$29="capital",H25,"")&amp;IF(Declarations!$E$30="capital",I25,"")&amp;IF(Declarations!$E$31="capital",J25,"")&amp;IF(Declarations!$E$32="capital",K25,"")&amp;IF(Declarations!$E$33="capital",L25,"")&amp;IF(Declarations!$E$34="capital",M25,"")&amp;IF(Declarations!$E$35="capital",N25,"")&amp;IF(Declarations!$E$36="capital",O25,"")&amp;IF(Declarations!$E$37="capital",P25,"")</f>
        <v>INEI</v>
      </c>
      <c r="Y25" s="2" t="str">
        <f aca="false">IF(Declarations!$E$29="information",H25,"")&amp;IF(Declarations!$E$30="information",I25,"")&amp;IF(Declarations!$E$31="information",J25,"")&amp;IF(Declarations!$E$32="information",K25,"")&amp;IF(Declarations!$E$33="information",L25,"")&amp;IF(Declarations!$E$34="information",M25,"")&amp;IF(Declarations!$E$35="information",N25,"")&amp;IF(Declarations!$E$36="information",O25,"")&amp;IF(Declarations!$E$37="information",P25,"")</f>
        <v>NN</v>
      </c>
    </row>
    <row r="26" customFormat="false" ht="15" hidden="false" customHeight="false" outlineLevel="0" collapsed="false">
      <c r="A26" s="18" t="n">
        <v>20</v>
      </c>
      <c r="B26" s="18" t="n">
        <f aca="false">MOD(INT($A26/2^0),2)</f>
        <v>0</v>
      </c>
      <c r="C26" s="18" t="n">
        <f aca="false">MOD(INT($A26/2^1),2)</f>
        <v>0</v>
      </c>
      <c r="D26" s="18" t="n">
        <f aca="false">MOD(INT($A26/2^2),2)</f>
        <v>1</v>
      </c>
      <c r="E26" s="18" t="n">
        <f aca="false">MOD(INT($A26/2^3),2)</f>
        <v>0</v>
      </c>
      <c r="F26" s="18" t="n">
        <f aca="false">MOD(INT($A26/2^4),2)</f>
        <v>1</v>
      </c>
      <c r="G26" s="18" t="n">
        <f aca="false">MOD(INT($A26/2^5),2)</f>
        <v>0</v>
      </c>
      <c r="H26" s="2" t="str">
        <f aca="false">CHOOSE(1+2*INDEX($B26:$G26,H$3)+INDEX($B26:$G26,H$4),"E","N","O","I")</f>
        <v>E</v>
      </c>
      <c r="I26" s="2" t="str">
        <f aca="false">CHOOSE(1+2*INDEX($B26:$G26,I$3)+INDEX($B26:$G26,I$4),"E","N","O","I")</f>
        <v>E</v>
      </c>
      <c r="J26" s="2" t="str">
        <f aca="false">CHOOSE(1+2*INDEX($B26:$G26,J$3)+INDEX($B26:$G26,J$4),"E","N","O","I")</f>
        <v>N</v>
      </c>
      <c r="K26" s="2" t="str">
        <f aca="false">CHOOSE(1+2*INDEX($B26:$G26,K$3)+INDEX($B26:$G26,K$4),"E","N","O","I")</f>
        <v>O</v>
      </c>
      <c r="L26" s="2" t="str">
        <f aca="false">CHOOSE(1+2*INDEX($B26:$G26,L$3)+INDEX($B26:$G26,L$4),"E","N","O","I")</f>
        <v>O</v>
      </c>
      <c r="M26" s="2" t="str">
        <f aca="false">CHOOSE(1+2*INDEX($B26:$G26,M$3)+INDEX($B26:$G26,M$4),"E","N","O","I")</f>
        <v>N</v>
      </c>
      <c r="N26" s="2" t="str">
        <f aca="false">CHOOSE(1+2*INDEX($B26:$G26,N$3)+INDEX($B26:$G26,N$4),"E","N","O","I")</f>
        <v>O</v>
      </c>
      <c r="O26" s="2" t="str">
        <f aca="false">CHOOSE(1+2*INDEX($B26:$G26,O$3)+INDEX($B26:$G26,O$4),"E","N","O","I")</f>
        <v>O</v>
      </c>
      <c r="P26" s="2" t="str">
        <f aca="false">CHOOSE(1+2*INDEX($B26:$G26,P$3)+INDEX($B26:$G26,P$4),"E","N","O","I")</f>
        <v>E</v>
      </c>
      <c r="Q26" s="18" t="n">
        <f aca="false">COUNTIF($H26:$P26,"I")</f>
        <v>0</v>
      </c>
      <c r="R26" s="18" t="n">
        <f aca="false">COUNTIF($H26:$P26,"N")</f>
        <v>2</v>
      </c>
      <c r="S26" s="18" t="n">
        <f aca="false">COUNTIF($H26:$P26,"O")</f>
        <v>4</v>
      </c>
      <c r="T26" s="18" t="n">
        <f aca="false">COUNTIF($H26:$P26,"E")</f>
        <v>3</v>
      </c>
      <c r="U26" s="18" t="n">
        <f aca="false">SUM(Q26:T26)</f>
        <v>9</v>
      </c>
      <c r="V26" s="2" t="str">
        <f aca="false">H26&amp;I26&amp;J26&amp;K26&amp;L26&amp;M26&amp;N26&amp;O26&amp;P26</f>
        <v>EENOONOOE</v>
      </c>
      <c r="W26" s="2" t="str">
        <f aca="false">IF(Declarations!$E$29="goods",H26,"")&amp;IF(Declarations!$E$30="goods",I26,"")&amp;IF(Declarations!$E$31="goods",J26,"")&amp;IF(Declarations!$E$32="goods",K26,"")&amp;IF(Declarations!$E$33="goods",L26,"")&amp;IF(Declarations!$E$34="goods",M26,"")&amp;IF(Declarations!$E$35="goods",N26,"")&amp;IF(Declarations!$E$36="goods",O26,"")&amp;IF(Declarations!$E$37="goods",P26,"")</f>
        <v>ENO</v>
      </c>
      <c r="X26" s="2" t="str">
        <f aca="false">IF(Declarations!$E$29="capital",H26,"")&amp;IF(Declarations!$E$30="capital",I26,"")&amp;IF(Declarations!$E$31="capital",J26,"")&amp;IF(Declarations!$E$32="capital",K26,"")&amp;IF(Declarations!$E$33="capital",L26,"")&amp;IF(Declarations!$E$34="capital",M26,"")&amp;IF(Declarations!$E$35="capital",N26,"")&amp;IF(Declarations!$E$36="capital",O26,"")&amp;IF(Declarations!$E$37="capital",P26,"")</f>
        <v>EONO</v>
      </c>
      <c r="Y26" s="2" t="str">
        <f aca="false">IF(Declarations!$E$29="information",H26,"")&amp;IF(Declarations!$E$30="information",I26,"")&amp;IF(Declarations!$E$31="information",J26,"")&amp;IF(Declarations!$E$32="information",K26,"")&amp;IF(Declarations!$E$33="information",L26,"")&amp;IF(Declarations!$E$34="information",M26,"")&amp;IF(Declarations!$E$35="information",N26,"")&amp;IF(Declarations!$E$36="information",O26,"")&amp;IF(Declarations!$E$37="information",P26,"")</f>
        <v>OE</v>
      </c>
    </row>
    <row r="27" customFormat="false" ht="15" hidden="false" customHeight="false" outlineLevel="0" collapsed="false">
      <c r="A27" s="18" t="n">
        <v>21</v>
      </c>
      <c r="B27" s="18" t="n">
        <f aca="false">MOD(INT($A27/2^0),2)</f>
        <v>1</v>
      </c>
      <c r="C27" s="18" t="n">
        <f aca="false">MOD(INT($A27/2^1),2)</f>
        <v>0</v>
      </c>
      <c r="D27" s="18" t="n">
        <f aca="false">MOD(INT($A27/2^2),2)</f>
        <v>1</v>
      </c>
      <c r="E27" s="18" t="n">
        <f aca="false">MOD(INT($A27/2^3),2)</f>
        <v>0</v>
      </c>
      <c r="F27" s="18" t="n">
        <f aca="false">MOD(INT($A27/2^4),2)</f>
        <v>1</v>
      </c>
      <c r="G27" s="18" t="n">
        <f aca="false">MOD(INT($A27/2^5),2)</f>
        <v>0</v>
      </c>
      <c r="H27" s="2" t="str">
        <f aca="false">CHOOSE(1+2*INDEX($B27:$G27,H$3)+INDEX($B27:$G27,H$4),"E","N","O","I")</f>
        <v>O</v>
      </c>
      <c r="I27" s="2" t="str">
        <f aca="false">CHOOSE(1+2*INDEX($B27:$G27,I$3)+INDEX($B27:$G27,I$4),"E","N","O","I")</f>
        <v>N</v>
      </c>
      <c r="J27" s="2" t="str">
        <f aca="false">CHOOSE(1+2*INDEX($B27:$G27,J$3)+INDEX($B27:$G27,J$4),"E","N","O","I")</f>
        <v>N</v>
      </c>
      <c r="K27" s="2" t="str">
        <f aca="false">CHOOSE(1+2*INDEX($B27:$G27,K$3)+INDEX($B27:$G27,K$4),"E","N","O","I")</f>
        <v>O</v>
      </c>
      <c r="L27" s="2" t="str">
        <f aca="false">CHOOSE(1+2*INDEX($B27:$G27,L$3)+INDEX($B27:$G27,L$4),"E","N","O","I")</f>
        <v>O</v>
      </c>
      <c r="M27" s="2" t="str">
        <f aca="false">CHOOSE(1+2*INDEX($B27:$G27,M$3)+INDEX($B27:$G27,M$4),"E","N","O","I")</f>
        <v>N</v>
      </c>
      <c r="N27" s="2" t="str">
        <f aca="false">CHOOSE(1+2*INDEX($B27:$G27,N$3)+INDEX($B27:$G27,N$4),"E","N","O","I")</f>
        <v>O</v>
      </c>
      <c r="O27" s="2" t="str">
        <f aca="false">CHOOSE(1+2*INDEX($B27:$G27,O$3)+INDEX($B27:$G27,O$4),"E","N","O","I")</f>
        <v>O</v>
      </c>
      <c r="P27" s="2" t="str">
        <f aca="false">CHOOSE(1+2*INDEX($B27:$G27,P$3)+INDEX($B27:$G27,P$4),"E","N","O","I")</f>
        <v>E</v>
      </c>
      <c r="Q27" s="18" t="n">
        <f aca="false">COUNTIF($H27:$P27,"I")</f>
        <v>0</v>
      </c>
      <c r="R27" s="18" t="n">
        <f aca="false">COUNTIF($H27:$P27,"N")</f>
        <v>3</v>
      </c>
      <c r="S27" s="18" t="n">
        <f aca="false">COUNTIF($H27:$P27,"O")</f>
        <v>5</v>
      </c>
      <c r="T27" s="18" t="n">
        <f aca="false">COUNTIF($H27:$P27,"E")</f>
        <v>1</v>
      </c>
      <c r="U27" s="18" t="n">
        <f aca="false">SUM(Q27:T27)</f>
        <v>9</v>
      </c>
      <c r="V27" s="2" t="str">
        <f aca="false">H27&amp;I27&amp;J27&amp;K27&amp;L27&amp;M27&amp;N27&amp;O27&amp;P27</f>
        <v>ONNOONOOE</v>
      </c>
      <c r="W27" s="2" t="str">
        <f aca="false">IF(Declarations!$E$29="goods",H27,"")&amp;IF(Declarations!$E$30="goods",I27,"")&amp;IF(Declarations!$E$31="goods",J27,"")&amp;IF(Declarations!$E$32="goods",K27,"")&amp;IF(Declarations!$E$33="goods",L27,"")&amp;IF(Declarations!$E$34="goods",M27,"")&amp;IF(Declarations!$E$35="goods",N27,"")&amp;IF(Declarations!$E$36="goods",O27,"")&amp;IF(Declarations!$E$37="goods",P27,"")</f>
        <v>ONO</v>
      </c>
      <c r="X27" s="2" t="str">
        <f aca="false">IF(Declarations!$E$29="capital",H27,"")&amp;IF(Declarations!$E$30="capital",I27,"")&amp;IF(Declarations!$E$31="capital",J27,"")&amp;IF(Declarations!$E$32="capital",K27,"")&amp;IF(Declarations!$E$33="capital",L27,"")&amp;IF(Declarations!$E$34="capital",M27,"")&amp;IF(Declarations!$E$35="capital",N27,"")&amp;IF(Declarations!$E$36="capital",O27,"")&amp;IF(Declarations!$E$37="capital",P27,"")</f>
        <v>NONO</v>
      </c>
      <c r="Y27" s="2" t="str">
        <f aca="false">IF(Declarations!$E$29="information",H27,"")&amp;IF(Declarations!$E$30="information",I27,"")&amp;IF(Declarations!$E$31="information",J27,"")&amp;IF(Declarations!$E$32="information",K27,"")&amp;IF(Declarations!$E$33="information",L27,"")&amp;IF(Declarations!$E$34="information",M27,"")&amp;IF(Declarations!$E$35="information",N27,"")&amp;IF(Declarations!$E$36="information",O27,"")&amp;IF(Declarations!$E$37="information",P27,"")</f>
        <v>OE</v>
      </c>
    </row>
    <row r="28" customFormat="false" ht="15" hidden="false" customHeight="false" outlineLevel="0" collapsed="false">
      <c r="A28" s="18" t="n">
        <v>22</v>
      </c>
      <c r="B28" s="18" t="n">
        <f aca="false">MOD(INT($A28/2^0),2)</f>
        <v>0</v>
      </c>
      <c r="C28" s="18" t="n">
        <f aca="false">MOD(INT($A28/2^1),2)</f>
        <v>1</v>
      </c>
      <c r="D28" s="18" t="n">
        <f aca="false">MOD(INT($A28/2^2),2)</f>
        <v>1</v>
      </c>
      <c r="E28" s="18" t="n">
        <f aca="false">MOD(INT($A28/2^3),2)</f>
        <v>0</v>
      </c>
      <c r="F28" s="18" t="n">
        <f aca="false">MOD(INT($A28/2^4),2)</f>
        <v>1</v>
      </c>
      <c r="G28" s="18" t="n">
        <f aca="false">MOD(INT($A28/2^5),2)</f>
        <v>0</v>
      </c>
      <c r="H28" s="2" t="str">
        <f aca="false">CHOOSE(1+2*INDEX($B28:$G28,H$3)+INDEX($B28:$G28,H$4),"E","N","O","I")</f>
        <v>N</v>
      </c>
      <c r="I28" s="2" t="str">
        <f aca="false">CHOOSE(1+2*INDEX($B28:$G28,I$3)+INDEX($B28:$G28,I$4),"E","N","O","I")</f>
        <v>O</v>
      </c>
      <c r="J28" s="2" t="str">
        <f aca="false">CHOOSE(1+2*INDEX($B28:$G28,J$3)+INDEX($B28:$G28,J$4),"E","N","O","I")</f>
        <v>I</v>
      </c>
      <c r="K28" s="2" t="str">
        <f aca="false">CHOOSE(1+2*INDEX($B28:$G28,K$3)+INDEX($B28:$G28,K$4),"E","N","O","I")</f>
        <v>I</v>
      </c>
      <c r="L28" s="2" t="str">
        <f aca="false">CHOOSE(1+2*INDEX($B28:$G28,L$3)+INDEX($B28:$G28,L$4),"E","N","O","I")</f>
        <v>O</v>
      </c>
      <c r="M28" s="2" t="str">
        <f aca="false">CHOOSE(1+2*INDEX($B28:$G28,M$3)+INDEX($B28:$G28,M$4),"E","N","O","I")</f>
        <v>N</v>
      </c>
      <c r="N28" s="2" t="str">
        <f aca="false">CHOOSE(1+2*INDEX($B28:$G28,N$3)+INDEX($B28:$G28,N$4),"E","N","O","I")</f>
        <v>I</v>
      </c>
      <c r="O28" s="2" t="str">
        <f aca="false">CHOOSE(1+2*INDEX($B28:$G28,O$3)+INDEX($B28:$G28,O$4),"E","N","O","I")</f>
        <v>I</v>
      </c>
      <c r="P28" s="2" t="str">
        <f aca="false">CHOOSE(1+2*INDEX($B28:$G28,P$3)+INDEX($B28:$G28,P$4),"E","N","O","I")</f>
        <v>N</v>
      </c>
      <c r="Q28" s="18" t="n">
        <f aca="false">COUNTIF($H28:$P28,"I")</f>
        <v>4</v>
      </c>
      <c r="R28" s="18" t="n">
        <f aca="false">COUNTIF($H28:$P28,"N")</f>
        <v>3</v>
      </c>
      <c r="S28" s="18" t="n">
        <f aca="false">COUNTIF($H28:$P28,"O")</f>
        <v>2</v>
      </c>
      <c r="T28" s="18" t="n">
        <f aca="false">COUNTIF($H28:$P28,"E")</f>
        <v>0</v>
      </c>
      <c r="U28" s="18" t="n">
        <f aca="false">SUM(Q28:T28)</f>
        <v>9</v>
      </c>
      <c r="V28" s="2" t="str">
        <f aca="false">H28&amp;I28&amp;J28&amp;K28&amp;L28&amp;M28&amp;N28&amp;O28&amp;P28</f>
        <v>NOIIONIIN</v>
      </c>
      <c r="W28" s="2" t="str">
        <f aca="false">IF(Declarations!$E$29="goods",H28,"")&amp;IF(Declarations!$E$30="goods",I28,"")&amp;IF(Declarations!$E$31="goods",J28,"")&amp;IF(Declarations!$E$32="goods",K28,"")&amp;IF(Declarations!$E$33="goods",L28,"")&amp;IF(Declarations!$E$34="goods",M28,"")&amp;IF(Declarations!$E$35="goods",N28,"")&amp;IF(Declarations!$E$36="goods",O28,"")&amp;IF(Declarations!$E$37="goods",P28,"")</f>
        <v>NIO</v>
      </c>
      <c r="X28" s="2" t="str">
        <f aca="false">IF(Declarations!$E$29="capital",H28,"")&amp;IF(Declarations!$E$30="capital",I28,"")&amp;IF(Declarations!$E$31="capital",J28,"")&amp;IF(Declarations!$E$32="capital",K28,"")&amp;IF(Declarations!$E$33="capital",L28,"")&amp;IF(Declarations!$E$34="capital",M28,"")&amp;IF(Declarations!$E$35="capital",N28,"")&amp;IF(Declarations!$E$36="capital",O28,"")&amp;IF(Declarations!$E$37="capital",P28,"")</f>
        <v>OINI</v>
      </c>
      <c r="Y28" s="2" t="str">
        <f aca="false">IF(Declarations!$E$29="information",H28,"")&amp;IF(Declarations!$E$30="information",I28,"")&amp;IF(Declarations!$E$31="information",J28,"")&amp;IF(Declarations!$E$32="information",K28,"")&amp;IF(Declarations!$E$33="information",L28,"")&amp;IF(Declarations!$E$34="information",M28,"")&amp;IF(Declarations!$E$35="information",N28,"")&amp;IF(Declarations!$E$36="information",O28,"")&amp;IF(Declarations!$E$37="information",P28,"")</f>
        <v>IN</v>
      </c>
    </row>
    <row r="29" customFormat="false" ht="15" hidden="false" customHeight="false" outlineLevel="0" collapsed="false">
      <c r="A29" s="18" t="n">
        <v>23</v>
      </c>
      <c r="B29" s="18" t="n">
        <f aca="false">MOD(INT($A29/2^0),2)</f>
        <v>1</v>
      </c>
      <c r="C29" s="18" t="n">
        <f aca="false">MOD(INT($A29/2^1),2)</f>
        <v>1</v>
      </c>
      <c r="D29" s="18" t="n">
        <f aca="false">MOD(INT($A29/2^2),2)</f>
        <v>1</v>
      </c>
      <c r="E29" s="18" t="n">
        <f aca="false">MOD(INT($A29/2^3),2)</f>
        <v>0</v>
      </c>
      <c r="F29" s="18" t="n">
        <f aca="false">MOD(INT($A29/2^4),2)</f>
        <v>1</v>
      </c>
      <c r="G29" s="18" t="n">
        <f aca="false">MOD(INT($A29/2^5),2)</f>
        <v>0</v>
      </c>
      <c r="H29" s="2" t="str">
        <f aca="false">CHOOSE(1+2*INDEX($B29:$G29,H$3)+INDEX($B29:$G29,H$4),"E","N","O","I")</f>
        <v>I</v>
      </c>
      <c r="I29" s="2" t="str">
        <f aca="false">CHOOSE(1+2*INDEX($B29:$G29,I$3)+INDEX($B29:$G29,I$4),"E","N","O","I")</f>
        <v>I</v>
      </c>
      <c r="J29" s="2" t="str">
        <f aca="false">CHOOSE(1+2*INDEX($B29:$G29,J$3)+INDEX($B29:$G29,J$4),"E","N","O","I")</f>
        <v>I</v>
      </c>
      <c r="K29" s="2" t="str">
        <f aca="false">CHOOSE(1+2*INDEX($B29:$G29,K$3)+INDEX($B29:$G29,K$4),"E","N","O","I")</f>
        <v>I</v>
      </c>
      <c r="L29" s="2" t="str">
        <f aca="false">CHOOSE(1+2*INDEX($B29:$G29,L$3)+INDEX($B29:$G29,L$4),"E","N","O","I")</f>
        <v>O</v>
      </c>
      <c r="M29" s="2" t="str">
        <f aca="false">CHOOSE(1+2*INDEX($B29:$G29,M$3)+INDEX($B29:$G29,M$4),"E","N","O","I")</f>
        <v>N</v>
      </c>
      <c r="N29" s="2" t="str">
        <f aca="false">CHOOSE(1+2*INDEX($B29:$G29,N$3)+INDEX($B29:$G29,N$4),"E","N","O","I")</f>
        <v>I</v>
      </c>
      <c r="O29" s="2" t="str">
        <f aca="false">CHOOSE(1+2*INDEX($B29:$G29,O$3)+INDEX($B29:$G29,O$4),"E","N","O","I")</f>
        <v>I</v>
      </c>
      <c r="P29" s="2" t="str">
        <f aca="false">CHOOSE(1+2*INDEX($B29:$G29,P$3)+INDEX($B29:$G29,P$4),"E","N","O","I")</f>
        <v>N</v>
      </c>
      <c r="Q29" s="18" t="n">
        <f aca="false">COUNTIF($H29:$P29,"I")</f>
        <v>6</v>
      </c>
      <c r="R29" s="18" t="n">
        <f aca="false">COUNTIF($H29:$P29,"N")</f>
        <v>2</v>
      </c>
      <c r="S29" s="18" t="n">
        <f aca="false">COUNTIF($H29:$P29,"O")</f>
        <v>1</v>
      </c>
      <c r="T29" s="18" t="n">
        <f aca="false">COUNTIF($H29:$P29,"E")</f>
        <v>0</v>
      </c>
      <c r="U29" s="18" t="n">
        <f aca="false">SUM(Q29:T29)</f>
        <v>9</v>
      </c>
      <c r="V29" s="2" t="str">
        <f aca="false">H29&amp;I29&amp;J29&amp;K29&amp;L29&amp;M29&amp;N29&amp;O29&amp;P29</f>
        <v>IIIIONIIN</v>
      </c>
      <c r="W29" s="2" t="str">
        <f aca="false">IF(Declarations!$E$29="goods",H29,"")&amp;IF(Declarations!$E$30="goods",I29,"")&amp;IF(Declarations!$E$31="goods",J29,"")&amp;IF(Declarations!$E$32="goods",K29,"")&amp;IF(Declarations!$E$33="goods",L29,"")&amp;IF(Declarations!$E$34="goods",M29,"")&amp;IF(Declarations!$E$35="goods",N29,"")&amp;IF(Declarations!$E$36="goods",O29,"")&amp;IF(Declarations!$E$37="goods",P29,"")</f>
        <v>IIO</v>
      </c>
      <c r="X29" s="2" t="str">
        <f aca="false">IF(Declarations!$E$29="capital",H29,"")&amp;IF(Declarations!$E$30="capital",I29,"")&amp;IF(Declarations!$E$31="capital",J29,"")&amp;IF(Declarations!$E$32="capital",K29,"")&amp;IF(Declarations!$E$33="capital",L29,"")&amp;IF(Declarations!$E$34="capital",M29,"")&amp;IF(Declarations!$E$35="capital",N29,"")&amp;IF(Declarations!$E$36="capital",O29,"")&amp;IF(Declarations!$E$37="capital",P29,"")</f>
        <v>IINI</v>
      </c>
      <c r="Y29" s="2" t="str">
        <f aca="false">IF(Declarations!$E$29="information",H29,"")&amp;IF(Declarations!$E$30="information",I29,"")&amp;IF(Declarations!$E$31="information",J29,"")&amp;IF(Declarations!$E$32="information",K29,"")&amp;IF(Declarations!$E$33="information",L29,"")&amp;IF(Declarations!$E$34="information",M29,"")&amp;IF(Declarations!$E$35="information",N29,"")&amp;IF(Declarations!$E$36="information",O29,"")&amp;IF(Declarations!$E$37="information",P29,"")</f>
        <v>IN</v>
      </c>
    </row>
    <row r="30" customFormat="false" ht="15" hidden="false" customHeight="false" outlineLevel="0" collapsed="false">
      <c r="A30" s="18" t="n">
        <v>24</v>
      </c>
      <c r="B30" s="18" t="n">
        <f aca="false">MOD(INT($A30/2^0),2)</f>
        <v>0</v>
      </c>
      <c r="C30" s="18" t="n">
        <f aca="false">MOD(INT($A30/2^1),2)</f>
        <v>0</v>
      </c>
      <c r="D30" s="18" t="n">
        <f aca="false">MOD(INT($A30/2^2),2)</f>
        <v>0</v>
      </c>
      <c r="E30" s="18" t="n">
        <f aca="false">MOD(INT($A30/2^3),2)</f>
        <v>1</v>
      </c>
      <c r="F30" s="18" t="n">
        <f aca="false">MOD(INT($A30/2^4),2)</f>
        <v>1</v>
      </c>
      <c r="G30" s="18" t="n">
        <f aca="false">MOD(INT($A30/2^5),2)</f>
        <v>0</v>
      </c>
      <c r="H30" s="2" t="str">
        <f aca="false">CHOOSE(1+2*INDEX($B30:$G30,H$3)+INDEX($B30:$G30,H$4),"E","N","O","I")</f>
        <v>E</v>
      </c>
      <c r="I30" s="2" t="str">
        <f aca="false">CHOOSE(1+2*INDEX($B30:$G30,I$3)+INDEX($B30:$G30,I$4),"E","N","O","I")</f>
        <v>E</v>
      </c>
      <c r="J30" s="2" t="str">
        <f aca="false">CHOOSE(1+2*INDEX($B30:$G30,J$3)+INDEX($B30:$G30,J$4),"E","N","O","I")</f>
        <v>E</v>
      </c>
      <c r="K30" s="2" t="str">
        <f aca="false">CHOOSE(1+2*INDEX($B30:$G30,K$3)+INDEX($B30:$G30,K$4),"E","N","O","I")</f>
        <v>E</v>
      </c>
      <c r="L30" s="2" t="str">
        <f aca="false">CHOOSE(1+2*INDEX($B30:$G30,L$3)+INDEX($B30:$G30,L$4),"E","N","O","I")</f>
        <v>N</v>
      </c>
      <c r="M30" s="2" t="str">
        <f aca="false">CHOOSE(1+2*INDEX($B30:$G30,M$3)+INDEX($B30:$G30,M$4),"E","N","O","I")</f>
        <v>O</v>
      </c>
      <c r="N30" s="2" t="str">
        <f aca="false">CHOOSE(1+2*INDEX($B30:$G30,N$3)+INDEX($B30:$G30,N$4),"E","N","O","I")</f>
        <v>E</v>
      </c>
      <c r="O30" s="2" t="str">
        <f aca="false">CHOOSE(1+2*INDEX($B30:$G30,O$3)+INDEX($B30:$G30,O$4),"E","N","O","I")</f>
        <v>O</v>
      </c>
      <c r="P30" s="2" t="str">
        <f aca="false">CHOOSE(1+2*INDEX($B30:$G30,P$3)+INDEX($B30:$G30,P$4),"E","N","O","I")</f>
        <v>E</v>
      </c>
      <c r="Q30" s="18" t="n">
        <f aca="false">COUNTIF($H30:$P30,"I")</f>
        <v>0</v>
      </c>
      <c r="R30" s="18" t="n">
        <f aca="false">COUNTIF($H30:$P30,"N")</f>
        <v>1</v>
      </c>
      <c r="S30" s="18" t="n">
        <f aca="false">COUNTIF($H30:$P30,"O")</f>
        <v>2</v>
      </c>
      <c r="T30" s="18" t="n">
        <f aca="false">COUNTIF($H30:$P30,"E")</f>
        <v>6</v>
      </c>
      <c r="U30" s="18" t="n">
        <f aca="false">SUM(Q30:T30)</f>
        <v>9</v>
      </c>
      <c r="V30" s="2" t="str">
        <f aca="false">H30&amp;I30&amp;J30&amp;K30&amp;L30&amp;M30&amp;N30&amp;O30&amp;P30</f>
        <v>EEEENOEOE</v>
      </c>
      <c r="W30" s="2" t="str">
        <f aca="false">IF(Declarations!$E$29="goods",H30,"")&amp;IF(Declarations!$E$30="goods",I30,"")&amp;IF(Declarations!$E$31="goods",J30,"")&amp;IF(Declarations!$E$32="goods",K30,"")&amp;IF(Declarations!$E$33="goods",L30,"")&amp;IF(Declarations!$E$34="goods",M30,"")&amp;IF(Declarations!$E$35="goods",N30,"")&amp;IF(Declarations!$E$36="goods",O30,"")&amp;IF(Declarations!$E$37="goods",P30,"")</f>
        <v>EEN</v>
      </c>
      <c r="X30" s="2" t="str">
        <f aca="false">IF(Declarations!$E$29="capital",H30,"")&amp;IF(Declarations!$E$30="capital",I30,"")&amp;IF(Declarations!$E$31="capital",J30,"")&amp;IF(Declarations!$E$32="capital",K30,"")&amp;IF(Declarations!$E$33="capital",L30,"")&amp;IF(Declarations!$E$34="capital",M30,"")&amp;IF(Declarations!$E$35="capital",N30,"")&amp;IF(Declarations!$E$36="capital",O30,"")&amp;IF(Declarations!$E$37="capital",P30,"")</f>
        <v>EEOO</v>
      </c>
      <c r="Y30" s="2" t="str">
        <f aca="false">IF(Declarations!$E$29="information",H30,"")&amp;IF(Declarations!$E$30="information",I30,"")&amp;IF(Declarations!$E$31="information",J30,"")&amp;IF(Declarations!$E$32="information",K30,"")&amp;IF(Declarations!$E$33="information",L30,"")&amp;IF(Declarations!$E$34="information",M30,"")&amp;IF(Declarations!$E$35="information",N30,"")&amp;IF(Declarations!$E$36="information",O30,"")&amp;IF(Declarations!$E$37="information",P30,"")</f>
        <v>EE</v>
      </c>
    </row>
    <row r="31" customFormat="false" ht="15" hidden="false" customHeight="false" outlineLevel="0" collapsed="false">
      <c r="A31" s="18" t="n">
        <v>25</v>
      </c>
      <c r="B31" s="18" t="n">
        <f aca="false">MOD(INT($A31/2^0),2)</f>
        <v>1</v>
      </c>
      <c r="C31" s="18" t="n">
        <f aca="false">MOD(INT($A31/2^1),2)</f>
        <v>0</v>
      </c>
      <c r="D31" s="18" t="n">
        <f aca="false">MOD(INT($A31/2^2),2)</f>
        <v>0</v>
      </c>
      <c r="E31" s="18" t="n">
        <f aca="false">MOD(INT($A31/2^3),2)</f>
        <v>1</v>
      </c>
      <c r="F31" s="18" t="n">
        <f aca="false">MOD(INT($A31/2^4),2)</f>
        <v>1</v>
      </c>
      <c r="G31" s="18" t="n">
        <f aca="false">MOD(INT($A31/2^5),2)</f>
        <v>0</v>
      </c>
      <c r="H31" s="2" t="str">
        <f aca="false">CHOOSE(1+2*INDEX($B31:$G31,H$3)+INDEX($B31:$G31,H$4),"E","N","O","I")</f>
        <v>O</v>
      </c>
      <c r="I31" s="2" t="str">
        <f aca="false">CHOOSE(1+2*INDEX($B31:$G31,I$3)+INDEX($B31:$G31,I$4),"E","N","O","I")</f>
        <v>N</v>
      </c>
      <c r="J31" s="2" t="str">
        <f aca="false">CHOOSE(1+2*INDEX($B31:$G31,J$3)+INDEX($B31:$G31,J$4),"E","N","O","I")</f>
        <v>E</v>
      </c>
      <c r="K31" s="2" t="str">
        <f aca="false">CHOOSE(1+2*INDEX($B31:$G31,K$3)+INDEX($B31:$G31,K$4),"E","N","O","I")</f>
        <v>E</v>
      </c>
      <c r="L31" s="2" t="str">
        <f aca="false">CHOOSE(1+2*INDEX($B31:$G31,L$3)+INDEX($B31:$G31,L$4),"E","N","O","I")</f>
        <v>N</v>
      </c>
      <c r="M31" s="2" t="str">
        <f aca="false">CHOOSE(1+2*INDEX($B31:$G31,M$3)+INDEX($B31:$G31,M$4),"E","N","O","I")</f>
        <v>O</v>
      </c>
      <c r="N31" s="2" t="str">
        <f aca="false">CHOOSE(1+2*INDEX($B31:$G31,N$3)+INDEX($B31:$G31,N$4),"E","N","O","I")</f>
        <v>E</v>
      </c>
      <c r="O31" s="2" t="str">
        <f aca="false">CHOOSE(1+2*INDEX($B31:$G31,O$3)+INDEX($B31:$G31,O$4),"E","N","O","I")</f>
        <v>O</v>
      </c>
      <c r="P31" s="2" t="str">
        <f aca="false">CHOOSE(1+2*INDEX($B31:$G31,P$3)+INDEX($B31:$G31,P$4),"E","N","O","I")</f>
        <v>E</v>
      </c>
      <c r="Q31" s="18" t="n">
        <f aca="false">COUNTIF($H31:$P31,"I")</f>
        <v>0</v>
      </c>
      <c r="R31" s="18" t="n">
        <f aca="false">COUNTIF($H31:$P31,"N")</f>
        <v>2</v>
      </c>
      <c r="S31" s="18" t="n">
        <f aca="false">COUNTIF($H31:$P31,"O")</f>
        <v>3</v>
      </c>
      <c r="T31" s="18" t="n">
        <f aca="false">COUNTIF($H31:$P31,"E")</f>
        <v>4</v>
      </c>
      <c r="U31" s="18" t="n">
        <f aca="false">SUM(Q31:T31)</f>
        <v>9</v>
      </c>
      <c r="V31" s="2" t="str">
        <f aca="false">H31&amp;I31&amp;J31&amp;K31&amp;L31&amp;M31&amp;N31&amp;O31&amp;P31</f>
        <v>ONEENOEOE</v>
      </c>
      <c r="W31" s="2" t="str">
        <f aca="false">IF(Declarations!$E$29="goods",H31,"")&amp;IF(Declarations!$E$30="goods",I31,"")&amp;IF(Declarations!$E$31="goods",J31,"")&amp;IF(Declarations!$E$32="goods",K31,"")&amp;IF(Declarations!$E$33="goods",L31,"")&amp;IF(Declarations!$E$34="goods",M31,"")&amp;IF(Declarations!$E$35="goods",N31,"")&amp;IF(Declarations!$E$36="goods",O31,"")&amp;IF(Declarations!$E$37="goods",P31,"")</f>
        <v>OEN</v>
      </c>
      <c r="X31" s="2" t="str">
        <f aca="false">IF(Declarations!$E$29="capital",H31,"")&amp;IF(Declarations!$E$30="capital",I31,"")&amp;IF(Declarations!$E$31="capital",J31,"")&amp;IF(Declarations!$E$32="capital",K31,"")&amp;IF(Declarations!$E$33="capital",L31,"")&amp;IF(Declarations!$E$34="capital",M31,"")&amp;IF(Declarations!$E$35="capital",N31,"")&amp;IF(Declarations!$E$36="capital",O31,"")&amp;IF(Declarations!$E$37="capital",P31,"")</f>
        <v>NEOO</v>
      </c>
      <c r="Y31" s="2" t="str">
        <f aca="false">IF(Declarations!$E$29="information",H31,"")&amp;IF(Declarations!$E$30="information",I31,"")&amp;IF(Declarations!$E$31="information",J31,"")&amp;IF(Declarations!$E$32="information",K31,"")&amp;IF(Declarations!$E$33="information",L31,"")&amp;IF(Declarations!$E$34="information",M31,"")&amp;IF(Declarations!$E$35="information",N31,"")&amp;IF(Declarations!$E$36="information",O31,"")&amp;IF(Declarations!$E$37="information",P31,"")</f>
        <v>EE</v>
      </c>
    </row>
    <row r="32" customFormat="false" ht="15" hidden="false" customHeight="false" outlineLevel="0" collapsed="false">
      <c r="A32" s="18" t="n">
        <v>26</v>
      </c>
      <c r="B32" s="18" t="n">
        <f aca="false">MOD(INT($A32/2^0),2)</f>
        <v>0</v>
      </c>
      <c r="C32" s="18" t="n">
        <f aca="false">MOD(INT($A32/2^1),2)</f>
        <v>1</v>
      </c>
      <c r="D32" s="18" t="n">
        <f aca="false">MOD(INT($A32/2^2),2)</f>
        <v>0</v>
      </c>
      <c r="E32" s="18" t="n">
        <f aca="false">MOD(INT($A32/2^3),2)</f>
        <v>1</v>
      </c>
      <c r="F32" s="18" t="n">
        <f aca="false">MOD(INT($A32/2^4),2)</f>
        <v>1</v>
      </c>
      <c r="G32" s="18" t="n">
        <f aca="false">MOD(INT($A32/2^5),2)</f>
        <v>0</v>
      </c>
      <c r="H32" s="2" t="str">
        <f aca="false">CHOOSE(1+2*INDEX($B32:$G32,H$3)+INDEX($B32:$G32,H$4),"E","N","O","I")</f>
        <v>N</v>
      </c>
      <c r="I32" s="2" t="str">
        <f aca="false">CHOOSE(1+2*INDEX($B32:$G32,I$3)+INDEX($B32:$G32,I$4),"E","N","O","I")</f>
        <v>O</v>
      </c>
      <c r="J32" s="2" t="str">
        <f aca="false">CHOOSE(1+2*INDEX($B32:$G32,J$3)+INDEX($B32:$G32,J$4),"E","N","O","I")</f>
        <v>O</v>
      </c>
      <c r="K32" s="2" t="str">
        <f aca="false">CHOOSE(1+2*INDEX($B32:$G32,K$3)+INDEX($B32:$G32,K$4),"E","N","O","I")</f>
        <v>N</v>
      </c>
      <c r="L32" s="2" t="str">
        <f aca="false">CHOOSE(1+2*INDEX($B32:$G32,L$3)+INDEX($B32:$G32,L$4),"E","N","O","I")</f>
        <v>N</v>
      </c>
      <c r="M32" s="2" t="str">
        <f aca="false">CHOOSE(1+2*INDEX($B32:$G32,M$3)+INDEX($B32:$G32,M$4),"E","N","O","I")</f>
        <v>O</v>
      </c>
      <c r="N32" s="2" t="str">
        <f aca="false">CHOOSE(1+2*INDEX($B32:$G32,N$3)+INDEX($B32:$G32,N$4),"E","N","O","I")</f>
        <v>N</v>
      </c>
      <c r="O32" s="2" t="str">
        <f aca="false">CHOOSE(1+2*INDEX($B32:$G32,O$3)+INDEX($B32:$G32,O$4),"E","N","O","I")</f>
        <v>I</v>
      </c>
      <c r="P32" s="2" t="str">
        <f aca="false">CHOOSE(1+2*INDEX($B32:$G32,P$3)+INDEX($B32:$G32,P$4),"E","N","O","I")</f>
        <v>N</v>
      </c>
      <c r="Q32" s="18" t="n">
        <f aca="false">COUNTIF($H32:$P32,"I")</f>
        <v>1</v>
      </c>
      <c r="R32" s="18" t="n">
        <f aca="false">COUNTIF($H32:$P32,"N")</f>
        <v>5</v>
      </c>
      <c r="S32" s="18" t="n">
        <f aca="false">COUNTIF($H32:$P32,"O")</f>
        <v>3</v>
      </c>
      <c r="T32" s="18" t="n">
        <f aca="false">COUNTIF($H32:$P32,"E")</f>
        <v>0</v>
      </c>
      <c r="U32" s="18" t="n">
        <f aca="false">SUM(Q32:T32)</f>
        <v>9</v>
      </c>
      <c r="V32" s="2" t="str">
        <f aca="false">H32&amp;I32&amp;J32&amp;K32&amp;L32&amp;M32&amp;N32&amp;O32&amp;P32</f>
        <v>NOONNONIN</v>
      </c>
      <c r="W32" s="2" t="str">
        <f aca="false">IF(Declarations!$E$29="goods",H32,"")&amp;IF(Declarations!$E$30="goods",I32,"")&amp;IF(Declarations!$E$31="goods",J32,"")&amp;IF(Declarations!$E$32="goods",K32,"")&amp;IF(Declarations!$E$33="goods",L32,"")&amp;IF(Declarations!$E$34="goods",M32,"")&amp;IF(Declarations!$E$35="goods",N32,"")&amp;IF(Declarations!$E$36="goods",O32,"")&amp;IF(Declarations!$E$37="goods",P32,"")</f>
        <v>NON</v>
      </c>
      <c r="X32" s="2" t="str">
        <f aca="false">IF(Declarations!$E$29="capital",H32,"")&amp;IF(Declarations!$E$30="capital",I32,"")&amp;IF(Declarations!$E$31="capital",J32,"")&amp;IF(Declarations!$E$32="capital",K32,"")&amp;IF(Declarations!$E$33="capital",L32,"")&amp;IF(Declarations!$E$34="capital",M32,"")&amp;IF(Declarations!$E$35="capital",N32,"")&amp;IF(Declarations!$E$36="capital",O32,"")&amp;IF(Declarations!$E$37="capital",P32,"")</f>
        <v>ONOI</v>
      </c>
      <c r="Y32" s="2" t="str">
        <f aca="false">IF(Declarations!$E$29="information",H32,"")&amp;IF(Declarations!$E$30="information",I32,"")&amp;IF(Declarations!$E$31="information",J32,"")&amp;IF(Declarations!$E$32="information",K32,"")&amp;IF(Declarations!$E$33="information",L32,"")&amp;IF(Declarations!$E$34="information",M32,"")&amp;IF(Declarations!$E$35="information",N32,"")&amp;IF(Declarations!$E$36="information",O32,"")&amp;IF(Declarations!$E$37="information",P32,"")</f>
        <v>NN</v>
      </c>
    </row>
    <row r="33" customFormat="false" ht="15" hidden="false" customHeight="false" outlineLevel="0" collapsed="false">
      <c r="A33" s="18" t="n">
        <v>27</v>
      </c>
      <c r="B33" s="18" t="n">
        <f aca="false">MOD(INT($A33/2^0),2)</f>
        <v>1</v>
      </c>
      <c r="C33" s="18" t="n">
        <f aca="false">MOD(INT($A33/2^1),2)</f>
        <v>1</v>
      </c>
      <c r="D33" s="18" t="n">
        <f aca="false">MOD(INT($A33/2^2),2)</f>
        <v>0</v>
      </c>
      <c r="E33" s="18" t="n">
        <f aca="false">MOD(INT($A33/2^3),2)</f>
        <v>1</v>
      </c>
      <c r="F33" s="18" t="n">
        <f aca="false">MOD(INT($A33/2^4),2)</f>
        <v>1</v>
      </c>
      <c r="G33" s="18" t="n">
        <f aca="false">MOD(INT($A33/2^5),2)</f>
        <v>0</v>
      </c>
      <c r="H33" s="2" t="str">
        <f aca="false">CHOOSE(1+2*INDEX($B33:$G33,H$3)+INDEX($B33:$G33,H$4),"E","N","O","I")</f>
        <v>I</v>
      </c>
      <c r="I33" s="2" t="str">
        <f aca="false">CHOOSE(1+2*INDEX($B33:$G33,I$3)+INDEX($B33:$G33,I$4),"E","N","O","I")</f>
        <v>I</v>
      </c>
      <c r="J33" s="2" t="str">
        <f aca="false">CHOOSE(1+2*INDEX($B33:$G33,J$3)+INDEX($B33:$G33,J$4),"E","N","O","I")</f>
        <v>O</v>
      </c>
      <c r="K33" s="2" t="str">
        <f aca="false">CHOOSE(1+2*INDEX($B33:$G33,K$3)+INDEX($B33:$G33,K$4),"E","N","O","I")</f>
        <v>N</v>
      </c>
      <c r="L33" s="2" t="str">
        <f aca="false">CHOOSE(1+2*INDEX($B33:$G33,L$3)+INDEX($B33:$G33,L$4),"E","N","O","I")</f>
        <v>N</v>
      </c>
      <c r="M33" s="2" t="str">
        <f aca="false">CHOOSE(1+2*INDEX($B33:$G33,M$3)+INDEX($B33:$G33,M$4),"E","N","O","I")</f>
        <v>O</v>
      </c>
      <c r="N33" s="2" t="str">
        <f aca="false">CHOOSE(1+2*INDEX($B33:$G33,N$3)+INDEX($B33:$G33,N$4),"E","N","O","I")</f>
        <v>N</v>
      </c>
      <c r="O33" s="2" t="str">
        <f aca="false">CHOOSE(1+2*INDEX($B33:$G33,O$3)+INDEX($B33:$G33,O$4),"E","N","O","I")</f>
        <v>I</v>
      </c>
      <c r="P33" s="2" t="str">
        <f aca="false">CHOOSE(1+2*INDEX($B33:$G33,P$3)+INDEX($B33:$G33,P$4),"E","N","O","I")</f>
        <v>N</v>
      </c>
      <c r="Q33" s="18" t="n">
        <f aca="false">COUNTIF($H33:$P33,"I")</f>
        <v>3</v>
      </c>
      <c r="R33" s="18" t="n">
        <f aca="false">COUNTIF($H33:$P33,"N")</f>
        <v>4</v>
      </c>
      <c r="S33" s="18" t="n">
        <f aca="false">COUNTIF($H33:$P33,"O")</f>
        <v>2</v>
      </c>
      <c r="T33" s="18" t="n">
        <f aca="false">COUNTIF($H33:$P33,"E")</f>
        <v>0</v>
      </c>
      <c r="U33" s="18" t="n">
        <f aca="false">SUM(Q33:T33)</f>
        <v>9</v>
      </c>
      <c r="V33" s="2" t="str">
        <f aca="false">H33&amp;I33&amp;J33&amp;K33&amp;L33&amp;M33&amp;N33&amp;O33&amp;P33</f>
        <v>IIONNONIN</v>
      </c>
      <c r="W33" s="2" t="str">
        <f aca="false">IF(Declarations!$E$29="goods",H33,"")&amp;IF(Declarations!$E$30="goods",I33,"")&amp;IF(Declarations!$E$31="goods",J33,"")&amp;IF(Declarations!$E$32="goods",K33,"")&amp;IF(Declarations!$E$33="goods",L33,"")&amp;IF(Declarations!$E$34="goods",M33,"")&amp;IF(Declarations!$E$35="goods",N33,"")&amp;IF(Declarations!$E$36="goods",O33,"")&amp;IF(Declarations!$E$37="goods",P33,"")</f>
        <v>ION</v>
      </c>
      <c r="X33" s="2" t="str">
        <f aca="false">IF(Declarations!$E$29="capital",H33,"")&amp;IF(Declarations!$E$30="capital",I33,"")&amp;IF(Declarations!$E$31="capital",J33,"")&amp;IF(Declarations!$E$32="capital",K33,"")&amp;IF(Declarations!$E$33="capital",L33,"")&amp;IF(Declarations!$E$34="capital",M33,"")&amp;IF(Declarations!$E$35="capital",N33,"")&amp;IF(Declarations!$E$36="capital",O33,"")&amp;IF(Declarations!$E$37="capital",P33,"")</f>
        <v>INOI</v>
      </c>
      <c r="Y33" s="2" t="str">
        <f aca="false">IF(Declarations!$E$29="information",H33,"")&amp;IF(Declarations!$E$30="information",I33,"")&amp;IF(Declarations!$E$31="information",J33,"")&amp;IF(Declarations!$E$32="information",K33,"")&amp;IF(Declarations!$E$33="information",L33,"")&amp;IF(Declarations!$E$34="information",M33,"")&amp;IF(Declarations!$E$35="information",N33,"")&amp;IF(Declarations!$E$36="information",O33,"")&amp;IF(Declarations!$E$37="information",P33,"")</f>
        <v>NN</v>
      </c>
    </row>
    <row r="34" customFormat="false" ht="15" hidden="false" customHeight="false" outlineLevel="0" collapsed="false">
      <c r="A34" s="18" t="n">
        <v>28</v>
      </c>
      <c r="B34" s="18" t="n">
        <f aca="false">MOD(INT($A34/2^0),2)</f>
        <v>0</v>
      </c>
      <c r="C34" s="18" t="n">
        <f aca="false">MOD(INT($A34/2^1),2)</f>
        <v>0</v>
      </c>
      <c r="D34" s="18" t="n">
        <f aca="false">MOD(INT($A34/2^2),2)</f>
        <v>1</v>
      </c>
      <c r="E34" s="18" t="n">
        <f aca="false">MOD(INT($A34/2^3),2)</f>
        <v>1</v>
      </c>
      <c r="F34" s="18" t="n">
        <f aca="false">MOD(INT($A34/2^4),2)</f>
        <v>1</v>
      </c>
      <c r="G34" s="18" t="n">
        <f aca="false">MOD(INT($A34/2^5),2)</f>
        <v>0</v>
      </c>
      <c r="H34" s="2" t="str">
        <f aca="false">CHOOSE(1+2*INDEX($B34:$G34,H$3)+INDEX($B34:$G34,H$4),"E","N","O","I")</f>
        <v>E</v>
      </c>
      <c r="I34" s="2" t="str">
        <f aca="false">CHOOSE(1+2*INDEX($B34:$G34,I$3)+INDEX($B34:$G34,I$4),"E","N","O","I")</f>
        <v>E</v>
      </c>
      <c r="J34" s="2" t="str">
        <f aca="false">CHOOSE(1+2*INDEX($B34:$G34,J$3)+INDEX($B34:$G34,J$4),"E","N","O","I")</f>
        <v>N</v>
      </c>
      <c r="K34" s="2" t="str">
        <f aca="false">CHOOSE(1+2*INDEX($B34:$G34,K$3)+INDEX($B34:$G34,K$4),"E","N","O","I")</f>
        <v>O</v>
      </c>
      <c r="L34" s="2" t="str">
        <f aca="false">CHOOSE(1+2*INDEX($B34:$G34,L$3)+INDEX($B34:$G34,L$4),"E","N","O","I")</f>
        <v>I</v>
      </c>
      <c r="M34" s="2" t="str">
        <f aca="false">CHOOSE(1+2*INDEX($B34:$G34,M$3)+INDEX($B34:$G34,M$4),"E","N","O","I")</f>
        <v>I</v>
      </c>
      <c r="N34" s="2" t="str">
        <f aca="false">CHOOSE(1+2*INDEX($B34:$G34,N$3)+INDEX($B34:$G34,N$4),"E","N","O","I")</f>
        <v>O</v>
      </c>
      <c r="O34" s="2" t="str">
        <f aca="false">CHOOSE(1+2*INDEX($B34:$G34,O$3)+INDEX($B34:$G34,O$4),"E","N","O","I")</f>
        <v>O</v>
      </c>
      <c r="P34" s="2" t="str">
        <f aca="false">CHOOSE(1+2*INDEX($B34:$G34,P$3)+INDEX($B34:$G34,P$4),"E","N","O","I")</f>
        <v>E</v>
      </c>
      <c r="Q34" s="18" t="n">
        <f aca="false">COUNTIF($H34:$P34,"I")</f>
        <v>2</v>
      </c>
      <c r="R34" s="18" t="n">
        <f aca="false">COUNTIF($H34:$P34,"N")</f>
        <v>1</v>
      </c>
      <c r="S34" s="18" t="n">
        <f aca="false">COUNTIF($H34:$P34,"O")</f>
        <v>3</v>
      </c>
      <c r="T34" s="18" t="n">
        <f aca="false">COUNTIF($H34:$P34,"E")</f>
        <v>3</v>
      </c>
      <c r="U34" s="18" t="n">
        <f aca="false">SUM(Q34:T34)</f>
        <v>9</v>
      </c>
      <c r="V34" s="2" t="str">
        <f aca="false">H34&amp;I34&amp;J34&amp;K34&amp;L34&amp;M34&amp;N34&amp;O34&amp;P34</f>
        <v>EENOIIOOE</v>
      </c>
      <c r="W34" s="2" t="str">
        <f aca="false">IF(Declarations!$E$29="goods",H34,"")&amp;IF(Declarations!$E$30="goods",I34,"")&amp;IF(Declarations!$E$31="goods",J34,"")&amp;IF(Declarations!$E$32="goods",K34,"")&amp;IF(Declarations!$E$33="goods",L34,"")&amp;IF(Declarations!$E$34="goods",M34,"")&amp;IF(Declarations!$E$35="goods",N34,"")&amp;IF(Declarations!$E$36="goods",O34,"")&amp;IF(Declarations!$E$37="goods",P34,"")</f>
        <v>ENI</v>
      </c>
      <c r="X34" s="2" t="str">
        <f aca="false">IF(Declarations!$E$29="capital",H34,"")&amp;IF(Declarations!$E$30="capital",I34,"")&amp;IF(Declarations!$E$31="capital",J34,"")&amp;IF(Declarations!$E$32="capital",K34,"")&amp;IF(Declarations!$E$33="capital",L34,"")&amp;IF(Declarations!$E$34="capital",M34,"")&amp;IF(Declarations!$E$35="capital",N34,"")&amp;IF(Declarations!$E$36="capital",O34,"")&amp;IF(Declarations!$E$37="capital",P34,"")</f>
        <v>EOIO</v>
      </c>
      <c r="Y34" s="2" t="str">
        <f aca="false">IF(Declarations!$E$29="information",H34,"")&amp;IF(Declarations!$E$30="information",I34,"")&amp;IF(Declarations!$E$31="information",J34,"")&amp;IF(Declarations!$E$32="information",K34,"")&amp;IF(Declarations!$E$33="information",L34,"")&amp;IF(Declarations!$E$34="information",M34,"")&amp;IF(Declarations!$E$35="information",N34,"")&amp;IF(Declarations!$E$36="information",O34,"")&amp;IF(Declarations!$E$37="information",P34,"")</f>
        <v>OE</v>
      </c>
    </row>
    <row r="35" customFormat="false" ht="15" hidden="false" customHeight="false" outlineLevel="0" collapsed="false">
      <c r="A35" s="18" t="n">
        <v>29</v>
      </c>
      <c r="B35" s="18" t="n">
        <f aca="false">MOD(INT($A35/2^0),2)</f>
        <v>1</v>
      </c>
      <c r="C35" s="18" t="n">
        <f aca="false">MOD(INT($A35/2^1),2)</f>
        <v>0</v>
      </c>
      <c r="D35" s="18" t="n">
        <f aca="false">MOD(INT($A35/2^2),2)</f>
        <v>1</v>
      </c>
      <c r="E35" s="18" t="n">
        <f aca="false">MOD(INT($A35/2^3),2)</f>
        <v>1</v>
      </c>
      <c r="F35" s="18" t="n">
        <f aca="false">MOD(INT($A35/2^4),2)</f>
        <v>1</v>
      </c>
      <c r="G35" s="18" t="n">
        <f aca="false">MOD(INT($A35/2^5),2)</f>
        <v>0</v>
      </c>
      <c r="H35" s="2" t="str">
        <f aca="false">CHOOSE(1+2*INDEX($B35:$G35,H$3)+INDEX($B35:$G35,H$4),"E","N","O","I")</f>
        <v>O</v>
      </c>
      <c r="I35" s="2" t="str">
        <f aca="false">CHOOSE(1+2*INDEX($B35:$G35,I$3)+INDEX($B35:$G35,I$4),"E","N","O","I")</f>
        <v>N</v>
      </c>
      <c r="J35" s="2" t="str">
        <f aca="false">CHOOSE(1+2*INDEX($B35:$G35,J$3)+INDEX($B35:$G35,J$4),"E","N","O","I")</f>
        <v>N</v>
      </c>
      <c r="K35" s="2" t="str">
        <f aca="false">CHOOSE(1+2*INDEX($B35:$G35,K$3)+INDEX($B35:$G35,K$4),"E","N","O","I")</f>
        <v>O</v>
      </c>
      <c r="L35" s="2" t="str">
        <f aca="false">CHOOSE(1+2*INDEX($B35:$G35,L$3)+INDEX($B35:$G35,L$4),"E","N","O","I")</f>
        <v>I</v>
      </c>
      <c r="M35" s="2" t="str">
        <f aca="false">CHOOSE(1+2*INDEX($B35:$G35,M$3)+INDEX($B35:$G35,M$4),"E","N","O","I")</f>
        <v>I</v>
      </c>
      <c r="N35" s="2" t="str">
        <f aca="false">CHOOSE(1+2*INDEX($B35:$G35,N$3)+INDEX($B35:$G35,N$4),"E","N","O","I")</f>
        <v>O</v>
      </c>
      <c r="O35" s="2" t="str">
        <f aca="false">CHOOSE(1+2*INDEX($B35:$G35,O$3)+INDEX($B35:$G35,O$4),"E","N","O","I")</f>
        <v>O</v>
      </c>
      <c r="P35" s="2" t="str">
        <f aca="false">CHOOSE(1+2*INDEX($B35:$G35,P$3)+INDEX($B35:$G35,P$4),"E","N","O","I")</f>
        <v>E</v>
      </c>
      <c r="Q35" s="18" t="n">
        <f aca="false">COUNTIF($H35:$P35,"I")</f>
        <v>2</v>
      </c>
      <c r="R35" s="18" t="n">
        <f aca="false">COUNTIF($H35:$P35,"N")</f>
        <v>2</v>
      </c>
      <c r="S35" s="18" t="n">
        <f aca="false">COUNTIF($H35:$P35,"O")</f>
        <v>4</v>
      </c>
      <c r="T35" s="18" t="n">
        <f aca="false">COUNTIF($H35:$P35,"E")</f>
        <v>1</v>
      </c>
      <c r="U35" s="18" t="n">
        <f aca="false">SUM(Q35:T35)</f>
        <v>9</v>
      </c>
      <c r="V35" s="2" t="str">
        <f aca="false">H35&amp;I35&amp;J35&amp;K35&amp;L35&amp;M35&amp;N35&amp;O35&amp;P35</f>
        <v>ONNOIIOOE</v>
      </c>
      <c r="W35" s="2" t="str">
        <f aca="false">IF(Declarations!$E$29="goods",H35,"")&amp;IF(Declarations!$E$30="goods",I35,"")&amp;IF(Declarations!$E$31="goods",J35,"")&amp;IF(Declarations!$E$32="goods",K35,"")&amp;IF(Declarations!$E$33="goods",L35,"")&amp;IF(Declarations!$E$34="goods",M35,"")&amp;IF(Declarations!$E$35="goods",N35,"")&amp;IF(Declarations!$E$36="goods",O35,"")&amp;IF(Declarations!$E$37="goods",P35,"")</f>
        <v>ONI</v>
      </c>
      <c r="X35" s="2" t="str">
        <f aca="false">IF(Declarations!$E$29="capital",H35,"")&amp;IF(Declarations!$E$30="capital",I35,"")&amp;IF(Declarations!$E$31="capital",J35,"")&amp;IF(Declarations!$E$32="capital",K35,"")&amp;IF(Declarations!$E$33="capital",L35,"")&amp;IF(Declarations!$E$34="capital",M35,"")&amp;IF(Declarations!$E$35="capital",N35,"")&amp;IF(Declarations!$E$36="capital",O35,"")&amp;IF(Declarations!$E$37="capital",P35,"")</f>
        <v>NOIO</v>
      </c>
      <c r="Y35" s="2" t="str">
        <f aca="false">IF(Declarations!$E$29="information",H35,"")&amp;IF(Declarations!$E$30="information",I35,"")&amp;IF(Declarations!$E$31="information",J35,"")&amp;IF(Declarations!$E$32="information",K35,"")&amp;IF(Declarations!$E$33="information",L35,"")&amp;IF(Declarations!$E$34="information",M35,"")&amp;IF(Declarations!$E$35="information",N35,"")&amp;IF(Declarations!$E$36="information",O35,"")&amp;IF(Declarations!$E$37="information",P35,"")</f>
        <v>OE</v>
      </c>
    </row>
    <row r="36" customFormat="false" ht="15" hidden="false" customHeight="false" outlineLevel="0" collapsed="false">
      <c r="A36" s="18" t="n">
        <v>30</v>
      </c>
      <c r="B36" s="18" t="n">
        <f aca="false">MOD(INT($A36/2^0),2)</f>
        <v>0</v>
      </c>
      <c r="C36" s="18" t="n">
        <f aca="false">MOD(INT($A36/2^1),2)</f>
        <v>1</v>
      </c>
      <c r="D36" s="18" t="n">
        <f aca="false">MOD(INT($A36/2^2),2)</f>
        <v>1</v>
      </c>
      <c r="E36" s="18" t="n">
        <f aca="false">MOD(INT($A36/2^3),2)</f>
        <v>1</v>
      </c>
      <c r="F36" s="18" t="n">
        <f aca="false">MOD(INT($A36/2^4),2)</f>
        <v>1</v>
      </c>
      <c r="G36" s="18" t="n">
        <f aca="false">MOD(INT($A36/2^5),2)</f>
        <v>0</v>
      </c>
      <c r="H36" s="2" t="str">
        <f aca="false">CHOOSE(1+2*INDEX($B36:$G36,H$3)+INDEX($B36:$G36,H$4),"E","N","O","I")</f>
        <v>N</v>
      </c>
      <c r="I36" s="2" t="str">
        <f aca="false">CHOOSE(1+2*INDEX($B36:$G36,I$3)+INDEX($B36:$G36,I$4),"E","N","O","I")</f>
        <v>O</v>
      </c>
      <c r="J36" s="2" t="str">
        <f aca="false">CHOOSE(1+2*INDEX($B36:$G36,J$3)+INDEX($B36:$G36,J$4),"E","N","O","I")</f>
        <v>I</v>
      </c>
      <c r="K36" s="2" t="str">
        <f aca="false">CHOOSE(1+2*INDEX($B36:$G36,K$3)+INDEX($B36:$G36,K$4),"E","N","O","I")</f>
        <v>I</v>
      </c>
      <c r="L36" s="2" t="str">
        <f aca="false">CHOOSE(1+2*INDEX($B36:$G36,L$3)+INDEX($B36:$G36,L$4),"E","N","O","I")</f>
        <v>I</v>
      </c>
      <c r="M36" s="2" t="str">
        <f aca="false">CHOOSE(1+2*INDEX($B36:$G36,M$3)+INDEX($B36:$G36,M$4),"E","N","O","I")</f>
        <v>I</v>
      </c>
      <c r="N36" s="2" t="str">
        <f aca="false">CHOOSE(1+2*INDEX($B36:$G36,N$3)+INDEX($B36:$G36,N$4),"E","N","O","I")</f>
        <v>I</v>
      </c>
      <c r="O36" s="2" t="str">
        <f aca="false">CHOOSE(1+2*INDEX($B36:$G36,O$3)+INDEX($B36:$G36,O$4),"E","N","O","I")</f>
        <v>I</v>
      </c>
      <c r="P36" s="2" t="str">
        <f aca="false">CHOOSE(1+2*INDEX($B36:$G36,P$3)+INDEX($B36:$G36,P$4),"E","N","O","I")</f>
        <v>N</v>
      </c>
      <c r="Q36" s="18" t="n">
        <f aca="false">COUNTIF($H36:$P36,"I")</f>
        <v>6</v>
      </c>
      <c r="R36" s="18" t="n">
        <f aca="false">COUNTIF($H36:$P36,"N")</f>
        <v>2</v>
      </c>
      <c r="S36" s="18" t="n">
        <f aca="false">COUNTIF($H36:$P36,"O")</f>
        <v>1</v>
      </c>
      <c r="T36" s="18" t="n">
        <f aca="false">COUNTIF($H36:$P36,"E")</f>
        <v>0</v>
      </c>
      <c r="U36" s="18" t="n">
        <f aca="false">SUM(Q36:T36)</f>
        <v>9</v>
      </c>
      <c r="V36" s="2" t="str">
        <f aca="false">H36&amp;I36&amp;J36&amp;K36&amp;L36&amp;M36&amp;N36&amp;O36&amp;P36</f>
        <v>NOIIIIIIN</v>
      </c>
      <c r="W36" s="2" t="str">
        <f aca="false">IF(Declarations!$E$29="goods",H36,"")&amp;IF(Declarations!$E$30="goods",I36,"")&amp;IF(Declarations!$E$31="goods",J36,"")&amp;IF(Declarations!$E$32="goods",K36,"")&amp;IF(Declarations!$E$33="goods",L36,"")&amp;IF(Declarations!$E$34="goods",M36,"")&amp;IF(Declarations!$E$35="goods",N36,"")&amp;IF(Declarations!$E$36="goods",O36,"")&amp;IF(Declarations!$E$37="goods",P36,"")</f>
        <v>NII</v>
      </c>
      <c r="X36" s="2" t="str">
        <f aca="false">IF(Declarations!$E$29="capital",H36,"")&amp;IF(Declarations!$E$30="capital",I36,"")&amp;IF(Declarations!$E$31="capital",J36,"")&amp;IF(Declarations!$E$32="capital",K36,"")&amp;IF(Declarations!$E$33="capital",L36,"")&amp;IF(Declarations!$E$34="capital",M36,"")&amp;IF(Declarations!$E$35="capital",N36,"")&amp;IF(Declarations!$E$36="capital",O36,"")&amp;IF(Declarations!$E$37="capital",P36,"")</f>
        <v>OIII</v>
      </c>
      <c r="Y36" s="2" t="str">
        <f aca="false">IF(Declarations!$E$29="information",H36,"")&amp;IF(Declarations!$E$30="information",I36,"")&amp;IF(Declarations!$E$31="information",J36,"")&amp;IF(Declarations!$E$32="information",K36,"")&amp;IF(Declarations!$E$33="information",L36,"")&amp;IF(Declarations!$E$34="information",M36,"")&amp;IF(Declarations!$E$35="information",N36,"")&amp;IF(Declarations!$E$36="information",O36,"")&amp;IF(Declarations!$E$37="information",P36,"")</f>
        <v>IN</v>
      </c>
    </row>
    <row r="37" customFormat="false" ht="15" hidden="false" customHeight="false" outlineLevel="0" collapsed="false">
      <c r="A37" s="18" t="n">
        <v>31</v>
      </c>
      <c r="B37" s="18" t="n">
        <f aca="false">MOD(INT($A37/2^0),2)</f>
        <v>1</v>
      </c>
      <c r="C37" s="18" t="n">
        <f aca="false">MOD(INT($A37/2^1),2)</f>
        <v>1</v>
      </c>
      <c r="D37" s="18" t="n">
        <f aca="false">MOD(INT($A37/2^2),2)</f>
        <v>1</v>
      </c>
      <c r="E37" s="18" t="n">
        <f aca="false">MOD(INT($A37/2^3),2)</f>
        <v>1</v>
      </c>
      <c r="F37" s="18" t="n">
        <f aca="false">MOD(INT($A37/2^4),2)</f>
        <v>1</v>
      </c>
      <c r="G37" s="18" t="n">
        <f aca="false">MOD(INT($A37/2^5),2)</f>
        <v>0</v>
      </c>
      <c r="H37" s="2" t="str">
        <f aca="false">CHOOSE(1+2*INDEX($B37:$G37,H$3)+INDEX($B37:$G37,H$4),"E","N","O","I")</f>
        <v>I</v>
      </c>
      <c r="I37" s="2" t="str">
        <f aca="false">CHOOSE(1+2*INDEX($B37:$G37,I$3)+INDEX($B37:$G37,I$4),"E","N","O","I")</f>
        <v>I</v>
      </c>
      <c r="J37" s="2" t="str">
        <f aca="false">CHOOSE(1+2*INDEX($B37:$G37,J$3)+INDEX($B37:$G37,J$4),"E","N","O","I")</f>
        <v>I</v>
      </c>
      <c r="K37" s="2" t="str">
        <f aca="false">CHOOSE(1+2*INDEX($B37:$G37,K$3)+INDEX($B37:$G37,K$4),"E","N","O","I")</f>
        <v>I</v>
      </c>
      <c r="L37" s="2" t="str">
        <f aca="false">CHOOSE(1+2*INDEX($B37:$G37,L$3)+INDEX($B37:$G37,L$4),"E","N","O","I")</f>
        <v>I</v>
      </c>
      <c r="M37" s="2" t="str">
        <f aca="false">CHOOSE(1+2*INDEX($B37:$G37,M$3)+INDEX($B37:$G37,M$4),"E","N","O","I")</f>
        <v>I</v>
      </c>
      <c r="N37" s="2" t="str">
        <f aca="false">CHOOSE(1+2*INDEX($B37:$G37,N$3)+INDEX($B37:$G37,N$4),"E","N","O","I")</f>
        <v>I</v>
      </c>
      <c r="O37" s="2" t="str">
        <f aca="false">CHOOSE(1+2*INDEX($B37:$G37,O$3)+INDEX($B37:$G37,O$4),"E","N","O","I")</f>
        <v>I</v>
      </c>
      <c r="P37" s="2" t="str">
        <f aca="false">CHOOSE(1+2*INDEX($B37:$G37,P$3)+INDEX($B37:$G37,P$4),"E","N","O","I")</f>
        <v>N</v>
      </c>
      <c r="Q37" s="18" t="n">
        <f aca="false">COUNTIF($H37:$P37,"I")</f>
        <v>8</v>
      </c>
      <c r="R37" s="18" t="n">
        <f aca="false">COUNTIF($H37:$P37,"N")</f>
        <v>1</v>
      </c>
      <c r="S37" s="18" t="n">
        <f aca="false">COUNTIF($H37:$P37,"O")</f>
        <v>0</v>
      </c>
      <c r="T37" s="18" t="n">
        <f aca="false">COUNTIF($H37:$P37,"E")</f>
        <v>0</v>
      </c>
      <c r="U37" s="18" t="n">
        <f aca="false">SUM(Q37:T37)</f>
        <v>9</v>
      </c>
      <c r="V37" s="2" t="str">
        <f aca="false">H37&amp;I37&amp;J37&amp;K37&amp;L37&amp;M37&amp;N37&amp;O37&amp;P37</f>
        <v>IIIIIIIIN</v>
      </c>
      <c r="W37" s="2" t="str">
        <f aca="false">IF(Declarations!$E$29="goods",H37,"")&amp;IF(Declarations!$E$30="goods",I37,"")&amp;IF(Declarations!$E$31="goods",J37,"")&amp;IF(Declarations!$E$32="goods",K37,"")&amp;IF(Declarations!$E$33="goods",L37,"")&amp;IF(Declarations!$E$34="goods",M37,"")&amp;IF(Declarations!$E$35="goods",N37,"")&amp;IF(Declarations!$E$36="goods",O37,"")&amp;IF(Declarations!$E$37="goods",P37,"")</f>
        <v>III</v>
      </c>
      <c r="X37" s="2" t="str">
        <f aca="false">IF(Declarations!$E$29="capital",H37,"")&amp;IF(Declarations!$E$30="capital",I37,"")&amp;IF(Declarations!$E$31="capital",J37,"")&amp;IF(Declarations!$E$32="capital",K37,"")&amp;IF(Declarations!$E$33="capital",L37,"")&amp;IF(Declarations!$E$34="capital",M37,"")&amp;IF(Declarations!$E$35="capital",N37,"")&amp;IF(Declarations!$E$36="capital",O37,"")&amp;IF(Declarations!$E$37="capital",P37,"")</f>
        <v>IIII</v>
      </c>
      <c r="Y37" s="2" t="str">
        <f aca="false">IF(Declarations!$E$29="information",H37,"")&amp;IF(Declarations!$E$30="information",I37,"")&amp;IF(Declarations!$E$31="information",J37,"")&amp;IF(Declarations!$E$32="information",K37,"")&amp;IF(Declarations!$E$33="information",L37,"")&amp;IF(Declarations!$E$34="information",M37,"")&amp;IF(Declarations!$E$35="information",N37,"")&amp;IF(Declarations!$E$36="information",O37,"")&amp;IF(Declarations!$E$37="information",P37,"")</f>
        <v>IN</v>
      </c>
    </row>
    <row r="38" customFormat="false" ht="15" hidden="false" customHeight="false" outlineLevel="0" collapsed="false">
      <c r="A38" s="18" t="n">
        <v>32</v>
      </c>
      <c r="B38" s="18" t="n">
        <f aca="false">MOD(INT($A38/2^0),2)</f>
        <v>0</v>
      </c>
      <c r="C38" s="18" t="n">
        <f aca="false">MOD(INT($A38/2^1),2)</f>
        <v>0</v>
      </c>
      <c r="D38" s="18" t="n">
        <f aca="false">MOD(INT($A38/2^2),2)</f>
        <v>0</v>
      </c>
      <c r="E38" s="18" t="n">
        <f aca="false">MOD(INT($A38/2^3),2)</f>
        <v>0</v>
      </c>
      <c r="F38" s="18" t="n">
        <f aca="false">MOD(INT($A38/2^4),2)</f>
        <v>0</v>
      </c>
      <c r="G38" s="18" t="n">
        <f aca="false">MOD(INT($A38/2^5),2)</f>
        <v>1</v>
      </c>
      <c r="H38" s="2" t="str">
        <f aca="false">CHOOSE(1+2*INDEX($B38:$G38,H$3)+INDEX($B38:$G38,H$4),"E","N","O","I")</f>
        <v>E</v>
      </c>
      <c r="I38" s="2" t="str">
        <f aca="false">CHOOSE(1+2*INDEX($B38:$G38,I$3)+INDEX($B38:$G38,I$4),"E","N","O","I")</f>
        <v>E</v>
      </c>
      <c r="J38" s="2" t="str">
        <f aca="false">CHOOSE(1+2*INDEX($B38:$G38,J$3)+INDEX($B38:$G38,J$4),"E","N","O","I")</f>
        <v>E</v>
      </c>
      <c r="K38" s="2" t="str">
        <f aca="false">CHOOSE(1+2*INDEX($B38:$G38,K$3)+INDEX($B38:$G38,K$4),"E","N","O","I")</f>
        <v>E</v>
      </c>
      <c r="L38" s="2" t="str">
        <f aca="false">CHOOSE(1+2*INDEX($B38:$G38,L$3)+INDEX($B38:$G38,L$4),"E","N","O","I")</f>
        <v>E</v>
      </c>
      <c r="M38" s="2" t="str">
        <f aca="false">CHOOSE(1+2*INDEX($B38:$G38,M$3)+INDEX($B38:$G38,M$4),"E","N","O","I")</f>
        <v>E</v>
      </c>
      <c r="N38" s="2" t="str">
        <f aca="false">CHOOSE(1+2*INDEX($B38:$G38,N$3)+INDEX($B38:$G38,N$4),"E","N","O","I")</f>
        <v>E</v>
      </c>
      <c r="O38" s="2" t="str">
        <f aca="false">CHOOSE(1+2*INDEX($B38:$G38,O$3)+INDEX($B38:$G38,O$4),"E","N","O","I")</f>
        <v>E</v>
      </c>
      <c r="P38" s="2" t="str">
        <f aca="false">CHOOSE(1+2*INDEX($B38:$G38,P$3)+INDEX($B38:$G38,P$4),"E","N","O","I")</f>
        <v>O</v>
      </c>
      <c r="Q38" s="18" t="n">
        <f aca="false">COUNTIF($H38:$P38,"I")</f>
        <v>0</v>
      </c>
      <c r="R38" s="18" t="n">
        <f aca="false">COUNTIF($H38:$P38,"N")</f>
        <v>0</v>
      </c>
      <c r="S38" s="18" t="n">
        <f aca="false">COUNTIF($H38:$P38,"O")</f>
        <v>1</v>
      </c>
      <c r="T38" s="18" t="n">
        <f aca="false">COUNTIF($H38:$P38,"E")</f>
        <v>8</v>
      </c>
      <c r="U38" s="18" t="n">
        <f aca="false">SUM(Q38:T38)</f>
        <v>9</v>
      </c>
      <c r="V38" s="2" t="str">
        <f aca="false">H38&amp;I38&amp;J38&amp;K38&amp;L38&amp;M38&amp;N38&amp;O38&amp;P38</f>
        <v>EEEEEEEEO</v>
      </c>
      <c r="W38" s="2" t="str">
        <f aca="false">IF(Declarations!$E$29="goods",H38,"")&amp;IF(Declarations!$E$30="goods",I38,"")&amp;IF(Declarations!$E$31="goods",J38,"")&amp;IF(Declarations!$E$32="goods",K38,"")&amp;IF(Declarations!$E$33="goods",L38,"")&amp;IF(Declarations!$E$34="goods",M38,"")&amp;IF(Declarations!$E$35="goods",N38,"")&amp;IF(Declarations!$E$36="goods",O38,"")&amp;IF(Declarations!$E$37="goods",P38,"")</f>
        <v>EEE</v>
      </c>
      <c r="X38" s="2" t="str">
        <f aca="false">IF(Declarations!$E$29="capital",H38,"")&amp;IF(Declarations!$E$30="capital",I38,"")&amp;IF(Declarations!$E$31="capital",J38,"")&amp;IF(Declarations!$E$32="capital",K38,"")&amp;IF(Declarations!$E$33="capital",L38,"")&amp;IF(Declarations!$E$34="capital",M38,"")&amp;IF(Declarations!$E$35="capital",N38,"")&amp;IF(Declarations!$E$36="capital",O38,"")&amp;IF(Declarations!$E$37="capital",P38,"")</f>
        <v>EEEE</v>
      </c>
      <c r="Y38" s="2" t="str">
        <f aca="false">IF(Declarations!$E$29="information",H38,"")&amp;IF(Declarations!$E$30="information",I38,"")&amp;IF(Declarations!$E$31="information",J38,"")&amp;IF(Declarations!$E$32="information",K38,"")&amp;IF(Declarations!$E$33="information",L38,"")&amp;IF(Declarations!$E$34="information",M38,"")&amp;IF(Declarations!$E$35="information",N38,"")&amp;IF(Declarations!$E$36="information",O38,"")&amp;IF(Declarations!$E$37="information",P38,"")</f>
        <v>EO</v>
      </c>
    </row>
    <row r="39" customFormat="false" ht="15" hidden="false" customHeight="false" outlineLevel="0" collapsed="false">
      <c r="A39" s="18" t="n">
        <v>33</v>
      </c>
      <c r="B39" s="18" t="n">
        <f aca="false">MOD(INT($A39/2^0),2)</f>
        <v>1</v>
      </c>
      <c r="C39" s="18" t="n">
        <f aca="false">MOD(INT($A39/2^1),2)</f>
        <v>0</v>
      </c>
      <c r="D39" s="18" t="n">
        <f aca="false">MOD(INT($A39/2^2),2)</f>
        <v>0</v>
      </c>
      <c r="E39" s="18" t="n">
        <f aca="false">MOD(INT($A39/2^3),2)</f>
        <v>0</v>
      </c>
      <c r="F39" s="18" t="n">
        <f aca="false">MOD(INT($A39/2^4),2)</f>
        <v>0</v>
      </c>
      <c r="G39" s="18" t="n">
        <f aca="false">MOD(INT($A39/2^5),2)</f>
        <v>1</v>
      </c>
      <c r="H39" s="2" t="str">
        <f aca="false">CHOOSE(1+2*INDEX($B39:$G39,H$3)+INDEX($B39:$G39,H$4),"E","N","O","I")</f>
        <v>O</v>
      </c>
      <c r="I39" s="2" t="str">
        <f aca="false">CHOOSE(1+2*INDEX($B39:$G39,I$3)+INDEX($B39:$G39,I$4),"E","N","O","I")</f>
        <v>N</v>
      </c>
      <c r="J39" s="2" t="str">
        <f aca="false">CHOOSE(1+2*INDEX($B39:$G39,J$3)+INDEX($B39:$G39,J$4),"E","N","O","I")</f>
        <v>E</v>
      </c>
      <c r="K39" s="2" t="str">
        <f aca="false">CHOOSE(1+2*INDEX($B39:$G39,K$3)+INDEX($B39:$G39,K$4),"E","N","O","I")</f>
        <v>E</v>
      </c>
      <c r="L39" s="2" t="str">
        <f aca="false">CHOOSE(1+2*INDEX($B39:$G39,L$3)+INDEX($B39:$G39,L$4),"E","N","O","I")</f>
        <v>E</v>
      </c>
      <c r="M39" s="2" t="str">
        <f aca="false">CHOOSE(1+2*INDEX($B39:$G39,M$3)+INDEX($B39:$G39,M$4),"E","N","O","I")</f>
        <v>E</v>
      </c>
      <c r="N39" s="2" t="str">
        <f aca="false">CHOOSE(1+2*INDEX($B39:$G39,N$3)+INDEX($B39:$G39,N$4),"E","N","O","I")</f>
        <v>E</v>
      </c>
      <c r="O39" s="2" t="str">
        <f aca="false">CHOOSE(1+2*INDEX($B39:$G39,O$3)+INDEX($B39:$G39,O$4),"E","N","O","I")</f>
        <v>E</v>
      </c>
      <c r="P39" s="2" t="str">
        <f aca="false">CHOOSE(1+2*INDEX($B39:$G39,P$3)+INDEX($B39:$G39,P$4),"E","N","O","I")</f>
        <v>O</v>
      </c>
      <c r="Q39" s="18" t="n">
        <f aca="false">COUNTIF($H39:$P39,"I")</f>
        <v>0</v>
      </c>
      <c r="R39" s="18" t="n">
        <f aca="false">COUNTIF($H39:$P39,"N")</f>
        <v>1</v>
      </c>
      <c r="S39" s="18" t="n">
        <f aca="false">COUNTIF($H39:$P39,"O")</f>
        <v>2</v>
      </c>
      <c r="T39" s="18" t="n">
        <f aca="false">COUNTIF($H39:$P39,"E")</f>
        <v>6</v>
      </c>
      <c r="U39" s="18" t="n">
        <f aca="false">SUM(Q39:T39)</f>
        <v>9</v>
      </c>
      <c r="V39" s="2" t="str">
        <f aca="false">H39&amp;I39&amp;J39&amp;K39&amp;L39&amp;M39&amp;N39&amp;O39&amp;P39</f>
        <v>ONEEEEEEO</v>
      </c>
      <c r="W39" s="2" t="str">
        <f aca="false">IF(Declarations!$E$29="goods",H39,"")&amp;IF(Declarations!$E$30="goods",I39,"")&amp;IF(Declarations!$E$31="goods",J39,"")&amp;IF(Declarations!$E$32="goods",K39,"")&amp;IF(Declarations!$E$33="goods",L39,"")&amp;IF(Declarations!$E$34="goods",M39,"")&amp;IF(Declarations!$E$35="goods",N39,"")&amp;IF(Declarations!$E$36="goods",O39,"")&amp;IF(Declarations!$E$37="goods",P39,"")</f>
        <v>OEE</v>
      </c>
      <c r="X39" s="2" t="str">
        <f aca="false">IF(Declarations!$E$29="capital",H39,"")&amp;IF(Declarations!$E$30="capital",I39,"")&amp;IF(Declarations!$E$31="capital",J39,"")&amp;IF(Declarations!$E$32="capital",K39,"")&amp;IF(Declarations!$E$33="capital",L39,"")&amp;IF(Declarations!$E$34="capital",M39,"")&amp;IF(Declarations!$E$35="capital",N39,"")&amp;IF(Declarations!$E$36="capital",O39,"")&amp;IF(Declarations!$E$37="capital",P39,"")</f>
        <v>NEEE</v>
      </c>
      <c r="Y39" s="2" t="str">
        <f aca="false">IF(Declarations!$E$29="information",H39,"")&amp;IF(Declarations!$E$30="information",I39,"")&amp;IF(Declarations!$E$31="information",J39,"")&amp;IF(Declarations!$E$32="information",K39,"")&amp;IF(Declarations!$E$33="information",L39,"")&amp;IF(Declarations!$E$34="information",M39,"")&amp;IF(Declarations!$E$35="information",N39,"")&amp;IF(Declarations!$E$36="information",O39,"")&amp;IF(Declarations!$E$37="information",P39,"")</f>
        <v>EO</v>
      </c>
    </row>
    <row r="40" customFormat="false" ht="15" hidden="false" customHeight="false" outlineLevel="0" collapsed="false">
      <c r="A40" s="18" t="n">
        <v>34</v>
      </c>
      <c r="B40" s="18" t="n">
        <f aca="false">MOD(INT($A40/2^0),2)</f>
        <v>0</v>
      </c>
      <c r="C40" s="18" t="n">
        <f aca="false">MOD(INT($A40/2^1),2)</f>
        <v>1</v>
      </c>
      <c r="D40" s="18" t="n">
        <f aca="false">MOD(INT($A40/2^2),2)</f>
        <v>0</v>
      </c>
      <c r="E40" s="18" t="n">
        <f aca="false">MOD(INT($A40/2^3),2)</f>
        <v>0</v>
      </c>
      <c r="F40" s="18" t="n">
        <f aca="false">MOD(INT($A40/2^4),2)</f>
        <v>0</v>
      </c>
      <c r="G40" s="18" t="n">
        <f aca="false">MOD(INT($A40/2^5),2)</f>
        <v>1</v>
      </c>
      <c r="H40" s="2" t="str">
        <f aca="false">CHOOSE(1+2*INDEX($B40:$G40,H$3)+INDEX($B40:$G40,H$4),"E","N","O","I")</f>
        <v>N</v>
      </c>
      <c r="I40" s="2" t="str">
        <f aca="false">CHOOSE(1+2*INDEX($B40:$G40,I$3)+INDEX($B40:$G40,I$4),"E","N","O","I")</f>
        <v>O</v>
      </c>
      <c r="J40" s="2" t="str">
        <f aca="false">CHOOSE(1+2*INDEX($B40:$G40,J$3)+INDEX($B40:$G40,J$4),"E","N","O","I")</f>
        <v>O</v>
      </c>
      <c r="K40" s="2" t="str">
        <f aca="false">CHOOSE(1+2*INDEX($B40:$G40,K$3)+INDEX($B40:$G40,K$4),"E","N","O","I")</f>
        <v>N</v>
      </c>
      <c r="L40" s="2" t="str">
        <f aca="false">CHOOSE(1+2*INDEX($B40:$G40,L$3)+INDEX($B40:$G40,L$4),"E","N","O","I")</f>
        <v>E</v>
      </c>
      <c r="M40" s="2" t="str">
        <f aca="false">CHOOSE(1+2*INDEX($B40:$G40,M$3)+INDEX($B40:$G40,M$4),"E","N","O","I")</f>
        <v>E</v>
      </c>
      <c r="N40" s="2" t="str">
        <f aca="false">CHOOSE(1+2*INDEX($B40:$G40,N$3)+INDEX($B40:$G40,N$4),"E","N","O","I")</f>
        <v>N</v>
      </c>
      <c r="O40" s="2" t="str">
        <f aca="false">CHOOSE(1+2*INDEX($B40:$G40,O$3)+INDEX($B40:$G40,O$4),"E","N","O","I")</f>
        <v>N</v>
      </c>
      <c r="P40" s="2" t="str">
        <f aca="false">CHOOSE(1+2*INDEX($B40:$G40,P$3)+INDEX($B40:$G40,P$4),"E","N","O","I")</f>
        <v>I</v>
      </c>
      <c r="Q40" s="18" t="n">
        <f aca="false">COUNTIF($H40:$P40,"I")</f>
        <v>1</v>
      </c>
      <c r="R40" s="18" t="n">
        <f aca="false">COUNTIF($H40:$P40,"N")</f>
        <v>4</v>
      </c>
      <c r="S40" s="18" t="n">
        <f aca="false">COUNTIF($H40:$P40,"O")</f>
        <v>2</v>
      </c>
      <c r="T40" s="18" t="n">
        <f aca="false">COUNTIF($H40:$P40,"E")</f>
        <v>2</v>
      </c>
      <c r="U40" s="18" t="n">
        <f aca="false">SUM(Q40:T40)</f>
        <v>9</v>
      </c>
      <c r="V40" s="2" t="str">
        <f aca="false">H40&amp;I40&amp;J40&amp;K40&amp;L40&amp;M40&amp;N40&amp;O40&amp;P40</f>
        <v>NOONEENNI</v>
      </c>
      <c r="W40" s="2" t="str">
        <f aca="false">IF(Declarations!$E$29="goods",H40,"")&amp;IF(Declarations!$E$30="goods",I40,"")&amp;IF(Declarations!$E$31="goods",J40,"")&amp;IF(Declarations!$E$32="goods",K40,"")&amp;IF(Declarations!$E$33="goods",L40,"")&amp;IF(Declarations!$E$34="goods",M40,"")&amp;IF(Declarations!$E$35="goods",N40,"")&amp;IF(Declarations!$E$36="goods",O40,"")&amp;IF(Declarations!$E$37="goods",P40,"")</f>
        <v>NOE</v>
      </c>
      <c r="X40" s="2" t="str">
        <f aca="false">IF(Declarations!$E$29="capital",H40,"")&amp;IF(Declarations!$E$30="capital",I40,"")&amp;IF(Declarations!$E$31="capital",J40,"")&amp;IF(Declarations!$E$32="capital",K40,"")&amp;IF(Declarations!$E$33="capital",L40,"")&amp;IF(Declarations!$E$34="capital",M40,"")&amp;IF(Declarations!$E$35="capital",N40,"")&amp;IF(Declarations!$E$36="capital",O40,"")&amp;IF(Declarations!$E$37="capital",P40,"")</f>
        <v>ONEN</v>
      </c>
      <c r="Y40" s="2" t="str">
        <f aca="false">IF(Declarations!$E$29="information",H40,"")&amp;IF(Declarations!$E$30="information",I40,"")&amp;IF(Declarations!$E$31="information",J40,"")&amp;IF(Declarations!$E$32="information",K40,"")&amp;IF(Declarations!$E$33="information",L40,"")&amp;IF(Declarations!$E$34="information",M40,"")&amp;IF(Declarations!$E$35="information",N40,"")&amp;IF(Declarations!$E$36="information",O40,"")&amp;IF(Declarations!$E$37="information",P40,"")</f>
        <v>NI</v>
      </c>
    </row>
    <row r="41" customFormat="false" ht="15" hidden="false" customHeight="false" outlineLevel="0" collapsed="false">
      <c r="A41" s="18" t="n">
        <v>35</v>
      </c>
      <c r="B41" s="18" t="n">
        <f aca="false">MOD(INT($A41/2^0),2)</f>
        <v>1</v>
      </c>
      <c r="C41" s="18" t="n">
        <f aca="false">MOD(INT($A41/2^1),2)</f>
        <v>1</v>
      </c>
      <c r="D41" s="18" t="n">
        <f aca="false">MOD(INT($A41/2^2),2)</f>
        <v>0</v>
      </c>
      <c r="E41" s="18" t="n">
        <f aca="false">MOD(INT($A41/2^3),2)</f>
        <v>0</v>
      </c>
      <c r="F41" s="18" t="n">
        <f aca="false">MOD(INT($A41/2^4),2)</f>
        <v>0</v>
      </c>
      <c r="G41" s="18" t="n">
        <f aca="false">MOD(INT($A41/2^5),2)</f>
        <v>1</v>
      </c>
      <c r="H41" s="2" t="str">
        <f aca="false">CHOOSE(1+2*INDEX($B41:$G41,H$3)+INDEX($B41:$G41,H$4),"E","N","O","I")</f>
        <v>I</v>
      </c>
      <c r="I41" s="2" t="str">
        <f aca="false">CHOOSE(1+2*INDEX($B41:$G41,I$3)+INDEX($B41:$G41,I$4),"E","N","O","I")</f>
        <v>I</v>
      </c>
      <c r="J41" s="2" t="str">
        <f aca="false">CHOOSE(1+2*INDEX($B41:$G41,J$3)+INDEX($B41:$G41,J$4),"E","N","O","I")</f>
        <v>O</v>
      </c>
      <c r="K41" s="2" t="str">
        <f aca="false">CHOOSE(1+2*INDEX($B41:$G41,K$3)+INDEX($B41:$G41,K$4),"E","N","O","I")</f>
        <v>N</v>
      </c>
      <c r="L41" s="2" t="str">
        <f aca="false">CHOOSE(1+2*INDEX($B41:$G41,L$3)+INDEX($B41:$G41,L$4),"E","N","O","I")</f>
        <v>E</v>
      </c>
      <c r="M41" s="2" t="str">
        <f aca="false">CHOOSE(1+2*INDEX($B41:$G41,M$3)+INDEX($B41:$G41,M$4),"E","N","O","I")</f>
        <v>E</v>
      </c>
      <c r="N41" s="2" t="str">
        <f aca="false">CHOOSE(1+2*INDEX($B41:$G41,N$3)+INDEX($B41:$G41,N$4),"E","N","O","I")</f>
        <v>N</v>
      </c>
      <c r="O41" s="2" t="str">
        <f aca="false">CHOOSE(1+2*INDEX($B41:$G41,O$3)+INDEX($B41:$G41,O$4),"E","N","O","I")</f>
        <v>N</v>
      </c>
      <c r="P41" s="2" t="str">
        <f aca="false">CHOOSE(1+2*INDEX($B41:$G41,P$3)+INDEX($B41:$G41,P$4),"E","N","O","I")</f>
        <v>I</v>
      </c>
      <c r="Q41" s="18" t="n">
        <f aca="false">COUNTIF($H41:$P41,"I")</f>
        <v>3</v>
      </c>
      <c r="R41" s="18" t="n">
        <f aca="false">COUNTIF($H41:$P41,"N")</f>
        <v>3</v>
      </c>
      <c r="S41" s="18" t="n">
        <f aca="false">COUNTIF($H41:$P41,"O")</f>
        <v>1</v>
      </c>
      <c r="T41" s="18" t="n">
        <f aca="false">COUNTIF($H41:$P41,"E")</f>
        <v>2</v>
      </c>
      <c r="U41" s="18" t="n">
        <f aca="false">SUM(Q41:T41)</f>
        <v>9</v>
      </c>
      <c r="V41" s="2" t="str">
        <f aca="false">H41&amp;I41&amp;J41&amp;K41&amp;L41&amp;M41&amp;N41&amp;O41&amp;P41</f>
        <v>IIONEENNI</v>
      </c>
      <c r="W41" s="2" t="str">
        <f aca="false">IF(Declarations!$E$29="goods",H41,"")&amp;IF(Declarations!$E$30="goods",I41,"")&amp;IF(Declarations!$E$31="goods",J41,"")&amp;IF(Declarations!$E$32="goods",K41,"")&amp;IF(Declarations!$E$33="goods",L41,"")&amp;IF(Declarations!$E$34="goods",M41,"")&amp;IF(Declarations!$E$35="goods",N41,"")&amp;IF(Declarations!$E$36="goods",O41,"")&amp;IF(Declarations!$E$37="goods",P41,"")</f>
        <v>IOE</v>
      </c>
      <c r="X41" s="2" t="str">
        <f aca="false">IF(Declarations!$E$29="capital",H41,"")&amp;IF(Declarations!$E$30="capital",I41,"")&amp;IF(Declarations!$E$31="capital",J41,"")&amp;IF(Declarations!$E$32="capital",K41,"")&amp;IF(Declarations!$E$33="capital",L41,"")&amp;IF(Declarations!$E$34="capital",M41,"")&amp;IF(Declarations!$E$35="capital",N41,"")&amp;IF(Declarations!$E$36="capital",O41,"")&amp;IF(Declarations!$E$37="capital",P41,"")</f>
        <v>INEN</v>
      </c>
      <c r="Y41" s="2" t="str">
        <f aca="false">IF(Declarations!$E$29="information",H41,"")&amp;IF(Declarations!$E$30="information",I41,"")&amp;IF(Declarations!$E$31="information",J41,"")&amp;IF(Declarations!$E$32="information",K41,"")&amp;IF(Declarations!$E$33="information",L41,"")&amp;IF(Declarations!$E$34="information",M41,"")&amp;IF(Declarations!$E$35="information",N41,"")&amp;IF(Declarations!$E$36="information",O41,"")&amp;IF(Declarations!$E$37="information",P41,"")</f>
        <v>NI</v>
      </c>
    </row>
    <row r="42" customFormat="false" ht="15" hidden="false" customHeight="false" outlineLevel="0" collapsed="false">
      <c r="A42" s="18" t="n">
        <v>36</v>
      </c>
      <c r="B42" s="18" t="n">
        <f aca="false">MOD(INT($A42/2^0),2)</f>
        <v>0</v>
      </c>
      <c r="C42" s="18" t="n">
        <f aca="false">MOD(INT($A42/2^1),2)</f>
        <v>0</v>
      </c>
      <c r="D42" s="18" t="n">
        <f aca="false">MOD(INT($A42/2^2),2)</f>
        <v>1</v>
      </c>
      <c r="E42" s="18" t="n">
        <f aca="false">MOD(INT($A42/2^3),2)</f>
        <v>0</v>
      </c>
      <c r="F42" s="18" t="n">
        <f aca="false">MOD(INT($A42/2^4),2)</f>
        <v>0</v>
      </c>
      <c r="G42" s="18" t="n">
        <f aca="false">MOD(INT($A42/2^5),2)</f>
        <v>1</v>
      </c>
      <c r="H42" s="2" t="str">
        <f aca="false">CHOOSE(1+2*INDEX($B42:$G42,H$3)+INDEX($B42:$G42,H$4),"E","N","O","I")</f>
        <v>E</v>
      </c>
      <c r="I42" s="2" t="str">
        <f aca="false">CHOOSE(1+2*INDEX($B42:$G42,I$3)+INDEX($B42:$G42,I$4),"E","N","O","I")</f>
        <v>E</v>
      </c>
      <c r="J42" s="2" t="str">
        <f aca="false">CHOOSE(1+2*INDEX($B42:$G42,J$3)+INDEX($B42:$G42,J$4),"E","N","O","I")</f>
        <v>N</v>
      </c>
      <c r="K42" s="2" t="str">
        <f aca="false">CHOOSE(1+2*INDEX($B42:$G42,K$3)+INDEX($B42:$G42,K$4),"E","N","O","I")</f>
        <v>O</v>
      </c>
      <c r="L42" s="2" t="str">
        <f aca="false">CHOOSE(1+2*INDEX($B42:$G42,L$3)+INDEX($B42:$G42,L$4),"E","N","O","I")</f>
        <v>O</v>
      </c>
      <c r="M42" s="2" t="str">
        <f aca="false">CHOOSE(1+2*INDEX($B42:$G42,M$3)+INDEX($B42:$G42,M$4),"E","N","O","I")</f>
        <v>N</v>
      </c>
      <c r="N42" s="2" t="str">
        <f aca="false">CHOOSE(1+2*INDEX($B42:$G42,N$3)+INDEX($B42:$G42,N$4),"E","N","O","I")</f>
        <v>O</v>
      </c>
      <c r="O42" s="2" t="str">
        <f aca="false">CHOOSE(1+2*INDEX($B42:$G42,O$3)+INDEX($B42:$G42,O$4),"E","N","O","I")</f>
        <v>E</v>
      </c>
      <c r="P42" s="2" t="str">
        <f aca="false">CHOOSE(1+2*INDEX($B42:$G42,P$3)+INDEX($B42:$G42,P$4),"E","N","O","I")</f>
        <v>O</v>
      </c>
      <c r="Q42" s="18" t="n">
        <f aca="false">COUNTIF($H42:$P42,"I")</f>
        <v>0</v>
      </c>
      <c r="R42" s="18" t="n">
        <f aca="false">COUNTIF($H42:$P42,"N")</f>
        <v>2</v>
      </c>
      <c r="S42" s="18" t="n">
        <f aca="false">COUNTIF($H42:$P42,"O")</f>
        <v>4</v>
      </c>
      <c r="T42" s="18" t="n">
        <f aca="false">COUNTIF($H42:$P42,"E")</f>
        <v>3</v>
      </c>
      <c r="U42" s="18" t="n">
        <f aca="false">SUM(Q42:T42)</f>
        <v>9</v>
      </c>
      <c r="V42" s="2" t="str">
        <f aca="false">H42&amp;I42&amp;J42&amp;K42&amp;L42&amp;M42&amp;N42&amp;O42&amp;P42</f>
        <v>EENOONOEO</v>
      </c>
      <c r="W42" s="2" t="str">
        <f aca="false">IF(Declarations!$E$29="goods",H42,"")&amp;IF(Declarations!$E$30="goods",I42,"")&amp;IF(Declarations!$E$31="goods",J42,"")&amp;IF(Declarations!$E$32="goods",K42,"")&amp;IF(Declarations!$E$33="goods",L42,"")&amp;IF(Declarations!$E$34="goods",M42,"")&amp;IF(Declarations!$E$35="goods",N42,"")&amp;IF(Declarations!$E$36="goods",O42,"")&amp;IF(Declarations!$E$37="goods",P42,"")</f>
        <v>ENO</v>
      </c>
      <c r="X42" s="2" t="str">
        <f aca="false">IF(Declarations!$E$29="capital",H42,"")&amp;IF(Declarations!$E$30="capital",I42,"")&amp;IF(Declarations!$E$31="capital",J42,"")&amp;IF(Declarations!$E$32="capital",K42,"")&amp;IF(Declarations!$E$33="capital",L42,"")&amp;IF(Declarations!$E$34="capital",M42,"")&amp;IF(Declarations!$E$35="capital",N42,"")&amp;IF(Declarations!$E$36="capital",O42,"")&amp;IF(Declarations!$E$37="capital",P42,"")</f>
        <v>EONE</v>
      </c>
      <c r="Y42" s="2" t="str">
        <f aca="false">IF(Declarations!$E$29="information",H42,"")&amp;IF(Declarations!$E$30="information",I42,"")&amp;IF(Declarations!$E$31="information",J42,"")&amp;IF(Declarations!$E$32="information",K42,"")&amp;IF(Declarations!$E$33="information",L42,"")&amp;IF(Declarations!$E$34="information",M42,"")&amp;IF(Declarations!$E$35="information",N42,"")&amp;IF(Declarations!$E$36="information",O42,"")&amp;IF(Declarations!$E$37="information",P42,"")</f>
        <v>OO</v>
      </c>
    </row>
    <row r="43" customFormat="false" ht="15" hidden="false" customHeight="false" outlineLevel="0" collapsed="false">
      <c r="A43" s="18" t="n">
        <v>37</v>
      </c>
      <c r="B43" s="18" t="n">
        <f aca="false">MOD(INT($A43/2^0),2)</f>
        <v>1</v>
      </c>
      <c r="C43" s="18" t="n">
        <f aca="false">MOD(INT($A43/2^1),2)</f>
        <v>0</v>
      </c>
      <c r="D43" s="18" t="n">
        <f aca="false">MOD(INT($A43/2^2),2)</f>
        <v>1</v>
      </c>
      <c r="E43" s="18" t="n">
        <f aca="false">MOD(INT($A43/2^3),2)</f>
        <v>0</v>
      </c>
      <c r="F43" s="18" t="n">
        <f aca="false">MOD(INT($A43/2^4),2)</f>
        <v>0</v>
      </c>
      <c r="G43" s="18" t="n">
        <f aca="false">MOD(INT($A43/2^5),2)</f>
        <v>1</v>
      </c>
      <c r="H43" s="2" t="str">
        <f aca="false">CHOOSE(1+2*INDEX($B43:$G43,H$3)+INDEX($B43:$G43,H$4),"E","N","O","I")</f>
        <v>O</v>
      </c>
      <c r="I43" s="2" t="str">
        <f aca="false">CHOOSE(1+2*INDEX($B43:$G43,I$3)+INDEX($B43:$G43,I$4),"E","N","O","I")</f>
        <v>N</v>
      </c>
      <c r="J43" s="2" t="str">
        <f aca="false">CHOOSE(1+2*INDEX($B43:$G43,J$3)+INDEX($B43:$G43,J$4),"E","N","O","I")</f>
        <v>N</v>
      </c>
      <c r="K43" s="2" t="str">
        <f aca="false">CHOOSE(1+2*INDEX($B43:$G43,K$3)+INDEX($B43:$G43,K$4),"E","N","O","I")</f>
        <v>O</v>
      </c>
      <c r="L43" s="2" t="str">
        <f aca="false">CHOOSE(1+2*INDEX($B43:$G43,L$3)+INDEX($B43:$G43,L$4),"E","N","O","I")</f>
        <v>O</v>
      </c>
      <c r="M43" s="2" t="str">
        <f aca="false">CHOOSE(1+2*INDEX($B43:$G43,M$3)+INDEX($B43:$G43,M$4),"E","N","O","I")</f>
        <v>N</v>
      </c>
      <c r="N43" s="2" t="str">
        <f aca="false">CHOOSE(1+2*INDEX($B43:$G43,N$3)+INDEX($B43:$G43,N$4),"E","N","O","I")</f>
        <v>O</v>
      </c>
      <c r="O43" s="2" t="str">
        <f aca="false">CHOOSE(1+2*INDEX($B43:$G43,O$3)+INDEX($B43:$G43,O$4),"E","N","O","I")</f>
        <v>E</v>
      </c>
      <c r="P43" s="2" t="str">
        <f aca="false">CHOOSE(1+2*INDEX($B43:$G43,P$3)+INDEX($B43:$G43,P$4),"E","N","O","I")</f>
        <v>O</v>
      </c>
      <c r="Q43" s="18" t="n">
        <f aca="false">COUNTIF($H43:$P43,"I")</f>
        <v>0</v>
      </c>
      <c r="R43" s="18" t="n">
        <f aca="false">COUNTIF($H43:$P43,"N")</f>
        <v>3</v>
      </c>
      <c r="S43" s="18" t="n">
        <f aca="false">COUNTIF($H43:$P43,"O")</f>
        <v>5</v>
      </c>
      <c r="T43" s="18" t="n">
        <f aca="false">COUNTIF($H43:$P43,"E")</f>
        <v>1</v>
      </c>
      <c r="U43" s="18" t="n">
        <f aca="false">SUM(Q43:T43)</f>
        <v>9</v>
      </c>
      <c r="V43" s="2" t="str">
        <f aca="false">H43&amp;I43&amp;J43&amp;K43&amp;L43&amp;M43&amp;N43&amp;O43&amp;P43</f>
        <v>ONNOONOEO</v>
      </c>
      <c r="W43" s="2" t="str">
        <f aca="false">IF(Declarations!$E$29="goods",H43,"")&amp;IF(Declarations!$E$30="goods",I43,"")&amp;IF(Declarations!$E$31="goods",J43,"")&amp;IF(Declarations!$E$32="goods",K43,"")&amp;IF(Declarations!$E$33="goods",L43,"")&amp;IF(Declarations!$E$34="goods",M43,"")&amp;IF(Declarations!$E$35="goods",N43,"")&amp;IF(Declarations!$E$36="goods",O43,"")&amp;IF(Declarations!$E$37="goods",P43,"")</f>
        <v>ONO</v>
      </c>
      <c r="X43" s="2" t="str">
        <f aca="false">IF(Declarations!$E$29="capital",H43,"")&amp;IF(Declarations!$E$30="capital",I43,"")&amp;IF(Declarations!$E$31="capital",J43,"")&amp;IF(Declarations!$E$32="capital",K43,"")&amp;IF(Declarations!$E$33="capital",L43,"")&amp;IF(Declarations!$E$34="capital",M43,"")&amp;IF(Declarations!$E$35="capital",N43,"")&amp;IF(Declarations!$E$36="capital",O43,"")&amp;IF(Declarations!$E$37="capital",P43,"")</f>
        <v>NONE</v>
      </c>
      <c r="Y43" s="2" t="str">
        <f aca="false">IF(Declarations!$E$29="information",H43,"")&amp;IF(Declarations!$E$30="information",I43,"")&amp;IF(Declarations!$E$31="information",J43,"")&amp;IF(Declarations!$E$32="information",K43,"")&amp;IF(Declarations!$E$33="information",L43,"")&amp;IF(Declarations!$E$34="information",M43,"")&amp;IF(Declarations!$E$35="information",N43,"")&amp;IF(Declarations!$E$36="information",O43,"")&amp;IF(Declarations!$E$37="information",P43,"")</f>
        <v>OO</v>
      </c>
    </row>
    <row r="44" customFormat="false" ht="15" hidden="false" customHeight="false" outlineLevel="0" collapsed="false">
      <c r="A44" s="18" t="n">
        <v>38</v>
      </c>
      <c r="B44" s="18" t="n">
        <f aca="false">MOD(INT($A44/2^0),2)</f>
        <v>0</v>
      </c>
      <c r="C44" s="18" t="n">
        <f aca="false">MOD(INT($A44/2^1),2)</f>
        <v>1</v>
      </c>
      <c r="D44" s="18" t="n">
        <f aca="false">MOD(INT($A44/2^2),2)</f>
        <v>1</v>
      </c>
      <c r="E44" s="18" t="n">
        <f aca="false">MOD(INT($A44/2^3),2)</f>
        <v>0</v>
      </c>
      <c r="F44" s="18" t="n">
        <f aca="false">MOD(INT($A44/2^4),2)</f>
        <v>0</v>
      </c>
      <c r="G44" s="18" t="n">
        <f aca="false">MOD(INT($A44/2^5),2)</f>
        <v>1</v>
      </c>
      <c r="H44" s="2" t="str">
        <f aca="false">CHOOSE(1+2*INDEX($B44:$G44,H$3)+INDEX($B44:$G44,H$4),"E","N","O","I")</f>
        <v>N</v>
      </c>
      <c r="I44" s="2" t="str">
        <f aca="false">CHOOSE(1+2*INDEX($B44:$G44,I$3)+INDEX($B44:$G44,I$4),"E","N","O","I")</f>
        <v>O</v>
      </c>
      <c r="J44" s="2" t="str">
        <f aca="false">CHOOSE(1+2*INDEX($B44:$G44,J$3)+INDEX($B44:$G44,J$4),"E","N","O","I")</f>
        <v>I</v>
      </c>
      <c r="K44" s="2" t="str">
        <f aca="false">CHOOSE(1+2*INDEX($B44:$G44,K$3)+INDEX($B44:$G44,K$4),"E","N","O","I")</f>
        <v>I</v>
      </c>
      <c r="L44" s="2" t="str">
        <f aca="false">CHOOSE(1+2*INDEX($B44:$G44,L$3)+INDEX($B44:$G44,L$4),"E","N","O","I")</f>
        <v>O</v>
      </c>
      <c r="M44" s="2" t="str">
        <f aca="false">CHOOSE(1+2*INDEX($B44:$G44,M$3)+INDEX($B44:$G44,M$4),"E","N","O","I")</f>
        <v>N</v>
      </c>
      <c r="N44" s="2" t="str">
        <f aca="false">CHOOSE(1+2*INDEX($B44:$G44,N$3)+INDEX($B44:$G44,N$4),"E","N","O","I")</f>
        <v>I</v>
      </c>
      <c r="O44" s="2" t="str">
        <f aca="false">CHOOSE(1+2*INDEX($B44:$G44,O$3)+INDEX($B44:$G44,O$4),"E","N","O","I")</f>
        <v>N</v>
      </c>
      <c r="P44" s="2" t="str">
        <f aca="false">CHOOSE(1+2*INDEX($B44:$G44,P$3)+INDEX($B44:$G44,P$4),"E","N","O","I")</f>
        <v>I</v>
      </c>
      <c r="Q44" s="18" t="n">
        <f aca="false">COUNTIF($H44:$P44,"I")</f>
        <v>4</v>
      </c>
      <c r="R44" s="18" t="n">
        <f aca="false">COUNTIF($H44:$P44,"N")</f>
        <v>3</v>
      </c>
      <c r="S44" s="18" t="n">
        <f aca="false">COUNTIF($H44:$P44,"O")</f>
        <v>2</v>
      </c>
      <c r="T44" s="18" t="n">
        <f aca="false">COUNTIF($H44:$P44,"E")</f>
        <v>0</v>
      </c>
      <c r="U44" s="18" t="n">
        <f aca="false">SUM(Q44:T44)</f>
        <v>9</v>
      </c>
      <c r="V44" s="2" t="str">
        <f aca="false">H44&amp;I44&amp;J44&amp;K44&amp;L44&amp;M44&amp;N44&amp;O44&amp;P44</f>
        <v>NOIIONINI</v>
      </c>
      <c r="W44" s="2" t="str">
        <f aca="false">IF(Declarations!$E$29="goods",H44,"")&amp;IF(Declarations!$E$30="goods",I44,"")&amp;IF(Declarations!$E$31="goods",J44,"")&amp;IF(Declarations!$E$32="goods",K44,"")&amp;IF(Declarations!$E$33="goods",L44,"")&amp;IF(Declarations!$E$34="goods",M44,"")&amp;IF(Declarations!$E$35="goods",N44,"")&amp;IF(Declarations!$E$36="goods",O44,"")&amp;IF(Declarations!$E$37="goods",P44,"")</f>
        <v>NIO</v>
      </c>
      <c r="X44" s="2" t="str">
        <f aca="false">IF(Declarations!$E$29="capital",H44,"")&amp;IF(Declarations!$E$30="capital",I44,"")&amp;IF(Declarations!$E$31="capital",J44,"")&amp;IF(Declarations!$E$32="capital",K44,"")&amp;IF(Declarations!$E$33="capital",L44,"")&amp;IF(Declarations!$E$34="capital",M44,"")&amp;IF(Declarations!$E$35="capital",N44,"")&amp;IF(Declarations!$E$36="capital",O44,"")&amp;IF(Declarations!$E$37="capital",P44,"")</f>
        <v>OINN</v>
      </c>
      <c r="Y44" s="2" t="str">
        <f aca="false">IF(Declarations!$E$29="information",H44,"")&amp;IF(Declarations!$E$30="information",I44,"")&amp;IF(Declarations!$E$31="information",J44,"")&amp;IF(Declarations!$E$32="information",K44,"")&amp;IF(Declarations!$E$33="information",L44,"")&amp;IF(Declarations!$E$34="information",M44,"")&amp;IF(Declarations!$E$35="information",N44,"")&amp;IF(Declarations!$E$36="information",O44,"")&amp;IF(Declarations!$E$37="information",P44,"")</f>
        <v>II</v>
      </c>
    </row>
    <row r="45" customFormat="false" ht="15" hidden="false" customHeight="false" outlineLevel="0" collapsed="false">
      <c r="A45" s="18" t="n">
        <v>39</v>
      </c>
      <c r="B45" s="18" t="n">
        <f aca="false">MOD(INT($A45/2^0),2)</f>
        <v>1</v>
      </c>
      <c r="C45" s="18" t="n">
        <f aca="false">MOD(INT($A45/2^1),2)</f>
        <v>1</v>
      </c>
      <c r="D45" s="18" t="n">
        <f aca="false">MOD(INT($A45/2^2),2)</f>
        <v>1</v>
      </c>
      <c r="E45" s="18" t="n">
        <f aca="false">MOD(INT($A45/2^3),2)</f>
        <v>0</v>
      </c>
      <c r="F45" s="18" t="n">
        <f aca="false">MOD(INT($A45/2^4),2)</f>
        <v>0</v>
      </c>
      <c r="G45" s="18" t="n">
        <f aca="false">MOD(INT($A45/2^5),2)</f>
        <v>1</v>
      </c>
      <c r="H45" s="2" t="str">
        <f aca="false">CHOOSE(1+2*INDEX($B45:$G45,H$3)+INDEX($B45:$G45,H$4),"E","N","O","I")</f>
        <v>I</v>
      </c>
      <c r="I45" s="2" t="str">
        <f aca="false">CHOOSE(1+2*INDEX($B45:$G45,I$3)+INDEX($B45:$G45,I$4),"E","N","O","I")</f>
        <v>I</v>
      </c>
      <c r="J45" s="2" t="str">
        <f aca="false">CHOOSE(1+2*INDEX($B45:$G45,J$3)+INDEX($B45:$G45,J$4),"E","N","O","I")</f>
        <v>I</v>
      </c>
      <c r="K45" s="2" t="str">
        <f aca="false">CHOOSE(1+2*INDEX($B45:$G45,K$3)+INDEX($B45:$G45,K$4),"E","N","O","I")</f>
        <v>I</v>
      </c>
      <c r="L45" s="2" t="str">
        <f aca="false">CHOOSE(1+2*INDEX($B45:$G45,L$3)+INDEX($B45:$G45,L$4),"E","N","O","I")</f>
        <v>O</v>
      </c>
      <c r="M45" s="2" t="str">
        <f aca="false">CHOOSE(1+2*INDEX($B45:$G45,M$3)+INDEX($B45:$G45,M$4),"E","N","O","I")</f>
        <v>N</v>
      </c>
      <c r="N45" s="2" t="str">
        <f aca="false">CHOOSE(1+2*INDEX($B45:$G45,N$3)+INDEX($B45:$G45,N$4),"E","N","O","I")</f>
        <v>I</v>
      </c>
      <c r="O45" s="2" t="str">
        <f aca="false">CHOOSE(1+2*INDEX($B45:$G45,O$3)+INDEX($B45:$G45,O$4),"E","N","O","I")</f>
        <v>N</v>
      </c>
      <c r="P45" s="2" t="str">
        <f aca="false">CHOOSE(1+2*INDEX($B45:$G45,P$3)+INDEX($B45:$G45,P$4),"E","N","O","I")</f>
        <v>I</v>
      </c>
      <c r="Q45" s="18" t="n">
        <f aca="false">COUNTIF($H45:$P45,"I")</f>
        <v>6</v>
      </c>
      <c r="R45" s="18" t="n">
        <f aca="false">COUNTIF($H45:$P45,"N")</f>
        <v>2</v>
      </c>
      <c r="S45" s="18" t="n">
        <f aca="false">COUNTIF($H45:$P45,"O")</f>
        <v>1</v>
      </c>
      <c r="T45" s="18" t="n">
        <f aca="false">COUNTIF($H45:$P45,"E")</f>
        <v>0</v>
      </c>
      <c r="U45" s="18" t="n">
        <f aca="false">SUM(Q45:T45)</f>
        <v>9</v>
      </c>
      <c r="V45" s="2" t="str">
        <f aca="false">H45&amp;I45&amp;J45&amp;K45&amp;L45&amp;M45&amp;N45&amp;O45&amp;P45</f>
        <v>IIIIONINI</v>
      </c>
      <c r="W45" s="2" t="str">
        <f aca="false">IF(Declarations!$E$29="goods",H45,"")&amp;IF(Declarations!$E$30="goods",I45,"")&amp;IF(Declarations!$E$31="goods",J45,"")&amp;IF(Declarations!$E$32="goods",K45,"")&amp;IF(Declarations!$E$33="goods",L45,"")&amp;IF(Declarations!$E$34="goods",M45,"")&amp;IF(Declarations!$E$35="goods",N45,"")&amp;IF(Declarations!$E$36="goods",O45,"")&amp;IF(Declarations!$E$37="goods",P45,"")</f>
        <v>IIO</v>
      </c>
      <c r="X45" s="2" t="str">
        <f aca="false">IF(Declarations!$E$29="capital",H45,"")&amp;IF(Declarations!$E$30="capital",I45,"")&amp;IF(Declarations!$E$31="capital",J45,"")&amp;IF(Declarations!$E$32="capital",K45,"")&amp;IF(Declarations!$E$33="capital",L45,"")&amp;IF(Declarations!$E$34="capital",M45,"")&amp;IF(Declarations!$E$35="capital",N45,"")&amp;IF(Declarations!$E$36="capital",O45,"")&amp;IF(Declarations!$E$37="capital",P45,"")</f>
        <v>IINN</v>
      </c>
      <c r="Y45" s="2" t="str">
        <f aca="false">IF(Declarations!$E$29="information",H45,"")&amp;IF(Declarations!$E$30="information",I45,"")&amp;IF(Declarations!$E$31="information",J45,"")&amp;IF(Declarations!$E$32="information",K45,"")&amp;IF(Declarations!$E$33="information",L45,"")&amp;IF(Declarations!$E$34="information",M45,"")&amp;IF(Declarations!$E$35="information",N45,"")&amp;IF(Declarations!$E$36="information",O45,"")&amp;IF(Declarations!$E$37="information",P45,"")</f>
        <v>II</v>
      </c>
    </row>
    <row r="46" customFormat="false" ht="15" hidden="false" customHeight="false" outlineLevel="0" collapsed="false">
      <c r="A46" s="18" t="n">
        <v>40</v>
      </c>
      <c r="B46" s="18" t="n">
        <f aca="false">MOD(INT($A46/2^0),2)</f>
        <v>0</v>
      </c>
      <c r="C46" s="18" t="n">
        <f aca="false">MOD(INT($A46/2^1),2)</f>
        <v>0</v>
      </c>
      <c r="D46" s="18" t="n">
        <f aca="false">MOD(INT($A46/2^2),2)</f>
        <v>0</v>
      </c>
      <c r="E46" s="18" t="n">
        <f aca="false">MOD(INT($A46/2^3),2)</f>
        <v>1</v>
      </c>
      <c r="F46" s="18" t="n">
        <f aca="false">MOD(INT($A46/2^4),2)</f>
        <v>0</v>
      </c>
      <c r="G46" s="18" t="n">
        <f aca="false">MOD(INT($A46/2^5),2)</f>
        <v>1</v>
      </c>
      <c r="H46" s="2" t="str">
        <f aca="false">CHOOSE(1+2*INDEX($B46:$G46,H$3)+INDEX($B46:$G46,H$4),"E","N","O","I")</f>
        <v>E</v>
      </c>
      <c r="I46" s="2" t="str">
        <f aca="false">CHOOSE(1+2*INDEX($B46:$G46,I$3)+INDEX($B46:$G46,I$4),"E","N","O","I")</f>
        <v>E</v>
      </c>
      <c r="J46" s="2" t="str">
        <f aca="false">CHOOSE(1+2*INDEX($B46:$G46,J$3)+INDEX($B46:$G46,J$4),"E","N","O","I")</f>
        <v>E</v>
      </c>
      <c r="K46" s="2" t="str">
        <f aca="false">CHOOSE(1+2*INDEX($B46:$G46,K$3)+INDEX($B46:$G46,K$4),"E","N","O","I")</f>
        <v>E</v>
      </c>
      <c r="L46" s="2" t="str">
        <f aca="false">CHOOSE(1+2*INDEX($B46:$G46,L$3)+INDEX($B46:$G46,L$4),"E","N","O","I")</f>
        <v>N</v>
      </c>
      <c r="M46" s="2" t="str">
        <f aca="false">CHOOSE(1+2*INDEX($B46:$G46,M$3)+INDEX($B46:$G46,M$4),"E","N","O","I")</f>
        <v>O</v>
      </c>
      <c r="N46" s="2" t="str">
        <f aca="false">CHOOSE(1+2*INDEX($B46:$G46,N$3)+INDEX($B46:$G46,N$4),"E","N","O","I")</f>
        <v>E</v>
      </c>
      <c r="O46" s="2" t="str">
        <f aca="false">CHOOSE(1+2*INDEX($B46:$G46,O$3)+INDEX($B46:$G46,O$4),"E","N","O","I")</f>
        <v>E</v>
      </c>
      <c r="P46" s="2" t="str">
        <f aca="false">CHOOSE(1+2*INDEX($B46:$G46,P$3)+INDEX($B46:$G46,P$4),"E","N","O","I")</f>
        <v>O</v>
      </c>
      <c r="Q46" s="18" t="n">
        <f aca="false">COUNTIF($H46:$P46,"I")</f>
        <v>0</v>
      </c>
      <c r="R46" s="18" t="n">
        <f aca="false">COUNTIF($H46:$P46,"N")</f>
        <v>1</v>
      </c>
      <c r="S46" s="18" t="n">
        <f aca="false">COUNTIF($H46:$P46,"O")</f>
        <v>2</v>
      </c>
      <c r="T46" s="18" t="n">
        <f aca="false">COUNTIF($H46:$P46,"E")</f>
        <v>6</v>
      </c>
      <c r="U46" s="18" t="n">
        <f aca="false">SUM(Q46:T46)</f>
        <v>9</v>
      </c>
      <c r="V46" s="2" t="str">
        <f aca="false">H46&amp;I46&amp;J46&amp;K46&amp;L46&amp;M46&amp;N46&amp;O46&amp;P46</f>
        <v>EEEENOEEO</v>
      </c>
      <c r="W46" s="2" t="str">
        <f aca="false">IF(Declarations!$E$29="goods",H46,"")&amp;IF(Declarations!$E$30="goods",I46,"")&amp;IF(Declarations!$E$31="goods",J46,"")&amp;IF(Declarations!$E$32="goods",K46,"")&amp;IF(Declarations!$E$33="goods",L46,"")&amp;IF(Declarations!$E$34="goods",M46,"")&amp;IF(Declarations!$E$35="goods",N46,"")&amp;IF(Declarations!$E$36="goods",O46,"")&amp;IF(Declarations!$E$37="goods",P46,"")</f>
        <v>EEN</v>
      </c>
      <c r="X46" s="2" t="str">
        <f aca="false">IF(Declarations!$E$29="capital",H46,"")&amp;IF(Declarations!$E$30="capital",I46,"")&amp;IF(Declarations!$E$31="capital",J46,"")&amp;IF(Declarations!$E$32="capital",K46,"")&amp;IF(Declarations!$E$33="capital",L46,"")&amp;IF(Declarations!$E$34="capital",M46,"")&amp;IF(Declarations!$E$35="capital",N46,"")&amp;IF(Declarations!$E$36="capital",O46,"")&amp;IF(Declarations!$E$37="capital",P46,"")</f>
        <v>EEOE</v>
      </c>
      <c r="Y46" s="2" t="str">
        <f aca="false">IF(Declarations!$E$29="information",H46,"")&amp;IF(Declarations!$E$30="information",I46,"")&amp;IF(Declarations!$E$31="information",J46,"")&amp;IF(Declarations!$E$32="information",K46,"")&amp;IF(Declarations!$E$33="information",L46,"")&amp;IF(Declarations!$E$34="information",M46,"")&amp;IF(Declarations!$E$35="information",N46,"")&amp;IF(Declarations!$E$36="information",O46,"")&amp;IF(Declarations!$E$37="information",P46,"")</f>
        <v>EO</v>
      </c>
    </row>
    <row r="47" customFormat="false" ht="15" hidden="false" customHeight="false" outlineLevel="0" collapsed="false">
      <c r="A47" s="18" t="n">
        <v>41</v>
      </c>
      <c r="B47" s="18" t="n">
        <f aca="false">MOD(INT($A47/2^0),2)</f>
        <v>1</v>
      </c>
      <c r="C47" s="18" t="n">
        <f aca="false">MOD(INT($A47/2^1),2)</f>
        <v>0</v>
      </c>
      <c r="D47" s="18" t="n">
        <f aca="false">MOD(INT($A47/2^2),2)</f>
        <v>0</v>
      </c>
      <c r="E47" s="18" t="n">
        <f aca="false">MOD(INT($A47/2^3),2)</f>
        <v>1</v>
      </c>
      <c r="F47" s="18" t="n">
        <f aca="false">MOD(INT($A47/2^4),2)</f>
        <v>0</v>
      </c>
      <c r="G47" s="18" t="n">
        <f aca="false">MOD(INT($A47/2^5),2)</f>
        <v>1</v>
      </c>
      <c r="H47" s="2" t="str">
        <f aca="false">CHOOSE(1+2*INDEX($B47:$G47,H$3)+INDEX($B47:$G47,H$4),"E","N","O","I")</f>
        <v>O</v>
      </c>
      <c r="I47" s="2" t="str">
        <f aca="false">CHOOSE(1+2*INDEX($B47:$G47,I$3)+INDEX($B47:$G47,I$4),"E","N","O","I")</f>
        <v>N</v>
      </c>
      <c r="J47" s="2" t="str">
        <f aca="false">CHOOSE(1+2*INDEX($B47:$G47,J$3)+INDEX($B47:$G47,J$4),"E","N","O","I")</f>
        <v>E</v>
      </c>
      <c r="K47" s="2" t="str">
        <f aca="false">CHOOSE(1+2*INDEX($B47:$G47,K$3)+INDEX($B47:$G47,K$4),"E","N","O","I")</f>
        <v>E</v>
      </c>
      <c r="L47" s="2" t="str">
        <f aca="false">CHOOSE(1+2*INDEX($B47:$G47,L$3)+INDEX($B47:$G47,L$4),"E","N","O","I")</f>
        <v>N</v>
      </c>
      <c r="M47" s="2" t="str">
        <f aca="false">CHOOSE(1+2*INDEX($B47:$G47,M$3)+INDEX($B47:$G47,M$4),"E","N","O","I")</f>
        <v>O</v>
      </c>
      <c r="N47" s="2" t="str">
        <f aca="false">CHOOSE(1+2*INDEX($B47:$G47,N$3)+INDEX($B47:$G47,N$4),"E","N","O","I")</f>
        <v>E</v>
      </c>
      <c r="O47" s="2" t="str">
        <f aca="false">CHOOSE(1+2*INDEX($B47:$G47,O$3)+INDEX($B47:$G47,O$4),"E","N","O","I")</f>
        <v>E</v>
      </c>
      <c r="P47" s="2" t="str">
        <f aca="false">CHOOSE(1+2*INDEX($B47:$G47,P$3)+INDEX($B47:$G47,P$4),"E","N","O","I")</f>
        <v>O</v>
      </c>
      <c r="Q47" s="18" t="n">
        <f aca="false">COUNTIF($H47:$P47,"I")</f>
        <v>0</v>
      </c>
      <c r="R47" s="18" t="n">
        <f aca="false">COUNTIF($H47:$P47,"N")</f>
        <v>2</v>
      </c>
      <c r="S47" s="18" t="n">
        <f aca="false">COUNTIF($H47:$P47,"O")</f>
        <v>3</v>
      </c>
      <c r="T47" s="18" t="n">
        <f aca="false">COUNTIF($H47:$P47,"E")</f>
        <v>4</v>
      </c>
      <c r="U47" s="18" t="n">
        <f aca="false">SUM(Q47:T47)</f>
        <v>9</v>
      </c>
      <c r="V47" s="2" t="str">
        <f aca="false">H47&amp;I47&amp;J47&amp;K47&amp;L47&amp;M47&amp;N47&amp;O47&amp;P47</f>
        <v>ONEENOEEO</v>
      </c>
      <c r="W47" s="2" t="str">
        <f aca="false">IF(Declarations!$E$29="goods",H47,"")&amp;IF(Declarations!$E$30="goods",I47,"")&amp;IF(Declarations!$E$31="goods",J47,"")&amp;IF(Declarations!$E$32="goods",K47,"")&amp;IF(Declarations!$E$33="goods",L47,"")&amp;IF(Declarations!$E$34="goods",M47,"")&amp;IF(Declarations!$E$35="goods",N47,"")&amp;IF(Declarations!$E$36="goods",O47,"")&amp;IF(Declarations!$E$37="goods",P47,"")</f>
        <v>OEN</v>
      </c>
      <c r="X47" s="2" t="str">
        <f aca="false">IF(Declarations!$E$29="capital",H47,"")&amp;IF(Declarations!$E$30="capital",I47,"")&amp;IF(Declarations!$E$31="capital",J47,"")&amp;IF(Declarations!$E$32="capital",K47,"")&amp;IF(Declarations!$E$33="capital",L47,"")&amp;IF(Declarations!$E$34="capital",M47,"")&amp;IF(Declarations!$E$35="capital",N47,"")&amp;IF(Declarations!$E$36="capital",O47,"")&amp;IF(Declarations!$E$37="capital",P47,"")</f>
        <v>NEOE</v>
      </c>
      <c r="Y47" s="2" t="str">
        <f aca="false">IF(Declarations!$E$29="information",H47,"")&amp;IF(Declarations!$E$30="information",I47,"")&amp;IF(Declarations!$E$31="information",J47,"")&amp;IF(Declarations!$E$32="information",K47,"")&amp;IF(Declarations!$E$33="information",L47,"")&amp;IF(Declarations!$E$34="information",M47,"")&amp;IF(Declarations!$E$35="information",N47,"")&amp;IF(Declarations!$E$36="information",O47,"")&amp;IF(Declarations!$E$37="information",P47,"")</f>
        <v>EO</v>
      </c>
    </row>
    <row r="48" customFormat="false" ht="15" hidden="false" customHeight="false" outlineLevel="0" collapsed="false">
      <c r="A48" s="18" t="n">
        <v>42</v>
      </c>
      <c r="B48" s="18" t="n">
        <f aca="false">MOD(INT($A48/2^0),2)</f>
        <v>0</v>
      </c>
      <c r="C48" s="18" t="n">
        <f aca="false">MOD(INT($A48/2^1),2)</f>
        <v>1</v>
      </c>
      <c r="D48" s="18" t="n">
        <f aca="false">MOD(INT($A48/2^2),2)</f>
        <v>0</v>
      </c>
      <c r="E48" s="18" t="n">
        <f aca="false">MOD(INT($A48/2^3),2)</f>
        <v>1</v>
      </c>
      <c r="F48" s="18" t="n">
        <f aca="false">MOD(INT($A48/2^4),2)</f>
        <v>0</v>
      </c>
      <c r="G48" s="18" t="n">
        <f aca="false">MOD(INT($A48/2^5),2)</f>
        <v>1</v>
      </c>
      <c r="H48" s="2" t="str">
        <f aca="false">CHOOSE(1+2*INDEX($B48:$G48,H$3)+INDEX($B48:$G48,H$4),"E","N","O","I")</f>
        <v>N</v>
      </c>
      <c r="I48" s="2" t="str">
        <f aca="false">CHOOSE(1+2*INDEX($B48:$G48,I$3)+INDEX($B48:$G48,I$4),"E","N","O","I")</f>
        <v>O</v>
      </c>
      <c r="J48" s="2" t="str">
        <f aca="false">CHOOSE(1+2*INDEX($B48:$G48,J$3)+INDEX($B48:$G48,J$4),"E","N","O","I")</f>
        <v>O</v>
      </c>
      <c r="K48" s="2" t="str">
        <f aca="false">CHOOSE(1+2*INDEX($B48:$G48,K$3)+INDEX($B48:$G48,K$4),"E","N","O","I")</f>
        <v>N</v>
      </c>
      <c r="L48" s="2" t="str">
        <f aca="false">CHOOSE(1+2*INDEX($B48:$G48,L$3)+INDEX($B48:$G48,L$4),"E","N","O","I")</f>
        <v>N</v>
      </c>
      <c r="M48" s="2" t="str">
        <f aca="false">CHOOSE(1+2*INDEX($B48:$G48,M$3)+INDEX($B48:$G48,M$4),"E","N","O","I")</f>
        <v>O</v>
      </c>
      <c r="N48" s="2" t="str">
        <f aca="false">CHOOSE(1+2*INDEX($B48:$G48,N$3)+INDEX($B48:$G48,N$4),"E","N","O","I")</f>
        <v>N</v>
      </c>
      <c r="O48" s="2" t="str">
        <f aca="false">CHOOSE(1+2*INDEX($B48:$G48,O$3)+INDEX($B48:$G48,O$4),"E","N","O","I")</f>
        <v>N</v>
      </c>
      <c r="P48" s="2" t="str">
        <f aca="false">CHOOSE(1+2*INDEX($B48:$G48,P$3)+INDEX($B48:$G48,P$4),"E","N","O","I")</f>
        <v>I</v>
      </c>
      <c r="Q48" s="18" t="n">
        <f aca="false">COUNTIF($H48:$P48,"I")</f>
        <v>1</v>
      </c>
      <c r="R48" s="18" t="n">
        <f aca="false">COUNTIF($H48:$P48,"N")</f>
        <v>5</v>
      </c>
      <c r="S48" s="18" t="n">
        <f aca="false">COUNTIF($H48:$P48,"O")</f>
        <v>3</v>
      </c>
      <c r="T48" s="18" t="n">
        <f aca="false">COUNTIF($H48:$P48,"E")</f>
        <v>0</v>
      </c>
      <c r="U48" s="18" t="n">
        <f aca="false">SUM(Q48:T48)</f>
        <v>9</v>
      </c>
      <c r="V48" s="2" t="str">
        <f aca="false">H48&amp;I48&amp;J48&amp;K48&amp;L48&amp;M48&amp;N48&amp;O48&amp;P48</f>
        <v>NOONNONNI</v>
      </c>
      <c r="W48" s="2" t="str">
        <f aca="false">IF(Declarations!$E$29="goods",H48,"")&amp;IF(Declarations!$E$30="goods",I48,"")&amp;IF(Declarations!$E$31="goods",J48,"")&amp;IF(Declarations!$E$32="goods",K48,"")&amp;IF(Declarations!$E$33="goods",L48,"")&amp;IF(Declarations!$E$34="goods",M48,"")&amp;IF(Declarations!$E$35="goods",N48,"")&amp;IF(Declarations!$E$36="goods",O48,"")&amp;IF(Declarations!$E$37="goods",P48,"")</f>
        <v>NON</v>
      </c>
      <c r="X48" s="2" t="str">
        <f aca="false">IF(Declarations!$E$29="capital",H48,"")&amp;IF(Declarations!$E$30="capital",I48,"")&amp;IF(Declarations!$E$31="capital",J48,"")&amp;IF(Declarations!$E$32="capital",K48,"")&amp;IF(Declarations!$E$33="capital",L48,"")&amp;IF(Declarations!$E$34="capital",M48,"")&amp;IF(Declarations!$E$35="capital",N48,"")&amp;IF(Declarations!$E$36="capital",O48,"")&amp;IF(Declarations!$E$37="capital",P48,"")</f>
        <v>ONON</v>
      </c>
      <c r="Y48" s="2" t="str">
        <f aca="false">IF(Declarations!$E$29="information",H48,"")&amp;IF(Declarations!$E$30="information",I48,"")&amp;IF(Declarations!$E$31="information",J48,"")&amp;IF(Declarations!$E$32="information",K48,"")&amp;IF(Declarations!$E$33="information",L48,"")&amp;IF(Declarations!$E$34="information",M48,"")&amp;IF(Declarations!$E$35="information",N48,"")&amp;IF(Declarations!$E$36="information",O48,"")&amp;IF(Declarations!$E$37="information",P48,"")</f>
        <v>NI</v>
      </c>
    </row>
    <row r="49" customFormat="false" ht="15" hidden="false" customHeight="false" outlineLevel="0" collapsed="false">
      <c r="A49" s="18" t="n">
        <v>43</v>
      </c>
      <c r="B49" s="18" t="n">
        <f aca="false">MOD(INT($A49/2^0),2)</f>
        <v>1</v>
      </c>
      <c r="C49" s="18" t="n">
        <f aca="false">MOD(INT($A49/2^1),2)</f>
        <v>1</v>
      </c>
      <c r="D49" s="18" t="n">
        <f aca="false">MOD(INT($A49/2^2),2)</f>
        <v>0</v>
      </c>
      <c r="E49" s="18" t="n">
        <f aca="false">MOD(INT($A49/2^3),2)</f>
        <v>1</v>
      </c>
      <c r="F49" s="18" t="n">
        <f aca="false">MOD(INT($A49/2^4),2)</f>
        <v>0</v>
      </c>
      <c r="G49" s="18" t="n">
        <f aca="false">MOD(INT($A49/2^5),2)</f>
        <v>1</v>
      </c>
      <c r="H49" s="2" t="str">
        <f aca="false">CHOOSE(1+2*INDEX($B49:$G49,H$3)+INDEX($B49:$G49,H$4),"E","N","O","I")</f>
        <v>I</v>
      </c>
      <c r="I49" s="2" t="str">
        <f aca="false">CHOOSE(1+2*INDEX($B49:$G49,I$3)+INDEX($B49:$G49,I$4),"E","N","O","I")</f>
        <v>I</v>
      </c>
      <c r="J49" s="2" t="str">
        <f aca="false">CHOOSE(1+2*INDEX($B49:$G49,J$3)+INDEX($B49:$G49,J$4),"E","N","O","I")</f>
        <v>O</v>
      </c>
      <c r="K49" s="2" t="str">
        <f aca="false">CHOOSE(1+2*INDEX($B49:$G49,K$3)+INDEX($B49:$G49,K$4),"E","N","O","I")</f>
        <v>N</v>
      </c>
      <c r="L49" s="2" t="str">
        <f aca="false">CHOOSE(1+2*INDEX($B49:$G49,L$3)+INDEX($B49:$G49,L$4),"E","N","O","I")</f>
        <v>N</v>
      </c>
      <c r="M49" s="2" t="str">
        <f aca="false">CHOOSE(1+2*INDEX($B49:$G49,M$3)+INDEX($B49:$G49,M$4),"E","N","O","I")</f>
        <v>O</v>
      </c>
      <c r="N49" s="2" t="str">
        <f aca="false">CHOOSE(1+2*INDEX($B49:$G49,N$3)+INDEX($B49:$G49,N$4),"E","N","O","I")</f>
        <v>N</v>
      </c>
      <c r="O49" s="2" t="str">
        <f aca="false">CHOOSE(1+2*INDEX($B49:$G49,O$3)+INDEX($B49:$G49,O$4),"E","N","O","I")</f>
        <v>N</v>
      </c>
      <c r="P49" s="2" t="str">
        <f aca="false">CHOOSE(1+2*INDEX($B49:$G49,P$3)+INDEX($B49:$G49,P$4),"E","N","O","I")</f>
        <v>I</v>
      </c>
      <c r="Q49" s="18" t="n">
        <f aca="false">COUNTIF($H49:$P49,"I")</f>
        <v>3</v>
      </c>
      <c r="R49" s="18" t="n">
        <f aca="false">COUNTIF($H49:$P49,"N")</f>
        <v>4</v>
      </c>
      <c r="S49" s="18" t="n">
        <f aca="false">COUNTIF($H49:$P49,"O")</f>
        <v>2</v>
      </c>
      <c r="T49" s="18" t="n">
        <f aca="false">COUNTIF($H49:$P49,"E")</f>
        <v>0</v>
      </c>
      <c r="U49" s="18" t="n">
        <f aca="false">SUM(Q49:T49)</f>
        <v>9</v>
      </c>
      <c r="V49" s="2" t="str">
        <f aca="false">H49&amp;I49&amp;J49&amp;K49&amp;L49&amp;M49&amp;N49&amp;O49&amp;P49</f>
        <v>IIONNONNI</v>
      </c>
      <c r="W49" s="2" t="str">
        <f aca="false">IF(Declarations!$E$29="goods",H49,"")&amp;IF(Declarations!$E$30="goods",I49,"")&amp;IF(Declarations!$E$31="goods",J49,"")&amp;IF(Declarations!$E$32="goods",K49,"")&amp;IF(Declarations!$E$33="goods",L49,"")&amp;IF(Declarations!$E$34="goods",M49,"")&amp;IF(Declarations!$E$35="goods",N49,"")&amp;IF(Declarations!$E$36="goods",O49,"")&amp;IF(Declarations!$E$37="goods",P49,"")</f>
        <v>ION</v>
      </c>
      <c r="X49" s="2" t="str">
        <f aca="false">IF(Declarations!$E$29="capital",H49,"")&amp;IF(Declarations!$E$30="capital",I49,"")&amp;IF(Declarations!$E$31="capital",J49,"")&amp;IF(Declarations!$E$32="capital",K49,"")&amp;IF(Declarations!$E$33="capital",L49,"")&amp;IF(Declarations!$E$34="capital",M49,"")&amp;IF(Declarations!$E$35="capital",N49,"")&amp;IF(Declarations!$E$36="capital",O49,"")&amp;IF(Declarations!$E$37="capital",P49,"")</f>
        <v>INON</v>
      </c>
      <c r="Y49" s="2" t="str">
        <f aca="false">IF(Declarations!$E$29="information",H49,"")&amp;IF(Declarations!$E$30="information",I49,"")&amp;IF(Declarations!$E$31="information",J49,"")&amp;IF(Declarations!$E$32="information",K49,"")&amp;IF(Declarations!$E$33="information",L49,"")&amp;IF(Declarations!$E$34="information",M49,"")&amp;IF(Declarations!$E$35="information",N49,"")&amp;IF(Declarations!$E$36="information",O49,"")&amp;IF(Declarations!$E$37="information",P49,"")</f>
        <v>NI</v>
      </c>
    </row>
    <row r="50" customFormat="false" ht="15" hidden="false" customHeight="false" outlineLevel="0" collapsed="false">
      <c r="A50" s="18" t="n">
        <v>44</v>
      </c>
      <c r="B50" s="18" t="n">
        <f aca="false">MOD(INT($A50/2^0),2)</f>
        <v>0</v>
      </c>
      <c r="C50" s="18" t="n">
        <f aca="false">MOD(INT($A50/2^1),2)</f>
        <v>0</v>
      </c>
      <c r="D50" s="18" t="n">
        <f aca="false">MOD(INT($A50/2^2),2)</f>
        <v>1</v>
      </c>
      <c r="E50" s="18" t="n">
        <f aca="false">MOD(INT($A50/2^3),2)</f>
        <v>1</v>
      </c>
      <c r="F50" s="18" t="n">
        <f aca="false">MOD(INT($A50/2^4),2)</f>
        <v>0</v>
      </c>
      <c r="G50" s="18" t="n">
        <f aca="false">MOD(INT($A50/2^5),2)</f>
        <v>1</v>
      </c>
      <c r="H50" s="2" t="str">
        <f aca="false">CHOOSE(1+2*INDEX($B50:$G50,H$3)+INDEX($B50:$G50,H$4),"E","N","O","I")</f>
        <v>E</v>
      </c>
      <c r="I50" s="2" t="str">
        <f aca="false">CHOOSE(1+2*INDEX($B50:$G50,I$3)+INDEX($B50:$G50,I$4),"E","N","O","I")</f>
        <v>E</v>
      </c>
      <c r="J50" s="2" t="str">
        <f aca="false">CHOOSE(1+2*INDEX($B50:$G50,J$3)+INDEX($B50:$G50,J$4),"E","N","O","I")</f>
        <v>N</v>
      </c>
      <c r="K50" s="2" t="str">
        <f aca="false">CHOOSE(1+2*INDEX($B50:$G50,K$3)+INDEX($B50:$G50,K$4),"E","N","O","I")</f>
        <v>O</v>
      </c>
      <c r="L50" s="2" t="str">
        <f aca="false">CHOOSE(1+2*INDEX($B50:$G50,L$3)+INDEX($B50:$G50,L$4),"E","N","O","I")</f>
        <v>I</v>
      </c>
      <c r="M50" s="2" t="str">
        <f aca="false">CHOOSE(1+2*INDEX($B50:$G50,M$3)+INDEX($B50:$G50,M$4),"E","N","O","I")</f>
        <v>I</v>
      </c>
      <c r="N50" s="2" t="str">
        <f aca="false">CHOOSE(1+2*INDEX($B50:$G50,N$3)+INDEX($B50:$G50,N$4),"E","N","O","I")</f>
        <v>O</v>
      </c>
      <c r="O50" s="2" t="str">
        <f aca="false">CHOOSE(1+2*INDEX($B50:$G50,O$3)+INDEX($B50:$G50,O$4),"E","N","O","I")</f>
        <v>E</v>
      </c>
      <c r="P50" s="2" t="str">
        <f aca="false">CHOOSE(1+2*INDEX($B50:$G50,P$3)+INDEX($B50:$G50,P$4),"E","N","O","I")</f>
        <v>O</v>
      </c>
      <c r="Q50" s="18" t="n">
        <f aca="false">COUNTIF($H50:$P50,"I")</f>
        <v>2</v>
      </c>
      <c r="R50" s="18" t="n">
        <f aca="false">COUNTIF($H50:$P50,"N")</f>
        <v>1</v>
      </c>
      <c r="S50" s="18" t="n">
        <f aca="false">COUNTIF($H50:$P50,"O")</f>
        <v>3</v>
      </c>
      <c r="T50" s="18" t="n">
        <f aca="false">COUNTIF($H50:$P50,"E")</f>
        <v>3</v>
      </c>
      <c r="U50" s="18" t="n">
        <f aca="false">SUM(Q50:T50)</f>
        <v>9</v>
      </c>
      <c r="V50" s="2" t="str">
        <f aca="false">H50&amp;I50&amp;J50&amp;K50&amp;L50&amp;M50&amp;N50&amp;O50&amp;P50</f>
        <v>EENOIIOEO</v>
      </c>
      <c r="W50" s="2" t="str">
        <f aca="false">IF(Declarations!$E$29="goods",H50,"")&amp;IF(Declarations!$E$30="goods",I50,"")&amp;IF(Declarations!$E$31="goods",J50,"")&amp;IF(Declarations!$E$32="goods",K50,"")&amp;IF(Declarations!$E$33="goods",L50,"")&amp;IF(Declarations!$E$34="goods",M50,"")&amp;IF(Declarations!$E$35="goods",N50,"")&amp;IF(Declarations!$E$36="goods",O50,"")&amp;IF(Declarations!$E$37="goods",P50,"")</f>
        <v>ENI</v>
      </c>
      <c r="X50" s="2" t="str">
        <f aca="false">IF(Declarations!$E$29="capital",H50,"")&amp;IF(Declarations!$E$30="capital",I50,"")&amp;IF(Declarations!$E$31="capital",J50,"")&amp;IF(Declarations!$E$32="capital",K50,"")&amp;IF(Declarations!$E$33="capital",L50,"")&amp;IF(Declarations!$E$34="capital",M50,"")&amp;IF(Declarations!$E$35="capital",N50,"")&amp;IF(Declarations!$E$36="capital",O50,"")&amp;IF(Declarations!$E$37="capital",P50,"")</f>
        <v>EOIE</v>
      </c>
      <c r="Y50" s="2" t="str">
        <f aca="false">IF(Declarations!$E$29="information",H50,"")&amp;IF(Declarations!$E$30="information",I50,"")&amp;IF(Declarations!$E$31="information",J50,"")&amp;IF(Declarations!$E$32="information",K50,"")&amp;IF(Declarations!$E$33="information",L50,"")&amp;IF(Declarations!$E$34="information",M50,"")&amp;IF(Declarations!$E$35="information",N50,"")&amp;IF(Declarations!$E$36="information",O50,"")&amp;IF(Declarations!$E$37="information",P50,"")</f>
        <v>OO</v>
      </c>
    </row>
    <row r="51" customFormat="false" ht="15" hidden="false" customHeight="false" outlineLevel="0" collapsed="false">
      <c r="A51" s="18" t="n">
        <v>45</v>
      </c>
      <c r="B51" s="18" t="n">
        <f aca="false">MOD(INT($A51/2^0),2)</f>
        <v>1</v>
      </c>
      <c r="C51" s="18" t="n">
        <f aca="false">MOD(INT($A51/2^1),2)</f>
        <v>0</v>
      </c>
      <c r="D51" s="18" t="n">
        <f aca="false">MOD(INT($A51/2^2),2)</f>
        <v>1</v>
      </c>
      <c r="E51" s="18" t="n">
        <f aca="false">MOD(INT($A51/2^3),2)</f>
        <v>1</v>
      </c>
      <c r="F51" s="18" t="n">
        <f aca="false">MOD(INT($A51/2^4),2)</f>
        <v>0</v>
      </c>
      <c r="G51" s="18" t="n">
        <f aca="false">MOD(INT($A51/2^5),2)</f>
        <v>1</v>
      </c>
      <c r="H51" s="2" t="str">
        <f aca="false">CHOOSE(1+2*INDEX($B51:$G51,H$3)+INDEX($B51:$G51,H$4),"E","N","O","I")</f>
        <v>O</v>
      </c>
      <c r="I51" s="2" t="str">
        <f aca="false">CHOOSE(1+2*INDEX($B51:$G51,I$3)+INDEX($B51:$G51,I$4),"E","N","O","I")</f>
        <v>N</v>
      </c>
      <c r="J51" s="2" t="str">
        <f aca="false">CHOOSE(1+2*INDEX($B51:$G51,J$3)+INDEX($B51:$G51,J$4),"E","N","O","I")</f>
        <v>N</v>
      </c>
      <c r="K51" s="2" t="str">
        <f aca="false">CHOOSE(1+2*INDEX($B51:$G51,K$3)+INDEX($B51:$G51,K$4),"E","N","O","I")</f>
        <v>O</v>
      </c>
      <c r="L51" s="2" t="str">
        <f aca="false">CHOOSE(1+2*INDEX($B51:$G51,L$3)+INDEX($B51:$G51,L$4),"E","N","O","I")</f>
        <v>I</v>
      </c>
      <c r="M51" s="2" t="str">
        <f aca="false">CHOOSE(1+2*INDEX($B51:$G51,M$3)+INDEX($B51:$G51,M$4),"E","N","O","I")</f>
        <v>I</v>
      </c>
      <c r="N51" s="2" t="str">
        <f aca="false">CHOOSE(1+2*INDEX($B51:$G51,N$3)+INDEX($B51:$G51,N$4),"E","N","O","I")</f>
        <v>O</v>
      </c>
      <c r="O51" s="2" t="str">
        <f aca="false">CHOOSE(1+2*INDEX($B51:$G51,O$3)+INDEX($B51:$G51,O$4),"E","N","O","I")</f>
        <v>E</v>
      </c>
      <c r="P51" s="2" t="str">
        <f aca="false">CHOOSE(1+2*INDEX($B51:$G51,P$3)+INDEX($B51:$G51,P$4),"E","N","O","I")</f>
        <v>O</v>
      </c>
      <c r="Q51" s="18" t="n">
        <f aca="false">COUNTIF($H51:$P51,"I")</f>
        <v>2</v>
      </c>
      <c r="R51" s="18" t="n">
        <f aca="false">COUNTIF($H51:$P51,"N")</f>
        <v>2</v>
      </c>
      <c r="S51" s="18" t="n">
        <f aca="false">COUNTIF($H51:$P51,"O")</f>
        <v>4</v>
      </c>
      <c r="T51" s="18" t="n">
        <f aca="false">COUNTIF($H51:$P51,"E")</f>
        <v>1</v>
      </c>
      <c r="U51" s="18" t="n">
        <f aca="false">SUM(Q51:T51)</f>
        <v>9</v>
      </c>
      <c r="V51" s="2" t="str">
        <f aca="false">H51&amp;I51&amp;J51&amp;K51&amp;L51&amp;M51&amp;N51&amp;O51&amp;P51</f>
        <v>ONNOIIOEO</v>
      </c>
      <c r="W51" s="2" t="str">
        <f aca="false">IF(Declarations!$E$29="goods",H51,"")&amp;IF(Declarations!$E$30="goods",I51,"")&amp;IF(Declarations!$E$31="goods",J51,"")&amp;IF(Declarations!$E$32="goods",K51,"")&amp;IF(Declarations!$E$33="goods",L51,"")&amp;IF(Declarations!$E$34="goods",M51,"")&amp;IF(Declarations!$E$35="goods",N51,"")&amp;IF(Declarations!$E$36="goods",O51,"")&amp;IF(Declarations!$E$37="goods",P51,"")</f>
        <v>ONI</v>
      </c>
      <c r="X51" s="2" t="str">
        <f aca="false">IF(Declarations!$E$29="capital",H51,"")&amp;IF(Declarations!$E$30="capital",I51,"")&amp;IF(Declarations!$E$31="capital",J51,"")&amp;IF(Declarations!$E$32="capital",K51,"")&amp;IF(Declarations!$E$33="capital",L51,"")&amp;IF(Declarations!$E$34="capital",M51,"")&amp;IF(Declarations!$E$35="capital",N51,"")&amp;IF(Declarations!$E$36="capital",O51,"")&amp;IF(Declarations!$E$37="capital",P51,"")</f>
        <v>NOIE</v>
      </c>
      <c r="Y51" s="2" t="str">
        <f aca="false">IF(Declarations!$E$29="information",H51,"")&amp;IF(Declarations!$E$30="information",I51,"")&amp;IF(Declarations!$E$31="information",J51,"")&amp;IF(Declarations!$E$32="information",K51,"")&amp;IF(Declarations!$E$33="information",L51,"")&amp;IF(Declarations!$E$34="information",M51,"")&amp;IF(Declarations!$E$35="information",N51,"")&amp;IF(Declarations!$E$36="information",O51,"")&amp;IF(Declarations!$E$37="information",P51,"")</f>
        <v>OO</v>
      </c>
    </row>
    <row r="52" customFormat="false" ht="15" hidden="false" customHeight="false" outlineLevel="0" collapsed="false">
      <c r="A52" s="18" t="n">
        <v>46</v>
      </c>
      <c r="B52" s="18" t="n">
        <f aca="false">MOD(INT($A52/2^0),2)</f>
        <v>0</v>
      </c>
      <c r="C52" s="18" t="n">
        <f aca="false">MOD(INT($A52/2^1),2)</f>
        <v>1</v>
      </c>
      <c r="D52" s="18" t="n">
        <f aca="false">MOD(INT($A52/2^2),2)</f>
        <v>1</v>
      </c>
      <c r="E52" s="18" t="n">
        <f aca="false">MOD(INT($A52/2^3),2)</f>
        <v>1</v>
      </c>
      <c r="F52" s="18" t="n">
        <f aca="false">MOD(INT($A52/2^4),2)</f>
        <v>0</v>
      </c>
      <c r="G52" s="18" t="n">
        <f aca="false">MOD(INT($A52/2^5),2)</f>
        <v>1</v>
      </c>
      <c r="H52" s="2" t="str">
        <f aca="false">CHOOSE(1+2*INDEX($B52:$G52,H$3)+INDEX($B52:$G52,H$4),"E","N","O","I")</f>
        <v>N</v>
      </c>
      <c r="I52" s="2" t="str">
        <f aca="false">CHOOSE(1+2*INDEX($B52:$G52,I$3)+INDEX($B52:$G52,I$4),"E","N","O","I")</f>
        <v>O</v>
      </c>
      <c r="J52" s="2" t="str">
        <f aca="false">CHOOSE(1+2*INDEX($B52:$G52,J$3)+INDEX($B52:$G52,J$4),"E","N","O","I")</f>
        <v>I</v>
      </c>
      <c r="K52" s="2" t="str">
        <f aca="false">CHOOSE(1+2*INDEX($B52:$G52,K$3)+INDEX($B52:$G52,K$4),"E","N","O","I")</f>
        <v>I</v>
      </c>
      <c r="L52" s="2" t="str">
        <f aca="false">CHOOSE(1+2*INDEX($B52:$G52,L$3)+INDEX($B52:$G52,L$4),"E","N","O","I")</f>
        <v>I</v>
      </c>
      <c r="M52" s="2" t="str">
        <f aca="false">CHOOSE(1+2*INDEX($B52:$G52,M$3)+INDEX($B52:$G52,M$4),"E","N","O","I")</f>
        <v>I</v>
      </c>
      <c r="N52" s="2" t="str">
        <f aca="false">CHOOSE(1+2*INDEX($B52:$G52,N$3)+INDEX($B52:$G52,N$4),"E","N","O","I")</f>
        <v>I</v>
      </c>
      <c r="O52" s="2" t="str">
        <f aca="false">CHOOSE(1+2*INDEX($B52:$G52,O$3)+INDEX($B52:$G52,O$4),"E","N","O","I")</f>
        <v>N</v>
      </c>
      <c r="P52" s="2" t="str">
        <f aca="false">CHOOSE(1+2*INDEX($B52:$G52,P$3)+INDEX($B52:$G52,P$4),"E","N","O","I")</f>
        <v>I</v>
      </c>
      <c r="Q52" s="18" t="n">
        <f aca="false">COUNTIF($H52:$P52,"I")</f>
        <v>6</v>
      </c>
      <c r="R52" s="18" t="n">
        <f aca="false">COUNTIF($H52:$P52,"N")</f>
        <v>2</v>
      </c>
      <c r="S52" s="18" t="n">
        <f aca="false">COUNTIF($H52:$P52,"O")</f>
        <v>1</v>
      </c>
      <c r="T52" s="18" t="n">
        <f aca="false">COUNTIF($H52:$P52,"E")</f>
        <v>0</v>
      </c>
      <c r="U52" s="18" t="n">
        <f aca="false">SUM(Q52:T52)</f>
        <v>9</v>
      </c>
      <c r="V52" s="2" t="str">
        <f aca="false">H52&amp;I52&amp;J52&amp;K52&amp;L52&amp;M52&amp;N52&amp;O52&amp;P52</f>
        <v>NOIIIIINI</v>
      </c>
      <c r="W52" s="2" t="str">
        <f aca="false">IF(Declarations!$E$29="goods",H52,"")&amp;IF(Declarations!$E$30="goods",I52,"")&amp;IF(Declarations!$E$31="goods",J52,"")&amp;IF(Declarations!$E$32="goods",K52,"")&amp;IF(Declarations!$E$33="goods",L52,"")&amp;IF(Declarations!$E$34="goods",M52,"")&amp;IF(Declarations!$E$35="goods",N52,"")&amp;IF(Declarations!$E$36="goods",O52,"")&amp;IF(Declarations!$E$37="goods",P52,"")</f>
        <v>NII</v>
      </c>
      <c r="X52" s="2" t="str">
        <f aca="false">IF(Declarations!$E$29="capital",H52,"")&amp;IF(Declarations!$E$30="capital",I52,"")&amp;IF(Declarations!$E$31="capital",J52,"")&amp;IF(Declarations!$E$32="capital",K52,"")&amp;IF(Declarations!$E$33="capital",L52,"")&amp;IF(Declarations!$E$34="capital",M52,"")&amp;IF(Declarations!$E$35="capital",N52,"")&amp;IF(Declarations!$E$36="capital",O52,"")&amp;IF(Declarations!$E$37="capital",P52,"")</f>
        <v>OIIN</v>
      </c>
      <c r="Y52" s="2" t="str">
        <f aca="false">IF(Declarations!$E$29="information",H52,"")&amp;IF(Declarations!$E$30="information",I52,"")&amp;IF(Declarations!$E$31="information",J52,"")&amp;IF(Declarations!$E$32="information",K52,"")&amp;IF(Declarations!$E$33="information",L52,"")&amp;IF(Declarations!$E$34="information",M52,"")&amp;IF(Declarations!$E$35="information",N52,"")&amp;IF(Declarations!$E$36="information",O52,"")&amp;IF(Declarations!$E$37="information",P52,"")</f>
        <v>II</v>
      </c>
    </row>
    <row r="53" customFormat="false" ht="15" hidden="false" customHeight="false" outlineLevel="0" collapsed="false">
      <c r="A53" s="18" t="n">
        <v>47</v>
      </c>
      <c r="B53" s="18" t="n">
        <f aca="false">MOD(INT($A53/2^0),2)</f>
        <v>1</v>
      </c>
      <c r="C53" s="18" t="n">
        <f aca="false">MOD(INT($A53/2^1),2)</f>
        <v>1</v>
      </c>
      <c r="D53" s="18" t="n">
        <f aca="false">MOD(INT($A53/2^2),2)</f>
        <v>1</v>
      </c>
      <c r="E53" s="18" t="n">
        <f aca="false">MOD(INT($A53/2^3),2)</f>
        <v>1</v>
      </c>
      <c r="F53" s="18" t="n">
        <f aca="false">MOD(INT($A53/2^4),2)</f>
        <v>0</v>
      </c>
      <c r="G53" s="18" t="n">
        <f aca="false">MOD(INT($A53/2^5),2)</f>
        <v>1</v>
      </c>
      <c r="H53" s="2" t="str">
        <f aca="false">CHOOSE(1+2*INDEX($B53:$G53,H$3)+INDEX($B53:$G53,H$4),"E","N","O","I")</f>
        <v>I</v>
      </c>
      <c r="I53" s="2" t="str">
        <f aca="false">CHOOSE(1+2*INDEX($B53:$G53,I$3)+INDEX($B53:$G53,I$4),"E","N","O","I")</f>
        <v>I</v>
      </c>
      <c r="J53" s="2" t="str">
        <f aca="false">CHOOSE(1+2*INDEX($B53:$G53,J$3)+INDEX($B53:$G53,J$4),"E","N","O","I")</f>
        <v>I</v>
      </c>
      <c r="K53" s="2" t="str">
        <f aca="false">CHOOSE(1+2*INDEX($B53:$G53,K$3)+INDEX($B53:$G53,K$4),"E","N","O","I")</f>
        <v>I</v>
      </c>
      <c r="L53" s="2" t="str">
        <f aca="false">CHOOSE(1+2*INDEX($B53:$G53,L$3)+INDEX($B53:$G53,L$4),"E","N","O","I")</f>
        <v>I</v>
      </c>
      <c r="M53" s="2" t="str">
        <f aca="false">CHOOSE(1+2*INDEX($B53:$G53,M$3)+INDEX($B53:$G53,M$4),"E","N","O","I")</f>
        <v>I</v>
      </c>
      <c r="N53" s="2" t="str">
        <f aca="false">CHOOSE(1+2*INDEX($B53:$G53,N$3)+INDEX($B53:$G53,N$4),"E","N","O","I")</f>
        <v>I</v>
      </c>
      <c r="O53" s="2" t="str">
        <f aca="false">CHOOSE(1+2*INDEX($B53:$G53,O$3)+INDEX($B53:$G53,O$4),"E","N","O","I")</f>
        <v>N</v>
      </c>
      <c r="P53" s="2" t="str">
        <f aca="false">CHOOSE(1+2*INDEX($B53:$G53,P$3)+INDEX($B53:$G53,P$4),"E","N","O","I")</f>
        <v>I</v>
      </c>
      <c r="Q53" s="18" t="n">
        <f aca="false">COUNTIF($H53:$P53,"I")</f>
        <v>8</v>
      </c>
      <c r="R53" s="18" t="n">
        <f aca="false">COUNTIF($H53:$P53,"N")</f>
        <v>1</v>
      </c>
      <c r="S53" s="18" t="n">
        <f aca="false">COUNTIF($H53:$P53,"O")</f>
        <v>0</v>
      </c>
      <c r="T53" s="18" t="n">
        <f aca="false">COUNTIF($H53:$P53,"E")</f>
        <v>0</v>
      </c>
      <c r="U53" s="18" t="n">
        <f aca="false">SUM(Q53:T53)</f>
        <v>9</v>
      </c>
      <c r="V53" s="2" t="str">
        <f aca="false">H53&amp;I53&amp;J53&amp;K53&amp;L53&amp;M53&amp;N53&amp;O53&amp;P53</f>
        <v>IIIIIIINI</v>
      </c>
      <c r="W53" s="2" t="str">
        <f aca="false">IF(Declarations!$E$29="goods",H53,"")&amp;IF(Declarations!$E$30="goods",I53,"")&amp;IF(Declarations!$E$31="goods",J53,"")&amp;IF(Declarations!$E$32="goods",K53,"")&amp;IF(Declarations!$E$33="goods",L53,"")&amp;IF(Declarations!$E$34="goods",M53,"")&amp;IF(Declarations!$E$35="goods",N53,"")&amp;IF(Declarations!$E$36="goods",O53,"")&amp;IF(Declarations!$E$37="goods",P53,"")</f>
        <v>III</v>
      </c>
      <c r="X53" s="2" t="str">
        <f aca="false">IF(Declarations!$E$29="capital",H53,"")&amp;IF(Declarations!$E$30="capital",I53,"")&amp;IF(Declarations!$E$31="capital",J53,"")&amp;IF(Declarations!$E$32="capital",K53,"")&amp;IF(Declarations!$E$33="capital",L53,"")&amp;IF(Declarations!$E$34="capital",M53,"")&amp;IF(Declarations!$E$35="capital",N53,"")&amp;IF(Declarations!$E$36="capital",O53,"")&amp;IF(Declarations!$E$37="capital",P53,"")</f>
        <v>IIIN</v>
      </c>
      <c r="Y53" s="2" t="str">
        <f aca="false">IF(Declarations!$E$29="information",H53,"")&amp;IF(Declarations!$E$30="information",I53,"")&amp;IF(Declarations!$E$31="information",J53,"")&amp;IF(Declarations!$E$32="information",K53,"")&amp;IF(Declarations!$E$33="information",L53,"")&amp;IF(Declarations!$E$34="information",M53,"")&amp;IF(Declarations!$E$35="information",N53,"")&amp;IF(Declarations!$E$36="information",O53,"")&amp;IF(Declarations!$E$37="information",P53,"")</f>
        <v>II</v>
      </c>
    </row>
    <row r="54" customFormat="false" ht="15" hidden="false" customHeight="false" outlineLevel="0" collapsed="false">
      <c r="A54" s="18" t="n">
        <v>48</v>
      </c>
      <c r="B54" s="18" t="n">
        <f aca="false">MOD(INT($A54/2^0),2)</f>
        <v>0</v>
      </c>
      <c r="C54" s="18" t="n">
        <f aca="false">MOD(INT($A54/2^1),2)</f>
        <v>0</v>
      </c>
      <c r="D54" s="18" t="n">
        <f aca="false">MOD(INT($A54/2^2),2)</f>
        <v>0</v>
      </c>
      <c r="E54" s="18" t="n">
        <f aca="false">MOD(INT($A54/2^3),2)</f>
        <v>0</v>
      </c>
      <c r="F54" s="18" t="n">
        <f aca="false">MOD(INT($A54/2^4),2)</f>
        <v>1</v>
      </c>
      <c r="G54" s="18" t="n">
        <f aca="false">MOD(INT($A54/2^5),2)</f>
        <v>1</v>
      </c>
      <c r="H54" s="2" t="str">
        <f aca="false">CHOOSE(1+2*INDEX($B54:$G54,H$3)+INDEX($B54:$G54,H$4),"E","N","O","I")</f>
        <v>E</v>
      </c>
      <c r="I54" s="2" t="str">
        <f aca="false">CHOOSE(1+2*INDEX($B54:$G54,I$3)+INDEX($B54:$G54,I$4),"E","N","O","I")</f>
        <v>E</v>
      </c>
      <c r="J54" s="2" t="str">
        <f aca="false">CHOOSE(1+2*INDEX($B54:$G54,J$3)+INDEX($B54:$G54,J$4),"E","N","O","I")</f>
        <v>E</v>
      </c>
      <c r="K54" s="2" t="str">
        <f aca="false">CHOOSE(1+2*INDEX($B54:$G54,K$3)+INDEX($B54:$G54,K$4),"E","N","O","I")</f>
        <v>E</v>
      </c>
      <c r="L54" s="2" t="str">
        <f aca="false">CHOOSE(1+2*INDEX($B54:$G54,L$3)+INDEX($B54:$G54,L$4),"E","N","O","I")</f>
        <v>E</v>
      </c>
      <c r="M54" s="2" t="str">
        <f aca="false">CHOOSE(1+2*INDEX($B54:$G54,M$3)+INDEX($B54:$G54,M$4),"E","N","O","I")</f>
        <v>E</v>
      </c>
      <c r="N54" s="2" t="str">
        <f aca="false">CHOOSE(1+2*INDEX($B54:$G54,N$3)+INDEX($B54:$G54,N$4),"E","N","O","I")</f>
        <v>E</v>
      </c>
      <c r="O54" s="2" t="str">
        <f aca="false">CHOOSE(1+2*INDEX($B54:$G54,O$3)+INDEX($B54:$G54,O$4),"E","N","O","I")</f>
        <v>O</v>
      </c>
      <c r="P54" s="2" t="str">
        <f aca="false">CHOOSE(1+2*INDEX($B54:$G54,P$3)+INDEX($B54:$G54,P$4),"E","N","O","I")</f>
        <v>O</v>
      </c>
      <c r="Q54" s="18" t="n">
        <f aca="false">COUNTIF($H54:$P54,"I")</f>
        <v>0</v>
      </c>
      <c r="R54" s="18" t="n">
        <f aca="false">COUNTIF($H54:$P54,"N")</f>
        <v>0</v>
      </c>
      <c r="S54" s="18" t="n">
        <f aca="false">COUNTIF($H54:$P54,"O")</f>
        <v>2</v>
      </c>
      <c r="T54" s="18" t="n">
        <f aca="false">COUNTIF($H54:$P54,"E")</f>
        <v>7</v>
      </c>
      <c r="U54" s="18" t="n">
        <f aca="false">SUM(Q54:T54)</f>
        <v>9</v>
      </c>
      <c r="V54" s="2" t="str">
        <f aca="false">H54&amp;I54&amp;J54&amp;K54&amp;L54&amp;M54&amp;N54&amp;O54&amp;P54</f>
        <v>EEEEEEEOO</v>
      </c>
      <c r="W54" s="2" t="str">
        <f aca="false">IF(Declarations!$E$29="goods",H54,"")&amp;IF(Declarations!$E$30="goods",I54,"")&amp;IF(Declarations!$E$31="goods",J54,"")&amp;IF(Declarations!$E$32="goods",K54,"")&amp;IF(Declarations!$E$33="goods",L54,"")&amp;IF(Declarations!$E$34="goods",M54,"")&amp;IF(Declarations!$E$35="goods",N54,"")&amp;IF(Declarations!$E$36="goods",O54,"")&amp;IF(Declarations!$E$37="goods",P54,"")</f>
        <v>EEE</v>
      </c>
      <c r="X54" s="2" t="str">
        <f aca="false">IF(Declarations!$E$29="capital",H54,"")&amp;IF(Declarations!$E$30="capital",I54,"")&amp;IF(Declarations!$E$31="capital",J54,"")&amp;IF(Declarations!$E$32="capital",K54,"")&amp;IF(Declarations!$E$33="capital",L54,"")&amp;IF(Declarations!$E$34="capital",M54,"")&amp;IF(Declarations!$E$35="capital",N54,"")&amp;IF(Declarations!$E$36="capital",O54,"")&amp;IF(Declarations!$E$37="capital",P54,"")</f>
        <v>EEEO</v>
      </c>
      <c r="Y54" s="2" t="str">
        <f aca="false">IF(Declarations!$E$29="information",H54,"")&amp;IF(Declarations!$E$30="information",I54,"")&amp;IF(Declarations!$E$31="information",J54,"")&amp;IF(Declarations!$E$32="information",K54,"")&amp;IF(Declarations!$E$33="information",L54,"")&amp;IF(Declarations!$E$34="information",M54,"")&amp;IF(Declarations!$E$35="information",N54,"")&amp;IF(Declarations!$E$36="information",O54,"")&amp;IF(Declarations!$E$37="information",P54,"")</f>
        <v>EO</v>
      </c>
    </row>
    <row r="55" customFormat="false" ht="15" hidden="false" customHeight="false" outlineLevel="0" collapsed="false">
      <c r="A55" s="18" t="n">
        <v>49</v>
      </c>
      <c r="B55" s="18" t="n">
        <f aca="false">MOD(INT($A55/2^0),2)</f>
        <v>1</v>
      </c>
      <c r="C55" s="18" t="n">
        <f aca="false">MOD(INT($A55/2^1),2)</f>
        <v>0</v>
      </c>
      <c r="D55" s="18" t="n">
        <f aca="false">MOD(INT($A55/2^2),2)</f>
        <v>0</v>
      </c>
      <c r="E55" s="18" t="n">
        <f aca="false">MOD(INT($A55/2^3),2)</f>
        <v>0</v>
      </c>
      <c r="F55" s="18" t="n">
        <f aca="false">MOD(INT($A55/2^4),2)</f>
        <v>1</v>
      </c>
      <c r="G55" s="18" t="n">
        <f aca="false">MOD(INT($A55/2^5),2)</f>
        <v>1</v>
      </c>
      <c r="H55" s="2" t="str">
        <f aca="false">CHOOSE(1+2*INDEX($B55:$G55,H$3)+INDEX($B55:$G55,H$4),"E","N","O","I")</f>
        <v>O</v>
      </c>
      <c r="I55" s="2" t="str">
        <f aca="false">CHOOSE(1+2*INDEX($B55:$G55,I$3)+INDEX($B55:$G55,I$4),"E","N","O","I")</f>
        <v>N</v>
      </c>
      <c r="J55" s="2" t="str">
        <f aca="false">CHOOSE(1+2*INDEX($B55:$G55,J$3)+INDEX($B55:$G55,J$4),"E","N","O","I")</f>
        <v>E</v>
      </c>
      <c r="K55" s="2" t="str">
        <f aca="false">CHOOSE(1+2*INDEX($B55:$G55,K$3)+INDEX($B55:$G55,K$4),"E","N","O","I")</f>
        <v>E</v>
      </c>
      <c r="L55" s="2" t="str">
        <f aca="false">CHOOSE(1+2*INDEX($B55:$G55,L$3)+INDEX($B55:$G55,L$4),"E","N","O","I")</f>
        <v>E</v>
      </c>
      <c r="M55" s="2" t="str">
        <f aca="false">CHOOSE(1+2*INDEX($B55:$G55,M$3)+INDEX($B55:$G55,M$4),"E","N","O","I")</f>
        <v>E</v>
      </c>
      <c r="N55" s="2" t="str">
        <f aca="false">CHOOSE(1+2*INDEX($B55:$G55,N$3)+INDEX($B55:$G55,N$4),"E","N","O","I")</f>
        <v>E</v>
      </c>
      <c r="O55" s="2" t="str">
        <f aca="false">CHOOSE(1+2*INDEX($B55:$G55,O$3)+INDEX($B55:$G55,O$4),"E","N","O","I")</f>
        <v>O</v>
      </c>
      <c r="P55" s="2" t="str">
        <f aca="false">CHOOSE(1+2*INDEX($B55:$G55,P$3)+INDEX($B55:$G55,P$4),"E","N","O","I")</f>
        <v>O</v>
      </c>
      <c r="Q55" s="18" t="n">
        <f aca="false">COUNTIF($H55:$P55,"I")</f>
        <v>0</v>
      </c>
      <c r="R55" s="18" t="n">
        <f aca="false">COUNTIF($H55:$P55,"N")</f>
        <v>1</v>
      </c>
      <c r="S55" s="18" t="n">
        <f aca="false">COUNTIF($H55:$P55,"O")</f>
        <v>3</v>
      </c>
      <c r="T55" s="18" t="n">
        <f aca="false">COUNTIF($H55:$P55,"E")</f>
        <v>5</v>
      </c>
      <c r="U55" s="18" t="n">
        <f aca="false">SUM(Q55:T55)</f>
        <v>9</v>
      </c>
      <c r="V55" s="2" t="str">
        <f aca="false">H55&amp;I55&amp;J55&amp;K55&amp;L55&amp;M55&amp;N55&amp;O55&amp;P55</f>
        <v>ONEEEEEOO</v>
      </c>
      <c r="W55" s="2" t="str">
        <f aca="false">IF(Declarations!$E$29="goods",H55,"")&amp;IF(Declarations!$E$30="goods",I55,"")&amp;IF(Declarations!$E$31="goods",J55,"")&amp;IF(Declarations!$E$32="goods",K55,"")&amp;IF(Declarations!$E$33="goods",L55,"")&amp;IF(Declarations!$E$34="goods",M55,"")&amp;IF(Declarations!$E$35="goods",N55,"")&amp;IF(Declarations!$E$36="goods",O55,"")&amp;IF(Declarations!$E$37="goods",P55,"")</f>
        <v>OEE</v>
      </c>
      <c r="X55" s="2" t="str">
        <f aca="false">IF(Declarations!$E$29="capital",H55,"")&amp;IF(Declarations!$E$30="capital",I55,"")&amp;IF(Declarations!$E$31="capital",J55,"")&amp;IF(Declarations!$E$32="capital",K55,"")&amp;IF(Declarations!$E$33="capital",L55,"")&amp;IF(Declarations!$E$34="capital",M55,"")&amp;IF(Declarations!$E$35="capital",N55,"")&amp;IF(Declarations!$E$36="capital",O55,"")&amp;IF(Declarations!$E$37="capital",P55,"")</f>
        <v>NEEO</v>
      </c>
      <c r="Y55" s="2" t="str">
        <f aca="false">IF(Declarations!$E$29="information",H55,"")&amp;IF(Declarations!$E$30="information",I55,"")&amp;IF(Declarations!$E$31="information",J55,"")&amp;IF(Declarations!$E$32="information",K55,"")&amp;IF(Declarations!$E$33="information",L55,"")&amp;IF(Declarations!$E$34="information",M55,"")&amp;IF(Declarations!$E$35="information",N55,"")&amp;IF(Declarations!$E$36="information",O55,"")&amp;IF(Declarations!$E$37="information",P55,"")</f>
        <v>EO</v>
      </c>
    </row>
    <row r="56" customFormat="false" ht="15" hidden="false" customHeight="false" outlineLevel="0" collapsed="false">
      <c r="A56" s="18" t="n">
        <v>50</v>
      </c>
      <c r="B56" s="18" t="n">
        <f aca="false">MOD(INT($A56/2^0),2)</f>
        <v>0</v>
      </c>
      <c r="C56" s="18" t="n">
        <f aca="false">MOD(INT($A56/2^1),2)</f>
        <v>1</v>
      </c>
      <c r="D56" s="18" t="n">
        <f aca="false">MOD(INT($A56/2^2),2)</f>
        <v>0</v>
      </c>
      <c r="E56" s="18" t="n">
        <f aca="false">MOD(INT($A56/2^3),2)</f>
        <v>0</v>
      </c>
      <c r="F56" s="18" t="n">
        <f aca="false">MOD(INT($A56/2^4),2)</f>
        <v>1</v>
      </c>
      <c r="G56" s="18" t="n">
        <f aca="false">MOD(INT($A56/2^5),2)</f>
        <v>1</v>
      </c>
      <c r="H56" s="2" t="str">
        <f aca="false">CHOOSE(1+2*INDEX($B56:$G56,H$3)+INDEX($B56:$G56,H$4),"E","N","O","I")</f>
        <v>N</v>
      </c>
      <c r="I56" s="2" t="str">
        <f aca="false">CHOOSE(1+2*INDEX($B56:$G56,I$3)+INDEX($B56:$G56,I$4),"E","N","O","I")</f>
        <v>O</v>
      </c>
      <c r="J56" s="2" t="str">
        <f aca="false">CHOOSE(1+2*INDEX($B56:$G56,J$3)+INDEX($B56:$G56,J$4),"E","N","O","I")</f>
        <v>O</v>
      </c>
      <c r="K56" s="2" t="str">
        <f aca="false">CHOOSE(1+2*INDEX($B56:$G56,K$3)+INDEX($B56:$G56,K$4),"E","N","O","I")</f>
        <v>N</v>
      </c>
      <c r="L56" s="2" t="str">
        <f aca="false">CHOOSE(1+2*INDEX($B56:$G56,L$3)+INDEX($B56:$G56,L$4),"E","N","O","I")</f>
        <v>E</v>
      </c>
      <c r="M56" s="2" t="str">
        <f aca="false">CHOOSE(1+2*INDEX($B56:$G56,M$3)+INDEX($B56:$G56,M$4),"E","N","O","I")</f>
        <v>E</v>
      </c>
      <c r="N56" s="2" t="str">
        <f aca="false">CHOOSE(1+2*INDEX($B56:$G56,N$3)+INDEX($B56:$G56,N$4),"E","N","O","I")</f>
        <v>N</v>
      </c>
      <c r="O56" s="2" t="str">
        <f aca="false">CHOOSE(1+2*INDEX($B56:$G56,O$3)+INDEX($B56:$G56,O$4),"E","N","O","I")</f>
        <v>I</v>
      </c>
      <c r="P56" s="2" t="str">
        <f aca="false">CHOOSE(1+2*INDEX($B56:$G56,P$3)+INDEX($B56:$G56,P$4),"E","N","O","I")</f>
        <v>I</v>
      </c>
      <c r="Q56" s="18" t="n">
        <f aca="false">COUNTIF($H56:$P56,"I")</f>
        <v>2</v>
      </c>
      <c r="R56" s="18" t="n">
        <f aca="false">COUNTIF($H56:$P56,"N")</f>
        <v>3</v>
      </c>
      <c r="S56" s="18" t="n">
        <f aca="false">COUNTIF($H56:$P56,"O")</f>
        <v>2</v>
      </c>
      <c r="T56" s="18" t="n">
        <f aca="false">COUNTIF($H56:$P56,"E")</f>
        <v>2</v>
      </c>
      <c r="U56" s="18" t="n">
        <f aca="false">SUM(Q56:T56)</f>
        <v>9</v>
      </c>
      <c r="V56" s="2" t="str">
        <f aca="false">H56&amp;I56&amp;J56&amp;K56&amp;L56&amp;M56&amp;N56&amp;O56&amp;P56</f>
        <v>NOONEENII</v>
      </c>
      <c r="W56" s="2" t="str">
        <f aca="false">IF(Declarations!$E$29="goods",H56,"")&amp;IF(Declarations!$E$30="goods",I56,"")&amp;IF(Declarations!$E$31="goods",J56,"")&amp;IF(Declarations!$E$32="goods",K56,"")&amp;IF(Declarations!$E$33="goods",L56,"")&amp;IF(Declarations!$E$34="goods",M56,"")&amp;IF(Declarations!$E$35="goods",N56,"")&amp;IF(Declarations!$E$36="goods",O56,"")&amp;IF(Declarations!$E$37="goods",P56,"")</f>
        <v>NOE</v>
      </c>
      <c r="X56" s="2" t="str">
        <f aca="false">IF(Declarations!$E$29="capital",H56,"")&amp;IF(Declarations!$E$30="capital",I56,"")&amp;IF(Declarations!$E$31="capital",J56,"")&amp;IF(Declarations!$E$32="capital",K56,"")&amp;IF(Declarations!$E$33="capital",L56,"")&amp;IF(Declarations!$E$34="capital",M56,"")&amp;IF(Declarations!$E$35="capital",N56,"")&amp;IF(Declarations!$E$36="capital",O56,"")&amp;IF(Declarations!$E$37="capital",P56,"")</f>
        <v>ONEI</v>
      </c>
      <c r="Y56" s="2" t="str">
        <f aca="false">IF(Declarations!$E$29="information",H56,"")&amp;IF(Declarations!$E$30="information",I56,"")&amp;IF(Declarations!$E$31="information",J56,"")&amp;IF(Declarations!$E$32="information",K56,"")&amp;IF(Declarations!$E$33="information",L56,"")&amp;IF(Declarations!$E$34="information",M56,"")&amp;IF(Declarations!$E$35="information",N56,"")&amp;IF(Declarations!$E$36="information",O56,"")&amp;IF(Declarations!$E$37="information",P56,"")</f>
        <v>NI</v>
      </c>
    </row>
    <row r="57" customFormat="false" ht="15" hidden="false" customHeight="false" outlineLevel="0" collapsed="false">
      <c r="A57" s="18" t="n">
        <v>51</v>
      </c>
      <c r="B57" s="18" t="n">
        <f aca="false">MOD(INT($A57/2^0),2)</f>
        <v>1</v>
      </c>
      <c r="C57" s="18" t="n">
        <f aca="false">MOD(INT($A57/2^1),2)</f>
        <v>1</v>
      </c>
      <c r="D57" s="18" t="n">
        <f aca="false">MOD(INT($A57/2^2),2)</f>
        <v>0</v>
      </c>
      <c r="E57" s="18" t="n">
        <f aca="false">MOD(INT($A57/2^3),2)</f>
        <v>0</v>
      </c>
      <c r="F57" s="18" t="n">
        <f aca="false">MOD(INT($A57/2^4),2)</f>
        <v>1</v>
      </c>
      <c r="G57" s="18" t="n">
        <f aca="false">MOD(INT($A57/2^5),2)</f>
        <v>1</v>
      </c>
      <c r="H57" s="2" t="str">
        <f aca="false">CHOOSE(1+2*INDEX($B57:$G57,H$3)+INDEX($B57:$G57,H$4),"E","N","O","I")</f>
        <v>I</v>
      </c>
      <c r="I57" s="2" t="str">
        <f aca="false">CHOOSE(1+2*INDEX($B57:$G57,I$3)+INDEX($B57:$G57,I$4),"E","N","O","I")</f>
        <v>I</v>
      </c>
      <c r="J57" s="2" t="str">
        <f aca="false">CHOOSE(1+2*INDEX($B57:$G57,J$3)+INDEX($B57:$G57,J$4),"E","N","O","I")</f>
        <v>O</v>
      </c>
      <c r="K57" s="2" t="str">
        <f aca="false">CHOOSE(1+2*INDEX($B57:$G57,K$3)+INDEX($B57:$G57,K$4),"E","N","O","I")</f>
        <v>N</v>
      </c>
      <c r="L57" s="2" t="str">
        <f aca="false">CHOOSE(1+2*INDEX($B57:$G57,L$3)+INDEX($B57:$G57,L$4),"E","N","O","I")</f>
        <v>E</v>
      </c>
      <c r="M57" s="2" t="str">
        <f aca="false">CHOOSE(1+2*INDEX($B57:$G57,M$3)+INDEX($B57:$G57,M$4),"E","N","O","I")</f>
        <v>E</v>
      </c>
      <c r="N57" s="2" t="str">
        <f aca="false">CHOOSE(1+2*INDEX($B57:$G57,N$3)+INDEX($B57:$G57,N$4),"E","N","O","I")</f>
        <v>N</v>
      </c>
      <c r="O57" s="2" t="str">
        <f aca="false">CHOOSE(1+2*INDEX($B57:$G57,O$3)+INDEX($B57:$G57,O$4),"E","N","O","I")</f>
        <v>I</v>
      </c>
      <c r="P57" s="2" t="str">
        <f aca="false">CHOOSE(1+2*INDEX($B57:$G57,P$3)+INDEX($B57:$G57,P$4),"E","N","O","I")</f>
        <v>I</v>
      </c>
      <c r="Q57" s="18" t="n">
        <f aca="false">COUNTIF($H57:$P57,"I")</f>
        <v>4</v>
      </c>
      <c r="R57" s="18" t="n">
        <f aca="false">COUNTIF($H57:$P57,"N")</f>
        <v>2</v>
      </c>
      <c r="S57" s="18" t="n">
        <f aca="false">COUNTIF($H57:$P57,"O")</f>
        <v>1</v>
      </c>
      <c r="T57" s="18" t="n">
        <f aca="false">COUNTIF($H57:$P57,"E")</f>
        <v>2</v>
      </c>
      <c r="U57" s="18" t="n">
        <f aca="false">SUM(Q57:T57)</f>
        <v>9</v>
      </c>
      <c r="V57" s="2" t="str">
        <f aca="false">H57&amp;I57&amp;J57&amp;K57&amp;L57&amp;M57&amp;N57&amp;O57&amp;P57</f>
        <v>IIONEENII</v>
      </c>
      <c r="W57" s="2" t="str">
        <f aca="false">IF(Declarations!$E$29="goods",H57,"")&amp;IF(Declarations!$E$30="goods",I57,"")&amp;IF(Declarations!$E$31="goods",J57,"")&amp;IF(Declarations!$E$32="goods",K57,"")&amp;IF(Declarations!$E$33="goods",L57,"")&amp;IF(Declarations!$E$34="goods",M57,"")&amp;IF(Declarations!$E$35="goods",N57,"")&amp;IF(Declarations!$E$36="goods",O57,"")&amp;IF(Declarations!$E$37="goods",P57,"")</f>
        <v>IOE</v>
      </c>
      <c r="X57" s="2" t="str">
        <f aca="false">IF(Declarations!$E$29="capital",H57,"")&amp;IF(Declarations!$E$30="capital",I57,"")&amp;IF(Declarations!$E$31="capital",J57,"")&amp;IF(Declarations!$E$32="capital",K57,"")&amp;IF(Declarations!$E$33="capital",L57,"")&amp;IF(Declarations!$E$34="capital",M57,"")&amp;IF(Declarations!$E$35="capital",N57,"")&amp;IF(Declarations!$E$36="capital",O57,"")&amp;IF(Declarations!$E$37="capital",P57,"")</f>
        <v>INEI</v>
      </c>
      <c r="Y57" s="2" t="str">
        <f aca="false">IF(Declarations!$E$29="information",H57,"")&amp;IF(Declarations!$E$30="information",I57,"")&amp;IF(Declarations!$E$31="information",J57,"")&amp;IF(Declarations!$E$32="information",K57,"")&amp;IF(Declarations!$E$33="information",L57,"")&amp;IF(Declarations!$E$34="information",M57,"")&amp;IF(Declarations!$E$35="information",N57,"")&amp;IF(Declarations!$E$36="information",O57,"")&amp;IF(Declarations!$E$37="information",P57,"")</f>
        <v>NI</v>
      </c>
    </row>
    <row r="58" customFormat="false" ht="15" hidden="false" customHeight="false" outlineLevel="0" collapsed="false">
      <c r="A58" s="18" t="n">
        <v>52</v>
      </c>
      <c r="B58" s="18" t="n">
        <f aca="false">MOD(INT($A58/2^0),2)</f>
        <v>0</v>
      </c>
      <c r="C58" s="18" t="n">
        <f aca="false">MOD(INT($A58/2^1),2)</f>
        <v>0</v>
      </c>
      <c r="D58" s="18" t="n">
        <f aca="false">MOD(INT($A58/2^2),2)</f>
        <v>1</v>
      </c>
      <c r="E58" s="18" t="n">
        <f aca="false">MOD(INT($A58/2^3),2)</f>
        <v>0</v>
      </c>
      <c r="F58" s="18" t="n">
        <f aca="false">MOD(INT($A58/2^4),2)</f>
        <v>1</v>
      </c>
      <c r="G58" s="18" t="n">
        <f aca="false">MOD(INT($A58/2^5),2)</f>
        <v>1</v>
      </c>
      <c r="H58" s="2" t="str">
        <f aca="false">CHOOSE(1+2*INDEX($B58:$G58,H$3)+INDEX($B58:$G58,H$4),"E","N","O","I")</f>
        <v>E</v>
      </c>
      <c r="I58" s="2" t="str">
        <f aca="false">CHOOSE(1+2*INDEX($B58:$G58,I$3)+INDEX($B58:$G58,I$4),"E","N","O","I")</f>
        <v>E</v>
      </c>
      <c r="J58" s="2" t="str">
        <f aca="false">CHOOSE(1+2*INDEX($B58:$G58,J$3)+INDEX($B58:$G58,J$4),"E","N","O","I")</f>
        <v>N</v>
      </c>
      <c r="K58" s="2" t="str">
        <f aca="false">CHOOSE(1+2*INDEX($B58:$G58,K$3)+INDEX($B58:$G58,K$4),"E","N","O","I")</f>
        <v>O</v>
      </c>
      <c r="L58" s="2" t="str">
        <f aca="false">CHOOSE(1+2*INDEX($B58:$G58,L$3)+INDEX($B58:$G58,L$4),"E","N","O","I")</f>
        <v>O</v>
      </c>
      <c r="M58" s="2" t="str">
        <f aca="false">CHOOSE(1+2*INDEX($B58:$G58,M$3)+INDEX($B58:$G58,M$4),"E","N","O","I")</f>
        <v>N</v>
      </c>
      <c r="N58" s="2" t="str">
        <f aca="false">CHOOSE(1+2*INDEX($B58:$G58,N$3)+INDEX($B58:$G58,N$4),"E","N","O","I")</f>
        <v>O</v>
      </c>
      <c r="O58" s="2" t="str">
        <f aca="false">CHOOSE(1+2*INDEX($B58:$G58,O$3)+INDEX($B58:$G58,O$4),"E","N","O","I")</f>
        <v>O</v>
      </c>
      <c r="P58" s="2" t="str">
        <f aca="false">CHOOSE(1+2*INDEX($B58:$G58,P$3)+INDEX($B58:$G58,P$4),"E","N","O","I")</f>
        <v>O</v>
      </c>
      <c r="Q58" s="18" t="n">
        <f aca="false">COUNTIF($H58:$P58,"I")</f>
        <v>0</v>
      </c>
      <c r="R58" s="18" t="n">
        <f aca="false">COUNTIF($H58:$P58,"N")</f>
        <v>2</v>
      </c>
      <c r="S58" s="18" t="n">
        <f aca="false">COUNTIF($H58:$P58,"O")</f>
        <v>5</v>
      </c>
      <c r="T58" s="18" t="n">
        <f aca="false">COUNTIF($H58:$P58,"E")</f>
        <v>2</v>
      </c>
      <c r="U58" s="18" t="n">
        <f aca="false">SUM(Q58:T58)</f>
        <v>9</v>
      </c>
      <c r="V58" s="2" t="str">
        <f aca="false">H58&amp;I58&amp;J58&amp;K58&amp;L58&amp;M58&amp;N58&amp;O58&amp;P58</f>
        <v>EENOONOOO</v>
      </c>
      <c r="W58" s="2" t="str">
        <f aca="false">IF(Declarations!$E$29="goods",H58,"")&amp;IF(Declarations!$E$30="goods",I58,"")&amp;IF(Declarations!$E$31="goods",J58,"")&amp;IF(Declarations!$E$32="goods",K58,"")&amp;IF(Declarations!$E$33="goods",L58,"")&amp;IF(Declarations!$E$34="goods",M58,"")&amp;IF(Declarations!$E$35="goods",N58,"")&amp;IF(Declarations!$E$36="goods",O58,"")&amp;IF(Declarations!$E$37="goods",P58,"")</f>
        <v>ENO</v>
      </c>
      <c r="X58" s="2" t="str">
        <f aca="false">IF(Declarations!$E$29="capital",H58,"")&amp;IF(Declarations!$E$30="capital",I58,"")&amp;IF(Declarations!$E$31="capital",J58,"")&amp;IF(Declarations!$E$32="capital",K58,"")&amp;IF(Declarations!$E$33="capital",L58,"")&amp;IF(Declarations!$E$34="capital",M58,"")&amp;IF(Declarations!$E$35="capital",N58,"")&amp;IF(Declarations!$E$36="capital",O58,"")&amp;IF(Declarations!$E$37="capital",P58,"")</f>
        <v>EONO</v>
      </c>
      <c r="Y58" s="2" t="str">
        <f aca="false">IF(Declarations!$E$29="information",H58,"")&amp;IF(Declarations!$E$30="information",I58,"")&amp;IF(Declarations!$E$31="information",J58,"")&amp;IF(Declarations!$E$32="information",K58,"")&amp;IF(Declarations!$E$33="information",L58,"")&amp;IF(Declarations!$E$34="information",M58,"")&amp;IF(Declarations!$E$35="information",N58,"")&amp;IF(Declarations!$E$36="information",O58,"")&amp;IF(Declarations!$E$37="information",P58,"")</f>
        <v>OO</v>
      </c>
    </row>
    <row r="59" customFormat="false" ht="15" hidden="false" customHeight="false" outlineLevel="0" collapsed="false">
      <c r="A59" s="18" t="n">
        <v>53</v>
      </c>
      <c r="B59" s="18" t="n">
        <f aca="false">MOD(INT($A59/2^0),2)</f>
        <v>1</v>
      </c>
      <c r="C59" s="18" t="n">
        <f aca="false">MOD(INT($A59/2^1),2)</f>
        <v>0</v>
      </c>
      <c r="D59" s="18" t="n">
        <f aca="false">MOD(INT($A59/2^2),2)</f>
        <v>1</v>
      </c>
      <c r="E59" s="18" t="n">
        <f aca="false">MOD(INT($A59/2^3),2)</f>
        <v>0</v>
      </c>
      <c r="F59" s="18" t="n">
        <f aca="false">MOD(INT($A59/2^4),2)</f>
        <v>1</v>
      </c>
      <c r="G59" s="18" t="n">
        <f aca="false">MOD(INT($A59/2^5),2)</f>
        <v>1</v>
      </c>
      <c r="H59" s="2" t="str">
        <f aca="false">CHOOSE(1+2*INDEX($B59:$G59,H$3)+INDEX($B59:$G59,H$4),"E","N","O","I")</f>
        <v>O</v>
      </c>
      <c r="I59" s="2" t="str">
        <f aca="false">CHOOSE(1+2*INDEX($B59:$G59,I$3)+INDEX($B59:$G59,I$4),"E","N","O","I")</f>
        <v>N</v>
      </c>
      <c r="J59" s="2" t="str">
        <f aca="false">CHOOSE(1+2*INDEX($B59:$G59,J$3)+INDEX($B59:$G59,J$4),"E","N","O","I")</f>
        <v>N</v>
      </c>
      <c r="K59" s="2" t="str">
        <f aca="false">CHOOSE(1+2*INDEX($B59:$G59,K$3)+INDEX($B59:$G59,K$4),"E","N","O","I")</f>
        <v>O</v>
      </c>
      <c r="L59" s="2" t="str">
        <f aca="false">CHOOSE(1+2*INDEX($B59:$G59,L$3)+INDEX($B59:$G59,L$4),"E","N","O","I")</f>
        <v>O</v>
      </c>
      <c r="M59" s="2" t="str">
        <f aca="false">CHOOSE(1+2*INDEX($B59:$G59,M$3)+INDEX($B59:$G59,M$4),"E","N","O","I")</f>
        <v>N</v>
      </c>
      <c r="N59" s="2" t="str">
        <f aca="false">CHOOSE(1+2*INDEX($B59:$G59,N$3)+INDEX($B59:$G59,N$4),"E","N","O","I")</f>
        <v>O</v>
      </c>
      <c r="O59" s="2" t="str">
        <f aca="false">CHOOSE(1+2*INDEX($B59:$G59,O$3)+INDEX($B59:$G59,O$4),"E","N","O","I")</f>
        <v>O</v>
      </c>
      <c r="P59" s="2" t="str">
        <f aca="false">CHOOSE(1+2*INDEX($B59:$G59,P$3)+INDEX($B59:$G59,P$4),"E","N","O","I")</f>
        <v>O</v>
      </c>
      <c r="Q59" s="18" t="n">
        <f aca="false">COUNTIF($H59:$P59,"I")</f>
        <v>0</v>
      </c>
      <c r="R59" s="18" t="n">
        <f aca="false">COUNTIF($H59:$P59,"N")</f>
        <v>3</v>
      </c>
      <c r="S59" s="18" t="n">
        <f aca="false">COUNTIF($H59:$P59,"O")</f>
        <v>6</v>
      </c>
      <c r="T59" s="18" t="n">
        <f aca="false">COUNTIF($H59:$P59,"E")</f>
        <v>0</v>
      </c>
      <c r="U59" s="18" t="n">
        <f aca="false">SUM(Q59:T59)</f>
        <v>9</v>
      </c>
      <c r="V59" s="2" t="str">
        <f aca="false">H59&amp;I59&amp;J59&amp;K59&amp;L59&amp;M59&amp;N59&amp;O59&amp;P59</f>
        <v>ONNOONOOO</v>
      </c>
      <c r="W59" s="2" t="str">
        <f aca="false">IF(Declarations!$E$29="goods",H59,"")&amp;IF(Declarations!$E$30="goods",I59,"")&amp;IF(Declarations!$E$31="goods",J59,"")&amp;IF(Declarations!$E$32="goods",K59,"")&amp;IF(Declarations!$E$33="goods",L59,"")&amp;IF(Declarations!$E$34="goods",M59,"")&amp;IF(Declarations!$E$35="goods",N59,"")&amp;IF(Declarations!$E$36="goods",O59,"")&amp;IF(Declarations!$E$37="goods",P59,"")</f>
        <v>ONO</v>
      </c>
      <c r="X59" s="2" t="str">
        <f aca="false">IF(Declarations!$E$29="capital",H59,"")&amp;IF(Declarations!$E$30="capital",I59,"")&amp;IF(Declarations!$E$31="capital",J59,"")&amp;IF(Declarations!$E$32="capital",K59,"")&amp;IF(Declarations!$E$33="capital",L59,"")&amp;IF(Declarations!$E$34="capital",M59,"")&amp;IF(Declarations!$E$35="capital",N59,"")&amp;IF(Declarations!$E$36="capital",O59,"")&amp;IF(Declarations!$E$37="capital",P59,"")</f>
        <v>NONO</v>
      </c>
      <c r="Y59" s="2" t="str">
        <f aca="false">IF(Declarations!$E$29="information",H59,"")&amp;IF(Declarations!$E$30="information",I59,"")&amp;IF(Declarations!$E$31="information",J59,"")&amp;IF(Declarations!$E$32="information",K59,"")&amp;IF(Declarations!$E$33="information",L59,"")&amp;IF(Declarations!$E$34="information",M59,"")&amp;IF(Declarations!$E$35="information",N59,"")&amp;IF(Declarations!$E$36="information",O59,"")&amp;IF(Declarations!$E$37="information",P59,"")</f>
        <v>OO</v>
      </c>
    </row>
    <row r="60" customFormat="false" ht="15" hidden="false" customHeight="false" outlineLevel="0" collapsed="false">
      <c r="A60" s="18" t="n">
        <v>54</v>
      </c>
      <c r="B60" s="18" t="n">
        <f aca="false">MOD(INT($A60/2^0),2)</f>
        <v>0</v>
      </c>
      <c r="C60" s="18" t="n">
        <f aca="false">MOD(INT($A60/2^1),2)</f>
        <v>1</v>
      </c>
      <c r="D60" s="18" t="n">
        <f aca="false">MOD(INT($A60/2^2),2)</f>
        <v>1</v>
      </c>
      <c r="E60" s="18" t="n">
        <f aca="false">MOD(INT($A60/2^3),2)</f>
        <v>0</v>
      </c>
      <c r="F60" s="18" t="n">
        <f aca="false">MOD(INT($A60/2^4),2)</f>
        <v>1</v>
      </c>
      <c r="G60" s="18" t="n">
        <f aca="false">MOD(INT($A60/2^5),2)</f>
        <v>1</v>
      </c>
      <c r="H60" s="2" t="str">
        <f aca="false">CHOOSE(1+2*INDEX($B60:$G60,H$3)+INDEX($B60:$G60,H$4),"E","N","O","I")</f>
        <v>N</v>
      </c>
      <c r="I60" s="2" t="str">
        <f aca="false">CHOOSE(1+2*INDEX($B60:$G60,I$3)+INDEX($B60:$G60,I$4),"E","N","O","I")</f>
        <v>O</v>
      </c>
      <c r="J60" s="2" t="str">
        <f aca="false">CHOOSE(1+2*INDEX($B60:$G60,J$3)+INDEX($B60:$G60,J$4),"E","N","O","I")</f>
        <v>I</v>
      </c>
      <c r="K60" s="2" t="str">
        <f aca="false">CHOOSE(1+2*INDEX($B60:$G60,K$3)+INDEX($B60:$G60,K$4),"E","N","O","I")</f>
        <v>I</v>
      </c>
      <c r="L60" s="2" t="str">
        <f aca="false">CHOOSE(1+2*INDEX($B60:$G60,L$3)+INDEX($B60:$G60,L$4),"E","N","O","I")</f>
        <v>O</v>
      </c>
      <c r="M60" s="2" t="str">
        <f aca="false">CHOOSE(1+2*INDEX($B60:$G60,M$3)+INDEX($B60:$G60,M$4),"E","N","O","I")</f>
        <v>N</v>
      </c>
      <c r="N60" s="2" t="str">
        <f aca="false">CHOOSE(1+2*INDEX($B60:$G60,N$3)+INDEX($B60:$G60,N$4),"E","N","O","I")</f>
        <v>I</v>
      </c>
      <c r="O60" s="2" t="str">
        <f aca="false">CHOOSE(1+2*INDEX($B60:$G60,O$3)+INDEX($B60:$G60,O$4),"E","N","O","I")</f>
        <v>I</v>
      </c>
      <c r="P60" s="2" t="str">
        <f aca="false">CHOOSE(1+2*INDEX($B60:$G60,P$3)+INDEX($B60:$G60,P$4),"E","N","O","I")</f>
        <v>I</v>
      </c>
      <c r="Q60" s="18" t="n">
        <f aca="false">COUNTIF($H60:$P60,"I")</f>
        <v>5</v>
      </c>
      <c r="R60" s="18" t="n">
        <f aca="false">COUNTIF($H60:$P60,"N")</f>
        <v>2</v>
      </c>
      <c r="S60" s="18" t="n">
        <f aca="false">COUNTIF($H60:$P60,"O")</f>
        <v>2</v>
      </c>
      <c r="T60" s="18" t="n">
        <f aca="false">COUNTIF($H60:$P60,"E")</f>
        <v>0</v>
      </c>
      <c r="U60" s="18" t="n">
        <f aca="false">SUM(Q60:T60)</f>
        <v>9</v>
      </c>
      <c r="V60" s="2" t="str">
        <f aca="false">H60&amp;I60&amp;J60&amp;K60&amp;L60&amp;M60&amp;N60&amp;O60&amp;P60</f>
        <v>NOIIONIII</v>
      </c>
      <c r="W60" s="2" t="str">
        <f aca="false">IF(Declarations!$E$29="goods",H60,"")&amp;IF(Declarations!$E$30="goods",I60,"")&amp;IF(Declarations!$E$31="goods",J60,"")&amp;IF(Declarations!$E$32="goods",K60,"")&amp;IF(Declarations!$E$33="goods",L60,"")&amp;IF(Declarations!$E$34="goods",M60,"")&amp;IF(Declarations!$E$35="goods",N60,"")&amp;IF(Declarations!$E$36="goods",O60,"")&amp;IF(Declarations!$E$37="goods",P60,"")</f>
        <v>NIO</v>
      </c>
      <c r="X60" s="2" t="str">
        <f aca="false">IF(Declarations!$E$29="capital",H60,"")&amp;IF(Declarations!$E$30="capital",I60,"")&amp;IF(Declarations!$E$31="capital",J60,"")&amp;IF(Declarations!$E$32="capital",K60,"")&amp;IF(Declarations!$E$33="capital",L60,"")&amp;IF(Declarations!$E$34="capital",M60,"")&amp;IF(Declarations!$E$35="capital",N60,"")&amp;IF(Declarations!$E$36="capital",O60,"")&amp;IF(Declarations!$E$37="capital",P60,"")</f>
        <v>OINI</v>
      </c>
      <c r="Y60" s="2" t="str">
        <f aca="false">IF(Declarations!$E$29="information",H60,"")&amp;IF(Declarations!$E$30="information",I60,"")&amp;IF(Declarations!$E$31="information",J60,"")&amp;IF(Declarations!$E$32="information",K60,"")&amp;IF(Declarations!$E$33="information",L60,"")&amp;IF(Declarations!$E$34="information",M60,"")&amp;IF(Declarations!$E$35="information",N60,"")&amp;IF(Declarations!$E$36="information",O60,"")&amp;IF(Declarations!$E$37="information",P60,"")</f>
        <v>II</v>
      </c>
    </row>
    <row r="61" customFormat="false" ht="15" hidden="false" customHeight="false" outlineLevel="0" collapsed="false">
      <c r="A61" s="18" t="n">
        <v>55</v>
      </c>
      <c r="B61" s="18" t="n">
        <f aca="false">MOD(INT($A61/2^0),2)</f>
        <v>1</v>
      </c>
      <c r="C61" s="18" t="n">
        <f aca="false">MOD(INT($A61/2^1),2)</f>
        <v>1</v>
      </c>
      <c r="D61" s="18" t="n">
        <f aca="false">MOD(INT($A61/2^2),2)</f>
        <v>1</v>
      </c>
      <c r="E61" s="18" t="n">
        <f aca="false">MOD(INT($A61/2^3),2)</f>
        <v>0</v>
      </c>
      <c r="F61" s="18" t="n">
        <f aca="false">MOD(INT($A61/2^4),2)</f>
        <v>1</v>
      </c>
      <c r="G61" s="18" t="n">
        <f aca="false">MOD(INT($A61/2^5),2)</f>
        <v>1</v>
      </c>
      <c r="H61" s="2" t="str">
        <f aca="false">CHOOSE(1+2*INDEX($B61:$G61,H$3)+INDEX($B61:$G61,H$4),"E","N","O","I")</f>
        <v>I</v>
      </c>
      <c r="I61" s="2" t="str">
        <f aca="false">CHOOSE(1+2*INDEX($B61:$G61,I$3)+INDEX($B61:$G61,I$4),"E","N","O","I")</f>
        <v>I</v>
      </c>
      <c r="J61" s="2" t="str">
        <f aca="false">CHOOSE(1+2*INDEX($B61:$G61,J$3)+INDEX($B61:$G61,J$4),"E","N","O","I")</f>
        <v>I</v>
      </c>
      <c r="K61" s="2" t="str">
        <f aca="false">CHOOSE(1+2*INDEX($B61:$G61,K$3)+INDEX($B61:$G61,K$4),"E","N","O","I")</f>
        <v>I</v>
      </c>
      <c r="L61" s="2" t="str">
        <f aca="false">CHOOSE(1+2*INDEX($B61:$G61,L$3)+INDEX($B61:$G61,L$4),"E","N","O","I")</f>
        <v>O</v>
      </c>
      <c r="M61" s="2" t="str">
        <f aca="false">CHOOSE(1+2*INDEX($B61:$G61,M$3)+INDEX($B61:$G61,M$4),"E","N","O","I")</f>
        <v>N</v>
      </c>
      <c r="N61" s="2" t="str">
        <f aca="false">CHOOSE(1+2*INDEX($B61:$G61,N$3)+INDEX($B61:$G61,N$4),"E","N","O","I")</f>
        <v>I</v>
      </c>
      <c r="O61" s="2" t="str">
        <f aca="false">CHOOSE(1+2*INDEX($B61:$G61,O$3)+INDEX($B61:$G61,O$4),"E","N","O","I")</f>
        <v>I</v>
      </c>
      <c r="P61" s="2" t="str">
        <f aca="false">CHOOSE(1+2*INDEX($B61:$G61,P$3)+INDEX($B61:$G61,P$4),"E","N","O","I")</f>
        <v>I</v>
      </c>
      <c r="Q61" s="18" t="n">
        <f aca="false">COUNTIF($H61:$P61,"I")</f>
        <v>7</v>
      </c>
      <c r="R61" s="18" t="n">
        <f aca="false">COUNTIF($H61:$P61,"N")</f>
        <v>1</v>
      </c>
      <c r="S61" s="18" t="n">
        <f aca="false">COUNTIF($H61:$P61,"O")</f>
        <v>1</v>
      </c>
      <c r="T61" s="18" t="n">
        <f aca="false">COUNTIF($H61:$P61,"E")</f>
        <v>0</v>
      </c>
      <c r="U61" s="18" t="n">
        <f aca="false">SUM(Q61:T61)</f>
        <v>9</v>
      </c>
      <c r="V61" s="2" t="str">
        <f aca="false">H61&amp;I61&amp;J61&amp;K61&amp;L61&amp;M61&amp;N61&amp;O61&amp;P61</f>
        <v>IIIIONIII</v>
      </c>
      <c r="W61" s="2" t="str">
        <f aca="false">IF(Declarations!$E$29="goods",H61,"")&amp;IF(Declarations!$E$30="goods",I61,"")&amp;IF(Declarations!$E$31="goods",J61,"")&amp;IF(Declarations!$E$32="goods",K61,"")&amp;IF(Declarations!$E$33="goods",L61,"")&amp;IF(Declarations!$E$34="goods",M61,"")&amp;IF(Declarations!$E$35="goods",N61,"")&amp;IF(Declarations!$E$36="goods",O61,"")&amp;IF(Declarations!$E$37="goods",P61,"")</f>
        <v>IIO</v>
      </c>
      <c r="X61" s="2" t="str">
        <f aca="false">IF(Declarations!$E$29="capital",H61,"")&amp;IF(Declarations!$E$30="capital",I61,"")&amp;IF(Declarations!$E$31="capital",J61,"")&amp;IF(Declarations!$E$32="capital",K61,"")&amp;IF(Declarations!$E$33="capital",L61,"")&amp;IF(Declarations!$E$34="capital",M61,"")&amp;IF(Declarations!$E$35="capital",N61,"")&amp;IF(Declarations!$E$36="capital",O61,"")&amp;IF(Declarations!$E$37="capital",P61,"")</f>
        <v>IINI</v>
      </c>
      <c r="Y61" s="2" t="str">
        <f aca="false">IF(Declarations!$E$29="information",H61,"")&amp;IF(Declarations!$E$30="information",I61,"")&amp;IF(Declarations!$E$31="information",J61,"")&amp;IF(Declarations!$E$32="information",K61,"")&amp;IF(Declarations!$E$33="information",L61,"")&amp;IF(Declarations!$E$34="information",M61,"")&amp;IF(Declarations!$E$35="information",N61,"")&amp;IF(Declarations!$E$36="information",O61,"")&amp;IF(Declarations!$E$37="information",P61,"")</f>
        <v>II</v>
      </c>
    </row>
    <row r="62" customFormat="false" ht="15" hidden="false" customHeight="false" outlineLevel="0" collapsed="false">
      <c r="A62" s="18" t="n">
        <v>56</v>
      </c>
      <c r="B62" s="18" t="n">
        <f aca="false">MOD(INT($A62/2^0),2)</f>
        <v>0</v>
      </c>
      <c r="C62" s="18" t="n">
        <f aca="false">MOD(INT($A62/2^1),2)</f>
        <v>0</v>
      </c>
      <c r="D62" s="18" t="n">
        <f aca="false">MOD(INT($A62/2^2),2)</f>
        <v>0</v>
      </c>
      <c r="E62" s="18" t="n">
        <f aca="false">MOD(INT($A62/2^3),2)</f>
        <v>1</v>
      </c>
      <c r="F62" s="18" t="n">
        <f aca="false">MOD(INT($A62/2^4),2)</f>
        <v>1</v>
      </c>
      <c r="G62" s="18" t="n">
        <f aca="false">MOD(INT($A62/2^5),2)</f>
        <v>1</v>
      </c>
      <c r="H62" s="2" t="str">
        <f aca="false">CHOOSE(1+2*INDEX($B62:$G62,H$3)+INDEX($B62:$G62,H$4),"E","N","O","I")</f>
        <v>E</v>
      </c>
      <c r="I62" s="2" t="str">
        <f aca="false">CHOOSE(1+2*INDEX($B62:$G62,I$3)+INDEX($B62:$G62,I$4),"E","N","O","I")</f>
        <v>E</v>
      </c>
      <c r="J62" s="2" t="str">
        <f aca="false">CHOOSE(1+2*INDEX($B62:$G62,J$3)+INDEX($B62:$G62,J$4),"E","N","O","I")</f>
        <v>E</v>
      </c>
      <c r="K62" s="2" t="str">
        <f aca="false">CHOOSE(1+2*INDEX($B62:$G62,K$3)+INDEX($B62:$G62,K$4),"E","N","O","I")</f>
        <v>E</v>
      </c>
      <c r="L62" s="2" t="str">
        <f aca="false">CHOOSE(1+2*INDEX($B62:$G62,L$3)+INDEX($B62:$G62,L$4),"E","N","O","I")</f>
        <v>N</v>
      </c>
      <c r="M62" s="2" t="str">
        <f aca="false">CHOOSE(1+2*INDEX($B62:$G62,M$3)+INDEX($B62:$G62,M$4),"E","N","O","I")</f>
        <v>O</v>
      </c>
      <c r="N62" s="2" t="str">
        <f aca="false">CHOOSE(1+2*INDEX($B62:$G62,N$3)+INDEX($B62:$G62,N$4),"E","N","O","I")</f>
        <v>E</v>
      </c>
      <c r="O62" s="2" t="str">
        <f aca="false">CHOOSE(1+2*INDEX($B62:$G62,O$3)+INDEX($B62:$G62,O$4),"E","N","O","I")</f>
        <v>O</v>
      </c>
      <c r="P62" s="2" t="str">
        <f aca="false">CHOOSE(1+2*INDEX($B62:$G62,P$3)+INDEX($B62:$G62,P$4),"E","N","O","I")</f>
        <v>O</v>
      </c>
      <c r="Q62" s="18" t="n">
        <f aca="false">COUNTIF($H62:$P62,"I")</f>
        <v>0</v>
      </c>
      <c r="R62" s="18" t="n">
        <f aca="false">COUNTIF($H62:$P62,"N")</f>
        <v>1</v>
      </c>
      <c r="S62" s="18" t="n">
        <f aca="false">COUNTIF($H62:$P62,"O")</f>
        <v>3</v>
      </c>
      <c r="T62" s="18" t="n">
        <f aca="false">COUNTIF($H62:$P62,"E")</f>
        <v>5</v>
      </c>
      <c r="U62" s="18" t="n">
        <f aca="false">SUM(Q62:T62)</f>
        <v>9</v>
      </c>
      <c r="V62" s="2" t="str">
        <f aca="false">H62&amp;I62&amp;J62&amp;K62&amp;L62&amp;M62&amp;N62&amp;O62&amp;P62</f>
        <v>EEEENOEOO</v>
      </c>
      <c r="W62" s="2" t="str">
        <f aca="false">IF(Declarations!$E$29="goods",H62,"")&amp;IF(Declarations!$E$30="goods",I62,"")&amp;IF(Declarations!$E$31="goods",J62,"")&amp;IF(Declarations!$E$32="goods",K62,"")&amp;IF(Declarations!$E$33="goods",L62,"")&amp;IF(Declarations!$E$34="goods",M62,"")&amp;IF(Declarations!$E$35="goods",N62,"")&amp;IF(Declarations!$E$36="goods",O62,"")&amp;IF(Declarations!$E$37="goods",P62,"")</f>
        <v>EEN</v>
      </c>
      <c r="X62" s="2" t="str">
        <f aca="false">IF(Declarations!$E$29="capital",H62,"")&amp;IF(Declarations!$E$30="capital",I62,"")&amp;IF(Declarations!$E$31="capital",J62,"")&amp;IF(Declarations!$E$32="capital",K62,"")&amp;IF(Declarations!$E$33="capital",L62,"")&amp;IF(Declarations!$E$34="capital",M62,"")&amp;IF(Declarations!$E$35="capital",N62,"")&amp;IF(Declarations!$E$36="capital",O62,"")&amp;IF(Declarations!$E$37="capital",P62,"")</f>
        <v>EEOO</v>
      </c>
      <c r="Y62" s="2" t="str">
        <f aca="false">IF(Declarations!$E$29="information",H62,"")&amp;IF(Declarations!$E$30="information",I62,"")&amp;IF(Declarations!$E$31="information",J62,"")&amp;IF(Declarations!$E$32="information",K62,"")&amp;IF(Declarations!$E$33="information",L62,"")&amp;IF(Declarations!$E$34="information",M62,"")&amp;IF(Declarations!$E$35="information",N62,"")&amp;IF(Declarations!$E$36="information",O62,"")&amp;IF(Declarations!$E$37="information",P62,"")</f>
        <v>EO</v>
      </c>
    </row>
    <row r="63" customFormat="false" ht="15" hidden="false" customHeight="false" outlineLevel="0" collapsed="false">
      <c r="A63" s="18" t="n">
        <v>57</v>
      </c>
      <c r="B63" s="18" t="n">
        <f aca="false">MOD(INT($A63/2^0),2)</f>
        <v>1</v>
      </c>
      <c r="C63" s="18" t="n">
        <f aca="false">MOD(INT($A63/2^1),2)</f>
        <v>0</v>
      </c>
      <c r="D63" s="18" t="n">
        <f aca="false">MOD(INT($A63/2^2),2)</f>
        <v>0</v>
      </c>
      <c r="E63" s="18" t="n">
        <f aca="false">MOD(INT($A63/2^3),2)</f>
        <v>1</v>
      </c>
      <c r="F63" s="18" t="n">
        <f aca="false">MOD(INT($A63/2^4),2)</f>
        <v>1</v>
      </c>
      <c r="G63" s="18" t="n">
        <f aca="false">MOD(INT($A63/2^5),2)</f>
        <v>1</v>
      </c>
      <c r="H63" s="2" t="str">
        <f aca="false">CHOOSE(1+2*INDEX($B63:$G63,H$3)+INDEX($B63:$G63,H$4),"E","N","O","I")</f>
        <v>O</v>
      </c>
      <c r="I63" s="2" t="str">
        <f aca="false">CHOOSE(1+2*INDEX($B63:$G63,I$3)+INDEX($B63:$G63,I$4),"E","N","O","I")</f>
        <v>N</v>
      </c>
      <c r="J63" s="2" t="str">
        <f aca="false">CHOOSE(1+2*INDEX($B63:$G63,J$3)+INDEX($B63:$G63,J$4),"E","N","O","I")</f>
        <v>E</v>
      </c>
      <c r="K63" s="2" t="str">
        <f aca="false">CHOOSE(1+2*INDEX($B63:$G63,K$3)+INDEX($B63:$G63,K$4),"E","N","O","I")</f>
        <v>E</v>
      </c>
      <c r="L63" s="2" t="str">
        <f aca="false">CHOOSE(1+2*INDEX($B63:$G63,L$3)+INDEX($B63:$G63,L$4),"E","N","O","I")</f>
        <v>N</v>
      </c>
      <c r="M63" s="2" t="str">
        <f aca="false">CHOOSE(1+2*INDEX($B63:$G63,M$3)+INDEX($B63:$G63,M$4),"E","N","O","I")</f>
        <v>O</v>
      </c>
      <c r="N63" s="2" t="str">
        <f aca="false">CHOOSE(1+2*INDEX($B63:$G63,N$3)+INDEX($B63:$G63,N$4),"E","N","O","I")</f>
        <v>E</v>
      </c>
      <c r="O63" s="2" t="str">
        <f aca="false">CHOOSE(1+2*INDEX($B63:$G63,O$3)+INDEX($B63:$G63,O$4),"E","N","O","I")</f>
        <v>O</v>
      </c>
      <c r="P63" s="2" t="str">
        <f aca="false">CHOOSE(1+2*INDEX($B63:$G63,P$3)+INDEX($B63:$G63,P$4),"E","N","O","I")</f>
        <v>O</v>
      </c>
      <c r="Q63" s="18" t="n">
        <f aca="false">COUNTIF($H63:$P63,"I")</f>
        <v>0</v>
      </c>
      <c r="R63" s="18" t="n">
        <f aca="false">COUNTIF($H63:$P63,"N")</f>
        <v>2</v>
      </c>
      <c r="S63" s="18" t="n">
        <f aca="false">COUNTIF($H63:$P63,"O")</f>
        <v>4</v>
      </c>
      <c r="T63" s="18" t="n">
        <f aca="false">COUNTIF($H63:$P63,"E")</f>
        <v>3</v>
      </c>
      <c r="U63" s="18" t="n">
        <f aca="false">SUM(Q63:T63)</f>
        <v>9</v>
      </c>
      <c r="V63" s="2" t="str">
        <f aca="false">H63&amp;I63&amp;J63&amp;K63&amp;L63&amp;M63&amp;N63&amp;O63&amp;P63</f>
        <v>ONEENOEOO</v>
      </c>
      <c r="W63" s="2" t="str">
        <f aca="false">IF(Declarations!$E$29="goods",H63,"")&amp;IF(Declarations!$E$30="goods",I63,"")&amp;IF(Declarations!$E$31="goods",J63,"")&amp;IF(Declarations!$E$32="goods",K63,"")&amp;IF(Declarations!$E$33="goods",L63,"")&amp;IF(Declarations!$E$34="goods",M63,"")&amp;IF(Declarations!$E$35="goods",N63,"")&amp;IF(Declarations!$E$36="goods",O63,"")&amp;IF(Declarations!$E$37="goods",P63,"")</f>
        <v>OEN</v>
      </c>
      <c r="X63" s="2" t="str">
        <f aca="false">IF(Declarations!$E$29="capital",H63,"")&amp;IF(Declarations!$E$30="capital",I63,"")&amp;IF(Declarations!$E$31="capital",J63,"")&amp;IF(Declarations!$E$32="capital",K63,"")&amp;IF(Declarations!$E$33="capital",L63,"")&amp;IF(Declarations!$E$34="capital",M63,"")&amp;IF(Declarations!$E$35="capital",N63,"")&amp;IF(Declarations!$E$36="capital",O63,"")&amp;IF(Declarations!$E$37="capital",P63,"")</f>
        <v>NEOO</v>
      </c>
      <c r="Y63" s="2" t="str">
        <f aca="false">IF(Declarations!$E$29="information",H63,"")&amp;IF(Declarations!$E$30="information",I63,"")&amp;IF(Declarations!$E$31="information",J63,"")&amp;IF(Declarations!$E$32="information",K63,"")&amp;IF(Declarations!$E$33="information",L63,"")&amp;IF(Declarations!$E$34="information",M63,"")&amp;IF(Declarations!$E$35="information",N63,"")&amp;IF(Declarations!$E$36="information",O63,"")&amp;IF(Declarations!$E$37="information",P63,"")</f>
        <v>EO</v>
      </c>
    </row>
    <row r="64" customFormat="false" ht="15" hidden="false" customHeight="false" outlineLevel="0" collapsed="false">
      <c r="A64" s="18" t="n">
        <v>58</v>
      </c>
      <c r="B64" s="18" t="n">
        <f aca="false">MOD(INT($A64/2^0),2)</f>
        <v>0</v>
      </c>
      <c r="C64" s="18" t="n">
        <f aca="false">MOD(INT($A64/2^1),2)</f>
        <v>1</v>
      </c>
      <c r="D64" s="18" t="n">
        <f aca="false">MOD(INT($A64/2^2),2)</f>
        <v>0</v>
      </c>
      <c r="E64" s="18" t="n">
        <f aca="false">MOD(INT($A64/2^3),2)</f>
        <v>1</v>
      </c>
      <c r="F64" s="18" t="n">
        <f aca="false">MOD(INT($A64/2^4),2)</f>
        <v>1</v>
      </c>
      <c r="G64" s="18" t="n">
        <f aca="false">MOD(INT($A64/2^5),2)</f>
        <v>1</v>
      </c>
      <c r="H64" s="2" t="str">
        <f aca="false">CHOOSE(1+2*INDEX($B64:$G64,H$3)+INDEX($B64:$G64,H$4),"E","N","O","I")</f>
        <v>N</v>
      </c>
      <c r="I64" s="2" t="str">
        <f aca="false">CHOOSE(1+2*INDEX($B64:$G64,I$3)+INDEX($B64:$G64,I$4),"E","N","O","I")</f>
        <v>O</v>
      </c>
      <c r="J64" s="2" t="str">
        <f aca="false">CHOOSE(1+2*INDEX($B64:$G64,J$3)+INDEX($B64:$G64,J$4),"E","N","O","I")</f>
        <v>O</v>
      </c>
      <c r="K64" s="2" t="str">
        <f aca="false">CHOOSE(1+2*INDEX($B64:$G64,K$3)+INDEX($B64:$G64,K$4),"E","N","O","I")</f>
        <v>N</v>
      </c>
      <c r="L64" s="2" t="str">
        <f aca="false">CHOOSE(1+2*INDEX($B64:$G64,L$3)+INDEX($B64:$G64,L$4),"E","N","O","I")</f>
        <v>N</v>
      </c>
      <c r="M64" s="2" t="str">
        <f aca="false">CHOOSE(1+2*INDEX($B64:$G64,M$3)+INDEX($B64:$G64,M$4),"E","N","O","I")</f>
        <v>O</v>
      </c>
      <c r="N64" s="2" t="str">
        <f aca="false">CHOOSE(1+2*INDEX($B64:$G64,N$3)+INDEX($B64:$G64,N$4),"E","N","O","I")</f>
        <v>N</v>
      </c>
      <c r="O64" s="2" t="str">
        <f aca="false">CHOOSE(1+2*INDEX($B64:$G64,O$3)+INDEX($B64:$G64,O$4),"E","N","O","I")</f>
        <v>I</v>
      </c>
      <c r="P64" s="2" t="str">
        <f aca="false">CHOOSE(1+2*INDEX($B64:$G64,P$3)+INDEX($B64:$G64,P$4),"E","N","O","I")</f>
        <v>I</v>
      </c>
      <c r="Q64" s="18" t="n">
        <f aca="false">COUNTIF($H64:$P64,"I")</f>
        <v>2</v>
      </c>
      <c r="R64" s="18" t="n">
        <f aca="false">COUNTIF($H64:$P64,"N")</f>
        <v>4</v>
      </c>
      <c r="S64" s="18" t="n">
        <f aca="false">COUNTIF($H64:$P64,"O")</f>
        <v>3</v>
      </c>
      <c r="T64" s="18" t="n">
        <f aca="false">COUNTIF($H64:$P64,"E")</f>
        <v>0</v>
      </c>
      <c r="U64" s="18" t="n">
        <f aca="false">SUM(Q64:T64)</f>
        <v>9</v>
      </c>
      <c r="V64" s="2" t="str">
        <f aca="false">H64&amp;I64&amp;J64&amp;K64&amp;L64&amp;M64&amp;N64&amp;O64&amp;P64</f>
        <v>NOONNONII</v>
      </c>
      <c r="W64" s="2" t="str">
        <f aca="false">IF(Declarations!$E$29="goods",H64,"")&amp;IF(Declarations!$E$30="goods",I64,"")&amp;IF(Declarations!$E$31="goods",J64,"")&amp;IF(Declarations!$E$32="goods",K64,"")&amp;IF(Declarations!$E$33="goods",L64,"")&amp;IF(Declarations!$E$34="goods",M64,"")&amp;IF(Declarations!$E$35="goods",N64,"")&amp;IF(Declarations!$E$36="goods",O64,"")&amp;IF(Declarations!$E$37="goods",P64,"")</f>
        <v>NON</v>
      </c>
      <c r="X64" s="2" t="str">
        <f aca="false">IF(Declarations!$E$29="capital",H64,"")&amp;IF(Declarations!$E$30="capital",I64,"")&amp;IF(Declarations!$E$31="capital",J64,"")&amp;IF(Declarations!$E$32="capital",K64,"")&amp;IF(Declarations!$E$33="capital",L64,"")&amp;IF(Declarations!$E$34="capital",M64,"")&amp;IF(Declarations!$E$35="capital",N64,"")&amp;IF(Declarations!$E$36="capital",O64,"")&amp;IF(Declarations!$E$37="capital",P64,"")</f>
        <v>ONOI</v>
      </c>
      <c r="Y64" s="2" t="str">
        <f aca="false">IF(Declarations!$E$29="information",H64,"")&amp;IF(Declarations!$E$30="information",I64,"")&amp;IF(Declarations!$E$31="information",J64,"")&amp;IF(Declarations!$E$32="information",K64,"")&amp;IF(Declarations!$E$33="information",L64,"")&amp;IF(Declarations!$E$34="information",M64,"")&amp;IF(Declarations!$E$35="information",N64,"")&amp;IF(Declarations!$E$36="information",O64,"")&amp;IF(Declarations!$E$37="information",P64,"")</f>
        <v>NI</v>
      </c>
    </row>
    <row r="65" customFormat="false" ht="15" hidden="false" customHeight="false" outlineLevel="0" collapsed="false">
      <c r="A65" s="18" t="n">
        <v>59</v>
      </c>
      <c r="B65" s="18" t="n">
        <f aca="false">MOD(INT($A65/2^0),2)</f>
        <v>1</v>
      </c>
      <c r="C65" s="18" t="n">
        <f aca="false">MOD(INT($A65/2^1),2)</f>
        <v>1</v>
      </c>
      <c r="D65" s="18" t="n">
        <f aca="false">MOD(INT($A65/2^2),2)</f>
        <v>0</v>
      </c>
      <c r="E65" s="18" t="n">
        <f aca="false">MOD(INT($A65/2^3),2)</f>
        <v>1</v>
      </c>
      <c r="F65" s="18" t="n">
        <f aca="false">MOD(INT($A65/2^4),2)</f>
        <v>1</v>
      </c>
      <c r="G65" s="18" t="n">
        <f aca="false">MOD(INT($A65/2^5),2)</f>
        <v>1</v>
      </c>
      <c r="H65" s="2" t="str">
        <f aca="false">CHOOSE(1+2*INDEX($B65:$G65,H$3)+INDEX($B65:$G65,H$4),"E","N","O","I")</f>
        <v>I</v>
      </c>
      <c r="I65" s="2" t="str">
        <f aca="false">CHOOSE(1+2*INDEX($B65:$G65,I$3)+INDEX($B65:$G65,I$4),"E","N","O","I")</f>
        <v>I</v>
      </c>
      <c r="J65" s="2" t="str">
        <f aca="false">CHOOSE(1+2*INDEX($B65:$G65,J$3)+INDEX($B65:$G65,J$4),"E","N","O","I")</f>
        <v>O</v>
      </c>
      <c r="K65" s="2" t="str">
        <f aca="false">CHOOSE(1+2*INDEX($B65:$G65,K$3)+INDEX($B65:$G65,K$4),"E","N","O","I")</f>
        <v>N</v>
      </c>
      <c r="L65" s="2" t="str">
        <f aca="false">CHOOSE(1+2*INDEX($B65:$G65,L$3)+INDEX($B65:$G65,L$4),"E","N","O","I")</f>
        <v>N</v>
      </c>
      <c r="M65" s="2" t="str">
        <f aca="false">CHOOSE(1+2*INDEX($B65:$G65,M$3)+INDEX($B65:$G65,M$4),"E","N","O","I")</f>
        <v>O</v>
      </c>
      <c r="N65" s="2" t="str">
        <f aca="false">CHOOSE(1+2*INDEX($B65:$G65,N$3)+INDEX($B65:$G65,N$4),"E","N","O","I")</f>
        <v>N</v>
      </c>
      <c r="O65" s="2" t="str">
        <f aca="false">CHOOSE(1+2*INDEX($B65:$G65,O$3)+INDEX($B65:$G65,O$4),"E","N","O","I")</f>
        <v>I</v>
      </c>
      <c r="P65" s="2" t="str">
        <f aca="false">CHOOSE(1+2*INDEX($B65:$G65,P$3)+INDEX($B65:$G65,P$4),"E","N","O","I")</f>
        <v>I</v>
      </c>
      <c r="Q65" s="18" t="n">
        <f aca="false">COUNTIF($H65:$P65,"I")</f>
        <v>4</v>
      </c>
      <c r="R65" s="18" t="n">
        <f aca="false">COUNTIF($H65:$P65,"N")</f>
        <v>3</v>
      </c>
      <c r="S65" s="18" t="n">
        <f aca="false">COUNTIF($H65:$P65,"O")</f>
        <v>2</v>
      </c>
      <c r="T65" s="18" t="n">
        <f aca="false">COUNTIF($H65:$P65,"E")</f>
        <v>0</v>
      </c>
      <c r="U65" s="18" t="n">
        <f aca="false">SUM(Q65:T65)</f>
        <v>9</v>
      </c>
      <c r="V65" s="2" t="str">
        <f aca="false">H65&amp;I65&amp;J65&amp;K65&amp;L65&amp;M65&amp;N65&amp;O65&amp;P65</f>
        <v>IIONNONII</v>
      </c>
      <c r="W65" s="2" t="str">
        <f aca="false">IF(Declarations!$E$29="goods",H65,"")&amp;IF(Declarations!$E$30="goods",I65,"")&amp;IF(Declarations!$E$31="goods",J65,"")&amp;IF(Declarations!$E$32="goods",K65,"")&amp;IF(Declarations!$E$33="goods",L65,"")&amp;IF(Declarations!$E$34="goods",M65,"")&amp;IF(Declarations!$E$35="goods",N65,"")&amp;IF(Declarations!$E$36="goods",O65,"")&amp;IF(Declarations!$E$37="goods",P65,"")</f>
        <v>ION</v>
      </c>
      <c r="X65" s="2" t="str">
        <f aca="false">IF(Declarations!$E$29="capital",H65,"")&amp;IF(Declarations!$E$30="capital",I65,"")&amp;IF(Declarations!$E$31="capital",J65,"")&amp;IF(Declarations!$E$32="capital",K65,"")&amp;IF(Declarations!$E$33="capital",L65,"")&amp;IF(Declarations!$E$34="capital",M65,"")&amp;IF(Declarations!$E$35="capital",N65,"")&amp;IF(Declarations!$E$36="capital",O65,"")&amp;IF(Declarations!$E$37="capital",P65,"")</f>
        <v>INOI</v>
      </c>
      <c r="Y65" s="2" t="str">
        <f aca="false">IF(Declarations!$E$29="information",H65,"")&amp;IF(Declarations!$E$30="information",I65,"")&amp;IF(Declarations!$E$31="information",J65,"")&amp;IF(Declarations!$E$32="information",K65,"")&amp;IF(Declarations!$E$33="information",L65,"")&amp;IF(Declarations!$E$34="information",M65,"")&amp;IF(Declarations!$E$35="information",N65,"")&amp;IF(Declarations!$E$36="information",O65,"")&amp;IF(Declarations!$E$37="information",P65,"")</f>
        <v>NI</v>
      </c>
    </row>
    <row r="66" customFormat="false" ht="15" hidden="false" customHeight="false" outlineLevel="0" collapsed="false">
      <c r="A66" s="18" t="n">
        <v>60</v>
      </c>
      <c r="B66" s="18" t="n">
        <f aca="false">MOD(INT($A66/2^0),2)</f>
        <v>0</v>
      </c>
      <c r="C66" s="18" t="n">
        <f aca="false">MOD(INT($A66/2^1),2)</f>
        <v>0</v>
      </c>
      <c r="D66" s="18" t="n">
        <f aca="false">MOD(INT($A66/2^2),2)</f>
        <v>1</v>
      </c>
      <c r="E66" s="18" t="n">
        <f aca="false">MOD(INT($A66/2^3),2)</f>
        <v>1</v>
      </c>
      <c r="F66" s="18" t="n">
        <f aca="false">MOD(INT($A66/2^4),2)</f>
        <v>1</v>
      </c>
      <c r="G66" s="18" t="n">
        <f aca="false">MOD(INT($A66/2^5),2)</f>
        <v>1</v>
      </c>
      <c r="H66" s="2" t="str">
        <f aca="false">CHOOSE(1+2*INDEX($B66:$G66,H$3)+INDEX($B66:$G66,H$4),"E","N","O","I")</f>
        <v>E</v>
      </c>
      <c r="I66" s="2" t="str">
        <f aca="false">CHOOSE(1+2*INDEX($B66:$G66,I$3)+INDEX($B66:$G66,I$4),"E","N","O","I")</f>
        <v>E</v>
      </c>
      <c r="J66" s="2" t="str">
        <f aca="false">CHOOSE(1+2*INDEX($B66:$G66,J$3)+INDEX($B66:$G66,J$4),"E","N","O","I")</f>
        <v>N</v>
      </c>
      <c r="K66" s="2" t="str">
        <f aca="false">CHOOSE(1+2*INDEX($B66:$G66,K$3)+INDEX($B66:$G66,K$4),"E","N","O","I")</f>
        <v>O</v>
      </c>
      <c r="L66" s="2" t="str">
        <f aca="false">CHOOSE(1+2*INDEX($B66:$G66,L$3)+INDEX($B66:$G66,L$4),"E","N","O","I")</f>
        <v>I</v>
      </c>
      <c r="M66" s="2" t="str">
        <f aca="false">CHOOSE(1+2*INDEX($B66:$G66,M$3)+INDEX($B66:$G66,M$4),"E","N","O","I")</f>
        <v>I</v>
      </c>
      <c r="N66" s="2" t="str">
        <f aca="false">CHOOSE(1+2*INDEX($B66:$G66,N$3)+INDEX($B66:$G66,N$4),"E","N","O","I")</f>
        <v>O</v>
      </c>
      <c r="O66" s="2" t="str">
        <f aca="false">CHOOSE(1+2*INDEX($B66:$G66,O$3)+INDEX($B66:$G66,O$4),"E","N","O","I")</f>
        <v>O</v>
      </c>
      <c r="P66" s="2" t="str">
        <f aca="false">CHOOSE(1+2*INDEX($B66:$G66,P$3)+INDEX($B66:$G66,P$4),"E","N","O","I")</f>
        <v>O</v>
      </c>
      <c r="Q66" s="18" t="n">
        <f aca="false">COUNTIF($H66:$P66,"I")</f>
        <v>2</v>
      </c>
      <c r="R66" s="18" t="n">
        <f aca="false">COUNTIF($H66:$P66,"N")</f>
        <v>1</v>
      </c>
      <c r="S66" s="18" t="n">
        <f aca="false">COUNTIF($H66:$P66,"O")</f>
        <v>4</v>
      </c>
      <c r="T66" s="18" t="n">
        <f aca="false">COUNTIF($H66:$P66,"E")</f>
        <v>2</v>
      </c>
      <c r="U66" s="18" t="n">
        <f aca="false">SUM(Q66:T66)</f>
        <v>9</v>
      </c>
      <c r="V66" s="2" t="str">
        <f aca="false">H66&amp;I66&amp;J66&amp;K66&amp;L66&amp;M66&amp;N66&amp;O66&amp;P66</f>
        <v>EENOIIOOO</v>
      </c>
      <c r="W66" s="2" t="str">
        <f aca="false">IF(Declarations!$E$29="goods",H66,"")&amp;IF(Declarations!$E$30="goods",I66,"")&amp;IF(Declarations!$E$31="goods",J66,"")&amp;IF(Declarations!$E$32="goods",K66,"")&amp;IF(Declarations!$E$33="goods",L66,"")&amp;IF(Declarations!$E$34="goods",M66,"")&amp;IF(Declarations!$E$35="goods",N66,"")&amp;IF(Declarations!$E$36="goods",O66,"")&amp;IF(Declarations!$E$37="goods",P66,"")</f>
        <v>ENI</v>
      </c>
      <c r="X66" s="2" t="str">
        <f aca="false">IF(Declarations!$E$29="capital",H66,"")&amp;IF(Declarations!$E$30="capital",I66,"")&amp;IF(Declarations!$E$31="capital",J66,"")&amp;IF(Declarations!$E$32="capital",K66,"")&amp;IF(Declarations!$E$33="capital",L66,"")&amp;IF(Declarations!$E$34="capital",M66,"")&amp;IF(Declarations!$E$35="capital",N66,"")&amp;IF(Declarations!$E$36="capital",O66,"")&amp;IF(Declarations!$E$37="capital",P66,"")</f>
        <v>EOIO</v>
      </c>
      <c r="Y66" s="2" t="str">
        <f aca="false">IF(Declarations!$E$29="information",H66,"")&amp;IF(Declarations!$E$30="information",I66,"")&amp;IF(Declarations!$E$31="information",J66,"")&amp;IF(Declarations!$E$32="information",K66,"")&amp;IF(Declarations!$E$33="information",L66,"")&amp;IF(Declarations!$E$34="information",M66,"")&amp;IF(Declarations!$E$35="information",N66,"")&amp;IF(Declarations!$E$36="information",O66,"")&amp;IF(Declarations!$E$37="information",P66,"")</f>
        <v>OO</v>
      </c>
    </row>
    <row r="67" customFormat="false" ht="15" hidden="false" customHeight="false" outlineLevel="0" collapsed="false">
      <c r="A67" s="18" t="n">
        <v>61</v>
      </c>
      <c r="B67" s="18" t="n">
        <f aca="false">MOD(INT($A67/2^0),2)</f>
        <v>1</v>
      </c>
      <c r="C67" s="18" t="n">
        <f aca="false">MOD(INT($A67/2^1),2)</f>
        <v>0</v>
      </c>
      <c r="D67" s="18" t="n">
        <f aca="false">MOD(INT($A67/2^2),2)</f>
        <v>1</v>
      </c>
      <c r="E67" s="18" t="n">
        <f aca="false">MOD(INT($A67/2^3),2)</f>
        <v>1</v>
      </c>
      <c r="F67" s="18" t="n">
        <f aca="false">MOD(INT($A67/2^4),2)</f>
        <v>1</v>
      </c>
      <c r="G67" s="18" t="n">
        <f aca="false">MOD(INT($A67/2^5),2)</f>
        <v>1</v>
      </c>
      <c r="H67" s="2" t="str">
        <f aca="false">CHOOSE(1+2*INDEX($B67:$G67,H$3)+INDEX($B67:$G67,H$4),"E","N","O","I")</f>
        <v>O</v>
      </c>
      <c r="I67" s="2" t="str">
        <f aca="false">CHOOSE(1+2*INDEX($B67:$G67,I$3)+INDEX($B67:$G67,I$4),"E","N","O","I")</f>
        <v>N</v>
      </c>
      <c r="J67" s="2" t="str">
        <f aca="false">CHOOSE(1+2*INDEX($B67:$G67,J$3)+INDEX($B67:$G67,J$4),"E","N","O","I")</f>
        <v>N</v>
      </c>
      <c r="K67" s="2" t="str">
        <f aca="false">CHOOSE(1+2*INDEX($B67:$G67,K$3)+INDEX($B67:$G67,K$4),"E","N","O","I")</f>
        <v>O</v>
      </c>
      <c r="L67" s="2" t="str">
        <f aca="false">CHOOSE(1+2*INDEX($B67:$G67,L$3)+INDEX($B67:$G67,L$4),"E","N","O","I")</f>
        <v>I</v>
      </c>
      <c r="M67" s="2" t="str">
        <f aca="false">CHOOSE(1+2*INDEX($B67:$G67,M$3)+INDEX($B67:$G67,M$4),"E","N","O","I")</f>
        <v>I</v>
      </c>
      <c r="N67" s="2" t="str">
        <f aca="false">CHOOSE(1+2*INDEX($B67:$G67,N$3)+INDEX($B67:$G67,N$4),"E","N","O","I")</f>
        <v>O</v>
      </c>
      <c r="O67" s="2" t="str">
        <f aca="false">CHOOSE(1+2*INDEX($B67:$G67,O$3)+INDEX($B67:$G67,O$4),"E","N","O","I")</f>
        <v>O</v>
      </c>
      <c r="P67" s="2" t="str">
        <f aca="false">CHOOSE(1+2*INDEX($B67:$G67,P$3)+INDEX($B67:$G67,P$4),"E","N","O","I")</f>
        <v>O</v>
      </c>
      <c r="Q67" s="18" t="n">
        <f aca="false">COUNTIF($H67:$P67,"I")</f>
        <v>2</v>
      </c>
      <c r="R67" s="18" t="n">
        <f aca="false">COUNTIF($H67:$P67,"N")</f>
        <v>2</v>
      </c>
      <c r="S67" s="18" t="n">
        <f aca="false">COUNTIF($H67:$P67,"O")</f>
        <v>5</v>
      </c>
      <c r="T67" s="18" t="n">
        <f aca="false">COUNTIF($H67:$P67,"E")</f>
        <v>0</v>
      </c>
      <c r="U67" s="18" t="n">
        <f aca="false">SUM(Q67:T67)</f>
        <v>9</v>
      </c>
      <c r="V67" s="2" t="str">
        <f aca="false">H67&amp;I67&amp;J67&amp;K67&amp;L67&amp;M67&amp;N67&amp;O67&amp;P67</f>
        <v>ONNOIIOOO</v>
      </c>
      <c r="W67" s="2" t="str">
        <f aca="false">IF(Declarations!$E$29="goods",H67,"")&amp;IF(Declarations!$E$30="goods",I67,"")&amp;IF(Declarations!$E$31="goods",J67,"")&amp;IF(Declarations!$E$32="goods",K67,"")&amp;IF(Declarations!$E$33="goods",L67,"")&amp;IF(Declarations!$E$34="goods",M67,"")&amp;IF(Declarations!$E$35="goods",N67,"")&amp;IF(Declarations!$E$36="goods",O67,"")&amp;IF(Declarations!$E$37="goods",P67,"")</f>
        <v>ONI</v>
      </c>
      <c r="X67" s="2" t="str">
        <f aca="false">IF(Declarations!$E$29="capital",H67,"")&amp;IF(Declarations!$E$30="capital",I67,"")&amp;IF(Declarations!$E$31="capital",J67,"")&amp;IF(Declarations!$E$32="capital",K67,"")&amp;IF(Declarations!$E$33="capital",L67,"")&amp;IF(Declarations!$E$34="capital",M67,"")&amp;IF(Declarations!$E$35="capital",N67,"")&amp;IF(Declarations!$E$36="capital",O67,"")&amp;IF(Declarations!$E$37="capital",P67,"")</f>
        <v>NOIO</v>
      </c>
      <c r="Y67" s="2" t="str">
        <f aca="false">IF(Declarations!$E$29="information",H67,"")&amp;IF(Declarations!$E$30="information",I67,"")&amp;IF(Declarations!$E$31="information",J67,"")&amp;IF(Declarations!$E$32="information",K67,"")&amp;IF(Declarations!$E$33="information",L67,"")&amp;IF(Declarations!$E$34="information",M67,"")&amp;IF(Declarations!$E$35="information",N67,"")&amp;IF(Declarations!$E$36="information",O67,"")&amp;IF(Declarations!$E$37="information",P67,"")</f>
        <v>OO</v>
      </c>
    </row>
    <row r="68" customFormat="false" ht="15" hidden="false" customHeight="false" outlineLevel="0" collapsed="false">
      <c r="A68" s="18" t="n">
        <v>62</v>
      </c>
      <c r="B68" s="18" t="n">
        <f aca="false">MOD(INT($A68/2^0),2)</f>
        <v>0</v>
      </c>
      <c r="C68" s="18" t="n">
        <f aca="false">MOD(INT($A68/2^1),2)</f>
        <v>1</v>
      </c>
      <c r="D68" s="18" t="n">
        <f aca="false">MOD(INT($A68/2^2),2)</f>
        <v>1</v>
      </c>
      <c r="E68" s="18" t="n">
        <f aca="false">MOD(INT($A68/2^3),2)</f>
        <v>1</v>
      </c>
      <c r="F68" s="18" t="n">
        <f aca="false">MOD(INT($A68/2^4),2)</f>
        <v>1</v>
      </c>
      <c r="G68" s="18" t="n">
        <f aca="false">MOD(INT($A68/2^5),2)</f>
        <v>1</v>
      </c>
      <c r="H68" s="2" t="str">
        <f aca="false">CHOOSE(1+2*INDEX($B68:$G68,H$3)+INDEX($B68:$G68,H$4),"E","N","O","I")</f>
        <v>N</v>
      </c>
      <c r="I68" s="2" t="str">
        <f aca="false">CHOOSE(1+2*INDEX($B68:$G68,I$3)+INDEX($B68:$G68,I$4),"E","N","O","I")</f>
        <v>O</v>
      </c>
      <c r="J68" s="2" t="str">
        <f aca="false">CHOOSE(1+2*INDEX($B68:$G68,J$3)+INDEX($B68:$G68,J$4),"E","N","O","I")</f>
        <v>I</v>
      </c>
      <c r="K68" s="2" t="str">
        <f aca="false">CHOOSE(1+2*INDEX($B68:$G68,K$3)+INDEX($B68:$G68,K$4),"E","N","O","I")</f>
        <v>I</v>
      </c>
      <c r="L68" s="2" t="str">
        <f aca="false">CHOOSE(1+2*INDEX($B68:$G68,L$3)+INDEX($B68:$G68,L$4),"E","N","O","I")</f>
        <v>I</v>
      </c>
      <c r="M68" s="2" t="str">
        <f aca="false">CHOOSE(1+2*INDEX($B68:$G68,M$3)+INDEX($B68:$G68,M$4),"E","N","O","I")</f>
        <v>I</v>
      </c>
      <c r="N68" s="2" t="str">
        <f aca="false">CHOOSE(1+2*INDEX($B68:$G68,N$3)+INDEX($B68:$G68,N$4),"E","N","O","I")</f>
        <v>I</v>
      </c>
      <c r="O68" s="2" t="str">
        <f aca="false">CHOOSE(1+2*INDEX($B68:$G68,O$3)+INDEX($B68:$G68,O$4),"E","N","O","I")</f>
        <v>I</v>
      </c>
      <c r="P68" s="2" t="str">
        <f aca="false">CHOOSE(1+2*INDEX($B68:$G68,P$3)+INDEX($B68:$G68,P$4),"E","N","O","I")</f>
        <v>I</v>
      </c>
      <c r="Q68" s="18" t="n">
        <f aca="false">COUNTIF($H68:$P68,"I")</f>
        <v>7</v>
      </c>
      <c r="R68" s="18" t="n">
        <f aca="false">COUNTIF($H68:$P68,"N")</f>
        <v>1</v>
      </c>
      <c r="S68" s="18" t="n">
        <f aca="false">COUNTIF($H68:$P68,"O")</f>
        <v>1</v>
      </c>
      <c r="T68" s="18" t="n">
        <f aca="false">COUNTIF($H68:$P68,"E")</f>
        <v>0</v>
      </c>
      <c r="U68" s="18" t="n">
        <f aca="false">SUM(Q68:T68)</f>
        <v>9</v>
      </c>
      <c r="V68" s="2" t="str">
        <f aca="false">H68&amp;I68&amp;J68&amp;K68&amp;L68&amp;M68&amp;N68&amp;O68&amp;P68</f>
        <v>NOIIIIIII</v>
      </c>
      <c r="W68" s="2" t="str">
        <f aca="false">IF(Declarations!$E$29="goods",H68,"")&amp;IF(Declarations!$E$30="goods",I68,"")&amp;IF(Declarations!$E$31="goods",J68,"")&amp;IF(Declarations!$E$32="goods",K68,"")&amp;IF(Declarations!$E$33="goods",L68,"")&amp;IF(Declarations!$E$34="goods",M68,"")&amp;IF(Declarations!$E$35="goods",N68,"")&amp;IF(Declarations!$E$36="goods",O68,"")&amp;IF(Declarations!$E$37="goods",P68,"")</f>
        <v>NII</v>
      </c>
      <c r="X68" s="2" t="str">
        <f aca="false">IF(Declarations!$E$29="capital",H68,"")&amp;IF(Declarations!$E$30="capital",I68,"")&amp;IF(Declarations!$E$31="capital",J68,"")&amp;IF(Declarations!$E$32="capital",K68,"")&amp;IF(Declarations!$E$33="capital",L68,"")&amp;IF(Declarations!$E$34="capital",M68,"")&amp;IF(Declarations!$E$35="capital",N68,"")&amp;IF(Declarations!$E$36="capital",O68,"")&amp;IF(Declarations!$E$37="capital",P68,"")</f>
        <v>OIII</v>
      </c>
      <c r="Y68" s="2" t="str">
        <f aca="false">IF(Declarations!$E$29="information",H68,"")&amp;IF(Declarations!$E$30="information",I68,"")&amp;IF(Declarations!$E$31="information",J68,"")&amp;IF(Declarations!$E$32="information",K68,"")&amp;IF(Declarations!$E$33="information",L68,"")&amp;IF(Declarations!$E$34="information",M68,"")&amp;IF(Declarations!$E$35="information",N68,"")&amp;IF(Declarations!$E$36="information",O68,"")&amp;IF(Declarations!$E$37="information",P68,"")</f>
        <v>II</v>
      </c>
    </row>
    <row r="69" customFormat="false" ht="15" hidden="false" customHeight="false" outlineLevel="0" collapsed="false">
      <c r="A69" s="18" t="n">
        <v>63</v>
      </c>
      <c r="B69" s="18" t="n">
        <f aca="false">MOD(INT($A69/2^0),2)</f>
        <v>1</v>
      </c>
      <c r="C69" s="18" t="n">
        <f aca="false">MOD(INT($A69/2^1),2)</f>
        <v>1</v>
      </c>
      <c r="D69" s="18" t="n">
        <f aca="false">MOD(INT($A69/2^2),2)</f>
        <v>1</v>
      </c>
      <c r="E69" s="18" t="n">
        <f aca="false">MOD(INT($A69/2^3),2)</f>
        <v>1</v>
      </c>
      <c r="F69" s="18" t="n">
        <f aca="false">MOD(INT($A69/2^4),2)</f>
        <v>1</v>
      </c>
      <c r="G69" s="18" t="n">
        <f aca="false">MOD(INT($A69/2^5),2)</f>
        <v>1</v>
      </c>
      <c r="H69" s="2" t="str">
        <f aca="false">CHOOSE(1+2*INDEX($B69:$G69,H$3)+INDEX($B69:$G69,H$4),"E","N","O","I")</f>
        <v>I</v>
      </c>
      <c r="I69" s="2" t="str">
        <f aca="false">CHOOSE(1+2*INDEX($B69:$G69,I$3)+INDEX($B69:$G69,I$4),"E","N","O","I")</f>
        <v>I</v>
      </c>
      <c r="J69" s="2" t="str">
        <f aca="false">CHOOSE(1+2*INDEX($B69:$G69,J$3)+INDEX($B69:$G69,J$4),"E","N","O","I")</f>
        <v>I</v>
      </c>
      <c r="K69" s="2" t="str">
        <f aca="false">CHOOSE(1+2*INDEX($B69:$G69,K$3)+INDEX($B69:$G69,K$4),"E","N","O","I")</f>
        <v>I</v>
      </c>
      <c r="L69" s="2" t="str">
        <f aca="false">CHOOSE(1+2*INDEX($B69:$G69,L$3)+INDEX($B69:$G69,L$4),"E","N","O","I")</f>
        <v>I</v>
      </c>
      <c r="M69" s="2" t="str">
        <f aca="false">CHOOSE(1+2*INDEX($B69:$G69,M$3)+INDEX($B69:$G69,M$4),"E","N","O","I")</f>
        <v>I</v>
      </c>
      <c r="N69" s="2" t="str">
        <f aca="false">CHOOSE(1+2*INDEX($B69:$G69,N$3)+INDEX($B69:$G69,N$4),"E","N","O","I")</f>
        <v>I</v>
      </c>
      <c r="O69" s="2" t="str">
        <f aca="false">CHOOSE(1+2*INDEX($B69:$G69,O$3)+INDEX($B69:$G69,O$4),"E","N","O","I")</f>
        <v>I</v>
      </c>
      <c r="P69" s="2" t="str">
        <f aca="false">CHOOSE(1+2*INDEX($B69:$G69,P$3)+INDEX($B69:$G69,P$4),"E","N","O","I")</f>
        <v>I</v>
      </c>
      <c r="Q69" s="18" t="n">
        <f aca="false">COUNTIF($H69:$P69,"I")</f>
        <v>9</v>
      </c>
      <c r="R69" s="18" t="n">
        <f aca="false">COUNTIF($H69:$P69,"N")</f>
        <v>0</v>
      </c>
      <c r="S69" s="18" t="n">
        <f aca="false">COUNTIF($H69:$P69,"O")</f>
        <v>0</v>
      </c>
      <c r="T69" s="18" t="n">
        <f aca="false">COUNTIF($H69:$P69,"E")</f>
        <v>0</v>
      </c>
      <c r="U69" s="18" t="n">
        <f aca="false">SUM(Q69:T69)</f>
        <v>9</v>
      </c>
      <c r="V69" s="2" t="str">
        <f aca="false">H69&amp;I69&amp;J69&amp;K69&amp;L69&amp;M69&amp;N69&amp;O69&amp;P69</f>
        <v>IIIIIIIII</v>
      </c>
      <c r="W69" s="2" t="str">
        <f aca="false">IF(Declarations!$E$29="goods",H69,"")&amp;IF(Declarations!$E$30="goods",I69,"")&amp;IF(Declarations!$E$31="goods",J69,"")&amp;IF(Declarations!$E$32="goods",K69,"")&amp;IF(Declarations!$E$33="goods",L69,"")&amp;IF(Declarations!$E$34="goods",M69,"")&amp;IF(Declarations!$E$35="goods",N69,"")&amp;IF(Declarations!$E$36="goods",O69,"")&amp;IF(Declarations!$E$37="goods",P69,"")</f>
        <v>III</v>
      </c>
      <c r="X69" s="2" t="str">
        <f aca="false">IF(Declarations!$E$29="capital",H69,"")&amp;IF(Declarations!$E$30="capital",I69,"")&amp;IF(Declarations!$E$31="capital",J69,"")&amp;IF(Declarations!$E$32="capital",K69,"")&amp;IF(Declarations!$E$33="capital",L69,"")&amp;IF(Declarations!$E$34="capital",M69,"")&amp;IF(Declarations!$E$35="capital",N69,"")&amp;IF(Declarations!$E$36="capital",O69,"")&amp;IF(Declarations!$E$37="capital",P69,"")</f>
        <v>IIII</v>
      </c>
      <c r="Y69" s="2" t="str">
        <f aca="false">IF(Declarations!$E$29="information",H69,"")&amp;IF(Declarations!$E$30="information",I69,"")&amp;IF(Declarations!$E$31="information",J69,"")&amp;IF(Declarations!$E$32="information",K69,"")&amp;IF(Declarations!$E$33="information",L69,"")&amp;IF(Declarations!$E$34="information",M69,"")&amp;IF(Declarations!$E$35="information",N69,"")&amp;IF(Declarations!$E$36="information",O69,"")&amp;IF(Declarations!$E$37="information",P69,"")</f>
        <v>II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  <col collapsed="false" customWidth="true" hidden="false" outlineLevel="0" max="4" min="4" style="0" width="24"/>
    <col collapsed="false" customWidth="true" hidden="false" outlineLevel="0" max="6" min="5" style="0" width="18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1" t="s">
        <v>144</v>
      </c>
    </row>
    <row r="3" customFormat="false" ht="15" hidden="false" customHeight="false" outlineLevel="0" collapsed="false">
      <c r="A3" s="0" t="s">
        <v>145</v>
      </c>
      <c r="B3" s="5" t="s">
        <v>146</v>
      </c>
    </row>
    <row r="4" customFormat="false" ht="15" hidden="false" customHeight="false" outlineLevel="0" collapsed="false">
      <c r="A4" s="0" t="s">
        <v>147</v>
      </c>
      <c r="B4" s="2" t="str">
        <f aca="false">INDEX(C7:C16,MATCH(B3,A7:A16,0))</f>
        <v>Meridian Group</v>
      </c>
    </row>
    <row r="6" customFormat="false" ht="23.85" hidden="false" customHeight="false" outlineLevel="0" collapsed="false">
      <c r="A6" s="8" t="s">
        <v>148</v>
      </c>
      <c r="B6" s="8" t="s">
        <v>149</v>
      </c>
      <c r="C6" s="8" t="s">
        <v>150</v>
      </c>
      <c r="D6" s="8" t="s">
        <v>151</v>
      </c>
      <c r="E6" s="8" t="s">
        <v>152</v>
      </c>
      <c r="F6" s="8" t="s">
        <v>153</v>
      </c>
    </row>
    <row r="7" customFormat="false" ht="15" hidden="false" customHeight="false" outlineLevel="0" collapsed="false">
      <c r="A7" s="5" t="s">
        <v>154</v>
      </c>
      <c r="B7" s="5" t="s">
        <v>155</v>
      </c>
      <c r="C7" s="5" t="s">
        <v>156</v>
      </c>
      <c r="D7" s="18" t="n">
        <f aca="false">IF(AND(C7=$B$4,A7&lt;&gt;$B$3),1,0)</f>
        <v>0</v>
      </c>
      <c r="E7" s="18" t="n">
        <f aca="false">IF(C7=$B$3,1,0)</f>
        <v>0</v>
      </c>
      <c r="F7" s="18" t="n">
        <f aca="false">IF(COUNTIFS($A$7:$A$16,C7,$D$7:$D$16,1)&gt;0,1,0)</f>
        <v>0</v>
      </c>
    </row>
    <row r="8" customFormat="false" ht="15" hidden="false" customHeight="false" outlineLevel="0" collapsed="false">
      <c r="A8" s="5" t="s">
        <v>157</v>
      </c>
      <c r="B8" s="5" t="s">
        <v>158</v>
      </c>
      <c r="C8" s="5" t="s">
        <v>154</v>
      </c>
      <c r="D8" s="18" t="n">
        <f aca="false">IF(AND(C8=$B$4,A8&lt;&gt;$B$3),1,0)</f>
        <v>1</v>
      </c>
      <c r="E8" s="18" t="n">
        <f aca="false">IF(C8=$B$3,1,0)</f>
        <v>0</v>
      </c>
      <c r="F8" s="18" t="n">
        <f aca="false">IF(COUNTIFS($A$7:$A$16,C8,$D$7:$D$16,1)&gt;0,1,0)</f>
        <v>0</v>
      </c>
    </row>
    <row r="9" customFormat="false" ht="15" hidden="false" customHeight="false" outlineLevel="0" collapsed="false">
      <c r="A9" s="5" t="s">
        <v>146</v>
      </c>
      <c r="B9" s="5" t="s">
        <v>158</v>
      </c>
      <c r="C9" s="5" t="s">
        <v>154</v>
      </c>
      <c r="D9" s="18" t="n">
        <f aca="false">IF(AND(C9=$B$4,A9&lt;&gt;$B$3),1,0)</f>
        <v>0</v>
      </c>
      <c r="E9" s="18" t="n">
        <f aca="false">IF(C9=$B$3,1,0)</f>
        <v>0</v>
      </c>
      <c r="F9" s="18" t="n">
        <f aca="false">IF(COUNTIFS($A$7:$A$16,C9,$D$7:$D$16,1)&gt;0,1,0)</f>
        <v>0</v>
      </c>
    </row>
    <row r="10" customFormat="false" ht="15" hidden="false" customHeight="false" outlineLevel="0" collapsed="false">
      <c r="A10" s="5" t="s">
        <v>159</v>
      </c>
      <c r="B10" s="5" t="s">
        <v>158</v>
      </c>
      <c r="C10" s="5" t="s">
        <v>154</v>
      </c>
      <c r="D10" s="18" t="n">
        <f aca="false">IF(AND(C10=$B$4,A10&lt;&gt;$B$3),1,0)</f>
        <v>1</v>
      </c>
      <c r="E10" s="18" t="n">
        <f aca="false">IF(C10=$B$3,1,0)</f>
        <v>0</v>
      </c>
      <c r="F10" s="18" t="n">
        <f aca="false">IF(COUNTIFS($A$7:$A$16,C10,$D$7:$D$16,1)&gt;0,1,0)</f>
        <v>0</v>
      </c>
    </row>
    <row r="11" customFormat="false" ht="15" hidden="false" customHeight="false" outlineLevel="0" collapsed="false">
      <c r="A11" s="5" t="s">
        <v>160</v>
      </c>
      <c r="B11" s="5" t="s">
        <v>161</v>
      </c>
      <c r="C11" s="5" t="s">
        <v>157</v>
      </c>
      <c r="D11" s="18" t="n">
        <f aca="false">IF(AND(C11=$B$4,A11&lt;&gt;$B$3),1,0)</f>
        <v>0</v>
      </c>
      <c r="E11" s="18" t="n">
        <f aca="false">IF(C11=$B$3,1,0)</f>
        <v>0</v>
      </c>
      <c r="F11" s="18" t="n">
        <f aca="false">IF(COUNTIFS($A$7:$A$16,C11,$D$7:$D$16,1)&gt;0,1,0)</f>
        <v>1</v>
      </c>
    </row>
    <row r="12" customFormat="false" ht="15" hidden="false" customHeight="false" outlineLevel="0" collapsed="false">
      <c r="A12" s="5" t="s">
        <v>162</v>
      </c>
      <c r="B12" s="5" t="s">
        <v>161</v>
      </c>
      <c r="C12" s="5" t="s">
        <v>157</v>
      </c>
      <c r="D12" s="18" t="n">
        <f aca="false">IF(AND(C12=$B$4,A12&lt;&gt;$B$3),1,0)</f>
        <v>0</v>
      </c>
      <c r="E12" s="18" t="n">
        <f aca="false">IF(C12=$B$3,1,0)</f>
        <v>0</v>
      </c>
      <c r="F12" s="18" t="n">
        <f aca="false">IF(COUNTIFS($A$7:$A$16,C12,$D$7:$D$16,1)&gt;0,1,0)</f>
        <v>1</v>
      </c>
    </row>
    <row r="13" customFormat="false" ht="15" hidden="false" customHeight="false" outlineLevel="0" collapsed="false">
      <c r="A13" s="5" t="s">
        <v>163</v>
      </c>
      <c r="B13" s="5" t="s">
        <v>161</v>
      </c>
      <c r="C13" s="5" t="s">
        <v>146</v>
      </c>
      <c r="D13" s="18" t="n">
        <f aca="false">IF(AND(C13=$B$4,A13&lt;&gt;$B$3),1,0)</f>
        <v>0</v>
      </c>
      <c r="E13" s="18" t="n">
        <f aca="false">IF(C13=$B$3,1,0)</f>
        <v>1</v>
      </c>
      <c r="F13" s="18" t="n">
        <f aca="false">IF(COUNTIFS($A$7:$A$16,C13,$D$7:$D$16,1)&gt;0,1,0)</f>
        <v>0</v>
      </c>
    </row>
    <row r="14" customFormat="false" ht="15" hidden="false" customHeight="false" outlineLevel="0" collapsed="false">
      <c r="A14" s="5" t="s">
        <v>164</v>
      </c>
      <c r="B14" s="5" t="s">
        <v>161</v>
      </c>
      <c r="C14" s="5" t="s">
        <v>146</v>
      </c>
      <c r="D14" s="18" t="n">
        <f aca="false">IF(AND(C14=$B$4,A14&lt;&gt;$B$3),1,0)</f>
        <v>0</v>
      </c>
      <c r="E14" s="18" t="n">
        <f aca="false">IF(C14=$B$3,1,0)</f>
        <v>1</v>
      </c>
      <c r="F14" s="18" t="n">
        <f aca="false">IF(COUNTIFS($A$7:$A$16,C14,$D$7:$D$16,1)&gt;0,1,0)</f>
        <v>0</v>
      </c>
    </row>
    <row r="15" customFormat="false" ht="15" hidden="false" customHeight="false" outlineLevel="0" collapsed="false">
      <c r="A15" s="5" t="s">
        <v>165</v>
      </c>
      <c r="B15" s="5" t="s">
        <v>161</v>
      </c>
      <c r="C15" s="5" t="s">
        <v>159</v>
      </c>
      <c r="D15" s="18" t="n">
        <f aca="false">IF(AND(C15=$B$4,A15&lt;&gt;$B$3),1,0)</f>
        <v>0</v>
      </c>
      <c r="E15" s="18" t="n">
        <f aca="false">IF(C15=$B$3,1,0)</f>
        <v>0</v>
      </c>
      <c r="F15" s="18" t="n">
        <f aca="false">IF(COUNTIFS($A$7:$A$16,C15,$D$7:$D$16,1)&gt;0,1,0)</f>
        <v>1</v>
      </c>
    </row>
    <row r="16" customFormat="false" ht="15" hidden="false" customHeight="false" outlineLevel="0" collapsed="false">
      <c r="A16" s="5" t="s">
        <v>166</v>
      </c>
      <c r="B16" s="5" t="s">
        <v>161</v>
      </c>
      <c r="C16" s="5" t="s">
        <v>159</v>
      </c>
      <c r="D16" s="18" t="n">
        <f aca="false">IF(AND(C16=$B$4,A16&lt;&gt;$B$3),1,0)</f>
        <v>0</v>
      </c>
      <c r="E16" s="18" t="n">
        <f aca="false">IF(C16=$B$3,1,0)</f>
        <v>0</v>
      </c>
      <c r="F16" s="18" t="n">
        <f aca="false">IF(COUNTIFS($A$7:$A$16,C16,$D$7:$D$16,1)&gt;0,1,0)</f>
        <v>1</v>
      </c>
    </row>
    <row r="18" customFormat="false" ht="15" hidden="false" customHeight="false" outlineLevel="0" collapsed="false">
      <c r="A18" s="2" t="s">
        <v>167</v>
      </c>
      <c r="B18" s="18" t="n">
        <f aca="false">COUNTIF(B7:B16,"division")</f>
        <v>3</v>
      </c>
    </row>
    <row r="19" customFormat="false" ht="15" hidden="false" customHeight="false" outlineLevel="0" collapsed="false">
      <c r="A19" s="2" t="s">
        <v>168</v>
      </c>
      <c r="B19" s="18" t="n">
        <f aca="false">COUNTIF(B7:B16,"unit")</f>
        <v>6</v>
      </c>
    </row>
    <row r="20" customFormat="false" ht="15" hidden="false" customHeight="false" outlineLevel="0" collapsed="false">
      <c r="A20" s="2" t="s">
        <v>169</v>
      </c>
      <c r="B20" s="18" t="n">
        <f aca="false">SUM(D7:D16)</f>
        <v>2</v>
      </c>
    </row>
    <row r="21" customFormat="false" ht="15" hidden="false" customHeight="false" outlineLevel="0" collapsed="false">
      <c r="A21" s="2" t="s">
        <v>170</v>
      </c>
      <c r="B21" s="18" t="n">
        <f aca="false">SUM(F7:F16)</f>
        <v>4</v>
      </c>
    </row>
    <row r="22" customFormat="false" ht="15" hidden="false" customHeight="false" outlineLevel="0" collapsed="false">
      <c r="A22" s="2" t="s">
        <v>171</v>
      </c>
      <c r="B22" s="18" t="n">
        <f aca="false">SUM(E7:E16)</f>
        <v>2</v>
      </c>
    </row>
    <row r="23" customFormat="false" ht="15" hidden="false" customHeight="false" outlineLevel="0" collapsed="false">
      <c r="A23" s="10" t="s">
        <v>172</v>
      </c>
    </row>
    <row r="25" customFormat="false" ht="15" hidden="false" customHeight="false" outlineLevel="0" collapsed="false">
      <c r="A25" s="8" t="s">
        <v>173</v>
      </c>
      <c r="B25" s="8" t="s">
        <v>60</v>
      </c>
      <c r="C25" s="8" t="s">
        <v>61</v>
      </c>
      <c r="D25" s="8" t="s">
        <v>174</v>
      </c>
      <c r="E25" s="8" t="s">
        <v>157</v>
      </c>
      <c r="F25" s="8" t="s">
        <v>146</v>
      </c>
      <c r="G25" s="8" t="s">
        <v>159</v>
      </c>
    </row>
    <row r="26" customFormat="false" ht="15" hidden="false" customHeight="false" outlineLevel="0" collapsed="false">
      <c r="A26" s="8" t="s">
        <v>175</v>
      </c>
      <c r="B26" s="8"/>
      <c r="C26" s="8"/>
      <c r="D26" s="8" t="s">
        <v>176</v>
      </c>
      <c r="E26" s="8" t="s">
        <v>177</v>
      </c>
      <c r="F26" s="8" t="s">
        <v>178</v>
      </c>
      <c r="G26" s="8" t="s">
        <v>179</v>
      </c>
    </row>
    <row r="27" customFormat="false" ht="15" hidden="false" customHeight="false" outlineLevel="0" collapsed="false">
      <c r="A27" s="5" t="s">
        <v>180</v>
      </c>
      <c r="B27" s="5" t="s">
        <v>157</v>
      </c>
      <c r="C27" s="5" t="s">
        <v>146</v>
      </c>
      <c r="D27" s="2" t="str">
        <f aca="false">IF(AND(IF(OR($B27="Industrial Systems",$B27="Digital Solutions",$B27="Advanced Materials"),1,0)=1,IF(OR($C27="Industrial Systems",$C27="Digital Solutions",$C27="Advanced Materials"),1,0)=1),"interior",IF(AND(IF(OR($B27="Industrial Systems",$B27="Digital Solutions",$B27="Advanced Materials"),1,0)=0,IF(OR($C27="Industrial Systems",$C27="Digital Solutions",$C27="Advanced Materials"),1,0)=1),"input",IF(AND(IF(OR($B27="Industrial Systems",$B27="Digital Solutions",$B27="Advanced Materials"),1,0)=1,IF(OR($C27="Industrial Systems",$C27="Digital Solutions",$C27="Advanced Materials"),1,0)=0),"output","environmental")))</f>
        <v>interior</v>
      </c>
      <c r="E27" s="2" t="str">
        <f aca="false">IF(AND(IF(OR($B27="Industrial Systems"),1,0)=1,IF(OR($C27="Industrial Systems"),1,0)=1),"interior",IF(AND(IF(OR($B27="Industrial Systems"),1,0)=0,IF(OR($C27="Industrial Systems"),1,0)=1),"input",IF(AND(IF(OR($B27="Industrial Systems"),1,0)=1,IF(OR($C27="Industrial Systems"),1,0)=0),"output","environmental")))</f>
        <v>output</v>
      </c>
      <c r="F27" s="2" t="str">
        <f aca="false">IF(AND(IF(OR($B27="Digital Solutions"),1,0)=1,IF(OR($C27="Digital Solutions"),1,0)=1),"interior",IF(AND(IF(OR($B27="Digital Solutions"),1,0)=0,IF(OR($C27="Digital Solutions"),1,0)=1),"input",IF(AND(IF(OR($B27="Digital Solutions"),1,0)=1,IF(OR($C27="Digital Solutions"),1,0)=0),"output","environmental")))</f>
        <v>input</v>
      </c>
      <c r="G27" s="2" t="str">
        <f aca="false">IF(AND(IF(OR($B27="Advanced Materials"),1,0)=1,IF(OR($C27="Advanced Materials"),1,0)=1),"interior",IF(AND(IF(OR($B27="Advanced Materials"),1,0)=0,IF(OR($C27="Advanced Materials"),1,0)=1),"input",IF(AND(IF(OR($B27="Advanced Materials"),1,0)=1,IF(OR($C27="Advanced Materials"),1,0)=0),"output","environmental")))</f>
        <v>environmental</v>
      </c>
    </row>
    <row r="28" customFormat="false" ht="15" hidden="false" customHeight="false" outlineLevel="0" collapsed="false">
      <c r="A28" s="5" t="s">
        <v>181</v>
      </c>
      <c r="B28" s="5" t="s">
        <v>146</v>
      </c>
      <c r="C28" s="5" t="s">
        <v>157</v>
      </c>
      <c r="D28" s="2" t="str">
        <f aca="false">IF(AND(IF(OR($B28="Industrial Systems",$B28="Digital Solutions",$B28="Advanced Materials"),1,0)=1,IF(OR($C28="Industrial Systems",$C28="Digital Solutions",$C28="Advanced Materials"),1,0)=1),"interior",IF(AND(IF(OR($B28="Industrial Systems",$B28="Digital Solutions",$B28="Advanced Materials"),1,0)=0,IF(OR($C28="Industrial Systems",$C28="Digital Solutions",$C28="Advanced Materials"),1,0)=1),"input",IF(AND(IF(OR($B28="Industrial Systems",$B28="Digital Solutions",$B28="Advanced Materials"),1,0)=1,IF(OR($C28="Industrial Systems",$C28="Digital Solutions",$C28="Advanced Materials"),1,0)=0),"output","environmental")))</f>
        <v>interior</v>
      </c>
      <c r="E28" s="2" t="str">
        <f aca="false">IF(AND(IF(OR($B28="Industrial Systems"),1,0)=1,IF(OR($C28="Industrial Systems"),1,0)=1),"interior",IF(AND(IF(OR($B28="Industrial Systems"),1,0)=0,IF(OR($C28="Industrial Systems"),1,0)=1),"input",IF(AND(IF(OR($B28="Industrial Systems"),1,0)=1,IF(OR($C28="Industrial Systems"),1,0)=0),"output","environmental")))</f>
        <v>input</v>
      </c>
      <c r="F28" s="2" t="str">
        <f aca="false">IF(AND(IF(OR($B28="Digital Solutions"),1,0)=1,IF(OR($C28="Digital Solutions"),1,0)=1),"interior",IF(AND(IF(OR($B28="Digital Solutions"),1,0)=0,IF(OR($C28="Digital Solutions"),1,0)=1),"input",IF(AND(IF(OR($B28="Digital Solutions"),1,0)=1,IF(OR($C28="Digital Solutions"),1,0)=0),"output","environmental")))</f>
        <v>output</v>
      </c>
      <c r="G28" s="2" t="str">
        <f aca="false">IF(AND(IF(OR($B28="Advanced Materials"),1,0)=1,IF(OR($C28="Advanced Materials"),1,0)=1),"interior",IF(AND(IF(OR($B28="Advanced Materials"),1,0)=0,IF(OR($C28="Advanced Materials"),1,0)=1),"input",IF(AND(IF(OR($B28="Advanced Materials"),1,0)=1,IF(OR($C28="Advanced Materials"),1,0)=0),"output","environmental")))</f>
        <v>environmental</v>
      </c>
    </row>
    <row r="29" customFormat="false" ht="15" hidden="false" customHeight="false" outlineLevel="0" collapsed="false">
      <c r="A29" s="5" t="s">
        <v>182</v>
      </c>
      <c r="B29" s="5" t="s">
        <v>146</v>
      </c>
      <c r="C29" s="5" t="s">
        <v>159</v>
      </c>
      <c r="D29" s="2" t="str">
        <f aca="false">IF(AND(IF(OR($B29="Industrial Systems",$B29="Digital Solutions",$B29="Advanced Materials"),1,0)=1,IF(OR($C29="Industrial Systems",$C29="Digital Solutions",$C29="Advanced Materials"),1,0)=1),"interior",IF(AND(IF(OR($B29="Industrial Systems",$B29="Digital Solutions",$B29="Advanced Materials"),1,0)=0,IF(OR($C29="Industrial Systems",$C29="Digital Solutions",$C29="Advanced Materials"),1,0)=1),"input",IF(AND(IF(OR($B29="Industrial Systems",$B29="Digital Solutions",$B29="Advanced Materials"),1,0)=1,IF(OR($C29="Industrial Systems",$C29="Digital Solutions",$C29="Advanced Materials"),1,0)=0),"output","environmental")))</f>
        <v>interior</v>
      </c>
      <c r="E29" s="2" t="str">
        <f aca="false">IF(AND(IF(OR($B29="Industrial Systems"),1,0)=1,IF(OR($C29="Industrial Systems"),1,0)=1),"interior",IF(AND(IF(OR($B29="Industrial Systems"),1,0)=0,IF(OR($C29="Industrial Systems"),1,0)=1),"input",IF(AND(IF(OR($B29="Industrial Systems"),1,0)=1,IF(OR($C29="Industrial Systems"),1,0)=0),"output","environmental")))</f>
        <v>environmental</v>
      </c>
      <c r="F29" s="2" t="str">
        <f aca="false">IF(AND(IF(OR($B29="Digital Solutions"),1,0)=1,IF(OR($C29="Digital Solutions"),1,0)=1),"interior",IF(AND(IF(OR($B29="Digital Solutions"),1,0)=0,IF(OR($C29="Digital Solutions"),1,0)=1),"input",IF(AND(IF(OR($B29="Digital Solutions"),1,0)=1,IF(OR($C29="Digital Solutions"),1,0)=0),"output","environmental")))</f>
        <v>output</v>
      </c>
      <c r="G29" s="2" t="str">
        <f aca="false">IF(AND(IF(OR($B29="Advanced Materials"),1,0)=1,IF(OR($C29="Advanced Materials"),1,0)=1),"interior",IF(AND(IF(OR($B29="Advanced Materials"),1,0)=0,IF(OR($C29="Advanced Materials"),1,0)=1),"input",IF(AND(IF(OR($B29="Advanced Materials"),1,0)=1,IF(OR($C29="Advanced Materials"),1,0)=0),"output","environmental")))</f>
        <v>input</v>
      </c>
    </row>
    <row r="30" customFormat="false" ht="15" hidden="false" customHeight="false" outlineLevel="0" collapsed="false">
      <c r="A30" s="5" t="s">
        <v>183</v>
      </c>
      <c r="B30" s="5" t="s">
        <v>159</v>
      </c>
      <c r="C30" s="5" t="s">
        <v>146</v>
      </c>
      <c r="D30" s="2" t="str">
        <f aca="false">IF(AND(IF(OR($B30="Industrial Systems",$B30="Digital Solutions",$B30="Advanced Materials"),1,0)=1,IF(OR($C30="Industrial Systems",$C30="Digital Solutions",$C30="Advanced Materials"),1,0)=1),"interior",IF(AND(IF(OR($B30="Industrial Systems",$B30="Digital Solutions",$B30="Advanced Materials"),1,0)=0,IF(OR($C30="Industrial Systems",$C30="Digital Solutions",$C30="Advanced Materials"),1,0)=1),"input",IF(AND(IF(OR($B30="Industrial Systems",$B30="Digital Solutions",$B30="Advanced Materials"),1,0)=1,IF(OR($C30="Industrial Systems",$C30="Digital Solutions",$C30="Advanced Materials"),1,0)=0),"output","environmental")))</f>
        <v>interior</v>
      </c>
      <c r="E30" s="2" t="str">
        <f aca="false">IF(AND(IF(OR($B30="Industrial Systems"),1,0)=1,IF(OR($C30="Industrial Systems"),1,0)=1),"interior",IF(AND(IF(OR($B30="Industrial Systems"),1,0)=0,IF(OR($C30="Industrial Systems"),1,0)=1),"input",IF(AND(IF(OR($B30="Industrial Systems"),1,0)=1,IF(OR($C30="Industrial Systems"),1,0)=0),"output","environmental")))</f>
        <v>environmental</v>
      </c>
      <c r="F30" s="2" t="str">
        <f aca="false">IF(AND(IF(OR($B30="Digital Solutions"),1,0)=1,IF(OR($C30="Digital Solutions"),1,0)=1),"interior",IF(AND(IF(OR($B30="Digital Solutions"),1,0)=0,IF(OR($C30="Digital Solutions"),1,0)=1),"input",IF(AND(IF(OR($B30="Digital Solutions"),1,0)=1,IF(OR($C30="Digital Solutions"),1,0)=0),"output","environmental")))</f>
        <v>input</v>
      </c>
      <c r="G30" s="2" t="str">
        <f aca="false">IF(AND(IF(OR($B30="Advanced Materials"),1,0)=1,IF(OR($C30="Advanced Materials"),1,0)=1),"interior",IF(AND(IF(OR($B30="Advanced Materials"),1,0)=0,IF(OR($C30="Advanced Materials"),1,0)=1),"input",IF(AND(IF(OR($B30="Advanced Materials"),1,0)=1,IF(OR($C30="Advanced Materials"),1,0)=0),"output","environmental")))</f>
        <v>output</v>
      </c>
    </row>
    <row r="32" customFormat="false" ht="15" hidden="false" customHeight="false" outlineLevel="0" collapsed="false">
      <c r="A32" s="10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22"/>
    <col collapsed="false" customWidth="true" hidden="false" outlineLevel="0" max="6" min="5" style="0" width="20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10" t="s">
        <v>186</v>
      </c>
    </row>
    <row r="4" customFormat="false" ht="15" hidden="false" customHeight="false" outlineLevel="0" collapsed="false">
      <c r="A4" s="0" t="s">
        <v>187</v>
      </c>
      <c r="B4" s="19" t="n">
        <v>1.6</v>
      </c>
    </row>
    <row r="6" customFormat="false" ht="15" hidden="false" customHeight="false" outlineLevel="0" collapsed="false">
      <c r="A6" s="8" t="s">
        <v>188</v>
      </c>
      <c r="B6" s="8" t="s">
        <v>189</v>
      </c>
      <c r="C6" s="8" t="s">
        <v>190</v>
      </c>
      <c r="D6" s="8" t="s">
        <v>191</v>
      </c>
      <c r="E6" s="8" t="s">
        <v>192</v>
      </c>
      <c r="F6" s="8" t="s">
        <v>193</v>
      </c>
      <c r="G6" s="8" t="s">
        <v>194</v>
      </c>
      <c r="H6" s="8" t="s">
        <v>195</v>
      </c>
    </row>
    <row r="7" customFormat="false" ht="15" hidden="false" customHeight="false" outlineLevel="0" collapsed="false">
      <c r="A7" s="18" t="n">
        <v>0</v>
      </c>
      <c r="B7" s="20" t="n">
        <f aca="false">Eff_today</f>
        <v>71</v>
      </c>
      <c r="C7" s="20" t="n">
        <f aca="false">Eff_today</f>
        <v>71</v>
      </c>
      <c r="D7" s="20" t="n">
        <f aca="false">Eff_today</f>
        <v>71</v>
      </c>
      <c r="E7" s="20" t="n">
        <f aca="false">IF(A7&gt;=5,-1,0)+0.5*(-1)^A7</f>
        <v>0.5</v>
      </c>
      <c r="F7" s="20" t="n">
        <f aca="false">Eff_today</f>
        <v>71</v>
      </c>
      <c r="G7" s="20" t="n">
        <f aca="false">Eff_today</f>
        <v>71</v>
      </c>
      <c r="H7" s="21" t="n">
        <f aca="false">ABS(F7-G7)</f>
        <v>0</v>
      </c>
    </row>
    <row r="8" customFormat="false" ht="15" hidden="false" customHeight="false" outlineLevel="0" collapsed="false">
      <c r="A8" s="18" t="n">
        <v>1</v>
      </c>
      <c r="B8" s="20" t="n">
        <f aca="false">B7+0*(Eff_target-B7)</f>
        <v>71</v>
      </c>
      <c r="C8" s="20" t="n">
        <f aca="false">C7+K_turn*(Eff_target-C7)</f>
        <v>74.6095069112478</v>
      </c>
      <c r="D8" s="20" t="n">
        <f aca="false">D7+$B$4*(Eff_target-D7)</f>
        <v>83.8</v>
      </c>
      <c r="E8" s="20" t="n">
        <f aca="false">IF(A8&gt;=5,-1,0)+0.5*(-1)^A8</f>
        <v>-0.5</v>
      </c>
      <c r="F8" s="16" t="n">
        <f aca="false">F7+K_turn*(Eff_target-F7)+E7</f>
        <v>75.1095069112478</v>
      </c>
      <c r="G8" s="16" t="n">
        <f aca="false">(1-K_turn)*G7+K_turn*Eff_target+E7</f>
        <v>75.1095069112478</v>
      </c>
      <c r="H8" s="21" t="n">
        <f aca="false">ABS(F8-G8)</f>
        <v>0</v>
      </c>
    </row>
    <row r="9" customFormat="false" ht="15" hidden="false" customHeight="false" outlineLevel="0" collapsed="false">
      <c r="A9" s="18" t="n">
        <v>2</v>
      </c>
      <c r="B9" s="20" t="n">
        <f aca="false">B8+0*(Eff_target-B8)</f>
        <v>71</v>
      </c>
      <c r="C9" s="20" t="n">
        <f aca="false">C8+K_turn*(Eff_target-C8)</f>
        <v>76.5904463047024</v>
      </c>
      <c r="D9" s="20" t="n">
        <f aca="false">D8+$B$4*(Eff_target-D8)</f>
        <v>76.12</v>
      </c>
      <c r="E9" s="20" t="n">
        <f aca="false">IF(A9&gt;=5,-1,0)+0.5*(-1)^A9</f>
        <v>0.5</v>
      </c>
      <c r="F9" s="16" t="n">
        <f aca="false">F8+K_turn*(Eff_target-F8)+E8</f>
        <v>76.3648521227494</v>
      </c>
      <c r="G9" s="16" t="n">
        <f aca="false">(1-K_turn)*G8+K_turn*Eff_target+E8</f>
        <v>76.3648521227494</v>
      </c>
      <c r="H9" s="21" t="n">
        <f aca="false">ABS(F9-G9)</f>
        <v>0</v>
      </c>
    </row>
    <row r="10" customFormat="false" ht="15" hidden="false" customHeight="false" outlineLevel="0" collapsed="false">
      <c r="A10" s="18" t="n">
        <v>3</v>
      </c>
      <c r="B10" s="20" t="n">
        <f aca="false">B9+0*(Eff_target-B9)</f>
        <v>71</v>
      </c>
      <c r="C10" s="20" t="n">
        <f aca="false">C9+K_turn*(Eff_target-C9)</f>
        <v>77.6776088942273</v>
      </c>
      <c r="D10" s="20" t="n">
        <f aca="false">D9+$B$4*(Eff_target-D9)</f>
        <v>80.728</v>
      </c>
      <c r="E10" s="20" t="n">
        <f aca="false">IF(A10&gt;=5,-1,0)+0.5*(-1)^A10</f>
        <v>-0.5</v>
      </c>
      <c r="F10" s="16" t="n">
        <f aca="false">F9+K_turn*(Eff_target-F9)+E9</f>
        <v>78.0538001821364</v>
      </c>
      <c r="G10" s="16" t="n">
        <f aca="false">(1-K_turn)*G9+K_turn*Eff_target+E9</f>
        <v>78.0538001821364</v>
      </c>
      <c r="H10" s="21" t="n">
        <f aca="false">ABS(F10-G10)</f>
        <v>0</v>
      </c>
    </row>
    <row r="11" customFormat="false" ht="15" hidden="false" customHeight="false" outlineLevel="0" collapsed="false">
      <c r="A11" s="18" t="n">
        <v>4</v>
      </c>
      <c r="B11" s="20" t="n">
        <f aca="false">B10+0*(Eff_target-B10)</f>
        <v>71</v>
      </c>
      <c r="C11" s="20" t="n">
        <f aca="false">C10+K_turn*(Eff_target-C10)</f>
        <v>78.2742563736847</v>
      </c>
      <c r="D11" s="20" t="n">
        <f aca="false">D10+$B$4*(Eff_target-D10)</f>
        <v>77.9632</v>
      </c>
      <c r="E11" s="20" t="n">
        <f aca="false">IF(A11&gt;=5,-1,0)+0.5*(-1)^A11</f>
        <v>0.5</v>
      </c>
      <c r="F11" s="16" t="n">
        <f aca="false">F10+K_turn*(Eff_target-F10)+E10</f>
        <v>77.9807145298864</v>
      </c>
      <c r="G11" s="16" t="n">
        <f aca="false">(1-K_turn)*G10+K_turn*Eff_target+E10</f>
        <v>77.9807145298864</v>
      </c>
      <c r="H11" s="21" t="n">
        <f aca="false">ABS(F11-G11)</f>
        <v>0</v>
      </c>
    </row>
    <row r="12" customFormat="false" ht="15" hidden="false" customHeight="false" outlineLevel="0" collapsed="false">
      <c r="A12" s="18" t="n">
        <v>5</v>
      </c>
      <c r="B12" s="20" t="n">
        <f aca="false">B11+0*(Eff_target-B11)</f>
        <v>71</v>
      </c>
      <c r="C12" s="20" t="n">
        <f aca="false">C11+K_turn*(Eff_target-C11)</f>
        <v>78.6017034530571</v>
      </c>
      <c r="D12" s="20" t="n">
        <f aca="false">D11+$B$4*(Eff_target-D11)</f>
        <v>79.62208</v>
      </c>
      <c r="E12" s="20" t="n">
        <f aca="false">IF(A12&gt;=5,-1,0)+0.5*(-1)^A12</f>
        <v>-1.5</v>
      </c>
      <c r="F12" s="16" t="n">
        <f aca="false">F11+K_turn*(Eff_target-F11)+E11</f>
        <v>78.9406042735001</v>
      </c>
      <c r="G12" s="16" t="n">
        <f aca="false">(1-K_turn)*G11+K_turn*Eff_target+E11</f>
        <v>78.9406042735001</v>
      </c>
      <c r="H12" s="21" t="n">
        <f aca="false">ABS(F12-G12)</f>
        <v>0</v>
      </c>
    </row>
    <row r="13" customFormat="false" ht="15" hidden="false" customHeight="false" outlineLevel="0" collapsed="false">
      <c r="A13" s="18" t="n">
        <v>6</v>
      </c>
      <c r="B13" s="20" t="n">
        <f aca="false">B12+0*(Eff_target-B12)</f>
        <v>71</v>
      </c>
      <c r="C13" s="20" t="n">
        <f aca="false">C12+K_turn*(Eff_target-C12)</f>
        <v>78.7814102204217</v>
      </c>
      <c r="D13" s="20" t="n">
        <f aca="false">D12+$B$4*(Eff_target-D12)</f>
        <v>78.626752</v>
      </c>
      <c r="E13" s="20" t="n">
        <f aca="false">IF(A13&gt;=5,-1,0)+0.5*(-1)^A13</f>
        <v>-0.5</v>
      </c>
      <c r="F13" s="16" t="n">
        <f aca="false">F12+K_turn*(Eff_target-F12)+E12</f>
        <v>77.4674029341626</v>
      </c>
      <c r="G13" s="16" t="n">
        <f aca="false">(1-K_turn)*G12+K_turn*Eff_target+E12</f>
        <v>77.4674029341626</v>
      </c>
      <c r="H13" s="21" t="n">
        <f aca="false">ABS(F13-G13)</f>
        <v>0</v>
      </c>
    </row>
    <row r="14" customFormat="false" ht="15" hidden="false" customHeight="false" outlineLevel="0" collapsed="false">
      <c r="A14" s="18" t="n">
        <v>7</v>
      </c>
      <c r="B14" s="20" t="n">
        <f aca="false">B13+0*(Eff_target-B13)</f>
        <v>71</v>
      </c>
      <c r="C14" s="20" t="n">
        <f aca="false">C13+K_turn*(Eff_target-C13)</f>
        <v>78.8800353854362</v>
      </c>
      <c r="D14" s="20" t="n">
        <f aca="false">D13+$B$4*(Eff_target-D13)</f>
        <v>79.2239488</v>
      </c>
      <c r="E14" s="20" t="n">
        <f aca="false">IF(A14&gt;=5,-1,0)+0.5*(-1)^A14</f>
        <v>-1.5</v>
      </c>
      <c r="F14" s="16" t="n">
        <f aca="false">F13+K_turn*(Eff_target-F13)+E13</f>
        <v>77.6588928968249</v>
      </c>
      <c r="G14" s="16" t="n">
        <f aca="false">(1-K_turn)*G13+K_turn*Eff_target+E13</f>
        <v>77.6588928968249</v>
      </c>
      <c r="H14" s="21" t="n">
        <f aca="false">ABS(F14-G14)</f>
        <v>0</v>
      </c>
    </row>
    <row r="15" customFormat="false" ht="15" hidden="false" customHeight="false" outlineLevel="0" collapsed="false">
      <c r="A15" s="18" t="n">
        <v>8</v>
      </c>
      <c r="B15" s="20" t="n">
        <f aca="false">B14+0*(Eff_target-B14)</f>
        <v>71</v>
      </c>
      <c r="C15" s="20" t="n">
        <f aca="false">C14+K_turn*(Eff_target-C14)</f>
        <v>78.9341620236078</v>
      </c>
      <c r="D15" s="20" t="n">
        <f aca="false">D14+$B$4*(Eff_target-D14)</f>
        <v>78.86563072</v>
      </c>
      <c r="E15" s="20" t="n">
        <f aca="false">IF(A15&gt;=5,-1,0)+0.5*(-1)^A15</f>
        <v>-0.5</v>
      </c>
      <c r="F15" s="16" t="n">
        <f aca="false">F14+K_turn*(Eff_target-F14)+E14</f>
        <v>76.7639848165291</v>
      </c>
      <c r="G15" s="16" t="n">
        <f aca="false">(1-K_turn)*G14+K_turn*Eff_target+E14</f>
        <v>76.7639848165291</v>
      </c>
      <c r="H15" s="21" t="n">
        <f aca="false">ABS(F15-G15)</f>
        <v>0</v>
      </c>
    </row>
    <row r="16" customFormat="false" ht="15" hidden="false" customHeight="false" outlineLevel="0" collapsed="false">
      <c r="A16" s="18" t="n">
        <v>9</v>
      </c>
      <c r="B16" s="20" t="n">
        <f aca="false">B15+0*(Eff_target-B15)</f>
        <v>71</v>
      </c>
      <c r="C16" s="20" t="n">
        <f aca="false">C15+K_turn*(Eff_target-C15)</f>
        <v>78.9638673524591</v>
      </c>
      <c r="D16" s="20" t="n">
        <f aca="false">D15+$B$4*(Eff_target-D15)</f>
        <v>79.080621568</v>
      </c>
      <c r="E16" s="20" t="n">
        <f aca="false">IF(A16&gt;=5,-1,0)+0.5*(-1)^A16</f>
        <v>-1.5</v>
      </c>
      <c r="F16" s="16" t="n">
        <f aca="false">F15+K_turn*(Eff_target-F15)+E15</f>
        <v>77.2728488488283</v>
      </c>
      <c r="G16" s="16" t="n">
        <f aca="false">(1-K_turn)*G15+K_turn*Eff_target+E15</f>
        <v>77.2728488488283</v>
      </c>
      <c r="H16" s="21" t="n">
        <f aca="false">ABS(F16-G16)</f>
        <v>0</v>
      </c>
    </row>
    <row r="17" customFormat="false" ht="15" hidden="false" customHeight="false" outlineLevel="0" collapsed="false">
      <c r="A17" s="18" t="n">
        <v>10</v>
      </c>
      <c r="B17" s="20" t="n">
        <f aca="false">B16+0*(Eff_target-B16)</f>
        <v>71</v>
      </c>
      <c r="C17" s="20" t="n">
        <f aca="false">C16+K_turn*(Eff_target-C16)</f>
        <v>78.9801699825867</v>
      </c>
      <c r="D17" s="20" t="n">
        <f aca="false">D16+$B$4*(Eff_target-D16)</f>
        <v>78.9516270592</v>
      </c>
      <c r="E17" s="20" t="n">
        <f aca="false">IF(A17&gt;=5,-1,0)+0.5*(-1)^A17</f>
        <v>-0.5</v>
      </c>
      <c r="F17" s="16" t="n">
        <f aca="false">F16+K_turn*(Eff_target-F16)+E16</f>
        <v>76.5521193509438</v>
      </c>
      <c r="G17" s="16" t="n">
        <f aca="false">(1-K_turn)*G16+K_turn*Eff_target+E16</f>
        <v>76.5521193509438</v>
      </c>
      <c r="H17" s="21" t="n">
        <f aca="false">ABS(F17-G17)</f>
        <v>0</v>
      </c>
    </row>
    <row r="18" customFormat="false" ht="15" hidden="false" customHeight="false" outlineLevel="0" collapsed="false">
      <c r="A18" s="18" t="n">
        <v>11</v>
      </c>
      <c r="B18" s="20" t="n">
        <f aca="false">B17+0*(Eff_target-B17)</f>
        <v>71</v>
      </c>
      <c r="C18" s="20" t="n">
        <f aca="false">C17+K_turn*(Eff_target-C17)</f>
        <v>78.9891170556996</v>
      </c>
      <c r="D18" s="20" t="n">
        <f aca="false">D17+$B$4*(Eff_target-D17)</f>
        <v>79.02902376448</v>
      </c>
      <c r="E18" s="20" t="n">
        <f aca="false">IF(A18&gt;=5,-1,0)+0.5*(-1)^A18</f>
        <v>-1.5</v>
      </c>
      <c r="F18" s="16" t="n">
        <f aca="false">F17+K_turn*(Eff_target-F17)+E17</f>
        <v>77.1565746160285</v>
      </c>
      <c r="G18" s="16" t="n">
        <f aca="false">(1-K_turn)*G17+K_turn*Eff_target+E17</f>
        <v>77.1565746160285</v>
      </c>
      <c r="H18" s="21" t="n">
        <f aca="false">ABS(F18-G18)</f>
        <v>0</v>
      </c>
    </row>
    <row r="19" customFormat="false" ht="15" hidden="false" customHeight="false" outlineLevel="0" collapsed="false">
      <c r="A19" s="18" t="n">
        <v>12</v>
      </c>
      <c r="B19" s="20" t="n">
        <f aca="false">B18+0*(Eff_target-B18)</f>
        <v>71</v>
      </c>
      <c r="C19" s="20" t="n">
        <f aca="false">C18+K_turn*(Eff_target-C18)</f>
        <v>78.994027313533</v>
      </c>
      <c r="D19" s="20" t="n">
        <f aca="false">D18+$B$4*(Eff_target-D18)</f>
        <v>78.982585741312</v>
      </c>
      <c r="E19" s="20" t="n">
        <f aca="false">IF(A19&gt;=5,-1,0)+0.5*(-1)^A19</f>
        <v>-0.5</v>
      </c>
      <c r="F19" s="16" t="n">
        <f aca="false">F18+K_turn*(Eff_target-F18)+E18</f>
        <v>76.4883066990054</v>
      </c>
      <c r="G19" s="16" t="n">
        <f aca="false">(1-K_turn)*G18+K_turn*Eff_target+E18</f>
        <v>76.4883066990054</v>
      </c>
      <c r="H19" s="21" t="n">
        <f aca="false">ABS(F19-G19)</f>
        <v>0</v>
      </c>
    </row>
    <row r="20" customFormat="false" ht="15" hidden="false" customHeight="false" outlineLevel="0" collapsed="false">
      <c r="A20" s="18" t="n">
        <v>13</v>
      </c>
      <c r="B20" s="20" t="n">
        <f aca="false">B19+0*(Eff_target-B19)</f>
        <v>71</v>
      </c>
      <c r="C20" s="20" t="n">
        <f aca="false">C19+K_turn*(Eff_target-C19)</f>
        <v>78.9967221201682</v>
      </c>
      <c r="D20" s="20" t="n">
        <f aca="false">D19+$B$4*(Eff_target-D19)</f>
        <v>79.0104485552128</v>
      </c>
      <c r="E20" s="20" t="n">
        <f aca="false">IF(A20&gt;=5,-1,0)+0.5*(-1)^A20</f>
        <v>-1.5</v>
      </c>
      <c r="F20" s="16" t="n">
        <f aca="false">F19+K_turn*(Eff_target-F19)+E19</f>
        <v>77.1215534901147</v>
      </c>
      <c r="G20" s="16" t="n">
        <f aca="false">(1-K_turn)*G19+K_turn*Eff_target+E19</f>
        <v>77.1215534901147</v>
      </c>
      <c r="H20" s="21" t="n">
        <f aca="false">ABS(F20-G20)</f>
        <v>0</v>
      </c>
    </row>
    <row r="21" customFormat="false" ht="15" hidden="false" customHeight="false" outlineLevel="0" collapsed="false">
      <c r="A21" s="18" t="n">
        <v>14</v>
      </c>
      <c r="B21" s="20" t="n">
        <f aca="false">B20+0*(Eff_target-B20)</f>
        <v>71</v>
      </c>
      <c r="C21" s="20" t="n">
        <f aca="false">C20+K_turn*(Eff_target-C20)</f>
        <v>78.9982010614066</v>
      </c>
      <c r="D21" s="20" t="n">
        <f aca="false">D20+$B$4*(Eff_target-D20)</f>
        <v>78.9937308668723</v>
      </c>
      <c r="E21" s="20" t="n">
        <f aca="false">IF(A21&gt;=5,-1,0)+0.5*(-1)^A21</f>
        <v>-0.5</v>
      </c>
      <c r="F21" s="16" t="n">
        <f aca="false">F20+K_turn*(Eff_target-F20)+E20</f>
        <v>76.4690866975948</v>
      </c>
      <c r="G21" s="16" t="n">
        <f aca="false">(1-K_turn)*G20+K_turn*Eff_target+E20</f>
        <v>76.4690866975948</v>
      </c>
      <c r="H21" s="21" t="n">
        <f aca="false">ABS(F21-G21)</f>
        <v>0</v>
      </c>
    </row>
    <row r="22" customFormat="false" ht="15" hidden="false" customHeight="false" outlineLevel="0" collapsed="false">
      <c r="A22" s="18" t="n">
        <v>15</v>
      </c>
      <c r="B22" s="20" t="n">
        <f aca="false">B21+0*(Eff_target-B21)</f>
        <v>71</v>
      </c>
      <c r="C22" s="20" t="n">
        <f aca="false">C21+K_turn*(Eff_target-C21)</f>
        <v>78.9990127215673</v>
      </c>
      <c r="D22" s="20" t="n">
        <f aca="false">D21+$B$4*(Eff_target-D21)</f>
        <v>79.0037614798766</v>
      </c>
      <c r="E22" s="20" t="n">
        <f aca="false">IF(A22&gt;=5,-1,0)+0.5*(-1)^A22</f>
        <v>-1.5</v>
      </c>
      <c r="F22" s="16" t="n">
        <f aca="false">F21+K_turn*(Eff_target-F21)+E21</f>
        <v>77.1110053296948</v>
      </c>
      <c r="G22" s="16" t="n">
        <f aca="false">(1-K_turn)*G21+K_turn*Eff_target+E21</f>
        <v>77.1110053296949</v>
      </c>
      <c r="H22" s="21" t="n">
        <f aca="false">ABS(F22-G22)</f>
        <v>0</v>
      </c>
    </row>
    <row r="23" customFormat="false" ht="15" hidden="false" customHeight="false" outlineLevel="0" collapsed="false">
      <c r="A23" s="18" t="n">
        <v>16</v>
      </c>
      <c r="B23" s="20" t="n">
        <f aca="false">B22+0*(Eff_target-B22)</f>
        <v>71</v>
      </c>
      <c r="C23" s="20" t="n">
        <f aca="false">C22+K_turn*(Eff_target-C22)</f>
        <v>78.9994581701081</v>
      </c>
      <c r="D23" s="20" t="n">
        <f aca="false">D22+$B$4*(Eff_target-D22)</f>
        <v>78.997743112074</v>
      </c>
      <c r="E23" s="20" t="n">
        <f aca="false">IF(A23&gt;=5,-1,0)+0.5*(-1)^A23</f>
        <v>-0.5</v>
      </c>
      <c r="F23" s="16" t="n">
        <f aca="false">F22+K_turn*(Eff_target-F22)+E22</f>
        <v>76.4632977444169</v>
      </c>
      <c r="G23" s="16" t="n">
        <f aca="false">(1-K_turn)*G22+K_turn*Eff_target+E22</f>
        <v>76.4632977444169</v>
      </c>
      <c r="H23" s="21" t="n">
        <f aca="false">ABS(F23-G23)</f>
        <v>0</v>
      </c>
    </row>
    <row r="24" customFormat="false" ht="15" hidden="false" customHeight="false" outlineLevel="0" collapsed="false">
      <c r="A24" s="18" t="n">
        <v>17</v>
      </c>
      <c r="B24" s="20" t="n">
        <f aca="false">B23+0*(Eff_target-B23)</f>
        <v>71</v>
      </c>
      <c r="C24" s="20" t="n">
        <f aca="false">C23+K_turn*(Eff_target-C23)</f>
        <v>78.9997026374505</v>
      </c>
      <c r="D24" s="20" t="n">
        <f aca="false">D23+$B$4*(Eff_target-D23)</f>
        <v>79.0013541327556</v>
      </c>
      <c r="E24" s="20" t="n">
        <f aca="false">IF(A24&gt;=5,-1,0)+0.5*(-1)^A24</f>
        <v>-1.5</v>
      </c>
      <c r="F24" s="16" t="n">
        <f aca="false">F23+K_turn*(Eff_target-F23)+E23</f>
        <v>77.1078282848301</v>
      </c>
      <c r="G24" s="16" t="n">
        <f aca="false">(1-K_turn)*G23+K_turn*Eff_target+E23</f>
        <v>77.1078282848301</v>
      </c>
      <c r="H24" s="21" t="n">
        <f aca="false">ABS(F24-G24)</f>
        <v>0</v>
      </c>
    </row>
    <row r="25" customFormat="false" ht="15" hidden="false" customHeight="false" outlineLevel="0" collapsed="false">
      <c r="A25" s="18" t="n">
        <v>18</v>
      </c>
      <c r="B25" s="20" t="n">
        <f aca="false">B24+0*(Eff_target-B24)</f>
        <v>71</v>
      </c>
      <c r="C25" s="20" t="n">
        <f aca="false">C24+K_turn*(Eff_target-C24)</f>
        <v>78.9998368039727</v>
      </c>
      <c r="D25" s="20" t="n">
        <f aca="false">D24+$B$4*(Eff_target-D24)</f>
        <v>78.9991875203467</v>
      </c>
      <c r="E25" s="20" t="n">
        <f aca="false">IF(A25&gt;=5,-1,0)+0.5*(-1)^A25</f>
        <v>-0.5</v>
      </c>
      <c r="F25" s="16" t="n">
        <f aca="false">F24+K_turn*(Eff_target-F24)+E24</f>
        <v>76.4615541452267</v>
      </c>
      <c r="G25" s="16" t="n">
        <f aca="false">(1-K_turn)*G24+K_turn*Eff_target+E24</f>
        <v>76.4615541452267</v>
      </c>
      <c r="H25" s="21" t="n">
        <f aca="false">ABS(F25-G25)</f>
        <v>0</v>
      </c>
    </row>
    <row r="26" customFormat="false" ht="15" hidden="false" customHeight="false" outlineLevel="0" collapsed="false">
      <c r="A26" s="18" t="n">
        <v>19</v>
      </c>
      <c r="B26" s="20" t="n">
        <f aca="false">B25+0*(Eff_target-B25)</f>
        <v>71</v>
      </c>
      <c r="C26" s="20" t="n">
        <f aca="false">C25+K_turn*(Eff_target-C25)</f>
        <v>78.9999104361213</v>
      </c>
      <c r="D26" s="20" t="n">
        <f aca="false">D25+$B$4*(Eff_target-D25)</f>
        <v>79.000487487792</v>
      </c>
      <c r="E26" s="20" t="n">
        <f aca="false">IF(A26&gt;=5,-1,0)+0.5*(-1)^A26</f>
        <v>-1.5</v>
      </c>
      <c r="F26" s="16" t="n">
        <f aca="false">F25+K_turn*(Eff_target-F25)+E25</f>
        <v>77.1068713773058</v>
      </c>
      <c r="G26" s="16" t="n">
        <f aca="false">(1-K_turn)*G25+K_turn*Eff_target+E25</f>
        <v>77.1068713773058</v>
      </c>
      <c r="H26" s="21" t="n">
        <f aca="false">ABS(F26-G26)</f>
        <v>0</v>
      </c>
    </row>
    <row r="27" customFormat="false" ht="15" hidden="false" customHeight="false" outlineLevel="0" collapsed="false">
      <c r="A27" s="18" t="n">
        <v>20</v>
      </c>
      <c r="B27" s="20" t="n">
        <f aca="false">B26+0*(Eff_target-B26)</f>
        <v>71</v>
      </c>
      <c r="C27" s="20" t="n">
        <f aca="false">C26+K_turn*(Eff_target-C26)</f>
        <v>78.9999508463012</v>
      </c>
      <c r="D27" s="20" t="n">
        <f aca="false">D26+$B$4*(Eff_target-D26)</f>
        <v>78.9997075073248</v>
      </c>
      <c r="E27" s="20" t="n">
        <f aca="false">IF(A27&gt;=5,-1,0)+0.5*(-1)^A27</f>
        <v>-0.5</v>
      </c>
      <c r="F27" s="16" t="n">
        <f aca="false">F26+K_turn*(Eff_target-F26)+E26</f>
        <v>76.4610289832428</v>
      </c>
      <c r="G27" s="16" t="n">
        <f aca="false">(1-K_turn)*G26+K_turn*Eff_target+E26</f>
        <v>76.4610289832428</v>
      </c>
      <c r="H27" s="21" t="n">
        <f aca="false">ABS(F27-G27)</f>
        <v>0</v>
      </c>
    </row>
    <row r="29" customFormat="false" ht="15" hidden="false" customHeight="false" outlineLevel="0" collapsed="false">
      <c r="A29" s="8" t="s">
        <v>188</v>
      </c>
      <c r="B29" s="8" t="s">
        <v>190</v>
      </c>
      <c r="C29" s="8" t="s">
        <v>196</v>
      </c>
    </row>
    <row r="30" customFormat="false" ht="15" hidden="false" customHeight="false" outlineLevel="0" collapsed="false">
      <c r="A30" s="18" t="n">
        <v>1</v>
      </c>
      <c r="B30" s="20" t="n">
        <f aca="false">INDEX($C$7:$C$27,A30+1)</f>
        <v>74.6095069112478</v>
      </c>
      <c r="C30" s="14" t="n">
        <v>74.6</v>
      </c>
    </row>
    <row r="31" customFormat="false" ht="15" hidden="false" customHeight="false" outlineLevel="0" collapsed="false">
      <c r="A31" s="18" t="n">
        <v>3</v>
      </c>
      <c r="B31" s="20" t="n">
        <f aca="false">INDEX($C$7:$C$27,A31+1)</f>
        <v>77.6776088942273</v>
      </c>
      <c r="C31" s="14" t="n">
        <v>77.7</v>
      </c>
    </row>
    <row r="32" customFormat="false" ht="15" hidden="false" customHeight="false" outlineLevel="0" collapsed="false">
      <c r="A32" s="18" t="n">
        <v>5</v>
      </c>
      <c r="B32" s="20" t="n">
        <f aca="false">INDEX($C$7:$C$27,A32+1)</f>
        <v>78.6017034530571</v>
      </c>
      <c r="C32" s="14" t="n">
        <v>78.6</v>
      </c>
    </row>
    <row r="33" customFormat="false" ht="15" hidden="false" customHeight="false" outlineLevel="0" collapsed="false">
      <c r="A33" s="18" t="n">
        <v>11</v>
      </c>
      <c r="B33" s="20" t="n">
        <f aca="false">INDEX($C$7:$C$27,A33+1)</f>
        <v>78.9891170556996</v>
      </c>
      <c r="C33" s="14" t="n">
        <v>79</v>
      </c>
    </row>
    <row r="35" customFormat="false" ht="15" hidden="false" customHeight="false" outlineLevel="0" collapsed="false">
      <c r="A35" s="0" t="s">
        <v>197</v>
      </c>
      <c r="C35" s="21" t="n">
        <f aca="false">MAX(H7:H27)</f>
        <v>0</v>
      </c>
    </row>
    <row r="36" customFormat="false" ht="15" hidden="false" customHeight="false" outlineLevel="0" collapsed="false">
      <c r="A36" s="10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199</v>
      </c>
    </row>
    <row r="2" customFormat="false" ht="15" hidden="false" customHeight="false" outlineLevel="0" collapsed="false">
      <c r="A2" s="10" t="s">
        <v>200</v>
      </c>
    </row>
    <row r="3" customFormat="false" ht="15" hidden="false" customHeight="false" outlineLevel="0" collapsed="false">
      <c r="A3" s="2" t="s">
        <v>201</v>
      </c>
      <c r="B3" s="17" t="n">
        <v>5</v>
      </c>
    </row>
    <row r="4" customFormat="false" ht="15" hidden="false" customHeight="false" outlineLevel="0" collapsed="false">
      <c r="A4" s="2" t="s">
        <v>202</v>
      </c>
      <c r="B4" s="15" t="n">
        <v>1</v>
      </c>
    </row>
    <row r="5" customFormat="false" ht="15" hidden="false" customHeight="false" outlineLevel="0" collapsed="false">
      <c r="A5" s="2" t="s">
        <v>203</v>
      </c>
      <c r="B5" s="19" t="n">
        <v>0.05</v>
      </c>
    </row>
    <row r="6" customFormat="false" ht="15" hidden="false" customHeight="false" outlineLevel="0" collapsed="false">
      <c r="A6" s="2" t="s">
        <v>204</v>
      </c>
      <c r="B6" s="15" t="n">
        <v>1</v>
      </c>
    </row>
    <row r="7" customFormat="false" ht="15" hidden="false" customHeight="false" outlineLevel="0" collapsed="false">
      <c r="A7" s="10" t="s">
        <v>205</v>
      </c>
    </row>
    <row r="9" customFormat="false" ht="23.85" hidden="false" customHeight="false" outlineLevel="0" collapsed="false">
      <c r="A9" s="8" t="s">
        <v>188</v>
      </c>
      <c r="B9" s="8" t="s">
        <v>192</v>
      </c>
      <c r="C9" s="8" t="s">
        <v>206</v>
      </c>
      <c r="D9" s="8" t="s">
        <v>207</v>
      </c>
      <c r="E9" s="8" t="s">
        <v>208</v>
      </c>
      <c r="F9" s="8" t="s">
        <v>209</v>
      </c>
      <c r="G9" s="8" t="s">
        <v>210</v>
      </c>
    </row>
    <row r="10" customFormat="false" ht="15" hidden="false" customHeight="false" outlineLevel="0" collapsed="false">
      <c r="A10" s="18" t="n">
        <v>0</v>
      </c>
      <c r="B10" s="20" t="n">
        <f aca="false">IF(A10&gt;=$B$3,-$B$4,0)</f>
        <v>0</v>
      </c>
      <c r="C10" s="20" t="n">
        <f aca="false">Eff_today</f>
        <v>71</v>
      </c>
      <c r="D10" s="20" t="n">
        <f aca="false">Eff_today</f>
        <v>71</v>
      </c>
      <c r="E10" s="20" t="n">
        <f aca="false">Eff_today</f>
        <v>71</v>
      </c>
      <c r="F10" s="22" t="n">
        <f aca="false">K_turn</f>
        <v>0.451188363905974</v>
      </c>
      <c r="G10" s="23" t="n">
        <f aca="false">E10-D10</f>
        <v>0</v>
      </c>
    </row>
    <row r="11" customFormat="false" ht="15" hidden="false" customHeight="false" outlineLevel="0" collapsed="false">
      <c r="A11" s="18" t="n">
        <v>1</v>
      </c>
      <c r="B11" s="20" t="n">
        <f aca="false">IF(A11&gt;=$B$3,-$B$4,0)</f>
        <v>0</v>
      </c>
      <c r="C11" s="20" t="n">
        <f aca="false">IF(A10&lt;$B$3,D11,C10+B10)</f>
        <v>74.6095069112478</v>
      </c>
      <c r="D11" s="20" t="n">
        <f aca="false">D10+K_turn*(Eff_target-D10)+B10</f>
        <v>74.6095069112478</v>
      </c>
      <c r="E11" s="20" t="n">
        <f aca="false">E10+F10*(Eff_target-E10)+B10</f>
        <v>74.6095069112478</v>
      </c>
      <c r="F11" s="22" t="n">
        <f aca="false">F10+IF(A10&gt;=$B$3,$B$5*((E10-Eff_target)^2-$B$6),0)</f>
        <v>0.451188363905974</v>
      </c>
      <c r="G11" s="23" t="n">
        <f aca="false">E11-D11</f>
        <v>0</v>
      </c>
    </row>
    <row r="12" customFormat="false" ht="15" hidden="false" customHeight="false" outlineLevel="0" collapsed="false">
      <c r="A12" s="18" t="n">
        <v>2</v>
      </c>
      <c r="B12" s="20" t="n">
        <f aca="false">IF(A12&gt;=$B$3,-$B$4,0)</f>
        <v>0</v>
      </c>
      <c r="C12" s="20" t="n">
        <f aca="false">IF(A11&lt;$B$3,D12,C11+B11)</f>
        <v>76.5904463047024</v>
      </c>
      <c r="D12" s="20" t="n">
        <f aca="false">D11+K_turn*(Eff_target-D11)+B11</f>
        <v>76.5904463047024</v>
      </c>
      <c r="E12" s="20" t="n">
        <f aca="false">E11+F11*(Eff_target-E11)+B11</f>
        <v>76.5904463047024</v>
      </c>
      <c r="F12" s="22" t="n">
        <f aca="false">F11+IF(A11&gt;=$B$3,$B$5*((E11-Eff_target)^2-$B$6),0)</f>
        <v>0.451188363905974</v>
      </c>
      <c r="G12" s="23" t="n">
        <f aca="false">E12-D12</f>
        <v>0</v>
      </c>
    </row>
    <row r="13" customFormat="false" ht="15" hidden="false" customHeight="false" outlineLevel="0" collapsed="false">
      <c r="A13" s="18" t="n">
        <v>3</v>
      </c>
      <c r="B13" s="20" t="n">
        <f aca="false">IF(A13&gt;=$B$3,-$B$4,0)</f>
        <v>0</v>
      </c>
      <c r="C13" s="20" t="n">
        <f aca="false">IF(A12&lt;$B$3,D13,C12+B12)</f>
        <v>77.6776088942273</v>
      </c>
      <c r="D13" s="20" t="n">
        <f aca="false">D12+K_turn*(Eff_target-D12)+B12</f>
        <v>77.6776088942273</v>
      </c>
      <c r="E13" s="20" t="n">
        <f aca="false">E12+F12*(Eff_target-E12)+B12</f>
        <v>77.6776088942273</v>
      </c>
      <c r="F13" s="22" t="n">
        <f aca="false">F12+IF(A12&gt;=$B$3,$B$5*((E12-Eff_target)^2-$B$6),0)</f>
        <v>0.451188363905974</v>
      </c>
      <c r="G13" s="23" t="n">
        <f aca="false">E13-D13</f>
        <v>0</v>
      </c>
    </row>
    <row r="14" customFormat="false" ht="15" hidden="false" customHeight="false" outlineLevel="0" collapsed="false">
      <c r="A14" s="18" t="n">
        <v>4</v>
      </c>
      <c r="B14" s="20" t="n">
        <f aca="false">IF(A14&gt;=$B$3,-$B$4,0)</f>
        <v>0</v>
      </c>
      <c r="C14" s="20" t="n">
        <f aca="false">IF(A13&lt;$B$3,D14,C13+B13)</f>
        <v>78.2742563736847</v>
      </c>
      <c r="D14" s="20" t="n">
        <f aca="false">D13+K_turn*(Eff_target-D13)+B13</f>
        <v>78.2742563736847</v>
      </c>
      <c r="E14" s="20" t="n">
        <f aca="false">E13+F13*(Eff_target-E13)+B13</f>
        <v>78.2742563736847</v>
      </c>
      <c r="F14" s="22" t="n">
        <f aca="false">F13+IF(A13&gt;=$B$3,$B$5*((E13-Eff_target)^2-$B$6),0)</f>
        <v>0.451188363905974</v>
      </c>
      <c r="G14" s="23" t="n">
        <f aca="false">E14-D14</f>
        <v>0</v>
      </c>
    </row>
    <row r="15" customFormat="false" ht="15" hidden="false" customHeight="false" outlineLevel="0" collapsed="false">
      <c r="A15" s="18" t="n">
        <v>5</v>
      </c>
      <c r="B15" s="20" t="n">
        <f aca="false">IF(A15&gt;=$B$3,-$B$4,0)</f>
        <v>-1</v>
      </c>
      <c r="C15" s="20" t="n">
        <f aca="false">IF(A14&lt;$B$3,D15,C14+B14)</f>
        <v>78.6017034530571</v>
      </c>
      <c r="D15" s="20" t="n">
        <f aca="false">D14+K_turn*(Eff_target-D14)+B14</f>
        <v>78.6017034530571</v>
      </c>
      <c r="E15" s="20" t="n">
        <f aca="false">E14+F14*(Eff_target-E14)+B14</f>
        <v>78.6017034530571</v>
      </c>
      <c r="F15" s="22" t="n">
        <f aca="false">F14+IF(A14&gt;=$B$3,$B$5*((E14-Eff_target)^2-$B$6),0)</f>
        <v>0.451188363905974</v>
      </c>
      <c r="G15" s="23" t="n">
        <f aca="false">E15-D15</f>
        <v>0</v>
      </c>
    </row>
    <row r="16" customFormat="false" ht="15" hidden="false" customHeight="false" outlineLevel="0" collapsed="false">
      <c r="A16" s="18" t="n">
        <v>6</v>
      </c>
      <c r="B16" s="20" t="n">
        <f aca="false">IF(A16&gt;=$B$3,-$B$4,0)</f>
        <v>-1</v>
      </c>
      <c r="C16" s="20" t="n">
        <f aca="false">IF(A15&lt;$B$3,D16,C15+B15)</f>
        <v>77.6017034530571</v>
      </c>
      <c r="D16" s="20" t="n">
        <f aca="false">D15+K_turn*(Eff_target-D15)+B15</f>
        <v>77.7814102204217</v>
      </c>
      <c r="E16" s="20" t="n">
        <f aca="false">E15+F15*(Eff_target-E15)+B15</f>
        <v>77.7814102204217</v>
      </c>
      <c r="F16" s="22" t="n">
        <f aca="false">F15+IF(A15&gt;=$B$3,$B$5*((E15-Eff_target)^2-$B$6),0)</f>
        <v>0.409120370871306</v>
      </c>
      <c r="G16" s="23" t="n">
        <f aca="false">E16-D16</f>
        <v>0</v>
      </c>
    </row>
    <row r="17" customFormat="false" ht="15" hidden="false" customHeight="false" outlineLevel="0" collapsed="false">
      <c r="A17" s="18" t="n">
        <v>7</v>
      </c>
      <c r="B17" s="20" t="n">
        <f aca="false">IF(A17&gt;=$B$3,-$B$4,0)</f>
        <v>-1</v>
      </c>
      <c r="C17" s="20" t="n">
        <f aca="false">IF(A16&lt;$B$3,D17,C16+B16)</f>
        <v>76.6017034530571</v>
      </c>
      <c r="D17" s="20" t="n">
        <f aca="false">D16+K_turn*(Eff_target-D16)+B16</f>
        <v>77.3312237493422</v>
      </c>
      <c r="E17" s="20" t="n">
        <f aca="false">E16+F16*(Eff_target-E16)+B16</f>
        <v>77.2799601229827</v>
      </c>
      <c r="F17" s="22" t="n">
        <f aca="false">F16+IF(A16&gt;=$B$3,$B$5*((E16-Eff_target)^2-$B$6),0)</f>
        <v>0.433368423415945</v>
      </c>
      <c r="G17" s="23" t="n">
        <f aca="false">E17-D17</f>
        <v>-0.0512636263594288</v>
      </c>
    </row>
    <row r="18" customFormat="false" ht="15" hidden="false" customHeight="false" outlineLevel="0" collapsed="false">
      <c r="A18" s="18" t="n">
        <v>8</v>
      </c>
      <c r="B18" s="20" t="n">
        <f aca="false">IF(A18&gt;=$B$3,-$B$4,0)</f>
        <v>-1</v>
      </c>
      <c r="C18" s="20" t="n">
        <f aca="false">IF(A17&lt;$B$3,D18,C17+B17)</f>
        <v>75.6017034530571</v>
      </c>
      <c r="D18" s="20" t="n">
        <f aca="false">D17+K_turn*(Eff_target-D17)+B17</f>
        <v>77.0841561756016</v>
      </c>
      <c r="E18" s="20" t="n">
        <f aca="false">E17+F17*(Eff_target-E17)+B17</f>
        <v>77.0253710926983</v>
      </c>
      <c r="F18" s="22" t="n">
        <f aca="false">F17+IF(A17&gt;=$B$3,$B$5*((E17-Eff_target)^2-$B$6),0)</f>
        <v>0.531295282342425</v>
      </c>
      <c r="G18" s="23" t="n">
        <f aca="false">E18-D18</f>
        <v>-0.0587850829033556</v>
      </c>
    </row>
    <row r="19" customFormat="false" ht="15" hidden="false" customHeight="false" outlineLevel="0" collapsed="false">
      <c r="A19" s="18" t="n">
        <v>9</v>
      </c>
      <c r="B19" s="20" t="n">
        <f aca="false">IF(A19&gt;=$B$3,-$B$4,0)</f>
        <v>-1</v>
      </c>
      <c r="C19" s="20" t="n">
        <f aca="false">IF(A18&lt;$B$3,D19,C18+B18)</f>
        <v>74.6017034530571</v>
      </c>
      <c r="D19" s="20" t="n">
        <f aca="false">D18+K_turn*(Eff_target-D18)+B18</f>
        <v>76.9485626162313</v>
      </c>
      <c r="E19" s="20" t="n">
        <f aca="false">E18+F18*(Eff_target-E18)+B18</f>
        <v>77.0744821155247</v>
      </c>
      <c r="F19" s="22" t="n">
        <f aca="false">F18+IF(A18&gt;=$B$3,$B$5*((E18-Eff_target)^2-$B$6),0)</f>
        <v>0.676253248420007</v>
      </c>
      <c r="G19" s="23" t="n">
        <f aca="false">E19-D19</f>
        <v>0.125919499293374</v>
      </c>
    </row>
    <row r="20" customFormat="false" ht="15" hidden="false" customHeight="false" outlineLevel="0" collapsed="false">
      <c r="A20" s="18" t="n">
        <v>10</v>
      </c>
      <c r="B20" s="20" t="n">
        <f aca="false">IF(A20&gt;=$B$3,-$B$4,0)</f>
        <v>-1</v>
      </c>
      <c r="C20" s="20" t="n">
        <f aca="false">IF(A19&lt;$B$3,D20,C19+B19)</f>
        <v>73.6017034530571</v>
      </c>
      <c r="D20" s="20" t="n">
        <f aca="false">D19+K_turn*(Eff_target-D19)+B19</f>
        <v>76.8741472930694</v>
      </c>
      <c r="E20" s="20" t="n">
        <f aca="false">E19+F19*(Eff_target-E19)+B19</f>
        <v>77.3766198397919</v>
      </c>
      <c r="F20" s="22" t="n">
        <f aca="false">F19+IF(A19&gt;=$B$3,$B$5*((E19-Eff_target)^2-$B$6),0)</f>
        <v>0.811634204591726</v>
      </c>
      <c r="G20" s="23" t="n">
        <f aca="false">E20-D20</f>
        <v>0.502472546722487</v>
      </c>
    </row>
    <row r="21" customFormat="false" ht="15" hidden="false" customHeight="false" outlineLevel="0" collapsed="false">
      <c r="A21" s="18" t="n">
        <v>11</v>
      </c>
      <c r="B21" s="20" t="n">
        <f aca="false">IF(A21&gt;=$B$3,-$B$4,0)</f>
        <v>-1</v>
      </c>
      <c r="C21" s="20" t="n">
        <f aca="false">IF(A20&lt;$B$3,D21,C20+B20)</f>
        <v>72.6017034530571</v>
      </c>
      <c r="D21" s="20" t="n">
        <f aca="false">D20+K_turn*(Eff_target-D20)+B20</f>
        <v>76.8333072978145</v>
      </c>
      <c r="E21" s="20" t="n">
        <f aca="false">E20+F20*(Eff_target-E20)+B20</f>
        <v>77.6942107048724</v>
      </c>
      <c r="F21" s="22" t="n">
        <f aca="false">F20+IF(A20&gt;=$B$3,$B$5*((E20-Eff_target)^2-$B$6),0)</f>
        <v>0.893402361819586</v>
      </c>
      <c r="G21" s="23" t="n">
        <f aca="false">E21-D21</f>
        <v>0.860903407057862</v>
      </c>
    </row>
    <row r="22" customFormat="false" ht="15" hidden="false" customHeight="false" outlineLevel="0" collapsed="false">
      <c r="A22" s="18" t="n">
        <v>12</v>
      </c>
      <c r="B22" s="20" t="n">
        <f aca="false">IF(A22&gt;=$B$3,-$B$4,0)</f>
        <v>-1</v>
      </c>
      <c r="C22" s="20" t="n">
        <f aca="false">IF(A21&lt;$B$3,D22,C21+B21)</f>
        <v>71.6017034530571</v>
      </c>
      <c r="D22" s="20" t="n">
        <f aca="false">D21+K_turn*(Eff_target-D21)+B21</f>
        <v>76.8108938332006</v>
      </c>
      <c r="E22" s="20" t="n">
        <f aca="false">E21+F21*(Eff_target-E21)+B21</f>
        <v>77.8608059451781</v>
      </c>
      <c r="F22" s="22" t="n">
        <f aca="false">F21+IF(A21&gt;=$B$3,$B$5*((E21-Eff_target)^2-$B$6),0)</f>
        <v>0.928656645983079</v>
      </c>
      <c r="G22" s="23" t="n">
        <f aca="false">E22-D22</f>
        <v>1.04991211197752</v>
      </c>
    </row>
    <row r="23" customFormat="false" ht="15" hidden="false" customHeight="false" outlineLevel="0" collapsed="false">
      <c r="A23" s="18" t="n">
        <v>13</v>
      </c>
      <c r="B23" s="20" t="n">
        <f aca="false">IF(A23&gt;=$B$3,-$B$4,0)</f>
        <v>-1</v>
      </c>
      <c r="C23" s="20" t="n">
        <f aca="false">IF(A22&lt;$B$3,D23,C22+B22)</f>
        <v>70.6017034530571</v>
      </c>
      <c r="D23" s="20" t="n">
        <f aca="false">D22+K_turn*(Eff_target-D22)+B22</f>
        <v>76.7985930630153</v>
      </c>
      <c r="E23" s="20" t="n">
        <f aca="false">E22+F22*(Eff_target-E22)+B22</f>
        <v>77.9187260752529</v>
      </c>
      <c r="F23" s="22" t="n">
        <f aca="false">F22+IF(A22&gt;=$B$3,$B$5*((E22-Eff_target)^2-$B$6),0)</f>
        <v>0.943544800710154</v>
      </c>
      <c r="G23" s="23" t="n">
        <f aca="false">E23-D23</f>
        <v>1.12013301223757</v>
      </c>
    </row>
    <row r="24" customFormat="false" ht="15" hidden="false" customHeight="false" outlineLevel="0" collapsed="false">
      <c r="A24" s="18" t="n">
        <v>14</v>
      </c>
      <c r="B24" s="20" t="n">
        <f aca="false">IF(A24&gt;=$B$3,-$B$4,0)</f>
        <v>-1</v>
      </c>
      <c r="C24" s="20" t="n">
        <f aca="false">IF(A23&lt;$B$3,D24,C23+B23)</f>
        <v>69.6017034530571</v>
      </c>
      <c r="D24" s="20" t="n">
        <f aca="false">D23+K_turn*(Eff_target-D23)+B23</f>
        <v>76.7918422572047</v>
      </c>
      <c r="E24" s="20" t="n">
        <f aca="false">E23+F23*(Eff_target-E23)+B23</f>
        <v>77.9389564650915</v>
      </c>
      <c r="F24" s="22" t="n">
        <f aca="false">F23+IF(A23&gt;=$B$3,$B$5*((E23-Eff_target)^2-$B$6),0)</f>
        <v>0.952002465727056</v>
      </c>
      <c r="G24" s="23" t="n">
        <f aca="false">E24-D24</f>
        <v>1.1471142078868</v>
      </c>
    </row>
    <row r="25" customFormat="false" ht="15" hidden="false" customHeight="false" outlineLevel="0" collapsed="false">
      <c r="A25" s="18" t="n">
        <v>15</v>
      </c>
      <c r="B25" s="20" t="n">
        <f aca="false">IF(A25&gt;=$B$3,-$B$4,0)</f>
        <v>-1</v>
      </c>
      <c r="C25" s="20" t="n">
        <f aca="false">IF(A24&lt;$B$3,D25,C24+B24)</f>
        <v>68.6017034530571</v>
      </c>
      <c r="D25" s="20" t="n">
        <f aca="false">D24+K_turn*(Eff_target-D24)+B24</f>
        <v>76.7881373364228</v>
      </c>
      <c r="E25" s="20" t="n">
        <f aca="false">E24+F24*(Eff_target-E24)+B24</f>
        <v>77.9490725265681</v>
      </c>
      <c r="F25" s="22" t="n">
        <f aca="false">F24+IF(A24&gt;=$B$3,$B$5*((E24-Eff_target)^2-$B$6),0)</f>
        <v>0.958293134875613</v>
      </c>
      <c r="G25" s="23" t="n">
        <f aca="false">E25-D25</f>
        <v>1.16093519014532</v>
      </c>
    </row>
    <row r="26" customFormat="false" ht="15" hidden="false" customHeight="false" outlineLevel="0" collapsed="false">
      <c r="A26" s="18" t="n">
        <v>16</v>
      </c>
      <c r="B26" s="20" t="n">
        <f aca="false">IF(A26&gt;=$B$3,-$B$4,0)</f>
        <v>-1</v>
      </c>
      <c r="C26" s="20" t="n">
        <f aca="false">IF(A25&lt;$B$3,D26,C25+B25)</f>
        <v>67.6017034530571</v>
      </c>
      <c r="D26" s="20" t="n">
        <f aca="false">D25+K_turn*(Eff_target-D25)+B25</f>
        <v>76.7861040327869</v>
      </c>
      <c r="E26" s="20" t="n">
        <f aca="false">E25+F25*(Eff_target-E25)+B25</f>
        <v>77.9561691096101</v>
      </c>
      <c r="F26" s="22" t="n">
        <f aca="false">F25+IF(A25&gt;=$B$3,$B$5*((E25-Eff_target)^2-$B$6),0)</f>
        <v>0.963515562596306</v>
      </c>
      <c r="G26" s="23" t="n">
        <f aca="false">E26-D26</f>
        <v>1.17006507682314</v>
      </c>
    </row>
    <row r="27" customFormat="false" ht="15" hidden="false" customHeight="false" outlineLevel="0" collapsed="false">
      <c r="A27" s="18" t="n">
        <v>17</v>
      </c>
      <c r="B27" s="20" t="n">
        <f aca="false">IF(A27&gt;=$B$3,-$B$4,0)</f>
        <v>-1</v>
      </c>
      <c r="C27" s="20" t="n">
        <f aca="false">IF(A26&lt;$B$3,D27,C26+B26)</f>
        <v>66.6017034530571</v>
      </c>
      <c r="D27" s="20" t="n">
        <f aca="false">D26+K_turn*(Eff_target-D26)+B26</f>
        <v>76.7849881320918</v>
      </c>
      <c r="E27" s="20" t="n">
        <f aca="false">E26+F26*(Eff_target-E26)+B26</f>
        <v>77.9619164172195</v>
      </c>
      <c r="F27" s="22" t="n">
        <f aca="false">F26+IF(A26&gt;=$B$3,$B$5*((E26-Eff_target)^2-$B$6),0)</f>
        <v>0.967994708982919</v>
      </c>
      <c r="G27" s="23" t="n">
        <f aca="false">E27-D27</f>
        <v>1.1769282851277</v>
      </c>
    </row>
    <row r="28" customFormat="false" ht="15" hidden="false" customHeight="false" outlineLevel="0" collapsed="false">
      <c r="A28" s="18" t="n">
        <v>18</v>
      </c>
      <c r="B28" s="20" t="n">
        <f aca="false">IF(A28&gt;=$B$3,-$B$4,0)</f>
        <v>-1</v>
      </c>
      <c r="C28" s="20" t="n">
        <f aca="false">IF(A27&lt;$B$3,D28,C27+B27)</f>
        <v>65.6017034530571</v>
      </c>
      <c r="D28" s="20" t="n">
        <f aca="false">D27+K_turn*(Eff_target-D27)+B27</f>
        <v>76.7843757128056</v>
      </c>
      <c r="E28" s="20" t="n">
        <f aca="false">E27+F27*(Eff_target-E27)+B27</f>
        <v>77.9667758328331</v>
      </c>
      <c r="F28" s="22" t="n">
        <f aca="false">F27+IF(A27&gt;=$B$3,$B$5*((E27-Eff_target)^2-$B$6),0)</f>
        <v>0.971875585224836</v>
      </c>
      <c r="G28" s="23" t="n">
        <f aca="false">E28-D28</f>
        <v>1.18240012002742</v>
      </c>
    </row>
    <row r="29" customFormat="false" ht="15" hidden="false" customHeight="false" outlineLevel="0" collapsed="false">
      <c r="A29" s="18" t="n">
        <v>19</v>
      </c>
      <c r="B29" s="20" t="n">
        <f aca="false">IF(A29&gt;=$B$3,-$B$4,0)</f>
        <v>-1</v>
      </c>
      <c r="C29" s="20" t="n">
        <f aca="false">IF(A28&lt;$B$3,D29,C28+B28)</f>
        <v>64.6017034530571</v>
      </c>
      <c r="D29" s="20" t="n">
        <f aca="false">D28+K_turn*(Eff_target-D28)+B28</f>
        <v>76.7840396099752</v>
      </c>
      <c r="E29" s="20" t="n">
        <f aca="false">E28+F28*(Eff_target-E28)+B28</f>
        <v>77.9709411749669</v>
      </c>
      <c r="F29" s="22" t="n">
        <f aca="false">F28+IF(A28&gt;=$B$3,$B$5*((E28-Eff_target)^2-$B$6),0)</f>
        <v>0.975253194205728</v>
      </c>
      <c r="G29" s="23" t="n">
        <f aca="false">E29-D29</f>
        <v>1.18690156499167</v>
      </c>
    </row>
    <row r="30" customFormat="false" ht="15" hidden="false" customHeight="false" outlineLevel="0" collapsed="false">
      <c r="A30" s="18" t="n">
        <v>20</v>
      </c>
      <c r="B30" s="20" t="n">
        <f aca="false">IF(A30&gt;=$B$3,-$B$4,0)</f>
        <v>-1</v>
      </c>
      <c r="C30" s="20" t="n">
        <f aca="false">IF(A29&lt;$B$3,D30,C29+B29)</f>
        <v>63.6017034530571</v>
      </c>
      <c r="D30" s="20" t="n">
        <f aca="false">D29+K_turn*(Eff_target-D29)+B29</f>
        <v>76.7838551528309</v>
      </c>
      <c r="E30" s="20" t="n">
        <f aca="false">E29+F29*(Eff_target-E29)+B29</f>
        <v>77.974534081106</v>
      </c>
      <c r="F30" s="22" t="n">
        <f aca="false">F29+IF(A29&gt;=$B$3,$B$5*((E29-Eff_target)^2-$B$6),0)</f>
        <v>0.978201297474656</v>
      </c>
      <c r="G30" s="23" t="n">
        <f aca="false">E30-D30</f>
        <v>1.19067892827511</v>
      </c>
    </row>
    <row r="32" customFormat="false" ht="15" hidden="false" customHeight="false" outlineLevel="0" collapsed="false">
      <c r="A32" s="2" t="s">
        <v>211</v>
      </c>
      <c r="B32" s="20" t="n">
        <f aca="false">$B$4/K_turn</f>
        <v>2.21636921516087</v>
      </c>
    </row>
    <row r="33" customFormat="false" ht="15" hidden="false" customHeight="false" outlineLevel="0" collapsed="false">
      <c r="A33" s="2" t="s">
        <v>212</v>
      </c>
      <c r="B33" s="20" t="n">
        <f aca="false">Eff_target-$B$4/K_turn</f>
        <v>76.7836307848391</v>
      </c>
    </row>
    <row r="34" customFormat="false" ht="15" hidden="false" customHeight="false" outlineLevel="0" collapsed="false">
      <c r="A34" s="2" t="s">
        <v>213</v>
      </c>
      <c r="B34" s="20" t="n">
        <f aca="false">E30</f>
        <v>77.974534081106</v>
      </c>
    </row>
    <row r="35" customFormat="false" ht="15" hidden="false" customHeight="false" outlineLevel="0" collapsed="false">
      <c r="A35" s="2" t="s">
        <v>214</v>
      </c>
      <c r="B35" s="22" t="n">
        <f aca="false">F30</f>
        <v>0.978201297474656</v>
      </c>
    </row>
    <row r="36" customFormat="false" ht="15" hidden="false" customHeight="false" outlineLevel="0" collapsed="false">
      <c r="A36" s="2" t="s">
        <v>215</v>
      </c>
      <c r="B36" s="20" t="n">
        <f aca="false">Eff_target-SQRT($B$6)</f>
        <v>78</v>
      </c>
    </row>
    <row r="39" customFormat="false" ht="15" hidden="false" customHeight="false" outlineLevel="0" collapsed="false">
      <c r="A39" s="8" t="s">
        <v>216</v>
      </c>
      <c r="B39" s="8" t="s">
        <v>19</v>
      </c>
    </row>
    <row r="40" customFormat="false" ht="15" hidden="false" customHeight="false" outlineLevel="0" collapsed="false">
      <c r="A40" s="2" t="s">
        <v>217</v>
      </c>
      <c r="B40" s="15" t="n">
        <v>1.5</v>
      </c>
    </row>
    <row r="41" customFormat="false" ht="15" hidden="false" customHeight="false" outlineLevel="0" collapsed="false">
      <c r="A41" s="2" t="s">
        <v>218</v>
      </c>
      <c r="B41" s="15" t="n">
        <v>0.4</v>
      </c>
    </row>
    <row r="42" customFormat="false" ht="15" hidden="false" customHeight="false" outlineLevel="0" collapsed="false">
      <c r="A42" s="2" t="s">
        <v>219</v>
      </c>
      <c r="B42" s="19" t="n">
        <v>0.05</v>
      </c>
    </row>
    <row r="43" customFormat="false" ht="15" hidden="false" customHeight="false" outlineLevel="0" collapsed="false">
      <c r="A43" s="2" t="s">
        <v>220</v>
      </c>
      <c r="B43" s="15" t="n">
        <v>1</v>
      </c>
    </row>
    <row r="44" customFormat="false" ht="15" hidden="false" customHeight="false" outlineLevel="0" collapsed="false">
      <c r="A44" s="2" t="s">
        <v>221</v>
      </c>
      <c r="B44" s="15" t="n">
        <v>0.9</v>
      </c>
    </row>
    <row r="45" customFormat="false" ht="15" hidden="false" customHeight="false" outlineLevel="0" collapsed="false">
      <c r="A45" s="8" t="s">
        <v>222</v>
      </c>
      <c r="B45" s="8" t="s">
        <v>223</v>
      </c>
      <c r="C45" s="8" t="s">
        <v>224</v>
      </c>
      <c r="D45" s="8" t="s">
        <v>225</v>
      </c>
      <c r="E45" s="8" t="s">
        <v>226</v>
      </c>
      <c r="F45" s="8" t="s">
        <v>227</v>
      </c>
      <c r="G45" s="8" t="s">
        <v>228</v>
      </c>
      <c r="H45" s="8" t="s">
        <v>195</v>
      </c>
    </row>
    <row r="46" customFormat="false" ht="15" hidden="false" customHeight="false" outlineLevel="0" collapsed="false">
      <c r="A46" s="18" t="n">
        <v>0</v>
      </c>
      <c r="B46" s="20" t="n">
        <f aca="false">0.5*(-1)^A46</f>
        <v>0.5</v>
      </c>
      <c r="C46" s="16" t="n">
        <f aca="false">-E46*D46</f>
        <v>-0.6</v>
      </c>
      <c r="D46" s="16" t="n">
        <f aca="false">$B$40</f>
        <v>1.5</v>
      </c>
      <c r="E46" s="16" t="n">
        <f aca="false">$B$41</f>
        <v>0.4</v>
      </c>
      <c r="F46" s="16" t="n">
        <f aca="false">$B$40</f>
        <v>1.5</v>
      </c>
      <c r="G46" s="16" t="n">
        <f aca="false">$B$41</f>
        <v>0.4</v>
      </c>
      <c r="H46" s="21" t="n">
        <f aca="false">MAX(ABS(D46-F46),ABS(E46-G46))</f>
        <v>0</v>
      </c>
    </row>
    <row r="47" customFormat="false" ht="15" hidden="false" customHeight="false" outlineLevel="0" collapsed="false">
      <c r="A47" s="18" t="n">
        <v>1</v>
      </c>
      <c r="B47" s="20" t="n">
        <f aca="false">0.5*(-1)^A47</f>
        <v>-0.5</v>
      </c>
      <c r="C47" s="16" t="n">
        <f aca="false">-E47*D47</f>
        <v>-0.578125</v>
      </c>
      <c r="D47" s="16" t="n">
        <f aca="false">$B$44*D46+C46+B46</f>
        <v>1.25</v>
      </c>
      <c r="E47" s="16" t="n">
        <f aca="false">E46+$B$42*(D46^2-$B$43)</f>
        <v>0.4625</v>
      </c>
      <c r="F47" s="16" t="n">
        <f aca="false">($B$44-G46)*F46+B46</f>
        <v>1.25</v>
      </c>
      <c r="G47" s="16" t="n">
        <f aca="false">G46+$B$42*(F46^2-$B$43)</f>
        <v>0.4625</v>
      </c>
      <c r="H47" s="21" t="n">
        <f aca="false">MAX(ABS(D47-F47),ABS(E47-G47))</f>
        <v>0</v>
      </c>
    </row>
    <row r="48" customFormat="false" ht="15" hidden="false" customHeight="false" outlineLevel="0" collapsed="false">
      <c r="A48" s="18" t="n">
        <v>2</v>
      </c>
      <c r="B48" s="20" t="n">
        <f aca="false">0.5*(-1)^A48</f>
        <v>0.5</v>
      </c>
      <c r="C48" s="16" t="n">
        <f aca="false">-E48*D48</f>
        <v>-0.022998046875</v>
      </c>
      <c r="D48" s="16" t="n">
        <f aca="false">$B$44*D47+C47+B47</f>
        <v>0.046875</v>
      </c>
      <c r="E48" s="16" t="n">
        <f aca="false">E47+$B$42*(D47^2-$B$43)</f>
        <v>0.490625</v>
      </c>
      <c r="F48" s="16" t="n">
        <f aca="false">($B$44-G47)*F47+B47</f>
        <v>0.046875</v>
      </c>
      <c r="G48" s="16" t="n">
        <f aca="false">G47+$B$42*(F47^2-$B$43)</f>
        <v>0.490625</v>
      </c>
      <c r="H48" s="21" t="n">
        <f aca="false">MAX(ABS(D48-F48),ABS(E48-G48))</f>
        <v>0</v>
      </c>
    </row>
    <row r="49" customFormat="false" ht="15" hidden="false" customHeight="false" outlineLevel="0" collapsed="false">
      <c r="A49" s="18" t="n">
        <v>3</v>
      </c>
      <c r="B49" s="20" t="n">
        <f aca="false">0.5*(-1)^A49</f>
        <v>-0.5</v>
      </c>
      <c r="C49" s="16" t="n">
        <f aca="false">-E49*D49</f>
        <v>-0.228824892640114</v>
      </c>
      <c r="D49" s="16" t="n">
        <f aca="false">$B$44*D48+C48+B48</f>
        <v>0.519189453125</v>
      </c>
      <c r="E49" s="16" t="n">
        <f aca="false">E48+$B$42*(D48^2-$B$43)</f>
        <v>0.44073486328125</v>
      </c>
      <c r="F49" s="16" t="n">
        <f aca="false">($B$44-G48)*F48+B48</f>
        <v>0.519189453125</v>
      </c>
      <c r="G49" s="16" t="n">
        <f aca="false">G48+$B$42*(F48^2-$B$43)</f>
        <v>0.44073486328125</v>
      </c>
      <c r="H49" s="21" t="n">
        <f aca="false">MAX(ABS(D49-F49),ABS(E49-G49))</f>
        <v>0</v>
      </c>
    </row>
    <row r="50" customFormat="false" ht="15" hidden="false" customHeight="false" outlineLevel="0" collapsed="false">
      <c r="A50" s="18" t="n">
        <v>4</v>
      </c>
      <c r="B50" s="20" t="n">
        <f aca="false">0.5*(-1)^A50</f>
        <v>0.5</v>
      </c>
      <c r="C50" s="16" t="n">
        <f aca="false">-E50*D50</f>
        <v>0.105723616562338</v>
      </c>
      <c r="D50" s="16" t="n">
        <f aca="false">$B$44*D49+C49+B49</f>
        <v>-0.261554384827614</v>
      </c>
      <c r="E50" s="16" t="n">
        <f aca="false">E49+$B$42*(D49^2-$B$43)</f>
        <v>0.404212747693062</v>
      </c>
      <c r="F50" s="16" t="n">
        <f aca="false">($B$44-G49)*F49+B49</f>
        <v>-0.261554384827614</v>
      </c>
      <c r="G50" s="16" t="n">
        <f aca="false">G49+$B$42*(F49^2-$B$43)</f>
        <v>0.404212747693062</v>
      </c>
      <c r="H50" s="21" t="n">
        <f aca="false">MAX(ABS(D50-F50),ABS(E50-G50))</f>
        <v>0</v>
      </c>
    </row>
    <row r="51" customFormat="false" ht="15" hidden="false" customHeight="false" outlineLevel="0" collapsed="false">
      <c r="A51" s="18" t="n">
        <v>5</v>
      </c>
      <c r="B51" s="20" t="n">
        <f aca="false">0.5*(-1)^A51</f>
        <v>-0.5</v>
      </c>
      <c r="C51" s="16" t="n">
        <f aca="false">-E51*D51</f>
        <v>-0.132440427402161</v>
      </c>
      <c r="D51" s="16" t="n">
        <f aca="false">$B$44*D50+C50+B50</f>
        <v>0.370324670217486</v>
      </c>
      <c r="E51" s="16" t="n">
        <f aca="false">E50+$B$42*(D50^2-$B$43)</f>
        <v>0.357633282504189</v>
      </c>
      <c r="F51" s="16" t="n">
        <f aca="false">($B$44-G50)*F50+B50</f>
        <v>0.370324670217486</v>
      </c>
      <c r="G51" s="16" t="n">
        <f aca="false">G50+$B$42*(F50^2-$B$43)</f>
        <v>0.357633282504189</v>
      </c>
      <c r="H51" s="21" t="n">
        <f aca="false">MAX(ABS(D51-F51),ABS(E51-G51))</f>
        <v>0</v>
      </c>
    </row>
    <row r="52" customFormat="false" ht="15" hidden="false" customHeight="false" outlineLevel="0" collapsed="false">
      <c r="A52" s="18" t="n">
        <v>6</v>
      </c>
      <c r="B52" s="20" t="n">
        <f aca="false">0.5*(-1)^A52</f>
        <v>0.5</v>
      </c>
      <c r="C52" s="16" t="n">
        <f aca="false">-E52*D52</f>
        <v>0.0940792149464897</v>
      </c>
      <c r="D52" s="16" t="n">
        <f aca="false">$B$44*D51+C51+B51</f>
        <v>-0.299148224206424</v>
      </c>
      <c r="E52" s="16" t="n">
        <f aca="false">E51+$B$42*(D51^2-$B$43)</f>
        <v>0.314490300572774</v>
      </c>
      <c r="F52" s="16" t="n">
        <f aca="false">($B$44-G51)*F51+B51</f>
        <v>-0.299148224206424</v>
      </c>
      <c r="G52" s="16" t="n">
        <f aca="false">G51+$B$42*(F51^2-$B$43)</f>
        <v>0.314490300572774</v>
      </c>
      <c r="H52" s="21" t="n">
        <f aca="false">MAX(ABS(D52-F52),ABS(E52-G52))</f>
        <v>0</v>
      </c>
    </row>
    <row r="53" customFormat="false" ht="15" hidden="false" customHeight="false" outlineLevel="0" collapsed="false">
      <c r="A53" s="18" t="n">
        <v>7</v>
      </c>
      <c r="B53" s="20" t="n">
        <f aca="false">0.5*(-1)^A53</f>
        <v>-0.5</v>
      </c>
      <c r="C53" s="16" t="n">
        <f aca="false">-E53*D53</f>
        <v>-0.0873720838320365</v>
      </c>
      <c r="D53" s="16" t="n">
        <f aca="false">$B$44*D52+C52+B52</f>
        <v>0.324845813160708</v>
      </c>
      <c r="E53" s="16" t="n">
        <f aca="false">E52+$B$42*(D52^2-$B$43)</f>
        <v>0.268964783575067</v>
      </c>
      <c r="F53" s="16" t="n">
        <f aca="false">($B$44-G52)*F52+B52</f>
        <v>0.324845813160708</v>
      </c>
      <c r="G53" s="16" t="n">
        <f aca="false">G52+$B$42*(F52^2-$B$43)</f>
        <v>0.268964783575067</v>
      </c>
      <c r="H53" s="21" t="n">
        <f aca="false">MAX(ABS(D53-F53),ABS(E53-G53))</f>
        <v>0</v>
      </c>
    </row>
    <row r="54" customFormat="false" ht="15" hidden="false" customHeight="false" outlineLevel="0" collapsed="false">
      <c r="A54" s="18" t="n">
        <v>8</v>
      </c>
      <c r="B54" s="20" t="n">
        <f aca="false">0.5*(-1)^A54</f>
        <v>0.5</v>
      </c>
      <c r="C54" s="16" t="n">
        <f aca="false">-E54*D54</f>
        <v>0.0661535354497467</v>
      </c>
      <c r="D54" s="16" t="n">
        <f aca="false">$B$44*D53+C53+B53</f>
        <v>-0.295010851987399</v>
      </c>
      <c r="E54" s="16" t="n">
        <f aca="false">E53+$B$42*(D53^2-$B$43)</f>
        <v>0.224241023691469</v>
      </c>
      <c r="F54" s="16" t="n">
        <f aca="false">($B$44-G53)*F53+B53</f>
        <v>-0.295010851987399</v>
      </c>
      <c r="G54" s="16" t="n">
        <f aca="false">G53+$B$42*(F53^2-$B$43)</f>
        <v>0.224241023691469</v>
      </c>
      <c r="H54" s="21" t="n">
        <f aca="false">MAX(ABS(D54-F54),ABS(E54-G54))</f>
        <v>0</v>
      </c>
    </row>
    <row r="55" customFormat="false" ht="15" hidden="false" customHeight="false" outlineLevel="0" collapsed="false">
      <c r="A55" s="18" t="n">
        <v>9</v>
      </c>
      <c r="B55" s="20" t="n">
        <f aca="false">0.5*(-1)^A55</f>
        <v>-0.5</v>
      </c>
      <c r="C55" s="16" t="n">
        <f aca="false">-E55*D55</f>
        <v>-0.0536927504643063</v>
      </c>
      <c r="D55" s="16" t="n">
        <f aca="false">$B$44*D54+C54+B54</f>
        <v>0.300643768661088</v>
      </c>
      <c r="E55" s="16" t="n">
        <f aca="false">E54+$B$42*(D54^2-$B$43)</f>
        <v>0.178592593830985</v>
      </c>
      <c r="F55" s="16" t="n">
        <f aca="false">($B$44-G54)*F54+B54</f>
        <v>0.300643768661088</v>
      </c>
      <c r="G55" s="16" t="n">
        <f aca="false">G54+$B$42*(F54^2-$B$43)</f>
        <v>0.178592593830985</v>
      </c>
      <c r="H55" s="21" t="n">
        <f aca="false">MAX(ABS(D55-F55),ABS(E55-G55))</f>
        <v>0</v>
      </c>
    </row>
    <row r="56" customFormat="false" ht="15" hidden="false" customHeight="false" outlineLevel="0" collapsed="false">
      <c r="A56" s="18" t="n">
        <v>10</v>
      </c>
      <c r="B56" s="20" t="n">
        <f aca="false">0.5*(-1)^A56</f>
        <v>0.5</v>
      </c>
      <c r="C56" s="16" t="n">
        <f aca="false">-E56*D56</f>
        <v>0.0376857649053862</v>
      </c>
      <c r="D56" s="16" t="n">
        <f aca="false">$B$44*D55+C55+B55</f>
        <v>-0.283113358669327</v>
      </c>
      <c r="E56" s="16" t="n">
        <f aca="false">E55+$B$42*(D55^2-$B$43)</f>
        <v>0.133111927612722</v>
      </c>
      <c r="F56" s="16" t="n">
        <f aca="false">($B$44-G55)*F55+B55</f>
        <v>-0.283113358669327</v>
      </c>
      <c r="G56" s="16" t="n">
        <f aca="false">G55+$B$42*(F55^2-$B$43)</f>
        <v>0.133111927612722</v>
      </c>
      <c r="H56" s="21" t="n">
        <f aca="false">MAX(ABS(D56-F56),ABS(E56-G56))</f>
        <v>0</v>
      </c>
    </row>
    <row r="57" customFormat="false" ht="15" hidden="false" customHeight="false" outlineLevel="0" collapsed="false">
      <c r="A57" s="18" t="n">
        <v>11</v>
      </c>
      <c r="B57" s="20" t="n">
        <f aca="false">0.5*(-1)^A57</f>
        <v>-0.5</v>
      </c>
      <c r="C57" s="16" t="n">
        <f aca="false">-E57*D57</f>
        <v>-0.0246447145845852</v>
      </c>
      <c r="D57" s="16" t="n">
        <f aca="false">$B$44*D56+C56+B56</f>
        <v>0.282883742102992</v>
      </c>
      <c r="E57" s="16" t="n">
        <f aca="false">E56+$B$42*(D56^2-$B$43)</f>
        <v>0.0871195863055737</v>
      </c>
      <c r="F57" s="16" t="n">
        <f aca="false">($B$44-G56)*F56+B56</f>
        <v>0.282883742102992</v>
      </c>
      <c r="G57" s="16" t="n">
        <f aca="false">G56+$B$42*(F56^2-$B$43)</f>
        <v>0.0871195863055737</v>
      </c>
      <c r="H57" s="21" t="n">
        <f aca="false">MAX(ABS(D57-F57),ABS(E57-G57))</f>
        <v>0</v>
      </c>
    </row>
    <row r="58" customFormat="false" ht="15" hidden="false" customHeight="false" outlineLevel="0" collapsed="false">
      <c r="A58" s="18" t="n">
        <v>12</v>
      </c>
      <c r="B58" s="20" t="n">
        <f aca="false">0.5*(-1)^A58</f>
        <v>0.5</v>
      </c>
      <c r="C58" s="16" t="n">
        <f aca="false">-E58*D58</f>
        <v>0.0111046308312053</v>
      </c>
      <c r="D58" s="16" t="n">
        <f aca="false">$B$44*D57+C57+B57</f>
        <v>-0.270049346691893</v>
      </c>
      <c r="E58" s="16" t="n">
        <f aca="false">E57+$B$42*(D57^2-$B$43)</f>
        <v>0.0411207468828833</v>
      </c>
      <c r="F58" s="16" t="n">
        <f aca="false">($B$44-G57)*F57+B57</f>
        <v>-0.270049346691893</v>
      </c>
      <c r="G58" s="16" t="n">
        <f aca="false">G57+$B$42*(F57^2-$B$43)</f>
        <v>0.0411207468828833</v>
      </c>
      <c r="H58" s="21" t="n">
        <f aca="false">MAX(ABS(D58-F58),ABS(E58-G58))</f>
        <v>0</v>
      </c>
    </row>
    <row r="60" customFormat="false" ht="15" hidden="false" customHeight="false" outlineLevel="0" collapsed="false">
      <c r="A60" s="0" t="s">
        <v>229</v>
      </c>
      <c r="B60" s="21" t="n">
        <f aca="false">MAX(H46:H58)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0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1" t="s">
        <v>230</v>
      </c>
    </row>
    <row r="2" customFormat="false" ht="15" hidden="false" customHeight="false" outlineLevel="0" collapsed="false">
      <c r="A2" s="10" t="s">
        <v>231</v>
      </c>
    </row>
    <row r="4" customFormat="false" ht="15" hidden="false" customHeight="false" outlineLevel="0" collapsed="false">
      <c r="A4" s="8" t="s">
        <v>232</v>
      </c>
      <c r="B4" s="8" t="s">
        <v>233</v>
      </c>
      <c r="C4" s="8" t="s">
        <v>234</v>
      </c>
    </row>
    <row r="5" customFormat="false" ht="15" hidden="false" customHeight="false" outlineLevel="0" collapsed="false">
      <c r="A5" s="20" t="n">
        <v>-2</v>
      </c>
      <c r="B5" s="20" t="n">
        <f aca="false">(A5+1)-A5</f>
        <v>1</v>
      </c>
      <c r="C5" s="16" t="n">
        <f aca="false">A5^2-A5</f>
        <v>6</v>
      </c>
    </row>
    <row r="6" customFormat="false" ht="15" hidden="false" customHeight="false" outlineLevel="0" collapsed="false">
      <c r="A6" s="20" t="n">
        <v>-1.75</v>
      </c>
      <c r="B6" s="20" t="n">
        <f aca="false">(A6+1)-A6</f>
        <v>1</v>
      </c>
      <c r="C6" s="16" t="n">
        <f aca="false">A6^2-A6</f>
        <v>4.8125</v>
      </c>
    </row>
    <row r="7" customFormat="false" ht="15" hidden="false" customHeight="false" outlineLevel="0" collapsed="false">
      <c r="A7" s="20" t="n">
        <v>-1.5</v>
      </c>
      <c r="B7" s="20" t="n">
        <f aca="false">(A7+1)-A7</f>
        <v>1</v>
      </c>
      <c r="C7" s="16" t="n">
        <f aca="false">A7^2-A7</f>
        <v>3.75</v>
      </c>
    </row>
    <row r="8" customFormat="false" ht="15" hidden="false" customHeight="false" outlineLevel="0" collapsed="false">
      <c r="A8" s="20" t="n">
        <v>-1.25</v>
      </c>
      <c r="B8" s="20" t="n">
        <f aca="false">(A8+1)-A8</f>
        <v>1</v>
      </c>
      <c r="C8" s="16" t="n">
        <f aca="false">A8^2-A8</f>
        <v>2.8125</v>
      </c>
    </row>
    <row r="9" customFormat="false" ht="15" hidden="false" customHeight="false" outlineLevel="0" collapsed="false">
      <c r="A9" s="20" t="n">
        <v>-1</v>
      </c>
      <c r="B9" s="20" t="n">
        <f aca="false">(A9+1)-A9</f>
        <v>1</v>
      </c>
      <c r="C9" s="16" t="n">
        <f aca="false">A9^2-A9</f>
        <v>2</v>
      </c>
    </row>
    <row r="10" customFormat="false" ht="15" hidden="false" customHeight="false" outlineLevel="0" collapsed="false">
      <c r="A10" s="20" t="n">
        <v>-0.75</v>
      </c>
      <c r="B10" s="20" t="n">
        <f aca="false">(A10+1)-A10</f>
        <v>1</v>
      </c>
      <c r="C10" s="16" t="n">
        <f aca="false">A10^2-A10</f>
        <v>1.3125</v>
      </c>
    </row>
    <row r="11" customFormat="false" ht="15" hidden="false" customHeight="false" outlineLevel="0" collapsed="false">
      <c r="A11" s="20" t="n">
        <v>-0.5</v>
      </c>
      <c r="B11" s="20" t="n">
        <f aca="false">(A11+1)-A11</f>
        <v>1</v>
      </c>
      <c r="C11" s="16" t="n">
        <f aca="false">A11^2-A11</f>
        <v>0.75</v>
      </c>
    </row>
    <row r="12" customFormat="false" ht="15" hidden="false" customHeight="false" outlineLevel="0" collapsed="false">
      <c r="A12" s="20" t="n">
        <v>-0.25</v>
      </c>
      <c r="B12" s="20" t="n">
        <f aca="false">(A12+1)-A12</f>
        <v>1</v>
      </c>
      <c r="C12" s="16" t="n">
        <f aca="false">A12^2-A12</f>
        <v>0.3125</v>
      </c>
    </row>
    <row r="13" customFormat="false" ht="15" hidden="false" customHeight="false" outlineLevel="0" collapsed="false">
      <c r="A13" s="20" t="n">
        <v>0</v>
      </c>
      <c r="B13" s="20" t="n">
        <f aca="false">(A13+1)-A13</f>
        <v>1</v>
      </c>
      <c r="C13" s="16" t="n">
        <f aca="false">A13^2-A13</f>
        <v>0</v>
      </c>
    </row>
    <row r="14" customFormat="false" ht="15" hidden="false" customHeight="false" outlineLevel="0" collapsed="false">
      <c r="A14" s="20" t="n">
        <v>0.25</v>
      </c>
      <c r="B14" s="20" t="n">
        <f aca="false">(A14+1)-A14</f>
        <v>1</v>
      </c>
      <c r="C14" s="16" t="n">
        <f aca="false">A14^2-A14</f>
        <v>-0.1875</v>
      </c>
    </row>
    <row r="15" customFormat="false" ht="15" hidden="false" customHeight="false" outlineLevel="0" collapsed="false">
      <c r="A15" s="20" t="n">
        <v>0.5</v>
      </c>
      <c r="B15" s="20" t="n">
        <f aca="false">(A15+1)-A15</f>
        <v>1</v>
      </c>
      <c r="C15" s="16" t="n">
        <f aca="false">A15^2-A15</f>
        <v>-0.25</v>
      </c>
    </row>
    <row r="16" customFormat="false" ht="15" hidden="false" customHeight="false" outlineLevel="0" collapsed="false">
      <c r="A16" s="20" t="n">
        <v>0.75</v>
      </c>
      <c r="B16" s="20" t="n">
        <f aca="false">(A16+1)-A16</f>
        <v>1</v>
      </c>
      <c r="C16" s="16" t="n">
        <f aca="false">A16^2-A16</f>
        <v>-0.1875</v>
      </c>
    </row>
    <row r="17" customFormat="false" ht="15" hidden="false" customHeight="false" outlineLevel="0" collapsed="false">
      <c r="A17" s="20" t="n">
        <v>1</v>
      </c>
      <c r="B17" s="20" t="n">
        <f aca="false">(A17+1)-A17</f>
        <v>1</v>
      </c>
      <c r="C17" s="16" t="n">
        <f aca="false">A17^2-A17</f>
        <v>0</v>
      </c>
    </row>
    <row r="18" customFormat="false" ht="15" hidden="false" customHeight="false" outlineLevel="0" collapsed="false">
      <c r="A18" s="20" t="n">
        <v>1.25</v>
      </c>
      <c r="B18" s="20" t="n">
        <f aca="false">(A18+1)-A18</f>
        <v>1</v>
      </c>
      <c r="C18" s="16" t="n">
        <f aca="false">A18^2-A18</f>
        <v>0.3125</v>
      </c>
    </row>
    <row r="19" customFormat="false" ht="15" hidden="false" customHeight="false" outlineLevel="0" collapsed="false">
      <c r="A19" s="20" t="n">
        <v>1.5</v>
      </c>
      <c r="B19" s="20" t="n">
        <f aca="false">(A19+1)-A19</f>
        <v>1</v>
      </c>
      <c r="C19" s="16" t="n">
        <f aca="false">A19^2-A19</f>
        <v>0.75</v>
      </c>
    </row>
    <row r="20" customFormat="false" ht="15" hidden="false" customHeight="false" outlineLevel="0" collapsed="false">
      <c r="A20" s="20" t="n">
        <v>1.75</v>
      </c>
      <c r="B20" s="20" t="n">
        <f aca="false">(A20+1)-A20</f>
        <v>1</v>
      </c>
      <c r="C20" s="16" t="n">
        <f aca="false">A20^2-A20</f>
        <v>1.3125</v>
      </c>
    </row>
    <row r="21" customFormat="false" ht="15" hidden="false" customHeight="false" outlineLevel="0" collapsed="false">
      <c r="A21" s="20" t="n">
        <v>2</v>
      </c>
      <c r="B21" s="20" t="n">
        <f aca="false">(A21+1)-A21</f>
        <v>1</v>
      </c>
      <c r="C21" s="16" t="n">
        <f aca="false">A21^2-A21</f>
        <v>2</v>
      </c>
    </row>
    <row r="23" customFormat="false" ht="15" hidden="false" customHeight="false" outlineLevel="0" collapsed="false">
      <c r="A23" s="2" t="s">
        <v>235</v>
      </c>
      <c r="B23" s="18" t="n">
        <f aca="false">COUNTIF(B5:B21,0)</f>
        <v>0</v>
      </c>
    </row>
    <row r="24" customFormat="false" ht="15" hidden="false" customHeight="false" outlineLevel="0" collapsed="false">
      <c r="A24" s="2" t="s">
        <v>236</v>
      </c>
      <c r="B24" s="20" t="n">
        <f aca="false">MIN(B5:B21)</f>
        <v>1</v>
      </c>
    </row>
    <row r="25" customFormat="false" ht="15" hidden="false" customHeight="false" outlineLevel="0" collapsed="false">
      <c r="A25" s="2" t="s">
        <v>237</v>
      </c>
      <c r="B25" s="20" t="n">
        <f aca="false">(-1)^2-4*1*0</f>
        <v>1</v>
      </c>
    </row>
    <row r="26" customFormat="false" ht="15" hidden="false" customHeight="false" outlineLevel="0" collapsed="false">
      <c r="A26" s="2" t="s">
        <v>238</v>
      </c>
      <c r="B26" s="18" t="n">
        <f aca="false">IF(B25&gt;0,2,IF(B25=0,1,0))</f>
        <v>2</v>
      </c>
    </row>
    <row r="27" customFormat="false" ht="15" hidden="false" customHeight="false" outlineLevel="0" collapsed="false">
      <c r="A27" s="2" t="s">
        <v>239</v>
      </c>
      <c r="B27" s="20" t="n">
        <f aca="false">(1-SQRT(B25))/2</f>
        <v>0</v>
      </c>
    </row>
    <row r="28" customFormat="false" ht="15" hidden="false" customHeight="false" outlineLevel="0" collapsed="false">
      <c r="A28" s="2" t="s">
        <v>240</v>
      </c>
      <c r="B28" s="20" t="n">
        <f aca="false">(1+SQRT(B25))/2</f>
        <v>1</v>
      </c>
    </row>
    <row r="29" customFormat="false" ht="15" hidden="false" customHeight="false" outlineLevel="0" collapsed="false">
      <c r="A29" s="2" t="s">
        <v>241</v>
      </c>
      <c r="B29" s="18" t="n">
        <f aca="false">COUNTIF(C5:C21,0)</f>
        <v>2</v>
      </c>
    </row>
    <row r="31" customFormat="false" ht="23.85" hidden="false" customHeight="false" outlineLevel="0" collapsed="false">
      <c r="A31" s="8" t="s">
        <v>242</v>
      </c>
      <c r="B31" s="8" t="s">
        <v>243</v>
      </c>
    </row>
    <row r="32" customFormat="false" ht="15" hidden="false" customHeight="false" outlineLevel="0" collapsed="false">
      <c r="A32" s="18" t="n">
        <v>0</v>
      </c>
      <c r="B32" s="17" t="n">
        <v>0</v>
      </c>
    </row>
    <row r="33" customFormat="false" ht="15" hidden="false" customHeight="false" outlineLevel="0" collapsed="false">
      <c r="A33" s="18" t="n">
        <v>1</v>
      </c>
      <c r="B33" s="18" t="n">
        <f aca="false">B32+1</f>
        <v>1</v>
      </c>
    </row>
    <row r="34" customFormat="false" ht="15" hidden="false" customHeight="false" outlineLevel="0" collapsed="false">
      <c r="A34" s="18" t="n">
        <v>2</v>
      </c>
      <c r="B34" s="18" t="n">
        <f aca="false">B33+1</f>
        <v>2</v>
      </c>
    </row>
    <row r="35" customFormat="false" ht="15" hidden="false" customHeight="false" outlineLevel="0" collapsed="false">
      <c r="A35" s="18" t="n">
        <v>3</v>
      </c>
      <c r="B35" s="18" t="n">
        <f aca="false">B34+1</f>
        <v>3</v>
      </c>
    </row>
    <row r="36" customFormat="false" ht="15" hidden="false" customHeight="false" outlineLevel="0" collapsed="false">
      <c r="A36" s="18" t="n">
        <v>4</v>
      </c>
      <c r="B36" s="18" t="n">
        <f aca="false">B35+1</f>
        <v>4</v>
      </c>
    </row>
    <row r="37" customFormat="false" ht="15" hidden="false" customHeight="false" outlineLevel="0" collapsed="false">
      <c r="A37" s="18" t="n">
        <v>5</v>
      </c>
      <c r="B37" s="18" t="n">
        <f aca="false">B36+1</f>
        <v>5</v>
      </c>
    </row>
    <row r="38" customFormat="false" ht="15" hidden="false" customHeight="false" outlineLevel="0" collapsed="false">
      <c r="A38" s="18" t="n">
        <v>6</v>
      </c>
      <c r="B38" s="18" t="n">
        <f aca="false">B37+1</f>
        <v>6</v>
      </c>
    </row>
    <row r="39" customFormat="false" ht="15" hidden="false" customHeight="false" outlineLevel="0" collapsed="false">
      <c r="A39" s="18" t="n">
        <v>7</v>
      </c>
      <c r="B39" s="18" t="n">
        <f aca="false">B38+1</f>
        <v>7</v>
      </c>
    </row>
    <row r="41" customFormat="false" ht="15" hidden="false" customHeight="false" outlineLevel="0" collapsed="false">
      <c r="A41" s="10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245</v>
      </c>
    </row>
    <row r="2" customFormat="false" ht="15" hidden="false" customHeight="false" outlineLevel="0" collapsed="false">
      <c r="A2" s="10" t="s">
        <v>246</v>
      </c>
    </row>
    <row r="4" customFormat="false" ht="15" hidden="false" customHeight="false" outlineLevel="0" collapsed="false">
      <c r="A4" s="4" t="s">
        <v>247</v>
      </c>
    </row>
    <row r="5" customFormat="false" ht="15" hidden="false" customHeight="false" outlineLevel="0" collapsed="false">
      <c r="A5" s="8" t="s">
        <v>60</v>
      </c>
      <c r="B5" s="8" t="s">
        <v>61</v>
      </c>
      <c r="C5" s="8" t="s">
        <v>248</v>
      </c>
      <c r="D5" s="8" t="s">
        <v>249</v>
      </c>
    </row>
    <row r="6" customFormat="false" ht="15" hidden="false" customHeight="false" outlineLevel="0" collapsed="false">
      <c r="A6" s="5" t="s">
        <v>250</v>
      </c>
      <c r="B6" s="5" t="s">
        <v>251</v>
      </c>
      <c r="C6" s="24" t="n">
        <v>-1</v>
      </c>
      <c r="D6" s="10" t="s">
        <v>252</v>
      </c>
    </row>
    <row r="7" customFormat="false" ht="15" hidden="false" customHeight="false" outlineLevel="0" collapsed="false">
      <c r="A7" s="5" t="s">
        <v>251</v>
      </c>
      <c r="B7" s="5" t="s">
        <v>253</v>
      </c>
      <c r="C7" s="24" t="n">
        <v>-1</v>
      </c>
      <c r="D7" s="10" t="s">
        <v>254</v>
      </c>
    </row>
    <row r="8" customFormat="false" ht="15" hidden="false" customHeight="false" outlineLevel="0" collapsed="false">
      <c r="A8" s="5" t="s">
        <v>253</v>
      </c>
      <c r="B8" s="5" t="s">
        <v>250</v>
      </c>
      <c r="C8" s="24" t="n">
        <v>1</v>
      </c>
      <c r="D8" s="10" t="s">
        <v>255</v>
      </c>
    </row>
    <row r="9" customFormat="false" ht="15" hidden="false" customHeight="false" outlineLevel="0" collapsed="false">
      <c r="A9" s="2" t="s">
        <v>256</v>
      </c>
      <c r="C9" s="18" t="n">
        <f aca="false">COUNTIF(C6:C8,-1)</f>
        <v>2</v>
      </c>
    </row>
    <row r="10" customFormat="false" ht="15" hidden="false" customHeight="false" outlineLevel="0" collapsed="false">
      <c r="A10" s="2" t="s">
        <v>257</v>
      </c>
      <c r="C10" s="25" t="n">
        <f aca="false">PRODUCT(C6:C8)</f>
        <v>1</v>
      </c>
      <c r="D10" s="4" t="str">
        <f aca="false">IF(C10&gt;0,"reinforcing","balancing")</f>
        <v>reinforcing</v>
      </c>
    </row>
    <row r="12" customFormat="false" ht="15" hidden="false" customHeight="false" outlineLevel="0" collapsed="false">
      <c r="A12" s="4" t="s">
        <v>258</v>
      </c>
    </row>
    <row r="13" customFormat="false" ht="15" hidden="false" customHeight="false" outlineLevel="0" collapsed="false">
      <c r="A13" s="8" t="s">
        <v>60</v>
      </c>
      <c r="B13" s="8" t="s">
        <v>61</v>
      </c>
      <c r="C13" s="8" t="s">
        <v>248</v>
      </c>
      <c r="D13" s="8" t="s">
        <v>249</v>
      </c>
    </row>
    <row r="14" customFormat="false" ht="15" hidden="false" customHeight="false" outlineLevel="0" collapsed="false">
      <c r="A14" s="5" t="s">
        <v>259</v>
      </c>
      <c r="B14" s="5" t="s">
        <v>260</v>
      </c>
      <c r="C14" s="24" t="n">
        <v>1</v>
      </c>
      <c r="D14" s="10" t="s">
        <v>261</v>
      </c>
    </row>
    <row r="15" customFormat="false" ht="15" hidden="false" customHeight="false" outlineLevel="0" collapsed="false">
      <c r="A15" s="5" t="s">
        <v>260</v>
      </c>
      <c r="B15" s="5" t="s">
        <v>262</v>
      </c>
      <c r="C15" s="24" t="n">
        <v>1</v>
      </c>
      <c r="D15" s="10" t="s">
        <v>263</v>
      </c>
    </row>
    <row r="16" customFormat="false" ht="15" hidden="false" customHeight="false" outlineLevel="0" collapsed="false">
      <c r="A16" s="5" t="s">
        <v>262</v>
      </c>
      <c r="B16" s="5" t="s">
        <v>259</v>
      </c>
      <c r="C16" s="24" t="n">
        <v>-1</v>
      </c>
      <c r="D16" s="10" t="s">
        <v>264</v>
      </c>
    </row>
    <row r="17" customFormat="false" ht="15" hidden="false" customHeight="false" outlineLevel="0" collapsed="false">
      <c r="A17" s="2" t="s">
        <v>256</v>
      </c>
      <c r="C17" s="18" t="n">
        <f aca="false">COUNTIF(C14:C16,-1)</f>
        <v>1</v>
      </c>
    </row>
    <row r="18" customFormat="false" ht="15" hidden="false" customHeight="false" outlineLevel="0" collapsed="false">
      <c r="A18" s="2" t="s">
        <v>257</v>
      </c>
      <c r="C18" s="25" t="n">
        <f aca="false">PRODUCT(C14:C16)</f>
        <v>-1</v>
      </c>
      <c r="D18" s="4" t="str">
        <f aca="false">IF(C18&gt;0,"reinforcing","balancing")</f>
        <v>balancing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265</v>
      </c>
      <c r="B1" s="8" t="s">
        <v>266</v>
      </c>
      <c r="C1" s="8" t="s">
        <v>267</v>
      </c>
    </row>
    <row r="2" customFormat="false" ht="15" hidden="false" customHeight="false" outlineLevel="0" collapsed="false">
      <c r="A2" s="2" t="s">
        <v>25</v>
      </c>
      <c r="B2" s="26" t="n">
        <v>2562</v>
      </c>
      <c r="C2" s="2" t="s">
        <v>268</v>
      </c>
    </row>
    <row r="3" customFormat="false" ht="15" hidden="false" customHeight="false" outlineLevel="0" collapsed="false">
      <c r="A3" s="2" t="s">
        <v>269</v>
      </c>
      <c r="B3" s="26" t="n">
        <v>0.601092896174863</v>
      </c>
      <c r="C3" s="2" t="s">
        <v>30</v>
      </c>
    </row>
    <row r="4" customFormat="false" ht="15" hidden="false" customHeight="false" outlineLevel="0" collapsed="false">
      <c r="A4" s="2" t="s">
        <v>33</v>
      </c>
      <c r="B4" s="26" t="n">
        <v>1848</v>
      </c>
      <c r="C4" s="2" t="s">
        <v>270</v>
      </c>
    </row>
    <row r="5" customFormat="false" ht="15" hidden="false" customHeight="false" outlineLevel="0" collapsed="false">
      <c r="A5" s="2" t="s">
        <v>271</v>
      </c>
      <c r="B5" s="26" t="n">
        <v>1540</v>
      </c>
      <c r="C5" s="2" t="s">
        <v>272</v>
      </c>
    </row>
    <row r="6" customFormat="false" ht="15" hidden="false" customHeight="false" outlineLevel="0" collapsed="false">
      <c r="A6" s="2" t="s">
        <v>273</v>
      </c>
      <c r="B6" s="26" t="n">
        <v>1848</v>
      </c>
      <c r="C6" s="2" t="s">
        <v>274</v>
      </c>
    </row>
    <row r="7" customFormat="false" ht="15" hidden="false" customHeight="false" outlineLevel="0" collapsed="false">
      <c r="A7" s="2" t="s">
        <v>275</v>
      </c>
      <c r="B7" s="26" t="n">
        <v>308</v>
      </c>
      <c r="C7" s="2" t="s">
        <v>276</v>
      </c>
    </row>
    <row r="8" customFormat="false" ht="15" hidden="false" customHeight="false" outlineLevel="0" collapsed="false">
      <c r="A8" s="2" t="s">
        <v>277</v>
      </c>
      <c r="B8" s="26" t="n">
        <v>20</v>
      </c>
      <c r="C8" s="2" t="s">
        <v>278</v>
      </c>
    </row>
    <row r="9" customFormat="false" ht="15" hidden="false" customHeight="false" outlineLevel="0" collapsed="false">
      <c r="A9" s="2" t="s">
        <v>279</v>
      </c>
      <c r="B9" s="26" t="n">
        <v>0</v>
      </c>
      <c r="C9" s="2" t="s">
        <v>280</v>
      </c>
    </row>
    <row r="10" customFormat="false" ht="15" hidden="false" customHeight="false" outlineLevel="0" collapsed="false">
      <c r="A10" s="2" t="s">
        <v>281</v>
      </c>
      <c r="B10" s="26" t="n">
        <v>5</v>
      </c>
      <c r="C10" s="2" t="s">
        <v>280</v>
      </c>
    </row>
    <row r="11" customFormat="false" ht="15" hidden="false" customHeight="false" outlineLevel="0" collapsed="false">
      <c r="A11" s="2" t="s">
        <v>282</v>
      </c>
      <c r="B11" s="26" t="n">
        <v>2</v>
      </c>
      <c r="C11" s="2" t="s">
        <v>280</v>
      </c>
    </row>
    <row r="12" customFormat="false" ht="15" hidden="false" customHeight="false" outlineLevel="0" collapsed="false">
      <c r="A12" s="2" t="s">
        <v>283</v>
      </c>
      <c r="B12" s="26" t="n">
        <v>2</v>
      </c>
      <c r="C12" s="2" t="s">
        <v>280</v>
      </c>
    </row>
    <row r="13" customFormat="false" ht="15" hidden="false" customHeight="false" outlineLevel="0" collapsed="false">
      <c r="A13" s="2" t="s">
        <v>284</v>
      </c>
      <c r="B13" s="26" t="n">
        <v>3</v>
      </c>
      <c r="C13" s="2" t="s">
        <v>285</v>
      </c>
    </row>
    <row r="14" customFormat="false" ht="15" hidden="false" customHeight="false" outlineLevel="0" collapsed="false">
      <c r="A14" s="2" t="s">
        <v>286</v>
      </c>
      <c r="B14" s="26" t="n">
        <v>4</v>
      </c>
      <c r="C14" s="2" t="s">
        <v>285</v>
      </c>
    </row>
    <row r="15" customFormat="false" ht="15" hidden="false" customHeight="false" outlineLevel="0" collapsed="false">
      <c r="A15" s="2" t="s">
        <v>287</v>
      </c>
      <c r="B15" s="26" t="n">
        <v>2</v>
      </c>
      <c r="C15" s="2" t="s">
        <v>285</v>
      </c>
    </row>
    <row r="16" customFormat="false" ht="15" hidden="false" customHeight="false" outlineLevel="0" collapsed="false">
      <c r="A16" s="2" t="s">
        <v>288</v>
      </c>
      <c r="B16" s="26" t="n">
        <v>0</v>
      </c>
      <c r="C16" s="2" t="s">
        <v>285</v>
      </c>
    </row>
    <row r="17" customFormat="false" ht="15" hidden="false" customHeight="false" outlineLevel="0" collapsed="false">
      <c r="A17" s="2" t="s">
        <v>289</v>
      </c>
      <c r="B17" s="26" t="n">
        <v>9</v>
      </c>
      <c r="C17" s="2" t="s">
        <v>290</v>
      </c>
    </row>
    <row r="18" customFormat="false" ht="15" hidden="false" customHeight="false" outlineLevel="0" collapsed="false">
      <c r="A18" s="2" t="s">
        <v>291</v>
      </c>
      <c r="B18" s="26" t="n">
        <v>9</v>
      </c>
      <c r="C18" s="2" t="s">
        <v>290</v>
      </c>
    </row>
    <row r="19" customFormat="false" ht="15" hidden="false" customHeight="false" outlineLevel="0" collapsed="false">
      <c r="A19" s="2" t="s">
        <v>292</v>
      </c>
      <c r="B19" s="26" t="n">
        <v>5</v>
      </c>
      <c r="C19" s="2" t="s">
        <v>293</v>
      </c>
    </row>
    <row r="20" customFormat="false" ht="15" hidden="false" customHeight="false" outlineLevel="0" collapsed="false">
      <c r="A20" s="2" t="s">
        <v>294</v>
      </c>
      <c r="B20" s="26" t="n">
        <v>0</v>
      </c>
      <c r="C20" s="2" t="s">
        <v>295</v>
      </c>
    </row>
    <row r="21" customFormat="false" ht="15" hidden="false" customHeight="false" outlineLevel="0" collapsed="false">
      <c r="A21" s="2" t="s">
        <v>296</v>
      </c>
      <c r="B21" s="26" t="n">
        <v>9</v>
      </c>
      <c r="C21" s="2" t="s">
        <v>297</v>
      </c>
    </row>
    <row r="22" customFormat="false" ht="15" hidden="false" customHeight="false" outlineLevel="0" collapsed="false">
      <c r="A22" s="2" t="s">
        <v>298</v>
      </c>
      <c r="B22" s="26" t="n">
        <v>64</v>
      </c>
      <c r="C22" s="2" t="s">
        <v>299</v>
      </c>
    </row>
    <row r="23" customFormat="false" ht="15" hidden="false" customHeight="false" outlineLevel="0" collapsed="false">
      <c r="A23" s="2" t="s">
        <v>300</v>
      </c>
      <c r="B23" s="26" t="n">
        <v>16</v>
      </c>
      <c r="C23" s="2" t="s">
        <v>301</v>
      </c>
    </row>
    <row r="24" customFormat="false" ht="15" hidden="false" customHeight="false" outlineLevel="0" collapsed="false">
      <c r="A24" s="2" t="s">
        <v>302</v>
      </c>
      <c r="B24" s="26" t="n">
        <v>32</v>
      </c>
      <c r="C24" s="2" t="s">
        <v>303</v>
      </c>
    </row>
    <row r="25" customFormat="false" ht="15" hidden="false" customHeight="false" outlineLevel="0" collapsed="false">
      <c r="A25" s="2" t="s">
        <v>304</v>
      </c>
      <c r="B25" s="26" t="n">
        <v>8</v>
      </c>
      <c r="C25" s="2" t="s">
        <v>305</v>
      </c>
    </row>
    <row r="26" customFormat="false" ht="15" hidden="false" customHeight="false" outlineLevel="0" collapsed="false">
      <c r="A26" s="2" t="s">
        <v>306</v>
      </c>
      <c r="B26" s="26" t="n">
        <v>5</v>
      </c>
      <c r="C26" s="2" t="s">
        <v>307</v>
      </c>
    </row>
    <row r="27" customFormat="false" ht="15" hidden="false" customHeight="false" outlineLevel="0" collapsed="false">
      <c r="A27" s="2" t="s">
        <v>308</v>
      </c>
      <c r="B27" s="26" t="n">
        <v>7</v>
      </c>
      <c r="C27" s="2" t="s">
        <v>309</v>
      </c>
    </row>
    <row r="28" customFormat="false" ht="15" hidden="false" customHeight="false" outlineLevel="0" collapsed="false">
      <c r="A28" s="2" t="s">
        <v>310</v>
      </c>
      <c r="B28" s="26" t="n">
        <v>3</v>
      </c>
      <c r="C28" s="2" t="s">
        <v>311</v>
      </c>
    </row>
    <row r="29" customFormat="false" ht="15" hidden="false" customHeight="false" outlineLevel="0" collapsed="false">
      <c r="A29" s="2" t="s">
        <v>312</v>
      </c>
      <c r="B29" s="26" t="n">
        <v>6</v>
      </c>
      <c r="C29" s="2" t="s">
        <v>313</v>
      </c>
    </row>
    <row r="30" customFormat="false" ht="15" hidden="false" customHeight="false" outlineLevel="0" collapsed="false">
      <c r="A30" s="2" t="s">
        <v>314</v>
      </c>
      <c r="B30" s="26" t="n">
        <v>2</v>
      </c>
      <c r="C30" s="2" t="s">
        <v>315</v>
      </c>
    </row>
    <row r="31" customFormat="false" ht="15" hidden="false" customHeight="false" outlineLevel="0" collapsed="false">
      <c r="A31" s="2" t="s">
        <v>316</v>
      </c>
      <c r="B31" s="26" t="n">
        <v>74.6095069112478</v>
      </c>
      <c r="C31" s="2" t="s">
        <v>317</v>
      </c>
    </row>
    <row r="32" customFormat="false" ht="15" hidden="false" customHeight="false" outlineLevel="0" collapsed="false">
      <c r="A32" s="2" t="s">
        <v>318</v>
      </c>
      <c r="B32" s="26" t="n">
        <v>77.6776088942273</v>
      </c>
      <c r="C32" s="2" t="s">
        <v>319</v>
      </c>
    </row>
    <row r="33" customFormat="false" ht="15" hidden="false" customHeight="false" outlineLevel="0" collapsed="false">
      <c r="A33" s="2" t="s">
        <v>320</v>
      </c>
      <c r="B33" s="26" t="n">
        <v>78.6017034530571</v>
      </c>
      <c r="C33" s="2" t="s">
        <v>321</v>
      </c>
    </row>
    <row r="34" customFormat="false" ht="15" hidden="false" customHeight="false" outlineLevel="0" collapsed="false">
      <c r="A34" s="2" t="s">
        <v>322</v>
      </c>
      <c r="B34" s="26" t="n">
        <v>78.9891170556996</v>
      </c>
      <c r="C34" s="2" t="s">
        <v>323</v>
      </c>
    </row>
    <row r="35" customFormat="false" ht="15" hidden="false" customHeight="false" outlineLevel="0" collapsed="false">
      <c r="A35" s="2" t="s">
        <v>324</v>
      </c>
      <c r="B35" s="26" t="n">
        <v>0.548811636094026</v>
      </c>
      <c r="C35" s="2" t="s">
        <v>325</v>
      </c>
    </row>
    <row r="36" customFormat="false" ht="15" hidden="false" customHeight="false" outlineLevel="0" collapsed="false">
      <c r="A36" s="2" t="s">
        <v>326</v>
      </c>
      <c r="B36" s="26" t="n">
        <v>2.8421709430404E-014</v>
      </c>
      <c r="C36" s="2" t="s">
        <v>327</v>
      </c>
    </row>
    <row r="37" customFormat="false" ht="15" hidden="false" customHeight="false" outlineLevel="0" collapsed="false">
      <c r="A37" s="2" t="s">
        <v>328</v>
      </c>
      <c r="B37" s="26" t="n">
        <v>76.7838551528309</v>
      </c>
      <c r="C37" s="2" t="s">
        <v>329</v>
      </c>
    </row>
    <row r="38" customFormat="false" ht="15" hidden="false" customHeight="false" outlineLevel="0" collapsed="false">
      <c r="A38" s="2" t="s">
        <v>330</v>
      </c>
      <c r="B38" s="26" t="n">
        <v>77.974534081106</v>
      </c>
      <c r="C38" s="2" t="s">
        <v>329</v>
      </c>
    </row>
    <row r="39" customFormat="false" ht="15" hidden="false" customHeight="false" outlineLevel="0" collapsed="false">
      <c r="A39" s="2" t="s">
        <v>331</v>
      </c>
      <c r="B39" s="26" t="n">
        <v>0.978201297474656</v>
      </c>
      <c r="C39" s="2" t="s">
        <v>329</v>
      </c>
    </row>
    <row r="40" customFormat="false" ht="15" hidden="false" customHeight="false" outlineLevel="0" collapsed="false">
      <c r="A40" s="2" t="s">
        <v>332</v>
      </c>
      <c r="B40" s="26" t="n">
        <v>8.88178419700125E-016</v>
      </c>
      <c r="C40" s="2" t="s">
        <v>333</v>
      </c>
    </row>
    <row r="41" customFormat="false" ht="15" hidden="false" customHeight="false" outlineLevel="0" collapsed="false">
      <c r="A41" s="2" t="s">
        <v>334</v>
      </c>
      <c r="B41" s="26" t="n">
        <v>0</v>
      </c>
      <c r="C41" s="2" t="s">
        <v>335</v>
      </c>
    </row>
    <row r="42" customFormat="false" ht="15" hidden="false" customHeight="false" outlineLevel="0" collapsed="false">
      <c r="A42" s="2" t="s">
        <v>336</v>
      </c>
      <c r="B42" s="26" t="n">
        <v>2</v>
      </c>
      <c r="C42" s="2" t="s">
        <v>337</v>
      </c>
    </row>
    <row r="43" customFormat="false" ht="15" hidden="false" customHeight="false" outlineLevel="0" collapsed="false">
      <c r="A43" s="2" t="s">
        <v>338</v>
      </c>
      <c r="B43" s="26" t="n">
        <v>1</v>
      </c>
      <c r="C43" s="2" t="s">
        <v>339</v>
      </c>
    </row>
    <row r="44" customFormat="false" ht="15" hidden="false" customHeight="false" outlineLevel="0" collapsed="false">
      <c r="A44" s="2" t="s">
        <v>340</v>
      </c>
      <c r="B44" s="26" t="n">
        <v>1</v>
      </c>
      <c r="C44" s="2" t="s">
        <v>341</v>
      </c>
    </row>
    <row r="45" customFormat="false" ht="15" hidden="false" customHeight="false" outlineLevel="0" collapsed="false">
      <c r="A45" s="2" t="s">
        <v>342</v>
      </c>
      <c r="B45" s="26" t="n">
        <v>-1</v>
      </c>
      <c r="C45" s="2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265</v>
      </c>
      <c r="B1" s="8" t="s">
        <v>344</v>
      </c>
      <c r="C1" s="8" t="s">
        <v>266</v>
      </c>
      <c r="D1" s="8" t="s">
        <v>345</v>
      </c>
      <c r="E1" s="8" t="s">
        <v>346</v>
      </c>
      <c r="F1" s="8" t="s">
        <v>347</v>
      </c>
    </row>
    <row r="2" customFormat="false" ht="15" hidden="false" customHeight="false" outlineLevel="0" collapsed="false">
      <c r="A2" s="2" t="s">
        <v>25</v>
      </c>
      <c r="B2" s="27" t="n">
        <f aca="false">Declarations!B6</f>
        <v>2562</v>
      </c>
      <c r="C2" s="28" t="n">
        <f aca="false">Reference_Values!B2</f>
        <v>2562</v>
      </c>
      <c r="D2" s="21" t="n">
        <f aca="false">ABS(B2-C2)</f>
        <v>0</v>
      </c>
      <c r="E2" s="29" t="n">
        <v>1E-009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269</v>
      </c>
      <c r="B3" s="27" t="n">
        <f aca="false">Declarations!B8</f>
        <v>0.601092896174863</v>
      </c>
      <c r="C3" s="28" t="n">
        <f aca="false">Reference_Values!B3</f>
        <v>0.601092896174863</v>
      </c>
      <c r="D3" s="21" t="n">
        <f aca="false">ABS(B3-C3)</f>
        <v>0</v>
      </c>
      <c r="E3" s="29" t="n">
        <v>1E-009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33</v>
      </c>
      <c r="B4" s="27" t="n">
        <f aca="false">Declarations!B10</f>
        <v>1848</v>
      </c>
      <c r="C4" s="28" t="n">
        <f aca="false">Reference_Values!B4</f>
        <v>1848</v>
      </c>
      <c r="D4" s="21" t="n">
        <f aca="false">ABS(B4-C4)</f>
        <v>0</v>
      </c>
      <c r="E4" s="29" t="n">
        <v>1E-009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271</v>
      </c>
      <c r="B5" s="27" t="n">
        <f aca="false">Boundaries!B24</f>
        <v>1540</v>
      </c>
      <c r="C5" s="28" t="n">
        <f aca="false">Reference_Values!B5</f>
        <v>1540</v>
      </c>
      <c r="D5" s="21" t="n">
        <f aca="false">ABS(B5-C5)</f>
        <v>0</v>
      </c>
      <c r="E5" s="29" t="n">
        <v>1E-009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273</v>
      </c>
      <c r="B6" s="27" t="n">
        <f aca="false">Boundaries!C24</f>
        <v>1848</v>
      </c>
      <c r="C6" s="28" t="n">
        <f aca="false">Reference_Values!B6</f>
        <v>1848</v>
      </c>
      <c r="D6" s="21" t="n">
        <f aca="false">ABS(B6-C6)</f>
        <v>0</v>
      </c>
      <c r="E6" s="29" t="n">
        <v>1E-009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275</v>
      </c>
      <c r="B7" s="27" t="n">
        <f aca="false">Boundaries!C25</f>
        <v>308</v>
      </c>
      <c r="C7" s="28" t="n">
        <f aca="false">Reference_Values!B7</f>
        <v>308</v>
      </c>
      <c r="D7" s="21" t="n">
        <f aca="false">ABS(B7-C7)</f>
        <v>0</v>
      </c>
      <c r="E7" s="29" t="n">
        <v>1E-009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277</v>
      </c>
      <c r="B8" s="27" t="n">
        <f aca="false">100*Boundaries!C26</f>
        <v>20</v>
      </c>
      <c r="C8" s="28" t="n">
        <f aca="false">Reference_Values!B8</f>
        <v>20</v>
      </c>
      <c r="D8" s="21" t="n">
        <f aca="false">ABS(B8-C8)</f>
        <v>0</v>
      </c>
      <c r="E8" s="29" t="n">
        <v>1E-009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279</v>
      </c>
      <c r="B9" s="27" t="n">
        <f aca="false">Boundaries!B17</f>
        <v>0</v>
      </c>
      <c r="C9" s="28" t="n">
        <f aca="false">Reference_Values!B9</f>
        <v>0</v>
      </c>
      <c r="D9" s="21" t="n">
        <f aca="false">ABS(B9-C9)</f>
        <v>0</v>
      </c>
      <c r="E9" s="29" t="n">
        <v>0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281</v>
      </c>
      <c r="B10" s="27" t="n">
        <f aca="false">Boundaries!B18</f>
        <v>5</v>
      </c>
      <c r="C10" s="28" t="n">
        <f aca="false">Reference_Values!B10</f>
        <v>5</v>
      </c>
      <c r="D10" s="21" t="n">
        <f aca="false">ABS(B10-C10)</f>
        <v>0</v>
      </c>
      <c r="E10" s="29" t="n">
        <v>0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282</v>
      </c>
      <c r="B11" s="27" t="n">
        <f aca="false">Boundaries!B19</f>
        <v>2</v>
      </c>
      <c r="C11" s="28" t="n">
        <f aca="false">Reference_Values!B11</f>
        <v>2</v>
      </c>
      <c r="D11" s="21" t="n">
        <f aca="false">ABS(B11-C11)</f>
        <v>0</v>
      </c>
      <c r="E11" s="29" t="n">
        <v>0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283</v>
      </c>
      <c r="B12" s="27" t="n">
        <f aca="false">Boundaries!B20</f>
        <v>2</v>
      </c>
      <c r="C12" s="28" t="n">
        <f aca="false">Reference_Values!B12</f>
        <v>2</v>
      </c>
      <c r="D12" s="21" t="n">
        <f aca="false">ABS(B12-C12)</f>
        <v>0</v>
      </c>
      <c r="E12" s="29" t="n">
        <v>0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284</v>
      </c>
      <c r="B13" s="27" t="n">
        <f aca="false">Boundaries!C17</f>
        <v>3</v>
      </c>
      <c r="C13" s="28" t="n">
        <f aca="false">Reference_Values!B13</f>
        <v>3</v>
      </c>
      <c r="D13" s="21" t="n">
        <f aca="false">ABS(B13-C13)</f>
        <v>0</v>
      </c>
      <c r="E13" s="29" t="n">
        <v>0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286</v>
      </c>
      <c r="B14" s="27" t="n">
        <f aca="false">Boundaries!C18</f>
        <v>4</v>
      </c>
      <c r="C14" s="28" t="n">
        <f aca="false">Reference_Values!B14</f>
        <v>4</v>
      </c>
      <c r="D14" s="21" t="n">
        <f aca="false">ABS(B14-C14)</f>
        <v>0</v>
      </c>
      <c r="E14" s="29" t="n">
        <v>0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287</v>
      </c>
      <c r="B15" s="27" t="n">
        <f aca="false">Boundaries!C19</f>
        <v>2</v>
      </c>
      <c r="C15" s="28" t="n">
        <f aca="false">Reference_Values!B15</f>
        <v>2</v>
      </c>
      <c r="D15" s="21" t="n">
        <f aca="false">ABS(B15-C15)</f>
        <v>0</v>
      </c>
      <c r="E15" s="29" t="n">
        <v>0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288</v>
      </c>
      <c r="B16" s="27" t="n">
        <f aca="false">Boundaries!C20</f>
        <v>0</v>
      </c>
      <c r="C16" s="28" t="n">
        <f aca="false">Reference_Values!B16</f>
        <v>0</v>
      </c>
      <c r="D16" s="21" t="n">
        <f aca="false">ABS(B16-C16)</f>
        <v>0</v>
      </c>
      <c r="E16" s="29" t="n">
        <v>0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289</v>
      </c>
      <c r="B17" s="27" t="n">
        <f aca="false">Boundaries!B22</f>
        <v>9</v>
      </c>
      <c r="C17" s="28" t="n">
        <f aca="false">Reference_Values!B17</f>
        <v>9</v>
      </c>
      <c r="D17" s="21" t="n">
        <f aca="false">ABS(B17-C17)</f>
        <v>0</v>
      </c>
      <c r="E17" s="29" t="n">
        <v>0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291</v>
      </c>
      <c r="B18" s="27" t="n">
        <f aca="false">Boundaries!C22</f>
        <v>9</v>
      </c>
      <c r="C18" s="28" t="n">
        <f aca="false">Reference_Values!B18</f>
        <v>9</v>
      </c>
      <c r="D18" s="21" t="n">
        <f aca="false">ABS(B18-C18)</f>
        <v>0</v>
      </c>
      <c r="E18" s="29" t="n">
        <v>0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292</v>
      </c>
      <c r="B19" s="27" t="n">
        <f aca="false">Boundaries!C23</f>
        <v>5</v>
      </c>
      <c r="C19" s="28" t="n">
        <f aca="false">Reference_Values!B19</f>
        <v>5</v>
      </c>
      <c r="D19" s="21" t="n">
        <f aca="false">ABS(B19-C19)</f>
        <v>0</v>
      </c>
      <c r="E19" s="29" t="n">
        <v>0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294</v>
      </c>
      <c r="B20" s="27" t="n">
        <f aca="false">AllBoundaries!AB9</f>
        <v>0</v>
      </c>
      <c r="C20" s="28" t="n">
        <f aca="false">Reference_Values!B20</f>
        <v>0</v>
      </c>
      <c r="D20" s="21" t="n">
        <f aca="false">ABS(B20-C20)</f>
        <v>0</v>
      </c>
      <c r="E20" s="29" t="n">
        <v>0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296</v>
      </c>
      <c r="B21" s="27" t="n">
        <f aca="false">AllBoundaries!AB7</f>
        <v>9</v>
      </c>
      <c r="C21" s="28" t="n">
        <f aca="false">Reference_Values!B21</f>
        <v>9</v>
      </c>
      <c r="D21" s="21" t="n">
        <f aca="false">ABS(B21-C21)</f>
        <v>0</v>
      </c>
      <c r="E21" s="29" t="n">
        <v>0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298</v>
      </c>
      <c r="B22" s="27" t="n">
        <f aca="false">AllBoundaries!AB10</f>
        <v>64</v>
      </c>
      <c r="C22" s="28" t="n">
        <f aca="false">Reference_Values!B22</f>
        <v>64</v>
      </c>
      <c r="D22" s="21" t="n">
        <f aca="false">ABS(B22-C22)</f>
        <v>0</v>
      </c>
      <c r="E22" s="29" t="n">
        <v>0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300</v>
      </c>
      <c r="B23" s="27" t="n">
        <f aca="false">AllBoundaries!AB11</f>
        <v>16</v>
      </c>
      <c r="C23" s="28" t="n">
        <f aca="false">Reference_Values!B23</f>
        <v>16</v>
      </c>
      <c r="D23" s="21" t="n">
        <f aca="false">ABS(B23-C23)</f>
        <v>0</v>
      </c>
      <c r="E23" s="29" t="n">
        <v>0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302</v>
      </c>
      <c r="B24" s="27" t="n">
        <f aca="false">AllBoundaries!AB12</f>
        <v>32</v>
      </c>
      <c r="C24" s="28" t="n">
        <f aca="false">Reference_Values!B24</f>
        <v>32</v>
      </c>
      <c r="D24" s="21" t="n">
        <f aca="false">ABS(B24-C24)</f>
        <v>0</v>
      </c>
      <c r="E24" s="29" t="n">
        <v>0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304</v>
      </c>
      <c r="B25" s="27" t="n">
        <f aca="false">AllBoundaries!AB13</f>
        <v>8</v>
      </c>
      <c r="C25" s="28" t="n">
        <f aca="false">Reference_Values!B25</f>
        <v>8</v>
      </c>
      <c r="D25" s="21" t="n">
        <f aca="false">ABS(B25-C25)</f>
        <v>0</v>
      </c>
      <c r="E25" s="29" t="n">
        <v>0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306</v>
      </c>
      <c r="B26" s="27" t="n">
        <f aca="false">AllBoundaries!AB18</f>
        <v>5</v>
      </c>
      <c r="C26" s="28" t="n">
        <f aca="false">Reference_Values!B26</f>
        <v>5</v>
      </c>
      <c r="D26" s="21" t="n">
        <f aca="false">ABS(B26-C26)</f>
        <v>0</v>
      </c>
      <c r="E26" s="29" t="n">
        <v>0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308</v>
      </c>
      <c r="B27" s="27" t="n">
        <f aca="false">AllBoundaries!AB17</f>
        <v>7</v>
      </c>
      <c r="C27" s="28" t="n">
        <f aca="false">Reference_Values!B27</f>
        <v>7</v>
      </c>
      <c r="D27" s="21" t="n">
        <f aca="false">ABS(B27-C27)</f>
        <v>0</v>
      </c>
      <c r="E27" s="29" t="n">
        <v>0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310</v>
      </c>
      <c r="B28" s="27" t="n">
        <f aca="false">Levels!B18</f>
        <v>3</v>
      </c>
      <c r="C28" s="28" t="n">
        <f aca="false">Reference_Values!B28</f>
        <v>3</v>
      </c>
      <c r="D28" s="21" t="n">
        <f aca="false">ABS(B28-C28)</f>
        <v>0</v>
      </c>
      <c r="E28" s="29" t="n">
        <v>0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312</v>
      </c>
      <c r="B29" s="27" t="n">
        <f aca="false">Levels!B19</f>
        <v>6</v>
      </c>
      <c r="C29" s="28" t="n">
        <f aca="false">Reference_Values!B29</f>
        <v>6</v>
      </c>
      <c r="D29" s="21" t="n">
        <f aca="false">ABS(B29-C29)</f>
        <v>0</v>
      </c>
      <c r="E29" s="29" t="n">
        <v>0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314</v>
      </c>
      <c r="B30" s="27" t="n">
        <f aca="false">Levels!B20</f>
        <v>2</v>
      </c>
      <c r="C30" s="28" t="n">
        <f aca="false">Reference_Values!B30</f>
        <v>2</v>
      </c>
      <c r="D30" s="21" t="n">
        <f aca="false">ABS(B30-C30)</f>
        <v>0</v>
      </c>
      <c r="E30" s="29" t="n">
        <v>0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316</v>
      </c>
      <c r="B31" s="27" t="n">
        <f aca="false">Feedback!B30</f>
        <v>74.6095069112478</v>
      </c>
      <c r="C31" s="28" t="n">
        <f aca="false">Reference_Values!B31</f>
        <v>74.6095069112478</v>
      </c>
      <c r="D31" s="21" t="n">
        <f aca="false">ABS(B31-C31)</f>
        <v>0</v>
      </c>
      <c r="E31" s="29" t="n">
        <v>1E-009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318</v>
      </c>
      <c r="B32" s="27" t="n">
        <f aca="false">Feedback!B31</f>
        <v>77.6776088942273</v>
      </c>
      <c r="C32" s="28" t="n">
        <f aca="false">Reference_Values!B32</f>
        <v>77.6776088942273</v>
      </c>
      <c r="D32" s="21" t="n">
        <f aca="false">ABS(B32-C32)</f>
        <v>0</v>
      </c>
      <c r="E32" s="29" t="n">
        <v>1E-009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320</v>
      </c>
      <c r="B33" s="27" t="n">
        <f aca="false">Feedback!B32</f>
        <v>78.6017034530571</v>
      </c>
      <c r="C33" s="28" t="n">
        <f aca="false">Reference_Values!B33</f>
        <v>78.6017034530571</v>
      </c>
      <c r="D33" s="21" t="n">
        <f aca="false">ABS(B33-C33)</f>
        <v>0</v>
      </c>
      <c r="E33" s="29" t="n">
        <v>1E-009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322</v>
      </c>
      <c r="B34" s="27" t="n">
        <f aca="false">Feedback!B33</f>
        <v>78.9891170556996</v>
      </c>
      <c r="C34" s="28" t="n">
        <f aca="false">Reference_Values!B34</f>
        <v>78.9891170556996</v>
      </c>
      <c r="D34" s="21" t="n">
        <f aca="false">ABS(B34-C34)</f>
        <v>0</v>
      </c>
      <c r="E34" s="29" t="n">
        <v>1E-009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324</v>
      </c>
      <c r="B35" s="27" t="n">
        <f aca="false">Declarations!B17</f>
        <v>0.548811636094026</v>
      </c>
      <c r="C35" s="28" t="n">
        <f aca="false">Reference_Values!B35</f>
        <v>0.548811636094026</v>
      </c>
      <c r="D35" s="21" t="n">
        <f aca="false">ABS(B35-C35)</f>
        <v>0</v>
      </c>
      <c r="E35" s="29" t="n">
        <v>1E-009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326</v>
      </c>
      <c r="B36" s="27" t="n">
        <f aca="false">Feedback!C35</f>
        <v>0</v>
      </c>
      <c r="C36" s="28" t="n">
        <f aca="false">Reference_Values!B36</f>
        <v>2.8421709430404E-014</v>
      </c>
      <c r="D36" s="21" t="n">
        <f aca="false">ABS(B36-C36)</f>
        <v>2.8421709430404E-014</v>
      </c>
      <c r="E36" s="29" t="n">
        <v>1E-009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328</v>
      </c>
      <c r="B37" s="27" t="n">
        <f aca="false">Adaptation!D30</f>
        <v>76.7838551528309</v>
      </c>
      <c r="C37" s="28" t="n">
        <f aca="false">Reference_Values!B37</f>
        <v>76.7838551528309</v>
      </c>
      <c r="D37" s="21" t="n">
        <f aca="false">ABS(B37-C37)</f>
        <v>0</v>
      </c>
      <c r="E37" s="29" t="n">
        <v>1E-009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330</v>
      </c>
      <c r="B38" s="27" t="n">
        <f aca="false">Adaptation!E30</f>
        <v>77.974534081106</v>
      </c>
      <c r="C38" s="28" t="n">
        <f aca="false">Reference_Values!B38</f>
        <v>77.974534081106</v>
      </c>
      <c r="D38" s="21" t="n">
        <f aca="false">ABS(B38-C38)</f>
        <v>0</v>
      </c>
      <c r="E38" s="29" t="n">
        <v>1E-009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331</v>
      </c>
      <c r="B39" s="27" t="n">
        <f aca="false">Adaptation!F30</f>
        <v>0.978201297474656</v>
      </c>
      <c r="C39" s="28" t="n">
        <f aca="false">Reference_Values!B39</f>
        <v>0.978201297474656</v>
      </c>
      <c r="D39" s="21" t="n">
        <f aca="false">ABS(B39-C39)</f>
        <v>0</v>
      </c>
      <c r="E39" s="29" t="n">
        <v>1E-009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332</v>
      </c>
      <c r="B40" s="27" t="n">
        <f aca="false">Adaptation!B60</f>
        <v>0</v>
      </c>
      <c r="C40" s="28" t="n">
        <f aca="false">Reference_Values!B40</f>
        <v>8.88178419700125E-016</v>
      </c>
      <c r="D40" s="21" t="n">
        <f aca="false">ABS(B40-C40)</f>
        <v>8.88178419700125E-016</v>
      </c>
      <c r="E40" s="29" t="n">
        <v>1E-009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334</v>
      </c>
      <c r="B41" s="27" t="n">
        <f aca="false">OutputFeedback!B23</f>
        <v>0</v>
      </c>
      <c r="C41" s="28" t="n">
        <f aca="false">Reference_Values!B41</f>
        <v>0</v>
      </c>
      <c r="D41" s="21" t="n">
        <f aca="false">ABS(B41-C41)</f>
        <v>0</v>
      </c>
      <c r="E41" s="29" t="n">
        <v>0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336</v>
      </c>
      <c r="B42" s="27" t="n">
        <f aca="false">OutputFeedback!B26</f>
        <v>2</v>
      </c>
      <c r="C42" s="28" t="n">
        <f aca="false">Reference_Values!B42</f>
        <v>2</v>
      </c>
      <c r="D42" s="21" t="n">
        <f aca="false">ABS(B42-C42)</f>
        <v>0</v>
      </c>
      <c r="E42" s="29" t="n">
        <v>0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338</v>
      </c>
      <c r="B43" s="27" t="n">
        <f aca="false">OutputFeedback!B28</f>
        <v>1</v>
      </c>
      <c r="C43" s="28" t="n">
        <f aca="false">Reference_Values!B43</f>
        <v>1</v>
      </c>
      <c r="D43" s="21" t="n">
        <f aca="false">ABS(B43-C43)</f>
        <v>0</v>
      </c>
      <c r="E43" s="29" t="n">
        <v>1E-009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340</v>
      </c>
      <c r="B44" s="27" t="n">
        <f aca="false">Loops!C10</f>
        <v>1</v>
      </c>
      <c r="C44" s="28" t="n">
        <f aca="false">Reference_Values!B44</f>
        <v>1</v>
      </c>
      <c r="D44" s="21" t="n">
        <f aca="false">ABS(B44-C44)</f>
        <v>0</v>
      </c>
      <c r="E44" s="29" t="n">
        <v>0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342</v>
      </c>
      <c r="B45" s="27" t="n">
        <f aca="false">Loops!C18</f>
        <v>-1</v>
      </c>
      <c r="C45" s="28" t="n">
        <f aca="false">Reference_Values!B45</f>
        <v>-1</v>
      </c>
      <c r="D45" s="21" t="n">
        <f aca="false">ABS(B45-C45)</f>
        <v>0</v>
      </c>
      <c r="E45" s="29" t="n">
        <v>0</v>
      </c>
      <c r="F45" s="4" t="str">
        <f aca="false">IF(D45&lt;=E45,"PASS","FAIL")</f>
        <v>PASS</v>
      </c>
    </row>
    <row r="47" customFormat="false" ht="15" hidden="false" customHeight="false" outlineLevel="0" collapsed="false">
      <c r="A47" s="4" t="s">
        <v>348</v>
      </c>
      <c r="F47" s="4" t="str">
        <f aca="false">IF(COUNTIF(F2:F45,"PASS")=44,"ALL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2026-10-05T08:37:13Z</dcterms:created>
  <dc:creator>openpyxl</dc:creator>
  <dc:description/>
  <dc:language>en-US</dc:language>
  <cp:lastModifiedBy/>
  <dcterms:modified xsi:type="dcterms:W3CDTF">2026-10-05T08:37:13Z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