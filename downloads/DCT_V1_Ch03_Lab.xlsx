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clarations" sheetId="2" state="visible" r:id="rId4"/>
    <sheet name="Vector" sheetId="3" state="visible" r:id="rId5"/>
    <sheet name="Scaling" sheetId="4" state="visible" r:id="rId6"/>
    <sheet name="Norms" sheetId="5" state="visible" r:id="rId7"/>
    <sheet name="Sequencing" sheetId="6" state="visible" r:id="rId8"/>
    <sheet name="Recommend" sheetId="7" state="visible" r:id="rId9"/>
    <sheet name="RunDown" sheetId="8" state="visible" r:id="rId10"/>
    <sheet name="Reference_Values" sheetId="9" state="visible" r:id="rId11"/>
    <sheet name="Checks" sheetId="10" state="visible" r:id="rId12"/>
  </sheets>
  <definedNames>
    <definedName function="false" hidden="false" name="Build_dip" vbProcedure="false">Declarations!$B$33</definedName>
    <definedName function="false" hidden="false" name="Build_liq" vbProcedure="false">Declarations!$B$23</definedName>
    <definedName function="false" hidden="false" name="Build_tech" vbProcedure="false">Declarations!$B$24</definedName>
    <definedName function="false" hidden="false" name="Keep_cost" vbProcedure="false">Declarations!$B$22</definedName>
    <definedName function="false" hidden="false" name="Liq_floor" vbProcedure="false">Declarations!$B$34</definedName>
    <definedName function="false" hidden="false" name="Liq_today" vbProcedure="false">Declarations!$B$16</definedName>
    <definedName function="false" hidden="false" name="N_read" vbProcedure="false">Declarations!$C$12</definedName>
    <definedName function="false" hidden="false" name="Sale_net" vbProcedure="false">Declarations!$B$19</definedName>
    <definedName function="false" hidden="false" name="Tech_share" vbProcedure="false">Declarations!$B$20</definedName>
    <definedName function="false" hidden="false" name="Tech_today" vbProcedure="false">Declarations!$B$17</definedName>
    <definedName function="false" hidden="false" name="U_first" vbProcedure="false">Declarations!$B$31</definedName>
    <definedName function="false" hidden="false" name="U_held" vbProcedure="false">Declarations!$B$32</definedName>
    <definedName function="false" hidden="false" name="Work_today" vbProcedure="false">Declarations!$B$18</definedName>
    <definedName function="false" hidden="false" name="W_loss" vbProcedure="false">Declarations!$B$21</definedName>
    <definedName function="false" hidden="false" name="W_min" vbProcedure="false">Declarations!$B$25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<sst xmlns="http://schemas.openxmlformats.org/spreadsheetml/2006/main" count="673" uniqueCount="468">
  <si>
    <t xml:space="preserve">DCT Laboratory — Vol I, Ch 3: Mathematical Foundations</t>
  </si>
  <si>
    <t xml:space="preserve">Seed 26103 · Companion to DCT_V1_Ch03_Lab.ipynb and AXIOM Lab 1.3 (module AXIOM-03). Money in $ million; Table 3.1 declares liquidity in $ billion.</t>
  </si>
  <si>
    <t xml:space="preserve">Worked Example 3.1, Does the Order of Initiatives Matter?, with the book's declarations, and the five steps of AXIOM Lab 1.3, Measuring Meridian.</t>
  </si>
  <si>
    <t xml:space="preserve">Declarations: Meridian's state (Table 3.1) with the declared scaling W_M, the terms of Worked Example 3.1, and Section 3.4's three-reading company.</t>
  </si>
  <si>
    <t xml:space="preserve">Vector: raw distances to two peer companies with liquidity in billions and in millions, and Proposition 3.2's reversals (lab step 1). The book declares no peers; the notebook draws two with the lab's seed 26103.</t>
  </si>
  <si>
    <t xml:space="preserve">Scaling: Figure 3.3's scaled state and the scaled distances, unchanged by the unit of liquidity when the weight moves the opposite way (Proposition 3.3; lab step 2).</t>
  </si>
  <si>
    <t xml:space="preserve">Norms: the effort, Euclidean and bottleneck views of the Year-5 moves (Section 5.8) and of the peers, and the constants that link them (Remark 3.B.1; lab step 3).</t>
  </si>
  <si>
    <t xml:space="preserve">Sequencing: Worked Example 3.1, Steps 1-5, Table 3.4, the deal terms against the order, and Online Appendix 3.B's commutator split (lab step 4).</t>
  </si>
  <si>
    <t xml:space="preserve">Recommend: Step 6, Theorem 3.2(ii), the break-even for the discussion question, and Chapter 6's floor.</t>
  </si>
  <si>
    <t xml:space="preserve">RunDown: the three-reading company with no investment and with a held 8, its eigenvalues and the sensitivity factors of the views (Section 3.4; Sections 7.4-7.6; lab step 5).</t>
  </si>
  <si>
    <t xml:space="preserve">Every result is a formula of the declarations. Reference_Values and Checks: the notebook engine's numbers and a PASS/FAIL comparison with this workbook's formulas.</t>
  </si>
  <si>
    <t xml:space="preserve">LEGEND</t>
  </si>
  <si>
    <t xml:space="preserve">Input: blue on pale gold. A declaration from the book; change it to explore.</t>
  </si>
  <si>
    <t xml:space="preserve">Formula: black. Recalculates from the inputs.</t>
  </si>
  <si>
    <t xml:space="preserve">Engine value: green on pale green. Computed by the notebook's engine (the book's numbers); the Checks sheet compares the workbook's formulas with them.</t>
  </si>
  <si>
    <t xml:space="preserve">Cross-sheet link: green.</t>
  </si>
  <si>
    <t xml:space="preserve">Declarations (Table 3.1; Worked Example 3.1, The situation; Section 3.4). Money in $ million; Table 3.1 declares liquidity in $ billion.</t>
  </si>
  <si>
    <t xml:space="preserve">Reading (Table 3.1)</t>
  </si>
  <si>
    <t xml:space="preserve">Unit</t>
  </si>
  <si>
    <t xml:space="preserve">Today</t>
  </si>
  <si>
    <t xml:space="preserve">Family of unit</t>
  </si>
  <si>
    <t xml:space="preserve">Declared scale</t>
  </si>
  <si>
    <t xml:space="preserve">Weight in W_M</t>
  </si>
  <si>
    <t xml:space="preserve">The declared rule</t>
  </si>
  <si>
    <t xml:space="preserve">x1  liquidity</t>
  </si>
  <si>
    <t xml:space="preserve">US$ billion</t>
  </si>
  <si>
    <t xml:space="preserve">currency</t>
  </si>
  <si>
    <t xml:space="preserve">unbounded: divided by today's value</t>
  </si>
  <si>
    <t xml:space="preserve">x2  net leverage</t>
  </si>
  <si>
    <t xml:space="preserve">net debt / EBITDA</t>
  </si>
  <si>
    <t xml:space="preserve">ratio</t>
  </si>
  <si>
    <t xml:space="preserve">x3  workforce capability</t>
  </si>
  <si>
    <t xml:space="preserve">index, 0-100</t>
  </si>
  <si>
    <t xml:space="preserve">index</t>
  </si>
  <si>
    <t xml:space="preserve">bounded index: divided by its range</t>
  </si>
  <si>
    <t xml:space="preserve">x4  technology platform</t>
  </si>
  <si>
    <t xml:space="preserve">x5  operational efficiency</t>
  </si>
  <si>
    <t xml:space="preserve">x6  return on invested capital</t>
  </si>
  <si>
    <t xml:space="preserve">x7  strategic risk (lower is better)</t>
  </si>
  <si>
    <t xml:space="preserve">x8  market share</t>
  </si>
  <si>
    <t xml:space="preserve">Readings in Meridian's state</t>
  </si>
  <si>
    <t xml:space="preserve">W_M = diag(1/0.62, 1/3.4, 1/100, 1/100, 1/100, 1/0.083, 1/100, 1/0.19): every scaled reading is unit-free and of order one (Section 3.3; Figure 3.3).</t>
  </si>
  <si>
    <t xml:space="preserve">Worked Example 3.1</t>
  </si>
  <si>
    <t xml:space="preserve">Value</t>
  </si>
  <si>
    <t xml:space="preserve">Source</t>
  </si>
  <si>
    <t xml:space="preserve">Liquidity today ($ million)</t>
  </si>
  <si>
    <t xml:space="preserve">Table 3.1: $0.62 billion</t>
  </si>
  <si>
    <t xml:space="preserve">Technology platform today (index)</t>
  </si>
  <si>
    <t xml:space="preserve">Table 3.1</t>
  </si>
  <si>
    <t xml:space="preserve">Workforce capability today (index)</t>
  </si>
  <si>
    <t xml:space="preserve">Net proceeds of the sale of part of Industrial Systems ($ million)</t>
  </si>
  <si>
    <t xml:space="preserve">The situation</t>
  </si>
  <si>
    <t xml:space="preserve">Share of the technology position the divested unit takes</t>
  </si>
  <si>
    <t xml:space="preserve">Workforce points lost unless the contract keeps the engineering team</t>
  </si>
  <si>
    <t xml:space="preserve">Cost of keeping the shared engineering team ($ million of proceeds)</t>
  </si>
  <si>
    <t xml:space="preserve">Step 4</t>
  </si>
  <si>
    <t xml:space="preserve">The digital program's liquidity change by Year 5 ($ million): Worked Example 1.1's build, the Chapter 1 model (Eq. 1.B.1, Table 1.B.1)</t>
  </si>
  <si>
    <t xml:space="preserve">The situation; Table 1.9</t>
  </si>
  <si>
    <t xml:space="preserve">The digital program's technology change by Year 5 (points), the same model</t>
  </si>
  <si>
    <t xml:space="preserve">The digital program's domain: workforce capability of at least</t>
  </si>
  <si>
    <t xml:space="preserve">The situation; Section 3.2</t>
  </si>
  <si>
    <t xml:space="preserve">Three-reading company (Equation 3.2)</t>
  </si>
  <si>
    <t xml:space="preserve">Capability</t>
  </si>
  <si>
    <t xml:space="preserve">Technology</t>
  </si>
  <si>
    <t xml:space="preserve">Efficiency</t>
  </si>
  <si>
    <t xml:space="preserve">Investment B</t>
  </si>
  <si>
    <t xml:space="preserve">Row of A: capability</t>
  </si>
  <si>
    <t xml:space="preserve">Row of A: technology</t>
  </si>
  <si>
    <t xml:space="preserve">Row of A: efficiency</t>
  </si>
  <si>
    <t xml:space="preserve">Starting state x0</t>
  </si>
  <si>
    <t xml:space="preserve">Investment in the first year, u0 (Section 3.4)</t>
  </si>
  <si>
    <t xml:space="preserve">Investment held every year (Chapter 7)</t>
  </si>
  <si>
    <t xml:space="preserve">The digital program's low point below its starting liquidity ($ million; Chapter 1 model, bounded minimisation; engine value)</t>
  </si>
  <si>
    <t xml:space="preserve">The situation: $138 million, around month 21</t>
  </si>
  <si>
    <t xml:space="preserve">The board's liquidity floor ($ million; Table 5.4, declared in Chapter 5)</t>
  </si>
  <si>
    <t xml:space="preserve">Capability, technology and efficiency are indices; entry a_ij is the response of reading i to reading j, and u is annual capability investment: x_(k+1) = A x_k + B u_k.</t>
  </si>
  <si>
    <t xml:space="preserve">Read the vector: Table 3.1, raw distances to two peers, and Proposition 3.2 (AXIOM Lab 1.3, step 1)</t>
  </si>
  <si>
    <t xml:space="preserve">The book declares no peer companies: the notebook draws two with the lab's seed 26103 (green: engine values). A raw distance is the straight-line distance between the readings as recorded.</t>
  </si>
  <si>
    <t xml:space="preserve">Reading</t>
  </si>
  <si>
    <t xml:space="preserve">Family</t>
  </si>
  <si>
    <t xml:space="preserve">Meridian</t>
  </si>
  <si>
    <t xml:space="preserve">Peer A (seed 26103)</t>
  </si>
  <si>
    <t xml:space="preserve">Peer B (seed 26103)</t>
  </si>
  <si>
    <t xml:space="preserve">Multiplier: liquidity in $ million</t>
  </si>
  <si>
    <t xml:space="preserve">Your multipliers (preset: leverage in percent)</t>
  </si>
  <si>
    <t xml:space="preserve">(A - M)^2 as recorded</t>
  </si>
  <si>
    <t xml:space="preserve">(B - M)^2 as recorded</t>
  </si>
  <si>
    <t xml:space="preserve">(A - M)^2, $ million</t>
  </si>
  <si>
    <t xml:space="preserve">(B - M)^2, $ million</t>
  </si>
  <si>
    <t xml:space="preserve">(A - M)^2, your units</t>
  </si>
  <si>
    <t xml:space="preserve">(B - M)^2, your units</t>
  </si>
  <si>
    <t xml:space="preserve">Raw distance to Peer A, liquidity in $ billion</t>
  </si>
  <si>
    <t xml:space="preserve">Raw distance to Peer B, liquidity in $ billion</t>
  </si>
  <si>
    <t xml:space="preserve">Closer peer, liquidity in $ billion (1 = Peer A, 2 = Peer B)</t>
  </si>
  <si>
    <t xml:space="preserve">Raw distance to Peer A, liquidity in $ million</t>
  </si>
  <si>
    <t xml:space="preserve">Raw distance to Peer B, liquidity in $ million</t>
  </si>
  <si>
    <t xml:space="preserve">Closer peer, liquidity in $ million (1 = Peer A, 2 = Peer B)</t>
  </si>
  <si>
    <t xml:space="preserve">Does the closer peer change? (1 = yes)</t>
  </si>
  <si>
    <t xml:space="preserve">Peer A: share of its squared distance from the indices, $ billion</t>
  </si>
  <si>
    <t xml:space="preserve">Peer A: share of its squared distance from liquidity, $ million</t>
  </si>
  <si>
    <t xml:space="preserve">Raw distance to Peer A, your units</t>
  </si>
  <si>
    <t xml:space="preserve">Raw distance to Peer B, your units</t>
  </si>
  <si>
    <t xml:space="preserve">Closer peer, your units (1 = Peer A, 2 = Peer B)</t>
  </si>
  <si>
    <t xml:space="preserve">Strategic risk exceeds net leverage, as recorded? (1 = yes)</t>
  </si>
  <si>
    <t xml:space="preserve">Net leverage in percent</t>
  </si>
  <si>
    <t xml:space="preserve">Strategic risk exceeds net leverage in percent? (1 = yes)</t>
  </si>
  <si>
    <t xml:space="preserve">An undeclared total of the raw readings, as recorded</t>
  </si>
  <si>
    <t xml:space="preserve">The same total with liquidity in $ million</t>
  </si>
  <si>
    <t xml:space="preserve">Peer pairs drawn the same way (notebook, seed 26103)</t>
  </si>
  <si>
    <t xml:space="preserve">   share whose closer peer changes when liquidity switches to millions</t>
  </si>
  <si>
    <t xml:space="preserve">Proposition 3.2: changing units loses no information, but a raw comparison across readings, or a total without declared weights, can be reversed by a legitimate change of units. Change column H to try others.</t>
  </si>
  <si>
    <t xml:space="preserve">Declare the scaling: W_M, Figure 3.3, and Proposition 3.3 (AXIOM Lab 1.3, step 2)</t>
  </si>
  <si>
    <t xml:space="preserve">W_M divides unbounded readings by today's value and bounded indices by their range. Applied in whatever unit a reading is recorded, the rule moves the weight the opposite way to the unit.</t>
  </si>
  <si>
    <t xml:space="preserve">Scaled today (Figure 3.3)</t>
  </si>
  <si>
    <t xml:space="preserve">Peer A scaled</t>
  </si>
  <si>
    <t xml:space="preserve">Peer B scaled</t>
  </si>
  <si>
    <t xml:space="preserve">(A - M)^2 scaled</t>
  </si>
  <si>
    <t xml:space="preserve">(B - M)^2 scaled</t>
  </si>
  <si>
    <t xml:space="preserve">Liquidity in $ million: today</t>
  </si>
  <si>
    <t xml:space="preserve">Declared scale in that unit</t>
  </si>
  <si>
    <t xml:space="preserve">Peer A in that unit</t>
  </si>
  <si>
    <t xml:space="preserve">Peer B in that unit</t>
  </si>
  <si>
    <t xml:space="preserve">(A - M)^2 scaled, that unit</t>
  </si>
  <si>
    <t xml:space="preserve">(B - M)^2 scaled, that unit</t>
  </si>
  <si>
    <t xml:space="preserve">Peer A's share</t>
  </si>
  <si>
    <t xml:space="preserve">Peer B's share</t>
  </si>
  <si>
    <t xml:space="preserve">Readings at 1.00 after scaling</t>
  </si>
  <si>
    <t xml:space="preserve">Scaled distance to Peer A, liquidity in $ billion</t>
  </si>
  <si>
    <t xml:space="preserve">Scaled distance to Peer B, liquidity in $ billion</t>
  </si>
  <si>
    <t xml:space="preserve">Scaled distance to Peer A, liquidity in $ million</t>
  </si>
  <si>
    <t xml:space="preserve">Scaled distance to Peer B, liquidity in $ million</t>
  </si>
  <si>
    <t xml:space="preserve">Largest gap between the two units (Proposition 3.3)</t>
  </si>
  <si>
    <t xml:space="preserve">Closer peer, declared scaling (1 = Peer A, 2 = Peer B)</t>
  </si>
  <si>
    <t xml:space="preserve">Weight left at 1/0.62 in millions: distance to Peer A</t>
  </si>
  <si>
    <t xml:space="preserve">Largest share of a squared distance from one reading</t>
  </si>
  <si>
    <t xml:space="preserve">Proposition 3.3: a weighted distance gives the same answer after a change of units only if its weights change in the opposite direction. Leaving liquidity's weight at 1/0.62 while recording millions makes liquidity a thousand times too heavy.</t>
  </si>
  <si>
    <t xml:space="preserve">Compare distance measures: the effort, Euclidean and bottleneck views (Definition 3.5; Theorem 3.1; Remark 3.B.1; Section 5.8; AXIOM Lab 1.3, step 3)</t>
  </si>
  <si>
    <t xml:space="preserve">Reading (Chapter 1 model; Table 1.9)</t>
  </si>
  <si>
    <t xml:space="preserve">Turnaround</t>
  </si>
  <si>
    <t xml:space="preserve">Restructuring</t>
  </si>
  <si>
    <t xml:space="preserve">Digital</t>
  </si>
  <si>
    <t xml:space="preserve">The peers: scaled move |peer - Meridian|</t>
  </si>
  <si>
    <t xml:space="preserve">Peer A</t>
  </si>
  <si>
    <t xml:space="preserve">Peer B</t>
  </si>
  <si>
    <t xml:space="preserve">Liquidity (index, today = 100 = $0.62 billion)</t>
  </si>
  <si>
    <t xml:space="preserve">Technology platform</t>
  </si>
  <si>
    <t xml:space="preserve">Operational efficiency</t>
  </si>
  <si>
    <t xml:space="preserve">Strategic risk</t>
  </si>
  <si>
    <t xml:space="preserve">W_M divides liquidity by today's value: 100 in index units. The other four readings do not move in the Chapter 1 model.</t>
  </si>
  <si>
    <t xml:space="preserve">Scaled move: |Year 5 - today| / scale</t>
  </si>
  <si>
    <t xml:space="preserve">Effort view</t>
  </si>
  <si>
    <t xml:space="preserve">Euclidean view</t>
  </si>
  <si>
    <t xml:space="preserve">Effort view: the sum of the moves</t>
  </si>
  <si>
    <t xml:space="preserve">Bottleneck view</t>
  </si>
  <si>
    <t xml:space="preserve">Euclidean view (Section 5.8: 0.11, 0.26, 0.36)</t>
  </si>
  <si>
    <t xml:space="preserve">Effort / bottleneck</t>
  </si>
  <si>
    <t xml:space="preserve">Bottleneck view: the largest move</t>
  </si>
  <si>
    <t xml:space="preserve">Closer peer, effort view (1 = Peer A)</t>
  </si>
  <si>
    <t xml:space="preserve">Euclidean / bottleneck</t>
  </si>
  <si>
    <t xml:space="preserve">Closer peer, Euclidean view</t>
  </si>
  <si>
    <t xml:space="preserve">Effort / Euclidean</t>
  </si>
  <si>
    <t xml:space="preserve">Closer peer, bottleneck view</t>
  </si>
  <si>
    <t xml:space="preserve">The constants (Remark 3.B.1)</t>
  </si>
  <si>
    <t xml:space="preserve">Every reading moves by 1</t>
  </si>
  <si>
    <t xml:space="preserve">Only the first moves by 1</t>
  </si>
  <si>
    <t xml:space="preserve">Effort / bottleneck: n at most, attained by equal moves</t>
  </si>
  <si>
    <t xml:space="preserve">Effort / Euclidean: the square root of n at most</t>
  </si>
  <si>
    <t xml:space="preserve">Readings, n</t>
  </si>
  <si>
    <t xml:space="preserve">Square root of n</t>
  </si>
  <si>
    <t xml:space="preserve">Every Year-5 move and both peers inside [1, n] for effort / bottleneck (1 = yes)</t>
  </si>
  <si>
    <t xml:space="preserve">Over the notebook's 10,000 peer pairs (seed 26103): smallest effort / bottleneck</t>
  </si>
  <si>
    <t xml:space="preserve">   largest effort / bottleneck</t>
  </si>
  <si>
    <t xml:space="preserve">   share of pairs on which the effort and bottleneck views name different closer peers</t>
  </si>
  <si>
    <t xml:space="preserve">Theorem 3.1: all norms agree on which sequences converge, which sets are open, which mappings are continuous and which states are stable; they disagree only on the numbers, and a ranking is a number.</t>
  </si>
  <si>
    <t xml:space="preserve">Sequence the initiatives: Worked Example 3.1, Steps 1-5, and Table 3.4 (Proposition 3.1; Theorem 3.2(iii); Online Appendix 3.B; AXIOM Lab 1.3, step 4)</t>
  </si>
  <si>
    <t xml:space="preserve">A state is (liquidity $ million, technology platform index, workforce capability index). The digital program runs only from workforce capability of at least 55, its domain; Feasible is 1 when a step can start. The digital program is Worked Example 1.1's build: its Year-5 changes add to the state it starts from, and its cash bottoms $138 million below its start around month 21.</t>
  </si>
  <si>
    <t xml:space="preserve">State</t>
  </si>
  <si>
    <t xml:space="preserve">Liquidity</t>
  </si>
  <si>
    <t xml:space="preserve">Workforce</t>
  </si>
  <si>
    <t xml:space="preserve">Low point on the way ($ million)</t>
  </si>
  <si>
    <t xml:space="preserve">Feasible (1 = yes)</t>
  </si>
  <si>
    <t xml:space="preserve">Step 1: the sale alone (the engineers go with the unit)</t>
  </si>
  <si>
    <t xml:space="preserve">   its change</t>
  </si>
  <si>
    <t xml:space="preserve">Step 1: the digital program alone</t>
  </si>
  <si>
    <t xml:space="preserve">Bag of initiatives: today plus both changes</t>
  </si>
  <si>
    <t xml:space="preserve">Step 2: restructure, then digital (as designed): after the sale</t>
  </si>
  <si>
    <t xml:space="preserve">   then the digital program</t>
  </si>
  <si>
    <t xml:space="preserve">Step 3: digital, then restructure: after the build</t>
  </si>
  <si>
    <t xml:space="preserve">   then the sale</t>
  </si>
  <si>
    <t xml:space="preserve">Step 4: restructure (engineers kept), then digital: after the sale</t>
  </si>
  <si>
    <t xml:space="preserve">Digital, then the sale with the engineers kept (the same terms in both orders; not in Table 3.4)</t>
  </si>
  <si>
    <t xml:space="preserve">Table 3.4</t>
  </si>
  <si>
    <t xml:space="preserve">Bag of initiatives (each appraised alone, then added)</t>
  </si>
  <si>
    <t xml:space="preserve">Restructure, then digital (as designed)</t>
  </si>
  <si>
    <t xml:space="preserve">Digital, then restructure</t>
  </si>
  <si>
    <t xml:space="preserve">Restructure (engineers kept), then digital</t>
  </si>
  <si>
    <t xml:space="preserve">Step 5: digital-first minus restructure-first</t>
  </si>
  <si>
    <t xml:space="preserve">The gap between Table 3.4's two feasible orders</t>
  </si>
  <si>
    <t xml:space="preserve">   deal terms: digital first, engineers gone minus kept</t>
  </si>
  <si>
    <t xml:space="preserve">   order: the same terms (engineers kept), digital first minus the sale first</t>
  </si>
  <si>
    <t xml:space="preserve">   deal terms + order - gap</t>
  </si>
  <si>
    <t xml:space="preserve">Online Appendix 3.B: R = the sale (engineers kept), A_R and b_R</t>
  </si>
  <si>
    <t xml:space="preserve">Column 1</t>
  </si>
  <si>
    <t xml:space="preserve">Column 2</t>
  </si>
  <si>
    <t xml:space="preserve">Column 3</t>
  </si>
  <si>
    <t xml:space="preserve">b_R</t>
  </si>
  <si>
    <t xml:space="preserve">Row 1</t>
  </si>
  <si>
    <t xml:space="preserve">Row 2</t>
  </si>
  <si>
    <t xml:space="preserve">Row 3</t>
  </si>
  <si>
    <t xml:space="preserve">D = the digital program, A_D and b_D (a pure shift)</t>
  </si>
  <si>
    <t xml:space="preserve">b_D</t>
  </si>
  <si>
    <t xml:space="preserve">A_D A_R</t>
  </si>
  <si>
    <t xml:space="preserve">A_R A_D</t>
  </si>
  <si>
    <t xml:space="preserve">(D o R)x0 - (R o D)x0, at today's state</t>
  </si>
  <si>
    <t xml:space="preserve">Commutator term (A_D A_R - A_R A_D) x0: zero, since the build's effect does not depend on where it starts</t>
  </si>
  <si>
    <t xml:space="preserve">Constant term (A_D - I) b_R - (A_R - I) b_D: the sale's share of what the build adds</t>
  </si>
  <si>
    <t xml:space="preserve">Sum of the two terms</t>
  </si>
  <si>
    <t xml:space="preserve">Directly: restructure-first minus digital-first, the same terms</t>
  </si>
  <si>
    <t xml:space="preserve">Largest gap between the two</t>
  </si>
  <si>
    <t xml:space="preserve">Feasibility chaining (Proposition 3.1; Equation 3.4)</t>
  </si>
  <si>
    <t xml:space="preserve">Least starting workforce from which 'sale as designed, then digital' can run</t>
  </si>
  <si>
    <t xml:space="preserve">Meridian's shortfall (points)</t>
  </si>
  <si>
    <t xml:space="preserve">Least starting workforce for 'sale with the engineers kept, then digital'</t>
  </si>
  <si>
    <t xml:space="preserve">Size of the difference (W_M's rule: liquidity / today's value, indices / 100)</t>
  </si>
  <si>
    <t xml:space="preserve">Effort</t>
  </si>
  <si>
    <t xml:space="preserve">Euclidean</t>
  </si>
  <si>
    <t xml:space="preserve">Bottleneck</t>
  </si>
  <si>
    <t xml:space="preserve">Table 3.4's two feasible orders (row 32)</t>
  </si>
  <si>
    <t xml:space="preserve">The same deal terms in both orders (row 34)</t>
  </si>
  <si>
    <t xml:space="preserve">Appendix 3.A (proof of Theorem 3.2(iii)) and Online Appendix 3.B</t>
  </si>
  <si>
    <t xml:space="preserve">Reading 1</t>
  </si>
  <si>
    <t xml:space="preserve">Reading 2</t>
  </si>
  <si>
    <t xml:space="preserve">x0</t>
  </si>
  <si>
    <t xml:space="preserve">T_R x0 = (x1 + 3, 0.9 x2)</t>
  </si>
  <si>
    <t xml:space="preserve">T_D(T_R x0), with T_D x = (0.5 x1, x2 + 0.8 x1)</t>
  </si>
  <si>
    <t xml:space="preserve">T_D x0</t>
  </si>
  <si>
    <t xml:space="preserve">T_R(T_D x0)</t>
  </si>
  <si>
    <t xml:space="preserve">Difference T_D(T_R x0) - T_R(T_D x0)</t>
  </si>
  <si>
    <t xml:space="preserve">Commutator term (A_D A_R - A_R A_D) x0</t>
  </si>
  <si>
    <t xml:space="preserve">Constant term (A_D - I) b_R</t>
  </si>
  <si>
    <t xml:space="preserve">Recommend: Worked Example 3.1, Step 6; Theorem 3.2(ii); the discussion question; Chapter 6's floor</t>
  </si>
  <si>
    <t xml:space="preserve">Theorem 3.2(ii): sensitivities multiply along a program</t>
  </si>
  <si>
    <t xml:space="preserve">Sensitivity factor of a mild step</t>
  </si>
  <si>
    <t xml:space="preserve">Sensitivity factor of a consolidating step</t>
  </si>
  <si>
    <t xml:space="preserve">Five mild steps: the program's factor is at most</t>
  </si>
  <si>
    <t xml:space="preserve">Three mild and two consolidating steps: at most</t>
  </si>
  <si>
    <t xml:space="preserve">For discussion: cash against platform strength</t>
  </si>
  <si>
    <t xml:space="preserve">Extra cash at the end, digital-first ($ million)</t>
  </si>
  <si>
    <t xml:space="preserve">Extra platform points, restructure-first with the engineers kept</t>
  </si>
  <si>
    <t xml:space="preserve">Extra workforce points, restructure-first with the engineers kept</t>
  </si>
  <si>
    <t xml:space="preserve">Value of a workforce point ($ million): what the retention clause charges</t>
  </si>
  <si>
    <t xml:space="preserve">Break-even value of a platform point ($ million)</t>
  </si>
  <si>
    <t xml:space="preserve">Above the break-even, restructure-first with the engineers kept is worth more; below it, digital-first. At the clause's price the break-even is $0: digital-first's extra cash is the clause itself. The book leaves these values to the board; replace B13 to try another price of capability.</t>
  </si>
  <si>
    <t xml:space="preserve">Chapter 6: the board's floor (Table 5.4)</t>
  </si>
  <si>
    <t xml:space="preserve">Liquidity floor ($ million)</t>
  </si>
  <si>
    <t xml:space="preserve">Digital, then restructure: lowest liquidity on the way</t>
  </si>
  <si>
    <t xml:space="preserve">   against the floor</t>
  </si>
  <si>
    <t xml:space="preserve">Restructure (engineers kept), then digital: lowest liquidity on the way</t>
  </si>
  <si>
    <t xml:space="preserve">Sections 6.5-6.6: on the floor both orders run; the build needs liquidity of at least $488 million when it starts, so that its low point respects the floor.</t>
  </si>
  <si>
    <t xml:space="preserve">Watch a company run down: Section 3.4's three-reading company (Equation 3.2; Table 3.2; Sections 7.4-7.6; AXIOM Lab 1.3, step 5)</t>
  </si>
  <si>
    <t xml:space="preserve">Quantity</t>
  </si>
  <si>
    <t xml:space="preserve">One year from x0 = (50, 40, 60) with u0 = 10 (Section 3.4)</t>
  </si>
  <si>
    <t xml:space="preserve">Eigenvalues and sensitivity factors</t>
  </si>
  <si>
    <t xml:space="preserve">Trace of the capability-technology block</t>
  </si>
  <si>
    <t xml:space="preserve">Determinant of that block</t>
  </si>
  <si>
    <t xml:space="preserve">Largest eigenvalue</t>
  </si>
  <si>
    <t xml:space="preserve">Second eigenvalue</t>
  </si>
  <si>
    <t xml:space="preserve">Third eigenvalue, a33</t>
  </si>
  <si>
    <t xml:space="preserve">Check: a13 = a23 = 0, so A is block lower-triangular (1 = yes)</t>
  </si>
  <si>
    <t xml:space="preserve">Spectral radius (Table 3.2)</t>
  </si>
  <si>
    <t xml:space="preserve">Half-life of the slowest mode, years (Section 7.6)</t>
  </si>
  <si>
    <t xml:space="preserve">One-year sensitivity factor, bottleneck view: the largest row sum</t>
  </si>
  <si>
    <t xml:space="preserve">One-year sensitivity factor, effort view: the largest column sum</t>
  </si>
  <si>
    <t xml:space="preserve">Steady state under a held investment (Section 7.5)</t>
  </si>
  <si>
    <t xml:space="preserve">Added by each unit of investment held forever</t>
  </si>
  <si>
    <t xml:space="preserve">Under the held investment of Declarations!B32</t>
  </si>
  <si>
    <t xml:space="preserve">Technology at year 10: momentum alone (Section 7.4)</t>
  </si>
  <si>
    <t xml:space="preserve">Effort view of A^k: its peak over years 1-30</t>
  </si>
  <si>
    <t xml:space="preserve">Technology at year 10: with the held investment</t>
  </si>
  <si>
    <t xml:space="preserve">   reached in year</t>
  </si>
  <si>
    <t xml:space="preserve">Technology at year 10: the program's addition</t>
  </si>
  <si>
    <t xml:space="preserve">   below one from year (it is one or more until then)</t>
  </si>
  <si>
    <t xml:space="preserve">Bottleneck view of A^k against the spectral radius^k: largest gap</t>
  </si>
  <si>
    <t xml:space="preserve">Year</t>
  </si>
  <si>
    <t xml:space="preserve">No investment: capability</t>
  </si>
  <si>
    <t xml:space="preserve">technology</t>
  </si>
  <si>
    <t xml:space="preserve">efficiency</t>
  </si>
  <si>
    <t xml:space="preserve">Held investment: capability</t>
  </si>
  <si>
    <t xml:space="preserve">From capability 1: capability</t>
  </si>
  <si>
    <t xml:space="preserve">From technology 1: capability</t>
  </si>
  <si>
    <t xml:space="preserve">From efficiency 1: capability</t>
  </si>
  <si>
    <t xml:space="preserve">Effort view of A^k: largest column sum</t>
  </si>
  <si>
    <t xml:space="preserve">Bottleneck view of A^k: largest row sum</t>
  </si>
  <si>
    <t xml:space="preserve">|bottleneck - spectral radius^k|</t>
  </si>
  <si>
    <t xml:space="preserve">Checkpoint</t>
  </si>
  <si>
    <t xml:space="preserve">Engine value</t>
  </si>
  <si>
    <t xml:space="preserve">Meaning (where in the book)</t>
  </si>
  <si>
    <t xml:space="preserve">Table 3.1: eight readings</t>
  </si>
  <si>
    <t xml:space="preserve">Scaled workforce capability</t>
  </si>
  <si>
    <t xml:space="preserve">Figure 3.3: 0.58</t>
  </si>
  <si>
    <t xml:space="preserve">Scaled technology platform</t>
  </si>
  <si>
    <t xml:space="preserve">Figure 3.3: 0.41</t>
  </si>
  <si>
    <t xml:space="preserve">Scaled operational efficiency</t>
  </si>
  <si>
    <t xml:space="preserve">Figure 3.3: 0.71</t>
  </si>
  <si>
    <t xml:space="preserve">Scaled strategic risk</t>
  </si>
  <si>
    <t xml:space="preserve">Figure 3.3: 0.64</t>
  </si>
  <si>
    <t xml:space="preserve">Figure 3.3: liquidity, leverage, ROIC, market share</t>
  </si>
  <si>
    <t xml:space="preserve">Lab step 1 (peers drawn with seed 26103)</t>
  </si>
  <si>
    <t xml:space="preserve">Lab step 1</t>
  </si>
  <si>
    <t xml:space="preserve">Peer A's squared raw distance from the indices, $ billion</t>
  </si>
  <si>
    <t xml:space="preserve">The index readings dominate in billions (Section 3.3)</t>
  </si>
  <si>
    <t xml:space="preserve">Peer A's squared raw distance from liquidity, $ million</t>
  </si>
  <si>
    <t xml:space="preserve">Liquidity dominates in millions</t>
  </si>
  <si>
    <t xml:space="preserve">Leverage in percent: raw distance to Peer A</t>
  </si>
  <si>
    <t xml:space="preserve">Proposition 3.2: a unit change reverses the raw verdict</t>
  </si>
  <si>
    <t xml:space="preserve">Leverage in percent: raw distance to Peer B</t>
  </si>
  <si>
    <t xml:space="preserve">Peer B becomes the closer peer</t>
  </si>
  <si>
    <t xml:space="preserve">Leverage in percent: the closer peer (2 = Peer B)</t>
  </si>
  <si>
    <t xml:space="preserve">Proposition 3.2: the raw verdict reverses</t>
  </si>
  <si>
    <t xml:space="preserve">Strategic risk exceeds leverage, as recorded</t>
  </si>
  <si>
    <t xml:space="preserve">LOS Guidance 3.1: 64 against 3.4</t>
  </si>
  <si>
    <t xml:space="preserve">Strategic risk exceeds leverage in percent</t>
  </si>
  <si>
    <t xml:space="preserve">LOS Guidance 3.1: reversed by a rescaling</t>
  </si>
  <si>
    <t xml:space="preserve">Scaled distance to Peer A</t>
  </si>
  <si>
    <t xml:space="preserve">Lab step 2, declared scaling W_M</t>
  </si>
  <si>
    <t xml:space="preserve">Scaled distance to Peer B</t>
  </si>
  <si>
    <t xml:space="preserve">Lab step 2</t>
  </si>
  <si>
    <t xml:space="preserve">Scaled distances: gap between $ billion and $ million</t>
  </si>
  <si>
    <t xml:space="preserve">Proposition 3.3: the weight moves the opposite way</t>
  </si>
  <si>
    <t xml:space="preserve">Weight left at 1/0.62 with liquidity in millions: distance to Peer A</t>
  </si>
  <si>
    <t xml:space="preserve">Proposition 3.3 violated</t>
  </si>
  <si>
    <t xml:space="preserve">Euclidean view of the turnaround's Year-5 move</t>
  </si>
  <si>
    <t xml:space="preserve">Section 5.8: 0.11</t>
  </si>
  <si>
    <t xml:space="preserve">Euclidean view of restructuring's Year-5 move</t>
  </si>
  <si>
    <t xml:space="preserve">Section 5.8: 0.26</t>
  </si>
  <si>
    <t xml:space="preserve">Euclidean view of digital's Year-5 move</t>
  </si>
  <si>
    <t xml:space="preserve">Section 5.8: 0.36</t>
  </si>
  <si>
    <t xml:space="preserve">Effort view of digital's Year-5 move</t>
  </si>
  <si>
    <t xml:space="preserve">Lab step 3</t>
  </si>
  <si>
    <t xml:space="preserve">Bottleneck view of digital's Year-5 move</t>
  </si>
  <si>
    <t xml:space="preserve">Effort view of Peer A</t>
  </si>
  <si>
    <t xml:space="preserve">Bottleneck view of Peer A</t>
  </si>
  <si>
    <t xml:space="preserve">Effort view of Peer B</t>
  </si>
  <si>
    <t xml:space="preserve">Bottleneck view of Peer B</t>
  </si>
  <si>
    <t xml:space="preserve">Largest effort / bottleneck ratio for eight readings</t>
  </si>
  <si>
    <t xml:space="preserve">Remark 3.B.1: up to eight</t>
  </si>
  <si>
    <t xml:space="preserve">Every move inside the constants</t>
  </si>
  <si>
    <t xml:space="preserve">Remark 3.B.1</t>
  </si>
  <si>
    <t xml:space="preserve">The sale alone: liquidity change</t>
  </si>
  <si>
    <t xml:space="preserve">Step 1: +$112 million</t>
  </si>
  <si>
    <t xml:space="preserve">The sale alone: technology change</t>
  </si>
  <si>
    <t xml:space="preserve">Step 1: -4.1</t>
  </si>
  <si>
    <t xml:space="preserve">The sale alone: workforce change</t>
  </si>
  <si>
    <t xml:space="preserve">Step 1: -5</t>
  </si>
  <si>
    <t xml:space="preserve">Digital alone: liquidity change by Year 5</t>
  </si>
  <si>
    <t xml:space="preserve">Step 1: -$35 million by Year 5</t>
  </si>
  <si>
    <t xml:space="preserve">Digital alone: technology change</t>
  </si>
  <si>
    <t xml:space="preserve">Step 1: +34.6</t>
  </si>
  <si>
    <t xml:space="preserve">Bag of initiatives: liquidity</t>
  </si>
  <si>
    <t xml:space="preserve">Table 3.4: 697</t>
  </si>
  <si>
    <t xml:space="preserve">Bag of initiatives: technology</t>
  </si>
  <si>
    <t xml:space="preserve">Table 3.4: 71.5</t>
  </si>
  <si>
    <t xml:space="preserve">Bag of initiatives: workforce</t>
  </si>
  <si>
    <t xml:space="preserve">Table 3.4: 53</t>
  </si>
  <si>
    <t xml:space="preserve">After the sale: liquidity</t>
  </si>
  <si>
    <t xml:space="preserve">Step 2: $732 million</t>
  </si>
  <si>
    <t xml:space="preserve">After the sale: technology</t>
  </si>
  <si>
    <t xml:space="preserve">Step 2: 36.9</t>
  </si>
  <si>
    <t xml:space="preserve">Restructure, then digital: feasible</t>
  </si>
  <si>
    <t xml:space="preserve">Table 3.4: infeasible</t>
  </si>
  <si>
    <t xml:space="preserve">Digital first: liquidity after the build</t>
  </si>
  <si>
    <t xml:space="preserve">Step 3: $585 million</t>
  </si>
  <si>
    <t xml:space="preserve">Digital first: technology after the build</t>
  </si>
  <si>
    <t xml:space="preserve">Step 3: 75.6</t>
  </si>
  <si>
    <t xml:space="preserve">Digital, then restructure: liquidity</t>
  </si>
  <si>
    <t xml:space="preserve">Digital, then restructure: technology</t>
  </si>
  <si>
    <t xml:space="preserve">Table 3.4: 68.1 (68.07)</t>
  </si>
  <si>
    <t xml:space="preserve">Digital, then restructure: workforce</t>
  </si>
  <si>
    <t xml:space="preserve">Sale with the engineers kept: liquidity</t>
  </si>
  <si>
    <t xml:space="preserve">Step 4: $712 million</t>
  </si>
  <si>
    <t xml:space="preserve">Digital first: low point on the way</t>
  </si>
  <si>
    <t xml:space="preserve">Step 3: low point $482 million (situation: $138 million below the start)</t>
  </si>
  <si>
    <t xml:space="preserve">Restructure (kept), then digital: liquidity</t>
  </si>
  <si>
    <t xml:space="preserve">Table 3.4: 677</t>
  </si>
  <si>
    <t xml:space="preserve">Restructure (kept), then digital: technology</t>
  </si>
  <si>
    <t xml:space="preserve">Restructure (kept), then digital: workforce</t>
  </si>
  <si>
    <t xml:space="preserve">Table 3.4: 58</t>
  </si>
  <si>
    <t xml:space="preserve">Digital-first's extra cash</t>
  </si>
  <si>
    <t xml:space="preserve">Step 5: $20 million</t>
  </si>
  <si>
    <t xml:space="preserve">The order alone, same terms: cash</t>
  </si>
  <si>
    <t xml:space="preserve">Computed from the declarations: the build's changes do not depend on the cash the sale provides</t>
  </si>
  <si>
    <t xml:space="preserve">Commutator term: technology</t>
  </si>
  <si>
    <t xml:space="preserve">Online Appendix 3.B: zero, the build being a pure shift</t>
  </si>
  <si>
    <t xml:space="preserve">Constant term: liquidity</t>
  </si>
  <si>
    <t xml:space="preserve">Online Appendix 3.B: zero</t>
  </si>
  <si>
    <t xml:space="preserve">Constant term: technology</t>
  </si>
  <si>
    <t xml:space="preserve">Online Appendix 3.B: the sale's 10% of the build's 34.6 points</t>
  </si>
  <si>
    <t xml:space="preserve">Commutator split against the direct difference</t>
  </si>
  <si>
    <t xml:space="preserve">Online Appendix 3.B's identity</t>
  </si>
  <si>
    <t xml:space="preserve">Least starting workforce, sale as designed then digital</t>
  </si>
  <si>
    <t xml:space="preserve">Proposition 3.1; Equation 3.4</t>
  </si>
  <si>
    <t xml:space="preserve">Size of Table 3.4's difference, Euclidean view</t>
  </si>
  <si>
    <t xml:space="preserve">Lab step 4, declared scaling</t>
  </si>
  <si>
    <t xml:space="preserve">T_D(T_R x0), first reading</t>
  </si>
  <si>
    <t xml:space="preserve">Appendix 3.A: 2.5</t>
  </si>
  <si>
    <t xml:space="preserve">T_D(T_R x0), second reading</t>
  </si>
  <si>
    <t xml:space="preserve">Appendix 3.A: 40.0</t>
  </si>
  <si>
    <t xml:space="preserve">T_R(T_D x0), first reading</t>
  </si>
  <si>
    <t xml:space="preserve">Appendix 3.A: 4.0</t>
  </si>
  <si>
    <t xml:space="preserve">T_R(T_D x0), second reading</t>
  </si>
  <si>
    <t xml:space="preserve">Appendix 3.A: 37.44</t>
  </si>
  <si>
    <t xml:space="preserve">Difference of the orders, first reading</t>
  </si>
  <si>
    <t xml:space="preserve">Online Appendix 3.B: -1.5</t>
  </si>
  <si>
    <t xml:space="preserve">Difference of the orders, second reading</t>
  </si>
  <si>
    <t xml:space="preserve">Online Appendix 3.B: 2.56</t>
  </si>
  <si>
    <t xml:space="preserve">Commutator plus constant term, second reading</t>
  </si>
  <si>
    <t xml:space="preserve">Online Appendix 3.B: 0.16 + 2.4</t>
  </si>
  <si>
    <t xml:space="preserve">Five steps at factor 1.2</t>
  </si>
  <si>
    <t xml:space="preserve">Section 3.5: about 2.5</t>
  </si>
  <si>
    <t xml:space="preserve">Three steps at 1.2 and two at 0.7</t>
  </si>
  <si>
    <t xml:space="preserve">Section 3.5: about 0.85</t>
  </si>
  <si>
    <t xml:space="preserve">Break-even value of a platform point</t>
  </si>
  <si>
    <t xml:space="preserve">For discussion (computed from the declarations): digital-first's extra cash is the clause itself</t>
  </si>
  <si>
    <t xml:space="preserve">Digital-first above the $350m floor at the build's low point</t>
  </si>
  <si>
    <t xml:space="preserve">Section 6.6: lowest $482 million, $132 million above</t>
  </si>
  <si>
    <t xml:space="preserve">Restructure-first above the $350m floor at the build's low point</t>
  </si>
  <si>
    <t xml:space="preserve">Section 6.6: lowest $574 million, $224 million above</t>
  </si>
  <si>
    <t xml:space="preserve">Three-reading company: capability after a year</t>
  </si>
  <si>
    <t xml:space="preserve">Section 3.4: 53.0</t>
  </si>
  <si>
    <t xml:space="preserve">Three-reading company: technology after a year</t>
  </si>
  <si>
    <t xml:space="preserve">Section 3.4: 42.0</t>
  </si>
  <si>
    <t xml:space="preserve">Three-reading company: efficiency after a year</t>
  </si>
  <si>
    <t xml:space="preserve">Section 3.4: 54.5</t>
  </si>
  <si>
    <t xml:space="preserve">Section 3.4: 0.95</t>
  </si>
  <si>
    <t xml:space="preserve">Section 3.4: 0.80</t>
  </si>
  <si>
    <t xml:space="preserve">Third eigenvalue</t>
  </si>
  <si>
    <t xml:space="preserve">Half-life of the slowest mode</t>
  </si>
  <si>
    <t xml:space="preserve">Section 7.6: about 13.5 years</t>
  </si>
  <si>
    <t xml:space="preserve">Efficiency per unit of investment held</t>
  </si>
  <si>
    <t xml:space="preserve">Section 7.5: 7.1</t>
  </si>
  <si>
    <t xml:space="preserve">Steady state under a held 8: capability</t>
  </si>
  <si>
    <t xml:space="preserve">Section 7.5: 84</t>
  </si>
  <si>
    <t xml:space="preserve">Steady state under a held 8: technology</t>
  </si>
  <si>
    <t xml:space="preserve">Section 7.5: 72</t>
  </si>
  <si>
    <t xml:space="preserve">Steady state under a held 8: efficiency</t>
  </si>
  <si>
    <t xml:space="preserve">Section 7.5: 57</t>
  </si>
  <si>
    <t xml:space="preserve">Technology at year 10, momentum alone</t>
  </si>
  <si>
    <t xml:space="preserve">Section 7.4: 27</t>
  </si>
  <si>
    <t xml:space="preserve">Technology at year 10, the program's addition</t>
  </si>
  <si>
    <t xml:space="preserve">Section 7.4: 25</t>
  </si>
  <si>
    <t xml:space="preserve">Technology at year 10, in all</t>
  </si>
  <si>
    <t xml:space="preserve">Section 7.4: 52</t>
  </si>
  <si>
    <t xml:space="preserve">One-year sensitivity factor, bottleneck view</t>
  </si>
  <si>
    <t xml:space="preserve">Every row of A sums to 0.95</t>
  </si>
  <si>
    <t xml:space="preserve">One-year sensitivity factor, effort view</t>
  </si>
  <si>
    <t xml:space="preserve">The capability column sums to 1.05</t>
  </si>
  <si>
    <t xml:space="preserve">Effort view of A^k: its peak</t>
  </si>
  <si>
    <t xml:space="preserve">Theorem 3.2(ii): a run's factor</t>
  </si>
  <si>
    <t xml:space="preserve">Effort view of A^k: year of the peak</t>
  </si>
  <si>
    <t xml:space="preserve">Lab step 5</t>
  </si>
  <si>
    <t xml:space="preserve">Effort view of A^k: below one from year</t>
  </si>
  <si>
    <t xml:space="preserve">Bottleneck view of A^k against 0.95^k</t>
  </si>
  <si>
    <t xml:space="preserve">Exact: rows of A sum to 0.95</t>
  </si>
  <si>
    <t xml:space="preserve">Workbook formula value</t>
  </si>
  <si>
    <t xml:space="preserve">|diff|</t>
  </si>
  <si>
    <t xml:space="preserve">Tolerance</t>
  </si>
  <si>
    <t xml:space="preserve">Status</t>
  </si>
  <si>
    <t xml:space="preserve">All checkpoints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</si>
</sst>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0"/>
    <numFmt numFmtId="166" formatCode="0.0000"/>
    <numFmt numFmtId="167" formatCode="0.0"/>
    <numFmt numFmtId="168" formatCode="0"/>
    <numFmt numFmtId="169" formatCode="0%"/>
    <numFmt numFmtId="170" formatCode="0.00"/>
    <numFmt numFmtId="171" formatCode="0.000000"/>
    <numFmt numFmtId="172" formatCode="0.0%"/>
    <numFmt numFmtId="173" formatCode="#,##0"/>
    <numFmt numFmtId="174" formatCode="0.0E+00"/>
    <numFmt numFmtId="175" formatCode="\+0.00;\-0.00;0"/>
    <numFmt numFmtId="176" formatCode="\+0;\-0;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D6"/>
        <bgColor rgb="FFE8F0EC"/>
      </patternFill>
    </fill>
    <fill>
      <patternFill patternType="solid">
        <fgColor rgb="FFE8F0EC"/>
        <bgColor rgb="FFFFF3D6"/>
      </patternFill>
    </fill>
    <fill>
      <patternFill patternType="solid">
        <fgColor rgb="FF0B3D2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BE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ECE"/>
      <rgbColor rgb="FF808080"/>
      <rgbColor rgb="FF9999FF"/>
      <rgbColor rgb="FF993366"/>
      <rgbColor rgb="FFFFF3D6"/>
      <rgbColor rgb="FFE8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0"/>
  </cols>
  <sheetData>
    <row r="1" customFormat="false" ht="15" hidden="false" customHeight="true" outlineLevel="0" collapsed="false">
      <c r="B1" s="2" t="s">
        <v>0</v>
      </c>
    </row>
    <row r="2" customFormat="false" ht="15" hidden="false" customHeight="true" outlineLevel="0" collapsed="false">
      <c r="B2" s="3" t="s">
        <v>1</v>
      </c>
    </row>
    <row r="4" customFormat="false" ht="15" hidden="false" customHeight="true" outlineLevel="0" collapsed="false">
      <c r="B4" s="4" t="s">
        <v>2</v>
      </c>
    </row>
    <row r="5" customFormat="false" ht="23.25" hidden="false" customHeight="true" outlineLevel="0" collapsed="false">
      <c r="B5" s="4" t="s">
        <v>3</v>
      </c>
    </row>
    <row r="6" customFormat="false" ht="23.25" hidden="false" customHeight="true" outlineLevel="0" collapsed="false">
      <c r="B6" s="4" t="s">
        <v>4</v>
      </c>
    </row>
    <row r="7" customFormat="false" ht="23.25" hidden="false" customHeight="true" outlineLevel="0" collapsed="false">
      <c r="B7" s="4" t="s">
        <v>5</v>
      </c>
    </row>
    <row r="8" customFormat="false" ht="23.25" hidden="false" customHeight="true" outlineLevel="0" collapsed="false">
      <c r="B8" s="4" t="s">
        <v>6</v>
      </c>
    </row>
    <row r="9" customFormat="false" ht="15" hidden="false" customHeight="true" outlineLevel="0" collapsed="false">
      <c r="B9" s="4" t="s">
        <v>7</v>
      </c>
    </row>
    <row r="10" customFormat="false" ht="15" hidden="false" customHeight="true" outlineLevel="0" collapsed="false">
      <c r="B10" s="4" t="s">
        <v>8</v>
      </c>
    </row>
    <row r="11" customFormat="false" ht="23.25" hidden="false" customHeight="true" outlineLevel="0" collapsed="false">
      <c r="B11" s="4" t="s">
        <v>9</v>
      </c>
    </row>
    <row r="12" customFormat="false" ht="23.25" hidden="false" customHeight="true" outlineLevel="0" collapsed="false">
      <c r="B12" s="4" t="s">
        <v>10</v>
      </c>
    </row>
    <row r="14" customFormat="false" ht="15" hidden="false" customHeight="true" outlineLevel="0" collapsed="false">
      <c r="B14" s="5" t="s">
        <v>11</v>
      </c>
    </row>
    <row r="15" customFormat="false" ht="15" hidden="false" customHeight="true" outlineLevel="0" collapsed="false">
      <c r="B15" s="6" t="s">
        <v>12</v>
      </c>
    </row>
    <row r="16" customFormat="false" ht="15" hidden="false" customHeight="true" outlineLevel="0" collapsed="false">
      <c r="B16" s="3" t="s">
        <v>13</v>
      </c>
    </row>
    <row r="17" customFormat="false" ht="15" hidden="false" customHeight="true" outlineLevel="0" collapsed="false">
      <c r="B17" s="7" t="s">
        <v>14</v>
      </c>
    </row>
    <row r="18" customFormat="false" ht="15" hidden="false" customHeight="true" outlineLevel="0" collapsed="false">
      <c r="B18" s="8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6"/>
    <col collapsed="false" customWidth="true" hidden="false" outlineLevel="0" max="3" min="2" style="1" width="18"/>
    <col collapsed="false" customWidth="true" hidden="false" outlineLevel="0" max="6" min="4" style="1" width="14"/>
    <col collapsed="false" customWidth="true" hidden="false" outlineLevel="0" max="7" min="7" style="1" width="36"/>
  </cols>
  <sheetData>
    <row r="1" customFormat="false" ht="15" hidden="false" customHeight="true" outlineLevel="0" collapsed="false">
      <c r="A1" s="2" t="s">
        <v>16</v>
      </c>
    </row>
    <row r="3" customFormat="false" ht="15" hidden="false" customHeight="true" outlineLevel="0" collapsed="false">
      <c r="A3" s="9" t="s">
        <v>17</v>
      </c>
      <c r="B3" s="9" t="s">
        <v>18</v>
      </c>
      <c r="C3" s="9" t="s">
        <v>19</v>
      </c>
      <c r="D3" s="9" t="s">
        <v>20</v>
      </c>
      <c r="E3" s="9" t="s">
        <v>21</v>
      </c>
      <c r="F3" s="9" t="s">
        <v>22</v>
      </c>
      <c r="G3" s="9" t="s">
        <v>23</v>
      </c>
    </row>
    <row r="4" customFormat="false" ht="15" hidden="false" customHeight="true" outlineLevel="0" collapsed="false">
      <c r="A4" s="3" t="s">
        <v>24</v>
      </c>
      <c r="B4" s="3" t="s">
        <v>25</v>
      </c>
      <c r="C4" s="10" t="n">
        <v>0.62</v>
      </c>
      <c r="D4" s="3" t="s">
        <v>26</v>
      </c>
      <c r="E4" s="11" t="n">
        <f aca="false">C4</f>
        <v>0.62</v>
      </c>
      <c r="F4" s="12" t="n">
        <f aca="false">1/E4</f>
        <v>1.61290322580645</v>
      </c>
      <c r="G4" s="13" t="s">
        <v>27</v>
      </c>
    </row>
    <row r="5" customFormat="false" ht="15" hidden="false" customHeight="true" outlineLevel="0" collapsed="false">
      <c r="A5" s="3" t="s">
        <v>28</v>
      </c>
      <c r="B5" s="3" t="s">
        <v>29</v>
      </c>
      <c r="C5" s="14" t="n">
        <v>3.4</v>
      </c>
      <c r="D5" s="3" t="s">
        <v>30</v>
      </c>
      <c r="E5" s="11" t="n">
        <f aca="false">C5</f>
        <v>3.4</v>
      </c>
      <c r="F5" s="12" t="n">
        <f aca="false">1/E5</f>
        <v>0.294117647058824</v>
      </c>
      <c r="G5" s="13" t="s">
        <v>27</v>
      </c>
    </row>
    <row r="6" customFormat="false" ht="15" hidden="false" customHeight="true" outlineLevel="0" collapsed="false">
      <c r="A6" s="3" t="s">
        <v>31</v>
      </c>
      <c r="B6" s="3" t="s">
        <v>32</v>
      </c>
      <c r="C6" s="14" t="n">
        <v>58</v>
      </c>
      <c r="D6" s="3" t="s">
        <v>33</v>
      </c>
      <c r="E6" s="15" t="n">
        <v>100</v>
      </c>
      <c r="F6" s="12" t="n">
        <f aca="false">1/E6</f>
        <v>0.01</v>
      </c>
      <c r="G6" s="13" t="s">
        <v>34</v>
      </c>
    </row>
    <row r="7" customFormat="false" ht="15" hidden="false" customHeight="true" outlineLevel="0" collapsed="false">
      <c r="A7" s="3" t="s">
        <v>35</v>
      </c>
      <c r="B7" s="3" t="s">
        <v>32</v>
      </c>
      <c r="C7" s="14" t="n">
        <v>41</v>
      </c>
      <c r="D7" s="3" t="s">
        <v>33</v>
      </c>
      <c r="E7" s="15" t="n">
        <v>100</v>
      </c>
      <c r="F7" s="12" t="n">
        <f aca="false">1/E7</f>
        <v>0.01</v>
      </c>
      <c r="G7" s="13" t="s">
        <v>34</v>
      </c>
    </row>
    <row r="8" customFormat="false" ht="15" hidden="false" customHeight="true" outlineLevel="0" collapsed="false">
      <c r="A8" s="3" t="s">
        <v>36</v>
      </c>
      <c r="B8" s="3" t="s">
        <v>32</v>
      </c>
      <c r="C8" s="14" t="n">
        <v>71</v>
      </c>
      <c r="D8" s="3" t="s">
        <v>33</v>
      </c>
      <c r="E8" s="15" t="n">
        <v>100</v>
      </c>
      <c r="F8" s="12" t="n">
        <f aca="false">1/E8</f>
        <v>0.01</v>
      </c>
      <c r="G8" s="13" t="s">
        <v>34</v>
      </c>
    </row>
    <row r="9" customFormat="false" ht="15" hidden="false" customHeight="true" outlineLevel="0" collapsed="false">
      <c r="A9" s="3" t="s">
        <v>37</v>
      </c>
      <c r="B9" s="3" t="s">
        <v>30</v>
      </c>
      <c r="C9" s="10" t="n">
        <v>0.083</v>
      </c>
      <c r="D9" s="3" t="s">
        <v>30</v>
      </c>
      <c r="E9" s="11" t="n">
        <f aca="false">C9</f>
        <v>0.083</v>
      </c>
      <c r="F9" s="12" t="n">
        <f aca="false">1/E9</f>
        <v>12.0481927710843</v>
      </c>
      <c r="G9" s="13" t="s">
        <v>27</v>
      </c>
    </row>
    <row r="10" customFormat="false" ht="15" hidden="false" customHeight="true" outlineLevel="0" collapsed="false">
      <c r="A10" s="3" t="s">
        <v>38</v>
      </c>
      <c r="B10" s="3" t="s">
        <v>32</v>
      </c>
      <c r="C10" s="14" t="n">
        <v>64</v>
      </c>
      <c r="D10" s="3" t="s">
        <v>33</v>
      </c>
      <c r="E10" s="15" t="n">
        <v>100</v>
      </c>
      <c r="F10" s="12" t="n">
        <f aca="false">1/E10</f>
        <v>0.01</v>
      </c>
      <c r="G10" s="13" t="s">
        <v>34</v>
      </c>
    </row>
    <row r="11" customFormat="false" ht="15" hidden="false" customHeight="true" outlineLevel="0" collapsed="false">
      <c r="A11" s="3" t="s">
        <v>39</v>
      </c>
      <c r="B11" s="3" t="s">
        <v>30</v>
      </c>
      <c r="C11" s="10" t="n">
        <v>0.19</v>
      </c>
      <c r="D11" s="3" t="s">
        <v>30</v>
      </c>
      <c r="E11" s="11" t="n">
        <f aca="false">C11</f>
        <v>0.19</v>
      </c>
      <c r="F11" s="12" t="n">
        <f aca="false">1/E11</f>
        <v>5.26315789473684</v>
      </c>
      <c r="G11" s="13" t="s">
        <v>27</v>
      </c>
    </row>
    <row r="12" customFormat="false" ht="15" hidden="false" customHeight="true" outlineLevel="0" collapsed="false">
      <c r="A12" s="5" t="s">
        <v>40</v>
      </c>
      <c r="C12" s="16" t="n">
        <f aca="false">COUNT(C4:C11)</f>
        <v>8</v>
      </c>
    </row>
    <row r="13" customFormat="false" ht="15" hidden="false" customHeight="true" outlineLevel="0" collapsed="false">
      <c r="A13" s="13" t="s">
        <v>41</v>
      </c>
    </row>
    <row r="15" customFormat="false" ht="15" hidden="false" customHeight="true" outlineLevel="0" collapsed="false">
      <c r="A15" s="9" t="s">
        <v>42</v>
      </c>
      <c r="B15" s="9" t="s">
        <v>43</v>
      </c>
      <c r="C15" s="9" t="s">
        <v>44</v>
      </c>
    </row>
    <row r="16" customFormat="false" ht="15" hidden="false" customHeight="true" outlineLevel="0" collapsed="false">
      <c r="A16" s="3" t="s">
        <v>45</v>
      </c>
      <c r="B16" s="16" t="n">
        <f aca="false">1000*C4</f>
        <v>620</v>
      </c>
      <c r="C16" s="13" t="s">
        <v>46</v>
      </c>
    </row>
    <row r="17" customFormat="false" ht="15" hidden="false" customHeight="true" outlineLevel="0" collapsed="false">
      <c r="A17" s="3" t="s">
        <v>47</v>
      </c>
      <c r="B17" s="17" t="n">
        <f aca="false">C7</f>
        <v>41</v>
      </c>
      <c r="C17" s="13" t="s">
        <v>48</v>
      </c>
    </row>
    <row r="18" customFormat="false" ht="15" hidden="false" customHeight="true" outlineLevel="0" collapsed="false">
      <c r="A18" s="3" t="s">
        <v>49</v>
      </c>
      <c r="B18" s="18" t="n">
        <f aca="false">C6</f>
        <v>58</v>
      </c>
      <c r="C18" s="13" t="s">
        <v>48</v>
      </c>
    </row>
    <row r="19" customFormat="false" ht="15" hidden="false" customHeight="true" outlineLevel="0" collapsed="false">
      <c r="A19" s="3" t="s">
        <v>50</v>
      </c>
      <c r="B19" s="15" t="n">
        <v>112</v>
      </c>
      <c r="C19" s="13" t="s">
        <v>51</v>
      </c>
    </row>
    <row r="20" customFormat="false" ht="15" hidden="false" customHeight="true" outlineLevel="0" collapsed="false">
      <c r="A20" s="3" t="s">
        <v>52</v>
      </c>
      <c r="B20" s="19" t="n">
        <v>0.1</v>
      </c>
      <c r="C20" s="13" t="s">
        <v>51</v>
      </c>
    </row>
    <row r="21" customFormat="false" ht="15" hidden="false" customHeight="true" outlineLevel="0" collapsed="false">
      <c r="A21" s="3" t="s">
        <v>53</v>
      </c>
      <c r="B21" s="15" t="n">
        <v>5</v>
      </c>
      <c r="C21" s="13" t="s">
        <v>51</v>
      </c>
    </row>
    <row r="22" customFormat="false" ht="15" hidden="false" customHeight="true" outlineLevel="0" collapsed="false">
      <c r="A22" s="3" t="s">
        <v>54</v>
      </c>
      <c r="B22" s="15" t="n">
        <v>20</v>
      </c>
      <c r="C22" s="13" t="s">
        <v>55</v>
      </c>
    </row>
    <row r="23" customFormat="false" ht="15" hidden="false" customHeight="true" outlineLevel="0" collapsed="false">
      <c r="A23" s="3" t="s">
        <v>56</v>
      </c>
      <c r="B23" s="19" t="n">
        <f aca="false">6.2*((112+(100-112)*EXP(-0.35*5)+(-28)*(5/2)*EXP(1-5/2))-100)</f>
        <v>-35.3672708971317</v>
      </c>
      <c r="C23" s="13" t="s">
        <v>57</v>
      </c>
    </row>
    <row r="24" customFormat="false" ht="15" hidden="false" customHeight="true" outlineLevel="0" collapsed="false">
      <c r="A24" s="3" t="s">
        <v>58</v>
      </c>
      <c r="B24" s="20" t="n">
        <f aca="false">78+(41-78)*EXP(-0.55*5)-41</f>
        <v>34.6346691353518</v>
      </c>
      <c r="C24" s="13" t="s">
        <v>57</v>
      </c>
    </row>
    <row r="25" customFormat="false" ht="15" hidden="false" customHeight="true" outlineLevel="0" collapsed="false">
      <c r="A25" s="3" t="s">
        <v>59</v>
      </c>
      <c r="B25" s="15" t="n">
        <v>55</v>
      </c>
      <c r="C25" s="13" t="s">
        <v>60</v>
      </c>
    </row>
    <row r="26" customFormat="false" ht="15" hidden="false" customHeight="true" outlineLevel="0" collapsed="false">
      <c r="A26" s="9" t="s">
        <v>61</v>
      </c>
      <c r="B26" s="9" t="s">
        <v>62</v>
      </c>
      <c r="C26" s="9" t="s">
        <v>63</v>
      </c>
      <c r="D26" s="9" t="s">
        <v>64</v>
      </c>
      <c r="E26" s="9" t="s">
        <v>65</v>
      </c>
    </row>
    <row r="27" customFormat="false" ht="15" hidden="false" customHeight="true" outlineLevel="0" collapsed="false">
      <c r="A27" s="3" t="s">
        <v>66</v>
      </c>
      <c r="B27" s="20" t="n">
        <v>0.9</v>
      </c>
      <c r="C27" s="20" t="n">
        <v>0.05</v>
      </c>
      <c r="D27" s="20" t="n">
        <v>0</v>
      </c>
      <c r="E27" s="14" t="n">
        <v>0.6</v>
      </c>
    </row>
    <row r="28" customFormat="false" ht="15" hidden="false" customHeight="true" outlineLevel="0" collapsed="false">
      <c r="A28" s="3" t="s">
        <v>67</v>
      </c>
      <c r="B28" s="20" t="n">
        <v>0.1</v>
      </c>
      <c r="C28" s="20" t="n">
        <v>0.85</v>
      </c>
      <c r="D28" s="20" t="n">
        <v>0</v>
      </c>
      <c r="E28" s="14" t="n">
        <v>0.3</v>
      </c>
    </row>
    <row r="29" customFormat="false" ht="15" hidden="false" customHeight="true" outlineLevel="0" collapsed="false">
      <c r="A29" s="3" t="s">
        <v>68</v>
      </c>
      <c r="B29" s="20" t="n">
        <v>0.05</v>
      </c>
      <c r="C29" s="20" t="n">
        <v>0.1</v>
      </c>
      <c r="D29" s="20" t="n">
        <v>0.8</v>
      </c>
      <c r="E29" s="14" t="n">
        <v>0</v>
      </c>
    </row>
    <row r="30" customFormat="false" ht="15" hidden="false" customHeight="true" outlineLevel="0" collapsed="false">
      <c r="A30" s="3" t="s">
        <v>69</v>
      </c>
      <c r="B30" s="15" t="n">
        <v>50</v>
      </c>
      <c r="C30" s="15" t="n">
        <v>40</v>
      </c>
      <c r="D30" s="15" t="n">
        <v>60</v>
      </c>
    </row>
    <row r="31" customFormat="false" ht="15" hidden="false" customHeight="true" outlineLevel="0" collapsed="false">
      <c r="A31" s="3" t="s">
        <v>70</v>
      </c>
      <c r="B31" s="15" t="n">
        <v>10</v>
      </c>
    </row>
    <row r="32" customFormat="false" ht="15" hidden="false" customHeight="true" outlineLevel="0" collapsed="false">
      <c r="A32" s="3" t="s">
        <v>71</v>
      </c>
      <c r="B32" s="15" t="n">
        <v>8</v>
      </c>
    </row>
    <row r="33" customFormat="false" ht="15" hidden="false" customHeight="false" outlineLevel="0" collapsed="false">
      <c r="A33" s="3" t="s">
        <v>72</v>
      </c>
      <c r="B33" s="19" t="n">
        <v>138.082058622032</v>
      </c>
      <c r="C33" s="13" t="s">
        <v>73</v>
      </c>
    </row>
    <row r="34" customFormat="false" ht="15" hidden="false" customHeight="true" outlineLevel="0" collapsed="false">
      <c r="A34" s="3" t="s">
        <v>74</v>
      </c>
      <c r="B34" s="15" t="n">
        <v>350</v>
      </c>
    </row>
    <row r="35" customFormat="false" ht="15" hidden="false" customHeight="true" outlineLevel="0" collapsed="false">
      <c r="A35" s="13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6" min="4" style="1" width="12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14" min="9" style="1" width="13"/>
  </cols>
  <sheetData>
    <row r="1" customFormat="false" ht="15" hidden="false" customHeight="true" outlineLevel="0" collapsed="false">
      <c r="A1" s="2" t="s">
        <v>76</v>
      </c>
    </row>
    <row r="2" customFormat="false" ht="15" hidden="false" customHeight="true" outlineLevel="0" collapsed="false">
      <c r="A2" s="13" t="s">
        <v>77</v>
      </c>
    </row>
    <row r="4" customFormat="false" ht="34.5" hidden="false" customHeight="true" outlineLevel="0" collapsed="false">
      <c r="A4" s="9" t="s">
        <v>78</v>
      </c>
      <c r="B4" s="9" t="s">
        <v>18</v>
      </c>
      <c r="C4" s="9" t="s">
        <v>79</v>
      </c>
      <c r="D4" s="9" t="s">
        <v>80</v>
      </c>
      <c r="E4" s="9" t="s">
        <v>81</v>
      </c>
      <c r="F4" s="9" t="s">
        <v>82</v>
      </c>
      <c r="G4" s="9" t="s">
        <v>83</v>
      </c>
      <c r="H4" s="9" t="s">
        <v>84</v>
      </c>
      <c r="I4" s="9" t="s">
        <v>85</v>
      </c>
      <c r="J4" s="9" t="s">
        <v>86</v>
      </c>
      <c r="K4" s="9" t="s">
        <v>87</v>
      </c>
      <c r="L4" s="9" t="s">
        <v>88</v>
      </c>
      <c r="M4" s="9" t="s">
        <v>89</v>
      </c>
      <c r="N4" s="9" t="s">
        <v>90</v>
      </c>
    </row>
    <row r="5" customFormat="false" ht="15" hidden="false" customHeight="true" outlineLevel="0" collapsed="false">
      <c r="A5" s="8" t="str">
        <f aca="false">Declarations!A4</f>
        <v>x1  liquidity</v>
      </c>
      <c r="B5" s="8" t="str">
        <f aca="false">Declarations!B4</f>
        <v>US$ billion</v>
      </c>
      <c r="C5" s="8" t="str">
        <f aca="false">Declarations!D4</f>
        <v>currency</v>
      </c>
      <c r="D5" s="21" t="n">
        <f aca="false">Declarations!C4</f>
        <v>0.62</v>
      </c>
      <c r="E5" s="22" t="n">
        <v>0.65</v>
      </c>
      <c r="F5" s="22" t="n">
        <v>0.47</v>
      </c>
      <c r="G5" s="15" t="n">
        <v>1000</v>
      </c>
      <c r="H5" s="15" t="n">
        <v>1</v>
      </c>
      <c r="I5" s="23" t="n">
        <f aca="false">(E5-D5)^2</f>
        <v>0.000900000000000002</v>
      </c>
      <c r="J5" s="23" t="n">
        <f aca="false">(F5-D5)^2</f>
        <v>0.0225</v>
      </c>
      <c r="K5" s="11" t="n">
        <f aca="false">((E5-D5)*G5)^2</f>
        <v>900.000000000002</v>
      </c>
      <c r="L5" s="11" t="n">
        <f aca="false">((F5-D5)*G5)^2</f>
        <v>22500</v>
      </c>
      <c r="M5" s="11" t="n">
        <f aca="false">((E5-D5)*H5)^2</f>
        <v>0.000900000000000002</v>
      </c>
      <c r="N5" s="11" t="n">
        <f aca="false">((F5-D5)*H5)^2</f>
        <v>0.0225</v>
      </c>
    </row>
    <row r="6" customFormat="false" ht="15" hidden="false" customHeight="true" outlineLevel="0" collapsed="false">
      <c r="A6" s="8" t="str">
        <f aca="false">Declarations!A5</f>
        <v>x2  net leverage</v>
      </c>
      <c r="B6" s="8" t="str">
        <f aca="false">Declarations!B5</f>
        <v>net debt / EBITDA</v>
      </c>
      <c r="C6" s="8" t="str">
        <f aca="false">Declarations!D5</f>
        <v>ratio</v>
      </c>
      <c r="D6" s="21" t="n">
        <f aca="false">Declarations!C5</f>
        <v>3.4</v>
      </c>
      <c r="E6" s="22" t="n">
        <v>3.9</v>
      </c>
      <c r="F6" s="22" t="n">
        <v>3.3</v>
      </c>
      <c r="G6" s="15" t="n">
        <v>1</v>
      </c>
      <c r="H6" s="15" t="n">
        <v>100</v>
      </c>
      <c r="I6" s="23" t="n">
        <f aca="false">(E6-D6)^2</f>
        <v>0.25</v>
      </c>
      <c r="J6" s="23" t="n">
        <f aca="false">(F6-D6)^2</f>
        <v>0.01</v>
      </c>
      <c r="K6" s="11" t="n">
        <f aca="false">((E6-D6)*G6)^2</f>
        <v>0.25</v>
      </c>
      <c r="L6" s="11" t="n">
        <f aca="false">((F6-D6)*G6)^2</f>
        <v>0.01</v>
      </c>
      <c r="M6" s="11" t="n">
        <f aca="false">((E6-D6)*H6)^2</f>
        <v>2500</v>
      </c>
      <c r="N6" s="11" t="n">
        <f aca="false">((F6-D6)*H6)^2</f>
        <v>100</v>
      </c>
    </row>
    <row r="7" customFormat="false" ht="15" hidden="false" customHeight="true" outlineLevel="0" collapsed="false">
      <c r="A7" s="8" t="str">
        <f aca="false">Declarations!A6</f>
        <v>x3  workforce capability</v>
      </c>
      <c r="B7" s="8" t="str">
        <f aca="false">Declarations!B6</f>
        <v>index, 0-100</v>
      </c>
      <c r="C7" s="8" t="str">
        <f aca="false">Declarations!D6</f>
        <v>index</v>
      </c>
      <c r="D7" s="21" t="n">
        <f aca="false">Declarations!C6</f>
        <v>58</v>
      </c>
      <c r="E7" s="22" t="n">
        <v>59</v>
      </c>
      <c r="F7" s="22" t="n">
        <v>54</v>
      </c>
      <c r="G7" s="15" t="n">
        <v>1</v>
      </c>
      <c r="H7" s="15" t="n">
        <v>1</v>
      </c>
      <c r="I7" s="23" t="n">
        <f aca="false">(E7-D7)^2</f>
        <v>1</v>
      </c>
      <c r="J7" s="23" t="n">
        <f aca="false">(F7-D7)^2</f>
        <v>16</v>
      </c>
      <c r="K7" s="11" t="n">
        <f aca="false">((E7-D7)*G7)^2</f>
        <v>1</v>
      </c>
      <c r="L7" s="11" t="n">
        <f aca="false">((F7-D7)*G7)^2</f>
        <v>16</v>
      </c>
      <c r="M7" s="11" t="n">
        <f aca="false">((E7-D7)*H7)^2</f>
        <v>1</v>
      </c>
      <c r="N7" s="11" t="n">
        <f aca="false">((F7-D7)*H7)^2</f>
        <v>16</v>
      </c>
    </row>
    <row r="8" customFormat="false" ht="15" hidden="false" customHeight="true" outlineLevel="0" collapsed="false">
      <c r="A8" s="8" t="str">
        <f aca="false">Declarations!A7</f>
        <v>x4  technology platform</v>
      </c>
      <c r="B8" s="8" t="str">
        <f aca="false">Declarations!B7</f>
        <v>index, 0-100</v>
      </c>
      <c r="C8" s="8" t="str">
        <f aca="false">Declarations!D7</f>
        <v>index</v>
      </c>
      <c r="D8" s="21" t="n">
        <f aca="false">Declarations!C7</f>
        <v>41</v>
      </c>
      <c r="E8" s="22" t="n">
        <v>37</v>
      </c>
      <c r="F8" s="22" t="n">
        <v>47</v>
      </c>
      <c r="G8" s="15" t="n">
        <v>1</v>
      </c>
      <c r="H8" s="15" t="n">
        <v>1</v>
      </c>
      <c r="I8" s="23" t="n">
        <f aca="false">(E8-D8)^2</f>
        <v>16</v>
      </c>
      <c r="J8" s="23" t="n">
        <f aca="false">(F8-D8)^2</f>
        <v>36</v>
      </c>
      <c r="K8" s="11" t="n">
        <f aca="false">((E8-D8)*G8)^2</f>
        <v>16</v>
      </c>
      <c r="L8" s="11" t="n">
        <f aca="false">((F8-D8)*G8)^2</f>
        <v>36</v>
      </c>
      <c r="M8" s="11" t="n">
        <f aca="false">((E8-D8)*H8)^2</f>
        <v>16</v>
      </c>
      <c r="N8" s="11" t="n">
        <f aca="false">((F8-D8)*H8)^2</f>
        <v>36</v>
      </c>
    </row>
    <row r="9" customFormat="false" ht="15" hidden="false" customHeight="true" outlineLevel="0" collapsed="false">
      <c r="A9" s="8" t="str">
        <f aca="false">Declarations!A8</f>
        <v>x5  operational efficiency</v>
      </c>
      <c r="B9" s="8" t="str">
        <f aca="false">Declarations!B8</f>
        <v>index, 0-100</v>
      </c>
      <c r="C9" s="8" t="str">
        <f aca="false">Declarations!D8</f>
        <v>index</v>
      </c>
      <c r="D9" s="21" t="n">
        <f aca="false">Declarations!C8</f>
        <v>71</v>
      </c>
      <c r="E9" s="22" t="n">
        <v>74</v>
      </c>
      <c r="F9" s="22" t="n">
        <v>58</v>
      </c>
      <c r="G9" s="15" t="n">
        <v>1</v>
      </c>
      <c r="H9" s="15" t="n">
        <v>1</v>
      </c>
      <c r="I9" s="23" t="n">
        <f aca="false">(E9-D9)^2</f>
        <v>9</v>
      </c>
      <c r="J9" s="23" t="n">
        <f aca="false">(F9-D9)^2</f>
        <v>169</v>
      </c>
      <c r="K9" s="11" t="n">
        <f aca="false">((E9-D9)*G9)^2</f>
        <v>9</v>
      </c>
      <c r="L9" s="11" t="n">
        <f aca="false">((F9-D9)*G9)^2</f>
        <v>169</v>
      </c>
      <c r="M9" s="11" t="n">
        <f aca="false">((E9-D9)*H9)^2</f>
        <v>9</v>
      </c>
      <c r="N9" s="11" t="n">
        <f aca="false">((F9-D9)*H9)^2</f>
        <v>169</v>
      </c>
    </row>
    <row r="10" customFormat="false" ht="15" hidden="false" customHeight="true" outlineLevel="0" collapsed="false">
      <c r="A10" s="8" t="str">
        <f aca="false">Declarations!A9</f>
        <v>x6  return on invested capital</v>
      </c>
      <c r="B10" s="8" t="str">
        <f aca="false">Declarations!B9</f>
        <v>ratio</v>
      </c>
      <c r="C10" s="8" t="str">
        <f aca="false">Declarations!D9</f>
        <v>ratio</v>
      </c>
      <c r="D10" s="21" t="n">
        <f aca="false">Declarations!C9</f>
        <v>0.083</v>
      </c>
      <c r="E10" s="22" t="n">
        <v>0.072</v>
      </c>
      <c r="F10" s="22" t="n">
        <v>0.085</v>
      </c>
      <c r="G10" s="15" t="n">
        <v>1</v>
      </c>
      <c r="H10" s="15" t="n">
        <v>1</v>
      </c>
      <c r="I10" s="23" t="n">
        <f aca="false">(E10-D10)^2</f>
        <v>0.000121</v>
      </c>
      <c r="J10" s="23" t="n">
        <f aca="false">(F10-D10)^2</f>
        <v>4.00000000000001E-006</v>
      </c>
      <c r="K10" s="11" t="n">
        <f aca="false">((E10-D10)*G10)^2</f>
        <v>0.000121</v>
      </c>
      <c r="L10" s="11" t="n">
        <f aca="false">((F10-D10)*G10)^2</f>
        <v>4.00000000000001E-006</v>
      </c>
      <c r="M10" s="11" t="n">
        <f aca="false">((E10-D10)*H10)^2</f>
        <v>0.000121</v>
      </c>
      <c r="N10" s="11" t="n">
        <f aca="false">((F10-D10)*H10)^2</f>
        <v>4.00000000000001E-006</v>
      </c>
    </row>
    <row r="11" customFormat="false" ht="15" hidden="false" customHeight="true" outlineLevel="0" collapsed="false">
      <c r="A11" s="8" t="str">
        <f aca="false">Declarations!A10</f>
        <v>x7  strategic risk (lower is better)</v>
      </c>
      <c r="B11" s="8" t="str">
        <f aca="false">Declarations!B10</f>
        <v>index, 0-100</v>
      </c>
      <c r="C11" s="8" t="str">
        <f aca="false">Declarations!D10</f>
        <v>index</v>
      </c>
      <c r="D11" s="21" t="n">
        <f aca="false">Declarations!C10</f>
        <v>64</v>
      </c>
      <c r="E11" s="22" t="n">
        <v>68</v>
      </c>
      <c r="F11" s="22" t="n">
        <v>79</v>
      </c>
      <c r="G11" s="15" t="n">
        <v>1</v>
      </c>
      <c r="H11" s="15" t="n">
        <v>1</v>
      </c>
      <c r="I11" s="23" t="n">
        <f aca="false">(E11-D11)^2</f>
        <v>16</v>
      </c>
      <c r="J11" s="23" t="n">
        <f aca="false">(F11-D11)^2</f>
        <v>225</v>
      </c>
      <c r="K11" s="11" t="n">
        <f aca="false">((E11-D11)*G11)^2</f>
        <v>16</v>
      </c>
      <c r="L11" s="11" t="n">
        <f aca="false">((F11-D11)*G11)^2</f>
        <v>225</v>
      </c>
      <c r="M11" s="11" t="n">
        <f aca="false">((E11-D11)*H11)^2</f>
        <v>16</v>
      </c>
      <c r="N11" s="11" t="n">
        <f aca="false">((F11-D11)*H11)^2</f>
        <v>225</v>
      </c>
    </row>
    <row r="12" customFormat="false" ht="15" hidden="false" customHeight="true" outlineLevel="0" collapsed="false">
      <c r="A12" s="8" t="str">
        <f aca="false">Declarations!A11</f>
        <v>x8  market share</v>
      </c>
      <c r="B12" s="8" t="str">
        <f aca="false">Declarations!B11</f>
        <v>ratio</v>
      </c>
      <c r="C12" s="8" t="str">
        <f aca="false">Declarations!D11</f>
        <v>ratio</v>
      </c>
      <c r="D12" s="21" t="n">
        <f aca="false">Declarations!C11</f>
        <v>0.19</v>
      </c>
      <c r="E12" s="22" t="n">
        <v>0.2</v>
      </c>
      <c r="F12" s="22" t="n">
        <v>0.17</v>
      </c>
      <c r="G12" s="15" t="n">
        <v>1</v>
      </c>
      <c r="H12" s="15" t="n">
        <v>1</v>
      </c>
      <c r="I12" s="23" t="n">
        <f aca="false">(E12-D12)^2</f>
        <v>0.0001</v>
      </c>
      <c r="J12" s="23" t="n">
        <f aca="false">(F12-D12)^2</f>
        <v>0.0004</v>
      </c>
      <c r="K12" s="11" t="n">
        <f aca="false">((E12-D12)*G12)^2</f>
        <v>0.0001</v>
      </c>
      <c r="L12" s="11" t="n">
        <f aca="false">((F12-D12)*G12)^2</f>
        <v>0.0004</v>
      </c>
      <c r="M12" s="11" t="n">
        <f aca="false">((E12-D12)*H12)^2</f>
        <v>0.0001</v>
      </c>
      <c r="N12" s="11" t="n">
        <f aca="false">((F12-D12)*H12)^2</f>
        <v>0.0004</v>
      </c>
    </row>
    <row r="14" customFormat="false" ht="15" hidden="false" customHeight="true" outlineLevel="0" collapsed="false">
      <c r="A14" s="3" t="s">
        <v>91</v>
      </c>
      <c r="D14" s="11" t="n">
        <f aca="false">SQRT(SUM(I5:I12))</f>
        <v>6.50008623019726</v>
      </c>
    </row>
    <row r="15" customFormat="false" ht="15" hidden="false" customHeight="true" outlineLevel="0" collapsed="false">
      <c r="A15" s="3" t="s">
        <v>92</v>
      </c>
      <c r="D15" s="11" t="n">
        <f aca="false">SQRT(SUM(J5:J12))</f>
        <v>21.1194910923535</v>
      </c>
    </row>
    <row r="16" customFormat="false" ht="15" hidden="false" customHeight="true" outlineLevel="0" collapsed="false">
      <c r="A16" s="3" t="s">
        <v>93</v>
      </c>
      <c r="D16" s="16" t="n">
        <f aca="false">IF(D14&lt;D15,1,2)</f>
        <v>1</v>
      </c>
    </row>
    <row r="17" customFormat="false" ht="15" hidden="false" customHeight="true" outlineLevel="0" collapsed="false">
      <c r="A17" s="3" t="s">
        <v>94</v>
      </c>
      <c r="D17" s="11" t="n">
        <f aca="false">SQRT(SUM(K5:K12))</f>
        <v>30.6960945561484</v>
      </c>
    </row>
    <row r="18" customFormat="false" ht="15" hidden="false" customHeight="true" outlineLevel="0" collapsed="false">
      <c r="A18" s="3" t="s">
        <v>95</v>
      </c>
      <c r="D18" s="11" t="n">
        <f aca="false">SQRT(SUM(L5:L12))</f>
        <v>151.479405874198</v>
      </c>
    </row>
    <row r="19" customFormat="false" ht="15" hidden="false" customHeight="true" outlineLevel="0" collapsed="false">
      <c r="A19" s="3" t="s">
        <v>96</v>
      </c>
      <c r="D19" s="16" t="n">
        <f aca="false">IF(D17&lt;D18,1,2)</f>
        <v>1</v>
      </c>
    </row>
    <row r="20" customFormat="false" ht="15" hidden="false" customHeight="true" outlineLevel="0" collapsed="false">
      <c r="A20" s="3" t="s">
        <v>97</v>
      </c>
      <c r="D20" s="16" t="n">
        <f aca="false">IF(D16=D19,0,1)</f>
        <v>0</v>
      </c>
    </row>
    <row r="21" customFormat="false" ht="15" hidden="false" customHeight="true" outlineLevel="0" collapsed="false">
      <c r="A21" s="3" t="s">
        <v>98</v>
      </c>
      <c r="D21" s="24" t="n">
        <f aca="false">SUMIF(C5:C12,"index",I5:I12)/SUM(I5:I12)</f>
        <v>0.994056465389403</v>
      </c>
    </row>
    <row r="22" customFormat="false" ht="15" hidden="false" customHeight="true" outlineLevel="0" collapsed="false">
      <c r="A22" s="3" t="s">
        <v>99</v>
      </c>
      <c r="D22" s="24" t="n">
        <f aca="false">K5/SUM(K5:K12)</f>
        <v>0.955160296003794</v>
      </c>
    </row>
    <row r="23" customFormat="false" ht="15" hidden="false" customHeight="true" outlineLevel="0" collapsed="false">
      <c r="A23" s="3" t="s">
        <v>100</v>
      </c>
      <c r="D23" s="11" t="n">
        <f aca="false">SQRT(SUM(M5:M12))</f>
        <v>50.418261780827</v>
      </c>
    </row>
    <row r="24" customFormat="false" ht="15" hidden="false" customHeight="true" outlineLevel="0" collapsed="false">
      <c r="A24" s="3" t="s">
        <v>101</v>
      </c>
      <c r="D24" s="11" t="n">
        <f aca="false">SQRT(SUM(N5:N12))</f>
        <v>23.3671329863122</v>
      </c>
    </row>
    <row r="25" customFormat="false" ht="15" hidden="false" customHeight="true" outlineLevel="0" collapsed="false">
      <c r="A25" s="3" t="s">
        <v>102</v>
      </c>
      <c r="D25" s="16" t="n">
        <f aca="false">IF(D23&lt;D24,1,2)</f>
        <v>2</v>
      </c>
    </row>
    <row r="27" customFormat="false" ht="15" hidden="false" customHeight="true" outlineLevel="0" collapsed="false">
      <c r="A27" s="3" t="s">
        <v>103</v>
      </c>
      <c r="D27" s="16" t="n">
        <f aca="false">IF(D11&gt;D6,1,0)</f>
        <v>1</v>
      </c>
    </row>
    <row r="28" customFormat="false" ht="15" hidden="false" customHeight="true" outlineLevel="0" collapsed="false">
      <c r="A28" s="3" t="s">
        <v>104</v>
      </c>
      <c r="D28" s="16" t="n">
        <f aca="false">100*D6</f>
        <v>340</v>
      </c>
    </row>
    <row r="29" customFormat="false" ht="15" hidden="false" customHeight="true" outlineLevel="0" collapsed="false">
      <c r="A29" s="3" t="s">
        <v>105</v>
      </c>
      <c r="D29" s="16" t="n">
        <f aca="false">IF(D11&gt;D28,1,0)</f>
        <v>0</v>
      </c>
    </row>
    <row r="30" customFormat="false" ht="15" hidden="false" customHeight="true" outlineLevel="0" collapsed="false">
      <c r="A30" s="3" t="s">
        <v>106</v>
      </c>
      <c r="D30" s="11" t="n">
        <f aca="false">SUM(D5:D12)</f>
        <v>238.293</v>
      </c>
    </row>
    <row r="31" customFormat="false" ht="15" hidden="false" customHeight="true" outlineLevel="0" collapsed="false">
      <c r="A31" s="3" t="s">
        <v>107</v>
      </c>
      <c r="D31" s="11" t="n">
        <f aca="false">SUMPRODUCT(D5:D12,G5:G12)</f>
        <v>857.673</v>
      </c>
    </row>
    <row r="33" customFormat="false" ht="15" hidden="false" customHeight="true" outlineLevel="0" collapsed="false">
      <c r="A33" s="3" t="s">
        <v>108</v>
      </c>
      <c r="D33" s="25" t="n">
        <v>10000</v>
      </c>
    </row>
    <row r="34" customFormat="false" ht="15" hidden="false" customHeight="true" outlineLevel="0" collapsed="false">
      <c r="A34" s="3" t="s">
        <v>109</v>
      </c>
      <c r="D34" s="26" t="n">
        <v>0.4327</v>
      </c>
    </row>
    <row r="36" customFormat="false" ht="15" hidden="false" customHeight="true" outlineLevel="0" collapsed="false">
      <c r="A36" s="13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2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8" min="7" style="1" width="13"/>
    <col collapsed="false" customWidth="true" hidden="false" outlineLevel="0" max="10" min="9" style="1" width="14"/>
    <col collapsed="false" customWidth="true" hidden="false" outlineLevel="0" max="12" min="11" style="1" width="13"/>
    <col collapsed="false" customWidth="true" hidden="false" outlineLevel="0" max="14" min="13" style="1" width="14"/>
    <col collapsed="false" customWidth="true" hidden="false" outlineLevel="0" max="16" min="15" style="1" width="10"/>
  </cols>
  <sheetData>
    <row r="1" customFormat="false" ht="15" hidden="false" customHeight="true" outlineLevel="0" collapsed="false">
      <c r="A1" s="2" t="s">
        <v>111</v>
      </c>
    </row>
    <row r="2" customFormat="false" ht="15" hidden="false" customHeight="true" outlineLevel="0" collapsed="false">
      <c r="A2" s="13" t="s">
        <v>112</v>
      </c>
    </row>
    <row r="4" customFormat="false" ht="34.5" hidden="false" customHeight="true" outlineLevel="0" collapsed="false">
      <c r="A4" s="9" t="s">
        <v>78</v>
      </c>
      <c r="B4" s="9" t="s">
        <v>19</v>
      </c>
      <c r="C4" s="9" t="s">
        <v>21</v>
      </c>
      <c r="D4" s="9" t="s">
        <v>113</v>
      </c>
      <c r="E4" s="9" t="s">
        <v>114</v>
      </c>
      <c r="F4" s="9" t="s">
        <v>115</v>
      </c>
      <c r="G4" s="9" t="s">
        <v>116</v>
      </c>
      <c r="H4" s="9" t="s">
        <v>117</v>
      </c>
      <c r="I4" s="9" t="s">
        <v>118</v>
      </c>
      <c r="J4" s="9" t="s">
        <v>119</v>
      </c>
      <c r="K4" s="9" t="s">
        <v>120</v>
      </c>
      <c r="L4" s="9" t="s">
        <v>121</v>
      </c>
      <c r="M4" s="9" t="s">
        <v>122</v>
      </c>
      <c r="N4" s="9" t="s">
        <v>123</v>
      </c>
      <c r="O4" s="9" t="s">
        <v>124</v>
      </c>
      <c r="P4" s="9" t="s">
        <v>125</v>
      </c>
    </row>
    <row r="5" customFormat="false" ht="15" hidden="false" customHeight="true" outlineLevel="0" collapsed="false">
      <c r="A5" s="8" t="str">
        <f aca="false">Declarations!A4</f>
        <v>x1  liquidity</v>
      </c>
      <c r="B5" s="21" t="n">
        <f aca="false">Declarations!C4</f>
        <v>0.62</v>
      </c>
      <c r="C5" s="21" t="n">
        <f aca="false">Declarations!E4</f>
        <v>0.62</v>
      </c>
      <c r="D5" s="27" t="n">
        <f aca="false">B5/C5</f>
        <v>1</v>
      </c>
      <c r="E5" s="12" t="n">
        <f aca="false">Vector!E5/C5</f>
        <v>1.04838709677419</v>
      </c>
      <c r="F5" s="12" t="n">
        <f aca="false">Vector!F5/C5</f>
        <v>0.758064516129032</v>
      </c>
      <c r="G5" s="23" t="n">
        <f aca="false">(E5-D5)^2</f>
        <v>0.00234131113423517</v>
      </c>
      <c r="H5" s="23" t="n">
        <f aca="false">(F5-D5)^2</f>
        <v>0.0585327783558793</v>
      </c>
      <c r="I5" s="11" t="n">
        <f aca="false">B5*Vector!G5</f>
        <v>620</v>
      </c>
      <c r="J5" s="11" t="n">
        <f aca="false">IF(Declarations!D4="index",Declarations!E4,I5)</f>
        <v>620</v>
      </c>
      <c r="K5" s="11" t="n">
        <f aca="false">Vector!E5*Vector!G5</f>
        <v>650</v>
      </c>
      <c r="L5" s="11" t="n">
        <f aca="false">Vector!F5*Vector!G5</f>
        <v>470</v>
      </c>
      <c r="M5" s="23" t="n">
        <f aca="false">((K5-I5)/J5)^2</f>
        <v>0.00234131113423517</v>
      </c>
      <c r="N5" s="23" t="n">
        <f aca="false">((L5-I5)/J5)^2</f>
        <v>0.0585327783558793</v>
      </c>
      <c r="O5" s="24" t="n">
        <f aca="false">G5/SUM(G$5:G$12)</f>
        <v>0.0482725407528237</v>
      </c>
      <c r="P5" s="24" t="n">
        <f aca="false">H5/SUM(H$5:H$12)</f>
        <v>0.506081501214193</v>
      </c>
    </row>
    <row r="6" customFormat="false" ht="15" hidden="false" customHeight="true" outlineLevel="0" collapsed="false">
      <c r="A6" s="8" t="str">
        <f aca="false">Declarations!A5</f>
        <v>x2  net leverage</v>
      </c>
      <c r="B6" s="21" t="n">
        <f aca="false">Declarations!C5</f>
        <v>3.4</v>
      </c>
      <c r="C6" s="21" t="n">
        <f aca="false">Declarations!E5</f>
        <v>3.4</v>
      </c>
      <c r="D6" s="27" t="n">
        <f aca="false">B6/C6</f>
        <v>1</v>
      </c>
      <c r="E6" s="12" t="n">
        <f aca="false">Vector!E6/C6</f>
        <v>1.14705882352941</v>
      </c>
      <c r="F6" s="12" t="n">
        <f aca="false">Vector!F6/C6</f>
        <v>0.970588235294118</v>
      </c>
      <c r="G6" s="23" t="n">
        <f aca="false">(E6-D6)^2</f>
        <v>0.0216262975778547</v>
      </c>
      <c r="H6" s="23" t="n">
        <f aca="false">(F6-D6)^2</f>
        <v>0.000865051903114187</v>
      </c>
      <c r="I6" s="11" t="n">
        <f aca="false">B6*Vector!G6</f>
        <v>3.4</v>
      </c>
      <c r="J6" s="11" t="n">
        <f aca="false">IF(Declarations!D5="index",Declarations!E5,I6)</f>
        <v>3.4</v>
      </c>
      <c r="K6" s="11" t="n">
        <f aca="false">Vector!E6*Vector!G6</f>
        <v>3.9</v>
      </c>
      <c r="L6" s="11" t="n">
        <f aca="false">Vector!F6*Vector!G6</f>
        <v>3.3</v>
      </c>
      <c r="M6" s="23" t="n">
        <f aca="false">((K6-I6)/J6)^2</f>
        <v>0.0216262975778547</v>
      </c>
      <c r="N6" s="23" t="n">
        <f aca="false">((L6-I6)/J6)^2</f>
        <v>0.000865051903114189</v>
      </c>
      <c r="O6" s="24" t="n">
        <f aca="false">G6/SUM(G$5:G$12)</f>
        <v>0.445885348553091</v>
      </c>
      <c r="P6" s="24" t="n">
        <f aca="false">H6/SUM(H$5:H$12)</f>
        <v>0.00747934367807519</v>
      </c>
    </row>
    <row r="7" customFormat="false" ht="15" hidden="false" customHeight="true" outlineLevel="0" collapsed="false">
      <c r="A7" s="8" t="str">
        <f aca="false">Declarations!A6</f>
        <v>x3  workforce capability</v>
      </c>
      <c r="B7" s="21" t="n">
        <f aca="false">Declarations!C6</f>
        <v>58</v>
      </c>
      <c r="C7" s="21" t="n">
        <f aca="false">Declarations!E6</f>
        <v>100</v>
      </c>
      <c r="D7" s="27" t="n">
        <f aca="false">B7/C7</f>
        <v>0.58</v>
      </c>
      <c r="E7" s="12" t="n">
        <f aca="false">Vector!E7/C7</f>
        <v>0.59</v>
      </c>
      <c r="F7" s="12" t="n">
        <f aca="false">Vector!F7/C7</f>
        <v>0.54</v>
      </c>
      <c r="G7" s="23" t="n">
        <f aca="false">(E7-D7)^2</f>
        <v>0.0001</v>
      </c>
      <c r="H7" s="23" t="n">
        <f aca="false">(F7-D7)^2</f>
        <v>0.00159999999999999</v>
      </c>
      <c r="I7" s="11" t="n">
        <f aca="false">B7*Vector!G7</f>
        <v>58</v>
      </c>
      <c r="J7" s="11" t="n">
        <f aca="false">IF(Declarations!D6="index",Declarations!E6,I7)</f>
        <v>100</v>
      </c>
      <c r="K7" s="11" t="n">
        <f aca="false">Vector!E7*Vector!G7</f>
        <v>59</v>
      </c>
      <c r="L7" s="11" t="n">
        <f aca="false">Vector!F7*Vector!G7</f>
        <v>54</v>
      </c>
      <c r="M7" s="23" t="n">
        <f aca="false">((K7-I7)/J7)^2</f>
        <v>0.0001</v>
      </c>
      <c r="N7" s="23" t="n">
        <f aca="false">((L7-I7)/J7)^2</f>
        <v>0.0016</v>
      </c>
      <c r="O7" s="24" t="n">
        <f aca="false">G7/SUM(G$5:G$12)</f>
        <v>0.0020617738517095</v>
      </c>
      <c r="P7" s="24" t="n">
        <f aca="false">H7/SUM(H$5:H$12)</f>
        <v>0.0138337940669678</v>
      </c>
    </row>
    <row r="8" customFormat="false" ht="15" hidden="false" customHeight="true" outlineLevel="0" collapsed="false">
      <c r="A8" s="8" t="str">
        <f aca="false">Declarations!A7</f>
        <v>x4  technology platform</v>
      </c>
      <c r="B8" s="21" t="n">
        <f aca="false">Declarations!C7</f>
        <v>41</v>
      </c>
      <c r="C8" s="21" t="n">
        <f aca="false">Declarations!E7</f>
        <v>100</v>
      </c>
      <c r="D8" s="27" t="n">
        <f aca="false">B8/C8</f>
        <v>0.41</v>
      </c>
      <c r="E8" s="12" t="n">
        <f aca="false">Vector!E8/C8</f>
        <v>0.37</v>
      </c>
      <c r="F8" s="12" t="n">
        <f aca="false">Vector!F8/C8</f>
        <v>0.47</v>
      </c>
      <c r="G8" s="23" t="n">
        <f aca="false">(E8-D8)^2</f>
        <v>0.0016</v>
      </c>
      <c r="H8" s="23" t="n">
        <f aca="false">(F8-D8)^2</f>
        <v>0.0036</v>
      </c>
      <c r="I8" s="11" t="n">
        <f aca="false">B8*Vector!G8</f>
        <v>41</v>
      </c>
      <c r="J8" s="11" t="n">
        <f aca="false">IF(Declarations!D7="index",Declarations!E7,I8)</f>
        <v>100</v>
      </c>
      <c r="K8" s="11" t="n">
        <f aca="false">Vector!E8*Vector!G8</f>
        <v>37</v>
      </c>
      <c r="L8" s="11" t="n">
        <f aca="false">Vector!F8*Vector!G8</f>
        <v>47</v>
      </c>
      <c r="M8" s="23" t="n">
        <f aca="false">((K8-I8)/J8)^2</f>
        <v>0.0016</v>
      </c>
      <c r="N8" s="23" t="n">
        <f aca="false">((L8-I8)/J8)^2</f>
        <v>0.0036</v>
      </c>
      <c r="O8" s="24" t="n">
        <f aca="false">G8/SUM(G$5:G$12)</f>
        <v>0.0329883816273519</v>
      </c>
      <c r="P8" s="24" t="n">
        <f aca="false">H8/SUM(H$5:H$12)</f>
        <v>0.0311260366506777</v>
      </c>
    </row>
    <row r="9" customFormat="false" ht="15" hidden="false" customHeight="true" outlineLevel="0" collapsed="false">
      <c r="A9" s="8" t="str">
        <f aca="false">Declarations!A8</f>
        <v>x5  operational efficiency</v>
      </c>
      <c r="B9" s="21" t="n">
        <f aca="false">Declarations!C8</f>
        <v>71</v>
      </c>
      <c r="C9" s="21" t="n">
        <f aca="false">Declarations!E8</f>
        <v>100</v>
      </c>
      <c r="D9" s="27" t="n">
        <f aca="false">B9/C9</f>
        <v>0.71</v>
      </c>
      <c r="E9" s="12" t="n">
        <f aca="false">Vector!E9/C9</f>
        <v>0.74</v>
      </c>
      <c r="F9" s="12" t="n">
        <f aca="false">Vector!F9/C9</f>
        <v>0.58</v>
      </c>
      <c r="G9" s="23" t="n">
        <f aca="false">(E9-D9)^2</f>
        <v>0.000900000000000002</v>
      </c>
      <c r="H9" s="23" t="n">
        <f aca="false">(F9-D9)^2</f>
        <v>0.0169</v>
      </c>
      <c r="I9" s="11" t="n">
        <f aca="false">B9*Vector!G9</f>
        <v>71</v>
      </c>
      <c r="J9" s="11" t="n">
        <f aca="false">IF(Declarations!D8="index",Declarations!E8,I9)</f>
        <v>100</v>
      </c>
      <c r="K9" s="11" t="n">
        <f aca="false">Vector!E9*Vector!G9</f>
        <v>74</v>
      </c>
      <c r="L9" s="11" t="n">
        <f aca="false">Vector!F9*Vector!G9</f>
        <v>58</v>
      </c>
      <c r="M9" s="23" t="n">
        <f aca="false">((K9-I9)/J9)^2</f>
        <v>0.0009</v>
      </c>
      <c r="N9" s="23" t="n">
        <f aca="false">((L9-I9)/J9)^2</f>
        <v>0.0169</v>
      </c>
      <c r="O9" s="24" t="n">
        <f aca="false">G9/SUM(G$5:G$12)</f>
        <v>0.0185559646653855</v>
      </c>
      <c r="P9" s="24" t="n">
        <f aca="false">H9/SUM(H$5:H$12)</f>
        <v>0.146119449832348</v>
      </c>
    </row>
    <row r="10" customFormat="false" ht="15" hidden="false" customHeight="true" outlineLevel="0" collapsed="false">
      <c r="A10" s="8" t="str">
        <f aca="false">Declarations!A9</f>
        <v>x6  return on invested capital</v>
      </c>
      <c r="B10" s="21" t="n">
        <f aca="false">Declarations!C9</f>
        <v>0.083</v>
      </c>
      <c r="C10" s="21" t="n">
        <f aca="false">Declarations!E9</f>
        <v>0.083</v>
      </c>
      <c r="D10" s="27" t="n">
        <f aca="false">B10/C10</f>
        <v>1</v>
      </c>
      <c r="E10" s="12" t="n">
        <f aca="false">Vector!E10/C10</f>
        <v>0.867469879518072</v>
      </c>
      <c r="F10" s="12" t="n">
        <f aca="false">Vector!F10/C10</f>
        <v>1.02409638554217</v>
      </c>
      <c r="G10" s="23" t="n">
        <f aca="false">(E10-D10)^2</f>
        <v>0.0175642328349543</v>
      </c>
      <c r="H10" s="23" t="n">
        <f aca="false">(F10-D10)^2</f>
        <v>0.000580635796196839</v>
      </c>
      <c r="I10" s="11" t="n">
        <f aca="false">B10*Vector!G10</f>
        <v>0.083</v>
      </c>
      <c r="J10" s="11" t="n">
        <f aca="false">IF(Declarations!D9="index",Declarations!E9,I10)</f>
        <v>0.083</v>
      </c>
      <c r="K10" s="11" t="n">
        <f aca="false">Vector!E10*Vector!G10</f>
        <v>0.072</v>
      </c>
      <c r="L10" s="11" t="n">
        <f aca="false">Vector!F10*Vector!G10</f>
        <v>0.085</v>
      </c>
      <c r="M10" s="23" t="n">
        <f aca="false">((K10-I10)/J10)^2</f>
        <v>0.0175642328349543</v>
      </c>
      <c r="N10" s="23" t="n">
        <f aca="false">((L10-I10)/J10)^2</f>
        <v>0.000580635796196837</v>
      </c>
      <c r="O10" s="24" t="n">
        <f aca="false">G10/SUM(G$5:G$12)</f>
        <v>0.362134759844461</v>
      </c>
      <c r="P10" s="24" t="n">
        <f aca="false">H10/SUM(H$5:H$12)</f>
        <v>0.00502024752031063</v>
      </c>
    </row>
    <row r="11" customFormat="false" ht="15" hidden="false" customHeight="true" outlineLevel="0" collapsed="false">
      <c r="A11" s="8" t="str">
        <f aca="false">Declarations!A10</f>
        <v>x7  strategic risk (lower is better)</v>
      </c>
      <c r="B11" s="21" t="n">
        <f aca="false">Declarations!C10</f>
        <v>64</v>
      </c>
      <c r="C11" s="21" t="n">
        <f aca="false">Declarations!E10</f>
        <v>100</v>
      </c>
      <c r="D11" s="27" t="n">
        <f aca="false">B11/C11</f>
        <v>0.64</v>
      </c>
      <c r="E11" s="12" t="n">
        <f aca="false">Vector!E11/C11</f>
        <v>0.68</v>
      </c>
      <c r="F11" s="12" t="n">
        <f aca="false">Vector!F11/C11</f>
        <v>0.79</v>
      </c>
      <c r="G11" s="23" t="n">
        <f aca="false">(E11-D11)^2</f>
        <v>0.0016</v>
      </c>
      <c r="H11" s="23" t="n">
        <f aca="false">(F11-D11)^2</f>
        <v>0.0225</v>
      </c>
      <c r="I11" s="11" t="n">
        <f aca="false">B11*Vector!G11</f>
        <v>64</v>
      </c>
      <c r="J11" s="11" t="n">
        <f aca="false">IF(Declarations!D10="index",Declarations!E10,I11)</f>
        <v>100</v>
      </c>
      <c r="K11" s="11" t="n">
        <f aca="false">Vector!E11*Vector!G11</f>
        <v>68</v>
      </c>
      <c r="L11" s="11" t="n">
        <f aca="false">Vector!F11*Vector!G11</f>
        <v>79</v>
      </c>
      <c r="M11" s="23" t="n">
        <f aca="false">((K11-I11)/J11)^2</f>
        <v>0.0016</v>
      </c>
      <c r="N11" s="23" t="n">
        <f aca="false">((L11-I11)/J11)^2</f>
        <v>0.0225</v>
      </c>
      <c r="O11" s="24" t="n">
        <f aca="false">G11/SUM(G$5:G$12)</f>
        <v>0.032988381627352</v>
      </c>
      <c r="P11" s="24" t="n">
        <f aca="false">H11/SUM(H$5:H$12)</f>
        <v>0.194537729066736</v>
      </c>
    </row>
    <row r="12" customFormat="false" ht="15" hidden="false" customHeight="true" outlineLevel="0" collapsed="false">
      <c r="A12" s="8" t="str">
        <f aca="false">Declarations!A11</f>
        <v>x8  market share</v>
      </c>
      <c r="B12" s="21" t="n">
        <f aca="false">Declarations!C11</f>
        <v>0.19</v>
      </c>
      <c r="C12" s="21" t="n">
        <f aca="false">Declarations!E11</f>
        <v>0.19</v>
      </c>
      <c r="D12" s="27" t="n">
        <f aca="false">B12/C12</f>
        <v>1</v>
      </c>
      <c r="E12" s="12" t="n">
        <f aca="false">Vector!E12/C12</f>
        <v>1.05263157894737</v>
      </c>
      <c r="F12" s="12" t="n">
        <f aca="false">Vector!F12/C12</f>
        <v>0.894736842105263</v>
      </c>
      <c r="G12" s="23" t="n">
        <f aca="false">(E12-D12)^2</f>
        <v>0.00277008310249307</v>
      </c>
      <c r="H12" s="23" t="n">
        <f aca="false">(F12-D12)^2</f>
        <v>0.0110803324099723</v>
      </c>
      <c r="I12" s="11" t="n">
        <f aca="false">B12*Vector!G12</f>
        <v>0.19</v>
      </c>
      <c r="J12" s="11" t="n">
        <f aca="false">IF(Declarations!D11="index",Declarations!E11,I12)</f>
        <v>0.19</v>
      </c>
      <c r="K12" s="11" t="n">
        <f aca="false">Vector!E12*Vector!G12</f>
        <v>0.2</v>
      </c>
      <c r="L12" s="11" t="n">
        <f aca="false">Vector!F12*Vector!G12</f>
        <v>0.17</v>
      </c>
      <c r="M12" s="23" t="n">
        <f aca="false">((K12-I12)/J12)^2</f>
        <v>0.00277008310249308</v>
      </c>
      <c r="N12" s="23" t="n">
        <f aca="false">((L12-I12)/J12)^2</f>
        <v>0.0110803324099723</v>
      </c>
      <c r="O12" s="24" t="n">
        <f aca="false">G12/SUM(G$5:G$12)</f>
        <v>0.0571128490778252</v>
      </c>
      <c r="P12" s="24" t="n">
        <f aca="false">H12/SUM(H$5:H$12)</f>
        <v>0.0958018979706916</v>
      </c>
    </row>
    <row r="14" customFormat="false" ht="15" hidden="false" customHeight="true" outlineLevel="0" collapsed="false">
      <c r="A14" s="3" t="s">
        <v>126</v>
      </c>
      <c r="D14" s="16" t="n">
        <f aca="false">SUMPRODUCT(--(ABS(D5:D12-1)&lt;0.000000000001))</f>
        <v>4</v>
      </c>
    </row>
    <row r="15" customFormat="false" ht="15" hidden="false" customHeight="true" outlineLevel="0" collapsed="false">
      <c r="A15" s="3" t="s">
        <v>127</v>
      </c>
      <c r="D15" s="12" t="n">
        <f aca="false">SQRT(SUM(G5:G12))</f>
        <v>0.220231525103781</v>
      </c>
    </row>
    <row r="16" customFormat="false" ht="15" hidden="false" customHeight="true" outlineLevel="0" collapsed="false">
      <c r="A16" s="3" t="s">
        <v>128</v>
      </c>
      <c r="D16" s="12" t="n">
        <f aca="false">SQRT(SUM(H5:H12))</f>
        <v>0.340086457338664</v>
      </c>
    </row>
    <row r="17" customFormat="false" ht="15" hidden="false" customHeight="true" outlineLevel="0" collapsed="false">
      <c r="A17" s="3" t="s">
        <v>129</v>
      </c>
      <c r="D17" s="12" t="n">
        <f aca="false">SQRT(SUM(M5:M12))</f>
        <v>0.220231525103781</v>
      </c>
    </row>
    <row r="18" customFormat="false" ht="15" hidden="false" customHeight="true" outlineLevel="0" collapsed="false">
      <c r="A18" s="3" t="s">
        <v>130</v>
      </c>
      <c r="D18" s="12" t="n">
        <f aca="false">SQRT(SUM(N5:N12))</f>
        <v>0.340086457338664</v>
      </c>
    </row>
    <row r="19" customFormat="false" ht="15" hidden="false" customHeight="true" outlineLevel="0" collapsed="false">
      <c r="A19" s="3" t="s">
        <v>131</v>
      </c>
      <c r="D19" s="28" t="n">
        <f aca="false">MAX(ABS(D15-D17),ABS(D16-D18))</f>
        <v>0</v>
      </c>
    </row>
    <row r="20" customFormat="false" ht="15" hidden="false" customHeight="true" outlineLevel="0" collapsed="false">
      <c r="A20" s="3" t="s">
        <v>132</v>
      </c>
      <c r="D20" s="16" t="n">
        <f aca="false">IF(D15&lt;D16,1,2)</f>
        <v>1</v>
      </c>
    </row>
    <row r="21" customFormat="false" ht="15" hidden="false" customHeight="true" outlineLevel="0" collapsed="false">
      <c r="A21" s="3" t="s">
        <v>133</v>
      </c>
      <c r="D21" s="11" t="n">
        <f aca="false">SQRT(G5*Vector!G5^2+SUM(G6:G12))</f>
        <v>48.3875737648488</v>
      </c>
    </row>
    <row r="22" customFormat="false" ht="15" hidden="false" customHeight="true" outlineLevel="0" collapsed="false">
      <c r="A22" s="3" t="s">
        <v>134</v>
      </c>
      <c r="D22" s="24" t="n">
        <f aca="false">MAX(O5:P12)</f>
        <v>0.506081501214193</v>
      </c>
    </row>
    <row r="24" customFormat="false" ht="15" hidden="false" customHeight="true" outlineLevel="0" collapsed="false">
      <c r="A24" s="13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6"/>
    <col collapsed="false" customWidth="true" hidden="false" outlineLevel="0" max="3" min="2" style="1" width="22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3"/>
    <col collapsed="false" customWidth="true" hidden="false" outlineLevel="0" max="8" min="8" style="1" width="40"/>
    <col collapsed="false" customWidth="true" hidden="false" outlineLevel="0" max="10" min="9" style="1" width="12"/>
  </cols>
  <sheetData>
    <row r="1" customFormat="false" ht="15" hidden="false" customHeight="true" outlineLevel="0" collapsed="false">
      <c r="A1" s="2" t="s">
        <v>136</v>
      </c>
    </row>
    <row r="3" customFormat="false" ht="15" hidden="false" customHeight="true" outlineLevel="0" collapsed="false">
      <c r="A3" s="9" t="s">
        <v>137</v>
      </c>
      <c r="B3" s="9" t="s">
        <v>21</v>
      </c>
      <c r="C3" s="9" t="s">
        <v>19</v>
      </c>
      <c r="D3" s="9" t="s">
        <v>138</v>
      </c>
      <c r="E3" s="9" t="s">
        <v>139</v>
      </c>
      <c r="F3" s="9" t="s">
        <v>140</v>
      </c>
      <c r="H3" s="9" t="s">
        <v>141</v>
      </c>
      <c r="I3" s="9" t="s">
        <v>142</v>
      </c>
      <c r="J3" s="9" t="s">
        <v>143</v>
      </c>
    </row>
    <row r="4" customFormat="false" ht="15" hidden="false" customHeight="true" outlineLevel="0" collapsed="false">
      <c r="A4" s="3" t="s">
        <v>144</v>
      </c>
      <c r="B4" s="15" t="n">
        <v>100</v>
      </c>
      <c r="C4" s="14" t="n">
        <v>100</v>
      </c>
      <c r="D4" s="14" t="n">
        <v>105.4</v>
      </c>
      <c r="E4" s="14" t="n">
        <v>121.1</v>
      </c>
      <c r="F4" s="14" t="n">
        <v>94.3</v>
      </c>
      <c r="H4" s="8" t="str">
        <f aca="false">Declarations!A4</f>
        <v>x1  liquidity</v>
      </c>
      <c r="I4" s="12" t="n">
        <f aca="false">SQRT(Scaling!G5)</f>
        <v>0.0483870967741935</v>
      </c>
      <c r="J4" s="12" t="n">
        <f aca="false">SQRT(Scaling!H5)</f>
        <v>0.241935483870968</v>
      </c>
    </row>
    <row r="5" customFormat="false" ht="15" hidden="false" customHeight="true" outlineLevel="0" collapsed="false">
      <c r="A5" s="3" t="s">
        <v>145</v>
      </c>
      <c r="B5" s="15" t="n">
        <v>100</v>
      </c>
      <c r="C5" s="14" t="n">
        <v>41</v>
      </c>
      <c r="D5" s="14" t="n">
        <v>35.9</v>
      </c>
      <c r="E5" s="14" t="n">
        <v>38.9</v>
      </c>
      <c r="F5" s="14" t="n">
        <v>75.6</v>
      </c>
      <c r="H5" s="8" t="str">
        <f aca="false">Declarations!A5</f>
        <v>x2  net leverage</v>
      </c>
      <c r="I5" s="12" t="n">
        <f aca="false">SQRT(Scaling!G6)</f>
        <v>0.147058823529412</v>
      </c>
      <c r="J5" s="12" t="n">
        <f aca="false">SQRT(Scaling!H6)</f>
        <v>0.0294117647058824</v>
      </c>
    </row>
    <row r="6" customFormat="false" ht="15" hidden="false" customHeight="true" outlineLevel="0" collapsed="false">
      <c r="A6" s="3" t="s">
        <v>146</v>
      </c>
      <c r="B6" s="15" t="n">
        <v>100</v>
      </c>
      <c r="C6" s="14" t="n">
        <v>71</v>
      </c>
      <c r="D6" s="14" t="n">
        <v>78.6</v>
      </c>
      <c r="E6" s="14" t="n">
        <v>73.7</v>
      </c>
      <c r="F6" s="14" t="n">
        <v>73.6</v>
      </c>
      <c r="H6" s="8" t="str">
        <f aca="false">Declarations!A6</f>
        <v>x3  workforce capability</v>
      </c>
      <c r="I6" s="12" t="n">
        <f aca="false">SQRT(Scaling!G7)</f>
        <v>0.01</v>
      </c>
      <c r="J6" s="12" t="n">
        <f aca="false">SQRT(Scaling!H7)</f>
        <v>0.0399999999999999</v>
      </c>
    </row>
    <row r="7" customFormat="false" ht="15" hidden="false" customHeight="true" outlineLevel="0" collapsed="false">
      <c r="A7" s="3" t="s">
        <v>147</v>
      </c>
      <c r="B7" s="15" t="n">
        <v>100</v>
      </c>
      <c r="C7" s="14" t="n">
        <v>64</v>
      </c>
      <c r="D7" s="14" t="n">
        <v>66.3</v>
      </c>
      <c r="E7" s="14" t="n">
        <v>49.4</v>
      </c>
      <c r="F7" s="14" t="n">
        <v>55.2</v>
      </c>
      <c r="H7" s="8" t="str">
        <f aca="false">Declarations!A7</f>
        <v>x4  technology platform</v>
      </c>
      <c r="I7" s="12" t="n">
        <f aca="false">SQRT(Scaling!G8)</f>
        <v>0.04</v>
      </c>
      <c r="J7" s="12" t="n">
        <f aca="false">SQRT(Scaling!H8)</f>
        <v>0.06</v>
      </c>
    </row>
    <row r="8" customFormat="false" ht="15" hidden="false" customHeight="true" outlineLevel="0" collapsed="false">
      <c r="A8" s="13" t="s">
        <v>148</v>
      </c>
      <c r="H8" s="8" t="str">
        <f aca="false">Declarations!A8</f>
        <v>x5  operational efficiency</v>
      </c>
      <c r="I8" s="12" t="n">
        <f aca="false">SQRT(Scaling!G9)</f>
        <v>0.03</v>
      </c>
      <c r="J8" s="12" t="n">
        <f aca="false">SQRT(Scaling!H9)</f>
        <v>0.13</v>
      </c>
    </row>
    <row r="9" customFormat="false" ht="15" hidden="false" customHeight="true" outlineLevel="0" collapsed="false">
      <c r="A9" s="9" t="s">
        <v>149</v>
      </c>
      <c r="B9" s="9"/>
      <c r="C9" s="9"/>
      <c r="D9" s="9" t="s">
        <v>138</v>
      </c>
      <c r="E9" s="9" t="s">
        <v>139</v>
      </c>
      <c r="F9" s="9" t="s">
        <v>140</v>
      </c>
      <c r="H9" s="8" t="str">
        <f aca="false">Declarations!A9</f>
        <v>x6  return on invested capital</v>
      </c>
      <c r="I9" s="12" t="n">
        <f aca="false">SQRT(Scaling!G10)</f>
        <v>0.132530120481928</v>
      </c>
      <c r="J9" s="12" t="n">
        <f aca="false">SQRT(Scaling!H10)</f>
        <v>0.0240963855421688</v>
      </c>
    </row>
    <row r="10" customFormat="false" ht="15" hidden="false" customHeight="true" outlineLevel="0" collapsed="false">
      <c r="A10" s="3" t="s">
        <v>144</v>
      </c>
      <c r="D10" s="12" t="n">
        <f aca="false">ABS(D4-$C4)/$B4</f>
        <v>0.0540000000000001</v>
      </c>
      <c r="E10" s="12" t="n">
        <f aca="false">ABS(E4-$C4)/$B4</f>
        <v>0.211</v>
      </c>
      <c r="F10" s="12" t="n">
        <f aca="false">ABS(F4-$C4)/$B4</f>
        <v>0.057</v>
      </c>
      <c r="H10" s="8" t="str">
        <f aca="false">Declarations!A10</f>
        <v>x7  strategic risk (lower is better)</v>
      </c>
      <c r="I10" s="12" t="n">
        <f aca="false">SQRT(Scaling!G11)</f>
        <v>0.04</v>
      </c>
      <c r="J10" s="12" t="n">
        <f aca="false">SQRT(Scaling!H11)</f>
        <v>0.15</v>
      </c>
    </row>
    <row r="11" customFormat="false" ht="15" hidden="false" customHeight="true" outlineLevel="0" collapsed="false">
      <c r="A11" s="3" t="s">
        <v>145</v>
      </c>
      <c r="D11" s="12" t="n">
        <f aca="false">ABS(D5-$C5)/$B5</f>
        <v>0.051</v>
      </c>
      <c r="E11" s="12" t="n">
        <f aca="false">ABS(E5-$C5)/$B5</f>
        <v>0.021</v>
      </c>
      <c r="F11" s="12" t="n">
        <f aca="false">ABS(F5-$C5)/$B5</f>
        <v>0.346</v>
      </c>
      <c r="H11" s="8" t="str">
        <f aca="false">Declarations!A11</f>
        <v>x8  market share</v>
      </c>
      <c r="I11" s="12" t="n">
        <f aca="false">SQRT(Scaling!G12)</f>
        <v>0.0526315789473684</v>
      </c>
      <c r="J11" s="12" t="n">
        <f aca="false">SQRT(Scaling!H12)</f>
        <v>0.105263157894737</v>
      </c>
    </row>
    <row r="12" customFormat="false" ht="15" hidden="false" customHeight="true" outlineLevel="0" collapsed="false">
      <c r="A12" s="3" t="s">
        <v>146</v>
      </c>
      <c r="D12" s="12" t="n">
        <f aca="false">ABS(D6-$C6)/$B6</f>
        <v>0.0759999999999999</v>
      </c>
      <c r="E12" s="12" t="n">
        <f aca="false">ABS(E6-$C6)/$B6</f>
        <v>0.027</v>
      </c>
      <c r="F12" s="12" t="n">
        <f aca="false">ABS(F6-$C6)/$B6</f>
        <v>0.0259999999999999</v>
      </c>
    </row>
    <row r="13" customFormat="false" ht="15" hidden="false" customHeight="true" outlineLevel="0" collapsed="false">
      <c r="A13" s="3" t="s">
        <v>147</v>
      </c>
      <c r="D13" s="12" t="n">
        <f aca="false">ABS(D7-$C7)/$B7</f>
        <v>0.023</v>
      </c>
      <c r="E13" s="12" t="n">
        <f aca="false">ABS(E7-$C7)/$B7</f>
        <v>0.146</v>
      </c>
      <c r="F13" s="12" t="n">
        <f aca="false">ABS(F7-$C7)/$B7</f>
        <v>0.088</v>
      </c>
      <c r="H13" s="5" t="s">
        <v>150</v>
      </c>
      <c r="I13" s="12" t="n">
        <f aca="false">SUM(I4:I11)</f>
        <v>0.500607619732902</v>
      </c>
      <c r="J13" s="12" t="n">
        <f aca="false">SUM(J4:J11)</f>
        <v>0.780706792013756</v>
      </c>
    </row>
    <row r="14" customFormat="false" ht="15" hidden="false" customHeight="true" outlineLevel="0" collapsed="false">
      <c r="H14" s="5" t="s">
        <v>151</v>
      </c>
      <c r="I14" s="12" t="n">
        <f aca="false">SQRT(SUMSQ(I4:I11))</f>
        <v>0.220231525103781</v>
      </c>
      <c r="J14" s="12" t="n">
        <f aca="false">SQRT(SUMSQ(J4:J11))</f>
        <v>0.340086457338664</v>
      </c>
    </row>
    <row r="15" customFormat="false" ht="15" hidden="false" customHeight="true" outlineLevel="0" collapsed="false">
      <c r="A15" s="5" t="s">
        <v>152</v>
      </c>
      <c r="D15" s="12" t="n">
        <f aca="false">SUM(D10:D13)</f>
        <v>0.204</v>
      </c>
      <c r="E15" s="12" t="n">
        <f aca="false">SUM(E10:E13)</f>
        <v>0.405</v>
      </c>
      <c r="F15" s="12" t="n">
        <f aca="false">SUM(F10:F13)</f>
        <v>0.517</v>
      </c>
      <c r="H15" s="5" t="s">
        <v>153</v>
      </c>
      <c r="I15" s="12" t="n">
        <f aca="false">MAX(I4:I11)</f>
        <v>0.147058823529412</v>
      </c>
      <c r="J15" s="12" t="n">
        <f aca="false">MAX(J4:J11)</f>
        <v>0.241935483870968</v>
      </c>
    </row>
    <row r="16" customFormat="false" ht="15" hidden="false" customHeight="true" outlineLevel="0" collapsed="false">
      <c r="A16" s="5" t="s">
        <v>154</v>
      </c>
      <c r="D16" s="12" t="n">
        <f aca="false">SQRT(SUMSQ(D10:D13))</f>
        <v>0.108729020964966</v>
      </c>
      <c r="E16" s="12" t="n">
        <f aca="false">SQRT(SUMSQ(E10:E13))</f>
        <v>0.258857103437398</v>
      </c>
      <c r="F16" s="12" t="n">
        <f aca="false">SQRT(SUMSQ(F10:F13))</f>
        <v>0.362470688470116</v>
      </c>
      <c r="H16" s="3" t="s">
        <v>155</v>
      </c>
      <c r="I16" s="27" t="n">
        <f aca="false">I13/I15</f>
        <v>3.40413181418373</v>
      </c>
      <c r="J16" s="27" t="n">
        <f aca="false">J13/J15</f>
        <v>3.22692140699019</v>
      </c>
    </row>
    <row r="17" customFormat="false" ht="15" hidden="false" customHeight="true" outlineLevel="0" collapsed="false">
      <c r="A17" s="5" t="s">
        <v>156</v>
      </c>
      <c r="D17" s="12" t="n">
        <f aca="false">MAX(D10:D13)</f>
        <v>0.0759999999999999</v>
      </c>
      <c r="E17" s="12" t="n">
        <f aca="false">MAX(E10:E13)</f>
        <v>0.211</v>
      </c>
      <c r="F17" s="12" t="n">
        <f aca="false">MAX(F10:F13)</f>
        <v>0.346</v>
      </c>
    </row>
    <row r="18" customFormat="false" ht="15" hidden="false" customHeight="true" outlineLevel="0" collapsed="false">
      <c r="A18" s="3" t="s">
        <v>155</v>
      </c>
      <c r="D18" s="27" t="n">
        <f aca="false">D15/D17</f>
        <v>2.68421052631579</v>
      </c>
      <c r="E18" s="27" t="n">
        <f aca="false">E15/E17</f>
        <v>1.91943127962085</v>
      </c>
      <c r="F18" s="27" t="n">
        <f aca="false">F15/F17</f>
        <v>1.49421965317919</v>
      </c>
      <c r="H18" s="3" t="s">
        <v>157</v>
      </c>
      <c r="I18" s="16" t="n">
        <f aca="false">IF(I13&lt;J13,1,2)</f>
        <v>1</v>
      </c>
    </row>
    <row r="19" customFormat="false" ht="15" hidden="false" customHeight="true" outlineLevel="0" collapsed="false">
      <c r="A19" s="3" t="s">
        <v>158</v>
      </c>
      <c r="D19" s="27" t="n">
        <f aca="false">D16/D17</f>
        <v>1.43064501269692</v>
      </c>
      <c r="E19" s="27" t="n">
        <f aca="false">E16/E17</f>
        <v>1.22681091676492</v>
      </c>
      <c r="F19" s="27" t="n">
        <f aca="false">F16/F17</f>
        <v>1.04760314586739</v>
      </c>
      <c r="H19" s="3" t="s">
        <v>159</v>
      </c>
      <c r="I19" s="16" t="n">
        <f aca="false">IF(I14&lt;J14,1,2)</f>
        <v>1</v>
      </c>
    </row>
    <row r="20" customFormat="false" ht="15" hidden="false" customHeight="true" outlineLevel="0" collapsed="false">
      <c r="A20" s="3" t="s">
        <v>160</v>
      </c>
      <c r="D20" s="27" t="n">
        <f aca="false">D15/D16</f>
        <v>1.87622401259119</v>
      </c>
      <c r="E20" s="27" t="n">
        <f aca="false">E15/E16</f>
        <v>1.56456977468244</v>
      </c>
      <c r="F20" s="27" t="n">
        <f aca="false">F15/F16</f>
        <v>1.426322228101</v>
      </c>
      <c r="H20" s="3" t="s">
        <v>161</v>
      </c>
      <c r="I20" s="16" t="n">
        <f aca="false">IF(I15&lt;J15,1,2)</f>
        <v>1</v>
      </c>
    </row>
    <row r="23" customFormat="false" ht="23.25" hidden="false" customHeight="true" outlineLevel="0" collapsed="false">
      <c r="A23" s="9" t="s">
        <v>162</v>
      </c>
      <c r="B23" s="9" t="s">
        <v>163</v>
      </c>
      <c r="C23" s="9" t="s">
        <v>164</v>
      </c>
    </row>
    <row r="24" customFormat="false" ht="15" hidden="false" customHeight="true" outlineLevel="0" collapsed="false">
      <c r="A24" s="8" t="str">
        <f aca="false">Declarations!A4</f>
        <v>x1  liquidity</v>
      </c>
      <c r="B24" s="15" t="n">
        <v>1</v>
      </c>
      <c r="C24" s="15" t="n">
        <v>1</v>
      </c>
    </row>
    <row r="25" customFormat="false" ht="15" hidden="false" customHeight="true" outlineLevel="0" collapsed="false">
      <c r="A25" s="8" t="str">
        <f aca="false">Declarations!A5</f>
        <v>x2  net leverage</v>
      </c>
      <c r="B25" s="15" t="n">
        <v>1</v>
      </c>
      <c r="C25" s="15" t="n">
        <v>0</v>
      </c>
    </row>
    <row r="26" customFormat="false" ht="15" hidden="false" customHeight="true" outlineLevel="0" collapsed="false">
      <c r="A26" s="8" t="str">
        <f aca="false">Declarations!A6</f>
        <v>x3  workforce capability</v>
      </c>
      <c r="B26" s="15" t="n">
        <v>1</v>
      </c>
      <c r="C26" s="15" t="n">
        <v>0</v>
      </c>
    </row>
    <row r="27" customFormat="false" ht="15" hidden="false" customHeight="true" outlineLevel="0" collapsed="false">
      <c r="A27" s="8" t="str">
        <f aca="false">Declarations!A7</f>
        <v>x4  technology platform</v>
      </c>
      <c r="B27" s="15" t="n">
        <v>1</v>
      </c>
      <c r="C27" s="15" t="n">
        <v>0</v>
      </c>
    </row>
    <row r="28" customFormat="false" ht="15" hidden="false" customHeight="true" outlineLevel="0" collapsed="false">
      <c r="A28" s="8" t="str">
        <f aca="false">Declarations!A8</f>
        <v>x5  operational efficiency</v>
      </c>
      <c r="B28" s="15" t="n">
        <v>1</v>
      </c>
      <c r="C28" s="15" t="n">
        <v>0</v>
      </c>
    </row>
    <row r="29" customFormat="false" ht="15" hidden="false" customHeight="true" outlineLevel="0" collapsed="false">
      <c r="A29" s="8" t="str">
        <f aca="false">Declarations!A9</f>
        <v>x6  return on invested capital</v>
      </c>
      <c r="B29" s="15" t="n">
        <v>1</v>
      </c>
      <c r="C29" s="15" t="n">
        <v>0</v>
      </c>
    </row>
    <row r="30" customFormat="false" ht="15" hidden="false" customHeight="true" outlineLevel="0" collapsed="false">
      <c r="A30" s="8" t="str">
        <f aca="false">Declarations!A10</f>
        <v>x7  strategic risk (lower is better)</v>
      </c>
      <c r="B30" s="15" t="n">
        <v>1</v>
      </c>
      <c r="C30" s="15" t="n">
        <v>0</v>
      </c>
    </row>
    <row r="31" customFormat="false" ht="15" hidden="false" customHeight="true" outlineLevel="0" collapsed="false">
      <c r="A31" s="8" t="str">
        <f aca="false">Declarations!A11</f>
        <v>x8  market share</v>
      </c>
      <c r="B31" s="15" t="n">
        <v>1</v>
      </c>
      <c r="C31" s="15" t="n">
        <v>0</v>
      </c>
    </row>
    <row r="33" customFormat="false" ht="15" hidden="false" customHeight="true" outlineLevel="0" collapsed="false">
      <c r="A33" s="3" t="s">
        <v>150</v>
      </c>
      <c r="B33" s="11" t="n">
        <f aca="false">SUM(B24:B31)</f>
        <v>8</v>
      </c>
      <c r="C33" s="11" t="n">
        <f aca="false">SUM(C24:C31)</f>
        <v>1</v>
      </c>
    </row>
    <row r="34" customFormat="false" ht="15" hidden="false" customHeight="true" outlineLevel="0" collapsed="false">
      <c r="A34" s="3" t="s">
        <v>151</v>
      </c>
      <c r="B34" s="11" t="n">
        <f aca="false">SQRT(SUMSQ(B24:B31))</f>
        <v>2.82842712474619</v>
      </c>
      <c r="C34" s="11" t="n">
        <f aca="false">SQRT(SUMSQ(C24:C31))</f>
        <v>1</v>
      </c>
    </row>
    <row r="35" customFormat="false" ht="15" hidden="false" customHeight="true" outlineLevel="0" collapsed="false">
      <c r="A35" s="3" t="s">
        <v>153</v>
      </c>
      <c r="B35" s="11" t="n">
        <f aca="false">MAX(B24:B31)</f>
        <v>1</v>
      </c>
      <c r="C35" s="11" t="n">
        <f aca="false">MAX(C24:C31)</f>
        <v>1</v>
      </c>
    </row>
    <row r="36" customFormat="false" ht="15" hidden="false" customHeight="true" outlineLevel="0" collapsed="false">
      <c r="A36" s="3" t="s">
        <v>165</v>
      </c>
      <c r="B36" s="11" t="n">
        <f aca="false">B33/B35</f>
        <v>8</v>
      </c>
      <c r="C36" s="11" t="n">
        <f aca="false">C33/C35</f>
        <v>1</v>
      </c>
    </row>
    <row r="37" customFormat="false" ht="15" hidden="false" customHeight="true" outlineLevel="0" collapsed="false">
      <c r="A37" s="3" t="s">
        <v>166</v>
      </c>
      <c r="B37" s="11" t="n">
        <f aca="false">B33/B34</f>
        <v>2.82842712474619</v>
      </c>
      <c r="C37" s="11" t="n">
        <f aca="false">C33/C34</f>
        <v>1</v>
      </c>
    </row>
    <row r="39" customFormat="false" ht="15" hidden="false" customHeight="true" outlineLevel="0" collapsed="false">
      <c r="A39" s="3" t="s">
        <v>167</v>
      </c>
      <c r="B39" s="18" t="n">
        <f aca="false">N_read</f>
        <v>8</v>
      </c>
    </row>
    <row r="40" customFormat="false" ht="15" hidden="false" customHeight="true" outlineLevel="0" collapsed="false">
      <c r="A40" s="3" t="s">
        <v>168</v>
      </c>
      <c r="B40" s="11" t="n">
        <f aca="false">SQRT(B39)</f>
        <v>2.82842712474619</v>
      </c>
    </row>
    <row r="41" customFormat="false" ht="15" hidden="false" customHeight="true" outlineLevel="0" collapsed="false">
      <c r="A41" s="3" t="s">
        <v>169</v>
      </c>
      <c r="B41" s="16" t="n">
        <f aca="false">IF(AND(MIN(D18:F18,I16:J16)&gt;=1,MAX(D18:F18,I16:J16)&lt;=B39),1,0)</f>
        <v>1</v>
      </c>
    </row>
    <row r="43" customFormat="false" ht="15" hidden="false" customHeight="true" outlineLevel="0" collapsed="false">
      <c r="A43" s="3" t="s">
        <v>170</v>
      </c>
      <c r="B43" s="29" t="n">
        <v>1.34875</v>
      </c>
    </row>
    <row r="44" customFormat="false" ht="15" hidden="false" customHeight="true" outlineLevel="0" collapsed="false">
      <c r="A44" s="3" t="s">
        <v>171</v>
      </c>
      <c r="B44" s="29" t="n">
        <v>6.73770002611064</v>
      </c>
    </row>
    <row r="45" customFormat="false" ht="15" hidden="false" customHeight="true" outlineLevel="0" collapsed="false">
      <c r="A45" s="3" t="s">
        <v>172</v>
      </c>
      <c r="B45" s="26" t="n">
        <v>0.2481</v>
      </c>
    </row>
    <row r="47" customFormat="false" ht="15" hidden="false" customHeight="true" outlineLevel="0" collapsed="false">
      <c r="A47" s="13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4"/>
    <col collapsed="false" customWidth="true" hidden="false" outlineLevel="0" max="4" min="2" style="1" width="14"/>
    <col collapsed="false" customWidth="true" hidden="false" outlineLevel="0" max="6" min="5" style="1" width="16"/>
  </cols>
  <sheetData>
    <row r="1" customFormat="false" ht="15" hidden="false" customHeight="true" outlineLevel="0" collapsed="false">
      <c r="A1" s="2" t="s">
        <v>174</v>
      </c>
    </row>
    <row r="2" customFormat="false" ht="15" hidden="false" customHeight="true" outlineLevel="0" collapsed="false">
      <c r="A2" s="13" t="s">
        <v>175</v>
      </c>
    </row>
    <row r="4" customFormat="false" ht="23.25" hidden="false" customHeight="true" outlineLevel="0" collapsed="false">
      <c r="A4" s="9" t="s">
        <v>176</v>
      </c>
      <c r="B4" s="9" t="s">
        <v>177</v>
      </c>
      <c r="C4" s="9" t="s">
        <v>63</v>
      </c>
      <c r="D4" s="9" t="s">
        <v>178</v>
      </c>
      <c r="E4" s="9" t="s">
        <v>179</v>
      </c>
      <c r="F4" s="9" t="s">
        <v>180</v>
      </c>
    </row>
    <row r="5" customFormat="false" ht="15" hidden="false" customHeight="true" outlineLevel="0" collapsed="false">
      <c r="A5" s="3" t="s">
        <v>19</v>
      </c>
      <c r="B5" s="17" t="n">
        <f aca="false">Liq_today</f>
        <v>620</v>
      </c>
      <c r="C5" s="30" t="n">
        <f aca="false">Tech_today</f>
        <v>41</v>
      </c>
      <c r="D5" s="17" t="n">
        <f aca="false">Work_today</f>
        <v>58</v>
      </c>
    </row>
    <row r="6" customFormat="false" ht="15" hidden="false" customHeight="true" outlineLevel="0" collapsed="false">
      <c r="A6" s="3" t="s">
        <v>181</v>
      </c>
      <c r="B6" s="31" t="n">
        <f aca="false">B5+Sale_net</f>
        <v>732</v>
      </c>
      <c r="C6" s="27" t="n">
        <f aca="false">(1-Tech_share)*C5</f>
        <v>36.9</v>
      </c>
      <c r="D6" s="31" t="n">
        <f aca="false">D5-W_loss</f>
        <v>53</v>
      </c>
      <c r="F6" s="16" t="n">
        <v>1</v>
      </c>
    </row>
    <row r="7" customFormat="false" ht="15" hidden="false" customHeight="true" outlineLevel="0" collapsed="false">
      <c r="A7" s="3" t="s">
        <v>182</v>
      </c>
      <c r="B7" s="32" t="n">
        <f aca="false">B6-B5</f>
        <v>112</v>
      </c>
      <c r="C7" s="32" t="n">
        <f aca="false">C6-C5</f>
        <v>-4.1</v>
      </c>
      <c r="D7" s="32" t="n">
        <f aca="false">D6-D5</f>
        <v>-5</v>
      </c>
    </row>
    <row r="8" customFormat="false" ht="15" hidden="false" customHeight="true" outlineLevel="0" collapsed="false">
      <c r="A8" s="3" t="s">
        <v>183</v>
      </c>
      <c r="B8" s="31" t="n">
        <f aca="false">B5+Build_liq</f>
        <v>584.632729102868</v>
      </c>
      <c r="C8" s="27" t="n">
        <f aca="false">C5+Build_tech</f>
        <v>75.6346691353518</v>
      </c>
      <c r="D8" s="31" t="n">
        <f aca="false">D5</f>
        <v>58</v>
      </c>
      <c r="E8" s="31" t="n">
        <f aca="false">IF(F8=1,B5-Build_dip,"")</f>
        <v>481.917941377968</v>
      </c>
      <c r="F8" s="16" t="n">
        <f aca="false">IF(D5&gt;=W_min,1,0)</f>
        <v>1</v>
      </c>
    </row>
    <row r="9" customFormat="false" ht="15" hidden="false" customHeight="true" outlineLevel="0" collapsed="false">
      <c r="A9" s="3" t="s">
        <v>182</v>
      </c>
      <c r="B9" s="32" t="n">
        <f aca="false">B8-B5</f>
        <v>-35.3672708971317</v>
      </c>
      <c r="C9" s="32" t="n">
        <f aca="false">C8-C5</f>
        <v>34.6346691353518</v>
      </c>
      <c r="D9" s="32" t="n">
        <f aca="false">D8-D5</f>
        <v>0</v>
      </c>
    </row>
    <row r="10" customFormat="false" ht="15" hidden="false" customHeight="true" outlineLevel="0" collapsed="false">
      <c r="A10" s="5" t="s">
        <v>184</v>
      </c>
      <c r="B10" s="27" t="n">
        <f aca="false">B5+B7+B9</f>
        <v>696.632729102868</v>
      </c>
      <c r="C10" s="27" t="n">
        <f aca="false">C5+C7+C9</f>
        <v>71.5346691353518</v>
      </c>
      <c r="D10" s="27" t="n">
        <f aca="false">D5+D7+D9</f>
        <v>53</v>
      </c>
    </row>
    <row r="12" customFormat="false" ht="15" hidden="false" customHeight="true" outlineLevel="0" collapsed="false">
      <c r="A12" s="3" t="s">
        <v>185</v>
      </c>
      <c r="B12" s="31" t="n">
        <f aca="false">B5+Sale_net</f>
        <v>732</v>
      </c>
      <c r="C12" s="27" t="n">
        <f aca="false">(1-Tech_share)*C5</f>
        <v>36.9</v>
      </c>
      <c r="D12" s="31" t="n">
        <f aca="false">D5-W_loss</f>
        <v>53</v>
      </c>
      <c r="F12" s="16" t="n">
        <v>1</v>
      </c>
    </row>
    <row r="13" customFormat="false" ht="15" hidden="false" customHeight="true" outlineLevel="0" collapsed="false">
      <c r="A13" s="3" t="s">
        <v>186</v>
      </c>
      <c r="B13" s="31" t="str">
        <f aca="false">IF(F13=1,B12+Build_liq,"infeasible")</f>
        <v>infeasible</v>
      </c>
      <c r="C13" s="27" t="str">
        <f aca="false">IF(F13=1,C12+Build_tech,"infeasible")</f>
        <v>infeasible</v>
      </c>
      <c r="D13" s="31" t="str">
        <f aca="false">IF(F13=1,D12,"infeasible")</f>
        <v>infeasible</v>
      </c>
      <c r="E13" s="31" t="str">
        <f aca="false">IF(F13=1,B12-Build_dip,"")</f>
        <v/>
      </c>
      <c r="F13" s="16" t="n">
        <f aca="false">IF(D12&gt;=W_min,1,0)</f>
        <v>0</v>
      </c>
    </row>
    <row r="15" customFormat="false" ht="15" hidden="false" customHeight="true" outlineLevel="0" collapsed="false">
      <c r="A15" s="3" t="s">
        <v>187</v>
      </c>
      <c r="B15" s="31" t="n">
        <f aca="false">B5+Build_liq</f>
        <v>584.632729102868</v>
      </c>
      <c r="C15" s="27" t="n">
        <f aca="false">C5+Build_tech</f>
        <v>75.6346691353518</v>
      </c>
      <c r="D15" s="31" t="n">
        <f aca="false">D5</f>
        <v>58</v>
      </c>
      <c r="E15" s="31" t="n">
        <f aca="false">IF(F15=1,B5-Build_dip,"")</f>
        <v>481.917941377968</v>
      </c>
      <c r="F15" s="16" t="n">
        <f aca="false">IF(D5&gt;=W_min,1,0)</f>
        <v>1</v>
      </c>
    </row>
    <row r="16" customFormat="false" ht="15" hidden="false" customHeight="true" outlineLevel="0" collapsed="false">
      <c r="A16" s="3" t="s">
        <v>188</v>
      </c>
      <c r="B16" s="31" t="n">
        <f aca="false">B15+Sale_net</f>
        <v>696.632729102868</v>
      </c>
      <c r="C16" s="27" t="n">
        <f aca="false">(1-Tech_share)*C15</f>
        <v>68.0712022218166</v>
      </c>
      <c r="D16" s="31" t="n">
        <f aca="false">D15-W_loss</f>
        <v>53</v>
      </c>
      <c r="F16" s="16" t="n">
        <v>1</v>
      </c>
    </row>
    <row r="18" customFormat="false" ht="15" hidden="false" customHeight="true" outlineLevel="0" collapsed="false">
      <c r="A18" s="3" t="s">
        <v>189</v>
      </c>
      <c r="B18" s="31" t="n">
        <f aca="false">B5+Sale_net-Keep_cost</f>
        <v>712</v>
      </c>
      <c r="C18" s="27" t="n">
        <f aca="false">(1-Tech_share)*C5</f>
        <v>36.9</v>
      </c>
      <c r="D18" s="31" t="n">
        <f aca="false">D5</f>
        <v>58</v>
      </c>
      <c r="F18" s="16" t="n">
        <v>1</v>
      </c>
    </row>
    <row r="19" customFormat="false" ht="15" hidden="false" customHeight="true" outlineLevel="0" collapsed="false">
      <c r="A19" s="3" t="s">
        <v>186</v>
      </c>
      <c r="B19" s="31" t="n">
        <f aca="false">B18+Build_liq</f>
        <v>676.632729102868</v>
      </c>
      <c r="C19" s="27" t="n">
        <f aca="false">C18+Build_tech</f>
        <v>71.5346691353518</v>
      </c>
      <c r="D19" s="31" t="n">
        <f aca="false">D18</f>
        <v>58</v>
      </c>
      <c r="E19" s="31" t="n">
        <f aca="false">IF(F19=1,B18-Build_dip,"")</f>
        <v>573.917941377968</v>
      </c>
      <c r="F19" s="16" t="n">
        <f aca="false">IF(D18&gt;=W_min,1,0)</f>
        <v>1</v>
      </c>
    </row>
    <row r="21" customFormat="false" ht="15" hidden="false" customHeight="true" outlineLevel="0" collapsed="false">
      <c r="A21" s="3" t="s">
        <v>190</v>
      </c>
      <c r="B21" s="31" t="n">
        <f aca="false">B15+Sale_net-Keep_cost</f>
        <v>676.632729102868</v>
      </c>
      <c r="C21" s="27" t="n">
        <f aca="false">(1-Tech_share)*C15</f>
        <v>68.0712022218166</v>
      </c>
      <c r="D21" s="31" t="n">
        <f aca="false">D15</f>
        <v>58</v>
      </c>
      <c r="F21" s="16" t="n">
        <v>1</v>
      </c>
    </row>
    <row r="23" customFormat="false" ht="15" hidden="false" customHeight="true" outlineLevel="0" collapsed="false">
      <c r="A23" s="9" t="s">
        <v>191</v>
      </c>
      <c r="B23" s="9" t="s">
        <v>177</v>
      </c>
      <c r="C23" s="9" t="s">
        <v>63</v>
      </c>
      <c r="D23" s="9" t="s">
        <v>178</v>
      </c>
    </row>
    <row r="24" customFormat="false" ht="15" hidden="false" customHeight="true" outlineLevel="0" collapsed="false">
      <c r="A24" s="3" t="s">
        <v>19</v>
      </c>
      <c r="B24" s="16" t="n">
        <f aca="false">B5</f>
        <v>620</v>
      </c>
      <c r="C24" s="31" t="n">
        <f aca="false">C5</f>
        <v>41</v>
      </c>
      <c r="D24" s="16" t="n">
        <f aca="false">D5</f>
        <v>58</v>
      </c>
    </row>
    <row r="25" customFormat="false" ht="15" hidden="false" customHeight="true" outlineLevel="0" collapsed="false">
      <c r="A25" s="3" t="s">
        <v>192</v>
      </c>
      <c r="B25" s="16" t="n">
        <f aca="false">B10</f>
        <v>696.632729102868</v>
      </c>
      <c r="C25" s="31" t="n">
        <f aca="false">C10</f>
        <v>71.5346691353518</v>
      </c>
      <c r="D25" s="16" t="n">
        <f aca="false">D10</f>
        <v>53</v>
      </c>
    </row>
    <row r="26" customFormat="false" ht="15" hidden="false" customHeight="true" outlineLevel="0" collapsed="false">
      <c r="A26" s="3" t="s">
        <v>193</v>
      </c>
      <c r="B26" s="16" t="str">
        <f aca="false">B13</f>
        <v>infeasible</v>
      </c>
      <c r="C26" s="31" t="str">
        <f aca="false">C13</f>
        <v>infeasible</v>
      </c>
      <c r="D26" s="16" t="str">
        <f aca="false">D13</f>
        <v>infeasible</v>
      </c>
    </row>
    <row r="27" customFormat="false" ht="15" hidden="false" customHeight="true" outlineLevel="0" collapsed="false">
      <c r="A27" s="3" t="s">
        <v>194</v>
      </c>
      <c r="B27" s="16" t="n">
        <f aca="false">B16</f>
        <v>696.632729102868</v>
      </c>
      <c r="C27" s="31" t="n">
        <f aca="false">C16</f>
        <v>68.0712022218166</v>
      </c>
      <c r="D27" s="16" t="n">
        <f aca="false">D16</f>
        <v>53</v>
      </c>
    </row>
    <row r="28" customFormat="false" ht="15" hidden="false" customHeight="true" outlineLevel="0" collapsed="false">
      <c r="A28" s="3" t="s">
        <v>195</v>
      </c>
      <c r="B28" s="16" t="n">
        <f aca="false">B19</f>
        <v>676.632729102868</v>
      </c>
      <c r="C28" s="31" t="n">
        <f aca="false">C19</f>
        <v>71.5346691353518</v>
      </c>
      <c r="D28" s="16" t="n">
        <f aca="false">D19</f>
        <v>58</v>
      </c>
    </row>
    <row r="31" customFormat="false" ht="15" hidden="false" customHeight="true" outlineLevel="0" collapsed="false">
      <c r="A31" s="9" t="s">
        <v>196</v>
      </c>
      <c r="B31" s="9" t="s">
        <v>177</v>
      </c>
      <c r="C31" s="9" t="s">
        <v>63</v>
      </c>
      <c r="D31" s="9" t="s">
        <v>178</v>
      </c>
    </row>
    <row r="32" customFormat="false" ht="15" hidden="false" customHeight="true" outlineLevel="0" collapsed="false">
      <c r="A32" s="3" t="s">
        <v>197</v>
      </c>
      <c r="B32" s="27" t="n">
        <f aca="false">B16-B19</f>
        <v>20</v>
      </c>
      <c r="C32" s="27" t="n">
        <f aca="false">C16-C19</f>
        <v>-3.46346691353517</v>
      </c>
      <c r="D32" s="27" t="n">
        <f aca="false">D16-D19</f>
        <v>-5</v>
      </c>
    </row>
    <row r="33" customFormat="false" ht="15" hidden="false" customHeight="true" outlineLevel="0" collapsed="false">
      <c r="A33" s="3" t="s">
        <v>198</v>
      </c>
      <c r="B33" s="27" t="n">
        <f aca="false">B16-B21</f>
        <v>20</v>
      </c>
      <c r="C33" s="27" t="n">
        <f aca="false">C16-C21</f>
        <v>0</v>
      </c>
      <c r="D33" s="27" t="n">
        <f aca="false">D16-D21</f>
        <v>-5</v>
      </c>
    </row>
    <row r="34" customFormat="false" ht="15" hidden="false" customHeight="true" outlineLevel="0" collapsed="false">
      <c r="A34" s="3" t="s">
        <v>199</v>
      </c>
      <c r="B34" s="27" t="n">
        <f aca="false">B21-B19</f>
        <v>0</v>
      </c>
      <c r="C34" s="27" t="n">
        <f aca="false">C21-C19</f>
        <v>-3.46346691353517</v>
      </c>
      <c r="D34" s="27" t="n">
        <f aca="false">D21-D19</f>
        <v>0</v>
      </c>
    </row>
    <row r="35" customFormat="false" ht="15" hidden="false" customHeight="true" outlineLevel="0" collapsed="false">
      <c r="A35" s="3" t="s">
        <v>200</v>
      </c>
      <c r="B35" s="28" t="n">
        <f aca="false">B33+B34-B32</f>
        <v>0</v>
      </c>
      <c r="C35" s="28" t="n">
        <f aca="false">C33+C34-C32</f>
        <v>0</v>
      </c>
      <c r="D35" s="28" t="n">
        <f aca="false">D33+D34-D32</f>
        <v>0</v>
      </c>
    </row>
    <row r="37" customFormat="false" ht="15" hidden="false" customHeight="true" outlineLevel="0" collapsed="false">
      <c r="A37" s="9" t="s">
        <v>201</v>
      </c>
      <c r="B37" s="9" t="s">
        <v>202</v>
      </c>
      <c r="C37" s="9" t="s">
        <v>203</v>
      </c>
      <c r="D37" s="9" t="s">
        <v>204</v>
      </c>
      <c r="E37" s="9" t="s">
        <v>205</v>
      </c>
    </row>
    <row r="38" customFormat="false" ht="15" hidden="false" customHeight="true" outlineLevel="0" collapsed="false">
      <c r="A38" s="3" t="s">
        <v>206</v>
      </c>
      <c r="B38" s="12" t="n">
        <f aca="false">1</f>
        <v>1</v>
      </c>
      <c r="C38" s="12" t="n">
        <f aca="false">0</f>
        <v>0</v>
      </c>
      <c r="D38" s="12" t="n">
        <f aca="false">0</f>
        <v>0</v>
      </c>
      <c r="E38" s="31" t="n">
        <f aca="false">Sale_net-Keep_cost</f>
        <v>92</v>
      </c>
    </row>
    <row r="39" customFormat="false" ht="15" hidden="false" customHeight="true" outlineLevel="0" collapsed="false">
      <c r="A39" s="3" t="s">
        <v>207</v>
      </c>
      <c r="B39" s="12" t="n">
        <f aca="false">0</f>
        <v>0</v>
      </c>
      <c r="C39" s="12" t="n">
        <f aca="false">1-Tech_share</f>
        <v>0.9</v>
      </c>
      <c r="D39" s="12" t="n">
        <f aca="false">0</f>
        <v>0</v>
      </c>
      <c r="E39" s="16" t="n">
        <v>0</v>
      </c>
    </row>
    <row r="40" customFormat="false" ht="15" hidden="false" customHeight="true" outlineLevel="0" collapsed="false">
      <c r="A40" s="3" t="s">
        <v>208</v>
      </c>
      <c r="B40" s="12" t="n">
        <f aca="false">0</f>
        <v>0</v>
      </c>
      <c r="C40" s="12" t="n">
        <f aca="false">0</f>
        <v>0</v>
      </c>
      <c r="D40" s="12" t="n">
        <f aca="false">1</f>
        <v>1</v>
      </c>
      <c r="E40" s="16" t="n">
        <v>0</v>
      </c>
    </row>
    <row r="41" customFormat="false" ht="15" hidden="false" customHeight="true" outlineLevel="0" collapsed="false">
      <c r="A41" s="9" t="s">
        <v>209</v>
      </c>
      <c r="B41" s="9" t="s">
        <v>202</v>
      </c>
      <c r="C41" s="9" t="s">
        <v>203</v>
      </c>
      <c r="D41" s="9" t="s">
        <v>204</v>
      </c>
      <c r="E41" s="9" t="s">
        <v>210</v>
      </c>
    </row>
    <row r="42" customFormat="false" ht="15" hidden="false" customHeight="true" outlineLevel="0" collapsed="false">
      <c r="A42" s="3" t="s">
        <v>206</v>
      </c>
      <c r="B42" s="12" t="n">
        <f aca="false">1</f>
        <v>1</v>
      </c>
      <c r="C42" s="12" t="n">
        <f aca="false">0</f>
        <v>0</v>
      </c>
      <c r="D42" s="12" t="n">
        <f aca="false">0</f>
        <v>0</v>
      </c>
      <c r="E42" s="16" t="n">
        <f aca="false">Build_liq</f>
        <v>-35.3672708971317</v>
      </c>
    </row>
    <row r="43" customFormat="false" ht="15" hidden="false" customHeight="true" outlineLevel="0" collapsed="false">
      <c r="A43" s="3" t="s">
        <v>207</v>
      </c>
      <c r="B43" s="12" t="n">
        <f aca="false">0</f>
        <v>0</v>
      </c>
      <c r="C43" s="12" t="n">
        <f aca="false">1</f>
        <v>1</v>
      </c>
      <c r="D43" s="12" t="n">
        <f aca="false">0</f>
        <v>0</v>
      </c>
      <c r="E43" s="16" t="n">
        <f aca="false">Build_tech</f>
        <v>34.6346691353518</v>
      </c>
    </row>
    <row r="44" customFormat="false" ht="15" hidden="false" customHeight="true" outlineLevel="0" collapsed="false">
      <c r="A44" s="3" t="s">
        <v>208</v>
      </c>
      <c r="B44" s="12" t="n">
        <f aca="false">0</f>
        <v>0</v>
      </c>
      <c r="C44" s="12" t="n">
        <f aca="false">0</f>
        <v>0</v>
      </c>
      <c r="D44" s="12" t="n">
        <f aca="false">1</f>
        <v>1</v>
      </c>
      <c r="E44" s="16" t="n">
        <v>0</v>
      </c>
    </row>
    <row r="45" customFormat="false" ht="15" hidden="false" customHeight="true" outlineLevel="0" collapsed="false">
      <c r="A45" s="9" t="s">
        <v>211</v>
      </c>
      <c r="B45" s="9" t="s">
        <v>202</v>
      </c>
      <c r="C45" s="9" t="s">
        <v>203</v>
      </c>
      <c r="D45" s="9" t="s">
        <v>204</v>
      </c>
    </row>
    <row r="46" customFormat="false" ht="15" hidden="false" customHeight="true" outlineLevel="0" collapsed="false">
      <c r="A46" s="3" t="s">
        <v>206</v>
      </c>
      <c r="B46" s="12" t="n">
        <f aca="false">$B$42*$B$38+$C$42*$B$39+$D$42*$B$40</f>
        <v>1</v>
      </c>
      <c r="C46" s="12" t="n">
        <f aca="false">$B$42*$C$38+$C$42*$C$39+$D$42*$C$40</f>
        <v>0</v>
      </c>
      <c r="D46" s="12" t="n">
        <f aca="false">$B$42*$D$38+$C$42*$D$39+$D$42*$D$40</f>
        <v>0</v>
      </c>
    </row>
    <row r="47" customFormat="false" ht="15" hidden="false" customHeight="true" outlineLevel="0" collapsed="false">
      <c r="A47" s="3" t="s">
        <v>207</v>
      </c>
      <c r="B47" s="12" t="n">
        <f aca="false">$B$43*$B$38+$C$43*$B$39+$D$43*$B$40</f>
        <v>0</v>
      </c>
      <c r="C47" s="12" t="n">
        <f aca="false">$B$43*$C$38+$C$43*$C$39+$D$43*$C$40</f>
        <v>0.9</v>
      </c>
      <c r="D47" s="12" t="n">
        <f aca="false">$B$43*$D$38+$C$43*$D$39+$D$43*$D$40</f>
        <v>0</v>
      </c>
    </row>
    <row r="48" customFormat="false" ht="15" hidden="false" customHeight="true" outlineLevel="0" collapsed="false">
      <c r="A48" s="3" t="s">
        <v>208</v>
      </c>
      <c r="B48" s="12" t="n">
        <f aca="false">$B$44*$B$38+$C$44*$B$39+$D$44*$B$40</f>
        <v>0</v>
      </c>
      <c r="C48" s="12" t="n">
        <f aca="false">$B$44*$C$38+$C$44*$C$39+$D$44*$C$40</f>
        <v>0</v>
      </c>
      <c r="D48" s="12" t="n">
        <f aca="false">$B$44*$D$38+$C$44*$D$39+$D$44*$D$40</f>
        <v>1</v>
      </c>
    </row>
    <row r="49" customFormat="false" ht="15" hidden="false" customHeight="true" outlineLevel="0" collapsed="false">
      <c r="A49" s="9" t="s">
        <v>212</v>
      </c>
      <c r="B49" s="9" t="s">
        <v>202</v>
      </c>
      <c r="C49" s="9" t="s">
        <v>203</v>
      </c>
      <c r="D49" s="9" t="s">
        <v>204</v>
      </c>
    </row>
    <row r="50" customFormat="false" ht="15" hidden="false" customHeight="true" outlineLevel="0" collapsed="false">
      <c r="A50" s="3" t="s">
        <v>206</v>
      </c>
      <c r="B50" s="12" t="n">
        <f aca="false">$B$38*$B$42+$C$38*$B$43+$D$38*$B$44</f>
        <v>1</v>
      </c>
      <c r="C50" s="12" t="n">
        <f aca="false">$B$38*$C$42+$C$38*$C$43+$D$38*$C$44</f>
        <v>0</v>
      </c>
      <c r="D50" s="12" t="n">
        <f aca="false">$B$38*$D$42+$C$38*$D$43+$D$38*$D$44</f>
        <v>0</v>
      </c>
    </row>
    <row r="51" customFormat="false" ht="15" hidden="false" customHeight="true" outlineLevel="0" collapsed="false">
      <c r="A51" s="3" t="s">
        <v>207</v>
      </c>
      <c r="B51" s="12" t="n">
        <f aca="false">$B$39*$B$42+$C$39*$B$43+$D$39*$B$44</f>
        <v>0</v>
      </c>
      <c r="C51" s="12" t="n">
        <f aca="false">$B$39*$C$42+$C$39*$C$43+$D$39*$C$44</f>
        <v>0.9</v>
      </c>
      <c r="D51" s="12" t="n">
        <f aca="false">$B$39*$D$42+$C$39*$D$43+$D$39*$D$44</f>
        <v>0</v>
      </c>
    </row>
    <row r="52" customFormat="false" ht="15" hidden="false" customHeight="true" outlineLevel="0" collapsed="false">
      <c r="A52" s="3" t="s">
        <v>208</v>
      </c>
      <c r="B52" s="12" t="n">
        <f aca="false">$B$40*$B$42+$C$40*$B$43+$D$40*$B$44</f>
        <v>0</v>
      </c>
      <c r="C52" s="12" t="n">
        <f aca="false">$B$40*$C$42+$C$40*$C$43+$D$40*$C$44</f>
        <v>0</v>
      </c>
      <c r="D52" s="12" t="n">
        <f aca="false">$B$40*$D$42+$C$40*$D$43+$D$40*$D$44</f>
        <v>1</v>
      </c>
    </row>
    <row r="54" customFormat="false" ht="15" hidden="false" customHeight="true" outlineLevel="0" collapsed="false">
      <c r="A54" s="9" t="s">
        <v>213</v>
      </c>
      <c r="B54" s="9" t="s">
        <v>177</v>
      </c>
      <c r="C54" s="9" t="s">
        <v>63</v>
      </c>
      <c r="D54" s="9" t="s">
        <v>178</v>
      </c>
    </row>
    <row r="55" customFormat="false" ht="15" hidden="false" customHeight="true" outlineLevel="0" collapsed="false">
      <c r="A55" s="3" t="s">
        <v>214</v>
      </c>
      <c r="B55" s="27" t="n">
        <f aca="false">(B46-B50)*$B$5+(C46-C50)*$C$5+(D46-D50)*$D$5</f>
        <v>0</v>
      </c>
      <c r="C55" s="27" t="n">
        <f aca="false">(B47-B51)*$B$5+(C47-C51)*$C$5+(D47-D51)*$D$5</f>
        <v>0</v>
      </c>
      <c r="D55" s="27" t="n">
        <f aca="false">(B48-B52)*$B$5+(C48-C52)*$C$5+(D48-D52)*$D$5</f>
        <v>0</v>
      </c>
    </row>
    <row r="56" customFormat="false" ht="15" hidden="false" customHeight="true" outlineLevel="0" collapsed="false">
      <c r="A56" s="3" t="s">
        <v>215</v>
      </c>
      <c r="B56" s="27" t="n">
        <f aca="false">($B$42-1)*$E$38+($C$42-0)*$E$39+($D$42-0)*$E$40-(($B$38-1)*$E$42+($C$38-0)*$E$43+($D$38-0)*$E$44)</f>
        <v>0</v>
      </c>
      <c r="C56" s="27" t="n">
        <f aca="false">($B$43-0)*$E$38+($C$43-1)*$E$39+($D$43-0)*$E$40-(($B$39-0)*$E$42+($C$39-1)*$E$43+($D$39-0)*$E$44)</f>
        <v>3.46346691353518</v>
      </c>
      <c r="D56" s="27" t="n">
        <f aca="false">($B$44-0)*$E$38+($C$44-0)*$E$39+($D$44-1)*$E$40-(($B$40-0)*$E$42+($C$40-0)*$E$43+($D$40-1)*$E$44)</f>
        <v>0</v>
      </c>
    </row>
    <row r="57" customFormat="false" ht="15" hidden="false" customHeight="true" outlineLevel="0" collapsed="false">
      <c r="A57" s="5" t="s">
        <v>216</v>
      </c>
      <c r="B57" s="27" t="n">
        <f aca="false">B55+B56</f>
        <v>0</v>
      </c>
      <c r="C57" s="27" t="n">
        <f aca="false">C55+C56</f>
        <v>3.46346691353518</v>
      </c>
      <c r="D57" s="27" t="n">
        <f aca="false">D55+D56</f>
        <v>0</v>
      </c>
    </row>
    <row r="58" customFormat="false" ht="15" hidden="false" customHeight="true" outlineLevel="0" collapsed="false">
      <c r="A58" s="3" t="s">
        <v>217</v>
      </c>
      <c r="B58" s="27" t="n">
        <f aca="false">B19-B21</f>
        <v>0</v>
      </c>
      <c r="C58" s="27" t="n">
        <f aca="false">C19-C21</f>
        <v>3.46346691353517</v>
      </c>
      <c r="D58" s="27" t="n">
        <f aca="false">D19-D21</f>
        <v>0</v>
      </c>
    </row>
    <row r="59" customFormat="false" ht="15" hidden="false" customHeight="true" outlineLevel="0" collapsed="false">
      <c r="A59" s="3" t="s">
        <v>218</v>
      </c>
      <c r="B59" s="28" t="n">
        <f aca="false">MAX(ABS(B57-B58),ABS(C57-C58),ABS(D57-D58))</f>
        <v>0</v>
      </c>
    </row>
    <row r="61" customFormat="false" ht="15" hidden="false" customHeight="true" outlineLevel="0" collapsed="false">
      <c r="A61" s="9" t="s">
        <v>219</v>
      </c>
      <c r="B61" s="9" t="s">
        <v>43</v>
      </c>
    </row>
    <row r="62" customFormat="false" ht="15" hidden="false" customHeight="true" outlineLevel="0" collapsed="false">
      <c r="A62" s="3" t="s">
        <v>220</v>
      </c>
      <c r="B62" s="16" t="n">
        <f aca="false">W_min+W_loss</f>
        <v>60</v>
      </c>
    </row>
    <row r="63" customFormat="false" ht="15" hidden="false" customHeight="true" outlineLevel="0" collapsed="false">
      <c r="A63" s="3" t="s">
        <v>221</v>
      </c>
      <c r="B63" s="16" t="n">
        <f aca="false">B62-Work_today</f>
        <v>2</v>
      </c>
    </row>
    <row r="64" customFormat="false" ht="15" hidden="false" customHeight="true" outlineLevel="0" collapsed="false">
      <c r="A64" s="3" t="s">
        <v>222</v>
      </c>
      <c r="B64" s="16" t="n">
        <f aca="false">W_min</f>
        <v>55</v>
      </c>
    </row>
    <row r="66" customFormat="false" ht="15" hidden="false" customHeight="true" outlineLevel="0" collapsed="false">
      <c r="A66" s="9" t="s">
        <v>223</v>
      </c>
      <c r="B66" s="9" t="s">
        <v>224</v>
      </c>
      <c r="C66" s="9" t="s">
        <v>225</v>
      </c>
      <c r="D66" s="9" t="s">
        <v>226</v>
      </c>
    </row>
    <row r="67" customFormat="false" ht="15" hidden="false" customHeight="true" outlineLevel="0" collapsed="false">
      <c r="A67" s="3" t="s">
        <v>227</v>
      </c>
      <c r="B67" s="11" t="n">
        <f aca="false">ABS(B32)/Liq_today+ABS(C32)/Declarations!$E$7+ABS(D32)/Declarations!$E$6</f>
        <v>0.116892733651481</v>
      </c>
      <c r="C67" s="11" t="n">
        <f aca="false">SQRT((ABS(B32)/Liq_today)^2+(ABS(C32)/Declarations!$E$7)^2+(ABS(D32)/Declarations!$E$6)^2)</f>
        <v>0.0688486966648028</v>
      </c>
      <c r="D67" s="11" t="n">
        <f aca="false">MAX(ABS(B32)/Liq_today,ABS(C32)/Declarations!$E$7,ABS(D32)/Declarations!$E$6)</f>
        <v>0.05</v>
      </c>
    </row>
    <row r="68" customFormat="false" ht="15" hidden="false" customHeight="true" outlineLevel="0" collapsed="false">
      <c r="A68" s="3" t="s">
        <v>228</v>
      </c>
      <c r="B68" s="11" t="n">
        <f aca="false">ABS(B34)/Liq_today+ABS(C34)/Declarations!$E$7+ABS(D34)/Declarations!$E$6</f>
        <v>0.0346346691353517</v>
      </c>
      <c r="C68" s="11" t="n">
        <f aca="false">SQRT((ABS(B34)/Liq_today)^2+(ABS(C34)/Declarations!$E$7)^2+(ABS(D34)/Declarations!$E$6)^2)</f>
        <v>0.0346346691353517</v>
      </c>
      <c r="D68" s="11" t="n">
        <f aca="false">MAX(ABS(B34)/Liq_today,ABS(C34)/Declarations!$E$7,ABS(D34)/Declarations!$E$6)</f>
        <v>0.0346346691353517</v>
      </c>
    </row>
    <row r="70" customFormat="false" ht="15" hidden="false" customHeight="true" outlineLevel="0" collapsed="false">
      <c r="A70" s="9" t="s">
        <v>229</v>
      </c>
      <c r="B70" s="9" t="s">
        <v>230</v>
      </c>
      <c r="C70" s="9" t="s">
        <v>231</v>
      </c>
    </row>
    <row r="71" customFormat="false" ht="15" hidden="false" customHeight="true" outlineLevel="0" collapsed="false">
      <c r="A71" s="3" t="s">
        <v>232</v>
      </c>
      <c r="B71" s="20" t="n">
        <v>2</v>
      </c>
      <c r="C71" s="20" t="n">
        <v>40</v>
      </c>
    </row>
    <row r="72" customFormat="false" ht="15" hidden="false" customHeight="true" outlineLevel="0" collapsed="false">
      <c r="A72" s="3" t="s">
        <v>233</v>
      </c>
      <c r="B72" s="27" t="n">
        <f aca="false">B71+3</f>
        <v>5</v>
      </c>
      <c r="C72" s="27" t="n">
        <f aca="false">0.9*C71</f>
        <v>36</v>
      </c>
    </row>
    <row r="73" customFormat="false" ht="15" hidden="false" customHeight="true" outlineLevel="0" collapsed="false">
      <c r="A73" s="3" t="s">
        <v>234</v>
      </c>
      <c r="B73" s="27" t="n">
        <f aca="false">0.5*B72</f>
        <v>2.5</v>
      </c>
      <c r="C73" s="27" t="n">
        <f aca="false">C72+0.8*B72</f>
        <v>40</v>
      </c>
    </row>
    <row r="74" customFormat="false" ht="15" hidden="false" customHeight="true" outlineLevel="0" collapsed="false">
      <c r="A74" s="3" t="s">
        <v>235</v>
      </c>
      <c r="B74" s="27" t="n">
        <f aca="false">0.5*B71</f>
        <v>1</v>
      </c>
      <c r="C74" s="27" t="n">
        <f aca="false">C71+0.8*B71</f>
        <v>41.6</v>
      </c>
    </row>
    <row r="75" customFormat="false" ht="15" hidden="false" customHeight="true" outlineLevel="0" collapsed="false">
      <c r="A75" s="3" t="s">
        <v>236</v>
      </c>
      <c r="B75" s="27" t="n">
        <f aca="false">B74+3</f>
        <v>4</v>
      </c>
      <c r="C75" s="27" t="n">
        <f aca="false">0.9*C74</f>
        <v>37.44</v>
      </c>
    </row>
    <row r="76" customFormat="false" ht="15" hidden="false" customHeight="true" outlineLevel="0" collapsed="false">
      <c r="A76" s="5" t="s">
        <v>237</v>
      </c>
      <c r="B76" s="27" t="n">
        <f aca="false">B73-B75</f>
        <v>-1.5</v>
      </c>
      <c r="C76" s="27" t="n">
        <f aca="false">C73-C75</f>
        <v>2.56</v>
      </c>
    </row>
    <row r="77" customFormat="false" ht="15" hidden="false" customHeight="true" outlineLevel="0" collapsed="false">
      <c r="A77" s="3" t="s">
        <v>238</v>
      </c>
      <c r="B77" s="27" t="n">
        <f aca="false">0*B71</f>
        <v>0</v>
      </c>
      <c r="C77" s="27" t="n">
        <f aca="false">(0.8*1-0.9*0.8)*B71</f>
        <v>0.16</v>
      </c>
    </row>
    <row r="78" customFormat="false" ht="15" hidden="false" customHeight="true" outlineLevel="0" collapsed="false">
      <c r="A78" s="3" t="s">
        <v>239</v>
      </c>
      <c r="B78" s="27" t="n">
        <f aca="false">(0.5-1)*3</f>
        <v>-1.5</v>
      </c>
      <c r="C78" s="27" t="n">
        <f aca="false">0.8*3</f>
        <v>2.4</v>
      </c>
    </row>
    <row r="79" customFormat="false" ht="15" hidden="false" customHeight="true" outlineLevel="0" collapsed="false">
      <c r="A79" s="3" t="s">
        <v>216</v>
      </c>
      <c r="B79" s="27" t="n">
        <f aca="false">B77+B78</f>
        <v>-1.5</v>
      </c>
      <c r="C79" s="27" t="n">
        <f aca="false">C77+C78</f>
        <v>2.56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4"/>
    <col collapsed="false" customWidth="true" hidden="false" outlineLevel="0" max="2" min="2" style="1" width="14"/>
  </cols>
  <sheetData>
    <row r="1" customFormat="false" ht="15" hidden="false" customHeight="true" outlineLevel="0" collapsed="false">
      <c r="A1" s="2" t="s">
        <v>240</v>
      </c>
    </row>
    <row r="3" customFormat="false" ht="15" hidden="false" customHeight="true" outlineLevel="0" collapsed="false">
      <c r="A3" s="9" t="s">
        <v>241</v>
      </c>
      <c r="B3" s="9" t="s">
        <v>43</v>
      </c>
    </row>
    <row r="4" customFormat="false" ht="15" hidden="false" customHeight="true" outlineLevel="0" collapsed="false">
      <c r="A4" s="3" t="s">
        <v>242</v>
      </c>
      <c r="B4" s="14" t="n">
        <v>1.2</v>
      </c>
    </row>
    <row r="5" customFormat="false" ht="15" hidden="false" customHeight="true" outlineLevel="0" collapsed="false">
      <c r="A5" s="3" t="s">
        <v>243</v>
      </c>
      <c r="B5" s="14" t="n">
        <v>0.7</v>
      </c>
    </row>
    <row r="6" customFormat="false" ht="15" hidden="false" customHeight="true" outlineLevel="0" collapsed="false">
      <c r="A6" s="3" t="s">
        <v>244</v>
      </c>
      <c r="B6" s="11" t="n">
        <f aca="false">B4^5</f>
        <v>2.48832</v>
      </c>
    </row>
    <row r="7" customFormat="false" ht="15" hidden="false" customHeight="true" outlineLevel="0" collapsed="false">
      <c r="A7" s="3" t="s">
        <v>245</v>
      </c>
      <c r="B7" s="11" t="n">
        <f aca="false">B4^3*B5^2</f>
        <v>0.84672</v>
      </c>
    </row>
    <row r="9" customFormat="false" ht="15" hidden="false" customHeight="true" outlineLevel="0" collapsed="false">
      <c r="A9" s="9" t="s">
        <v>246</v>
      </c>
      <c r="B9" s="9" t="s">
        <v>43</v>
      </c>
    </row>
    <row r="10" customFormat="false" ht="15" hidden="false" customHeight="true" outlineLevel="0" collapsed="false">
      <c r="A10" s="3" t="s">
        <v>247</v>
      </c>
      <c r="B10" s="31" t="n">
        <f aca="false">Sequencing!B32</f>
        <v>20</v>
      </c>
    </row>
    <row r="11" customFormat="false" ht="15" hidden="false" customHeight="true" outlineLevel="0" collapsed="false">
      <c r="A11" s="3" t="s">
        <v>248</v>
      </c>
      <c r="B11" s="27" t="n">
        <f aca="false">-Sequencing!C32</f>
        <v>3.46346691353517</v>
      </c>
    </row>
    <row r="12" customFormat="false" ht="15" hidden="false" customHeight="true" outlineLevel="0" collapsed="false">
      <c r="A12" s="3" t="s">
        <v>249</v>
      </c>
      <c r="B12" s="16" t="n">
        <f aca="false">-Sequencing!D32</f>
        <v>5</v>
      </c>
    </row>
    <row r="13" customFormat="false" ht="15" hidden="false" customHeight="true" outlineLevel="0" collapsed="false">
      <c r="A13" s="3" t="s">
        <v>250</v>
      </c>
      <c r="B13" s="27" t="n">
        <f aca="false">Keep_cost/W_loss</f>
        <v>4</v>
      </c>
    </row>
    <row r="14" customFormat="false" ht="15" hidden="false" customHeight="true" outlineLevel="0" collapsed="false">
      <c r="A14" s="5" t="s">
        <v>251</v>
      </c>
      <c r="B14" s="27" t="n">
        <f aca="false">(B10-B13*B12)/B11</f>
        <v>0</v>
      </c>
    </row>
    <row r="15" customFormat="false" ht="15" hidden="false" customHeight="true" outlineLevel="0" collapsed="false">
      <c r="A15" s="13" t="s">
        <v>252</v>
      </c>
    </row>
    <row r="17" customFormat="false" ht="15" hidden="false" customHeight="true" outlineLevel="0" collapsed="false">
      <c r="A17" s="9" t="s">
        <v>253</v>
      </c>
      <c r="B17" s="9" t="s">
        <v>43</v>
      </c>
    </row>
    <row r="18" customFormat="false" ht="15" hidden="false" customHeight="true" outlineLevel="0" collapsed="false">
      <c r="A18" s="3" t="s">
        <v>254</v>
      </c>
      <c r="B18" s="18" t="n">
        <f aca="false">Liq_floor</f>
        <v>350</v>
      </c>
    </row>
    <row r="19" customFormat="false" ht="15" hidden="false" customHeight="true" outlineLevel="0" collapsed="false">
      <c r="A19" s="3" t="s">
        <v>255</v>
      </c>
      <c r="B19" s="16" t="n">
        <f aca="false">MIN(Sequencing!B5,Sequencing!E15,Sequencing!B16)</f>
        <v>481.917941377968</v>
      </c>
    </row>
    <row r="20" customFormat="false" ht="15" hidden="false" customHeight="true" outlineLevel="0" collapsed="false">
      <c r="A20" s="3" t="s">
        <v>256</v>
      </c>
      <c r="B20" s="33" t="n">
        <f aca="false">B19-B18</f>
        <v>131.917941377968</v>
      </c>
    </row>
    <row r="21" customFormat="false" ht="15" hidden="false" customHeight="true" outlineLevel="0" collapsed="false">
      <c r="A21" s="3" t="s">
        <v>257</v>
      </c>
      <c r="B21" s="16" t="n">
        <f aca="false">MIN(Sequencing!B5,Sequencing!B18,Sequencing!E19)</f>
        <v>573.917941377968</v>
      </c>
    </row>
    <row r="22" customFormat="false" ht="15" hidden="false" customHeight="true" outlineLevel="0" collapsed="false">
      <c r="A22" s="3" t="s">
        <v>256</v>
      </c>
      <c r="B22" s="33" t="n">
        <f aca="false">B21-B18</f>
        <v>223.917941377968</v>
      </c>
    </row>
    <row r="23" customFormat="false" ht="15" hidden="false" customHeight="true" outlineLevel="0" collapsed="false">
      <c r="A23" s="13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7" topLeftCell="B28" activePane="bottomRight" state="frozen"/>
      <selection pane="topLeft" activeCell="A1" activeCellId="0" sqref="A1"/>
      <selection pane="topRight" activeCell="B1" activeCellId="0" sqref="B1"/>
      <selection pane="bottomLeft" activeCell="A28" activeCellId="0" sqref="A2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19" min="2" style="1" width="13"/>
  </cols>
  <sheetData>
    <row r="1" customFormat="false" ht="15" hidden="false" customHeight="true" outlineLevel="0" collapsed="false">
      <c r="A1" s="2" t="s">
        <v>259</v>
      </c>
    </row>
    <row r="3" customFormat="false" ht="15" hidden="false" customHeight="true" outlineLevel="0" collapsed="false">
      <c r="A3" s="9" t="s">
        <v>260</v>
      </c>
      <c r="B3" s="9" t="s">
        <v>62</v>
      </c>
      <c r="C3" s="9" t="s">
        <v>63</v>
      </c>
      <c r="D3" s="9" t="s">
        <v>64</v>
      </c>
    </row>
    <row r="4" customFormat="false" ht="15" hidden="false" customHeight="true" outlineLevel="0" collapsed="false">
      <c r="A4" s="3" t="s">
        <v>261</v>
      </c>
      <c r="B4" s="31" t="n">
        <f aca="false">Declarations!$B$27*Declarations!$B$30+Declarations!$C$27*Declarations!$C$30+Declarations!$D$27*Declarations!$D$30+Declarations!$E$27*U_first</f>
        <v>53</v>
      </c>
      <c r="C4" s="31" t="n">
        <f aca="false">Declarations!$B$28*Declarations!$B$30+Declarations!$C$28*Declarations!$C$30+Declarations!$D$28*Declarations!$D$30+Declarations!$E$28*U_first</f>
        <v>42</v>
      </c>
      <c r="D4" s="31" t="n">
        <f aca="false">Declarations!$B$29*Declarations!$B$30+Declarations!$C$29*Declarations!$C$30+Declarations!$D$29*Declarations!$D$30+Declarations!$E$29*U_first</f>
        <v>54.5</v>
      </c>
    </row>
    <row r="6" customFormat="false" ht="15" hidden="false" customHeight="true" outlineLevel="0" collapsed="false">
      <c r="A6" s="9" t="s">
        <v>262</v>
      </c>
      <c r="B6" s="9" t="s">
        <v>43</v>
      </c>
    </row>
    <row r="7" customFormat="false" ht="15" hidden="false" customHeight="true" outlineLevel="0" collapsed="false">
      <c r="A7" s="3" t="s">
        <v>263</v>
      </c>
      <c r="B7" s="12" t="n">
        <f aca="false">Declarations!$B$27+Declarations!$C$28</f>
        <v>1.75</v>
      </c>
    </row>
    <row r="8" customFormat="false" ht="15" hidden="false" customHeight="true" outlineLevel="0" collapsed="false">
      <c r="A8" s="3" t="s">
        <v>264</v>
      </c>
      <c r="B8" s="12" t="n">
        <f aca="false">Declarations!$B$27*Declarations!$C$28-Declarations!$C$27*Declarations!$B$28</f>
        <v>0.76</v>
      </c>
    </row>
    <row r="9" customFormat="false" ht="15" hidden="false" customHeight="true" outlineLevel="0" collapsed="false">
      <c r="A9" s="3" t="s">
        <v>265</v>
      </c>
      <c r="B9" s="12" t="n">
        <f aca="false">(B7+SQRT(B7^2-4*B8))/2</f>
        <v>0.95</v>
      </c>
    </row>
    <row r="10" customFormat="false" ht="15" hidden="false" customHeight="true" outlineLevel="0" collapsed="false">
      <c r="A10" s="3" t="s">
        <v>266</v>
      </c>
      <c r="B10" s="12" t="n">
        <f aca="false">(B7-SQRT(B7^2-4*B8))/2</f>
        <v>0.8</v>
      </c>
    </row>
    <row r="11" customFormat="false" ht="15" hidden="false" customHeight="true" outlineLevel="0" collapsed="false">
      <c r="A11" s="3" t="s">
        <v>267</v>
      </c>
      <c r="B11" s="12" t="n">
        <f aca="false">Declarations!$D$29</f>
        <v>0.8</v>
      </c>
    </row>
    <row r="12" customFormat="false" ht="15" hidden="false" customHeight="true" outlineLevel="0" collapsed="false">
      <c r="A12" s="3" t="s">
        <v>268</v>
      </c>
      <c r="B12" s="16" t="n">
        <f aca="false">IF(AND(Declarations!$D$27=0,Declarations!$D$28=0),1,0)</f>
        <v>1</v>
      </c>
    </row>
    <row r="13" customFormat="false" ht="15" hidden="false" customHeight="true" outlineLevel="0" collapsed="false">
      <c r="A13" s="3" t="s">
        <v>269</v>
      </c>
      <c r="B13" s="12" t="n">
        <f aca="false">MAX(ABS(B9),ABS(B10),ABS(B11))</f>
        <v>0.95</v>
      </c>
    </row>
    <row r="14" customFormat="false" ht="15" hidden="false" customHeight="true" outlineLevel="0" collapsed="false">
      <c r="A14" s="3" t="s">
        <v>270</v>
      </c>
      <c r="B14" s="27" t="n">
        <f aca="false">LN(0.5)/LN(B13)</f>
        <v>13.5134073339649</v>
      </c>
    </row>
    <row r="15" customFormat="false" ht="15" hidden="false" customHeight="true" outlineLevel="0" collapsed="false">
      <c r="A15" s="3" t="s">
        <v>271</v>
      </c>
      <c r="B15" s="12" t="n">
        <f aca="false">MAX(ABS(Declarations!$B$27)+ABS(Declarations!$C$27)+ABS(Declarations!$D$27),ABS(Declarations!$B$28)+ABS(Declarations!$C$28)+ABS(Declarations!$D$28),ABS(Declarations!$B$29)+ABS(Declarations!$C$29)+ABS(Declarations!$D$29))</f>
        <v>0.95</v>
      </c>
    </row>
    <row r="16" customFormat="false" ht="15" hidden="false" customHeight="true" outlineLevel="0" collapsed="false">
      <c r="A16" s="3" t="s">
        <v>272</v>
      </c>
      <c r="B16" s="12" t="n">
        <f aca="false">MAX(ABS(Declarations!$B$27)+ABS(Declarations!$B$28)+ABS(Declarations!$B$29),ABS(Declarations!$C$27)+ABS(Declarations!$C$28)+ABS(Declarations!$C$29),ABS(Declarations!$D$27)+ABS(Declarations!$D$28)+ABS(Declarations!$D$29))</f>
        <v>1.05</v>
      </c>
    </row>
    <row r="18" customFormat="false" ht="15" hidden="false" customHeight="true" outlineLevel="0" collapsed="false">
      <c r="A18" s="9" t="s">
        <v>273</v>
      </c>
      <c r="B18" s="9" t="s">
        <v>62</v>
      </c>
      <c r="C18" s="9" t="s">
        <v>63</v>
      </c>
      <c r="D18" s="9" t="s">
        <v>64</v>
      </c>
    </row>
    <row r="19" customFormat="false" ht="15" hidden="false" customHeight="true" outlineLevel="0" collapsed="false">
      <c r="A19" s="3" t="s">
        <v>274</v>
      </c>
      <c r="B19" s="11" t="n">
        <f aca="false">(Declarations!$E$27*(1-Declarations!$C$28)+Declarations!$C$27*Declarations!$E$28)/((1-Declarations!$B$27)*(1-Declarations!$C$28)-Declarations!$C$27*Declarations!$B$28)</f>
        <v>10.5</v>
      </c>
      <c r="C19" s="11" t="n">
        <f aca="false">((1-Declarations!$B$27)*Declarations!$E$28+Declarations!$B$28*Declarations!$E$27)/((1-Declarations!$B$27)*(1-Declarations!$C$28)-Declarations!$C$27*Declarations!$B$28)</f>
        <v>9</v>
      </c>
      <c r="D19" s="11" t="n">
        <f aca="false">(Declarations!$B$29*B19+Declarations!$C$29*C19+Declarations!$E$29)/(1-Declarations!$D$29)</f>
        <v>7.125</v>
      </c>
    </row>
    <row r="20" customFormat="false" ht="15" hidden="false" customHeight="true" outlineLevel="0" collapsed="false">
      <c r="A20" s="3" t="s">
        <v>275</v>
      </c>
      <c r="B20" s="27" t="n">
        <f aca="false">B19*U_held</f>
        <v>84</v>
      </c>
      <c r="C20" s="27" t="n">
        <f aca="false">C19*U_held</f>
        <v>72</v>
      </c>
      <c r="D20" s="27" t="n">
        <f aca="false">D19*U_held</f>
        <v>57</v>
      </c>
    </row>
    <row r="22" customFormat="false" ht="15" hidden="false" customHeight="true" outlineLevel="0" collapsed="false">
      <c r="A22" s="3" t="s">
        <v>276</v>
      </c>
      <c r="B22" s="27" t="n">
        <f aca="false">C38</f>
        <v>27.225229281791</v>
      </c>
      <c r="D22" s="3" t="s">
        <v>277</v>
      </c>
      <c r="G22" s="12" t="n">
        <f aca="false">MAX(Q29:Q58)</f>
        <v>1.117481875</v>
      </c>
    </row>
    <row r="23" customFormat="false" ht="15" hidden="false" customHeight="true" outlineLevel="0" collapsed="false">
      <c r="A23" s="3" t="s">
        <v>278</v>
      </c>
      <c r="B23" s="27" t="n">
        <f aca="false">F38</f>
        <v>52.1852676019207</v>
      </c>
      <c r="D23" s="3" t="s">
        <v>279</v>
      </c>
      <c r="G23" s="16" t="n">
        <f aca="false">INDEX(A29:A58,MATCH(G22,Q29:Q58,0))</f>
        <v>5</v>
      </c>
    </row>
    <row r="24" customFormat="false" ht="15" hidden="false" customHeight="true" outlineLevel="0" collapsed="false">
      <c r="A24" s="3" t="s">
        <v>280</v>
      </c>
      <c r="B24" s="27" t="n">
        <f aca="false">B23-B22</f>
        <v>24.9600383201297</v>
      </c>
      <c r="D24" s="3" t="s">
        <v>281</v>
      </c>
      <c r="G24" s="16" t="n">
        <f aca="false">1+COUNTIF(Q29:Q58,"&gt;=1")</f>
        <v>11</v>
      </c>
    </row>
    <row r="25" customFormat="false" ht="15" hidden="false" customHeight="true" outlineLevel="0" collapsed="false">
      <c r="D25" s="3" t="s">
        <v>282</v>
      </c>
      <c r="G25" s="28" t="n">
        <f aca="false">MAX(S28:S58)</f>
        <v>0</v>
      </c>
    </row>
    <row r="27" customFormat="false" ht="45.75" hidden="false" customHeight="true" outlineLevel="0" collapsed="false">
      <c r="A27" s="9" t="s">
        <v>283</v>
      </c>
      <c r="B27" s="9" t="s">
        <v>284</v>
      </c>
      <c r="C27" s="9" t="s">
        <v>285</v>
      </c>
      <c r="D27" s="9" t="s">
        <v>286</v>
      </c>
      <c r="E27" s="9" t="s">
        <v>287</v>
      </c>
      <c r="F27" s="9" t="s">
        <v>285</v>
      </c>
      <c r="G27" s="9" t="s">
        <v>286</v>
      </c>
      <c r="H27" s="9" t="s">
        <v>288</v>
      </c>
      <c r="I27" s="9" t="s">
        <v>285</v>
      </c>
      <c r="J27" s="9" t="s">
        <v>286</v>
      </c>
      <c r="K27" s="9" t="s">
        <v>289</v>
      </c>
      <c r="L27" s="9" t="s">
        <v>285</v>
      </c>
      <c r="M27" s="9" t="s">
        <v>286</v>
      </c>
      <c r="N27" s="9" t="s">
        <v>290</v>
      </c>
      <c r="O27" s="9" t="s">
        <v>285</v>
      </c>
      <c r="P27" s="9" t="s">
        <v>286</v>
      </c>
      <c r="Q27" s="9" t="s">
        <v>291</v>
      </c>
      <c r="R27" s="9" t="s">
        <v>292</v>
      </c>
      <c r="S27" s="9" t="s">
        <v>293</v>
      </c>
    </row>
    <row r="28" customFormat="false" ht="15" hidden="false" customHeight="true" outlineLevel="0" collapsed="false">
      <c r="A28" s="16" t="n">
        <v>0</v>
      </c>
      <c r="B28" s="11" t="n">
        <f aca="false">Declarations!$B$30</f>
        <v>50</v>
      </c>
      <c r="C28" s="11" t="n">
        <f aca="false">Declarations!$C$30</f>
        <v>40</v>
      </c>
      <c r="D28" s="11" t="n">
        <f aca="false">Declarations!$D$30</f>
        <v>60</v>
      </c>
      <c r="E28" s="11" t="n">
        <f aca="false">Declarations!$B$30</f>
        <v>50</v>
      </c>
      <c r="F28" s="11" t="n">
        <f aca="false">Declarations!$C$30</f>
        <v>40</v>
      </c>
      <c r="G28" s="11" t="n">
        <f aca="false">Declarations!$D$30</f>
        <v>60</v>
      </c>
      <c r="H28" s="11" t="n">
        <v>1</v>
      </c>
      <c r="I28" s="11" t="n">
        <v>0</v>
      </c>
      <c r="J28" s="11" t="n">
        <v>0</v>
      </c>
      <c r="K28" s="11" t="n">
        <v>0</v>
      </c>
      <c r="L28" s="11" t="n">
        <v>1</v>
      </c>
      <c r="M28" s="11" t="n">
        <v>0</v>
      </c>
      <c r="N28" s="11" t="n">
        <v>0</v>
      </c>
      <c r="O28" s="11" t="n">
        <v>0</v>
      </c>
      <c r="P28" s="11" t="n">
        <v>1</v>
      </c>
      <c r="Q28" s="12" t="n">
        <f aca="false">MAX(ABS(H28)+ABS(I28)+ABS(J28),ABS(K28)+ABS(L28)+ABS(M28),ABS(N28)+ABS(O28)+ABS(P28))</f>
        <v>1</v>
      </c>
      <c r="R28" s="12" t="n">
        <f aca="false">MAX(ABS(H28)+ABS(K28)+ABS(N28),ABS(I28)+ABS(L28)+ABS(O28),ABS(J28)+ABS(M28)+ABS(P28))</f>
        <v>1</v>
      </c>
      <c r="S28" s="28" t="n">
        <f aca="false">ABS(R28-$B$13^A28)</f>
        <v>0</v>
      </c>
    </row>
    <row r="29" customFormat="false" ht="15" hidden="false" customHeight="true" outlineLevel="0" collapsed="false">
      <c r="A29" s="16" t="n">
        <v>1</v>
      </c>
      <c r="B29" s="11" t="n">
        <f aca="false">Declarations!$B$27*B28+Declarations!$C$27*C28+Declarations!$D$27*D28</f>
        <v>47</v>
      </c>
      <c r="C29" s="11" t="n">
        <f aca="false">Declarations!$B$28*B28+Declarations!$C$28*C28+Declarations!$D$28*D28</f>
        <v>39</v>
      </c>
      <c r="D29" s="11" t="n">
        <f aca="false">Declarations!$B$29*B28+Declarations!$C$29*C28+Declarations!$D$29*D28</f>
        <v>54.5</v>
      </c>
      <c r="E29" s="11" t="n">
        <f aca="false">Declarations!$B$27*E28+Declarations!$C$27*F28+Declarations!$D$27*G28+Declarations!$E$27*U_held</f>
        <v>51.8</v>
      </c>
      <c r="F29" s="11" t="n">
        <f aca="false">Declarations!$B$28*E28+Declarations!$C$28*F28+Declarations!$D$28*G28+Declarations!$E$28*U_held</f>
        <v>41.4</v>
      </c>
      <c r="G29" s="11" t="n">
        <f aca="false">Declarations!$B$29*E28+Declarations!$C$29*F28+Declarations!$D$29*G28+Declarations!$E$29*U_held</f>
        <v>54.5</v>
      </c>
      <c r="H29" s="11" t="n">
        <f aca="false">Declarations!$B$27*H28+Declarations!$C$27*I28+Declarations!$D$27*J28</f>
        <v>0.9</v>
      </c>
      <c r="I29" s="11" t="n">
        <f aca="false">Declarations!$B$28*H28+Declarations!$C$28*I28+Declarations!$D$28*J28</f>
        <v>0.1</v>
      </c>
      <c r="J29" s="11" t="n">
        <f aca="false">Declarations!$B$29*H28+Declarations!$C$29*I28+Declarations!$D$29*J28</f>
        <v>0.05</v>
      </c>
      <c r="K29" s="11" t="n">
        <f aca="false">Declarations!$B$27*K28+Declarations!$C$27*L28+Declarations!$D$27*M28</f>
        <v>0.05</v>
      </c>
      <c r="L29" s="11" t="n">
        <f aca="false">Declarations!$B$28*K28+Declarations!$C$28*L28+Declarations!$D$28*M28</f>
        <v>0.85</v>
      </c>
      <c r="M29" s="11" t="n">
        <f aca="false">Declarations!$B$29*K28+Declarations!$C$29*L28+Declarations!$D$29*M28</f>
        <v>0.1</v>
      </c>
      <c r="N29" s="11" t="n">
        <f aca="false">Declarations!$B$27*N28+Declarations!$C$27*O28+Declarations!$D$27*P28</f>
        <v>0</v>
      </c>
      <c r="O29" s="11" t="n">
        <f aca="false">Declarations!$B$28*N28+Declarations!$C$28*O28+Declarations!$D$28*P28</f>
        <v>0</v>
      </c>
      <c r="P29" s="11" t="n">
        <f aca="false">Declarations!$B$29*N28+Declarations!$C$29*O28+Declarations!$D$29*P28</f>
        <v>0.8</v>
      </c>
      <c r="Q29" s="12" t="n">
        <f aca="false">MAX(ABS(H29)+ABS(I29)+ABS(J29),ABS(K29)+ABS(L29)+ABS(M29),ABS(N29)+ABS(O29)+ABS(P29))</f>
        <v>1.05</v>
      </c>
      <c r="R29" s="12" t="n">
        <f aca="false">MAX(ABS(H29)+ABS(K29)+ABS(N29),ABS(I29)+ABS(L29)+ABS(O29),ABS(J29)+ABS(M29)+ABS(P29))</f>
        <v>0.95</v>
      </c>
      <c r="S29" s="28" t="n">
        <f aca="false">ABS(R29-$B$13^A29)</f>
        <v>0</v>
      </c>
    </row>
    <row r="30" customFormat="false" ht="15" hidden="false" customHeight="true" outlineLevel="0" collapsed="false">
      <c r="A30" s="16" t="n">
        <v>2</v>
      </c>
      <c r="B30" s="11" t="n">
        <f aca="false">Declarations!$B$27*B29+Declarations!$C$27*C29+Declarations!$D$27*D29</f>
        <v>44.25</v>
      </c>
      <c r="C30" s="11" t="n">
        <f aca="false">Declarations!$B$28*B29+Declarations!$C$28*C29+Declarations!$D$28*D29</f>
        <v>37.85</v>
      </c>
      <c r="D30" s="11" t="n">
        <f aca="false">Declarations!$B$29*B29+Declarations!$C$29*C29+Declarations!$D$29*D29</f>
        <v>49.85</v>
      </c>
      <c r="E30" s="11" t="n">
        <f aca="false">Declarations!$B$27*E29+Declarations!$C$27*F29+Declarations!$D$27*G29+Declarations!$E$27*U_held</f>
        <v>53.49</v>
      </c>
      <c r="F30" s="11" t="n">
        <f aca="false">Declarations!$B$28*E29+Declarations!$C$28*F29+Declarations!$D$28*G29+Declarations!$E$28*U_held</f>
        <v>42.77</v>
      </c>
      <c r="G30" s="11" t="n">
        <f aca="false">Declarations!$B$29*E29+Declarations!$C$29*F29+Declarations!$D$29*G29+Declarations!$E$29*U_held</f>
        <v>50.33</v>
      </c>
      <c r="H30" s="11" t="n">
        <f aca="false">Declarations!$B$27*H29+Declarations!$C$27*I29+Declarations!$D$27*J29</f>
        <v>0.815</v>
      </c>
      <c r="I30" s="11" t="n">
        <f aca="false">Declarations!$B$28*H29+Declarations!$C$28*I29+Declarations!$D$28*J29</f>
        <v>0.175</v>
      </c>
      <c r="J30" s="11" t="n">
        <f aca="false">Declarations!$B$29*H29+Declarations!$C$29*I29+Declarations!$D$29*J29</f>
        <v>0.095</v>
      </c>
      <c r="K30" s="11" t="n">
        <f aca="false">Declarations!$B$27*K29+Declarations!$C$27*L29+Declarations!$D$27*M29</f>
        <v>0.0875</v>
      </c>
      <c r="L30" s="11" t="n">
        <f aca="false">Declarations!$B$28*K29+Declarations!$C$28*L29+Declarations!$D$28*M29</f>
        <v>0.7275</v>
      </c>
      <c r="M30" s="11" t="n">
        <f aca="false">Declarations!$B$29*K29+Declarations!$C$29*L29+Declarations!$D$29*M29</f>
        <v>0.1675</v>
      </c>
      <c r="N30" s="11" t="n">
        <f aca="false">Declarations!$B$27*N29+Declarations!$C$27*O29+Declarations!$D$27*P29</f>
        <v>0</v>
      </c>
      <c r="O30" s="11" t="n">
        <f aca="false">Declarations!$B$28*N29+Declarations!$C$28*O29+Declarations!$D$28*P29</f>
        <v>0</v>
      </c>
      <c r="P30" s="11" t="n">
        <f aca="false">Declarations!$B$29*N29+Declarations!$C$29*O29+Declarations!$D$29*P29</f>
        <v>0.64</v>
      </c>
      <c r="Q30" s="12" t="n">
        <f aca="false">MAX(ABS(H30)+ABS(I30)+ABS(J30),ABS(K30)+ABS(L30)+ABS(M30),ABS(N30)+ABS(O30)+ABS(P30))</f>
        <v>1.085</v>
      </c>
      <c r="R30" s="12" t="n">
        <f aca="false">MAX(ABS(H30)+ABS(K30)+ABS(N30),ABS(I30)+ABS(L30)+ABS(O30),ABS(J30)+ABS(M30)+ABS(P30))</f>
        <v>0.9025</v>
      </c>
      <c r="S30" s="28" t="n">
        <f aca="false">ABS(R30-$B$13^A30)</f>
        <v>0</v>
      </c>
    </row>
    <row r="31" customFormat="false" ht="15" hidden="false" customHeight="true" outlineLevel="0" collapsed="false">
      <c r="A31" s="16" t="n">
        <v>3</v>
      </c>
      <c r="B31" s="11" t="n">
        <f aca="false">Declarations!$B$27*B30+Declarations!$C$27*C30+Declarations!$D$27*D30</f>
        <v>41.7175</v>
      </c>
      <c r="C31" s="11" t="n">
        <f aca="false">Declarations!$B$28*B30+Declarations!$C$28*C30+Declarations!$D$28*D30</f>
        <v>36.5975</v>
      </c>
      <c r="D31" s="11" t="n">
        <f aca="false">Declarations!$B$29*B30+Declarations!$C$29*C30+Declarations!$D$29*D30</f>
        <v>45.8775</v>
      </c>
      <c r="E31" s="11" t="n">
        <f aca="false">Declarations!$B$27*E30+Declarations!$C$27*F30+Declarations!$D$27*G30+Declarations!$E$27*U_held</f>
        <v>55.0795</v>
      </c>
      <c r="F31" s="11" t="n">
        <f aca="false">Declarations!$B$28*E30+Declarations!$C$28*F30+Declarations!$D$28*G30+Declarations!$E$28*U_held</f>
        <v>44.1035</v>
      </c>
      <c r="G31" s="11" t="n">
        <f aca="false">Declarations!$B$29*E30+Declarations!$C$29*F30+Declarations!$D$29*G30+Declarations!$E$29*U_held</f>
        <v>47.2155</v>
      </c>
      <c r="H31" s="11" t="n">
        <f aca="false">Declarations!$B$27*H30+Declarations!$C$27*I30+Declarations!$D$27*J30</f>
        <v>0.74225</v>
      </c>
      <c r="I31" s="11" t="n">
        <f aca="false">Declarations!$B$28*H30+Declarations!$C$28*I30+Declarations!$D$28*J30</f>
        <v>0.23025</v>
      </c>
      <c r="J31" s="11" t="n">
        <f aca="false">Declarations!$B$29*H30+Declarations!$C$29*I30+Declarations!$D$29*J30</f>
        <v>0.13425</v>
      </c>
      <c r="K31" s="11" t="n">
        <f aca="false">Declarations!$B$27*K30+Declarations!$C$27*L30+Declarations!$D$27*M30</f>
        <v>0.115125</v>
      </c>
      <c r="L31" s="11" t="n">
        <f aca="false">Declarations!$B$28*K30+Declarations!$C$28*L30+Declarations!$D$28*M30</f>
        <v>0.627125</v>
      </c>
      <c r="M31" s="11" t="n">
        <f aca="false">Declarations!$B$29*K30+Declarations!$C$29*L30+Declarations!$D$29*M30</f>
        <v>0.211125</v>
      </c>
      <c r="N31" s="11" t="n">
        <f aca="false">Declarations!$B$27*N30+Declarations!$C$27*O30+Declarations!$D$27*P30</f>
        <v>0</v>
      </c>
      <c r="O31" s="11" t="n">
        <f aca="false">Declarations!$B$28*N30+Declarations!$C$28*O30+Declarations!$D$28*P30</f>
        <v>0</v>
      </c>
      <c r="P31" s="11" t="n">
        <f aca="false">Declarations!$B$29*N30+Declarations!$C$29*O30+Declarations!$D$29*P30</f>
        <v>0.512</v>
      </c>
      <c r="Q31" s="12" t="n">
        <f aca="false">MAX(ABS(H31)+ABS(I31)+ABS(J31),ABS(K31)+ABS(L31)+ABS(M31),ABS(N31)+ABS(O31)+ABS(P31))</f>
        <v>1.10675</v>
      </c>
      <c r="R31" s="12" t="n">
        <f aca="false">MAX(ABS(H31)+ABS(K31)+ABS(N31),ABS(I31)+ABS(L31)+ABS(O31),ABS(J31)+ABS(M31)+ABS(P31))</f>
        <v>0.857375</v>
      </c>
      <c r="S31" s="28" t="n">
        <f aca="false">ABS(R31-$B$13^A31)</f>
        <v>0</v>
      </c>
    </row>
    <row r="32" customFormat="false" ht="15" hidden="false" customHeight="true" outlineLevel="0" collapsed="false">
      <c r="A32" s="16" t="n">
        <v>4</v>
      </c>
      <c r="B32" s="11" t="n">
        <f aca="false">Declarations!$B$27*B31+Declarations!$C$27*C31+Declarations!$D$27*D31</f>
        <v>39.375625</v>
      </c>
      <c r="C32" s="11" t="n">
        <f aca="false">Declarations!$B$28*B31+Declarations!$C$28*C31+Declarations!$D$28*D31</f>
        <v>35.279625</v>
      </c>
      <c r="D32" s="11" t="n">
        <f aca="false">Declarations!$B$29*B31+Declarations!$C$29*C31+Declarations!$D$29*D31</f>
        <v>42.447625</v>
      </c>
      <c r="E32" s="11" t="n">
        <f aca="false">Declarations!$B$27*E31+Declarations!$C$27*F31+Declarations!$D$27*G31+Declarations!$E$27*U_held</f>
        <v>56.576725</v>
      </c>
      <c r="F32" s="11" t="n">
        <f aca="false">Declarations!$B$28*E31+Declarations!$C$28*F31+Declarations!$D$28*G31+Declarations!$E$28*U_held</f>
        <v>45.395925</v>
      </c>
      <c r="G32" s="11" t="n">
        <f aca="false">Declarations!$B$29*E31+Declarations!$C$29*F31+Declarations!$D$29*G31+Declarations!$E$29*U_held</f>
        <v>44.936725</v>
      </c>
      <c r="H32" s="11" t="n">
        <f aca="false">Declarations!$B$27*H31+Declarations!$C$27*I31+Declarations!$D$27*J31</f>
        <v>0.6795375</v>
      </c>
      <c r="I32" s="11" t="n">
        <f aca="false">Declarations!$B$28*H31+Declarations!$C$28*I31+Declarations!$D$28*J31</f>
        <v>0.2699375</v>
      </c>
      <c r="J32" s="11" t="n">
        <f aca="false">Declarations!$B$29*H31+Declarations!$C$29*I31+Declarations!$D$29*J31</f>
        <v>0.1675375</v>
      </c>
      <c r="K32" s="11" t="n">
        <f aca="false">Declarations!$B$27*K31+Declarations!$C$27*L31+Declarations!$D$27*M31</f>
        <v>0.13496875</v>
      </c>
      <c r="L32" s="11" t="n">
        <f aca="false">Declarations!$B$28*K31+Declarations!$C$28*L31+Declarations!$D$28*M31</f>
        <v>0.54456875</v>
      </c>
      <c r="M32" s="11" t="n">
        <f aca="false">Declarations!$B$29*K31+Declarations!$C$29*L31+Declarations!$D$29*M31</f>
        <v>0.23736875</v>
      </c>
      <c r="N32" s="11" t="n">
        <f aca="false">Declarations!$B$27*N31+Declarations!$C$27*O31+Declarations!$D$27*P31</f>
        <v>0</v>
      </c>
      <c r="O32" s="11" t="n">
        <f aca="false">Declarations!$B$28*N31+Declarations!$C$28*O31+Declarations!$D$28*P31</f>
        <v>0</v>
      </c>
      <c r="P32" s="11" t="n">
        <f aca="false">Declarations!$B$29*N31+Declarations!$C$29*O31+Declarations!$D$29*P31</f>
        <v>0.4096</v>
      </c>
      <c r="Q32" s="12" t="n">
        <f aca="false">MAX(ABS(H32)+ABS(I32)+ABS(J32),ABS(K32)+ABS(L32)+ABS(M32),ABS(N32)+ABS(O32)+ABS(P32))</f>
        <v>1.1170125</v>
      </c>
      <c r="R32" s="12" t="n">
        <f aca="false">MAX(ABS(H32)+ABS(K32)+ABS(N32),ABS(I32)+ABS(L32)+ABS(O32),ABS(J32)+ABS(M32)+ABS(P32))</f>
        <v>0.81450625</v>
      </c>
      <c r="S32" s="28" t="n">
        <f aca="false">ABS(R32-$B$13^A32)</f>
        <v>0</v>
      </c>
    </row>
    <row r="33" customFormat="false" ht="15" hidden="false" customHeight="true" outlineLevel="0" collapsed="false">
      <c r="A33" s="16" t="n">
        <v>5</v>
      </c>
      <c r="B33" s="11" t="n">
        <f aca="false">Declarations!$B$27*B32+Declarations!$C$27*C32+Declarations!$D$27*D32</f>
        <v>37.20204375</v>
      </c>
      <c r="C33" s="11" t="n">
        <f aca="false">Declarations!$B$28*B32+Declarations!$C$28*C32+Declarations!$D$28*D32</f>
        <v>33.92524375</v>
      </c>
      <c r="D33" s="11" t="n">
        <f aca="false">Declarations!$B$29*B32+Declarations!$C$29*C32+Declarations!$D$29*D32</f>
        <v>39.45484375</v>
      </c>
      <c r="E33" s="11" t="n">
        <f aca="false">Declarations!$B$27*E32+Declarations!$C$27*F32+Declarations!$D$27*G32+Declarations!$E$27*U_held</f>
        <v>57.98884875</v>
      </c>
      <c r="F33" s="11" t="n">
        <f aca="false">Declarations!$B$28*E32+Declarations!$C$28*F32+Declarations!$D$28*G32+Declarations!$E$28*U_held</f>
        <v>46.64420875</v>
      </c>
      <c r="G33" s="11" t="n">
        <f aca="false">Declarations!$B$29*E32+Declarations!$C$29*F32+Declarations!$D$29*G32+Declarations!$E$29*U_held</f>
        <v>43.31780875</v>
      </c>
      <c r="H33" s="11" t="n">
        <f aca="false">Declarations!$B$27*H32+Declarations!$C$27*I32+Declarations!$D$27*J32</f>
        <v>0.625080625</v>
      </c>
      <c r="I33" s="11" t="n">
        <f aca="false">Declarations!$B$28*H32+Declarations!$C$28*I32+Declarations!$D$28*J32</f>
        <v>0.297400625</v>
      </c>
      <c r="J33" s="11" t="n">
        <f aca="false">Declarations!$B$29*H32+Declarations!$C$29*I32+Declarations!$D$29*J32</f>
        <v>0.195000625</v>
      </c>
      <c r="K33" s="11" t="n">
        <f aca="false">Declarations!$B$27*K32+Declarations!$C$27*L32+Declarations!$D$27*M32</f>
        <v>0.1487003125</v>
      </c>
      <c r="L33" s="11" t="n">
        <f aca="false">Declarations!$B$28*K32+Declarations!$C$28*L32+Declarations!$D$28*M32</f>
        <v>0.4763803125</v>
      </c>
      <c r="M33" s="11" t="n">
        <f aca="false">Declarations!$B$29*K32+Declarations!$C$29*L32+Declarations!$D$29*M32</f>
        <v>0.2511003125</v>
      </c>
      <c r="N33" s="11" t="n">
        <f aca="false">Declarations!$B$27*N32+Declarations!$C$27*O32+Declarations!$D$27*P32</f>
        <v>0</v>
      </c>
      <c r="O33" s="11" t="n">
        <f aca="false">Declarations!$B$28*N32+Declarations!$C$28*O32+Declarations!$D$28*P32</f>
        <v>0</v>
      </c>
      <c r="P33" s="11" t="n">
        <f aca="false">Declarations!$B$29*N32+Declarations!$C$29*O32+Declarations!$D$29*P32</f>
        <v>0.32768</v>
      </c>
      <c r="Q33" s="12" t="n">
        <f aca="false">MAX(ABS(H33)+ABS(I33)+ABS(J33),ABS(K33)+ABS(L33)+ABS(M33),ABS(N33)+ABS(O33)+ABS(P33))</f>
        <v>1.117481875</v>
      </c>
      <c r="R33" s="12" t="n">
        <f aca="false">MAX(ABS(H33)+ABS(K33)+ABS(N33),ABS(I33)+ABS(L33)+ABS(O33),ABS(J33)+ABS(M33)+ABS(P33))</f>
        <v>0.7737809375</v>
      </c>
      <c r="S33" s="28" t="n">
        <f aca="false">ABS(R33-$B$13^A33)</f>
        <v>0</v>
      </c>
    </row>
    <row r="34" customFormat="false" ht="15" hidden="false" customHeight="true" outlineLevel="0" collapsed="false">
      <c r="A34" s="16" t="n">
        <v>6</v>
      </c>
      <c r="B34" s="11" t="n">
        <f aca="false">Declarations!$B$27*B33+Declarations!$C$27*C33+Declarations!$D$27*D33</f>
        <v>35.1781015625</v>
      </c>
      <c r="C34" s="11" t="n">
        <f aca="false">Declarations!$B$28*B33+Declarations!$C$28*C33+Declarations!$D$28*D33</f>
        <v>32.5566615625</v>
      </c>
      <c r="D34" s="11" t="n">
        <f aca="false">Declarations!$B$29*B33+Declarations!$C$29*C33+Declarations!$D$29*D33</f>
        <v>36.8165015625</v>
      </c>
      <c r="E34" s="11" t="n">
        <f aca="false">Declarations!$B$27*E33+Declarations!$C$27*F33+Declarations!$D$27*G33+Declarations!$E$27*U_held</f>
        <v>59.3221743125</v>
      </c>
      <c r="F34" s="11" t="n">
        <f aca="false">Declarations!$B$28*E33+Declarations!$C$28*F33+Declarations!$D$28*G33+Declarations!$E$28*U_held</f>
        <v>47.8464623125</v>
      </c>
      <c r="G34" s="11" t="n">
        <f aca="false">Declarations!$B$29*E33+Declarations!$C$29*F33+Declarations!$D$29*G33+Declarations!$E$29*U_held</f>
        <v>42.2181103125</v>
      </c>
      <c r="H34" s="11" t="n">
        <f aca="false">Declarations!$B$27*H33+Declarations!$C$27*I33+Declarations!$D$27*J33</f>
        <v>0.57744259375</v>
      </c>
      <c r="I34" s="11" t="n">
        <f aca="false">Declarations!$B$28*H33+Declarations!$C$28*I33+Declarations!$D$28*J33</f>
        <v>0.31529859375</v>
      </c>
      <c r="J34" s="11" t="n">
        <f aca="false">Declarations!$B$29*H33+Declarations!$C$29*I33+Declarations!$D$29*J33</f>
        <v>0.21699459375</v>
      </c>
      <c r="K34" s="11" t="n">
        <f aca="false">Declarations!$B$27*K33+Declarations!$C$27*L33+Declarations!$D$27*M33</f>
        <v>0.157649296875</v>
      </c>
      <c r="L34" s="11" t="n">
        <f aca="false">Declarations!$B$28*K33+Declarations!$C$28*L33+Declarations!$D$28*M33</f>
        <v>0.419793296875</v>
      </c>
      <c r="M34" s="11" t="n">
        <f aca="false">Declarations!$B$29*K33+Declarations!$C$29*L33+Declarations!$D$29*M33</f>
        <v>0.255953296875</v>
      </c>
      <c r="N34" s="11" t="n">
        <f aca="false">Declarations!$B$27*N33+Declarations!$C$27*O33+Declarations!$D$27*P33</f>
        <v>0</v>
      </c>
      <c r="O34" s="11" t="n">
        <f aca="false">Declarations!$B$28*N33+Declarations!$C$28*O33+Declarations!$D$28*P33</f>
        <v>0</v>
      </c>
      <c r="P34" s="11" t="n">
        <f aca="false">Declarations!$B$29*N33+Declarations!$C$29*O33+Declarations!$D$29*P33</f>
        <v>0.262144</v>
      </c>
      <c r="Q34" s="12" t="n">
        <f aca="false">MAX(ABS(H34)+ABS(I34)+ABS(J34),ABS(K34)+ABS(L34)+ABS(M34),ABS(N34)+ABS(O34)+ABS(P34))</f>
        <v>1.10973578125</v>
      </c>
      <c r="R34" s="12" t="n">
        <f aca="false">MAX(ABS(H34)+ABS(K34)+ABS(N34),ABS(I34)+ABS(L34)+ABS(O34),ABS(J34)+ABS(M34)+ABS(P34))</f>
        <v>0.735091890625</v>
      </c>
      <c r="S34" s="28" t="n">
        <f aca="false">ABS(R34-$B$13^A34)</f>
        <v>0</v>
      </c>
    </row>
    <row r="35" customFormat="false" ht="15" hidden="false" customHeight="true" outlineLevel="0" collapsed="false">
      <c r="A35" s="16" t="n">
        <v>7</v>
      </c>
      <c r="B35" s="11" t="n">
        <f aca="false">Declarations!$B$27*B34+Declarations!$C$27*C34+Declarations!$D$27*D34</f>
        <v>33.288124484375</v>
      </c>
      <c r="C35" s="11" t="n">
        <f aca="false">Declarations!$B$28*B34+Declarations!$C$28*C34+Declarations!$D$28*D34</f>
        <v>31.190972484375</v>
      </c>
      <c r="D35" s="11" t="n">
        <f aca="false">Declarations!$B$29*B34+Declarations!$C$29*C34+Declarations!$D$29*D34</f>
        <v>34.467772484375</v>
      </c>
      <c r="E35" s="11" t="n">
        <f aca="false">Declarations!$B$27*E34+Declarations!$C$27*F34+Declarations!$D$27*G34+Declarations!$E$27*U_held</f>
        <v>60.582279996875</v>
      </c>
      <c r="F35" s="11" t="n">
        <f aca="false">Declarations!$B$28*E34+Declarations!$C$28*F34+Declarations!$D$28*G34+Declarations!$E$28*U_held</f>
        <v>49.001710396875</v>
      </c>
      <c r="G35" s="11" t="n">
        <f aca="false">Declarations!$B$29*E34+Declarations!$C$29*F34+Declarations!$D$29*G34+Declarations!$E$29*U_held</f>
        <v>41.525243196875</v>
      </c>
      <c r="H35" s="11" t="n">
        <f aca="false">Declarations!$B$27*H34+Declarations!$C$27*I34+Declarations!$D$27*J34</f>
        <v>0.5354632640625</v>
      </c>
      <c r="I35" s="11" t="n">
        <f aca="false">Declarations!$B$28*H34+Declarations!$C$28*I34+Declarations!$D$28*J34</f>
        <v>0.3257480640625</v>
      </c>
      <c r="J35" s="11" t="n">
        <f aca="false">Declarations!$B$29*H34+Declarations!$C$29*I34+Declarations!$D$29*J34</f>
        <v>0.2339976640625</v>
      </c>
      <c r="K35" s="11" t="n">
        <f aca="false">Declarations!$B$27*K34+Declarations!$C$27*L34+Declarations!$D$27*M34</f>
        <v>0.16287403203125</v>
      </c>
      <c r="L35" s="11" t="n">
        <f aca="false">Declarations!$B$28*K34+Declarations!$C$28*L34+Declarations!$D$28*M34</f>
        <v>0.37258923203125</v>
      </c>
      <c r="M35" s="11" t="n">
        <f aca="false">Declarations!$B$29*K34+Declarations!$C$29*L34+Declarations!$D$29*M34</f>
        <v>0.25462443203125</v>
      </c>
      <c r="N35" s="11" t="n">
        <f aca="false">Declarations!$B$27*N34+Declarations!$C$27*O34+Declarations!$D$27*P34</f>
        <v>0</v>
      </c>
      <c r="O35" s="11" t="n">
        <f aca="false">Declarations!$B$28*N34+Declarations!$C$28*O34+Declarations!$D$28*P34</f>
        <v>0</v>
      </c>
      <c r="P35" s="11" t="n">
        <f aca="false">Declarations!$B$29*N34+Declarations!$C$29*O34+Declarations!$D$29*P34</f>
        <v>0.2097152</v>
      </c>
      <c r="Q35" s="12" t="n">
        <f aca="false">MAX(ABS(H35)+ABS(I35)+ABS(J35),ABS(K35)+ABS(L35)+ABS(M35),ABS(N35)+ABS(O35)+ABS(P35))</f>
        <v>1.0952089921875</v>
      </c>
      <c r="R35" s="12" t="n">
        <f aca="false">MAX(ABS(H35)+ABS(K35)+ABS(N35),ABS(I35)+ABS(L35)+ABS(O35),ABS(J35)+ABS(M35)+ABS(P35))</f>
        <v>0.69833729609375</v>
      </c>
      <c r="S35" s="28" t="n">
        <f aca="false">ABS(R35-$B$13^A35)</f>
        <v>0</v>
      </c>
    </row>
    <row r="36" customFormat="false" ht="15" hidden="false" customHeight="true" outlineLevel="0" collapsed="false">
      <c r="A36" s="16" t="n">
        <v>8</v>
      </c>
      <c r="B36" s="11" t="n">
        <f aca="false">Declarations!$B$27*B35+Declarations!$C$27*C35+Declarations!$D$27*D35</f>
        <v>31.5188606601563</v>
      </c>
      <c r="C36" s="11" t="n">
        <f aca="false">Declarations!$B$28*B35+Declarations!$C$28*C35+Declarations!$D$28*D35</f>
        <v>29.8411390601562</v>
      </c>
      <c r="D36" s="11" t="n">
        <f aca="false">Declarations!$B$29*B35+Declarations!$C$29*C35+Declarations!$D$29*D35</f>
        <v>32.3577214601563</v>
      </c>
      <c r="E36" s="11" t="n">
        <f aca="false">Declarations!$B$27*E35+Declarations!$C$27*F35+Declarations!$D$27*G35+Declarations!$E$27*U_held</f>
        <v>61.7741375170312</v>
      </c>
      <c r="F36" s="11" t="n">
        <f aca="false">Declarations!$B$28*E35+Declarations!$C$28*F35+Declarations!$D$28*G35+Declarations!$E$28*U_held</f>
        <v>50.1096818370312</v>
      </c>
      <c r="G36" s="11" t="n">
        <f aca="false">Declarations!$B$29*E35+Declarations!$C$29*F35+Declarations!$D$29*G35+Declarations!$E$29*U_held</f>
        <v>41.1494795970313</v>
      </c>
      <c r="H36" s="11" t="n">
        <f aca="false">Declarations!$B$27*H35+Declarations!$C$27*I35+Declarations!$D$27*J35</f>
        <v>0.498204340859375</v>
      </c>
      <c r="I36" s="11" t="n">
        <f aca="false">Declarations!$B$28*H35+Declarations!$C$28*I35+Declarations!$D$28*J35</f>
        <v>0.330432180859375</v>
      </c>
      <c r="J36" s="11" t="n">
        <f aca="false">Declarations!$B$29*H35+Declarations!$C$29*I35+Declarations!$D$29*J35</f>
        <v>0.246546100859375</v>
      </c>
      <c r="K36" s="11" t="n">
        <f aca="false">Declarations!$B$27*K35+Declarations!$C$27*L35+Declarations!$D$27*M35</f>
        <v>0.165216090429688</v>
      </c>
      <c r="L36" s="11" t="n">
        <f aca="false">Declarations!$B$28*K35+Declarations!$C$28*L35+Declarations!$D$28*M35</f>
        <v>0.332988250429688</v>
      </c>
      <c r="M36" s="11" t="n">
        <f aca="false">Declarations!$B$29*K35+Declarations!$C$29*L35+Declarations!$D$29*M35</f>
        <v>0.249102170429688</v>
      </c>
      <c r="N36" s="11" t="n">
        <f aca="false">Declarations!$B$27*N35+Declarations!$C$27*O35+Declarations!$D$27*P35</f>
        <v>0</v>
      </c>
      <c r="O36" s="11" t="n">
        <f aca="false">Declarations!$B$28*N35+Declarations!$C$28*O35+Declarations!$D$28*P35</f>
        <v>0</v>
      </c>
      <c r="P36" s="11" t="n">
        <f aca="false">Declarations!$B$29*N35+Declarations!$C$29*O35+Declarations!$D$29*P35</f>
        <v>0.16777216</v>
      </c>
      <c r="Q36" s="12" t="n">
        <f aca="false">MAX(ABS(H36)+ABS(I36)+ABS(J36),ABS(K36)+ABS(L36)+ABS(M36),ABS(N36)+ABS(O36)+ABS(P36))</f>
        <v>1.07518262257813</v>
      </c>
      <c r="R36" s="12" t="n">
        <f aca="false">MAX(ABS(H36)+ABS(K36)+ABS(N36),ABS(I36)+ABS(L36)+ABS(O36),ABS(J36)+ABS(M36)+ABS(P36))</f>
        <v>0.663420431289063</v>
      </c>
      <c r="S36" s="28" t="n">
        <f aca="false">ABS(R36-$B$13^A36)</f>
        <v>0</v>
      </c>
    </row>
    <row r="37" customFormat="false" ht="15" hidden="false" customHeight="true" outlineLevel="0" collapsed="false">
      <c r="A37" s="16" t="n">
        <v>9</v>
      </c>
      <c r="B37" s="11" t="n">
        <f aca="false">Declarations!$B$27*B36+Declarations!$C$27*C36+Declarations!$D$27*D36</f>
        <v>29.8590315471484</v>
      </c>
      <c r="C37" s="11" t="n">
        <f aca="false">Declarations!$B$28*B36+Declarations!$C$28*C36+Declarations!$D$28*D36</f>
        <v>28.5168542671484</v>
      </c>
      <c r="D37" s="11" t="n">
        <f aca="false">Declarations!$B$29*B36+Declarations!$C$29*C36+Declarations!$D$29*D36</f>
        <v>30.4462341071484</v>
      </c>
      <c r="E37" s="11" t="n">
        <f aca="false">Declarations!$B$27*E36+Declarations!$C$27*F36+Declarations!$D$27*G36+Declarations!$E$27*U_held</f>
        <v>62.9022078571797</v>
      </c>
      <c r="F37" s="11" t="n">
        <f aca="false">Declarations!$B$28*E36+Declarations!$C$28*F36+Declarations!$D$28*G36+Declarations!$E$28*U_held</f>
        <v>51.1706433131797</v>
      </c>
      <c r="G37" s="11" t="n">
        <f aca="false">Declarations!$B$29*E36+Declarations!$C$29*F36+Declarations!$D$29*G36+Declarations!$E$29*U_held</f>
        <v>41.0192587371797</v>
      </c>
      <c r="H37" s="11" t="n">
        <f aca="false">Declarations!$B$27*H36+Declarations!$C$27*I36+Declarations!$D$27*J36</f>
        <v>0.464905515816406</v>
      </c>
      <c r="I37" s="11" t="n">
        <f aca="false">Declarations!$B$28*H36+Declarations!$C$28*I36+Declarations!$D$28*J36</f>
        <v>0.330687787816406</v>
      </c>
      <c r="J37" s="11" t="n">
        <f aca="false">Declarations!$B$29*H36+Declarations!$C$29*I36+Declarations!$D$29*J36</f>
        <v>0.255190315816406</v>
      </c>
      <c r="K37" s="11" t="n">
        <f aca="false">Declarations!$B$27*K36+Declarations!$C$27*L36+Declarations!$D$27*M36</f>
        <v>0.165343893908203</v>
      </c>
      <c r="L37" s="11" t="n">
        <f aca="false">Declarations!$B$28*K36+Declarations!$C$28*L36+Declarations!$D$28*M36</f>
        <v>0.299561621908203</v>
      </c>
      <c r="M37" s="11" t="n">
        <f aca="false">Declarations!$B$29*K36+Declarations!$C$29*L36+Declarations!$D$29*M36</f>
        <v>0.240841365908203</v>
      </c>
      <c r="N37" s="11" t="n">
        <f aca="false">Declarations!$B$27*N36+Declarations!$C$27*O36+Declarations!$D$27*P36</f>
        <v>0</v>
      </c>
      <c r="O37" s="11" t="n">
        <f aca="false">Declarations!$B$28*N36+Declarations!$C$28*O36+Declarations!$D$28*P36</f>
        <v>0</v>
      </c>
      <c r="P37" s="11" t="n">
        <f aca="false">Declarations!$B$29*N36+Declarations!$C$29*O36+Declarations!$D$29*P36</f>
        <v>0.134217728</v>
      </c>
      <c r="Q37" s="12" t="n">
        <f aca="false">MAX(ABS(H37)+ABS(I37)+ABS(J37),ABS(K37)+ABS(L37)+ABS(M37),ABS(N37)+ABS(O37)+ABS(P37))</f>
        <v>1.05078361944922</v>
      </c>
      <c r="R37" s="12" t="n">
        <f aca="false">MAX(ABS(H37)+ABS(K37)+ABS(N37),ABS(I37)+ABS(L37)+ABS(O37),ABS(J37)+ABS(M37)+ABS(P37))</f>
        <v>0.63024940972461</v>
      </c>
      <c r="S37" s="28" t="n">
        <f aca="false">ABS(R37-$B$13^A37)</f>
        <v>0</v>
      </c>
    </row>
    <row r="38" customFormat="false" ht="15" hidden="false" customHeight="true" outlineLevel="0" collapsed="false">
      <c r="A38" s="16" t="n">
        <v>10</v>
      </c>
      <c r="B38" s="11" t="n">
        <f aca="false">Declarations!$B$27*B37+Declarations!$C$27*C37+Declarations!$D$27*D37</f>
        <v>28.298971105791</v>
      </c>
      <c r="C38" s="11" t="n">
        <f aca="false">Declarations!$B$28*B37+Declarations!$C$28*C37+Declarations!$D$28*D37</f>
        <v>27.225229281791</v>
      </c>
      <c r="D38" s="11" t="n">
        <f aca="false">Declarations!$B$29*B37+Declarations!$C$29*C37+Declarations!$D$29*D37</f>
        <v>28.701624289791</v>
      </c>
      <c r="E38" s="11" t="n">
        <f aca="false">Declarations!$B$27*E37+Declarations!$C$27*F37+Declarations!$D$27*G37+Declarations!$E$27*U_held</f>
        <v>63.9705192371207</v>
      </c>
      <c r="F38" s="11" t="n">
        <f aca="false">Declarations!$B$28*E37+Declarations!$C$28*F37+Declarations!$D$28*G37+Declarations!$E$28*U_held</f>
        <v>52.1852676019207</v>
      </c>
      <c r="G38" s="11" t="n">
        <f aca="false">Declarations!$B$29*E37+Declarations!$C$29*F37+Declarations!$D$29*G37+Declarations!$E$29*U_held</f>
        <v>41.0775817139207</v>
      </c>
      <c r="H38" s="11" t="n">
        <f aca="false">Declarations!$B$27*H37+Declarations!$C$27*I37+Declarations!$D$27*J37</f>
        <v>0.434949353625586</v>
      </c>
      <c r="I38" s="11" t="n">
        <f aca="false">Declarations!$B$28*H37+Declarations!$C$28*I37+Declarations!$D$28*J37</f>
        <v>0.327575171225586</v>
      </c>
      <c r="J38" s="11" t="n">
        <f aca="false">Declarations!$B$29*H37+Declarations!$C$29*I37+Declarations!$D$29*J37</f>
        <v>0.260466307225586</v>
      </c>
      <c r="K38" s="11" t="n">
        <f aca="false">Declarations!$B$27*K37+Declarations!$C$27*L37+Declarations!$D$27*M37</f>
        <v>0.163787585612793</v>
      </c>
      <c r="L38" s="11" t="n">
        <f aca="false">Declarations!$B$28*K37+Declarations!$C$28*L37+Declarations!$D$28*M37</f>
        <v>0.271161768012793</v>
      </c>
      <c r="M38" s="11" t="n">
        <f aca="false">Declarations!$B$29*K37+Declarations!$C$29*L37+Declarations!$D$29*M37</f>
        <v>0.230896449612793</v>
      </c>
      <c r="N38" s="11" t="n">
        <f aca="false">Declarations!$B$27*N37+Declarations!$C$27*O37+Declarations!$D$27*P37</f>
        <v>0</v>
      </c>
      <c r="O38" s="11" t="n">
        <f aca="false">Declarations!$B$28*N37+Declarations!$C$28*O37+Declarations!$D$28*P37</f>
        <v>0</v>
      </c>
      <c r="P38" s="11" t="n">
        <f aca="false">Declarations!$B$29*N37+Declarations!$C$29*O37+Declarations!$D$29*P37</f>
        <v>0.1073741824</v>
      </c>
      <c r="Q38" s="12" t="n">
        <f aca="false">MAX(ABS(H38)+ABS(I38)+ABS(J38),ABS(K38)+ABS(L38)+ABS(M38),ABS(N38)+ABS(O38)+ABS(P38))</f>
        <v>1.02299083207676</v>
      </c>
      <c r="R38" s="12" t="n">
        <f aca="false">MAX(ABS(H38)+ABS(K38)+ABS(N38),ABS(I38)+ABS(L38)+ABS(O38),ABS(J38)+ABS(M38)+ABS(P38))</f>
        <v>0.598736939238379</v>
      </c>
      <c r="S38" s="28" t="n">
        <f aca="false">ABS(R38-$B$13^A38)</f>
        <v>0</v>
      </c>
    </row>
    <row r="39" customFormat="false" ht="15" hidden="false" customHeight="true" outlineLevel="0" collapsed="false">
      <c r="A39" s="16" t="n">
        <v>11</v>
      </c>
      <c r="B39" s="11" t="n">
        <f aca="false">Declarations!$B$27*B38+Declarations!$C$27*C38+Declarations!$D$27*D38</f>
        <v>26.8303354593015</v>
      </c>
      <c r="C39" s="11" t="n">
        <f aca="false">Declarations!$B$28*B38+Declarations!$C$28*C38+Declarations!$D$28*D38</f>
        <v>25.9713420001015</v>
      </c>
      <c r="D39" s="11" t="n">
        <f aca="false">Declarations!$B$29*B38+Declarations!$C$29*C38+Declarations!$D$29*D38</f>
        <v>27.0987709153015</v>
      </c>
      <c r="E39" s="11" t="n">
        <f aca="false">Declarations!$B$27*E38+Declarations!$C$27*F38+Declarations!$D$27*G38+Declarations!$E$27*U_held</f>
        <v>64.9827306935047</v>
      </c>
      <c r="F39" s="11" t="n">
        <f aca="false">Declarations!$B$28*E38+Declarations!$C$28*F38+Declarations!$D$28*G38+Declarations!$E$28*U_held</f>
        <v>53.1545293853447</v>
      </c>
      <c r="G39" s="11" t="n">
        <f aca="false">Declarations!$B$29*E38+Declarations!$C$29*F38+Declarations!$D$29*G38+Declarations!$E$29*U_held</f>
        <v>41.2791180931847</v>
      </c>
      <c r="H39" s="11" t="n">
        <f aca="false">Declarations!$B$27*H38+Declarations!$C$27*I38+Declarations!$D$27*J38</f>
        <v>0.407833176824307</v>
      </c>
      <c r="I39" s="11" t="n">
        <f aca="false">Declarations!$B$28*H38+Declarations!$C$28*I38+Declarations!$D$28*J38</f>
        <v>0.321933830904307</v>
      </c>
      <c r="J39" s="11" t="n">
        <f aca="false">Declarations!$B$29*H38+Declarations!$C$29*I38+Declarations!$D$29*J38</f>
        <v>0.262878030584307</v>
      </c>
      <c r="K39" s="11" t="n">
        <f aca="false">Declarations!$B$27*K38+Declarations!$C$27*L38+Declarations!$D$27*M38</f>
        <v>0.160966915452153</v>
      </c>
      <c r="L39" s="11" t="n">
        <f aca="false">Declarations!$B$28*K38+Declarations!$C$28*L38+Declarations!$D$28*M38</f>
        <v>0.246866261372153</v>
      </c>
      <c r="M39" s="11" t="n">
        <f aca="false">Declarations!$B$29*K38+Declarations!$C$29*L38+Declarations!$D$29*M38</f>
        <v>0.220022715772153</v>
      </c>
      <c r="N39" s="11" t="n">
        <f aca="false">Declarations!$B$27*N38+Declarations!$C$27*O38+Declarations!$D$27*P38</f>
        <v>0</v>
      </c>
      <c r="O39" s="11" t="n">
        <f aca="false">Declarations!$B$28*N38+Declarations!$C$28*O38+Declarations!$D$28*P38</f>
        <v>0</v>
      </c>
      <c r="P39" s="11" t="n">
        <f aca="false">Declarations!$B$29*N38+Declarations!$C$29*O38+Declarations!$D$29*P38</f>
        <v>0.0858993459200001</v>
      </c>
      <c r="Q39" s="12" t="n">
        <f aca="false">MAX(ABS(H39)+ABS(I39)+ABS(J39),ABS(K39)+ABS(L39)+ABS(M39),ABS(N39)+ABS(O39)+ABS(P39))</f>
        <v>0.99264503831292</v>
      </c>
      <c r="R39" s="12" t="n">
        <f aca="false">MAX(ABS(H39)+ABS(K39)+ABS(N39),ABS(I39)+ABS(L39)+ABS(O39),ABS(J39)+ABS(M39)+ABS(P39))</f>
        <v>0.56880009227646</v>
      </c>
      <c r="S39" s="28" t="n">
        <f aca="false">ABS(R39-$B$13^A39)</f>
        <v>0</v>
      </c>
    </row>
    <row r="40" customFormat="false" ht="15" hidden="false" customHeight="true" outlineLevel="0" collapsed="false">
      <c r="A40" s="16" t="n">
        <v>12</v>
      </c>
      <c r="B40" s="11" t="n">
        <f aca="false">Declarations!$B$27*B39+Declarations!$C$27*C39+Declarations!$D$27*D39</f>
        <v>25.4458690133764</v>
      </c>
      <c r="C40" s="11" t="n">
        <f aca="false">Declarations!$B$28*B39+Declarations!$C$28*C39+Declarations!$D$28*D39</f>
        <v>24.7586742460164</v>
      </c>
      <c r="D40" s="11" t="n">
        <f aca="false">Declarations!$B$29*B39+Declarations!$C$29*C39+Declarations!$D$29*D39</f>
        <v>25.6176677052164</v>
      </c>
      <c r="E40" s="11" t="n">
        <f aca="false">Declarations!$B$27*E39+Declarations!$C$27*F39+Declarations!$D$27*G39+Declarations!$E$27*U_held</f>
        <v>65.9421840934214</v>
      </c>
      <c r="F40" s="11" t="n">
        <f aca="false">Declarations!$B$28*E39+Declarations!$C$28*F39+Declarations!$D$28*G39+Declarations!$E$28*U_held</f>
        <v>54.0796230468934</v>
      </c>
      <c r="G40" s="11" t="n">
        <f aca="false">Declarations!$B$29*E39+Declarations!$C$29*F39+Declarations!$D$29*G39+Declarations!$E$29*U_held</f>
        <v>41.5878839477574</v>
      </c>
      <c r="H40" s="11" t="n">
        <f aca="false">Declarations!$B$27*H39+Declarations!$C$27*I39+Declarations!$D$27*J39</f>
        <v>0.383146550687091</v>
      </c>
      <c r="I40" s="11" t="n">
        <f aca="false">Declarations!$B$28*H39+Declarations!$C$28*I39+Declarations!$D$28*J39</f>
        <v>0.314427073951091</v>
      </c>
      <c r="J40" s="11" t="n">
        <f aca="false">Declarations!$B$29*H39+Declarations!$C$29*I39+Declarations!$D$29*J39</f>
        <v>0.262887466399091</v>
      </c>
      <c r="K40" s="11" t="n">
        <f aca="false">Declarations!$B$27*K39+Declarations!$C$27*L39+Declarations!$D$27*M39</f>
        <v>0.157213536975546</v>
      </c>
      <c r="L40" s="11" t="n">
        <f aca="false">Declarations!$B$28*K39+Declarations!$C$28*L39+Declarations!$D$28*M39</f>
        <v>0.225933013711546</v>
      </c>
      <c r="M40" s="11" t="n">
        <f aca="false">Declarations!$B$29*K39+Declarations!$C$29*L39+Declarations!$D$29*M39</f>
        <v>0.208753144527546</v>
      </c>
      <c r="N40" s="11" t="n">
        <f aca="false">Declarations!$B$27*N39+Declarations!$C$27*O39+Declarations!$D$27*P39</f>
        <v>0</v>
      </c>
      <c r="O40" s="11" t="n">
        <f aca="false">Declarations!$B$28*N39+Declarations!$C$28*O39+Declarations!$D$28*P39</f>
        <v>0</v>
      </c>
      <c r="P40" s="11" t="n">
        <f aca="false">Declarations!$B$29*N39+Declarations!$C$29*O39+Declarations!$D$29*P39</f>
        <v>0.068719476736</v>
      </c>
      <c r="Q40" s="12" t="n">
        <f aca="false">MAX(ABS(H40)+ABS(I40)+ABS(J40),ABS(K40)+ABS(L40)+ABS(M40),ABS(N40)+ABS(O40)+ABS(P40))</f>
        <v>0.960461091037274</v>
      </c>
      <c r="R40" s="12" t="n">
        <f aca="false">MAX(ABS(H40)+ABS(K40)+ABS(N40),ABS(I40)+ABS(L40)+ABS(O40),ABS(J40)+ABS(M40)+ABS(P40))</f>
        <v>0.540360087662637</v>
      </c>
      <c r="S40" s="28" t="n">
        <f aca="false">ABS(R40-$B$13^A40)</f>
        <v>0</v>
      </c>
    </row>
    <row r="41" customFormat="false" ht="15" hidden="false" customHeight="true" outlineLevel="0" collapsed="false">
      <c r="A41" s="16" t="n">
        <v>13</v>
      </c>
      <c r="B41" s="11" t="n">
        <f aca="false">Declarations!$B$27*B40+Declarations!$C$27*C40+Declarations!$D$27*D40</f>
        <v>24.1392158243396</v>
      </c>
      <c r="C41" s="11" t="n">
        <f aca="false">Declarations!$B$28*B40+Declarations!$C$28*C40+Declarations!$D$28*D40</f>
        <v>23.5894600104516</v>
      </c>
      <c r="D41" s="11" t="n">
        <f aca="false">Declarations!$B$29*B40+Declarations!$C$29*C40+Declarations!$D$29*D40</f>
        <v>24.2422950394436</v>
      </c>
      <c r="E41" s="11" t="n">
        <f aca="false">Declarations!$B$27*E40+Declarations!$C$27*F40+Declarations!$D$27*G40+Declarations!$E$27*U_held</f>
        <v>66.851946836424</v>
      </c>
      <c r="F41" s="11" t="n">
        <f aca="false">Declarations!$B$28*E40+Declarations!$C$28*F40+Declarations!$D$28*G40+Declarations!$E$28*U_held</f>
        <v>54.9618979992015</v>
      </c>
      <c r="G41" s="11" t="n">
        <f aca="false">Declarations!$B$29*E40+Declarations!$C$29*F40+Declarations!$D$29*G40+Declarations!$E$29*U_held</f>
        <v>41.9753786675664</v>
      </c>
      <c r="H41" s="11" t="n">
        <f aca="false">Declarations!$B$27*H40+Declarations!$C$27*I40+Declarations!$D$27*J40</f>
        <v>0.360553249315937</v>
      </c>
      <c r="I41" s="11" t="n">
        <f aca="false">Declarations!$B$28*H40+Declarations!$C$28*I40+Declarations!$D$28*J40</f>
        <v>0.305577667927137</v>
      </c>
      <c r="J41" s="11" t="n">
        <f aca="false">Declarations!$B$29*H40+Declarations!$C$29*I40+Declarations!$D$29*J40</f>
        <v>0.260910008048737</v>
      </c>
      <c r="K41" s="11" t="n">
        <f aca="false">Declarations!$B$27*K40+Declarations!$C$27*L40+Declarations!$D$27*M40</f>
        <v>0.152788833963568</v>
      </c>
      <c r="L41" s="11" t="n">
        <f aca="false">Declarations!$B$28*K40+Declarations!$C$28*L40+Declarations!$D$28*M40</f>
        <v>0.207764415352368</v>
      </c>
      <c r="M41" s="11" t="n">
        <f aca="false">Declarations!$B$29*K40+Declarations!$C$29*L40+Declarations!$D$29*M40</f>
        <v>0.197456493841968</v>
      </c>
      <c r="N41" s="11" t="n">
        <f aca="false">Declarations!$B$27*N40+Declarations!$C$27*O40+Declarations!$D$27*P40</f>
        <v>0</v>
      </c>
      <c r="O41" s="11" t="n">
        <f aca="false">Declarations!$B$28*N40+Declarations!$C$28*O40+Declarations!$D$28*P40</f>
        <v>0</v>
      </c>
      <c r="P41" s="11" t="n">
        <f aca="false">Declarations!$B$29*N40+Declarations!$C$29*O40+Declarations!$D$29*P40</f>
        <v>0.0549755813888</v>
      </c>
      <c r="Q41" s="12" t="n">
        <f aca="false">MAX(ABS(H41)+ABS(I41)+ABS(J41),ABS(K41)+ABS(L41)+ABS(M41),ABS(N41)+ABS(O41)+ABS(P41))</f>
        <v>0.927040925291811</v>
      </c>
      <c r="R41" s="12" t="n">
        <f aca="false">MAX(ABS(H41)+ABS(K41)+ABS(N41),ABS(I41)+ABS(L41)+ABS(O41),ABS(J41)+ABS(M41)+ABS(P41))</f>
        <v>0.513342083279505</v>
      </c>
      <c r="S41" s="28" t="n">
        <f aca="false">ABS(R41-$B$13^A41)</f>
        <v>0</v>
      </c>
    </row>
    <row r="42" customFormat="false" ht="15" hidden="false" customHeight="true" outlineLevel="0" collapsed="false">
      <c r="A42" s="16" t="n">
        <v>14</v>
      </c>
      <c r="B42" s="11" t="n">
        <f aca="false">Declarations!$B$27*B41+Declarations!$C$27*C41+Declarations!$D$27*D41</f>
        <v>22.9047672424282</v>
      </c>
      <c r="C42" s="11" t="n">
        <f aca="false">Declarations!$B$28*B41+Declarations!$C$28*C41+Declarations!$D$28*D41</f>
        <v>22.4649625913178</v>
      </c>
      <c r="D42" s="11" t="n">
        <f aca="false">Declarations!$B$29*B41+Declarations!$C$29*C41+Declarations!$D$29*D41</f>
        <v>22.959742823817</v>
      </c>
      <c r="E42" s="11" t="n">
        <f aca="false">Declarations!$B$27*E41+Declarations!$C$27*F41+Declarations!$D$27*G41+Declarations!$E$27*U_held</f>
        <v>67.7148470527416</v>
      </c>
      <c r="F42" s="11" t="n">
        <f aca="false">Declarations!$B$28*E41+Declarations!$C$28*F41+Declarations!$D$28*G41+Declarations!$E$28*U_held</f>
        <v>55.8028079829637</v>
      </c>
      <c r="G42" s="11" t="n">
        <f aca="false">Declarations!$B$29*E41+Declarations!$C$29*F41+Declarations!$D$29*G41+Declarations!$E$29*U_held</f>
        <v>42.4190900757944</v>
      </c>
      <c r="H42" s="11" t="n">
        <f aca="false">Declarations!$B$27*H41+Declarations!$C$27*I41+Declarations!$D$27*J41</f>
        <v>0.3397768077807</v>
      </c>
      <c r="I42" s="11" t="n">
        <f aca="false">Declarations!$B$28*H41+Declarations!$C$28*I41+Declarations!$D$28*J41</f>
        <v>0.29579634266966</v>
      </c>
      <c r="J42" s="11" t="n">
        <f aca="false">Declarations!$B$29*H41+Declarations!$C$29*I41+Declarations!$D$29*J41</f>
        <v>0.2573134356975</v>
      </c>
      <c r="K42" s="11" t="n">
        <f aca="false">Declarations!$B$27*K41+Declarations!$C$27*L41+Declarations!$D$27*M41</f>
        <v>0.14789817133483</v>
      </c>
      <c r="L42" s="11" t="n">
        <f aca="false">Declarations!$B$28*K41+Declarations!$C$28*L41+Declarations!$D$28*M41</f>
        <v>0.19187863644587</v>
      </c>
      <c r="M42" s="11" t="n">
        <f aca="false">Declarations!$B$29*K41+Declarations!$C$29*L41+Declarations!$D$29*M41</f>
        <v>0.18638107830699</v>
      </c>
      <c r="N42" s="11" t="n">
        <f aca="false">Declarations!$B$27*N41+Declarations!$C$27*O41+Declarations!$D$27*P41</f>
        <v>0</v>
      </c>
      <c r="O42" s="11" t="n">
        <f aca="false">Declarations!$B$28*N41+Declarations!$C$28*O41+Declarations!$D$28*P41</f>
        <v>0</v>
      </c>
      <c r="P42" s="11" t="n">
        <f aca="false">Declarations!$B$29*N41+Declarations!$C$29*O41+Declarations!$D$29*P41</f>
        <v>0.04398046511104</v>
      </c>
      <c r="Q42" s="12" t="n">
        <f aca="false">MAX(ABS(H42)+ABS(I42)+ABS(J42),ABS(K42)+ABS(L42)+ABS(M42),ABS(N42)+ABS(O42)+ABS(P42))</f>
        <v>0.89288658614786</v>
      </c>
      <c r="R42" s="12" t="n">
        <f aca="false">MAX(ABS(H42)+ABS(K42)+ABS(N42),ABS(I42)+ABS(L42)+ABS(O42),ABS(J42)+ABS(M42)+ABS(P42))</f>
        <v>0.48767497911553</v>
      </c>
      <c r="S42" s="28" t="n">
        <f aca="false">ABS(R42-$B$13^A42)</f>
        <v>0</v>
      </c>
    </row>
    <row r="43" customFormat="false" ht="15" hidden="false" customHeight="true" outlineLevel="0" collapsed="false">
      <c r="A43" s="16" t="n">
        <v>15</v>
      </c>
      <c r="B43" s="11" t="n">
        <f aca="false">Declarations!$B$27*B42+Declarations!$C$27*C42+Declarations!$D$27*D42</f>
        <v>21.7375386477513</v>
      </c>
      <c r="C43" s="11" t="n">
        <f aca="false">Declarations!$B$28*B42+Declarations!$C$28*C42+Declarations!$D$28*D42</f>
        <v>21.3856949268629</v>
      </c>
      <c r="D43" s="11" t="n">
        <f aca="false">Declarations!$B$29*B42+Declarations!$C$29*C42+Declarations!$D$29*D42</f>
        <v>21.7595288803068</v>
      </c>
      <c r="E43" s="11" t="n">
        <f aca="false">Declarations!$B$27*E42+Declarations!$C$27*F42+Declarations!$D$27*G42+Declarations!$E$27*U_held</f>
        <v>68.5335027466157</v>
      </c>
      <c r="F43" s="11" t="n">
        <f aca="false">Declarations!$B$28*E42+Declarations!$C$28*F42+Declarations!$D$28*G42+Declarations!$E$28*U_held</f>
        <v>56.6038714907933</v>
      </c>
      <c r="G43" s="11" t="n">
        <f aca="false">Declarations!$B$29*E42+Declarations!$C$29*F42+Declarations!$D$29*G42+Declarations!$E$29*U_held</f>
        <v>42.901295211569</v>
      </c>
      <c r="H43" s="11" t="n">
        <f aca="false">Declarations!$B$27*H42+Declarations!$C$27*I42+Declarations!$D$27*J42</f>
        <v>0.320588944136113</v>
      </c>
      <c r="I43" s="11" t="n">
        <f aca="false">Declarations!$B$28*H42+Declarations!$C$28*I42+Declarations!$D$28*J42</f>
        <v>0.285404572047281</v>
      </c>
      <c r="J43" s="11" t="n">
        <f aca="false">Declarations!$B$29*H42+Declarations!$C$29*I42+Declarations!$D$29*J42</f>
        <v>0.252419223214001</v>
      </c>
      <c r="K43" s="11" t="n">
        <f aca="false">Declarations!$B$27*K42+Declarations!$C$27*L42+Declarations!$D$27*M42</f>
        <v>0.142702286023641</v>
      </c>
      <c r="L43" s="11" t="n">
        <f aca="false">Declarations!$B$28*K42+Declarations!$C$28*L42+Declarations!$D$28*M42</f>
        <v>0.177886658112472</v>
      </c>
      <c r="M43" s="11" t="n">
        <f aca="false">Declarations!$B$29*K42+Declarations!$C$29*L42+Declarations!$D$29*M42</f>
        <v>0.175687634856921</v>
      </c>
      <c r="N43" s="11" t="n">
        <f aca="false">Declarations!$B$27*N42+Declarations!$C$27*O42+Declarations!$D$27*P42</f>
        <v>0</v>
      </c>
      <c r="O43" s="11" t="n">
        <f aca="false">Declarations!$B$28*N42+Declarations!$C$28*O42+Declarations!$D$28*P42</f>
        <v>0</v>
      </c>
      <c r="P43" s="11" t="n">
        <f aca="false">Declarations!$B$29*N42+Declarations!$C$29*O42+Declarations!$D$29*P42</f>
        <v>0.035184372088832</v>
      </c>
      <c r="Q43" s="12" t="n">
        <f aca="false">MAX(ABS(H43)+ABS(I43)+ABS(J43),ABS(K43)+ABS(L43)+ABS(M43),ABS(N43)+ABS(O43)+ABS(P43))</f>
        <v>0.858412739397395</v>
      </c>
      <c r="R43" s="12" t="n">
        <f aca="false">MAX(ABS(H43)+ABS(K43)+ABS(N43),ABS(I43)+ABS(L43)+ABS(O43),ABS(J43)+ABS(M43)+ABS(P43))</f>
        <v>0.463291230159754</v>
      </c>
      <c r="S43" s="28" t="n">
        <f aca="false">ABS(R43-$B$13^A43)</f>
        <v>0</v>
      </c>
    </row>
    <row r="44" customFormat="false" ht="15" hidden="false" customHeight="true" outlineLevel="0" collapsed="false">
      <c r="A44" s="16" t="n">
        <v>16</v>
      </c>
      <c r="B44" s="11" t="n">
        <f aca="false">Declarations!$B$27*B43+Declarations!$C$27*C43+Declarations!$D$27*D43</f>
        <v>20.6330695293193</v>
      </c>
      <c r="C44" s="11" t="n">
        <f aca="false">Declarations!$B$28*B43+Declarations!$C$28*C43+Declarations!$D$28*D43</f>
        <v>20.3515945526086</v>
      </c>
      <c r="D44" s="11" t="n">
        <f aca="false">Declarations!$B$29*B43+Declarations!$C$29*C43+Declarations!$D$29*D43</f>
        <v>20.6330695293193</v>
      </c>
      <c r="E44" s="11" t="n">
        <f aca="false">Declarations!$B$27*E43+Declarations!$C$27*F43+Declarations!$D$27*G43+Declarations!$E$27*U_held</f>
        <v>69.3103460464938</v>
      </c>
      <c r="F44" s="11" t="n">
        <f aca="false">Declarations!$B$28*E43+Declarations!$C$28*F43+Declarations!$D$28*G43+Declarations!$E$28*U_held</f>
        <v>57.3666410418359</v>
      </c>
      <c r="G44" s="11" t="n">
        <f aca="false">Declarations!$B$29*E43+Declarations!$C$29*F43+Declarations!$D$29*G43+Declarations!$E$29*U_held</f>
        <v>43.4080984556653</v>
      </c>
      <c r="H44" s="11" t="n">
        <f aca="false">Declarations!$B$27*H43+Declarations!$C$27*I43+Declarations!$D$27*J43</f>
        <v>0.302800278324866</v>
      </c>
      <c r="I44" s="11" t="n">
        <f aca="false">Declarations!$B$28*H43+Declarations!$C$28*I43+Declarations!$D$28*J43</f>
        <v>0.2746527806538</v>
      </c>
      <c r="J44" s="11" t="n">
        <f aca="false">Declarations!$B$29*H43+Declarations!$C$29*I43+Declarations!$D$29*J43</f>
        <v>0.246505282982735</v>
      </c>
      <c r="K44" s="11" t="n">
        <f aca="false">Declarations!$B$27*K43+Declarations!$C$27*L43+Declarations!$D$27*M43</f>
        <v>0.1373263903269</v>
      </c>
      <c r="L44" s="11" t="n">
        <f aca="false">Declarations!$B$28*K43+Declarations!$C$28*L43+Declarations!$D$28*M43</f>
        <v>0.165473887997966</v>
      </c>
      <c r="M44" s="11" t="n">
        <f aca="false">Declarations!$B$29*K43+Declarations!$C$29*L43+Declarations!$D$29*M43</f>
        <v>0.165473887997966</v>
      </c>
      <c r="N44" s="11" t="n">
        <f aca="false">Declarations!$B$27*N43+Declarations!$C$27*O43+Declarations!$D$27*P43</f>
        <v>0</v>
      </c>
      <c r="O44" s="11" t="n">
        <f aca="false">Declarations!$B$28*N43+Declarations!$C$28*O43+Declarations!$D$28*P43</f>
        <v>0</v>
      </c>
      <c r="P44" s="11" t="n">
        <f aca="false">Declarations!$B$29*N43+Declarations!$C$29*O43+Declarations!$D$29*P43</f>
        <v>0.0281474976710656</v>
      </c>
      <c r="Q44" s="12" t="n">
        <f aca="false">MAX(ABS(H44)+ABS(I44)+ABS(J44),ABS(K44)+ABS(L44)+ABS(M44),ABS(N44)+ABS(O44)+ABS(P44))</f>
        <v>0.8239583419614</v>
      </c>
      <c r="R44" s="12" t="n">
        <f aca="false">MAX(ABS(H44)+ABS(K44)+ABS(N44),ABS(I44)+ABS(L44)+ABS(O44),ABS(J44)+ABS(M44)+ABS(P44))</f>
        <v>0.440126668651766</v>
      </c>
      <c r="S44" s="28" t="n">
        <f aca="false">ABS(R44-$B$13^A44)</f>
        <v>0</v>
      </c>
    </row>
    <row r="45" customFormat="false" ht="15" hidden="false" customHeight="true" outlineLevel="0" collapsed="false">
      <c r="A45" s="16" t="n">
        <v>17</v>
      </c>
      <c r="B45" s="11" t="n">
        <f aca="false">Declarations!$B$27*B44+Declarations!$C$27*C44+Declarations!$D$27*D44</f>
        <v>19.5873423040178</v>
      </c>
      <c r="C45" s="11" t="n">
        <f aca="false">Declarations!$B$28*B44+Declarations!$C$28*C44+Declarations!$D$28*D44</f>
        <v>19.3621623226493</v>
      </c>
      <c r="D45" s="11" t="n">
        <f aca="false">Declarations!$B$29*B44+Declarations!$C$29*C44+Declarations!$D$29*D44</f>
        <v>19.5732685551823</v>
      </c>
      <c r="E45" s="11" t="n">
        <f aca="false">Declarations!$B$27*E44+Declarations!$C$27*F44+Declarations!$D$27*G44+Declarations!$E$27*U_held</f>
        <v>70.0476434939362</v>
      </c>
      <c r="F45" s="11" t="n">
        <f aca="false">Declarations!$B$28*E44+Declarations!$C$28*F44+Declarations!$D$28*G44+Declarations!$E$28*U_held</f>
        <v>58.0926794902099</v>
      </c>
      <c r="G45" s="11" t="n">
        <f aca="false">Declarations!$B$29*E44+Declarations!$C$29*F44+Declarations!$D$29*G44+Declarations!$E$29*U_held</f>
        <v>43.9286601710405</v>
      </c>
      <c r="H45" s="11" t="n">
        <f aca="false">Declarations!$B$27*H44+Declarations!$C$27*I44+Declarations!$D$27*J44</f>
        <v>0.286252889525069</v>
      </c>
      <c r="I45" s="11" t="n">
        <f aca="false">Declarations!$B$28*H44+Declarations!$C$28*I44+Declarations!$D$28*J44</f>
        <v>0.263734891388217</v>
      </c>
      <c r="J45" s="11" t="n">
        <f aca="false">Declarations!$B$29*H44+Declarations!$C$29*I44+Declarations!$D$29*J44</f>
        <v>0.239809518367811</v>
      </c>
      <c r="K45" s="11" t="n">
        <f aca="false">Declarations!$B$27*K44+Declarations!$C$27*L44+Declarations!$D$27*M44</f>
        <v>0.131867445694108</v>
      </c>
      <c r="L45" s="11" t="n">
        <f aca="false">Declarations!$B$28*K44+Declarations!$C$28*L44+Declarations!$D$28*M44</f>
        <v>0.154385443830961</v>
      </c>
      <c r="M45" s="11" t="n">
        <f aca="false">Declarations!$B$29*K44+Declarations!$C$29*L44+Declarations!$D$29*M44</f>
        <v>0.155792818714514</v>
      </c>
      <c r="N45" s="11" t="n">
        <f aca="false">Declarations!$B$27*N44+Declarations!$C$27*O44+Declarations!$D$27*P44</f>
        <v>0</v>
      </c>
      <c r="O45" s="11" t="n">
        <f aca="false">Declarations!$B$28*N44+Declarations!$C$28*O44+Declarations!$D$28*P44</f>
        <v>0</v>
      </c>
      <c r="P45" s="11" t="n">
        <f aca="false">Declarations!$B$29*N44+Declarations!$C$29*O44+Declarations!$D$29*P44</f>
        <v>0.0225179981368525</v>
      </c>
      <c r="Q45" s="12" t="n">
        <f aca="false">MAX(ABS(H45)+ABS(I45)+ABS(J45),ABS(K45)+ABS(L45)+ABS(M45),ABS(N45)+ABS(O45)+ABS(P45))</f>
        <v>0.789797299281097</v>
      </c>
      <c r="R45" s="12" t="n">
        <f aca="false">MAX(ABS(H45)+ABS(K45)+ABS(N45),ABS(I45)+ABS(L45)+ABS(O45),ABS(J45)+ABS(M45)+ABS(P45))</f>
        <v>0.418120335219178</v>
      </c>
      <c r="S45" s="28" t="n">
        <f aca="false">ABS(R45-$B$13^A45)</f>
        <v>0</v>
      </c>
    </row>
    <row r="46" customFormat="false" ht="15" hidden="false" customHeight="true" outlineLevel="0" collapsed="false">
      <c r="A46" s="16" t="n">
        <v>18</v>
      </c>
      <c r="B46" s="11" t="n">
        <f aca="false">Declarations!$B$27*B45+Declarations!$C$27*C45+Declarations!$D$27*D45</f>
        <v>18.5967161897485</v>
      </c>
      <c r="C46" s="11" t="n">
        <f aca="false">Declarations!$B$28*B45+Declarations!$C$28*C45+Declarations!$D$28*D45</f>
        <v>18.4165722046536</v>
      </c>
      <c r="D46" s="11" t="n">
        <f aca="false">Declarations!$B$29*B45+Declarations!$C$29*C45+Declarations!$D$29*D45</f>
        <v>18.5741981916116</v>
      </c>
      <c r="E46" s="11" t="n">
        <f aca="false">Declarations!$B$27*E45+Declarations!$C$27*F45+Declarations!$D$27*G45+Declarations!$E$27*U_held</f>
        <v>70.747513119053</v>
      </c>
      <c r="F46" s="11" t="n">
        <f aca="false">Declarations!$B$28*E45+Declarations!$C$28*F45+Declarations!$D$28*G45+Declarations!$E$28*U_held</f>
        <v>58.783541916072</v>
      </c>
      <c r="G46" s="11" t="n">
        <f aca="false">Declarations!$B$29*E45+Declarations!$C$29*F45+Declarations!$D$29*G45+Declarations!$E$29*U_held</f>
        <v>44.4545782605502</v>
      </c>
      <c r="H46" s="11" t="n">
        <f aca="false">Declarations!$B$27*H45+Declarations!$C$27*I45+Declarations!$D$27*J45</f>
        <v>0.270814345141973</v>
      </c>
      <c r="I46" s="11" t="n">
        <f aca="false">Declarations!$B$28*H45+Declarations!$C$28*I45+Declarations!$D$28*J45</f>
        <v>0.252799946632491</v>
      </c>
      <c r="J46" s="11" t="n">
        <f aca="false">Declarations!$B$29*H45+Declarations!$C$29*I45+Declarations!$D$29*J45</f>
        <v>0.232533748309324</v>
      </c>
      <c r="K46" s="11" t="n">
        <f aca="false">Declarations!$B$27*K45+Declarations!$C$27*L45+Declarations!$D$27*M45</f>
        <v>0.126399973316246</v>
      </c>
      <c r="L46" s="11" t="n">
        <f aca="false">Declarations!$B$28*K45+Declarations!$C$28*L45+Declarations!$D$28*M45</f>
        <v>0.144414371825728</v>
      </c>
      <c r="M46" s="11" t="n">
        <f aca="false">Declarations!$B$29*K45+Declarations!$C$29*L45+Declarations!$D$29*M45</f>
        <v>0.146666171639413</v>
      </c>
      <c r="N46" s="11" t="n">
        <f aca="false">Declarations!$B$27*N45+Declarations!$C$27*O45+Declarations!$D$27*P45</f>
        <v>0</v>
      </c>
      <c r="O46" s="11" t="n">
        <f aca="false">Declarations!$B$28*N45+Declarations!$C$28*O45+Declarations!$D$28*P45</f>
        <v>0</v>
      </c>
      <c r="P46" s="11" t="n">
        <f aca="false">Declarations!$B$29*N45+Declarations!$C$29*O45+Declarations!$D$29*P45</f>
        <v>0.018014398509482</v>
      </c>
      <c r="Q46" s="12" t="n">
        <f aca="false">MAX(ABS(H46)+ABS(I46)+ABS(J46),ABS(K46)+ABS(L46)+ABS(M46),ABS(N46)+ABS(O46)+ABS(P46))</f>
        <v>0.756148040083788</v>
      </c>
      <c r="R46" s="12" t="n">
        <f aca="false">MAX(ABS(H46)+ABS(K46)+ABS(N46),ABS(I46)+ABS(L46)+ABS(O46),ABS(J46)+ABS(M46)+ABS(P46))</f>
        <v>0.397214318458219</v>
      </c>
      <c r="S46" s="28" t="n">
        <f aca="false">ABS(R46-$B$13^A46)</f>
        <v>0</v>
      </c>
    </row>
    <row r="47" customFormat="false" ht="15" hidden="false" customHeight="true" outlineLevel="0" collapsed="false">
      <c r="A47" s="16" t="n">
        <v>19</v>
      </c>
      <c r="B47" s="11" t="n">
        <f aca="false">Declarations!$B$27*B46+Declarations!$C$27*C46+Declarations!$D$27*D46</f>
        <v>17.6578731810063</v>
      </c>
      <c r="C47" s="11" t="n">
        <f aca="false">Declarations!$B$28*B46+Declarations!$C$28*C46+Declarations!$D$28*D46</f>
        <v>17.5137579929304</v>
      </c>
      <c r="D47" s="11" t="n">
        <f aca="false">Declarations!$B$29*B46+Declarations!$C$29*C46+Declarations!$D$29*D46</f>
        <v>17.6308515832421</v>
      </c>
      <c r="E47" s="11" t="n">
        <f aca="false">Declarations!$B$27*E46+Declarations!$C$27*F46+Declarations!$D$27*G46+Declarations!$E$27*U_held</f>
        <v>71.4119389029513</v>
      </c>
      <c r="F47" s="11" t="n">
        <f aca="false">Declarations!$B$28*E46+Declarations!$C$28*F46+Declarations!$D$28*G46+Declarations!$E$28*U_held</f>
        <v>59.4407619405665</v>
      </c>
      <c r="G47" s="11" t="n">
        <f aca="false">Declarations!$B$29*E46+Declarations!$C$29*F46+Declarations!$D$29*G46+Declarations!$E$29*U_held</f>
        <v>44.979392456</v>
      </c>
      <c r="H47" s="11" t="n">
        <f aca="false">Declarations!$B$27*H46+Declarations!$C$27*I46+Declarations!$D$27*J46</f>
        <v>0.2563729079594</v>
      </c>
      <c r="I47" s="11" t="n">
        <f aca="false">Declarations!$B$28*H46+Declarations!$C$28*I46+Declarations!$D$28*J46</f>
        <v>0.241961389151815</v>
      </c>
      <c r="J47" s="11" t="n">
        <f aca="false">Declarations!$B$29*H46+Declarations!$C$29*I46+Declarations!$D$29*J46</f>
        <v>0.224847710567807</v>
      </c>
      <c r="K47" s="11" t="n">
        <f aca="false">Declarations!$B$27*K46+Declarations!$C$27*L46+Declarations!$D$27*M46</f>
        <v>0.120980694575907</v>
      </c>
      <c r="L47" s="11" t="n">
        <f aca="false">Declarations!$B$28*K46+Declarations!$C$28*L46+Declarations!$D$28*M46</f>
        <v>0.135392213383493</v>
      </c>
      <c r="M47" s="11" t="n">
        <f aca="false">Declarations!$B$29*K46+Declarations!$C$29*L46+Declarations!$D$29*M46</f>
        <v>0.138094373159915</v>
      </c>
      <c r="N47" s="11" t="n">
        <f aca="false">Declarations!$B$27*N46+Declarations!$C$27*O46+Declarations!$D$27*P46</f>
        <v>0</v>
      </c>
      <c r="O47" s="11" t="n">
        <f aca="false">Declarations!$B$28*N46+Declarations!$C$28*O46+Declarations!$D$28*P46</f>
        <v>0</v>
      </c>
      <c r="P47" s="11" t="n">
        <f aca="false">Declarations!$B$29*N46+Declarations!$C$29*O46+Declarations!$D$29*P46</f>
        <v>0.0144115188075856</v>
      </c>
      <c r="Q47" s="12" t="n">
        <f aca="false">MAX(ABS(H47)+ABS(I47)+ABS(J47),ABS(K47)+ABS(L47)+ABS(M47),ABS(N47)+ABS(O47)+ABS(P47))</f>
        <v>0.723182007679022</v>
      </c>
      <c r="R47" s="12" t="n">
        <f aca="false">MAX(ABS(H47)+ABS(K47)+ABS(N47),ABS(I47)+ABS(L47)+ABS(O47),ABS(J47)+ABS(M47)+ABS(P47))</f>
        <v>0.377353602535308</v>
      </c>
      <c r="S47" s="28" t="n">
        <f aca="false">ABS(R47-$B$13^A47)</f>
        <v>0</v>
      </c>
    </row>
    <row r="48" customFormat="false" ht="15" hidden="false" customHeight="true" outlineLevel="0" collapsed="false">
      <c r="A48" s="16" t="n">
        <v>20</v>
      </c>
      <c r="B48" s="11" t="n">
        <f aca="false">Declarations!$B$27*B47+Declarations!$C$27*C47+Declarations!$D$27*D47</f>
        <v>16.7677737625522</v>
      </c>
      <c r="C48" s="11" t="n">
        <f aca="false">Declarations!$B$28*B47+Declarations!$C$28*C47+Declarations!$D$28*D47</f>
        <v>16.6524816120915</v>
      </c>
      <c r="D48" s="11" t="n">
        <f aca="false">Declarations!$B$29*B47+Declarations!$C$29*C47+Declarations!$D$29*D47</f>
        <v>16.738950724937</v>
      </c>
      <c r="E48" s="11" t="n">
        <f aca="false">Declarations!$B$27*E47+Declarations!$C$27*F47+Declarations!$D$27*G47+Declarations!$E$27*U_held</f>
        <v>72.0427831096845</v>
      </c>
      <c r="F48" s="11" t="n">
        <f aca="false">Declarations!$B$28*E47+Declarations!$C$28*F47+Declarations!$D$28*G47+Declarations!$E$28*U_held</f>
        <v>60.0658415397767</v>
      </c>
      <c r="G48" s="11" t="n">
        <f aca="false">Declarations!$B$29*E47+Declarations!$C$29*F47+Declarations!$D$29*G47+Declarations!$E$29*U_held</f>
        <v>45.4981871040042</v>
      </c>
      <c r="H48" s="11" t="n">
        <f aca="false">Declarations!$B$27*H47+Declarations!$C$27*I47+Declarations!$D$27*J47</f>
        <v>0.242833686621051</v>
      </c>
      <c r="I48" s="11" t="n">
        <f aca="false">Declarations!$B$28*H47+Declarations!$C$28*I47+Declarations!$D$28*J47</f>
        <v>0.231304471574983</v>
      </c>
      <c r="J48" s="11" t="n">
        <f aca="false">Declarations!$B$29*H47+Declarations!$C$29*I47+Declarations!$D$29*J47</f>
        <v>0.216892952767397</v>
      </c>
      <c r="K48" s="11" t="n">
        <f aca="false">Declarations!$B$27*K47+Declarations!$C$27*L47+Declarations!$D$27*M47</f>
        <v>0.115652235787491</v>
      </c>
      <c r="L48" s="11" t="n">
        <f aca="false">Declarations!$B$28*K47+Declarations!$C$28*L47+Declarations!$D$28*M47</f>
        <v>0.12718145083356</v>
      </c>
      <c r="M48" s="11" t="n">
        <f aca="false">Declarations!$B$29*K47+Declarations!$C$29*L47+Declarations!$D$29*M47</f>
        <v>0.130063754595077</v>
      </c>
      <c r="N48" s="11" t="n">
        <f aca="false">Declarations!$B$27*N47+Declarations!$C$27*O47+Declarations!$D$27*P47</f>
        <v>0</v>
      </c>
      <c r="O48" s="11" t="n">
        <f aca="false">Declarations!$B$28*N47+Declarations!$C$28*O47+Declarations!$D$28*P47</f>
        <v>0</v>
      </c>
      <c r="P48" s="11" t="n">
        <f aca="false">Declarations!$B$29*N47+Declarations!$C$29*O47+Declarations!$D$29*P47</f>
        <v>0.0115292150460685</v>
      </c>
      <c r="Q48" s="12" t="n">
        <f aca="false">MAX(ABS(H48)+ABS(I48)+ABS(J48),ABS(K48)+ABS(L48)+ABS(M48),ABS(N48)+ABS(O48)+ABS(P48))</f>
        <v>0.691031110963431</v>
      </c>
      <c r="R48" s="12" t="n">
        <f aca="false">MAX(ABS(H48)+ABS(K48)+ABS(N48),ABS(I48)+ABS(L48)+ABS(O48),ABS(J48)+ABS(M48)+ABS(P48))</f>
        <v>0.358485922408542</v>
      </c>
      <c r="S48" s="28" t="n">
        <f aca="false">ABS(R48-$B$13^A48)</f>
        <v>0</v>
      </c>
    </row>
    <row r="49" customFormat="false" ht="15" hidden="false" customHeight="true" outlineLevel="0" collapsed="false">
      <c r="A49" s="16" t="n">
        <v>21</v>
      </c>
      <c r="B49" s="11" t="n">
        <f aca="false">Declarations!$B$27*B48+Declarations!$C$27*C48+Declarations!$D$27*D48</f>
        <v>15.9236204669016</v>
      </c>
      <c r="C49" s="11" t="n">
        <f aca="false">Declarations!$B$28*B48+Declarations!$C$28*C48+Declarations!$D$28*D48</f>
        <v>15.831386746533</v>
      </c>
      <c r="D49" s="11" t="n">
        <f aca="false">Declarations!$B$29*B48+Declarations!$C$29*C48+Declarations!$D$29*D48</f>
        <v>15.8947974292864</v>
      </c>
      <c r="E49" s="11" t="n">
        <f aca="false">Declarations!$B$27*E48+Declarations!$C$27*F48+Declarations!$D$27*G48+Declarations!$E$27*U_held</f>
        <v>72.6417968757049</v>
      </c>
      <c r="F49" s="11" t="n">
        <f aca="false">Declarations!$B$28*E48+Declarations!$C$28*F48+Declarations!$D$28*G48+Declarations!$E$28*U_held</f>
        <v>60.6602436197786</v>
      </c>
      <c r="G49" s="11" t="n">
        <f aca="false">Declarations!$B$29*E48+Declarations!$C$29*F48+Declarations!$D$29*G48+Declarations!$E$29*U_held</f>
        <v>46.0072729926653</v>
      </c>
      <c r="H49" s="11" t="n">
        <f aca="false">Declarations!$B$27*H48+Declarations!$C$27*I48+Declarations!$D$27*J48</f>
        <v>0.230115541537695</v>
      </c>
      <c r="I49" s="11" t="n">
        <f aca="false">Declarations!$B$28*H48+Declarations!$C$28*I48+Declarations!$D$28*J48</f>
        <v>0.22089216950084</v>
      </c>
      <c r="J49" s="11" t="n">
        <f aca="false">Declarations!$B$29*H48+Declarations!$C$29*I48+Declarations!$D$29*J48</f>
        <v>0.208786493702468</v>
      </c>
      <c r="K49" s="11" t="n">
        <f aca="false">Declarations!$B$27*K48+Declarations!$C$27*L48+Declarations!$D$27*M48</f>
        <v>0.11044608475042</v>
      </c>
      <c r="L49" s="11" t="n">
        <f aca="false">Declarations!$B$28*K48+Declarations!$C$28*L48+Declarations!$D$28*M48</f>
        <v>0.119669456787275</v>
      </c>
      <c r="M49" s="11" t="n">
        <f aca="false">Declarations!$B$29*K48+Declarations!$C$29*L48+Declarations!$D$29*M48</f>
        <v>0.122551760548792</v>
      </c>
      <c r="N49" s="11" t="n">
        <f aca="false">Declarations!$B$27*N48+Declarations!$C$27*O48+Declarations!$D$27*P48</f>
        <v>0</v>
      </c>
      <c r="O49" s="11" t="n">
        <f aca="false">Declarations!$B$28*N48+Declarations!$C$28*O48+Declarations!$D$28*P48</f>
        <v>0</v>
      </c>
      <c r="P49" s="11" t="n">
        <f aca="false">Declarations!$B$29*N48+Declarations!$C$29*O48+Declarations!$D$29*P48</f>
        <v>0.00922337203685479</v>
      </c>
      <c r="Q49" s="12" t="n">
        <f aca="false">MAX(ABS(H49)+ABS(I49)+ABS(J49),ABS(K49)+ABS(L49)+ABS(M49),ABS(N49)+ABS(O49)+ABS(P49))</f>
        <v>0.659794204741004</v>
      </c>
      <c r="R49" s="12" t="n">
        <f aca="false">MAX(ABS(H49)+ABS(K49)+ABS(N49),ABS(I49)+ABS(L49)+ABS(O49),ABS(J49)+ABS(M49)+ABS(P49))</f>
        <v>0.340561626288115</v>
      </c>
      <c r="S49" s="28" t="n">
        <f aca="false">ABS(R49-$B$13^A49)</f>
        <v>0</v>
      </c>
    </row>
    <row r="50" customFormat="false" ht="15" hidden="false" customHeight="true" outlineLevel="0" collapsed="false">
      <c r="A50" s="16" t="n">
        <v>22</v>
      </c>
      <c r="B50" s="11" t="n">
        <f aca="false">Declarations!$B$27*B49+Declarations!$C$27*C49+Declarations!$D$27*D49</f>
        <v>15.1228277575381</v>
      </c>
      <c r="C50" s="11" t="n">
        <f aca="false">Declarations!$B$28*B49+Declarations!$C$28*C49+Declarations!$D$28*D49</f>
        <v>15.0490407812432</v>
      </c>
      <c r="D50" s="11" t="n">
        <f aca="false">Declarations!$B$29*B49+Declarations!$C$29*C49+Declarations!$D$29*D49</f>
        <v>15.0951576414275</v>
      </c>
      <c r="E50" s="11" t="n">
        <f aca="false">Declarations!$B$27*E49+Declarations!$C$27*F49+Declarations!$D$27*G49+Declarations!$E$27*U_held</f>
        <v>73.2106293691234</v>
      </c>
      <c r="F50" s="11" t="n">
        <f aca="false">Declarations!$B$28*E49+Declarations!$C$28*F49+Declarations!$D$28*G49+Declarations!$E$28*U_held</f>
        <v>61.2253867643823</v>
      </c>
      <c r="G50" s="11" t="n">
        <f aca="false">Declarations!$B$29*E49+Declarations!$C$29*F49+Declarations!$D$29*G49+Declarations!$E$29*U_held</f>
        <v>46.5039325998954</v>
      </c>
      <c r="H50" s="11" t="n">
        <f aca="false">Declarations!$B$27*H49+Declarations!$C$27*I49+Declarations!$D$27*J49</f>
        <v>0.218148595858968</v>
      </c>
      <c r="I50" s="11" t="n">
        <f aca="false">Declarations!$B$28*H49+Declarations!$C$28*I49+Declarations!$D$28*J49</f>
        <v>0.210769898229484</v>
      </c>
      <c r="J50" s="11" t="n">
        <f aca="false">Declarations!$B$29*H49+Declarations!$C$29*I49+Declarations!$D$29*J49</f>
        <v>0.200624188988944</v>
      </c>
      <c r="K50" s="11" t="n">
        <f aca="false">Declarations!$B$27*K49+Declarations!$C$27*L49+Declarations!$D$27*M49</f>
        <v>0.105384949114742</v>
      </c>
      <c r="L50" s="11" t="n">
        <f aca="false">Declarations!$B$28*K49+Declarations!$C$28*L49+Declarations!$D$28*M49</f>
        <v>0.112763646744226</v>
      </c>
      <c r="M50" s="11" t="n">
        <f aca="false">Declarations!$B$29*K49+Declarations!$C$29*L49+Declarations!$D$29*M49</f>
        <v>0.115530658355282</v>
      </c>
      <c r="N50" s="11" t="n">
        <f aca="false">Declarations!$B$27*N49+Declarations!$C$27*O49+Declarations!$D$27*P49</f>
        <v>0</v>
      </c>
      <c r="O50" s="11" t="n">
        <f aca="false">Declarations!$B$28*N49+Declarations!$C$28*O49+Declarations!$D$28*P49</f>
        <v>0</v>
      </c>
      <c r="P50" s="11" t="n">
        <f aca="false">Declarations!$B$29*N49+Declarations!$C$29*O49+Declarations!$D$29*P49</f>
        <v>0.00737869762948383</v>
      </c>
      <c r="Q50" s="12" t="n">
        <f aca="false">MAX(ABS(H50)+ABS(I50)+ABS(J50),ABS(K50)+ABS(L50)+ABS(M50),ABS(N50)+ABS(O50)+ABS(P50))</f>
        <v>0.629542683077395</v>
      </c>
      <c r="R50" s="12" t="n">
        <f aca="false">MAX(ABS(H50)+ABS(K50)+ABS(N50),ABS(I50)+ABS(L50)+ABS(O50),ABS(J50)+ABS(M50)+ABS(P50))</f>
        <v>0.323533544973709</v>
      </c>
      <c r="S50" s="28" t="n">
        <f aca="false">ABS(R50-$B$13^A50)</f>
        <v>0</v>
      </c>
    </row>
    <row r="51" customFormat="false" ht="15" hidden="false" customHeight="true" outlineLevel="0" collapsed="false">
      <c r="A51" s="16" t="n">
        <v>23</v>
      </c>
      <c r="B51" s="11" t="n">
        <f aca="false">Declarations!$B$27*B50+Declarations!$C$27*C50+Declarations!$D$27*D50</f>
        <v>14.3629970208464</v>
      </c>
      <c r="C51" s="11" t="n">
        <f aca="false">Declarations!$B$28*B50+Declarations!$C$28*C50+Declarations!$D$28*D50</f>
        <v>14.3039674398105</v>
      </c>
      <c r="D51" s="11" t="n">
        <f aca="false">Declarations!$B$29*B50+Declarations!$C$29*C50+Declarations!$D$29*D50</f>
        <v>14.3371715791432</v>
      </c>
      <c r="E51" s="11" t="n">
        <f aca="false">Declarations!$B$27*E50+Declarations!$C$27*F50+Declarations!$D$27*G50+Declarations!$E$27*U_held</f>
        <v>73.7508357704301</v>
      </c>
      <c r="F51" s="11" t="n">
        <f aca="false">Declarations!$B$28*E50+Declarations!$C$28*F50+Declarations!$D$28*G50+Declarations!$E$28*U_held</f>
        <v>61.7626416866373</v>
      </c>
      <c r="G51" s="11" t="n">
        <f aca="false">Declarations!$B$29*E50+Declarations!$C$29*F50+Declarations!$D$29*G50+Declarations!$E$29*U_held</f>
        <v>46.9862162248107</v>
      </c>
      <c r="H51" s="11" t="n">
        <f aca="false">Declarations!$B$27*H50+Declarations!$C$27*I50+Declarations!$D$27*J50</f>
        <v>0.206872231184545</v>
      </c>
      <c r="I51" s="11" t="n">
        <f aca="false">Declarations!$B$28*H50+Declarations!$C$28*I50+Declarations!$D$28*J50</f>
        <v>0.200969273080958</v>
      </c>
      <c r="J51" s="11" t="n">
        <f aca="false">Declarations!$B$29*H50+Declarations!$C$29*I50+Declarations!$D$29*J50</f>
        <v>0.192483770807052</v>
      </c>
      <c r="K51" s="11" t="n">
        <f aca="false">Declarations!$B$27*K50+Declarations!$C$27*L50+Declarations!$D$27*M50</f>
        <v>0.100484636540479</v>
      </c>
      <c r="L51" s="11" t="n">
        <f aca="false">Declarations!$B$28*K50+Declarations!$C$28*L50+Declarations!$D$28*M50</f>
        <v>0.106387594644066</v>
      </c>
      <c r="M51" s="11" t="n">
        <f aca="false">Declarations!$B$29*K50+Declarations!$C$29*L50+Declarations!$D$29*M50</f>
        <v>0.108970138814385</v>
      </c>
      <c r="N51" s="11" t="n">
        <f aca="false">Declarations!$B$27*N50+Declarations!$C$27*O50+Declarations!$D$27*P50</f>
        <v>0</v>
      </c>
      <c r="O51" s="11" t="n">
        <f aca="false">Declarations!$B$28*N50+Declarations!$C$28*O50+Declarations!$D$28*P50</f>
        <v>0</v>
      </c>
      <c r="P51" s="11" t="n">
        <f aca="false">Declarations!$B$29*N50+Declarations!$C$29*O50+Declarations!$D$29*P50</f>
        <v>0.00590295810358706</v>
      </c>
      <c r="Q51" s="12" t="n">
        <f aca="false">MAX(ABS(H51)+ABS(I51)+ABS(J51),ABS(K51)+ABS(L51)+ABS(M51),ABS(N51)+ABS(O51)+ABS(P51))</f>
        <v>0.600325275072555</v>
      </c>
      <c r="R51" s="12" t="n">
        <f aca="false">MAX(ABS(H51)+ABS(K51)+ABS(N51),ABS(I51)+ABS(L51)+ABS(O51),ABS(J51)+ABS(M51)+ABS(P51))</f>
        <v>0.307356867725024</v>
      </c>
      <c r="S51" s="28" t="n">
        <f aca="false">ABS(R51-$B$13^A51)</f>
        <v>0</v>
      </c>
    </row>
    <row r="52" customFormat="false" ht="15" hidden="false" customHeight="true" outlineLevel="0" collapsed="false">
      <c r="A52" s="16" t="n">
        <v>24</v>
      </c>
      <c r="B52" s="11" t="n">
        <f aca="false">Declarations!$B$27*B51+Declarations!$C$27*C51+Declarations!$D$27*D51</f>
        <v>13.6418956907523</v>
      </c>
      <c r="C52" s="11" t="n">
        <f aca="false">Declarations!$B$28*B51+Declarations!$C$28*C51+Declarations!$D$28*D51</f>
        <v>13.5946720259236</v>
      </c>
      <c r="D52" s="11" t="n">
        <f aca="false">Declarations!$B$29*B51+Declarations!$C$29*C51+Declarations!$D$29*D51</f>
        <v>13.6182838583379</v>
      </c>
      <c r="E52" s="11" t="n">
        <f aca="false">Declarations!$B$27*E51+Declarations!$C$27*F51+Declarations!$D$27*G51+Declarations!$E$27*U_held</f>
        <v>74.263884277719</v>
      </c>
      <c r="F52" s="11" t="n">
        <f aca="false">Declarations!$B$28*E51+Declarations!$C$28*F51+Declarations!$D$28*G51+Declarations!$E$28*U_held</f>
        <v>62.2733290106847</v>
      </c>
      <c r="G52" s="11" t="n">
        <f aca="false">Declarations!$B$29*E51+Declarations!$C$29*F51+Declarations!$D$29*G51+Declarations!$E$29*U_held</f>
        <v>47.4527789370338</v>
      </c>
      <c r="H52" s="11" t="n">
        <f aca="false">Declarations!$B$27*H51+Declarations!$C$27*I51+Declarations!$D$27*J51</f>
        <v>0.196233471720138</v>
      </c>
      <c r="I52" s="11" t="n">
        <f aca="false">Declarations!$B$28*H51+Declarations!$C$28*I51+Declarations!$D$28*J51</f>
        <v>0.191511105237269</v>
      </c>
      <c r="J52" s="11" t="n">
        <f aca="false">Declarations!$B$29*H51+Declarations!$C$29*I51+Declarations!$D$29*J51</f>
        <v>0.184427555512964</v>
      </c>
      <c r="K52" s="11" t="n">
        <f aca="false">Declarations!$B$27*K51+Declarations!$C$27*L51+Declarations!$D$27*M51</f>
        <v>0.0957555526186344</v>
      </c>
      <c r="L52" s="11" t="n">
        <f aca="false">Declarations!$B$28*K51+Declarations!$C$28*L51+Declarations!$D$28*M51</f>
        <v>0.100477919101504</v>
      </c>
      <c r="M52" s="11" t="n">
        <f aca="false">Declarations!$B$29*K51+Declarations!$C$29*L51+Declarations!$D$29*M51</f>
        <v>0.102839102342939</v>
      </c>
      <c r="N52" s="11" t="n">
        <f aca="false">Declarations!$B$27*N51+Declarations!$C$27*O51+Declarations!$D$27*P51</f>
        <v>0</v>
      </c>
      <c r="O52" s="11" t="n">
        <f aca="false">Declarations!$B$28*N51+Declarations!$C$28*O51+Declarations!$D$28*P51</f>
        <v>0</v>
      </c>
      <c r="P52" s="11" t="n">
        <f aca="false">Declarations!$B$29*N51+Declarations!$C$29*O51+Declarations!$D$29*P51</f>
        <v>0.00472236648286965</v>
      </c>
      <c r="Q52" s="12" t="n">
        <f aca="false">MAX(ABS(H52)+ABS(I52)+ABS(J52),ABS(K52)+ABS(L52)+ABS(M52),ABS(N52)+ABS(O52)+ABS(P52))</f>
        <v>0.572172132470372</v>
      </c>
      <c r="R52" s="12" t="n">
        <f aca="false">MAX(ABS(H52)+ABS(K52)+ABS(N52),ABS(I52)+ABS(L52)+ABS(O52),ABS(J52)+ABS(M52)+ABS(P52))</f>
        <v>0.291989024338773</v>
      </c>
      <c r="S52" s="28" t="n">
        <f aca="false">ABS(R52-$B$13^A52)</f>
        <v>0</v>
      </c>
    </row>
    <row r="53" customFormat="false" ht="15" hidden="false" customHeight="true" outlineLevel="0" collapsed="false">
      <c r="A53" s="16" t="n">
        <v>25</v>
      </c>
      <c r="B53" s="11" t="n">
        <f aca="false">Declarations!$B$27*B52+Declarations!$C$27*C52+Declarations!$D$27*D52</f>
        <v>12.9574397229732</v>
      </c>
      <c r="C53" s="11" t="n">
        <f aca="false">Declarations!$B$28*B52+Declarations!$C$28*C52+Declarations!$D$28*D52</f>
        <v>12.9196607911103</v>
      </c>
      <c r="D53" s="11" t="n">
        <f aca="false">Declarations!$B$29*B52+Declarations!$C$29*C52+Declarations!$D$29*D52</f>
        <v>12.9361890738003</v>
      </c>
      <c r="E53" s="11" t="n">
        <f aca="false">Declarations!$B$27*E52+Declarations!$C$27*F52+Declarations!$D$27*G52+Declarations!$E$27*U_held</f>
        <v>74.7511623004813</v>
      </c>
      <c r="F53" s="11" t="n">
        <f aca="false">Declarations!$B$28*E52+Declarations!$C$28*F52+Declarations!$D$28*G52+Declarations!$E$28*U_held</f>
        <v>62.7587180868539</v>
      </c>
      <c r="G53" s="11" t="n">
        <f aca="false">Declarations!$B$29*E52+Declarations!$C$29*F52+Declarations!$D$29*G52+Declarations!$E$29*U_held</f>
        <v>47.9027502645814</v>
      </c>
      <c r="H53" s="11" t="n">
        <f aca="false">Declarations!$B$27*H52+Declarations!$C$27*I52+Declarations!$D$27*J52</f>
        <v>0.186185679809988</v>
      </c>
      <c r="I53" s="11" t="n">
        <f aca="false">Declarations!$B$28*H52+Declarations!$C$28*I52+Declarations!$D$28*J52</f>
        <v>0.182407786623692</v>
      </c>
      <c r="J53" s="11" t="n">
        <f aca="false">Declarations!$B$29*H52+Declarations!$C$29*I52+Declarations!$D$29*J52</f>
        <v>0.176504828520105</v>
      </c>
      <c r="K53" s="11" t="n">
        <f aca="false">Declarations!$B$27*K52+Declarations!$C$27*L52+Declarations!$D$27*M52</f>
        <v>0.0912038933118462</v>
      </c>
      <c r="L53" s="11" t="n">
        <f aca="false">Declarations!$B$28*K52+Declarations!$C$28*L52+Declarations!$D$28*M52</f>
        <v>0.0949817864981419</v>
      </c>
      <c r="M53" s="11" t="n">
        <f aca="false">Declarations!$B$29*K52+Declarations!$C$29*L52+Declarations!$D$29*M52</f>
        <v>0.0971068514154332</v>
      </c>
      <c r="N53" s="11" t="n">
        <f aca="false">Declarations!$B$27*N52+Declarations!$C$27*O52+Declarations!$D$27*P52</f>
        <v>0</v>
      </c>
      <c r="O53" s="11" t="n">
        <f aca="false">Declarations!$B$28*N52+Declarations!$C$28*O52+Declarations!$D$28*P52</f>
        <v>0</v>
      </c>
      <c r="P53" s="11" t="n">
        <f aca="false">Declarations!$B$29*N52+Declarations!$C$29*O52+Declarations!$D$29*P52</f>
        <v>0.00377789318629572</v>
      </c>
      <c r="Q53" s="12" t="n">
        <f aca="false">MAX(ABS(H53)+ABS(I53)+ABS(J53),ABS(K53)+ABS(L53)+ABS(M53),ABS(N53)+ABS(O53)+ABS(P53))</f>
        <v>0.545098294953786</v>
      </c>
      <c r="R53" s="12" t="n">
        <f aca="false">MAX(ABS(H53)+ABS(K53)+ABS(N53),ABS(I53)+ABS(L53)+ABS(O53),ABS(J53)+ABS(M53)+ABS(P53))</f>
        <v>0.277389573121834</v>
      </c>
      <c r="S53" s="28" t="n">
        <f aca="false">ABS(R53-$B$13^A53)</f>
        <v>0</v>
      </c>
    </row>
    <row r="54" customFormat="false" ht="15" hidden="false" customHeight="true" outlineLevel="0" collapsed="false">
      <c r="A54" s="16" t="n">
        <v>26</v>
      </c>
      <c r="B54" s="11" t="n">
        <f aca="false">Declarations!$B$27*B53+Declarations!$C$27*C53+Declarations!$D$27*D53</f>
        <v>12.3076787902314</v>
      </c>
      <c r="C54" s="11" t="n">
        <f aca="false">Declarations!$B$28*B53+Declarations!$C$28*C53+Declarations!$D$28*D53</f>
        <v>12.2774556447411</v>
      </c>
      <c r="D54" s="11" t="n">
        <f aca="false">Declarations!$B$29*B53+Declarations!$C$29*C53+Declarations!$D$29*D53</f>
        <v>12.2887893243</v>
      </c>
      <c r="E54" s="11" t="n">
        <f aca="false">Declarations!$B$27*E53+Declarations!$C$27*F53+Declarations!$D$27*G53+Declarations!$E$27*U_held</f>
        <v>75.2139819747759</v>
      </c>
      <c r="F54" s="11" t="n">
        <f aca="false">Declarations!$B$28*E53+Declarations!$C$28*F53+Declarations!$D$28*G53+Declarations!$E$28*U_held</f>
        <v>63.2200266038739</v>
      </c>
      <c r="G54" s="11" t="n">
        <f aca="false">Declarations!$B$29*E53+Declarations!$C$29*F53+Declarations!$D$29*G53+Declarations!$E$29*U_held</f>
        <v>48.3356301353746</v>
      </c>
      <c r="H54" s="11" t="n">
        <f aca="false">Declarations!$B$27*H53+Declarations!$C$27*I53+Declarations!$D$27*J53</f>
        <v>0.176687501160174</v>
      </c>
      <c r="I54" s="11" t="n">
        <f aca="false">Declarations!$B$28*H53+Declarations!$C$28*I53+Declarations!$D$28*J53</f>
        <v>0.173665186611137</v>
      </c>
      <c r="J54" s="11" t="n">
        <f aca="false">Declarations!$B$29*H53+Declarations!$C$29*I53+Declarations!$D$29*J53</f>
        <v>0.168753925468953</v>
      </c>
      <c r="K54" s="11" t="n">
        <f aca="false">Declarations!$B$27*K53+Declarations!$C$27*L53+Declarations!$D$27*M53</f>
        <v>0.0868325933055687</v>
      </c>
      <c r="L54" s="11" t="n">
        <f aca="false">Declarations!$B$28*K53+Declarations!$C$28*L53+Declarations!$D$28*M53</f>
        <v>0.0898549078546052</v>
      </c>
      <c r="M54" s="11" t="n">
        <f aca="false">Declarations!$B$29*K53+Declarations!$C$29*L53+Declarations!$D$29*M53</f>
        <v>0.0917438544477531</v>
      </c>
      <c r="N54" s="11" t="n">
        <f aca="false">Declarations!$B$27*N53+Declarations!$C$27*O53+Declarations!$D$27*P53</f>
        <v>0</v>
      </c>
      <c r="O54" s="11" t="n">
        <f aca="false">Declarations!$B$28*N53+Declarations!$C$28*O53+Declarations!$D$28*P53</f>
        <v>0</v>
      </c>
      <c r="P54" s="11" t="n">
        <f aca="false">Declarations!$B$29*N53+Declarations!$C$29*O53+Declarations!$D$29*P53</f>
        <v>0.00302231454903658</v>
      </c>
      <c r="Q54" s="12" t="n">
        <f aca="false">MAX(ABS(H54)+ABS(I54)+ABS(J54),ABS(K54)+ABS(L54)+ABS(M54),ABS(N54)+ABS(O54)+ABS(P54))</f>
        <v>0.519106613240264</v>
      </c>
      <c r="R54" s="12" t="n">
        <f aca="false">MAX(ABS(H54)+ABS(K54)+ABS(N54),ABS(I54)+ABS(L54)+ABS(O54),ABS(J54)+ABS(M54)+ABS(P54))</f>
        <v>0.263520094465743</v>
      </c>
      <c r="S54" s="28" t="n">
        <f aca="false">ABS(R54-$B$13^A54)</f>
        <v>0</v>
      </c>
    </row>
    <row r="55" customFormat="false" ht="15" hidden="false" customHeight="true" outlineLevel="0" collapsed="false">
      <c r="A55" s="16" t="n">
        <v>27</v>
      </c>
      <c r="B55" s="11" t="n">
        <f aca="false">Declarations!$B$27*B54+Declarations!$C$27*C54+Declarations!$D$27*D54</f>
        <v>11.6907836934453</v>
      </c>
      <c r="C55" s="11" t="n">
        <f aca="false">Declarations!$B$28*B54+Declarations!$C$28*C54+Declarations!$D$28*D54</f>
        <v>11.666605177053</v>
      </c>
      <c r="D55" s="11" t="n">
        <f aca="false">Declarations!$B$29*B54+Declarations!$C$29*C54+Declarations!$D$29*D54</f>
        <v>11.6741609634256</v>
      </c>
      <c r="E55" s="11" t="n">
        <f aca="false">Declarations!$B$27*E54+Declarations!$C$27*F54+Declarations!$D$27*G54+Declarations!$E$27*U_held</f>
        <v>75.653585107492</v>
      </c>
      <c r="F55" s="11" t="n">
        <f aca="false">Declarations!$B$28*E54+Declarations!$C$28*F54+Declarations!$D$28*G54+Declarations!$E$28*U_held</f>
        <v>63.6584208107704</v>
      </c>
      <c r="G55" s="11" t="n">
        <f aca="false">Declarations!$B$29*E54+Declarations!$C$29*F54+Declarations!$D$29*G54+Declarations!$E$29*U_held</f>
        <v>48.7512058674259</v>
      </c>
      <c r="H55" s="11" t="n">
        <f aca="false">Declarations!$B$27*H54+Declarations!$C$27*I54+Declarations!$D$27*J54</f>
        <v>0.167702010374713</v>
      </c>
      <c r="I55" s="11" t="n">
        <f aca="false">Declarations!$B$28*H54+Declarations!$C$28*I54+Declarations!$D$28*J54</f>
        <v>0.165284158735484</v>
      </c>
      <c r="J55" s="11" t="n">
        <f aca="false">Declarations!$B$29*H54+Declarations!$C$29*I54+Declarations!$D$29*J54</f>
        <v>0.161204034094285</v>
      </c>
      <c r="K55" s="11" t="n">
        <f aca="false">Declarations!$B$27*K54+Declarations!$C$27*L54+Declarations!$D$27*M54</f>
        <v>0.0826420793677421</v>
      </c>
      <c r="L55" s="11" t="n">
        <f aca="false">Declarations!$B$28*K54+Declarations!$C$28*L54+Declarations!$D$28*M54</f>
        <v>0.0850599310069713</v>
      </c>
      <c r="M55" s="11" t="n">
        <f aca="false">Declarations!$B$29*K54+Declarations!$C$29*L54+Declarations!$D$29*M54</f>
        <v>0.0867222040089414</v>
      </c>
      <c r="N55" s="11" t="n">
        <f aca="false">Declarations!$B$27*N54+Declarations!$C$27*O54+Declarations!$D$27*P54</f>
        <v>0</v>
      </c>
      <c r="O55" s="11" t="n">
        <f aca="false">Declarations!$B$28*N54+Declarations!$C$28*O54+Declarations!$D$28*P54</f>
        <v>0</v>
      </c>
      <c r="P55" s="11" t="n">
        <f aca="false">Declarations!$B$29*N54+Declarations!$C$29*O54+Declarations!$D$29*P54</f>
        <v>0.00241785163922926</v>
      </c>
      <c r="Q55" s="12" t="n">
        <f aca="false">MAX(ABS(H55)+ABS(I55)+ABS(J55),ABS(K55)+ABS(L55)+ABS(M55),ABS(N55)+ABS(O55)+ABS(P55))</f>
        <v>0.494190203204482</v>
      </c>
      <c r="R55" s="12" t="n">
        <f aca="false">MAX(ABS(H55)+ABS(K55)+ABS(N55),ABS(I55)+ABS(L55)+ABS(O55),ABS(J55)+ABS(M55)+ABS(P55))</f>
        <v>0.250344089742455</v>
      </c>
      <c r="S55" s="28" t="n">
        <f aca="false">ABS(R55-$B$13^A55)</f>
        <v>0</v>
      </c>
    </row>
    <row r="56" customFormat="false" ht="15" hidden="false" customHeight="true" outlineLevel="0" collapsed="false">
      <c r="A56" s="16" t="n">
        <v>28</v>
      </c>
      <c r="B56" s="11" t="n">
        <f aca="false">Declarations!$B$27*B55+Declarations!$C$27*C55+Declarations!$D$27*D55</f>
        <v>11.1050355829535</v>
      </c>
      <c r="C56" s="11" t="n">
        <f aca="false">Declarations!$B$28*B55+Declarations!$C$28*C55+Declarations!$D$28*D55</f>
        <v>11.0856927698396</v>
      </c>
      <c r="D56" s="11" t="n">
        <f aca="false">Declarations!$B$29*B55+Declarations!$C$29*C55+Declarations!$D$29*D55</f>
        <v>11.0905284731181</v>
      </c>
      <c r="E56" s="11" t="n">
        <f aca="false">Declarations!$B$27*E55+Declarations!$C$27*F55+Declarations!$D$27*G55+Declarations!$E$27*U_held</f>
        <v>76.0711476372813</v>
      </c>
      <c r="F56" s="11" t="n">
        <f aca="false">Declarations!$B$28*E55+Declarations!$C$28*F55+Declarations!$D$28*G55+Declarations!$E$28*U_held</f>
        <v>64.0750161999041</v>
      </c>
      <c r="G56" s="11" t="n">
        <f aca="false">Declarations!$B$29*E55+Declarations!$C$29*F55+Declarations!$D$29*G55+Declarations!$E$29*U_held</f>
        <v>49.1494860303924</v>
      </c>
      <c r="H56" s="11" t="n">
        <f aca="false">Declarations!$B$27*H55+Declarations!$C$27*I55+Declarations!$D$27*J55</f>
        <v>0.159196017274016</v>
      </c>
      <c r="I56" s="11" t="n">
        <f aca="false">Declarations!$B$28*H55+Declarations!$C$28*I55+Declarations!$D$28*J55</f>
        <v>0.157261735962633</v>
      </c>
      <c r="J56" s="11" t="n">
        <f aca="false">Declarations!$B$29*H55+Declarations!$C$29*I55+Declarations!$D$29*J55</f>
        <v>0.153876743667712</v>
      </c>
      <c r="K56" s="11" t="n">
        <f aca="false">Declarations!$B$27*K55+Declarations!$C$27*L55+Declarations!$D$27*M55</f>
        <v>0.0786308679813164</v>
      </c>
      <c r="L56" s="11" t="n">
        <f aca="false">Declarations!$B$28*K55+Declarations!$C$28*L55+Declarations!$D$28*M55</f>
        <v>0.0805651492926998</v>
      </c>
      <c r="M56" s="11" t="n">
        <f aca="false">Declarations!$B$29*K55+Declarations!$C$29*L55+Declarations!$D$29*M55</f>
        <v>0.0820158602762374</v>
      </c>
      <c r="N56" s="11" t="n">
        <f aca="false">Declarations!$B$27*N55+Declarations!$C$27*O55+Declarations!$D$27*P55</f>
        <v>0</v>
      </c>
      <c r="O56" s="11" t="n">
        <f aca="false">Declarations!$B$28*N55+Declarations!$C$28*O55+Declarations!$D$28*P55</f>
        <v>0</v>
      </c>
      <c r="P56" s="11" t="n">
        <f aca="false">Declarations!$B$29*N55+Declarations!$C$29*O55+Declarations!$D$29*P55</f>
        <v>0.00193428131138341</v>
      </c>
      <c r="Q56" s="12" t="n">
        <f aca="false">MAX(ABS(H56)+ABS(I56)+ABS(J56),ABS(K56)+ABS(L56)+ABS(M56),ABS(N56)+ABS(O56)+ABS(P56))</f>
        <v>0.470334496904361</v>
      </c>
      <c r="R56" s="12" t="n">
        <f aca="false">MAX(ABS(H56)+ABS(K56)+ABS(N56),ABS(I56)+ABS(L56)+ABS(O56),ABS(J56)+ABS(M56)+ABS(P56))</f>
        <v>0.237826885255333</v>
      </c>
      <c r="S56" s="28" t="n">
        <f aca="false">ABS(R56-$B$13^A56)</f>
        <v>0</v>
      </c>
    </row>
    <row r="57" customFormat="false" ht="15" hidden="false" customHeight="true" outlineLevel="0" collapsed="false">
      <c r="A57" s="16" t="n">
        <v>29</v>
      </c>
      <c r="B57" s="11" t="n">
        <f aca="false">Declarations!$B$27*B56+Declarations!$C$27*C56+Declarations!$D$27*D56</f>
        <v>10.5488166631501</v>
      </c>
      <c r="C57" s="11" t="n">
        <f aca="false">Declarations!$B$28*B56+Declarations!$C$28*C56+Declarations!$D$28*D56</f>
        <v>10.533342412659</v>
      </c>
      <c r="D57" s="11" t="n">
        <f aca="false">Declarations!$B$29*B56+Declarations!$C$29*C56+Declarations!$D$29*D56</f>
        <v>10.5362438346261</v>
      </c>
      <c r="E57" s="11" t="n">
        <f aca="false">Declarations!$B$27*E56+Declarations!$C$27*F56+Declarations!$D$27*G56+Declarations!$E$27*U_held</f>
        <v>76.4677836835484</v>
      </c>
      <c r="F57" s="11" t="n">
        <f aca="false">Declarations!$B$28*E56+Declarations!$C$28*F56+Declarations!$D$28*G56+Declarations!$E$28*U_held</f>
        <v>64.4708785336466</v>
      </c>
      <c r="G57" s="11" t="n">
        <f aca="false">Declarations!$B$29*E56+Declarations!$C$29*F56+Declarations!$D$29*G56+Declarations!$E$29*U_held</f>
        <v>49.5306478261684</v>
      </c>
      <c r="H57" s="11" t="n">
        <f aca="false">Declarations!$B$27*H56+Declarations!$C$27*I56+Declarations!$D$27*J56</f>
        <v>0.151139502344746</v>
      </c>
      <c r="I57" s="11" t="n">
        <f aca="false">Declarations!$B$28*H56+Declarations!$C$28*I56+Declarations!$D$28*J56</f>
        <v>0.149592077295639</v>
      </c>
      <c r="J57" s="11" t="n">
        <f aca="false">Declarations!$B$29*H56+Declarations!$C$29*I56+Declarations!$D$29*J56</f>
        <v>0.146787369394134</v>
      </c>
      <c r="K57" s="11" t="n">
        <f aca="false">Declarations!$B$27*K56+Declarations!$C$27*L56+Declarations!$D$27*M56</f>
        <v>0.0747960386478198</v>
      </c>
      <c r="L57" s="11" t="n">
        <f aca="false">Declarations!$B$28*K56+Declarations!$C$28*L56+Declarations!$D$28*M56</f>
        <v>0.0763434636969265</v>
      </c>
      <c r="M57" s="11" t="n">
        <f aca="false">Declarations!$B$29*K56+Declarations!$C$29*L56+Declarations!$D$29*M56</f>
        <v>0.0776007465493257</v>
      </c>
      <c r="N57" s="11" t="n">
        <f aca="false">Declarations!$B$27*N56+Declarations!$C$27*O56+Declarations!$D$27*P56</f>
        <v>0</v>
      </c>
      <c r="O57" s="11" t="n">
        <f aca="false">Declarations!$B$28*N56+Declarations!$C$28*O56+Declarations!$D$28*P56</f>
        <v>0</v>
      </c>
      <c r="P57" s="11" t="n">
        <f aca="false">Declarations!$B$29*N56+Declarations!$C$29*O56+Declarations!$D$29*P56</f>
        <v>0.00154742504910673</v>
      </c>
      <c r="Q57" s="12" t="n">
        <f aca="false">MAX(ABS(H57)+ABS(I57)+ABS(J57),ABS(K57)+ABS(L57)+ABS(M57),ABS(N57)+ABS(O57)+ABS(P57))</f>
        <v>0.447518949034519</v>
      </c>
      <c r="R57" s="12" t="n">
        <f aca="false">MAX(ABS(H57)+ABS(K57)+ABS(N57),ABS(I57)+ABS(L57)+ABS(O57),ABS(J57)+ABS(M57)+ABS(P57))</f>
        <v>0.225935540992566</v>
      </c>
      <c r="S57" s="28" t="n">
        <f aca="false">ABS(R57-$B$13^A57)</f>
        <v>0</v>
      </c>
    </row>
    <row r="58" customFormat="false" ht="15" hidden="false" customHeight="true" outlineLevel="0" collapsed="false">
      <c r="A58" s="16" t="n">
        <v>30</v>
      </c>
      <c r="B58" s="11" t="n">
        <f aca="false">Declarations!$B$27*B57+Declarations!$C$27*C57+Declarations!$D$27*D57</f>
        <v>10.020602117468</v>
      </c>
      <c r="C58" s="11" t="n">
        <f aca="false">Declarations!$B$28*B57+Declarations!$C$28*C57+Declarations!$D$28*D57</f>
        <v>10.0082227170752</v>
      </c>
      <c r="D58" s="11" t="n">
        <f aca="false">Declarations!$B$29*B57+Declarations!$C$29*C57+Declarations!$D$29*D57</f>
        <v>10.0097701421243</v>
      </c>
      <c r="E58" s="11" t="n">
        <f aca="false">Declarations!$B$27*E57+Declarations!$C$27*F57+Declarations!$D$27*G57+Declarations!$E$27*U_held</f>
        <v>76.8445492418759</v>
      </c>
      <c r="F58" s="11" t="n">
        <f aca="false">Declarations!$B$28*E57+Declarations!$C$28*F57+Declarations!$D$28*G57+Declarations!$E$28*U_held</f>
        <v>64.8470251219545</v>
      </c>
      <c r="G58" s="11" t="n">
        <f aca="false">Declarations!$B$29*E57+Declarations!$C$29*F57+Declarations!$D$29*G57+Declarations!$E$29*U_held</f>
        <v>49.8949952984768</v>
      </c>
      <c r="H58" s="11" t="n">
        <f aca="false">Declarations!$B$27*H57+Declarations!$C$27*I57+Declarations!$D$27*J57</f>
        <v>0.143505155975054</v>
      </c>
      <c r="I58" s="11" t="n">
        <f aca="false">Declarations!$B$28*H57+Declarations!$C$28*I57+Declarations!$D$28*J57</f>
        <v>0.142267215935768</v>
      </c>
      <c r="J58" s="11" t="n">
        <f aca="false">Declarations!$B$29*H57+Declarations!$C$29*I57+Declarations!$D$29*J57</f>
        <v>0.139946078362108</v>
      </c>
      <c r="K58" s="11" t="n">
        <f aca="false">Declarations!$B$27*K57+Declarations!$C$27*L57+Declarations!$D$27*M57</f>
        <v>0.0711336079678841</v>
      </c>
      <c r="L58" s="11" t="n">
        <f aca="false">Declarations!$B$28*K57+Declarations!$C$28*L57+Declarations!$D$28*M57</f>
        <v>0.0723715480071695</v>
      </c>
      <c r="M58" s="11" t="n">
        <f aca="false">Declarations!$B$29*K57+Declarations!$C$29*L57+Declarations!$D$29*M57</f>
        <v>0.0734547455415442</v>
      </c>
      <c r="N58" s="11" t="n">
        <f aca="false">Declarations!$B$27*N57+Declarations!$C$27*O57+Declarations!$D$27*P57</f>
        <v>0</v>
      </c>
      <c r="O58" s="11" t="n">
        <f aca="false">Declarations!$B$28*N57+Declarations!$C$28*O57+Declarations!$D$28*P57</f>
        <v>0</v>
      </c>
      <c r="P58" s="11" t="n">
        <f aca="false">Declarations!$B$29*N57+Declarations!$C$29*O57+Declarations!$D$29*P57</f>
        <v>0.00123794003928538</v>
      </c>
      <c r="Q58" s="12" t="n">
        <f aca="false">MAX(ABS(H58)+ABS(I58)+ABS(J58),ABS(K58)+ABS(L58)+ABS(M58),ABS(N58)+ABS(O58)+ABS(P58))</f>
        <v>0.42571845027293</v>
      </c>
      <c r="R58" s="12" t="n">
        <f aca="false">MAX(ABS(H58)+ABS(K58)+ABS(N58),ABS(I58)+ABS(L58)+ABS(O58),ABS(J58)+ABS(M58)+ABS(P58))</f>
        <v>0.214638763942938</v>
      </c>
      <c r="S58" s="28" t="n">
        <f aca="false">ABS(R58-$B$13^A58)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6"/>
    <col collapsed="false" customWidth="true" hidden="false" outlineLevel="0" max="3" min="3" style="1" width="90"/>
  </cols>
  <sheetData>
    <row r="1" customFormat="false" ht="15" hidden="false" customHeight="true" outlineLevel="0" collapsed="false">
      <c r="A1" s="9" t="s">
        <v>294</v>
      </c>
      <c r="B1" s="9" t="s">
        <v>295</v>
      </c>
      <c r="C1" s="9" t="s">
        <v>296</v>
      </c>
    </row>
    <row r="2" customFormat="false" ht="15" hidden="false" customHeight="true" outlineLevel="0" collapsed="false">
      <c r="A2" s="3" t="s">
        <v>40</v>
      </c>
      <c r="B2" s="34" t="n">
        <v>8</v>
      </c>
      <c r="C2" s="3" t="s">
        <v>297</v>
      </c>
    </row>
    <row r="3" customFormat="false" ht="15" hidden="false" customHeight="true" outlineLevel="0" collapsed="false">
      <c r="A3" s="3" t="s">
        <v>298</v>
      </c>
      <c r="B3" s="34" t="n">
        <v>0.58</v>
      </c>
      <c r="C3" s="3" t="s">
        <v>299</v>
      </c>
    </row>
    <row r="4" customFormat="false" ht="15" hidden="false" customHeight="true" outlineLevel="0" collapsed="false">
      <c r="A4" s="3" t="s">
        <v>300</v>
      </c>
      <c r="B4" s="34" t="n">
        <v>0.41</v>
      </c>
      <c r="C4" s="3" t="s">
        <v>301</v>
      </c>
    </row>
    <row r="5" customFormat="false" ht="15" hidden="false" customHeight="true" outlineLevel="0" collapsed="false">
      <c r="A5" s="3" t="s">
        <v>302</v>
      </c>
      <c r="B5" s="34" t="n">
        <v>0.71</v>
      </c>
      <c r="C5" s="3" t="s">
        <v>303</v>
      </c>
    </row>
    <row r="6" customFormat="false" ht="15" hidden="false" customHeight="true" outlineLevel="0" collapsed="false">
      <c r="A6" s="3" t="s">
        <v>304</v>
      </c>
      <c r="B6" s="34" t="n">
        <v>0.64</v>
      </c>
      <c r="C6" s="3" t="s">
        <v>305</v>
      </c>
    </row>
    <row r="7" customFormat="false" ht="15" hidden="false" customHeight="true" outlineLevel="0" collapsed="false">
      <c r="A7" s="3" t="s">
        <v>126</v>
      </c>
      <c r="B7" s="34" t="n">
        <v>4</v>
      </c>
      <c r="C7" s="3" t="s">
        <v>306</v>
      </c>
    </row>
    <row r="8" customFormat="false" ht="15" hidden="false" customHeight="true" outlineLevel="0" collapsed="false">
      <c r="A8" s="3" t="s">
        <v>91</v>
      </c>
      <c r="B8" s="34" t="n">
        <v>6.50008623019726</v>
      </c>
      <c r="C8" s="3" t="s">
        <v>307</v>
      </c>
    </row>
    <row r="9" customFormat="false" ht="15" hidden="false" customHeight="true" outlineLevel="0" collapsed="false">
      <c r="A9" s="3" t="s">
        <v>92</v>
      </c>
      <c r="B9" s="34" t="n">
        <v>21.1194910923535</v>
      </c>
      <c r="C9" s="3" t="s">
        <v>308</v>
      </c>
    </row>
    <row r="10" customFormat="false" ht="15" hidden="false" customHeight="true" outlineLevel="0" collapsed="false">
      <c r="A10" s="3" t="s">
        <v>94</v>
      </c>
      <c r="B10" s="34" t="n">
        <v>30.6960945561484</v>
      </c>
      <c r="C10" s="3" t="s">
        <v>308</v>
      </c>
    </row>
    <row r="11" customFormat="false" ht="15" hidden="false" customHeight="true" outlineLevel="0" collapsed="false">
      <c r="A11" s="3" t="s">
        <v>95</v>
      </c>
      <c r="B11" s="34" t="n">
        <v>151.479405874198</v>
      </c>
      <c r="C11" s="3" t="s">
        <v>308</v>
      </c>
    </row>
    <row r="12" customFormat="false" ht="15" hidden="false" customHeight="true" outlineLevel="0" collapsed="false">
      <c r="A12" s="3" t="s">
        <v>309</v>
      </c>
      <c r="B12" s="34" t="n">
        <v>0.994056465389404</v>
      </c>
      <c r="C12" s="3" t="s">
        <v>310</v>
      </c>
    </row>
    <row r="13" customFormat="false" ht="15" hidden="false" customHeight="true" outlineLevel="0" collapsed="false">
      <c r="A13" s="3" t="s">
        <v>311</v>
      </c>
      <c r="B13" s="34" t="n">
        <v>0.955160296003794</v>
      </c>
      <c r="C13" s="3" t="s">
        <v>312</v>
      </c>
    </row>
    <row r="14" customFormat="false" ht="15" hidden="false" customHeight="true" outlineLevel="0" collapsed="false">
      <c r="A14" s="3" t="s">
        <v>313</v>
      </c>
      <c r="B14" s="34" t="n">
        <v>50.418261780827</v>
      </c>
      <c r="C14" s="3" t="s">
        <v>314</v>
      </c>
    </row>
    <row r="15" customFormat="false" ht="15" hidden="false" customHeight="true" outlineLevel="0" collapsed="false">
      <c r="A15" s="3" t="s">
        <v>315</v>
      </c>
      <c r="B15" s="34" t="n">
        <v>23.3671329863122</v>
      </c>
      <c r="C15" s="3" t="s">
        <v>316</v>
      </c>
    </row>
    <row r="16" customFormat="false" ht="15" hidden="false" customHeight="true" outlineLevel="0" collapsed="false">
      <c r="A16" s="3" t="s">
        <v>317</v>
      </c>
      <c r="B16" s="34" t="n">
        <v>2</v>
      </c>
      <c r="C16" s="3" t="s">
        <v>318</v>
      </c>
    </row>
    <row r="17" customFormat="false" ht="15" hidden="false" customHeight="true" outlineLevel="0" collapsed="false">
      <c r="A17" s="3" t="s">
        <v>319</v>
      </c>
      <c r="B17" s="34" t="n">
        <v>1</v>
      </c>
      <c r="C17" s="3" t="s">
        <v>320</v>
      </c>
    </row>
    <row r="18" customFormat="false" ht="15" hidden="false" customHeight="true" outlineLevel="0" collapsed="false">
      <c r="A18" s="3" t="s">
        <v>321</v>
      </c>
      <c r="B18" s="34" t="n">
        <v>0</v>
      </c>
      <c r="C18" s="3" t="s">
        <v>322</v>
      </c>
    </row>
    <row r="19" customFormat="false" ht="15" hidden="false" customHeight="true" outlineLevel="0" collapsed="false">
      <c r="A19" s="3" t="s">
        <v>323</v>
      </c>
      <c r="B19" s="34" t="n">
        <v>0.220231525103781</v>
      </c>
      <c r="C19" s="3" t="s">
        <v>324</v>
      </c>
    </row>
    <row r="20" customFormat="false" ht="15" hidden="false" customHeight="true" outlineLevel="0" collapsed="false">
      <c r="A20" s="3" t="s">
        <v>325</v>
      </c>
      <c r="B20" s="34" t="n">
        <v>0.340086457338664</v>
      </c>
      <c r="C20" s="3" t="s">
        <v>326</v>
      </c>
    </row>
    <row r="21" customFormat="false" ht="15" hidden="false" customHeight="true" outlineLevel="0" collapsed="false">
      <c r="A21" s="3" t="s">
        <v>327</v>
      </c>
      <c r="B21" s="34" t="n">
        <v>0</v>
      </c>
      <c r="C21" s="3" t="s">
        <v>328</v>
      </c>
    </row>
    <row r="22" customFormat="false" ht="15" hidden="false" customHeight="true" outlineLevel="0" collapsed="false">
      <c r="A22" s="3" t="s">
        <v>329</v>
      </c>
      <c r="B22" s="34" t="n">
        <v>48.3875737648489</v>
      </c>
      <c r="C22" s="3" t="s">
        <v>330</v>
      </c>
    </row>
    <row r="23" customFormat="false" ht="15" hidden="false" customHeight="true" outlineLevel="0" collapsed="false">
      <c r="A23" s="3" t="s">
        <v>331</v>
      </c>
      <c r="B23" s="34" t="n">
        <v>0.108729020964966</v>
      </c>
      <c r="C23" s="3" t="s">
        <v>332</v>
      </c>
    </row>
    <row r="24" customFormat="false" ht="15" hidden="false" customHeight="true" outlineLevel="0" collapsed="false">
      <c r="A24" s="3" t="s">
        <v>333</v>
      </c>
      <c r="B24" s="34" t="n">
        <v>0.258857103437398</v>
      </c>
      <c r="C24" s="3" t="s">
        <v>334</v>
      </c>
    </row>
    <row r="25" customFormat="false" ht="15" hidden="false" customHeight="true" outlineLevel="0" collapsed="false">
      <c r="A25" s="3" t="s">
        <v>335</v>
      </c>
      <c r="B25" s="34" t="n">
        <v>0.362470688470116</v>
      </c>
      <c r="C25" s="3" t="s">
        <v>336</v>
      </c>
    </row>
    <row r="26" customFormat="false" ht="15" hidden="false" customHeight="true" outlineLevel="0" collapsed="false">
      <c r="A26" s="3" t="s">
        <v>337</v>
      </c>
      <c r="B26" s="34" t="n">
        <v>0.517</v>
      </c>
      <c r="C26" s="3" t="s">
        <v>338</v>
      </c>
    </row>
    <row r="27" customFormat="false" ht="15" hidden="false" customHeight="true" outlineLevel="0" collapsed="false">
      <c r="A27" s="3" t="s">
        <v>339</v>
      </c>
      <c r="B27" s="34" t="n">
        <v>0.346</v>
      </c>
      <c r="C27" s="3" t="s">
        <v>338</v>
      </c>
    </row>
    <row r="28" customFormat="false" ht="15" hidden="false" customHeight="true" outlineLevel="0" collapsed="false">
      <c r="A28" s="3" t="s">
        <v>340</v>
      </c>
      <c r="B28" s="34" t="n">
        <v>0.500607619732902</v>
      </c>
      <c r="C28" s="3" t="s">
        <v>338</v>
      </c>
    </row>
    <row r="29" customFormat="false" ht="15" hidden="false" customHeight="true" outlineLevel="0" collapsed="false">
      <c r="A29" s="3" t="s">
        <v>341</v>
      </c>
      <c r="B29" s="34" t="n">
        <v>0.147058823529412</v>
      </c>
      <c r="C29" s="3" t="s">
        <v>338</v>
      </c>
    </row>
    <row r="30" customFormat="false" ht="15" hidden="false" customHeight="true" outlineLevel="0" collapsed="false">
      <c r="A30" s="3" t="s">
        <v>342</v>
      </c>
      <c r="B30" s="34" t="n">
        <v>0.780706792013756</v>
      </c>
      <c r="C30" s="3" t="s">
        <v>338</v>
      </c>
    </row>
    <row r="31" customFormat="false" ht="15" hidden="false" customHeight="true" outlineLevel="0" collapsed="false">
      <c r="A31" s="3" t="s">
        <v>343</v>
      </c>
      <c r="B31" s="34" t="n">
        <v>0.241935483870968</v>
      </c>
      <c r="C31" s="3" t="s">
        <v>338</v>
      </c>
    </row>
    <row r="32" customFormat="false" ht="15" hidden="false" customHeight="true" outlineLevel="0" collapsed="false">
      <c r="A32" s="3" t="s">
        <v>344</v>
      </c>
      <c r="B32" s="34" t="n">
        <v>8</v>
      </c>
      <c r="C32" s="3" t="s">
        <v>345</v>
      </c>
    </row>
    <row r="33" customFormat="false" ht="15" hidden="false" customHeight="true" outlineLevel="0" collapsed="false">
      <c r="A33" s="3" t="s">
        <v>346</v>
      </c>
      <c r="B33" s="34" t="n">
        <v>1</v>
      </c>
      <c r="C33" s="3" t="s">
        <v>347</v>
      </c>
    </row>
    <row r="34" customFormat="false" ht="15" hidden="false" customHeight="true" outlineLevel="0" collapsed="false">
      <c r="A34" s="3" t="s">
        <v>348</v>
      </c>
      <c r="B34" s="34" t="n">
        <v>112</v>
      </c>
      <c r="C34" s="3" t="s">
        <v>349</v>
      </c>
    </row>
    <row r="35" customFormat="false" ht="15" hidden="false" customHeight="true" outlineLevel="0" collapsed="false">
      <c r="A35" s="3" t="s">
        <v>350</v>
      </c>
      <c r="B35" s="34" t="n">
        <v>-4.1</v>
      </c>
      <c r="C35" s="3" t="s">
        <v>351</v>
      </c>
    </row>
    <row r="36" customFormat="false" ht="15" hidden="false" customHeight="true" outlineLevel="0" collapsed="false">
      <c r="A36" s="3" t="s">
        <v>352</v>
      </c>
      <c r="B36" s="34" t="n">
        <v>-5</v>
      </c>
      <c r="C36" s="3" t="s">
        <v>353</v>
      </c>
    </row>
    <row r="37" customFormat="false" ht="15" hidden="false" customHeight="true" outlineLevel="0" collapsed="false">
      <c r="A37" s="3" t="s">
        <v>354</v>
      </c>
      <c r="B37" s="34" t="n">
        <v>-35.3672708971317</v>
      </c>
      <c r="C37" s="3" t="s">
        <v>355</v>
      </c>
    </row>
    <row r="38" customFormat="false" ht="15" hidden="false" customHeight="true" outlineLevel="0" collapsed="false">
      <c r="A38" s="3" t="s">
        <v>356</v>
      </c>
      <c r="B38" s="34" t="n">
        <v>34.6346691353518</v>
      </c>
      <c r="C38" s="3" t="s">
        <v>357</v>
      </c>
    </row>
    <row r="39" customFormat="false" ht="15" hidden="false" customHeight="true" outlineLevel="0" collapsed="false">
      <c r="A39" s="3" t="s">
        <v>358</v>
      </c>
      <c r="B39" s="34" t="n">
        <v>696.632729102868</v>
      </c>
      <c r="C39" s="3" t="s">
        <v>359</v>
      </c>
    </row>
    <row r="40" customFormat="false" ht="15" hidden="false" customHeight="true" outlineLevel="0" collapsed="false">
      <c r="A40" s="3" t="s">
        <v>360</v>
      </c>
      <c r="B40" s="34" t="n">
        <v>71.5346691353518</v>
      </c>
      <c r="C40" s="3" t="s">
        <v>361</v>
      </c>
    </row>
    <row r="41" customFormat="false" ht="15" hidden="false" customHeight="true" outlineLevel="0" collapsed="false">
      <c r="A41" s="3" t="s">
        <v>362</v>
      </c>
      <c r="B41" s="34" t="n">
        <v>53</v>
      </c>
      <c r="C41" s="3" t="s">
        <v>363</v>
      </c>
    </row>
    <row r="42" customFormat="false" ht="15" hidden="false" customHeight="true" outlineLevel="0" collapsed="false">
      <c r="A42" s="3" t="s">
        <v>364</v>
      </c>
      <c r="B42" s="34" t="n">
        <v>732</v>
      </c>
      <c r="C42" s="3" t="s">
        <v>365</v>
      </c>
    </row>
    <row r="43" customFormat="false" ht="15" hidden="false" customHeight="true" outlineLevel="0" collapsed="false">
      <c r="A43" s="3" t="s">
        <v>366</v>
      </c>
      <c r="B43" s="34" t="n">
        <v>36.9</v>
      </c>
      <c r="C43" s="3" t="s">
        <v>367</v>
      </c>
    </row>
    <row r="44" customFormat="false" ht="15" hidden="false" customHeight="true" outlineLevel="0" collapsed="false">
      <c r="A44" s="3" t="s">
        <v>368</v>
      </c>
      <c r="B44" s="34" t="n">
        <v>0</v>
      </c>
      <c r="C44" s="3" t="s">
        <v>369</v>
      </c>
    </row>
    <row r="45" customFormat="false" ht="15" hidden="false" customHeight="true" outlineLevel="0" collapsed="false">
      <c r="A45" s="3" t="s">
        <v>370</v>
      </c>
      <c r="B45" s="34" t="n">
        <v>584.632729102868</v>
      </c>
      <c r="C45" s="3" t="s">
        <v>371</v>
      </c>
    </row>
    <row r="46" customFormat="false" ht="15" hidden="false" customHeight="true" outlineLevel="0" collapsed="false">
      <c r="A46" s="3" t="s">
        <v>372</v>
      </c>
      <c r="B46" s="34" t="n">
        <v>75.6346691353518</v>
      </c>
      <c r="C46" s="3" t="s">
        <v>373</v>
      </c>
    </row>
    <row r="47" customFormat="false" ht="15" hidden="false" customHeight="true" outlineLevel="0" collapsed="false">
      <c r="A47" s="3" t="s">
        <v>374</v>
      </c>
      <c r="B47" s="34" t="n">
        <v>696.632729102868</v>
      </c>
      <c r="C47" s="3" t="s">
        <v>359</v>
      </c>
    </row>
    <row r="48" customFormat="false" ht="15" hidden="false" customHeight="true" outlineLevel="0" collapsed="false">
      <c r="A48" s="3" t="s">
        <v>375</v>
      </c>
      <c r="B48" s="34" t="n">
        <v>68.0712022218166</v>
      </c>
      <c r="C48" s="3" t="s">
        <v>376</v>
      </c>
    </row>
    <row r="49" customFormat="false" ht="15" hidden="false" customHeight="true" outlineLevel="0" collapsed="false">
      <c r="A49" s="3" t="s">
        <v>377</v>
      </c>
      <c r="B49" s="34" t="n">
        <v>53</v>
      </c>
      <c r="C49" s="3" t="s">
        <v>363</v>
      </c>
    </row>
    <row r="50" customFormat="false" ht="15" hidden="false" customHeight="true" outlineLevel="0" collapsed="false">
      <c r="A50" s="3" t="s">
        <v>378</v>
      </c>
      <c r="B50" s="34" t="n">
        <v>712</v>
      </c>
      <c r="C50" s="3" t="s">
        <v>379</v>
      </c>
    </row>
    <row r="51" customFormat="false" ht="15" hidden="false" customHeight="true" outlineLevel="0" collapsed="false">
      <c r="A51" s="3" t="s">
        <v>380</v>
      </c>
      <c r="B51" s="34" t="n">
        <v>481.917941377968</v>
      </c>
      <c r="C51" s="3" t="s">
        <v>381</v>
      </c>
    </row>
    <row r="52" customFormat="false" ht="15" hidden="false" customHeight="true" outlineLevel="0" collapsed="false">
      <c r="A52" s="3" t="s">
        <v>382</v>
      </c>
      <c r="B52" s="34" t="n">
        <v>676.632729102868</v>
      </c>
      <c r="C52" s="3" t="s">
        <v>383</v>
      </c>
    </row>
    <row r="53" customFormat="false" ht="15" hidden="false" customHeight="true" outlineLevel="0" collapsed="false">
      <c r="A53" s="3" t="s">
        <v>384</v>
      </c>
      <c r="B53" s="34" t="n">
        <v>71.5346691353518</v>
      </c>
      <c r="C53" s="3" t="s">
        <v>361</v>
      </c>
    </row>
    <row r="54" customFormat="false" ht="15" hidden="false" customHeight="true" outlineLevel="0" collapsed="false">
      <c r="A54" s="3" t="s">
        <v>385</v>
      </c>
      <c r="B54" s="34" t="n">
        <v>58</v>
      </c>
      <c r="C54" s="3" t="s">
        <v>386</v>
      </c>
    </row>
    <row r="55" customFormat="false" ht="15" hidden="false" customHeight="true" outlineLevel="0" collapsed="false">
      <c r="A55" s="3" t="s">
        <v>387</v>
      </c>
      <c r="B55" s="34" t="n">
        <v>20</v>
      </c>
      <c r="C55" s="3" t="s">
        <v>388</v>
      </c>
    </row>
    <row r="56" customFormat="false" ht="15" hidden="false" customHeight="true" outlineLevel="0" collapsed="false">
      <c r="A56" s="3" t="s">
        <v>389</v>
      </c>
      <c r="B56" s="34" t="n">
        <v>0</v>
      </c>
      <c r="C56" s="3" t="s">
        <v>390</v>
      </c>
    </row>
    <row r="57" customFormat="false" ht="15" hidden="false" customHeight="true" outlineLevel="0" collapsed="false">
      <c r="A57" s="3" t="s">
        <v>391</v>
      </c>
      <c r="B57" s="34" t="n">
        <v>0</v>
      </c>
      <c r="C57" s="3" t="s">
        <v>392</v>
      </c>
    </row>
    <row r="58" customFormat="false" ht="15" hidden="false" customHeight="true" outlineLevel="0" collapsed="false">
      <c r="A58" s="3" t="s">
        <v>393</v>
      </c>
      <c r="B58" s="34" t="n">
        <v>0</v>
      </c>
      <c r="C58" s="3" t="s">
        <v>394</v>
      </c>
    </row>
    <row r="59" customFormat="false" ht="15" hidden="false" customHeight="true" outlineLevel="0" collapsed="false">
      <c r="A59" s="3" t="s">
        <v>395</v>
      </c>
      <c r="B59" s="34" t="n">
        <v>3.46346691353517</v>
      </c>
      <c r="C59" s="3" t="s">
        <v>396</v>
      </c>
    </row>
    <row r="60" customFormat="false" ht="15" hidden="false" customHeight="true" outlineLevel="0" collapsed="false">
      <c r="A60" s="3" t="s">
        <v>397</v>
      </c>
      <c r="B60" s="34" t="n">
        <v>0</v>
      </c>
      <c r="C60" s="3" t="s">
        <v>398</v>
      </c>
    </row>
    <row r="61" customFormat="false" ht="15" hidden="false" customHeight="true" outlineLevel="0" collapsed="false">
      <c r="A61" s="3" t="s">
        <v>399</v>
      </c>
      <c r="B61" s="34" t="n">
        <v>60</v>
      </c>
      <c r="C61" s="3" t="s">
        <v>400</v>
      </c>
    </row>
    <row r="62" customFormat="false" ht="15" hidden="false" customHeight="true" outlineLevel="0" collapsed="false">
      <c r="A62" s="3" t="s">
        <v>401</v>
      </c>
      <c r="B62" s="34" t="n">
        <v>0.0688486966648028</v>
      </c>
      <c r="C62" s="3" t="s">
        <v>402</v>
      </c>
    </row>
    <row r="63" customFormat="false" ht="15" hidden="false" customHeight="true" outlineLevel="0" collapsed="false">
      <c r="A63" s="3" t="s">
        <v>403</v>
      </c>
      <c r="B63" s="34" t="n">
        <v>2.5</v>
      </c>
      <c r="C63" s="3" t="s">
        <v>404</v>
      </c>
    </row>
    <row r="64" customFormat="false" ht="15" hidden="false" customHeight="true" outlineLevel="0" collapsed="false">
      <c r="A64" s="3" t="s">
        <v>405</v>
      </c>
      <c r="B64" s="34" t="n">
        <v>40</v>
      </c>
      <c r="C64" s="3" t="s">
        <v>406</v>
      </c>
    </row>
    <row r="65" customFormat="false" ht="15" hidden="false" customHeight="true" outlineLevel="0" collapsed="false">
      <c r="A65" s="3" t="s">
        <v>407</v>
      </c>
      <c r="B65" s="34" t="n">
        <v>4</v>
      </c>
      <c r="C65" s="3" t="s">
        <v>408</v>
      </c>
    </row>
    <row r="66" customFormat="false" ht="15" hidden="false" customHeight="true" outlineLevel="0" collapsed="false">
      <c r="A66" s="3" t="s">
        <v>409</v>
      </c>
      <c r="B66" s="34" t="n">
        <v>37.44</v>
      </c>
      <c r="C66" s="3" t="s">
        <v>410</v>
      </c>
    </row>
    <row r="67" customFormat="false" ht="15" hidden="false" customHeight="true" outlineLevel="0" collapsed="false">
      <c r="A67" s="3" t="s">
        <v>411</v>
      </c>
      <c r="B67" s="34" t="n">
        <v>-1.5</v>
      </c>
      <c r="C67" s="3" t="s">
        <v>412</v>
      </c>
    </row>
    <row r="68" customFormat="false" ht="15" hidden="false" customHeight="true" outlineLevel="0" collapsed="false">
      <c r="A68" s="3" t="s">
        <v>413</v>
      </c>
      <c r="B68" s="34" t="n">
        <v>2.56</v>
      </c>
      <c r="C68" s="3" t="s">
        <v>414</v>
      </c>
    </row>
    <row r="69" customFormat="false" ht="15" hidden="false" customHeight="true" outlineLevel="0" collapsed="false">
      <c r="A69" s="3" t="s">
        <v>415</v>
      </c>
      <c r="B69" s="34" t="n">
        <v>2.56</v>
      </c>
      <c r="C69" s="3" t="s">
        <v>416</v>
      </c>
    </row>
    <row r="70" customFormat="false" ht="15" hidden="false" customHeight="true" outlineLevel="0" collapsed="false">
      <c r="A70" s="3" t="s">
        <v>417</v>
      </c>
      <c r="B70" s="34" t="n">
        <v>2.48832</v>
      </c>
      <c r="C70" s="3" t="s">
        <v>418</v>
      </c>
    </row>
    <row r="71" customFormat="false" ht="15" hidden="false" customHeight="true" outlineLevel="0" collapsed="false">
      <c r="A71" s="3" t="s">
        <v>419</v>
      </c>
      <c r="B71" s="34" t="n">
        <v>0.84672</v>
      </c>
      <c r="C71" s="3" t="s">
        <v>420</v>
      </c>
    </row>
    <row r="72" customFormat="false" ht="15" hidden="false" customHeight="true" outlineLevel="0" collapsed="false">
      <c r="A72" s="3" t="s">
        <v>421</v>
      </c>
      <c r="B72" s="34" t="n">
        <v>0</v>
      </c>
      <c r="C72" s="3" t="s">
        <v>422</v>
      </c>
    </row>
    <row r="73" customFormat="false" ht="15" hidden="false" customHeight="true" outlineLevel="0" collapsed="false">
      <c r="A73" s="3" t="s">
        <v>423</v>
      </c>
      <c r="B73" s="34" t="n">
        <v>131.917941377968</v>
      </c>
      <c r="C73" s="3" t="s">
        <v>424</v>
      </c>
    </row>
    <row r="74" customFormat="false" ht="15" hidden="false" customHeight="true" outlineLevel="0" collapsed="false">
      <c r="A74" s="3" t="s">
        <v>425</v>
      </c>
      <c r="B74" s="34" t="n">
        <v>223.917941377968</v>
      </c>
      <c r="C74" s="3" t="s">
        <v>426</v>
      </c>
    </row>
    <row r="75" customFormat="false" ht="15" hidden="false" customHeight="true" outlineLevel="0" collapsed="false">
      <c r="A75" s="3" t="s">
        <v>427</v>
      </c>
      <c r="B75" s="34" t="n">
        <v>53</v>
      </c>
      <c r="C75" s="3" t="s">
        <v>428</v>
      </c>
    </row>
    <row r="76" customFormat="false" ht="15" hidden="false" customHeight="true" outlineLevel="0" collapsed="false">
      <c r="A76" s="3" t="s">
        <v>429</v>
      </c>
      <c r="B76" s="34" t="n">
        <v>42</v>
      </c>
      <c r="C76" s="3" t="s">
        <v>430</v>
      </c>
    </row>
    <row r="77" customFormat="false" ht="15" hidden="false" customHeight="true" outlineLevel="0" collapsed="false">
      <c r="A77" s="3" t="s">
        <v>431</v>
      </c>
      <c r="B77" s="34" t="n">
        <v>54.5</v>
      </c>
      <c r="C77" s="3" t="s">
        <v>432</v>
      </c>
    </row>
    <row r="78" customFormat="false" ht="15" hidden="false" customHeight="true" outlineLevel="0" collapsed="false">
      <c r="A78" s="3" t="s">
        <v>265</v>
      </c>
      <c r="B78" s="34" t="n">
        <v>0.95</v>
      </c>
      <c r="C78" s="3" t="s">
        <v>433</v>
      </c>
    </row>
    <row r="79" customFormat="false" ht="15" hidden="false" customHeight="true" outlineLevel="0" collapsed="false">
      <c r="A79" s="3" t="s">
        <v>266</v>
      </c>
      <c r="B79" s="34" t="n">
        <v>0.8</v>
      </c>
      <c r="C79" s="3" t="s">
        <v>434</v>
      </c>
    </row>
    <row r="80" customFormat="false" ht="15" hidden="false" customHeight="true" outlineLevel="0" collapsed="false">
      <c r="A80" s="3" t="s">
        <v>435</v>
      </c>
      <c r="B80" s="34" t="n">
        <v>0.8</v>
      </c>
      <c r="C80" s="3" t="s">
        <v>434</v>
      </c>
    </row>
    <row r="81" customFormat="false" ht="15" hidden="false" customHeight="true" outlineLevel="0" collapsed="false">
      <c r="A81" s="3" t="s">
        <v>436</v>
      </c>
      <c r="B81" s="34" t="n">
        <v>13.5134073339649</v>
      </c>
      <c r="C81" s="3" t="s">
        <v>437</v>
      </c>
    </row>
    <row r="82" customFormat="false" ht="15" hidden="false" customHeight="true" outlineLevel="0" collapsed="false">
      <c r="A82" s="3" t="s">
        <v>438</v>
      </c>
      <c r="B82" s="34" t="n">
        <v>7.125</v>
      </c>
      <c r="C82" s="3" t="s">
        <v>439</v>
      </c>
    </row>
    <row r="83" customFormat="false" ht="15" hidden="false" customHeight="true" outlineLevel="0" collapsed="false">
      <c r="A83" s="3" t="s">
        <v>440</v>
      </c>
      <c r="B83" s="34" t="n">
        <v>84</v>
      </c>
      <c r="C83" s="3" t="s">
        <v>441</v>
      </c>
    </row>
    <row r="84" customFormat="false" ht="15" hidden="false" customHeight="true" outlineLevel="0" collapsed="false">
      <c r="A84" s="3" t="s">
        <v>442</v>
      </c>
      <c r="B84" s="34" t="n">
        <v>72</v>
      </c>
      <c r="C84" s="3" t="s">
        <v>443</v>
      </c>
    </row>
    <row r="85" customFormat="false" ht="15" hidden="false" customHeight="true" outlineLevel="0" collapsed="false">
      <c r="A85" s="3" t="s">
        <v>444</v>
      </c>
      <c r="B85" s="34" t="n">
        <v>57</v>
      </c>
      <c r="C85" s="3" t="s">
        <v>445</v>
      </c>
    </row>
    <row r="86" customFormat="false" ht="15" hidden="false" customHeight="true" outlineLevel="0" collapsed="false">
      <c r="A86" s="3" t="s">
        <v>446</v>
      </c>
      <c r="B86" s="34" t="n">
        <v>27.225229281791</v>
      </c>
      <c r="C86" s="3" t="s">
        <v>447</v>
      </c>
    </row>
    <row r="87" customFormat="false" ht="15" hidden="false" customHeight="true" outlineLevel="0" collapsed="false">
      <c r="A87" s="3" t="s">
        <v>448</v>
      </c>
      <c r="B87" s="34" t="n">
        <v>24.9600383201297</v>
      </c>
      <c r="C87" s="3" t="s">
        <v>449</v>
      </c>
    </row>
    <row r="88" customFormat="false" ht="15" hidden="false" customHeight="true" outlineLevel="0" collapsed="false">
      <c r="A88" s="3" t="s">
        <v>450</v>
      </c>
      <c r="B88" s="34" t="n">
        <v>52.1852676019207</v>
      </c>
      <c r="C88" s="3" t="s">
        <v>451</v>
      </c>
    </row>
    <row r="89" customFormat="false" ht="15" hidden="false" customHeight="true" outlineLevel="0" collapsed="false">
      <c r="A89" s="3" t="s">
        <v>452</v>
      </c>
      <c r="B89" s="34" t="n">
        <v>0.95</v>
      </c>
      <c r="C89" s="3" t="s">
        <v>453</v>
      </c>
    </row>
    <row r="90" customFormat="false" ht="15" hidden="false" customHeight="true" outlineLevel="0" collapsed="false">
      <c r="A90" s="3" t="s">
        <v>454</v>
      </c>
      <c r="B90" s="34" t="n">
        <v>1.05</v>
      </c>
      <c r="C90" s="3" t="s">
        <v>455</v>
      </c>
    </row>
    <row r="91" customFormat="false" ht="15" hidden="false" customHeight="true" outlineLevel="0" collapsed="false">
      <c r="A91" s="3" t="s">
        <v>456</v>
      </c>
      <c r="B91" s="34" t="n">
        <v>1.117481875</v>
      </c>
      <c r="C91" s="3" t="s">
        <v>457</v>
      </c>
    </row>
    <row r="92" customFormat="false" ht="15" hidden="false" customHeight="true" outlineLevel="0" collapsed="false">
      <c r="A92" s="3" t="s">
        <v>458</v>
      </c>
      <c r="B92" s="34" t="n">
        <v>5</v>
      </c>
      <c r="C92" s="3" t="s">
        <v>459</v>
      </c>
    </row>
    <row r="93" customFormat="false" ht="15" hidden="false" customHeight="true" outlineLevel="0" collapsed="false">
      <c r="A93" s="3" t="s">
        <v>460</v>
      </c>
      <c r="B93" s="34" t="n">
        <v>11</v>
      </c>
      <c r="C93" s="3" t="s">
        <v>459</v>
      </c>
    </row>
    <row r="94" customFormat="false" ht="15" hidden="false" customHeight="true" outlineLevel="0" collapsed="false">
      <c r="A94" s="3" t="s">
        <v>461</v>
      </c>
      <c r="B94" s="34" t="n">
        <v>0</v>
      </c>
      <c r="C94" s="3" t="s">
        <v>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5" min="4" style="1" width="11"/>
    <col collapsed="false" customWidth="true" hidden="false" outlineLevel="0" max="6" min="6" style="1" width="10"/>
  </cols>
  <sheetData>
    <row r="1" customFormat="false" ht="15" hidden="false" customHeight="true" outlineLevel="0" collapsed="false">
      <c r="A1" s="9" t="s">
        <v>294</v>
      </c>
      <c r="B1" s="9" t="s">
        <v>463</v>
      </c>
      <c r="C1" s="9" t="s">
        <v>295</v>
      </c>
      <c r="D1" s="9" t="s">
        <v>464</v>
      </c>
      <c r="E1" s="9" t="s">
        <v>465</v>
      </c>
      <c r="F1" s="9" t="s">
        <v>466</v>
      </c>
    </row>
    <row r="2" customFormat="false" ht="15" hidden="false" customHeight="true" outlineLevel="0" collapsed="false">
      <c r="A2" s="3" t="s">
        <v>40</v>
      </c>
      <c r="B2" s="23" t="n">
        <f aca="false">Declarations!C12</f>
        <v>8</v>
      </c>
      <c r="C2" s="35" t="n">
        <f aca="false">Reference_Values!B2</f>
        <v>8</v>
      </c>
      <c r="D2" s="28" t="n">
        <f aca="false">ABS(B2-C2)</f>
        <v>0</v>
      </c>
      <c r="E2" s="36" t="n">
        <v>0</v>
      </c>
      <c r="F2" s="5" t="str">
        <f aca="false">IF(D2&lt;=E2,"PASS","FAIL")</f>
        <v>PASS</v>
      </c>
    </row>
    <row r="3" customFormat="false" ht="15" hidden="false" customHeight="true" outlineLevel="0" collapsed="false">
      <c r="A3" s="3" t="s">
        <v>298</v>
      </c>
      <c r="B3" s="23" t="n">
        <f aca="false">Scaling!D7</f>
        <v>0.58</v>
      </c>
      <c r="C3" s="35" t="n">
        <f aca="false">Reference_Values!B3</f>
        <v>0.58</v>
      </c>
      <c r="D3" s="28" t="n">
        <f aca="false">ABS(B3-C3)</f>
        <v>0</v>
      </c>
      <c r="E3" s="36" t="n">
        <v>1E-009</v>
      </c>
      <c r="F3" s="5" t="str">
        <f aca="false">IF(D3&lt;=E3,"PASS","FAIL")</f>
        <v>PASS</v>
      </c>
    </row>
    <row r="4" customFormat="false" ht="15" hidden="false" customHeight="true" outlineLevel="0" collapsed="false">
      <c r="A4" s="3" t="s">
        <v>300</v>
      </c>
      <c r="B4" s="23" t="n">
        <f aca="false">Scaling!D8</f>
        <v>0.41</v>
      </c>
      <c r="C4" s="35" t="n">
        <f aca="false">Reference_Values!B4</f>
        <v>0.41</v>
      </c>
      <c r="D4" s="28" t="n">
        <f aca="false">ABS(B4-C4)</f>
        <v>0</v>
      </c>
      <c r="E4" s="36" t="n">
        <v>1E-009</v>
      </c>
      <c r="F4" s="5" t="str">
        <f aca="false">IF(D4&lt;=E4,"PASS","FAIL")</f>
        <v>PASS</v>
      </c>
    </row>
    <row r="5" customFormat="false" ht="15" hidden="false" customHeight="true" outlineLevel="0" collapsed="false">
      <c r="A5" s="3" t="s">
        <v>302</v>
      </c>
      <c r="B5" s="23" t="n">
        <f aca="false">Scaling!D9</f>
        <v>0.71</v>
      </c>
      <c r="C5" s="35" t="n">
        <f aca="false">Reference_Values!B5</f>
        <v>0.71</v>
      </c>
      <c r="D5" s="28" t="n">
        <f aca="false">ABS(B5-C5)</f>
        <v>0</v>
      </c>
      <c r="E5" s="36" t="n">
        <v>1E-009</v>
      </c>
      <c r="F5" s="5" t="str">
        <f aca="false">IF(D5&lt;=E5,"PASS","FAIL")</f>
        <v>PASS</v>
      </c>
    </row>
    <row r="6" customFormat="false" ht="15" hidden="false" customHeight="true" outlineLevel="0" collapsed="false">
      <c r="A6" s="3" t="s">
        <v>304</v>
      </c>
      <c r="B6" s="23" t="n">
        <f aca="false">Scaling!D11</f>
        <v>0.64</v>
      </c>
      <c r="C6" s="35" t="n">
        <f aca="false">Reference_Values!B6</f>
        <v>0.64</v>
      </c>
      <c r="D6" s="28" t="n">
        <f aca="false">ABS(B6-C6)</f>
        <v>0</v>
      </c>
      <c r="E6" s="36" t="n">
        <v>1E-009</v>
      </c>
      <c r="F6" s="5" t="str">
        <f aca="false">IF(D6&lt;=E6,"PASS","FAIL")</f>
        <v>PASS</v>
      </c>
    </row>
    <row r="7" customFormat="false" ht="15" hidden="false" customHeight="true" outlineLevel="0" collapsed="false">
      <c r="A7" s="3" t="s">
        <v>126</v>
      </c>
      <c r="B7" s="23" t="n">
        <f aca="false">Scaling!D14</f>
        <v>4</v>
      </c>
      <c r="C7" s="35" t="n">
        <f aca="false">Reference_Values!B7</f>
        <v>4</v>
      </c>
      <c r="D7" s="28" t="n">
        <f aca="false">ABS(B7-C7)</f>
        <v>0</v>
      </c>
      <c r="E7" s="36" t="n">
        <v>0</v>
      </c>
      <c r="F7" s="5" t="str">
        <f aca="false">IF(D7&lt;=E7,"PASS","FAIL")</f>
        <v>PASS</v>
      </c>
    </row>
    <row r="8" customFormat="false" ht="15" hidden="false" customHeight="true" outlineLevel="0" collapsed="false">
      <c r="A8" s="3" t="s">
        <v>91</v>
      </c>
      <c r="B8" s="23" t="n">
        <f aca="false">Vector!D14</f>
        <v>6.50008623019726</v>
      </c>
      <c r="C8" s="35" t="n">
        <f aca="false">Reference_Values!B8</f>
        <v>6.50008623019726</v>
      </c>
      <c r="D8" s="28" t="n">
        <f aca="false">ABS(B8-C8)</f>
        <v>0</v>
      </c>
      <c r="E8" s="36" t="n">
        <v>1E-009</v>
      </c>
      <c r="F8" s="5" t="str">
        <f aca="false">IF(D8&lt;=E8,"PASS","FAIL")</f>
        <v>PASS</v>
      </c>
    </row>
    <row r="9" customFormat="false" ht="15" hidden="false" customHeight="true" outlineLevel="0" collapsed="false">
      <c r="A9" s="3" t="s">
        <v>92</v>
      </c>
      <c r="B9" s="23" t="n">
        <f aca="false">Vector!D15</f>
        <v>21.1194910923535</v>
      </c>
      <c r="C9" s="35" t="n">
        <f aca="false">Reference_Values!B9</f>
        <v>21.1194910923535</v>
      </c>
      <c r="D9" s="28" t="n">
        <f aca="false">ABS(B9-C9)</f>
        <v>0</v>
      </c>
      <c r="E9" s="36" t="n">
        <v>1E-009</v>
      </c>
      <c r="F9" s="5" t="str">
        <f aca="false">IF(D9&lt;=E9,"PASS","FAIL")</f>
        <v>PASS</v>
      </c>
    </row>
    <row r="10" customFormat="false" ht="15" hidden="false" customHeight="true" outlineLevel="0" collapsed="false">
      <c r="A10" s="3" t="s">
        <v>94</v>
      </c>
      <c r="B10" s="23" t="n">
        <f aca="false">Vector!D17</f>
        <v>30.6960945561484</v>
      </c>
      <c r="C10" s="35" t="n">
        <f aca="false">Reference_Values!B10</f>
        <v>30.6960945561484</v>
      </c>
      <c r="D10" s="28" t="n">
        <f aca="false">ABS(B10-C10)</f>
        <v>0</v>
      </c>
      <c r="E10" s="36" t="n">
        <v>1E-009</v>
      </c>
      <c r="F10" s="5" t="str">
        <f aca="false">IF(D10&lt;=E10,"PASS","FAIL")</f>
        <v>PASS</v>
      </c>
    </row>
    <row r="11" customFormat="false" ht="15" hidden="false" customHeight="true" outlineLevel="0" collapsed="false">
      <c r="A11" s="3" t="s">
        <v>95</v>
      </c>
      <c r="B11" s="23" t="n">
        <f aca="false">Vector!D18</f>
        <v>151.479405874198</v>
      </c>
      <c r="C11" s="35" t="n">
        <f aca="false">Reference_Values!B11</f>
        <v>151.479405874198</v>
      </c>
      <c r="D11" s="28" t="n">
        <f aca="false">ABS(B11-C11)</f>
        <v>0</v>
      </c>
      <c r="E11" s="36" t="n">
        <v>1E-009</v>
      </c>
      <c r="F11" s="5" t="str">
        <f aca="false">IF(D11&lt;=E11,"PASS","FAIL")</f>
        <v>PASS</v>
      </c>
    </row>
    <row r="12" customFormat="false" ht="15" hidden="false" customHeight="true" outlineLevel="0" collapsed="false">
      <c r="A12" s="3" t="s">
        <v>309</v>
      </c>
      <c r="B12" s="23" t="n">
        <f aca="false">Vector!D21</f>
        <v>0.994056465389403</v>
      </c>
      <c r="C12" s="35" t="n">
        <f aca="false">Reference_Values!B12</f>
        <v>0.994056465389404</v>
      </c>
      <c r="D12" s="28" t="n">
        <f aca="false">ABS(B12-C12)</f>
        <v>0</v>
      </c>
      <c r="E12" s="36" t="n">
        <v>1E-009</v>
      </c>
      <c r="F12" s="5" t="str">
        <f aca="false">IF(D12&lt;=E12,"PASS","FAIL")</f>
        <v>PASS</v>
      </c>
    </row>
    <row r="13" customFormat="false" ht="15" hidden="false" customHeight="true" outlineLevel="0" collapsed="false">
      <c r="A13" s="3" t="s">
        <v>311</v>
      </c>
      <c r="B13" s="23" t="n">
        <f aca="false">Vector!D22</f>
        <v>0.955160296003794</v>
      </c>
      <c r="C13" s="35" t="n">
        <f aca="false">Reference_Values!B13</f>
        <v>0.955160296003794</v>
      </c>
      <c r="D13" s="28" t="n">
        <f aca="false">ABS(B13-C13)</f>
        <v>0</v>
      </c>
      <c r="E13" s="36" t="n">
        <v>1E-009</v>
      </c>
      <c r="F13" s="5" t="str">
        <f aca="false">IF(D13&lt;=E13,"PASS","FAIL")</f>
        <v>PASS</v>
      </c>
    </row>
    <row r="14" customFormat="false" ht="15" hidden="false" customHeight="true" outlineLevel="0" collapsed="false">
      <c r="A14" s="3" t="s">
        <v>313</v>
      </c>
      <c r="B14" s="23" t="n">
        <f aca="false">Vector!D23</f>
        <v>50.418261780827</v>
      </c>
      <c r="C14" s="35" t="n">
        <f aca="false">Reference_Values!B14</f>
        <v>50.418261780827</v>
      </c>
      <c r="D14" s="28" t="n">
        <f aca="false">ABS(B14-C14)</f>
        <v>0</v>
      </c>
      <c r="E14" s="36" t="n">
        <v>1E-009</v>
      </c>
      <c r="F14" s="5" t="str">
        <f aca="false">IF(D14&lt;=E14,"PASS","FAIL")</f>
        <v>PASS</v>
      </c>
    </row>
    <row r="15" customFormat="false" ht="15" hidden="false" customHeight="true" outlineLevel="0" collapsed="false">
      <c r="A15" s="3" t="s">
        <v>315</v>
      </c>
      <c r="B15" s="23" t="n">
        <f aca="false">Vector!D24</f>
        <v>23.3671329863122</v>
      </c>
      <c r="C15" s="35" t="n">
        <f aca="false">Reference_Values!B15</f>
        <v>23.3671329863122</v>
      </c>
      <c r="D15" s="28" t="n">
        <f aca="false">ABS(B15-C15)</f>
        <v>0</v>
      </c>
      <c r="E15" s="36" t="n">
        <v>1E-009</v>
      </c>
      <c r="F15" s="5" t="str">
        <f aca="false">IF(D15&lt;=E15,"PASS","FAIL")</f>
        <v>PASS</v>
      </c>
    </row>
    <row r="16" customFormat="false" ht="15" hidden="false" customHeight="true" outlineLevel="0" collapsed="false">
      <c r="A16" s="3" t="s">
        <v>317</v>
      </c>
      <c r="B16" s="23" t="n">
        <f aca="false">Vector!D25</f>
        <v>2</v>
      </c>
      <c r="C16" s="35" t="n">
        <f aca="false">Reference_Values!B16</f>
        <v>2</v>
      </c>
      <c r="D16" s="28" t="n">
        <f aca="false">ABS(B16-C16)</f>
        <v>0</v>
      </c>
      <c r="E16" s="36" t="n">
        <v>0</v>
      </c>
      <c r="F16" s="5" t="str">
        <f aca="false">IF(D16&lt;=E16,"PASS","FAIL")</f>
        <v>PASS</v>
      </c>
    </row>
    <row r="17" customFormat="false" ht="15" hidden="false" customHeight="true" outlineLevel="0" collapsed="false">
      <c r="A17" s="3" t="s">
        <v>319</v>
      </c>
      <c r="B17" s="23" t="n">
        <f aca="false">Vector!D27</f>
        <v>1</v>
      </c>
      <c r="C17" s="35" t="n">
        <f aca="false">Reference_Values!B17</f>
        <v>1</v>
      </c>
      <c r="D17" s="28" t="n">
        <f aca="false">ABS(B17-C17)</f>
        <v>0</v>
      </c>
      <c r="E17" s="36" t="n">
        <v>0</v>
      </c>
      <c r="F17" s="5" t="str">
        <f aca="false">IF(D17&lt;=E17,"PASS","FAIL")</f>
        <v>PASS</v>
      </c>
    </row>
    <row r="18" customFormat="false" ht="15" hidden="false" customHeight="true" outlineLevel="0" collapsed="false">
      <c r="A18" s="3" t="s">
        <v>321</v>
      </c>
      <c r="B18" s="23" t="n">
        <f aca="false">Vector!D29</f>
        <v>0</v>
      </c>
      <c r="C18" s="35" t="n">
        <f aca="false">Reference_Values!B18</f>
        <v>0</v>
      </c>
      <c r="D18" s="28" t="n">
        <f aca="false">ABS(B18-C18)</f>
        <v>0</v>
      </c>
      <c r="E18" s="36" t="n">
        <v>0</v>
      </c>
      <c r="F18" s="5" t="str">
        <f aca="false">IF(D18&lt;=E18,"PASS","FAIL")</f>
        <v>PASS</v>
      </c>
    </row>
    <row r="19" customFormat="false" ht="15" hidden="false" customHeight="true" outlineLevel="0" collapsed="false">
      <c r="A19" s="3" t="s">
        <v>323</v>
      </c>
      <c r="B19" s="23" t="n">
        <f aca="false">Scaling!D15</f>
        <v>0.220231525103781</v>
      </c>
      <c r="C19" s="35" t="n">
        <f aca="false">Reference_Values!B19</f>
        <v>0.220231525103781</v>
      </c>
      <c r="D19" s="28" t="n">
        <f aca="false">ABS(B19-C19)</f>
        <v>0</v>
      </c>
      <c r="E19" s="36" t="n">
        <v>1E-009</v>
      </c>
      <c r="F19" s="5" t="str">
        <f aca="false">IF(D19&lt;=E19,"PASS","FAIL")</f>
        <v>PASS</v>
      </c>
    </row>
    <row r="20" customFormat="false" ht="15" hidden="false" customHeight="true" outlineLevel="0" collapsed="false">
      <c r="A20" s="3" t="s">
        <v>325</v>
      </c>
      <c r="B20" s="23" t="n">
        <f aca="false">Scaling!D16</f>
        <v>0.340086457338664</v>
      </c>
      <c r="C20" s="35" t="n">
        <f aca="false">Reference_Values!B20</f>
        <v>0.340086457338664</v>
      </c>
      <c r="D20" s="28" t="n">
        <f aca="false">ABS(B20-C20)</f>
        <v>0</v>
      </c>
      <c r="E20" s="36" t="n">
        <v>1E-009</v>
      </c>
      <c r="F20" s="5" t="str">
        <f aca="false">IF(D20&lt;=E20,"PASS","FAIL")</f>
        <v>PASS</v>
      </c>
    </row>
    <row r="21" customFormat="false" ht="15" hidden="false" customHeight="true" outlineLevel="0" collapsed="false">
      <c r="A21" s="3" t="s">
        <v>327</v>
      </c>
      <c r="B21" s="23" t="n">
        <f aca="false">Scaling!D19</f>
        <v>0</v>
      </c>
      <c r="C21" s="35" t="n">
        <f aca="false">Reference_Values!B21</f>
        <v>0</v>
      </c>
      <c r="D21" s="28" t="n">
        <f aca="false">ABS(B21-C21)</f>
        <v>0</v>
      </c>
      <c r="E21" s="36" t="n">
        <v>1E-012</v>
      </c>
      <c r="F21" s="5" t="str">
        <f aca="false">IF(D21&lt;=E21,"PASS","FAIL")</f>
        <v>PASS</v>
      </c>
    </row>
    <row r="22" customFormat="false" ht="15" hidden="false" customHeight="true" outlineLevel="0" collapsed="false">
      <c r="A22" s="3" t="s">
        <v>329</v>
      </c>
      <c r="B22" s="23" t="n">
        <f aca="false">Scaling!D21</f>
        <v>48.3875737648488</v>
      </c>
      <c r="C22" s="35" t="n">
        <f aca="false">Reference_Values!B22</f>
        <v>48.3875737648489</v>
      </c>
      <c r="D22" s="28" t="n">
        <f aca="false">ABS(B22-C22)</f>
        <v>0</v>
      </c>
      <c r="E22" s="36" t="n">
        <v>1E-009</v>
      </c>
      <c r="F22" s="5" t="str">
        <f aca="false">IF(D22&lt;=E22,"PASS","FAIL")</f>
        <v>PASS</v>
      </c>
    </row>
    <row r="23" customFormat="false" ht="15" hidden="false" customHeight="true" outlineLevel="0" collapsed="false">
      <c r="A23" s="3" t="s">
        <v>331</v>
      </c>
      <c r="B23" s="23" t="n">
        <f aca="false">Norms!D16</f>
        <v>0.108729020964966</v>
      </c>
      <c r="C23" s="35" t="n">
        <f aca="false">Reference_Values!B23</f>
        <v>0.108729020964966</v>
      </c>
      <c r="D23" s="28" t="n">
        <f aca="false">ABS(B23-C23)</f>
        <v>0</v>
      </c>
      <c r="E23" s="36" t="n">
        <v>1E-009</v>
      </c>
      <c r="F23" s="5" t="str">
        <f aca="false">IF(D23&lt;=E23,"PASS","FAIL")</f>
        <v>PASS</v>
      </c>
    </row>
    <row r="24" customFormat="false" ht="15" hidden="false" customHeight="true" outlineLevel="0" collapsed="false">
      <c r="A24" s="3" t="s">
        <v>333</v>
      </c>
      <c r="B24" s="23" t="n">
        <f aca="false">Norms!E16</f>
        <v>0.258857103437398</v>
      </c>
      <c r="C24" s="35" t="n">
        <f aca="false">Reference_Values!B24</f>
        <v>0.258857103437398</v>
      </c>
      <c r="D24" s="28" t="n">
        <f aca="false">ABS(B24-C24)</f>
        <v>0</v>
      </c>
      <c r="E24" s="36" t="n">
        <v>1E-009</v>
      </c>
      <c r="F24" s="5" t="str">
        <f aca="false">IF(D24&lt;=E24,"PASS","FAIL")</f>
        <v>PASS</v>
      </c>
    </row>
    <row r="25" customFormat="false" ht="15" hidden="false" customHeight="true" outlineLevel="0" collapsed="false">
      <c r="A25" s="3" t="s">
        <v>335</v>
      </c>
      <c r="B25" s="23" t="n">
        <f aca="false">Norms!F16</f>
        <v>0.362470688470116</v>
      </c>
      <c r="C25" s="35" t="n">
        <f aca="false">Reference_Values!B25</f>
        <v>0.362470688470116</v>
      </c>
      <c r="D25" s="28" t="n">
        <f aca="false">ABS(B25-C25)</f>
        <v>0</v>
      </c>
      <c r="E25" s="36" t="n">
        <v>1E-009</v>
      </c>
      <c r="F25" s="5" t="str">
        <f aca="false">IF(D25&lt;=E25,"PASS","FAIL")</f>
        <v>PASS</v>
      </c>
    </row>
    <row r="26" customFormat="false" ht="15" hidden="false" customHeight="true" outlineLevel="0" collapsed="false">
      <c r="A26" s="3" t="s">
        <v>337</v>
      </c>
      <c r="B26" s="23" t="n">
        <f aca="false">Norms!F15</f>
        <v>0.517</v>
      </c>
      <c r="C26" s="35" t="n">
        <f aca="false">Reference_Values!B26</f>
        <v>0.517</v>
      </c>
      <c r="D26" s="28" t="n">
        <f aca="false">ABS(B26-C26)</f>
        <v>0</v>
      </c>
      <c r="E26" s="36" t="n">
        <v>1E-009</v>
      </c>
      <c r="F26" s="5" t="str">
        <f aca="false">IF(D26&lt;=E26,"PASS","FAIL")</f>
        <v>PASS</v>
      </c>
    </row>
    <row r="27" customFormat="false" ht="15" hidden="false" customHeight="true" outlineLevel="0" collapsed="false">
      <c r="A27" s="3" t="s">
        <v>339</v>
      </c>
      <c r="B27" s="23" t="n">
        <f aca="false">Norms!F17</f>
        <v>0.346</v>
      </c>
      <c r="C27" s="35" t="n">
        <f aca="false">Reference_Values!B27</f>
        <v>0.346</v>
      </c>
      <c r="D27" s="28" t="n">
        <f aca="false">ABS(B27-C27)</f>
        <v>0</v>
      </c>
      <c r="E27" s="36" t="n">
        <v>1E-009</v>
      </c>
      <c r="F27" s="5" t="str">
        <f aca="false">IF(D27&lt;=E27,"PASS","FAIL")</f>
        <v>PASS</v>
      </c>
    </row>
    <row r="28" customFormat="false" ht="15" hidden="false" customHeight="true" outlineLevel="0" collapsed="false">
      <c r="A28" s="3" t="s">
        <v>340</v>
      </c>
      <c r="B28" s="23" t="n">
        <f aca="false">Norms!I13</f>
        <v>0.500607619732902</v>
      </c>
      <c r="C28" s="35" t="n">
        <f aca="false">Reference_Values!B28</f>
        <v>0.500607619732902</v>
      </c>
      <c r="D28" s="28" t="n">
        <f aca="false">ABS(B28-C28)</f>
        <v>0</v>
      </c>
      <c r="E28" s="36" t="n">
        <v>1E-009</v>
      </c>
      <c r="F28" s="5" t="str">
        <f aca="false">IF(D28&lt;=E28,"PASS","FAIL")</f>
        <v>PASS</v>
      </c>
    </row>
    <row r="29" customFormat="false" ht="15" hidden="false" customHeight="true" outlineLevel="0" collapsed="false">
      <c r="A29" s="3" t="s">
        <v>341</v>
      </c>
      <c r="B29" s="23" t="n">
        <f aca="false">Norms!I15</f>
        <v>0.147058823529412</v>
      </c>
      <c r="C29" s="35" t="n">
        <f aca="false">Reference_Values!B29</f>
        <v>0.147058823529412</v>
      </c>
      <c r="D29" s="28" t="n">
        <f aca="false">ABS(B29-C29)</f>
        <v>0</v>
      </c>
      <c r="E29" s="36" t="n">
        <v>1E-009</v>
      </c>
      <c r="F29" s="5" t="str">
        <f aca="false">IF(D29&lt;=E29,"PASS","FAIL")</f>
        <v>PASS</v>
      </c>
    </row>
    <row r="30" customFormat="false" ht="15" hidden="false" customHeight="true" outlineLevel="0" collapsed="false">
      <c r="A30" s="3" t="s">
        <v>342</v>
      </c>
      <c r="B30" s="23" t="n">
        <f aca="false">Norms!J13</f>
        <v>0.780706792013756</v>
      </c>
      <c r="C30" s="35" t="n">
        <f aca="false">Reference_Values!B30</f>
        <v>0.780706792013756</v>
      </c>
      <c r="D30" s="28" t="n">
        <f aca="false">ABS(B30-C30)</f>
        <v>0</v>
      </c>
      <c r="E30" s="36" t="n">
        <v>1E-009</v>
      </c>
      <c r="F30" s="5" t="str">
        <f aca="false">IF(D30&lt;=E30,"PASS","FAIL")</f>
        <v>PASS</v>
      </c>
    </row>
    <row r="31" customFormat="false" ht="15" hidden="false" customHeight="true" outlineLevel="0" collapsed="false">
      <c r="A31" s="3" t="s">
        <v>343</v>
      </c>
      <c r="B31" s="23" t="n">
        <f aca="false">Norms!J15</f>
        <v>0.241935483870968</v>
      </c>
      <c r="C31" s="35" t="n">
        <f aca="false">Reference_Values!B31</f>
        <v>0.241935483870968</v>
      </c>
      <c r="D31" s="28" t="n">
        <f aca="false">ABS(B31-C31)</f>
        <v>0</v>
      </c>
      <c r="E31" s="36" t="n">
        <v>1E-009</v>
      </c>
      <c r="F31" s="5" t="str">
        <f aca="false">IF(D31&lt;=E31,"PASS","FAIL")</f>
        <v>PASS</v>
      </c>
    </row>
    <row r="32" customFormat="false" ht="15" hidden="false" customHeight="true" outlineLevel="0" collapsed="false">
      <c r="A32" s="3" t="s">
        <v>344</v>
      </c>
      <c r="B32" s="23" t="n">
        <f aca="false">Norms!B36</f>
        <v>8</v>
      </c>
      <c r="C32" s="35" t="n">
        <f aca="false">Reference_Values!B32</f>
        <v>8</v>
      </c>
      <c r="D32" s="28" t="n">
        <f aca="false">ABS(B32-C32)</f>
        <v>0</v>
      </c>
      <c r="E32" s="36" t="n">
        <v>1E-009</v>
      </c>
      <c r="F32" s="5" t="str">
        <f aca="false">IF(D32&lt;=E32,"PASS","FAIL")</f>
        <v>PASS</v>
      </c>
    </row>
    <row r="33" customFormat="false" ht="15" hidden="false" customHeight="true" outlineLevel="0" collapsed="false">
      <c r="A33" s="3" t="s">
        <v>346</v>
      </c>
      <c r="B33" s="23" t="n">
        <f aca="false">Norms!B41</f>
        <v>1</v>
      </c>
      <c r="C33" s="35" t="n">
        <f aca="false">Reference_Values!B33</f>
        <v>1</v>
      </c>
      <c r="D33" s="28" t="n">
        <f aca="false">ABS(B33-C33)</f>
        <v>0</v>
      </c>
      <c r="E33" s="36" t="n">
        <v>0</v>
      </c>
      <c r="F33" s="5" t="str">
        <f aca="false">IF(D33&lt;=E33,"PASS","FAIL")</f>
        <v>PASS</v>
      </c>
    </row>
    <row r="34" customFormat="false" ht="15" hidden="false" customHeight="true" outlineLevel="0" collapsed="false">
      <c r="A34" s="3" t="s">
        <v>348</v>
      </c>
      <c r="B34" s="23" t="n">
        <f aca="false">Sequencing!B7</f>
        <v>112</v>
      </c>
      <c r="C34" s="35" t="n">
        <f aca="false">Reference_Values!B34</f>
        <v>112</v>
      </c>
      <c r="D34" s="28" t="n">
        <f aca="false">ABS(B34-C34)</f>
        <v>0</v>
      </c>
      <c r="E34" s="36" t="n">
        <v>1E-009</v>
      </c>
      <c r="F34" s="5" t="str">
        <f aca="false">IF(D34&lt;=E34,"PASS","FAIL")</f>
        <v>PASS</v>
      </c>
    </row>
    <row r="35" customFormat="false" ht="15" hidden="false" customHeight="true" outlineLevel="0" collapsed="false">
      <c r="A35" s="3" t="s">
        <v>350</v>
      </c>
      <c r="B35" s="23" t="n">
        <f aca="false">Sequencing!C7</f>
        <v>-4.1</v>
      </c>
      <c r="C35" s="35" t="n">
        <f aca="false">Reference_Values!B35</f>
        <v>-4.1</v>
      </c>
      <c r="D35" s="28" t="n">
        <f aca="false">ABS(B35-C35)</f>
        <v>0</v>
      </c>
      <c r="E35" s="36" t="n">
        <v>1E-009</v>
      </c>
      <c r="F35" s="5" t="str">
        <f aca="false">IF(D35&lt;=E35,"PASS","FAIL")</f>
        <v>PASS</v>
      </c>
    </row>
    <row r="36" customFormat="false" ht="15" hidden="false" customHeight="true" outlineLevel="0" collapsed="false">
      <c r="A36" s="3" t="s">
        <v>352</v>
      </c>
      <c r="B36" s="23" t="n">
        <f aca="false">Sequencing!D7</f>
        <v>-5</v>
      </c>
      <c r="C36" s="35" t="n">
        <f aca="false">Reference_Values!B36</f>
        <v>-5</v>
      </c>
      <c r="D36" s="28" t="n">
        <f aca="false">ABS(B36-C36)</f>
        <v>0</v>
      </c>
      <c r="E36" s="36" t="n">
        <v>1E-009</v>
      </c>
      <c r="F36" s="5" t="str">
        <f aca="false">IF(D36&lt;=E36,"PASS","FAIL")</f>
        <v>PASS</v>
      </c>
    </row>
    <row r="37" customFormat="false" ht="15" hidden="false" customHeight="true" outlineLevel="0" collapsed="false">
      <c r="A37" s="3" t="s">
        <v>354</v>
      </c>
      <c r="B37" s="23" t="n">
        <f aca="false">Sequencing!B9</f>
        <v>-35.3672708971317</v>
      </c>
      <c r="C37" s="35" t="n">
        <f aca="false">Reference_Values!B37</f>
        <v>-35.3672708971317</v>
      </c>
      <c r="D37" s="28" t="n">
        <f aca="false">ABS(B37-C37)</f>
        <v>0</v>
      </c>
      <c r="E37" s="36" t="n">
        <v>1E-009</v>
      </c>
      <c r="F37" s="5" t="str">
        <f aca="false">IF(D37&lt;=E37,"PASS","FAIL")</f>
        <v>PASS</v>
      </c>
    </row>
    <row r="38" customFormat="false" ht="15" hidden="false" customHeight="true" outlineLevel="0" collapsed="false">
      <c r="A38" s="3" t="s">
        <v>356</v>
      </c>
      <c r="B38" s="23" t="n">
        <f aca="false">Sequencing!C9</f>
        <v>34.6346691353518</v>
      </c>
      <c r="C38" s="35" t="n">
        <f aca="false">Reference_Values!B38</f>
        <v>34.6346691353518</v>
      </c>
      <c r="D38" s="28" t="n">
        <f aca="false">ABS(B38-C38)</f>
        <v>0</v>
      </c>
      <c r="E38" s="36" t="n">
        <v>1E-009</v>
      </c>
      <c r="F38" s="5" t="str">
        <f aca="false">IF(D38&lt;=E38,"PASS","FAIL")</f>
        <v>PASS</v>
      </c>
    </row>
    <row r="39" customFormat="false" ht="15" hidden="false" customHeight="true" outlineLevel="0" collapsed="false">
      <c r="A39" s="3" t="s">
        <v>358</v>
      </c>
      <c r="B39" s="23" t="n">
        <f aca="false">Sequencing!B10</f>
        <v>696.632729102868</v>
      </c>
      <c r="C39" s="35" t="n">
        <f aca="false">Reference_Values!B39</f>
        <v>696.632729102868</v>
      </c>
      <c r="D39" s="28" t="n">
        <f aca="false">ABS(B39-C39)</f>
        <v>0</v>
      </c>
      <c r="E39" s="36" t="n">
        <v>1E-009</v>
      </c>
      <c r="F39" s="5" t="str">
        <f aca="false">IF(D39&lt;=E39,"PASS","FAIL")</f>
        <v>PASS</v>
      </c>
    </row>
    <row r="40" customFormat="false" ht="15" hidden="false" customHeight="true" outlineLevel="0" collapsed="false">
      <c r="A40" s="3" t="s">
        <v>360</v>
      </c>
      <c r="B40" s="23" t="n">
        <f aca="false">Sequencing!C10</f>
        <v>71.5346691353518</v>
      </c>
      <c r="C40" s="35" t="n">
        <f aca="false">Reference_Values!B40</f>
        <v>71.5346691353518</v>
      </c>
      <c r="D40" s="28" t="n">
        <f aca="false">ABS(B40-C40)</f>
        <v>0</v>
      </c>
      <c r="E40" s="36" t="n">
        <v>1E-009</v>
      </c>
      <c r="F40" s="5" t="str">
        <f aca="false">IF(D40&lt;=E40,"PASS","FAIL")</f>
        <v>PASS</v>
      </c>
    </row>
    <row r="41" customFormat="false" ht="15" hidden="false" customHeight="true" outlineLevel="0" collapsed="false">
      <c r="A41" s="3" t="s">
        <v>362</v>
      </c>
      <c r="B41" s="23" t="n">
        <f aca="false">Sequencing!D10</f>
        <v>53</v>
      </c>
      <c r="C41" s="35" t="n">
        <f aca="false">Reference_Values!B41</f>
        <v>53</v>
      </c>
      <c r="D41" s="28" t="n">
        <f aca="false">ABS(B41-C41)</f>
        <v>0</v>
      </c>
      <c r="E41" s="36" t="n">
        <v>1E-009</v>
      </c>
      <c r="F41" s="5" t="str">
        <f aca="false">IF(D41&lt;=E41,"PASS","FAIL")</f>
        <v>PASS</v>
      </c>
    </row>
    <row r="42" customFormat="false" ht="15" hidden="false" customHeight="true" outlineLevel="0" collapsed="false">
      <c r="A42" s="3" t="s">
        <v>364</v>
      </c>
      <c r="B42" s="23" t="n">
        <f aca="false">Sequencing!B12</f>
        <v>732</v>
      </c>
      <c r="C42" s="35" t="n">
        <f aca="false">Reference_Values!B42</f>
        <v>732</v>
      </c>
      <c r="D42" s="28" t="n">
        <f aca="false">ABS(B42-C42)</f>
        <v>0</v>
      </c>
      <c r="E42" s="36" t="n">
        <v>1E-009</v>
      </c>
      <c r="F42" s="5" t="str">
        <f aca="false">IF(D42&lt;=E42,"PASS","FAIL")</f>
        <v>PASS</v>
      </c>
    </row>
    <row r="43" customFormat="false" ht="15" hidden="false" customHeight="true" outlineLevel="0" collapsed="false">
      <c r="A43" s="3" t="s">
        <v>366</v>
      </c>
      <c r="B43" s="23" t="n">
        <f aca="false">Sequencing!C12</f>
        <v>36.9</v>
      </c>
      <c r="C43" s="35" t="n">
        <f aca="false">Reference_Values!B43</f>
        <v>36.9</v>
      </c>
      <c r="D43" s="28" t="n">
        <f aca="false">ABS(B43-C43)</f>
        <v>0</v>
      </c>
      <c r="E43" s="36" t="n">
        <v>1E-009</v>
      </c>
      <c r="F43" s="5" t="str">
        <f aca="false">IF(D43&lt;=E43,"PASS","FAIL")</f>
        <v>PASS</v>
      </c>
    </row>
    <row r="44" customFormat="false" ht="15" hidden="false" customHeight="true" outlineLevel="0" collapsed="false">
      <c r="A44" s="3" t="s">
        <v>368</v>
      </c>
      <c r="B44" s="23" t="n">
        <f aca="false">Sequencing!F13</f>
        <v>0</v>
      </c>
      <c r="C44" s="35" t="n">
        <f aca="false">Reference_Values!B44</f>
        <v>0</v>
      </c>
      <c r="D44" s="28" t="n">
        <f aca="false">ABS(B44-C44)</f>
        <v>0</v>
      </c>
      <c r="E44" s="36" t="n">
        <v>0</v>
      </c>
      <c r="F44" s="5" t="str">
        <f aca="false">IF(D44&lt;=E44,"PASS","FAIL")</f>
        <v>PASS</v>
      </c>
    </row>
    <row r="45" customFormat="false" ht="15" hidden="false" customHeight="true" outlineLevel="0" collapsed="false">
      <c r="A45" s="3" t="s">
        <v>370</v>
      </c>
      <c r="B45" s="23" t="n">
        <f aca="false">Sequencing!B15</f>
        <v>584.632729102868</v>
      </c>
      <c r="C45" s="35" t="n">
        <f aca="false">Reference_Values!B45</f>
        <v>584.632729102868</v>
      </c>
      <c r="D45" s="28" t="n">
        <f aca="false">ABS(B45-C45)</f>
        <v>0</v>
      </c>
      <c r="E45" s="36" t="n">
        <v>1E-009</v>
      </c>
      <c r="F45" s="5" t="str">
        <f aca="false">IF(D45&lt;=E45,"PASS","FAIL")</f>
        <v>PASS</v>
      </c>
    </row>
    <row r="46" customFormat="false" ht="15" hidden="false" customHeight="true" outlineLevel="0" collapsed="false">
      <c r="A46" s="3" t="s">
        <v>372</v>
      </c>
      <c r="B46" s="23" t="n">
        <f aca="false">Sequencing!C15</f>
        <v>75.6346691353518</v>
      </c>
      <c r="C46" s="35" t="n">
        <f aca="false">Reference_Values!B46</f>
        <v>75.6346691353518</v>
      </c>
      <c r="D46" s="28" t="n">
        <f aca="false">ABS(B46-C46)</f>
        <v>0</v>
      </c>
      <c r="E46" s="36" t="n">
        <v>1E-009</v>
      </c>
      <c r="F46" s="5" t="str">
        <f aca="false">IF(D46&lt;=E46,"PASS","FAIL")</f>
        <v>PASS</v>
      </c>
    </row>
    <row r="47" customFormat="false" ht="15" hidden="false" customHeight="true" outlineLevel="0" collapsed="false">
      <c r="A47" s="3" t="s">
        <v>374</v>
      </c>
      <c r="B47" s="23" t="n">
        <f aca="false">Sequencing!B16</f>
        <v>696.632729102868</v>
      </c>
      <c r="C47" s="35" t="n">
        <f aca="false">Reference_Values!B47</f>
        <v>696.632729102868</v>
      </c>
      <c r="D47" s="28" t="n">
        <f aca="false">ABS(B47-C47)</f>
        <v>0</v>
      </c>
      <c r="E47" s="36" t="n">
        <v>1E-009</v>
      </c>
      <c r="F47" s="5" t="str">
        <f aca="false">IF(D47&lt;=E47,"PASS","FAIL")</f>
        <v>PASS</v>
      </c>
    </row>
    <row r="48" customFormat="false" ht="15" hidden="false" customHeight="true" outlineLevel="0" collapsed="false">
      <c r="A48" s="3" t="s">
        <v>375</v>
      </c>
      <c r="B48" s="23" t="n">
        <f aca="false">Sequencing!C16</f>
        <v>68.0712022218166</v>
      </c>
      <c r="C48" s="35" t="n">
        <f aca="false">Reference_Values!B48</f>
        <v>68.0712022218166</v>
      </c>
      <c r="D48" s="28" t="n">
        <f aca="false">ABS(B48-C48)</f>
        <v>0</v>
      </c>
      <c r="E48" s="36" t="n">
        <v>1E-009</v>
      </c>
      <c r="F48" s="5" t="str">
        <f aca="false">IF(D48&lt;=E48,"PASS","FAIL")</f>
        <v>PASS</v>
      </c>
    </row>
    <row r="49" customFormat="false" ht="15" hidden="false" customHeight="true" outlineLevel="0" collapsed="false">
      <c r="A49" s="3" t="s">
        <v>377</v>
      </c>
      <c r="B49" s="23" t="n">
        <f aca="false">Sequencing!D16</f>
        <v>53</v>
      </c>
      <c r="C49" s="35" t="n">
        <f aca="false">Reference_Values!B49</f>
        <v>53</v>
      </c>
      <c r="D49" s="28" t="n">
        <f aca="false">ABS(B49-C49)</f>
        <v>0</v>
      </c>
      <c r="E49" s="36" t="n">
        <v>1E-009</v>
      </c>
      <c r="F49" s="5" t="str">
        <f aca="false">IF(D49&lt;=E49,"PASS","FAIL")</f>
        <v>PASS</v>
      </c>
    </row>
    <row r="50" customFormat="false" ht="15" hidden="false" customHeight="true" outlineLevel="0" collapsed="false">
      <c r="A50" s="3" t="s">
        <v>378</v>
      </c>
      <c r="B50" s="23" t="n">
        <f aca="false">Sequencing!B18</f>
        <v>712</v>
      </c>
      <c r="C50" s="35" t="n">
        <f aca="false">Reference_Values!B50</f>
        <v>712</v>
      </c>
      <c r="D50" s="28" t="n">
        <f aca="false">ABS(B50-C50)</f>
        <v>0</v>
      </c>
      <c r="E50" s="36" t="n">
        <v>1E-009</v>
      </c>
      <c r="F50" s="5" t="str">
        <f aca="false">IF(D50&lt;=E50,"PASS","FAIL")</f>
        <v>PASS</v>
      </c>
    </row>
    <row r="51" customFormat="false" ht="15" hidden="false" customHeight="true" outlineLevel="0" collapsed="false">
      <c r="A51" s="3" t="s">
        <v>380</v>
      </c>
      <c r="B51" s="23" t="n">
        <f aca="false">Sequencing!E15</f>
        <v>481.917941377968</v>
      </c>
      <c r="C51" s="35" t="n">
        <f aca="false">Reference_Values!B51</f>
        <v>481.917941377968</v>
      </c>
      <c r="D51" s="28" t="n">
        <f aca="false">ABS(B51-C51)</f>
        <v>0</v>
      </c>
      <c r="E51" s="36" t="n">
        <v>1E-009</v>
      </c>
      <c r="F51" s="5" t="str">
        <f aca="false">IF(D51&lt;=E51,"PASS","FAIL")</f>
        <v>PASS</v>
      </c>
    </row>
    <row r="52" customFormat="false" ht="15" hidden="false" customHeight="true" outlineLevel="0" collapsed="false">
      <c r="A52" s="3" t="s">
        <v>382</v>
      </c>
      <c r="B52" s="23" t="n">
        <f aca="false">Sequencing!B19</f>
        <v>676.632729102868</v>
      </c>
      <c r="C52" s="35" t="n">
        <f aca="false">Reference_Values!B52</f>
        <v>676.632729102868</v>
      </c>
      <c r="D52" s="28" t="n">
        <f aca="false">ABS(B52-C52)</f>
        <v>0</v>
      </c>
      <c r="E52" s="36" t="n">
        <v>1E-009</v>
      </c>
      <c r="F52" s="5" t="str">
        <f aca="false">IF(D52&lt;=E52,"PASS","FAIL")</f>
        <v>PASS</v>
      </c>
    </row>
    <row r="53" customFormat="false" ht="15" hidden="false" customHeight="true" outlineLevel="0" collapsed="false">
      <c r="A53" s="3" t="s">
        <v>384</v>
      </c>
      <c r="B53" s="23" t="n">
        <f aca="false">Sequencing!C19</f>
        <v>71.5346691353518</v>
      </c>
      <c r="C53" s="35" t="n">
        <f aca="false">Reference_Values!B53</f>
        <v>71.5346691353518</v>
      </c>
      <c r="D53" s="28" t="n">
        <f aca="false">ABS(B53-C53)</f>
        <v>0</v>
      </c>
      <c r="E53" s="36" t="n">
        <v>1E-009</v>
      </c>
      <c r="F53" s="5" t="str">
        <f aca="false">IF(D53&lt;=E53,"PASS","FAIL")</f>
        <v>PASS</v>
      </c>
    </row>
    <row r="54" customFormat="false" ht="15" hidden="false" customHeight="true" outlineLevel="0" collapsed="false">
      <c r="A54" s="3" t="s">
        <v>385</v>
      </c>
      <c r="B54" s="23" t="n">
        <f aca="false">Sequencing!D19</f>
        <v>58</v>
      </c>
      <c r="C54" s="35" t="n">
        <f aca="false">Reference_Values!B54</f>
        <v>58</v>
      </c>
      <c r="D54" s="28" t="n">
        <f aca="false">ABS(B54-C54)</f>
        <v>0</v>
      </c>
      <c r="E54" s="36" t="n">
        <v>1E-009</v>
      </c>
      <c r="F54" s="5" t="str">
        <f aca="false">IF(D54&lt;=E54,"PASS","FAIL")</f>
        <v>PASS</v>
      </c>
    </row>
    <row r="55" customFormat="false" ht="15" hidden="false" customHeight="true" outlineLevel="0" collapsed="false">
      <c r="A55" s="3" t="s">
        <v>387</v>
      </c>
      <c r="B55" s="23" t="n">
        <f aca="false">Sequencing!B32</f>
        <v>20</v>
      </c>
      <c r="C55" s="35" t="n">
        <f aca="false">Reference_Values!B55</f>
        <v>20</v>
      </c>
      <c r="D55" s="28" t="n">
        <f aca="false">ABS(B55-C55)</f>
        <v>0</v>
      </c>
      <c r="E55" s="36" t="n">
        <v>1E-009</v>
      </c>
      <c r="F55" s="5" t="str">
        <f aca="false">IF(D55&lt;=E55,"PASS","FAIL")</f>
        <v>PASS</v>
      </c>
    </row>
    <row r="56" customFormat="false" ht="15" hidden="false" customHeight="true" outlineLevel="0" collapsed="false">
      <c r="A56" s="3" t="s">
        <v>389</v>
      </c>
      <c r="B56" s="23" t="n">
        <f aca="false">Sequencing!B34</f>
        <v>0</v>
      </c>
      <c r="C56" s="35" t="n">
        <f aca="false">Reference_Values!B56</f>
        <v>0</v>
      </c>
      <c r="D56" s="28" t="n">
        <f aca="false">ABS(B56-C56)</f>
        <v>0</v>
      </c>
      <c r="E56" s="36" t="n">
        <v>1E-009</v>
      </c>
      <c r="F56" s="5" t="str">
        <f aca="false">IF(D56&lt;=E56,"PASS","FAIL")</f>
        <v>PASS</v>
      </c>
    </row>
    <row r="57" customFormat="false" ht="15" hidden="false" customHeight="true" outlineLevel="0" collapsed="false">
      <c r="A57" s="3" t="s">
        <v>391</v>
      </c>
      <c r="B57" s="23" t="n">
        <f aca="false">Sequencing!C55</f>
        <v>0</v>
      </c>
      <c r="C57" s="35" t="n">
        <f aca="false">Reference_Values!B57</f>
        <v>0</v>
      </c>
      <c r="D57" s="28" t="n">
        <f aca="false">ABS(B57-C57)</f>
        <v>0</v>
      </c>
      <c r="E57" s="36" t="n">
        <v>1E-009</v>
      </c>
      <c r="F57" s="5" t="str">
        <f aca="false">IF(D57&lt;=E57,"PASS","FAIL")</f>
        <v>PASS</v>
      </c>
    </row>
    <row r="58" customFormat="false" ht="15" hidden="false" customHeight="true" outlineLevel="0" collapsed="false">
      <c r="A58" s="3" t="s">
        <v>393</v>
      </c>
      <c r="B58" s="23" t="n">
        <f aca="false">Sequencing!B56</f>
        <v>0</v>
      </c>
      <c r="C58" s="35" t="n">
        <f aca="false">Reference_Values!B58</f>
        <v>0</v>
      </c>
      <c r="D58" s="28" t="n">
        <f aca="false">ABS(B58-C58)</f>
        <v>0</v>
      </c>
      <c r="E58" s="36" t="n">
        <v>1E-009</v>
      </c>
      <c r="F58" s="5" t="str">
        <f aca="false">IF(D58&lt;=E58,"PASS","FAIL")</f>
        <v>PASS</v>
      </c>
    </row>
    <row r="59" customFormat="false" ht="15" hidden="false" customHeight="true" outlineLevel="0" collapsed="false">
      <c r="A59" s="3" t="s">
        <v>395</v>
      </c>
      <c r="B59" s="23" t="n">
        <f aca="false">Sequencing!C56</f>
        <v>3.46346691353518</v>
      </c>
      <c r="C59" s="35" t="n">
        <f aca="false">Reference_Values!B59</f>
        <v>3.46346691353517</v>
      </c>
      <c r="D59" s="28" t="n">
        <f aca="false">ABS(B59-C59)</f>
        <v>0</v>
      </c>
      <c r="E59" s="36" t="n">
        <v>1E-009</v>
      </c>
      <c r="F59" s="5" t="str">
        <f aca="false">IF(D59&lt;=E59,"PASS","FAIL")</f>
        <v>PASS</v>
      </c>
    </row>
    <row r="60" customFormat="false" ht="15" hidden="false" customHeight="true" outlineLevel="0" collapsed="false">
      <c r="A60" s="3" t="s">
        <v>397</v>
      </c>
      <c r="B60" s="23" t="n">
        <f aca="false">Sequencing!B59</f>
        <v>0</v>
      </c>
      <c r="C60" s="35" t="n">
        <f aca="false">Reference_Values!B60</f>
        <v>0</v>
      </c>
      <c r="D60" s="28" t="n">
        <f aca="false">ABS(B60-C60)</f>
        <v>0</v>
      </c>
      <c r="E60" s="36" t="n">
        <v>1E-009</v>
      </c>
      <c r="F60" s="5" t="str">
        <f aca="false">IF(D60&lt;=E60,"PASS","FAIL")</f>
        <v>PASS</v>
      </c>
    </row>
    <row r="61" customFormat="false" ht="15" hidden="false" customHeight="true" outlineLevel="0" collapsed="false">
      <c r="A61" s="3" t="s">
        <v>399</v>
      </c>
      <c r="B61" s="23" t="n">
        <f aca="false">Sequencing!B62</f>
        <v>60</v>
      </c>
      <c r="C61" s="35" t="n">
        <f aca="false">Reference_Values!B61</f>
        <v>60</v>
      </c>
      <c r="D61" s="28" t="n">
        <f aca="false">ABS(B61-C61)</f>
        <v>0</v>
      </c>
      <c r="E61" s="36" t="n">
        <v>0</v>
      </c>
      <c r="F61" s="5" t="str">
        <f aca="false">IF(D61&lt;=E61,"PASS","FAIL")</f>
        <v>PASS</v>
      </c>
    </row>
    <row r="62" customFormat="false" ht="15" hidden="false" customHeight="true" outlineLevel="0" collapsed="false">
      <c r="A62" s="3" t="s">
        <v>401</v>
      </c>
      <c r="B62" s="23" t="n">
        <f aca="false">Sequencing!C67</f>
        <v>0.0688486966648028</v>
      </c>
      <c r="C62" s="35" t="n">
        <f aca="false">Reference_Values!B62</f>
        <v>0.0688486966648028</v>
      </c>
      <c r="D62" s="28" t="n">
        <f aca="false">ABS(B62-C62)</f>
        <v>0</v>
      </c>
      <c r="E62" s="36" t="n">
        <v>1E-009</v>
      </c>
      <c r="F62" s="5" t="str">
        <f aca="false">IF(D62&lt;=E62,"PASS","FAIL")</f>
        <v>PASS</v>
      </c>
    </row>
    <row r="63" customFormat="false" ht="15" hidden="false" customHeight="true" outlineLevel="0" collapsed="false">
      <c r="A63" s="3" t="s">
        <v>403</v>
      </c>
      <c r="B63" s="23" t="n">
        <f aca="false">Sequencing!B73</f>
        <v>2.5</v>
      </c>
      <c r="C63" s="35" t="n">
        <f aca="false">Reference_Values!B63</f>
        <v>2.5</v>
      </c>
      <c r="D63" s="28" t="n">
        <f aca="false">ABS(B63-C63)</f>
        <v>0</v>
      </c>
      <c r="E63" s="36" t="n">
        <v>1E-009</v>
      </c>
      <c r="F63" s="5" t="str">
        <f aca="false">IF(D63&lt;=E63,"PASS","FAIL")</f>
        <v>PASS</v>
      </c>
    </row>
    <row r="64" customFormat="false" ht="15" hidden="false" customHeight="true" outlineLevel="0" collapsed="false">
      <c r="A64" s="3" t="s">
        <v>405</v>
      </c>
      <c r="B64" s="23" t="n">
        <f aca="false">Sequencing!C73</f>
        <v>40</v>
      </c>
      <c r="C64" s="35" t="n">
        <f aca="false">Reference_Values!B64</f>
        <v>40</v>
      </c>
      <c r="D64" s="28" t="n">
        <f aca="false">ABS(B64-C64)</f>
        <v>0</v>
      </c>
      <c r="E64" s="36" t="n">
        <v>1E-009</v>
      </c>
      <c r="F64" s="5" t="str">
        <f aca="false">IF(D64&lt;=E64,"PASS","FAIL")</f>
        <v>PASS</v>
      </c>
    </row>
    <row r="65" customFormat="false" ht="15" hidden="false" customHeight="true" outlineLevel="0" collapsed="false">
      <c r="A65" s="3" t="s">
        <v>407</v>
      </c>
      <c r="B65" s="23" t="n">
        <f aca="false">Sequencing!B75</f>
        <v>4</v>
      </c>
      <c r="C65" s="35" t="n">
        <f aca="false">Reference_Values!B65</f>
        <v>4</v>
      </c>
      <c r="D65" s="28" t="n">
        <f aca="false">ABS(B65-C65)</f>
        <v>0</v>
      </c>
      <c r="E65" s="36" t="n">
        <v>1E-009</v>
      </c>
      <c r="F65" s="5" t="str">
        <f aca="false">IF(D65&lt;=E65,"PASS","FAIL")</f>
        <v>PASS</v>
      </c>
    </row>
    <row r="66" customFormat="false" ht="15" hidden="false" customHeight="true" outlineLevel="0" collapsed="false">
      <c r="A66" s="3" t="s">
        <v>409</v>
      </c>
      <c r="B66" s="23" t="n">
        <f aca="false">Sequencing!C75</f>
        <v>37.44</v>
      </c>
      <c r="C66" s="35" t="n">
        <f aca="false">Reference_Values!B66</f>
        <v>37.44</v>
      </c>
      <c r="D66" s="28" t="n">
        <f aca="false">ABS(B66-C66)</f>
        <v>0</v>
      </c>
      <c r="E66" s="36" t="n">
        <v>1E-009</v>
      </c>
      <c r="F66" s="5" t="str">
        <f aca="false">IF(D66&lt;=E66,"PASS","FAIL")</f>
        <v>PASS</v>
      </c>
    </row>
    <row r="67" customFormat="false" ht="15" hidden="false" customHeight="true" outlineLevel="0" collapsed="false">
      <c r="A67" s="3" t="s">
        <v>411</v>
      </c>
      <c r="B67" s="23" t="n">
        <f aca="false">Sequencing!B76</f>
        <v>-1.5</v>
      </c>
      <c r="C67" s="35" t="n">
        <f aca="false">Reference_Values!B67</f>
        <v>-1.5</v>
      </c>
      <c r="D67" s="28" t="n">
        <f aca="false">ABS(B67-C67)</f>
        <v>0</v>
      </c>
      <c r="E67" s="36" t="n">
        <v>1E-009</v>
      </c>
      <c r="F67" s="5" t="str">
        <f aca="false">IF(D67&lt;=E67,"PASS","FAIL")</f>
        <v>PASS</v>
      </c>
    </row>
    <row r="68" customFormat="false" ht="15" hidden="false" customHeight="true" outlineLevel="0" collapsed="false">
      <c r="A68" s="3" t="s">
        <v>413</v>
      </c>
      <c r="B68" s="23" t="n">
        <f aca="false">Sequencing!C76</f>
        <v>2.56</v>
      </c>
      <c r="C68" s="35" t="n">
        <f aca="false">Reference_Values!B68</f>
        <v>2.56</v>
      </c>
      <c r="D68" s="28" t="n">
        <f aca="false">ABS(B68-C68)</f>
        <v>0</v>
      </c>
      <c r="E68" s="36" t="n">
        <v>1E-009</v>
      </c>
      <c r="F68" s="5" t="str">
        <f aca="false">IF(D68&lt;=E68,"PASS","FAIL")</f>
        <v>PASS</v>
      </c>
    </row>
    <row r="69" customFormat="false" ht="15" hidden="false" customHeight="true" outlineLevel="0" collapsed="false">
      <c r="A69" s="3" t="s">
        <v>415</v>
      </c>
      <c r="B69" s="23" t="n">
        <f aca="false">Sequencing!C79</f>
        <v>2.56</v>
      </c>
      <c r="C69" s="35" t="n">
        <f aca="false">Reference_Values!B69</f>
        <v>2.56</v>
      </c>
      <c r="D69" s="28" t="n">
        <f aca="false">ABS(B69-C69)</f>
        <v>0</v>
      </c>
      <c r="E69" s="36" t="n">
        <v>1E-009</v>
      </c>
      <c r="F69" s="5" t="str">
        <f aca="false">IF(D69&lt;=E69,"PASS","FAIL")</f>
        <v>PASS</v>
      </c>
    </row>
    <row r="70" customFormat="false" ht="15" hidden="false" customHeight="true" outlineLevel="0" collapsed="false">
      <c r="A70" s="3" t="s">
        <v>417</v>
      </c>
      <c r="B70" s="23" t="n">
        <f aca="false">Recommend!B6</f>
        <v>2.48832</v>
      </c>
      <c r="C70" s="35" t="n">
        <f aca="false">Reference_Values!B70</f>
        <v>2.48832</v>
      </c>
      <c r="D70" s="28" t="n">
        <f aca="false">ABS(B70-C70)</f>
        <v>0</v>
      </c>
      <c r="E70" s="36" t="n">
        <v>1E-009</v>
      </c>
      <c r="F70" s="5" t="str">
        <f aca="false">IF(D70&lt;=E70,"PASS","FAIL")</f>
        <v>PASS</v>
      </c>
    </row>
    <row r="71" customFormat="false" ht="15" hidden="false" customHeight="true" outlineLevel="0" collapsed="false">
      <c r="A71" s="3" t="s">
        <v>419</v>
      </c>
      <c r="B71" s="23" t="n">
        <f aca="false">Recommend!B7</f>
        <v>0.84672</v>
      </c>
      <c r="C71" s="35" t="n">
        <f aca="false">Reference_Values!B71</f>
        <v>0.84672</v>
      </c>
      <c r="D71" s="28" t="n">
        <f aca="false">ABS(B71-C71)</f>
        <v>0</v>
      </c>
      <c r="E71" s="36" t="n">
        <v>1E-009</v>
      </c>
      <c r="F71" s="5" t="str">
        <f aca="false">IF(D71&lt;=E71,"PASS","FAIL")</f>
        <v>PASS</v>
      </c>
    </row>
    <row r="72" customFormat="false" ht="15" hidden="false" customHeight="true" outlineLevel="0" collapsed="false">
      <c r="A72" s="3" t="s">
        <v>421</v>
      </c>
      <c r="B72" s="23" t="n">
        <f aca="false">Recommend!B14</f>
        <v>0</v>
      </c>
      <c r="C72" s="35" t="n">
        <f aca="false">Reference_Values!B72</f>
        <v>0</v>
      </c>
      <c r="D72" s="28" t="n">
        <f aca="false">ABS(B72-C72)</f>
        <v>0</v>
      </c>
      <c r="E72" s="36" t="n">
        <v>1E-009</v>
      </c>
      <c r="F72" s="5" t="str">
        <f aca="false">IF(D72&lt;=E72,"PASS","FAIL")</f>
        <v>PASS</v>
      </c>
    </row>
    <row r="73" customFormat="false" ht="15" hidden="false" customHeight="true" outlineLevel="0" collapsed="false">
      <c r="A73" s="3" t="s">
        <v>423</v>
      </c>
      <c r="B73" s="23" t="n">
        <f aca="false">Recommend!B20</f>
        <v>131.917941377968</v>
      </c>
      <c r="C73" s="35" t="n">
        <f aca="false">Reference_Values!B73</f>
        <v>131.917941377968</v>
      </c>
      <c r="D73" s="28" t="n">
        <f aca="false">ABS(B73-C73)</f>
        <v>0</v>
      </c>
      <c r="E73" s="36" t="n">
        <v>1E-009</v>
      </c>
      <c r="F73" s="5" t="str">
        <f aca="false">IF(D73&lt;=E73,"PASS","FAIL")</f>
        <v>PASS</v>
      </c>
    </row>
    <row r="74" customFormat="false" ht="15" hidden="false" customHeight="true" outlineLevel="0" collapsed="false">
      <c r="A74" s="3" t="s">
        <v>425</v>
      </c>
      <c r="B74" s="23" t="n">
        <f aca="false">Recommend!B22</f>
        <v>223.917941377968</v>
      </c>
      <c r="C74" s="35" t="n">
        <f aca="false">Reference_Values!B74</f>
        <v>223.917941377968</v>
      </c>
      <c r="D74" s="28" t="n">
        <f aca="false">ABS(B74-C74)</f>
        <v>0</v>
      </c>
      <c r="E74" s="36" t="n">
        <v>1E-009</v>
      </c>
      <c r="F74" s="5" t="str">
        <f aca="false">IF(D74&lt;=E74,"PASS","FAIL")</f>
        <v>PASS</v>
      </c>
    </row>
    <row r="75" customFormat="false" ht="15" hidden="false" customHeight="true" outlineLevel="0" collapsed="false">
      <c r="A75" s="3" t="s">
        <v>427</v>
      </c>
      <c r="B75" s="23" t="n">
        <f aca="false">RunDown!B4</f>
        <v>53</v>
      </c>
      <c r="C75" s="35" t="n">
        <f aca="false">Reference_Values!B75</f>
        <v>53</v>
      </c>
      <c r="D75" s="28" t="n">
        <f aca="false">ABS(B75-C75)</f>
        <v>0</v>
      </c>
      <c r="E75" s="36" t="n">
        <v>1E-009</v>
      </c>
      <c r="F75" s="5" t="str">
        <f aca="false">IF(D75&lt;=E75,"PASS","FAIL")</f>
        <v>PASS</v>
      </c>
    </row>
    <row r="76" customFormat="false" ht="15" hidden="false" customHeight="true" outlineLevel="0" collapsed="false">
      <c r="A76" s="3" t="s">
        <v>429</v>
      </c>
      <c r="B76" s="23" t="n">
        <f aca="false">RunDown!C4</f>
        <v>42</v>
      </c>
      <c r="C76" s="35" t="n">
        <f aca="false">Reference_Values!B76</f>
        <v>42</v>
      </c>
      <c r="D76" s="28" t="n">
        <f aca="false">ABS(B76-C76)</f>
        <v>0</v>
      </c>
      <c r="E76" s="36" t="n">
        <v>1E-009</v>
      </c>
      <c r="F76" s="5" t="str">
        <f aca="false">IF(D76&lt;=E76,"PASS","FAIL")</f>
        <v>PASS</v>
      </c>
    </row>
    <row r="77" customFormat="false" ht="15" hidden="false" customHeight="true" outlineLevel="0" collapsed="false">
      <c r="A77" s="3" t="s">
        <v>431</v>
      </c>
      <c r="B77" s="23" t="n">
        <f aca="false">RunDown!D4</f>
        <v>54.5</v>
      </c>
      <c r="C77" s="35" t="n">
        <f aca="false">Reference_Values!B77</f>
        <v>54.5</v>
      </c>
      <c r="D77" s="28" t="n">
        <f aca="false">ABS(B77-C77)</f>
        <v>0</v>
      </c>
      <c r="E77" s="36" t="n">
        <v>1E-009</v>
      </c>
      <c r="F77" s="5" t="str">
        <f aca="false">IF(D77&lt;=E77,"PASS","FAIL")</f>
        <v>PASS</v>
      </c>
    </row>
    <row r="78" customFormat="false" ht="15" hidden="false" customHeight="true" outlineLevel="0" collapsed="false">
      <c r="A78" s="3" t="s">
        <v>265</v>
      </c>
      <c r="B78" s="23" t="n">
        <f aca="false">RunDown!B9</f>
        <v>0.95</v>
      </c>
      <c r="C78" s="35" t="n">
        <f aca="false">Reference_Values!B78</f>
        <v>0.95</v>
      </c>
      <c r="D78" s="28" t="n">
        <f aca="false">ABS(B78-C78)</f>
        <v>0</v>
      </c>
      <c r="E78" s="36" t="n">
        <v>1E-008</v>
      </c>
      <c r="F78" s="5" t="str">
        <f aca="false">IF(D78&lt;=E78,"PASS","FAIL")</f>
        <v>PASS</v>
      </c>
    </row>
    <row r="79" customFormat="false" ht="15" hidden="false" customHeight="true" outlineLevel="0" collapsed="false">
      <c r="A79" s="3" t="s">
        <v>266</v>
      </c>
      <c r="B79" s="23" t="n">
        <f aca="false">RunDown!B10</f>
        <v>0.8</v>
      </c>
      <c r="C79" s="35" t="n">
        <f aca="false">Reference_Values!B79</f>
        <v>0.8</v>
      </c>
      <c r="D79" s="28" t="n">
        <f aca="false">ABS(B79-C79)</f>
        <v>0</v>
      </c>
      <c r="E79" s="36" t="n">
        <v>1E-008</v>
      </c>
      <c r="F79" s="5" t="str">
        <f aca="false">IF(D79&lt;=E79,"PASS","FAIL")</f>
        <v>PASS</v>
      </c>
    </row>
    <row r="80" customFormat="false" ht="15" hidden="false" customHeight="true" outlineLevel="0" collapsed="false">
      <c r="A80" s="3" t="s">
        <v>435</v>
      </c>
      <c r="B80" s="23" t="n">
        <f aca="false">RunDown!B11</f>
        <v>0.8</v>
      </c>
      <c r="C80" s="35" t="n">
        <f aca="false">Reference_Values!B80</f>
        <v>0.8</v>
      </c>
      <c r="D80" s="28" t="n">
        <f aca="false">ABS(B80-C80)</f>
        <v>0</v>
      </c>
      <c r="E80" s="36" t="n">
        <v>1E-008</v>
      </c>
      <c r="F80" s="5" t="str">
        <f aca="false">IF(D80&lt;=E80,"PASS","FAIL")</f>
        <v>PASS</v>
      </c>
    </row>
    <row r="81" customFormat="false" ht="15" hidden="false" customHeight="true" outlineLevel="0" collapsed="false">
      <c r="A81" s="3" t="s">
        <v>436</v>
      </c>
      <c r="B81" s="23" t="n">
        <f aca="false">RunDown!B14</f>
        <v>13.5134073339649</v>
      </c>
      <c r="C81" s="35" t="n">
        <f aca="false">Reference_Values!B81</f>
        <v>13.5134073339649</v>
      </c>
      <c r="D81" s="28" t="n">
        <f aca="false">ABS(B81-C81)</f>
        <v>0</v>
      </c>
      <c r="E81" s="36" t="n">
        <v>1E-008</v>
      </c>
      <c r="F81" s="5" t="str">
        <f aca="false">IF(D81&lt;=E81,"PASS","FAIL")</f>
        <v>PASS</v>
      </c>
    </row>
    <row r="82" customFormat="false" ht="15" hidden="false" customHeight="true" outlineLevel="0" collapsed="false">
      <c r="A82" s="3" t="s">
        <v>438</v>
      </c>
      <c r="B82" s="23" t="n">
        <f aca="false">RunDown!D19</f>
        <v>7.125</v>
      </c>
      <c r="C82" s="35" t="n">
        <f aca="false">Reference_Values!B82</f>
        <v>7.125</v>
      </c>
      <c r="D82" s="28" t="n">
        <f aca="false">ABS(B82-C82)</f>
        <v>0</v>
      </c>
      <c r="E82" s="36" t="n">
        <v>1E-009</v>
      </c>
      <c r="F82" s="5" t="str">
        <f aca="false">IF(D82&lt;=E82,"PASS","FAIL")</f>
        <v>PASS</v>
      </c>
    </row>
    <row r="83" customFormat="false" ht="15" hidden="false" customHeight="true" outlineLevel="0" collapsed="false">
      <c r="A83" s="3" t="s">
        <v>440</v>
      </c>
      <c r="B83" s="23" t="n">
        <f aca="false">RunDown!B20</f>
        <v>84</v>
      </c>
      <c r="C83" s="35" t="n">
        <f aca="false">Reference_Values!B83</f>
        <v>84</v>
      </c>
      <c r="D83" s="28" t="n">
        <f aca="false">ABS(B83-C83)</f>
        <v>0</v>
      </c>
      <c r="E83" s="36" t="n">
        <v>1E-009</v>
      </c>
      <c r="F83" s="5" t="str">
        <f aca="false">IF(D83&lt;=E83,"PASS","FAIL")</f>
        <v>PASS</v>
      </c>
    </row>
    <row r="84" customFormat="false" ht="15" hidden="false" customHeight="true" outlineLevel="0" collapsed="false">
      <c r="A84" s="3" t="s">
        <v>442</v>
      </c>
      <c r="B84" s="23" t="n">
        <f aca="false">RunDown!C20</f>
        <v>72</v>
      </c>
      <c r="C84" s="35" t="n">
        <f aca="false">Reference_Values!B84</f>
        <v>72</v>
      </c>
      <c r="D84" s="28" t="n">
        <f aca="false">ABS(B84-C84)</f>
        <v>0</v>
      </c>
      <c r="E84" s="36" t="n">
        <v>1E-009</v>
      </c>
      <c r="F84" s="5" t="str">
        <f aca="false">IF(D84&lt;=E84,"PASS","FAIL")</f>
        <v>PASS</v>
      </c>
    </row>
    <row r="85" customFormat="false" ht="15" hidden="false" customHeight="true" outlineLevel="0" collapsed="false">
      <c r="A85" s="3" t="s">
        <v>444</v>
      </c>
      <c r="B85" s="23" t="n">
        <f aca="false">RunDown!D20</f>
        <v>57</v>
      </c>
      <c r="C85" s="35" t="n">
        <f aca="false">Reference_Values!B85</f>
        <v>57</v>
      </c>
      <c r="D85" s="28" t="n">
        <f aca="false">ABS(B85-C85)</f>
        <v>0</v>
      </c>
      <c r="E85" s="36" t="n">
        <v>1E-009</v>
      </c>
      <c r="F85" s="5" t="str">
        <f aca="false">IF(D85&lt;=E85,"PASS","FAIL")</f>
        <v>PASS</v>
      </c>
    </row>
    <row r="86" customFormat="false" ht="15" hidden="false" customHeight="true" outlineLevel="0" collapsed="false">
      <c r="A86" s="3" t="s">
        <v>446</v>
      </c>
      <c r="B86" s="23" t="n">
        <f aca="false">RunDown!B22</f>
        <v>27.225229281791</v>
      </c>
      <c r="C86" s="35" t="n">
        <f aca="false">Reference_Values!B86</f>
        <v>27.225229281791</v>
      </c>
      <c r="D86" s="28" t="n">
        <f aca="false">ABS(B86-C86)</f>
        <v>0</v>
      </c>
      <c r="E86" s="36" t="n">
        <v>1E-009</v>
      </c>
      <c r="F86" s="5" t="str">
        <f aca="false">IF(D86&lt;=E86,"PASS","FAIL")</f>
        <v>PASS</v>
      </c>
    </row>
    <row r="87" customFormat="false" ht="15" hidden="false" customHeight="true" outlineLevel="0" collapsed="false">
      <c r="A87" s="3" t="s">
        <v>448</v>
      </c>
      <c r="B87" s="23" t="n">
        <f aca="false">RunDown!B24</f>
        <v>24.9600383201297</v>
      </c>
      <c r="C87" s="35" t="n">
        <f aca="false">Reference_Values!B87</f>
        <v>24.9600383201297</v>
      </c>
      <c r="D87" s="28" t="n">
        <f aca="false">ABS(B87-C87)</f>
        <v>0</v>
      </c>
      <c r="E87" s="36" t="n">
        <v>1E-009</v>
      </c>
      <c r="F87" s="5" t="str">
        <f aca="false">IF(D87&lt;=E87,"PASS","FAIL")</f>
        <v>PASS</v>
      </c>
    </row>
    <row r="88" customFormat="false" ht="15" hidden="false" customHeight="true" outlineLevel="0" collapsed="false">
      <c r="A88" s="3" t="s">
        <v>450</v>
      </c>
      <c r="B88" s="23" t="n">
        <f aca="false">RunDown!B23</f>
        <v>52.1852676019207</v>
      </c>
      <c r="C88" s="35" t="n">
        <f aca="false">Reference_Values!B88</f>
        <v>52.1852676019207</v>
      </c>
      <c r="D88" s="28" t="n">
        <f aca="false">ABS(B88-C88)</f>
        <v>0</v>
      </c>
      <c r="E88" s="36" t="n">
        <v>1E-009</v>
      </c>
      <c r="F88" s="5" t="str">
        <f aca="false">IF(D88&lt;=E88,"PASS","FAIL")</f>
        <v>PASS</v>
      </c>
    </row>
    <row r="89" customFormat="false" ht="15" hidden="false" customHeight="true" outlineLevel="0" collapsed="false">
      <c r="A89" s="3" t="s">
        <v>452</v>
      </c>
      <c r="B89" s="23" t="n">
        <f aca="false">RunDown!B15</f>
        <v>0.95</v>
      </c>
      <c r="C89" s="35" t="n">
        <f aca="false">Reference_Values!B89</f>
        <v>0.95</v>
      </c>
      <c r="D89" s="28" t="n">
        <f aca="false">ABS(B89-C89)</f>
        <v>0</v>
      </c>
      <c r="E89" s="36" t="n">
        <v>1E-009</v>
      </c>
      <c r="F89" s="5" t="str">
        <f aca="false">IF(D89&lt;=E89,"PASS","FAIL")</f>
        <v>PASS</v>
      </c>
    </row>
    <row r="90" customFormat="false" ht="15" hidden="false" customHeight="true" outlineLevel="0" collapsed="false">
      <c r="A90" s="3" t="s">
        <v>454</v>
      </c>
      <c r="B90" s="23" t="n">
        <f aca="false">RunDown!B16</f>
        <v>1.05</v>
      </c>
      <c r="C90" s="35" t="n">
        <f aca="false">Reference_Values!B90</f>
        <v>1.05</v>
      </c>
      <c r="D90" s="28" t="n">
        <f aca="false">ABS(B90-C90)</f>
        <v>0</v>
      </c>
      <c r="E90" s="36" t="n">
        <v>1E-009</v>
      </c>
      <c r="F90" s="5" t="str">
        <f aca="false">IF(D90&lt;=E90,"PASS","FAIL")</f>
        <v>PASS</v>
      </c>
    </row>
    <row r="91" customFormat="false" ht="15" hidden="false" customHeight="true" outlineLevel="0" collapsed="false">
      <c r="A91" s="3" t="s">
        <v>456</v>
      </c>
      <c r="B91" s="23" t="n">
        <f aca="false">RunDown!G22</f>
        <v>1.117481875</v>
      </c>
      <c r="C91" s="35" t="n">
        <f aca="false">Reference_Values!B91</f>
        <v>1.117481875</v>
      </c>
      <c r="D91" s="28" t="n">
        <f aca="false">ABS(B91-C91)</f>
        <v>0</v>
      </c>
      <c r="E91" s="36" t="n">
        <v>1E-009</v>
      </c>
      <c r="F91" s="5" t="str">
        <f aca="false">IF(D91&lt;=E91,"PASS","FAIL")</f>
        <v>PASS</v>
      </c>
    </row>
    <row r="92" customFormat="false" ht="15" hidden="false" customHeight="true" outlineLevel="0" collapsed="false">
      <c r="A92" s="3" t="s">
        <v>458</v>
      </c>
      <c r="B92" s="23" t="n">
        <f aca="false">RunDown!G23</f>
        <v>5</v>
      </c>
      <c r="C92" s="35" t="n">
        <f aca="false">Reference_Values!B92</f>
        <v>5</v>
      </c>
      <c r="D92" s="28" t="n">
        <f aca="false">ABS(B92-C92)</f>
        <v>0</v>
      </c>
      <c r="E92" s="36" t="n">
        <v>0</v>
      </c>
      <c r="F92" s="5" t="str">
        <f aca="false">IF(D92&lt;=E92,"PASS","FAIL")</f>
        <v>PASS</v>
      </c>
    </row>
    <row r="93" customFormat="false" ht="15" hidden="false" customHeight="true" outlineLevel="0" collapsed="false">
      <c r="A93" s="3" t="s">
        <v>460</v>
      </c>
      <c r="B93" s="23" t="n">
        <f aca="false">RunDown!G24</f>
        <v>11</v>
      </c>
      <c r="C93" s="35" t="n">
        <f aca="false">Reference_Values!B93</f>
        <v>11</v>
      </c>
      <c r="D93" s="28" t="n">
        <f aca="false">ABS(B93-C93)</f>
        <v>0</v>
      </c>
      <c r="E93" s="36" t="n">
        <v>0</v>
      </c>
      <c r="F93" s="5" t="str">
        <f aca="false">IF(D93&lt;=E93,"PASS","FAIL")</f>
        <v>PASS</v>
      </c>
    </row>
    <row r="94" customFormat="false" ht="15" hidden="false" customHeight="true" outlineLevel="0" collapsed="false">
      <c r="A94" s="3" t="s">
        <v>461</v>
      </c>
      <c r="B94" s="23" t="n">
        <f aca="false">RunDown!G25</f>
        <v>0</v>
      </c>
      <c r="C94" s="35" t="n">
        <f aca="false">Reference_Values!B94</f>
        <v>0</v>
      </c>
      <c r="D94" s="28" t="n">
        <f aca="false">ABS(B94-C94)</f>
        <v>0</v>
      </c>
      <c r="E94" s="36" t="n">
        <v>1E-012</v>
      </c>
      <c r="F94" s="5" t="str">
        <f aca="false">IF(D94&lt;=E94,"PASS","FAIL")</f>
        <v>PASS</v>
      </c>
    </row>
    <row r="96" customFormat="false" ht="15" hidden="false" customHeight="true" outlineLevel="0" collapsed="false">
      <c r="A96" s="5" t="s">
        <v>467</v>
      </c>
      <c r="F96" s="5" t="str">
        <f aca="false">IF(COUNTIF(F2:F94,"PASS")=93,"ALL PASS","CHECK")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2026-10-05T08:37:18Z</dcterms:created>
  <dc:creator>openpyxl</dc:creator>
  <dc:description/>
  <dc:language>en-US</dc:language>
  <cp:lastModifiedBy/>
  <dcterms:modified xsi:type="dcterms:W3CDTF">2026-10-12T23:17:58Z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