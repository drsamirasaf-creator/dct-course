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eclarations" sheetId="2" state="visible" r:id="rId4"/>
    <sheet name="Chain" sheetId="3" state="visible" r:id="rId5"/>
    <sheet name="Projection" sheetId="4" state="visible" r:id="rId6"/>
    <sheet name="RollUpTest" sheetId="5" state="visible" r:id="rId7"/>
    <sheet name="TotalOnly" sheetId="6" state="visible" r:id="rId8"/>
    <sheet name="Repair" sheetId="7" state="visible" r:id="rId9"/>
    <sheet name="FitExtrapolate" sheetId="8" state="visible" r:id="rId10"/>
    <sheet name="LeaveRecord" sheetId="9" state="visible" r:id="rId11"/>
    <sheet name="Triggers" sheetId="10" state="visible" r:id="rId12"/>
    <sheet name="Contract" sheetId="11" state="visible" r:id="rId13"/>
    <sheet name="Reference_Values" sheetId="12" state="visible" r:id="rId14"/>
    <sheet name="Checks" sheetId="13" state="visible" r:id="rId15"/>
  </sheets>
  <definedNames>
    <definedName function="false" hidden="false" name="A_leg0" vbProcedure="false">Declarations!$B$12</definedName>
    <definedName function="false" hidden="false" name="A_soft0" vbProcedure="false">Declarations!$C$12</definedName>
    <definedName function="false" hidden="false" name="B_leg0" vbProcedure="false">Declarations!$B$13</definedName>
    <definedName function="false" hidden="false" name="B_soft0" vbProcedure="false">Declarations!$C$13</definedName>
    <definedName function="false" hidden="false" name="Exit_L" vbProcedure="false">Declarations!$B$4</definedName>
    <definedName function="false" hidden="false" name="Exit_S" vbProcedure="false">Declarations!$B$6</definedName>
    <definedName function="false" hidden="false" name="Keep_L" vbProcedure="false">Declarations!$B$7</definedName>
    <definedName function="false" hidden="false" name="Keep_S" vbProcedure="false">Declarations!$B$8</definedName>
    <definedName function="false" hidden="false" name="Rate_r" vbProcedure="false">TotalOnly!$B$3</definedName>
    <definedName function="false" hidden="false" name="Retrain" vbProcedure="false">Declarations!$B$5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<sst xmlns="http://schemas.openxmlformats.org/spreadsheetml/2006/main" count="669" uniqueCount="521">
  <si>
    <t xml:space="preserve">DCT Laboratory — Vol I, Ch 4: Enterprise Modeling Principles</t>
  </si>
  <si>
    <t xml:space="preserve">Seed 26104 · Companion to DCT_V1_Ch04_Lab.ipynb and AXIOM Lab 1.4 (module AXIOM-04). Headcounts in engineers.</t>
  </si>
  <si>
    <t xml:space="preserve">Worked Example 4.1, When the Roll-Up Breaks, with the book's declarations, and the five steps of AXIOM Lab 1.4, Can We Trust the Model?</t>
  </si>
  <si>
    <t xml:space="preserve">Declarations: the two units of Industrial Systems and the annual rates of Worked Example 4.1; the matrix A of Appendix 4.A.</t>
  </si>
  <si>
    <t xml:space="preserve">Chain: Table 4.1's four model types, and Table 4.4's verification items run on the Worked Example's model (lab step 1).</t>
  </si>
  <si>
    <t xml:space="preserve">Projection: the detailed model year by year, Step 1 and Table 4.5's first rows (lab step 2).</t>
  </si>
  <si>
    <t xml:space="preserve">RollUpTest: Step 2 and Theorem 4.2's linear test for the total and for any one-row summary you enter (lab step 2).</t>
  </si>
  <si>
    <t xml:space="preserve">TotalOnly: the planning model calibrated on Unit A's first year, Table 4.5's errors and Online Appendix 4.B's bound (Step 3).</t>
  </si>
  <si>
    <t xml:space="preserve">Repair: what the total hides, the summary carried with the software share, and Proposition 4.3 (Steps 4-5).</t>
  </si>
  <si>
    <t xml:space="preserve">FitExtrapolate: the lab's bench, a straight line and polynomials up to degree 8 fitted by LINEST (lab step 3).</t>
  </si>
  <si>
    <t xml:space="preserve">LeaveRecord: two models that fit one record equally well and part beyond it (Theorem 4.3; lab step 4).</t>
  </si>
  <si>
    <t xml:space="preserve">Triggers: five years of use replayed, with error and mix triggers whose tolerances you set (lab step 5).</t>
  </si>
  <si>
    <t xml:space="preserve">Contract: the modeling contract for the digital-program model, the lab's deliverable, with Tables 4.2-4.4.</t>
  </si>
  <si>
    <t xml:space="preserve">Every result is a formula of the declarations; the bench's measurement errors are the only engine values. Reference_Values and Checks: the notebook engine's numbers and a PASS/FAIL comparison with this workbook's formulas.</t>
  </si>
  <si>
    <t xml:space="preserve">LEGEND</t>
  </si>
  <si>
    <t xml:space="preserve">Input: blue on pale gold. A declaration from the book; change it to explore.</t>
  </si>
  <si>
    <t xml:space="preserve">Formula: black. Recalculates from the inputs.</t>
  </si>
  <si>
    <t xml:space="preserve">Engine value: green on pale green. Computed by the notebook's engine (the book's numbers); the Checks sheet compares the workbook's formulas with them.</t>
  </si>
  <si>
    <t xml:space="preserve">Cross-sheet link: green.</t>
  </si>
  <si>
    <t xml:space="preserve">Declarations (Worked Example 4.1, the situation). Headcounts in engineers; rates are shares of a pool a year.</t>
  </si>
  <si>
    <t xml:space="preserve">Quantity</t>
  </si>
  <si>
    <t xml:space="preserve">Value</t>
  </si>
  <si>
    <t xml:space="preserve">Source</t>
  </si>
  <si>
    <t xml:space="preserve">Legacy engineers who leave the company, a year</t>
  </si>
  <si>
    <t xml:space="preserve">Worked Example 4.1: 5 percent</t>
  </si>
  <si>
    <t xml:space="preserve">Legacy engineers retrained into software skills, a year</t>
  </si>
  <si>
    <t xml:space="preserve">3 percent</t>
  </si>
  <si>
    <t xml:space="preserve">Software engineers who leave, a year</t>
  </si>
  <si>
    <t xml:space="preserve">4 percent</t>
  </si>
  <si>
    <t xml:space="preserve">Legacy pool kept, a = 1 - 0.05 - 0.03</t>
  </si>
  <si>
    <t xml:space="preserve">0.92 (Appendix 4.A)</t>
  </si>
  <si>
    <t xml:space="preserve">Software pool kept, d = 1 - 0.04</t>
  </si>
  <si>
    <t xml:space="preserve">0.96 (Appendix 4.A)</t>
  </si>
  <si>
    <t xml:space="preserve">Legacy engineers who leave the legacy pool, a year</t>
  </si>
  <si>
    <t xml:space="preserve">8 percent: 5 leave the company, 3 are retrained</t>
  </si>
  <si>
    <t xml:space="preserve">Unit of Industrial Systems</t>
  </si>
  <si>
    <t xml:space="preserve">Legacy engineers today</t>
  </si>
  <si>
    <t xml:space="preserve">Software engineers today</t>
  </si>
  <si>
    <t xml:space="preserve">Total today</t>
  </si>
  <si>
    <t xml:space="preserve">Software share today</t>
  </si>
  <si>
    <t xml:space="preserve">Unit A</t>
  </si>
  <si>
    <t xml:space="preserve">Unit B</t>
  </si>
  <si>
    <t xml:space="preserve">The detailed model x' = A x (Appendix 4.A)</t>
  </si>
  <si>
    <t xml:space="preserve">Legacy column</t>
  </si>
  <si>
    <t xml:space="preserve">Software column</t>
  </si>
  <si>
    <t xml:space="preserve">Row of A for next year's legacy engineers</t>
  </si>
  <si>
    <t xml:space="preserve">Row of A for next year's software engineers</t>
  </si>
  <si>
    <t xml:space="preserve">The HR dashboard's summary is the total H = legacy + software: the roll-up P = [1 1]. The planning model projects each unit's total with one attrition rate, calibrated on Unit A's first year (TotalOnly).</t>
  </si>
  <si>
    <t xml:space="preserve">Walk the chain: Table 4.1 and Table 4.4's verification items (Definitions 4.1 and 4.5; AXIOM Lab 1.4, step 1)</t>
  </si>
  <si>
    <t xml:space="preserve">Type (Table 4.1)</t>
  </si>
  <si>
    <t xml:space="preserve">Medium</t>
  </si>
  <si>
    <t xml:space="preserve">Question it settles</t>
  </si>
  <si>
    <t xml:space="preserve">Typical failure</t>
  </si>
  <si>
    <t xml:space="preserve">Worked Example 4.1's question at this link</t>
  </si>
  <si>
    <t xml:space="preserve">Conceptual</t>
  </si>
  <si>
    <t xml:space="preserve">diagrams, prose</t>
  </si>
  <si>
    <t xml:space="preserve">what matters and how it connects</t>
  </si>
  <si>
    <t xml:space="preserve">omitted mechanism; wrong boundary</t>
  </si>
  <si>
    <t xml:space="preserve">two pools of engineers in each unit; engineers leave, and legacy engineers are retrained into software</t>
  </si>
  <si>
    <t xml:space="preserve">Logical</t>
  </si>
  <si>
    <t xml:space="preserve">structured schema</t>
  </si>
  <si>
    <t xml:space="preserve">which readings, links, constraints</t>
  </si>
  <si>
    <t xml:space="preserve">hidden variable; category error</t>
  </si>
  <si>
    <t xml:space="preserve">a unit's state is (legacy, software); links legacy to software and both pools to exit; no pool is negative</t>
  </si>
  <si>
    <t xml:space="preserve">Mathematical</t>
  </si>
  <si>
    <t xml:space="preserve">spaces, mappings</t>
  </si>
  <si>
    <t xml:space="preserve">exact form of dynamics and constraints</t>
  </si>
  <si>
    <t xml:space="preserve">unearned assumption (linearity, independence)</t>
  </si>
  <si>
    <t xml:space="preserve">x' = A x with A = [[0.92, 0], [0.03, 0.96]] (Appendix 4.A)</t>
  </si>
  <si>
    <t xml:space="preserve">Computational</t>
  </si>
  <si>
    <t xml:space="preserve">code, data</t>
  </si>
  <si>
    <t xml:space="preserve">numbers, paths, optima</t>
  </si>
  <si>
    <t xml:space="preserve">implementation bug; discretization artifact</t>
  </si>
  <si>
    <t xml:space="preserve">the Projection sheet: the recursion, year by year</t>
  </si>
  <si>
    <t xml:space="preserve">Model types in the chain</t>
  </si>
  <si>
    <t xml:space="preserve">The completed chain is Definition 4.1's quadruple M = (X, mu, f-hat, g-hat): headcount pairs; engineers counted by skill pool; f-hat(x) = A x, the modeler's claim; g-hat(x) = the total, the dashboard's reading.</t>
  </si>
  <si>
    <t xml:space="preserve">Verification item (Table 4.4)</t>
  </si>
  <si>
    <t xml:space="preserve">What it tests</t>
  </si>
  <si>
    <t xml:space="preserve">Result</t>
  </si>
  <si>
    <t xml:space="preserve">Reading</t>
  </si>
  <si>
    <t xml:space="preserve">Mathematics renders the logic</t>
  </si>
  <si>
    <t xml:space="preserve">1 - each column sum of A equals the declared exits</t>
  </si>
  <si>
    <t xml:space="preserve">0: 5 and 4 percent leave, as declared</t>
  </si>
  <si>
    <t xml:space="preserve">Code implements the mathematics</t>
  </si>
  <si>
    <t xml:space="preserve">the recursion (Projection) against the closed form, years 0-5</t>
  </si>
  <si>
    <t xml:space="preserve">a test on a known solution</t>
  </si>
  <si>
    <t xml:space="preserve">Constraints preserved (Definition 4.5)</t>
  </si>
  <si>
    <t xml:space="preserve">negative pools over 100 years, both units</t>
  </si>
  <si>
    <t xml:space="preserve">0: the model never leaves its own admissible region</t>
  </si>
  <si>
    <t xml:space="preserve">years in which a unit's total rises (no hiring is declared)</t>
  </si>
  <si>
    <t xml:space="preserve">0</t>
  </si>
  <si>
    <t xml:space="preserve">Year</t>
  </si>
  <si>
    <t xml:space="preserve">Closed form: Unit A legacy</t>
  </si>
  <si>
    <t xml:space="preserve">Unit A software</t>
  </si>
  <si>
    <t xml:space="preserve">Unit B legacy</t>
  </si>
  <si>
    <t xml:space="preserve">Unit B software</t>
  </si>
  <si>
    <t xml:space="preserve">|gap| A legacy</t>
  </si>
  <si>
    <t xml:space="preserve">|gap| A software</t>
  </si>
  <si>
    <t xml:space="preserve">|gap| B legacy</t>
  </si>
  <si>
    <t xml:space="preserve">|gap| B software</t>
  </si>
  <si>
    <t xml:space="preserve">Closed form: legacy(k) = 0.92^k legacy(0); software(k) = 0.96^k software(0) + 0.03 legacy(0) (0.96^k - 0.92^k) / (0.96 - 0.92). Verification is internal: it can pass for a model that tracks nothing (Figure 4.1); validation, on LeaveRecord, compares the end of the chain with a record.</t>
  </si>
  <si>
    <t xml:space="preserve">Project the detailed model: Step 1 and Table 4.5's first rows (Worked Example 4.1; AXIOM Lab 1.4, step 2)</t>
  </si>
  <si>
    <t xml:space="preserve">Step 1: next year</t>
  </si>
  <si>
    <t xml:space="preserve">Legacy engineers</t>
  </si>
  <si>
    <t xml:space="preserve">Software engineers</t>
  </si>
  <si>
    <t xml:space="preserve">Total</t>
  </si>
  <si>
    <t xml:space="preserve">Table 4.5, detailed model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</si>
  <si>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</si>
  <si>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</si>
  <si>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</si>
  <si>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</si>
  <si>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</si>
  <si>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</si>
  <si>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 A, detailed model</t>
  </si>
  <si>
    <t xml:space="preserve">Unit B, detailed model</t>
  </si>
  <si>
    <t xml:space="preserve">Unit A: legacy</t>
  </si>
  <si>
    <t xml:space="preserve">Unit A: software</t>
  </si>
  <si>
    <t xml:space="preserve">Unit A: total</t>
  </si>
  <si>
    <t xml:space="preserve">Unit A: software share</t>
  </si>
  <si>
    <t xml:space="preserve">Unit B: legacy</t>
  </si>
  <si>
    <t xml:space="preserve">Unit B: software</t>
  </si>
  <si>
    <t xml:space="preserve">Unit B: total</t>
  </si>
  <si>
    <t xml:space="preserve">Unit B: software share</t>
  </si>
  <si>
    <t xml:space="preserve">Apply the roll-up test (Worked Example 4.1, Step 2; Theorem 4.2; Appendix 4.A; Figure 4.2; AXIOM Lab 1.4, step 2)</t>
  </si>
  <si>
    <t xml:space="preserve">Step 2</t>
  </si>
  <si>
    <t xml:space="preserve">B - A</t>
  </si>
  <si>
    <t xml:space="preserve">Total next year</t>
  </si>
  <si>
    <t xml:space="preserve">The same summary today, a different summary next year: the dynamics split the fiber of 500 (Figure 4.2). The total alone is not a state.</t>
  </si>
  <si>
    <t xml:space="preserve">One-row roll-up p (Appendix 4.A, linear case)</t>
  </si>
  <si>
    <t xml:space="preserve">p: legacy weight</t>
  </si>
  <si>
    <t xml:space="preserve">p: software weight</t>
  </si>
  <si>
    <t xml:space="preserve">ker p spanned by v: legacy</t>
  </si>
  <si>
    <t xml:space="preserve">v: software</t>
  </si>
  <si>
    <t xml:space="preserve">A v: legacy</t>
  </si>
  <si>
    <t xml:space="preserve">A v: software</t>
  </si>
  <si>
    <t xml:space="preserve">p . A v (0 passes)</t>
  </si>
  <si>
    <t xml:space="preserve">Verdict (Theorem 4.2)</t>
  </si>
  <si>
    <t xml:space="preserve">Rate if it passes</t>
  </si>
  <si>
    <t xml:space="preserve">total (the dashboard)</t>
  </si>
  <si>
    <t xml:space="preserve">software engineers</t>
  </si>
  <si>
    <t xml:space="preserve">legacy engineers</t>
  </si>
  <si>
    <t xml:space="preserve">3 legacy + 4 software</t>
  </si>
  <si>
    <t xml:space="preserve">your own summary</t>
  </si>
  <si>
    <t xml:space="preserve">For the total, v = (1, -1) and A v = (0.92, -0.93), outside ker P (Appendix 4.A). A one-row roll-up passes exactly when p is a left eigenvector of A: the legacy count (rate 0.92) or 3 legacy + 4 software (0.96).</t>
  </si>
  <si>
    <t xml:space="preserve">Move Unit A along each summary's fiber by t (engineers)</t>
  </si>
  <si>
    <t xml:space="preserve">A pair with the same summary today</t>
  </si>
  <si>
    <t xml:space="preserve">Second unit: legacy</t>
  </si>
  <si>
    <t xml:space="preserve">Second unit: software</t>
  </si>
  <si>
    <t xml:space="preserve">Summary today: Unit A</t>
  </si>
  <si>
    <t xml:space="preserve">Summary today: second unit</t>
  </si>
  <si>
    <t xml:space="preserve">Summary next year: Unit A</t>
  </si>
  <si>
    <t xml:space="preserve">Summary next year: second unit</t>
  </si>
  <si>
    <t xml:space="preserve">Gap next year</t>
  </si>
  <si>
    <t xml:space="preserve">With t = -300 the total's pair is Units A and B: 500 and 500 today, 476 and 479 next year. A summary that passes gives the same next-year summary for every pair; one that fails splits them. Change p in row 13 to test your own summary.</t>
  </si>
  <si>
    <t xml:space="preserve">Watch the error grow: the total-only model (Worked Example 4.1, Step 3; Table 4.5; Online Appendix 4.B)</t>
  </si>
  <si>
    <t xml:space="preserve">Rate calibrated on Unit A's first year: total next year / total today</t>
  </si>
  <si>
    <t xml:space="preserve">Total-only model (x 0.952 a year)</t>
  </si>
  <si>
    <t xml:space="preserve">Error for Unit B</t>
  </si>
  <si>
    <t xml:space="preserve">Error for Unit A</t>
  </si>
  <si>
    <t xml:space="preserve">One-step miss for Unit B</t>
  </si>
  <si>
    <t xml:space="preserve">Online Appendix 4.B bound</t>
  </si>
  <si>
    <t xml:space="preserve">delta: the largest one-step miss along Unit B's path</t>
  </si>
  <si>
    <t xml:space="preserve">L: the summary model's Lipschitz constant, its rate</t>
  </si>
  <si>
    <t xml:space="preserve">Years in which the bound fails</t>
  </si>
  <si>
    <t xml:space="preserve">With L = 1 the bound would be k delta: by year five</t>
  </si>
  <si>
    <t xml:space="preserve">Online Appendix 4.B: a summary model that misses by at most delta in one step and is Lipschitz with constant L is off by at most delta (L^k - 1)/(L - 1) after k periods. Unit B's error grows from 3 engineers in year one to about 13 by year five; the error for Unit A is not printed in the book.</t>
  </si>
  <si>
    <t xml:space="preserve">See what the total hides, and repair the summary (Worked Example 4.1, Steps 4-5; Theorems 4.1-4.2; Proposition 4.3)</t>
  </si>
  <si>
    <t xml:space="preserve">Step 4, year five</t>
  </si>
  <si>
    <t xml:space="preserve">Theorem 4.1: today both units are the dashboard state 500 and differ by 300 software engineers; a question about software capacity cannot be answered from the dashboard.</t>
  </si>
  <si>
    <t xml:space="preserve">All engineers</t>
  </si>
  <si>
    <t xml:space="preserve">Software share</t>
  </si>
  <si>
    <t xml:space="preserve">Step 5: carry the software share s with the total H</t>
  </si>
  <si>
    <t xml:space="preserve">Base rate: 1 - legacy exits</t>
  </si>
  <si>
    <t xml:space="preserve">0.95</t>
  </si>
  <si>
    <t xml:space="preserve">Mix coefficient: legacy exits - software exits</t>
  </si>
  <si>
    <t xml:space="preserve">0.01</t>
  </si>
  <si>
    <t xml:space="preserve">Unit A next year: H (0.95 + 0.01 s)</t>
  </si>
  <si>
    <t xml:space="preserve">500 x (0.95 + 0.01 x 0.2) = 476</t>
  </si>
  <si>
    <t xml:space="preserve">Unit B next year: H (0.95 + 0.01 s)</t>
  </si>
  <si>
    <t xml:space="preserve">500 x (0.95 + 0.01 x 0.8) = 479</t>
  </si>
  <si>
    <t xml:space="preserve">Unit A: H</t>
  </si>
  <si>
    <t xml:space="preserve">Unit A: s</t>
  </si>
  <si>
    <t xml:space="preserve">Unit B: H</t>
  </si>
  <si>
    <t xml:space="preserve">Unit B: s</t>
  </si>
  <si>
    <t xml:space="preserve">Table 4.5: Unit A</t>
  </si>
  <si>
    <t xml:space="preserve">Table 4.5: Unit B</t>
  </si>
  <si>
    <t xml:space="preserve">|gap| Unit A</t>
  </si>
  <si>
    <t xml:space="preserve">|gap| Unit B</t>
  </si>
  <si>
    <t xml:space="preserve">Largest gap, the (H, s) model against Table 4.5</t>
  </si>
  <si>
    <t xml:space="preserve">The share follows its own rule, s' = (0.03 + 0.93 s) / (0.95 + 0.01 s): the enlarged summary is a state (Theorem 4.2) and agrees with the detailed model at every horizon.</t>
  </si>
  <si>
    <t xml:space="preserve">Proposition 4.3: roll the two units up once more</t>
  </si>
  <si>
    <t xml:space="preserve">Engineers in the two units together</t>
  </si>
  <si>
    <t xml:space="preserve">Their software share</t>
  </si>
  <si>
    <t xml:space="preserve">Next year by the (H, s) model</t>
  </si>
  <si>
    <t xml:space="preserve">Next year, Unit A + Unit B (Step 1)</t>
  </si>
  <si>
    <t xml:space="preserve">Next year by the total-only model</t>
  </si>
  <si>
    <t xml:space="preserve">Fit and extrapolate: the model bench (Section 4.5; AXIOM Lab 1.4, step 3)</t>
  </si>
  <si>
    <t xml:space="preserve">Bench settings, not Meridian facts. The measurement errors (column D) are the engine's draws with the lab's seed 26104; everything else is a formula. Least squares by LINEST on quarters 1-16; judged on 17-24.</t>
  </si>
  <si>
    <t xml:space="preserve">Ceiling of the S-curve (percent of target users)</t>
  </si>
  <si>
    <t xml:space="preserve">Speed (a quarter)</t>
  </si>
  <si>
    <t xml:space="preserve">Midpoint (quarter)</t>
  </si>
  <si>
    <t xml:space="preserve">Measurement error, standard deviation (points)</t>
  </si>
  <si>
    <t xml:space="preserve">History: quarters 1 to</t>
  </si>
  <si>
    <t xml:space="preserve">Later quarters</t>
  </si>
  <si>
    <t xml:space="preserve">Quarter</t>
  </si>
  <si>
    <t xml:space="preserve">z = (quarter - 8.5) / 7.5</t>
  </si>
  <si>
    <t xml:space="preserve">S-curve</t>
  </si>
  <si>
    <t xml:space="preserve">Measurement error (engine, seed 26104)</t>
  </si>
  <si>
    <t xml:space="preserve">Observed adoption</t>
  </si>
  <si>
    <t xml:space="preserve">z^1</t>
  </si>
  <si>
    <t xml:space="preserve">z^2</t>
  </si>
  <si>
    <t xml:space="preserve">z^3</t>
  </si>
  <si>
    <t xml:space="preserve">z^4</t>
  </si>
  <si>
    <t xml:space="preserve">z^5</t>
  </si>
  <si>
    <t xml:space="preserve">z^6</t>
  </si>
  <si>
    <t xml:space="preserve">z^7</t>
  </si>
  <si>
    <t xml:space="preserve">z^8</t>
  </si>
  <si>
    <t xml:space="preserve">Fit, degree 1</t>
  </si>
  <si>
    <t xml:space="preserve">Fit, degree 2</t>
  </si>
  <si>
    <t xml:space="preserve">Fit, degree 3</t>
  </si>
  <si>
    <t xml:space="preserve">Fit, degree 4</t>
  </si>
  <si>
    <t xml:space="preserve">Fit, degree 5</t>
  </si>
  <si>
    <t xml:space="preserve">Fit, degree 6</t>
  </si>
  <si>
    <t xml:space="preserve">Fit, degree 7</t>
  </si>
  <si>
    <t xml:space="preserve">Fit, degree 8</t>
  </si>
  <si>
    <t xml:space="preserve">Degree</t>
  </si>
  <si>
    <t xml:space="preserve">Coefficient of z^0</t>
  </si>
  <si>
    <t xml:space="preserve">Degree (the complexity slider)</t>
  </si>
  <si>
    <t xml:space="preserve">Parameters</t>
  </si>
  <si>
    <t xml:space="preserve">RMS error on the history</t>
  </si>
  <si>
    <t xml:space="preserve">RMS error on later quarters</t>
  </si>
  <si>
    <t xml:space="preserve">Forecast for quarter 24</t>
  </si>
  <si>
    <t xml:space="preserve">Better on history, worse later</t>
  </si>
  <si>
    <t xml:space="preserve">Rich models that fit the history better than the line and forecast worse</t>
  </si>
  <si>
    <t xml:space="preserve">The rich model's degree (slide it)</t>
  </si>
  <si>
    <t xml:space="preserve">Its RMS error on the history, and on later quarters</t>
  </si>
  <si>
    <t xml:space="preserve">Each added degree fits the history better, as it must; the forecast does not follow. A fitted curve's only content is its record (Section 4.5).</t>
  </si>
  <si>
    <t xml:space="preserve">Leave the record: two models, one record (Definition 4.6; Theorem 4.3; Figure 4.3; Table 4.4; AXIOM Lab 1.4, step 4)</t>
  </si>
  <si>
    <t xml:space="preserve">The record: Unit A's first year</t>
  </si>
  <si>
    <t xml:space="preserve">Total today, H</t>
  </si>
  <si>
    <t xml:space="preserve">Software share today, s</t>
  </si>
  <si>
    <t xml:space="preserve">Total next year, as recorded</t>
  </si>
  <si>
    <t xml:space="preserve">Model fitted to the record</t>
  </si>
  <si>
    <t xml:space="preserve">Prediction</t>
  </si>
  <si>
    <t xml:space="preserve">Discrepancy</t>
  </si>
  <si>
    <t xml:space="preserve">Squared error</t>
  </si>
  <si>
    <t xml:space="preserve">Total-only model: rate x H</t>
  </si>
  <si>
    <t xml:space="preserve">Detailed model: H (0.95 + 0.01 s)</t>
  </si>
  <si>
    <t xml:space="preserve">A unit of any size on the record's mix</t>
  </si>
  <si>
    <t xml:space="preserve">Total-only model</t>
  </si>
  <si>
    <t xml:space="preserve">Detailed model</t>
  </si>
  <si>
    <t xml:space="preserve">Gap</t>
  </si>
  <si>
    <t xml:space="preserve">Beyond the record: software share of a unit of 500</t>
  </si>
  <si>
    <t xml:space="preserve">Gap at Unit B's mix, 80 percent software</t>
  </si>
  <si>
    <t xml:space="preserve">Unit A's five-year record: the total-only model's largest miss</t>
  </si>
  <si>
    <t xml:space="preserve">Unit B, year five: the total-only model's miss</t>
  </si>
  <si>
    <t xml:space="preserve">Both models fit the record exactly and agree for every unit on its mix: no statistic computed from the record can tell them apart (Theorem 4.3). Off the record they separate in proportion to the distance from it.</t>
  </si>
  <si>
    <t xml:space="preserve">Section 4.5: the digital-program model, validated on seven years of history</t>
  </si>
  <si>
    <t xml:space="preserve">In the record?</t>
  </si>
  <si>
    <t xml:space="preserve">The evidence</t>
  </si>
  <si>
    <t xml:space="preserve">the program's leverage and liquidity</t>
  </si>
  <si>
    <t xml:space="preserve">within the ranges history visited</t>
  </si>
  <si>
    <t xml:space="preserve">validation evidence applies</t>
  </si>
  <si>
    <t xml:space="preserve">capability spending above 40 percent of capital spending</t>
  </si>
  <si>
    <t xml:space="preserve">no year in the record</t>
  </si>
  <si>
    <t xml:space="preserve">carried by assumptions</t>
  </si>
  <si>
    <t xml:space="preserve">two platforms run side by side</t>
  </si>
  <si>
    <t xml:space="preserve">no period in the record</t>
  </si>
  <si>
    <t xml:space="preserve">a talent market like the one the hiring plan assumes</t>
  </si>
  <si>
    <t xml:space="preserve">none in the record</t>
  </si>
  <si>
    <t xml:space="preserve">The assumptions that carry it: an attrition mechanism credentialed elsewhere, an adoption mechanism declared as an assumption rather than fitted. The model's report should say so beside each such number.</t>
  </si>
  <si>
    <t xml:space="preserve">Set triggers: replay five years of use (Section 4.6; Figure 4.4; Table 4.4; AXIOM Lab 1.4, step 5)</t>
  </si>
  <si>
    <t xml:space="preserve">Calibration mix: Unit A's software share today</t>
  </si>
  <si>
    <t xml:space="preserve">Error tolerance (engineers): a setting, the book declares none</t>
  </si>
  <si>
    <t xml:space="preserve">Mix tolerance (points of software share): a setting</t>
  </si>
  <si>
    <t xml:space="preserve">Unit A: plan error</t>
  </si>
  <si>
    <t xml:space="preserve">Unit A: share, points from the calibration mix</t>
  </si>
  <si>
    <t xml:space="preserve">Unit B: plan error</t>
  </si>
  <si>
    <t xml:space="preserve">Unit B: share, points from the calibration mix</t>
  </si>
  <si>
    <t xml:space="preserve">A: error fires</t>
  </si>
  <si>
    <t xml:space="preserve">A: mix fires</t>
  </si>
  <si>
    <t xml:space="preserve">B: error fires</t>
  </si>
  <si>
    <t xml:space="preserve">B: mix fires</t>
  </si>
  <si>
    <t xml:space="preserve">First year the trigger fires (-1: not within five years)</t>
  </si>
  <si>
    <t xml:space="preserve">Plan error above the error tolerance</t>
  </si>
  <si>
    <t xml:space="preserve">Software share beyond the mix tolerance</t>
  </si>
  <si>
    <t xml:space="preserve">Trigger settings side by side</t>
  </si>
  <si>
    <t xml:space="preserve">Indicator</t>
  </si>
  <si>
    <t xml:space="preserve">Tolerance</t>
  </si>
  <si>
    <t xml:space="preserve">Unit A: first year</t>
  </si>
  <si>
    <t xml:space="preserve">Unit B: first year</t>
  </si>
  <si>
    <t xml:space="preserve">A fires, year 0</t>
  </si>
  <si>
    <t xml:space="preserve">A fires, year 1</t>
  </si>
  <si>
    <t xml:space="preserve">A fires, year 2</t>
  </si>
  <si>
    <t xml:space="preserve">A fires, year 3</t>
  </si>
  <si>
    <t xml:space="preserve">A fires, year 4</t>
  </si>
  <si>
    <t xml:space="preserve">A fires, year 5</t>
  </si>
  <si>
    <t xml:space="preserve">B fires, year 0</t>
  </si>
  <si>
    <t xml:space="preserve">B fires, year 1</t>
  </si>
  <si>
    <t xml:space="preserve">B fires, year 2</t>
  </si>
  <si>
    <t xml:space="preserve">B fires, year 3</t>
  </si>
  <si>
    <t xml:space="preserve">B fires, year 4</t>
  </si>
  <si>
    <t xml:space="preserve">B fires, year 5</t>
  </si>
  <si>
    <t xml:space="preserve">plan error above (engineers)</t>
  </si>
  <si>
    <t xml:space="preserve">error</t>
  </si>
  <si>
    <t xml:space="preserve">software share beyond (points)</t>
  </si>
  <si>
    <t xml:space="preserve">mix</t>
  </si>
  <si>
    <t xml:space="preserve">Year 0: the trigger fires before the first forecast; Unit B lies outside the record from the start. A third trigger is an event, not a measurement: revalidation follows transformation (Section 4.6).</t>
  </si>
  <si>
    <t xml:space="preserve">The modeling contract for the digital-program model, the lab's deliverable (Section 4.1; Tables 3.1 and 4.2-4.4; Figure 4.4)</t>
  </si>
  <si>
    <t xml:space="preserve">(i) Readings, with units (Table 3.1)</t>
  </si>
  <si>
    <t xml:space="preserve">Unit</t>
  </si>
  <si>
    <t xml:space="preserve">liquidity</t>
  </si>
  <si>
    <t xml:space="preserve">US$ billion</t>
  </si>
  <si>
    <t xml:space="preserve">net leverage</t>
  </si>
  <si>
    <t xml:space="preserve">net debt / EBITDA</t>
  </si>
  <si>
    <t xml:space="preserve">workforce capability</t>
  </si>
  <si>
    <t xml:space="preserve">index, 0-100</t>
  </si>
  <si>
    <t xml:space="preserve">technology platform</t>
  </si>
  <si>
    <t xml:space="preserve">operational efficiency</t>
  </si>
  <si>
    <t xml:space="preserve">return on invested capital</t>
  </si>
  <si>
    <t xml:space="preserve">ratio</t>
  </si>
  <si>
    <t xml:space="preserve">strategic risk (lower is better)</t>
  </si>
  <si>
    <t xml:space="preserve">market share</t>
  </si>
  <si>
    <t xml:space="preserve">Readings at level L3</t>
  </si>
  <si>
    <t xml:space="preserve">Measurement (Section 4.5): liquidity, leverage and market share are observed directly and precisely; capability, efficiency and strategic risk are index proxies with material error; organizational cohesion is latent.</t>
  </si>
  <si>
    <t xml:space="preserve">(ii) Assumption class (Table 4.3)</t>
  </si>
  <si>
    <t xml:space="preserve">Content</t>
  </si>
  <si>
    <t xml:space="preserve">Meridian instance</t>
  </si>
  <si>
    <t xml:space="preserve">Structural</t>
  </si>
  <si>
    <t xml:space="preserve">which mechanisms exist; coupling; functional forms</t>
  </si>
  <si>
    <t xml:space="preserve">modernization affects efficiency with a one-period lag</t>
  </si>
  <si>
    <t xml:space="preserve">Parametric</t>
  </si>
  <si>
    <t xml:space="preserve">values and ranges of named parameters</t>
  </si>
  <si>
    <t xml:space="preserve">talent attrition between 6 and 11 percent a year</t>
  </si>
  <si>
    <t xml:space="preserve">Domain</t>
  </si>
  <si>
    <t xml:space="preserve">the region where the model is asserted</t>
  </si>
  <si>
    <t xml:space="preserve">leverage at most 4.5x; no acquisitions</t>
  </si>
  <si>
    <t xml:space="preserve">Measurement</t>
  </si>
  <si>
    <t xml:space="preserve">proxies, error sizes, and delays for each reading</t>
  </si>
  <si>
    <t xml:space="preserve">capability index: survey proxy, +/-5 points, twice a year</t>
  </si>
  <si>
    <t xml:space="preserve">Horizon</t>
  </si>
  <si>
    <t xml:space="preserve">periods over which conclusions are claimed</t>
  </si>
  <si>
    <t xml:space="preserve">12 quarters</t>
  </si>
  <si>
    <t xml:space="preserve">Assumption classes</t>
  </si>
  <si>
    <t xml:space="preserve">(iii) Validated domain and tolerance</t>
  </si>
  <si>
    <t xml:space="preserve">Declaration</t>
  </si>
  <si>
    <t xml:space="preserve">record</t>
  </si>
  <si>
    <t xml:space="preserve">seven years of history</t>
  </si>
  <si>
    <t xml:space="preserve">inside it</t>
  </si>
  <si>
    <t xml:space="preserve">beyond it</t>
  </si>
  <si>
    <t xml:space="preserve">capability spending above 40 percent of capital spending; two platforms side by side; the hiring plan's talent market</t>
  </si>
  <si>
    <t xml:space="preserve">tolerance</t>
  </si>
  <si>
    <t xml:space="preserve">declared with the record (Definition 4.6)</t>
  </si>
  <si>
    <t xml:space="preserve">(iv) Lifecycle plan (Figure 4.4)</t>
  </si>
  <si>
    <t xml:space="preserve">Stage</t>
  </si>
  <si>
    <t xml:space="preserve">Specify</t>
  </si>
  <si>
    <t xml:space="preserve">Build</t>
  </si>
  <si>
    <t xml:space="preserve">Verify</t>
  </si>
  <si>
    <t xml:space="preserve">Validate</t>
  </si>
  <si>
    <t xml:space="preserve">Deploy</t>
  </si>
  <si>
    <t xml:space="preserve">Monitor</t>
  </si>
  <si>
    <t xml:space="preserve">Revise or retire</t>
  </si>
  <si>
    <t xml:space="preserve">Stages of the lifecycle</t>
  </si>
  <si>
    <t xml:space="preserve">Triggers: drift indicators beyond their declared tolerances (Triggers sheet); the program's start and completion, because revalidation follows transformation. Retirement at the edge of the domain is a success mode.</t>
  </si>
  <si>
    <t xml:space="preserve">Parts of the contract (Section 4.1)</t>
  </si>
  <si>
    <t xml:space="preserve">Declared on this sheet</t>
  </si>
  <si>
    <t xml:space="preserve">(i) the readings represented, with units and measurement conventions</t>
  </si>
  <si>
    <t xml:space="preserve">yes</t>
  </si>
  <si>
    <t xml:space="preserve">(ii) the assumptions, by the classes of Table 4.3</t>
  </si>
  <si>
    <t xml:space="preserve">(iii) the validated domain and tolerance</t>
  </si>
  <si>
    <t xml:space="preserve">(iv) the lifecycle plan</t>
  </si>
  <si>
    <t xml:space="preserve">Parts of the modeling contract</t>
  </si>
  <si>
    <t xml:space="preserve">Level (Table 4.2)</t>
  </si>
  <si>
    <t xml:space="preserve">Description</t>
  </si>
  <si>
    <t xml:space="preserve">Typical readings</t>
  </si>
  <si>
    <t xml:space="preserve">Typical questions</t>
  </si>
  <si>
    <t xml:space="preserve">L3</t>
  </si>
  <si>
    <t xml:space="preserve">group</t>
  </si>
  <si>
    <t xml:space="preserve">the eight readings of Table 3.1</t>
  </si>
  <si>
    <t xml:space="preserve">board strategy</t>
  </si>
  <si>
    <t xml:space="preserve">L2</t>
  </si>
  <si>
    <t xml:space="preserve">divisions</t>
  </si>
  <si>
    <t xml:space="preserve">capital, performance, and risk by division</t>
  </si>
  <si>
    <t xml:space="preserve">portfolio allocation</t>
  </si>
  <si>
    <t xml:space="preserve">L1</t>
  </si>
  <si>
    <t xml:space="preserve">business units, plants</t>
  </si>
  <si>
    <t xml:space="preserve">backlog, capacity, skill mix by unit</t>
  </si>
  <si>
    <t xml:space="preserve">operations design</t>
  </si>
  <si>
    <t xml:space="preserve">L0</t>
  </si>
  <si>
    <t xml:space="preserve">transactions, individuals</t>
  </si>
  <si>
    <t xml:space="preserve">orders, postings, employees</t>
  </si>
  <si>
    <t xml:space="preserve">process forensics</t>
  </si>
  <si>
    <t xml:space="preserve">Levels of the abstraction ladder</t>
  </si>
  <si>
    <t xml:space="preserve">Stage (Table 4.4)</t>
  </si>
  <si>
    <t xml:space="preserve">Items</t>
  </si>
  <si>
    <t xml:space="preserve">Verification</t>
  </si>
  <si>
    <t xml:space="preserve">mathematics renders the logic; code implements the mathematics (tests on known solutions); constraints preserved (internal consistency, Definition 4.5)</t>
  </si>
  <si>
    <t xml:space="preserve">Validation</t>
  </si>
  <si>
    <t xml:space="preserve">data record declared; distance and tolerance declared; discrepancy reported against tolerance; measurement error of each output stated</t>
  </si>
  <si>
    <t xml:space="preserve">excited domain described (ranges visited, couplings exercised); intended use compared with it; conclusions beyond it annotated with the assumptions that carry them</t>
  </si>
  <si>
    <t xml:space="preserve">Monitoring</t>
  </si>
  <si>
    <t xml:space="preserve">drift indicators and revalidation triggers defined (Section 4.6)</t>
  </si>
  <si>
    <t xml:space="preserve">Stages of the validation checklist</t>
  </si>
  <si>
    <t xml:space="preserve">Checkpoint</t>
  </si>
  <si>
    <t xml:space="preserve">Engine value</t>
  </si>
  <si>
    <t xml:space="preserve">Meaning (where in the book)</t>
  </si>
  <si>
    <t xml:space="preserve">Unit A legacy engineers next year</t>
  </si>
  <si>
    <t xml:space="preserve">Worked Example 4.1, Step 1: 368</t>
  </si>
  <si>
    <t xml:space="preserve">Unit A total next year</t>
  </si>
  <si>
    <t xml:space="preserve">Step 1: 476</t>
  </si>
  <si>
    <t xml:space="preserve">Unit B software engineers next year</t>
  </si>
  <si>
    <t xml:space="preserve">Step 1: 387</t>
  </si>
  <si>
    <t xml:space="preserve">Unit B total next year</t>
  </si>
  <si>
    <t xml:space="preserve">Step 1: 479</t>
  </si>
  <si>
    <t xml:space="preserve">Unit A total, year 5</t>
  </si>
  <si>
    <t xml:space="preserve">Table 4.5: 392.1</t>
  </si>
  <si>
    <t xml:space="preserve">Unit B total, year 5</t>
  </si>
  <si>
    <t xml:space="preserve">Table 4.5: 403.8</t>
  </si>
  <si>
    <t xml:space="preserve">Total-only model's rate</t>
  </si>
  <si>
    <t xml:space="preserve">Step 3: 0.952</t>
  </si>
  <si>
    <t xml:space="preserve">Total-only model, year 5</t>
  </si>
  <si>
    <t xml:space="preserve">Table 4.5: 391.0</t>
  </si>
  <si>
    <t xml:space="preserve">Error for Unit B, year 1</t>
  </si>
  <si>
    <t xml:space="preserve">Table 4.5: -3.0</t>
  </si>
  <si>
    <t xml:space="preserve">Error for Unit B, year 3</t>
  </si>
  <si>
    <t xml:space="preserve">Table 4.5: -8.3</t>
  </si>
  <si>
    <t xml:space="preserve">Error for Unit B, year 5</t>
  </si>
  <si>
    <t xml:space="preserve">Table 4.5: -12.8</t>
  </si>
  <si>
    <t xml:space="preserve">Error for Unit A, year 5</t>
  </si>
  <si>
    <t xml:space="preserve">Follows from the declarations; not printed in the book</t>
  </si>
  <si>
    <t xml:space="preserve">Online Appendix 4.B: delta</t>
  </si>
  <si>
    <t xml:space="preserve">Unit B's miss in year one: 3</t>
  </si>
  <si>
    <t xml:space="preserve">Online Appendix 4.B: bound by year five</t>
  </si>
  <si>
    <t xml:space="preserve">Against Unit B's 12.8</t>
  </si>
  <si>
    <t xml:space="preserve">Online Appendix 4.B: years the bound fails</t>
  </si>
  <si>
    <t xml:space="preserve">None</t>
  </si>
  <si>
    <t xml:space="preserve">Unit A software engineers, year five</t>
  </si>
  <si>
    <t xml:space="preserve">Step 4</t>
  </si>
  <si>
    <t xml:space="preserve">Unit B software engineers, year five</t>
  </si>
  <si>
    <t xml:space="preserve">Step 4: about 338</t>
  </si>
  <si>
    <t xml:space="preserve">Repaired summary: base rate</t>
  </si>
  <si>
    <t xml:space="preserve">Step 5: 0.95</t>
  </si>
  <si>
    <t xml:space="preserve">Repaired summary: mix coefficient</t>
  </si>
  <si>
    <t xml:space="preserve">Step 5: 0.01</t>
  </si>
  <si>
    <t xml:space="preserve">Repaired summary: Unit A next year</t>
  </si>
  <si>
    <t xml:space="preserve">Step 5: 476</t>
  </si>
  <si>
    <t xml:space="preserve">Repaired summary: Unit B next year</t>
  </si>
  <si>
    <t xml:space="preserve">Step 5: 479</t>
  </si>
  <si>
    <t xml:space="preserve">(H, s) model against Table 4.5, largest gap</t>
  </si>
  <si>
    <t xml:space="preserve">Theorem 4.2: the enlarged summary is a state</t>
  </si>
  <si>
    <t xml:space="preserve">The two units together next year</t>
  </si>
  <si>
    <t xml:space="preserve">Proposition 4.3: 476 + 479</t>
  </si>
  <si>
    <t xml:space="preserve">A(1, -1): legacy entry</t>
  </si>
  <si>
    <t xml:space="preserve">Appendix 4.A: 0.92</t>
  </si>
  <si>
    <t xml:space="preserve">A(1, -1): software entry</t>
  </si>
  <si>
    <t xml:space="preserve">Appendix 4.A: -0.93</t>
  </si>
  <si>
    <t xml:space="preserve">Linear test, the total</t>
  </si>
  <si>
    <t xml:space="preserve">Theorem 4.2: -0.01, the condition fails</t>
  </si>
  <si>
    <t xml:space="preserve">Linear test, software engineers</t>
  </si>
  <si>
    <t xml:space="preserve">Fails</t>
  </si>
  <si>
    <t xml:space="preserve">Linear test, legacy engineers</t>
  </si>
  <si>
    <t xml:space="preserve">Passes</t>
  </si>
  <si>
    <t xml:space="preserve">Linear test, 3 legacy + 4 software</t>
  </si>
  <si>
    <t xml:space="preserve">Rate of the legacy count</t>
  </si>
  <si>
    <t xml:space="preserve">0.92 a year</t>
  </si>
  <si>
    <t xml:space="preserve">Rate of the weighted count</t>
  </si>
  <si>
    <t xml:space="preserve">0.96 a year</t>
  </si>
  <si>
    <t xml:space="preserve">Pair gap next year, the total</t>
  </si>
  <si>
    <t xml:space="preserve">Units A and B: 476 and 479</t>
  </si>
  <si>
    <t xml:space="preserve">Pair gap next year, software engineers</t>
  </si>
  <si>
    <t xml:space="preserve">Splits</t>
  </si>
  <si>
    <t xml:space="preserve">Pair gap next year, 3 legacy + 4 software</t>
  </si>
  <si>
    <t xml:space="preserve">Holds</t>
  </si>
  <si>
    <t xml:space="preserve">Chain: the mathematics renders the logic</t>
  </si>
  <si>
    <t xml:space="preserve">Table 4.4, verification</t>
  </si>
  <si>
    <t xml:space="preserve">Chain: the code against the closed form</t>
  </si>
  <si>
    <t xml:space="preserve">Chain: negative pools in 100 years</t>
  </si>
  <si>
    <t xml:space="preserve">Definition 4.5</t>
  </si>
  <si>
    <t xml:space="preserve">Chain: years in which a total rises</t>
  </si>
  <si>
    <t xml:space="preserve">No hiring is declared</t>
  </si>
  <si>
    <t xml:space="preserve">Table 4.1: four</t>
  </si>
  <si>
    <t xml:space="preserve">Bench: line, RMS error on the history</t>
  </si>
  <si>
    <t xml:space="preserve">Lab step 3, seed 26104</t>
  </si>
  <si>
    <t xml:space="preserve">Bench: line, RMS error on later quarters</t>
  </si>
  <si>
    <t xml:space="preserve">Lab step 3</t>
  </si>
  <si>
    <t xml:space="preserve">Bench: degree 3, RMS error on the history</t>
  </si>
  <si>
    <t xml:space="preserve">Bench: degree 3, RMS error on later quarters</t>
  </si>
  <si>
    <t xml:space="preserve">Bench: degree 6, RMS error on the history</t>
  </si>
  <si>
    <t xml:space="preserve">Bench: degree 6, RMS error on later quarters</t>
  </si>
  <si>
    <t xml:space="preserve">Bench: degree 8, forecast for quarter 24</t>
  </si>
  <si>
    <t xml:space="preserve">Bench: rich models better on history, worse later</t>
  </si>
  <si>
    <t xml:space="preserve">The better fit on history can be the worse forecast</t>
  </si>
  <si>
    <t xml:space="preserve">Record: total-only model's discrepancy</t>
  </si>
  <si>
    <t xml:space="preserve">Theorem 4.3: zero</t>
  </si>
  <si>
    <t xml:space="preserve">Record: detailed model's discrepancy</t>
  </si>
  <si>
    <t xml:space="preserve">Record's mix, any unit size: largest gap</t>
  </si>
  <si>
    <t xml:space="preserve">Identical predictions on the record's mix</t>
  </si>
  <si>
    <t xml:space="preserve">Gap at Unit B's mix</t>
  </si>
  <si>
    <t xml:space="preserve">Step 2: 476 against 479</t>
  </si>
  <si>
    <t xml:space="preserve">Unit A's five-year record: largest miss</t>
  </si>
  <si>
    <t xml:space="preserve">The total-only model on its own unit</t>
  </si>
  <si>
    <t xml:space="preserve">Trigger, plan error above 1: Unit A</t>
  </si>
  <si>
    <t xml:space="preserve">Trigger, plan error above 1: Unit B</t>
  </si>
  <si>
    <t xml:space="preserve">Trigger, plan error above 2.5: Unit A</t>
  </si>
  <si>
    <t xml:space="preserve">-1: not within five years</t>
  </si>
  <si>
    <t xml:space="preserve">Trigger, plan error above 5: Unit B</t>
  </si>
  <si>
    <t xml:space="preserve">Trigger, plan error above 10: Unit B</t>
  </si>
  <si>
    <t xml:space="preserve">Trigger, share beyond 2.5 points: Unit B</t>
  </si>
  <si>
    <t xml:space="preserve">Year 0: outside the record</t>
  </si>
  <si>
    <t xml:space="preserve">Trigger, share beyond 5 points: Unit A</t>
  </si>
  <si>
    <t xml:space="preserve">Trigger, share beyond 10 points: Unit A</t>
  </si>
  <si>
    <t xml:space="preserve">Tables 3.1 and 4.2: eight</t>
  </si>
  <si>
    <t xml:space="preserve">Table 4.3: five</t>
  </si>
  <si>
    <t xml:space="preserve">Table 4.2: four</t>
  </si>
  <si>
    <t xml:space="preserve">Table 4.4: four</t>
  </si>
  <si>
    <t xml:space="preserve">Figure 4.4: seven</t>
  </si>
  <si>
    <t xml:space="preserve">Section 4.1: four</t>
  </si>
  <si>
    <t xml:space="preserve">Workbook formula value</t>
  </si>
  <si>
    <t xml:space="preserve">|diff|</t>
  </si>
  <si>
    <t xml:space="preserve">Status</t>
  </si>
  <si>
    <t xml:space="preserve">All checkpoints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</si>
</sst>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%"/>
    <numFmt numFmtId="168" formatCode="0.0E+00"/>
    <numFmt numFmtId="169" formatCode="0.000"/>
    <numFmt numFmtId="170" formatCode="0.0"/>
    <numFmt numFmtId="171" formatCode="0.00%"/>
    <numFmt numFmtId="172" formatCode="0.0000"/>
    <numFmt numFmtId="173" formatCode="0.0%"/>
    <numFmt numFmtId="174" formatCode="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D6"/>
        <bgColor rgb="FFE8F0EC"/>
      </patternFill>
    </fill>
    <fill>
      <patternFill patternType="solid">
        <fgColor rgb="FFE8F0EC"/>
        <bgColor rgb="FFFFF3D6"/>
      </patternFill>
    </fill>
    <fill>
      <patternFill patternType="solid">
        <fgColor rgb="FF0B3D2E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BE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ECE"/>
      <rgbColor rgb="FF808080"/>
      <rgbColor rgb="FF9999FF"/>
      <rgbColor rgb="FF993366"/>
      <rgbColor rgb="FFFFF3D6"/>
      <rgbColor rgb="FFE8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3" t="s">
        <v>9</v>
      </c>
    </row>
    <row r="12" customFormat="false" ht="15" hidden="false" customHeight="false" outlineLevel="0" collapsed="false">
      <c r="B12" s="3" t="s">
        <v>10</v>
      </c>
    </row>
    <row r="13" customFormat="false" ht="15" hidden="false" customHeight="false" outlineLevel="0" collapsed="false">
      <c r="B13" s="3" t="s">
        <v>11</v>
      </c>
    </row>
    <row r="14" customFormat="false" ht="15" hidden="false" customHeight="false" outlineLevel="0" collapsed="false">
      <c r="B14" s="3" t="s">
        <v>12</v>
      </c>
    </row>
    <row r="15" customFormat="false" ht="23.85" hidden="false" customHeight="false" outlineLevel="0" collapsed="false">
      <c r="B15" s="3" t="s">
        <v>13</v>
      </c>
    </row>
    <row r="17" customFormat="false" ht="15" hidden="false" customHeight="false" outlineLevel="0" collapsed="false">
      <c r="B17" s="4" t="s">
        <v>14</v>
      </c>
    </row>
    <row r="18" customFormat="false" ht="15" hidden="false" customHeight="false" outlineLevel="0" collapsed="false">
      <c r="B18" s="5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6" t="s">
        <v>17</v>
      </c>
    </row>
    <row r="21" customFormat="false" ht="15" hidden="false" customHeight="false" outlineLevel="0" collapsed="false">
      <c r="B21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19</v>
      </c>
    </row>
    <row r="3" customFormat="false" ht="15" hidden="false" customHeight="false" outlineLevel="0" collapsed="false">
      <c r="A3" s="8" t="s">
        <v>20</v>
      </c>
      <c r="B3" s="8" t="s">
        <v>21</v>
      </c>
      <c r="C3" s="8" t="s">
        <v>22</v>
      </c>
    </row>
    <row r="4" customFormat="false" ht="15" hidden="false" customHeight="false" outlineLevel="0" collapsed="false">
      <c r="A4" s="2" t="s">
        <v>23</v>
      </c>
      <c r="B4" s="9" t="n">
        <v>0.05</v>
      </c>
      <c r="C4" s="10" t="s">
        <v>24</v>
      </c>
    </row>
    <row r="5" customFormat="false" ht="15" hidden="false" customHeight="false" outlineLevel="0" collapsed="false">
      <c r="A5" s="2" t="s">
        <v>25</v>
      </c>
      <c r="B5" s="9" t="n">
        <v>0.03</v>
      </c>
      <c r="C5" s="10" t="s">
        <v>26</v>
      </c>
    </row>
    <row r="6" customFormat="false" ht="15" hidden="false" customHeight="false" outlineLevel="0" collapsed="false">
      <c r="A6" s="2" t="s">
        <v>27</v>
      </c>
      <c r="B6" s="9" t="n">
        <v>0.04</v>
      </c>
      <c r="C6" s="10" t="s">
        <v>28</v>
      </c>
    </row>
    <row r="7" customFormat="false" ht="15" hidden="false" customHeight="false" outlineLevel="0" collapsed="false">
      <c r="A7" s="2" t="s">
        <v>29</v>
      </c>
      <c r="B7" s="11" t="n">
        <f aca="false">1-B4-B5</f>
        <v>0.92</v>
      </c>
      <c r="C7" s="10" t="s">
        <v>30</v>
      </c>
    </row>
    <row r="8" customFormat="false" ht="15" hidden="false" customHeight="false" outlineLevel="0" collapsed="false">
      <c r="A8" s="2" t="s">
        <v>31</v>
      </c>
      <c r="B8" s="11" t="n">
        <f aca="false">1-B6</f>
        <v>0.96</v>
      </c>
      <c r="C8" s="10" t="s">
        <v>32</v>
      </c>
    </row>
    <row r="9" customFormat="false" ht="15" hidden="false" customHeight="false" outlineLevel="0" collapsed="false">
      <c r="A9" s="2" t="s">
        <v>33</v>
      </c>
      <c r="B9" s="11" t="n">
        <f aca="false">B4+B5</f>
        <v>0.08</v>
      </c>
      <c r="C9" s="10" t="s">
        <v>34</v>
      </c>
    </row>
    <row r="11" customFormat="false" ht="23.85" hidden="false" customHeight="false" outlineLevel="0" collapsed="false">
      <c r="A11" s="8" t="s">
        <v>35</v>
      </c>
      <c r="B11" s="8" t="s">
        <v>36</v>
      </c>
      <c r="C11" s="8" t="s">
        <v>37</v>
      </c>
      <c r="D11" s="8" t="s">
        <v>38</v>
      </c>
      <c r="E11" s="8" t="s">
        <v>39</v>
      </c>
    </row>
    <row r="12" customFormat="false" ht="15" hidden="false" customHeight="false" outlineLevel="0" collapsed="false">
      <c r="A12" s="2" t="s">
        <v>40</v>
      </c>
      <c r="B12" s="12" t="n">
        <v>400</v>
      </c>
      <c r="C12" s="12" t="n">
        <v>100</v>
      </c>
      <c r="D12" s="13" t="n">
        <f aca="false">B12+C12</f>
        <v>500</v>
      </c>
      <c r="E12" s="14" t="n">
        <f aca="false">C12/D12</f>
        <v>0.2</v>
      </c>
    </row>
    <row r="13" customFormat="false" ht="15" hidden="false" customHeight="false" outlineLevel="0" collapsed="false">
      <c r="A13" s="2" t="s">
        <v>41</v>
      </c>
      <c r="B13" s="12" t="n">
        <v>100</v>
      </c>
      <c r="C13" s="12" t="n">
        <v>400</v>
      </c>
      <c r="D13" s="13" t="n">
        <f aca="false">B13+C13</f>
        <v>500</v>
      </c>
      <c r="E13" s="14" t="n">
        <f aca="false">C13/D13</f>
        <v>0.8</v>
      </c>
    </row>
    <row r="15" customFormat="false" ht="15" hidden="false" customHeight="false" outlineLevel="0" collapsed="false">
      <c r="A15" s="8" t="s">
        <v>42</v>
      </c>
      <c r="B15" s="8" t="s">
        <v>43</v>
      </c>
      <c r="C15" s="8" t="s">
        <v>44</v>
      </c>
    </row>
    <row r="16" customFormat="false" ht="15" hidden="false" customHeight="false" outlineLevel="0" collapsed="false">
      <c r="A16" s="2" t="s">
        <v>45</v>
      </c>
      <c r="B16" s="11" t="n">
        <f aca="false">Keep_L</f>
        <v>0.92</v>
      </c>
      <c r="C16" s="11" t="n">
        <v>0</v>
      </c>
    </row>
    <row r="17" customFormat="false" ht="15" hidden="false" customHeight="false" outlineLevel="0" collapsed="false">
      <c r="A17" s="2" t="s">
        <v>46</v>
      </c>
      <c r="B17" s="11" t="n">
        <f aca="false">Retrain</f>
        <v>0.03</v>
      </c>
      <c r="C17" s="11" t="n">
        <f aca="false">Keep_S</f>
        <v>0.96</v>
      </c>
    </row>
    <row r="19" customFormat="false" ht="15" hidden="false" customHeight="false" outlineLevel="0" collapsed="false">
      <c r="A19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8" t="s">
        <v>49</v>
      </c>
      <c r="B3" s="8" t="s">
        <v>50</v>
      </c>
      <c r="C3" s="8" t="s">
        <v>51</v>
      </c>
      <c r="D3" s="8" t="s">
        <v>52</v>
      </c>
      <c r="E3" s="8" t="s">
        <v>53</v>
      </c>
    </row>
    <row r="4" customFormat="false" ht="15" hidden="false" customHeight="false" outlineLevel="0" collapsed="false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</row>
    <row r="5" customFormat="false" ht="15" hidden="false" customHeight="false" outlineLevel="0" collapsed="false">
      <c r="A5" s="2" t="s">
        <v>59</v>
      </c>
      <c r="B5" s="2" t="s">
        <v>60</v>
      </c>
      <c r="C5" s="2" t="s">
        <v>61</v>
      </c>
      <c r="D5" s="2" t="s">
        <v>62</v>
      </c>
      <c r="E5" s="2" t="s">
        <v>63</v>
      </c>
    </row>
    <row r="6" customFormat="false" ht="15" hidden="false" customHeight="false" outlineLevel="0" collapsed="false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</row>
    <row r="7" customFormat="false" ht="15" hidden="false" customHeight="false" outlineLevel="0" collapsed="false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</row>
    <row r="8" customFormat="false" ht="15" hidden="false" customHeight="false" outlineLevel="0" collapsed="false">
      <c r="A8" s="4" t="s">
        <v>74</v>
      </c>
      <c r="B8" s="13" t="n">
        <f aca="false">COUNTA(A4:A7)</f>
        <v>4</v>
      </c>
      <c r="C8" s="10" t="s">
        <v>75</v>
      </c>
    </row>
    <row r="10" customFormat="false" ht="15" hidden="false" customHeight="false" outlineLevel="0" collapsed="false">
      <c r="A10" s="8" t="s">
        <v>76</v>
      </c>
      <c r="B10" s="8" t="s">
        <v>77</v>
      </c>
      <c r="C10" s="8" t="s">
        <v>78</v>
      </c>
      <c r="D10" s="8" t="s">
        <v>79</v>
      </c>
    </row>
    <row r="11" customFormat="false" ht="15" hidden="false" customHeight="false" outlineLevel="0" collapsed="false">
      <c r="A11" s="2" t="s">
        <v>80</v>
      </c>
      <c r="B11" s="2" t="s">
        <v>81</v>
      </c>
      <c r="C11" s="15" t="n">
        <f aca="false">ABS((1-(Keep_L+Retrain))-Exit_L)+ABS((1-Keep_S)-Exit_S)</f>
        <v>0</v>
      </c>
      <c r="D11" s="10" t="s">
        <v>82</v>
      </c>
    </row>
    <row r="12" customFormat="false" ht="15" hidden="false" customHeight="false" outlineLevel="0" collapsed="false">
      <c r="A12" s="2" t="s">
        <v>83</v>
      </c>
      <c r="B12" s="2" t="s">
        <v>84</v>
      </c>
      <c r="C12" s="15" t="n">
        <f aca="false">MAX(F17:I22)</f>
        <v>0</v>
      </c>
      <c r="D12" s="10" t="s">
        <v>85</v>
      </c>
    </row>
    <row r="13" customFormat="false" ht="15" hidden="false" customHeight="false" outlineLevel="0" collapsed="false">
      <c r="A13" s="2" t="s">
        <v>86</v>
      </c>
      <c r="B13" s="2" t="s">
        <v>87</v>
      </c>
      <c r="C13" s="13" t="n">
        <f aca="false">COUNTIF(Projection!B13:C113,"&lt;0")+COUNTIF(Projection!F13:G113,"&lt;0")</f>
        <v>0</v>
      </c>
      <c r="D13" s="10" t="s">
        <v>88</v>
      </c>
    </row>
    <row r="14" customFormat="false" ht="15" hidden="false" customHeight="false" outlineLevel="0" collapsed="false">
      <c r="A14" s="2" t="s">
        <v>86</v>
      </c>
      <c r="B14" s="2" t="s">
        <v>89</v>
      </c>
      <c r="C14" s="13" t="n">
        <f aca="false">SUMPRODUCT((Projection!D14:D113&gt;Projection!D13:D112)*1)+SUMPRODUCT((Projection!H14:H113&gt;Projection!H13:H112)*1)</f>
        <v>0</v>
      </c>
      <c r="D14" s="10" t="s">
        <v>90</v>
      </c>
    </row>
    <row r="16" customFormat="false" ht="15" hidden="false" customHeight="false" outlineLevel="0" collapsed="false">
      <c r="A16" s="8" t="s">
        <v>91</v>
      </c>
      <c r="B16" s="8" t="s">
        <v>92</v>
      </c>
      <c r="C16" s="8" t="s">
        <v>93</v>
      </c>
      <c r="D16" s="8" t="s">
        <v>94</v>
      </c>
      <c r="E16" s="8" t="s">
        <v>95</v>
      </c>
      <c r="F16" s="8" t="s">
        <v>96</v>
      </c>
      <c r="G16" s="8" t="s">
        <v>97</v>
      </c>
      <c r="H16" s="8" t="s">
        <v>98</v>
      </c>
      <c r="I16" s="8" t="s">
        <v>99</v>
      </c>
    </row>
    <row r="17" customFormat="false" ht="15" hidden="false" customHeight="false" outlineLevel="0" collapsed="false">
      <c r="A17" s="13" t="n">
        <v>0</v>
      </c>
      <c r="B17" s="16" t="n">
        <f aca="false">Keep_L^$A17*A_leg0</f>
        <v>400</v>
      </c>
      <c r="C17" s="16" t="n">
        <f aca="false">Keep_S^$A17*A_soft0+Retrain*A_leg0*(Keep_S^$A17-Keep_L^$A17)/(Keep_S-Keep_L)</f>
        <v>100</v>
      </c>
      <c r="D17" s="16" t="n">
        <f aca="false">Keep_L^$A17*B_leg0</f>
        <v>100</v>
      </c>
      <c r="E17" s="16" t="n">
        <f aca="false">Keep_S^$A17*B_soft0+Retrain*B_leg0*(Keep_S^$A17-Keep_L^$A17)/(Keep_S-Keep_L)</f>
        <v>400</v>
      </c>
      <c r="F17" s="15" t="n">
        <f aca="false">ABS(B17-Projection!$B$13)</f>
        <v>0</v>
      </c>
      <c r="G17" s="15" t="n">
        <f aca="false">ABS(C17-Projection!$C$13)</f>
        <v>0</v>
      </c>
      <c r="H17" s="15" t="n">
        <f aca="false">ABS(D17-Projection!$F$13)</f>
        <v>0</v>
      </c>
      <c r="I17" s="15" t="n">
        <f aca="false">ABS(E17-Projection!$G$13)</f>
        <v>0</v>
      </c>
    </row>
    <row r="18" customFormat="false" ht="15" hidden="false" customHeight="false" outlineLevel="0" collapsed="false">
      <c r="A18" s="13" t="n">
        <v>1</v>
      </c>
      <c r="B18" s="16" t="n">
        <f aca="false">Keep_L^$A18*A_leg0</f>
        <v>368</v>
      </c>
      <c r="C18" s="16" t="n">
        <f aca="false">Keep_S^$A18*A_soft0+Retrain*A_leg0*(Keep_S^$A18-Keep_L^$A18)/(Keep_S-Keep_L)</f>
        <v>108</v>
      </c>
      <c r="D18" s="16" t="n">
        <f aca="false">Keep_L^$A18*B_leg0</f>
        <v>92</v>
      </c>
      <c r="E18" s="16" t="n">
        <f aca="false">Keep_S^$A18*B_soft0+Retrain*B_leg0*(Keep_S^$A18-Keep_L^$A18)/(Keep_S-Keep_L)</f>
        <v>387</v>
      </c>
      <c r="F18" s="15" t="n">
        <f aca="false">ABS(B18-Projection!$B$14)</f>
        <v>0</v>
      </c>
      <c r="G18" s="15" t="n">
        <f aca="false">ABS(C18-Projection!$C$14)</f>
        <v>0</v>
      </c>
      <c r="H18" s="15" t="n">
        <f aca="false">ABS(D18-Projection!$F$14)</f>
        <v>0</v>
      </c>
      <c r="I18" s="15" t="n">
        <f aca="false">ABS(E18-Projection!$G$14)</f>
        <v>0</v>
      </c>
    </row>
    <row r="19" customFormat="false" ht="15" hidden="false" customHeight="false" outlineLevel="0" collapsed="false">
      <c r="A19" s="13" t="n">
        <v>2</v>
      </c>
      <c r="B19" s="16" t="n">
        <f aca="false">Keep_L^$A19*A_leg0</f>
        <v>338.56</v>
      </c>
      <c r="C19" s="16" t="n">
        <f aca="false">Keep_S^$A19*A_soft0+Retrain*A_leg0*(Keep_S^$A19-Keep_L^$A19)/(Keep_S-Keep_L)</f>
        <v>114.72</v>
      </c>
      <c r="D19" s="16" t="n">
        <f aca="false">Keep_L^$A19*B_leg0</f>
        <v>84.64</v>
      </c>
      <c r="E19" s="16" t="n">
        <f aca="false">Keep_S^$A19*B_soft0+Retrain*B_leg0*(Keep_S^$A19-Keep_L^$A19)/(Keep_S-Keep_L)</f>
        <v>374.28</v>
      </c>
      <c r="F19" s="15" t="n">
        <f aca="false">ABS(B19-Projection!$B$15)</f>
        <v>0</v>
      </c>
      <c r="G19" s="15" t="n">
        <f aca="false">ABS(C19-Projection!$C$15)</f>
        <v>0</v>
      </c>
      <c r="H19" s="15" t="n">
        <f aca="false">ABS(D19-Projection!$F$15)</f>
        <v>0</v>
      </c>
      <c r="I19" s="15" t="n">
        <f aca="false">ABS(E19-Projection!$G$15)</f>
        <v>0</v>
      </c>
    </row>
    <row r="20" customFormat="false" ht="15" hidden="false" customHeight="false" outlineLevel="0" collapsed="false">
      <c r="A20" s="13" t="n">
        <v>3</v>
      </c>
      <c r="B20" s="16" t="n">
        <f aca="false">Keep_L^$A20*A_leg0</f>
        <v>311.4752</v>
      </c>
      <c r="C20" s="16" t="n">
        <f aca="false">Keep_S^$A20*A_soft0+Retrain*A_leg0*(Keep_S^$A20-Keep_L^$A20)/(Keep_S-Keep_L)</f>
        <v>120.288</v>
      </c>
      <c r="D20" s="16" t="n">
        <f aca="false">Keep_L^$A20*B_leg0</f>
        <v>77.8688</v>
      </c>
      <c r="E20" s="16" t="n">
        <f aca="false">Keep_S^$A20*B_soft0+Retrain*B_leg0*(Keep_S^$A20-Keep_L^$A20)/(Keep_S-Keep_L)</f>
        <v>361.848</v>
      </c>
      <c r="F20" s="15" t="n">
        <f aca="false">ABS(B20-Projection!$B$16)</f>
        <v>0</v>
      </c>
      <c r="G20" s="15" t="n">
        <f aca="false">ABS(C20-Projection!$C$16)</f>
        <v>0</v>
      </c>
      <c r="H20" s="15" t="n">
        <f aca="false">ABS(D20-Projection!$F$16)</f>
        <v>0</v>
      </c>
      <c r="I20" s="15" t="n">
        <f aca="false">ABS(E20-Projection!$G$16)</f>
        <v>0</v>
      </c>
    </row>
    <row r="21" customFormat="false" ht="15" hidden="false" customHeight="false" outlineLevel="0" collapsed="false">
      <c r="A21" s="13" t="n">
        <v>4</v>
      </c>
      <c r="B21" s="16" t="n">
        <f aca="false">Keep_L^$A21*A_leg0</f>
        <v>286.557184</v>
      </c>
      <c r="C21" s="16" t="n">
        <f aca="false">Keep_S^$A21*A_soft0+Retrain*A_leg0*(Keep_S^$A21-Keep_L^$A21)/(Keep_S-Keep_L)</f>
        <v>124.820736</v>
      </c>
      <c r="D21" s="16" t="n">
        <f aca="false">Keep_L^$A21*B_leg0</f>
        <v>71.639296</v>
      </c>
      <c r="E21" s="16" t="n">
        <f aca="false">Keep_S^$A21*B_soft0+Retrain*B_leg0*(Keep_S^$A21-Keep_L^$A21)/(Keep_S-Keep_L)</f>
        <v>349.710144</v>
      </c>
      <c r="F21" s="15" t="n">
        <f aca="false">ABS(B21-Projection!$B$17)</f>
        <v>0</v>
      </c>
      <c r="G21" s="15" t="n">
        <f aca="false">ABS(C21-Projection!$C$17)</f>
        <v>0</v>
      </c>
      <c r="H21" s="15" t="n">
        <f aca="false">ABS(D21-Projection!$F$17)</f>
        <v>0</v>
      </c>
      <c r="I21" s="15" t="n">
        <f aca="false">ABS(E21-Projection!$G$17)</f>
        <v>0</v>
      </c>
    </row>
    <row r="22" customFormat="false" ht="15" hidden="false" customHeight="false" outlineLevel="0" collapsed="false">
      <c r="A22" s="13" t="n">
        <v>5</v>
      </c>
      <c r="B22" s="16" t="n">
        <f aca="false">Keep_L^$A22*A_leg0</f>
        <v>263.63260928</v>
      </c>
      <c r="C22" s="16" t="n">
        <f aca="false">Keep_S^$A22*A_soft0+Retrain*A_leg0*(Keep_S^$A22-Keep_L^$A22)/(Keep_S-Keep_L)</f>
        <v>128.42462208</v>
      </c>
      <c r="D22" s="16" t="n">
        <f aca="false">Keep_L^$A22*B_leg0</f>
        <v>65.90815232</v>
      </c>
      <c r="E22" s="16" t="n">
        <f aca="false">Keep_S^$A22*B_soft0+Retrain*B_leg0*(Keep_S^$A22-Keep_L^$A22)/(Keep_S-Keep_L)</f>
        <v>337.87091712</v>
      </c>
      <c r="F22" s="15" t="n">
        <f aca="false">ABS(B22-Projection!$B$18)</f>
        <v>0</v>
      </c>
      <c r="G22" s="15" t="n">
        <f aca="false">ABS(C22-Projection!$C$18)</f>
        <v>0</v>
      </c>
      <c r="H22" s="15" t="n">
        <f aca="false">ABS(D22-Projection!$F$18)</f>
        <v>0</v>
      </c>
      <c r="I22" s="15" t="n">
        <f aca="false">ABS(E22-Projection!$G$18)</f>
        <v>0</v>
      </c>
    </row>
    <row r="24" customFormat="false" ht="15" hidden="false" customHeight="false" outlineLevel="0" collapsed="false">
      <c r="A24" s="1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5"/>
  </cols>
  <sheetData>
    <row r="1" customFormat="false" ht="15" hidden="false" customHeight="false" outlineLevel="0" collapsed="false">
      <c r="A1" s="1" t="s">
        <v>101</v>
      </c>
    </row>
    <row r="3" customFormat="false" ht="15" hidden="false" customHeight="false" outlineLevel="0" collapsed="false">
      <c r="A3" s="8" t="s">
        <v>102</v>
      </c>
      <c r="B3" s="8" t="s">
        <v>40</v>
      </c>
      <c r="C3" s="8" t="s">
        <v>41</v>
      </c>
    </row>
    <row r="4" customFormat="false" ht="15" hidden="false" customHeight="false" outlineLevel="0" collapsed="false">
      <c r="A4" s="2" t="s">
        <v>103</v>
      </c>
      <c r="B4" s="17" t="n">
        <f aca="false">Projection!$B$14</f>
        <v>368</v>
      </c>
      <c r="C4" s="17" t="n">
        <f aca="false">Projection!$F$14</f>
        <v>92</v>
      </c>
    </row>
    <row r="5" customFormat="false" ht="15" hidden="false" customHeight="false" outlineLevel="0" collapsed="false">
      <c r="A5" s="2" t="s">
        <v>104</v>
      </c>
      <c r="B5" s="17" t="n">
        <f aca="false">Projection!$C$14</f>
        <v>108</v>
      </c>
      <c r="C5" s="17" t="n">
        <f aca="false">Projection!$G$14</f>
        <v>387</v>
      </c>
    </row>
    <row r="6" customFormat="false" ht="15" hidden="false" customHeight="false" outlineLevel="0" collapsed="false">
      <c r="A6" s="2" t="s">
        <v>105</v>
      </c>
      <c r="B6" s="17" t="n">
        <f aca="false">Projection!$D$14</f>
        <v>476</v>
      </c>
      <c r="C6" s="17" t="n">
        <f aca="false">Projection!$H$14</f>
        <v>479</v>
      </c>
    </row>
    <row r="8" customFormat="false" ht="15" hidden="false" customHeight="false" outlineLevel="0" collapsed="false">
      <c r="A8" s="8" t="s">
        <v>106</v>
      </c>
      <c r="B8" s="8" t="s">
        <v>107</v>
      </c>
      <c r="C8" s="8" t="s">
        <v>108</v>
      </c>
      <c r="D8" s="8" t="s">
        <v>109</v>
      </c>
      <c r="E8" s="8" t="s">
        <v>110</v>
      </c>
      <c r="F8" s="8" t="s">
        <v>111</v>
      </c>
      <c r="G8" s="8" t="s">
        <v>112</v>
      </c>
    </row>
    <row r="9" customFormat="false" ht="15" hidden="false" customHeight="false" outlineLevel="0" collapsed="false">
      <c r="A9" s="2" t="s">
        <v>113</v>
      </c>
      <c r="B9" s="17" t="n">
        <f aca="false">Projection!$D$13</f>
        <v>500</v>
      </c>
      <c r="C9" s="17" t="n">
        <f aca="false">Projection!$D$14</f>
        <v>476</v>
      </c>
      <c r="D9" s="17" t="n">
        <f aca="false">Projection!$D$15</f>
        <v>453.28</v>
      </c>
      <c r="E9" s="17" t="n">
        <f aca="false">Projection!$D$16</f>
        <v>431.7632</v>
      </c>
      <c r="F9" s="17" t="n">
        <f aca="false">Projection!$D$17</f>
        <v>411.37792</v>
      </c>
      <c r="G9" s="17" t="n">
        <f aca="false">Projection!$D$18</f>
        <v>392.05723136</v>
      </c>
    </row>
    <row r="10" customFormat="false" ht="15" hidden="false" customHeight="false" outlineLevel="0" collapsed="false">
      <c r="A10" s="2" t="s">
        <v>114</v>
      </c>
      <c r="B10" s="17" t="n">
        <f aca="false">Projection!$H$13</f>
        <v>500</v>
      </c>
      <c r="C10" s="17" t="n">
        <f aca="false">Projection!$H$14</f>
        <v>479</v>
      </c>
      <c r="D10" s="17" t="n">
        <f aca="false">Projection!$H$15</f>
        <v>458.92</v>
      </c>
      <c r="E10" s="17" t="n">
        <f aca="false">Projection!$H$16</f>
        <v>439.7168</v>
      </c>
      <c r="F10" s="17" t="n">
        <f aca="false">Projection!$H$17</f>
        <v>421.34944</v>
      </c>
      <c r="G10" s="17" t="n">
        <f aca="false">Projection!$H$18</f>
        <v>403.77906944</v>
      </c>
    </row>
    <row r="12" customFormat="false" ht="23.85" hidden="false" customHeight="false" outlineLevel="0" collapsed="false">
      <c r="A12" s="8" t="s">
        <v>91</v>
      </c>
      <c r="B12" s="8" t="s">
        <v>115</v>
      </c>
      <c r="C12" s="8" t="s">
        <v>116</v>
      </c>
      <c r="D12" s="8" t="s">
        <v>117</v>
      </c>
      <c r="E12" s="8" t="s">
        <v>118</v>
      </c>
      <c r="F12" s="8" t="s">
        <v>119</v>
      </c>
      <c r="G12" s="8" t="s">
        <v>120</v>
      </c>
      <c r="H12" s="8" t="s">
        <v>121</v>
      </c>
      <c r="I12" s="8" t="s">
        <v>122</v>
      </c>
    </row>
    <row r="13" customFormat="false" ht="15" hidden="false" customHeight="false" outlineLevel="0" collapsed="false">
      <c r="A13" s="13" t="n">
        <v>0</v>
      </c>
      <c r="B13" s="18" t="n">
        <f aca="false">A_leg0</f>
        <v>400</v>
      </c>
      <c r="C13" s="18" t="n">
        <f aca="false">A_soft0</f>
        <v>100</v>
      </c>
      <c r="D13" s="16" t="n">
        <f aca="false">B13+C13</f>
        <v>500</v>
      </c>
      <c r="E13" s="19" t="n">
        <f aca="false">C13/D13</f>
        <v>0.2</v>
      </c>
      <c r="F13" s="18" t="n">
        <f aca="false">B_leg0</f>
        <v>100</v>
      </c>
      <c r="G13" s="18" t="n">
        <f aca="false">B_soft0</f>
        <v>400</v>
      </c>
      <c r="H13" s="16" t="n">
        <f aca="false">F13+G13</f>
        <v>500</v>
      </c>
      <c r="I13" s="19" t="n">
        <f aca="false">G13/H13</f>
        <v>0.8</v>
      </c>
    </row>
    <row r="14" customFormat="false" ht="15" hidden="false" customHeight="false" outlineLevel="0" collapsed="false">
      <c r="A14" s="13" t="n">
        <v>1</v>
      </c>
      <c r="B14" s="16" t="n">
        <f aca="false">Keep_L*B13</f>
        <v>368</v>
      </c>
      <c r="C14" s="16" t="n">
        <f aca="false">Keep_S*C13+Retrain*B13</f>
        <v>108</v>
      </c>
      <c r="D14" s="16" t="n">
        <f aca="false">B14+C14</f>
        <v>476</v>
      </c>
      <c r="E14" s="19" t="n">
        <f aca="false">C14/D14</f>
        <v>0.226890756302521</v>
      </c>
      <c r="F14" s="16" t="n">
        <f aca="false">Keep_L*F13</f>
        <v>92</v>
      </c>
      <c r="G14" s="16" t="n">
        <f aca="false">Keep_S*G13+Retrain*F13</f>
        <v>387</v>
      </c>
      <c r="H14" s="16" t="n">
        <f aca="false">F14+G14</f>
        <v>479</v>
      </c>
      <c r="I14" s="19" t="n">
        <f aca="false">G14/H14</f>
        <v>0.807933194154489</v>
      </c>
    </row>
    <row r="15" customFormat="false" ht="15" hidden="false" customHeight="false" outlineLevel="0" collapsed="false">
      <c r="A15" s="13" t="n">
        <v>2</v>
      </c>
      <c r="B15" s="16" t="n">
        <f aca="false">Keep_L*B14</f>
        <v>338.56</v>
      </c>
      <c r="C15" s="16" t="n">
        <f aca="false">Keep_S*C14+Retrain*B14</f>
        <v>114.72</v>
      </c>
      <c r="D15" s="16" t="n">
        <f aca="false">B15+C15</f>
        <v>453.28</v>
      </c>
      <c r="E15" s="19" t="n">
        <f aca="false">C15/D15</f>
        <v>0.253088598658666</v>
      </c>
      <c r="F15" s="16" t="n">
        <f aca="false">Keep_L*F14</f>
        <v>84.64</v>
      </c>
      <c r="G15" s="16" t="n">
        <f aca="false">Keep_S*G14+Retrain*F14</f>
        <v>374.28</v>
      </c>
      <c r="H15" s="16" t="n">
        <f aca="false">F15+G15</f>
        <v>458.92</v>
      </c>
      <c r="I15" s="19" t="n">
        <f aca="false">G15/H15</f>
        <v>0.815566983352218</v>
      </c>
    </row>
    <row r="16" customFormat="false" ht="15" hidden="false" customHeight="false" outlineLevel="0" collapsed="false">
      <c r="A16" s="13" t="n">
        <v>3</v>
      </c>
      <c r="B16" s="16" t="n">
        <f aca="false">Keep_L*B15</f>
        <v>311.4752</v>
      </c>
      <c r="C16" s="16" t="n">
        <f aca="false">Keep_S*C15+Retrain*B15</f>
        <v>120.288</v>
      </c>
      <c r="D16" s="16" t="n">
        <f aca="false">B16+C16</f>
        <v>431.7632</v>
      </c>
      <c r="E16" s="19" t="n">
        <f aca="false">C16/D16</f>
        <v>0.278597156960112</v>
      </c>
      <c r="F16" s="16" t="n">
        <f aca="false">Keep_L*F15</f>
        <v>77.8688</v>
      </c>
      <c r="G16" s="16" t="n">
        <f aca="false">Keep_S*G15+Retrain*F15</f>
        <v>361.848</v>
      </c>
      <c r="H16" s="16" t="n">
        <f aca="false">F16+G16</f>
        <v>439.7168</v>
      </c>
      <c r="I16" s="19" t="n">
        <f aca="false">G16/H16</f>
        <v>0.822911473930494</v>
      </c>
    </row>
    <row r="17" customFormat="false" ht="15" hidden="false" customHeight="false" outlineLevel="0" collapsed="false">
      <c r="A17" s="13" t="n">
        <v>4</v>
      </c>
      <c r="B17" s="16" t="n">
        <f aca="false">Keep_L*B16</f>
        <v>286.557184</v>
      </c>
      <c r="C17" s="16" t="n">
        <f aca="false">Keep_S*C16+Retrain*B16</f>
        <v>124.820736</v>
      </c>
      <c r="D17" s="16" t="n">
        <f aca="false">B17+C17</f>
        <v>411.37792</v>
      </c>
      <c r="E17" s="19" t="n">
        <f aca="false">C17/D17</f>
        <v>0.303421087840592</v>
      </c>
      <c r="F17" s="16" t="n">
        <f aca="false">Keep_L*F16</f>
        <v>71.639296</v>
      </c>
      <c r="G17" s="16" t="n">
        <f aca="false">Keep_S*G16+Retrain*F16</f>
        <v>349.710144</v>
      </c>
      <c r="H17" s="16" t="n">
        <f aca="false">F17+G17</f>
        <v>421.34944</v>
      </c>
      <c r="I17" s="19" t="n">
        <f aca="false">G17/H17</f>
        <v>0.829976524948034</v>
      </c>
    </row>
    <row r="18" customFormat="false" ht="15" hidden="false" customHeight="false" outlineLevel="0" collapsed="false">
      <c r="A18" s="13" t="n">
        <v>5</v>
      </c>
      <c r="B18" s="16" t="n">
        <f aca="false">Keep_L*B17</f>
        <v>263.63260928</v>
      </c>
      <c r="C18" s="16" t="n">
        <f aca="false">Keep_S*C17+Retrain*B17</f>
        <v>128.42462208</v>
      </c>
      <c r="D18" s="16" t="n">
        <f aca="false">B18+C18</f>
        <v>392.05723136</v>
      </c>
      <c r="E18" s="19" t="n">
        <f aca="false">C18/D18</f>
        <v>0.327566007734407</v>
      </c>
      <c r="F18" s="16" t="n">
        <f aca="false">Keep_L*F17</f>
        <v>65.90815232</v>
      </c>
      <c r="G18" s="16" t="n">
        <f aca="false">Keep_S*G17+Retrain*F17</f>
        <v>337.87091712</v>
      </c>
      <c r="H18" s="16" t="n">
        <f aca="false">F18+G18</f>
        <v>403.77906944</v>
      </c>
      <c r="I18" s="19" t="n">
        <f aca="false">G18/H18</f>
        <v>0.836771746461728</v>
      </c>
    </row>
    <row r="19" customFormat="false" ht="15" hidden="false" customHeight="false" outlineLevel="0" collapsed="false">
      <c r="A19" s="13" t="n">
        <v>6</v>
      </c>
      <c r="B19" s="16" t="n">
        <f aca="false">Keep_L*B18</f>
        <v>242.5420005376</v>
      </c>
      <c r="C19" s="16" t="n">
        <f aca="false">Keep_S*C18+Retrain*B18</f>
        <v>131.1966154752</v>
      </c>
      <c r="D19" s="16" t="n">
        <f aca="false">B19+C19</f>
        <v>373.7386160128</v>
      </c>
      <c r="E19" s="19" t="n">
        <f aca="false">C19/D19</f>
        <v>0.351038425932167</v>
      </c>
      <c r="F19" s="16" t="n">
        <f aca="false">Keep_L*F18</f>
        <v>60.6355001344</v>
      </c>
      <c r="G19" s="16" t="n">
        <f aca="false">Keep_S*G18+Retrain*F18</f>
        <v>326.3333250048</v>
      </c>
      <c r="H19" s="16" t="n">
        <f aca="false">F19+G19</f>
        <v>386.9688251392</v>
      </c>
      <c r="I19" s="19" t="n">
        <f aca="false">G19/H19</f>
        <v>0.843306498624047</v>
      </c>
    </row>
    <row r="20" customFormat="false" ht="15" hidden="false" customHeight="false" outlineLevel="0" collapsed="false">
      <c r="A20" s="13" t="n">
        <v>7</v>
      </c>
      <c r="B20" s="16" t="n">
        <f aca="false">Keep_L*B19</f>
        <v>223.138640494592</v>
      </c>
      <c r="C20" s="16" t="n">
        <f aca="false">Keep_S*C19+Retrain*B19</f>
        <v>133.22501087232</v>
      </c>
      <c r="D20" s="16" t="n">
        <f aca="false">B20+C20</f>
        <v>356.363651366912</v>
      </c>
      <c r="E20" s="19" t="n">
        <f aca="false">C20/D20</f>
        <v>0.37384567803508</v>
      </c>
      <c r="F20" s="16" t="n">
        <f aca="false">Keep_L*F19</f>
        <v>55.784660123648</v>
      </c>
      <c r="G20" s="16" t="n">
        <f aca="false">Keep_S*G19+Retrain*F19</f>
        <v>315.09905700864</v>
      </c>
      <c r="H20" s="16" t="n">
        <f aca="false">F20+G20</f>
        <v>370.883717132288</v>
      </c>
      <c r="I20" s="19" t="n">
        <f aca="false">G20/H20</f>
        <v>0.849589891529936</v>
      </c>
    </row>
    <row r="21" customFormat="false" ht="15" hidden="false" customHeight="false" outlineLevel="0" collapsed="false">
      <c r="A21" s="13" t="n">
        <v>8</v>
      </c>
      <c r="B21" s="16" t="n">
        <f aca="false">Keep_L*B20</f>
        <v>205.287549255025</v>
      </c>
      <c r="C21" s="16" t="n">
        <f aca="false">Keep_S*C20+Retrain*B20</f>
        <v>134.590169652265</v>
      </c>
      <c r="D21" s="16" t="n">
        <f aca="false">B21+C21</f>
        <v>339.877718907289</v>
      </c>
      <c r="E21" s="19" t="n">
        <f aca="false">C21/D21</f>
        <v>0.395995860172811</v>
      </c>
      <c r="F21" s="16" t="n">
        <f aca="false">Keep_L*F20</f>
        <v>51.3218873137561</v>
      </c>
      <c r="G21" s="16" t="n">
        <f aca="false">Keep_S*G20+Retrain*F20</f>
        <v>304.168634532004</v>
      </c>
      <c r="H21" s="16" t="n">
        <f aca="false">F21+G21</f>
        <v>355.49052184576</v>
      </c>
      <c r="I21" s="19" t="n">
        <f aca="false">G21/H21</f>
        <v>0.855630785745608</v>
      </c>
    </row>
    <row r="22" customFormat="false" ht="15" hidden="false" customHeight="false" outlineLevel="0" collapsed="false">
      <c r="A22" s="13" t="n">
        <v>9</v>
      </c>
      <c r="B22" s="16" t="n">
        <f aca="false">Keep_L*B21</f>
        <v>188.864545314623</v>
      </c>
      <c r="C22" s="16" t="n">
        <f aca="false">Keep_S*C21+Retrain*B21</f>
        <v>135.365189343825</v>
      </c>
      <c r="D22" s="16" t="n">
        <f aca="false">B22+C22</f>
        <v>324.229734658448</v>
      </c>
      <c r="E22" s="19" t="n">
        <f aca="false">C22/D22</f>
        <v>0.417497764313389</v>
      </c>
      <c r="F22" s="16" t="n">
        <f aca="false">Keep_L*F21</f>
        <v>47.2161363286556</v>
      </c>
      <c r="G22" s="16" t="n">
        <f aca="false">Keep_S*G21+Retrain*F21</f>
        <v>293.541545770136</v>
      </c>
      <c r="H22" s="16" t="n">
        <f aca="false">F22+G22</f>
        <v>340.757682098792</v>
      </c>
      <c r="I22" s="19" t="n">
        <f aca="false">G22/H22</f>
        <v>0.86143779345533</v>
      </c>
    </row>
    <row r="23" customFormat="false" ht="15" hidden="false" customHeight="false" outlineLevel="0" collapsed="false">
      <c r="A23" s="13" t="n">
        <v>10</v>
      </c>
      <c r="B23" s="16" t="n">
        <f aca="false">Keep_L*B22</f>
        <v>173.755381689453</v>
      </c>
      <c r="C23" s="16" t="n">
        <f aca="false">Keep_S*C22+Retrain*B22</f>
        <v>135.616518129511</v>
      </c>
      <c r="D23" s="16" t="n">
        <f aca="false">B23+C23</f>
        <v>309.371899818963</v>
      </c>
      <c r="E23" s="19" t="n">
        <f aca="false">C23/D23</f>
        <v>0.438360814957241</v>
      </c>
      <c r="F23" s="16" t="n">
        <f aca="false">Keep_L*F22</f>
        <v>43.4388454223632</v>
      </c>
      <c r="G23" s="16" t="n">
        <f aca="false">Keep_S*G22+Retrain*F22</f>
        <v>283.21636802919</v>
      </c>
      <c r="H23" s="16" t="n">
        <f aca="false">F23+G23</f>
        <v>326.655213451554</v>
      </c>
      <c r="I23" s="19" t="n">
        <f aca="false">G23/H23</f>
        <v>0.867019280165857</v>
      </c>
    </row>
    <row r="24" customFormat="false" ht="15" hidden="false" customHeight="false" outlineLevel="0" collapsed="false">
      <c r="A24" s="13" t="n">
        <v>11</v>
      </c>
      <c r="B24" s="16" t="n">
        <f aca="false">Keep_L*B23</f>
        <v>159.854951154297</v>
      </c>
      <c r="C24" s="16" t="n">
        <f aca="false">Keep_S*C23+Retrain*B23</f>
        <v>135.404518855014</v>
      </c>
      <c r="D24" s="16" t="n">
        <f aca="false">B24+C24</f>
        <v>295.25947000931</v>
      </c>
      <c r="E24" s="19" t="n">
        <f aca="false">C24/D24</f>
        <v>0.458595007471713</v>
      </c>
      <c r="F24" s="16" t="n">
        <f aca="false">Keep_L*F23</f>
        <v>39.9637377885741</v>
      </c>
      <c r="G24" s="16" t="n">
        <f aca="false">Keep_S*G23+Retrain*F23</f>
        <v>273.190878670694</v>
      </c>
      <c r="H24" s="16" t="n">
        <f aca="false">F24+G24</f>
        <v>313.154616459268</v>
      </c>
      <c r="I24" s="19" t="n">
        <f aca="false">G24/H24</f>
        <v>0.87238336691175</v>
      </c>
    </row>
    <row r="25" customFormat="false" ht="15" hidden="false" customHeight="false" outlineLevel="0" collapsed="false">
      <c r="A25" s="13" t="n">
        <v>12</v>
      </c>
      <c r="B25" s="16" t="n">
        <f aca="false">Keep_L*B24</f>
        <v>147.066555061953</v>
      </c>
      <c r="C25" s="16" t="n">
        <f aca="false">Keep_S*C24+Retrain*B24</f>
        <v>134.783986635442</v>
      </c>
      <c r="D25" s="16" t="n">
        <f aca="false">B25+C25</f>
        <v>281.850541697395</v>
      </c>
      <c r="E25" s="19" t="n">
        <f aca="false">C25/D25</f>
        <v>0.47821084828764</v>
      </c>
      <c r="F25" s="16" t="n">
        <f aca="false">Keep_L*F24</f>
        <v>36.7666387654882</v>
      </c>
      <c r="G25" s="16" t="n">
        <f aca="false">Keep_S*G24+Retrain*F24</f>
        <v>263.462155657523</v>
      </c>
      <c r="H25" s="16" t="n">
        <f aca="false">F25+G25</f>
        <v>300.228794423011</v>
      </c>
      <c r="I25" s="19" t="n">
        <f aca="false">G25/H25</f>
        <v>0.877537932908309</v>
      </c>
    </row>
    <row r="26" customFormat="false" ht="15" hidden="false" customHeight="false" outlineLevel="0" collapsed="false">
      <c r="A26" s="13" t="n">
        <v>13</v>
      </c>
      <c r="B26" s="16" t="n">
        <f aca="false">Keep_L*B25</f>
        <v>135.301230656997</v>
      </c>
      <c r="C26" s="16" t="n">
        <f aca="false">Keep_S*C25+Retrain*B25</f>
        <v>133.804623821883</v>
      </c>
      <c r="D26" s="16" t="n">
        <f aca="false">B26+C26</f>
        <v>269.10585447888</v>
      </c>
      <c r="E26" s="19" t="n">
        <f aca="false">C26/D26</f>
        <v>0.497219297146077</v>
      </c>
      <c r="F26" s="16" t="n">
        <f aca="false">Keep_L*F25</f>
        <v>33.8253076642491</v>
      </c>
      <c r="G26" s="16" t="n">
        <f aca="false">Keep_S*G25+Retrain*F25</f>
        <v>254.026668594187</v>
      </c>
      <c r="H26" s="16" t="n">
        <f aca="false">F26+G26</f>
        <v>287.851976258436</v>
      </c>
      <c r="I26" s="19" t="n">
        <f aca="false">G26/H26</f>
        <v>0.882490618602248</v>
      </c>
    </row>
    <row r="27" customFormat="false" ht="15" hidden="false" customHeight="false" outlineLevel="0" collapsed="false">
      <c r="A27" s="13" t="n">
        <v>14</v>
      </c>
      <c r="B27" s="16" t="n">
        <f aca="false">Keep_L*B26</f>
        <v>124.477132204437</v>
      </c>
      <c r="C27" s="16" t="n">
        <f aca="false">Keep_S*C26+Retrain*B26</f>
        <v>132.511475788718</v>
      </c>
      <c r="D27" s="16" t="n">
        <f aca="false">B27+C27</f>
        <v>256.988607993154</v>
      </c>
      <c r="E27" s="19" t="n">
        <f aca="false">C27/D27</f>
        <v>0.515631711551383</v>
      </c>
      <c r="F27" s="16" t="n">
        <f aca="false">Keep_L*F26</f>
        <v>31.1192830511092</v>
      </c>
      <c r="G27" s="16" t="n">
        <f aca="false">Keep_S*G26+Retrain*F26</f>
        <v>244.880361080347</v>
      </c>
      <c r="H27" s="16" t="n">
        <f aca="false">F27+G27</f>
        <v>275.999644131456</v>
      </c>
      <c r="I27" s="19" t="n">
        <f aca="false">G27/H27</f>
        <v>0.887248829073535</v>
      </c>
    </row>
    <row r="28" customFormat="false" ht="15" hidden="false" customHeight="false" outlineLevel="0" collapsed="false">
      <c r="A28" s="13" t="n">
        <v>15</v>
      </c>
      <c r="B28" s="16" t="n">
        <f aca="false">Keep_L*B27</f>
        <v>114.518961628082</v>
      </c>
      <c r="C28" s="16" t="n">
        <f aca="false">Keep_S*C27+Retrain*B27</f>
        <v>130.945330723302</v>
      </c>
      <c r="D28" s="16" t="n">
        <f aca="false">B28+C28</f>
        <v>245.464292351384</v>
      </c>
      <c r="E28" s="19" t="n">
        <f aca="false">C28/D28</f>
        <v>0.533459793556665</v>
      </c>
      <c r="F28" s="16" t="n">
        <f aca="false">Keep_L*F27</f>
        <v>28.6297404070205</v>
      </c>
      <c r="G28" s="16" t="n">
        <f aca="false">Keep_S*G27+Retrain*F27</f>
        <v>236.018725128666</v>
      </c>
      <c r="H28" s="16" t="n">
        <f aca="false">F28+G28</f>
        <v>264.648465535687</v>
      </c>
      <c r="I28" s="19" t="n">
        <f aca="false">G28/H28</f>
        <v>0.891819737745051</v>
      </c>
    </row>
    <row r="29" customFormat="false" ht="15" hidden="false" customHeight="false" outlineLevel="0" collapsed="false">
      <c r="A29" s="13" t="n">
        <v>16</v>
      </c>
      <c r="B29" s="16" t="n">
        <f aca="false">Keep_L*B28</f>
        <v>105.357444697835</v>
      </c>
      <c r="C29" s="16" t="n">
        <f aca="false">Keep_S*C28+Retrain*B28</f>
        <v>129.143086343212</v>
      </c>
      <c r="D29" s="16" t="n">
        <f aca="false">B29+C29</f>
        <v>234.500531041048</v>
      </c>
      <c r="E29" s="19" t="n">
        <f aca="false">C29/D29</f>
        <v>0.550715538979342</v>
      </c>
      <c r="F29" s="16" t="n">
        <f aca="false">Keep_L*F28</f>
        <v>26.3393611744588</v>
      </c>
      <c r="G29" s="16" t="n">
        <f aca="false">Keep_S*G28+Retrain*F28</f>
        <v>227.43686833573</v>
      </c>
      <c r="H29" s="16" t="n">
        <f aca="false">F29+G29</f>
        <v>253.776229510189</v>
      </c>
      <c r="I29" s="19" t="n">
        <f aca="false">G29/H29</f>
        <v>0.896210290359755</v>
      </c>
    </row>
    <row r="30" customFormat="false" ht="15" hidden="false" customHeight="false" outlineLevel="0" collapsed="false">
      <c r="A30" s="13" t="n">
        <v>17</v>
      </c>
      <c r="B30" s="16" t="n">
        <f aca="false">Keep_L*B29</f>
        <v>96.9288491220085</v>
      </c>
      <c r="C30" s="16" t="n">
        <f aca="false">Keep_S*C29+Retrain*B29</f>
        <v>127.138086230419</v>
      </c>
      <c r="D30" s="16" t="n">
        <f aca="false">B30+C30</f>
        <v>224.066935352427</v>
      </c>
      <c r="E30" s="19" t="n">
        <f aca="false">C30/D30</f>
        <v>0.567411189118322</v>
      </c>
      <c r="F30" s="16" t="n">
        <f aca="false">Keep_L*F29</f>
        <v>24.2322122805021</v>
      </c>
      <c r="G30" s="16" t="n">
        <f aca="false">Keep_S*G29+Retrain*F29</f>
        <v>219.129574437535</v>
      </c>
      <c r="H30" s="16" t="n">
        <f aca="false">F30+G30</f>
        <v>243.361786718037</v>
      </c>
      <c r="I30" s="19" t="n">
        <f aca="false">G30/H30</f>
        <v>0.900427209188031</v>
      </c>
    </row>
    <row r="31" customFormat="false" ht="15" hidden="false" customHeight="false" outlineLevel="0" collapsed="false">
      <c r="A31" s="13" t="n">
        <v>18</v>
      </c>
      <c r="B31" s="16" t="n">
        <f aca="false">Keep_L*B30</f>
        <v>89.1745411922478</v>
      </c>
      <c r="C31" s="16" t="n">
        <f aca="false">Keep_S*C30+Retrain*B30</f>
        <v>124.960428254862</v>
      </c>
      <c r="D31" s="16" t="n">
        <f aca="false">B31+C31</f>
        <v>214.13496944711</v>
      </c>
      <c r="E31" s="19" t="n">
        <f aca="false">C31/D31</f>
        <v>0.583559185020113</v>
      </c>
      <c r="F31" s="16" t="n">
        <f aca="false">Keep_L*F30</f>
        <v>22.2936352980619</v>
      </c>
      <c r="G31" s="16" t="n">
        <f aca="false">Keep_S*G30+Retrain*F30</f>
        <v>211.091357828448</v>
      </c>
      <c r="H31" s="16" t="n">
        <f aca="false">F31+G31</f>
        <v>233.38499312651</v>
      </c>
      <c r="I31" s="19" t="n">
        <f aca="false">G31/H31</f>
        <v>0.90447699743069</v>
      </c>
    </row>
    <row r="32" customFormat="false" ht="15" hidden="false" customHeight="false" outlineLevel="0" collapsed="false">
      <c r="A32" s="13" t="n">
        <v>19</v>
      </c>
      <c r="B32" s="16" t="n">
        <f aca="false">Keep_L*B31</f>
        <v>82.0405778968679</v>
      </c>
      <c r="C32" s="16" t="n">
        <f aca="false">Keep_S*C31+Retrain*B31</f>
        <v>122.637247360435</v>
      </c>
      <c r="D32" s="16" t="n">
        <f aca="false">B32+C32</f>
        <v>204.677825257303</v>
      </c>
      <c r="E32" s="19" t="n">
        <f aca="false">C32/D32</f>
        <v>0.599172124319117</v>
      </c>
      <c r="F32" s="16" t="n">
        <f aca="false">Keep_L*F31</f>
        <v>20.510144474217</v>
      </c>
      <c r="G32" s="16" t="n">
        <f aca="false">Keep_S*G31+Retrain*F31</f>
        <v>203.316512574252</v>
      </c>
      <c r="H32" s="16" t="n">
        <f aca="false">F32+G32</f>
        <v>223.826657048469</v>
      </c>
      <c r="I32" s="19" t="n">
        <f aca="false">G32/H32</f>
        <v>0.908365943785795</v>
      </c>
    </row>
    <row r="33" customFormat="false" ht="15" hidden="false" customHeight="false" outlineLevel="0" collapsed="false">
      <c r="A33" s="13" t="n">
        <v>20</v>
      </c>
      <c r="B33" s="16" t="n">
        <f aca="false">Keep_L*B32</f>
        <v>75.4773316651185</v>
      </c>
      <c r="C33" s="16" t="n">
        <f aca="false">Keep_S*C32+Retrain*B32</f>
        <v>120.192974802924</v>
      </c>
      <c r="D33" s="16" t="n">
        <f aca="false">B33+C33</f>
        <v>195.670306468043</v>
      </c>
      <c r="E33" s="19" t="n">
        <f aca="false">C33/D33</f>
        <v>0.614262720657384</v>
      </c>
      <c r="F33" s="16" t="n">
        <f aca="false">Keep_L*F32</f>
        <v>18.8693329162796</v>
      </c>
      <c r="G33" s="16" t="n">
        <f aca="false">Keep_S*G32+Retrain*F32</f>
        <v>195.799156405509</v>
      </c>
      <c r="H33" s="16" t="n">
        <f aca="false">F33+G33</f>
        <v>214.668489321788</v>
      </c>
      <c r="I33" s="19" t="n">
        <f aca="false">G33/H33</f>
        <v>0.912100127150033</v>
      </c>
    </row>
    <row r="34" customFormat="false" ht="15" hidden="false" customHeight="false" outlineLevel="0" collapsed="false">
      <c r="A34" s="13" t="n">
        <v>21</v>
      </c>
      <c r="B34" s="16" t="n">
        <f aca="false">Keep_L*B33</f>
        <v>69.439145131909</v>
      </c>
      <c r="C34" s="16" t="n">
        <f aca="false">Keep_S*C33+Retrain*B33</f>
        <v>117.649575760761</v>
      </c>
      <c r="D34" s="16" t="n">
        <f aca="false">B34+C34</f>
        <v>187.08872089267</v>
      </c>
      <c r="E34" s="19" t="n">
        <f aca="false">C34/D34</f>
        <v>0.628843765671233</v>
      </c>
      <c r="F34" s="16" t="n">
        <f aca="false">Keep_L*F33</f>
        <v>17.3597862829773</v>
      </c>
      <c r="G34" s="16" t="n">
        <f aca="false">Keep_S*G33+Retrain*F33</f>
        <v>188.533270136777</v>
      </c>
      <c r="H34" s="16" t="n">
        <f aca="false">F34+G34</f>
        <v>205.893056419754</v>
      </c>
      <c r="I34" s="19" t="n">
        <f aca="false">G34/H34</f>
        <v>0.915685421427783</v>
      </c>
    </row>
    <row r="35" customFormat="false" ht="15" hidden="false" customHeight="false" outlineLevel="0" collapsed="false">
      <c r="A35" s="13" t="n">
        <v>22</v>
      </c>
      <c r="B35" s="16" t="n">
        <f aca="false">Keep_L*B34</f>
        <v>63.8840135213563</v>
      </c>
      <c r="C35" s="16" t="n">
        <f aca="false">Keep_S*C34+Retrain*B34</f>
        <v>115.026767084287</v>
      </c>
      <c r="D35" s="16" t="n">
        <f aca="false">B35+C35</f>
        <v>178.910780605644</v>
      </c>
      <c r="E35" s="19" t="n">
        <f aca="false">C35/D35</f>
        <v>0.642928093516232</v>
      </c>
      <c r="F35" s="16" t="n">
        <f aca="false">Keep_L*F34</f>
        <v>15.9710033803391</v>
      </c>
      <c r="G35" s="16" t="n">
        <f aca="false">Keep_S*G34+Retrain*F34</f>
        <v>181.512732919795</v>
      </c>
      <c r="H35" s="16" t="n">
        <f aca="false">F35+G35</f>
        <v>197.483736300134</v>
      </c>
      <c r="I35" s="19" t="n">
        <f aca="false">G35/H35</f>
        <v>0.919127500423293</v>
      </c>
    </row>
    <row r="36" customFormat="false" ht="15" hidden="false" customHeight="false" outlineLevel="0" collapsed="false">
      <c r="A36" s="13" t="n">
        <v>23</v>
      </c>
      <c r="B36" s="16" t="n">
        <f aca="false">Keep_L*B35</f>
        <v>58.7732924396478</v>
      </c>
      <c r="C36" s="16" t="n">
        <f aca="false">Keep_S*C35+Retrain*B35</f>
        <v>112.342216806557</v>
      </c>
      <c r="D36" s="16" t="n">
        <f aca="false">B36+C36</f>
        <v>171.115509246204</v>
      </c>
      <c r="E36" s="19" t="n">
        <f aca="false">C36/D36</f>
        <v>0.656528547888178</v>
      </c>
      <c r="F36" s="16" t="n">
        <f aca="false">Keep_L*F35</f>
        <v>14.6933231099119</v>
      </c>
      <c r="G36" s="16" t="n">
        <f aca="false">Keep_S*G35+Retrain*F35</f>
        <v>174.731353704413</v>
      </c>
      <c r="H36" s="16" t="n">
        <f aca="false">F36+G36</f>
        <v>189.424676814325</v>
      </c>
      <c r="I36" s="19" t="n">
        <f aca="false">G36/H36</f>
        <v>0.922431842793564</v>
      </c>
    </row>
    <row r="37" customFormat="false" ht="15" hidden="false" customHeight="false" outlineLevel="0" collapsed="false">
      <c r="A37" s="13" t="n">
        <v>24</v>
      </c>
      <c r="B37" s="16" t="n">
        <f aca="false">Keep_L*B36</f>
        <v>54.071429044476</v>
      </c>
      <c r="C37" s="16" t="n">
        <f aca="false">Keep_S*C36+Retrain*B36</f>
        <v>109.611726907484</v>
      </c>
      <c r="D37" s="16" t="n">
        <f aca="false">B37+C37</f>
        <v>163.68315595196</v>
      </c>
      <c r="E37" s="19" t="n">
        <f aca="false">C37/D37</f>
        <v>0.669657951485578</v>
      </c>
      <c r="F37" s="16" t="n">
        <f aca="false">Keep_L*F36</f>
        <v>13.517857261119</v>
      </c>
      <c r="G37" s="16" t="n">
        <f aca="false">Keep_S*G36+Retrain*F36</f>
        <v>168.182899249534</v>
      </c>
      <c r="H37" s="16" t="n">
        <f aca="false">F37+G37</f>
        <v>181.700756510653</v>
      </c>
      <c r="I37" s="19" t="n">
        <f aca="false">G37/H37</f>
        <v>0.925603737041533</v>
      </c>
    </row>
    <row r="38" customFormat="false" ht="15" hidden="false" customHeight="false" outlineLevel="0" collapsed="false">
      <c r="A38" s="13" t="n">
        <v>25</v>
      </c>
      <c r="B38" s="16" t="n">
        <f aca="false">Keep_L*B37</f>
        <v>49.7457147209179</v>
      </c>
      <c r="C38" s="16" t="n">
        <f aca="false">Keep_S*C37+Retrain*B37</f>
        <v>106.849400702519</v>
      </c>
      <c r="D38" s="16" t="n">
        <f aca="false">B38+C38</f>
        <v>156.595115423437</v>
      </c>
      <c r="E38" s="19" t="n">
        <f aca="false">C38/D38</f>
        <v>0.68232907784892</v>
      </c>
      <c r="F38" s="16" t="n">
        <f aca="false">Keep_L*F37</f>
        <v>12.4364286802295</v>
      </c>
      <c r="G38" s="16" t="n">
        <f aca="false">Keep_S*G37+Retrain*F37</f>
        <v>161.861118997386</v>
      </c>
      <c r="H38" s="16" t="n">
        <f aca="false">F38+G38</f>
        <v>174.297547677616</v>
      </c>
      <c r="I38" s="19" t="n">
        <f aca="false">G38/H38</f>
        <v>0.928648286531075</v>
      </c>
    </row>
    <row r="39" customFormat="false" ht="15" hidden="false" customHeight="false" outlineLevel="0" collapsed="false">
      <c r="A39" s="13" t="n">
        <v>26</v>
      </c>
      <c r="B39" s="16" t="n">
        <f aca="false">Keep_L*B38</f>
        <v>45.7660575432444</v>
      </c>
      <c r="C39" s="16" t="n">
        <f aca="false">Keep_S*C38+Retrain*B38</f>
        <v>104.067796116045</v>
      </c>
      <c r="D39" s="16" t="n">
        <f aca="false">B39+C39</f>
        <v>149.83385365929</v>
      </c>
      <c r="E39" s="19" t="n">
        <f aca="false">C39/D39</f>
        <v>0.694554625503307</v>
      </c>
      <c r="F39" s="16" t="n">
        <f aca="false">Keep_L*F38</f>
        <v>11.4415143858111</v>
      </c>
      <c r="G39" s="16" t="n">
        <f aca="false">Keep_S*G38+Retrain*F38</f>
        <v>155.759767097898</v>
      </c>
      <c r="H39" s="16" t="n">
        <f aca="false">F39+G39</f>
        <v>167.201281483709</v>
      </c>
      <c r="I39" s="19" t="n">
        <f aca="false">G39/H39</f>
        <v>0.931570414507105</v>
      </c>
    </row>
    <row r="40" customFormat="false" ht="15" hidden="false" customHeight="false" outlineLevel="0" collapsed="false">
      <c r="A40" s="13" t="n">
        <v>27</v>
      </c>
      <c r="B40" s="16" t="n">
        <f aca="false">Keep_L*B39</f>
        <v>42.1047729397849</v>
      </c>
      <c r="C40" s="16" t="n">
        <f aca="false">Keep_S*C39+Retrain*B39</f>
        <v>101.278065997701</v>
      </c>
      <c r="D40" s="16" t="n">
        <f aca="false">B40+C40</f>
        <v>143.382838937486</v>
      </c>
      <c r="E40" s="19" t="n">
        <f aca="false">C40/D40</f>
        <v>0.706347194323985</v>
      </c>
      <c r="F40" s="16" t="n">
        <f aca="false">Keep_L*F39</f>
        <v>10.5261932349462</v>
      </c>
      <c r="G40" s="16" t="n">
        <f aca="false">Keep_S*G39+Retrain*F39</f>
        <v>149.872621845556</v>
      </c>
      <c r="H40" s="16" t="n">
        <f aca="false">F40+G40</f>
        <v>160.398815080502</v>
      </c>
      <c r="I40" s="19" t="n">
        <f aca="false">G40/H40</f>
        <v>0.934374869105715</v>
      </c>
    </row>
    <row r="41" customFormat="false" ht="15" hidden="false" customHeight="false" outlineLevel="0" collapsed="false">
      <c r="A41" s="13" t="n">
        <v>28</v>
      </c>
      <c r="B41" s="16" t="n">
        <f aca="false">Keep_L*B40</f>
        <v>38.7363911046021</v>
      </c>
      <c r="C41" s="16" t="n">
        <f aca="false">Keep_S*C40+Retrain*B40</f>
        <v>98.4900865459865</v>
      </c>
      <c r="D41" s="16" t="n">
        <f aca="false">B41+C41</f>
        <v>137.226477650589</v>
      </c>
      <c r="E41" s="19" t="n">
        <f aca="false">C41/D41</f>
        <v>0.717719264038576</v>
      </c>
      <c r="F41" s="16" t="n">
        <f aca="false">Keep_L*F40</f>
        <v>9.68409777615052</v>
      </c>
      <c r="G41" s="16" t="n">
        <f aca="false">Keep_S*G40+Retrain*F40</f>
        <v>144.193502768782</v>
      </c>
      <c r="H41" s="16" t="n">
        <f aca="false">F41+G41</f>
        <v>153.877600544933</v>
      </c>
      <c r="I41" s="19" t="n">
        <f aca="false">G41/H41</f>
        <v>0.937066228340864</v>
      </c>
    </row>
    <row r="42" customFormat="false" ht="15" hidden="false" customHeight="false" outlineLevel="0" collapsed="false">
      <c r="A42" s="13" t="n">
        <v>29</v>
      </c>
      <c r="B42" s="16" t="n">
        <f aca="false">Keep_L*B41</f>
        <v>35.6374798162339</v>
      </c>
      <c r="C42" s="16" t="n">
        <f aca="false">Keep_S*C41+Retrain*B41</f>
        <v>95.7125748172851</v>
      </c>
      <c r="D42" s="16" t="n">
        <f aca="false">B42+C42</f>
        <v>131.350054633519</v>
      </c>
      <c r="E42" s="19" t="n">
        <f aca="false">C42/D42</f>
        <v>0.728683174775478</v>
      </c>
      <c r="F42" s="16" t="n">
        <f aca="false">Keep_L*F41</f>
        <v>8.90936995405848</v>
      </c>
      <c r="G42" s="16" t="n">
        <f aca="false">Keep_S*G41+Retrain*F41</f>
        <v>138.716285591316</v>
      </c>
      <c r="H42" s="16" t="n">
        <f aca="false">F42+G42</f>
        <v>147.625655545374</v>
      </c>
      <c r="I42" s="19" t="n">
        <f aca="false">G42/H42</f>
        <v>0.93964890505553</v>
      </c>
    </row>
    <row r="43" customFormat="false" ht="15" hidden="false" customHeight="false" outlineLevel="0" collapsed="false">
      <c r="A43" s="13" t="n">
        <v>30</v>
      </c>
      <c r="B43" s="16" t="n">
        <f aca="false">Keep_L*B42</f>
        <v>32.7864814309352</v>
      </c>
      <c r="C43" s="16" t="n">
        <f aca="false">Keep_S*C42+Retrain*B42</f>
        <v>92.9531962190807</v>
      </c>
      <c r="D43" s="16" t="n">
        <f aca="false">B43+C43</f>
        <v>125.739677650016</v>
      </c>
      <c r="E43" s="19" t="n">
        <f aca="false">C43/D43</f>
        <v>0.73925110956469</v>
      </c>
      <c r="F43" s="16" t="n">
        <f aca="false">Keep_L*F42</f>
        <v>8.1966203577338</v>
      </c>
      <c r="G43" s="16" t="n">
        <f aca="false">Keep_S*G42+Retrain*F42</f>
        <v>133.434915266285</v>
      </c>
      <c r="H43" s="16" t="n">
        <f aca="false">F43+G43</f>
        <v>141.631535624018</v>
      </c>
      <c r="I43" s="19" t="n">
        <f aca="false">G43/H43</f>
        <v>0.942127151826604</v>
      </c>
    </row>
    <row r="44" customFormat="false" ht="15" hidden="false" customHeight="false" outlineLevel="0" collapsed="false">
      <c r="A44" s="13" t="n">
        <v>31</v>
      </c>
      <c r="B44" s="16" t="n">
        <f aca="false">Keep_L*B43</f>
        <v>30.1635629164604</v>
      </c>
      <c r="C44" s="16" t="n">
        <f aca="false">Keep_S*C43+Retrain*B43</f>
        <v>90.2186628132455</v>
      </c>
      <c r="D44" s="16" t="n">
        <f aca="false">B44+C44</f>
        <v>120.382225729706</v>
      </c>
      <c r="E44" s="19" t="n">
        <f aca="false">C44/D44</f>
        <v>0.7494350786952</v>
      </c>
      <c r="F44" s="16" t="n">
        <f aca="false">Keep_L*F43</f>
        <v>7.5408907291151</v>
      </c>
      <c r="G44" s="16" t="n">
        <f aca="false">Keep_S*G43+Retrain*F43</f>
        <v>128.343417266365</v>
      </c>
      <c r="H44" s="16" t="n">
        <f aca="false">F44+G44</f>
        <v>135.88430799548</v>
      </c>
      <c r="I44" s="19" t="n">
        <f aca="false">G44/H44</f>
        <v>0.944505065814031</v>
      </c>
    </row>
    <row r="45" customFormat="false" ht="15" hidden="false" customHeight="false" outlineLevel="0" collapsed="false">
      <c r="A45" s="13" t="n">
        <v>32</v>
      </c>
      <c r="B45" s="16" t="n">
        <f aca="false">Keep_L*B44</f>
        <v>27.7504778831436</v>
      </c>
      <c r="C45" s="16" t="n">
        <f aca="false">Keep_S*C44+Retrain*B44</f>
        <v>87.5148231882095</v>
      </c>
      <c r="D45" s="16" t="n">
        <f aca="false">B45+C45</f>
        <v>115.265301071353</v>
      </c>
      <c r="E45" s="19" t="n">
        <f aca="false">C45/D45</f>
        <v>0.75924690583192</v>
      </c>
      <c r="F45" s="16" t="n">
        <f aca="false">Keep_L*F44</f>
        <v>6.93761947078589</v>
      </c>
      <c r="G45" s="16" t="n">
        <f aca="false">Keep_S*G44+Retrain*F44</f>
        <v>123.435907297584</v>
      </c>
      <c r="H45" s="16" t="n">
        <f aca="false">F45+G45</f>
        <v>130.37352676837</v>
      </c>
      <c r="I45" s="19" t="n">
        <f aca="false">G45/H45</f>
        <v>0.946786593545853</v>
      </c>
    </row>
    <row r="46" customFormat="false" ht="15" hidden="false" customHeight="false" outlineLevel="0" collapsed="false">
      <c r="A46" s="13" t="n">
        <v>33</v>
      </c>
      <c r="B46" s="16" t="n">
        <f aca="false">Keep_L*B45</f>
        <v>25.5304396524921</v>
      </c>
      <c r="C46" s="16" t="n">
        <f aca="false">Keep_S*C45+Retrain*B45</f>
        <v>84.8467445971755</v>
      </c>
      <c r="D46" s="16" t="n">
        <f aca="false">B46+C46</f>
        <v>110.377184249668</v>
      </c>
      <c r="E46" s="19" t="n">
        <f aca="false">C46/D46</f>
        <v>0.768698215794819</v>
      </c>
      <c r="F46" s="16" t="n">
        <f aca="false">Keep_L*F45</f>
        <v>6.38260991312302</v>
      </c>
      <c r="G46" s="16" t="n">
        <f aca="false">Keep_S*G45+Retrain*F45</f>
        <v>118.706599589804</v>
      </c>
      <c r="H46" s="16" t="n">
        <f aca="false">F46+G46</f>
        <v>125.089209502927</v>
      </c>
      <c r="I46" s="19" t="n">
        <f aca="false">G46/H46</f>
        <v>0.948975535631843</v>
      </c>
    </row>
    <row r="47" customFormat="false" ht="15" hidden="false" customHeight="false" outlineLevel="0" collapsed="false">
      <c r="A47" s="13" t="n">
        <v>34</v>
      </c>
      <c r="B47" s="16" t="n">
        <f aca="false">Keep_L*B46</f>
        <v>23.4880044802927</v>
      </c>
      <c r="C47" s="16" t="n">
        <f aca="false">Keep_S*C46+Retrain*B46</f>
        <v>82.2187880028632</v>
      </c>
      <c r="D47" s="16" t="n">
        <f aca="false">B47+C47</f>
        <v>105.706792483156</v>
      </c>
      <c r="E47" s="19" t="n">
        <f aca="false">C47/D47</f>
        <v>0.77780042390336</v>
      </c>
      <c r="F47" s="16" t="n">
        <f aca="false">Keep_L*F46</f>
        <v>5.87200112007317</v>
      </c>
      <c r="G47" s="16" t="n">
        <f aca="false">Keep_S*G46+Retrain*F46</f>
        <v>114.149813903606</v>
      </c>
      <c r="H47" s="16" t="n">
        <f aca="false">F47+G47</f>
        <v>120.021815023679</v>
      </c>
      <c r="I47" s="19" t="n">
        <f aca="false">G47/H47</f>
        <v>0.951075551399429</v>
      </c>
    </row>
    <row r="48" customFormat="false" ht="15" hidden="false" customHeight="false" outlineLevel="0" collapsed="false">
      <c r="A48" s="13" t="n">
        <v>35</v>
      </c>
      <c r="B48" s="16" t="n">
        <f aca="false">Keep_L*B47</f>
        <v>21.6089641218693</v>
      </c>
      <c r="C48" s="16" t="n">
        <f aca="false">Keep_S*C47+Retrain*B47</f>
        <v>79.6346766171574</v>
      </c>
      <c r="D48" s="16" t="n">
        <f aca="false">B48+C48</f>
        <v>101.243640739027</v>
      </c>
      <c r="E48" s="19" t="n">
        <f aca="false">C48/D48</f>
        <v>0.786564726790395</v>
      </c>
      <c r="F48" s="16" t="n">
        <f aca="false">Keep_L*F47</f>
        <v>5.40224103046732</v>
      </c>
      <c r="G48" s="16" t="n">
        <f aca="false">Keep_S*G47+Retrain*F47</f>
        <v>109.759981381064</v>
      </c>
      <c r="H48" s="16" t="n">
        <f aca="false">F48+G48</f>
        <v>115.162222411531</v>
      </c>
      <c r="I48" s="19" t="n">
        <f aca="false">G48/H48</f>
        <v>0.95309016344646</v>
      </c>
    </row>
    <row r="49" customFormat="false" ht="15" hidden="false" customHeight="false" outlineLevel="0" collapsed="false">
      <c r="A49" s="13" t="n">
        <v>36</v>
      </c>
      <c r="B49" s="16" t="n">
        <f aca="false">Keep_L*B48</f>
        <v>19.8802469921197</v>
      </c>
      <c r="C49" s="16" t="n">
        <f aca="false">Keep_S*C48+Retrain*B48</f>
        <v>77.0975584761272</v>
      </c>
      <c r="D49" s="16" t="n">
        <f aca="false">B49+C49</f>
        <v>96.977805468247</v>
      </c>
      <c r="E49" s="19" t="n">
        <f aca="false">C49/D49</f>
        <v>0.795002094591334</v>
      </c>
      <c r="F49" s="16" t="n">
        <f aca="false">Keep_L*F48</f>
        <v>4.97006174802993</v>
      </c>
      <c r="G49" s="16" t="n">
        <f aca="false">Keep_S*G48+Retrain*F48</f>
        <v>105.531649356735</v>
      </c>
      <c r="H49" s="16" t="n">
        <f aca="false">F49+G49</f>
        <v>110.501711104765</v>
      </c>
      <c r="I49" s="19" t="n">
        <f aca="false">G49/H49</f>
        <v>0.95502276210621</v>
      </c>
    </row>
    <row r="50" customFormat="false" ht="15" hidden="false" customHeight="false" outlineLevel="0" collapsed="false">
      <c r="A50" s="13" t="n">
        <v>37</v>
      </c>
      <c r="B50" s="16" t="n">
        <f aca="false">Keep_L*B49</f>
        <v>18.2898272327502</v>
      </c>
      <c r="C50" s="16" t="n">
        <f aca="false">Keep_S*C49+Retrain*B49</f>
        <v>74.6100635468457</v>
      </c>
      <c r="D50" s="16" t="n">
        <f aca="false">B50+C50</f>
        <v>92.8998907795959</v>
      </c>
      <c r="E50" s="19" t="n">
        <f aca="false">C50/D50</f>
        <v>0.803123264416504</v>
      </c>
      <c r="F50" s="16" t="n">
        <f aca="false">Keep_L*F49</f>
        <v>4.57245680818754</v>
      </c>
      <c r="G50" s="16" t="n">
        <f aca="false">Keep_S*G49+Retrain*F49</f>
        <v>101.459485234907</v>
      </c>
      <c r="H50" s="16" t="n">
        <f aca="false">F50+G50</f>
        <v>106.031942043094</v>
      </c>
      <c r="I50" s="19" t="n">
        <f aca="false">G50/H50</f>
        <v>0.956876609820754</v>
      </c>
    </row>
    <row r="51" customFormat="false" ht="15" hidden="false" customHeight="false" outlineLevel="0" collapsed="false">
      <c r="A51" s="13" t="n">
        <v>38</v>
      </c>
      <c r="B51" s="16" t="n">
        <f aca="false">Keep_L*B50</f>
        <v>16.8266410541301</v>
      </c>
      <c r="C51" s="16" t="n">
        <f aca="false">Keep_S*C50+Retrain*B50</f>
        <v>72.1743558219544</v>
      </c>
      <c r="D51" s="16" t="n">
        <f aca="false">B51+C51</f>
        <v>89.0009968760845</v>
      </c>
      <c r="E51" s="19" t="n">
        <f aca="false">C51/D51</f>
        <v>0.810938735017117</v>
      </c>
      <c r="F51" s="16" t="n">
        <f aca="false">Keep_L*F50</f>
        <v>4.20666026353254</v>
      </c>
      <c r="G51" s="16" t="n">
        <f aca="false">Keep_S*G50+Retrain*F50</f>
        <v>97.5382795297561</v>
      </c>
      <c r="H51" s="16" t="n">
        <f aca="false">F51+G51</f>
        <v>101.744939793289</v>
      </c>
      <c r="I51" s="19" t="n">
        <f aca="false">G51/H51</f>
        <v>0.958654845419546</v>
      </c>
    </row>
    <row r="52" customFormat="false" ht="15" hidden="false" customHeight="false" outlineLevel="0" collapsed="false">
      <c r="A52" s="13" t="n">
        <v>39</v>
      </c>
      <c r="B52" s="16" t="n">
        <f aca="false">Keep_L*B51</f>
        <v>15.4805097697997</v>
      </c>
      <c r="C52" s="16" t="n">
        <f aca="false">Keep_S*C51+Retrain*B51</f>
        <v>69.7921808207001</v>
      </c>
      <c r="D52" s="16" t="n">
        <f aca="false">B52+C52</f>
        <v>85.2726905904998</v>
      </c>
      <c r="E52" s="19" t="n">
        <f aca="false">C52/D52</f>
        <v>0.818458762558099</v>
      </c>
      <c r="F52" s="16" t="n">
        <f aca="false">Keep_L*F51</f>
        <v>3.87012744244993</v>
      </c>
      <c r="G52" s="16" t="n">
        <f aca="false">Keep_S*G51+Retrain*F51</f>
        <v>93.7629481564719</v>
      </c>
      <c r="H52" s="16" t="n">
        <f aca="false">F52+G52</f>
        <v>97.6330755989218</v>
      </c>
      <c r="I52" s="19" t="n">
        <f aca="false">G52/H52</f>
        <v>0.96036048830062</v>
      </c>
    </row>
    <row r="53" customFormat="false" ht="15" hidden="false" customHeight="false" outlineLevel="0" collapsed="false">
      <c r="A53" s="13" t="n">
        <v>40</v>
      </c>
      <c r="B53" s="16" t="n">
        <f aca="false">Keep_L*B52</f>
        <v>14.2420689882158</v>
      </c>
      <c r="C53" s="16" t="n">
        <f aca="false">Keep_S*C52+Retrain*B52</f>
        <v>67.4649088809661</v>
      </c>
      <c r="D53" s="16" t="n">
        <f aca="false">B53+C53</f>
        <v>81.7069778691818</v>
      </c>
      <c r="E53" s="19" t="n">
        <f aca="false">C53/D53</f>
        <v>0.825693357414122</v>
      </c>
      <c r="F53" s="16" t="n">
        <f aca="false">Keep_L*F52</f>
        <v>3.56051724705394</v>
      </c>
      <c r="G53" s="16" t="n">
        <f aca="false">Keep_S*G52+Retrain*F52</f>
        <v>90.1285340534865</v>
      </c>
      <c r="H53" s="16" t="n">
        <f aca="false">F53+G53</f>
        <v>93.6890513005404</v>
      </c>
      <c r="I53" s="19" t="n">
        <f aca="false">G53/H53</f>
        <v>0.961996442512452</v>
      </c>
    </row>
    <row r="54" customFormat="false" ht="15" hidden="false" customHeight="false" outlineLevel="0" collapsed="false">
      <c r="A54" s="13" t="n">
        <v>41</v>
      </c>
      <c r="B54" s="16" t="n">
        <f aca="false">Keep_L*B53</f>
        <v>13.1027034691585</v>
      </c>
      <c r="C54" s="16" t="n">
        <f aca="false">Keep_S*C53+Retrain*B53</f>
        <v>65.1935745953739</v>
      </c>
      <c r="D54" s="16" t="n">
        <f aca="false">B54+C54</f>
        <v>78.2962780645324</v>
      </c>
      <c r="E54" s="19" t="n">
        <f aca="false">C54/D54</f>
        <v>0.832652281908482</v>
      </c>
      <c r="F54" s="16" t="n">
        <f aca="false">Keep_L*F53</f>
        <v>3.27567586728962</v>
      </c>
      <c r="G54" s="16" t="n">
        <f aca="false">Keep_S*G53+Retrain*F53</f>
        <v>86.6302082087586</v>
      </c>
      <c r="H54" s="16" t="n">
        <f aca="false">F54+G54</f>
        <v>89.9058840760482</v>
      </c>
      <c r="I54" s="19" t="n">
        <f aca="false">G54/H54</f>
        <v>0.963565500734982</v>
      </c>
    </row>
    <row r="55" customFormat="false" ht="15" hidden="false" customHeight="false" outlineLevel="0" collapsed="false">
      <c r="A55" s="13" t="n">
        <v>42</v>
      </c>
      <c r="B55" s="16" t="n">
        <f aca="false">Keep_L*B54</f>
        <v>12.0544871916258</v>
      </c>
      <c r="C55" s="16" t="n">
        <f aca="false">Keep_S*C54+Retrain*B54</f>
        <v>62.9789127156337</v>
      </c>
      <c r="D55" s="16" t="n">
        <f aca="false">B55+C55</f>
        <v>75.0333999072595</v>
      </c>
      <c r="E55" s="19" t="n">
        <f aca="false">C55/D55</f>
        <v>0.839345048917882</v>
      </c>
      <c r="F55" s="16" t="n">
        <f aca="false">Keep_L*F54</f>
        <v>3.01362179790645</v>
      </c>
      <c r="G55" s="16" t="n">
        <f aca="false">Keep_S*G54+Retrain*F54</f>
        <v>83.263270156427</v>
      </c>
      <c r="H55" s="16" t="n">
        <f aca="false">F55+G55</f>
        <v>86.2768919543334</v>
      </c>
      <c r="I55" s="19" t="n">
        <f aca="false">G55/H55</f>
        <v>0.965070348158791</v>
      </c>
    </row>
    <row r="56" customFormat="false" ht="15" hidden="false" customHeight="false" outlineLevel="0" collapsed="false">
      <c r="A56" s="13" t="n">
        <v>43</v>
      </c>
      <c r="B56" s="16" t="n">
        <f aca="false">Keep_L*B55</f>
        <v>11.0901282162957</v>
      </c>
      <c r="C56" s="16" t="n">
        <f aca="false">Keep_S*C55+Retrain*B55</f>
        <v>60.8213908227571</v>
      </c>
      <c r="D56" s="16" t="n">
        <f aca="false">B56+C56</f>
        <v>71.9115190390529</v>
      </c>
      <c r="E56" s="19" t="n">
        <f aca="false">C56/D56</f>
        <v>0.845780921269748</v>
      </c>
      <c r="F56" s="16" t="n">
        <f aca="false">Keep_L*F55</f>
        <v>2.77253205407394</v>
      </c>
      <c r="G56" s="16" t="n">
        <f aca="false">Keep_S*G55+Retrain*F55</f>
        <v>80.0231480041071</v>
      </c>
      <c r="H56" s="16" t="n">
        <f aca="false">F56+G56</f>
        <v>82.795680058181</v>
      </c>
      <c r="I56" s="19" t="n">
        <f aca="false">G56/H56</f>
        <v>0.966513566261843</v>
      </c>
    </row>
    <row r="57" customFormat="false" ht="15" hidden="false" customHeight="false" outlineLevel="0" collapsed="false">
      <c r="A57" s="13" t="n">
        <v>44</v>
      </c>
      <c r="B57" s="16" t="n">
        <f aca="false">Keep_L*B56</f>
        <v>10.2029179589921</v>
      </c>
      <c r="C57" s="16" t="n">
        <f aca="false">Keep_S*C56+Retrain*B56</f>
        <v>58.7212390363357</v>
      </c>
      <c r="D57" s="16" t="n">
        <f aca="false">B57+C57</f>
        <v>68.9241569953278</v>
      </c>
      <c r="E57" s="19" t="n">
        <f aca="false">C57/D57</f>
        <v>0.851968911862299</v>
      </c>
      <c r="F57" s="16" t="n">
        <f aca="false">Keep_L*F56</f>
        <v>2.55072948974802</v>
      </c>
      <c r="G57" s="16" t="n">
        <f aca="false">Keep_S*G56+Retrain*F56</f>
        <v>76.905398045565</v>
      </c>
      <c r="H57" s="16" t="n">
        <f aca="false">F57+G57</f>
        <v>79.456127535313</v>
      </c>
      <c r="I57" s="19" t="n">
        <f aca="false">G57/H57</f>
        <v>0.96789763648355</v>
      </c>
    </row>
    <row r="58" customFormat="false" ht="15" hidden="false" customHeight="false" outlineLevel="0" collapsed="false">
      <c r="A58" s="13" t="n">
        <v>45</v>
      </c>
      <c r="B58" s="16" t="n">
        <f aca="false">Keep_L*B57</f>
        <v>9.38668452227272</v>
      </c>
      <c r="C58" s="16" t="n">
        <f aca="false">Keep_S*C57+Retrain*B57</f>
        <v>56.6784770136521</v>
      </c>
      <c r="D58" s="16" t="n">
        <f aca="false">B58+C58</f>
        <v>66.0651615359248</v>
      </c>
      <c r="E58" s="19" t="n">
        <f aca="false">C58/D58</f>
        <v>0.857917784441223</v>
      </c>
      <c r="F58" s="16" t="n">
        <f aca="false">Keep_L*F57</f>
        <v>2.34667113056818</v>
      </c>
      <c r="G58" s="16" t="n">
        <f aca="false">Keep_S*G57+Retrain*F57</f>
        <v>73.9057040084348</v>
      </c>
      <c r="H58" s="16" t="n">
        <f aca="false">F58+G58</f>
        <v>76.252375139003</v>
      </c>
      <c r="I58" s="19" t="n">
        <f aca="false">G58/H58</f>
        <v>0.969224943796303</v>
      </c>
    </row>
    <row r="59" customFormat="false" ht="15" hidden="false" customHeight="false" outlineLevel="0" collapsed="false">
      <c r="A59" s="13" t="n">
        <v>46</v>
      </c>
      <c r="B59" s="16" t="n">
        <f aca="false">Keep_L*B58</f>
        <v>8.6357497604909</v>
      </c>
      <c r="C59" s="16" t="n">
        <f aca="false">Keep_S*C58+Retrain*B58</f>
        <v>54.6929384687741</v>
      </c>
      <c r="D59" s="16" t="n">
        <f aca="false">B59+C59</f>
        <v>63.328688229265</v>
      </c>
      <c r="E59" s="19" t="n">
        <f aca="false">C59/D59</f>
        <v>0.86363605497042</v>
      </c>
      <c r="F59" s="16" t="n">
        <f aca="false">Keep_L*F58</f>
        <v>2.15893744012273</v>
      </c>
      <c r="G59" s="16" t="n">
        <f aca="false">Keep_S*G58+Retrain*F58</f>
        <v>71.0198759820145</v>
      </c>
      <c r="H59" s="16" t="n">
        <f aca="false">F59+G59</f>
        <v>73.1788134221372</v>
      </c>
      <c r="I59" s="19" t="n">
        <f aca="false">G59/H59</f>
        <v>0.970497780174861</v>
      </c>
    </row>
    <row r="60" customFormat="false" ht="15" hidden="false" customHeight="false" outlineLevel="0" collapsed="false">
      <c r="A60" s="13" t="n">
        <v>47</v>
      </c>
      <c r="B60" s="16" t="n">
        <f aca="false">Keep_L*B59</f>
        <v>7.94488977965163</v>
      </c>
      <c r="C60" s="16" t="n">
        <f aca="false">Keep_S*C59+Retrain*B59</f>
        <v>52.7642934228379</v>
      </c>
      <c r="D60" s="16" t="n">
        <f aca="false">B60+C60</f>
        <v>60.7091832024895</v>
      </c>
      <c r="E60" s="19" t="n">
        <f aca="false">C60/D60</f>
        <v>0.86913199353791</v>
      </c>
      <c r="F60" s="16" t="n">
        <f aca="false">Keep_L*F59</f>
        <v>1.98622244491291</v>
      </c>
      <c r="G60" s="16" t="n">
        <f aca="false">Keep_S*G59+Retrain*F59</f>
        <v>68.2438490659376</v>
      </c>
      <c r="H60" s="16" t="n">
        <f aca="false">F60+G60</f>
        <v>70.2300715108505</v>
      </c>
      <c r="I60" s="19" t="n">
        <f aca="false">G60/H60</f>
        <v>0.97171834796429</v>
      </c>
    </row>
    <row r="61" customFormat="false" ht="15" hidden="false" customHeight="false" outlineLevel="0" collapsed="false">
      <c r="A61" s="13" t="n">
        <v>48</v>
      </c>
      <c r="B61" s="16" t="n">
        <f aca="false">Keep_L*B60</f>
        <v>7.3092985972795</v>
      </c>
      <c r="C61" s="16" t="n">
        <f aca="false">Keep_S*C60+Retrain*B60</f>
        <v>50.8920683793139</v>
      </c>
      <c r="D61" s="16" t="n">
        <f aca="false">B61+C61</f>
        <v>58.2013669765934</v>
      </c>
      <c r="E61" s="19" t="n">
        <f aca="false">C61/D61</f>
        <v>0.874413626741464</v>
      </c>
      <c r="F61" s="16" t="n">
        <f aca="false">Keep_L*F60</f>
        <v>1.82732464931987</v>
      </c>
      <c r="G61" s="16" t="n">
        <f aca="false">Keep_S*G60+Retrain*F60</f>
        <v>65.5736817766475</v>
      </c>
      <c r="H61" s="16" t="n">
        <f aca="false">F61+G61</f>
        <v>67.4010064259673</v>
      </c>
      <c r="I61" s="19" t="n">
        <f aca="false">G61/H61</f>
        <v>0.972888763147372</v>
      </c>
    </row>
    <row r="62" customFormat="false" ht="15" hidden="false" customHeight="false" outlineLevel="0" collapsed="false">
      <c r="A62" s="13" t="n">
        <v>49</v>
      </c>
      <c r="B62" s="16" t="n">
        <f aca="false">Keep_L*B61</f>
        <v>6.72455470949714</v>
      </c>
      <c r="C62" s="16" t="n">
        <f aca="false">Keep_S*C61+Retrain*B61</f>
        <v>49.0756646020598</v>
      </c>
      <c r="D62" s="16" t="n">
        <f aca="false">B62+C62</f>
        <v>55.8002193115569</v>
      </c>
      <c r="E62" s="19" t="n">
        <f aca="false">C62/D62</f>
        <v>0.879488740502058</v>
      </c>
      <c r="F62" s="16" t="n">
        <f aca="false">Keep_L*F61</f>
        <v>1.68113867737428</v>
      </c>
      <c r="G62" s="16" t="n">
        <f aca="false">Keep_S*G61+Retrain*F61</f>
        <v>63.0055542450612</v>
      </c>
      <c r="H62" s="16" t="n">
        <f aca="false">F62+G62</f>
        <v>64.6866929224354</v>
      </c>
      <c r="I62" s="19" t="n">
        <f aca="false">G62/H62</f>
        <v>0.974011058512605</v>
      </c>
    </row>
    <row r="63" customFormat="false" ht="15" hidden="false" customHeight="false" outlineLevel="0" collapsed="false">
      <c r="A63" s="13" t="n">
        <v>50</v>
      </c>
      <c r="B63" s="16" t="n">
        <f aca="false">Keep_L*B62</f>
        <v>6.18659033273737</v>
      </c>
      <c r="C63" s="16" t="n">
        <f aca="false">Keep_S*C62+Retrain*B62</f>
        <v>47.3143746592623</v>
      </c>
      <c r="D63" s="16" t="n">
        <f aca="false">B63+C63</f>
        <v>53.5009649919997</v>
      </c>
      <c r="E63" s="19" t="n">
        <f aca="false">C63/D63</f>
        <v>0.884364883256545</v>
      </c>
      <c r="F63" s="16" t="n">
        <f aca="false">Keep_L*F62</f>
        <v>1.54664758318434</v>
      </c>
      <c r="G63" s="16" t="n">
        <f aca="false">Keep_S*G62+Retrain*F62</f>
        <v>60.5357662355799</v>
      </c>
      <c r="H63" s="16" t="n">
        <f aca="false">F63+G63</f>
        <v>62.0824138187643</v>
      </c>
      <c r="I63" s="19" t="n">
        <f aca="false">G63/H63</f>
        <v>0.975087186724095</v>
      </c>
    </row>
    <row r="64" customFormat="false" ht="15" hidden="false" customHeight="false" outlineLevel="0" collapsed="false">
      <c r="A64" s="13" t="n">
        <v>51</v>
      </c>
      <c r="B64" s="16" t="n">
        <f aca="false">Keep_L*B63</f>
        <v>5.69166310611838</v>
      </c>
      <c r="C64" s="16" t="n">
        <f aca="false">Keep_S*C63+Retrain*B63</f>
        <v>45.6073973828739</v>
      </c>
      <c r="D64" s="16" t="n">
        <f aca="false">B64+C64</f>
        <v>51.2990604889923</v>
      </c>
      <c r="E64" s="19" t="n">
        <f aca="false">C64/D64</f>
        <v>0.889049369484268</v>
      </c>
      <c r="F64" s="16" t="n">
        <f aca="false">Keep_L*F63</f>
        <v>1.42291577652959</v>
      </c>
      <c r="G64" s="16" t="n">
        <f aca="false">Keep_S*G63+Retrain*F63</f>
        <v>58.1607350136523</v>
      </c>
      <c r="H64" s="16" t="n">
        <f aca="false">F64+G64</f>
        <v>59.5836507901819</v>
      </c>
      <c r="I64" s="19" t="n">
        <f aca="false">G64/H64</f>
        <v>0.976119023294825</v>
      </c>
    </row>
    <row r="65" customFormat="false" ht="15" hidden="false" customHeight="false" outlineLevel="0" collapsed="false">
      <c r="A65" s="13" t="n">
        <v>52</v>
      </c>
      <c r="B65" s="16" t="n">
        <f aca="false">Keep_L*B64</f>
        <v>5.2363300576289</v>
      </c>
      <c r="C65" s="16" t="n">
        <f aca="false">Keep_S*C64+Retrain*B64</f>
        <v>43.9538513807425</v>
      </c>
      <c r="D65" s="16" t="n">
        <f aca="false">B65+C65</f>
        <v>49.1901814383714</v>
      </c>
      <c r="E65" s="19" t="n">
        <f aca="false">C65/D65</f>
        <v>0.893549283525427</v>
      </c>
      <c r="F65" s="16" t="n">
        <f aca="false">Keep_L*F64</f>
        <v>1.30908251440723</v>
      </c>
      <c r="G65" s="16" t="n">
        <f aca="false">Keep_S*G64+Retrain*F64</f>
        <v>55.8769930864021</v>
      </c>
      <c r="H65" s="16" t="n">
        <f aca="false">F65+G65</f>
        <v>57.1860756008093</v>
      </c>
      <c r="I65" s="19" t="n">
        <f aca="false">G65/H65</f>
        <v>0.977108369464879</v>
      </c>
    </row>
    <row r="66" customFormat="false" ht="15" hidden="false" customHeight="false" outlineLevel="0" collapsed="false">
      <c r="A66" s="13" t="n">
        <v>53</v>
      </c>
      <c r="B66" s="16" t="n">
        <f aca="false">Keep_L*B65</f>
        <v>4.81742365301859</v>
      </c>
      <c r="C66" s="16" t="n">
        <f aca="false">Keep_S*C65+Retrain*B65</f>
        <v>42.3527872272417</v>
      </c>
      <c r="D66" s="16" t="n">
        <f aca="false">B66+C66</f>
        <v>47.1702108802603</v>
      </c>
      <c r="E66" s="19" t="n">
        <f aca="false">C66/D66</f>
        <v>0.897871483652099</v>
      </c>
      <c r="F66" s="16" t="n">
        <f aca="false">Keep_L*F65</f>
        <v>1.20435591325465</v>
      </c>
      <c r="G66" s="16" t="n">
        <f aca="false">Keep_S*G65+Retrain*F65</f>
        <v>53.6811858383782</v>
      </c>
      <c r="H66" s="16" t="n">
        <f aca="false">F66+G66</f>
        <v>54.8855417516328</v>
      </c>
      <c r="I66" s="19" t="n">
        <f aca="false">G66/H66</f>
        <v>0.97805695498635</v>
      </c>
    </row>
    <row r="67" customFormat="false" ht="15" hidden="false" customHeight="false" outlineLevel="0" collapsed="false">
      <c r="A67" s="13" t="n">
        <v>54</v>
      </c>
      <c r="B67" s="16" t="n">
        <f aca="false">Keep_L*B66</f>
        <v>4.4320297607771</v>
      </c>
      <c r="C67" s="16" t="n">
        <f aca="false">Keep_S*C66+Retrain*B66</f>
        <v>40.8031984477426</v>
      </c>
      <c r="D67" s="16" t="n">
        <f aca="false">B67+C67</f>
        <v>45.2352282085197</v>
      </c>
      <c r="E67" s="19" t="n">
        <f aca="false">C67/D67</f>
        <v>0.902022606355673</v>
      </c>
      <c r="F67" s="16" t="n">
        <f aca="false">Keep_L*F66</f>
        <v>1.10800744019428</v>
      </c>
      <c r="G67" s="16" t="n">
        <f aca="false">Keep_S*G66+Retrain*F66</f>
        <v>51.5700690822407</v>
      </c>
      <c r="H67" s="16" t="n">
        <f aca="false">F67+G67</f>
        <v>52.678076522435</v>
      </c>
      <c r="I67" s="19" t="n">
        <f aca="false">G67/H67</f>
        <v>0.978966440816752</v>
      </c>
    </row>
    <row r="68" customFormat="false" ht="15" hidden="false" customHeight="false" outlineLevel="0" collapsed="false">
      <c r="A68" s="13" t="n">
        <v>55</v>
      </c>
      <c r="B68" s="16" t="n">
        <f aca="false">Keep_L*B67</f>
        <v>4.07746737991494</v>
      </c>
      <c r="C68" s="16" t="n">
        <f aca="false">Keep_S*C67+Retrain*B67</f>
        <v>39.3040314026562</v>
      </c>
      <c r="D68" s="16" t="n">
        <f aca="false">B68+C68</f>
        <v>43.3814987825711</v>
      </c>
      <c r="E68" s="19" t="n">
        <f aca="false">C68/D68</f>
        <v>0.906009070817233</v>
      </c>
      <c r="F68" s="16" t="n">
        <f aca="false">Keep_L*F67</f>
        <v>1.01936684497873</v>
      </c>
      <c r="G68" s="16" t="n">
        <f aca="false">Keep_S*G67+Retrain*F67</f>
        <v>49.5405065421569</v>
      </c>
      <c r="H68" s="16" t="n">
        <f aca="false">F68+G68</f>
        <v>50.5598733871356</v>
      </c>
      <c r="I68" s="19" t="n">
        <f aca="false">G68/H68</f>
        <v>0.979838421722826</v>
      </c>
    </row>
    <row r="69" customFormat="false" ht="15" hidden="false" customHeight="false" outlineLevel="0" collapsed="false">
      <c r="A69" s="13" t="n">
        <v>56</v>
      </c>
      <c r="B69" s="16" t="n">
        <f aca="false">Keep_L*B68</f>
        <v>3.75126998952174</v>
      </c>
      <c r="C69" s="16" t="n">
        <f aca="false">Keep_S*C68+Retrain*B68</f>
        <v>37.8541941679474</v>
      </c>
      <c r="D69" s="16" t="n">
        <f aca="false">B69+C69</f>
        <v>41.6054641574691</v>
      </c>
      <c r="E69" s="19" t="n">
        <f aca="false">C69/D69</f>
        <v>0.90983708353009</v>
      </c>
      <c r="F69" s="16" t="n">
        <f aca="false">Keep_L*F68</f>
        <v>0.937817497380435</v>
      </c>
      <c r="G69" s="16" t="n">
        <f aca="false">Keep_S*G68+Retrain*F68</f>
        <v>47.58946728582</v>
      </c>
      <c r="H69" s="16" t="n">
        <f aca="false">F69+G69</f>
        <v>48.5272847832004</v>
      </c>
      <c r="I69" s="19" t="n">
        <f aca="false">G69/H69</f>
        <v>0.980674428796703</v>
      </c>
    </row>
    <row r="70" customFormat="false" ht="15" hidden="false" customHeight="false" outlineLevel="0" collapsed="false">
      <c r="A70" s="13" t="n">
        <v>57</v>
      </c>
      <c r="B70" s="16" t="n">
        <f aca="false">Keep_L*B69</f>
        <v>3.45116839036</v>
      </c>
      <c r="C70" s="16" t="n">
        <f aca="false">Keep_S*C69+Retrain*B69</f>
        <v>36.4525645009151</v>
      </c>
      <c r="D70" s="16" t="n">
        <f aca="false">B70+C70</f>
        <v>39.9037328912751</v>
      </c>
      <c r="E70" s="19" t="n">
        <f aca="false">C70/D70</f>
        <v>0.91351264304612</v>
      </c>
      <c r="F70" s="16" t="n">
        <f aca="false">Keep_L*F69</f>
        <v>0.86279209759</v>
      </c>
      <c r="G70" s="16" t="n">
        <f aca="false">Keep_S*G69+Retrain*F69</f>
        <v>45.7140231193086</v>
      </c>
      <c r="H70" s="16" t="n">
        <f aca="false">F70+G70</f>
        <v>46.5768152168986</v>
      </c>
      <c r="I70" s="19" t="n">
        <f aca="false">G70/H70</f>
        <v>0.981475931886451</v>
      </c>
    </row>
    <row r="71" customFormat="false" ht="15" hidden="false" customHeight="false" outlineLevel="0" collapsed="false">
      <c r="A71" s="13" t="n">
        <v>58</v>
      </c>
      <c r="B71" s="16" t="n">
        <f aca="false">Keep_L*B70</f>
        <v>3.1750749191312</v>
      </c>
      <c r="C71" s="16" t="n">
        <f aca="false">Keep_S*C70+Retrain*B70</f>
        <v>35.0979969725893</v>
      </c>
      <c r="D71" s="16" t="n">
        <f aca="false">B71+C71</f>
        <v>38.2730718917205</v>
      </c>
      <c r="E71" s="19" t="n">
        <f aca="false">C71/D71</f>
        <v>0.917041544819974</v>
      </c>
      <c r="F71" s="16" t="n">
        <f aca="false">Keep_L*F70</f>
        <v>0.7937687297828</v>
      </c>
      <c r="G71" s="16" t="n">
        <f aca="false">Keep_S*G70+Retrain*F70</f>
        <v>43.911345957464</v>
      </c>
      <c r="H71" s="16" t="n">
        <f aca="false">F71+G71</f>
        <v>44.7051146872468</v>
      </c>
      <c r="I71" s="19" t="n">
        <f aca="false">G71/H71</f>
        <v>0.982244341943065</v>
      </c>
    </row>
    <row r="72" customFormat="false" ht="15" hidden="false" customHeight="false" outlineLevel="0" collapsed="false">
      <c r="A72" s="13" t="n">
        <v>59</v>
      </c>
      <c r="B72" s="16" t="n">
        <f aca="false">Keep_L*B71</f>
        <v>2.9210689256007</v>
      </c>
      <c r="C72" s="16" t="n">
        <f aca="false">Keep_S*C71+Retrain*B71</f>
        <v>33.7893293412597</v>
      </c>
      <c r="D72" s="16" t="n">
        <f aca="false">B72+C72</f>
        <v>36.7103982668604</v>
      </c>
      <c r="E72" s="19" t="n">
        <f aca="false">C72/D72</f>
        <v>0.920429386127428</v>
      </c>
      <c r="F72" s="16" t="n">
        <f aca="false">Keep_L*F71</f>
        <v>0.730267231400176</v>
      </c>
      <c r="G72" s="16" t="n">
        <f aca="false">Keep_S*G71+Retrain*F71</f>
        <v>42.1787051810589</v>
      </c>
      <c r="H72" s="16" t="n">
        <f aca="false">F72+G72</f>
        <v>42.9089724124591</v>
      </c>
      <c r="I72" s="19" t="n">
        <f aca="false">G72/H72</f>
        <v>0.982981013285973</v>
      </c>
    </row>
    <row r="73" customFormat="false" ht="15" hidden="false" customHeight="false" outlineLevel="0" collapsed="false">
      <c r="A73" s="13" t="n">
        <v>60</v>
      </c>
      <c r="B73" s="16" t="n">
        <f aca="false">Keep_L*B72</f>
        <v>2.68738341155265</v>
      </c>
      <c r="C73" s="16" t="n">
        <f aca="false">Keep_S*C72+Retrain*B72</f>
        <v>32.5253882353773</v>
      </c>
      <c r="D73" s="16" t="n">
        <f aca="false">B73+C73</f>
        <v>35.21277164693</v>
      </c>
      <c r="E73" s="19" t="n">
        <f aca="false">C73/D73</f>
        <v>0.923681571036259</v>
      </c>
      <c r="F73" s="16" t="n">
        <f aca="false">Keep_L*F72</f>
        <v>0.671845852888162</v>
      </c>
      <c r="G73" s="16" t="n">
        <f aca="false">Keep_S*G72+Retrain*F72</f>
        <v>40.5134649907585</v>
      </c>
      <c r="H73" s="16" t="n">
        <f aca="false">F73+G73</f>
        <v>41.1853108436467</v>
      </c>
      <c r="I73" s="19" t="n">
        <f aca="false">G73/H73</f>
        <v>0.983687245789191</v>
      </c>
    </row>
    <row r="74" customFormat="false" ht="15" hidden="false" customHeight="false" outlineLevel="0" collapsed="false">
      <c r="A74" s="13" t="n">
        <v>61</v>
      </c>
      <c r="B74" s="16" t="n">
        <f aca="false">Keep_L*B73</f>
        <v>2.47239273862843</v>
      </c>
      <c r="C74" s="16" t="n">
        <f aca="false">Keep_S*C73+Retrain*B73</f>
        <v>31.3049942083088</v>
      </c>
      <c r="D74" s="16" t="n">
        <f aca="false">B74+C74</f>
        <v>33.7773869469372</v>
      </c>
      <c r="E74" s="19" t="n">
        <f aca="false">C74/D74</f>
        <v>0.926803315410027</v>
      </c>
      <c r="F74" s="16" t="n">
        <f aca="false">Keep_L*F73</f>
        <v>0.618098184657109</v>
      </c>
      <c r="G74" s="16" t="n">
        <f aca="false">Keep_S*G73+Retrain*F73</f>
        <v>38.9130817667148</v>
      </c>
      <c r="H74" s="16" t="n">
        <f aca="false">F74+G74</f>
        <v>39.5311799513719</v>
      </c>
      <c r="I74" s="19" t="n">
        <f aca="false">G74/H74</f>
        <v>0.984364286990233</v>
      </c>
    </row>
    <row r="75" customFormat="false" ht="15" hidden="false" customHeight="false" outlineLevel="0" collapsed="false">
      <c r="A75" s="13" t="n">
        <v>62</v>
      </c>
      <c r="B75" s="16" t="n">
        <f aca="false">Keep_L*B74</f>
        <v>2.27460131953816</v>
      </c>
      <c r="C75" s="16" t="n">
        <f aca="false">Keep_S*C74+Retrain*B74</f>
        <v>30.1269662221353</v>
      </c>
      <c r="D75" s="16" t="n">
        <f aca="false">B75+C75</f>
        <v>32.4015675416735</v>
      </c>
      <c r="E75" s="19" t="n">
        <f aca="false">C75/D75</f>
        <v>0.929799651926943</v>
      </c>
      <c r="F75" s="16" t="n">
        <f aca="false">Keep_L*F74</f>
        <v>0.56865032988454</v>
      </c>
      <c r="G75" s="16" t="n">
        <f aca="false">Keep_S*G74+Retrain*F74</f>
        <v>37.375101441586</v>
      </c>
      <c r="H75" s="16" t="n">
        <f aca="false">F75+G75</f>
        <v>37.9437517714705</v>
      </c>
      <c r="I75" s="19" t="n">
        <f aca="false">G75/H75</f>
        <v>0.985013334123904</v>
      </c>
    </row>
    <row r="76" customFormat="false" ht="15" hidden="false" customHeight="false" outlineLevel="0" collapsed="false">
      <c r="A76" s="13" t="n">
        <v>63</v>
      </c>
      <c r="B76" s="16" t="n">
        <f aca="false">Keep_L*B75</f>
        <v>2.09263321397511</v>
      </c>
      <c r="C76" s="16" t="n">
        <f aca="false">Keep_S*C75+Retrain*B75</f>
        <v>28.990125612836</v>
      </c>
      <c r="D76" s="16" t="n">
        <f aca="false">B76+C76</f>
        <v>31.0827588268111</v>
      </c>
      <c r="E76" s="19" t="n">
        <f aca="false">C76/D76</f>
        <v>0.932675435097799</v>
      </c>
      <c r="F76" s="16" t="n">
        <f aca="false">Keep_L*F75</f>
        <v>0.523158303493777</v>
      </c>
      <c r="G76" s="16" t="n">
        <f aca="false">Keep_S*G75+Retrain*F75</f>
        <v>35.897156893819</v>
      </c>
      <c r="H76" s="16" t="n">
        <f aca="false">F76+G76</f>
        <v>36.4203151973128</v>
      </c>
      <c r="I76" s="19" t="n">
        <f aca="false">G76/H76</f>
        <v>0.985635536083104</v>
      </c>
    </row>
    <row r="77" customFormat="false" ht="15" hidden="false" customHeight="false" outlineLevel="0" collapsed="false">
      <c r="A77" s="13" t="n">
        <v>64</v>
      </c>
      <c r="B77" s="16" t="n">
        <f aca="false">Keep_L*B76</f>
        <v>1.9252225568571</v>
      </c>
      <c r="C77" s="16" t="n">
        <f aca="false">Keep_S*C76+Retrain*B76</f>
        <v>27.8932995847418</v>
      </c>
      <c r="D77" s="16" t="n">
        <f aca="false">B77+C77</f>
        <v>29.8185221415989</v>
      </c>
      <c r="E77" s="19" t="n">
        <f aca="false">C77/D77</f>
        <v>0.93543534626851</v>
      </c>
      <c r="F77" s="16" t="n">
        <f aca="false">Keep_L*F76</f>
        <v>0.481305639214275</v>
      </c>
      <c r="G77" s="16" t="n">
        <f aca="false">Keep_S*G76+Retrain*F76</f>
        <v>34.4769653671711</v>
      </c>
      <c r="H77" s="16" t="n">
        <f aca="false">F77+G77</f>
        <v>34.9582710063854</v>
      </c>
      <c r="I77" s="19" t="n">
        <f aca="false">G77/H77</f>
        <v>0.986231995308739</v>
      </c>
    </row>
    <row r="78" customFormat="false" ht="15" hidden="false" customHeight="false" outlineLevel="0" collapsed="false">
      <c r="A78" s="13" t="n">
        <v>65</v>
      </c>
      <c r="B78" s="16" t="n">
        <f aca="false">Keep_L*B77</f>
        <v>1.77120475230853</v>
      </c>
      <c r="C78" s="16" t="n">
        <f aca="false">Keep_S*C77+Retrain*B77</f>
        <v>26.8353242780579</v>
      </c>
      <c r="D78" s="16" t="n">
        <f aca="false">B78+C78</f>
        <v>28.6065290303664</v>
      </c>
      <c r="E78" s="19" t="n">
        <f aca="false">C78/D78</f>
        <v>0.938083898594326</v>
      </c>
      <c r="F78" s="16" t="n">
        <f aca="false">Keep_L*F77</f>
        <v>0.442801188077133</v>
      </c>
      <c r="G78" s="16" t="n">
        <f aca="false">Keep_S*G77+Retrain*F77</f>
        <v>33.1123259216607</v>
      </c>
      <c r="H78" s="16" t="n">
        <f aca="false">F78+G78</f>
        <v>33.5551271097378</v>
      </c>
      <c r="I78" s="19" t="n">
        <f aca="false">G78/H78</f>
        <v>0.986803769610855</v>
      </c>
    </row>
    <row r="79" customFormat="false" ht="15" hidden="false" customHeight="false" outlineLevel="0" collapsed="false">
      <c r="A79" s="13" t="n">
        <v>66</v>
      </c>
      <c r="B79" s="16" t="n">
        <f aca="false">Keep_L*B78</f>
        <v>1.62950837212385</v>
      </c>
      <c r="C79" s="16" t="n">
        <f aca="false">Keep_S*C78+Retrain*B78</f>
        <v>25.8150474495048</v>
      </c>
      <c r="D79" s="16" t="n">
        <f aca="false">B79+C79</f>
        <v>27.4445558216287</v>
      </c>
      <c r="E79" s="19" t="n">
        <f aca="false">C79/D79</f>
        <v>0.940625441974191</v>
      </c>
      <c r="F79" s="16" t="n">
        <f aca="false">Keep_L*F78</f>
        <v>0.407377093030962</v>
      </c>
      <c r="G79" s="16" t="n">
        <f aca="false">Keep_S*G78+Retrain*F78</f>
        <v>31.8011169204366</v>
      </c>
      <c r="H79" s="16" t="n">
        <f aca="false">F79+G79</f>
        <v>32.2084940134675</v>
      </c>
      <c r="I79" s="19" t="n">
        <f aca="false">G79/H79</f>
        <v>0.987351873923052</v>
      </c>
    </row>
    <row r="80" customFormat="false" ht="15" hidden="false" customHeight="false" outlineLevel="0" collapsed="false">
      <c r="A80" s="13" t="n">
        <v>67</v>
      </c>
      <c r="B80" s="16" t="n">
        <f aca="false">Keep_L*B79</f>
        <v>1.49914770235394</v>
      </c>
      <c r="C80" s="16" t="n">
        <f aca="false">Keep_S*C79+Retrain*B79</f>
        <v>24.8313308026883</v>
      </c>
      <c r="D80" s="16" t="n">
        <f aca="false">B80+C80</f>
        <v>26.3304785050423</v>
      </c>
      <c r="E80" s="19" t="n">
        <f aca="false">C80/D80</f>
        <v>0.943064167935009</v>
      </c>
      <c r="F80" s="16" t="n">
        <f aca="false">Keep_L*F79</f>
        <v>0.374786925588485</v>
      </c>
      <c r="G80" s="16" t="n">
        <f aca="false">Keep_S*G79+Retrain*F79</f>
        <v>30.54129355641</v>
      </c>
      <c r="H80" s="16" t="n">
        <f aca="false">F80+G80</f>
        <v>30.9160804819985</v>
      </c>
      <c r="I80" s="19" t="n">
        <f aca="false">G80/H80</f>
        <v>0.98787728199224</v>
      </c>
    </row>
    <row r="81" customFormat="false" ht="15" hidden="false" customHeight="false" outlineLevel="0" collapsed="false">
      <c r="A81" s="13" t="n">
        <v>68</v>
      </c>
      <c r="B81" s="16" t="n">
        <f aca="false">Keep_L*B80</f>
        <v>1.37921588616562</v>
      </c>
      <c r="C81" s="16" t="n">
        <f aca="false">Keep_S*C80+Retrain*B80</f>
        <v>23.8830520016514</v>
      </c>
      <c r="D81" s="16" t="n">
        <f aca="false">B81+C81</f>
        <v>25.2622678878171</v>
      </c>
      <c r="E81" s="19" t="n">
        <f aca="false">C81/D81</f>
        <v>0.945404114456772</v>
      </c>
      <c r="F81" s="16" t="n">
        <f aca="false">Keep_L*F80</f>
        <v>0.344803971541406</v>
      </c>
      <c r="G81" s="16" t="n">
        <f aca="false">Keep_S*G80+Retrain*F80</f>
        <v>29.3308854219213</v>
      </c>
      <c r="H81" s="16" t="n">
        <f aca="false">F81+G81</f>
        <v>29.6756893934627</v>
      </c>
      <c r="I81" s="19" t="n">
        <f aca="false">G81/H81</f>
        <v>0.988380928005758</v>
      </c>
    </row>
    <row r="82" customFormat="false" ht="15" hidden="false" customHeight="false" outlineLevel="0" collapsed="false">
      <c r="A82" s="13" t="n">
        <v>69</v>
      </c>
      <c r="B82" s="16" t="n">
        <f aca="false">Keep_L*B81</f>
        <v>1.26887861527237</v>
      </c>
      <c r="C82" s="16" t="n">
        <f aca="false">Keep_S*C81+Retrain*B81</f>
        <v>22.9691063981703</v>
      </c>
      <c r="D82" s="16" t="n">
        <f aca="false">B82+C82</f>
        <v>24.2379850134427</v>
      </c>
      <c r="E82" s="19" t="n">
        <f aca="false">C82/D82</f>
        <v>0.947649170730627</v>
      </c>
      <c r="F82" s="16" t="n">
        <f aca="false">Keep_L*F81</f>
        <v>0.317219653818094</v>
      </c>
      <c r="G82" s="16" t="n">
        <f aca="false">Keep_S*G81+Retrain*F81</f>
        <v>28.1679941241907</v>
      </c>
      <c r="H82" s="16" t="n">
        <f aca="false">F82+G82</f>
        <v>28.4852137780088</v>
      </c>
      <c r="I82" s="19" t="n">
        <f aca="false">G82/H82</f>
        <v>0.988863708157845</v>
      </c>
    </row>
    <row r="83" customFormat="false" ht="15" hidden="false" customHeight="false" outlineLevel="0" collapsed="false">
      <c r="A83" s="13" t="n">
        <v>70</v>
      </c>
      <c r="B83" s="16" t="n">
        <f aca="false">Keep_L*B82</f>
        <v>1.16736832605058</v>
      </c>
      <c r="C83" s="16" t="n">
        <f aca="false">Keep_S*C82+Retrain*B82</f>
        <v>22.0884085007017</v>
      </c>
      <c r="D83" s="16" t="n">
        <f aca="false">B83+C83</f>
        <v>23.2557768267523</v>
      </c>
      <c r="E83" s="19" t="n">
        <f aca="false">C83/D83</f>
        <v>0.949803081842972</v>
      </c>
      <c r="F83" s="16" t="n">
        <f aca="false">Keep_L*F82</f>
        <v>0.291842081512646</v>
      </c>
      <c r="G83" s="16" t="n">
        <f aca="false">Keep_S*G82+Retrain*F82</f>
        <v>27.0507909488376</v>
      </c>
      <c r="H83" s="16" t="n">
        <f aca="false">F83+G83</f>
        <v>27.3426330303502</v>
      </c>
      <c r="I83" s="19" t="n">
        <f aca="false">G83/H83</f>
        <v>0.989326482157417</v>
      </c>
    </row>
    <row r="84" customFormat="false" ht="15" hidden="false" customHeight="false" outlineLevel="0" collapsed="false">
      <c r="A84" s="13" t="n">
        <v>71</v>
      </c>
      <c r="B84" s="16" t="n">
        <f aca="false">Keep_L*B83</f>
        <v>1.07397885996654</v>
      </c>
      <c r="C84" s="16" t="n">
        <f aca="false">Keep_S*C83+Retrain*B83</f>
        <v>21.2398932104551</v>
      </c>
      <c r="D84" s="16" t="n">
        <f aca="false">B84+C84</f>
        <v>22.3138720704217</v>
      </c>
      <c r="E84" s="19" t="n">
        <f aca="false">C84/D84</f>
        <v>0.951869453379624</v>
      </c>
      <c r="F84" s="16" t="n">
        <f aca="false">Keep_L*F83</f>
        <v>0.268494714991634</v>
      </c>
      <c r="G84" s="16" t="n">
        <f aca="false">Keep_S*G83+Retrain*F83</f>
        <v>25.9775145733295</v>
      </c>
      <c r="H84" s="16" t="n">
        <f aca="false">F84+G84</f>
        <v>26.2460092883211</v>
      </c>
      <c r="I84" s="19" t="n">
        <f aca="false">G84/H84</f>
        <v>0.989770074679083</v>
      </c>
    </row>
    <row r="85" customFormat="false" ht="15" hidden="false" customHeight="false" outlineLevel="0" collapsed="false">
      <c r="A85" s="13" t="n">
        <v>72</v>
      </c>
      <c r="B85" s="16" t="n">
        <f aca="false">Keep_L*B84</f>
        <v>0.988060551169214</v>
      </c>
      <c r="C85" s="16" t="n">
        <f aca="false">Keep_S*C84+Retrain*B84</f>
        <v>20.4225168478359</v>
      </c>
      <c r="D85" s="16" t="n">
        <f aca="false">B85+C85</f>
        <v>21.4105773990052</v>
      </c>
      <c r="E85" s="19" t="n">
        <f aca="false">C85/D85</f>
        <v>0.953851755944932</v>
      </c>
      <c r="F85" s="16" t="n">
        <f aca="false">Keep_L*F84</f>
        <v>0.247015137792304</v>
      </c>
      <c r="G85" s="16" t="n">
        <f aca="false">Keep_S*G84+Retrain*F84</f>
        <v>24.946468831846</v>
      </c>
      <c r="H85" s="16" t="n">
        <f aca="false">F85+G85</f>
        <v>25.1934839696383</v>
      </c>
      <c r="I85" s="19" t="n">
        <f aca="false">G85/H85</f>
        <v>0.990195276759261</v>
      </c>
    </row>
    <row r="86" customFormat="false" ht="15" hidden="false" customHeight="false" outlineLevel="0" collapsed="false">
      <c r="A86" s="13" t="n">
        <v>73</v>
      </c>
      <c r="B86" s="16" t="n">
        <f aca="false">Keep_L*B85</f>
        <v>0.909015707075677</v>
      </c>
      <c r="C86" s="16" t="n">
        <f aca="false">Keep_S*C85+Retrain*B85</f>
        <v>19.6352579904576</v>
      </c>
      <c r="D86" s="16" t="n">
        <f aca="false">B86+C86</f>
        <v>20.5442736975333</v>
      </c>
      <c r="E86" s="19" t="n">
        <f aca="false">C86/D86</f>
        <v>0.955753329591553</v>
      </c>
      <c r="F86" s="16" t="n">
        <f aca="false">Keep_L*F85</f>
        <v>0.227253926768919</v>
      </c>
      <c r="G86" s="16" t="n">
        <f aca="false">Keep_S*G85+Retrain*F85</f>
        <v>23.9560205327059</v>
      </c>
      <c r="H86" s="16" t="n">
        <f aca="false">F86+G86</f>
        <v>24.1832744594749</v>
      </c>
      <c r="I86" s="19" t="n">
        <f aca="false">G86/H86</f>
        <v>0.99060284713926</v>
      </c>
    </row>
    <row r="87" customFormat="false" ht="15" hidden="false" customHeight="false" outlineLevel="0" collapsed="false">
      <c r="A87" s="13" t="n">
        <v>74</v>
      </c>
      <c r="B87" s="16" t="n">
        <f aca="false">Keep_L*B86</f>
        <v>0.836294450509623</v>
      </c>
      <c r="C87" s="16" t="n">
        <f aca="false">Keep_S*C86+Retrain*B86</f>
        <v>18.8771181420515</v>
      </c>
      <c r="D87" s="16" t="n">
        <f aca="false">B87+C87</f>
        <v>19.7134125925612</v>
      </c>
      <c r="E87" s="19" t="n">
        <f aca="false">C87/D87</f>
        <v>0.957577388157279</v>
      </c>
      <c r="F87" s="16" t="n">
        <f aca="false">Keep_L*F86</f>
        <v>0.209073612627406</v>
      </c>
      <c r="G87" s="16" t="n">
        <f aca="false">Keep_S*G86+Retrain*F86</f>
        <v>23.0045973292008</v>
      </c>
      <c r="H87" s="16" t="n">
        <f aca="false">F87+G87</f>
        <v>23.2136709418282</v>
      </c>
      <c r="I87" s="19" t="n">
        <f aca="false">G87/H87</f>
        <v>0.990993513557105</v>
      </c>
    </row>
    <row r="88" customFormat="false" ht="15" hidden="false" customHeight="false" outlineLevel="0" collapsed="false">
      <c r="A88" s="13" t="n">
        <v>75</v>
      </c>
      <c r="B88" s="16" t="n">
        <f aca="false">Keep_L*B87</f>
        <v>0.769390894468853</v>
      </c>
      <c r="C88" s="16" t="n">
        <f aca="false">Keep_S*C87+Retrain*B87</f>
        <v>18.1471222498848</v>
      </c>
      <c r="D88" s="16" t="n">
        <f aca="false">B88+C88</f>
        <v>18.9165131443536</v>
      </c>
      <c r="E88" s="19" t="n">
        <f aca="false">C88/D88</f>
        <v>0.959327023505994</v>
      </c>
      <c r="F88" s="16" t="n">
        <f aca="false">Keep_L*F87</f>
        <v>0.192347723617213</v>
      </c>
      <c r="G88" s="16" t="n">
        <f aca="false">Keep_S*G87+Retrain*F87</f>
        <v>22.0906856444116</v>
      </c>
      <c r="H88" s="16" t="n">
        <f aca="false">F88+G88</f>
        <v>22.2830333680288</v>
      </c>
      <c r="I88" s="19" t="n">
        <f aca="false">G88/H88</f>
        <v>0.991367973989879</v>
      </c>
    </row>
    <row r="89" customFormat="false" ht="15" hidden="false" customHeight="false" outlineLevel="0" collapsed="false">
      <c r="A89" s="13" t="n">
        <v>76</v>
      </c>
      <c r="B89" s="16" t="n">
        <f aca="false">Keep_L*B88</f>
        <v>0.707839622911345</v>
      </c>
      <c r="C89" s="16" t="n">
        <f aca="false">Keep_S*C88+Retrain*B88</f>
        <v>17.4443190867234</v>
      </c>
      <c r="D89" s="16" t="n">
        <f aca="false">B89+C89</f>
        <v>18.1521587096348</v>
      </c>
      <c r="E89" s="19" t="n">
        <f aca="false">C89/D89</f>
        <v>0.961005209670427</v>
      </c>
      <c r="F89" s="16" t="n">
        <f aca="false">Keep_L*F88</f>
        <v>0.176959905727836</v>
      </c>
      <c r="G89" s="16" t="n">
        <f aca="false">Keep_S*G88+Retrain*F88</f>
        <v>21.2128286503436</v>
      </c>
      <c r="H89" s="16" t="n">
        <f aca="false">F89+G89</f>
        <v>21.3897885560715</v>
      </c>
      <c r="I89" s="19" t="n">
        <f aca="false">G89/H89</f>
        <v>0.991726897848291</v>
      </c>
    </row>
    <row r="90" customFormat="false" ht="15" hidden="false" customHeight="false" outlineLevel="0" collapsed="false">
      <c r="A90" s="13" t="n">
        <v>77</v>
      </c>
      <c r="B90" s="16" t="n">
        <f aca="false">Keep_L*B89</f>
        <v>0.651212453078437</v>
      </c>
      <c r="C90" s="16" t="n">
        <f aca="false">Keep_S*C89+Retrain*B89</f>
        <v>16.7677815119418</v>
      </c>
      <c r="D90" s="16" t="n">
        <f aca="false">B90+C90</f>
        <v>17.4189939650203</v>
      </c>
      <c r="E90" s="19" t="n">
        <f aca="false">C90/D90</f>
        <v>0.962614806894924</v>
      </c>
      <c r="F90" s="16" t="n">
        <f aca="false">Keep_L*F89</f>
        <v>0.162803113269609</v>
      </c>
      <c r="G90" s="16" t="n">
        <f aca="false">Keep_S*G89+Retrain*F89</f>
        <v>20.3696243015017</v>
      </c>
      <c r="H90" s="16" t="n">
        <f aca="false">F90+G90</f>
        <v>20.5324274147713</v>
      </c>
      <c r="I90" s="19" t="n">
        <f aca="false">G90/H90</f>
        <v>0.992070927125134</v>
      </c>
    </row>
    <row r="91" customFormat="false" ht="15" hidden="false" customHeight="false" outlineLevel="0" collapsed="false">
      <c r="A91" s="13" t="n">
        <v>78</v>
      </c>
      <c r="B91" s="16" t="n">
        <f aca="false">Keep_L*B90</f>
        <v>0.599115456832162</v>
      </c>
      <c r="C91" s="16" t="n">
        <f aca="false">Keep_S*C90+Retrain*B90</f>
        <v>16.1166066250565</v>
      </c>
      <c r="D91" s="16" t="n">
        <f aca="false">B91+C91</f>
        <v>16.7157220818887</v>
      </c>
      <c r="E91" s="19" t="n">
        <f aca="false">C91/D91</f>
        <v>0.964158565576937</v>
      </c>
      <c r="F91" s="16" t="n">
        <f aca="false">Keep_L*F90</f>
        <v>0.149778864208041</v>
      </c>
      <c r="G91" s="16" t="n">
        <f aca="false">Keep_S*G90+Retrain*F90</f>
        <v>19.5597234228397</v>
      </c>
      <c r="H91" s="16" t="n">
        <f aca="false">F91+G91</f>
        <v>19.7095022870478</v>
      </c>
      <c r="I91" s="19" t="n">
        <f aca="false">G91/H91</f>
        <v>0.992400677499276</v>
      </c>
    </row>
    <row r="92" customFormat="false" ht="15" hidden="false" customHeight="false" outlineLevel="0" collapsed="false">
      <c r="A92" s="13" t="n">
        <v>79</v>
      </c>
      <c r="B92" s="16" t="n">
        <f aca="false">Keep_L*B91</f>
        <v>0.551186220285589</v>
      </c>
      <c r="C92" s="16" t="n">
        <f aca="false">Keep_S*C91+Retrain*B91</f>
        <v>15.4899158237592</v>
      </c>
      <c r="D92" s="16" t="n">
        <f aca="false">B92+C92</f>
        <v>16.0411020440448</v>
      </c>
      <c r="E92" s="19" t="n">
        <f aca="false">C92/D92</f>
        <v>0.965639130106387</v>
      </c>
      <c r="F92" s="16" t="n">
        <f aca="false">Keep_L*F91</f>
        <v>0.137796555071397</v>
      </c>
      <c r="G92" s="16" t="n">
        <f aca="false">Keep_S*G91+Retrain*F91</f>
        <v>18.7818278518524</v>
      </c>
      <c r="H92" s="16" t="n">
        <f aca="false">F92+G92</f>
        <v>18.9196244069238</v>
      </c>
      <c r="I92" s="19" t="n">
        <f aca="false">G92/H92</f>
        <v>0.992716739396741</v>
      </c>
    </row>
    <row r="93" customFormat="false" ht="15" hidden="false" customHeight="false" outlineLevel="0" collapsed="false">
      <c r="A93" s="13" t="n">
        <v>80</v>
      </c>
      <c r="B93" s="16" t="n">
        <f aca="false">Keep_L*B92</f>
        <v>0.507091322662742</v>
      </c>
      <c r="C93" s="16" t="n">
        <f aca="false">Keep_S*C92+Retrain*B92</f>
        <v>14.8868547774174</v>
      </c>
      <c r="D93" s="16" t="n">
        <f aca="false">B93+C93</f>
        <v>15.3939461000802</v>
      </c>
      <c r="E93" s="19" t="n">
        <f aca="false">C93/D93</f>
        <v>0.967059042602462</v>
      </c>
      <c r="F93" s="16" t="n">
        <f aca="false">Keep_L*F92</f>
        <v>0.126772830665685</v>
      </c>
      <c r="G93" s="16" t="n">
        <f aca="false">Keep_S*G92+Retrain*F92</f>
        <v>18.0346886344304</v>
      </c>
      <c r="H93" s="16" t="n">
        <f aca="false">F93+G93</f>
        <v>18.1614614650961</v>
      </c>
      <c r="I93" s="19" t="n">
        <f aca="false">G93/H93</f>
        <v>0.993019679010452</v>
      </c>
    </row>
    <row r="94" customFormat="false" ht="15" hidden="false" customHeight="false" outlineLevel="0" collapsed="false">
      <c r="A94" s="13" t="n">
        <v>81</v>
      </c>
      <c r="B94" s="16" t="n">
        <f aca="false">Keep_L*B93</f>
        <v>0.466524016849723</v>
      </c>
      <c r="C94" s="16" t="n">
        <f aca="false">Keep_S*C93+Retrain*B93</f>
        <v>14.3065933260006</v>
      </c>
      <c r="D94" s="16" t="n">
        <f aca="false">B94+C94</f>
        <v>14.7731173428503</v>
      </c>
      <c r="E94" s="19" t="n">
        <f aca="false">C94/D94</f>
        <v>0.968420746547749</v>
      </c>
      <c r="F94" s="16" t="n">
        <f aca="false">Keep_L*F93</f>
        <v>0.116631004212431</v>
      </c>
      <c r="G94" s="16" t="n">
        <f aca="false">Keep_S*G93+Retrain*F93</f>
        <v>17.3171042739732</v>
      </c>
      <c r="H94" s="16" t="n">
        <f aca="false">F94+G94</f>
        <v>17.4337352781856</v>
      </c>
      <c r="I94" s="19" t="n">
        <f aca="false">G94/H94</f>
        <v>0.993310039280087</v>
      </c>
    </row>
    <row r="95" customFormat="false" ht="15" hidden="false" customHeight="false" outlineLevel="0" collapsed="false">
      <c r="A95" s="13" t="n">
        <v>82</v>
      </c>
      <c r="B95" s="16" t="n">
        <f aca="false">Keep_L*B94</f>
        <v>0.429202095501745</v>
      </c>
      <c r="C95" s="16" t="n">
        <f aca="false">Keep_S*C94+Retrain*B94</f>
        <v>13.7483253134661</v>
      </c>
      <c r="D95" s="16" t="n">
        <f aca="false">B95+C95</f>
        <v>14.1775274089678</v>
      </c>
      <c r="E95" s="19" t="n">
        <f aca="false">C95/D95</f>
        <v>0.969726590319955</v>
      </c>
      <c r="F95" s="16" t="n">
        <f aca="false">Keep_L*F94</f>
        <v>0.107300523875436</v>
      </c>
      <c r="G95" s="16" t="n">
        <f aca="false">Keep_S*G94+Retrain*F94</f>
        <v>16.6279190331406</v>
      </c>
      <c r="H95" s="16" t="n">
        <f aca="false">F95+G95</f>
        <v>16.7352195570161</v>
      </c>
      <c r="I95" s="19" t="n">
        <f aca="false">G95/H95</f>
        <v>0.993588340833542</v>
      </c>
    </row>
    <row r="96" customFormat="false" ht="15" hidden="false" customHeight="false" outlineLevel="0" collapsed="false">
      <c r="A96" s="13" t="n">
        <v>83</v>
      </c>
      <c r="B96" s="16" t="n">
        <f aca="false">Keep_L*B95</f>
        <v>0.394865927861605</v>
      </c>
      <c r="C96" s="16" t="n">
        <f aca="false">Keep_S*C95+Retrain*B95</f>
        <v>13.2112683637925</v>
      </c>
      <c r="D96" s="16" t="n">
        <f aca="false">B96+C96</f>
        <v>13.6061342916541</v>
      </c>
      <c r="E96" s="19" t="n">
        <f aca="false">C96/D96</f>
        <v>0.970978830621728</v>
      </c>
      <c r="F96" s="16" t="n">
        <f aca="false">Keep_L*F95</f>
        <v>0.0987164819654013</v>
      </c>
      <c r="G96" s="16" t="n">
        <f aca="false">Keep_S*G95+Retrain*F95</f>
        <v>15.9660212875313</v>
      </c>
      <c r="H96" s="16" t="n">
        <f aca="false">F96+G96</f>
        <v>16.0647377694967</v>
      </c>
      <c r="I96" s="19" t="n">
        <f aca="false">G96/H96</f>
        <v>0.993855082891372</v>
      </c>
    </row>
    <row r="97" customFormat="false" ht="15" hidden="false" customHeight="false" outlineLevel="0" collapsed="false">
      <c r="A97" s="13" t="n">
        <v>84</v>
      </c>
      <c r="B97" s="16" t="n">
        <f aca="false">Keep_L*B96</f>
        <v>0.363276653632677</v>
      </c>
      <c r="C97" s="16" t="n">
        <f aca="false">Keep_S*C96+Retrain*B96</f>
        <v>12.6946636070766</v>
      </c>
      <c r="D97" s="16" t="n">
        <f aca="false">B97+C97</f>
        <v>13.0579402607093</v>
      </c>
      <c r="E97" s="19" t="n">
        <f aca="false">C97/D97</f>
        <v>0.972179635809351</v>
      </c>
      <c r="F97" s="16" t="n">
        <f aca="false">Keep_L*F96</f>
        <v>0.0908191634081692</v>
      </c>
      <c r="G97" s="16" t="n">
        <f aca="false">Keep_S*G96+Retrain*F96</f>
        <v>15.330341930489</v>
      </c>
      <c r="H97" s="16" t="n">
        <f aca="false">F97+G97</f>
        <v>15.4211610938971</v>
      </c>
      <c r="I97" s="19" t="n">
        <f aca="false">G97/H97</f>
        <v>0.994110744135595</v>
      </c>
    </row>
    <row r="98" customFormat="false" ht="15" hidden="false" customHeight="false" outlineLevel="0" collapsed="false">
      <c r="A98" s="13" t="n">
        <v>85</v>
      </c>
      <c r="B98" s="16" t="n">
        <f aca="false">Keep_L*B97</f>
        <v>0.334214521342063</v>
      </c>
      <c r="C98" s="16" t="n">
        <f aca="false">Keep_S*C97+Retrain*B97</f>
        <v>12.1977753624025</v>
      </c>
      <c r="D98" s="16" t="n">
        <f aca="false">B98+C98</f>
        <v>12.5319898837446</v>
      </c>
      <c r="E98" s="19" t="n">
        <f aca="false">C98/D98</f>
        <v>0.973331089121323</v>
      </c>
      <c r="F98" s="16" t="n">
        <f aca="false">Keep_L*F97</f>
        <v>0.0835536303355156</v>
      </c>
      <c r="G98" s="16" t="n">
        <f aca="false">Keep_S*G97+Retrain*F97</f>
        <v>14.7198528281717</v>
      </c>
      <c r="H98" s="16" t="n">
        <f aca="false">F98+G98</f>
        <v>14.8034064585072</v>
      </c>
      <c r="I98" s="19" t="n">
        <f aca="false">G98/H98</f>
        <v>0.994355783544165</v>
      </c>
    </row>
    <row r="99" customFormat="false" ht="15" hidden="false" customHeight="false" outlineLevel="0" collapsed="false">
      <c r="A99" s="13" t="n">
        <v>86</v>
      </c>
      <c r="B99" s="16" t="n">
        <f aca="false">Keep_L*B98</f>
        <v>0.307477359634698</v>
      </c>
      <c r="C99" s="16" t="n">
        <f aca="false">Keep_S*C98+Retrain*B98</f>
        <v>11.7198907835467</v>
      </c>
      <c r="D99" s="16" t="n">
        <f aca="false">B99+C99</f>
        <v>12.0273681431814</v>
      </c>
      <c r="E99" s="19" t="n">
        <f aca="false">C99/D99</f>
        <v>0.974435191808025</v>
      </c>
      <c r="F99" s="16" t="n">
        <f aca="false">Keep_L*F98</f>
        <v>0.0768693399086744</v>
      </c>
      <c r="G99" s="16" t="n">
        <f aca="false">Keep_S*G98+Retrain*F98</f>
        <v>14.1335653239549</v>
      </c>
      <c r="H99" s="16" t="n">
        <f aca="false">F99+G99</f>
        <v>14.2104346638635</v>
      </c>
      <c r="I99" s="19" t="n">
        <f aca="false">G99/H99</f>
        <v>0.994590641192409</v>
      </c>
    </row>
    <row r="100" customFormat="false" ht="15" hidden="false" customHeight="false" outlineLevel="0" collapsed="false">
      <c r="A100" s="13" t="n">
        <v>87</v>
      </c>
      <c r="B100" s="16" t="n">
        <f aca="false">Keep_L*B99</f>
        <v>0.282879170863922</v>
      </c>
      <c r="C100" s="16" t="n">
        <f aca="false">Keep_S*C99+Retrain*B99</f>
        <v>11.2603194729939</v>
      </c>
      <c r="D100" s="16" t="n">
        <f aca="false">B100+C100</f>
        <v>11.5431986438578</v>
      </c>
      <c r="E100" s="19" t="n">
        <f aca="false">C100/D100</f>
        <v>0.975493866163826</v>
      </c>
      <c r="F100" s="16" t="n">
        <f aca="false">Keep_L*F99</f>
        <v>0.0707197927159804</v>
      </c>
      <c r="G100" s="16" t="n">
        <f aca="false">Keep_S*G99+Retrain*F99</f>
        <v>13.5705287911939</v>
      </c>
      <c r="H100" s="16" t="n">
        <f aca="false">F100+G100</f>
        <v>13.6412485839099</v>
      </c>
      <c r="I100" s="19" t="n">
        <f aca="false">G100/H100</f>
        <v>0.994815739022644</v>
      </c>
    </row>
    <row r="101" customFormat="false" ht="15" hidden="false" customHeight="false" outlineLevel="0" collapsed="false">
      <c r="A101" s="13" t="n">
        <v>88</v>
      </c>
      <c r="B101" s="16" t="n">
        <f aca="false">Keep_L*B100</f>
        <v>0.260248837194808</v>
      </c>
      <c r="C101" s="16" t="n">
        <f aca="false">Keep_S*C100+Retrain*B100</f>
        <v>10.8183930692</v>
      </c>
      <c r="D101" s="16" t="n">
        <f aca="false">B101+C101</f>
        <v>11.0786419063948</v>
      </c>
      <c r="E101" s="19" t="n">
        <f aca="false">C101/D101</f>
        <v>0.976508958463168</v>
      </c>
      <c r="F101" s="16" t="n">
        <f aca="false">Keep_L*F100</f>
        <v>0.065062209298702</v>
      </c>
      <c r="G101" s="16" t="n">
        <f aca="false">Keep_S*G100+Retrain*F100</f>
        <v>13.0298292333276</v>
      </c>
      <c r="H101" s="16" t="n">
        <f aca="false">F101+G101</f>
        <v>13.0948914426263</v>
      </c>
      <c r="I101" s="19" t="n">
        <f aca="false">G101/H101</f>
        <v>0.995031481583199</v>
      </c>
    </row>
    <row r="102" customFormat="false" ht="15" hidden="false" customHeight="false" outlineLevel="0" collapsed="false">
      <c r="A102" s="13" t="n">
        <v>89</v>
      </c>
      <c r="B102" s="16" t="n">
        <f aca="false">Keep_L*B101</f>
        <v>0.239428930219223</v>
      </c>
      <c r="C102" s="16" t="n">
        <f aca="false">Keep_S*C101+Retrain*B101</f>
        <v>10.3934648115479</v>
      </c>
      <c r="D102" s="16" t="n">
        <f aca="false">B102+C102</f>
        <v>10.6328937417671</v>
      </c>
      <c r="E102" s="19" t="n">
        <f aca="false">C102/D102</f>
        <v>0.977482241802274</v>
      </c>
      <c r="F102" s="16" t="n">
        <f aca="false">Keep_L*F101</f>
        <v>0.0598572325548058</v>
      </c>
      <c r="G102" s="16" t="n">
        <f aca="false">Keep_S*G101+Retrain*F101</f>
        <v>12.5105879302735</v>
      </c>
      <c r="H102" s="16" t="n">
        <f aca="false">F102+G102</f>
        <v>12.5704451628283</v>
      </c>
      <c r="I102" s="19" t="n">
        <f aca="false">G102/H102</f>
        <v>0.995238256737971</v>
      </c>
    </row>
    <row r="103" customFormat="false" ht="15" hidden="false" customHeight="false" outlineLevel="0" collapsed="false">
      <c r="A103" s="13" t="n">
        <v>90</v>
      </c>
      <c r="B103" s="16" t="n">
        <f aca="false">Keep_L*B102</f>
        <v>0.220274615801685</v>
      </c>
      <c r="C103" s="16" t="n">
        <f aca="false">Keep_S*C102+Retrain*B102</f>
        <v>9.98490908699254</v>
      </c>
      <c r="D103" s="16" t="n">
        <f aca="false">B103+C103</f>
        <v>10.2051837027942</v>
      </c>
      <c r="E103" s="19" t="n">
        <f aca="false">C103/D103</f>
        <v>0.97841541884823</v>
      </c>
      <c r="F103" s="16" t="n">
        <f aca="false">Keep_L*F102</f>
        <v>0.0550686539504214</v>
      </c>
      <c r="G103" s="16" t="n">
        <f aca="false">Keep_S*G102+Retrain*F102</f>
        <v>12.0119601300392</v>
      </c>
      <c r="H103" s="16" t="n">
        <f aca="false">F103+G103</f>
        <v>12.0670287839896</v>
      </c>
      <c r="I103" s="19" t="n">
        <f aca="false">G103/H103</f>
        <v>0.995436436347655</v>
      </c>
    </row>
    <row r="104" customFormat="false" ht="15" hidden="false" customHeight="false" outlineLevel="0" collapsed="false">
      <c r="A104" s="13" t="n">
        <v>91</v>
      </c>
      <c r="B104" s="16" t="n">
        <f aca="false">Keep_L*B103</f>
        <v>0.202652646537551</v>
      </c>
      <c r="C104" s="16" t="n">
        <f aca="false">Keep_S*C103+Retrain*B103</f>
        <v>9.59212096198689</v>
      </c>
      <c r="D104" s="16" t="n">
        <f aca="false">B104+C104</f>
        <v>9.79477360852444</v>
      </c>
      <c r="E104" s="19" t="n">
        <f aca="false">C104/D104</f>
        <v>0.979310124497295</v>
      </c>
      <c r="F104" s="16" t="n">
        <f aca="false">Keep_L*F103</f>
        <v>0.0506631616343876</v>
      </c>
      <c r="G104" s="16" t="n">
        <f aca="false">Keep_S*G103+Retrain*F103</f>
        <v>11.5331337844562</v>
      </c>
      <c r="H104" s="16" t="n">
        <f aca="false">F104+G104</f>
        <v>11.5837969460905</v>
      </c>
      <c r="I104" s="19" t="n">
        <f aca="false">G104/H104</f>
        <v>0.995626376923718</v>
      </c>
    </row>
    <row r="105" customFormat="false" ht="15" hidden="false" customHeight="false" outlineLevel="0" collapsed="false">
      <c r="A105" s="13" t="n">
        <v>92</v>
      </c>
      <c r="B105" s="16" t="n">
        <f aca="false">Keep_L*B104</f>
        <v>0.186440434814547</v>
      </c>
      <c r="C105" s="16" t="n">
        <f aca="false">Keep_S*C104+Retrain*B104</f>
        <v>9.21451570290354</v>
      </c>
      <c r="D105" s="16" t="n">
        <f aca="false">B105+C105</f>
        <v>9.40095613771809</v>
      </c>
      <c r="E105" s="19" t="n">
        <f aca="false">C105/D105</f>
        <v>0.980167928444372</v>
      </c>
      <c r="F105" s="16" t="n">
        <f aca="false">Keep_L*F104</f>
        <v>0.0466101087036366</v>
      </c>
      <c r="G105" s="16" t="n">
        <f aca="false">Keep_S*G104+Retrain*F104</f>
        <v>11.0733283279269</v>
      </c>
      <c r="H105" s="16" t="n">
        <f aca="false">F105+G105</f>
        <v>11.1199384366306</v>
      </c>
      <c r="I105" s="19" t="n">
        <f aca="false">G105/H105</f>
        <v>0.995808420256168</v>
      </c>
    </row>
    <row r="106" customFormat="false" ht="15" hidden="false" customHeight="false" outlineLevel="0" collapsed="false">
      <c r="A106" s="13" t="n">
        <v>93</v>
      </c>
      <c r="B106" s="16" t="n">
        <f aca="false">Keep_L*B105</f>
        <v>0.171525200029383</v>
      </c>
      <c r="C106" s="16" t="n">
        <f aca="false">Keep_S*C105+Retrain*B105</f>
        <v>8.85152828783184</v>
      </c>
      <c r="D106" s="16" t="n">
        <f aca="false">B106+C106</f>
        <v>9.02305348786122</v>
      </c>
      <c r="E106" s="19" t="n">
        <f aca="false">C106/D106</f>
        <v>0.98099033766561</v>
      </c>
      <c r="F106" s="16" t="n">
        <f aca="false">Keep_L*F105</f>
        <v>0.0428813000073457</v>
      </c>
      <c r="G106" s="16" t="n">
        <f aca="false">Keep_S*G105+Retrain*F105</f>
        <v>10.631793498071</v>
      </c>
      <c r="H106" s="16" t="n">
        <f aca="false">F106+G106</f>
        <v>10.6746747980783</v>
      </c>
      <c r="I106" s="19" t="n">
        <f aca="false">G106/H106</f>
        <v>0.995982894016119</v>
      </c>
    </row>
    <row r="107" customFormat="false" ht="15" hidden="false" customHeight="false" outlineLevel="0" collapsed="false">
      <c r="A107" s="13" t="n">
        <v>94</v>
      </c>
      <c r="B107" s="16" t="n">
        <f aca="false">Keep_L*B106</f>
        <v>0.157803184027032</v>
      </c>
      <c r="C107" s="16" t="n">
        <f aca="false">Keep_S*C106+Retrain*B106</f>
        <v>8.50261291231945</v>
      </c>
      <c r="D107" s="16" t="n">
        <f aca="false">B107+C107</f>
        <v>8.66041609634648</v>
      </c>
      <c r="E107" s="19" t="n">
        <f aca="false">C107/D107</f>
        <v>0.981778798816191</v>
      </c>
      <c r="F107" s="16" t="n">
        <f aca="false">Keep_L*F106</f>
        <v>0.039450796006758</v>
      </c>
      <c r="G107" s="16" t="n">
        <f aca="false">Keep_S*G106+Retrain*F106</f>
        <v>10.2078081971483</v>
      </c>
      <c r="H107" s="16" t="n">
        <f aca="false">F107+G107</f>
        <v>10.2472589931551</v>
      </c>
      <c r="I107" s="19" t="n">
        <f aca="false">G107/H107</f>
        <v>0.996150112334127</v>
      </c>
    </row>
    <row r="108" customFormat="false" ht="15" hidden="false" customHeight="false" outlineLevel="0" collapsed="false">
      <c r="A108" s="13" t="n">
        <v>95</v>
      </c>
      <c r="B108" s="16" t="n">
        <f aca="false">Keep_L*B107</f>
        <v>0.14517892930487</v>
      </c>
      <c r="C108" s="16" t="n">
        <f aca="false">Keep_S*C107+Retrain*B107</f>
        <v>8.16724249134748</v>
      </c>
      <c r="D108" s="16" t="n">
        <f aca="false">B108+C108</f>
        <v>8.31242142065235</v>
      </c>
      <c r="E108" s="19" t="n">
        <f aca="false">C108/D108</f>
        <v>0.982534700545359</v>
      </c>
      <c r="F108" s="16" t="n">
        <f aca="false">Keep_L*F107</f>
        <v>0.0362947323262174</v>
      </c>
      <c r="G108" s="16" t="n">
        <f aca="false">Keep_S*G107+Retrain*F107</f>
        <v>9.80067939314262</v>
      </c>
      <c r="H108" s="16" t="n">
        <f aca="false">F108+G108</f>
        <v>9.83697412546883</v>
      </c>
      <c r="I108" s="19" t="n">
        <f aca="false">G108/H108</f>
        <v>0.99631037635524</v>
      </c>
    </row>
    <row r="109" customFormat="false" ht="15" hidden="false" customHeight="false" outlineLevel="0" collapsed="false">
      <c r="A109" s="13" t="n">
        <v>96</v>
      </c>
      <c r="B109" s="16" t="n">
        <f aca="false">Keep_L*B108</f>
        <v>0.13356461496048</v>
      </c>
      <c r="C109" s="16" t="n">
        <f aca="false">Keep_S*C108+Retrain*B108</f>
        <v>7.84490815957273</v>
      </c>
      <c r="D109" s="16" t="n">
        <f aca="false">B109+C109</f>
        <v>7.97847277453321</v>
      </c>
      <c r="E109" s="19" t="n">
        <f aca="false">C109/D109</f>
        <v>0.983259375730803</v>
      </c>
      <c r="F109" s="16" t="n">
        <f aca="false">Keep_L*F108</f>
        <v>0.03339115374012</v>
      </c>
      <c r="G109" s="16" t="n">
        <f aca="false">Keep_S*G108+Retrain*F108</f>
        <v>9.4097410593867</v>
      </c>
      <c r="H109" s="16" t="n">
        <f aca="false">F109+G109</f>
        <v>9.44313221312682</v>
      </c>
      <c r="I109" s="19" t="n">
        <f aca="false">G109/H109</f>
        <v>0.996463974771665</v>
      </c>
    </row>
    <row r="110" customFormat="false" ht="15" hidden="false" customHeight="false" outlineLevel="0" collapsed="false">
      <c r="A110" s="13" t="n">
        <v>97</v>
      </c>
      <c r="B110" s="16" t="n">
        <f aca="false">Keep_L*B109</f>
        <v>0.122879445763642</v>
      </c>
      <c r="C110" s="16" t="n">
        <f aca="false">Keep_S*C109+Retrain*B109</f>
        <v>7.53511877163863</v>
      </c>
      <c r="D110" s="16" t="n">
        <f aca="false">B110+C110</f>
        <v>7.65799821740227</v>
      </c>
      <c r="E110" s="19" t="n">
        <f aca="false">C110/D110</f>
        <v>0.983954103634497</v>
      </c>
      <c r="F110" s="16" t="n">
        <f aca="false">Keep_L*F109</f>
        <v>0.0307198614409104</v>
      </c>
      <c r="G110" s="16" t="n">
        <f aca="false">Keep_S*G109+Retrain*F109</f>
        <v>9.03435315162343</v>
      </c>
      <c r="H110" s="16" t="n">
        <f aca="false">F110+G110</f>
        <v>9.06507301306434</v>
      </c>
      <c r="I110" s="19" t="n">
        <f aca="false">G110/H110</f>
        <v>0.996611184333911</v>
      </c>
    </row>
    <row r="111" customFormat="false" ht="15" hidden="false" customHeight="false" outlineLevel="0" collapsed="false">
      <c r="A111" s="13" t="n">
        <v>98</v>
      </c>
      <c r="B111" s="16" t="n">
        <f aca="false">Keep_L*B110</f>
        <v>0.11304909010255</v>
      </c>
      <c r="C111" s="16" t="n">
        <f aca="false">Keep_S*C110+Retrain*B110</f>
        <v>7.237400404146</v>
      </c>
      <c r="D111" s="16" t="n">
        <f aca="false">B111+C111</f>
        <v>7.35044949424855</v>
      </c>
      <c r="E111" s="19" t="n">
        <f aca="false">C111/D111</f>
        <v>0.98462011198213</v>
      </c>
      <c r="F111" s="16" t="n">
        <f aca="false">Keep_L*F110</f>
        <v>0.0282622725256376</v>
      </c>
      <c r="G111" s="16" t="n">
        <f aca="false">Keep_S*G110+Retrain*F110</f>
        <v>8.67390062140172</v>
      </c>
      <c r="H111" s="16" t="n">
        <f aca="false">F111+G111</f>
        <v>8.70216289392736</v>
      </c>
      <c r="I111" s="19" t="n">
        <f aca="false">G111/H111</f>
        <v>0.996752270341278</v>
      </c>
    </row>
    <row r="112" customFormat="false" ht="15" hidden="false" customHeight="false" outlineLevel="0" collapsed="false">
      <c r="A112" s="13" t="n">
        <v>99</v>
      </c>
      <c r="B112" s="16" t="n">
        <f aca="false">Keep_L*B111</f>
        <v>0.104005162894346</v>
      </c>
      <c r="C112" s="16" t="n">
        <f aca="false">Keep_S*C111+Retrain*B111</f>
        <v>6.95129586068323</v>
      </c>
      <c r="D112" s="16" t="n">
        <f aca="false">B112+C112</f>
        <v>7.05530102357758</v>
      </c>
      <c r="E112" s="19" t="n">
        <f aca="false">C112/D112</f>
        <v>0.985258578968243</v>
      </c>
      <c r="F112" s="16" t="n">
        <f aca="false">Keep_L*F111</f>
        <v>0.0260012907235866</v>
      </c>
      <c r="G112" s="16" t="n">
        <f aca="false">Keep_S*G111+Retrain*F111</f>
        <v>8.32779246472142</v>
      </c>
      <c r="H112" s="16" t="n">
        <f aca="false">F112+G112</f>
        <v>8.35379375544501</v>
      </c>
      <c r="I112" s="19" t="n">
        <f aca="false">G112/H112</f>
        <v>0.99688748711247</v>
      </c>
    </row>
    <row r="113" customFormat="false" ht="15" hidden="false" customHeight="false" outlineLevel="0" collapsed="false">
      <c r="A113" s="13" t="n">
        <v>100</v>
      </c>
      <c r="B113" s="16" t="n">
        <f aca="false">Keep_L*B112</f>
        <v>0.0956847498627985</v>
      </c>
      <c r="C113" s="16" t="n">
        <f aca="false">Keep_S*C112+Retrain*B112</f>
        <v>6.67636418114273</v>
      </c>
      <c r="D113" s="16" t="n">
        <f aca="false">B113+C113</f>
        <v>6.77204893100553</v>
      </c>
      <c r="E113" s="19" t="n">
        <f aca="false">C113/D113</f>
        <v>0.985870635189195</v>
      </c>
      <c r="F113" s="16" t="n">
        <f aca="false">Keep_L*F112</f>
        <v>0.0239211874656996</v>
      </c>
      <c r="G113" s="16" t="n">
        <f aca="false">Keep_S*G112+Retrain*F112</f>
        <v>7.99546080485427</v>
      </c>
      <c r="H113" s="16" t="n">
        <f aca="false">F113+G113</f>
        <v>8.01938199231997</v>
      </c>
      <c r="I113" s="19" t="n">
        <f aca="false">G113/H113</f>
        <v>0.99701707843714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28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123</v>
      </c>
    </row>
    <row r="3" customFormat="false" ht="15" hidden="false" customHeight="false" outlineLevel="0" collapsed="false">
      <c r="A3" s="8" t="s">
        <v>124</v>
      </c>
      <c r="B3" s="8" t="s">
        <v>40</v>
      </c>
      <c r="C3" s="8" t="s">
        <v>41</v>
      </c>
      <c r="D3" s="8" t="s">
        <v>125</v>
      </c>
    </row>
    <row r="4" customFormat="false" ht="15" hidden="false" customHeight="false" outlineLevel="0" collapsed="false">
      <c r="A4" s="2" t="s">
        <v>38</v>
      </c>
      <c r="B4" s="20" t="n">
        <f aca="false">Projection!$D$13</f>
        <v>500</v>
      </c>
      <c r="C4" s="20" t="n">
        <f aca="false">Projection!$H$13</f>
        <v>500</v>
      </c>
      <c r="D4" s="17" t="n">
        <f aca="false">C4-B4</f>
        <v>0</v>
      </c>
    </row>
    <row r="5" customFormat="false" ht="15" hidden="false" customHeight="false" outlineLevel="0" collapsed="false">
      <c r="A5" s="2" t="s">
        <v>126</v>
      </c>
      <c r="B5" s="20" t="n">
        <f aca="false">Projection!$D$14</f>
        <v>476</v>
      </c>
      <c r="C5" s="20" t="n">
        <f aca="false">Projection!$H$14</f>
        <v>479</v>
      </c>
      <c r="D5" s="17" t="n">
        <f aca="false">C5-B5</f>
        <v>3</v>
      </c>
    </row>
    <row r="6" customFormat="false" ht="15" hidden="false" customHeight="false" outlineLevel="0" collapsed="false">
      <c r="A6" s="10" t="s">
        <v>127</v>
      </c>
    </row>
    <row r="8" customFormat="false" ht="23.85" hidden="false" customHeight="false" outlineLevel="0" collapsed="false">
      <c r="A8" s="8" t="s">
        <v>128</v>
      </c>
      <c r="B8" s="8" t="s">
        <v>129</v>
      </c>
      <c r="C8" s="8" t="s">
        <v>130</v>
      </c>
      <c r="D8" s="8" t="s">
        <v>131</v>
      </c>
      <c r="E8" s="8" t="s">
        <v>132</v>
      </c>
      <c r="F8" s="8" t="s">
        <v>133</v>
      </c>
      <c r="G8" s="8" t="s">
        <v>134</v>
      </c>
      <c r="H8" s="8" t="s">
        <v>135</v>
      </c>
      <c r="I8" s="8" t="s">
        <v>136</v>
      </c>
      <c r="J8" s="8" t="s">
        <v>137</v>
      </c>
    </row>
    <row r="9" customFormat="false" ht="15" hidden="false" customHeight="false" outlineLevel="0" collapsed="false">
      <c r="A9" s="2" t="s">
        <v>138</v>
      </c>
      <c r="B9" s="9" t="n">
        <v>1</v>
      </c>
      <c r="C9" s="9" t="n">
        <v>1</v>
      </c>
      <c r="D9" s="11" t="n">
        <f aca="false">C9</f>
        <v>1</v>
      </c>
      <c r="E9" s="11" t="n">
        <f aca="false">-B9</f>
        <v>-1</v>
      </c>
      <c r="F9" s="21" t="n">
        <f aca="false">Keep_L*D9</f>
        <v>0.92</v>
      </c>
      <c r="G9" s="21" t="n">
        <f aca="false">Retrain*D9+Keep_S*E9</f>
        <v>-0.93</v>
      </c>
      <c r="H9" s="21" t="n">
        <f aca="false">B9*F9+C9*G9</f>
        <v>-0.01</v>
      </c>
      <c r="I9" s="2" t="str">
        <f aca="false">IF(ABS(H9)&lt;0.000000000001,"passes: a state","fails: the dynamics split it")</f>
        <v>fails: the dynamics split it</v>
      </c>
      <c r="J9" s="11" t="str">
        <f aca="false">IF(ABS(H9)&lt;0.000000000001,IF(ABS(C9)&gt;ABS(B9),Keep_S,(B9*Keep_L+C9*Retrain)/B9),"")</f>
        <v/>
      </c>
    </row>
    <row r="10" customFormat="false" ht="15" hidden="false" customHeight="false" outlineLevel="0" collapsed="false">
      <c r="A10" s="2" t="s">
        <v>139</v>
      </c>
      <c r="B10" s="9" t="n">
        <v>0</v>
      </c>
      <c r="C10" s="9" t="n">
        <v>1</v>
      </c>
      <c r="D10" s="11" t="n">
        <f aca="false">C10</f>
        <v>1</v>
      </c>
      <c r="E10" s="11" t="n">
        <f aca="false">-B10</f>
        <v>-0</v>
      </c>
      <c r="F10" s="21" t="n">
        <f aca="false">Keep_L*D10</f>
        <v>0.92</v>
      </c>
      <c r="G10" s="21" t="n">
        <f aca="false">Retrain*D10+Keep_S*E10</f>
        <v>0.03</v>
      </c>
      <c r="H10" s="21" t="n">
        <f aca="false">B10*F10+C10*G10</f>
        <v>0.03</v>
      </c>
      <c r="I10" s="2" t="str">
        <f aca="false">IF(ABS(H10)&lt;0.000000000001,"passes: a state","fails: the dynamics split it")</f>
        <v>fails: the dynamics split it</v>
      </c>
      <c r="J10" s="11" t="str">
        <f aca="false">IF(ABS(H10)&lt;0.000000000001,IF(ABS(C10)&gt;ABS(B10),Keep_S,(B10*Keep_L+C10*Retrain)/B10),"")</f>
        <v/>
      </c>
    </row>
    <row r="11" customFormat="false" ht="15" hidden="false" customHeight="false" outlineLevel="0" collapsed="false">
      <c r="A11" s="2" t="s">
        <v>140</v>
      </c>
      <c r="B11" s="9" t="n">
        <v>1</v>
      </c>
      <c r="C11" s="9" t="n">
        <v>0</v>
      </c>
      <c r="D11" s="11" t="n">
        <f aca="false">C11</f>
        <v>0</v>
      </c>
      <c r="E11" s="11" t="n">
        <f aca="false">-B11</f>
        <v>-1</v>
      </c>
      <c r="F11" s="21" t="n">
        <f aca="false">Keep_L*D11</f>
        <v>0</v>
      </c>
      <c r="G11" s="21" t="n">
        <f aca="false">Retrain*D11+Keep_S*E11</f>
        <v>-0.96</v>
      </c>
      <c r="H11" s="21" t="n">
        <f aca="false">B11*F11+C11*G11</f>
        <v>0</v>
      </c>
      <c r="I11" s="2" t="str">
        <f aca="false">IF(ABS(H11)&lt;0.000000000001,"passes: a state","fails: the dynamics split it")</f>
        <v>passes: a state</v>
      </c>
      <c r="J11" s="11" t="n">
        <f aca="false">IF(ABS(H11)&lt;0.000000000001,IF(ABS(C11)&gt;ABS(B11),Keep_S,(B11*Keep_L+C11*Retrain)/B11),"")</f>
        <v>0.92</v>
      </c>
    </row>
    <row r="12" customFormat="false" ht="15" hidden="false" customHeight="false" outlineLevel="0" collapsed="false">
      <c r="A12" s="2" t="s">
        <v>141</v>
      </c>
      <c r="B12" s="9" t="n">
        <v>3</v>
      </c>
      <c r="C12" s="9" t="n">
        <v>4</v>
      </c>
      <c r="D12" s="11" t="n">
        <f aca="false">C12</f>
        <v>4</v>
      </c>
      <c r="E12" s="11" t="n">
        <f aca="false">-B12</f>
        <v>-3</v>
      </c>
      <c r="F12" s="21" t="n">
        <f aca="false">Keep_L*D12</f>
        <v>3.68</v>
      </c>
      <c r="G12" s="21" t="n">
        <f aca="false">Retrain*D12+Keep_S*E12</f>
        <v>-2.76</v>
      </c>
      <c r="H12" s="21" t="n">
        <f aca="false">B12*F12+C12*G12</f>
        <v>0</v>
      </c>
      <c r="I12" s="2" t="str">
        <f aca="false">IF(ABS(H12)&lt;0.000000000001,"passes: a state","fails: the dynamics split it")</f>
        <v>passes: a state</v>
      </c>
      <c r="J12" s="11" t="n">
        <f aca="false">IF(ABS(H12)&lt;0.000000000001,IF(ABS(C12)&gt;ABS(B12),Keep_S,(B12*Keep_L+C12*Retrain)/B12),"")</f>
        <v>0.96</v>
      </c>
    </row>
    <row r="13" customFormat="false" ht="15" hidden="false" customHeight="false" outlineLevel="0" collapsed="false">
      <c r="A13" s="2" t="s">
        <v>142</v>
      </c>
      <c r="B13" s="9" t="n">
        <v>2</v>
      </c>
      <c r="C13" s="9" t="n">
        <v>1</v>
      </c>
      <c r="D13" s="11" t="n">
        <f aca="false">C13</f>
        <v>1</v>
      </c>
      <c r="E13" s="11" t="n">
        <f aca="false">-B13</f>
        <v>-2</v>
      </c>
      <c r="F13" s="21" t="n">
        <f aca="false">Keep_L*D13</f>
        <v>0.92</v>
      </c>
      <c r="G13" s="21" t="n">
        <f aca="false">Retrain*D13+Keep_S*E13</f>
        <v>-1.89</v>
      </c>
      <c r="H13" s="21" t="n">
        <f aca="false">B13*F13+C13*G13</f>
        <v>-0.05</v>
      </c>
      <c r="I13" s="2" t="str">
        <f aca="false">IF(ABS(H13)&lt;0.000000000001,"passes: a state","fails: the dynamics split it")</f>
        <v>fails: the dynamics split it</v>
      </c>
      <c r="J13" s="11" t="str">
        <f aca="false">IF(ABS(H13)&lt;0.000000000001,IF(ABS(C13)&gt;ABS(B13),Keep_S,(B13*Keep_L+C13*Retrain)/B13),"")</f>
        <v/>
      </c>
    </row>
    <row r="14" customFormat="false" ht="15" hidden="false" customHeight="false" outlineLevel="0" collapsed="false">
      <c r="A14" s="10" t="s">
        <v>143</v>
      </c>
    </row>
    <row r="16" customFormat="false" ht="15" hidden="false" customHeight="false" outlineLevel="0" collapsed="false">
      <c r="A16" s="2" t="s">
        <v>144</v>
      </c>
      <c r="B16" s="12" t="n">
        <v>-300</v>
      </c>
    </row>
    <row r="17" customFormat="false" ht="23.85" hidden="false" customHeight="false" outlineLevel="0" collapsed="false">
      <c r="A17" s="8" t="s">
        <v>145</v>
      </c>
      <c r="B17" s="8" t="s">
        <v>146</v>
      </c>
      <c r="C17" s="8" t="s">
        <v>147</v>
      </c>
      <c r="D17" s="8" t="s">
        <v>148</v>
      </c>
      <c r="E17" s="8" t="s">
        <v>149</v>
      </c>
      <c r="F17" s="8" t="s">
        <v>150</v>
      </c>
      <c r="G17" s="8" t="s">
        <v>151</v>
      </c>
      <c r="H17" s="8" t="s">
        <v>152</v>
      </c>
    </row>
    <row r="18" customFormat="false" ht="15" hidden="false" customHeight="false" outlineLevel="0" collapsed="false">
      <c r="A18" s="2" t="s">
        <v>138</v>
      </c>
      <c r="B18" s="11" t="n">
        <f aca="false">A_leg0+$B$16*D9/MAX(ABS(D9),ABS(E9))</f>
        <v>100</v>
      </c>
      <c r="C18" s="11" t="n">
        <f aca="false">A_soft0+$B$16*E9/MAX(ABS(D9),ABS(E9))</f>
        <v>400</v>
      </c>
      <c r="D18" s="11" t="n">
        <f aca="false">B9*A_leg0+C9*A_soft0</f>
        <v>500</v>
      </c>
      <c r="E18" s="11" t="n">
        <f aca="false">B9*B18+C9*C18</f>
        <v>500</v>
      </c>
      <c r="F18" s="11" t="n">
        <f aca="false">B9*Keep_L*A_leg0+C9*(Retrain*A_leg0+Keep_S*A_soft0)</f>
        <v>476</v>
      </c>
      <c r="G18" s="11" t="n">
        <f aca="false">B9*Keep_L*B18+C9*(Retrain*B18+Keep_S*C18)</f>
        <v>479</v>
      </c>
      <c r="H18" s="11" t="n">
        <f aca="false">ABS(F18-G18)</f>
        <v>3</v>
      </c>
    </row>
    <row r="19" customFormat="false" ht="15" hidden="false" customHeight="false" outlineLevel="0" collapsed="false">
      <c r="A19" s="2" t="s">
        <v>139</v>
      </c>
      <c r="B19" s="11" t="n">
        <f aca="false">A_leg0+$B$16*D10/MAX(ABS(D10),ABS(E10))</f>
        <v>100</v>
      </c>
      <c r="C19" s="11" t="n">
        <f aca="false">A_soft0+$B$16*E10/MAX(ABS(D10),ABS(E10))</f>
        <v>100</v>
      </c>
      <c r="D19" s="11" t="n">
        <f aca="false">B10*A_leg0+C10*A_soft0</f>
        <v>100</v>
      </c>
      <c r="E19" s="11" t="n">
        <f aca="false">B10*B19+C10*C19</f>
        <v>100</v>
      </c>
      <c r="F19" s="11" t="n">
        <f aca="false">B10*Keep_L*A_leg0+C10*(Retrain*A_leg0+Keep_S*A_soft0)</f>
        <v>108</v>
      </c>
      <c r="G19" s="11" t="n">
        <f aca="false">B10*Keep_L*B19+C10*(Retrain*B19+Keep_S*C19)</f>
        <v>99</v>
      </c>
      <c r="H19" s="11" t="n">
        <f aca="false">ABS(F19-G19)</f>
        <v>9</v>
      </c>
    </row>
    <row r="20" customFormat="false" ht="15" hidden="false" customHeight="false" outlineLevel="0" collapsed="false">
      <c r="A20" s="2" t="s">
        <v>140</v>
      </c>
      <c r="B20" s="11" t="n">
        <f aca="false">A_leg0+$B$16*D11/MAX(ABS(D11),ABS(E11))</f>
        <v>400</v>
      </c>
      <c r="C20" s="11" t="n">
        <f aca="false">A_soft0+$B$16*E11/MAX(ABS(D11),ABS(E11))</f>
        <v>400</v>
      </c>
      <c r="D20" s="11" t="n">
        <f aca="false">B11*A_leg0+C11*A_soft0</f>
        <v>400</v>
      </c>
      <c r="E20" s="11" t="n">
        <f aca="false">B11*B20+C11*C20</f>
        <v>400</v>
      </c>
      <c r="F20" s="11" t="n">
        <f aca="false">B11*Keep_L*A_leg0+C11*(Retrain*A_leg0+Keep_S*A_soft0)</f>
        <v>368</v>
      </c>
      <c r="G20" s="11" t="n">
        <f aca="false">B11*Keep_L*B20+C11*(Retrain*B20+Keep_S*C20)</f>
        <v>368</v>
      </c>
      <c r="H20" s="11" t="n">
        <f aca="false">ABS(F20-G20)</f>
        <v>0</v>
      </c>
    </row>
    <row r="21" customFormat="false" ht="15" hidden="false" customHeight="false" outlineLevel="0" collapsed="false">
      <c r="A21" s="2" t="s">
        <v>141</v>
      </c>
      <c r="B21" s="11" t="n">
        <f aca="false">A_leg0+$B$16*D12/MAX(ABS(D12),ABS(E12))</f>
        <v>100</v>
      </c>
      <c r="C21" s="11" t="n">
        <f aca="false">A_soft0+$B$16*E12/MAX(ABS(D12),ABS(E12))</f>
        <v>325</v>
      </c>
      <c r="D21" s="11" t="n">
        <f aca="false">B12*A_leg0+C12*A_soft0</f>
        <v>1600</v>
      </c>
      <c r="E21" s="11" t="n">
        <f aca="false">B12*B21+C12*C21</f>
        <v>1600</v>
      </c>
      <c r="F21" s="11" t="n">
        <f aca="false">B12*Keep_L*A_leg0+C12*(Retrain*A_leg0+Keep_S*A_soft0)</f>
        <v>1536</v>
      </c>
      <c r="G21" s="11" t="n">
        <f aca="false">B12*Keep_L*B21+C12*(Retrain*B21+Keep_S*C21)</f>
        <v>1536</v>
      </c>
      <c r="H21" s="11" t="n">
        <f aca="false">ABS(F21-G21)</f>
        <v>0</v>
      </c>
    </row>
    <row r="22" customFormat="false" ht="15" hidden="false" customHeight="false" outlineLevel="0" collapsed="false">
      <c r="A22" s="2" t="s">
        <v>142</v>
      </c>
      <c r="B22" s="11" t="n">
        <f aca="false">A_leg0+$B$16*D13/MAX(ABS(D13),ABS(E13))</f>
        <v>250</v>
      </c>
      <c r="C22" s="11" t="n">
        <f aca="false">A_soft0+$B$16*E13/MAX(ABS(D13),ABS(E13))</f>
        <v>400</v>
      </c>
      <c r="D22" s="11" t="n">
        <f aca="false">B13*A_leg0+C13*A_soft0</f>
        <v>900</v>
      </c>
      <c r="E22" s="11" t="n">
        <f aca="false">B13*B22+C13*C22</f>
        <v>900</v>
      </c>
      <c r="F22" s="11" t="n">
        <f aca="false">B13*Keep_L*A_leg0+C13*(Retrain*A_leg0+Keep_S*A_soft0)</f>
        <v>844</v>
      </c>
      <c r="G22" s="11" t="n">
        <f aca="false">B13*Keep_L*B22+C13*(Retrain*B22+Keep_S*C22)</f>
        <v>851.5</v>
      </c>
      <c r="H22" s="11" t="n">
        <f aca="false">ABS(F22-G22)</f>
        <v>7.5</v>
      </c>
    </row>
    <row r="24" customFormat="false" ht="15" hidden="false" customHeight="false" outlineLevel="0" collapsed="false">
      <c r="A24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2"/>
    <col collapsed="false" customWidth="true" hidden="false" outlineLevel="0" max="4" min="4" style="0" width="30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1" t="s">
        <v>154</v>
      </c>
    </row>
    <row r="3" customFormat="false" ht="15" hidden="false" customHeight="false" outlineLevel="0" collapsed="false">
      <c r="A3" s="2" t="s">
        <v>155</v>
      </c>
      <c r="B3" s="16" t="n">
        <f aca="false">Projection!$D$14/Projection!$D$13</f>
        <v>0.952</v>
      </c>
    </row>
    <row r="5" customFormat="false" ht="15" hidden="false" customHeight="false" outlineLevel="0" collapsed="false">
      <c r="A5" s="8" t="s">
        <v>91</v>
      </c>
      <c r="B5" s="8" t="s">
        <v>113</v>
      </c>
      <c r="C5" s="8" t="s">
        <v>114</v>
      </c>
      <c r="D5" s="8" t="s">
        <v>156</v>
      </c>
      <c r="E5" s="8" t="s">
        <v>157</v>
      </c>
      <c r="F5" s="8" t="s">
        <v>158</v>
      </c>
      <c r="G5" s="8" t="s">
        <v>159</v>
      </c>
      <c r="H5" s="8" t="s">
        <v>160</v>
      </c>
    </row>
    <row r="6" customFormat="false" ht="15" hidden="false" customHeight="false" outlineLevel="0" collapsed="false">
      <c r="A6" s="13" t="n">
        <v>0</v>
      </c>
      <c r="B6" s="20" t="n">
        <f aca="false">Projection!$D$13</f>
        <v>500</v>
      </c>
      <c r="C6" s="20" t="n">
        <f aca="false">Projection!$H$13</f>
        <v>500</v>
      </c>
      <c r="D6" s="17" t="n">
        <f aca="false">Projection!$D$13*Rate_r^A6</f>
        <v>500</v>
      </c>
      <c r="E6" s="17" t="n">
        <f aca="false">D6-C6</f>
        <v>0</v>
      </c>
      <c r="F6" s="17" t="n">
        <f aca="false">D6-B6</f>
        <v>0</v>
      </c>
      <c r="H6" s="11" t="n">
        <f aca="false">$B$13*($B$14^A6-1)/($B$14-1)</f>
        <v>-0</v>
      </c>
    </row>
    <row r="7" customFormat="false" ht="15" hidden="false" customHeight="false" outlineLevel="0" collapsed="false">
      <c r="A7" s="13" t="n">
        <v>1</v>
      </c>
      <c r="B7" s="20" t="n">
        <f aca="false">Projection!$D$14</f>
        <v>476</v>
      </c>
      <c r="C7" s="20" t="n">
        <f aca="false">Projection!$H$14</f>
        <v>479</v>
      </c>
      <c r="D7" s="17" t="n">
        <f aca="false">Projection!$D$13*Rate_r^A7</f>
        <v>476</v>
      </c>
      <c r="E7" s="17" t="n">
        <f aca="false">D7-C7</f>
        <v>-3</v>
      </c>
      <c r="F7" s="17" t="n">
        <f aca="false">D7-B7</f>
        <v>0</v>
      </c>
      <c r="G7" s="16" t="n">
        <f aca="false">ABS(Rate_r*C6-C7)</f>
        <v>3</v>
      </c>
      <c r="H7" s="11" t="n">
        <f aca="false">$B$13*($B$14^A7-1)/($B$14-1)</f>
        <v>3</v>
      </c>
    </row>
    <row r="8" customFormat="false" ht="15" hidden="false" customHeight="false" outlineLevel="0" collapsed="false">
      <c r="A8" s="13" t="n">
        <v>2</v>
      </c>
      <c r="B8" s="20" t="n">
        <f aca="false">Projection!$D$15</f>
        <v>453.28</v>
      </c>
      <c r="C8" s="20" t="n">
        <f aca="false">Projection!$H$15</f>
        <v>458.92</v>
      </c>
      <c r="D8" s="17" t="n">
        <f aca="false">Projection!$D$13*Rate_r^A8</f>
        <v>453.152</v>
      </c>
      <c r="E8" s="17" t="n">
        <f aca="false">D8-C8</f>
        <v>-5.76800000000003</v>
      </c>
      <c r="F8" s="17" t="n">
        <f aca="false">D8-B8</f>
        <v>-0.128000000000043</v>
      </c>
      <c r="G8" s="16" t="n">
        <f aca="false">ABS(Rate_r*C7-C8)</f>
        <v>2.91199999999998</v>
      </c>
      <c r="H8" s="11" t="n">
        <f aca="false">$B$13*($B$14^A8-1)/($B$14-1)</f>
        <v>5.856</v>
      </c>
    </row>
    <row r="9" customFormat="false" ht="15" hidden="false" customHeight="false" outlineLevel="0" collapsed="false">
      <c r="A9" s="13" t="n">
        <v>3</v>
      </c>
      <c r="B9" s="20" t="n">
        <f aca="false">Projection!$D$16</f>
        <v>431.7632</v>
      </c>
      <c r="C9" s="20" t="n">
        <f aca="false">Projection!$H$16</f>
        <v>439.7168</v>
      </c>
      <c r="D9" s="17" t="n">
        <f aca="false">Projection!$D$13*Rate_r^A9</f>
        <v>431.400704</v>
      </c>
      <c r="E9" s="17" t="n">
        <f aca="false">D9-C9</f>
        <v>-8.31609599999996</v>
      </c>
      <c r="F9" s="17" t="n">
        <f aca="false">D9-B9</f>
        <v>-0.362495999999965</v>
      </c>
      <c r="G9" s="16" t="n">
        <f aca="false">ABS(Rate_r*C8-C9)</f>
        <v>2.82495999999998</v>
      </c>
      <c r="H9" s="11" t="n">
        <f aca="false">$B$13*($B$14^A9-1)/($B$14-1)</f>
        <v>8.574912</v>
      </c>
    </row>
    <row r="10" customFormat="false" ht="15" hidden="false" customHeight="false" outlineLevel="0" collapsed="false">
      <c r="A10" s="13" t="n">
        <v>4</v>
      </c>
      <c r="B10" s="20" t="n">
        <f aca="false">Projection!$D$17</f>
        <v>411.37792</v>
      </c>
      <c r="C10" s="20" t="n">
        <f aca="false">Projection!$H$17</f>
        <v>421.34944</v>
      </c>
      <c r="D10" s="17" t="n">
        <f aca="false">Projection!$D$13*Rate_r^A10</f>
        <v>410.693470208</v>
      </c>
      <c r="E10" s="17" t="n">
        <f aca="false">D10-C10</f>
        <v>-10.6559697920001</v>
      </c>
      <c r="F10" s="17" t="n">
        <f aca="false">D10-B10</f>
        <v>-0.684449792000009</v>
      </c>
      <c r="G10" s="16" t="n">
        <f aca="false">ABS(Rate_r*C9-C10)</f>
        <v>2.73904640000006</v>
      </c>
      <c r="H10" s="11" t="n">
        <f aca="false">$B$13*($B$14^A10-1)/($B$14-1)</f>
        <v>11.163316224</v>
      </c>
    </row>
    <row r="11" customFormat="false" ht="15" hidden="false" customHeight="false" outlineLevel="0" collapsed="false">
      <c r="A11" s="13" t="n">
        <v>5</v>
      </c>
      <c r="B11" s="20" t="n">
        <f aca="false">Projection!$D$18</f>
        <v>392.05723136</v>
      </c>
      <c r="C11" s="20" t="n">
        <f aca="false">Projection!$H$18</f>
        <v>403.77906944</v>
      </c>
      <c r="D11" s="17" t="n">
        <f aca="false">Projection!$D$13*Rate_r^A11</f>
        <v>390.980183638016</v>
      </c>
      <c r="E11" s="17" t="n">
        <f aca="false">D11-C11</f>
        <v>-12.7988858019841</v>
      </c>
      <c r="F11" s="17" t="n">
        <f aca="false">D11-B11</f>
        <v>-1.07704772198395</v>
      </c>
      <c r="G11" s="16" t="n">
        <f aca="false">ABS(Rate_r*C10-C11)</f>
        <v>2.65440255999999</v>
      </c>
      <c r="H11" s="11" t="n">
        <f aca="false">$B$13*($B$14^A11-1)/($B$14-1)</f>
        <v>13.627477045248</v>
      </c>
    </row>
    <row r="13" customFormat="false" ht="15" hidden="false" customHeight="false" outlineLevel="0" collapsed="false">
      <c r="A13" s="2" t="s">
        <v>161</v>
      </c>
      <c r="B13" s="16" t="n">
        <f aca="false">MAX(G7:G11)</f>
        <v>3</v>
      </c>
    </row>
    <row r="14" customFormat="false" ht="15" hidden="false" customHeight="false" outlineLevel="0" collapsed="false">
      <c r="A14" s="2" t="s">
        <v>162</v>
      </c>
      <c r="B14" s="16" t="n">
        <f aca="false">Rate_r</f>
        <v>0.952</v>
      </c>
    </row>
    <row r="15" customFormat="false" ht="15" hidden="false" customHeight="false" outlineLevel="0" collapsed="false">
      <c r="A15" s="2" t="s">
        <v>163</v>
      </c>
      <c r="B15" s="13" t="n">
        <f aca="false">SUMPRODUCT((ABS(E6:E11)&gt;H6:H11+0.000000001)*1)</f>
        <v>0</v>
      </c>
    </row>
    <row r="16" customFormat="false" ht="15" hidden="false" customHeight="false" outlineLevel="0" collapsed="false">
      <c r="A16" s="2" t="s">
        <v>164</v>
      </c>
      <c r="B16" s="17" t="n">
        <f aca="false">5*B13</f>
        <v>15</v>
      </c>
    </row>
    <row r="18" customFormat="false" ht="15" hidden="false" customHeight="false" outlineLevel="0" collapsed="false">
      <c r="A18" s="1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8" t="s">
        <v>167</v>
      </c>
      <c r="B3" s="8" t="s">
        <v>40</v>
      </c>
      <c r="C3" s="8" t="s">
        <v>41</v>
      </c>
    </row>
    <row r="4" customFormat="false" ht="15" hidden="false" customHeight="false" outlineLevel="0" collapsed="false">
      <c r="A4" s="2" t="s">
        <v>104</v>
      </c>
      <c r="B4" s="20" t="n">
        <f aca="false">Projection!$C$18</f>
        <v>128.42462208</v>
      </c>
      <c r="C4" s="20" t="n">
        <f aca="false">Projection!$G$18</f>
        <v>337.87091712</v>
      </c>
      <c r="D4" s="10" t="s">
        <v>168</v>
      </c>
    </row>
    <row r="5" customFormat="false" ht="15" hidden="false" customHeight="false" outlineLevel="0" collapsed="false">
      <c r="A5" s="2" t="s">
        <v>169</v>
      </c>
      <c r="B5" s="20" t="n">
        <f aca="false">Projection!$D$18</f>
        <v>392.05723136</v>
      </c>
      <c r="C5" s="20" t="n">
        <f aca="false">Projection!$H$18</f>
        <v>403.77906944</v>
      </c>
    </row>
    <row r="6" customFormat="false" ht="15" hidden="false" customHeight="false" outlineLevel="0" collapsed="false">
      <c r="A6" s="2" t="s">
        <v>170</v>
      </c>
      <c r="B6" s="22" t="n">
        <f aca="false">Projection!$E$18</f>
        <v>0.327566007734407</v>
      </c>
      <c r="C6" s="22" t="n">
        <f aca="false">Projection!$I$18</f>
        <v>0.836771746461728</v>
      </c>
    </row>
    <row r="8" customFormat="false" ht="15" hidden="false" customHeight="false" outlineLevel="0" collapsed="false">
      <c r="A8" s="8" t="s">
        <v>171</v>
      </c>
      <c r="B8" s="8" t="s">
        <v>21</v>
      </c>
      <c r="C8" s="8" t="s">
        <v>79</v>
      </c>
    </row>
    <row r="9" customFormat="false" ht="15" hidden="false" customHeight="false" outlineLevel="0" collapsed="false">
      <c r="A9" s="2" t="s">
        <v>172</v>
      </c>
      <c r="B9" s="11" t="n">
        <f aca="false">1-Exit_L</f>
        <v>0.95</v>
      </c>
      <c r="C9" s="10" t="s">
        <v>173</v>
      </c>
    </row>
    <row r="10" customFormat="false" ht="15" hidden="false" customHeight="false" outlineLevel="0" collapsed="false">
      <c r="A10" s="2" t="s">
        <v>174</v>
      </c>
      <c r="B10" s="11" t="n">
        <f aca="false">Exit_L-Exit_S</f>
        <v>0.01</v>
      </c>
      <c r="C10" s="10" t="s">
        <v>175</v>
      </c>
    </row>
    <row r="11" customFormat="false" ht="15" hidden="false" customHeight="false" outlineLevel="0" collapsed="false">
      <c r="A11" s="2" t="s">
        <v>176</v>
      </c>
      <c r="B11" s="17" t="n">
        <f aca="false">Declarations!D12*(B9+B10*Declarations!E12)</f>
        <v>476</v>
      </c>
      <c r="C11" s="10" t="s">
        <v>177</v>
      </c>
    </row>
    <row r="12" customFormat="false" ht="15" hidden="false" customHeight="false" outlineLevel="0" collapsed="false">
      <c r="A12" s="2" t="s">
        <v>178</v>
      </c>
      <c r="B12" s="17" t="n">
        <f aca="false">Declarations!D13*(B9+B10*Declarations!E13)</f>
        <v>479</v>
      </c>
      <c r="C12" s="10" t="s">
        <v>179</v>
      </c>
    </row>
    <row r="14" customFormat="false" ht="15" hidden="false" customHeight="false" outlineLevel="0" collapsed="false">
      <c r="A14" s="8" t="s">
        <v>91</v>
      </c>
      <c r="B14" s="8" t="s">
        <v>180</v>
      </c>
      <c r="C14" s="8" t="s">
        <v>181</v>
      </c>
      <c r="D14" s="8" t="s">
        <v>182</v>
      </c>
      <c r="E14" s="8" t="s">
        <v>183</v>
      </c>
      <c r="F14" s="8" t="s">
        <v>184</v>
      </c>
      <c r="G14" s="8" t="s">
        <v>185</v>
      </c>
      <c r="H14" s="8" t="s">
        <v>186</v>
      </c>
      <c r="I14" s="8" t="s">
        <v>187</v>
      </c>
    </row>
    <row r="15" customFormat="false" ht="15" hidden="false" customHeight="false" outlineLevel="0" collapsed="false">
      <c r="A15" s="13" t="n">
        <v>0</v>
      </c>
      <c r="B15" s="18" t="n">
        <f aca="false">Declarations!D12</f>
        <v>500</v>
      </c>
      <c r="C15" s="23" t="n">
        <f aca="false">Declarations!E12</f>
        <v>0.2</v>
      </c>
      <c r="D15" s="18" t="n">
        <f aca="false">Declarations!D13</f>
        <v>500</v>
      </c>
      <c r="E15" s="23" t="n">
        <f aca="false">Declarations!E13</f>
        <v>0.8</v>
      </c>
      <c r="F15" s="18" t="n">
        <f aca="false">Projection!$D$13</f>
        <v>500</v>
      </c>
      <c r="G15" s="18" t="n">
        <f aca="false">Projection!$H$13</f>
        <v>500</v>
      </c>
      <c r="H15" s="15" t="n">
        <f aca="false">ABS(B15-F15)</f>
        <v>0</v>
      </c>
      <c r="I15" s="15" t="n">
        <f aca="false">ABS(D15-G15)</f>
        <v>0</v>
      </c>
    </row>
    <row r="16" customFormat="false" ht="15" hidden="false" customHeight="false" outlineLevel="0" collapsed="false">
      <c r="A16" s="13" t="n">
        <v>1</v>
      </c>
      <c r="B16" s="16" t="n">
        <f aca="false">B15*($B$9+$B$10*C15)</f>
        <v>476</v>
      </c>
      <c r="C16" s="21" t="n">
        <f aca="false">B15*(Retrain+(1-Exit_S-Retrain)*C15)/B16</f>
        <v>0.226890756302521</v>
      </c>
      <c r="D16" s="16" t="n">
        <f aca="false">D15*($B$9+$B$10*E15)</f>
        <v>479</v>
      </c>
      <c r="E16" s="21" t="n">
        <f aca="false">D15*(Retrain+(1-Exit_S-Retrain)*E15)/D16</f>
        <v>0.807933194154489</v>
      </c>
      <c r="F16" s="18" t="n">
        <f aca="false">Projection!$D$14</f>
        <v>476</v>
      </c>
      <c r="G16" s="18" t="n">
        <f aca="false">Projection!$H$14</f>
        <v>479</v>
      </c>
      <c r="H16" s="15" t="n">
        <f aca="false">ABS(B16-F16)</f>
        <v>0</v>
      </c>
      <c r="I16" s="15" t="n">
        <f aca="false">ABS(D16-G16)</f>
        <v>0</v>
      </c>
    </row>
    <row r="17" customFormat="false" ht="15" hidden="false" customHeight="false" outlineLevel="0" collapsed="false">
      <c r="A17" s="13" t="n">
        <v>2</v>
      </c>
      <c r="B17" s="16" t="n">
        <f aca="false">B16*($B$9+$B$10*C16)</f>
        <v>453.28</v>
      </c>
      <c r="C17" s="21" t="n">
        <f aca="false">B16*(Retrain+(1-Exit_S-Retrain)*C16)/B17</f>
        <v>0.253088598658666</v>
      </c>
      <c r="D17" s="16" t="n">
        <f aca="false">D16*($B$9+$B$10*E16)</f>
        <v>458.92</v>
      </c>
      <c r="E17" s="21" t="n">
        <f aca="false">D16*(Retrain+(1-Exit_S-Retrain)*E16)/D17</f>
        <v>0.815566983352218</v>
      </c>
      <c r="F17" s="18" t="n">
        <f aca="false">Projection!$D$15</f>
        <v>453.28</v>
      </c>
      <c r="G17" s="18" t="n">
        <f aca="false">Projection!$H$15</f>
        <v>458.92</v>
      </c>
      <c r="H17" s="15" t="n">
        <f aca="false">ABS(B17-F17)</f>
        <v>0</v>
      </c>
      <c r="I17" s="15" t="n">
        <f aca="false">ABS(D17-G17)</f>
        <v>0</v>
      </c>
    </row>
    <row r="18" customFormat="false" ht="15" hidden="false" customHeight="false" outlineLevel="0" collapsed="false">
      <c r="A18" s="13" t="n">
        <v>3</v>
      </c>
      <c r="B18" s="16" t="n">
        <f aca="false">B17*($B$9+$B$10*C17)</f>
        <v>431.7632</v>
      </c>
      <c r="C18" s="21" t="n">
        <f aca="false">B17*(Retrain+(1-Exit_S-Retrain)*C17)/B18</f>
        <v>0.278597156960111</v>
      </c>
      <c r="D18" s="16" t="n">
        <f aca="false">D17*($B$9+$B$10*E17)</f>
        <v>439.7168</v>
      </c>
      <c r="E18" s="21" t="n">
        <f aca="false">D17*(Retrain+(1-Exit_S-Retrain)*E17)/D18</f>
        <v>0.822911473930493</v>
      </c>
      <c r="F18" s="18" t="n">
        <f aca="false">Projection!$D$16</f>
        <v>431.7632</v>
      </c>
      <c r="G18" s="18" t="n">
        <f aca="false">Projection!$H$16</f>
        <v>439.7168</v>
      </c>
      <c r="H18" s="15" t="n">
        <f aca="false">ABS(B18-F18)</f>
        <v>0</v>
      </c>
      <c r="I18" s="15" t="n">
        <f aca="false">ABS(D18-G18)</f>
        <v>0</v>
      </c>
    </row>
    <row r="19" customFormat="false" ht="15" hidden="false" customHeight="false" outlineLevel="0" collapsed="false">
      <c r="A19" s="13" t="n">
        <v>4</v>
      </c>
      <c r="B19" s="16" t="n">
        <f aca="false">B18*($B$9+$B$10*C18)</f>
        <v>411.37792</v>
      </c>
      <c r="C19" s="21" t="n">
        <f aca="false">B18*(Retrain+(1-Exit_S-Retrain)*C18)/B19</f>
        <v>0.303421087840592</v>
      </c>
      <c r="D19" s="16" t="n">
        <f aca="false">D18*($B$9+$B$10*E18)</f>
        <v>421.34944</v>
      </c>
      <c r="E19" s="21" t="n">
        <f aca="false">D18*(Retrain+(1-Exit_S-Retrain)*E18)/D19</f>
        <v>0.829976524948033</v>
      </c>
      <c r="F19" s="18" t="n">
        <f aca="false">Projection!$D$17</f>
        <v>411.37792</v>
      </c>
      <c r="G19" s="18" t="n">
        <f aca="false">Projection!$H$17</f>
        <v>421.34944</v>
      </c>
      <c r="H19" s="15" t="n">
        <f aca="false">ABS(B19-F19)</f>
        <v>0</v>
      </c>
      <c r="I19" s="15" t="n">
        <f aca="false">ABS(D19-G19)</f>
        <v>0</v>
      </c>
    </row>
    <row r="20" customFormat="false" ht="15" hidden="false" customHeight="false" outlineLevel="0" collapsed="false">
      <c r="A20" s="13" t="n">
        <v>5</v>
      </c>
      <c r="B20" s="16" t="n">
        <f aca="false">B19*($B$9+$B$10*C19)</f>
        <v>392.05723136</v>
      </c>
      <c r="C20" s="21" t="n">
        <f aca="false">B19*(Retrain+(1-Exit_S-Retrain)*C19)/B20</f>
        <v>0.327566007734407</v>
      </c>
      <c r="D20" s="16" t="n">
        <f aca="false">D19*($B$9+$B$10*E19)</f>
        <v>403.77906944</v>
      </c>
      <c r="E20" s="21" t="n">
        <f aca="false">D19*(Retrain+(1-Exit_S-Retrain)*E19)/D20</f>
        <v>0.836771746461727</v>
      </c>
      <c r="F20" s="18" t="n">
        <f aca="false">Projection!$D$18</f>
        <v>392.05723136</v>
      </c>
      <c r="G20" s="18" t="n">
        <f aca="false">Projection!$H$18</f>
        <v>403.77906944</v>
      </c>
      <c r="H20" s="15" t="n">
        <f aca="false">ABS(B20-F20)</f>
        <v>0</v>
      </c>
      <c r="I20" s="15" t="n">
        <f aca="false">ABS(D20-G20)</f>
        <v>0</v>
      </c>
    </row>
    <row r="22" customFormat="false" ht="15" hidden="false" customHeight="false" outlineLevel="0" collapsed="false">
      <c r="A22" s="4" t="s">
        <v>188</v>
      </c>
      <c r="B22" s="15" t="n">
        <f aca="false">MAX(H15:I20)</f>
        <v>0</v>
      </c>
    </row>
    <row r="23" customFormat="false" ht="15" hidden="false" customHeight="false" outlineLevel="0" collapsed="false">
      <c r="A23" s="10" t="s">
        <v>189</v>
      </c>
    </row>
    <row r="25" customFormat="false" ht="15" hidden="false" customHeight="false" outlineLevel="0" collapsed="false">
      <c r="A25" s="8" t="s">
        <v>190</v>
      </c>
      <c r="B25" s="8" t="s">
        <v>21</v>
      </c>
    </row>
    <row r="26" customFormat="false" ht="15" hidden="false" customHeight="false" outlineLevel="0" collapsed="false">
      <c r="A26" s="2" t="s">
        <v>191</v>
      </c>
      <c r="B26" s="13" t="n">
        <f aca="false">Declarations!D12+Declarations!D13</f>
        <v>1000</v>
      </c>
    </row>
    <row r="27" customFormat="false" ht="15" hidden="false" customHeight="false" outlineLevel="0" collapsed="false">
      <c r="A27" s="2" t="s">
        <v>192</v>
      </c>
      <c r="B27" s="14" t="n">
        <f aca="false">(Declarations!C12+Declarations!C13)/B26</f>
        <v>0.5</v>
      </c>
    </row>
    <row r="28" customFormat="false" ht="15" hidden="false" customHeight="false" outlineLevel="0" collapsed="false">
      <c r="A28" s="2" t="s">
        <v>193</v>
      </c>
      <c r="B28" s="17" t="n">
        <f aca="false">B26*(B9+B10*B27)</f>
        <v>955</v>
      </c>
    </row>
    <row r="29" customFormat="false" ht="15" hidden="false" customHeight="false" outlineLevel="0" collapsed="false">
      <c r="A29" s="2" t="s">
        <v>194</v>
      </c>
      <c r="B29" s="17" t="n">
        <f aca="false">Projection!$D$14+Projection!$H$14</f>
        <v>955</v>
      </c>
    </row>
    <row r="30" customFormat="false" ht="15" hidden="false" customHeight="false" outlineLevel="0" collapsed="false">
      <c r="A30" s="2" t="s">
        <v>195</v>
      </c>
      <c r="B30" s="17" t="n">
        <f aca="false">Rate_r*B26</f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21" min="6" style="0" width="11"/>
  </cols>
  <sheetData>
    <row r="1" customFormat="false" ht="1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10" t="s">
        <v>197</v>
      </c>
    </row>
    <row r="3" customFormat="false" ht="15" hidden="false" customHeight="false" outlineLevel="0" collapsed="false">
      <c r="A3" s="2" t="s">
        <v>198</v>
      </c>
      <c r="B3" s="24" t="n">
        <v>60</v>
      </c>
    </row>
    <row r="4" customFormat="false" ht="15" hidden="false" customHeight="false" outlineLevel="0" collapsed="false">
      <c r="A4" s="2" t="s">
        <v>199</v>
      </c>
      <c r="B4" s="9" t="n">
        <v>0.35</v>
      </c>
    </row>
    <row r="5" customFormat="false" ht="15" hidden="false" customHeight="false" outlineLevel="0" collapsed="false">
      <c r="A5" s="2" t="s">
        <v>200</v>
      </c>
      <c r="B5" s="24" t="n">
        <v>12</v>
      </c>
    </row>
    <row r="6" customFormat="false" ht="15" hidden="false" customHeight="false" outlineLevel="0" collapsed="false">
      <c r="A6" s="2" t="s">
        <v>201</v>
      </c>
      <c r="B6" s="24" t="n">
        <v>1.5</v>
      </c>
    </row>
    <row r="7" customFormat="false" ht="15" hidden="false" customHeight="false" outlineLevel="0" collapsed="false">
      <c r="A7" s="2" t="s">
        <v>202</v>
      </c>
      <c r="B7" s="12" t="n">
        <v>16</v>
      </c>
    </row>
    <row r="8" customFormat="false" ht="15" hidden="false" customHeight="false" outlineLevel="0" collapsed="false">
      <c r="A8" s="2" t="s">
        <v>203</v>
      </c>
      <c r="B8" s="12" t="n">
        <v>8</v>
      </c>
    </row>
    <row r="10" customFormat="false" ht="23.85" hidden="false" customHeight="false" outlineLevel="0" collapsed="false">
      <c r="A10" s="8" t="s">
        <v>204</v>
      </c>
      <c r="B10" s="8" t="s">
        <v>205</v>
      </c>
      <c r="C10" s="8" t="s">
        <v>206</v>
      </c>
      <c r="D10" s="8" t="s">
        <v>207</v>
      </c>
      <c r="E10" s="8" t="s">
        <v>208</v>
      </c>
      <c r="F10" s="8" t="s">
        <v>209</v>
      </c>
      <c r="G10" s="8" t="s">
        <v>210</v>
      </c>
      <c r="H10" s="8" t="s">
        <v>211</v>
      </c>
      <c r="I10" s="8" t="s">
        <v>212</v>
      </c>
      <c r="J10" s="8" t="s">
        <v>213</v>
      </c>
      <c r="K10" s="8" t="s">
        <v>214</v>
      </c>
      <c r="L10" s="8" t="s">
        <v>215</v>
      </c>
      <c r="M10" s="8" t="s">
        <v>216</v>
      </c>
      <c r="N10" s="8" t="s">
        <v>217</v>
      </c>
      <c r="O10" s="8" t="s">
        <v>218</v>
      </c>
      <c r="P10" s="8" t="s">
        <v>219</v>
      </c>
      <c r="Q10" s="8" t="s">
        <v>220</v>
      </c>
      <c r="R10" s="8" t="s">
        <v>221</v>
      </c>
      <c r="S10" s="8" t="s">
        <v>222</v>
      </c>
      <c r="T10" s="8" t="s">
        <v>223</v>
      </c>
      <c r="U10" s="8" t="s">
        <v>224</v>
      </c>
    </row>
    <row r="11" customFormat="false" ht="15" hidden="false" customHeight="false" outlineLevel="0" collapsed="false">
      <c r="A11" s="13" t="n">
        <v>1</v>
      </c>
      <c r="B11" s="21" t="n">
        <f aca="false">(A11-8.5)/7.5</f>
        <v>-1</v>
      </c>
      <c r="C11" s="11" t="n">
        <f aca="false">$B$3/(1+EXP(-$B$4*(A11-$B$5)))</f>
        <v>1.25018067112083</v>
      </c>
      <c r="D11" s="25" t="n">
        <v>1.94636976315813</v>
      </c>
      <c r="E11" s="11" t="n">
        <f aca="false">C11+D11</f>
        <v>3.19655043427896</v>
      </c>
      <c r="F11" s="21" t="n">
        <f aca="false">$B11^1</f>
        <v>-1</v>
      </c>
      <c r="G11" s="21" t="n">
        <f aca="false">$B11^2</f>
        <v>1</v>
      </c>
      <c r="H11" s="21" t="n">
        <f aca="false">$B11^3</f>
        <v>-1</v>
      </c>
      <c r="I11" s="21" t="n">
        <f aca="false">$B11^4</f>
        <v>1</v>
      </c>
      <c r="J11" s="21" t="n">
        <f aca="false">$B11^5</f>
        <v>-1</v>
      </c>
      <c r="K11" s="21" t="n">
        <f aca="false">$B11^6</f>
        <v>1</v>
      </c>
      <c r="L11" s="21" t="n">
        <f aca="false">$B11^7</f>
        <v>-1</v>
      </c>
      <c r="M11" s="21" t="n">
        <f aca="false">$B11^8</f>
        <v>1</v>
      </c>
      <c r="N11" s="11" t="n">
        <f aca="false">$B$38+SUMPRODUCT($C$38:$J$38,$F11:$M11)</f>
        <v>-5.30573001321307</v>
      </c>
      <c r="O11" s="11" t="n">
        <f aca="false">$B$39+SUMPRODUCT($C$39:$J$39,$F11:$M11)</f>
        <v>2.01910054363054</v>
      </c>
      <c r="P11" s="11" t="n">
        <f aca="false">$B$40+SUMPRODUCT($C$40:$J$40,$F11:$M11)</f>
        <v>3.07188006908792</v>
      </c>
      <c r="Q11" s="11" t="n">
        <f aca="false">$B$41+SUMPRODUCT($C$41:$J$41,$F11:$M11)</f>
        <v>2.20103706144502</v>
      </c>
      <c r="R11" s="11" t="n">
        <f aca="false">$B$42+SUMPRODUCT($C$42:$J$42,$F11:$M11)</f>
        <v>3.24421630243346</v>
      </c>
      <c r="S11" s="11" t="n">
        <f aca="false">$B$43+SUMPRODUCT($C$43:$J$43,$F11:$M11)</f>
        <v>2.94248358213414</v>
      </c>
      <c r="T11" s="11" t="n">
        <f aca="false">$B$44+SUMPRODUCT($C$44:$J$44,$F11:$M11)</f>
        <v>2.98034477073238</v>
      </c>
      <c r="U11" s="11" t="n">
        <f aca="false">$B$45+SUMPRODUCT($C$45:$J$45,$F11:$M11)</f>
        <v>3.01254843414174</v>
      </c>
    </row>
    <row r="12" customFormat="false" ht="15" hidden="false" customHeight="false" outlineLevel="0" collapsed="false">
      <c r="A12" s="13" t="n">
        <v>2</v>
      </c>
      <c r="B12" s="21" t="n">
        <f aca="false">(A12-8.5)/7.5</f>
        <v>-0.866666666666667</v>
      </c>
      <c r="C12" s="11" t="n">
        <f aca="false">$B$3/(1+EXP(-$B$4*(A12-$B$5)))</f>
        <v>1.75873384508138</v>
      </c>
      <c r="D12" s="25" t="n">
        <v>-0.572965480437391</v>
      </c>
      <c r="E12" s="11" t="n">
        <f aca="false">C12+D12</f>
        <v>1.18576836464399</v>
      </c>
      <c r="F12" s="21" t="n">
        <f aca="false">$B12^1</f>
        <v>-0.866666666666667</v>
      </c>
      <c r="G12" s="21" t="n">
        <f aca="false">$B12^2</f>
        <v>0.751111111111111</v>
      </c>
      <c r="H12" s="21" t="n">
        <f aca="false">$B12^3</f>
        <v>-0.650962962962963</v>
      </c>
      <c r="I12" s="21" t="n">
        <f aca="false">$B12^4</f>
        <v>0.564167901234568</v>
      </c>
      <c r="J12" s="21" t="n">
        <f aca="false">$B12^5</f>
        <v>-0.488945514403292</v>
      </c>
      <c r="K12" s="21" t="n">
        <f aca="false">$B12^6</f>
        <v>0.42375277914952</v>
      </c>
      <c r="L12" s="21" t="n">
        <f aca="false">$B12^7</f>
        <v>-0.367252408596251</v>
      </c>
      <c r="M12" s="21" t="n">
        <f aca="false">$B12^8</f>
        <v>0.318285420783417</v>
      </c>
      <c r="N12" s="11" t="n">
        <f aca="false">$B$38+SUMPRODUCT($C$38:$J$38,$F12:$M12)</f>
        <v>-2.08020409600499</v>
      </c>
      <c r="O12" s="11" t="n">
        <f aca="false">$B$39+SUMPRODUCT($C$39:$J$39,$F12:$M12)</f>
        <v>2.31469423810118</v>
      </c>
      <c r="P12" s="11" t="n">
        <f aca="false">$B$40+SUMPRODUCT($C$40:$J$40,$F12:$M12)</f>
        <v>2.52525014319265</v>
      </c>
      <c r="Q12" s="11" t="n">
        <f aca="false">$B$41+SUMPRODUCT($C$41:$J$41,$F12:$M12)</f>
        <v>2.81553114574028</v>
      </c>
      <c r="R12" s="11" t="n">
        <f aca="false">$B$42+SUMPRODUCT($C$42:$J$42,$F12:$M12)</f>
        <v>1.77235190475186</v>
      </c>
      <c r="S12" s="11" t="n">
        <f aca="false">$B$43+SUMPRODUCT($C$43:$J$43,$F12:$M12)</f>
        <v>2.31547080129063</v>
      </c>
      <c r="T12" s="11" t="n">
        <f aca="false">$B$44+SUMPRODUCT($C$44:$J$44,$F12:$M12)</f>
        <v>2.21198355245544</v>
      </c>
      <c r="U12" s="11" t="n">
        <f aca="false">$B$45+SUMPRODUCT($C$45:$J$45,$F12:$M12)</f>
        <v>2.08960963149986</v>
      </c>
    </row>
    <row r="13" customFormat="false" ht="15" hidden="false" customHeight="false" outlineLevel="0" collapsed="false">
      <c r="A13" s="13" t="n">
        <v>3</v>
      </c>
      <c r="B13" s="21" t="n">
        <f aca="false">(A13-8.5)/7.5</f>
        <v>-0.733333333333333</v>
      </c>
      <c r="C13" s="11" t="n">
        <f aca="false">$B$3/(1+EXP(-$B$4*(A13-$B$5)))</f>
        <v>2.4654766920279</v>
      </c>
      <c r="D13" s="25" t="n">
        <v>1.44811490701394</v>
      </c>
      <c r="E13" s="11" t="n">
        <f aca="false">C13+D13</f>
        <v>3.91359159904184</v>
      </c>
      <c r="F13" s="21" t="n">
        <f aca="false">$B13^1</f>
        <v>-0.733333333333333</v>
      </c>
      <c r="G13" s="21" t="n">
        <f aca="false">$B13^2</f>
        <v>0.537777777777778</v>
      </c>
      <c r="H13" s="21" t="n">
        <f aca="false">$B13^3</f>
        <v>-0.39437037037037</v>
      </c>
      <c r="I13" s="21" t="n">
        <f aca="false">$B13^4</f>
        <v>0.289204938271605</v>
      </c>
      <c r="J13" s="21" t="n">
        <f aca="false">$B13^5</f>
        <v>-0.212083621399177</v>
      </c>
      <c r="K13" s="21" t="n">
        <f aca="false">$B13^6</f>
        <v>0.155527989026063</v>
      </c>
      <c r="L13" s="21" t="n">
        <f aca="false">$B13^7</f>
        <v>-0.114053858619113</v>
      </c>
      <c r="M13" s="21" t="n">
        <f aca="false">$B13^8</f>
        <v>0.0836394963206828</v>
      </c>
      <c r="N13" s="11" t="n">
        <f aca="false">$B$38+SUMPRODUCT($C$38:$J$38,$F13:$M13)</f>
        <v>1.14532182120309</v>
      </c>
      <c r="O13" s="11" t="n">
        <f aca="false">$B$39+SUMPRODUCT($C$39:$J$39,$F13:$M13)</f>
        <v>3.02884967867716</v>
      </c>
      <c r="P13" s="11" t="n">
        <f aca="false">$B$40+SUMPRODUCT($C$40:$J$40,$F13:$M13)</f>
        <v>2.69797611353341</v>
      </c>
      <c r="Q13" s="11" t="n">
        <f aca="false">$B$41+SUMPRODUCT($C$41:$J$41,$F13:$M13)</f>
        <v>3.40294426257766</v>
      </c>
      <c r="R13" s="11" t="n">
        <f aca="false">$B$42+SUMPRODUCT($C$42:$J$42,$F13:$M13)</f>
        <v>2.35976502158924</v>
      </c>
      <c r="S13" s="11" t="n">
        <f aca="false">$B$43+SUMPRODUCT($C$43:$J$43,$F13:$M13)</f>
        <v>2.54080465376883</v>
      </c>
      <c r="T13" s="11" t="n">
        <f aca="false">$B$44+SUMPRODUCT($C$44:$J$44,$F13:$M13)</f>
        <v>2.56856952540754</v>
      </c>
      <c r="U13" s="11" t="n">
        <f aca="false">$B$45+SUMPRODUCT($C$45:$J$45,$F13:$M13)</f>
        <v>2.67806198099937</v>
      </c>
    </row>
    <row r="14" customFormat="false" ht="15" hidden="false" customHeight="false" outlineLevel="0" collapsed="false">
      <c r="A14" s="13" t="n">
        <v>4</v>
      </c>
      <c r="B14" s="21" t="n">
        <f aca="false">(A14-8.5)/7.5</f>
        <v>-0.6</v>
      </c>
      <c r="C14" s="11" t="n">
        <f aca="false">$B$3/(1+EXP(-$B$4*(A14-$B$5)))</f>
        <v>3.43945055393213</v>
      </c>
      <c r="D14" s="25" t="n">
        <v>1.05190267164644</v>
      </c>
      <c r="E14" s="11" t="n">
        <f aca="false">C14+D14</f>
        <v>4.49135322557856</v>
      </c>
      <c r="F14" s="21" t="n">
        <f aca="false">$B14^1</f>
        <v>-0.6</v>
      </c>
      <c r="G14" s="21" t="n">
        <f aca="false">$B14^2</f>
        <v>0.36</v>
      </c>
      <c r="H14" s="21" t="n">
        <f aca="false">$B14^3</f>
        <v>-0.216</v>
      </c>
      <c r="I14" s="21" t="n">
        <f aca="false">$B14^4</f>
        <v>0.1296</v>
      </c>
      <c r="J14" s="21" t="n">
        <f aca="false">$B14^5</f>
        <v>-0.07776</v>
      </c>
      <c r="K14" s="21" t="n">
        <f aca="false">$B14^6</f>
        <v>0.046656</v>
      </c>
      <c r="L14" s="21" t="n">
        <f aca="false">$B14^7</f>
        <v>-0.0279936</v>
      </c>
      <c r="M14" s="21" t="n">
        <f aca="false">$B14^8</f>
        <v>0.01679616</v>
      </c>
      <c r="N14" s="11" t="n">
        <f aca="false">$B$38+SUMPRODUCT($C$38:$J$38,$F14:$M14)</f>
        <v>4.37084773841117</v>
      </c>
      <c r="O14" s="11" t="n">
        <f aca="false">$B$39+SUMPRODUCT($C$39:$J$39,$F14:$M14)</f>
        <v>4.1615668653585</v>
      </c>
      <c r="P14" s="11" t="n">
        <f aca="false">$B$40+SUMPRODUCT($C$40:$J$40,$F14:$M14)</f>
        <v>3.54378195701318</v>
      </c>
      <c r="Q14" s="11" t="n">
        <f aca="false">$B$41+SUMPRODUCT($C$41:$J$41,$F14:$M14)</f>
        <v>4.18495208351948</v>
      </c>
      <c r="R14" s="11" t="n">
        <f aca="false">$B$42+SUMPRODUCT($C$42:$J$42,$F14:$M14)</f>
        <v>3.94421841252216</v>
      </c>
      <c r="S14" s="11" t="n">
        <f aca="false">$B$43+SUMPRODUCT($C$43:$J$43,$F14:$M14)</f>
        <v>3.67033794332739</v>
      </c>
      <c r="T14" s="11" t="n">
        <f aca="false">$B$44+SUMPRODUCT($C$44:$J$44,$F14:$M14)</f>
        <v>3.75246759859434</v>
      </c>
      <c r="U14" s="11" t="n">
        <f aca="false">$B$45+SUMPRODUCT($C$45:$J$45,$F14:$M14)</f>
        <v>3.82628830394811</v>
      </c>
    </row>
    <row r="15" customFormat="false" ht="15" hidden="false" customHeight="false" outlineLevel="0" collapsed="false">
      <c r="A15" s="13" t="n">
        <v>5</v>
      </c>
      <c r="B15" s="21" t="n">
        <f aca="false">(A15-8.5)/7.5</f>
        <v>-0.466666666666667</v>
      </c>
      <c r="C15" s="11" t="n">
        <f aca="false">$B$3/(1+EXP(-$B$4*(A15-$B$5)))</f>
        <v>4.7663129510387</v>
      </c>
      <c r="D15" s="25" t="n">
        <v>-1.86547935101526</v>
      </c>
      <c r="E15" s="11" t="n">
        <f aca="false">C15+D15</f>
        <v>2.90083360002344</v>
      </c>
      <c r="F15" s="21" t="n">
        <f aca="false">$B15^1</f>
        <v>-0.466666666666667</v>
      </c>
      <c r="G15" s="21" t="n">
        <f aca="false">$B15^2</f>
        <v>0.217777777777778</v>
      </c>
      <c r="H15" s="21" t="n">
        <f aca="false">$B15^3</f>
        <v>-0.10162962962963</v>
      </c>
      <c r="I15" s="21" t="n">
        <f aca="false">$B15^4</f>
        <v>0.0474271604938272</v>
      </c>
      <c r="J15" s="21" t="n">
        <f aca="false">$B15^5</f>
        <v>-0.0221326748971193</v>
      </c>
      <c r="K15" s="21" t="n">
        <f aca="false">$B15^6</f>
        <v>0.0103285816186557</v>
      </c>
      <c r="L15" s="21" t="n">
        <f aca="false">$B15^7</f>
        <v>-0.00482000475537266</v>
      </c>
      <c r="M15" s="21" t="n">
        <f aca="false">$B15^8</f>
        <v>0.00224933555250724</v>
      </c>
      <c r="N15" s="11" t="n">
        <f aca="false">$B$38+SUMPRODUCT($C$38:$J$38,$F15:$M15)</f>
        <v>7.59637365561925</v>
      </c>
      <c r="O15" s="11" t="n">
        <f aca="false">$B$39+SUMPRODUCT($C$39:$J$39,$F15:$M15)</f>
        <v>5.71284579814518</v>
      </c>
      <c r="P15" s="11" t="n">
        <f aca="false">$B$40+SUMPRODUCT($C$40:$J$40,$F15:$M15)</f>
        <v>5.01639165053492</v>
      </c>
      <c r="Q15" s="11" t="n">
        <f aca="false">$B$41+SUMPRODUCT($C$41:$J$41,$F15:$M15)</f>
        <v>5.33857166435152</v>
      </c>
      <c r="R15" s="11" t="n">
        <f aca="false">$B$42+SUMPRODUCT($C$42:$J$42,$F15:$M15)</f>
        <v>5.90028356334528</v>
      </c>
      <c r="S15" s="11" t="n">
        <f aca="false">$B$43+SUMPRODUCT($C$43:$J$43,$F15:$M15)</f>
        <v>5.49642592232927</v>
      </c>
      <c r="T15" s="11" t="n">
        <f aca="false">$B$44+SUMPRODUCT($C$44:$J$44,$F15:$M15)</f>
        <v>5.52690903314939</v>
      </c>
      <c r="U15" s="11" t="n">
        <f aca="false">$B$45+SUMPRODUCT($C$45:$J$45,$F15:$M15)</f>
        <v>5.46101538340408</v>
      </c>
    </row>
    <row r="16" customFormat="false" ht="15" hidden="false" customHeight="false" outlineLevel="0" collapsed="false">
      <c r="A16" s="13" t="n">
        <v>6</v>
      </c>
      <c r="B16" s="21" t="n">
        <f aca="false">(A16-8.5)/7.5</f>
        <v>-0.333333333333333</v>
      </c>
      <c r="C16" s="11" t="n">
        <f aca="false">$B$3/(1+EXP(-$B$4*(A16-$B$5)))</f>
        <v>6.54580927173678</v>
      </c>
      <c r="D16" s="25" t="n">
        <v>1.28440687809289</v>
      </c>
      <c r="E16" s="11" t="n">
        <f aca="false">C16+D16</f>
        <v>7.83021614982967</v>
      </c>
      <c r="F16" s="21" t="n">
        <f aca="false">$B16^1</f>
        <v>-0.333333333333333</v>
      </c>
      <c r="G16" s="21" t="n">
        <f aca="false">$B16^2</f>
        <v>0.111111111111111</v>
      </c>
      <c r="H16" s="21" t="n">
        <f aca="false">$B16^3</f>
        <v>-0.037037037037037</v>
      </c>
      <c r="I16" s="21" t="n">
        <f aca="false">$B16^4</f>
        <v>0.0123456790123457</v>
      </c>
      <c r="J16" s="21" t="n">
        <f aca="false">$B16^5</f>
        <v>-0.00411522633744856</v>
      </c>
      <c r="K16" s="21" t="n">
        <f aca="false">$B16^6</f>
        <v>0.00137174211248285</v>
      </c>
      <c r="L16" s="21" t="n">
        <f aca="false">$B16^7</f>
        <v>-0.000457247370827618</v>
      </c>
      <c r="M16" s="21" t="n">
        <f aca="false">$B16^8</f>
        <v>0.000152415790275873</v>
      </c>
      <c r="N16" s="11" t="n">
        <f aca="false">$B$38+SUMPRODUCT($C$38:$J$38,$F16:$M16)</f>
        <v>10.8218995728273</v>
      </c>
      <c r="O16" s="11" t="n">
        <f aca="false">$B$39+SUMPRODUCT($C$39:$J$39,$F16:$M16)</f>
        <v>7.68268647703721</v>
      </c>
      <c r="P16" s="11" t="n">
        <f aca="false">$B$40+SUMPRODUCT($C$40:$J$40,$F16:$M16)</f>
        <v>7.0695291710016</v>
      </c>
      <c r="Q16" s="11" t="n">
        <f aca="false">$B$41+SUMPRODUCT($C$41:$J$41,$F16:$M16)</f>
        <v>6.99616144508296</v>
      </c>
      <c r="R16" s="11" t="n">
        <f aca="false">$B$42+SUMPRODUCT($C$42:$J$42,$F16:$M16)</f>
        <v>7.95180116934509</v>
      </c>
      <c r="S16" s="11" t="n">
        <f aca="false">$B$43+SUMPRODUCT($C$43:$J$43,$F16:$M16)</f>
        <v>7.74290928606095</v>
      </c>
      <c r="T16" s="11" t="n">
        <f aca="false">$B$44+SUMPRODUCT($C$44:$J$44,$F16:$M16)</f>
        <v>7.69728169980152</v>
      </c>
      <c r="U16" s="11" t="n">
        <f aca="false">$B$45+SUMPRODUCT($C$45:$J$45,$F16:$M16)</f>
        <v>7.59571629981815</v>
      </c>
    </row>
    <row r="17" customFormat="false" ht="15" hidden="false" customHeight="false" outlineLevel="0" collapsed="false">
      <c r="A17" s="13" t="n">
        <v>7</v>
      </c>
      <c r="B17" s="21" t="n">
        <f aca="false">(A17-8.5)/7.5</f>
        <v>-0.2</v>
      </c>
      <c r="C17" s="11" t="n">
        <f aca="false">$B$3/(1+EXP(-$B$4*(A17-$B$5)))</f>
        <v>8.88283188190137</v>
      </c>
      <c r="D17" s="25" t="n">
        <v>3.78315085895372</v>
      </c>
      <c r="E17" s="11" t="n">
        <f aca="false">C17+D17</f>
        <v>12.6659827408551</v>
      </c>
      <c r="F17" s="21" t="n">
        <f aca="false">$B17^1</f>
        <v>-0.2</v>
      </c>
      <c r="G17" s="21" t="n">
        <f aca="false">$B17^2</f>
        <v>0.04</v>
      </c>
      <c r="H17" s="21" t="n">
        <f aca="false">$B17^3</f>
        <v>-0.008</v>
      </c>
      <c r="I17" s="21" t="n">
        <f aca="false">$B17^4</f>
        <v>0.0016</v>
      </c>
      <c r="J17" s="21" t="n">
        <f aca="false">$B17^5</f>
        <v>-0.00032</v>
      </c>
      <c r="K17" s="21" t="n">
        <f aca="false">$B17^6</f>
        <v>6.4E-005</v>
      </c>
      <c r="L17" s="21" t="n">
        <f aca="false">$B17^7</f>
        <v>-1.28E-005</v>
      </c>
      <c r="M17" s="21" t="n">
        <f aca="false">$B17^8</f>
        <v>2.56E-006</v>
      </c>
      <c r="N17" s="11" t="n">
        <f aca="false">$B$38+SUMPRODUCT($C$38:$J$38,$F17:$M17)</f>
        <v>14.0474254900354</v>
      </c>
      <c r="O17" s="11" t="n">
        <f aca="false">$B$39+SUMPRODUCT($C$39:$J$39,$F17:$M17)</f>
        <v>10.0710889020346</v>
      </c>
      <c r="P17" s="11" t="n">
        <f aca="false">$B$40+SUMPRODUCT($C$40:$J$40,$F17:$M17)</f>
        <v>9.65691849531619</v>
      </c>
      <c r="Q17" s="11" t="n">
        <f aca="false">$B$41+SUMPRODUCT($C$41:$J$41,$F17:$M17)</f>
        <v>9.24542124994648</v>
      </c>
      <c r="R17" s="11" t="n">
        <f aca="false">$B$42+SUMPRODUCT($C$42:$J$42,$F17:$M17)</f>
        <v>10.0843416185735</v>
      </c>
      <c r="S17" s="11" t="n">
        <f aca="false">$B$43+SUMPRODUCT($C$43:$J$43,$F17:$M17)</f>
        <v>10.2003926648425</v>
      </c>
      <c r="T17" s="11" t="n">
        <f aca="false">$B$44+SUMPRODUCT($C$44:$J$44,$F17:$M17)</f>
        <v>10.127582686769</v>
      </c>
      <c r="U17" s="11" t="n">
        <f aca="false">$B$45+SUMPRODUCT($C$45:$J$45,$F17:$M17)</f>
        <v>10.1151966623807</v>
      </c>
    </row>
    <row r="18" customFormat="false" ht="15" hidden="false" customHeight="false" outlineLevel="0" collapsed="false">
      <c r="A18" s="13" t="n">
        <v>8</v>
      </c>
      <c r="B18" s="21" t="n">
        <f aca="false">(A18-8.5)/7.5</f>
        <v>-0.0666666666666667</v>
      </c>
      <c r="C18" s="11" t="n">
        <f aca="false">$B$3/(1+EXP(-$B$4*(A18-$B$5)))</f>
        <v>11.8689666864851</v>
      </c>
      <c r="D18" s="25" t="n">
        <v>0.758701266828634</v>
      </c>
      <c r="E18" s="11" t="n">
        <f aca="false">C18+D18</f>
        <v>12.6276679533137</v>
      </c>
      <c r="F18" s="21" t="n">
        <f aca="false">$B18^1</f>
        <v>-0.0666666666666667</v>
      </c>
      <c r="G18" s="21" t="n">
        <f aca="false">$B18^2</f>
        <v>0.00444444444444444</v>
      </c>
      <c r="H18" s="21" t="n">
        <f aca="false">$B18^3</f>
        <v>-0.000296296296296296</v>
      </c>
      <c r="I18" s="21" t="n">
        <f aca="false">$B18^4</f>
        <v>1.97530864197531E-005</v>
      </c>
      <c r="J18" s="21" t="n">
        <f aca="false">$B18^5</f>
        <v>-1.31687242798354E-006</v>
      </c>
      <c r="K18" s="21" t="n">
        <f aca="false">$B18^6</f>
        <v>8.77914951989026E-008</v>
      </c>
      <c r="L18" s="21" t="n">
        <f aca="false">$B18^7</f>
        <v>-5.85276634659351E-009</v>
      </c>
      <c r="M18" s="21" t="n">
        <f aca="false">$B18^8</f>
        <v>3.90184423106234E-010</v>
      </c>
      <c r="N18" s="11" t="n">
        <f aca="false">$B$38+SUMPRODUCT($C$38:$J$38,$F18:$M18)</f>
        <v>17.2729514072435</v>
      </c>
      <c r="O18" s="11" t="n">
        <f aca="false">$B$39+SUMPRODUCT($C$39:$J$39,$F18:$M18)</f>
        <v>12.8780530731373</v>
      </c>
      <c r="P18" s="11" t="n">
        <f aca="false">$B$40+SUMPRODUCT($C$40:$J$40,$F18:$M18)</f>
        <v>12.7322836003817</v>
      </c>
      <c r="Q18" s="11" t="n">
        <f aca="false">$B$41+SUMPRODUCT($C$41:$J$41,$F18:$M18)</f>
        <v>12.1293922873981</v>
      </c>
      <c r="R18" s="11" t="n">
        <f aca="false">$B$42+SUMPRODUCT($C$42:$J$42,$F18:$M18)</f>
        <v>12.4576654751218</v>
      </c>
      <c r="S18" s="11" t="n">
        <f aca="false">$B$43+SUMPRODUCT($C$43:$J$43,$F18:$M18)</f>
        <v>12.8058186139287</v>
      </c>
      <c r="T18" s="11" t="n">
        <f aca="false">$B$44+SUMPRODUCT($C$44:$J$44,$F18:$M18)</f>
        <v>12.771840624161</v>
      </c>
      <c r="U18" s="11" t="n">
        <f aca="false">$B$45+SUMPRODUCT($C$45:$J$45,$F18:$M18)</f>
        <v>12.8585427948785</v>
      </c>
    </row>
    <row r="19" customFormat="false" ht="15" hidden="false" customHeight="false" outlineLevel="0" collapsed="false">
      <c r="A19" s="13" t="n">
        <v>9</v>
      </c>
      <c r="B19" s="21" t="n">
        <f aca="false">(A19-8.5)/7.5</f>
        <v>0.0666666666666667</v>
      </c>
      <c r="C19" s="11" t="n">
        <f aca="false">$B$3/(1+EXP(-$B$4*(A19-$B$5)))</f>
        <v>15.5535060490708</v>
      </c>
      <c r="D19" s="25" t="n">
        <v>-1.99766789159221</v>
      </c>
      <c r="E19" s="11" t="n">
        <f aca="false">C19+D19</f>
        <v>13.5558381574786</v>
      </c>
      <c r="F19" s="21" t="n">
        <f aca="false">$B19^1</f>
        <v>0.0666666666666667</v>
      </c>
      <c r="G19" s="21" t="n">
        <f aca="false">$B19^2</f>
        <v>0.00444444444444444</v>
      </c>
      <c r="H19" s="21" t="n">
        <f aca="false">$B19^3</f>
        <v>0.000296296296296296</v>
      </c>
      <c r="I19" s="21" t="n">
        <f aca="false">$B19^4</f>
        <v>1.97530864197531E-005</v>
      </c>
      <c r="J19" s="21" t="n">
        <f aca="false">$B19^5</f>
        <v>1.31687242798354E-006</v>
      </c>
      <c r="K19" s="21" t="n">
        <f aca="false">$B19^6</f>
        <v>8.77914951989026E-008</v>
      </c>
      <c r="L19" s="21" t="n">
        <f aca="false">$B19^7</f>
        <v>5.85276634659351E-009</v>
      </c>
      <c r="M19" s="21" t="n">
        <f aca="false">$B19^8</f>
        <v>3.90184423106234E-010</v>
      </c>
      <c r="N19" s="11" t="n">
        <f aca="false">$B$38+SUMPRODUCT($C$38:$J$38,$F19:$M19)</f>
        <v>20.4984773244516</v>
      </c>
      <c r="O19" s="11" t="n">
        <f aca="false">$B$39+SUMPRODUCT($C$39:$J$39,$F19:$M19)</f>
        <v>16.1035789903454</v>
      </c>
      <c r="P19" s="11" t="n">
        <f aca="false">$B$40+SUMPRODUCT($C$40:$J$40,$F19:$M19)</f>
        <v>16.249348463101</v>
      </c>
      <c r="Q19" s="11" t="n">
        <f aca="false">$B$41+SUMPRODUCT($C$41:$J$41,$F19:$M19)</f>
        <v>15.6464571501175</v>
      </c>
      <c r="R19" s="11" t="n">
        <f aca="false">$B$42+SUMPRODUCT($C$42:$J$42,$F19:$M19)</f>
        <v>15.3181839623939</v>
      </c>
      <c r="S19" s="11" t="n">
        <f aca="false">$B$43+SUMPRODUCT($C$43:$J$43,$F19:$M19)</f>
        <v>15.6663371012008</v>
      </c>
      <c r="T19" s="11" t="n">
        <f aca="false">$B$44+SUMPRODUCT($C$44:$J$44,$F19:$M19)</f>
        <v>15.7003150909684</v>
      </c>
      <c r="U19" s="11" t="n">
        <f aca="false">$B$45+SUMPRODUCT($C$45:$J$45,$F19:$M19)</f>
        <v>15.7870172616859</v>
      </c>
    </row>
    <row r="20" customFormat="false" ht="15" hidden="false" customHeight="false" outlineLevel="0" collapsed="false">
      <c r="A20" s="13" t="n">
        <v>10</v>
      </c>
      <c r="B20" s="21" t="n">
        <f aca="false">(A20-8.5)/7.5</f>
        <v>0.2</v>
      </c>
      <c r="C20" s="11" t="n">
        <f aca="false">$B$3/(1+EXP(-$B$4*(A20-$B$5)))</f>
        <v>19.90873366991</v>
      </c>
      <c r="D20" s="25" t="n">
        <v>-0.828603568755683</v>
      </c>
      <c r="E20" s="11" t="n">
        <f aca="false">C20+D20</f>
        <v>19.0801301011544</v>
      </c>
      <c r="F20" s="21" t="n">
        <f aca="false">$B20^1</f>
        <v>0.2</v>
      </c>
      <c r="G20" s="21" t="n">
        <f aca="false">$B20^2</f>
        <v>0.04</v>
      </c>
      <c r="H20" s="21" t="n">
        <f aca="false">$B20^3</f>
        <v>0.008</v>
      </c>
      <c r="I20" s="21" t="n">
        <f aca="false">$B20^4</f>
        <v>0.0016</v>
      </c>
      <c r="J20" s="21" t="n">
        <f aca="false">$B20^5</f>
        <v>0.00032</v>
      </c>
      <c r="K20" s="21" t="n">
        <f aca="false">$B20^6</f>
        <v>6.4E-005</v>
      </c>
      <c r="L20" s="21" t="n">
        <f aca="false">$B20^7</f>
        <v>1.28E-005</v>
      </c>
      <c r="M20" s="21" t="n">
        <f aca="false">$B20^8</f>
        <v>2.56E-006</v>
      </c>
      <c r="N20" s="11" t="n">
        <f aca="false">$B$38+SUMPRODUCT($C$38:$J$38,$F20:$M20)</f>
        <v>23.7240032416596</v>
      </c>
      <c r="O20" s="11" t="n">
        <f aca="false">$B$39+SUMPRODUCT($C$39:$J$39,$F20:$M20)</f>
        <v>19.7476666536588</v>
      </c>
      <c r="P20" s="11" t="n">
        <f aca="false">$B$40+SUMPRODUCT($C$40:$J$40,$F20:$M20)</f>
        <v>20.1618370603772</v>
      </c>
      <c r="Q20" s="11" t="n">
        <f aca="false">$B$41+SUMPRODUCT($C$41:$J$41,$F20:$M20)</f>
        <v>19.7503398150075</v>
      </c>
      <c r="R20" s="11" t="n">
        <f aca="false">$B$42+SUMPRODUCT($C$42:$J$42,$F20:$M20)</f>
        <v>18.9114194463805</v>
      </c>
      <c r="S20" s="11" t="n">
        <f aca="false">$B$43+SUMPRODUCT($C$43:$J$43,$F20:$M20)</f>
        <v>19.0274704926494</v>
      </c>
      <c r="T20" s="11" t="n">
        <f aca="false">$B$44+SUMPRODUCT($C$44:$J$44,$F20:$M20)</f>
        <v>19.100280470723</v>
      </c>
      <c r="U20" s="11" t="n">
        <f aca="false">$B$45+SUMPRODUCT($C$45:$J$45,$F20:$M20)</f>
        <v>19.0878944463347</v>
      </c>
    </row>
    <row r="21" customFormat="false" ht="15" hidden="false" customHeight="false" outlineLevel="0" collapsed="false">
      <c r="A21" s="13" t="n">
        <v>11</v>
      </c>
      <c r="B21" s="21" t="n">
        <f aca="false">(A21-8.5)/7.5</f>
        <v>0.333333333333333</v>
      </c>
      <c r="C21" s="11" t="n">
        <f aca="false">$B$3/(1+EXP(-$B$4*(A21-$B$5)))</f>
        <v>24.8029452649602</v>
      </c>
      <c r="D21" s="25" t="n">
        <v>0.542178656610296</v>
      </c>
      <c r="E21" s="11" t="n">
        <f aca="false">C21+D21</f>
        <v>25.3451239215705</v>
      </c>
      <c r="F21" s="21" t="n">
        <f aca="false">$B21^1</f>
        <v>0.333333333333333</v>
      </c>
      <c r="G21" s="21" t="n">
        <f aca="false">$B21^2</f>
        <v>0.111111111111111</v>
      </c>
      <c r="H21" s="21" t="n">
        <f aca="false">$B21^3</f>
        <v>0.037037037037037</v>
      </c>
      <c r="I21" s="21" t="n">
        <f aca="false">$B21^4</f>
        <v>0.0123456790123457</v>
      </c>
      <c r="J21" s="21" t="n">
        <f aca="false">$B21^5</f>
        <v>0.00411522633744856</v>
      </c>
      <c r="K21" s="21" t="n">
        <f aca="false">$B21^6</f>
        <v>0.00137174211248285</v>
      </c>
      <c r="L21" s="21" t="n">
        <f aca="false">$B21^7</f>
        <v>0.000457247370827618</v>
      </c>
      <c r="M21" s="21" t="n">
        <f aca="false">$B21^8</f>
        <v>0.000152415790275873</v>
      </c>
      <c r="N21" s="11" t="n">
        <f aca="false">$B$38+SUMPRODUCT($C$38:$J$38,$F21:$M21)</f>
        <v>26.9495291588677</v>
      </c>
      <c r="O21" s="11" t="n">
        <f aca="false">$B$39+SUMPRODUCT($C$39:$J$39,$F21:$M21)</f>
        <v>23.8103160630776</v>
      </c>
      <c r="P21" s="11" t="n">
        <f aca="false">$B$40+SUMPRODUCT($C$40:$J$40,$F21:$M21)</f>
        <v>24.4234733691132</v>
      </c>
      <c r="Q21" s="11" t="n">
        <f aca="false">$B$41+SUMPRODUCT($C$41:$J$41,$F21:$M21)</f>
        <v>24.3501056431946</v>
      </c>
      <c r="R21" s="11" t="n">
        <f aca="false">$B$42+SUMPRODUCT($C$42:$J$42,$F21:$M21)</f>
        <v>23.3944659189325</v>
      </c>
      <c r="S21" s="11" t="n">
        <f aca="false">$B$43+SUMPRODUCT($C$43:$J$43,$F21:$M21)</f>
        <v>23.1855740356483</v>
      </c>
      <c r="T21" s="11" t="n">
        <f aca="false">$B$44+SUMPRODUCT($C$44:$J$44,$F21:$M21)</f>
        <v>23.2312016219077</v>
      </c>
      <c r="U21" s="11" t="n">
        <f aca="false">$B$45+SUMPRODUCT($C$45:$J$45,$F21:$M21)</f>
        <v>23.1296362219244</v>
      </c>
    </row>
    <row r="22" customFormat="false" ht="15" hidden="false" customHeight="false" outlineLevel="0" collapsed="false">
      <c r="A22" s="13" t="n">
        <v>12</v>
      </c>
      <c r="B22" s="21" t="n">
        <f aca="false">(A22-8.5)/7.5</f>
        <v>0.466666666666667</v>
      </c>
      <c r="C22" s="11" t="n">
        <f aca="false">$B$3/(1+EXP(-$B$4*(A22-$B$5)))</f>
        <v>30</v>
      </c>
      <c r="D22" s="25" t="n">
        <v>-3.27271173087564</v>
      </c>
      <c r="E22" s="11" t="n">
        <f aca="false">C22+D22</f>
        <v>26.7272882691244</v>
      </c>
      <c r="F22" s="21" t="n">
        <f aca="false">$B22^1</f>
        <v>0.466666666666667</v>
      </c>
      <c r="G22" s="21" t="n">
        <f aca="false">$B22^2</f>
        <v>0.217777777777778</v>
      </c>
      <c r="H22" s="21" t="n">
        <f aca="false">$B22^3</f>
        <v>0.10162962962963</v>
      </c>
      <c r="I22" s="21" t="n">
        <f aca="false">$B22^4</f>
        <v>0.0474271604938272</v>
      </c>
      <c r="J22" s="21" t="n">
        <f aca="false">$B22^5</f>
        <v>0.0221326748971193</v>
      </c>
      <c r="K22" s="21" t="n">
        <f aca="false">$B22^6</f>
        <v>0.0103285816186557</v>
      </c>
      <c r="L22" s="21" t="n">
        <f aca="false">$B22^7</f>
        <v>0.00482000475537266</v>
      </c>
      <c r="M22" s="21" t="n">
        <f aca="false">$B22^8</f>
        <v>0.00224933555250724</v>
      </c>
      <c r="N22" s="11" t="n">
        <f aca="false">$B$38+SUMPRODUCT($C$38:$J$38,$F22:$M22)</f>
        <v>30.1750550760758</v>
      </c>
      <c r="O22" s="11" t="n">
        <f aca="false">$B$39+SUMPRODUCT($C$39:$J$39,$F22:$M22)</f>
        <v>28.2915272186017</v>
      </c>
      <c r="P22" s="11" t="n">
        <f aca="false">$B$40+SUMPRODUCT($C$40:$J$40,$F22:$M22)</f>
        <v>28.987981366212</v>
      </c>
      <c r="Q22" s="11" t="n">
        <f aca="false">$B$41+SUMPRODUCT($C$41:$J$41,$F22:$M22)</f>
        <v>29.3101613800286</v>
      </c>
      <c r="R22" s="11" t="n">
        <f aca="false">$B$42+SUMPRODUCT($C$42:$J$42,$F22:$M22)</f>
        <v>28.7484494810348</v>
      </c>
      <c r="S22" s="11" t="n">
        <f aca="false">$B$43+SUMPRODUCT($C$43:$J$43,$F22:$M22)</f>
        <v>28.3445918400188</v>
      </c>
      <c r="T22" s="11" t="n">
        <f aca="false">$B$44+SUMPRODUCT($C$44:$J$44,$F22:$M22)</f>
        <v>28.3141087291987</v>
      </c>
      <c r="U22" s="11" t="n">
        <f aca="false">$B$45+SUMPRODUCT($C$45:$J$45,$F22:$M22)</f>
        <v>28.2482150794534</v>
      </c>
    </row>
    <row r="23" customFormat="false" ht="15" hidden="false" customHeight="false" outlineLevel="0" collapsed="false">
      <c r="A23" s="13" t="n">
        <v>13</v>
      </c>
      <c r="B23" s="21" t="n">
        <f aca="false">(A23-8.5)/7.5</f>
        <v>0.6</v>
      </c>
      <c r="C23" s="11" t="n">
        <f aca="false">$B$3/(1+EXP(-$B$4*(A23-$B$5)))</f>
        <v>35.1970547350398</v>
      </c>
      <c r="D23" s="25" t="n">
        <v>-0.0583391858850027</v>
      </c>
      <c r="E23" s="11" t="n">
        <f aca="false">C23+D23</f>
        <v>35.1387155491548</v>
      </c>
      <c r="F23" s="21" t="n">
        <f aca="false">$B23^1</f>
        <v>0.6</v>
      </c>
      <c r="G23" s="21" t="n">
        <f aca="false">$B23^2</f>
        <v>0.36</v>
      </c>
      <c r="H23" s="21" t="n">
        <f aca="false">$B23^3</f>
        <v>0.216</v>
      </c>
      <c r="I23" s="21" t="n">
        <f aca="false">$B23^4</f>
        <v>0.1296</v>
      </c>
      <c r="J23" s="21" t="n">
        <f aca="false">$B23^5</f>
        <v>0.07776</v>
      </c>
      <c r="K23" s="21" t="n">
        <f aca="false">$B23^6</f>
        <v>0.046656</v>
      </c>
      <c r="L23" s="21" t="n">
        <f aca="false">$B23^7</f>
        <v>0.0279936</v>
      </c>
      <c r="M23" s="21" t="n">
        <f aca="false">$B23^8</f>
        <v>0.01679616</v>
      </c>
      <c r="N23" s="11" t="n">
        <f aca="false">$B$38+SUMPRODUCT($C$38:$J$38,$F23:$M23)</f>
        <v>33.4005809932839</v>
      </c>
      <c r="O23" s="11" t="n">
        <f aca="false">$B$39+SUMPRODUCT($C$39:$J$39,$F23:$M23)</f>
        <v>33.1913001202312</v>
      </c>
      <c r="P23" s="11" t="n">
        <f aca="false">$B$40+SUMPRODUCT($C$40:$J$40,$F23:$M23)</f>
        <v>33.8090850285765</v>
      </c>
      <c r="Q23" s="11" t="n">
        <f aca="false">$B$41+SUMPRODUCT($C$41:$J$41,$F23:$M23)</f>
        <v>34.4502551550828</v>
      </c>
      <c r="R23" s="11" t="n">
        <f aca="false">$B$42+SUMPRODUCT($C$42:$J$42,$F23:$M23)</f>
        <v>34.6909888260802</v>
      </c>
      <c r="S23" s="11" t="n">
        <f aca="false">$B$43+SUMPRODUCT($C$43:$J$43,$F23:$M23)</f>
        <v>34.4171083568854</v>
      </c>
      <c r="T23" s="11" t="n">
        <f aca="false">$B$44+SUMPRODUCT($C$44:$J$44,$F23:$M23)</f>
        <v>34.3349787016184</v>
      </c>
      <c r="U23" s="11" t="n">
        <f aca="false">$B$45+SUMPRODUCT($C$45:$J$45,$F23:$M23)</f>
        <v>34.4087994069722</v>
      </c>
    </row>
    <row r="24" customFormat="false" ht="15" hidden="false" customHeight="false" outlineLevel="0" collapsed="false">
      <c r="A24" s="13" t="n">
        <v>14</v>
      </c>
      <c r="B24" s="21" t="n">
        <f aca="false">(A24-8.5)/7.5</f>
        <v>0.733333333333333</v>
      </c>
      <c r="C24" s="11" t="n">
        <f aca="false">$B$3/(1+EXP(-$B$4*(A24-$B$5)))</f>
        <v>40.09126633009</v>
      </c>
      <c r="D24" s="25" t="n">
        <v>0.0697702229193925</v>
      </c>
      <c r="E24" s="11" t="n">
        <f aca="false">C24+D24</f>
        <v>40.1610365530094</v>
      </c>
      <c r="F24" s="21" t="n">
        <f aca="false">$B24^1</f>
        <v>0.733333333333333</v>
      </c>
      <c r="G24" s="21" t="n">
        <f aca="false">$B24^2</f>
        <v>0.537777777777778</v>
      </c>
      <c r="H24" s="21" t="n">
        <f aca="false">$B24^3</f>
        <v>0.39437037037037</v>
      </c>
      <c r="I24" s="21" t="n">
        <f aca="false">$B24^4</f>
        <v>0.289204938271605</v>
      </c>
      <c r="J24" s="21" t="n">
        <f aca="false">$B24^5</f>
        <v>0.212083621399177</v>
      </c>
      <c r="K24" s="21" t="n">
        <f aca="false">$B24^6</f>
        <v>0.155527989026063</v>
      </c>
      <c r="L24" s="21" t="n">
        <f aca="false">$B24^7</f>
        <v>0.114053858619113</v>
      </c>
      <c r="M24" s="21" t="n">
        <f aca="false">$B24^8</f>
        <v>0.0836394963206828</v>
      </c>
      <c r="N24" s="11" t="n">
        <f aca="false">$B$38+SUMPRODUCT($C$38:$J$38,$F24:$M24)</f>
        <v>36.626106910492</v>
      </c>
      <c r="O24" s="11" t="n">
        <f aca="false">$B$39+SUMPRODUCT($C$39:$J$39,$F24:$M24)</f>
        <v>38.509634767966</v>
      </c>
      <c r="P24" s="11" t="n">
        <f aca="false">$B$40+SUMPRODUCT($C$40:$J$40,$F24:$M24)</f>
        <v>38.8405083331098</v>
      </c>
      <c r="Q24" s="11" t="n">
        <f aca="false">$B$41+SUMPRODUCT($C$41:$J$41,$F24:$M24)</f>
        <v>39.545476482154</v>
      </c>
      <c r="R24" s="11" t="n">
        <f aca="false">$B$42+SUMPRODUCT($C$42:$J$42,$F24:$M24)</f>
        <v>40.5886557231425</v>
      </c>
      <c r="S24" s="11" t="n">
        <f aca="false">$B$43+SUMPRODUCT($C$43:$J$43,$F24:$M24)</f>
        <v>40.769695355322</v>
      </c>
      <c r="T24" s="11" t="n">
        <f aca="false">$B$44+SUMPRODUCT($C$44:$J$44,$F24:$M24)</f>
        <v>40.7419304836833</v>
      </c>
      <c r="U24" s="11" t="n">
        <f aca="false">$B$45+SUMPRODUCT($C$45:$J$45,$F24:$M24)</f>
        <v>40.8514229392752</v>
      </c>
    </row>
    <row r="25" customFormat="false" ht="15" hidden="false" customHeight="false" outlineLevel="0" collapsed="false">
      <c r="A25" s="13" t="n">
        <v>15</v>
      </c>
      <c r="B25" s="21" t="n">
        <f aca="false">(A25-8.5)/7.5</f>
        <v>0.866666666666667</v>
      </c>
      <c r="C25" s="11" t="n">
        <f aca="false">$B$3/(1+EXP(-$B$4*(A25-$B$5)))</f>
        <v>44.4464939509292</v>
      </c>
      <c r="D25" s="25" t="n">
        <v>1.86731544647076</v>
      </c>
      <c r="E25" s="11" t="n">
        <f aca="false">C25+D25</f>
        <v>46.3138093974</v>
      </c>
      <c r="F25" s="21" t="n">
        <f aca="false">$B25^1</f>
        <v>0.866666666666667</v>
      </c>
      <c r="G25" s="21" t="n">
        <f aca="false">$B25^2</f>
        <v>0.751111111111111</v>
      </c>
      <c r="H25" s="21" t="n">
        <f aca="false">$B25^3</f>
        <v>0.650962962962963</v>
      </c>
      <c r="I25" s="21" t="n">
        <f aca="false">$B25^4</f>
        <v>0.564167901234568</v>
      </c>
      <c r="J25" s="21" t="n">
        <f aca="false">$B25^5</f>
        <v>0.488945514403292</v>
      </c>
      <c r="K25" s="21" t="n">
        <f aca="false">$B25^6</f>
        <v>0.42375277914952</v>
      </c>
      <c r="L25" s="21" t="n">
        <f aca="false">$B25^7</f>
        <v>0.367252408596251</v>
      </c>
      <c r="M25" s="21" t="n">
        <f aca="false">$B25^8</f>
        <v>0.318285420783417</v>
      </c>
      <c r="N25" s="11" t="n">
        <f aca="false">$B$38+SUMPRODUCT($C$38:$J$38,$F25:$M25)</f>
        <v>39.8516328277</v>
      </c>
      <c r="O25" s="11" t="n">
        <f aca="false">$B$39+SUMPRODUCT($C$39:$J$39,$F25:$M25)</f>
        <v>44.2465311618062</v>
      </c>
      <c r="P25" s="11" t="n">
        <f aca="false">$B$40+SUMPRODUCT($C$40:$J$40,$F25:$M25)</f>
        <v>44.0359752567147</v>
      </c>
      <c r="Q25" s="11" t="n">
        <f aca="false">$B$41+SUMPRODUCT($C$41:$J$41,$F25:$M25)</f>
        <v>44.3262562592624</v>
      </c>
      <c r="R25" s="11" t="n">
        <f aca="false">$B$42+SUMPRODUCT($C$42:$J$42,$F25:$M25)</f>
        <v>45.3694355002508</v>
      </c>
      <c r="S25" s="11" t="n">
        <f aca="false">$B$43+SUMPRODUCT($C$43:$J$43,$F25:$M25)</f>
        <v>45.9125543967896</v>
      </c>
      <c r="T25" s="11" t="n">
        <f aca="false">$B$44+SUMPRODUCT($C$44:$J$44,$F25:$M25)</f>
        <v>46.0160416456248</v>
      </c>
      <c r="U25" s="11" t="n">
        <f aca="false">$B$45+SUMPRODUCT($C$45:$J$45,$F25:$M25)</f>
        <v>45.8936677246692</v>
      </c>
    </row>
    <row r="26" customFormat="false" ht="15" hidden="false" customHeight="false" outlineLevel="0" collapsed="false">
      <c r="A26" s="13" t="n">
        <v>16</v>
      </c>
      <c r="B26" s="21" t="n">
        <f aca="false">(A26-8.5)/7.5</f>
        <v>1</v>
      </c>
      <c r="C26" s="11" t="n">
        <f aca="false">$B$3/(1+EXP(-$B$4*(A26-$B$5)))</f>
        <v>48.1310333135149</v>
      </c>
      <c r="D26" s="25" t="n">
        <v>-1.09350947641167</v>
      </c>
      <c r="E26" s="11" t="n">
        <f aca="false">C26+D26</f>
        <v>47.0375238371032</v>
      </c>
      <c r="F26" s="21" t="n">
        <f aca="false">$B26^1</f>
        <v>1</v>
      </c>
      <c r="G26" s="21" t="n">
        <f aca="false">$B26^2</f>
        <v>1</v>
      </c>
      <c r="H26" s="21" t="n">
        <f aca="false">$B26^3</f>
        <v>1</v>
      </c>
      <c r="I26" s="21" t="n">
        <f aca="false">$B26^4</f>
        <v>1</v>
      </c>
      <c r="J26" s="21" t="n">
        <f aca="false">$B26^5</f>
        <v>1</v>
      </c>
      <c r="K26" s="21" t="n">
        <f aca="false">$B26^6</f>
        <v>1</v>
      </c>
      <c r="L26" s="21" t="n">
        <f aca="false">$B26^7</f>
        <v>1</v>
      </c>
      <c r="M26" s="21" t="n">
        <f aca="false">$B26^8</f>
        <v>1</v>
      </c>
      <c r="N26" s="11" t="n">
        <f aca="false">$B$38+SUMPRODUCT($C$38:$J$38,$F26:$M26)</f>
        <v>43.0771587449081</v>
      </c>
      <c r="O26" s="11" t="n">
        <f aca="false">$B$39+SUMPRODUCT($C$39:$J$39,$F26:$M26)</f>
        <v>50.4019893017517</v>
      </c>
      <c r="P26" s="11" t="n">
        <f aca="false">$B$40+SUMPRODUCT($C$40:$J$40,$F26:$M26)</f>
        <v>49.3492097762944</v>
      </c>
      <c r="Q26" s="11" t="n">
        <f aca="false">$B$41+SUMPRODUCT($C$41:$J$41,$F26:$M26)</f>
        <v>48.4783667686515</v>
      </c>
      <c r="R26" s="11" t="n">
        <f aca="false">$B$42+SUMPRODUCT($C$42:$J$42,$F26:$M26)</f>
        <v>47.435187527663</v>
      </c>
      <c r="S26" s="11" t="n">
        <f aca="false">$B$43+SUMPRODUCT($C$43:$J$43,$F26:$M26)</f>
        <v>47.1334548073637</v>
      </c>
      <c r="T26" s="11" t="n">
        <f aca="false">$B$44+SUMPRODUCT($C$44:$J$44,$F26:$M26)</f>
        <v>47.0955936187655</v>
      </c>
      <c r="U26" s="11" t="n">
        <f aca="false">$B$45+SUMPRODUCT($C$45:$J$45,$F26:$M26)</f>
        <v>47.1277972821748</v>
      </c>
    </row>
    <row r="27" customFormat="false" ht="15" hidden="false" customHeight="false" outlineLevel="0" collapsed="false">
      <c r="A27" s="13" t="n">
        <v>17</v>
      </c>
      <c r="B27" s="21" t="n">
        <f aca="false">(A27-8.5)/7.5</f>
        <v>1.13333333333333</v>
      </c>
      <c r="C27" s="11" t="n">
        <f aca="false">$B$3/(1+EXP(-$B$4*(A27-$B$5)))</f>
        <v>51.1171681180986</v>
      </c>
      <c r="D27" s="25" t="n">
        <v>1.09197706610648</v>
      </c>
      <c r="E27" s="11" t="n">
        <f aca="false">C27+D27</f>
        <v>52.2091451842051</v>
      </c>
      <c r="F27" s="21" t="n">
        <f aca="false">$B27^1</f>
        <v>1.13333333333333</v>
      </c>
      <c r="G27" s="21" t="n">
        <f aca="false">$B27^2</f>
        <v>1.28444444444444</v>
      </c>
      <c r="H27" s="21" t="n">
        <f aca="false">$B27^3</f>
        <v>1.4557037037037</v>
      </c>
      <c r="I27" s="21" t="n">
        <f aca="false">$B27^4</f>
        <v>1.6497975308642</v>
      </c>
      <c r="J27" s="21" t="n">
        <f aca="false">$B27^5</f>
        <v>1.86977053497942</v>
      </c>
      <c r="K27" s="21" t="n">
        <f aca="false">$B27^6</f>
        <v>2.11907327297668</v>
      </c>
      <c r="L27" s="21" t="n">
        <f aca="false">$B27^7</f>
        <v>2.40161637604024</v>
      </c>
      <c r="M27" s="21" t="n">
        <f aca="false">$B27^8</f>
        <v>2.7218318928456</v>
      </c>
      <c r="N27" s="11" t="n">
        <f aca="false">$B$38+SUMPRODUCT($C$38:$J$38,$F27:$M27)</f>
        <v>46.3026846621162</v>
      </c>
      <c r="O27" s="11" t="n">
        <f aca="false">$B$39+SUMPRODUCT($C$39:$J$39,$F27:$M27)</f>
        <v>56.9760091878026</v>
      </c>
      <c r="P27" s="11" t="n">
        <f aca="false">$B$40+SUMPRODUCT($C$40:$J$40,$F27:$M27)</f>
        <v>54.7339358687516</v>
      </c>
      <c r="Q27" s="11" t="n">
        <f aca="false">$B$41+SUMPRODUCT($C$41:$J$41,$F27:$M27)</f>
        <v>51.6429216767884</v>
      </c>
      <c r="R27" s="11" t="n">
        <f aca="false">$B$42+SUMPRODUCT($C$42:$J$42,$F27:$M27)</f>
        <v>44.5741057011395</v>
      </c>
      <c r="S27" s="11" t="n">
        <f aca="false">$B$43+SUMPRODUCT($C$43:$J$43,$F27:$M27)</f>
        <v>40.0759671477543</v>
      </c>
      <c r="T27" s="11" t="n">
        <f aca="false">$B$44+SUMPRODUCT($C$44:$J$44,$F27:$M27)</f>
        <v>38.6335529421321</v>
      </c>
      <c r="U27" s="11" t="n">
        <f aca="false">$B$45+SUMPRODUCT($C$45:$J$45,$F27:$M27)</f>
        <v>42.3141839493345</v>
      </c>
    </row>
    <row r="28" customFormat="false" ht="15" hidden="false" customHeight="false" outlineLevel="0" collapsed="false">
      <c r="A28" s="13" t="n">
        <v>18</v>
      </c>
      <c r="B28" s="21" t="n">
        <f aca="false">(A28-8.5)/7.5</f>
        <v>1.26666666666667</v>
      </c>
      <c r="C28" s="11" t="n">
        <f aca="false">$B$3/(1+EXP(-$B$4*(A28-$B$5)))</f>
        <v>53.4541907282632</v>
      </c>
      <c r="D28" s="25" t="n">
        <v>-0.217184378577677</v>
      </c>
      <c r="E28" s="11" t="n">
        <f aca="false">C28+D28</f>
        <v>53.2370063496856</v>
      </c>
      <c r="F28" s="21" t="n">
        <f aca="false">$B28^1</f>
        <v>1.26666666666667</v>
      </c>
      <c r="G28" s="21" t="n">
        <f aca="false">$B28^2</f>
        <v>1.60444444444444</v>
      </c>
      <c r="H28" s="21" t="n">
        <f aca="false">$B28^3</f>
        <v>2.0322962962963</v>
      </c>
      <c r="I28" s="21" t="n">
        <f aca="false">$B28^4</f>
        <v>2.57424197530864</v>
      </c>
      <c r="J28" s="21" t="n">
        <f aca="false">$B28^5</f>
        <v>3.26070650205761</v>
      </c>
      <c r="K28" s="21" t="n">
        <f aca="false">$B28^6</f>
        <v>4.13022823593964</v>
      </c>
      <c r="L28" s="21" t="n">
        <f aca="false">$B28^7</f>
        <v>5.23162243219021</v>
      </c>
      <c r="M28" s="21" t="n">
        <f aca="false">$B28^8</f>
        <v>6.62672174744094</v>
      </c>
      <c r="N28" s="11" t="n">
        <f aca="false">$B$38+SUMPRODUCT($C$38:$J$38,$F28:$M28)</f>
        <v>49.5282105793243</v>
      </c>
      <c r="O28" s="11" t="n">
        <f aca="false">$B$39+SUMPRODUCT($C$39:$J$39,$F28:$M28)</f>
        <v>63.9685908199588</v>
      </c>
      <c r="P28" s="11" t="n">
        <f aca="false">$B$40+SUMPRODUCT($C$40:$J$40,$F28:$M28)</f>
        <v>60.1438775109895</v>
      </c>
      <c r="Q28" s="11" t="n">
        <f aca="false">$B$41+SUMPRODUCT($C$41:$J$41,$F28:$M28)</f>
        <v>53.4163760343637</v>
      </c>
      <c r="R28" s="11" t="n">
        <f aca="false">$B$42+SUMPRODUCT($C$42:$J$42,$F28:$M28)</f>
        <v>33.8731789252168</v>
      </c>
      <c r="S28" s="11" t="n">
        <f aca="false">$B$43+SUMPRODUCT($C$43:$J$43,$F28:$M28)</f>
        <v>18.2619921811151</v>
      </c>
      <c r="T28" s="11" t="n">
        <f aca="false">$B$44+SUMPRODUCT($C$44:$J$44,$F28:$M28)</f>
        <v>12.0680958863844</v>
      </c>
      <c r="U28" s="11" t="n">
        <f aca="false">$B$45+SUMPRODUCT($C$45:$J$45,$F28:$M28)</f>
        <v>31.3372817476203</v>
      </c>
    </row>
    <row r="29" customFormat="false" ht="15" hidden="false" customHeight="false" outlineLevel="0" collapsed="false">
      <c r="A29" s="13" t="n">
        <v>19</v>
      </c>
      <c r="B29" s="21" t="n">
        <f aca="false">(A29-8.5)/7.5</f>
        <v>1.4</v>
      </c>
      <c r="C29" s="11" t="n">
        <f aca="false">$B$3/(1+EXP(-$B$4*(A29-$B$5)))</f>
        <v>55.2336870489613</v>
      </c>
      <c r="D29" s="25" t="n">
        <v>1.34875915715685</v>
      </c>
      <c r="E29" s="11" t="n">
        <f aca="false">C29+D29</f>
        <v>56.5824462061181</v>
      </c>
      <c r="F29" s="21" t="n">
        <f aca="false">$B29^1</f>
        <v>1.4</v>
      </c>
      <c r="G29" s="21" t="n">
        <f aca="false">$B29^2</f>
        <v>1.96</v>
      </c>
      <c r="H29" s="21" t="n">
        <f aca="false">$B29^3</f>
        <v>2.744</v>
      </c>
      <c r="I29" s="21" t="n">
        <f aca="false">$B29^4</f>
        <v>3.8416</v>
      </c>
      <c r="J29" s="21" t="n">
        <f aca="false">$B29^5</f>
        <v>5.37824</v>
      </c>
      <c r="K29" s="21" t="n">
        <f aca="false">$B29^6</f>
        <v>7.529536</v>
      </c>
      <c r="L29" s="21" t="n">
        <f aca="false">$B29^7</f>
        <v>10.5413504</v>
      </c>
      <c r="M29" s="21" t="n">
        <f aca="false">$B29^8</f>
        <v>14.75789056</v>
      </c>
      <c r="N29" s="11" t="n">
        <f aca="false">$B$38+SUMPRODUCT($C$38:$J$38,$F29:$M29)</f>
        <v>52.7537364965324</v>
      </c>
      <c r="O29" s="11" t="n">
        <f aca="false">$B$39+SUMPRODUCT($C$39:$J$39,$F29:$M29)</f>
        <v>71.3797341982204</v>
      </c>
      <c r="P29" s="11" t="n">
        <f aca="false">$B$40+SUMPRODUCT($C$40:$J$40,$F29:$M29)</f>
        <v>65.532758679911</v>
      </c>
      <c r="Q29" s="11" t="n">
        <f aca="false">$B$41+SUMPRODUCT($C$41:$J$41,$F29:$M29)</f>
        <v>53.3505262762912</v>
      </c>
      <c r="R29" s="11" t="n">
        <f aca="false">$B$42+SUMPRODUCT($C$42:$J$42,$F29:$M29)</f>
        <v>11.6306515964813</v>
      </c>
      <c r="S29" s="11" t="n">
        <f aca="false">$B$43+SUMPRODUCT($C$43:$J$43,$F29:$M29)</f>
        <v>-27.4414146613553</v>
      </c>
      <c r="T29" s="11" t="n">
        <f aca="false">$B$44+SUMPRODUCT($C$44:$J$44,$F29:$M29)</f>
        <v>-45.5140161788573</v>
      </c>
      <c r="U29" s="11" t="n">
        <f aca="false">$B$45+SUMPRODUCT($C$45:$J$45,$F29:$M29)</f>
        <v>19.6548034192552</v>
      </c>
    </row>
    <row r="30" customFormat="false" ht="15" hidden="false" customHeight="false" outlineLevel="0" collapsed="false">
      <c r="A30" s="13" t="n">
        <v>20</v>
      </c>
      <c r="B30" s="21" t="n">
        <f aca="false">(A30-8.5)/7.5</f>
        <v>1.53333333333333</v>
      </c>
      <c r="C30" s="11" t="n">
        <f aca="false">$B$3/(1+EXP(-$B$4*(A30-$B$5)))</f>
        <v>56.5605494460679</v>
      </c>
      <c r="D30" s="25" t="n">
        <v>-0.326126762482215</v>
      </c>
      <c r="E30" s="11" t="n">
        <f aca="false">C30+D30</f>
        <v>56.2344226835857</v>
      </c>
      <c r="F30" s="21" t="n">
        <f aca="false">$B30^1</f>
        <v>1.53333333333333</v>
      </c>
      <c r="G30" s="21" t="n">
        <f aca="false">$B30^2</f>
        <v>2.35111111111111</v>
      </c>
      <c r="H30" s="21" t="n">
        <f aca="false">$B30^3</f>
        <v>3.60503703703704</v>
      </c>
      <c r="I30" s="21" t="n">
        <f aca="false">$B30^4</f>
        <v>5.52772345679013</v>
      </c>
      <c r="J30" s="21" t="n">
        <f aca="false">$B30^5</f>
        <v>8.47584263374486</v>
      </c>
      <c r="K30" s="21" t="n">
        <f aca="false">$B30^6</f>
        <v>12.9962920384088</v>
      </c>
      <c r="L30" s="21" t="n">
        <f aca="false">$B30^7</f>
        <v>19.9276477922268</v>
      </c>
      <c r="M30" s="21" t="n">
        <f aca="false">$B30^8</f>
        <v>30.5557266147478</v>
      </c>
      <c r="N30" s="11" t="n">
        <f aca="false">$B$38+SUMPRODUCT($C$38:$J$38,$F30:$M30)</f>
        <v>55.9792624137405</v>
      </c>
      <c r="O30" s="11" t="n">
        <f aca="false">$B$39+SUMPRODUCT($C$39:$J$39,$F30:$M30)</f>
        <v>79.2094393225873</v>
      </c>
      <c r="P30" s="11" t="n">
        <f aca="false">$B$40+SUMPRODUCT($C$40:$J$40,$F30:$M30)</f>
        <v>70.854303352419</v>
      </c>
      <c r="Q30" s="11" t="n">
        <f aca="false">$B$41+SUMPRODUCT($C$41:$J$41,$F30:$M30)</f>
        <v>50.9525102217084</v>
      </c>
      <c r="R30" s="11" t="n">
        <f aca="false">$B$42+SUMPRODUCT($C$42:$J$42,$F30:$M30)</f>
        <v>-26.7315159131571</v>
      </c>
      <c r="S30" s="11" t="n">
        <f aca="false">$B$43+SUMPRODUCT($C$43:$J$43,$F30:$M30)</f>
        <v>-109.410923317022</v>
      </c>
      <c r="T30" s="11" t="n">
        <f aca="false">$B$44+SUMPRODUCT($C$44:$J$44,$F30:$M30)</f>
        <v>-152.741403308206</v>
      </c>
      <c r="U30" s="11" t="n">
        <f aca="false">$B$45+SUMPRODUCT($C$45:$J$45,$F30:$M30)</f>
        <v>23.7351676160765</v>
      </c>
    </row>
    <row r="31" customFormat="false" ht="15" hidden="false" customHeight="false" outlineLevel="0" collapsed="false">
      <c r="A31" s="13" t="n">
        <v>21</v>
      </c>
      <c r="B31" s="21" t="n">
        <f aca="false">(A31-8.5)/7.5</f>
        <v>1.66666666666667</v>
      </c>
      <c r="C31" s="11" t="n">
        <f aca="false">$B$3/(1+EXP(-$B$4*(A31-$B$5)))</f>
        <v>57.5345233079721</v>
      </c>
      <c r="D31" s="25" t="n">
        <v>0.849566951231104</v>
      </c>
      <c r="E31" s="11" t="n">
        <f aca="false">C31+D31</f>
        <v>58.3840902592032</v>
      </c>
      <c r="F31" s="21" t="n">
        <f aca="false">$B31^1</f>
        <v>1.66666666666667</v>
      </c>
      <c r="G31" s="21" t="n">
        <f aca="false">$B31^2</f>
        <v>2.77777777777778</v>
      </c>
      <c r="H31" s="21" t="n">
        <f aca="false">$B31^3</f>
        <v>4.62962962962963</v>
      </c>
      <c r="I31" s="21" t="n">
        <f aca="false">$B31^4</f>
        <v>7.71604938271605</v>
      </c>
      <c r="J31" s="21" t="n">
        <f aca="false">$B31^5</f>
        <v>12.8600823045268</v>
      </c>
      <c r="K31" s="21" t="n">
        <f aca="false">$B31^6</f>
        <v>21.4334705075446</v>
      </c>
      <c r="L31" s="21" t="n">
        <f aca="false">$B31^7</f>
        <v>35.7224508459076</v>
      </c>
      <c r="M31" s="21" t="n">
        <f aca="false">$B31^8</f>
        <v>59.5374180765128</v>
      </c>
      <c r="N31" s="11" t="n">
        <f aca="false">$B$38+SUMPRODUCT($C$38:$J$38,$F31:$M31)</f>
        <v>59.2047883309485</v>
      </c>
      <c r="O31" s="11" t="n">
        <f aca="false">$B$39+SUMPRODUCT($C$39:$J$39,$F31:$M31)</f>
        <v>87.4577061930596</v>
      </c>
      <c r="P31" s="11" t="n">
        <f aca="false">$B$40+SUMPRODUCT($C$40:$J$40,$F31:$M31)</f>
        <v>76.0622355054166</v>
      </c>
      <c r="Q31" s="11" t="n">
        <f aca="false">$B$41+SUMPRODUCT($C$41:$J$41,$F31:$M31)</f>
        <v>45.6848070739761</v>
      </c>
      <c r="R31" s="11" t="n">
        <f aca="false">$B$42+SUMPRODUCT($C$42:$J$42,$F31:$M31)</f>
        <v>-86.7551867731911</v>
      </c>
      <c r="S31" s="11" t="n">
        <f aca="false">$B$43+SUMPRODUCT($C$43:$J$43,$F31:$M31)</f>
        <v>-243.911513630629</v>
      </c>
      <c r="T31" s="11" t="n">
        <f aca="false">$B$44+SUMPRODUCT($C$44:$J$44,$F31:$M31)</f>
        <v>-335.569568028141</v>
      </c>
      <c r="U31" s="11" t="n">
        <f aca="false">$B$45+SUMPRODUCT($C$45:$J$45,$F31:$M31)</f>
        <v>79.0426895478914</v>
      </c>
    </row>
    <row r="32" customFormat="false" ht="15" hidden="false" customHeight="false" outlineLevel="0" collapsed="false">
      <c r="A32" s="13" t="n">
        <v>22</v>
      </c>
      <c r="B32" s="21" t="n">
        <f aca="false">(A32-8.5)/7.5</f>
        <v>1.8</v>
      </c>
      <c r="C32" s="11" t="n">
        <f aca="false">$B$3/(1+EXP(-$B$4*(A32-$B$5)))</f>
        <v>58.2412661549186</v>
      </c>
      <c r="D32" s="25" t="n">
        <v>0.0636562354686758</v>
      </c>
      <c r="E32" s="11" t="n">
        <f aca="false">C32+D32</f>
        <v>58.3049223903873</v>
      </c>
      <c r="F32" s="21" t="n">
        <f aca="false">$B32^1</f>
        <v>1.8</v>
      </c>
      <c r="G32" s="21" t="n">
        <f aca="false">$B32^2</f>
        <v>3.24</v>
      </c>
      <c r="H32" s="21" t="n">
        <f aca="false">$B32^3</f>
        <v>5.832</v>
      </c>
      <c r="I32" s="21" t="n">
        <f aca="false">$B32^4</f>
        <v>10.4976</v>
      </c>
      <c r="J32" s="21" t="n">
        <f aca="false">$B32^5</f>
        <v>18.89568</v>
      </c>
      <c r="K32" s="21" t="n">
        <f aca="false">$B32^6</f>
        <v>34.012224</v>
      </c>
      <c r="L32" s="21" t="n">
        <f aca="false">$B32^7</f>
        <v>61.2220032</v>
      </c>
      <c r="M32" s="21" t="n">
        <f aca="false">$B32^8</f>
        <v>110.19960576</v>
      </c>
      <c r="N32" s="11" t="n">
        <f aca="false">$B$38+SUMPRODUCT($C$38:$J$38,$F32:$M32)</f>
        <v>62.4303142481566</v>
      </c>
      <c r="O32" s="11" t="n">
        <f aca="false">$B$39+SUMPRODUCT($C$39:$J$39,$F32:$M32)</f>
        <v>96.1245348096372</v>
      </c>
      <c r="P32" s="11" t="n">
        <f aca="false">$B$40+SUMPRODUCT($C$40:$J$40,$F32:$M32)</f>
        <v>81.1102791158067</v>
      </c>
      <c r="Q32" s="11" t="n">
        <f aca="false">$B$41+SUMPRODUCT($C$41:$J$41,$F32:$M32)</f>
        <v>36.9652374206785</v>
      </c>
      <c r="R32" s="11" t="n">
        <f aca="false">$B$42+SUMPRODUCT($C$42:$J$42,$F32:$M32)</f>
        <v>-175.033587211242</v>
      </c>
      <c r="S32" s="11" t="n">
        <f aca="false">$B$43+SUMPRODUCT($C$43:$J$43,$F32:$M32)</f>
        <v>-451.796764395331</v>
      </c>
      <c r="T32" s="11" t="n">
        <f aca="false">$B$44+SUMPRODUCT($C$44:$J$44,$F32:$M32)</f>
        <v>-629.160123543003</v>
      </c>
      <c r="U32" s="11" t="n">
        <f aca="false">$B$45+SUMPRODUCT($C$45:$J$45,$F32:$M32)</f>
        <v>251.194395724594</v>
      </c>
    </row>
    <row r="33" customFormat="false" ht="15" hidden="false" customHeight="false" outlineLevel="0" collapsed="false">
      <c r="A33" s="13" t="n">
        <v>23</v>
      </c>
      <c r="B33" s="21" t="n">
        <f aca="false">(A33-8.5)/7.5</f>
        <v>1.93333333333333</v>
      </c>
      <c r="C33" s="11" t="n">
        <f aca="false">$B$3/(1+EXP(-$B$4*(A33-$B$5)))</f>
        <v>58.7498193288792</v>
      </c>
      <c r="D33" s="25" t="n">
        <v>1.15554038788487</v>
      </c>
      <c r="E33" s="11" t="n">
        <f aca="false">C33+D33</f>
        <v>59.905359716764</v>
      </c>
      <c r="F33" s="21" t="n">
        <f aca="false">$B33^1</f>
        <v>1.93333333333333</v>
      </c>
      <c r="G33" s="21" t="n">
        <f aca="false">$B33^2</f>
        <v>3.73777777777778</v>
      </c>
      <c r="H33" s="21" t="n">
        <f aca="false">$B33^3</f>
        <v>7.22637037037037</v>
      </c>
      <c r="I33" s="21" t="n">
        <f aca="false">$B33^4</f>
        <v>13.9709827160494</v>
      </c>
      <c r="J33" s="21" t="n">
        <f aca="false">$B33^5</f>
        <v>27.0105665843621</v>
      </c>
      <c r="K33" s="21" t="n">
        <f aca="false">$B33^6</f>
        <v>52.2204287297668</v>
      </c>
      <c r="L33" s="21" t="n">
        <f aca="false">$B33^7</f>
        <v>100.959495544216</v>
      </c>
      <c r="M33" s="21" t="n">
        <f aca="false">$B33^8</f>
        <v>195.188358052151</v>
      </c>
      <c r="N33" s="11" t="n">
        <f aca="false">$B$38+SUMPRODUCT($C$38:$J$38,$F33:$M33)</f>
        <v>65.6558401653647</v>
      </c>
      <c r="O33" s="11" t="n">
        <f aca="false">$B$39+SUMPRODUCT($C$39:$J$39,$F33:$M33)</f>
        <v>105.20992517232</v>
      </c>
      <c r="P33" s="11" t="n">
        <f aca="false">$B$40+SUMPRODUCT($C$40:$J$40,$F33:$M33)</f>
        <v>85.9521581604922</v>
      </c>
      <c r="Q33" s="11" t="n">
        <f aca="false">$B$41+SUMPRODUCT($C$41:$J$41,$F33:$M33)</f>
        <v>24.1669632336235</v>
      </c>
      <c r="R33" s="11" t="n">
        <f aca="false">$B$42+SUMPRODUCT($C$42:$J$42,$F33:$M33)</f>
        <v>-299.298846029788</v>
      </c>
      <c r="S33" s="11" t="n">
        <f aca="false">$B$43+SUMPRODUCT($C$43:$J$43,$F33:$M33)</f>
        <v>-759.264846895923</v>
      </c>
      <c r="T33" s="11" t="n">
        <f aca="false">$B$44+SUMPRODUCT($C$44:$J$44,$F33:$M33)</f>
        <v>-1080.04794173326</v>
      </c>
      <c r="U33" s="11" t="n">
        <f aca="false">$B$45+SUMPRODUCT($C$45:$J$45,$F33:$M33)</f>
        <v>650.97675075313</v>
      </c>
    </row>
    <row r="34" customFormat="false" ht="15" hidden="false" customHeight="false" outlineLevel="0" collapsed="false">
      <c r="A34" s="13" t="n">
        <v>24</v>
      </c>
      <c r="B34" s="21" t="n">
        <f aca="false">(A34-8.5)/7.5</f>
        <v>2.06666666666667</v>
      </c>
      <c r="C34" s="11" t="n">
        <f aca="false">$B$3/(1+EXP(-$B$4*(A34-$B$5)))</f>
        <v>59.1135580984036</v>
      </c>
      <c r="D34" s="25" t="n">
        <v>2.06583549760653</v>
      </c>
      <c r="E34" s="11" t="n">
        <f aca="false">C34+D34</f>
        <v>61.1793935960101</v>
      </c>
      <c r="F34" s="21" t="n">
        <f aca="false">$B34^1</f>
        <v>2.06666666666667</v>
      </c>
      <c r="G34" s="21" t="n">
        <f aca="false">$B34^2</f>
        <v>4.27111111111111</v>
      </c>
      <c r="H34" s="21" t="n">
        <f aca="false">$B34^3</f>
        <v>8.82696296296297</v>
      </c>
      <c r="I34" s="21" t="n">
        <f aca="false">$B34^4</f>
        <v>18.2423901234568</v>
      </c>
      <c r="J34" s="21" t="n">
        <f aca="false">$B34^5</f>
        <v>37.7009395884774</v>
      </c>
      <c r="K34" s="21" t="n">
        <f aca="false">$B34^6</f>
        <v>77.9152751495199</v>
      </c>
      <c r="L34" s="21" t="n">
        <f aca="false">$B34^7</f>
        <v>161.024901975675</v>
      </c>
      <c r="M34" s="21" t="n">
        <f aca="false">$B34^8</f>
        <v>332.784797416394</v>
      </c>
      <c r="N34" s="11" t="n">
        <f aca="false">$B$38+SUMPRODUCT($C$38:$J$38,$F34:$M34)</f>
        <v>68.8813660825728</v>
      </c>
      <c r="O34" s="11" t="n">
        <f aca="false">$B$39+SUMPRODUCT($C$39:$J$39,$F34:$M34)</f>
        <v>114.713877281109</v>
      </c>
      <c r="P34" s="11" t="n">
        <f aca="false">$B$40+SUMPRODUCT($C$40:$J$40,$F34:$M34)</f>
        <v>90.5415966163762</v>
      </c>
      <c r="Q34" s="11" t="n">
        <f aca="false">$B$41+SUMPRODUCT($C$41:$J$41,$F34:$M34)</f>
        <v>6.61848786884197</v>
      </c>
      <c r="R34" s="11" t="n">
        <f aca="false">$B$42+SUMPRODUCT($C$42:$J$42,$F34:$M34)</f>
        <v>-468.509534122887</v>
      </c>
      <c r="S34" s="11" t="n">
        <f aca="false">$B$43+SUMPRODUCT($C$43:$J$43,$F34:$M34)</f>
        <v>-1198.67022295429</v>
      </c>
      <c r="T34" s="11" t="n">
        <f aca="false">$B$44+SUMPRODUCT($C$44:$J$44,$F34:$M34)</f>
        <v>-1748.61641358</v>
      </c>
      <c r="U34" s="11" t="n">
        <f aca="false">$B$45+SUMPRODUCT($C$45:$J$45,$F34:$M34)</f>
        <v>1453.97499147721</v>
      </c>
    </row>
    <row r="37" customFormat="false" ht="15" hidden="false" customHeight="false" outlineLevel="0" collapsed="false">
      <c r="A37" s="8" t="s">
        <v>225</v>
      </c>
      <c r="B37" s="8" t="s">
        <v>226</v>
      </c>
      <c r="C37" s="8" t="s">
        <v>209</v>
      </c>
      <c r="D37" s="8" t="s">
        <v>210</v>
      </c>
      <c r="E37" s="8" t="s">
        <v>211</v>
      </c>
      <c r="F37" s="8" t="s">
        <v>212</v>
      </c>
      <c r="G37" s="8" t="s">
        <v>213</v>
      </c>
      <c r="H37" s="8" t="s">
        <v>214</v>
      </c>
      <c r="I37" s="8" t="s">
        <v>215</v>
      </c>
      <c r="J37" s="8" t="s">
        <v>216</v>
      </c>
    </row>
    <row r="38" customFormat="false" ht="15" hidden="false" customHeight="false" outlineLevel="0" collapsed="false">
      <c r="A38" s="13" t="n">
        <v>1</v>
      </c>
      <c r="B38" s="21" t="n">
        <f aca="false">INDEX(LINEST($E$11:$E$26,$F$11:$F$26),1,2)</f>
        <v>18.8857143658475</v>
      </c>
      <c r="C38" s="21" t="n">
        <f aca="false">INDEX(LINEST($E$11:$E$26,$F$11:$F$26),1,1)</f>
        <v>24.1914443790606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</row>
    <row r="39" customFormat="false" ht="15" hidden="false" customHeight="false" outlineLevel="0" collapsed="false">
      <c r="A39" s="13" t="n">
        <v>2</v>
      </c>
      <c r="B39" s="21" t="n">
        <f aca="false">INDEX(LINEST($E$11:$E$26,$F$11:$G$26),1,3)</f>
        <v>14.4384958134782</v>
      </c>
      <c r="C39" s="21" t="n">
        <f aca="false">INDEX(LINEST($E$11:$E$26,$F$11:$G$26),1,2)</f>
        <v>24.1914443790606</v>
      </c>
      <c r="D39" s="21" t="n">
        <f aca="false">INDEX(LINEST($E$11:$E$26,$F$11:$G$26),1,1)</f>
        <v>11.7720491092129</v>
      </c>
      <c r="E39" s="21" t="n">
        <v>0</v>
      </c>
      <c r="F39" s="21" t="n">
        <v>0</v>
      </c>
      <c r="G39" s="21" t="n">
        <v>0</v>
      </c>
      <c r="H39" s="21" t="n">
        <v>0</v>
      </c>
      <c r="I39" s="21" t="n">
        <v>0</v>
      </c>
      <c r="J39" s="21" t="n">
        <v>0</v>
      </c>
    </row>
    <row r="40" customFormat="false" ht="15" hidden="false" customHeight="false" outlineLevel="0" collapsed="false">
      <c r="A40" s="13" t="n">
        <v>3</v>
      </c>
      <c r="B40" s="21" t="n">
        <f aca="false">INDEX(LINEST($E$11:$E$26,$F$11:$H$26),1,4)</f>
        <v>14.4384958134782</v>
      </c>
      <c r="C40" s="21" t="n">
        <f aca="false">INDEX(LINEST($E$11:$E$26,$F$11:$H$26),1,3)</f>
        <v>26.392447727613</v>
      </c>
      <c r="D40" s="21" t="n">
        <f aca="false">INDEX(LINEST($E$11:$E$26,$F$11:$H$26),1,2)</f>
        <v>11.7720491092129</v>
      </c>
      <c r="E40" s="21" t="n">
        <f aca="false">INDEX(LINEST($E$11:$E$26,$F$11:$H$26),1,1)</f>
        <v>-3.25378287400974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</row>
    <row r="41" customFormat="false" ht="15" hidden="false" customHeight="false" outlineLevel="0" collapsed="false">
      <c r="A41" s="13" t="n">
        <v>4</v>
      </c>
      <c r="B41" s="21" t="n">
        <f aca="false">INDEX(LINEST($E$11:$E$26,$F$11:$I$26),1,5)</f>
        <v>13.8106335557357</v>
      </c>
      <c r="C41" s="21" t="n">
        <f aca="false">INDEX(LINEST($E$11:$E$26,$F$11:$I$26),1,4)</f>
        <v>26.392447727613</v>
      </c>
      <c r="D41" s="21" t="n">
        <f aca="false">INDEX(LINEST($E$11:$E$26,$F$11:$I$26),1,3)</f>
        <v>17.4166788376675</v>
      </c>
      <c r="E41" s="21" t="n">
        <f aca="false">INDEX(LINEST($E$11:$E$26,$F$11:$I$26),1,2)</f>
        <v>-3.25378287400974</v>
      </c>
      <c r="F41" s="21" t="n">
        <f aca="false">INDEX(LINEST($E$11:$E$26,$F$11:$I$26),1,1)</f>
        <v>-5.88761047835489</v>
      </c>
      <c r="G41" s="21" t="n">
        <v>0</v>
      </c>
      <c r="H41" s="21" t="n">
        <v>0</v>
      </c>
      <c r="I41" s="21" t="n">
        <v>0</v>
      </c>
      <c r="J41" s="21" t="n">
        <v>0</v>
      </c>
    </row>
    <row r="42" customFormat="false" ht="15" hidden="false" customHeight="false" outlineLevel="0" collapsed="false">
      <c r="A42" s="13" t="n">
        <v>5</v>
      </c>
      <c r="B42" s="21" t="n">
        <f aca="false">INDEX(LINEST($E$11:$E$26,$F$11:$J$26),1,6)</f>
        <v>13.8106335557357</v>
      </c>
      <c r="C42" s="21" t="n">
        <f aca="false">INDEX(LINEST($E$11:$E$26,$F$11:$J$26),1,5)</f>
        <v>21.3740853540337</v>
      </c>
      <c r="D42" s="21" t="n">
        <f aca="false">INDEX(LINEST($E$11:$E$26,$F$11:$J$26),1,4)</f>
        <v>17.4166788376675</v>
      </c>
      <c r="E42" s="21" t="n">
        <f aca="false">INDEX(LINEST($E$11:$E$26,$F$11:$J$26),1,3)</f>
        <v>18.0326816424444</v>
      </c>
      <c r="F42" s="21" t="n">
        <f aca="false">INDEX(LINEST($E$11:$E$26,$F$11:$J$26),1,2)</f>
        <v>-5.88761047835488</v>
      </c>
      <c r="G42" s="21" t="n">
        <f aca="false">INDEX(LINEST($E$11:$E$26,$F$11:$J$26),1,1)</f>
        <v>-17.3112813838634</v>
      </c>
      <c r="H42" s="21" t="n">
        <v>0</v>
      </c>
      <c r="I42" s="21" t="n">
        <v>0</v>
      </c>
      <c r="J42" s="21" t="n">
        <v>0</v>
      </c>
    </row>
    <row r="43" customFormat="false" ht="15" hidden="false" customHeight="false" outlineLevel="0" collapsed="false">
      <c r="A43" s="13" t="n">
        <v>6</v>
      </c>
      <c r="B43" s="21" t="n">
        <f aca="false">INDEX(LINEST($E$11:$E$26,$F$11:$K$26),1,7)</f>
        <v>14.1913353864258</v>
      </c>
      <c r="C43" s="21" t="n">
        <f aca="false">INDEX(LINEST($E$11:$E$26,$F$11:$K$26),1,6)</f>
        <v>21.3740853540337</v>
      </c>
      <c r="D43" s="21" t="n">
        <f aca="false">INDEX(LINEST($E$11:$E$26,$F$11:$K$26),1,5)</f>
        <v>10.0023769542788</v>
      </c>
      <c r="E43" s="21" t="n">
        <f aca="false">INDEX(LINEST($E$11:$E$26,$F$11:$K$26),1,4)</f>
        <v>18.0326816424444</v>
      </c>
      <c r="F43" s="21" t="n">
        <f aca="false">INDEX(LINEST($E$11:$E$26,$F$11:$K$26),1,3)</f>
        <v>14.6139854884972</v>
      </c>
      <c r="G43" s="21" t="n">
        <f aca="false">INDEX(LINEST($E$11:$E$26,$F$11:$K$26),1,2)</f>
        <v>-17.3112813838634</v>
      </c>
      <c r="H43" s="21" t="n">
        <f aca="false">INDEX(LINEST($E$11:$E$26,$F$11:$K$26),1,1)</f>
        <v>-13.7697286344529</v>
      </c>
      <c r="I43" s="21" t="n">
        <v>0</v>
      </c>
      <c r="J43" s="21" t="n">
        <v>0</v>
      </c>
    </row>
    <row r="44" customFormat="false" ht="15" hidden="false" customHeight="false" outlineLevel="0" collapsed="false">
      <c r="A44" s="13" t="n">
        <v>7</v>
      </c>
      <c r="B44" s="21" t="n">
        <f aca="false">INDEX(LINEST($E$11:$E$26,$F$11:$L$26),1,8)</f>
        <v>14.1913353864258</v>
      </c>
      <c r="C44" s="21" t="n">
        <f aca="false">INDEX(LINEST($E$11:$E$26,$F$11:$L$26),1,7)</f>
        <v>21.9035650403418</v>
      </c>
      <c r="D44" s="21" t="n">
        <f aca="false">INDEX(LINEST($E$11:$E$26,$F$11:$L$26),1,6)</f>
        <v>10.0023769542788</v>
      </c>
      <c r="E44" s="21" t="n">
        <f aca="false">INDEX(LINEST($E$11:$E$26,$F$11:$L$26),1,5)</f>
        <v>13.5343333017931</v>
      </c>
      <c r="F44" s="21" t="n">
        <f aca="false">INDEX(LINEST($E$11:$E$26,$F$11:$L$26),1,4)</f>
        <v>14.6139854884972</v>
      </c>
      <c r="G44" s="21" t="n">
        <f aca="false">INDEX(LINEST($E$11:$E$26,$F$11:$L$26),1,3)</f>
        <v>-8.03227538913965</v>
      </c>
      <c r="H44" s="21" t="n">
        <f aca="false">INDEX(LINEST($E$11:$E$26,$F$11:$L$26),1,2)</f>
        <v>-13.7697286344529</v>
      </c>
      <c r="I44" s="21" t="n">
        <f aca="false">INDEX(LINEST($E$11:$E$26,$F$11:$L$26),1,1)</f>
        <v>-5.34799852897868</v>
      </c>
      <c r="J44" s="21" t="n">
        <v>0</v>
      </c>
    </row>
    <row r="45" customFormat="false" ht="15" hidden="false" customHeight="false" outlineLevel="0" collapsed="false">
      <c r="A45" s="13" t="n">
        <v>8</v>
      </c>
      <c r="B45" s="21" t="n">
        <f aca="false">INDEX(LINEST($E$11:$E$26,$F$11:$M$26),1,9)</f>
        <v>14.2935501757494</v>
      </c>
      <c r="C45" s="21" t="n">
        <f aca="false">INDEX(LINEST($E$11:$E$26,$F$11:$M$26),1,8)</f>
        <v>21.9035650403418</v>
      </c>
      <c r="D45" s="21" t="n">
        <f aca="false">INDEX(LINEST($E$11:$E$26,$F$11:$M$26),1,7)</f>
        <v>6.42840922941622</v>
      </c>
      <c r="E45" s="21" t="n">
        <f aca="false">INDEX(LINEST($E$11:$E$26,$F$11:$M$26),1,6)</f>
        <v>13.5343333017931</v>
      </c>
      <c r="F45" s="21" t="n">
        <f aca="false">INDEX(LINEST($E$11:$E$26,$F$11:$M$26),1,5)</f>
        <v>33.5698417641999</v>
      </c>
      <c r="G45" s="21" t="n">
        <f aca="false">INDEX(LINEST($E$11:$E$26,$F$11:$M$26),1,4)</f>
        <v>-8.03227538913957</v>
      </c>
      <c r="H45" s="21" t="n">
        <f aca="false">INDEX(LINEST($E$11:$E$26,$F$11:$M$26),1,3)</f>
        <v>-45.2137047935885</v>
      </c>
      <c r="I45" s="21" t="n">
        <f aca="false">INDEX(LINEST($E$11:$E$26,$F$11:$M$26),1,2)</f>
        <v>-5.34799852897873</v>
      </c>
      <c r="J45" s="21" t="n">
        <f aca="false">INDEX(LINEST($E$11:$E$26,$F$11:$M$26),1,1)</f>
        <v>15.9920764823814</v>
      </c>
    </row>
    <row r="48" customFormat="false" ht="35.05" hidden="false" customHeight="false" outlineLevel="0" collapsed="false">
      <c r="A48" s="8" t="s">
        <v>227</v>
      </c>
      <c r="B48" s="8" t="s">
        <v>228</v>
      </c>
      <c r="C48" s="8" t="s">
        <v>229</v>
      </c>
      <c r="D48" s="8" t="s">
        <v>230</v>
      </c>
      <c r="E48" s="8" t="s">
        <v>231</v>
      </c>
      <c r="F48" s="8" t="s">
        <v>232</v>
      </c>
    </row>
    <row r="49" customFormat="false" ht="15" hidden="false" customHeight="false" outlineLevel="0" collapsed="false">
      <c r="A49" s="13" t="n">
        <v>1</v>
      </c>
      <c r="B49" s="13" t="n">
        <v>2</v>
      </c>
      <c r="C49" s="16" t="n">
        <f aca="false">SQRT(SUMXMY2(N11:N26,$E$11:$E$26)/$B$7)</f>
        <v>4.34674132305175</v>
      </c>
      <c r="D49" s="16" t="n">
        <f aca="false">SQRT(SUMXMY2(N27:N34,$E$27:$E$34)/$B$8)</f>
        <v>4.6562642704137</v>
      </c>
      <c r="E49" s="17" t="n">
        <f aca="false">N34</f>
        <v>68.8813660825728</v>
      </c>
    </row>
    <row r="50" customFormat="false" ht="15" hidden="false" customHeight="false" outlineLevel="0" collapsed="false">
      <c r="A50" s="13" t="n">
        <v>2</v>
      </c>
      <c r="B50" s="13" t="n">
        <v>3</v>
      </c>
      <c r="C50" s="16" t="n">
        <f aca="false">SQRT(SUMXMY2(O11:O26,$E$11:$E$26)/$B$7)</f>
        <v>1.80502116435083</v>
      </c>
      <c r="D50" s="16" t="n">
        <f aca="false">SQRT(SUMXMY2(O27:O34,$E$27:$E$34)/$B$8)</f>
        <v>31.7780266865202</v>
      </c>
      <c r="E50" s="17" t="n">
        <f aca="false">O34</f>
        <v>114.713877281109</v>
      </c>
      <c r="F50" s="13" t="n">
        <f aca="false">IF(AND(C50&lt;$C$49,D50&gt;$D$49),1,0)</f>
        <v>1</v>
      </c>
    </row>
    <row r="51" customFormat="false" ht="15" hidden="false" customHeight="false" outlineLevel="0" collapsed="false">
      <c r="A51" s="13" t="n">
        <v>3</v>
      </c>
      <c r="B51" s="13" t="n">
        <v>4</v>
      </c>
      <c r="C51" s="16" t="n">
        <f aca="false">SQRT(SUMXMY2(P11:P26,$E$11:$E$26)/$B$7)</f>
        <v>1.70906411070127</v>
      </c>
      <c r="D51" s="16" t="n">
        <f aca="false">SQRT(SUMXMY2(P27:P34,$E$27:$E$34)/$B$8)</f>
        <v>18.4428313698247</v>
      </c>
      <c r="E51" s="17" t="n">
        <f aca="false">P34</f>
        <v>90.5415966163762</v>
      </c>
      <c r="F51" s="13" t="n">
        <f aca="false">IF(AND(C51&lt;$C$49,D51&gt;$D$49),1,0)</f>
        <v>1</v>
      </c>
    </row>
    <row r="52" customFormat="false" ht="15" hidden="false" customHeight="false" outlineLevel="0" collapsed="false">
      <c r="A52" s="13" t="n">
        <v>4</v>
      </c>
      <c r="B52" s="13" t="n">
        <v>5</v>
      </c>
      <c r="C52" s="16" t="n">
        <f aca="false">SQRT(SUMXMY2(Q11:Q26,$E$11:$E$26)/$B$7)</f>
        <v>1.61920121303986</v>
      </c>
      <c r="D52" s="16" t="n">
        <f aca="false">SQRT(SUMXMY2(Q27:Q34,$E$27:$E$34)/$B$8)</f>
        <v>24.7726564310632</v>
      </c>
      <c r="E52" s="17" t="n">
        <f aca="false">Q34</f>
        <v>6.61848786884197</v>
      </c>
      <c r="F52" s="13" t="n">
        <f aca="false">IF(AND(C52&lt;$C$49,D52&gt;$D$49),1,0)</f>
        <v>1</v>
      </c>
    </row>
    <row r="53" customFormat="false" ht="15" hidden="false" customHeight="false" outlineLevel="0" collapsed="false">
      <c r="A53" s="13" t="n">
        <v>5</v>
      </c>
      <c r="B53" s="13" t="n">
        <v>6</v>
      </c>
      <c r="C53" s="16" t="n">
        <f aca="false">SQRT(SUMXMY2(R11:R26,$E$11:$E$26)/$B$7)</f>
        <v>1.396941339539</v>
      </c>
      <c r="D53" s="16" t="n">
        <f aca="false">SQRT(SUMXMY2(R27:R34,$E$27:$E$34)/$B$8)</f>
        <v>248.608013200726</v>
      </c>
      <c r="E53" s="17" t="n">
        <f aca="false">R34</f>
        <v>-468.509534122887</v>
      </c>
      <c r="F53" s="13" t="n">
        <f aca="false">IF(AND(C53&lt;$C$49,D53&gt;$D$49),1,0)</f>
        <v>1</v>
      </c>
    </row>
    <row r="54" customFormat="false" ht="15" hidden="false" customHeight="false" outlineLevel="0" collapsed="false">
      <c r="A54" s="13" t="n">
        <v>6</v>
      </c>
      <c r="B54" s="13" t="n">
        <v>7</v>
      </c>
      <c r="C54" s="16" t="n">
        <f aca="false">SQRT(SUMXMY2(S11:S26,$E$11:$E$26)/$B$7)</f>
        <v>1.3590593692096</v>
      </c>
      <c r="D54" s="16" t="n">
        <f aca="false">SQRT(SUMXMY2(S27:S34,$E$27:$E$34)/$B$8)</f>
        <v>575.077831926759</v>
      </c>
      <c r="E54" s="17" t="n">
        <f aca="false">S34</f>
        <v>-1198.67022295429</v>
      </c>
      <c r="F54" s="13" t="n">
        <f aca="false">IF(AND(C54&lt;$C$49,D54&gt;$D$49),1,0)</f>
        <v>1</v>
      </c>
    </row>
    <row r="55" customFormat="false" ht="15" hidden="false" customHeight="false" outlineLevel="0" collapsed="false">
      <c r="A55" s="13" t="n">
        <v>7</v>
      </c>
      <c r="B55" s="13" t="n">
        <v>8</v>
      </c>
      <c r="C55" s="16" t="n">
        <f aca="false">SQRT(SUMXMY2(T11:T26,$E$11:$E$26)/$B$7)</f>
        <v>1.35771926453323</v>
      </c>
      <c r="D55" s="16" t="n">
        <f aca="false">SQRT(SUMXMY2(T27:T34,$E$27:$E$34)/$B$8)</f>
        <v>810.758582038359</v>
      </c>
      <c r="E55" s="17" t="n">
        <f aca="false">T34</f>
        <v>-1748.61641358</v>
      </c>
      <c r="F55" s="13" t="n">
        <f aca="false">IF(AND(C55&lt;$C$49,D55&gt;$D$49),1,0)</f>
        <v>1</v>
      </c>
    </row>
    <row r="56" customFormat="false" ht="15" hidden="false" customHeight="false" outlineLevel="0" collapsed="false">
      <c r="A56" s="13" t="n">
        <v>8</v>
      </c>
      <c r="B56" s="13" t="n">
        <v>9</v>
      </c>
      <c r="C56" s="16" t="n">
        <f aca="false">SQRT(SUMXMY2(U11:U26,$E$11:$E$26)/$B$7)</f>
        <v>1.35514916521586</v>
      </c>
      <c r="D56" s="16" t="n">
        <f aca="false">SQRT(SUMXMY2(U27:U34,$E$27:$E$34)/$B$8)</f>
        <v>539.66140472567</v>
      </c>
      <c r="E56" s="17" t="n">
        <f aca="false">U34</f>
        <v>1453.97499147721</v>
      </c>
      <c r="F56" s="13" t="n">
        <f aca="false">IF(AND(C56&lt;$C$49,D56&gt;$D$49),1,0)</f>
        <v>1</v>
      </c>
    </row>
    <row r="58" customFormat="false" ht="15" hidden="false" customHeight="false" outlineLevel="0" collapsed="false">
      <c r="A58" s="4" t="s">
        <v>233</v>
      </c>
      <c r="C58" s="13" t="n">
        <f aca="false">SUM(F50:F56)</f>
        <v>7</v>
      </c>
    </row>
    <row r="59" customFormat="false" ht="15" hidden="false" customHeight="false" outlineLevel="0" collapsed="false">
      <c r="A59" s="2" t="s">
        <v>234</v>
      </c>
      <c r="C59" s="12" t="n">
        <v>6</v>
      </c>
    </row>
    <row r="60" customFormat="false" ht="15" hidden="false" customHeight="false" outlineLevel="0" collapsed="false">
      <c r="A60" s="2" t="s">
        <v>235</v>
      </c>
      <c r="C60" s="16" t="n">
        <f aca="false">INDEX(C49:C56,C59)</f>
        <v>1.3590593692096</v>
      </c>
      <c r="D60" s="16" t="n">
        <f aca="false">INDEX(D49:D56,C59)</f>
        <v>575.077831926759</v>
      </c>
    </row>
    <row r="62" customFormat="false" ht="15" hidden="false" customHeight="false" outlineLevel="0" collapsed="false">
      <c r="A62" s="10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237</v>
      </c>
    </row>
    <row r="3" customFormat="false" ht="15" hidden="false" customHeight="false" outlineLevel="0" collapsed="false">
      <c r="A3" s="8" t="s">
        <v>238</v>
      </c>
      <c r="B3" s="8" t="s">
        <v>21</v>
      </c>
    </row>
    <row r="4" customFormat="false" ht="15" hidden="false" customHeight="false" outlineLevel="0" collapsed="false">
      <c r="A4" s="2" t="s">
        <v>239</v>
      </c>
      <c r="B4" s="26" t="n">
        <f aca="false">Declarations!D12</f>
        <v>500</v>
      </c>
    </row>
    <row r="5" customFormat="false" ht="15" hidden="false" customHeight="false" outlineLevel="0" collapsed="false">
      <c r="A5" s="2" t="s">
        <v>240</v>
      </c>
      <c r="B5" s="27" t="n">
        <f aca="false">Declarations!E12</f>
        <v>0.2</v>
      </c>
    </row>
    <row r="6" customFormat="false" ht="15" hidden="false" customHeight="false" outlineLevel="0" collapsed="false">
      <c r="A6" s="2" t="s">
        <v>241</v>
      </c>
      <c r="B6" s="20" t="n">
        <f aca="false">Projection!$D$14</f>
        <v>476</v>
      </c>
    </row>
    <row r="8" customFormat="false" ht="23.85" hidden="false" customHeight="false" outlineLevel="0" collapsed="false">
      <c r="A8" s="8" t="s">
        <v>242</v>
      </c>
      <c r="B8" s="8" t="s">
        <v>243</v>
      </c>
      <c r="C8" s="8" t="s">
        <v>244</v>
      </c>
      <c r="D8" s="8" t="s">
        <v>245</v>
      </c>
    </row>
    <row r="9" customFormat="false" ht="15" hidden="false" customHeight="false" outlineLevel="0" collapsed="false">
      <c r="A9" s="2" t="s">
        <v>246</v>
      </c>
      <c r="B9" s="16" t="n">
        <f aca="false">Rate_r*B4</f>
        <v>476</v>
      </c>
      <c r="C9" s="15" t="n">
        <f aca="false">ABS(B9-$B$6)</f>
        <v>0</v>
      </c>
      <c r="D9" s="15" t="n">
        <f aca="false">(B9-$B$6)^2</f>
        <v>0</v>
      </c>
    </row>
    <row r="10" customFormat="false" ht="15" hidden="false" customHeight="false" outlineLevel="0" collapsed="false">
      <c r="A10" s="2" t="s">
        <v>247</v>
      </c>
      <c r="B10" s="16" t="n">
        <f aca="false">B4*(1-Exit_L+(Exit_L-Exit_S)*B5)</f>
        <v>476</v>
      </c>
      <c r="C10" s="15" t="n">
        <f aca="false">ABS(B10-$B$6)</f>
        <v>0</v>
      </c>
      <c r="D10" s="15" t="n">
        <f aca="false">(B10-$B$6)^2</f>
        <v>0</v>
      </c>
    </row>
    <row r="12" customFormat="false" ht="15" hidden="false" customHeight="false" outlineLevel="0" collapsed="false">
      <c r="A12" s="8" t="s">
        <v>248</v>
      </c>
      <c r="B12" s="8" t="s">
        <v>249</v>
      </c>
      <c r="C12" s="8" t="s">
        <v>250</v>
      </c>
      <c r="D12" s="8" t="s">
        <v>251</v>
      </c>
    </row>
    <row r="13" customFormat="false" ht="15" hidden="false" customHeight="false" outlineLevel="0" collapsed="false">
      <c r="A13" s="12" t="n">
        <v>100</v>
      </c>
      <c r="B13" s="16" t="n">
        <f aca="false">Rate_r*A13</f>
        <v>95.2</v>
      </c>
      <c r="C13" s="16" t="n">
        <f aca="false">A13*(1-Exit_L+(Exit_L-Exit_S)*$B$5)</f>
        <v>95.2</v>
      </c>
      <c r="D13" s="15" t="n">
        <f aca="false">ABS(B13-C13)</f>
        <v>0</v>
      </c>
    </row>
    <row r="14" customFormat="false" ht="15" hidden="false" customHeight="false" outlineLevel="0" collapsed="false">
      <c r="A14" s="12" t="n">
        <v>250</v>
      </c>
      <c r="B14" s="16" t="n">
        <f aca="false">Rate_r*A14</f>
        <v>238</v>
      </c>
      <c r="C14" s="16" t="n">
        <f aca="false">A14*(1-Exit_L+(Exit_L-Exit_S)*$B$5)</f>
        <v>238</v>
      </c>
      <c r="D14" s="15" t="n">
        <f aca="false">ABS(B14-C14)</f>
        <v>0</v>
      </c>
    </row>
    <row r="15" customFormat="false" ht="15" hidden="false" customHeight="false" outlineLevel="0" collapsed="false">
      <c r="A15" s="12" t="n">
        <v>1000</v>
      </c>
      <c r="B15" s="16" t="n">
        <f aca="false">Rate_r*A15</f>
        <v>952</v>
      </c>
      <c r="C15" s="16" t="n">
        <f aca="false">A15*(1-Exit_L+(Exit_L-Exit_S)*$B$5)</f>
        <v>952</v>
      </c>
      <c r="D15" s="15" t="n">
        <f aca="false">ABS(B15-C15)</f>
        <v>0</v>
      </c>
    </row>
    <row r="16" customFormat="false" ht="15" hidden="false" customHeight="false" outlineLevel="0" collapsed="false">
      <c r="A16" s="12" t="n">
        <v>5000</v>
      </c>
      <c r="B16" s="16" t="n">
        <f aca="false">Rate_r*A16</f>
        <v>4760</v>
      </c>
      <c r="C16" s="16" t="n">
        <f aca="false">A16*(1-Exit_L+(Exit_L-Exit_S)*$B$5)</f>
        <v>4760</v>
      </c>
      <c r="D16" s="15" t="n">
        <f aca="false">ABS(B16-C16)</f>
        <v>0</v>
      </c>
    </row>
    <row r="18" customFormat="false" ht="15" hidden="false" customHeight="false" outlineLevel="0" collapsed="false">
      <c r="A18" s="8" t="s">
        <v>252</v>
      </c>
      <c r="B18" s="8" t="s">
        <v>249</v>
      </c>
      <c r="C18" s="8" t="s">
        <v>250</v>
      </c>
      <c r="D18" s="8" t="s">
        <v>251</v>
      </c>
    </row>
    <row r="19" customFormat="false" ht="15" hidden="false" customHeight="false" outlineLevel="0" collapsed="false">
      <c r="A19" s="24" t="n">
        <v>0</v>
      </c>
      <c r="B19" s="17" t="n">
        <f aca="false">Rate_r*500</f>
        <v>476</v>
      </c>
      <c r="C19" s="17" t="n">
        <f aca="false">500*(1-Exit_L+(Exit_L-Exit_S)*A19)</f>
        <v>475</v>
      </c>
      <c r="D19" s="17" t="n">
        <f aca="false">C19-B19</f>
        <v>-1</v>
      </c>
    </row>
    <row r="20" customFormat="false" ht="15" hidden="false" customHeight="false" outlineLevel="0" collapsed="false">
      <c r="A20" s="24" t="n">
        <v>0.1</v>
      </c>
      <c r="B20" s="17" t="n">
        <f aca="false">Rate_r*500</f>
        <v>476</v>
      </c>
      <c r="C20" s="17" t="n">
        <f aca="false">500*(1-Exit_L+(Exit_L-Exit_S)*A20)</f>
        <v>475.5</v>
      </c>
      <c r="D20" s="17" t="n">
        <f aca="false">C20-B20</f>
        <v>-0.5</v>
      </c>
    </row>
    <row r="21" customFormat="false" ht="15" hidden="false" customHeight="false" outlineLevel="0" collapsed="false">
      <c r="A21" s="24" t="n">
        <v>0.2</v>
      </c>
      <c r="B21" s="17" t="n">
        <f aca="false">Rate_r*500</f>
        <v>476</v>
      </c>
      <c r="C21" s="17" t="n">
        <f aca="false">500*(1-Exit_L+(Exit_L-Exit_S)*A21)</f>
        <v>476</v>
      </c>
      <c r="D21" s="17" t="n">
        <f aca="false">C21-B21</f>
        <v>0</v>
      </c>
    </row>
    <row r="22" customFormat="false" ht="15" hidden="false" customHeight="false" outlineLevel="0" collapsed="false">
      <c r="A22" s="24" t="n">
        <v>0.3</v>
      </c>
      <c r="B22" s="17" t="n">
        <f aca="false">Rate_r*500</f>
        <v>476</v>
      </c>
      <c r="C22" s="17" t="n">
        <f aca="false">500*(1-Exit_L+(Exit_L-Exit_S)*A22)</f>
        <v>476.5</v>
      </c>
      <c r="D22" s="17" t="n">
        <f aca="false">C22-B22</f>
        <v>0.5</v>
      </c>
    </row>
    <row r="23" customFormat="false" ht="15" hidden="false" customHeight="false" outlineLevel="0" collapsed="false">
      <c r="A23" s="24" t="n">
        <v>0.4</v>
      </c>
      <c r="B23" s="17" t="n">
        <f aca="false">Rate_r*500</f>
        <v>476</v>
      </c>
      <c r="C23" s="17" t="n">
        <f aca="false">500*(1-Exit_L+(Exit_L-Exit_S)*A23)</f>
        <v>477</v>
      </c>
      <c r="D23" s="17" t="n">
        <f aca="false">C23-B23</f>
        <v>1</v>
      </c>
    </row>
    <row r="24" customFormat="false" ht="15" hidden="false" customHeight="false" outlineLevel="0" collapsed="false">
      <c r="A24" s="24" t="n">
        <v>0.5</v>
      </c>
      <c r="B24" s="17" t="n">
        <f aca="false">Rate_r*500</f>
        <v>476</v>
      </c>
      <c r="C24" s="17" t="n">
        <f aca="false">500*(1-Exit_L+(Exit_L-Exit_S)*A24)</f>
        <v>477.5</v>
      </c>
      <c r="D24" s="17" t="n">
        <f aca="false">C24-B24</f>
        <v>1.5</v>
      </c>
    </row>
    <row r="25" customFormat="false" ht="15" hidden="false" customHeight="false" outlineLevel="0" collapsed="false">
      <c r="A25" s="24" t="n">
        <v>0.6</v>
      </c>
      <c r="B25" s="17" t="n">
        <f aca="false">Rate_r*500</f>
        <v>476</v>
      </c>
      <c r="C25" s="17" t="n">
        <f aca="false">500*(1-Exit_L+(Exit_L-Exit_S)*A25)</f>
        <v>478</v>
      </c>
      <c r="D25" s="17" t="n">
        <f aca="false">C25-B25</f>
        <v>2</v>
      </c>
    </row>
    <row r="26" customFormat="false" ht="15" hidden="false" customHeight="false" outlineLevel="0" collapsed="false">
      <c r="A26" s="24" t="n">
        <v>0.7</v>
      </c>
      <c r="B26" s="17" t="n">
        <f aca="false">Rate_r*500</f>
        <v>476</v>
      </c>
      <c r="C26" s="17" t="n">
        <f aca="false">500*(1-Exit_L+(Exit_L-Exit_S)*A26)</f>
        <v>478.5</v>
      </c>
      <c r="D26" s="17" t="n">
        <f aca="false">C26-B26</f>
        <v>2.5</v>
      </c>
    </row>
    <row r="27" customFormat="false" ht="15" hidden="false" customHeight="false" outlineLevel="0" collapsed="false">
      <c r="A27" s="24" t="n">
        <v>0.8</v>
      </c>
      <c r="B27" s="17" t="n">
        <f aca="false">Rate_r*500</f>
        <v>476</v>
      </c>
      <c r="C27" s="17" t="n">
        <f aca="false">500*(1-Exit_L+(Exit_L-Exit_S)*A27)</f>
        <v>479</v>
      </c>
      <c r="D27" s="17" t="n">
        <f aca="false">C27-B27</f>
        <v>3</v>
      </c>
    </row>
    <row r="28" customFormat="false" ht="15" hidden="false" customHeight="false" outlineLevel="0" collapsed="false">
      <c r="A28" s="24" t="n">
        <v>0.9</v>
      </c>
      <c r="B28" s="17" t="n">
        <f aca="false">Rate_r*500</f>
        <v>476</v>
      </c>
      <c r="C28" s="17" t="n">
        <f aca="false">500*(1-Exit_L+(Exit_L-Exit_S)*A28)</f>
        <v>479.5</v>
      </c>
      <c r="D28" s="17" t="n">
        <f aca="false">C28-B28</f>
        <v>3.5</v>
      </c>
    </row>
    <row r="29" customFormat="false" ht="15" hidden="false" customHeight="false" outlineLevel="0" collapsed="false">
      <c r="A29" s="24" t="n">
        <v>1</v>
      </c>
      <c r="B29" s="17" t="n">
        <f aca="false">Rate_r*500</f>
        <v>476</v>
      </c>
      <c r="C29" s="17" t="n">
        <f aca="false">500*(1-Exit_L+(Exit_L-Exit_S)*A29)</f>
        <v>480</v>
      </c>
      <c r="D29" s="17" t="n">
        <f aca="false">C29-B29</f>
        <v>4</v>
      </c>
    </row>
    <row r="31" customFormat="false" ht="15" hidden="false" customHeight="false" outlineLevel="0" collapsed="false">
      <c r="A31" s="2" t="s">
        <v>253</v>
      </c>
      <c r="B31" s="17" t="n">
        <f aca="false">INDEX(D19:D29,MATCH(0.8,A19:A29,0))</f>
        <v>3</v>
      </c>
    </row>
    <row r="32" customFormat="false" ht="15" hidden="false" customHeight="false" outlineLevel="0" collapsed="false">
      <c r="A32" s="2" t="s">
        <v>254</v>
      </c>
      <c r="B32" s="16" t="n">
        <f aca="false">MAX(MAX(TotalOnly!F6:F11),-MIN(TotalOnly!F6:F11))</f>
        <v>1.07704772198395</v>
      </c>
    </row>
    <row r="33" customFormat="false" ht="15" hidden="false" customHeight="false" outlineLevel="0" collapsed="false">
      <c r="A33" s="2" t="s">
        <v>255</v>
      </c>
      <c r="B33" s="17" t="n">
        <f aca="false">ABS(TotalOnly!E11)</f>
        <v>12.7988858019841</v>
      </c>
    </row>
    <row r="34" customFormat="false" ht="15" hidden="false" customHeight="false" outlineLevel="0" collapsed="false">
      <c r="A34" s="10" t="s">
        <v>256</v>
      </c>
    </row>
    <row r="36" customFormat="false" ht="15" hidden="false" customHeight="false" outlineLevel="0" collapsed="false">
      <c r="A36" s="8" t="s">
        <v>257</v>
      </c>
      <c r="B36" s="8" t="s">
        <v>258</v>
      </c>
      <c r="C36" s="8" t="s">
        <v>259</v>
      </c>
    </row>
    <row r="37" customFormat="false" ht="15" hidden="false" customHeight="false" outlineLevel="0" collapsed="false">
      <c r="A37" s="2" t="s">
        <v>260</v>
      </c>
      <c r="B37" s="2" t="s">
        <v>261</v>
      </c>
      <c r="C37" s="2" t="s">
        <v>262</v>
      </c>
    </row>
    <row r="38" customFormat="false" ht="15" hidden="false" customHeight="false" outlineLevel="0" collapsed="false">
      <c r="A38" s="2" t="s">
        <v>263</v>
      </c>
      <c r="B38" s="2" t="s">
        <v>264</v>
      </c>
      <c r="C38" s="2" t="s">
        <v>265</v>
      </c>
    </row>
    <row r="39" customFormat="false" ht="15" hidden="false" customHeight="false" outlineLevel="0" collapsed="false">
      <c r="A39" s="2" t="s">
        <v>266</v>
      </c>
      <c r="B39" s="2" t="s">
        <v>267</v>
      </c>
      <c r="C39" s="2" t="s">
        <v>265</v>
      </c>
    </row>
    <row r="40" customFormat="false" ht="15" hidden="false" customHeight="false" outlineLevel="0" collapsed="false">
      <c r="A40" s="2" t="s">
        <v>268</v>
      </c>
      <c r="B40" s="2" t="s">
        <v>269</v>
      </c>
      <c r="C40" s="2" t="s">
        <v>265</v>
      </c>
    </row>
    <row r="41" customFormat="false" ht="15" hidden="false" customHeight="false" outlineLevel="0" collapsed="false">
      <c r="A41" s="10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17" min="6" style="0" width="11"/>
  </cols>
  <sheetData>
    <row r="1" customFormat="false" ht="15" hidden="false" customHeight="false" outlineLevel="0" collapsed="false">
      <c r="A1" s="1" t="s">
        <v>271</v>
      </c>
    </row>
    <row r="3" customFormat="false" ht="15" hidden="false" customHeight="false" outlineLevel="0" collapsed="false">
      <c r="A3" s="2" t="s">
        <v>272</v>
      </c>
      <c r="B3" s="22" t="n">
        <f aca="false">Declarations!E12</f>
        <v>0.2</v>
      </c>
    </row>
    <row r="4" customFormat="false" ht="15" hidden="false" customHeight="false" outlineLevel="0" collapsed="false">
      <c r="A4" s="2" t="s">
        <v>273</v>
      </c>
      <c r="B4" s="24" t="n">
        <v>1</v>
      </c>
    </row>
    <row r="5" customFormat="false" ht="15" hidden="false" customHeight="false" outlineLevel="0" collapsed="false">
      <c r="A5" s="2" t="s">
        <v>274</v>
      </c>
      <c r="B5" s="24" t="n">
        <v>5</v>
      </c>
    </row>
    <row r="7" customFormat="false" ht="23.85" hidden="false" customHeight="false" outlineLevel="0" collapsed="false">
      <c r="A7" s="8" t="s">
        <v>91</v>
      </c>
      <c r="B7" s="8" t="s">
        <v>275</v>
      </c>
      <c r="C7" s="8" t="s">
        <v>276</v>
      </c>
      <c r="D7" s="8" t="s">
        <v>277</v>
      </c>
      <c r="E7" s="8" t="s">
        <v>278</v>
      </c>
      <c r="F7" s="8" t="s">
        <v>279</v>
      </c>
      <c r="G7" s="8" t="s">
        <v>280</v>
      </c>
      <c r="H7" s="8" t="s">
        <v>281</v>
      </c>
      <c r="I7" s="8" t="s">
        <v>282</v>
      </c>
    </row>
    <row r="8" customFormat="false" ht="15" hidden="false" customHeight="false" outlineLevel="0" collapsed="false">
      <c r="A8" s="13" t="n">
        <v>0</v>
      </c>
      <c r="B8" s="11" t="n">
        <f aca="false">ABS(ROUND(TotalOnly!F6,9))</f>
        <v>0</v>
      </c>
      <c r="C8" s="11" t="n">
        <f aca="false">100*ABS(Projection!$E$13-$B$3)</f>
        <v>0</v>
      </c>
      <c r="D8" s="11" t="n">
        <f aca="false">ABS(ROUND(TotalOnly!E6,9))</f>
        <v>0</v>
      </c>
      <c r="E8" s="11" t="n">
        <f aca="false">100*ABS(Projection!$I$13-$B$3)</f>
        <v>60</v>
      </c>
      <c r="F8" s="13" t="n">
        <f aca="false">IF(B8&gt;$B$4+0.000000000001,1,0)</f>
        <v>0</v>
      </c>
      <c r="G8" s="13" t="n">
        <f aca="false">IF(C8&gt;$B$5+0.000000000001,1,0)</f>
        <v>0</v>
      </c>
      <c r="H8" s="13" t="n">
        <f aca="false">IF(D8&gt;$B$4+0.000000000001,1,0)</f>
        <v>0</v>
      </c>
      <c r="I8" s="13" t="n">
        <f aca="false">IF(E8&gt;$B$5+0.000000000001,1,0)</f>
        <v>1</v>
      </c>
    </row>
    <row r="9" customFormat="false" ht="15" hidden="false" customHeight="false" outlineLevel="0" collapsed="false">
      <c r="A9" s="13" t="n">
        <v>1</v>
      </c>
      <c r="B9" s="11" t="n">
        <f aca="false">ABS(ROUND(TotalOnly!F7,9))</f>
        <v>0</v>
      </c>
      <c r="C9" s="11" t="n">
        <f aca="false">100*ABS(Projection!$E$14-$B$3)</f>
        <v>2.6890756302521</v>
      </c>
      <c r="D9" s="11" t="n">
        <f aca="false">ABS(ROUND(TotalOnly!E7,9))</f>
        <v>3</v>
      </c>
      <c r="E9" s="11" t="n">
        <f aca="false">100*ABS(Projection!$I$14-$B$3)</f>
        <v>60.7933194154489</v>
      </c>
      <c r="F9" s="13" t="n">
        <f aca="false">IF(B9&gt;$B$4+0.000000000001,1,0)</f>
        <v>0</v>
      </c>
      <c r="G9" s="13" t="n">
        <f aca="false">IF(C9&gt;$B$5+0.000000000001,1,0)</f>
        <v>0</v>
      </c>
      <c r="H9" s="13" t="n">
        <f aca="false">IF(D9&gt;$B$4+0.000000000001,1,0)</f>
        <v>1</v>
      </c>
      <c r="I9" s="13" t="n">
        <f aca="false">IF(E9&gt;$B$5+0.000000000001,1,0)</f>
        <v>1</v>
      </c>
    </row>
    <row r="10" customFormat="false" ht="15" hidden="false" customHeight="false" outlineLevel="0" collapsed="false">
      <c r="A10" s="13" t="n">
        <v>2</v>
      </c>
      <c r="B10" s="11" t="n">
        <f aca="false">ABS(ROUND(TotalOnly!F8,9))</f>
        <v>0.128</v>
      </c>
      <c r="C10" s="11" t="n">
        <f aca="false">100*ABS(Projection!$E$15-$B$3)</f>
        <v>5.30885986586657</v>
      </c>
      <c r="D10" s="11" t="n">
        <f aca="false">ABS(ROUND(TotalOnly!E8,9))</f>
        <v>5.768</v>
      </c>
      <c r="E10" s="11" t="n">
        <f aca="false">100*ABS(Projection!$I$15-$B$3)</f>
        <v>61.5566983352218</v>
      </c>
      <c r="F10" s="13" t="n">
        <f aca="false">IF(B10&gt;$B$4+0.000000000001,1,0)</f>
        <v>0</v>
      </c>
      <c r="G10" s="13" t="n">
        <f aca="false">IF(C10&gt;$B$5+0.000000000001,1,0)</f>
        <v>1</v>
      </c>
      <c r="H10" s="13" t="n">
        <f aca="false">IF(D10&gt;$B$4+0.000000000001,1,0)</f>
        <v>1</v>
      </c>
      <c r="I10" s="13" t="n">
        <f aca="false">IF(E10&gt;$B$5+0.000000000001,1,0)</f>
        <v>1</v>
      </c>
    </row>
    <row r="11" customFormat="false" ht="15" hidden="false" customHeight="false" outlineLevel="0" collapsed="false">
      <c r="A11" s="13" t="n">
        <v>3</v>
      </c>
      <c r="B11" s="11" t="n">
        <f aca="false">ABS(ROUND(TotalOnly!F9,9))</f>
        <v>0.362496</v>
      </c>
      <c r="C11" s="11" t="n">
        <f aca="false">100*ABS(Projection!$E$16-$B$3)</f>
        <v>7.85971569601115</v>
      </c>
      <c r="D11" s="11" t="n">
        <f aca="false">ABS(ROUND(TotalOnly!E9,9))</f>
        <v>8.316096</v>
      </c>
      <c r="E11" s="11" t="n">
        <f aca="false">100*ABS(Projection!$I$16-$B$3)</f>
        <v>62.2911473930494</v>
      </c>
      <c r="F11" s="13" t="n">
        <f aca="false">IF(B11&gt;$B$4+0.000000000001,1,0)</f>
        <v>0</v>
      </c>
      <c r="G11" s="13" t="n">
        <f aca="false">IF(C11&gt;$B$5+0.000000000001,1,0)</f>
        <v>1</v>
      </c>
      <c r="H11" s="13" t="n">
        <f aca="false">IF(D11&gt;$B$4+0.000000000001,1,0)</f>
        <v>1</v>
      </c>
      <c r="I11" s="13" t="n">
        <f aca="false">IF(E11&gt;$B$5+0.000000000001,1,0)</f>
        <v>1</v>
      </c>
    </row>
    <row r="12" customFormat="false" ht="15" hidden="false" customHeight="false" outlineLevel="0" collapsed="false">
      <c r="A12" s="13" t="n">
        <v>4</v>
      </c>
      <c r="B12" s="11" t="n">
        <f aca="false">ABS(ROUND(TotalOnly!F10,9))</f>
        <v>0.684449792</v>
      </c>
      <c r="C12" s="11" t="n">
        <f aca="false">100*ABS(Projection!$E$17-$B$3)</f>
        <v>10.3421087840592</v>
      </c>
      <c r="D12" s="11" t="n">
        <f aca="false">ABS(ROUND(TotalOnly!E10,9))</f>
        <v>10.655969792</v>
      </c>
      <c r="E12" s="11" t="n">
        <f aca="false">100*ABS(Projection!$I$17-$B$3)</f>
        <v>62.9976524948034</v>
      </c>
      <c r="F12" s="13" t="n">
        <f aca="false">IF(B12&gt;$B$4+0.000000000001,1,0)</f>
        <v>0</v>
      </c>
      <c r="G12" s="13" t="n">
        <f aca="false">IF(C12&gt;$B$5+0.000000000001,1,0)</f>
        <v>1</v>
      </c>
      <c r="H12" s="13" t="n">
        <f aca="false">IF(D12&gt;$B$4+0.000000000001,1,0)</f>
        <v>1</v>
      </c>
      <c r="I12" s="13" t="n">
        <f aca="false">IF(E12&gt;$B$5+0.000000000001,1,0)</f>
        <v>1</v>
      </c>
    </row>
    <row r="13" customFormat="false" ht="15" hidden="false" customHeight="false" outlineLevel="0" collapsed="false">
      <c r="A13" s="13" t="n">
        <v>5</v>
      </c>
      <c r="B13" s="11" t="n">
        <f aca="false">ABS(ROUND(TotalOnly!F11,9))</f>
        <v>1.077047722</v>
      </c>
      <c r="C13" s="11" t="n">
        <f aca="false">100*ABS(Projection!$E$18-$B$3)</f>
        <v>12.7566007734407</v>
      </c>
      <c r="D13" s="11" t="n">
        <f aca="false">ABS(ROUND(TotalOnly!E11,9))</f>
        <v>12.798885802</v>
      </c>
      <c r="E13" s="11" t="n">
        <f aca="false">100*ABS(Projection!$I$18-$B$3)</f>
        <v>63.6771746461728</v>
      </c>
      <c r="F13" s="13" t="n">
        <f aca="false">IF(B13&gt;$B$4+0.000000000001,1,0)</f>
        <v>1</v>
      </c>
      <c r="G13" s="13" t="n">
        <f aca="false">IF(C13&gt;$B$5+0.000000000001,1,0)</f>
        <v>1</v>
      </c>
      <c r="H13" s="13" t="n">
        <f aca="false">IF(D13&gt;$B$4+0.000000000001,1,0)</f>
        <v>1</v>
      </c>
      <c r="I13" s="13" t="n">
        <f aca="false">IF(E13&gt;$B$5+0.000000000001,1,0)</f>
        <v>1</v>
      </c>
    </row>
    <row r="15" customFormat="false" ht="15" hidden="false" customHeight="false" outlineLevel="0" collapsed="false">
      <c r="A15" s="8" t="s">
        <v>283</v>
      </c>
      <c r="B15" s="8" t="s">
        <v>40</v>
      </c>
      <c r="C15" s="8" t="s">
        <v>41</v>
      </c>
    </row>
    <row r="16" customFormat="false" ht="15" hidden="false" customHeight="false" outlineLevel="0" collapsed="false">
      <c r="A16" s="2" t="s">
        <v>284</v>
      </c>
      <c r="B16" s="13" t="n">
        <f aca="false">IF(SUM(F8:F13)=0,-1,MATCH(1,F8:F13,0)-1)</f>
        <v>5</v>
      </c>
      <c r="C16" s="13" t="n">
        <f aca="false">IF(SUM(H8:H13)=0,-1,MATCH(1,H8:H13,0)-1)</f>
        <v>1</v>
      </c>
    </row>
    <row r="17" customFormat="false" ht="15" hidden="false" customHeight="false" outlineLevel="0" collapsed="false">
      <c r="A17" s="2" t="s">
        <v>285</v>
      </c>
      <c r="B17" s="13" t="n">
        <f aca="false">IF(SUM(G8:G13)=0,-1,MATCH(1,G8:G13,0)-1)</f>
        <v>2</v>
      </c>
      <c r="C17" s="13" t="n">
        <f aca="false">IF(SUM(I8:I13)=0,-1,MATCH(1,I8:I13,0)-1)</f>
        <v>0</v>
      </c>
    </row>
    <row r="19" customFormat="false" ht="23.85" hidden="false" customHeight="false" outlineLevel="0" collapsed="false">
      <c r="A19" s="8" t="s">
        <v>286</v>
      </c>
      <c r="B19" s="8" t="s">
        <v>287</v>
      </c>
      <c r="C19" s="8" t="s">
        <v>288</v>
      </c>
      <c r="D19" s="8" t="s">
        <v>289</v>
      </c>
      <c r="E19" s="8" t="s">
        <v>290</v>
      </c>
      <c r="F19" s="8" t="s">
        <v>291</v>
      </c>
      <c r="G19" s="8" t="s">
        <v>292</v>
      </c>
      <c r="H19" s="8" t="s">
        <v>293</v>
      </c>
      <c r="I19" s="8" t="s">
        <v>294</v>
      </c>
      <c r="J19" s="8" t="s">
        <v>295</v>
      </c>
      <c r="K19" s="8" t="s">
        <v>296</v>
      </c>
      <c r="L19" s="8" t="s">
        <v>297</v>
      </c>
      <c r="M19" s="8" t="s">
        <v>298</v>
      </c>
      <c r="N19" s="8" t="s">
        <v>299</v>
      </c>
      <c r="O19" s="8" t="s">
        <v>300</v>
      </c>
      <c r="P19" s="8" t="s">
        <v>301</v>
      </c>
      <c r="Q19" s="8" t="s">
        <v>302</v>
      </c>
    </row>
    <row r="20" customFormat="false" ht="15" hidden="false" customHeight="false" outlineLevel="0" collapsed="false">
      <c r="A20" s="2" t="s">
        <v>303</v>
      </c>
      <c r="B20" s="5" t="s">
        <v>304</v>
      </c>
      <c r="C20" s="24" t="n">
        <v>1</v>
      </c>
      <c r="D20" s="13" t="n">
        <f aca="false">IF(SUM(F20:K20)=0,-1,MATCH(1,F20:K20,0)-1)</f>
        <v>5</v>
      </c>
      <c r="E20" s="13" t="n">
        <f aca="false">IF(SUM(L20:Q20)=0,-1,MATCH(1,L20:Q20,0)-1)</f>
        <v>1</v>
      </c>
      <c r="F20" s="13" t="n">
        <f aca="false">IF(IF($B20="error",B8,C8)&gt;$C20+0.000000000001,1,0)</f>
        <v>0</v>
      </c>
      <c r="G20" s="13" t="n">
        <f aca="false">IF(IF($B20="error",B9,C9)&gt;$C20+0.000000000001,1,0)</f>
        <v>0</v>
      </c>
      <c r="H20" s="13" t="n">
        <f aca="false">IF(IF($B20="error",B10,C10)&gt;$C20+0.000000000001,1,0)</f>
        <v>0</v>
      </c>
      <c r="I20" s="13" t="n">
        <f aca="false">IF(IF($B20="error",B11,C11)&gt;$C20+0.000000000001,1,0)</f>
        <v>0</v>
      </c>
      <c r="J20" s="13" t="n">
        <f aca="false">IF(IF($B20="error",B12,C12)&gt;$C20+0.000000000001,1,0)</f>
        <v>0</v>
      </c>
      <c r="K20" s="13" t="n">
        <f aca="false">IF(IF($B20="error",B13,C13)&gt;$C20+0.000000000001,1,0)</f>
        <v>1</v>
      </c>
      <c r="L20" s="13" t="n">
        <f aca="false">IF(IF($B20="error",D8,E8)&gt;$C20+0.000000000001,1,0)</f>
        <v>0</v>
      </c>
      <c r="M20" s="13" t="n">
        <f aca="false">IF(IF($B20="error",D9,E9)&gt;$C20+0.000000000001,1,0)</f>
        <v>1</v>
      </c>
      <c r="N20" s="13" t="n">
        <f aca="false">IF(IF($B20="error",D10,E10)&gt;$C20+0.000000000001,1,0)</f>
        <v>1</v>
      </c>
      <c r="O20" s="13" t="n">
        <f aca="false">IF(IF($B20="error",D11,E11)&gt;$C20+0.000000000001,1,0)</f>
        <v>1</v>
      </c>
      <c r="P20" s="13" t="n">
        <f aca="false">IF(IF($B20="error",D12,E12)&gt;$C20+0.000000000001,1,0)</f>
        <v>1</v>
      </c>
      <c r="Q20" s="13" t="n">
        <f aca="false">IF(IF($B20="error",D13,E13)&gt;$C20+0.000000000001,1,0)</f>
        <v>1</v>
      </c>
    </row>
    <row r="21" customFormat="false" ht="15" hidden="false" customHeight="false" outlineLevel="0" collapsed="false">
      <c r="A21" s="2" t="s">
        <v>303</v>
      </c>
      <c r="B21" s="5" t="s">
        <v>304</v>
      </c>
      <c r="C21" s="24" t="n">
        <v>2.5</v>
      </c>
      <c r="D21" s="13" t="n">
        <f aca="false">IF(SUM(F21:K21)=0,-1,MATCH(1,F21:K21,0)-1)</f>
        <v>-1</v>
      </c>
      <c r="E21" s="13" t="n">
        <f aca="false">IF(SUM(L21:Q21)=0,-1,MATCH(1,L21:Q21,0)-1)</f>
        <v>1</v>
      </c>
      <c r="F21" s="13" t="n">
        <f aca="false">IF(IF($B21="error",B8,C8)&gt;$C21+0.000000000001,1,0)</f>
        <v>0</v>
      </c>
      <c r="G21" s="13" t="n">
        <f aca="false">IF(IF($B21="error",B9,C9)&gt;$C21+0.000000000001,1,0)</f>
        <v>0</v>
      </c>
      <c r="H21" s="13" t="n">
        <f aca="false">IF(IF($B21="error",B10,C10)&gt;$C21+0.000000000001,1,0)</f>
        <v>0</v>
      </c>
      <c r="I21" s="13" t="n">
        <f aca="false">IF(IF($B21="error",B11,C11)&gt;$C21+0.000000000001,1,0)</f>
        <v>0</v>
      </c>
      <c r="J21" s="13" t="n">
        <f aca="false">IF(IF($B21="error",B12,C12)&gt;$C21+0.000000000001,1,0)</f>
        <v>0</v>
      </c>
      <c r="K21" s="13" t="n">
        <f aca="false">IF(IF($B21="error",B13,C13)&gt;$C21+0.000000000001,1,0)</f>
        <v>0</v>
      </c>
      <c r="L21" s="13" t="n">
        <f aca="false">IF(IF($B21="error",D8,E8)&gt;$C21+0.000000000001,1,0)</f>
        <v>0</v>
      </c>
      <c r="M21" s="13" t="n">
        <f aca="false">IF(IF($B21="error",D9,E9)&gt;$C21+0.000000000001,1,0)</f>
        <v>1</v>
      </c>
      <c r="N21" s="13" t="n">
        <f aca="false">IF(IF($B21="error",D10,E10)&gt;$C21+0.000000000001,1,0)</f>
        <v>1</v>
      </c>
      <c r="O21" s="13" t="n">
        <f aca="false">IF(IF($B21="error",D11,E11)&gt;$C21+0.000000000001,1,0)</f>
        <v>1</v>
      </c>
      <c r="P21" s="13" t="n">
        <f aca="false">IF(IF($B21="error",D12,E12)&gt;$C21+0.000000000001,1,0)</f>
        <v>1</v>
      </c>
      <c r="Q21" s="13" t="n">
        <f aca="false">IF(IF($B21="error",D13,E13)&gt;$C21+0.000000000001,1,0)</f>
        <v>1</v>
      </c>
    </row>
    <row r="22" customFormat="false" ht="15" hidden="false" customHeight="false" outlineLevel="0" collapsed="false">
      <c r="A22" s="2" t="s">
        <v>303</v>
      </c>
      <c r="B22" s="5" t="s">
        <v>304</v>
      </c>
      <c r="C22" s="24" t="n">
        <v>5</v>
      </c>
      <c r="D22" s="13" t="n">
        <f aca="false">IF(SUM(F22:K22)=0,-1,MATCH(1,F22:K22,0)-1)</f>
        <v>-1</v>
      </c>
      <c r="E22" s="13" t="n">
        <f aca="false">IF(SUM(L22:Q22)=0,-1,MATCH(1,L22:Q22,0)-1)</f>
        <v>2</v>
      </c>
      <c r="F22" s="13" t="n">
        <f aca="false">IF(IF($B22="error",B8,C8)&gt;$C22+0.000000000001,1,0)</f>
        <v>0</v>
      </c>
      <c r="G22" s="13" t="n">
        <f aca="false">IF(IF($B22="error",B9,C9)&gt;$C22+0.000000000001,1,0)</f>
        <v>0</v>
      </c>
      <c r="H22" s="13" t="n">
        <f aca="false">IF(IF($B22="error",B10,C10)&gt;$C22+0.000000000001,1,0)</f>
        <v>0</v>
      </c>
      <c r="I22" s="13" t="n">
        <f aca="false">IF(IF($B22="error",B11,C11)&gt;$C22+0.000000000001,1,0)</f>
        <v>0</v>
      </c>
      <c r="J22" s="13" t="n">
        <f aca="false">IF(IF($B22="error",B12,C12)&gt;$C22+0.000000000001,1,0)</f>
        <v>0</v>
      </c>
      <c r="K22" s="13" t="n">
        <f aca="false">IF(IF($B22="error",B13,C13)&gt;$C22+0.000000000001,1,0)</f>
        <v>0</v>
      </c>
      <c r="L22" s="13" t="n">
        <f aca="false">IF(IF($B22="error",D8,E8)&gt;$C22+0.000000000001,1,0)</f>
        <v>0</v>
      </c>
      <c r="M22" s="13" t="n">
        <f aca="false">IF(IF($B22="error",D9,E9)&gt;$C22+0.000000000001,1,0)</f>
        <v>0</v>
      </c>
      <c r="N22" s="13" t="n">
        <f aca="false">IF(IF($B22="error",D10,E10)&gt;$C22+0.000000000001,1,0)</f>
        <v>1</v>
      </c>
      <c r="O22" s="13" t="n">
        <f aca="false">IF(IF($B22="error",D11,E11)&gt;$C22+0.000000000001,1,0)</f>
        <v>1</v>
      </c>
      <c r="P22" s="13" t="n">
        <f aca="false">IF(IF($B22="error",D12,E12)&gt;$C22+0.000000000001,1,0)</f>
        <v>1</v>
      </c>
      <c r="Q22" s="13" t="n">
        <f aca="false">IF(IF($B22="error",D13,E13)&gt;$C22+0.000000000001,1,0)</f>
        <v>1</v>
      </c>
    </row>
    <row r="23" customFormat="false" ht="15" hidden="false" customHeight="false" outlineLevel="0" collapsed="false">
      <c r="A23" s="2" t="s">
        <v>303</v>
      </c>
      <c r="B23" s="5" t="s">
        <v>304</v>
      </c>
      <c r="C23" s="24" t="n">
        <v>10</v>
      </c>
      <c r="D23" s="13" t="n">
        <f aca="false">IF(SUM(F23:K23)=0,-1,MATCH(1,F23:K23,0)-1)</f>
        <v>-1</v>
      </c>
      <c r="E23" s="13" t="n">
        <f aca="false">IF(SUM(L23:Q23)=0,-1,MATCH(1,L23:Q23,0)-1)</f>
        <v>4</v>
      </c>
      <c r="F23" s="13" t="n">
        <f aca="false">IF(IF($B23="error",B8,C8)&gt;$C23+0.000000000001,1,0)</f>
        <v>0</v>
      </c>
      <c r="G23" s="13" t="n">
        <f aca="false">IF(IF($B23="error",B9,C9)&gt;$C23+0.000000000001,1,0)</f>
        <v>0</v>
      </c>
      <c r="H23" s="13" t="n">
        <f aca="false">IF(IF($B23="error",B10,C10)&gt;$C23+0.000000000001,1,0)</f>
        <v>0</v>
      </c>
      <c r="I23" s="13" t="n">
        <f aca="false">IF(IF($B23="error",B11,C11)&gt;$C23+0.000000000001,1,0)</f>
        <v>0</v>
      </c>
      <c r="J23" s="13" t="n">
        <f aca="false">IF(IF($B23="error",B12,C12)&gt;$C23+0.000000000001,1,0)</f>
        <v>0</v>
      </c>
      <c r="K23" s="13" t="n">
        <f aca="false">IF(IF($B23="error",B13,C13)&gt;$C23+0.000000000001,1,0)</f>
        <v>0</v>
      </c>
      <c r="L23" s="13" t="n">
        <f aca="false">IF(IF($B23="error",D8,E8)&gt;$C23+0.000000000001,1,0)</f>
        <v>0</v>
      </c>
      <c r="M23" s="13" t="n">
        <f aca="false">IF(IF($B23="error",D9,E9)&gt;$C23+0.000000000001,1,0)</f>
        <v>0</v>
      </c>
      <c r="N23" s="13" t="n">
        <f aca="false">IF(IF($B23="error",D10,E10)&gt;$C23+0.000000000001,1,0)</f>
        <v>0</v>
      </c>
      <c r="O23" s="13" t="n">
        <f aca="false">IF(IF($B23="error",D11,E11)&gt;$C23+0.000000000001,1,0)</f>
        <v>0</v>
      </c>
      <c r="P23" s="13" t="n">
        <f aca="false">IF(IF($B23="error",D12,E12)&gt;$C23+0.000000000001,1,0)</f>
        <v>1</v>
      </c>
      <c r="Q23" s="13" t="n">
        <f aca="false">IF(IF($B23="error",D13,E13)&gt;$C23+0.000000000001,1,0)</f>
        <v>1</v>
      </c>
    </row>
    <row r="24" customFormat="false" ht="15" hidden="false" customHeight="false" outlineLevel="0" collapsed="false">
      <c r="A24" s="2" t="s">
        <v>305</v>
      </c>
      <c r="B24" s="5" t="s">
        <v>306</v>
      </c>
      <c r="C24" s="24" t="n">
        <v>2.5</v>
      </c>
      <c r="D24" s="13" t="n">
        <f aca="false">IF(SUM(F24:K24)=0,-1,MATCH(1,F24:K24,0)-1)</f>
        <v>1</v>
      </c>
      <c r="E24" s="13" t="n">
        <f aca="false">IF(SUM(L24:Q24)=0,-1,MATCH(1,L24:Q24,0)-1)</f>
        <v>0</v>
      </c>
      <c r="F24" s="13" t="n">
        <f aca="false">IF(IF($B24="error",B8,C8)&gt;$C24+0.000000000001,1,0)</f>
        <v>0</v>
      </c>
      <c r="G24" s="13" t="n">
        <f aca="false">IF(IF($B24="error",B9,C9)&gt;$C24+0.000000000001,1,0)</f>
        <v>1</v>
      </c>
      <c r="H24" s="13" t="n">
        <f aca="false">IF(IF($B24="error",B10,C10)&gt;$C24+0.000000000001,1,0)</f>
        <v>1</v>
      </c>
      <c r="I24" s="13" t="n">
        <f aca="false">IF(IF($B24="error",B11,C11)&gt;$C24+0.000000000001,1,0)</f>
        <v>1</v>
      </c>
      <c r="J24" s="13" t="n">
        <f aca="false">IF(IF($B24="error",B12,C12)&gt;$C24+0.000000000001,1,0)</f>
        <v>1</v>
      </c>
      <c r="K24" s="13" t="n">
        <f aca="false">IF(IF($B24="error",B13,C13)&gt;$C24+0.000000000001,1,0)</f>
        <v>1</v>
      </c>
      <c r="L24" s="13" t="n">
        <f aca="false">IF(IF($B24="error",D8,E8)&gt;$C24+0.000000000001,1,0)</f>
        <v>1</v>
      </c>
      <c r="M24" s="13" t="n">
        <f aca="false">IF(IF($B24="error",D9,E9)&gt;$C24+0.000000000001,1,0)</f>
        <v>1</v>
      </c>
      <c r="N24" s="13" t="n">
        <f aca="false">IF(IF($B24="error",D10,E10)&gt;$C24+0.000000000001,1,0)</f>
        <v>1</v>
      </c>
      <c r="O24" s="13" t="n">
        <f aca="false">IF(IF($B24="error",D11,E11)&gt;$C24+0.000000000001,1,0)</f>
        <v>1</v>
      </c>
      <c r="P24" s="13" t="n">
        <f aca="false">IF(IF($B24="error",D12,E12)&gt;$C24+0.000000000001,1,0)</f>
        <v>1</v>
      </c>
      <c r="Q24" s="13" t="n">
        <f aca="false">IF(IF($B24="error",D13,E13)&gt;$C24+0.000000000001,1,0)</f>
        <v>1</v>
      </c>
    </row>
    <row r="25" customFormat="false" ht="15" hidden="false" customHeight="false" outlineLevel="0" collapsed="false">
      <c r="A25" s="2" t="s">
        <v>305</v>
      </c>
      <c r="B25" s="5" t="s">
        <v>306</v>
      </c>
      <c r="C25" s="24" t="n">
        <v>5</v>
      </c>
      <c r="D25" s="13" t="n">
        <f aca="false">IF(SUM(F25:K25)=0,-1,MATCH(1,F25:K25,0)-1)</f>
        <v>2</v>
      </c>
      <c r="E25" s="13" t="n">
        <f aca="false">IF(SUM(L25:Q25)=0,-1,MATCH(1,L25:Q25,0)-1)</f>
        <v>0</v>
      </c>
      <c r="F25" s="13" t="n">
        <f aca="false">IF(IF($B25="error",B8,C8)&gt;$C25+0.000000000001,1,0)</f>
        <v>0</v>
      </c>
      <c r="G25" s="13" t="n">
        <f aca="false">IF(IF($B25="error",B9,C9)&gt;$C25+0.000000000001,1,0)</f>
        <v>0</v>
      </c>
      <c r="H25" s="13" t="n">
        <f aca="false">IF(IF($B25="error",B10,C10)&gt;$C25+0.000000000001,1,0)</f>
        <v>1</v>
      </c>
      <c r="I25" s="13" t="n">
        <f aca="false">IF(IF($B25="error",B11,C11)&gt;$C25+0.000000000001,1,0)</f>
        <v>1</v>
      </c>
      <c r="J25" s="13" t="n">
        <f aca="false">IF(IF($B25="error",B12,C12)&gt;$C25+0.000000000001,1,0)</f>
        <v>1</v>
      </c>
      <c r="K25" s="13" t="n">
        <f aca="false">IF(IF($B25="error",B13,C13)&gt;$C25+0.000000000001,1,0)</f>
        <v>1</v>
      </c>
      <c r="L25" s="13" t="n">
        <f aca="false">IF(IF($B25="error",D8,E8)&gt;$C25+0.000000000001,1,0)</f>
        <v>1</v>
      </c>
      <c r="M25" s="13" t="n">
        <f aca="false">IF(IF($B25="error",D9,E9)&gt;$C25+0.000000000001,1,0)</f>
        <v>1</v>
      </c>
      <c r="N25" s="13" t="n">
        <f aca="false">IF(IF($B25="error",D10,E10)&gt;$C25+0.000000000001,1,0)</f>
        <v>1</v>
      </c>
      <c r="O25" s="13" t="n">
        <f aca="false">IF(IF($B25="error",D11,E11)&gt;$C25+0.000000000001,1,0)</f>
        <v>1</v>
      </c>
      <c r="P25" s="13" t="n">
        <f aca="false">IF(IF($B25="error",D12,E12)&gt;$C25+0.000000000001,1,0)</f>
        <v>1</v>
      </c>
      <c r="Q25" s="13" t="n">
        <f aca="false">IF(IF($B25="error",D13,E13)&gt;$C25+0.000000000001,1,0)</f>
        <v>1</v>
      </c>
    </row>
    <row r="26" customFormat="false" ht="15" hidden="false" customHeight="false" outlineLevel="0" collapsed="false">
      <c r="A26" s="2" t="s">
        <v>305</v>
      </c>
      <c r="B26" s="5" t="s">
        <v>306</v>
      </c>
      <c r="C26" s="24" t="n">
        <v>10</v>
      </c>
      <c r="D26" s="13" t="n">
        <f aca="false">IF(SUM(F26:K26)=0,-1,MATCH(1,F26:K26,0)-1)</f>
        <v>4</v>
      </c>
      <c r="E26" s="13" t="n">
        <f aca="false">IF(SUM(L26:Q26)=0,-1,MATCH(1,L26:Q26,0)-1)</f>
        <v>0</v>
      </c>
      <c r="F26" s="13" t="n">
        <f aca="false">IF(IF($B26="error",B8,C8)&gt;$C26+0.000000000001,1,0)</f>
        <v>0</v>
      </c>
      <c r="G26" s="13" t="n">
        <f aca="false">IF(IF($B26="error",B9,C9)&gt;$C26+0.000000000001,1,0)</f>
        <v>0</v>
      </c>
      <c r="H26" s="13" t="n">
        <f aca="false">IF(IF($B26="error",B10,C10)&gt;$C26+0.000000000001,1,0)</f>
        <v>0</v>
      </c>
      <c r="I26" s="13" t="n">
        <f aca="false">IF(IF($B26="error",B11,C11)&gt;$C26+0.000000000001,1,0)</f>
        <v>0</v>
      </c>
      <c r="J26" s="13" t="n">
        <f aca="false">IF(IF($B26="error",B12,C12)&gt;$C26+0.000000000001,1,0)</f>
        <v>1</v>
      </c>
      <c r="K26" s="13" t="n">
        <f aca="false">IF(IF($B26="error",B13,C13)&gt;$C26+0.000000000001,1,0)</f>
        <v>1</v>
      </c>
      <c r="L26" s="13" t="n">
        <f aca="false">IF(IF($B26="error",D8,E8)&gt;$C26+0.000000000001,1,0)</f>
        <v>1</v>
      </c>
      <c r="M26" s="13" t="n">
        <f aca="false">IF(IF($B26="error",D9,E9)&gt;$C26+0.000000000001,1,0)</f>
        <v>1</v>
      </c>
      <c r="N26" s="13" t="n">
        <f aca="false">IF(IF($B26="error",D10,E10)&gt;$C26+0.000000000001,1,0)</f>
        <v>1</v>
      </c>
      <c r="O26" s="13" t="n">
        <f aca="false">IF(IF($B26="error",D11,E11)&gt;$C26+0.000000000001,1,0)</f>
        <v>1</v>
      </c>
      <c r="P26" s="13" t="n">
        <f aca="false">IF(IF($B26="error",D12,E12)&gt;$C26+0.000000000001,1,0)</f>
        <v>1</v>
      </c>
      <c r="Q26" s="13" t="n">
        <f aca="false">IF(IF($B26="error",D13,E13)&gt;$C26+0.000000000001,1,0)</f>
        <v>1</v>
      </c>
    </row>
    <row r="28" customFormat="false" ht="15" hidden="false" customHeight="false" outlineLevel="0" collapsed="false">
      <c r="A28" s="1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0"/>
    <col collapsed="false" customWidth="true" hidden="false" outlineLevel="0" max="3" min="3" style="0" width="52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308</v>
      </c>
    </row>
    <row r="3" customFormat="false" ht="15" hidden="false" customHeight="false" outlineLevel="0" collapsed="false">
      <c r="A3" s="8" t="s">
        <v>309</v>
      </c>
      <c r="B3" s="8" t="s">
        <v>310</v>
      </c>
    </row>
    <row r="4" customFormat="false" ht="15" hidden="false" customHeight="false" outlineLevel="0" collapsed="false">
      <c r="A4" s="2" t="s">
        <v>311</v>
      </c>
      <c r="B4" s="2" t="s">
        <v>312</v>
      </c>
    </row>
    <row r="5" customFormat="false" ht="15" hidden="false" customHeight="false" outlineLevel="0" collapsed="false">
      <c r="A5" s="2" t="s">
        <v>313</v>
      </c>
      <c r="B5" s="2" t="s">
        <v>314</v>
      </c>
    </row>
    <row r="6" customFormat="false" ht="15" hidden="false" customHeight="false" outlineLevel="0" collapsed="false">
      <c r="A6" s="2" t="s">
        <v>315</v>
      </c>
      <c r="B6" s="2" t="s">
        <v>316</v>
      </c>
    </row>
    <row r="7" customFormat="false" ht="15" hidden="false" customHeight="false" outlineLevel="0" collapsed="false">
      <c r="A7" s="2" t="s">
        <v>317</v>
      </c>
      <c r="B7" s="2" t="s">
        <v>316</v>
      </c>
    </row>
    <row r="8" customFormat="false" ht="15" hidden="false" customHeight="false" outlineLevel="0" collapsed="false">
      <c r="A8" s="2" t="s">
        <v>318</v>
      </c>
      <c r="B8" s="2" t="s">
        <v>316</v>
      </c>
    </row>
    <row r="9" customFormat="false" ht="15" hidden="false" customHeight="false" outlineLevel="0" collapsed="false">
      <c r="A9" s="2" t="s">
        <v>319</v>
      </c>
      <c r="B9" s="2" t="s">
        <v>320</v>
      </c>
    </row>
    <row r="10" customFormat="false" ht="15" hidden="false" customHeight="false" outlineLevel="0" collapsed="false">
      <c r="A10" s="2" t="s">
        <v>321</v>
      </c>
      <c r="B10" s="2" t="s">
        <v>316</v>
      </c>
    </row>
    <row r="11" customFormat="false" ht="15" hidden="false" customHeight="false" outlineLevel="0" collapsed="false">
      <c r="A11" s="2" t="s">
        <v>322</v>
      </c>
      <c r="B11" s="2" t="s">
        <v>320</v>
      </c>
    </row>
    <row r="12" customFormat="false" ht="15" hidden="false" customHeight="false" outlineLevel="0" collapsed="false">
      <c r="A12" s="4" t="s">
        <v>323</v>
      </c>
      <c r="B12" s="13" t="n">
        <f aca="false">COUNTA(A4:A11)</f>
        <v>8</v>
      </c>
    </row>
    <row r="13" customFormat="false" ht="15" hidden="false" customHeight="false" outlineLevel="0" collapsed="false">
      <c r="A13" s="10" t="s">
        <v>324</v>
      </c>
    </row>
    <row r="15" customFormat="false" ht="15" hidden="false" customHeight="false" outlineLevel="0" collapsed="false">
      <c r="A15" s="8" t="s">
        <v>325</v>
      </c>
      <c r="B15" s="8" t="s">
        <v>326</v>
      </c>
      <c r="C15" s="8" t="s">
        <v>327</v>
      </c>
    </row>
    <row r="16" customFormat="false" ht="15" hidden="false" customHeight="false" outlineLevel="0" collapsed="false">
      <c r="A16" s="2" t="s">
        <v>328</v>
      </c>
      <c r="B16" s="2" t="s">
        <v>329</v>
      </c>
      <c r="C16" s="2" t="s">
        <v>330</v>
      </c>
    </row>
    <row r="17" customFormat="false" ht="15" hidden="false" customHeight="false" outlineLevel="0" collapsed="false">
      <c r="A17" s="2" t="s">
        <v>331</v>
      </c>
      <c r="B17" s="2" t="s">
        <v>332</v>
      </c>
      <c r="C17" s="2" t="s">
        <v>333</v>
      </c>
    </row>
    <row r="18" customFormat="false" ht="15" hidden="false" customHeight="false" outlineLevel="0" collapsed="false">
      <c r="A18" s="2" t="s">
        <v>334</v>
      </c>
      <c r="B18" s="2" t="s">
        <v>335</v>
      </c>
      <c r="C18" s="2" t="s">
        <v>336</v>
      </c>
    </row>
    <row r="19" customFormat="false" ht="15" hidden="false" customHeight="false" outlineLevel="0" collapsed="false">
      <c r="A19" s="2" t="s">
        <v>337</v>
      </c>
      <c r="B19" s="2" t="s">
        <v>338</v>
      </c>
      <c r="C19" s="2" t="s">
        <v>339</v>
      </c>
    </row>
    <row r="20" customFormat="false" ht="15" hidden="false" customHeight="false" outlineLevel="0" collapsed="false">
      <c r="A20" s="2" t="s">
        <v>340</v>
      </c>
      <c r="B20" s="2" t="s">
        <v>341</v>
      </c>
      <c r="C20" s="2" t="s">
        <v>342</v>
      </c>
    </row>
    <row r="21" customFormat="false" ht="15" hidden="false" customHeight="false" outlineLevel="0" collapsed="false">
      <c r="A21" s="4" t="s">
        <v>343</v>
      </c>
      <c r="B21" s="13" t="n">
        <f aca="false">COUNTA(A16:A20)</f>
        <v>5</v>
      </c>
    </row>
    <row r="23" customFormat="false" ht="15" hidden="false" customHeight="false" outlineLevel="0" collapsed="false">
      <c r="A23" s="8" t="s">
        <v>344</v>
      </c>
      <c r="B23" s="8" t="s">
        <v>345</v>
      </c>
    </row>
    <row r="24" customFormat="false" ht="15" hidden="false" customHeight="false" outlineLevel="0" collapsed="false">
      <c r="A24" s="2" t="s">
        <v>346</v>
      </c>
      <c r="B24" s="2" t="s">
        <v>347</v>
      </c>
    </row>
    <row r="25" customFormat="false" ht="15" hidden="false" customHeight="false" outlineLevel="0" collapsed="false">
      <c r="A25" s="2" t="s">
        <v>348</v>
      </c>
      <c r="B25" s="2" t="s">
        <v>260</v>
      </c>
    </row>
    <row r="26" customFormat="false" ht="15" hidden="false" customHeight="false" outlineLevel="0" collapsed="false">
      <c r="A26" s="2" t="s">
        <v>349</v>
      </c>
      <c r="B26" s="2" t="s">
        <v>350</v>
      </c>
    </row>
    <row r="27" customFormat="false" ht="15" hidden="false" customHeight="false" outlineLevel="0" collapsed="false">
      <c r="A27" s="2" t="s">
        <v>351</v>
      </c>
      <c r="B27" s="2" t="s">
        <v>352</v>
      </c>
    </row>
    <row r="29" customFormat="false" ht="15" hidden="false" customHeight="false" outlineLevel="0" collapsed="false">
      <c r="A29" s="8" t="s">
        <v>353</v>
      </c>
      <c r="B29" s="8" t="s">
        <v>354</v>
      </c>
    </row>
    <row r="30" customFormat="false" ht="15" hidden="false" customHeight="false" outlineLevel="0" collapsed="false">
      <c r="A30" s="13" t="n">
        <v>1</v>
      </c>
      <c r="B30" s="2" t="s">
        <v>355</v>
      </c>
    </row>
    <row r="31" customFormat="false" ht="15" hidden="false" customHeight="false" outlineLevel="0" collapsed="false">
      <c r="A31" s="13" t="n">
        <v>2</v>
      </c>
      <c r="B31" s="2" t="s">
        <v>356</v>
      </c>
    </row>
    <row r="32" customFormat="false" ht="15" hidden="false" customHeight="false" outlineLevel="0" collapsed="false">
      <c r="A32" s="13" t="n">
        <v>3</v>
      </c>
      <c r="B32" s="2" t="s">
        <v>357</v>
      </c>
    </row>
    <row r="33" customFormat="false" ht="15" hidden="false" customHeight="false" outlineLevel="0" collapsed="false">
      <c r="A33" s="13" t="n">
        <v>4</v>
      </c>
      <c r="B33" s="2" t="s">
        <v>358</v>
      </c>
    </row>
    <row r="34" customFormat="false" ht="15" hidden="false" customHeight="false" outlineLevel="0" collapsed="false">
      <c r="A34" s="13" t="n">
        <v>5</v>
      </c>
      <c r="B34" s="2" t="s">
        <v>359</v>
      </c>
    </row>
    <row r="35" customFormat="false" ht="15" hidden="false" customHeight="false" outlineLevel="0" collapsed="false">
      <c r="A35" s="13" t="n">
        <v>6</v>
      </c>
      <c r="B35" s="2" t="s">
        <v>360</v>
      </c>
    </row>
    <row r="36" customFormat="false" ht="15" hidden="false" customHeight="false" outlineLevel="0" collapsed="false">
      <c r="A36" s="13" t="n">
        <v>7</v>
      </c>
      <c r="B36" s="2" t="s">
        <v>361</v>
      </c>
    </row>
    <row r="37" customFormat="false" ht="15" hidden="false" customHeight="false" outlineLevel="0" collapsed="false">
      <c r="A37" s="4" t="s">
        <v>362</v>
      </c>
      <c r="B37" s="13" t="n">
        <f aca="false">COUNTA(B30:B36)</f>
        <v>7</v>
      </c>
    </row>
    <row r="38" customFormat="false" ht="15" hidden="false" customHeight="false" outlineLevel="0" collapsed="false">
      <c r="A38" s="10" t="s">
        <v>363</v>
      </c>
    </row>
    <row r="40" customFormat="false" ht="15" hidden="false" customHeight="false" outlineLevel="0" collapsed="false">
      <c r="A40" s="8" t="s">
        <v>364</v>
      </c>
      <c r="B40" s="8" t="s">
        <v>365</v>
      </c>
    </row>
    <row r="41" customFormat="false" ht="15" hidden="false" customHeight="false" outlineLevel="0" collapsed="false">
      <c r="A41" s="2" t="s">
        <v>366</v>
      </c>
      <c r="B41" s="2" t="s">
        <v>367</v>
      </c>
    </row>
    <row r="42" customFormat="false" ht="15" hidden="false" customHeight="false" outlineLevel="0" collapsed="false">
      <c r="A42" s="2" t="s">
        <v>368</v>
      </c>
      <c r="B42" s="2" t="s">
        <v>367</v>
      </c>
    </row>
    <row r="43" customFormat="false" ht="15" hidden="false" customHeight="false" outlineLevel="0" collapsed="false">
      <c r="A43" s="2" t="s">
        <v>369</v>
      </c>
      <c r="B43" s="2" t="s">
        <v>367</v>
      </c>
    </row>
    <row r="44" customFormat="false" ht="15" hidden="false" customHeight="false" outlineLevel="0" collapsed="false">
      <c r="A44" s="2" t="s">
        <v>370</v>
      </c>
      <c r="B44" s="2" t="s">
        <v>367</v>
      </c>
    </row>
    <row r="45" customFormat="false" ht="15" hidden="false" customHeight="false" outlineLevel="0" collapsed="false">
      <c r="A45" s="4" t="s">
        <v>371</v>
      </c>
      <c r="B45" s="13" t="n">
        <f aca="false">COUNTA(A41:A44)</f>
        <v>4</v>
      </c>
    </row>
    <row r="47" customFormat="false" ht="15" hidden="false" customHeight="false" outlineLevel="0" collapsed="false">
      <c r="A47" s="8" t="s">
        <v>372</v>
      </c>
      <c r="B47" s="8" t="s">
        <v>373</v>
      </c>
      <c r="C47" s="8" t="s">
        <v>374</v>
      </c>
      <c r="D47" s="8" t="s">
        <v>375</v>
      </c>
    </row>
    <row r="48" customFormat="false" ht="15" hidden="false" customHeight="false" outlineLevel="0" collapsed="false">
      <c r="A48" s="2" t="s">
        <v>376</v>
      </c>
      <c r="B48" s="2" t="s">
        <v>377</v>
      </c>
      <c r="C48" s="2" t="s">
        <v>378</v>
      </c>
      <c r="D48" s="2" t="s">
        <v>379</v>
      </c>
    </row>
    <row r="49" customFormat="false" ht="15" hidden="false" customHeight="false" outlineLevel="0" collapsed="false">
      <c r="A49" s="2" t="s">
        <v>380</v>
      </c>
      <c r="B49" s="2" t="s">
        <v>381</v>
      </c>
      <c r="C49" s="2" t="s">
        <v>382</v>
      </c>
      <c r="D49" s="2" t="s">
        <v>383</v>
      </c>
    </row>
    <row r="50" customFormat="false" ht="15" hidden="false" customHeight="false" outlineLevel="0" collapsed="false">
      <c r="A50" s="2" t="s">
        <v>384</v>
      </c>
      <c r="B50" s="2" t="s">
        <v>385</v>
      </c>
      <c r="C50" s="2" t="s">
        <v>386</v>
      </c>
      <c r="D50" s="2" t="s">
        <v>387</v>
      </c>
    </row>
    <row r="51" customFormat="false" ht="15" hidden="false" customHeight="false" outlineLevel="0" collapsed="false">
      <c r="A51" s="2" t="s">
        <v>388</v>
      </c>
      <c r="B51" s="2" t="s">
        <v>389</v>
      </c>
      <c r="C51" s="2" t="s">
        <v>390</v>
      </c>
      <c r="D51" s="2" t="s">
        <v>391</v>
      </c>
    </row>
    <row r="52" customFormat="false" ht="15" hidden="false" customHeight="false" outlineLevel="0" collapsed="false">
      <c r="A52" s="4" t="s">
        <v>392</v>
      </c>
      <c r="B52" s="13" t="n">
        <f aca="false">COUNTA(A48:A51)</f>
        <v>4</v>
      </c>
    </row>
    <row r="54" customFormat="false" ht="15" hidden="false" customHeight="false" outlineLevel="0" collapsed="false">
      <c r="A54" s="8" t="s">
        <v>393</v>
      </c>
      <c r="B54" s="8" t="s">
        <v>394</v>
      </c>
    </row>
    <row r="55" customFormat="false" ht="15" hidden="false" customHeight="false" outlineLevel="0" collapsed="false">
      <c r="A55" s="2" t="s">
        <v>395</v>
      </c>
      <c r="B55" s="2" t="s">
        <v>396</v>
      </c>
    </row>
    <row r="56" customFormat="false" ht="15" hidden="false" customHeight="false" outlineLevel="0" collapsed="false">
      <c r="A56" s="2" t="s">
        <v>397</v>
      </c>
      <c r="B56" s="2" t="s">
        <v>398</v>
      </c>
    </row>
    <row r="57" customFormat="false" ht="15" hidden="false" customHeight="false" outlineLevel="0" collapsed="false">
      <c r="A57" s="2" t="s">
        <v>334</v>
      </c>
      <c r="B57" s="2" t="s">
        <v>399</v>
      </c>
    </row>
    <row r="58" customFormat="false" ht="15" hidden="false" customHeight="false" outlineLevel="0" collapsed="false">
      <c r="A58" s="2" t="s">
        <v>400</v>
      </c>
      <c r="B58" s="2" t="s">
        <v>401</v>
      </c>
    </row>
    <row r="59" customFormat="false" ht="15" hidden="false" customHeight="false" outlineLevel="0" collapsed="false">
      <c r="A59" s="4" t="s">
        <v>402</v>
      </c>
      <c r="B59" s="13" t="n">
        <f aca="false">COUNTA(A55:A58)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8" t="s">
        <v>403</v>
      </c>
      <c r="B1" s="8" t="s">
        <v>404</v>
      </c>
      <c r="C1" s="8" t="s">
        <v>405</v>
      </c>
    </row>
    <row r="2" customFormat="false" ht="15" hidden="false" customHeight="false" outlineLevel="0" collapsed="false">
      <c r="A2" s="2" t="s">
        <v>406</v>
      </c>
      <c r="B2" s="28" t="n">
        <v>368</v>
      </c>
      <c r="C2" s="2" t="s">
        <v>407</v>
      </c>
    </row>
    <row r="3" customFormat="false" ht="15" hidden="false" customHeight="false" outlineLevel="0" collapsed="false">
      <c r="A3" s="2" t="s">
        <v>408</v>
      </c>
      <c r="B3" s="28" t="n">
        <v>476</v>
      </c>
      <c r="C3" s="2" t="s">
        <v>409</v>
      </c>
    </row>
    <row r="4" customFormat="false" ht="15" hidden="false" customHeight="false" outlineLevel="0" collapsed="false">
      <c r="A4" s="2" t="s">
        <v>410</v>
      </c>
      <c r="B4" s="28" t="n">
        <v>387</v>
      </c>
      <c r="C4" s="2" t="s">
        <v>411</v>
      </c>
    </row>
    <row r="5" customFormat="false" ht="15" hidden="false" customHeight="false" outlineLevel="0" collapsed="false">
      <c r="A5" s="2" t="s">
        <v>412</v>
      </c>
      <c r="B5" s="28" t="n">
        <v>479</v>
      </c>
      <c r="C5" s="2" t="s">
        <v>413</v>
      </c>
    </row>
    <row r="6" customFormat="false" ht="15" hidden="false" customHeight="false" outlineLevel="0" collapsed="false">
      <c r="A6" s="2" t="s">
        <v>414</v>
      </c>
      <c r="B6" s="28" t="n">
        <v>392.05723136</v>
      </c>
      <c r="C6" s="2" t="s">
        <v>415</v>
      </c>
    </row>
    <row r="7" customFormat="false" ht="15" hidden="false" customHeight="false" outlineLevel="0" collapsed="false">
      <c r="A7" s="2" t="s">
        <v>416</v>
      </c>
      <c r="B7" s="28" t="n">
        <v>403.77906944</v>
      </c>
      <c r="C7" s="2" t="s">
        <v>417</v>
      </c>
    </row>
    <row r="8" customFormat="false" ht="15" hidden="false" customHeight="false" outlineLevel="0" collapsed="false">
      <c r="A8" s="2" t="s">
        <v>418</v>
      </c>
      <c r="B8" s="28" t="n">
        <v>0.952</v>
      </c>
      <c r="C8" s="2" t="s">
        <v>419</v>
      </c>
    </row>
    <row r="9" customFormat="false" ht="15" hidden="false" customHeight="false" outlineLevel="0" collapsed="false">
      <c r="A9" s="2" t="s">
        <v>420</v>
      </c>
      <c r="B9" s="28" t="n">
        <v>390.980183638016</v>
      </c>
      <c r="C9" s="2" t="s">
        <v>421</v>
      </c>
    </row>
    <row r="10" customFormat="false" ht="15" hidden="false" customHeight="false" outlineLevel="0" collapsed="false">
      <c r="A10" s="2" t="s">
        <v>422</v>
      </c>
      <c r="B10" s="28" t="n">
        <v>-3</v>
      </c>
      <c r="C10" s="2" t="s">
        <v>423</v>
      </c>
    </row>
    <row r="11" customFormat="false" ht="15" hidden="false" customHeight="false" outlineLevel="0" collapsed="false">
      <c r="A11" s="2" t="s">
        <v>424</v>
      </c>
      <c r="B11" s="28" t="n">
        <v>-8.31609599999996</v>
      </c>
      <c r="C11" s="2" t="s">
        <v>425</v>
      </c>
    </row>
    <row r="12" customFormat="false" ht="15" hidden="false" customHeight="false" outlineLevel="0" collapsed="false">
      <c r="A12" s="2" t="s">
        <v>426</v>
      </c>
      <c r="B12" s="28" t="n">
        <v>-12.7988858019841</v>
      </c>
      <c r="C12" s="2" t="s">
        <v>427</v>
      </c>
    </row>
    <row r="13" customFormat="false" ht="15" hidden="false" customHeight="false" outlineLevel="0" collapsed="false">
      <c r="A13" s="2" t="s">
        <v>428</v>
      </c>
      <c r="B13" s="28" t="n">
        <v>-1.07704772198395</v>
      </c>
      <c r="C13" s="2" t="s">
        <v>429</v>
      </c>
    </row>
    <row r="14" customFormat="false" ht="15" hidden="false" customHeight="false" outlineLevel="0" collapsed="false">
      <c r="A14" s="2" t="s">
        <v>430</v>
      </c>
      <c r="B14" s="28" t="n">
        <v>3</v>
      </c>
      <c r="C14" s="2" t="s">
        <v>431</v>
      </c>
    </row>
    <row r="15" customFormat="false" ht="15" hidden="false" customHeight="false" outlineLevel="0" collapsed="false">
      <c r="A15" s="2" t="s">
        <v>432</v>
      </c>
      <c r="B15" s="28" t="n">
        <v>13.627477045248</v>
      </c>
      <c r="C15" s="2" t="s">
        <v>433</v>
      </c>
    </row>
    <row r="16" customFormat="false" ht="15" hidden="false" customHeight="false" outlineLevel="0" collapsed="false">
      <c r="A16" s="2" t="s">
        <v>434</v>
      </c>
      <c r="B16" s="28" t="n">
        <v>0</v>
      </c>
      <c r="C16" s="2" t="s">
        <v>435</v>
      </c>
    </row>
    <row r="17" customFormat="false" ht="15" hidden="false" customHeight="false" outlineLevel="0" collapsed="false">
      <c r="A17" s="2" t="s">
        <v>436</v>
      </c>
      <c r="B17" s="28" t="n">
        <v>128.42462208</v>
      </c>
      <c r="C17" s="2" t="s">
        <v>437</v>
      </c>
    </row>
    <row r="18" customFormat="false" ht="15" hidden="false" customHeight="false" outlineLevel="0" collapsed="false">
      <c r="A18" s="2" t="s">
        <v>438</v>
      </c>
      <c r="B18" s="28" t="n">
        <v>337.87091712</v>
      </c>
      <c r="C18" s="2" t="s">
        <v>439</v>
      </c>
    </row>
    <row r="19" customFormat="false" ht="15" hidden="false" customHeight="false" outlineLevel="0" collapsed="false">
      <c r="A19" s="2" t="s">
        <v>440</v>
      </c>
      <c r="B19" s="28" t="n">
        <v>0.95</v>
      </c>
      <c r="C19" s="2" t="s">
        <v>441</v>
      </c>
    </row>
    <row r="20" customFormat="false" ht="15" hidden="false" customHeight="false" outlineLevel="0" collapsed="false">
      <c r="A20" s="2" t="s">
        <v>442</v>
      </c>
      <c r="B20" s="28" t="n">
        <v>0.01</v>
      </c>
      <c r="C20" s="2" t="s">
        <v>443</v>
      </c>
    </row>
    <row r="21" customFormat="false" ht="15" hidden="false" customHeight="false" outlineLevel="0" collapsed="false">
      <c r="A21" s="2" t="s">
        <v>444</v>
      </c>
      <c r="B21" s="28" t="n">
        <v>476</v>
      </c>
      <c r="C21" s="2" t="s">
        <v>445</v>
      </c>
    </row>
    <row r="22" customFormat="false" ht="15" hidden="false" customHeight="false" outlineLevel="0" collapsed="false">
      <c r="A22" s="2" t="s">
        <v>446</v>
      </c>
      <c r="B22" s="28" t="n">
        <v>479</v>
      </c>
      <c r="C22" s="2" t="s">
        <v>447</v>
      </c>
    </row>
    <row r="23" customFormat="false" ht="15" hidden="false" customHeight="false" outlineLevel="0" collapsed="false">
      <c r="A23" s="2" t="s">
        <v>448</v>
      </c>
      <c r="B23" s="28" t="n">
        <v>1.13686837721616E-013</v>
      </c>
      <c r="C23" s="2" t="s">
        <v>449</v>
      </c>
    </row>
    <row r="24" customFormat="false" ht="15" hidden="false" customHeight="false" outlineLevel="0" collapsed="false">
      <c r="A24" s="2" t="s">
        <v>450</v>
      </c>
      <c r="B24" s="28" t="n">
        <v>955</v>
      </c>
      <c r="C24" s="2" t="s">
        <v>451</v>
      </c>
    </row>
    <row r="25" customFormat="false" ht="15" hidden="false" customHeight="false" outlineLevel="0" collapsed="false">
      <c r="A25" s="2" t="s">
        <v>452</v>
      </c>
      <c r="B25" s="28" t="n">
        <v>0.92</v>
      </c>
      <c r="C25" s="2" t="s">
        <v>453</v>
      </c>
    </row>
    <row r="26" customFormat="false" ht="15" hidden="false" customHeight="false" outlineLevel="0" collapsed="false">
      <c r="A26" s="2" t="s">
        <v>454</v>
      </c>
      <c r="B26" s="28" t="n">
        <v>-0.93</v>
      </c>
      <c r="C26" s="2" t="s">
        <v>455</v>
      </c>
    </row>
    <row r="27" customFormat="false" ht="15" hidden="false" customHeight="false" outlineLevel="0" collapsed="false">
      <c r="A27" s="2" t="s">
        <v>456</v>
      </c>
      <c r="B27" s="28" t="n">
        <v>-0.01</v>
      </c>
      <c r="C27" s="2" t="s">
        <v>457</v>
      </c>
    </row>
    <row r="28" customFormat="false" ht="15" hidden="false" customHeight="false" outlineLevel="0" collapsed="false">
      <c r="A28" s="2" t="s">
        <v>458</v>
      </c>
      <c r="B28" s="28" t="n">
        <v>0.03</v>
      </c>
      <c r="C28" s="2" t="s">
        <v>459</v>
      </c>
    </row>
    <row r="29" customFormat="false" ht="15" hidden="false" customHeight="false" outlineLevel="0" collapsed="false">
      <c r="A29" s="2" t="s">
        <v>460</v>
      </c>
      <c r="B29" s="28" t="n">
        <v>0</v>
      </c>
      <c r="C29" s="2" t="s">
        <v>461</v>
      </c>
    </row>
    <row r="30" customFormat="false" ht="15" hidden="false" customHeight="false" outlineLevel="0" collapsed="false">
      <c r="A30" s="2" t="s">
        <v>462</v>
      </c>
      <c r="B30" s="28" t="n">
        <v>0</v>
      </c>
      <c r="C30" s="2" t="s">
        <v>461</v>
      </c>
    </row>
    <row r="31" customFormat="false" ht="15" hidden="false" customHeight="false" outlineLevel="0" collapsed="false">
      <c r="A31" s="2" t="s">
        <v>463</v>
      </c>
      <c r="B31" s="28" t="n">
        <v>0.92</v>
      </c>
      <c r="C31" s="2" t="s">
        <v>464</v>
      </c>
    </row>
    <row r="32" customFormat="false" ht="15" hidden="false" customHeight="false" outlineLevel="0" collapsed="false">
      <c r="A32" s="2" t="s">
        <v>465</v>
      </c>
      <c r="B32" s="28" t="n">
        <v>0.96</v>
      </c>
      <c r="C32" s="2" t="s">
        <v>466</v>
      </c>
    </row>
    <row r="33" customFormat="false" ht="15" hidden="false" customHeight="false" outlineLevel="0" collapsed="false">
      <c r="A33" s="2" t="s">
        <v>467</v>
      </c>
      <c r="B33" s="28" t="n">
        <v>3</v>
      </c>
      <c r="C33" s="2" t="s">
        <v>468</v>
      </c>
    </row>
    <row r="34" customFormat="false" ht="15" hidden="false" customHeight="false" outlineLevel="0" collapsed="false">
      <c r="A34" s="2" t="s">
        <v>469</v>
      </c>
      <c r="B34" s="28" t="n">
        <v>9</v>
      </c>
      <c r="C34" s="2" t="s">
        <v>470</v>
      </c>
    </row>
    <row r="35" customFormat="false" ht="15" hidden="false" customHeight="false" outlineLevel="0" collapsed="false">
      <c r="A35" s="2" t="s">
        <v>471</v>
      </c>
      <c r="B35" s="28" t="n">
        <v>0</v>
      </c>
      <c r="C35" s="2" t="s">
        <v>472</v>
      </c>
    </row>
    <row r="36" customFormat="false" ht="15" hidden="false" customHeight="false" outlineLevel="0" collapsed="false">
      <c r="A36" s="2" t="s">
        <v>473</v>
      </c>
      <c r="B36" s="28" t="n">
        <v>0</v>
      </c>
      <c r="C36" s="2" t="s">
        <v>474</v>
      </c>
    </row>
    <row r="37" customFormat="false" ht="15" hidden="false" customHeight="false" outlineLevel="0" collapsed="false">
      <c r="A37" s="2" t="s">
        <v>475</v>
      </c>
      <c r="B37" s="28" t="n">
        <v>5.6843418860808E-014</v>
      </c>
      <c r="C37" s="2" t="s">
        <v>474</v>
      </c>
    </row>
    <row r="38" customFormat="false" ht="15" hidden="false" customHeight="false" outlineLevel="0" collapsed="false">
      <c r="A38" s="2" t="s">
        <v>476</v>
      </c>
      <c r="B38" s="28" t="n">
        <v>0</v>
      </c>
      <c r="C38" s="2" t="s">
        <v>477</v>
      </c>
    </row>
    <row r="39" customFormat="false" ht="15" hidden="false" customHeight="false" outlineLevel="0" collapsed="false">
      <c r="A39" s="2" t="s">
        <v>478</v>
      </c>
      <c r="B39" s="28" t="n">
        <v>0</v>
      </c>
      <c r="C39" s="2" t="s">
        <v>479</v>
      </c>
    </row>
    <row r="40" customFormat="false" ht="15" hidden="false" customHeight="false" outlineLevel="0" collapsed="false">
      <c r="A40" s="2" t="s">
        <v>74</v>
      </c>
      <c r="B40" s="28" t="n">
        <v>4</v>
      </c>
      <c r="C40" s="2" t="s">
        <v>480</v>
      </c>
    </row>
    <row r="41" customFormat="false" ht="15" hidden="false" customHeight="false" outlineLevel="0" collapsed="false">
      <c r="A41" s="2" t="s">
        <v>481</v>
      </c>
      <c r="B41" s="28" t="n">
        <v>4.34674132305175</v>
      </c>
      <c r="C41" s="2" t="s">
        <v>482</v>
      </c>
    </row>
    <row r="42" customFormat="false" ht="15" hidden="false" customHeight="false" outlineLevel="0" collapsed="false">
      <c r="A42" s="2" t="s">
        <v>483</v>
      </c>
      <c r="B42" s="28" t="n">
        <v>4.6562642704137</v>
      </c>
      <c r="C42" s="2" t="s">
        <v>484</v>
      </c>
    </row>
    <row r="43" customFormat="false" ht="15" hidden="false" customHeight="false" outlineLevel="0" collapsed="false">
      <c r="A43" s="2" t="s">
        <v>485</v>
      </c>
      <c r="B43" s="28" t="n">
        <v>1.70906411070127</v>
      </c>
      <c r="C43" s="2" t="s">
        <v>484</v>
      </c>
    </row>
    <row r="44" customFormat="false" ht="15" hidden="false" customHeight="false" outlineLevel="0" collapsed="false">
      <c r="A44" s="2" t="s">
        <v>486</v>
      </c>
      <c r="B44" s="28" t="n">
        <v>18.4428313698248</v>
      </c>
      <c r="C44" s="2" t="s">
        <v>484</v>
      </c>
    </row>
    <row r="45" customFormat="false" ht="15" hidden="false" customHeight="false" outlineLevel="0" collapsed="false">
      <c r="A45" s="2" t="s">
        <v>487</v>
      </c>
      <c r="B45" s="28" t="n">
        <v>1.35905936920959</v>
      </c>
      <c r="C45" s="2" t="s">
        <v>484</v>
      </c>
    </row>
    <row r="46" customFormat="false" ht="15" hidden="false" customHeight="false" outlineLevel="0" collapsed="false">
      <c r="A46" s="2" t="s">
        <v>488</v>
      </c>
      <c r="B46" s="28" t="n">
        <v>575.077831926765</v>
      </c>
      <c r="C46" s="2" t="s">
        <v>484</v>
      </c>
    </row>
    <row r="47" customFormat="false" ht="15" hidden="false" customHeight="false" outlineLevel="0" collapsed="false">
      <c r="A47" s="2" t="s">
        <v>489</v>
      </c>
      <c r="B47" s="28" t="n">
        <v>1453.97499147763</v>
      </c>
      <c r="C47" s="2" t="s">
        <v>484</v>
      </c>
    </row>
    <row r="48" customFormat="false" ht="15" hidden="false" customHeight="false" outlineLevel="0" collapsed="false">
      <c r="A48" s="2" t="s">
        <v>490</v>
      </c>
      <c r="B48" s="28" t="n">
        <v>7</v>
      </c>
      <c r="C48" s="2" t="s">
        <v>491</v>
      </c>
    </row>
    <row r="49" customFormat="false" ht="15" hidden="false" customHeight="false" outlineLevel="0" collapsed="false">
      <c r="A49" s="2" t="s">
        <v>492</v>
      </c>
      <c r="B49" s="28" t="n">
        <v>0</v>
      </c>
      <c r="C49" s="2" t="s">
        <v>493</v>
      </c>
    </row>
    <row r="50" customFormat="false" ht="15" hidden="false" customHeight="false" outlineLevel="0" collapsed="false">
      <c r="A50" s="2" t="s">
        <v>494</v>
      </c>
      <c r="B50" s="28" t="n">
        <v>0</v>
      </c>
      <c r="C50" s="2" t="s">
        <v>493</v>
      </c>
    </row>
    <row r="51" customFormat="false" ht="15" hidden="false" customHeight="false" outlineLevel="0" collapsed="false">
      <c r="A51" s="2" t="s">
        <v>495</v>
      </c>
      <c r="B51" s="28" t="n">
        <v>0</v>
      </c>
      <c r="C51" s="2" t="s">
        <v>496</v>
      </c>
    </row>
    <row r="52" customFormat="false" ht="15" hidden="false" customHeight="false" outlineLevel="0" collapsed="false">
      <c r="A52" s="2" t="s">
        <v>497</v>
      </c>
      <c r="B52" s="28" t="n">
        <v>3</v>
      </c>
      <c r="C52" s="2" t="s">
        <v>498</v>
      </c>
    </row>
    <row r="53" customFormat="false" ht="15" hidden="false" customHeight="false" outlineLevel="0" collapsed="false">
      <c r="A53" s="2" t="s">
        <v>499</v>
      </c>
      <c r="B53" s="28" t="n">
        <v>1.07704772198395</v>
      </c>
      <c r="C53" s="2" t="s">
        <v>500</v>
      </c>
    </row>
    <row r="54" customFormat="false" ht="15" hidden="false" customHeight="false" outlineLevel="0" collapsed="false">
      <c r="A54" s="2" t="s">
        <v>501</v>
      </c>
      <c r="B54" s="28" t="n">
        <v>5</v>
      </c>
      <c r="C54" s="2" t="s">
        <v>112</v>
      </c>
    </row>
    <row r="55" customFormat="false" ht="15" hidden="false" customHeight="false" outlineLevel="0" collapsed="false">
      <c r="A55" s="2" t="s">
        <v>502</v>
      </c>
      <c r="B55" s="28" t="n">
        <v>1</v>
      </c>
      <c r="C55" s="2" t="s">
        <v>108</v>
      </c>
    </row>
    <row r="56" customFormat="false" ht="15" hidden="false" customHeight="false" outlineLevel="0" collapsed="false">
      <c r="A56" s="2" t="s">
        <v>503</v>
      </c>
      <c r="B56" s="28" t="n">
        <v>-1</v>
      </c>
      <c r="C56" s="2" t="s">
        <v>504</v>
      </c>
    </row>
    <row r="57" customFormat="false" ht="15" hidden="false" customHeight="false" outlineLevel="0" collapsed="false">
      <c r="A57" s="2" t="s">
        <v>505</v>
      </c>
      <c r="B57" s="28" t="n">
        <v>2</v>
      </c>
      <c r="C57" s="2" t="s">
        <v>109</v>
      </c>
    </row>
    <row r="58" customFormat="false" ht="15" hidden="false" customHeight="false" outlineLevel="0" collapsed="false">
      <c r="A58" s="2" t="s">
        <v>506</v>
      </c>
      <c r="B58" s="28" t="n">
        <v>4</v>
      </c>
      <c r="C58" s="2" t="s">
        <v>111</v>
      </c>
    </row>
    <row r="59" customFormat="false" ht="15" hidden="false" customHeight="false" outlineLevel="0" collapsed="false">
      <c r="A59" s="2" t="s">
        <v>507</v>
      </c>
      <c r="B59" s="28" t="n">
        <v>0</v>
      </c>
      <c r="C59" s="2" t="s">
        <v>508</v>
      </c>
    </row>
    <row r="60" customFormat="false" ht="15" hidden="false" customHeight="false" outlineLevel="0" collapsed="false">
      <c r="A60" s="2" t="s">
        <v>509</v>
      </c>
      <c r="B60" s="28" t="n">
        <v>2</v>
      </c>
      <c r="C60" s="2" t="s">
        <v>109</v>
      </c>
    </row>
    <row r="61" customFormat="false" ht="15" hidden="false" customHeight="false" outlineLevel="0" collapsed="false">
      <c r="A61" s="2" t="s">
        <v>510</v>
      </c>
      <c r="B61" s="28" t="n">
        <v>4</v>
      </c>
      <c r="C61" s="2" t="s">
        <v>111</v>
      </c>
    </row>
    <row r="62" customFormat="false" ht="15" hidden="false" customHeight="false" outlineLevel="0" collapsed="false">
      <c r="A62" s="2" t="s">
        <v>323</v>
      </c>
      <c r="B62" s="28" t="n">
        <v>8</v>
      </c>
      <c r="C62" s="2" t="s">
        <v>511</v>
      </c>
    </row>
    <row r="63" customFormat="false" ht="15" hidden="false" customHeight="false" outlineLevel="0" collapsed="false">
      <c r="A63" s="2" t="s">
        <v>343</v>
      </c>
      <c r="B63" s="28" t="n">
        <v>5</v>
      </c>
      <c r="C63" s="2" t="s">
        <v>512</v>
      </c>
    </row>
    <row r="64" customFormat="false" ht="15" hidden="false" customHeight="false" outlineLevel="0" collapsed="false">
      <c r="A64" s="2" t="s">
        <v>392</v>
      </c>
      <c r="B64" s="28" t="n">
        <v>4</v>
      </c>
      <c r="C64" s="2" t="s">
        <v>513</v>
      </c>
    </row>
    <row r="65" customFormat="false" ht="15" hidden="false" customHeight="false" outlineLevel="0" collapsed="false">
      <c r="A65" s="2" t="s">
        <v>402</v>
      </c>
      <c r="B65" s="28" t="n">
        <v>4</v>
      </c>
      <c r="C65" s="2" t="s">
        <v>514</v>
      </c>
    </row>
    <row r="66" customFormat="false" ht="15" hidden="false" customHeight="false" outlineLevel="0" collapsed="false">
      <c r="A66" s="2" t="s">
        <v>362</v>
      </c>
      <c r="B66" s="28" t="n">
        <v>7</v>
      </c>
      <c r="C66" s="2" t="s">
        <v>515</v>
      </c>
    </row>
    <row r="67" customFormat="false" ht="15" hidden="false" customHeight="false" outlineLevel="0" collapsed="false">
      <c r="A67" s="2" t="s">
        <v>371</v>
      </c>
      <c r="B67" s="28" t="n">
        <v>4</v>
      </c>
      <c r="C67" s="2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8" t="s">
        <v>403</v>
      </c>
      <c r="B1" s="8" t="s">
        <v>517</v>
      </c>
      <c r="C1" s="8" t="s">
        <v>404</v>
      </c>
      <c r="D1" s="8" t="s">
        <v>518</v>
      </c>
      <c r="E1" s="8" t="s">
        <v>288</v>
      </c>
      <c r="F1" s="8" t="s">
        <v>519</v>
      </c>
    </row>
    <row r="2" customFormat="false" ht="15" hidden="false" customHeight="false" outlineLevel="0" collapsed="false">
      <c r="A2" s="2" t="s">
        <v>406</v>
      </c>
      <c r="B2" s="29" t="n">
        <f aca="false">Projection!B4</f>
        <v>368</v>
      </c>
      <c r="C2" s="30" t="n">
        <f aca="false">Reference_Values!B2</f>
        <v>368</v>
      </c>
      <c r="D2" s="15" t="n">
        <f aca="false">ABS(B2-C2)</f>
        <v>0</v>
      </c>
      <c r="E2" s="31" t="n">
        <v>1E-009</v>
      </c>
      <c r="F2" s="4" t="str">
        <f aca="false">IF(D2&lt;=E2,"PASS","FAIL")</f>
        <v>PASS</v>
      </c>
    </row>
    <row r="3" customFormat="false" ht="15" hidden="false" customHeight="false" outlineLevel="0" collapsed="false">
      <c r="A3" s="2" t="s">
        <v>408</v>
      </c>
      <c r="B3" s="29" t="n">
        <f aca="false">Projection!B6</f>
        <v>476</v>
      </c>
      <c r="C3" s="30" t="n">
        <f aca="false">Reference_Values!B3</f>
        <v>476</v>
      </c>
      <c r="D3" s="15" t="n">
        <f aca="false">ABS(B3-C3)</f>
        <v>0</v>
      </c>
      <c r="E3" s="31" t="n">
        <v>1E-009</v>
      </c>
      <c r="F3" s="4" t="str">
        <f aca="false">IF(D3&lt;=E3,"PASS","FAIL")</f>
        <v>PASS</v>
      </c>
    </row>
    <row r="4" customFormat="false" ht="15" hidden="false" customHeight="false" outlineLevel="0" collapsed="false">
      <c r="A4" s="2" t="s">
        <v>410</v>
      </c>
      <c r="B4" s="29" t="n">
        <f aca="false">Projection!C5</f>
        <v>387</v>
      </c>
      <c r="C4" s="30" t="n">
        <f aca="false">Reference_Values!B4</f>
        <v>387</v>
      </c>
      <c r="D4" s="15" t="n">
        <f aca="false">ABS(B4-C4)</f>
        <v>0</v>
      </c>
      <c r="E4" s="31" t="n">
        <v>1E-009</v>
      </c>
      <c r="F4" s="4" t="str">
        <f aca="false">IF(D4&lt;=E4,"PASS","FAIL")</f>
        <v>PASS</v>
      </c>
    </row>
    <row r="5" customFormat="false" ht="15" hidden="false" customHeight="false" outlineLevel="0" collapsed="false">
      <c r="A5" s="2" t="s">
        <v>412</v>
      </c>
      <c r="B5" s="29" t="n">
        <f aca="false">Projection!C6</f>
        <v>479</v>
      </c>
      <c r="C5" s="30" t="n">
        <f aca="false">Reference_Values!B5</f>
        <v>479</v>
      </c>
      <c r="D5" s="15" t="n">
        <f aca="false">ABS(B5-C5)</f>
        <v>0</v>
      </c>
      <c r="E5" s="31" t="n">
        <v>1E-009</v>
      </c>
      <c r="F5" s="4" t="str">
        <f aca="false">IF(D5&lt;=E5,"PASS","FAIL")</f>
        <v>PASS</v>
      </c>
    </row>
    <row r="6" customFormat="false" ht="15" hidden="false" customHeight="false" outlineLevel="0" collapsed="false">
      <c r="A6" s="2" t="s">
        <v>414</v>
      </c>
      <c r="B6" s="29" t="n">
        <f aca="false">Projection!D18</f>
        <v>392.05723136</v>
      </c>
      <c r="C6" s="30" t="n">
        <f aca="false">Reference_Values!B6</f>
        <v>392.05723136</v>
      </c>
      <c r="D6" s="15" t="n">
        <f aca="false">ABS(B6-C6)</f>
        <v>0</v>
      </c>
      <c r="E6" s="31" t="n">
        <v>1E-009</v>
      </c>
      <c r="F6" s="4" t="str">
        <f aca="false">IF(D6&lt;=E6,"PASS","FAIL")</f>
        <v>PASS</v>
      </c>
    </row>
    <row r="7" customFormat="false" ht="15" hidden="false" customHeight="false" outlineLevel="0" collapsed="false">
      <c r="A7" s="2" t="s">
        <v>416</v>
      </c>
      <c r="B7" s="29" t="n">
        <f aca="false">Projection!H18</f>
        <v>403.77906944</v>
      </c>
      <c r="C7" s="30" t="n">
        <f aca="false">Reference_Values!B7</f>
        <v>403.77906944</v>
      </c>
      <c r="D7" s="15" t="n">
        <f aca="false">ABS(B7-C7)</f>
        <v>0</v>
      </c>
      <c r="E7" s="31" t="n">
        <v>1E-009</v>
      </c>
      <c r="F7" s="4" t="str">
        <f aca="false">IF(D7&lt;=E7,"PASS","FAIL")</f>
        <v>PASS</v>
      </c>
    </row>
    <row r="8" customFormat="false" ht="15" hidden="false" customHeight="false" outlineLevel="0" collapsed="false">
      <c r="A8" s="2" t="s">
        <v>418</v>
      </c>
      <c r="B8" s="29" t="n">
        <f aca="false">TotalOnly!B3</f>
        <v>0.952</v>
      </c>
      <c r="C8" s="30" t="n">
        <f aca="false">Reference_Values!B8</f>
        <v>0.952</v>
      </c>
      <c r="D8" s="15" t="n">
        <f aca="false">ABS(B8-C8)</f>
        <v>0</v>
      </c>
      <c r="E8" s="31" t="n">
        <v>1E-012</v>
      </c>
      <c r="F8" s="4" t="str">
        <f aca="false">IF(D8&lt;=E8,"PASS","FAIL")</f>
        <v>PASS</v>
      </c>
    </row>
    <row r="9" customFormat="false" ht="15" hidden="false" customHeight="false" outlineLevel="0" collapsed="false">
      <c r="A9" s="2" t="s">
        <v>420</v>
      </c>
      <c r="B9" s="29" t="n">
        <f aca="false">TotalOnly!D11</f>
        <v>390.980183638016</v>
      </c>
      <c r="C9" s="30" t="n">
        <f aca="false">Reference_Values!B9</f>
        <v>390.980183638016</v>
      </c>
      <c r="D9" s="15" t="n">
        <f aca="false">ABS(B9-C9)</f>
        <v>0</v>
      </c>
      <c r="E9" s="31" t="n">
        <v>1E-009</v>
      </c>
      <c r="F9" s="4" t="str">
        <f aca="false">IF(D9&lt;=E9,"PASS","FAIL")</f>
        <v>PASS</v>
      </c>
    </row>
    <row r="10" customFormat="false" ht="15" hidden="false" customHeight="false" outlineLevel="0" collapsed="false">
      <c r="A10" s="2" t="s">
        <v>422</v>
      </c>
      <c r="B10" s="29" t="n">
        <f aca="false">TotalOnly!E7</f>
        <v>-3</v>
      </c>
      <c r="C10" s="30" t="n">
        <f aca="false">Reference_Values!B10</f>
        <v>-3</v>
      </c>
      <c r="D10" s="15" t="n">
        <f aca="false">ABS(B10-C10)</f>
        <v>0</v>
      </c>
      <c r="E10" s="31" t="n">
        <v>1E-009</v>
      </c>
      <c r="F10" s="4" t="str">
        <f aca="false">IF(D10&lt;=E10,"PASS","FAIL")</f>
        <v>PASS</v>
      </c>
    </row>
    <row r="11" customFormat="false" ht="15" hidden="false" customHeight="false" outlineLevel="0" collapsed="false">
      <c r="A11" s="2" t="s">
        <v>424</v>
      </c>
      <c r="B11" s="29" t="n">
        <f aca="false">TotalOnly!E9</f>
        <v>-8.31609599999996</v>
      </c>
      <c r="C11" s="30" t="n">
        <f aca="false">Reference_Values!B11</f>
        <v>-8.31609599999996</v>
      </c>
      <c r="D11" s="15" t="n">
        <f aca="false">ABS(B11-C11)</f>
        <v>0</v>
      </c>
      <c r="E11" s="31" t="n">
        <v>1E-009</v>
      </c>
      <c r="F11" s="4" t="str">
        <f aca="false">IF(D11&lt;=E11,"PASS","FAIL")</f>
        <v>PASS</v>
      </c>
    </row>
    <row r="12" customFormat="false" ht="15" hidden="false" customHeight="false" outlineLevel="0" collapsed="false">
      <c r="A12" s="2" t="s">
        <v>426</v>
      </c>
      <c r="B12" s="29" t="n">
        <f aca="false">TotalOnly!E11</f>
        <v>-12.7988858019841</v>
      </c>
      <c r="C12" s="30" t="n">
        <f aca="false">Reference_Values!B12</f>
        <v>-12.7988858019841</v>
      </c>
      <c r="D12" s="15" t="n">
        <f aca="false">ABS(B12-C12)</f>
        <v>0</v>
      </c>
      <c r="E12" s="31" t="n">
        <v>1E-009</v>
      </c>
      <c r="F12" s="4" t="str">
        <f aca="false">IF(D12&lt;=E12,"PASS","FAIL")</f>
        <v>PASS</v>
      </c>
    </row>
    <row r="13" customFormat="false" ht="15" hidden="false" customHeight="false" outlineLevel="0" collapsed="false">
      <c r="A13" s="2" t="s">
        <v>428</v>
      </c>
      <c r="B13" s="29" t="n">
        <f aca="false">TotalOnly!F11</f>
        <v>-1.07704772198395</v>
      </c>
      <c r="C13" s="30" t="n">
        <f aca="false">Reference_Values!B13</f>
        <v>-1.07704772198395</v>
      </c>
      <c r="D13" s="15" t="n">
        <f aca="false">ABS(B13-C13)</f>
        <v>0</v>
      </c>
      <c r="E13" s="31" t="n">
        <v>1E-009</v>
      </c>
      <c r="F13" s="4" t="str">
        <f aca="false">IF(D13&lt;=E13,"PASS","FAIL")</f>
        <v>PASS</v>
      </c>
    </row>
    <row r="14" customFormat="false" ht="15" hidden="false" customHeight="false" outlineLevel="0" collapsed="false">
      <c r="A14" s="2" t="s">
        <v>430</v>
      </c>
      <c r="B14" s="29" t="n">
        <f aca="false">TotalOnly!B13</f>
        <v>3</v>
      </c>
      <c r="C14" s="30" t="n">
        <f aca="false">Reference_Values!B14</f>
        <v>3</v>
      </c>
      <c r="D14" s="15" t="n">
        <f aca="false">ABS(B14-C14)</f>
        <v>0</v>
      </c>
      <c r="E14" s="31" t="n">
        <v>1E-009</v>
      </c>
      <c r="F14" s="4" t="str">
        <f aca="false">IF(D14&lt;=E14,"PASS","FAIL")</f>
        <v>PASS</v>
      </c>
    </row>
    <row r="15" customFormat="false" ht="15" hidden="false" customHeight="false" outlineLevel="0" collapsed="false">
      <c r="A15" s="2" t="s">
        <v>432</v>
      </c>
      <c r="B15" s="29" t="n">
        <f aca="false">TotalOnly!H11</f>
        <v>13.627477045248</v>
      </c>
      <c r="C15" s="30" t="n">
        <f aca="false">Reference_Values!B15</f>
        <v>13.627477045248</v>
      </c>
      <c r="D15" s="15" t="n">
        <f aca="false">ABS(B15-C15)</f>
        <v>0</v>
      </c>
      <c r="E15" s="31" t="n">
        <v>1E-009</v>
      </c>
      <c r="F15" s="4" t="str">
        <f aca="false">IF(D15&lt;=E15,"PASS","FAIL")</f>
        <v>PASS</v>
      </c>
    </row>
    <row r="16" customFormat="false" ht="15" hidden="false" customHeight="false" outlineLevel="0" collapsed="false">
      <c r="A16" s="2" t="s">
        <v>434</v>
      </c>
      <c r="B16" s="29" t="n">
        <f aca="false">TotalOnly!B15</f>
        <v>0</v>
      </c>
      <c r="C16" s="30" t="n">
        <f aca="false">Reference_Values!B16</f>
        <v>0</v>
      </c>
      <c r="D16" s="15" t="n">
        <f aca="false">ABS(B16-C16)</f>
        <v>0</v>
      </c>
      <c r="E16" s="31" t="n">
        <v>0</v>
      </c>
      <c r="F16" s="4" t="str">
        <f aca="false">IF(D16&lt;=E16,"PASS","FAIL")</f>
        <v>PASS</v>
      </c>
    </row>
    <row r="17" customFormat="false" ht="15" hidden="false" customHeight="false" outlineLevel="0" collapsed="false">
      <c r="A17" s="2" t="s">
        <v>436</v>
      </c>
      <c r="B17" s="29" t="n">
        <f aca="false">Repair!B4</f>
        <v>128.42462208</v>
      </c>
      <c r="C17" s="30" t="n">
        <f aca="false">Reference_Values!B17</f>
        <v>128.42462208</v>
      </c>
      <c r="D17" s="15" t="n">
        <f aca="false">ABS(B17-C17)</f>
        <v>0</v>
      </c>
      <c r="E17" s="31" t="n">
        <v>1E-009</v>
      </c>
      <c r="F17" s="4" t="str">
        <f aca="false">IF(D17&lt;=E17,"PASS","FAIL")</f>
        <v>PASS</v>
      </c>
    </row>
    <row r="18" customFormat="false" ht="15" hidden="false" customHeight="false" outlineLevel="0" collapsed="false">
      <c r="A18" s="2" t="s">
        <v>438</v>
      </c>
      <c r="B18" s="29" t="n">
        <f aca="false">Repair!C4</f>
        <v>337.87091712</v>
      </c>
      <c r="C18" s="30" t="n">
        <f aca="false">Reference_Values!B18</f>
        <v>337.87091712</v>
      </c>
      <c r="D18" s="15" t="n">
        <f aca="false">ABS(B18-C18)</f>
        <v>0</v>
      </c>
      <c r="E18" s="31" t="n">
        <v>1E-009</v>
      </c>
      <c r="F18" s="4" t="str">
        <f aca="false">IF(D18&lt;=E18,"PASS","FAIL")</f>
        <v>PASS</v>
      </c>
    </row>
    <row r="19" customFormat="false" ht="15" hidden="false" customHeight="false" outlineLevel="0" collapsed="false">
      <c r="A19" s="2" t="s">
        <v>440</v>
      </c>
      <c r="B19" s="29" t="n">
        <f aca="false">Repair!B9</f>
        <v>0.95</v>
      </c>
      <c r="C19" s="30" t="n">
        <f aca="false">Reference_Values!B19</f>
        <v>0.95</v>
      </c>
      <c r="D19" s="15" t="n">
        <f aca="false">ABS(B19-C19)</f>
        <v>0</v>
      </c>
      <c r="E19" s="31" t="n">
        <v>1E-012</v>
      </c>
      <c r="F19" s="4" t="str">
        <f aca="false">IF(D19&lt;=E19,"PASS","FAIL")</f>
        <v>PASS</v>
      </c>
    </row>
    <row r="20" customFormat="false" ht="15" hidden="false" customHeight="false" outlineLevel="0" collapsed="false">
      <c r="A20" s="2" t="s">
        <v>442</v>
      </c>
      <c r="B20" s="29" t="n">
        <f aca="false">Repair!B10</f>
        <v>0.01</v>
      </c>
      <c r="C20" s="30" t="n">
        <f aca="false">Reference_Values!B20</f>
        <v>0.01</v>
      </c>
      <c r="D20" s="15" t="n">
        <f aca="false">ABS(B20-C20)</f>
        <v>0</v>
      </c>
      <c r="E20" s="31" t="n">
        <v>1E-012</v>
      </c>
      <c r="F20" s="4" t="str">
        <f aca="false">IF(D20&lt;=E20,"PASS","FAIL")</f>
        <v>PASS</v>
      </c>
    </row>
    <row r="21" customFormat="false" ht="15" hidden="false" customHeight="false" outlineLevel="0" collapsed="false">
      <c r="A21" s="2" t="s">
        <v>444</v>
      </c>
      <c r="B21" s="29" t="n">
        <f aca="false">Repair!B11</f>
        <v>476</v>
      </c>
      <c r="C21" s="30" t="n">
        <f aca="false">Reference_Values!B21</f>
        <v>476</v>
      </c>
      <c r="D21" s="15" t="n">
        <f aca="false">ABS(B21-C21)</f>
        <v>0</v>
      </c>
      <c r="E21" s="31" t="n">
        <v>1E-009</v>
      </c>
      <c r="F21" s="4" t="str">
        <f aca="false">IF(D21&lt;=E21,"PASS","FAIL")</f>
        <v>PASS</v>
      </c>
    </row>
    <row r="22" customFormat="false" ht="15" hidden="false" customHeight="false" outlineLevel="0" collapsed="false">
      <c r="A22" s="2" t="s">
        <v>446</v>
      </c>
      <c r="B22" s="29" t="n">
        <f aca="false">Repair!B12</f>
        <v>479</v>
      </c>
      <c r="C22" s="30" t="n">
        <f aca="false">Reference_Values!B22</f>
        <v>479</v>
      </c>
      <c r="D22" s="15" t="n">
        <f aca="false">ABS(B22-C22)</f>
        <v>0</v>
      </c>
      <c r="E22" s="31" t="n">
        <v>1E-009</v>
      </c>
      <c r="F22" s="4" t="str">
        <f aca="false">IF(D22&lt;=E22,"PASS","FAIL")</f>
        <v>PASS</v>
      </c>
    </row>
    <row r="23" customFormat="false" ht="15" hidden="false" customHeight="false" outlineLevel="0" collapsed="false">
      <c r="A23" s="2" t="s">
        <v>448</v>
      </c>
      <c r="B23" s="29" t="n">
        <f aca="false">Repair!B22</f>
        <v>0</v>
      </c>
      <c r="C23" s="30" t="n">
        <f aca="false">Reference_Values!B23</f>
        <v>1.13686837721616E-013</v>
      </c>
      <c r="D23" s="15" t="n">
        <f aca="false">ABS(B23-C23)</f>
        <v>1.13686837721616E-013</v>
      </c>
      <c r="E23" s="31" t="n">
        <v>1E-009</v>
      </c>
      <c r="F23" s="4" t="str">
        <f aca="false">IF(D23&lt;=E23,"PASS","FAIL")</f>
        <v>PASS</v>
      </c>
    </row>
    <row r="24" customFormat="false" ht="15" hidden="false" customHeight="false" outlineLevel="0" collapsed="false">
      <c r="A24" s="2" t="s">
        <v>450</v>
      </c>
      <c r="B24" s="29" t="n">
        <f aca="false">Repair!B28</f>
        <v>955</v>
      </c>
      <c r="C24" s="30" t="n">
        <f aca="false">Reference_Values!B24</f>
        <v>955</v>
      </c>
      <c r="D24" s="15" t="n">
        <f aca="false">ABS(B24-C24)</f>
        <v>0</v>
      </c>
      <c r="E24" s="31" t="n">
        <v>1E-009</v>
      </c>
      <c r="F24" s="4" t="str">
        <f aca="false">IF(D24&lt;=E24,"PASS","FAIL")</f>
        <v>PASS</v>
      </c>
    </row>
    <row r="25" customFormat="false" ht="15" hidden="false" customHeight="false" outlineLevel="0" collapsed="false">
      <c r="A25" s="2" t="s">
        <v>452</v>
      </c>
      <c r="B25" s="29" t="n">
        <f aca="false">RollUpTest!F9</f>
        <v>0.92</v>
      </c>
      <c r="C25" s="30" t="n">
        <f aca="false">Reference_Values!B25</f>
        <v>0.92</v>
      </c>
      <c r="D25" s="15" t="n">
        <f aca="false">ABS(B25-C25)</f>
        <v>0</v>
      </c>
      <c r="E25" s="31" t="n">
        <v>1E-012</v>
      </c>
      <c r="F25" s="4" t="str">
        <f aca="false">IF(D25&lt;=E25,"PASS","FAIL")</f>
        <v>PASS</v>
      </c>
    </row>
    <row r="26" customFormat="false" ht="15" hidden="false" customHeight="false" outlineLevel="0" collapsed="false">
      <c r="A26" s="2" t="s">
        <v>454</v>
      </c>
      <c r="B26" s="29" t="n">
        <f aca="false">RollUpTest!G9</f>
        <v>-0.93</v>
      </c>
      <c r="C26" s="30" t="n">
        <f aca="false">Reference_Values!B26</f>
        <v>-0.93</v>
      </c>
      <c r="D26" s="15" t="n">
        <f aca="false">ABS(B26-C26)</f>
        <v>0</v>
      </c>
      <c r="E26" s="31" t="n">
        <v>1E-012</v>
      </c>
      <c r="F26" s="4" t="str">
        <f aca="false">IF(D26&lt;=E26,"PASS","FAIL")</f>
        <v>PASS</v>
      </c>
    </row>
    <row r="27" customFormat="false" ht="15" hidden="false" customHeight="false" outlineLevel="0" collapsed="false">
      <c r="A27" s="2" t="s">
        <v>456</v>
      </c>
      <c r="B27" s="29" t="n">
        <f aca="false">RollUpTest!H9</f>
        <v>-0.01</v>
      </c>
      <c r="C27" s="30" t="n">
        <f aca="false">Reference_Values!B27</f>
        <v>-0.01</v>
      </c>
      <c r="D27" s="15" t="n">
        <f aca="false">ABS(B27-C27)</f>
        <v>0</v>
      </c>
      <c r="E27" s="31" t="n">
        <v>1E-012</v>
      </c>
      <c r="F27" s="4" t="str">
        <f aca="false">IF(D27&lt;=E27,"PASS","FAIL")</f>
        <v>PASS</v>
      </c>
    </row>
    <row r="28" customFormat="false" ht="15" hidden="false" customHeight="false" outlineLevel="0" collapsed="false">
      <c r="A28" s="2" t="s">
        <v>458</v>
      </c>
      <c r="B28" s="29" t="n">
        <f aca="false">RollUpTest!H10</f>
        <v>0.03</v>
      </c>
      <c r="C28" s="30" t="n">
        <f aca="false">Reference_Values!B28</f>
        <v>0.03</v>
      </c>
      <c r="D28" s="15" t="n">
        <f aca="false">ABS(B28-C28)</f>
        <v>0</v>
      </c>
      <c r="E28" s="31" t="n">
        <v>1E-012</v>
      </c>
      <c r="F28" s="4" t="str">
        <f aca="false">IF(D28&lt;=E28,"PASS","FAIL")</f>
        <v>PASS</v>
      </c>
    </row>
    <row r="29" customFormat="false" ht="15" hidden="false" customHeight="false" outlineLevel="0" collapsed="false">
      <c r="A29" s="2" t="s">
        <v>460</v>
      </c>
      <c r="B29" s="29" t="n">
        <f aca="false">RollUpTest!H11</f>
        <v>0</v>
      </c>
      <c r="C29" s="30" t="n">
        <f aca="false">Reference_Values!B29</f>
        <v>0</v>
      </c>
      <c r="D29" s="15" t="n">
        <f aca="false">ABS(B29-C29)</f>
        <v>0</v>
      </c>
      <c r="E29" s="31" t="n">
        <v>1E-012</v>
      </c>
      <c r="F29" s="4" t="str">
        <f aca="false">IF(D29&lt;=E29,"PASS","FAIL")</f>
        <v>PASS</v>
      </c>
    </row>
    <row r="30" customFormat="false" ht="15" hidden="false" customHeight="false" outlineLevel="0" collapsed="false">
      <c r="A30" s="2" t="s">
        <v>462</v>
      </c>
      <c r="B30" s="29" t="n">
        <f aca="false">RollUpTest!H12</f>
        <v>0</v>
      </c>
      <c r="C30" s="30" t="n">
        <f aca="false">Reference_Values!B30</f>
        <v>0</v>
      </c>
      <c r="D30" s="15" t="n">
        <f aca="false">ABS(B30-C30)</f>
        <v>0</v>
      </c>
      <c r="E30" s="31" t="n">
        <v>1E-012</v>
      </c>
      <c r="F30" s="4" t="str">
        <f aca="false">IF(D30&lt;=E30,"PASS","FAIL")</f>
        <v>PASS</v>
      </c>
    </row>
    <row r="31" customFormat="false" ht="15" hidden="false" customHeight="false" outlineLevel="0" collapsed="false">
      <c r="A31" s="2" t="s">
        <v>463</v>
      </c>
      <c r="B31" s="29" t="n">
        <f aca="false">RollUpTest!J11</f>
        <v>0.92</v>
      </c>
      <c r="C31" s="30" t="n">
        <f aca="false">Reference_Values!B31</f>
        <v>0.92</v>
      </c>
      <c r="D31" s="15" t="n">
        <f aca="false">ABS(B31-C31)</f>
        <v>0</v>
      </c>
      <c r="E31" s="31" t="n">
        <v>1E-012</v>
      </c>
      <c r="F31" s="4" t="str">
        <f aca="false">IF(D31&lt;=E31,"PASS","FAIL")</f>
        <v>PASS</v>
      </c>
    </row>
    <row r="32" customFormat="false" ht="15" hidden="false" customHeight="false" outlineLevel="0" collapsed="false">
      <c r="A32" s="2" t="s">
        <v>465</v>
      </c>
      <c r="B32" s="29" t="n">
        <f aca="false">RollUpTest!J12</f>
        <v>0.96</v>
      </c>
      <c r="C32" s="30" t="n">
        <f aca="false">Reference_Values!B32</f>
        <v>0.96</v>
      </c>
      <c r="D32" s="15" t="n">
        <f aca="false">ABS(B32-C32)</f>
        <v>0</v>
      </c>
      <c r="E32" s="31" t="n">
        <v>1E-012</v>
      </c>
      <c r="F32" s="4" t="str">
        <f aca="false">IF(D32&lt;=E32,"PASS","FAIL")</f>
        <v>PASS</v>
      </c>
    </row>
    <row r="33" customFormat="false" ht="15" hidden="false" customHeight="false" outlineLevel="0" collapsed="false">
      <c r="A33" s="2" t="s">
        <v>467</v>
      </c>
      <c r="B33" s="29" t="n">
        <f aca="false">RollUpTest!H18</f>
        <v>3</v>
      </c>
      <c r="C33" s="30" t="n">
        <f aca="false">Reference_Values!B33</f>
        <v>3</v>
      </c>
      <c r="D33" s="15" t="n">
        <f aca="false">ABS(B33-C33)</f>
        <v>0</v>
      </c>
      <c r="E33" s="31" t="n">
        <v>1E-009</v>
      </c>
      <c r="F33" s="4" t="str">
        <f aca="false">IF(D33&lt;=E33,"PASS","FAIL")</f>
        <v>PASS</v>
      </c>
    </row>
    <row r="34" customFormat="false" ht="15" hidden="false" customHeight="false" outlineLevel="0" collapsed="false">
      <c r="A34" s="2" t="s">
        <v>469</v>
      </c>
      <c r="B34" s="29" t="n">
        <f aca="false">RollUpTest!H19</f>
        <v>9</v>
      </c>
      <c r="C34" s="30" t="n">
        <f aca="false">Reference_Values!B34</f>
        <v>9</v>
      </c>
      <c r="D34" s="15" t="n">
        <f aca="false">ABS(B34-C34)</f>
        <v>0</v>
      </c>
      <c r="E34" s="31" t="n">
        <v>1E-009</v>
      </c>
      <c r="F34" s="4" t="str">
        <f aca="false">IF(D34&lt;=E34,"PASS","FAIL")</f>
        <v>PASS</v>
      </c>
    </row>
    <row r="35" customFormat="false" ht="15" hidden="false" customHeight="false" outlineLevel="0" collapsed="false">
      <c r="A35" s="2" t="s">
        <v>471</v>
      </c>
      <c r="B35" s="29" t="n">
        <f aca="false">RollUpTest!H21</f>
        <v>0</v>
      </c>
      <c r="C35" s="30" t="n">
        <f aca="false">Reference_Values!B35</f>
        <v>0</v>
      </c>
      <c r="D35" s="15" t="n">
        <f aca="false">ABS(B35-C35)</f>
        <v>0</v>
      </c>
      <c r="E35" s="31" t="n">
        <v>1E-009</v>
      </c>
      <c r="F35" s="4" t="str">
        <f aca="false">IF(D35&lt;=E35,"PASS","FAIL")</f>
        <v>PASS</v>
      </c>
    </row>
    <row r="36" customFormat="false" ht="15" hidden="false" customHeight="false" outlineLevel="0" collapsed="false">
      <c r="A36" s="2" t="s">
        <v>473</v>
      </c>
      <c r="B36" s="29" t="n">
        <f aca="false">Chain!C11</f>
        <v>0</v>
      </c>
      <c r="C36" s="30" t="n">
        <f aca="false">Reference_Values!B36</f>
        <v>0</v>
      </c>
      <c r="D36" s="15" t="n">
        <f aca="false">ABS(B36-C36)</f>
        <v>0</v>
      </c>
      <c r="E36" s="31" t="n">
        <v>1E-012</v>
      </c>
      <c r="F36" s="4" t="str">
        <f aca="false">IF(D36&lt;=E36,"PASS","FAIL")</f>
        <v>PASS</v>
      </c>
    </row>
    <row r="37" customFormat="false" ht="15" hidden="false" customHeight="false" outlineLevel="0" collapsed="false">
      <c r="A37" s="2" t="s">
        <v>475</v>
      </c>
      <c r="B37" s="29" t="n">
        <f aca="false">Chain!C12</f>
        <v>0</v>
      </c>
      <c r="C37" s="30" t="n">
        <f aca="false">Reference_Values!B37</f>
        <v>5.6843418860808E-014</v>
      </c>
      <c r="D37" s="15" t="n">
        <f aca="false">ABS(B37-C37)</f>
        <v>5.6843418860808E-014</v>
      </c>
      <c r="E37" s="31" t="n">
        <v>1E-009</v>
      </c>
      <c r="F37" s="4" t="str">
        <f aca="false">IF(D37&lt;=E37,"PASS","FAIL")</f>
        <v>PASS</v>
      </c>
    </row>
    <row r="38" customFormat="false" ht="15" hidden="false" customHeight="false" outlineLevel="0" collapsed="false">
      <c r="A38" s="2" t="s">
        <v>476</v>
      </c>
      <c r="B38" s="29" t="n">
        <f aca="false">Chain!C13</f>
        <v>0</v>
      </c>
      <c r="C38" s="30" t="n">
        <f aca="false">Reference_Values!B38</f>
        <v>0</v>
      </c>
      <c r="D38" s="15" t="n">
        <f aca="false">ABS(B38-C38)</f>
        <v>0</v>
      </c>
      <c r="E38" s="31" t="n">
        <v>0</v>
      </c>
      <c r="F38" s="4" t="str">
        <f aca="false">IF(D38&lt;=E38,"PASS","FAIL")</f>
        <v>PASS</v>
      </c>
    </row>
    <row r="39" customFormat="false" ht="15" hidden="false" customHeight="false" outlineLevel="0" collapsed="false">
      <c r="A39" s="2" t="s">
        <v>478</v>
      </c>
      <c r="B39" s="29" t="n">
        <f aca="false">Chain!C14</f>
        <v>0</v>
      </c>
      <c r="C39" s="30" t="n">
        <f aca="false">Reference_Values!B39</f>
        <v>0</v>
      </c>
      <c r="D39" s="15" t="n">
        <f aca="false">ABS(B39-C39)</f>
        <v>0</v>
      </c>
      <c r="E39" s="31" t="n">
        <v>0</v>
      </c>
      <c r="F39" s="4" t="str">
        <f aca="false">IF(D39&lt;=E39,"PASS","FAIL")</f>
        <v>PASS</v>
      </c>
    </row>
    <row r="40" customFormat="false" ht="15" hidden="false" customHeight="false" outlineLevel="0" collapsed="false">
      <c r="A40" s="2" t="s">
        <v>74</v>
      </c>
      <c r="B40" s="29" t="n">
        <f aca="false">Chain!B8</f>
        <v>4</v>
      </c>
      <c r="C40" s="30" t="n">
        <f aca="false">Reference_Values!B40</f>
        <v>4</v>
      </c>
      <c r="D40" s="15" t="n">
        <f aca="false">ABS(B40-C40)</f>
        <v>0</v>
      </c>
      <c r="E40" s="31" t="n">
        <v>0</v>
      </c>
      <c r="F40" s="4" t="str">
        <f aca="false">IF(D40&lt;=E40,"PASS","FAIL")</f>
        <v>PASS</v>
      </c>
    </row>
    <row r="41" customFormat="false" ht="15" hidden="false" customHeight="false" outlineLevel="0" collapsed="false">
      <c r="A41" s="2" t="s">
        <v>481</v>
      </c>
      <c r="B41" s="29" t="n">
        <f aca="false">FitExtrapolate!C49</f>
        <v>4.34674132305175</v>
      </c>
      <c r="C41" s="30" t="n">
        <f aca="false">Reference_Values!B41</f>
        <v>4.34674132305175</v>
      </c>
      <c r="D41" s="15" t="n">
        <f aca="false">ABS(B41-C41)</f>
        <v>0</v>
      </c>
      <c r="E41" s="31" t="n">
        <v>1E-006</v>
      </c>
      <c r="F41" s="4" t="str">
        <f aca="false">IF(D41&lt;=E41,"PASS","FAIL")</f>
        <v>PASS</v>
      </c>
    </row>
    <row r="42" customFormat="false" ht="15" hidden="false" customHeight="false" outlineLevel="0" collapsed="false">
      <c r="A42" s="2" t="s">
        <v>483</v>
      </c>
      <c r="B42" s="29" t="n">
        <f aca="false">FitExtrapolate!D49</f>
        <v>4.6562642704137</v>
      </c>
      <c r="C42" s="30" t="n">
        <f aca="false">Reference_Values!B42</f>
        <v>4.6562642704137</v>
      </c>
      <c r="D42" s="15" t="n">
        <f aca="false">ABS(B42-C42)</f>
        <v>0</v>
      </c>
      <c r="E42" s="31" t="n">
        <v>1E-006</v>
      </c>
      <c r="F42" s="4" t="str">
        <f aca="false">IF(D42&lt;=E42,"PASS","FAIL")</f>
        <v>PASS</v>
      </c>
    </row>
    <row r="43" customFormat="false" ht="15" hidden="false" customHeight="false" outlineLevel="0" collapsed="false">
      <c r="A43" s="2" t="s">
        <v>485</v>
      </c>
      <c r="B43" s="29" t="n">
        <f aca="false">FitExtrapolate!C51</f>
        <v>1.70906411070127</v>
      </c>
      <c r="C43" s="30" t="n">
        <f aca="false">Reference_Values!B43</f>
        <v>1.70906411070127</v>
      </c>
      <c r="D43" s="15" t="n">
        <f aca="false">ABS(B43-C43)</f>
        <v>0</v>
      </c>
      <c r="E43" s="31" t="n">
        <v>1E-006</v>
      </c>
      <c r="F43" s="4" t="str">
        <f aca="false">IF(D43&lt;=E43,"PASS","FAIL")</f>
        <v>PASS</v>
      </c>
    </row>
    <row r="44" customFormat="false" ht="15" hidden="false" customHeight="false" outlineLevel="0" collapsed="false">
      <c r="A44" s="2" t="s">
        <v>486</v>
      </c>
      <c r="B44" s="29" t="n">
        <f aca="false">FitExtrapolate!D51</f>
        <v>18.4428313698247</v>
      </c>
      <c r="C44" s="30" t="n">
        <f aca="false">Reference_Values!B44</f>
        <v>18.4428313698248</v>
      </c>
      <c r="D44" s="15" t="n">
        <f aca="false">ABS(B44-C44)</f>
        <v>0</v>
      </c>
      <c r="E44" s="31" t="n">
        <v>1E-006</v>
      </c>
      <c r="F44" s="4" t="str">
        <f aca="false">IF(D44&lt;=E44,"PASS","FAIL")</f>
        <v>PASS</v>
      </c>
    </row>
    <row r="45" customFormat="false" ht="15" hidden="false" customHeight="false" outlineLevel="0" collapsed="false">
      <c r="A45" s="2" t="s">
        <v>487</v>
      </c>
      <c r="B45" s="29" t="n">
        <f aca="false">FitExtrapolate!C54</f>
        <v>1.3590593692096</v>
      </c>
      <c r="C45" s="30" t="n">
        <f aca="false">Reference_Values!B45</f>
        <v>1.35905936920959</v>
      </c>
      <c r="D45" s="15" t="n">
        <f aca="false">ABS(B45-C45)</f>
        <v>0</v>
      </c>
      <c r="E45" s="31" t="n">
        <v>1E-006</v>
      </c>
      <c r="F45" s="4" t="str">
        <f aca="false">IF(D45&lt;=E45,"PASS","FAIL")</f>
        <v>PASS</v>
      </c>
    </row>
    <row r="46" customFormat="false" ht="15" hidden="false" customHeight="false" outlineLevel="0" collapsed="false">
      <c r="A46" s="2" t="s">
        <v>488</v>
      </c>
      <c r="B46" s="29" t="n">
        <f aca="false">FitExtrapolate!D54</f>
        <v>575.077831926759</v>
      </c>
      <c r="C46" s="30" t="n">
        <f aca="false">Reference_Values!B46</f>
        <v>575.077831926765</v>
      </c>
      <c r="D46" s="15" t="n">
        <f aca="false">ABS(B46-C46)</f>
        <v>5.91171556152403E-012</v>
      </c>
      <c r="E46" s="31" t="n">
        <v>1E-006</v>
      </c>
      <c r="F46" s="4" t="str">
        <f aca="false">IF(D46&lt;=E46,"PASS","FAIL")</f>
        <v>PASS</v>
      </c>
    </row>
    <row r="47" customFormat="false" ht="15" hidden="false" customHeight="false" outlineLevel="0" collapsed="false">
      <c r="A47" s="2" t="s">
        <v>489</v>
      </c>
      <c r="B47" s="29" t="n">
        <f aca="false">FitExtrapolate!E56</f>
        <v>1453.97499147721</v>
      </c>
      <c r="C47" s="30" t="n">
        <f aca="false">Reference_Values!B47</f>
        <v>1453.97499147763</v>
      </c>
      <c r="D47" s="15" t="n">
        <f aca="false">ABS(B47-C47)</f>
        <v>4.11318978876807E-010</v>
      </c>
      <c r="E47" s="31" t="n">
        <v>1E-006</v>
      </c>
      <c r="F47" s="4" t="str">
        <f aca="false">IF(D47&lt;=E47,"PASS","FAIL")</f>
        <v>PASS</v>
      </c>
    </row>
    <row r="48" customFormat="false" ht="15" hidden="false" customHeight="false" outlineLevel="0" collapsed="false">
      <c r="A48" s="2" t="s">
        <v>490</v>
      </c>
      <c r="B48" s="29" t="n">
        <f aca="false">FitExtrapolate!C58</f>
        <v>7</v>
      </c>
      <c r="C48" s="30" t="n">
        <f aca="false">Reference_Values!B48</f>
        <v>7</v>
      </c>
      <c r="D48" s="15" t="n">
        <f aca="false">ABS(B48-C48)</f>
        <v>0</v>
      </c>
      <c r="E48" s="31" t="n">
        <v>0</v>
      </c>
      <c r="F48" s="4" t="str">
        <f aca="false">IF(D48&lt;=E48,"PASS","FAIL")</f>
        <v>PASS</v>
      </c>
    </row>
    <row r="49" customFormat="false" ht="15" hidden="false" customHeight="false" outlineLevel="0" collapsed="false">
      <c r="A49" s="2" t="s">
        <v>492</v>
      </c>
      <c r="B49" s="29" t="n">
        <f aca="false">LeaveRecord!C9</f>
        <v>0</v>
      </c>
      <c r="C49" s="30" t="n">
        <f aca="false">Reference_Values!B49</f>
        <v>0</v>
      </c>
      <c r="D49" s="15" t="n">
        <f aca="false">ABS(B49-C49)</f>
        <v>0</v>
      </c>
      <c r="E49" s="31" t="n">
        <v>1E-009</v>
      </c>
      <c r="F49" s="4" t="str">
        <f aca="false">IF(D49&lt;=E49,"PASS","FAIL")</f>
        <v>PASS</v>
      </c>
    </row>
    <row r="50" customFormat="false" ht="15" hidden="false" customHeight="false" outlineLevel="0" collapsed="false">
      <c r="A50" s="2" t="s">
        <v>494</v>
      </c>
      <c r="B50" s="29" t="n">
        <f aca="false">LeaveRecord!C10</f>
        <v>0</v>
      </c>
      <c r="C50" s="30" t="n">
        <f aca="false">Reference_Values!B50</f>
        <v>0</v>
      </c>
      <c r="D50" s="15" t="n">
        <f aca="false">ABS(B50-C50)</f>
        <v>0</v>
      </c>
      <c r="E50" s="31" t="n">
        <v>1E-009</v>
      </c>
      <c r="F50" s="4" t="str">
        <f aca="false">IF(D50&lt;=E50,"PASS","FAIL")</f>
        <v>PASS</v>
      </c>
    </row>
    <row r="51" customFormat="false" ht="15" hidden="false" customHeight="false" outlineLevel="0" collapsed="false">
      <c r="A51" s="2" t="s">
        <v>495</v>
      </c>
      <c r="B51" s="29" t="n">
        <f aca="false">LeaveRecord!D16</f>
        <v>0</v>
      </c>
      <c r="C51" s="30" t="n">
        <f aca="false">Reference_Values!B51</f>
        <v>0</v>
      </c>
      <c r="D51" s="15" t="n">
        <f aca="false">ABS(B51-C51)</f>
        <v>0</v>
      </c>
      <c r="E51" s="31" t="n">
        <v>1E-009</v>
      </c>
      <c r="F51" s="4" t="str">
        <f aca="false">IF(D51&lt;=E51,"PASS","FAIL")</f>
        <v>PASS</v>
      </c>
    </row>
    <row r="52" customFormat="false" ht="15" hidden="false" customHeight="false" outlineLevel="0" collapsed="false">
      <c r="A52" s="2" t="s">
        <v>497</v>
      </c>
      <c r="B52" s="29" t="n">
        <f aca="false">LeaveRecord!B31</f>
        <v>3</v>
      </c>
      <c r="C52" s="30" t="n">
        <f aca="false">Reference_Values!B52</f>
        <v>3</v>
      </c>
      <c r="D52" s="15" t="n">
        <f aca="false">ABS(B52-C52)</f>
        <v>0</v>
      </c>
      <c r="E52" s="31" t="n">
        <v>1E-009</v>
      </c>
      <c r="F52" s="4" t="str">
        <f aca="false">IF(D52&lt;=E52,"PASS","FAIL")</f>
        <v>PASS</v>
      </c>
    </row>
    <row r="53" customFormat="false" ht="15" hidden="false" customHeight="false" outlineLevel="0" collapsed="false">
      <c r="A53" s="2" t="s">
        <v>499</v>
      </c>
      <c r="B53" s="29" t="n">
        <f aca="false">LeaveRecord!B32</f>
        <v>1.07704772198395</v>
      </c>
      <c r="C53" s="30" t="n">
        <f aca="false">Reference_Values!B53</f>
        <v>1.07704772198395</v>
      </c>
      <c r="D53" s="15" t="n">
        <f aca="false">ABS(B53-C53)</f>
        <v>0</v>
      </c>
      <c r="E53" s="31" t="n">
        <v>1E-009</v>
      </c>
      <c r="F53" s="4" t="str">
        <f aca="false">IF(D53&lt;=E53,"PASS","FAIL")</f>
        <v>PASS</v>
      </c>
    </row>
    <row r="54" customFormat="false" ht="15" hidden="false" customHeight="false" outlineLevel="0" collapsed="false">
      <c r="A54" s="2" t="s">
        <v>501</v>
      </c>
      <c r="B54" s="29" t="n">
        <f aca="false">Triggers!D20</f>
        <v>5</v>
      </c>
      <c r="C54" s="30" t="n">
        <f aca="false">Reference_Values!B54</f>
        <v>5</v>
      </c>
      <c r="D54" s="15" t="n">
        <f aca="false">ABS(B54-C54)</f>
        <v>0</v>
      </c>
      <c r="E54" s="31" t="n">
        <v>0</v>
      </c>
      <c r="F54" s="4" t="str">
        <f aca="false">IF(D54&lt;=E54,"PASS","FAIL")</f>
        <v>PASS</v>
      </c>
    </row>
    <row r="55" customFormat="false" ht="15" hidden="false" customHeight="false" outlineLevel="0" collapsed="false">
      <c r="A55" s="2" t="s">
        <v>502</v>
      </c>
      <c r="B55" s="29" t="n">
        <f aca="false">Triggers!E20</f>
        <v>1</v>
      </c>
      <c r="C55" s="30" t="n">
        <f aca="false">Reference_Values!B55</f>
        <v>1</v>
      </c>
      <c r="D55" s="15" t="n">
        <f aca="false">ABS(B55-C55)</f>
        <v>0</v>
      </c>
      <c r="E55" s="31" t="n">
        <v>0</v>
      </c>
      <c r="F55" s="4" t="str">
        <f aca="false">IF(D55&lt;=E55,"PASS","FAIL")</f>
        <v>PASS</v>
      </c>
    </row>
    <row r="56" customFormat="false" ht="15" hidden="false" customHeight="false" outlineLevel="0" collapsed="false">
      <c r="A56" s="2" t="s">
        <v>503</v>
      </c>
      <c r="B56" s="29" t="n">
        <f aca="false">Triggers!D21</f>
        <v>-1</v>
      </c>
      <c r="C56" s="30" t="n">
        <f aca="false">Reference_Values!B56</f>
        <v>-1</v>
      </c>
      <c r="D56" s="15" t="n">
        <f aca="false">ABS(B56-C56)</f>
        <v>0</v>
      </c>
      <c r="E56" s="31" t="n">
        <v>0</v>
      </c>
      <c r="F56" s="4" t="str">
        <f aca="false">IF(D56&lt;=E56,"PASS","FAIL")</f>
        <v>PASS</v>
      </c>
    </row>
    <row r="57" customFormat="false" ht="15" hidden="false" customHeight="false" outlineLevel="0" collapsed="false">
      <c r="A57" s="2" t="s">
        <v>505</v>
      </c>
      <c r="B57" s="29" t="n">
        <f aca="false">Triggers!E22</f>
        <v>2</v>
      </c>
      <c r="C57" s="30" t="n">
        <f aca="false">Reference_Values!B57</f>
        <v>2</v>
      </c>
      <c r="D57" s="15" t="n">
        <f aca="false">ABS(B57-C57)</f>
        <v>0</v>
      </c>
      <c r="E57" s="31" t="n">
        <v>0</v>
      </c>
      <c r="F57" s="4" t="str">
        <f aca="false">IF(D57&lt;=E57,"PASS","FAIL")</f>
        <v>PASS</v>
      </c>
    </row>
    <row r="58" customFormat="false" ht="15" hidden="false" customHeight="false" outlineLevel="0" collapsed="false">
      <c r="A58" s="2" t="s">
        <v>506</v>
      </c>
      <c r="B58" s="29" t="n">
        <f aca="false">Triggers!E23</f>
        <v>4</v>
      </c>
      <c r="C58" s="30" t="n">
        <f aca="false">Reference_Values!B58</f>
        <v>4</v>
      </c>
      <c r="D58" s="15" t="n">
        <f aca="false">ABS(B58-C58)</f>
        <v>0</v>
      </c>
      <c r="E58" s="31" t="n">
        <v>0</v>
      </c>
      <c r="F58" s="4" t="str">
        <f aca="false">IF(D58&lt;=E58,"PASS","FAIL")</f>
        <v>PASS</v>
      </c>
    </row>
    <row r="59" customFormat="false" ht="15" hidden="false" customHeight="false" outlineLevel="0" collapsed="false">
      <c r="A59" s="2" t="s">
        <v>507</v>
      </c>
      <c r="B59" s="29" t="n">
        <f aca="false">Triggers!E24</f>
        <v>0</v>
      </c>
      <c r="C59" s="30" t="n">
        <f aca="false">Reference_Values!B59</f>
        <v>0</v>
      </c>
      <c r="D59" s="15" t="n">
        <f aca="false">ABS(B59-C59)</f>
        <v>0</v>
      </c>
      <c r="E59" s="31" t="n">
        <v>0</v>
      </c>
      <c r="F59" s="4" t="str">
        <f aca="false">IF(D59&lt;=E59,"PASS","FAIL")</f>
        <v>PASS</v>
      </c>
    </row>
    <row r="60" customFormat="false" ht="15" hidden="false" customHeight="false" outlineLevel="0" collapsed="false">
      <c r="A60" s="2" t="s">
        <v>509</v>
      </c>
      <c r="B60" s="29" t="n">
        <f aca="false">Triggers!D25</f>
        <v>2</v>
      </c>
      <c r="C60" s="30" t="n">
        <f aca="false">Reference_Values!B60</f>
        <v>2</v>
      </c>
      <c r="D60" s="15" t="n">
        <f aca="false">ABS(B60-C60)</f>
        <v>0</v>
      </c>
      <c r="E60" s="31" t="n">
        <v>0</v>
      </c>
      <c r="F60" s="4" t="str">
        <f aca="false">IF(D60&lt;=E60,"PASS","FAIL")</f>
        <v>PASS</v>
      </c>
    </row>
    <row r="61" customFormat="false" ht="15" hidden="false" customHeight="false" outlineLevel="0" collapsed="false">
      <c r="A61" s="2" t="s">
        <v>510</v>
      </c>
      <c r="B61" s="29" t="n">
        <f aca="false">Triggers!D26</f>
        <v>4</v>
      </c>
      <c r="C61" s="30" t="n">
        <f aca="false">Reference_Values!B61</f>
        <v>4</v>
      </c>
      <c r="D61" s="15" t="n">
        <f aca="false">ABS(B61-C61)</f>
        <v>0</v>
      </c>
      <c r="E61" s="31" t="n">
        <v>0</v>
      </c>
      <c r="F61" s="4" t="str">
        <f aca="false">IF(D61&lt;=E61,"PASS","FAIL")</f>
        <v>PASS</v>
      </c>
    </row>
    <row r="62" customFormat="false" ht="15" hidden="false" customHeight="false" outlineLevel="0" collapsed="false">
      <c r="A62" s="2" t="s">
        <v>323</v>
      </c>
      <c r="B62" s="29" t="n">
        <f aca="false">Contract!B12</f>
        <v>8</v>
      </c>
      <c r="C62" s="30" t="n">
        <f aca="false">Reference_Values!B62</f>
        <v>8</v>
      </c>
      <c r="D62" s="15" t="n">
        <f aca="false">ABS(B62-C62)</f>
        <v>0</v>
      </c>
      <c r="E62" s="31" t="n">
        <v>0</v>
      </c>
      <c r="F62" s="4" t="str">
        <f aca="false">IF(D62&lt;=E62,"PASS","FAIL")</f>
        <v>PASS</v>
      </c>
    </row>
    <row r="63" customFormat="false" ht="15" hidden="false" customHeight="false" outlineLevel="0" collapsed="false">
      <c r="A63" s="2" t="s">
        <v>343</v>
      </c>
      <c r="B63" s="29" t="n">
        <f aca="false">Contract!B21</f>
        <v>5</v>
      </c>
      <c r="C63" s="30" t="n">
        <f aca="false">Reference_Values!B63</f>
        <v>5</v>
      </c>
      <c r="D63" s="15" t="n">
        <f aca="false">ABS(B63-C63)</f>
        <v>0</v>
      </c>
      <c r="E63" s="31" t="n">
        <v>0</v>
      </c>
      <c r="F63" s="4" t="str">
        <f aca="false">IF(D63&lt;=E63,"PASS","FAIL")</f>
        <v>PASS</v>
      </c>
    </row>
    <row r="64" customFormat="false" ht="15" hidden="false" customHeight="false" outlineLevel="0" collapsed="false">
      <c r="A64" s="2" t="s">
        <v>392</v>
      </c>
      <c r="B64" s="29" t="n">
        <f aca="false">Contract!B52</f>
        <v>4</v>
      </c>
      <c r="C64" s="30" t="n">
        <f aca="false">Reference_Values!B64</f>
        <v>4</v>
      </c>
      <c r="D64" s="15" t="n">
        <f aca="false">ABS(B64-C64)</f>
        <v>0</v>
      </c>
      <c r="E64" s="31" t="n">
        <v>0</v>
      </c>
      <c r="F64" s="4" t="str">
        <f aca="false">IF(D64&lt;=E64,"PASS","FAIL")</f>
        <v>PASS</v>
      </c>
    </row>
    <row r="65" customFormat="false" ht="15" hidden="false" customHeight="false" outlineLevel="0" collapsed="false">
      <c r="A65" s="2" t="s">
        <v>402</v>
      </c>
      <c r="B65" s="29" t="n">
        <f aca="false">Contract!B59</f>
        <v>4</v>
      </c>
      <c r="C65" s="30" t="n">
        <f aca="false">Reference_Values!B65</f>
        <v>4</v>
      </c>
      <c r="D65" s="15" t="n">
        <f aca="false">ABS(B65-C65)</f>
        <v>0</v>
      </c>
      <c r="E65" s="31" t="n">
        <v>0</v>
      </c>
      <c r="F65" s="4" t="str">
        <f aca="false">IF(D65&lt;=E65,"PASS","FAIL")</f>
        <v>PASS</v>
      </c>
    </row>
    <row r="66" customFormat="false" ht="15" hidden="false" customHeight="false" outlineLevel="0" collapsed="false">
      <c r="A66" s="2" t="s">
        <v>362</v>
      </c>
      <c r="B66" s="29" t="n">
        <f aca="false">Contract!B37</f>
        <v>7</v>
      </c>
      <c r="C66" s="30" t="n">
        <f aca="false">Reference_Values!B66</f>
        <v>7</v>
      </c>
      <c r="D66" s="15" t="n">
        <f aca="false">ABS(B66-C66)</f>
        <v>0</v>
      </c>
      <c r="E66" s="31" t="n">
        <v>0</v>
      </c>
      <c r="F66" s="4" t="str">
        <f aca="false">IF(D66&lt;=E66,"PASS","FAIL")</f>
        <v>PASS</v>
      </c>
    </row>
    <row r="67" customFormat="false" ht="15" hidden="false" customHeight="false" outlineLevel="0" collapsed="false">
      <c r="A67" s="2" t="s">
        <v>371</v>
      </c>
      <c r="B67" s="29" t="n">
        <f aca="false">Contract!B45</f>
        <v>4</v>
      </c>
      <c r="C67" s="30" t="n">
        <f aca="false">Reference_Values!B67</f>
        <v>4</v>
      </c>
      <c r="D67" s="15" t="n">
        <f aca="false">ABS(B67-C67)</f>
        <v>0</v>
      </c>
      <c r="E67" s="31" t="n">
        <v>0</v>
      </c>
      <c r="F67" s="4" t="str">
        <f aca="false">IF(D67&lt;=E67,"PASS","FAIL")</f>
        <v>PASS</v>
      </c>
    </row>
    <row r="69" customFormat="false" ht="15" hidden="false" customHeight="false" outlineLevel="0" collapsed="false">
      <c r="A69" s="4" t="s">
        <v>520</v>
      </c>
      <c r="F69" s="4" t="str">
        <f aca="false">IF(COUNTIF(F2:F67,"PASS")=66,"ALL PASS","CHECK")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2026-10-05T08:37:24Z</dcterms:created>
  <dc:creator>openpyxl</dc:creator>
  <dc:description/>
  <dc:language>en-US</dc:language>
  <cp:lastModifiedBy/>
  <dcterms:modified xsi:type="dcterms:W3CDTF">2026-10-05T08:37:24Z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