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State" sheetId="3" state="visible" r:id="rId5"/>
    <sheet name="Walls" sheetId="4" state="visible" r:id="rId6"/>
    <sheet name="Blend" sheetId="5" state="visible" r:id="rId7"/>
    <sheet name="PathSampling" sheetId="6" state="visible" r:id="rId8"/>
    <sheet name="Turnaround" sheetId="7" state="visible" r:id="rId9"/>
    <sheet name="Equilibria" sheetId="8" state="visible" r:id="rId10"/>
    <sheet name="Profiles" sheetId="9" state="visible" r:id="rId11"/>
    <sheet name="Reference_Values" sheetId="10" state="visible" r:id="rId12"/>
    <sheet name="Checks" sheetId="11" state="visible" r:id="rId13"/>
  </sheets>
  <definedNames>
    <definedName function="false" hidden="false" name="Attr_hi" vbProcedure="false">Declarations!$C$49</definedName>
    <definedName function="false" hidden="false" name="Attr_lo" vbProcedure="false">Declarations!$C$48</definedName>
    <definedName function="false" hidden="false" name="Covenant" vbProcedure="false">Declarations!$C$18</definedName>
    <definedName function="false" hidden="false" name="Eff_today" vbProcedure="false">Declarations!$C$8</definedName>
    <definedName function="false" hidden="false" name="Floor_pt" vbProcedure="false">Declarations!$C$17</definedName>
    <definedName function="false" hidden="false" name="Floor_usd" vbProcedure="false">Declarations!$C$16</definedName>
    <definedName function="false" hidden="false" name="Idx_hi" vbProcedure="false">Declarations!$C$21</definedName>
    <definedName function="false" hidden="false" name="Idx_lo" vbProcedure="false">Declarations!$C$20</definedName>
    <definedName function="false" hidden="false" name="Lev_today" vbProcedure="false">Declarations!$C$5</definedName>
    <definedName function="false" hidden="false" name="Liq_today" vbProcedure="false">Declarations!$C$4</definedName>
    <definedName function="false" hidden="false" name="Liq_usd" vbProcedure="false">Declarations!$C$14</definedName>
    <definedName function="false" hidden="false" name="Risk_ceiling" vbProcedure="false">Declarations!$C$19</definedName>
    <definedName function="false" hidden="false" name="Risk_today" vbProcedure="false">Declarations!$C$10</definedName>
    <definedName function="false" hidden="false" name="ROIC_today" vbProcedure="false">Declarations!$C$9</definedName>
    <definedName function="false" hidden="false" name="Share_today" vbProcedure="false">Declarations!$C$11</definedName>
    <definedName function="false" hidden="false" name="Shr_hi" vbProcedure="false">Declarations!$C$23</definedName>
    <definedName function="false" hidden="false" name="Shr_lo" vbProcedure="false">Declarations!$C$22</definedName>
    <definedName function="false" hidden="false" name="Tech_today" vbProcedure="false">Declarations!$C$7</definedName>
    <definedName function="false" hidden="false" name="T_sale" vbProcedure="false">Declarations!$C$24</definedName>
    <definedName function="false" hidden="false" name="USD_pt" vbProcedure="false">Declarations!$C$15</definedName>
    <definedName function="false" hidden="false" name="Wf_today" vbProcedure="false">Declarations!$C$6</definedName>
    <definedName function="false" hidden="false" name="W_E" vbProcedure="false">Declarations!$C$44</definedName>
    <definedName function="false" hidden="false" name="W_L" vbProcedure="false">Declarations!$C$42</definedName>
    <definedName function="false" hidden="false" name="W_R" vbProcedure="false">Declarations!$C$45</definedName>
    <definedName function="false" hidden="false" name="W_T" vbProcedure="false">Declarations!$C$43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<sst xmlns="http://schemas.openxmlformats.org/spreadsheetml/2006/main" count="869" uniqueCount="557">
  <si>
    <t xml:space="preserve">DCT Laboratory — Vol I, Ch 5: Enterprise State Representation</t>
  </si>
  <si>
    <t xml:space="preserve">Seed 26105 · Companion to DCT_V1_Ch05_Lab.ipynb and AXIOM Lab 1.5 (module AXIOM-05). Money in $ million; liquidity also as an index, today = 100 = $620 million.</t>
  </si>
  <si>
    <t xml:space="preserve">Worked Example 5.1, Where Does the Turnaround Settle?, with the book's declarations, and the five steps of AXIOM Lab 1.5, Meridian's Room to Maneuver.</t>
  </si>
  <si>
    <t xml:space="preserve">Declarations: Meridian's declared state (Table 5.2), the walls with numbers (Table 5.4), Chapter 1's model (Online Appendix 1.B.4, Table 1.B.1) and its scorecard.</t>
  </si>
  <si>
    <t xml:space="preserve">State: the eight readings with their types, tags and scaled errors; the attrition rate's switch from parameter to state variable (lab step 1).</t>
  </si>
  <si>
    <t xml:space="preserve">Walls: slack on every wall today, at the digital low point (Newton's method) and at its tightest along each option's five-year path, month by month (Proposition 5.5; Figure 5.4; lab step 2).</t>
  </si>
  <si>
    <t xml:space="preserve">Blend: two configurations under a capacity budget and a minimum efficient scale (Theorem 5.2(iii); Figure 5.1), and a covenant written weakly and strictly (Theorem 5.5).</t>
  </si>
  <si>
    <t xml:space="preserve">PathSampling: the digital liquidity path stepped quarterly and half-yearly with its exact flow map, its two phases joined, and the steps undone (Propositions 5.3-5.4; Figure 5.2; lab step 3).</t>
  </si>
  <si>
    <t xml:space="preserve">Turnaround: the annual map, the contraction constant, the day-one bound and Table 5.5, and the same map from two other starting states (Theorem 5.4(i); Equation 5.1; Worked Example 5.1; lab step 4).</t>
  </si>
  <si>
    <t xml:space="preserve">Equilibria: the start-up, the unstable middle and the service operation of Online Appendix 5.B.4-5.B.7.</t>
  </si>
  <si>
    <t xml:space="preserve">Profiles: today and the Year-5 states on Chapter 3's scale, the distance readout, and the volume of a ball in a cube (Figure 5.5; Section 5.8; lab step 5).</t>
  </si>
  <si>
    <t xml:space="preserve">Every result is a formula of the declarations.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</si>
  <si>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</si>
  <si>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</si>
  <si>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</si>
  <si>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</si>
  <si>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</si>
  <si>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(Tables 5.2 and 5.4; Chapter 1's model, Online Appendix 1.B.4). Money in $ million; liquidity also as an index, today = 100.</t>
  </si>
  <si>
    <t xml:space="preserve">x</t>
  </si>
  <si>
    <t xml:space="preserve">Reading</t>
  </si>
  <si>
    <t xml:space="preserve">Today</t>
  </si>
  <si>
    <t xml:space="preserve">Unit</t>
  </si>
  <si>
    <t xml:space="preserve">Type (Table 5.1)</t>
  </si>
  <si>
    <t xml:space="preserve">Measured by</t>
  </si>
  <si>
    <t xml:space="preserve">Error as printed</t>
  </si>
  <si>
    <t xml:space="preserve">Error in the reading's unit</t>
  </si>
  <si>
    <t xml:space="preserve">Chapter 3 scale</t>
  </si>
  <si>
    <t xml:space="preserve">Tag (Part III)</t>
  </si>
  <si>
    <t xml:space="preserve">x1</t>
  </si>
  <si>
    <t xml:space="preserve">liquidity</t>
  </si>
  <si>
    <t xml:space="preserve">index, today = 100 = $620 million (US$ billion in Table 5.2)</t>
  </si>
  <si>
    <t xml:space="preserve">stock</t>
  </si>
  <si>
    <t xml:space="preserve">treasury systems</t>
  </si>
  <si>
    <t xml:space="preserve">+/-1%</t>
  </si>
  <si>
    <t xml:space="preserve">ECA</t>
  </si>
  <si>
    <t xml:space="preserve">x2</t>
  </si>
  <si>
    <t xml:space="preserve">net leverage</t>
  </si>
  <si>
    <t xml:space="preserve">ND/EBITDA</t>
  </si>
  <si>
    <t xml:space="preserve">ratio</t>
  </si>
  <si>
    <t xml:space="preserve">audited accounts</t>
  </si>
  <si>
    <t xml:space="preserve">+/-2%</t>
  </si>
  <si>
    <t xml:space="preserve">x3</t>
  </si>
  <si>
    <t xml:space="preserve">workforce capability</t>
  </si>
  <si>
    <t xml:space="preserve">0-100</t>
  </si>
  <si>
    <t xml:space="preserve">index</t>
  </si>
  <si>
    <t xml:space="preserve">skills survey</t>
  </si>
  <si>
    <t xml:space="preserve">+/-5</t>
  </si>
  <si>
    <t xml:space="preserve">x4</t>
  </si>
  <si>
    <t xml:space="preserve">technology platform</t>
  </si>
  <si>
    <t xml:space="preserve">architecture audit</t>
  </si>
  <si>
    <t xml:space="preserve">+/-4</t>
  </si>
  <si>
    <t xml:space="preserve">x5</t>
  </si>
  <si>
    <t xml:space="preserve">operational efficiency</t>
  </si>
  <si>
    <t xml:space="preserve">cost benchmarking</t>
  </si>
  <si>
    <t xml:space="preserve">+/-3</t>
  </si>
  <si>
    <t xml:space="preserve">EPA</t>
  </si>
  <si>
    <t xml:space="preserve">x6</t>
  </si>
  <si>
    <t xml:space="preserve">ROIC</t>
  </si>
  <si>
    <t xml:space="preserve">+/-0.4 pp</t>
  </si>
  <si>
    <t xml:space="preserve">x7</t>
  </si>
  <si>
    <t xml:space="preserve">strategic risk (lower is better)</t>
  </si>
  <si>
    <t xml:space="preserve">risk committee</t>
  </si>
  <si>
    <t xml:space="preserve">+/-6</t>
  </si>
  <si>
    <t xml:space="preserve">ERRA</t>
  </si>
  <si>
    <t xml:space="preserve">x8</t>
  </si>
  <si>
    <t xml:space="preserve">market share</t>
  </si>
  <si>
    <t xml:space="preserve">industry data</t>
  </si>
  <si>
    <t xml:space="preserve">+/-0.8 pp</t>
  </si>
  <si>
    <t xml:space="preserve">Quantity</t>
  </si>
  <si>
    <t xml:space="preserve">Value</t>
  </si>
  <si>
    <t xml:space="preserve">Declared in</t>
  </si>
  <si>
    <t xml:space="preserve">Liquidity today ($ million)</t>
  </si>
  <si>
    <t xml:space="preserve">Table 5.2; Chapter 3, Table 3.1: $0.62 billion</t>
  </si>
  <si>
    <t xml:space="preserve">$ million per liquidity point</t>
  </si>
  <si>
    <t xml:space="preserve">today = 100 = $620 million</t>
  </si>
  <si>
    <t xml:space="preserve">Board liquidity floor ($ million)</t>
  </si>
  <si>
    <t xml:space="preserve">Table 5.4: policy, $0.35 billion</t>
  </si>
  <si>
    <t xml:space="preserve">The floor as a liquidity index</t>
  </si>
  <si>
    <t xml:space="preserve">Loan covenant: net leverage at most</t>
  </si>
  <si>
    <t xml:space="preserve">Table 5.4: regulatory and contractual</t>
  </si>
  <si>
    <t xml:space="preserve">Strategic-risk ceiling</t>
  </si>
  <si>
    <t xml:space="preserve">Table 5.4: policy</t>
  </si>
  <si>
    <t xml:space="preserve">Indices: lowest</t>
  </si>
  <si>
    <t xml:space="preserve">Table 5.4: definitional</t>
  </si>
  <si>
    <t xml:space="preserve">Indices: highest</t>
  </si>
  <si>
    <t xml:space="preserve">Shares: lowest</t>
  </si>
  <si>
    <t xml:space="preserve">Shares: highest</t>
  </si>
  <si>
    <t xml:space="preserve">The restructuring's sale closes at t (years)</t>
  </si>
  <si>
    <t xml:space="preserve">Online Appendix 1.B.4</t>
  </si>
  <si>
    <t xml:space="preserve">Option</t>
  </si>
  <si>
    <t xml:space="preserve">Target</t>
  </si>
  <si>
    <t xml:space="preserve">Speed k (a year)</t>
  </si>
  <si>
    <t xml:space="preserve">Trough (sign x depth)</t>
  </si>
  <si>
    <t xml:space="preserve">Trough time tau</t>
  </si>
  <si>
    <t xml:space="preserve">Jump at the sale</t>
  </si>
  <si>
    <t xml:space="preserve">Digital</t>
  </si>
  <si>
    <t xml:space="preserve">technology</t>
  </si>
  <si>
    <t xml:space="preserve">efficiency</t>
  </si>
  <si>
    <t xml:space="preserve">strategic risk</t>
  </si>
  <si>
    <t xml:space="preserve">Restructuring</t>
  </si>
  <si>
    <t xml:space="preserve">Turnaround</t>
  </si>
  <si>
    <t xml:space="preserve">Table 1.B.1 (Online Appendix 1.B.4), Equation 1.B.1; a blank trough is 0 (its time is then unused). The turnaround is Worked Example 5.1's: targets 106, 33, 79, 67.</t>
  </si>
  <si>
    <t xml:space="preserve">Chapter 1's scorecard</t>
  </si>
  <si>
    <t xml:space="preserve">Weight</t>
  </si>
  <si>
    <t xml:space="preserve">strategic risk (subtracted)</t>
  </si>
  <si>
    <t xml:space="preserve">The attrition rate (Table 5.1: a parameter)</t>
  </si>
  <si>
    <t xml:space="preserve">Attrition a year: lowest</t>
  </si>
  <si>
    <t xml:space="preserve">Chapter 4, Table 4.3: talent attrition 6-11 percent a year</t>
  </si>
  <si>
    <t xml:space="preserve">Attrition a year: highest</t>
  </si>
  <si>
    <t xml:space="preserve">Declare the state: Meridian's eight readings (Tables 5.1-5.2; Definitions 5.2-5.3; AXIOM Lab 1.5, step 1)</t>
  </si>
  <si>
    <t xml:space="preserve">Chapter 3's scale divides indices by their range of 100 and the other readings by today's value; the scaled error puts the error bars on one footing.</t>
  </si>
  <si>
    <t xml:space="preserve">Scaled error</t>
  </si>
  <si>
    <t xml:space="preserve">Readings in the declared state</t>
  </si>
  <si>
    <t xml:space="preserve">Stocks</t>
  </si>
  <si>
    <t xml:space="preserve">Ratios</t>
  </si>
  <si>
    <t xml:space="preserve">Indices</t>
  </si>
  <si>
    <t xml:space="preserve">Capital readings (ECA)</t>
  </si>
  <si>
    <t xml:space="preserve">Performance readings (EPA)</t>
  </si>
  <si>
    <t xml:space="preserve">Risk readings (ERRA)</t>
  </si>
  <si>
    <t xml:space="preserve">Widest scaled error</t>
  </si>
  <si>
    <t xml:space="preserve">Second widest scaled error</t>
  </si>
  <si>
    <t xml:space="preserve">The switch: promote the attrition rate to a state variable</t>
  </si>
  <si>
    <t xml:space="preserve">Dimension before the switch</t>
  </si>
  <si>
    <t xml:space="preserve">Dimension after the switch</t>
  </si>
  <si>
    <t xml:space="preserve">Attrition a year: declared lowest</t>
  </si>
  <si>
    <t xml:space="preserve">Attrition a year: declared highest</t>
  </si>
  <si>
    <t xml:space="preserve">Chapter 1's model reads no attrition rate, so the eight readings' paths are the same from either end of its range (Walls), and the ninth coordinate stays where it starts: at a five-year horizon it is a parameter (Table 5.1). By Theorem 5.1 it earns a place in the state only in a model whose future depends on it.</t>
  </si>
  <si>
    <t xml:space="preserve">Build the walls: slack on every wall of Table 5.4, today, at the digital low point and along each option's path (Proposition 5.5; Figure 5.4; AXIOM Lab 1.5, step 2)</t>
  </si>
  <si>
    <t xml:space="preserve">Slack is the room left before a wall, in the wall's unit; zero means the wall binds. Chapter 1's model moves liquidity, technology, efficiency and strategic risk; leverage, workforce, ROIC and market share stay at today's values, so the covenant's slack is held.</t>
  </si>
  <si>
    <t xml:space="preserve">Wall (Table 5.4)</t>
  </si>
  <si>
    <t xml:space="preserve">Type</t>
  </si>
  <si>
    <t xml:space="preserve">Digital low point</t>
  </si>
  <si>
    <t xml:space="preserve">Tightest: digital</t>
  </si>
  <si>
    <t xml:space="preserve">Month</t>
  </si>
  <si>
    <t xml:space="preserve">Tightest: restructuring</t>
  </si>
  <si>
    <t xml:space="preserve">Tightest: turnaround</t>
  </si>
  <si>
    <t xml:space="preserve">Liquidity at least zero</t>
  </si>
  <si>
    <t xml:space="preserve">physical</t>
  </si>
  <si>
    <t xml:space="preserve">$ million</t>
  </si>
  <si>
    <t xml:space="preserve">Board floor: liquidity at least $350 million</t>
  </si>
  <si>
    <t xml:space="preserve">policy</t>
  </si>
  <si>
    <t xml:space="preserve">Covenant: net leverage at most 4.5</t>
  </si>
  <si>
    <t xml:space="preserve">regulatory and contractual</t>
  </si>
  <si>
    <t xml:space="preserve">turns</t>
  </si>
  <si>
    <t xml:space="preserve">held</t>
  </si>
  <si>
    <t xml:space="preserve">Risk ceiling: strategic risk at most 75</t>
  </si>
  <si>
    <t xml:space="preserve">points</t>
  </si>
  <si>
    <t xml:space="preserve">Indices between 0 and 100</t>
  </si>
  <si>
    <t xml:space="preserve">definitional</t>
  </si>
  <si>
    <t xml:space="preserve">Shares between 0 and 1</t>
  </si>
  <si>
    <t xml:space="preserve">share</t>
  </si>
  <si>
    <t xml:space="preserve">Walls binding (slack zero)</t>
  </si>
  <si>
    <t xml:space="preserve">The digital low point: Newton's method on the slope of liquidity</t>
  </si>
  <si>
    <t xml:space="preserve">t (years)</t>
  </si>
  <si>
    <t xml:space="preserve">slope x'(t)</t>
  </si>
  <si>
    <t xml:space="preserve">curvature x''(t)</t>
  </si>
  <si>
    <t xml:space="preserve">reading x(t)</t>
  </si>
  <si>
    <t xml:space="preserve">iteration 0 (start: month 21)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</si>
  <si>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</si>
  <si>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</si>
  <si>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</si>
  <si>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</si>
  <si>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</si>
  <si>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Time of the low point (years)</t>
  </si>
  <si>
    <t xml:space="preserve">Low point (liquidity index)</t>
  </si>
  <si>
    <t xml:space="preserve">Low point ($ million)</t>
  </si>
  <si>
    <t xml:space="preserve">Low point (month)</t>
  </si>
  <si>
    <t xml:space="preserve">Slack above the floor at the low point ($ million)</t>
  </si>
  <si>
    <t xml:space="preserve">Highest floor the digital program can meet ($ million)</t>
  </si>
  <si>
    <t xml:space="preserve">Lowest monthly reading (index)</t>
  </si>
  <si>
    <t xml:space="preserve">Its month</t>
  </si>
  <si>
    <t xml:space="preserve">The digital strategic-risk peak: Newton's method on the slope of strategic risk</t>
  </si>
  <si>
    <t xml:space="preserve">iteration 0 (start: month 11)</t>
  </si>
  <si>
    <t xml:space="preserve">Time of the peak (years)</t>
  </si>
  <si>
    <t xml:space="preserve">Strategic-risk peak</t>
  </si>
  <si>
    <t xml:space="preserve">Margin under the risk ceiling</t>
  </si>
  <si>
    <t xml:space="preserve">Highest monthly reading</t>
  </si>
  <si>
    <t xml:space="preserve">Section 5.7: in Figure 5.4's projection the floor is the wall the digital program approaches most closely. Off that projection the risk ceiling comes closer: strategic risk peaks 1.4 points under 75 in month 11 (Chapter 1, Table 1.5; Worked Example 16.1), inside the risk committee's +/-6 reading error.</t>
  </si>
  <si>
    <t xml:space="preserve">Digital: liquidity</t>
  </si>
  <si>
    <t xml:space="preserve">Restructuring: liquidity</t>
  </si>
  <si>
    <t xml:space="preserve">Turnaround: liquidity</t>
  </si>
  <si>
    <t xml:space="preserve">Digital: liquidity ($m)</t>
  </si>
  <si>
    <t xml:space="preserve">floor slack ($m)</t>
  </si>
  <si>
    <t xml:space="preserve">risk-ceiling slack</t>
  </si>
  <si>
    <t xml:space="preserve">index slack</t>
  </si>
  <si>
    <t xml:space="preserve">Restructuring: liquidity ($m)</t>
  </si>
  <si>
    <t xml:space="preserve">Turnaround: liquidity ($m)</t>
  </si>
  <si>
    <t xml:space="preserve">A wall that is not convex: blending two configurations (Theorem 5.2(iii); Figure 5.1; Theorem 5.5; AXIOM Lab 1.5, step 2)</t>
  </si>
  <si>
    <t xml:space="preserve">Configuration</t>
  </si>
  <si>
    <t xml:space="preserve">Legacy platform</t>
  </si>
  <si>
    <t xml:space="preserve">New platform</t>
  </si>
  <si>
    <t xml:space="preserve">A</t>
  </si>
  <si>
    <t xml:space="preserve">B</t>
  </si>
  <si>
    <t xml:space="preserve">Capacity budget: legacy + new at most</t>
  </si>
  <si>
    <t xml:space="preserve">Minimum efficient scale: legacy 0 or at least</t>
  </si>
  <si>
    <t xml:space="preserve">Weight on A</t>
  </si>
  <si>
    <t xml:space="preserve">Legacy</t>
  </si>
  <si>
    <t xml:space="preserve">New</t>
  </si>
  <si>
    <t xml:space="preserve">Budget slack</t>
  </si>
  <si>
    <t xml:space="preserve">Minimum-scale g = min(legacy, 60 - legacy)</t>
  </si>
  <si>
    <t xml:space="preserve">Under the budget alone</t>
  </si>
  <si>
    <t xml:space="preserve">With the minimum scale</t>
  </si>
  <si>
    <t xml:space="preserve">Blends feasible under the budget alone (of 21)</t>
  </si>
  <si>
    <t xml:space="preserve">Blends feasible with the minimum scale (of 21)</t>
  </si>
  <si>
    <t xml:space="preserve">Minimum-scale g at the 50/50 blend (legacy 40, new 50)</t>
  </si>
  <si>
    <t xml:space="preserve">Smallest positive weight on A that is feasible: 60 / 80</t>
  </si>
  <si>
    <t xml:space="preserve">Both pure configurations are feasible; the 50/50 blend runs legacy at 40, too small to run economically and too large to have been shut (Section 5.4).</t>
  </si>
  <si>
    <t xml:space="preserve">Theorem 5.5: k</t>
  </si>
  <si>
    <t xml:space="preserve">Leverage 4.5 - 1/k</t>
  </si>
  <si>
    <t xml:space="preserve">Weak covenant (at most 4.5)</t>
  </si>
  <si>
    <t xml:space="preserve">Strict covenant (below 4.5)</t>
  </si>
  <si>
    <t xml:space="preserve">the limit</t>
  </si>
  <si>
    <t xml:space="preserve">Written strictly, the covenant excludes the state in which it binds: feasible states converge to an infeasible limit, and no feasible state is the most levered (Theorem 5.5(iii)).</t>
  </si>
  <si>
    <t xml:space="preserve">Sample a path: the digital program's liquidity quarter by quarter and half-year by half-year (Definition 5.6; Propositions 5.3-5.4; Figure 5.2; AXIOM Lab 1.5, step 3)</t>
  </si>
  <si>
    <t xml:space="preserve">Equation 1.B.1 as a system in three numbers, (x, z1, z2): z2 is the trough term, z1 drives it, and x - z2 relaxes toward the target. The step over a spacing d is exact: y = x - z2 becomes T + (y - T)e^(-kd); z1 becomes z1 e^(-d/tau); z2 becomes (z2 + d z1)e^(-d/tau); x is the new y plus the new z2.</t>
  </si>
  <si>
    <t xml:space="preserve">Parameter</t>
  </si>
  <si>
    <t xml:space="preserve">Proposition 5.3</t>
  </si>
  <si>
    <t xml:space="preserve">Target T</t>
  </si>
  <si>
    <t xml:space="preserve">Phases join at year 2 (liquidity index)</t>
  </si>
  <si>
    <t xml:space="preserve">Largest |quarterly steps - closed form|</t>
  </si>
  <si>
    <t xml:space="preserve">Trough (sign x depth) D</t>
  </si>
  <si>
    <t xml:space="preserve">Largest |half-yearly - two quarterly steps|</t>
  </si>
  <si>
    <t xml:space="preserve">Trough time tau (years)</t>
  </si>
  <si>
    <t xml:space="preserve">Largest |build + scale-up - whole path|</t>
  </si>
  <si>
    <t xml:space="preserve">Liquidity today (index)</t>
  </si>
  <si>
    <t xml:space="preserve">Twenty quarters back: today's liquidity</t>
  </si>
  <si>
    <t xml:space="preserve">z1 at the start, D e / tau</t>
  </si>
  <si>
    <t xml:space="preserve">Lowest quarterly reading (index)</t>
  </si>
  <si>
    <t xml:space="preserve">A quarter (years)</t>
  </si>
  <si>
    <t xml:space="preserve">A half-year (years)</t>
  </si>
  <si>
    <t xml:space="preserve">Quarter</t>
  </si>
  <si>
    <t xml:space="preserve">x: liquidity</t>
  </si>
  <si>
    <t xml:space="preserve">z1</t>
  </si>
  <si>
    <t xml:space="preserve">z2</t>
  </si>
  <si>
    <t xml:space="preserve">Chapter 1's closed form</t>
  </si>
  <si>
    <t xml:space="preserve">|difference|</t>
  </si>
  <si>
    <t xml:space="preserve">Half-year</t>
  </si>
  <si>
    <t xml:space="preserve">Two quarterly steps: x</t>
  </si>
  <si>
    <t xml:space="preserve">Phase 2 from the build's end: quarter</t>
  </si>
  <si>
    <t xml:space="preserve">Whole path: x</t>
  </si>
  <si>
    <t xml:space="preserve">Undo: quarters back from year 5</t>
  </si>
  <si>
    <t xml:space="preserve">Find the steady state: the turnaround's annual map, the day-one bound and Table 5.5 (Theorem 5.4(i); Equation 5.1; Worked Example 5.1; AXIOM Lab 1.5, step 4)</t>
  </si>
  <si>
    <t xml:space="preserve">Liquidity (index)</t>
  </si>
  <si>
    <t xml:space="preserve">Technology</t>
  </si>
  <si>
    <t xml:space="preserve">Efficiency</t>
  </si>
  <si>
    <t xml:space="preserve">Strategic risk</t>
  </si>
  <si>
    <t xml:space="preserve">Convergence budget</t>
  </si>
  <si>
    <t xml:space="preserve">Worked Example 5.1</t>
  </si>
  <si>
    <t xml:space="preserve">Target: the steady state</t>
  </si>
  <si>
    <t xml:space="preserve">First year the day-one bound is below one point</t>
  </si>
  <si>
    <t xml:space="preserve">Step 3: year 15</t>
  </si>
  <si>
    <t xml:space="preserve">Speed a year (Chapter 1's model)</t>
  </si>
  <si>
    <t xml:space="preserve">First year the largest gap is below one point</t>
  </si>
  <si>
    <t xml:space="preserve">Step 4: year 11</t>
  </si>
  <si>
    <t xml:space="preserve">Factor: next year's gap / this year's</t>
  </si>
  <si>
    <t xml:space="preserve">Scorecard at the steady state</t>
  </si>
  <si>
    <t xml:space="preserve">Table 5.5: 37.8</t>
  </si>
  <si>
    <t xml:space="preserve">Share of the gap closed a year</t>
  </si>
  <si>
    <t xml:space="preserve">Scorecard's peak, years 0-15</t>
  </si>
  <si>
    <t xml:space="preserve">about 38.4 in years 3-5</t>
  </si>
  <si>
    <t xml:space="preserve">Its year</t>
  </si>
  <si>
    <t xml:space="preserve">Contraction constant L, the largest factor</t>
  </si>
  <si>
    <t xml:space="preserve">Table 5.5 (Worked Example 5.1)</t>
  </si>
  <si>
    <t xml:space="preserve">Steady state</t>
  </si>
  <si>
    <t xml:space="preserve">Set by</t>
  </si>
  <si>
    <t xml:space="preserve">Year</t>
  </si>
  <si>
    <t xml:space="preserve">Largest first-year move</t>
  </si>
  <si>
    <t xml:space="preserve">Day-one bound coefficient: move / (1 - L)</t>
  </si>
  <si>
    <t xml:space="preserve">Liquidity</t>
  </si>
  <si>
    <t xml:space="preserve">Largest gap</t>
  </si>
  <si>
    <t xml:space="preserve">Day-one bound</t>
  </si>
  <si>
    <t xml:space="preserve">Scorecard</t>
  </si>
  <si>
    <t xml:space="preserve">Largest gap to steady state</t>
  </si>
  <si>
    <t xml:space="preserve">AXIOM Lab 1.5, step 4: run the map from two other starting states. From the digital Year-5 state the bound is attained: technology makes the largest first move and is also the slowest reading.</t>
  </si>
  <si>
    <t xml:space="preserve">From the digital Year-5 state</t>
  </si>
  <si>
    <t xml:space="preserve">From the restructuring Year-5 state</t>
  </si>
  <si>
    <t xml:space="preserve">Bound coefficient</t>
  </si>
  <si>
    <t xml:space="preserve">First year below one point: bound, then actual</t>
  </si>
  <si>
    <t xml:space="preserve">Years the gap exceeds its bound</t>
  </si>
  <si>
    <t xml:space="preserve">Two more equilibrium worlds: a start-up, an unstable middle, a coupled contraction (Figure 5.3; Online Appendix 5.B.4-5.B.7; AXIOM Lab 1.5, step 4)</t>
  </si>
  <si>
    <t xml:space="preserve">The start-up (Online Appendix 5.B.7)</t>
  </si>
  <si>
    <t xml:space="preserve">Book</t>
  </si>
  <si>
    <t xml:space="preserve">Stuck in the middle (5.B.6): f(x) = 3x^2 - 2x^3</t>
  </si>
  <si>
    <t xml:space="preserve">f(x) - x</t>
  </si>
  <si>
    <t xml:space="preserve">Slope f'(x) = 6x(1 - x)</t>
  </si>
  <si>
    <t xml:space="preserve">A service operation (5.B.4)</t>
  </si>
  <si>
    <t xml:space="preserve">Occupancy</t>
  </si>
  <si>
    <t xml:space="preserve">Staffing</t>
  </si>
  <si>
    <t xml:space="preserve">Growth rate r</t>
  </si>
  <si>
    <t xml:space="preserve">cost leadership</t>
  </si>
  <si>
    <t xml:space="preserve">A, first row</t>
  </si>
  <si>
    <t xml:space="preserve">Market capacity kappa</t>
  </si>
  <si>
    <t xml:space="preserve">the middle</t>
  </si>
  <si>
    <t xml:space="preserve">A, second row</t>
  </si>
  <si>
    <t xml:space="preserve">Quarterly step (years)</t>
  </si>
  <si>
    <t xml:space="preserve">differentiation</t>
  </si>
  <si>
    <t xml:space="preserve">b</t>
  </si>
  <si>
    <t xml:space="preserve">User base at the start</t>
  </si>
  <si>
    <t xml:space="preserve">Equilibria (f(x) = x)</t>
  </si>
  <si>
    <t xml:space="preserve">Start x0</t>
  </si>
  <si>
    <t xml:space="preserve">Slope near zero, f'(0) = 1 + step x r</t>
  </si>
  <si>
    <t xml:space="preserve">1.225: 22.5 percent a quarter</t>
  </si>
  <si>
    <t xml:space="preserve">Row sums</t>
  </si>
  <si>
    <t xml:space="preserve">Slope at the wall, f'(kappa) = 1 - step x r</t>
  </si>
  <si>
    <t xml:space="preserve">0.775</t>
  </si>
  <si>
    <t xml:space="preserve">From 0.49</t>
  </si>
  <si>
    <t xml:space="preserve">From 0.51</t>
  </si>
  <si>
    <t xml:space="preserve">L: the largest row sum</t>
  </si>
  <si>
    <t xml:space="preserve">f(60)</t>
  </si>
  <si>
    <t xml:space="preserve">65.4</t>
  </si>
  <si>
    <t xml:space="preserve">Determinant of I - A</t>
  </si>
  <si>
    <t xml:space="preserve">Slope at 60, f'(60)</t>
  </si>
  <si>
    <t xml:space="preserve">0.955</t>
  </si>
  <si>
    <t xml:space="preserve">Equilibrium x*</t>
  </si>
  <si>
    <t xml:space="preserve">User base at year 5</t>
  </si>
  <si>
    <t xml:space="preserve">58.1</t>
  </si>
  <si>
    <t xml:space="preserve">First step: largest move</t>
  </si>
  <si>
    <t xml:space="preserve">User base at year 10</t>
  </si>
  <si>
    <t xml:space="preserve">99.5</t>
  </si>
  <si>
    <t xml:space="preserve">Bound coefficient: step / (1 - L)</t>
  </si>
  <si>
    <t xml:space="preserve">First passes 60 (year)</t>
  </si>
  <si>
    <t xml:space="preserve">year 5.25</t>
  </si>
  <si>
    <t xml:space="preserve">k</t>
  </si>
  <si>
    <t xml:space="preserve">Distance to x*</t>
  </si>
  <si>
    <t xml:space="preserve">A priori bound</t>
  </si>
  <si>
    <t xml:space="preserve">A posteriori bound</t>
  </si>
  <si>
    <t xml:space="preserve">User base</t>
  </si>
  <si>
    <t xml:space="preserve">Slope f'(x)</t>
  </si>
  <si>
    <t xml:space="preserve">A priori bound below one point from k</t>
  </si>
  <si>
    <t xml:space="preserve">13</t>
  </si>
  <si>
    <t xml:space="preserve">Actual distance within one point by k</t>
  </si>
  <si>
    <t xml:space="preserve">11</t>
  </si>
  <si>
    <t xml:space="preserve">At k = 5: actual distance</t>
  </si>
  <si>
    <t xml:space="preserve">5.7</t>
  </si>
  <si>
    <t xml:space="preserve">At k = 5: a priori bound</t>
  </si>
  <si>
    <t xml:space="preserve">8.1</t>
  </si>
  <si>
    <t xml:space="preserve">At k = 5: a posteriori bound (Remark 5.B.5)</t>
  </si>
  <si>
    <t xml:space="preserve">6.7</t>
  </si>
  <si>
    <t xml:space="preserve">Compare profiles: today and the three Year-5 states on Chapter 3's scale, with the distance readout (Figure 5.5; Section 5.8; AXIOM Lab 1.5, step 5)</t>
  </si>
  <si>
    <t xml:space="preserve">Digital, Year 5</t>
  </si>
  <si>
    <t xml:space="preserve">Restructuring, Year 5</t>
  </si>
  <si>
    <t xml:space="preserve">Turnaround, Year 5</t>
  </si>
  <si>
    <t xml:space="preserve">Scaled: today</t>
  </si>
  <si>
    <t xml:space="preserve">Scaled: digital</t>
  </si>
  <si>
    <t xml:space="preserve">Scaled: restructuring</t>
  </si>
  <si>
    <t xml:space="preserve">Scaled: turnaround</t>
  </si>
  <si>
    <t xml:space="preserve">Distance from today (Chapter 3's scale, Euclidean)</t>
  </si>
  <si>
    <t xml:space="preserve">Largest single move (bottleneck)</t>
  </si>
  <si>
    <t xml:space="preserve">Digital over the turnaround</t>
  </si>
  <si>
    <t xml:space="preserve">Digital more than three times as far as the turnaround (1 = yes)</t>
  </si>
  <si>
    <t xml:space="preserve">Profile proximity is not state proximity: rankings of similar states are computed with the declared distance, never read off the page (Section 5.8).</t>
  </si>
  <si>
    <t xml:space="preserve">Dimension n</t>
  </si>
  <si>
    <t xml:space="preserve">Ball / cube</t>
  </si>
  <si>
    <t xml:space="preserve">log10 of ball / cube</t>
  </si>
  <si>
    <t xml:space="preserve">Share of the ball within 0.1 of its surface</t>
  </si>
  <si>
    <t xml:space="preserve">Online Appendix 5.B: in eight dimensions, Meridian's, more than half of a ball lies in its outer tenth and almost none of a box lies in its inscribed ball.</t>
  </si>
  <si>
    <t xml:space="preserve">Checkpoint</t>
  </si>
  <si>
    <t xml:space="preserve">Engine value</t>
  </si>
  <si>
    <t xml:space="preserve">Meaning (where in the book)</t>
  </si>
  <si>
    <t xml:space="preserve">Table 5.2: eight readings; Section 5.8: Meridian's dimension</t>
  </si>
  <si>
    <t xml:space="preserve">Indices among the readings</t>
  </si>
  <si>
    <t xml:space="preserve">Table 5.1: capability, technology, efficiency, strategic risk</t>
  </si>
  <si>
    <t xml:space="preserve">Widest scaled error (strategic risk)</t>
  </si>
  <si>
    <t xml:space="preserve">Table 5.2: +/-6 on 0-100</t>
  </si>
  <si>
    <t xml:space="preserve">Second widest scaled error (workforce capability)</t>
  </si>
  <si>
    <t xml:space="preserve">Table 5.2: +/-5 on 0-100</t>
  </si>
  <si>
    <t xml:space="preserve">Dimension after promoting the attrition rate</t>
  </si>
  <si>
    <t xml:space="preserve">AXIOM Lab 1.5, step 1 (Table 5.1: a parameter)</t>
  </si>
  <si>
    <t xml:space="preserve">Slack above the floor today ($ million)</t>
  </si>
  <si>
    <t xml:space="preserve">Section 5.7: $0.27 billion</t>
  </si>
  <si>
    <t xml:space="preserve">Covenant headroom today (turns)</t>
  </si>
  <si>
    <t xml:space="preserve">Section 5.7: 1.1 turns</t>
  </si>
  <si>
    <t xml:space="preserve">Risk-ceiling slack today (points)</t>
  </si>
  <si>
    <t xml:space="preserve">Table 5.4: 75 against 64</t>
  </si>
  <si>
    <t xml:space="preserve">Walls binding today</t>
  </si>
  <si>
    <t xml:space="preserve">Section 5.7: the binding set is empty</t>
  </si>
  <si>
    <t xml:space="preserve">Walls binding at the digital low point</t>
  </si>
  <si>
    <t xml:space="preserve">Figure 5.4: no constraint binds</t>
  </si>
  <si>
    <t xml:space="preserve">Digital low point, Newton's method ($ million)</t>
  </si>
  <si>
    <t xml:space="preserve">Section 5.7: $0.48 billion</t>
  </si>
  <si>
    <t xml:space="preserve">around month 21</t>
  </si>
  <si>
    <t xml:space="preserve">Online Appendix 1.B.4: 77.73</t>
  </si>
  <si>
    <t xml:space="preserve">Month of the lowest monthly reading</t>
  </si>
  <si>
    <t xml:space="preserve">month 21</t>
  </si>
  <si>
    <t xml:space="preserve">Floor slack at the low point ($ million)</t>
  </si>
  <si>
    <t xml:space="preserve">Section 5.7: $0.13 billion</t>
  </si>
  <si>
    <t xml:space="preserve">Section 5.7: a floor above $0.48 billion makes it infeasible</t>
  </si>
  <si>
    <t xml:space="preserve">Risk-ceiling slack at the low point</t>
  </si>
  <si>
    <t xml:space="preserve">computed from Chapter 1's model</t>
  </si>
  <si>
    <t xml:space="preserve">Strategic-risk peak on the digital path</t>
  </si>
  <si>
    <t xml:space="preserve">Chapter 16, Worked Example 16.1: 73.6 in month 11</t>
  </si>
  <si>
    <t xml:space="preserve">Margin under the risk ceiling at the peak</t>
  </si>
  <si>
    <t xml:space="preserve">Chapter 1, Table 1.5: 1.4 points</t>
  </si>
  <si>
    <t xml:space="preserve">Month of the strategic-risk peak</t>
  </si>
  <si>
    <t xml:space="preserve">month 11</t>
  </si>
  <si>
    <t xml:space="preserve">Turnaround: tightest risk-ceiling slack (Year 5)</t>
  </si>
  <si>
    <t xml:space="preserve">Digital: tightest index slack (technology, Year 5)</t>
  </si>
  <si>
    <t xml:space="preserve">Theorem 5.2(iii): every blend</t>
  </si>
  <si>
    <t xml:space="preserve">Figure 5.1: weight 0, or at least 0.75</t>
  </si>
  <si>
    <t xml:space="preserve">Minimum-scale g at the 50/50 blend</t>
  </si>
  <si>
    <t xml:space="preserve">Appendix 5.A: min{40, 20} = 20 &gt; 0</t>
  </si>
  <si>
    <t xml:space="preserve">Section 5.5: 78</t>
  </si>
  <si>
    <t xml:space="preserve">Proposition 5.3(iii): sampling</t>
  </si>
  <si>
    <t xml:space="preserve">Proposition 5.3(iii)</t>
  </si>
  <si>
    <t xml:space="preserve">Proposition 5.3(ii)</t>
  </si>
  <si>
    <t xml:space="preserve">Proposition 5.4: the step can be undone</t>
  </si>
  <si>
    <t xml:space="preserve">Factor a year: liquidity</t>
  </si>
  <si>
    <t xml:space="preserve">Worked Example 5.1, Step 1: 0.638</t>
  </si>
  <si>
    <t xml:space="preserve">Factor a year: technology</t>
  </si>
  <si>
    <t xml:space="preserve">Worked Example 5.1, Step 1: 0.819</t>
  </si>
  <si>
    <t xml:space="preserve">Factor a year: efficiency</t>
  </si>
  <si>
    <t xml:space="preserve">Worked Example 5.1, Step 1: 0.549</t>
  </si>
  <si>
    <t xml:space="preserve">Factor a year: strategic risk</t>
  </si>
  <si>
    <t xml:space="preserve">Worked Example 5.1, Step 1: 0.741</t>
  </si>
  <si>
    <t xml:space="preserve">Gap closed a year: liquidity (%)</t>
  </si>
  <si>
    <t xml:space="preserve">Worked Example 5.1: 36 percent</t>
  </si>
  <si>
    <t xml:space="preserve">Gap closed a year: technology (%)</t>
  </si>
  <si>
    <t xml:space="preserve">Worked Example 5.1: 18 percent</t>
  </si>
  <si>
    <t xml:space="preserve">Gap closed a year: efficiency (%)</t>
  </si>
  <si>
    <t xml:space="preserve">Worked Example 5.1: 45 percent</t>
  </si>
  <si>
    <t xml:space="preserve">Gap closed a year: strategic risk (%)</t>
  </si>
  <si>
    <t xml:space="preserve">Worked Example 5.1: 26 percent</t>
  </si>
  <si>
    <t xml:space="preserve">Year 1: liquidity</t>
  </si>
  <si>
    <t xml:space="preserve">Worked Example 5.1, Step 1: 102.2</t>
  </si>
  <si>
    <t xml:space="preserve">Year 1: technology</t>
  </si>
  <si>
    <t xml:space="preserve">Worked Example 5.1, Step 1: 39.5</t>
  </si>
  <si>
    <t xml:space="preserve">Year 1: efficiency</t>
  </si>
  <si>
    <t xml:space="preserve">Worked Example 5.1, Step 1: 74.6</t>
  </si>
  <si>
    <t xml:space="preserve">Year 1: strategic risk</t>
  </si>
  <si>
    <t xml:space="preserve">Worked Example 5.1, Step 1: 64.8</t>
  </si>
  <si>
    <t xml:space="preserve">Contraction constant L</t>
  </si>
  <si>
    <t xml:space="preserve">Step 2: 0.819, technology</t>
  </si>
  <si>
    <t xml:space="preserve">Step 3: 3.61</t>
  </si>
  <si>
    <t xml:space="preserve">Day-one bound coefficient</t>
  </si>
  <si>
    <t xml:space="preserve">Step 3: 19.9</t>
  </si>
  <si>
    <t xml:space="preserve">First year the bound is below one point</t>
  </si>
  <si>
    <t xml:space="preserve">First year the gap is below one point</t>
  </si>
  <si>
    <t xml:space="preserve">Table 5.5, year 0: largest gap</t>
  </si>
  <si>
    <t xml:space="preserve">Table 5.5: 8.0</t>
  </si>
  <si>
    <t xml:space="preserve">Table 5.5, year 0: day-one bound</t>
  </si>
  <si>
    <t xml:space="preserve">Table 5.5: 19.9</t>
  </si>
  <si>
    <t xml:space="preserve">Table 5.5, year 0: scorecard</t>
  </si>
  <si>
    <t xml:space="preserve">Table 5.5: 37.0</t>
  </si>
  <si>
    <t xml:space="preserve">Table 5.5, year 1: largest gap</t>
  </si>
  <si>
    <t xml:space="preserve">Table 5.5: 6.5</t>
  </si>
  <si>
    <t xml:space="preserve">Table 5.5, year 1: day-one bound</t>
  </si>
  <si>
    <t xml:space="preserve">Table 5.5: 16.3</t>
  </si>
  <si>
    <t xml:space="preserve">Table 5.5, year 1: scorecard</t>
  </si>
  <si>
    <t xml:space="preserve">Table 5.5: 37.9</t>
  </si>
  <si>
    <t xml:space="preserve">Table 5.5, year 3: largest gap</t>
  </si>
  <si>
    <t xml:space="preserve">Table 5.5: 4.4</t>
  </si>
  <si>
    <t xml:space="preserve">Table 5.5, year 3: day-one bound</t>
  </si>
  <si>
    <t xml:space="preserve">Table 5.5: 10.9</t>
  </si>
  <si>
    <t xml:space="preserve">Table 5.5, year 3: scorecard</t>
  </si>
  <si>
    <t xml:space="preserve">Table 5.5: 38.4</t>
  </si>
  <si>
    <t xml:space="preserve">Table 5.5, year 5: largest gap</t>
  </si>
  <si>
    <t xml:space="preserve">Table 5.5: 2.9</t>
  </si>
  <si>
    <t xml:space="preserve">Table 5.5, year 5: day-one bound</t>
  </si>
  <si>
    <t xml:space="preserve">Table 5.5: 7.3</t>
  </si>
  <si>
    <t xml:space="preserve">Table 5.5, year 5: scorecard</t>
  </si>
  <si>
    <t xml:space="preserve">Table 5.5, year 11: largest gap</t>
  </si>
  <si>
    <t xml:space="preserve">Table 5.5: 0.9</t>
  </si>
  <si>
    <t xml:space="preserve">Table 5.5, year 11: day-one bound</t>
  </si>
  <si>
    <t xml:space="preserve">Table 5.5: 2.2</t>
  </si>
  <si>
    <t xml:space="preserve">Table 5.5, year 11: scorecard</t>
  </si>
  <si>
    <t xml:space="preserve">Table 5.5: 38.0</t>
  </si>
  <si>
    <t xml:space="preserve">Table 5.5, year 3: liquidity</t>
  </si>
  <si>
    <t xml:space="preserve">Table 5.5</t>
  </si>
  <si>
    <t xml:space="preserve">Table 5.5, year 3: technology</t>
  </si>
  <si>
    <t xml:space="preserve">Table 5.5, year 3: efficiency</t>
  </si>
  <si>
    <t xml:space="preserve">Table 5.5, year 3: strategic risk</t>
  </si>
  <si>
    <t xml:space="preserve">Table 5.5, year 5: liquidity</t>
  </si>
  <si>
    <t xml:space="preserve">Table 5.5, year 5: technology</t>
  </si>
  <si>
    <t xml:space="preserve">Table 5.5, year 5: efficiency</t>
  </si>
  <si>
    <t xml:space="preserve">Table 5.5, year 5: strategic risk</t>
  </si>
  <si>
    <t xml:space="preserve">Table 5.5, year 11: liquidity</t>
  </si>
  <si>
    <t xml:space="preserve">Table 5.5, year 11: technology</t>
  </si>
  <si>
    <t xml:space="preserve">Table 5.5, year 11: efficiency</t>
  </si>
  <si>
    <t xml:space="preserve">Table 5.5, year 11: strategic risk</t>
  </si>
  <si>
    <t xml:space="preserve">Table 5.5: scorecard at the steady state</t>
  </si>
  <si>
    <t xml:space="preserve">Scorecard's peak (years 0-15)</t>
  </si>
  <si>
    <t xml:space="preserve">Step 5: about 38.4</t>
  </si>
  <si>
    <t xml:space="preserve">Year of the scorecard's peak</t>
  </si>
  <si>
    <t xml:space="preserve">Step 5: years 3-5</t>
  </si>
  <si>
    <t xml:space="preserve">From the digital Year-5 state: bound coefficient</t>
  </si>
  <si>
    <t xml:space="preserve">AXIOM Lab 1.5, step 4 (computed from the declarations)</t>
  </si>
  <si>
    <t xml:space="preserve">From the digital Year-5 state: bound below one by year</t>
  </si>
  <si>
    <t xml:space="preserve">AXIOM Lab 1.5, step 4</t>
  </si>
  <si>
    <t xml:space="preserve">From the digital Year-5 state: gap below one by year</t>
  </si>
  <si>
    <t xml:space="preserve">From the digital Year-5 state: years above the bound</t>
  </si>
  <si>
    <t xml:space="preserve">Equation 5.1 holds from any start</t>
  </si>
  <si>
    <t xml:space="preserve">From the restructuring Year-5 state: bound coefficient</t>
  </si>
  <si>
    <t xml:space="preserve">From the restructuring Year-5 state: bound below one by year</t>
  </si>
  <si>
    <t xml:space="preserve">From the restructuring Year-5 state: gap below one by year</t>
  </si>
  <si>
    <t xml:space="preserve">From the restructuring Year-5 state: years above the bound</t>
  </si>
  <si>
    <t xml:space="preserve">Digital technology in Year 5</t>
  </si>
  <si>
    <t xml:space="preserve">Worked Example 5.1; Table 1.9: 75.6</t>
  </si>
  <si>
    <t xml:space="preserve">Start-up slope near zero</t>
  </si>
  <si>
    <t xml:space="preserve">Online Appendix 5.B.7: 1.225</t>
  </si>
  <si>
    <t xml:space="preserve">Start-up slope at the market wall</t>
  </si>
  <si>
    <t xml:space="preserve">Start-up f(60)</t>
  </si>
  <si>
    <t xml:space="preserve">Start-up slope at 60</t>
  </si>
  <si>
    <t xml:space="preserve">Start-up user base, year 5</t>
  </si>
  <si>
    <t xml:space="preserve">Start-up user base, year 10</t>
  </si>
  <si>
    <t xml:space="preserve">Start-up first passes 60 (year)</t>
  </si>
  <si>
    <t xml:space="preserve">Stuck in the middle: equilibria</t>
  </si>
  <si>
    <t xml:space="preserve">Online Appendix 5.B.6: 0, 1/2, 1</t>
  </si>
  <si>
    <t xml:space="preserve">Stuck in the middle: slope at 1/2</t>
  </si>
  <si>
    <t xml:space="preserve">1.5</t>
  </si>
  <si>
    <t xml:space="preserve">Service: L by the row-sum rule</t>
  </si>
  <si>
    <t xml:space="preserve">Online Appendix 5.B.4: 0.75</t>
  </si>
  <si>
    <t xml:space="preserve">Service: steady occupancy</t>
  </si>
  <si>
    <t xml:space="preserve">100</t>
  </si>
  <si>
    <t xml:space="preserve">Service: steady staffing</t>
  </si>
  <si>
    <t xml:space="preserve">85</t>
  </si>
  <si>
    <t xml:space="preserve">Service: first step</t>
  </si>
  <si>
    <t xml:space="preserve">8.5</t>
  </si>
  <si>
    <t xml:space="preserve">Service: bound coefficient</t>
  </si>
  <si>
    <t xml:space="preserve">34</t>
  </si>
  <si>
    <t xml:space="preserve">Service: bound below one from k</t>
  </si>
  <si>
    <t xml:space="preserve">k = 13</t>
  </si>
  <si>
    <t xml:space="preserve">Service: actual within one by k</t>
  </si>
  <si>
    <t xml:space="preserve">k = 11</t>
  </si>
  <si>
    <t xml:space="preserve">Service, k = 5: actual distance</t>
  </si>
  <si>
    <t xml:space="preserve">Remark 5.B.5: 5.7</t>
  </si>
  <si>
    <t xml:space="preserve">Service, k = 5: a priori bound</t>
  </si>
  <si>
    <t xml:space="preserve">Service, k = 5: a posteriori bound</t>
  </si>
  <si>
    <t xml:space="preserve">Distance to the turnaround's Year 5</t>
  </si>
  <si>
    <t xml:space="preserve">Section 5.8: 0.11</t>
  </si>
  <si>
    <t xml:space="preserve">Distance to the restructuring's Year 5</t>
  </si>
  <si>
    <t xml:space="preserve">Section 5.8: 0.26</t>
  </si>
  <si>
    <t xml:space="preserve">Distance to the digital Year 5</t>
  </si>
  <si>
    <t xml:space="preserve">Section 5.8: 0.36</t>
  </si>
  <si>
    <t xml:space="preserve">Section 5.8: more than three times</t>
  </si>
  <si>
    <t xml:space="preserve">Digital more than three times as far (1 = yes)</t>
  </si>
  <si>
    <t xml:space="preserve">Section 5.8</t>
  </si>
  <si>
    <t xml:space="preserve">Ball/cube volume, n = 2</t>
  </si>
  <si>
    <t xml:space="preserve">Online Appendix 5.B: 0.785</t>
  </si>
  <si>
    <t xml:space="preserve">Share within 0.1 of the surface, n = 2</t>
  </si>
  <si>
    <t xml:space="preserve">Online Appendix 5.B: 0.19</t>
  </si>
  <si>
    <t xml:space="preserve">Ball/cube volume, n = 3</t>
  </si>
  <si>
    <t xml:space="preserve">Online Appendix 5.B: 0.524</t>
  </si>
  <si>
    <t xml:space="preserve">Share within 0.1 of the surface, n = 3</t>
  </si>
  <si>
    <t xml:space="preserve">Online Appendix 5.B: 0.27</t>
  </si>
  <si>
    <t xml:space="preserve">Ball/cube volume, n = 8</t>
  </si>
  <si>
    <t xml:space="preserve">Online Appendix 5.B: 0.0159</t>
  </si>
  <si>
    <t xml:space="preserve">Share within 0.1 of the surface, n = 8</t>
  </si>
  <si>
    <t xml:space="preserve">Online Appendix 5.B: 0.57</t>
  </si>
  <si>
    <t xml:space="preserve">Ball/cube volume, n = 32 (log10)</t>
  </si>
  <si>
    <t xml:space="preserve">Online Appendix 5.B: about 10^-15</t>
  </si>
  <si>
    <t xml:space="preserve">Share within 0.1 of the surface, n = 32</t>
  </si>
  <si>
    <t xml:space="preserve">Online Appendix 5.B: 0.97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</si>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</sst>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00"/>
    <numFmt numFmtId="167" formatCode="0.00"/>
    <numFmt numFmtId="168" formatCode="0"/>
    <numFmt numFmtId="169" formatCode="0%"/>
    <numFmt numFmtId="170" formatCode="0.000000000"/>
    <numFmt numFmtId="171" formatCode="0.0E+00"/>
    <numFmt numFmtId="172" formatCode="0.0000"/>
    <numFmt numFmtId="173" formatCode="0.000000"/>
    <numFmt numFmtId="174" formatCode="0.0%"/>
    <numFmt numFmtId="175" formatCode="0.000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23.85" hidden="false" customHeight="false" outlineLevel="0" collapsed="false">
      <c r="B9" s="3" t="s">
        <v>7</v>
      </c>
    </row>
    <row r="10" customFormat="false" ht="23.8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23.8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10" min="8" style="0" width="14"/>
  </cols>
  <sheetData>
    <row r="1" customFormat="false" ht="15" hidden="false" customHeight="false" outlineLevel="0" collapsed="false">
      <c r="A1" s="1" t="s">
        <v>17</v>
      </c>
    </row>
    <row r="3" customFormat="false" ht="23.85" hidden="false" customHeight="fals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</row>
    <row r="4" customFormat="false" ht="15" hidden="false" customHeight="false" outlineLevel="0" collapsed="false">
      <c r="A4" s="2" t="s">
        <v>28</v>
      </c>
      <c r="B4" s="2" t="s">
        <v>29</v>
      </c>
      <c r="C4" s="9" t="n">
        <v>100</v>
      </c>
      <c r="D4" s="10" t="s">
        <v>30</v>
      </c>
      <c r="E4" s="2" t="s">
        <v>31</v>
      </c>
      <c r="F4" s="2" t="s">
        <v>32</v>
      </c>
      <c r="G4" s="2" t="s">
        <v>33</v>
      </c>
      <c r="H4" s="11" t="n">
        <f aca="false">0.01*C4</f>
        <v>1</v>
      </c>
      <c r="I4" s="11" t="n">
        <f aca="false">C4</f>
        <v>100</v>
      </c>
      <c r="J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9" t="n">
        <v>3.4</v>
      </c>
      <c r="D5" s="10" t="s">
        <v>37</v>
      </c>
      <c r="E5" s="2" t="s">
        <v>38</v>
      </c>
      <c r="F5" s="2" t="s">
        <v>39</v>
      </c>
      <c r="G5" s="2" t="s">
        <v>40</v>
      </c>
      <c r="H5" s="11" t="n">
        <f aca="false">0.02*C5</f>
        <v>0.068</v>
      </c>
      <c r="I5" s="11" t="n">
        <f aca="false">C5</f>
        <v>3.4</v>
      </c>
      <c r="J5" s="2" t="s">
        <v>34</v>
      </c>
    </row>
    <row r="6" customFormat="false" ht="15" hidden="false" customHeight="false" outlineLevel="0" collapsed="false">
      <c r="A6" s="2" t="s">
        <v>41</v>
      </c>
      <c r="B6" s="2" t="s">
        <v>42</v>
      </c>
      <c r="C6" s="9" t="n">
        <v>58</v>
      </c>
      <c r="D6" s="10" t="s">
        <v>43</v>
      </c>
      <c r="E6" s="2" t="s">
        <v>44</v>
      </c>
      <c r="F6" s="2" t="s">
        <v>45</v>
      </c>
      <c r="G6" s="2" t="s">
        <v>46</v>
      </c>
      <c r="H6" s="12" t="n">
        <v>5</v>
      </c>
      <c r="I6" s="12" t="n">
        <v>100</v>
      </c>
      <c r="J6" s="2" t="s">
        <v>34</v>
      </c>
    </row>
    <row r="7" customFormat="false" ht="15" hidden="false" customHeight="false" outlineLevel="0" collapsed="false">
      <c r="A7" s="2" t="s">
        <v>47</v>
      </c>
      <c r="B7" s="2" t="s">
        <v>48</v>
      </c>
      <c r="C7" s="9" t="n">
        <v>41</v>
      </c>
      <c r="D7" s="10" t="s">
        <v>43</v>
      </c>
      <c r="E7" s="2" t="s">
        <v>44</v>
      </c>
      <c r="F7" s="2" t="s">
        <v>49</v>
      </c>
      <c r="G7" s="2" t="s">
        <v>50</v>
      </c>
      <c r="H7" s="12" t="n">
        <v>4</v>
      </c>
      <c r="I7" s="12" t="n">
        <v>100</v>
      </c>
      <c r="J7" s="2" t="s">
        <v>34</v>
      </c>
    </row>
    <row r="8" customFormat="false" ht="15" hidden="false" customHeight="false" outlineLevel="0" collapsed="false">
      <c r="A8" s="2" t="s">
        <v>51</v>
      </c>
      <c r="B8" s="2" t="s">
        <v>52</v>
      </c>
      <c r="C8" s="9" t="n">
        <v>71</v>
      </c>
      <c r="D8" s="10" t="s">
        <v>43</v>
      </c>
      <c r="E8" s="2" t="s">
        <v>44</v>
      </c>
      <c r="F8" s="2" t="s">
        <v>53</v>
      </c>
      <c r="G8" s="2" t="s">
        <v>54</v>
      </c>
      <c r="H8" s="12" t="n">
        <v>3</v>
      </c>
      <c r="I8" s="12" t="n">
        <v>100</v>
      </c>
      <c r="J8" s="2" t="s">
        <v>55</v>
      </c>
    </row>
    <row r="9" customFormat="false" ht="15" hidden="false" customHeight="false" outlineLevel="0" collapsed="false">
      <c r="A9" s="2" t="s">
        <v>56</v>
      </c>
      <c r="B9" s="2" t="s">
        <v>57</v>
      </c>
      <c r="C9" s="12" t="n">
        <v>0.083</v>
      </c>
      <c r="D9" s="10" t="s">
        <v>38</v>
      </c>
      <c r="E9" s="2" t="s">
        <v>38</v>
      </c>
      <c r="F9" s="2" t="s">
        <v>39</v>
      </c>
      <c r="G9" s="2" t="s">
        <v>58</v>
      </c>
      <c r="H9" s="12" t="n">
        <v>0.004</v>
      </c>
      <c r="I9" s="11" t="n">
        <f aca="false">C9</f>
        <v>0.083</v>
      </c>
      <c r="J9" s="2" t="s">
        <v>55</v>
      </c>
    </row>
    <row r="10" customFormat="false" ht="15" hidden="false" customHeight="false" outlineLevel="0" collapsed="false">
      <c r="A10" s="2" t="s">
        <v>59</v>
      </c>
      <c r="B10" s="2" t="s">
        <v>60</v>
      </c>
      <c r="C10" s="9" t="n">
        <v>64</v>
      </c>
      <c r="D10" s="10" t="s">
        <v>43</v>
      </c>
      <c r="E10" s="2" t="s">
        <v>44</v>
      </c>
      <c r="F10" s="2" t="s">
        <v>61</v>
      </c>
      <c r="G10" s="2" t="s">
        <v>62</v>
      </c>
      <c r="H10" s="12" t="n">
        <v>6</v>
      </c>
      <c r="I10" s="12" t="n">
        <v>100</v>
      </c>
      <c r="J10" s="2" t="s">
        <v>63</v>
      </c>
    </row>
    <row r="11" customFormat="false" ht="15" hidden="false" customHeight="false" outlineLevel="0" collapsed="false">
      <c r="A11" s="2" t="s">
        <v>64</v>
      </c>
      <c r="B11" s="2" t="s">
        <v>65</v>
      </c>
      <c r="C11" s="12" t="n">
        <v>0.19</v>
      </c>
      <c r="D11" s="10" t="s">
        <v>38</v>
      </c>
      <c r="E11" s="2" t="s">
        <v>38</v>
      </c>
      <c r="F11" s="2" t="s">
        <v>66</v>
      </c>
      <c r="G11" s="2" t="s">
        <v>67</v>
      </c>
      <c r="H11" s="12" t="n">
        <v>0.008</v>
      </c>
      <c r="I11" s="11" t="n">
        <f aca="false">C11</f>
        <v>0.19</v>
      </c>
      <c r="J11" s="2" t="s">
        <v>55</v>
      </c>
    </row>
    <row r="13" customFormat="false" ht="15" hidden="false" customHeight="false" outlineLevel="0" collapsed="false">
      <c r="A13" s="8" t="s">
        <v>68</v>
      </c>
      <c r="B13" s="8"/>
      <c r="C13" s="8" t="s">
        <v>69</v>
      </c>
      <c r="D13" s="8"/>
      <c r="E13" s="8" t="s">
        <v>70</v>
      </c>
    </row>
    <row r="14" customFormat="false" ht="15" hidden="false" customHeight="false" outlineLevel="0" collapsed="false">
      <c r="A14" s="2" t="s">
        <v>71</v>
      </c>
      <c r="C14" s="9" t="n">
        <v>620</v>
      </c>
      <c r="E14" s="10" t="s">
        <v>72</v>
      </c>
    </row>
    <row r="15" customFormat="false" ht="15" hidden="false" customHeight="false" outlineLevel="0" collapsed="false">
      <c r="A15" s="2" t="s">
        <v>73</v>
      </c>
      <c r="C15" s="13" t="n">
        <f aca="false">C14/C4</f>
        <v>6.2</v>
      </c>
      <c r="E15" s="10" t="s">
        <v>74</v>
      </c>
    </row>
    <row r="16" customFormat="false" ht="15" hidden="false" customHeight="false" outlineLevel="0" collapsed="false">
      <c r="A16" s="2" t="s">
        <v>75</v>
      </c>
      <c r="C16" s="9" t="n">
        <v>350</v>
      </c>
      <c r="E16" s="10" t="s">
        <v>76</v>
      </c>
    </row>
    <row r="17" customFormat="false" ht="15" hidden="false" customHeight="false" outlineLevel="0" collapsed="false">
      <c r="A17" s="2" t="s">
        <v>77</v>
      </c>
      <c r="C17" s="13" t="n">
        <f aca="false">C16/C15</f>
        <v>56.4516129032258</v>
      </c>
      <c r="E17" s="10"/>
    </row>
    <row r="18" customFormat="false" ht="15" hidden="false" customHeight="false" outlineLevel="0" collapsed="false">
      <c r="A18" s="2" t="s">
        <v>78</v>
      </c>
      <c r="C18" s="9" t="n">
        <v>4.5</v>
      </c>
      <c r="E18" s="10" t="s">
        <v>79</v>
      </c>
    </row>
    <row r="19" customFormat="false" ht="15" hidden="false" customHeight="false" outlineLevel="0" collapsed="false">
      <c r="A19" s="2" t="s">
        <v>80</v>
      </c>
      <c r="C19" s="14" t="n">
        <v>75</v>
      </c>
      <c r="E19" s="10" t="s">
        <v>81</v>
      </c>
    </row>
    <row r="20" customFormat="false" ht="15" hidden="false" customHeight="false" outlineLevel="0" collapsed="false">
      <c r="A20" s="2" t="s">
        <v>82</v>
      </c>
      <c r="C20" s="14" t="n">
        <v>0</v>
      </c>
      <c r="E20" s="10" t="s">
        <v>83</v>
      </c>
    </row>
    <row r="21" customFormat="false" ht="15" hidden="false" customHeight="false" outlineLevel="0" collapsed="false">
      <c r="A21" s="2" t="s">
        <v>84</v>
      </c>
      <c r="C21" s="14" t="n">
        <v>100</v>
      </c>
      <c r="E21" s="10" t="s">
        <v>83</v>
      </c>
    </row>
    <row r="22" customFormat="false" ht="15" hidden="false" customHeight="false" outlineLevel="0" collapsed="false">
      <c r="A22" s="2" t="s">
        <v>85</v>
      </c>
      <c r="C22" s="14" t="n">
        <v>0</v>
      </c>
      <c r="E22" s="10" t="s">
        <v>83</v>
      </c>
    </row>
    <row r="23" customFormat="false" ht="15" hidden="false" customHeight="false" outlineLevel="0" collapsed="false">
      <c r="A23" s="2" t="s">
        <v>86</v>
      </c>
      <c r="C23" s="14" t="n">
        <v>1</v>
      </c>
      <c r="E23" s="10" t="s">
        <v>83</v>
      </c>
    </row>
    <row r="24" customFormat="false" ht="15" hidden="false" customHeight="false" outlineLevel="0" collapsed="false">
      <c r="A24" s="2" t="s">
        <v>87</v>
      </c>
      <c r="C24" s="15" t="n">
        <v>1</v>
      </c>
      <c r="E24" s="10" t="s">
        <v>88</v>
      </c>
    </row>
    <row r="26" customFormat="false" ht="15" hidden="false" customHeight="false" outlineLevel="0" collapsed="false">
      <c r="A26" s="8" t="s">
        <v>89</v>
      </c>
      <c r="B26" s="8" t="s">
        <v>19</v>
      </c>
      <c r="C26" s="8" t="s">
        <v>90</v>
      </c>
      <c r="D26" s="8" t="s">
        <v>91</v>
      </c>
      <c r="E26" s="8" t="s">
        <v>92</v>
      </c>
      <c r="F26" s="8" t="s">
        <v>93</v>
      </c>
      <c r="G26" s="8" t="s">
        <v>94</v>
      </c>
    </row>
    <row r="27" customFormat="false" ht="15" hidden="false" customHeight="false" outlineLevel="0" collapsed="false">
      <c r="A27" s="2" t="s">
        <v>95</v>
      </c>
      <c r="B27" s="2" t="s">
        <v>29</v>
      </c>
      <c r="C27" s="14" t="n">
        <v>112</v>
      </c>
      <c r="D27" s="15" t="n">
        <v>0.35</v>
      </c>
      <c r="E27" s="14" t="n">
        <v>-28</v>
      </c>
      <c r="F27" s="15" t="n">
        <v>2</v>
      </c>
      <c r="G27" s="14" t="n">
        <v>0</v>
      </c>
    </row>
    <row r="28" customFormat="false" ht="15" hidden="false" customHeight="false" outlineLevel="0" collapsed="false">
      <c r="A28" s="2"/>
      <c r="B28" s="2" t="s">
        <v>96</v>
      </c>
      <c r="C28" s="14" t="n">
        <v>78</v>
      </c>
      <c r="D28" s="15" t="n">
        <v>0.55</v>
      </c>
      <c r="E28" s="14" t="n">
        <v>0</v>
      </c>
      <c r="F28" s="15" t="n">
        <v>1</v>
      </c>
      <c r="G28" s="14" t="n">
        <v>0</v>
      </c>
    </row>
    <row r="29" customFormat="false" ht="15" hidden="false" customHeight="false" outlineLevel="0" collapsed="false">
      <c r="A29" s="2"/>
      <c r="B29" s="2" t="s">
        <v>97</v>
      </c>
      <c r="C29" s="14" t="n">
        <v>77</v>
      </c>
      <c r="D29" s="15" t="n">
        <v>0.5</v>
      </c>
      <c r="E29" s="14" t="n">
        <v>-9</v>
      </c>
      <c r="F29" s="15" t="n">
        <v>1.5</v>
      </c>
      <c r="G29" s="14" t="n">
        <v>0</v>
      </c>
    </row>
    <row r="30" customFormat="false" ht="15" hidden="false" customHeight="false" outlineLevel="0" collapsed="false">
      <c r="A30" s="2"/>
      <c r="B30" s="2" t="s">
        <v>98</v>
      </c>
      <c r="C30" s="14" t="n">
        <v>51</v>
      </c>
      <c r="D30" s="15" t="n">
        <v>0.4</v>
      </c>
      <c r="E30" s="14" t="n">
        <v>14</v>
      </c>
      <c r="F30" s="15" t="n">
        <v>1.2</v>
      </c>
      <c r="G30" s="14" t="n">
        <v>0</v>
      </c>
    </row>
    <row r="31" customFormat="false" ht="15" hidden="false" customHeight="false" outlineLevel="0" collapsed="false">
      <c r="A31" s="2" t="s">
        <v>99</v>
      </c>
      <c r="B31" s="2" t="s">
        <v>29</v>
      </c>
      <c r="C31" s="14" t="n">
        <v>104</v>
      </c>
      <c r="D31" s="15" t="n">
        <v>0.3</v>
      </c>
      <c r="E31" s="14" t="n">
        <v>0</v>
      </c>
      <c r="F31" s="15" t="n">
        <v>1</v>
      </c>
      <c r="G31" s="14" t="n">
        <v>18</v>
      </c>
    </row>
    <row r="32" customFormat="false" ht="15" hidden="false" customHeight="false" outlineLevel="0" collapsed="false">
      <c r="A32" s="2"/>
      <c r="B32" s="2" t="s">
        <v>96</v>
      </c>
      <c r="C32" s="14" t="n">
        <v>38</v>
      </c>
      <c r="D32" s="15" t="n">
        <v>0.25</v>
      </c>
      <c r="E32" s="14" t="n">
        <v>0</v>
      </c>
      <c r="F32" s="15" t="n">
        <v>1</v>
      </c>
      <c r="G32" s="14" t="n">
        <v>0</v>
      </c>
    </row>
    <row r="33" customFormat="false" ht="15" hidden="false" customHeight="false" outlineLevel="0" collapsed="false">
      <c r="A33" s="2"/>
      <c r="B33" s="2" t="s">
        <v>97</v>
      </c>
      <c r="C33" s="14" t="n">
        <v>74</v>
      </c>
      <c r="D33" s="15" t="n">
        <v>0.45</v>
      </c>
      <c r="E33" s="14" t="n">
        <v>0</v>
      </c>
      <c r="F33" s="15" t="n">
        <v>1</v>
      </c>
      <c r="G33" s="14" t="n">
        <v>0</v>
      </c>
    </row>
    <row r="34" customFormat="false" ht="15" hidden="false" customHeight="false" outlineLevel="0" collapsed="false">
      <c r="A34" s="2"/>
      <c r="B34" s="2" t="s">
        <v>98</v>
      </c>
      <c r="C34" s="14" t="n">
        <v>56</v>
      </c>
      <c r="D34" s="15" t="n">
        <v>0.35</v>
      </c>
      <c r="E34" s="14" t="n">
        <v>0</v>
      </c>
      <c r="F34" s="15" t="n">
        <v>1</v>
      </c>
      <c r="G34" s="14" t="n">
        <v>-8</v>
      </c>
    </row>
    <row r="35" customFormat="false" ht="15" hidden="false" customHeight="false" outlineLevel="0" collapsed="false">
      <c r="A35" s="2" t="s">
        <v>100</v>
      </c>
      <c r="B35" s="2" t="s">
        <v>29</v>
      </c>
      <c r="C35" s="14" t="n">
        <v>106</v>
      </c>
      <c r="D35" s="15" t="n">
        <v>0.45</v>
      </c>
      <c r="E35" s="14" t="n">
        <v>0</v>
      </c>
      <c r="F35" s="15" t="n">
        <v>1</v>
      </c>
      <c r="G35" s="14" t="n">
        <v>0</v>
      </c>
    </row>
    <row r="36" customFormat="false" ht="15" hidden="false" customHeight="false" outlineLevel="0" collapsed="false">
      <c r="A36" s="2"/>
      <c r="B36" s="2" t="s">
        <v>96</v>
      </c>
      <c r="C36" s="14" t="n">
        <v>33</v>
      </c>
      <c r="D36" s="15" t="n">
        <v>0.2</v>
      </c>
      <c r="E36" s="14" t="n">
        <v>0</v>
      </c>
      <c r="F36" s="15" t="n">
        <v>1</v>
      </c>
      <c r="G36" s="14" t="n">
        <v>0</v>
      </c>
    </row>
    <row r="37" customFormat="false" ht="15" hidden="false" customHeight="false" outlineLevel="0" collapsed="false">
      <c r="A37" s="2"/>
      <c r="B37" s="2" t="s">
        <v>97</v>
      </c>
      <c r="C37" s="14" t="n">
        <v>79</v>
      </c>
      <c r="D37" s="15" t="n">
        <v>0.6</v>
      </c>
      <c r="E37" s="14" t="n">
        <v>0</v>
      </c>
      <c r="F37" s="15" t="n">
        <v>1</v>
      </c>
      <c r="G37" s="14" t="n">
        <v>0</v>
      </c>
    </row>
    <row r="38" customFormat="false" ht="15" hidden="false" customHeight="false" outlineLevel="0" collapsed="false">
      <c r="A38" s="2"/>
      <c r="B38" s="2" t="s">
        <v>98</v>
      </c>
      <c r="C38" s="14" t="n">
        <v>67</v>
      </c>
      <c r="D38" s="15" t="n">
        <v>0.3</v>
      </c>
      <c r="E38" s="14" t="n">
        <v>0</v>
      </c>
      <c r="F38" s="15" t="n">
        <v>1</v>
      </c>
      <c r="G38" s="14" t="n">
        <v>0</v>
      </c>
    </row>
    <row r="39" customFormat="false" ht="15" hidden="false" customHeight="false" outlineLevel="0" collapsed="false">
      <c r="A39" s="10" t="s">
        <v>101</v>
      </c>
    </row>
    <row r="41" customFormat="false" ht="15" hidden="false" customHeight="false" outlineLevel="0" collapsed="false">
      <c r="A41" s="8" t="s">
        <v>102</v>
      </c>
      <c r="B41" s="8"/>
      <c r="C41" s="8" t="s">
        <v>103</v>
      </c>
    </row>
    <row r="42" customFormat="false" ht="15" hidden="false" customHeight="false" outlineLevel="0" collapsed="false">
      <c r="A42" s="2" t="s">
        <v>29</v>
      </c>
      <c r="C42" s="15" t="n">
        <v>0.25</v>
      </c>
    </row>
    <row r="43" customFormat="false" ht="15" hidden="false" customHeight="false" outlineLevel="0" collapsed="false">
      <c r="A43" s="2" t="s">
        <v>48</v>
      </c>
      <c r="C43" s="15" t="n">
        <v>0.25</v>
      </c>
    </row>
    <row r="44" customFormat="false" ht="15" hidden="false" customHeight="false" outlineLevel="0" collapsed="false">
      <c r="A44" s="2" t="s">
        <v>52</v>
      </c>
      <c r="C44" s="15" t="n">
        <v>0.25</v>
      </c>
    </row>
    <row r="45" customFormat="false" ht="15" hidden="false" customHeight="false" outlineLevel="0" collapsed="false">
      <c r="A45" s="2" t="s">
        <v>104</v>
      </c>
      <c r="C45" s="15" t="n">
        <v>-0.25</v>
      </c>
    </row>
    <row r="47" customFormat="false" ht="15" hidden="false" customHeight="false" outlineLevel="0" collapsed="false">
      <c r="A47" s="8" t="s">
        <v>105</v>
      </c>
      <c r="B47" s="8"/>
      <c r="C47" s="8" t="s">
        <v>69</v>
      </c>
      <c r="D47" s="8"/>
      <c r="E47" s="8" t="s">
        <v>70</v>
      </c>
    </row>
    <row r="48" customFormat="false" ht="15" hidden="false" customHeight="false" outlineLevel="0" collapsed="false">
      <c r="A48" s="2" t="s">
        <v>106</v>
      </c>
      <c r="C48" s="16" t="n">
        <v>0.06</v>
      </c>
      <c r="E48" s="10" t="s">
        <v>107</v>
      </c>
    </row>
    <row r="49" customFormat="false" ht="15" hidden="false" customHeight="false" outlineLevel="0" collapsed="false">
      <c r="A49" s="2" t="s">
        <v>108</v>
      </c>
      <c r="C49" s="16" t="n">
        <v>0.11</v>
      </c>
      <c r="E49" s="1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10" t="s">
        <v>110</v>
      </c>
    </row>
    <row r="3" customFormat="false" ht="23.85" hidden="false" customHeight="false" outlineLevel="0" collapsed="false">
      <c r="A3" s="8" t="s">
        <v>18</v>
      </c>
      <c r="B3" s="8" t="s">
        <v>19</v>
      </c>
      <c r="C3" s="8" t="s">
        <v>20</v>
      </c>
      <c r="D3" s="8" t="s">
        <v>22</v>
      </c>
      <c r="E3" s="8" t="s">
        <v>27</v>
      </c>
      <c r="F3" s="8" t="s">
        <v>25</v>
      </c>
      <c r="G3" s="8" t="s">
        <v>26</v>
      </c>
      <c r="H3" s="8" t="s">
        <v>111</v>
      </c>
    </row>
    <row r="4" customFormat="false" ht="15" hidden="false" customHeight="false" outlineLevel="0" collapsed="false">
      <c r="A4" s="2" t="s">
        <v>28</v>
      </c>
      <c r="B4" s="7" t="str">
        <f aca="false">Declarations!B4</f>
        <v>liquidity</v>
      </c>
      <c r="C4" s="17" t="n">
        <f aca="false">Declarations!C4</f>
        <v>100</v>
      </c>
      <c r="D4" s="7" t="str">
        <f aca="false">Declarations!E4</f>
        <v>stock</v>
      </c>
      <c r="E4" s="7" t="str">
        <f aca="false">Declarations!J4</f>
        <v>ECA</v>
      </c>
      <c r="F4" s="18" t="n">
        <f aca="false">Declarations!H4</f>
        <v>1</v>
      </c>
      <c r="G4" s="18" t="n">
        <f aca="false">Declarations!I4</f>
        <v>100</v>
      </c>
      <c r="H4" s="11" t="n">
        <f aca="false">F4/G4</f>
        <v>0.01</v>
      </c>
    </row>
    <row r="5" customFormat="false" ht="15" hidden="false" customHeight="false" outlineLevel="0" collapsed="false">
      <c r="A5" s="2" t="s">
        <v>35</v>
      </c>
      <c r="B5" s="7" t="str">
        <f aca="false">Declarations!B5</f>
        <v>net leverage</v>
      </c>
      <c r="C5" s="17" t="n">
        <f aca="false">Declarations!C5</f>
        <v>3.4</v>
      </c>
      <c r="D5" s="7" t="str">
        <f aca="false">Declarations!E5</f>
        <v>ratio</v>
      </c>
      <c r="E5" s="7" t="str">
        <f aca="false">Declarations!J5</f>
        <v>ECA</v>
      </c>
      <c r="F5" s="18" t="n">
        <f aca="false">Declarations!H5</f>
        <v>0.068</v>
      </c>
      <c r="G5" s="18" t="n">
        <f aca="false">Declarations!I5</f>
        <v>3.4</v>
      </c>
      <c r="H5" s="11" t="n">
        <f aca="false">F5/G5</f>
        <v>0.02</v>
      </c>
    </row>
    <row r="6" customFormat="false" ht="15" hidden="false" customHeight="false" outlineLevel="0" collapsed="false">
      <c r="A6" s="2" t="s">
        <v>41</v>
      </c>
      <c r="B6" s="7" t="str">
        <f aca="false">Declarations!B6</f>
        <v>workforce capability</v>
      </c>
      <c r="C6" s="17" t="n">
        <f aca="false">Declarations!C6</f>
        <v>58</v>
      </c>
      <c r="D6" s="7" t="str">
        <f aca="false">Declarations!E6</f>
        <v>index</v>
      </c>
      <c r="E6" s="7" t="str">
        <f aca="false">Declarations!J6</f>
        <v>ECA</v>
      </c>
      <c r="F6" s="18" t="n">
        <f aca="false">Declarations!H6</f>
        <v>5</v>
      </c>
      <c r="G6" s="18" t="n">
        <f aca="false">Declarations!I6</f>
        <v>100</v>
      </c>
      <c r="H6" s="11" t="n">
        <f aca="false">F6/G6</f>
        <v>0.05</v>
      </c>
    </row>
    <row r="7" customFormat="false" ht="15" hidden="false" customHeight="false" outlineLevel="0" collapsed="false">
      <c r="A7" s="2" t="s">
        <v>47</v>
      </c>
      <c r="B7" s="7" t="str">
        <f aca="false">Declarations!B7</f>
        <v>technology platform</v>
      </c>
      <c r="C7" s="17" t="n">
        <f aca="false">Declarations!C7</f>
        <v>41</v>
      </c>
      <c r="D7" s="7" t="str">
        <f aca="false">Declarations!E7</f>
        <v>index</v>
      </c>
      <c r="E7" s="7" t="str">
        <f aca="false">Declarations!J7</f>
        <v>ECA</v>
      </c>
      <c r="F7" s="18" t="n">
        <f aca="false">Declarations!H7</f>
        <v>4</v>
      </c>
      <c r="G7" s="18" t="n">
        <f aca="false">Declarations!I7</f>
        <v>100</v>
      </c>
      <c r="H7" s="11" t="n">
        <f aca="false">F7/G7</f>
        <v>0.04</v>
      </c>
    </row>
    <row r="8" customFormat="false" ht="15" hidden="false" customHeight="false" outlineLevel="0" collapsed="false">
      <c r="A8" s="2" t="s">
        <v>51</v>
      </c>
      <c r="B8" s="7" t="str">
        <f aca="false">Declarations!B8</f>
        <v>operational efficiency</v>
      </c>
      <c r="C8" s="17" t="n">
        <f aca="false">Declarations!C8</f>
        <v>71</v>
      </c>
      <c r="D8" s="7" t="str">
        <f aca="false">Declarations!E8</f>
        <v>index</v>
      </c>
      <c r="E8" s="7" t="str">
        <f aca="false">Declarations!J8</f>
        <v>EPA</v>
      </c>
      <c r="F8" s="18" t="n">
        <f aca="false">Declarations!H8</f>
        <v>3</v>
      </c>
      <c r="G8" s="18" t="n">
        <f aca="false">Declarations!I8</f>
        <v>100</v>
      </c>
      <c r="H8" s="11" t="n">
        <f aca="false">F8/G8</f>
        <v>0.03</v>
      </c>
    </row>
    <row r="9" customFormat="false" ht="15" hidden="false" customHeight="false" outlineLevel="0" collapsed="false">
      <c r="A9" s="2" t="s">
        <v>56</v>
      </c>
      <c r="B9" s="7" t="str">
        <f aca="false">Declarations!B9</f>
        <v>ROIC</v>
      </c>
      <c r="C9" s="18" t="n">
        <f aca="false">Declarations!C9</f>
        <v>0.083</v>
      </c>
      <c r="D9" s="7" t="str">
        <f aca="false">Declarations!E9</f>
        <v>ratio</v>
      </c>
      <c r="E9" s="7" t="str">
        <f aca="false">Declarations!J9</f>
        <v>EPA</v>
      </c>
      <c r="F9" s="18" t="n">
        <f aca="false">Declarations!H9</f>
        <v>0.004</v>
      </c>
      <c r="G9" s="18" t="n">
        <f aca="false">Declarations!I9</f>
        <v>0.083</v>
      </c>
      <c r="H9" s="11" t="n">
        <f aca="false">F9/G9</f>
        <v>0.0481927710843373</v>
      </c>
    </row>
    <row r="10" customFormat="false" ht="15" hidden="false" customHeight="false" outlineLevel="0" collapsed="false">
      <c r="A10" s="2" t="s">
        <v>59</v>
      </c>
      <c r="B10" s="7" t="str">
        <f aca="false">Declarations!B10</f>
        <v>strategic risk (lower is better)</v>
      </c>
      <c r="C10" s="17" t="n">
        <f aca="false">Declarations!C10</f>
        <v>64</v>
      </c>
      <c r="D10" s="7" t="str">
        <f aca="false">Declarations!E10</f>
        <v>index</v>
      </c>
      <c r="E10" s="7" t="str">
        <f aca="false">Declarations!J10</f>
        <v>ERRA</v>
      </c>
      <c r="F10" s="18" t="n">
        <f aca="false">Declarations!H10</f>
        <v>6</v>
      </c>
      <c r="G10" s="18" t="n">
        <f aca="false">Declarations!I10</f>
        <v>100</v>
      </c>
      <c r="H10" s="11" t="n">
        <f aca="false">F10/G10</f>
        <v>0.06</v>
      </c>
    </row>
    <row r="11" customFormat="false" ht="15" hidden="false" customHeight="false" outlineLevel="0" collapsed="false">
      <c r="A11" s="2" t="s">
        <v>64</v>
      </c>
      <c r="B11" s="7" t="str">
        <f aca="false">Declarations!B11</f>
        <v>market share</v>
      </c>
      <c r="C11" s="18" t="n">
        <f aca="false">Declarations!C11</f>
        <v>0.19</v>
      </c>
      <c r="D11" s="7" t="str">
        <f aca="false">Declarations!E11</f>
        <v>ratio</v>
      </c>
      <c r="E11" s="7" t="str">
        <f aca="false">Declarations!J11</f>
        <v>EPA</v>
      </c>
      <c r="F11" s="18" t="n">
        <f aca="false">Declarations!H11</f>
        <v>0.008</v>
      </c>
      <c r="G11" s="18" t="n">
        <f aca="false">Declarations!I11</f>
        <v>0.19</v>
      </c>
      <c r="H11" s="11" t="n">
        <f aca="false">F11/G11</f>
        <v>0.0421052631578947</v>
      </c>
    </row>
    <row r="13" customFormat="false" ht="15" hidden="false" customHeight="false" outlineLevel="0" collapsed="false">
      <c r="A13" s="2" t="s">
        <v>112</v>
      </c>
      <c r="B13" s="19" t="n">
        <f aca="false">COUNTA(B4:B11)</f>
        <v>8</v>
      </c>
    </row>
    <row r="14" customFormat="false" ht="15" hidden="false" customHeight="false" outlineLevel="0" collapsed="false">
      <c r="A14" s="2" t="s">
        <v>113</v>
      </c>
      <c r="B14" s="19" t="n">
        <f aca="false">COUNTIF(D4:D11,"stock")</f>
        <v>1</v>
      </c>
    </row>
    <row r="15" customFormat="false" ht="15" hidden="false" customHeight="false" outlineLevel="0" collapsed="false">
      <c r="A15" s="2" t="s">
        <v>114</v>
      </c>
      <c r="B15" s="19" t="n">
        <f aca="false">COUNTIF(D4:D11,"ratio")</f>
        <v>3</v>
      </c>
    </row>
    <row r="16" customFormat="false" ht="15" hidden="false" customHeight="false" outlineLevel="0" collapsed="false">
      <c r="A16" s="2" t="s">
        <v>115</v>
      </c>
      <c r="B16" s="19" t="n">
        <f aca="false">COUNTIF(D4:D11,"index")</f>
        <v>4</v>
      </c>
    </row>
    <row r="17" customFormat="false" ht="15" hidden="false" customHeight="false" outlineLevel="0" collapsed="false">
      <c r="A17" s="2" t="s">
        <v>116</v>
      </c>
      <c r="B17" s="19" t="n">
        <f aca="false">COUNTIF(E4:E11,"ECA")</f>
        <v>4</v>
      </c>
    </row>
    <row r="18" customFormat="false" ht="15" hidden="false" customHeight="false" outlineLevel="0" collapsed="false">
      <c r="A18" s="2" t="s">
        <v>117</v>
      </c>
      <c r="B18" s="19" t="n">
        <f aca="false">COUNTIF(E4:E11,"EPA")</f>
        <v>3</v>
      </c>
    </row>
    <row r="19" customFormat="false" ht="15" hidden="false" customHeight="false" outlineLevel="0" collapsed="false">
      <c r="A19" s="2" t="s">
        <v>118</v>
      </c>
      <c r="B19" s="19" t="n">
        <f aca="false">COUNTIF(E4:E11,"ERRA")</f>
        <v>1</v>
      </c>
    </row>
    <row r="20" customFormat="false" ht="15" hidden="false" customHeight="false" outlineLevel="0" collapsed="false">
      <c r="A20" s="2" t="s">
        <v>119</v>
      </c>
      <c r="B20" s="11" t="n">
        <f aca="false">MAX(H4:H11)</f>
        <v>0.06</v>
      </c>
      <c r="C20" s="2" t="str">
        <f aca="false">INDEX(B4:B11,MATCH(B20,H4:H11,0))</f>
        <v>strategic risk (lower is better)</v>
      </c>
    </row>
    <row r="21" customFormat="false" ht="15" hidden="false" customHeight="false" outlineLevel="0" collapsed="false">
      <c r="A21" s="2" t="s">
        <v>120</v>
      </c>
      <c r="B21" s="11" t="n">
        <f aca="false">LARGE(H4:H11,2)</f>
        <v>0.05</v>
      </c>
      <c r="C21" s="2" t="str">
        <f aca="false">INDEX(B4:B11,MATCH(B21,H4:H11,0))</f>
        <v>workforce capability</v>
      </c>
    </row>
    <row r="23" customFormat="false" ht="15" hidden="false" customHeight="false" outlineLevel="0" collapsed="false">
      <c r="A23" s="8" t="s">
        <v>121</v>
      </c>
      <c r="B23" s="8" t="s">
        <v>69</v>
      </c>
    </row>
    <row r="24" customFormat="false" ht="15" hidden="false" customHeight="false" outlineLevel="0" collapsed="false">
      <c r="A24" s="2" t="s">
        <v>122</v>
      </c>
      <c r="B24" s="19" t="n">
        <f aca="false">B13</f>
        <v>8</v>
      </c>
    </row>
    <row r="25" customFormat="false" ht="15" hidden="false" customHeight="false" outlineLevel="0" collapsed="false">
      <c r="A25" s="2" t="s">
        <v>123</v>
      </c>
      <c r="B25" s="19" t="n">
        <f aca="false">B13+1</f>
        <v>9</v>
      </c>
    </row>
    <row r="26" customFormat="false" ht="15" hidden="false" customHeight="false" outlineLevel="0" collapsed="false">
      <c r="A26" s="2" t="s">
        <v>124</v>
      </c>
      <c r="B26" s="20" t="n">
        <f aca="false">Attr_lo</f>
        <v>0.06</v>
      </c>
    </row>
    <row r="27" customFormat="false" ht="15" hidden="false" customHeight="false" outlineLevel="0" collapsed="false">
      <c r="A27" s="2" t="s">
        <v>125</v>
      </c>
      <c r="B27" s="20" t="n">
        <f aca="false">Attr_hi</f>
        <v>0.11</v>
      </c>
    </row>
    <row r="28" customFormat="false" ht="15" hidden="false" customHeight="false" outlineLevel="0" collapsed="false">
      <c r="A28" s="10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4" topLeftCell="A4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26" min="12" style="0" width="12"/>
  </cols>
  <sheetData>
    <row r="1" customFormat="false" ht="1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10" t="s">
        <v>128</v>
      </c>
    </row>
    <row r="4" customFormat="false" ht="23.85" hidden="false" customHeight="false" outlineLevel="0" collapsed="false">
      <c r="A4" s="8" t="s">
        <v>129</v>
      </c>
      <c r="B4" s="8" t="s">
        <v>130</v>
      </c>
      <c r="C4" s="8" t="s">
        <v>21</v>
      </c>
      <c r="D4" s="8" t="s">
        <v>20</v>
      </c>
      <c r="E4" s="8" t="s">
        <v>131</v>
      </c>
      <c r="F4" s="8" t="s">
        <v>132</v>
      </c>
      <c r="G4" s="8" t="s">
        <v>133</v>
      </c>
      <c r="H4" s="8" t="s">
        <v>134</v>
      </c>
      <c r="I4" s="8" t="s">
        <v>133</v>
      </c>
      <c r="J4" s="8" t="s">
        <v>135</v>
      </c>
      <c r="K4" s="8" t="s">
        <v>133</v>
      </c>
    </row>
    <row r="5" customFormat="false" ht="15" hidden="false" customHeight="false" outlineLevel="0" collapsed="false">
      <c r="A5" s="2" t="s">
        <v>136</v>
      </c>
      <c r="B5" s="2" t="s">
        <v>137</v>
      </c>
      <c r="C5" s="2" t="s">
        <v>138</v>
      </c>
      <c r="D5" s="13" t="n">
        <f aca="false">Liq_today*USD_pt</f>
        <v>620</v>
      </c>
      <c r="E5" s="13" t="n">
        <f aca="false">$J$21</f>
        <v>481.917941377968</v>
      </c>
      <c r="F5" s="13" t="n">
        <f aca="false">MIN($O$45:$O$105)</f>
        <v>481.950382357786</v>
      </c>
      <c r="G5" s="19" t="n">
        <f aca="false">INDEX($A$45:$A$105,MATCH(F5,$O$45:$O$105,0))</f>
        <v>21</v>
      </c>
      <c r="H5" s="13" t="n">
        <f aca="false">MIN($S$45:$S$105)</f>
        <v>620</v>
      </c>
      <c r="I5" s="19" t="n">
        <f aca="false">INDEX($A$45:$A$105,MATCH(H5,$S$45:$S$105,0))</f>
        <v>0</v>
      </c>
      <c r="J5" s="13" t="n">
        <f aca="false">MIN($W$45:$W$105)</f>
        <v>620</v>
      </c>
      <c r="K5" s="19" t="n">
        <f aca="false">INDEX($A$45:$A$105,MATCH(J5,$W$45:$W$105,0))</f>
        <v>0</v>
      </c>
    </row>
    <row r="6" customFormat="false" ht="15" hidden="false" customHeight="false" outlineLevel="0" collapsed="false">
      <c r="A6" s="2" t="s">
        <v>139</v>
      </c>
      <c r="B6" s="2" t="s">
        <v>140</v>
      </c>
      <c r="C6" s="2" t="s">
        <v>138</v>
      </c>
      <c r="D6" s="13" t="n">
        <f aca="false">Liq_today*USD_pt-Floor_usd</f>
        <v>270</v>
      </c>
      <c r="E6" s="13" t="n">
        <f aca="false">$J$21-Floor_usd</f>
        <v>131.917941377968</v>
      </c>
      <c r="F6" s="13" t="n">
        <f aca="false">MIN($P$45:$P$105)</f>
        <v>131.950382357786</v>
      </c>
      <c r="G6" s="19" t="n">
        <f aca="false">INDEX($A$45:$A$105,MATCH(F6,$P$45:$P$105,0))</f>
        <v>21</v>
      </c>
      <c r="H6" s="13" t="n">
        <f aca="false">MIN($T$45:$T$105)</f>
        <v>270</v>
      </c>
      <c r="I6" s="19" t="n">
        <f aca="false">INDEX($A$45:$A$105,MATCH(H6,$T$45:$T$105,0))</f>
        <v>0</v>
      </c>
      <c r="J6" s="13" t="n">
        <f aca="false">MIN($X$45:$X$105)</f>
        <v>270</v>
      </c>
      <c r="K6" s="19" t="n">
        <f aca="false">INDEX($A$45:$A$105,MATCH(J6,$X$45:$X$105,0))</f>
        <v>0</v>
      </c>
    </row>
    <row r="7" customFormat="false" ht="15" hidden="false" customHeight="false" outlineLevel="0" collapsed="false">
      <c r="A7" s="2" t="s">
        <v>141</v>
      </c>
      <c r="B7" s="2" t="s">
        <v>142</v>
      </c>
      <c r="C7" s="2" t="s">
        <v>143</v>
      </c>
      <c r="D7" s="11" t="n">
        <f aca="false">Covenant-Lev_today</f>
        <v>1.1</v>
      </c>
      <c r="E7" s="11" t="n">
        <f aca="false">Covenant-Lev_today</f>
        <v>1.1</v>
      </c>
      <c r="F7" s="11" t="n">
        <f aca="false">D7</f>
        <v>1.1</v>
      </c>
      <c r="G7" s="2" t="s">
        <v>144</v>
      </c>
      <c r="H7" s="11" t="n">
        <f aca="false">D7</f>
        <v>1.1</v>
      </c>
      <c r="I7" s="2" t="s">
        <v>144</v>
      </c>
      <c r="J7" s="11" t="n">
        <f aca="false">D7</f>
        <v>1.1</v>
      </c>
      <c r="K7" s="2" t="s">
        <v>144</v>
      </c>
    </row>
    <row r="8" customFormat="false" ht="15" hidden="false" customHeight="false" outlineLevel="0" collapsed="false">
      <c r="A8" s="2" t="s">
        <v>145</v>
      </c>
      <c r="B8" s="2" t="s">
        <v>140</v>
      </c>
      <c r="C8" s="2" t="s">
        <v>146</v>
      </c>
      <c r="D8" s="13" t="n">
        <f aca="false">Risk_ceiling-Risk_today</f>
        <v>11</v>
      </c>
      <c r="E8" s="13" t="n">
        <f aca="false">Risk_ceiling-(Declarations!$C$30+(Declarations!$C$10-Declarations!$C$30)*EXP(-Declarations!$D$30*$B$19)+IF(Declarations!$E$30=0,0,Declarations!$E$30*($B$19/Declarations!$F$30)*EXP(1-$B$19/Declarations!$F$30))+IF($B$19&gt;=T_sale,Declarations!$G$30,0))</f>
        <v>4.42420538527767</v>
      </c>
      <c r="F8" s="13" t="n">
        <f aca="false">MIN($Q$45:$Q$105)</f>
        <v>1.44793647924442</v>
      </c>
      <c r="G8" s="19" t="n">
        <f aca="false">INDEX($A$45:$A$105,MATCH(F8,$Q$45:$Q$105,0))</f>
        <v>11</v>
      </c>
      <c r="H8" s="13" t="n">
        <f aca="false">MIN($U$45:$U$105)</f>
        <v>11</v>
      </c>
      <c r="I8" s="19" t="n">
        <f aca="false">INDEX($A$45:$A$105,MATCH(H8,$U$45:$U$105,0))</f>
        <v>0</v>
      </c>
      <c r="J8" s="13" t="n">
        <f aca="false">MIN($Y$45:$Y$105)</f>
        <v>8.66939048044529</v>
      </c>
      <c r="K8" s="19" t="n">
        <f aca="false">INDEX($A$45:$A$105,MATCH(J8,$Y$45:$Y$105,0))</f>
        <v>60</v>
      </c>
    </row>
    <row r="9" customFormat="false" ht="15" hidden="false" customHeight="false" outlineLevel="0" collapsed="false">
      <c r="A9" s="2" t="s">
        <v>147</v>
      </c>
      <c r="B9" s="2" t="s">
        <v>148</v>
      </c>
      <c r="C9" s="2" t="s">
        <v>146</v>
      </c>
      <c r="D9" s="13" t="n">
        <f aca="false">MIN(Wf_today-Idx_lo,Idx_hi-Wf_today,Tech_today-Idx_lo,Idx_hi-Tech_today,Eff_today-Idx_lo,Idx_hi-Eff_today,Risk_today-Idx_lo,Idx_hi-Risk_today)</f>
        <v>29</v>
      </c>
      <c r="E9" s="13" t="n">
        <f aca="false">MIN(Wf_today-Idx_lo,Idx_hi-Wf_today,(Declarations!$C$28+(Declarations!$C$7-Declarations!$C$28)*EXP(-Declarations!$D$28*$B$19)+IF(Declarations!$E$28=0,0,Declarations!$E$28*($B$19/Declarations!$F$28)*EXP(1-$B$19/Declarations!$F$28))+IF($B$19&gt;=T_sale,Declarations!$G$28,0))-Idx_lo,Idx_hi-(Declarations!$C$28+(Declarations!$C$7-Declarations!$C$28)*EXP(-Declarations!$D$28*$B$19)+IF(Declarations!$E$28=0,0,Declarations!$E$28*($B$19/Declarations!$F$28)*EXP(1-$B$19/Declarations!$F$28))+IF($B$19&gt;=T_sale,Declarations!$G$28,0)),(Declarations!$C$29+(Declarations!$C$8-Declarations!$C$29)*EXP(-Declarations!$D$29*$B$19)+IF(Declarations!$E$29=0,0,Declarations!$E$29*($B$19/Declarations!$F$29)*EXP(1-$B$19/Declarations!$F$29))+IF($B$19&gt;=T_sale,Declarations!$G$29,0))-Idx_lo,Idx_hi-(Declarations!$C$29+(Declarations!$C$8-Declarations!$C$29)*EXP(-Declarations!$D$29*$B$19)+IF(Declarations!$E$29=0,0,Declarations!$E$29*($B$19/Declarations!$F$29)*EXP(1-$B$19/Declarations!$F$29))+IF($B$19&gt;=T_sale,Declarations!$G$29,0)),(Declarations!$C$30+(Declarations!$C$10-Declarations!$C$30)*EXP(-Declarations!$D$30*$B$19)+IF(Declarations!$E$30=0,0,Declarations!$E$30*($B$19/Declarations!$F$30)*EXP(1-$B$19/Declarations!$F$30))+IF($B$19&gt;=T_sale,Declarations!$G$30,0))-Idx_lo,Idx_hi-(Declarations!$C$30+(Declarations!$C$10-Declarations!$C$30)*EXP(-Declarations!$D$30*$B$19)+IF(Declarations!$E$30=0,0,Declarations!$E$30*($B$19/Declarations!$F$30)*EXP(1-$B$19/Declarations!$F$30))+IF($B$19&gt;=T_sale,Declarations!$G$30,0)))</f>
        <v>29.4242053852777</v>
      </c>
      <c r="F9" s="13" t="n">
        <f aca="false">MIN($R$45:$R$105)</f>
        <v>24.3653308646482</v>
      </c>
      <c r="G9" s="19" t="n">
        <f aca="false">INDEX($A$45:$A$105,MATCH(F9,$R$45:$R$105,0))</f>
        <v>60</v>
      </c>
      <c r="H9" s="13" t="n">
        <f aca="false">MIN($V$45:$V$105)</f>
        <v>26.3161976736856</v>
      </c>
      <c r="I9" s="19" t="n">
        <f aca="false">INDEX($A$45:$A$105,MATCH(H9,$V$45:$V$105,0))</f>
        <v>60</v>
      </c>
      <c r="J9" s="13" t="n">
        <f aca="false">MIN($Z$45:$Z$105)</f>
        <v>21.3982965469429</v>
      </c>
      <c r="K9" s="19" t="n">
        <f aca="false">INDEX($A$45:$A$105,MATCH(J9,$Z$45:$Z$105,0))</f>
        <v>60</v>
      </c>
    </row>
    <row r="10" customFormat="false" ht="15" hidden="false" customHeight="false" outlineLevel="0" collapsed="false">
      <c r="A10" s="2" t="s">
        <v>149</v>
      </c>
      <c r="B10" s="2" t="s">
        <v>148</v>
      </c>
      <c r="C10" s="2" t="s">
        <v>150</v>
      </c>
      <c r="D10" s="11" t="n">
        <f aca="false">MIN(Share_today-Shr_lo,Shr_hi-Share_today)</f>
        <v>0.19</v>
      </c>
      <c r="E10" s="11" t="n">
        <f aca="false">MIN(Share_today-Shr_lo,Shr_hi-Share_today)</f>
        <v>0.19</v>
      </c>
      <c r="F10" s="11" t="n">
        <f aca="false">D10</f>
        <v>0.19</v>
      </c>
      <c r="G10" s="2" t="s">
        <v>144</v>
      </c>
      <c r="H10" s="11" t="n">
        <f aca="false">D10</f>
        <v>0.19</v>
      </c>
      <c r="I10" s="2" t="s">
        <v>144</v>
      </c>
      <c r="J10" s="11" t="n">
        <f aca="false">D10</f>
        <v>0.19</v>
      </c>
      <c r="K10" s="2" t="s">
        <v>144</v>
      </c>
    </row>
    <row r="11" customFormat="false" ht="15" hidden="false" customHeight="false" outlineLevel="0" collapsed="false">
      <c r="A11" s="4" t="s">
        <v>151</v>
      </c>
      <c r="D11" s="19" t="n">
        <f aca="false">SUMPRODUCT(--(ABS(D5:D10)&lt;0.000000001))</f>
        <v>0</v>
      </c>
      <c r="E11" s="19" t="n">
        <f aca="false">SUMPRODUCT(--(ABS(E5:E10)&lt;0.000000001))</f>
        <v>0</v>
      </c>
    </row>
    <row r="13" customFormat="false" ht="23.85" hidden="false" customHeight="false" outlineLevel="0" collapsed="false">
      <c r="A13" s="8" t="s">
        <v>152</v>
      </c>
      <c r="B13" s="8" t="s">
        <v>153</v>
      </c>
      <c r="C13" s="8" t="s">
        <v>154</v>
      </c>
      <c r="D13" s="8" t="s">
        <v>155</v>
      </c>
      <c r="E13" s="8" t="s">
        <v>156</v>
      </c>
    </row>
    <row r="14" customFormat="false" ht="15" hidden="false" customHeight="false" outlineLevel="0" collapsed="false">
      <c r="A14" s="2" t="s">
        <v>157</v>
      </c>
      <c r="B14" s="21" t="n">
        <v>1.75</v>
      </c>
      <c r="C14" s="22" t="n">
        <f aca="false">-Declarations!$D$27*(Declarations!$C$4-Declarations!$C$27)*EXP(-Declarations!$D$27*B14)+(Declarations!$E$27/Declarations!$F$27)*EXP(1-B14/Declarations!$F$27)*(1-B14/Declarations!$F$27)</f>
        <v>0.293365798661639</v>
      </c>
      <c r="D14" s="23" t="n">
        <f aca="false">Declarations!$D$27^2*(Declarations!$C$4-Declarations!$C$27)*EXP(-Declarations!$D$27*B14)-(Declarations!$E$27/Declarations!$F$27^2)*EXP(1-B14/Declarations!$F$27)*(2-B14/Declarations!$F$27)</f>
        <v>8.12681261086625</v>
      </c>
      <c r="E14" s="24" t="n">
        <f aca="false">Declarations!$C$27+(Declarations!$C$4-Declarations!$C$27)*EXP(-Declarations!$D$27*B14)+IF(Declarations!$E$27=0,0,Declarations!$E$27*(B14/Declarations!$F$27)*EXP(1-B14/Declarations!$F$27))+IF(B14&gt;=T_sale,Declarations!$G$27,0)</f>
        <v>77.7339326383525</v>
      </c>
    </row>
    <row r="15" customFormat="false" ht="15" hidden="false" customHeight="false" outlineLevel="0" collapsed="false">
      <c r="A15" s="2" t="s">
        <v>158</v>
      </c>
      <c r="B15" s="25" t="n">
        <f aca="false">B14-C14/D14</f>
        <v>1.71390149340107</v>
      </c>
      <c r="C15" s="22" t="n">
        <f aca="false">-Declarations!$D$27*(Declarations!$C$4-Declarations!$C$27)*EXP(-Declarations!$D$27*B15)+(Declarations!$E$27/Declarations!$F$27)*EXP(1-B15/Declarations!$F$27)*(1-B15/Declarations!$F$27)</f>
        <v>-0.00535755473261057</v>
      </c>
      <c r="D15" s="23" t="n">
        <f aca="false">Declarations!$D$27^2*(Declarations!$C$4-Declarations!$C$27)*EXP(-Declarations!$D$27*B15)-(Declarations!$E$27/Declarations!$F$27^2)*EXP(1-B15/Declarations!$F$27)*(2-B15/Declarations!$F$27)</f>
        <v>8.42498300339482</v>
      </c>
      <c r="E15" s="24" t="n">
        <f aca="false">Declarations!$C$27+(Declarations!$C$4-Declarations!$C$27)*EXP(-Declarations!$D$27*B15)+IF(Declarations!$E$27=0,0,Declarations!$E$27*(B15/Declarations!$F$27)*EXP(1-B15/Declarations!$F$27))+IF(B15&gt;=T_sale,Declarations!$G$27,0)</f>
        <v>77.7287019260807</v>
      </c>
    </row>
    <row r="16" customFormat="false" ht="15" hidden="false" customHeight="false" outlineLevel="0" collapsed="false">
      <c r="A16" s="2" t="s">
        <v>159</v>
      </c>
      <c r="B16" s="25" t="n">
        <f aca="false">B15-C15/D15</f>
        <v>1.71453740622492</v>
      </c>
      <c r="C16" s="22" t="n">
        <f aca="false">-Declarations!$D$27*(Declarations!$C$4-Declarations!$C$27)*EXP(-Declarations!$D$27*B16)+(Declarations!$E$27/Declarations!$F$27)*EXP(1-B16/Declarations!$F$27)*(1-B16/Declarations!$F$27)</f>
        <v>-1.69244267533841E-006</v>
      </c>
      <c r="D16" s="23" t="n">
        <f aca="false">Declarations!$D$27^2*(Declarations!$C$4-Declarations!$C$27)*EXP(-Declarations!$D$27*B16)-(Declarations!$E$27/Declarations!$F$27^2)*EXP(1-B16/Declarations!$F$27)*(2-B16/Declarations!$F$27)</f>
        <v>8.41966054798253</v>
      </c>
      <c r="E16" s="24" t="n">
        <f aca="false">Declarations!$C$27+(Declarations!$C$4-Declarations!$C$27)*EXP(-Declarations!$D$27*B16)+IF(Declarations!$E$27=0,0,Declarations!$E$27*(B16/Declarations!$F$27)*EXP(1-B16/Declarations!$F$27))+IF(B16&gt;=T_sale,Declarations!$G$27,0)</f>
        <v>77.7287002222531</v>
      </c>
    </row>
    <row r="17" customFormat="false" ht="15" hidden="false" customHeight="false" outlineLevel="0" collapsed="false">
      <c r="A17" s="2" t="s">
        <v>160</v>
      </c>
      <c r="B17" s="25" t="n">
        <f aca="false">B16-C16/D16</f>
        <v>1.71453760723572</v>
      </c>
      <c r="C17" s="22" t="n">
        <f aca="false">-Declarations!$D$27*(Declarations!$C$4-Declarations!$C$27)*EXP(-Declarations!$D$27*B17)+(Declarations!$E$27/Declarations!$F$27)*EXP(1-B17/Declarations!$F$27)*(1-B17/Declarations!$F$27)</f>
        <v>-1.70086167372574E-013</v>
      </c>
      <c r="D17" s="23" t="n">
        <f aca="false">Declarations!$D$27^2*(Declarations!$C$4-Declarations!$C$27)*EXP(-Declarations!$D$27*B17)-(Declarations!$E$27/Declarations!$F$27^2)*EXP(1-B17/Declarations!$F$27)*(2-B17/Declarations!$F$27)</f>
        <v>8.41965886596411</v>
      </c>
      <c r="E17" s="24" t="n">
        <f aca="false">Declarations!$C$27+(Declarations!$C$4-Declarations!$C$27)*EXP(-Declarations!$D$27*B17)+IF(Declarations!$E$27=0,0,Declarations!$E$27*(B17/Declarations!$F$27)*EXP(1-B17/Declarations!$F$27))+IF(B17&gt;=T_sale,Declarations!$G$27,0)</f>
        <v>77.7287002222529</v>
      </c>
    </row>
    <row r="18" customFormat="false" ht="15" hidden="false" customHeight="false" outlineLevel="0" collapsed="false">
      <c r="A18" s="2" t="s">
        <v>161</v>
      </c>
      <c r="B18" s="25" t="n">
        <f aca="false">B17-C17/D17</f>
        <v>1.71453760723574</v>
      </c>
      <c r="C18" s="22" t="n">
        <f aca="false">-Declarations!$D$27*(Declarations!$C$4-Declarations!$C$27)*EXP(-Declarations!$D$27*B18)+(Declarations!$E$27/Declarations!$F$27)*EXP(1-B18/Declarations!$F$27)*(1-B18/Declarations!$F$27)</f>
        <v>0</v>
      </c>
      <c r="D18" s="23" t="n">
        <f aca="false">Declarations!$D$27^2*(Declarations!$C$4-Declarations!$C$27)*EXP(-Declarations!$D$27*B18)-(Declarations!$E$27/Declarations!$F$27^2)*EXP(1-B18/Declarations!$F$27)*(2-B18/Declarations!$F$27)</f>
        <v>8.41965886596394</v>
      </c>
      <c r="E18" s="24" t="n">
        <f aca="false">Declarations!$C$27+(Declarations!$C$4-Declarations!$C$27)*EXP(-Declarations!$D$27*B18)+IF(Declarations!$E$27=0,0,Declarations!$E$27*(B18/Declarations!$F$27)*EXP(1-B18/Declarations!$F$27))+IF(B18&gt;=T_sale,Declarations!$G$27,0)</f>
        <v>77.7287002222529</v>
      </c>
    </row>
    <row r="19" customFormat="false" ht="15" hidden="false" customHeight="false" outlineLevel="0" collapsed="false">
      <c r="A19" s="2" t="s">
        <v>162</v>
      </c>
      <c r="B19" s="25" t="n">
        <f aca="false">B18-C18/D18</f>
        <v>1.71453760723574</v>
      </c>
      <c r="C19" s="22" t="n">
        <f aca="false">-Declarations!$D$27*(Declarations!$C$4-Declarations!$C$27)*EXP(-Declarations!$D$27*B19)+(Declarations!$E$27/Declarations!$F$27)*EXP(1-B19/Declarations!$F$27)*(1-B19/Declarations!$F$27)</f>
        <v>0</v>
      </c>
      <c r="D19" s="23" t="n">
        <f aca="false">Declarations!$D$27^2*(Declarations!$C$4-Declarations!$C$27)*EXP(-Declarations!$D$27*B19)-(Declarations!$E$27/Declarations!$F$27^2)*EXP(1-B19/Declarations!$F$27)*(2-B19/Declarations!$F$27)</f>
        <v>8.41965886596394</v>
      </c>
      <c r="E19" s="24" t="n">
        <f aca="false">Declarations!$C$27+(Declarations!$C$4-Declarations!$C$27)*EXP(-Declarations!$D$27*B19)+IF(Declarations!$E$27=0,0,Declarations!$E$27*(B19/Declarations!$F$27)*EXP(1-B19/Declarations!$F$27))+IF(B19&gt;=T_sale,Declarations!$G$27,0)</f>
        <v>77.7287002222529</v>
      </c>
      <c r="G19" s="2" t="s">
        <v>163</v>
      </c>
      <c r="J19" s="24" t="n">
        <f aca="false">B19</f>
        <v>1.71453760723574</v>
      </c>
    </row>
    <row r="20" customFormat="false" ht="15" hidden="false" customHeight="false" outlineLevel="0" collapsed="false">
      <c r="G20" s="2" t="s">
        <v>164</v>
      </c>
      <c r="J20" s="11" t="n">
        <f aca="false">E19</f>
        <v>77.7287002222529</v>
      </c>
    </row>
    <row r="21" customFormat="false" ht="15" hidden="false" customHeight="false" outlineLevel="0" collapsed="false">
      <c r="G21" s="2" t="s">
        <v>165</v>
      </c>
      <c r="J21" s="11" t="n">
        <f aca="false">E19*USD_pt</f>
        <v>481.917941377968</v>
      </c>
    </row>
    <row r="22" customFormat="false" ht="15" hidden="false" customHeight="false" outlineLevel="0" collapsed="false">
      <c r="G22" s="2" t="s">
        <v>166</v>
      </c>
      <c r="J22" s="13" t="n">
        <f aca="false">12*B19</f>
        <v>20.5744512868289</v>
      </c>
    </row>
    <row r="23" customFormat="false" ht="15" hidden="false" customHeight="false" outlineLevel="0" collapsed="false">
      <c r="G23" s="2" t="s">
        <v>167</v>
      </c>
      <c r="J23" s="11" t="n">
        <f aca="false">J21-Floor_usd</f>
        <v>131.917941377968</v>
      </c>
    </row>
    <row r="24" customFormat="false" ht="15" hidden="false" customHeight="false" outlineLevel="0" collapsed="false">
      <c r="G24" s="2" t="s">
        <v>168</v>
      </c>
      <c r="J24" s="11" t="n">
        <f aca="false">J21</f>
        <v>481.917941377968</v>
      </c>
    </row>
    <row r="25" customFormat="false" ht="15" hidden="false" customHeight="false" outlineLevel="0" collapsed="false">
      <c r="G25" s="2" t="s">
        <v>169</v>
      </c>
      <c r="J25" s="11" t="n">
        <f aca="false">MIN($C$45:$C$105)</f>
        <v>77.7339326383525</v>
      </c>
    </row>
    <row r="26" customFormat="false" ht="15" hidden="false" customHeight="false" outlineLevel="0" collapsed="false">
      <c r="G26" s="2" t="s">
        <v>170</v>
      </c>
      <c r="J26" s="19" t="n">
        <f aca="false">INDEX($A$45:$A$105,MATCH(J25,$C$45:$C$105,0))</f>
        <v>21</v>
      </c>
    </row>
    <row r="28" customFormat="false" ht="23.85" hidden="false" customHeight="false" outlineLevel="0" collapsed="false">
      <c r="A28" s="8" t="s">
        <v>171</v>
      </c>
      <c r="B28" s="8" t="s">
        <v>153</v>
      </c>
      <c r="C28" s="8" t="s">
        <v>154</v>
      </c>
      <c r="D28" s="8" t="s">
        <v>155</v>
      </c>
      <c r="E28" s="8" t="s">
        <v>156</v>
      </c>
    </row>
    <row r="29" customFormat="false" ht="15" hidden="false" customHeight="false" outlineLevel="0" collapsed="false">
      <c r="A29" s="2" t="s">
        <v>172</v>
      </c>
      <c r="B29" s="21" t="n">
        <v>0.9</v>
      </c>
      <c r="C29" s="22" t="n">
        <f aca="false">-Declarations!$D$30*(Declarations!$C$10-Declarations!$C$30)*EXP(-Declarations!$D$30*B29)+(Declarations!$E$30/Declarations!$F$30)*EXP(1-B29/Declarations!$F$30)*(1-B29/Declarations!$F$30)</f>
        <v>0.117157236436551</v>
      </c>
      <c r="D29" s="23" t="n">
        <f aca="false">Declarations!$D$30^2*(Declarations!$C$10-Declarations!$C$30)*EXP(-Declarations!$D$30*B29)-(Declarations!$E$30/Declarations!$F$30^2)*EXP(1-B29/Declarations!$F$30)*(2-B29/Declarations!$F$30)</f>
        <v>-14.1533087917969</v>
      </c>
      <c r="E29" s="24" t="n">
        <f aca="false">Declarations!$C$30+(Declarations!$C$10-Declarations!$C$30)*EXP(-Declarations!$D$30*B29)+IF(Declarations!$E$30=0,0,Declarations!$E$30*(B29/Declarations!$F$30)*EXP(1-B29/Declarations!$F$30))+IF(B29&gt;=T_sale,Declarations!$G$30,0)</f>
        <v>73.5520591141447</v>
      </c>
    </row>
    <row r="30" customFormat="false" ht="15" hidden="false" customHeight="false" outlineLevel="0" collapsed="false">
      <c r="A30" s="2" t="s">
        <v>158</v>
      </c>
      <c r="B30" s="25" t="n">
        <f aca="false">B29-C29/D29</f>
        <v>0.908277727714417</v>
      </c>
      <c r="C30" s="22" t="n">
        <f aca="false">-Declarations!$D$30*(Declarations!$C$10-Declarations!$C$30)*EXP(-Declarations!$D$30*B30)+(Declarations!$E$30/Declarations!$F$30)*EXP(1-B30/Declarations!$F$30)*(1-B30/Declarations!$F$30)</f>
        <v>0.000779400558897248</v>
      </c>
      <c r="D30" s="23" t="n">
        <f aca="false">Declarations!$D$30^2*(Declarations!$C$10-Declarations!$C$30)*EXP(-Declarations!$D$30*B30)-(Declarations!$E$30/Declarations!$F$30^2)*EXP(1-B30/Declarations!$F$30)*(2-B30/Declarations!$F$30)</f>
        <v>-13.9653137729812</v>
      </c>
      <c r="E30" s="24" t="n">
        <f aca="false">Declarations!$C$30+(Declarations!$C$10-Declarations!$C$30)*EXP(-Declarations!$D$30*B30)+IF(Declarations!$E$30=0,0,Declarations!$E$30*(B30/Declarations!$F$30)*EXP(1-B30/Declarations!$F$30))+IF(B30&gt;=T_sale,Declarations!$G$30,0)</f>
        <v>73.5525461643669</v>
      </c>
    </row>
    <row r="31" customFormat="false" ht="15" hidden="false" customHeight="false" outlineLevel="0" collapsed="false">
      <c r="A31" s="2" t="s">
        <v>159</v>
      </c>
      <c r="B31" s="25" t="n">
        <f aca="false">B30-C30/D30</f>
        <v>0.908333537456436</v>
      </c>
      <c r="C31" s="22" t="n">
        <f aca="false">-Declarations!$D$30*(Declarations!$C$10-Declarations!$C$30)*EXP(-Declarations!$D$30*B31)+(Declarations!$E$30/Declarations!$F$30)*EXP(1-B31/Declarations!$F$30)*(1-B31/Declarations!$F$30)</f>
        <v>3.51893754135801E-008</v>
      </c>
      <c r="D31" s="23" t="n">
        <f aca="false">Declarations!$D$30^2*(Declarations!$C$10-Declarations!$C$30)*EXP(-Declarations!$D$30*B31)-(Declarations!$E$30/Declarations!$F$30^2)*EXP(1-B31/Declarations!$F$30)*(2-B31/Declarations!$F$30)</f>
        <v>-13.9640527396502</v>
      </c>
      <c r="E31" s="24" t="n">
        <f aca="false">Declarations!$C$30+(Declarations!$C$10-Declarations!$C$30)*EXP(-Declarations!$D$30*B31)+IF(Declarations!$E$30=0,0,Declarations!$E$30*(B31/Declarations!$F$30)*EXP(1-B31/Declarations!$F$30))+IF(B31&gt;=T_sale,Declarations!$G$30,0)</f>
        <v>73.5525461861166</v>
      </c>
    </row>
    <row r="32" customFormat="false" ht="15" hidden="false" customHeight="false" outlineLevel="0" collapsed="false">
      <c r="A32" s="2" t="s">
        <v>160</v>
      </c>
      <c r="B32" s="25" t="n">
        <f aca="false">B31-C31/D31</f>
        <v>0.908333539976434</v>
      </c>
      <c r="C32" s="22" t="n">
        <f aca="false">-Declarations!$D$30*(Declarations!$C$10-Declarations!$C$30)*EXP(-Declarations!$D$30*B32)+(Declarations!$E$30/Declarations!$F$30)*EXP(1-B32/Declarations!$F$30)*(1-B32/Declarations!$F$30)</f>
        <v>0</v>
      </c>
      <c r="D32" s="23" t="n">
        <f aca="false">Declarations!$D$30^2*(Declarations!$C$10-Declarations!$C$30)*EXP(-Declarations!$D$30*B32)-(Declarations!$E$30/Declarations!$F$30^2)*EXP(1-B32/Declarations!$F$30)*(2-B32/Declarations!$F$30)</f>
        <v>-13.9640526827123</v>
      </c>
      <c r="E32" s="24" t="n">
        <f aca="false">Declarations!$C$30+(Declarations!$C$10-Declarations!$C$30)*EXP(-Declarations!$D$30*B32)+IF(Declarations!$E$30=0,0,Declarations!$E$30*(B32/Declarations!$F$30)*EXP(1-B32/Declarations!$F$30))+IF(B32&gt;=T_sale,Declarations!$G$30,0)</f>
        <v>73.5525461861166</v>
      </c>
    </row>
    <row r="33" customFormat="false" ht="15" hidden="false" customHeight="false" outlineLevel="0" collapsed="false">
      <c r="A33" s="2" t="s">
        <v>161</v>
      </c>
      <c r="B33" s="25" t="n">
        <f aca="false">B32-C32/D32</f>
        <v>0.908333539976434</v>
      </c>
      <c r="C33" s="22" t="n">
        <f aca="false">-Declarations!$D$30*(Declarations!$C$10-Declarations!$C$30)*EXP(-Declarations!$D$30*B33)+(Declarations!$E$30/Declarations!$F$30)*EXP(1-B33/Declarations!$F$30)*(1-B33/Declarations!$F$30)</f>
        <v>0</v>
      </c>
      <c r="D33" s="23" t="n">
        <f aca="false">Declarations!$D$30^2*(Declarations!$C$10-Declarations!$C$30)*EXP(-Declarations!$D$30*B33)-(Declarations!$E$30/Declarations!$F$30^2)*EXP(1-B33/Declarations!$F$30)*(2-B33/Declarations!$F$30)</f>
        <v>-13.9640526827123</v>
      </c>
      <c r="E33" s="24" t="n">
        <f aca="false">Declarations!$C$30+(Declarations!$C$10-Declarations!$C$30)*EXP(-Declarations!$D$30*B33)+IF(Declarations!$E$30=0,0,Declarations!$E$30*(B33/Declarations!$F$30)*EXP(1-B33/Declarations!$F$30))+IF(B33&gt;=T_sale,Declarations!$G$30,0)</f>
        <v>73.5525461861166</v>
      </c>
    </row>
    <row r="34" customFormat="false" ht="15" hidden="false" customHeight="false" outlineLevel="0" collapsed="false">
      <c r="A34" s="2" t="s">
        <v>162</v>
      </c>
      <c r="B34" s="25" t="n">
        <f aca="false">B33-C33/D33</f>
        <v>0.908333539976434</v>
      </c>
      <c r="C34" s="22" t="n">
        <f aca="false">-Declarations!$D$30*(Declarations!$C$10-Declarations!$C$30)*EXP(-Declarations!$D$30*B34)+(Declarations!$E$30/Declarations!$F$30)*EXP(1-B34/Declarations!$F$30)*(1-B34/Declarations!$F$30)</f>
        <v>0</v>
      </c>
      <c r="D34" s="23" t="n">
        <f aca="false">Declarations!$D$30^2*(Declarations!$C$10-Declarations!$C$30)*EXP(-Declarations!$D$30*B34)-(Declarations!$E$30/Declarations!$F$30^2)*EXP(1-B34/Declarations!$F$30)*(2-B34/Declarations!$F$30)</f>
        <v>-13.9640526827123</v>
      </c>
      <c r="E34" s="24" t="n">
        <f aca="false">Declarations!$C$30+(Declarations!$C$10-Declarations!$C$30)*EXP(-Declarations!$D$30*B34)+IF(Declarations!$E$30=0,0,Declarations!$E$30*(B34/Declarations!$F$30)*EXP(1-B34/Declarations!$F$30))+IF(B34&gt;=T_sale,Declarations!$G$30,0)</f>
        <v>73.5525461861166</v>
      </c>
      <c r="G34" s="2" t="s">
        <v>173</v>
      </c>
      <c r="J34" s="24" t="n">
        <f aca="false">B34</f>
        <v>0.908333539976434</v>
      </c>
    </row>
    <row r="35" customFormat="false" ht="15" hidden="false" customHeight="false" outlineLevel="0" collapsed="false">
      <c r="G35" s="2" t="s">
        <v>174</v>
      </c>
      <c r="J35" s="11" t="n">
        <f aca="false">E34</f>
        <v>73.5525461861166</v>
      </c>
    </row>
    <row r="36" customFormat="false" ht="15" hidden="false" customHeight="false" outlineLevel="0" collapsed="false">
      <c r="G36" s="2" t="s">
        <v>170</v>
      </c>
      <c r="J36" s="13" t="n">
        <f aca="false">12*B34</f>
        <v>10.9000024797172</v>
      </c>
    </row>
    <row r="37" customFormat="false" ht="15" hidden="false" customHeight="false" outlineLevel="0" collapsed="false">
      <c r="G37" s="2" t="s">
        <v>175</v>
      </c>
      <c r="J37" s="11" t="n">
        <f aca="false">Risk_ceiling-E34</f>
        <v>1.44745381388336</v>
      </c>
    </row>
    <row r="38" customFormat="false" ht="15" hidden="false" customHeight="false" outlineLevel="0" collapsed="false">
      <c r="G38" s="2" t="s">
        <v>176</v>
      </c>
      <c r="J38" s="11" t="n">
        <f aca="false">MAX($F$45:$F$105)</f>
        <v>73.5520635207556</v>
      </c>
    </row>
    <row r="39" customFormat="false" ht="15" hidden="false" customHeight="false" outlineLevel="0" collapsed="false">
      <c r="G39" s="2" t="s">
        <v>170</v>
      </c>
      <c r="J39" s="19" t="n">
        <f aca="false">INDEX($A$45:$A$105,MATCH(J38,$F$45:$F$105,0))</f>
        <v>11</v>
      </c>
    </row>
    <row r="41" customFormat="false" ht="15" hidden="false" customHeight="false" outlineLevel="0" collapsed="false">
      <c r="A41" s="10" t="s">
        <v>177</v>
      </c>
    </row>
    <row r="44" customFormat="false" ht="35.05" hidden="false" customHeight="false" outlineLevel="0" collapsed="false">
      <c r="A44" s="8" t="s">
        <v>133</v>
      </c>
      <c r="B44" s="8" t="s">
        <v>153</v>
      </c>
      <c r="C44" s="8" t="s">
        <v>178</v>
      </c>
      <c r="D44" s="8" t="s">
        <v>96</v>
      </c>
      <c r="E44" s="8" t="s">
        <v>97</v>
      </c>
      <c r="F44" s="8" t="s">
        <v>98</v>
      </c>
      <c r="G44" s="8" t="s">
        <v>179</v>
      </c>
      <c r="H44" s="8" t="s">
        <v>96</v>
      </c>
      <c r="I44" s="8" t="s">
        <v>97</v>
      </c>
      <c r="J44" s="8" t="s">
        <v>98</v>
      </c>
      <c r="K44" s="8" t="s">
        <v>180</v>
      </c>
      <c r="L44" s="8" t="s">
        <v>96</v>
      </c>
      <c r="M44" s="8" t="s">
        <v>97</v>
      </c>
      <c r="N44" s="8" t="s">
        <v>98</v>
      </c>
      <c r="O44" s="8" t="s">
        <v>181</v>
      </c>
      <c r="P44" s="8" t="s">
        <v>182</v>
      </c>
      <c r="Q44" s="8" t="s">
        <v>183</v>
      </c>
      <c r="R44" s="8" t="s">
        <v>184</v>
      </c>
      <c r="S44" s="8" t="s">
        <v>185</v>
      </c>
      <c r="T44" s="8" t="s">
        <v>182</v>
      </c>
      <c r="U44" s="8" t="s">
        <v>183</v>
      </c>
      <c r="V44" s="8" t="s">
        <v>184</v>
      </c>
      <c r="W44" s="8" t="s">
        <v>186</v>
      </c>
      <c r="X44" s="8" t="s">
        <v>182</v>
      </c>
      <c r="Y44" s="8" t="s">
        <v>183</v>
      </c>
      <c r="Z44" s="8" t="s">
        <v>184</v>
      </c>
    </row>
    <row r="45" customFormat="false" ht="15" hidden="false" customHeight="false" outlineLevel="0" collapsed="false">
      <c r="A45" s="19" t="n">
        <v>0</v>
      </c>
      <c r="B45" s="23" t="n">
        <f aca="false">A45/12</f>
        <v>0</v>
      </c>
      <c r="C45" s="11" t="n">
        <f aca="false">Declarations!$C$27+(Declarations!$C$4-Declarations!$C$27)*EXP(-Declarations!$D$27*$B45)+IF(Declarations!$E$27=0,0,Declarations!$E$27*($B45/Declarations!$F$27)*EXP(1-$B45/Declarations!$F$27))+IF($B45&gt;=T_sale,Declarations!$G$27,0)</f>
        <v>100</v>
      </c>
      <c r="D45" s="11" t="n">
        <f aca="false">Declarations!$C$28+(Declarations!$C$7-Declarations!$C$28)*EXP(-Declarations!$D$28*$B45)+IF(Declarations!$E$28=0,0,Declarations!$E$28*($B45/Declarations!$F$28)*EXP(1-$B45/Declarations!$F$28))+IF($B45&gt;=T_sale,Declarations!$G$28,0)</f>
        <v>41</v>
      </c>
      <c r="E45" s="11" t="n">
        <f aca="false">Declarations!$C$29+(Declarations!$C$8-Declarations!$C$29)*EXP(-Declarations!$D$29*$B45)+IF(Declarations!$E$29=0,0,Declarations!$E$29*($B45/Declarations!$F$29)*EXP(1-$B45/Declarations!$F$29))+IF($B45&gt;=T_sale,Declarations!$G$29,0)</f>
        <v>71</v>
      </c>
      <c r="F45" s="11" t="n">
        <f aca="false">Declarations!$C$30+(Declarations!$C$10-Declarations!$C$30)*EXP(-Declarations!$D$30*$B45)+IF(Declarations!$E$30=0,0,Declarations!$E$30*($B45/Declarations!$F$30)*EXP(1-$B45/Declarations!$F$30))+IF($B45&gt;=T_sale,Declarations!$G$30,0)</f>
        <v>64</v>
      </c>
      <c r="G45" s="11" t="n">
        <f aca="false">Declarations!$C$31+(Declarations!$C$4-Declarations!$C$31)*EXP(-Declarations!$D$31*$B45)+IF(Declarations!$E$31=0,0,Declarations!$E$31*($B45/Declarations!$F$31)*EXP(1-$B45/Declarations!$F$31))+IF($B45&gt;=T_sale,Declarations!$G$31,0)</f>
        <v>100</v>
      </c>
      <c r="H45" s="11" t="n">
        <f aca="false">Declarations!$C$32+(Declarations!$C$7-Declarations!$C$32)*EXP(-Declarations!$D$32*$B45)+IF(Declarations!$E$32=0,0,Declarations!$E$32*($B45/Declarations!$F$32)*EXP(1-$B45/Declarations!$F$32))+IF($B45&gt;=T_sale,Declarations!$G$32,0)</f>
        <v>41</v>
      </c>
      <c r="I45" s="11" t="n">
        <f aca="false">Declarations!$C$33+(Declarations!$C$8-Declarations!$C$33)*EXP(-Declarations!$D$33*$B45)+IF(Declarations!$E$33=0,0,Declarations!$E$33*($B45/Declarations!$F$33)*EXP(1-$B45/Declarations!$F$33))+IF($B45&gt;=T_sale,Declarations!$G$33,0)</f>
        <v>71</v>
      </c>
      <c r="J45" s="11" t="n">
        <f aca="false">Declarations!$C$34+(Declarations!$C$10-Declarations!$C$34)*EXP(-Declarations!$D$34*$B45)+IF(Declarations!$E$34=0,0,Declarations!$E$34*($B45/Declarations!$F$34)*EXP(1-$B45/Declarations!$F$34))+IF($B45&gt;=T_sale,Declarations!$G$34,0)</f>
        <v>64</v>
      </c>
      <c r="K45" s="11" t="n">
        <f aca="false">Declarations!$C$35+(Declarations!$C$4-Declarations!$C$35)*EXP(-Declarations!$D$35*$B45)+IF(Declarations!$E$35=0,0,Declarations!$E$35*($B45/Declarations!$F$35)*EXP(1-$B45/Declarations!$F$35))+IF($B45&gt;=T_sale,Declarations!$G$35,0)</f>
        <v>100</v>
      </c>
      <c r="L45" s="11" t="n">
        <f aca="false">Declarations!$C$36+(Declarations!$C$7-Declarations!$C$36)*EXP(-Declarations!$D$36*$B45)+IF(Declarations!$E$36=0,0,Declarations!$E$36*($B45/Declarations!$F$36)*EXP(1-$B45/Declarations!$F$36))+IF($B45&gt;=T_sale,Declarations!$G$36,0)</f>
        <v>41</v>
      </c>
      <c r="M45" s="11" t="n">
        <f aca="false">Declarations!$C$37+(Declarations!$C$8-Declarations!$C$37)*EXP(-Declarations!$D$37*$B45)+IF(Declarations!$E$37=0,0,Declarations!$E$37*($B45/Declarations!$F$37)*EXP(1-$B45/Declarations!$F$37))+IF($B45&gt;=T_sale,Declarations!$G$37,0)</f>
        <v>71</v>
      </c>
      <c r="N45" s="11" t="n">
        <f aca="false">Declarations!$C$38+(Declarations!$C$10-Declarations!$C$38)*EXP(-Declarations!$D$38*$B45)+IF(Declarations!$E$38=0,0,Declarations!$E$38*($B45/Declarations!$F$38)*EXP(1-$B45/Declarations!$F$38))+IF($B45&gt;=T_sale,Declarations!$G$38,0)</f>
        <v>64</v>
      </c>
      <c r="O45" s="13" t="n">
        <f aca="false">C45*USD_pt</f>
        <v>620</v>
      </c>
      <c r="P45" s="13" t="n">
        <f aca="false">C45*USD_pt-Floor_usd</f>
        <v>270</v>
      </c>
      <c r="Q45" s="11" t="n">
        <f aca="false">Risk_ceiling-F45</f>
        <v>11</v>
      </c>
      <c r="R45" s="13" t="n">
        <f aca="false">MIN(Wf_today-Idx_lo,Idx_hi-Wf_today,D45-Idx_lo,Idx_hi-D45,E45-Idx_lo,Idx_hi-E45,F45-Idx_lo,Idx_hi-F45)</f>
        <v>29</v>
      </c>
      <c r="S45" s="13" t="n">
        <f aca="false">G45*USD_pt</f>
        <v>620</v>
      </c>
      <c r="T45" s="13" t="n">
        <f aca="false">G45*USD_pt-Floor_usd</f>
        <v>270</v>
      </c>
      <c r="U45" s="11" t="n">
        <f aca="false">Risk_ceiling-J45</f>
        <v>11</v>
      </c>
      <c r="V45" s="13" t="n">
        <f aca="false">MIN(Wf_today-Idx_lo,Idx_hi-Wf_today,H45-Idx_lo,Idx_hi-H45,I45-Idx_lo,Idx_hi-I45,J45-Idx_lo,Idx_hi-J45)</f>
        <v>29</v>
      </c>
      <c r="W45" s="13" t="n">
        <f aca="false">K45*USD_pt</f>
        <v>620</v>
      </c>
      <c r="X45" s="13" t="n">
        <f aca="false">K45*USD_pt-Floor_usd</f>
        <v>270</v>
      </c>
      <c r="Y45" s="11" t="n">
        <f aca="false">Risk_ceiling-N45</f>
        <v>11</v>
      </c>
      <c r="Z45" s="13" t="n">
        <f aca="false">MIN(Wf_today-Idx_lo,Idx_hi-Wf_today,L45-Idx_lo,Idx_hi-L45,M45-Idx_lo,Idx_hi-M45,N45-Idx_lo,Idx_hi-N45)</f>
        <v>29</v>
      </c>
    </row>
    <row r="46" customFormat="false" ht="15" hidden="false" customHeight="false" outlineLevel="0" collapsed="false">
      <c r="A46" s="19" t="n">
        <v>1</v>
      </c>
      <c r="B46" s="23" t="n">
        <f aca="false">A46/12</f>
        <v>0.0833333333333333</v>
      </c>
      <c r="C46" s="11" t="n">
        <f aca="false">Declarations!$C$27+(Declarations!$C$4-Declarations!$C$27)*EXP(-Declarations!$D$27*$B46)+IF(Declarations!$E$27=0,0,Declarations!$E$27*($B46/Declarations!$F$27)*EXP(1-$B46/Declarations!$F$27))+IF($B46&gt;=T_sale,Declarations!$G$27,0)</f>
        <v>97.3030399475751</v>
      </c>
      <c r="D46" s="11" t="n">
        <f aca="false">Declarations!$C$28+(Declarations!$C$7-Declarations!$C$28)*EXP(-Declarations!$D$28*$B46)+IF(Declarations!$E$28=0,0,Declarations!$E$28*($B46/Declarations!$F$28)*EXP(1-$B46/Declarations!$F$28))+IF($B46&gt;=T_sale,Declarations!$G$28,0)</f>
        <v>42.6575574826973</v>
      </c>
      <c r="E46" s="11" t="n">
        <f aca="false">Declarations!$C$29+(Declarations!$C$8-Declarations!$C$29)*EXP(-Declarations!$D$29*$B46)+IF(Declarations!$E$29=0,0,Declarations!$E$29*($B46/Declarations!$F$29)*EXP(1-$B46/Declarations!$F$29))+IF($B46&gt;=T_sale,Declarations!$G$29,0)</f>
        <v>69.9591710399512</v>
      </c>
      <c r="F46" s="11" t="n">
        <f aca="false">Declarations!$C$30+(Declarations!$C$10-Declarations!$C$30)*EXP(-Declarations!$D$30*$B46)+IF(Declarations!$E$30=0,0,Declarations!$E$30*($B46/Declarations!$F$30)*EXP(1-$B46/Declarations!$F$30))+IF($B46&gt;=T_sale,Declarations!$G$30,0)</f>
        <v>66.0392847793643</v>
      </c>
      <c r="G46" s="11" t="n">
        <f aca="false">Declarations!$C$31+(Declarations!$C$4-Declarations!$C$31)*EXP(-Declarations!$D$31*$B46)+IF(Declarations!$E$31=0,0,Declarations!$E$31*($B46/Declarations!$F$31)*EXP(1-$B46/Declarations!$F$31))+IF($B46&gt;=T_sale,Declarations!$G$31,0)</f>
        <v>100.098760351887</v>
      </c>
      <c r="H46" s="11" t="n">
        <f aca="false">Declarations!$C$32+(Declarations!$C$7-Declarations!$C$32)*EXP(-Declarations!$D$32*$B46)+IF(Declarations!$E$32=0,0,Declarations!$E$32*($B46/Declarations!$F$32)*EXP(1-$B46/Declarations!$F$32))+IF($B46&gt;=T_sale,Declarations!$G$32,0)</f>
        <v>40.9381465439937</v>
      </c>
      <c r="I46" s="11" t="n">
        <f aca="false">Declarations!$C$33+(Declarations!$C$8-Declarations!$C$33)*EXP(-Declarations!$D$33*$B46)+IF(Declarations!$E$33=0,0,Declarations!$E$33*($B46/Declarations!$F$33)*EXP(1-$B46/Declarations!$F$33))+IF($B46&gt;=T_sale,Declarations!$G$33,0)</f>
        <v>71.1104167468375</v>
      </c>
      <c r="J46" s="11" t="n">
        <f aca="false">Declarations!$C$34+(Declarations!$C$10-Declarations!$C$34)*EXP(-Declarations!$D$34*$B46)+IF(Declarations!$E$34=0,0,Declarations!$E$34*($B46/Declarations!$F$34)*EXP(1-$B46/Declarations!$F$34))+IF($B46&gt;=T_sale,Declarations!$G$34,0)</f>
        <v>63.7700366017094</v>
      </c>
      <c r="K46" s="11" t="n">
        <f aca="false">Declarations!$C$35+(Declarations!$C$4-Declarations!$C$35)*EXP(-Declarations!$D$35*$B46)+IF(Declarations!$E$35=0,0,Declarations!$E$35*($B46/Declarations!$F$35)*EXP(1-$B46/Declarations!$F$35))+IF($B46&gt;=T_sale,Declarations!$G$35,0)</f>
        <v>100.220833493675</v>
      </c>
      <c r="L46" s="11" t="n">
        <f aca="false">Declarations!$C$36+(Declarations!$C$7-Declarations!$C$36)*EXP(-Declarations!$D$36*$B46)+IF(Declarations!$E$36=0,0,Declarations!$E$36*($B46/Declarations!$F$36)*EXP(1-$B46/Declarations!$F$36))+IF($B46&gt;=T_sale,Declarations!$G$36,0)</f>
        <v>40.8677716305729</v>
      </c>
      <c r="M46" s="11" t="n">
        <f aca="false">Declarations!$C$37+(Declarations!$C$8-Declarations!$C$37)*EXP(-Declarations!$D$37*$B46)+IF(Declarations!$E$37=0,0,Declarations!$E$37*($B46/Declarations!$F$37)*EXP(1-$B46/Declarations!$F$37))+IF($B46&gt;=T_sale,Declarations!$G$37,0)</f>
        <v>71.3901646039943</v>
      </c>
      <c r="N46" s="11" t="n">
        <f aca="false">Declarations!$C$38+(Declarations!$C$10-Declarations!$C$38)*EXP(-Declarations!$D$38*$B46)+IF(Declarations!$E$38=0,0,Declarations!$E$38*($B46/Declarations!$F$38)*EXP(1-$B46/Declarations!$F$38))+IF($B46&gt;=T_sale,Declarations!$G$38,0)</f>
        <v>64.074070263915</v>
      </c>
      <c r="O46" s="13" t="n">
        <f aca="false">C46*USD_pt</f>
        <v>603.278847674966</v>
      </c>
      <c r="P46" s="13" t="n">
        <f aca="false">C46*USD_pt-Floor_usd</f>
        <v>253.278847674966</v>
      </c>
      <c r="Q46" s="11" t="n">
        <f aca="false">Risk_ceiling-F46</f>
        <v>8.96071522063568</v>
      </c>
      <c r="R46" s="13" t="n">
        <f aca="false">MIN(Wf_today-Idx_lo,Idx_hi-Wf_today,D46-Idx_lo,Idx_hi-D46,E46-Idx_lo,Idx_hi-E46,F46-Idx_lo,Idx_hi-F46)</f>
        <v>30.0408289600488</v>
      </c>
      <c r="S46" s="13" t="n">
        <f aca="false">G46*USD_pt</f>
        <v>620.612314181697</v>
      </c>
      <c r="T46" s="13" t="n">
        <f aca="false">G46*USD_pt-Floor_usd</f>
        <v>270.612314181697</v>
      </c>
      <c r="U46" s="11" t="n">
        <f aca="false">Risk_ceiling-J46</f>
        <v>11.2299633982906</v>
      </c>
      <c r="V46" s="13" t="n">
        <f aca="false">MIN(Wf_today-Idx_lo,Idx_hi-Wf_today,H46-Idx_lo,Idx_hi-H46,I46-Idx_lo,Idx_hi-I46,J46-Idx_lo,Idx_hi-J46)</f>
        <v>28.8895832531625</v>
      </c>
      <c r="W46" s="13" t="n">
        <f aca="false">K46*USD_pt</f>
        <v>621.369167660786</v>
      </c>
      <c r="X46" s="13" t="n">
        <f aca="false">K46*USD_pt-Floor_usd</f>
        <v>271.369167660786</v>
      </c>
      <c r="Y46" s="11" t="n">
        <f aca="false">Risk_ceiling-N46</f>
        <v>10.925929736085</v>
      </c>
      <c r="Z46" s="13" t="n">
        <f aca="false">MIN(Wf_today-Idx_lo,Idx_hi-Wf_today,L46-Idx_lo,Idx_hi-L46,M46-Idx_lo,Idx_hi-M46,N46-Idx_lo,Idx_hi-N46)</f>
        <v>28.6098353960057</v>
      </c>
    </row>
    <row r="47" customFormat="false" ht="15" hidden="false" customHeight="false" outlineLevel="0" collapsed="false">
      <c r="A47" s="19" t="n">
        <v>2</v>
      </c>
      <c r="B47" s="23" t="n">
        <f aca="false">A47/12</f>
        <v>0.166666666666667</v>
      </c>
      <c r="C47" s="11" t="n">
        <f aca="false">Declarations!$C$27+(Declarations!$C$4-Declarations!$C$27)*EXP(-Declarations!$D$27*$B47)+IF(Declarations!$E$27=0,0,Declarations!$E$27*($B47/Declarations!$F$27)*EXP(1-$B47/Declarations!$F$27))+IF($B47&gt;=T_sale,Declarations!$G$27,0)</f>
        <v>94.8444479029731</v>
      </c>
      <c r="D47" s="11" t="n">
        <f aca="false">Declarations!$C$28+(Declarations!$C$7-Declarations!$C$28)*EXP(-Declarations!$D$28*$B47)+IF(Declarations!$E$28=0,0,Declarations!$E$28*($B47/Declarations!$F$28)*EXP(1-$B47/Declarations!$F$28))+IF($B47&gt;=T_sale,Declarations!$G$28,0)</f>
        <v>44.2408582948961</v>
      </c>
      <c r="E47" s="11" t="n">
        <f aca="false">Declarations!$C$29+(Declarations!$C$8-Declarations!$C$29)*EXP(-Declarations!$D$29*$B47)+IF(Declarations!$E$29=0,0,Declarations!$E$29*($B47/Declarations!$F$29)*EXP(1-$B47/Declarations!$F$29))+IF($B47&gt;=T_sale,Declarations!$G$29,0)</f>
        <v>69.0473080579369</v>
      </c>
      <c r="F47" s="11" t="n">
        <f aca="false">Declarations!$C$30+(Declarations!$C$10-Declarations!$C$30)*EXP(-Declarations!$D$30*$B47)+IF(Declarations!$E$30=0,0,Declarations!$E$30*($B47/Declarations!$F$30)*EXP(1-$B47/Declarations!$F$30))+IF($B47&gt;=T_sale,Declarations!$G$30,0)</f>
        <v>67.7617339192001</v>
      </c>
      <c r="G47" s="11" t="n">
        <f aca="false">Declarations!$C$31+(Declarations!$C$4-Declarations!$C$31)*EXP(-Declarations!$D$31*$B47)+IF(Declarations!$E$31=0,0,Declarations!$E$31*($B47/Declarations!$F$31)*EXP(1-$B47/Declarations!$F$31))+IF($B47&gt;=T_sale,Declarations!$G$31,0)</f>
        <v>100.195082301997</v>
      </c>
      <c r="H47" s="11" t="n">
        <f aca="false">Declarations!$C$32+(Declarations!$C$7-Declarations!$C$32)*EXP(-Declarations!$D$32*$B47)+IF(Declarations!$E$32=0,0,Declarations!$E$32*($B47/Declarations!$F$32)*EXP(1-$B47/Declarations!$F$32))+IF($B47&gt;=T_sale,Declarations!$G$32,0)</f>
        <v>40.8775683713274</v>
      </c>
      <c r="I47" s="11" t="n">
        <f aca="false">Declarations!$C$33+(Declarations!$C$8-Declarations!$C$33)*EXP(-Declarations!$D$33*$B47)+IF(Declarations!$E$33=0,0,Declarations!$E$33*($B47/Declarations!$F$33)*EXP(1-$B47/Declarations!$F$33))+IF($B47&gt;=T_sale,Declarations!$G$33,0)</f>
        <v>71.2167695410143</v>
      </c>
      <c r="J47" s="11" t="n">
        <f aca="false">Declarations!$C$34+(Declarations!$C$10-Declarations!$C$34)*EXP(-Declarations!$D$34*$B47)+IF(Declarations!$E$34=0,0,Declarations!$E$34*($B47/Declarations!$F$34)*EXP(1-$B47/Declarations!$F$34))+IF($B47&gt;=T_sale,Declarations!$G$34,0)</f>
        <v>63.5466835989879</v>
      </c>
      <c r="K47" s="11" t="n">
        <f aca="false">Declarations!$C$35+(Declarations!$C$4-Declarations!$C$35)*EXP(-Declarations!$D$35*$B47)+IF(Declarations!$E$35=0,0,Declarations!$E$35*($B47/Declarations!$F$35)*EXP(1-$B47/Declarations!$F$35))+IF($B47&gt;=T_sale,Declarations!$G$35,0)</f>
        <v>100.433539082029</v>
      </c>
      <c r="L47" s="11" t="n">
        <f aca="false">Declarations!$C$36+(Declarations!$C$7-Declarations!$C$36)*EXP(-Declarations!$D$36*$B47)+IF(Declarations!$E$36=0,0,Declarations!$E$36*($B47/Declarations!$F$36)*EXP(1-$B47/Declarations!$F$36))+IF($B47&gt;=T_sale,Declarations!$G$36,0)</f>
        <v>40.737728803856</v>
      </c>
      <c r="M47" s="11" t="n">
        <f aca="false">Declarations!$C$37+(Declarations!$C$8-Declarations!$C$37)*EXP(-Declarations!$D$37*$B47)+IF(Declarations!$E$37=0,0,Declarations!$E$37*($B47/Declarations!$F$37)*EXP(1-$B47/Declarations!$F$37))+IF($B47&gt;=T_sale,Declarations!$G$37,0)</f>
        <v>71.7613006557123</v>
      </c>
      <c r="N47" s="11" t="n">
        <f aca="false">Declarations!$C$38+(Declarations!$C$10-Declarations!$C$38)*EXP(-Declarations!$D$38*$B47)+IF(Declarations!$E$38=0,0,Declarations!$E$38*($B47/Declarations!$F$38)*EXP(1-$B47/Declarations!$F$38))+IF($B47&gt;=T_sale,Declarations!$G$38,0)</f>
        <v>64.1463117264979</v>
      </c>
      <c r="O47" s="13" t="n">
        <f aca="false">C47*USD_pt</f>
        <v>588.035576998433</v>
      </c>
      <c r="P47" s="13" t="n">
        <f aca="false">C47*USD_pt-Floor_usd</f>
        <v>238.035576998433</v>
      </c>
      <c r="Q47" s="11" t="n">
        <f aca="false">Risk_ceiling-F47</f>
        <v>7.23826608079993</v>
      </c>
      <c r="R47" s="13" t="n">
        <f aca="false">MIN(Wf_today-Idx_lo,Idx_hi-Wf_today,D47-Idx_lo,Idx_hi-D47,E47-Idx_lo,Idx_hi-E47,F47-Idx_lo,Idx_hi-F47)</f>
        <v>30.9526919420632</v>
      </c>
      <c r="S47" s="13" t="n">
        <f aca="false">G47*USD_pt</f>
        <v>621.209510272382</v>
      </c>
      <c r="T47" s="13" t="n">
        <f aca="false">G47*USD_pt-Floor_usd</f>
        <v>271.209510272382</v>
      </c>
      <c r="U47" s="11" t="n">
        <f aca="false">Risk_ceiling-J47</f>
        <v>11.4533164010121</v>
      </c>
      <c r="V47" s="13" t="n">
        <f aca="false">MIN(Wf_today-Idx_lo,Idx_hi-Wf_today,H47-Idx_lo,Idx_hi-H47,I47-Idx_lo,Idx_hi-I47,J47-Idx_lo,Idx_hi-J47)</f>
        <v>28.7832304589857</v>
      </c>
      <c r="W47" s="13" t="n">
        <f aca="false">K47*USD_pt</f>
        <v>622.687942308578</v>
      </c>
      <c r="X47" s="13" t="n">
        <f aca="false">K47*USD_pt-Floor_usd</f>
        <v>272.687942308578</v>
      </c>
      <c r="Y47" s="11" t="n">
        <f aca="false">Risk_ceiling-N47</f>
        <v>10.8536882735021</v>
      </c>
      <c r="Z47" s="13" t="n">
        <f aca="false">MIN(Wf_today-Idx_lo,Idx_hi-Wf_today,L47-Idx_lo,Idx_hi-L47,M47-Idx_lo,Idx_hi-M47,N47-Idx_lo,Idx_hi-N47)</f>
        <v>28.2386993442877</v>
      </c>
    </row>
    <row r="48" customFormat="false" ht="15" hidden="false" customHeight="false" outlineLevel="0" collapsed="false">
      <c r="A48" s="19" t="n">
        <v>3</v>
      </c>
      <c r="B48" s="23" t="n">
        <f aca="false">A48/12</f>
        <v>0.25</v>
      </c>
      <c r="C48" s="11" t="n">
        <f aca="false">Declarations!$C$27+(Declarations!$C$4-Declarations!$C$27)*EXP(-Declarations!$D$27*$B48)+IF(Declarations!$E$27=0,0,Declarations!$E$27*($B48/Declarations!$F$27)*EXP(1-$B48/Declarations!$F$27))+IF($B48&gt;=T_sale,Declarations!$G$27,0)</f>
        <v>92.6093100113046</v>
      </c>
      <c r="D48" s="11" t="n">
        <f aca="false">Declarations!$C$28+(Declarations!$C$7-Declarations!$C$28)*EXP(-Declarations!$D$28*$B48)+IF(Declarations!$E$28=0,0,Declarations!$E$28*($B48/Declarations!$F$28)*EXP(1-$B48/Declarations!$F$28))+IF($B48&gt;=T_sale,Declarations!$G$28,0)</f>
        <v>45.7532290501052</v>
      </c>
      <c r="E48" s="11" t="n">
        <f aca="false">Declarations!$C$29+(Declarations!$C$8-Declarations!$C$29)*EXP(-Declarations!$D$29*$B48)+IF(Declarations!$E$29=0,0,Declarations!$E$29*($B48/Declarations!$F$29)*EXP(1-$B48/Declarations!$F$29))+IF($B48&gt;=T_sale,Declarations!$G$29,0)</f>
        <v>68.2535547481532</v>
      </c>
      <c r="F48" s="11" t="n">
        <f aca="false">Declarations!$C$30+(Declarations!$C$10-Declarations!$C$30)*EXP(-Declarations!$D$30*$B48)+IF(Declarations!$E$30=0,0,Declarations!$E$30*($B48/Declarations!$F$30)*EXP(1-$B48/Declarations!$F$30))+IF($B48&gt;=T_sale,Declarations!$G$30,0)</f>
        <v>69.200179229987</v>
      </c>
      <c r="G48" s="11" t="n">
        <f aca="false">Declarations!$C$31+(Declarations!$C$4-Declarations!$C$31)*EXP(-Declarations!$D$31*$B48)+IF(Declarations!$E$31=0,0,Declarations!$E$31*($B48/Declarations!$F$31)*EXP(1-$B48/Declarations!$F$31))+IF($B48&gt;=T_sale,Declarations!$G$31,0)</f>
        <v>100.289026054686</v>
      </c>
      <c r="H48" s="11" t="n">
        <f aca="false">Declarations!$C$32+(Declarations!$C$7-Declarations!$C$32)*EXP(-Declarations!$D$32*$B48)+IF(Declarations!$E$32=0,0,Declarations!$E$32*($B48/Declarations!$F$32)*EXP(1-$B48/Declarations!$F$32))+IF($B48&gt;=T_sale,Declarations!$G$32,0)</f>
        <v>40.8182391884404</v>
      </c>
      <c r="I48" s="11" t="n">
        <f aca="false">Declarations!$C$33+(Declarations!$C$8-Declarations!$C$33)*EXP(-Declarations!$D$33*$B48)+IF(Declarations!$E$33=0,0,Declarations!$E$33*($B48/Declarations!$F$33)*EXP(1-$B48/Declarations!$F$33))+IF($B48&gt;=T_sale,Declarations!$G$33,0)</f>
        <v>71.3192079586745</v>
      </c>
      <c r="J48" s="11" t="n">
        <f aca="false">Declarations!$C$34+(Declarations!$C$10-Declarations!$C$34)*EXP(-Declarations!$D$34*$B48)+IF(Declarations!$E$34=0,0,Declarations!$E$34*($B48/Declarations!$F$34)*EXP(1-$B48/Declarations!$F$34))+IF($B48&gt;=T_sale,Declarations!$G$34,0)</f>
        <v>63.329750973207</v>
      </c>
      <c r="K48" s="11" t="n">
        <f aca="false">Declarations!$C$35+(Declarations!$C$4-Declarations!$C$35)*EXP(-Declarations!$D$35*$B48)+IF(Declarations!$E$35=0,0,Declarations!$E$35*($B48/Declarations!$F$35)*EXP(1-$B48/Declarations!$F$35))+IF($B48&gt;=T_sale,Declarations!$G$35,0)</f>
        <v>100.638415917349</v>
      </c>
      <c r="L48" s="11" t="n">
        <f aca="false">Declarations!$C$36+(Declarations!$C$7-Declarations!$C$36)*EXP(-Declarations!$D$36*$B48)+IF(Declarations!$E$36=0,0,Declarations!$E$36*($B48/Declarations!$F$36)*EXP(1-$B48/Declarations!$F$36))+IF($B48&gt;=T_sale,Declarations!$G$36,0)</f>
        <v>40.6098353960057</v>
      </c>
      <c r="M48" s="11" t="n">
        <f aca="false">Declarations!$C$37+(Declarations!$C$8-Declarations!$C$37)*EXP(-Declarations!$D$37*$B48)+IF(Declarations!$E$37=0,0,Declarations!$E$37*($B48/Declarations!$F$37)*EXP(1-$B48/Declarations!$F$37))+IF($B48&gt;=T_sale,Declarations!$G$37,0)</f>
        <v>72.1143361885995</v>
      </c>
      <c r="N48" s="11" t="n">
        <f aca="false">Declarations!$C$38+(Declarations!$C$10-Declarations!$C$38)*EXP(-Declarations!$D$38*$B48)+IF(Declarations!$E$38=0,0,Declarations!$E$38*($B48/Declarations!$F$38)*EXP(1-$B48/Declarations!$F$38))+IF($B48&gt;=T_sale,Declarations!$G$38,0)</f>
        <v>64.2167695410143</v>
      </c>
      <c r="O48" s="13" t="n">
        <f aca="false">C48*USD_pt</f>
        <v>574.177722070089</v>
      </c>
      <c r="P48" s="13" t="n">
        <f aca="false">C48*USD_pt-Floor_usd</f>
        <v>224.177722070089</v>
      </c>
      <c r="Q48" s="11" t="n">
        <f aca="false">Risk_ceiling-F48</f>
        <v>5.79982077001297</v>
      </c>
      <c r="R48" s="13" t="n">
        <f aca="false">MIN(Wf_today-Idx_lo,Idx_hi-Wf_today,D48-Idx_lo,Idx_hi-D48,E48-Idx_lo,Idx_hi-E48,F48-Idx_lo,Idx_hi-F48)</f>
        <v>30.799820770013</v>
      </c>
      <c r="S48" s="13" t="n">
        <f aca="false">G48*USD_pt</f>
        <v>621.791961539052</v>
      </c>
      <c r="T48" s="13" t="n">
        <f aca="false">G48*USD_pt-Floor_usd</f>
        <v>271.791961539052</v>
      </c>
      <c r="U48" s="11" t="n">
        <f aca="false">Risk_ceiling-J48</f>
        <v>11.670249026793</v>
      </c>
      <c r="V48" s="13" t="n">
        <f aca="false">MIN(Wf_today-Idx_lo,Idx_hi-Wf_today,H48-Idx_lo,Idx_hi-H48,I48-Idx_lo,Idx_hi-I48,J48-Idx_lo,Idx_hi-J48)</f>
        <v>28.6807920413255</v>
      </c>
      <c r="W48" s="13" t="n">
        <f aca="false">K48*USD_pt</f>
        <v>623.958178687563</v>
      </c>
      <c r="X48" s="13" t="n">
        <f aca="false">K48*USD_pt-Floor_usd</f>
        <v>273.958178687563</v>
      </c>
      <c r="Y48" s="11" t="n">
        <f aca="false">Risk_ceiling-N48</f>
        <v>10.7832304589857</v>
      </c>
      <c r="Z48" s="13" t="n">
        <f aca="false">MIN(Wf_today-Idx_lo,Idx_hi-Wf_today,L48-Idx_lo,Idx_hi-L48,M48-Idx_lo,Idx_hi-M48,N48-Idx_lo,Idx_hi-N48)</f>
        <v>27.8856638114005</v>
      </c>
    </row>
    <row r="49" customFormat="false" ht="15" hidden="false" customHeight="false" outlineLevel="0" collapsed="false">
      <c r="A49" s="19" t="n">
        <v>4</v>
      </c>
      <c r="B49" s="23" t="n">
        <f aca="false">A49/12</f>
        <v>0.333333333333333</v>
      </c>
      <c r="C49" s="11" t="n">
        <f aca="false">Declarations!$C$27+(Declarations!$C$4-Declarations!$C$27)*EXP(-Declarations!$D$27*$B49)+IF(Declarations!$E$27=0,0,Declarations!$E$27*($B49/Declarations!$F$27)*EXP(1-$B49/Declarations!$F$27))+IF($B49&gt;=T_sale,Declarations!$G$27,0)</f>
        <v>90.5835312573105</v>
      </c>
      <c r="D49" s="11" t="n">
        <f aca="false">Declarations!$C$28+(Declarations!$C$7-Declarations!$C$28)*EXP(-Declarations!$D$28*$B49)+IF(Declarations!$E$28=0,0,Declarations!$E$28*($B49/Declarations!$F$28)*EXP(1-$B49/Declarations!$F$28))+IF($B49&gt;=T_sale,Declarations!$G$28,0)</f>
        <v>47.1978473333707</v>
      </c>
      <c r="E49" s="11" t="n">
        <f aca="false">Declarations!$C$29+(Declarations!$C$8-Declarations!$C$29)*EXP(-Declarations!$D$29*$B49)+IF(Declarations!$E$29=0,0,Declarations!$E$29*($B49/Declarations!$F$29)*EXP(1-$B49/Declarations!$F$29))+IF($B49&gt;=T_sale,Declarations!$G$29,0)</f>
        <v>67.5678497872238</v>
      </c>
      <c r="F49" s="11" t="n">
        <f aca="false">Declarations!$C$30+(Declarations!$C$10-Declarations!$C$30)*EXP(-Declarations!$D$30*$B49)+IF(Declarations!$E$30=0,0,Declarations!$E$30*($B49/Declarations!$F$30)*EXP(1-$B49/Declarations!$F$30))+IF($B49&gt;=T_sale,Declarations!$G$30,0)</f>
        <v>70.3844897361639</v>
      </c>
      <c r="G49" s="11" t="n">
        <f aca="false">Declarations!$C$31+(Declarations!$C$4-Declarations!$C$31)*EXP(-Declarations!$D$31*$B49)+IF(Declarations!$E$31=0,0,Declarations!$E$31*($B49/Declarations!$F$31)*EXP(1-$B49/Declarations!$F$31))+IF($B49&gt;=T_sale,Declarations!$G$31,0)</f>
        <v>100.380650327856</v>
      </c>
      <c r="H49" s="11" t="n">
        <f aca="false">Declarations!$C$32+(Declarations!$C$7-Declarations!$C$32)*EXP(-Declarations!$D$32*$B49)+IF(Declarations!$E$32=0,0,Declarations!$E$32*($B49/Declarations!$F$32)*EXP(1-$B49/Declarations!$F$32))+IF($B49&gt;=T_sale,Declarations!$G$32,0)</f>
        <v>40.760133243888</v>
      </c>
      <c r="I49" s="11" t="n">
        <f aca="false">Declarations!$C$33+(Declarations!$C$8-Declarations!$C$33)*EXP(-Declarations!$D$33*$B49)+IF(Declarations!$E$33=0,0,Declarations!$E$33*($B49/Declarations!$F$33)*EXP(1-$B49/Declarations!$F$33))+IF($B49&gt;=T_sale,Declarations!$G$33,0)</f>
        <v>71.4178760707248</v>
      </c>
      <c r="J49" s="11" t="n">
        <f aca="false">Declarations!$C$34+(Declarations!$C$10-Declarations!$C$34)*EXP(-Declarations!$D$34*$B49)+IF(Declarations!$E$34=0,0,Declarations!$E$34*($B49/Declarations!$F$34)*EXP(1-$B49/Declarations!$F$34))+IF($B49&gt;=T_sale,Declarations!$G$34,0)</f>
        <v>63.1190541679042</v>
      </c>
      <c r="K49" s="11" t="n">
        <f aca="false">Declarations!$C$35+(Declarations!$C$4-Declarations!$C$35)*EXP(-Declarations!$D$35*$B49)+IF(Declarations!$E$35=0,0,Declarations!$E$35*($B49/Declarations!$F$35)*EXP(1-$B49/Declarations!$F$35))+IF($B49&gt;=T_sale,Declarations!$G$35,0)</f>
        <v>100.83575214145</v>
      </c>
      <c r="L49" s="11" t="n">
        <f aca="false">Declarations!$C$36+(Declarations!$C$7-Declarations!$C$36)*EXP(-Declarations!$D$36*$B49)+IF(Declarations!$E$36=0,0,Declarations!$E$36*($B49/Declarations!$F$36)*EXP(1-$B49/Declarations!$F$36))+IF($B49&gt;=T_sale,Declarations!$G$36,0)</f>
        <v>40.4840558802529</v>
      </c>
      <c r="M49" s="11" t="n">
        <f aca="false">Declarations!$C$37+(Declarations!$C$8-Declarations!$C$37)*EXP(-Declarations!$D$37*$B49)+IF(Declarations!$E$37=0,0,Declarations!$E$37*($B49/Declarations!$F$37)*EXP(1-$B49/Declarations!$F$37))+IF($B49&gt;=T_sale,Declarations!$G$37,0)</f>
        <v>72.4501539753761</v>
      </c>
      <c r="N49" s="11" t="n">
        <f aca="false">Declarations!$C$38+(Declarations!$C$10-Declarations!$C$38)*EXP(-Declarations!$D$38*$B49)+IF(Declarations!$E$38=0,0,Declarations!$E$38*($B49/Declarations!$F$38)*EXP(1-$B49/Declarations!$F$38))+IF($B49&gt;=T_sale,Declarations!$G$38,0)</f>
        <v>64.2854877458921</v>
      </c>
      <c r="O49" s="13" t="n">
        <f aca="false">C49*USD_pt</f>
        <v>561.617893795325</v>
      </c>
      <c r="P49" s="13" t="n">
        <f aca="false">C49*USD_pt-Floor_usd</f>
        <v>211.617893795325</v>
      </c>
      <c r="Q49" s="11" t="n">
        <f aca="false">Risk_ceiling-F49</f>
        <v>4.61551026383607</v>
      </c>
      <c r="R49" s="13" t="n">
        <f aca="false">MIN(Wf_today-Idx_lo,Idx_hi-Wf_today,D49-Idx_lo,Idx_hi-D49,E49-Idx_lo,Idx_hi-E49,F49-Idx_lo,Idx_hi-F49)</f>
        <v>29.6155102638361</v>
      </c>
      <c r="S49" s="13" t="n">
        <f aca="false">G49*USD_pt</f>
        <v>622.360032032708</v>
      </c>
      <c r="T49" s="13" t="n">
        <f aca="false">G49*USD_pt-Floor_usd</f>
        <v>272.360032032708</v>
      </c>
      <c r="U49" s="11" t="n">
        <f aca="false">Risk_ceiling-J49</f>
        <v>11.8809458320958</v>
      </c>
      <c r="V49" s="13" t="n">
        <f aca="false">MIN(Wf_today-Idx_lo,Idx_hi-Wf_today,H49-Idx_lo,Idx_hi-H49,I49-Idx_lo,Idx_hi-I49,J49-Idx_lo,Idx_hi-J49)</f>
        <v>28.5821239292752</v>
      </c>
      <c r="W49" s="13" t="n">
        <f aca="false">K49*USD_pt</f>
        <v>625.181663276988</v>
      </c>
      <c r="X49" s="13" t="n">
        <f aca="false">K49*USD_pt-Floor_usd</f>
        <v>275.181663276988</v>
      </c>
      <c r="Y49" s="11" t="n">
        <f aca="false">Risk_ceiling-N49</f>
        <v>10.7145122541079</v>
      </c>
      <c r="Z49" s="13" t="n">
        <f aca="false">MIN(Wf_today-Idx_lo,Idx_hi-Wf_today,L49-Idx_lo,Idx_hi-L49,M49-Idx_lo,Idx_hi-M49,N49-Idx_lo,Idx_hi-N49)</f>
        <v>27.5498460246239</v>
      </c>
    </row>
    <row r="50" customFormat="false" ht="15" hidden="false" customHeight="false" outlineLevel="0" collapsed="false">
      <c r="A50" s="19" t="n">
        <v>5</v>
      </c>
      <c r="B50" s="23" t="n">
        <f aca="false">A50/12</f>
        <v>0.416666666666667</v>
      </c>
      <c r="C50" s="11" t="n">
        <f aca="false">Declarations!$C$27+(Declarations!$C$4-Declarations!$C$27)*EXP(-Declarations!$D$27*$B50)+IF(Declarations!$E$27=0,0,Declarations!$E$27*($B50/Declarations!$F$27)*EXP(1-$B50/Declarations!$F$27))+IF($B50&gt;=T_sale,Declarations!$G$27,0)</f>
        <v>88.7537935113045</v>
      </c>
      <c r="D50" s="11" t="n">
        <f aca="false">Declarations!$C$28+(Declarations!$C$7-Declarations!$C$28)*EXP(-Declarations!$D$28*$B50)+IF(Declarations!$E$28=0,0,Declarations!$E$28*($B50/Declarations!$F$28)*EXP(1-$B50/Declarations!$F$28))+IF($B50&gt;=T_sale,Declarations!$G$28,0)</f>
        <v>48.5777483775804</v>
      </c>
      <c r="E50" s="11" t="n">
        <f aca="false">Declarations!$C$29+(Declarations!$C$8-Declarations!$C$29)*EXP(-Declarations!$D$29*$B50)+IF(Declarations!$E$29=0,0,Declarations!$E$29*($B50/Declarations!$F$29)*EXP(1-$B50/Declarations!$F$29))+IF($B50&gt;=T_sale,Declarations!$G$29,0)</f>
        <v>66.980872687564</v>
      </c>
      <c r="F50" s="11" t="n">
        <f aca="false">Declarations!$C$30+(Declarations!$C$10-Declarations!$C$30)*EXP(-Declarations!$D$30*$B50)+IF(Declarations!$E$30=0,0,Declarations!$E$30*($B50/Declarations!$F$30)*EXP(1-$B50/Declarations!$F$30))+IF($B50&gt;=T_sale,Declarations!$G$30,0)</f>
        <v>71.3418209025277</v>
      </c>
      <c r="G50" s="11" t="n">
        <f aca="false">Declarations!$C$31+(Declarations!$C$4-Declarations!$C$31)*EXP(-Declarations!$D$31*$B50)+IF(Declarations!$E$31=0,0,Declarations!$E$31*($B50/Declarations!$F$31)*EXP(1-$B50/Declarations!$F$31))+IF($B50&gt;=T_sale,Declarations!$G$31,0)</f>
        <v>100.470012389662</v>
      </c>
      <c r="H50" s="11" t="n">
        <f aca="false">Declarations!$C$32+(Declarations!$C$7-Declarations!$C$32)*EXP(-Declarations!$D$32*$B50)+IF(Declarations!$E$32=0,0,Declarations!$E$32*($B50/Declarations!$F$32)*EXP(1-$B50/Declarations!$F$32))+IF($B50&gt;=T_sale,Declarations!$G$32,0)</f>
        <v>40.7032253171639</v>
      </c>
      <c r="I50" s="11" t="n">
        <f aca="false">Declarations!$C$33+(Declarations!$C$8-Declarations!$C$33)*EXP(-Declarations!$D$33*$B50)+IF(Declarations!$E$33=0,0,Declarations!$E$33*($B50/Declarations!$F$33)*EXP(1-$B50/Declarations!$F$33))+IF($B50&gt;=T_sale,Declarations!$G$33,0)</f>
        <v>71.5129126454588</v>
      </c>
      <c r="J50" s="11" t="n">
        <f aca="false">Declarations!$C$34+(Declarations!$C$10-Declarations!$C$34)*EXP(-Declarations!$D$34*$B50)+IF(Declarations!$E$34=0,0,Declarations!$E$34*($B50/Declarations!$F$34)*EXP(1-$B50/Declarations!$F$34))+IF($B50&gt;=T_sale,Declarations!$G$34,0)</f>
        <v>62.9144139317709</v>
      </c>
      <c r="K50" s="11" t="n">
        <f aca="false">Declarations!$C$35+(Declarations!$C$4-Declarations!$C$35)*EXP(-Declarations!$D$35*$B50)+IF(Declarations!$E$35=0,0,Declarations!$E$35*($B50/Declarations!$F$35)*EXP(1-$B50/Declarations!$F$35))+IF($B50&gt;=T_sale,Declarations!$G$35,0)</f>
        <v>101.025825290918</v>
      </c>
      <c r="L50" s="11" t="n">
        <f aca="false">Declarations!$C$36+(Declarations!$C$7-Declarations!$C$36)*EXP(-Declarations!$D$36*$B50)+IF(Declarations!$E$36=0,0,Declarations!$E$36*($B50/Declarations!$F$36)*EXP(1-$B50/Declarations!$F$36))+IF($B50&gt;=T_sale,Declarations!$G$36,0)</f>
        <v>40.3603553170346</v>
      </c>
      <c r="M50" s="11" t="n">
        <f aca="false">Declarations!$C$37+(Declarations!$C$8-Declarations!$C$37)*EXP(-Declarations!$D$37*$B50)+IF(Declarations!$E$37=0,0,Declarations!$E$37*($B50/Declarations!$F$37)*EXP(1-$B50/Declarations!$F$37))+IF($B50&gt;=T_sale,Declarations!$G$37,0)</f>
        <v>72.7695937354288</v>
      </c>
      <c r="N50" s="11" t="n">
        <f aca="false">Declarations!$C$38+(Declarations!$C$10-Declarations!$C$38)*EXP(-Declarations!$D$38*$B50)+IF(Declarations!$E$38=0,0,Declarations!$E$38*($B50/Declarations!$F$38)*EXP(1-$B50/Declarations!$F$38))+IF($B50&gt;=T_sale,Declarations!$G$38,0)</f>
        <v>64.3525092922462</v>
      </c>
      <c r="O50" s="13" t="n">
        <f aca="false">C50*USD_pt</f>
        <v>550.273519770088</v>
      </c>
      <c r="P50" s="13" t="n">
        <f aca="false">C50*USD_pt-Floor_usd</f>
        <v>200.273519770088</v>
      </c>
      <c r="Q50" s="11" t="n">
        <f aca="false">Risk_ceiling-F50</f>
        <v>3.65817909747233</v>
      </c>
      <c r="R50" s="13" t="n">
        <f aca="false">MIN(Wf_today-Idx_lo,Idx_hi-Wf_today,D50-Idx_lo,Idx_hi-D50,E50-Idx_lo,Idx_hi-E50,F50-Idx_lo,Idx_hi-F50)</f>
        <v>28.6581790974723</v>
      </c>
      <c r="S50" s="13" t="n">
        <f aca="false">G50*USD_pt</f>
        <v>622.914076815902</v>
      </c>
      <c r="T50" s="13" t="n">
        <f aca="false">G50*USD_pt-Floor_usd</f>
        <v>272.914076815902</v>
      </c>
      <c r="U50" s="11" t="n">
        <f aca="false">Risk_ceiling-J50</f>
        <v>12.0855860682291</v>
      </c>
      <c r="V50" s="13" t="n">
        <f aca="false">MIN(Wf_today-Idx_lo,Idx_hi-Wf_today,H50-Idx_lo,Idx_hi-H50,I50-Idx_lo,Idx_hi-I50,J50-Idx_lo,Idx_hi-J50)</f>
        <v>28.4870873545412</v>
      </c>
      <c r="W50" s="13" t="n">
        <f aca="false">K50*USD_pt</f>
        <v>626.360116803689</v>
      </c>
      <c r="X50" s="13" t="n">
        <f aca="false">K50*USD_pt-Floor_usd</f>
        <v>276.360116803689</v>
      </c>
      <c r="Y50" s="11" t="n">
        <f aca="false">Risk_ceiling-N50</f>
        <v>10.6474907077538</v>
      </c>
      <c r="Z50" s="13" t="n">
        <f aca="false">MIN(Wf_today-Idx_lo,Idx_hi-Wf_today,L50-Idx_lo,Idx_hi-L50,M50-Idx_lo,Idx_hi-M50,N50-Idx_lo,Idx_hi-N50)</f>
        <v>27.2304062645712</v>
      </c>
    </row>
    <row r="51" customFormat="false" ht="15" hidden="false" customHeight="false" outlineLevel="0" collapsed="false">
      <c r="A51" s="19" t="n">
        <v>6</v>
      </c>
      <c r="B51" s="23" t="n">
        <f aca="false">A51/12</f>
        <v>0.5</v>
      </c>
      <c r="C51" s="11" t="n">
        <f aca="false">Declarations!$C$27+(Declarations!$C$4-Declarations!$C$27)*EXP(-Declarations!$D$27*$B51)+IF(Declarations!$E$27=0,0,Declarations!$E$27*($B51/Declarations!$F$27)*EXP(1-$B51/Declarations!$F$27))+IF($B51&gt;=T_sale,Declarations!$G$27,0)</f>
        <v>87.1075156344808</v>
      </c>
      <c r="D51" s="11" t="n">
        <f aca="false">Declarations!$C$28+(Declarations!$C$7-Declarations!$C$28)*EXP(-Declarations!$D$28*$B51)+IF(Declarations!$E$28=0,0,Declarations!$E$28*($B51/Declarations!$F$28)*EXP(1-$B51/Declarations!$F$28))+IF($B51&gt;=T_sale,Declarations!$G$28,0)</f>
        <v>49.8958314406762</v>
      </c>
      <c r="E51" s="11" t="n">
        <f aca="false">Declarations!$C$29+(Declarations!$C$8-Declarations!$C$29)*EXP(-Declarations!$D$29*$B51)+IF(Declarations!$E$29=0,0,Declarations!$E$29*($B51/Declarations!$F$29)*EXP(1-$B51/Declarations!$F$29))+IF($B51&gt;=T_sale,Declarations!$G$29,0)</f>
        <v>66.4839931784075</v>
      </c>
      <c r="F51" s="11" t="n">
        <f aca="false">Declarations!$C$30+(Declarations!$C$10-Declarations!$C$30)*EXP(-Declarations!$D$30*$B51)+IF(Declarations!$E$30=0,0,Declarations!$E$30*($B51/Declarations!$F$30)*EXP(1-$B51/Declarations!$F$30))+IF($B51&gt;=T_sale,Declarations!$G$30,0)</f>
        <v>72.0968437730057</v>
      </c>
      <c r="G51" s="11" t="n">
        <f aca="false">Declarations!$C$31+(Declarations!$C$4-Declarations!$C$31)*EXP(-Declarations!$D$31*$B51)+IF(Declarations!$E$31=0,0,Declarations!$E$31*($B51/Declarations!$F$31)*EXP(1-$B51/Declarations!$F$31))+IF($B51&gt;=T_sale,Declarations!$G$31,0)</f>
        <v>100.5571680943</v>
      </c>
      <c r="H51" s="11" t="n">
        <f aca="false">Declarations!$C$32+(Declarations!$C$7-Declarations!$C$32)*EXP(-Declarations!$D$32*$B51)+IF(Declarations!$E$32=0,0,Declarations!$E$32*($B51/Declarations!$F$32)*EXP(1-$B51/Declarations!$F$32))+IF($B51&gt;=T_sale,Declarations!$G$32,0)</f>
        <v>40.6474907077538</v>
      </c>
      <c r="I51" s="11" t="n">
        <f aca="false">Declarations!$C$33+(Declarations!$C$8-Declarations!$C$33)*EXP(-Declarations!$D$33*$B51)+IF(Declarations!$E$33=0,0,Declarations!$E$33*($B51/Declarations!$F$33)*EXP(1-$B51/Declarations!$F$33))+IF($B51&gt;=T_sale,Declarations!$G$33,0)</f>
        <v>71.6044513437219</v>
      </c>
      <c r="J51" s="11" t="n">
        <f aca="false">Declarations!$C$34+(Declarations!$C$10-Declarations!$C$34)*EXP(-Declarations!$D$34*$B51)+IF(Declarations!$E$34=0,0,Declarations!$E$34*($B51/Declarations!$F$34)*EXP(1-$B51/Declarations!$F$34))+IF($B51&gt;=T_sale,Declarations!$G$34,0)</f>
        <v>62.7156561661537</v>
      </c>
      <c r="K51" s="11" t="n">
        <f aca="false">Declarations!$C$35+(Declarations!$C$4-Declarations!$C$35)*EXP(-Declarations!$D$35*$B51)+IF(Declarations!$E$35=0,0,Declarations!$E$35*($B51/Declarations!$F$35)*EXP(1-$B51/Declarations!$F$35))+IF($B51&gt;=T_sale,Declarations!$G$35,0)</f>
        <v>101.208902687444</v>
      </c>
      <c r="L51" s="11" t="n">
        <f aca="false">Declarations!$C$36+(Declarations!$C$7-Declarations!$C$36)*EXP(-Declarations!$D$36*$B51)+IF(Declarations!$E$36=0,0,Declarations!$E$36*($B51/Declarations!$F$36)*EXP(1-$B51/Declarations!$F$36))+IF($B51&gt;=T_sale,Declarations!$G$36,0)</f>
        <v>40.2386993442877</v>
      </c>
      <c r="M51" s="11" t="n">
        <f aca="false">Declarations!$C$37+(Declarations!$C$8-Declarations!$C$37)*EXP(-Declarations!$D$37*$B51)+IF(Declarations!$E$37=0,0,Declarations!$E$37*($B51/Declarations!$F$37)*EXP(1-$B51/Declarations!$F$37))+IF($B51&gt;=T_sale,Declarations!$G$37,0)</f>
        <v>73.0734542345463</v>
      </c>
      <c r="N51" s="11" t="n">
        <f aca="false">Declarations!$C$38+(Declarations!$C$10-Declarations!$C$38)*EXP(-Declarations!$D$38*$B51)+IF(Declarations!$E$38=0,0,Declarations!$E$38*($B51/Declarations!$F$38)*EXP(1-$B51/Declarations!$F$38))+IF($B51&gt;=T_sale,Declarations!$G$38,0)</f>
        <v>64.4178760707248</v>
      </c>
      <c r="O51" s="13" t="n">
        <f aca="false">C51*USD_pt</f>
        <v>540.066596933781</v>
      </c>
      <c r="P51" s="13" t="n">
        <f aca="false">C51*USD_pt-Floor_usd</f>
        <v>190.066596933781</v>
      </c>
      <c r="Q51" s="11" t="n">
        <f aca="false">Risk_ceiling-F51</f>
        <v>2.90315622699433</v>
      </c>
      <c r="R51" s="13" t="n">
        <f aca="false">MIN(Wf_today-Idx_lo,Idx_hi-Wf_today,D51-Idx_lo,Idx_hi-D51,E51-Idx_lo,Idx_hi-E51,F51-Idx_lo,Idx_hi-F51)</f>
        <v>27.9031562269943</v>
      </c>
      <c r="S51" s="13" t="n">
        <f aca="false">G51*USD_pt</f>
        <v>623.454442184659</v>
      </c>
      <c r="T51" s="13" t="n">
        <f aca="false">G51*USD_pt-Floor_usd</f>
        <v>273.454442184659</v>
      </c>
      <c r="U51" s="11" t="n">
        <f aca="false">Risk_ceiling-J51</f>
        <v>12.2843438338463</v>
      </c>
      <c r="V51" s="13" t="n">
        <f aca="false">MIN(Wf_today-Idx_lo,Idx_hi-Wf_today,H51-Idx_lo,Idx_hi-H51,I51-Idx_lo,Idx_hi-I51,J51-Idx_lo,Idx_hi-J51)</f>
        <v>28.3955486562781</v>
      </c>
      <c r="W51" s="13" t="n">
        <f aca="false">K51*USD_pt</f>
        <v>627.495196662151</v>
      </c>
      <c r="X51" s="13" t="n">
        <f aca="false">K51*USD_pt-Floor_usd</f>
        <v>277.495196662151</v>
      </c>
      <c r="Y51" s="11" t="n">
        <f aca="false">Risk_ceiling-N51</f>
        <v>10.5821239292752</v>
      </c>
      <c r="Z51" s="13" t="n">
        <f aca="false">MIN(Wf_today-Idx_lo,Idx_hi-Wf_today,L51-Idx_lo,Idx_hi-L51,M51-Idx_lo,Idx_hi-M51,N51-Idx_lo,Idx_hi-N51)</f>
        <v>26.9265457654537</v>
      </c>
    </row>
    <row r="52" customFormat="false" ht="15" hidden="false" customHeight="false" outlineLevel="0" collapsed="false">
      <c r="A52" s="19" t="n">
        <v>7</v>
      </c>
      <c r="B52" s="23" t="n">
        <f aca="false">A52/12</f>
        <v>0.583333333333333</v>
      </c>
      <c r="C52" s="11" t="n">
        <f aca="false">Declarations!$C$27+(Declarations!$C$4-Declarations!$C$27)*EXP(-Declarations!$D$27*$B52)+IF(Declarations!$E$27=0,0,Declarations!$E$27*($B52/Declarations!$F$27)*EXP(1-$B52/Declarations!$F$27))+IF($B52&gt;=T_sale,Declarations!$G$27,0)</f>
        <v>85.6328155454083</v>
      </c>
      <c r="D52" s="11" t="n">
        <f aca="false">Declarations!$C$28+(Declarations!$C$7-Declarations!$C$28)*EXP(-Declarations!$D$28*$B52)+IF(Declarations!$E$28=0,0,Declarations!$E$28*($B52/Declarations!$F$28)*EXP(1-$B52/Declarations!$F$28))+IF($B52&gt;=T_sale,Declarations!$G$28,0)</f>
        <v>51.154865897176</v>
      </c>
      <c r="E52" s="11" t="n">
        <f aca="false">Declarations!$C$29+(Declarations!$C$8-Declarations!$C$29)*EXP(-Declarations!$D$29*$B52)+IF(Declarations!$E$29=0,0,Declarations!$E$29*($B52/Declarations!$F$29)*EXP(1-$B52/Declarations!$F$29))+IF($B52&gt;=T_sale,Declarations!$G$29,0)</f>
        <v>66.0692238914704</v>
      </c>
      <c r="F52" s="11" t="n">
        <f aca="false">Declarations!$C$30+(Declarations!$C$10-Declarations!$C$30)*EXP(-Declarations!$D$30*$B52)+IF(Declarations!$E$30=0,0,Declarations!$E$30*($B52/Declarations!$F$30)*EXP(1-$B52/Declarations!$F$30))+IF($B52&gt;=T_sale,Declarations!$G$30,0)</f>
        <v>72.6719555947814</v>
      </c>
      <c r="G52" s="11" t="n">
        <f aca="false">Declarations!$C$31+(Declarations!$C$4-Declarations!$C$31)*EXP(-Declarations!$D$31*$B52)+IF(Declarations!$E$31=0,0,Declarations!$E$31*($B52/Declarations!$F$31)*EXP(1-$B52/Declarations!$F$31))+IF($B52&gt;=T_sale,Declarations!$G$31,0)</f>
        <v>100.642171916923</v>
      </c>
      <c r="H52" s="11" t="n">
        <f aca="false">Declarations!$C$32+(Declarations!$C$7-Declarations!$C$32)*EXP(-Declarations!$D$32*$B52)+IF(Declarations!$E$32=0,0,Declarations!$E$32*($B52/Declarations!$F$32)*EXP(1-$B52/Declarations!$F$32))+IF($B52&gt;=T_sale,Declarations!$G$32,0)</f>
        <v>40.5929052244141</v>
      </c>
      <c r="I52" s="11" t="n">
        <f aca="false">Declarations!$C$33+(Declarations!$C$8-Declarations!$C$33)*EXP(-Declarations!$D$33*$B52)+IF(Declarations!$E$33=0,0,Declarations!$E$33*($B52/Declarations!$F$33)*EXP(1-$B52/Declarations!$F$33))+IF($B52&gt;=T_sale,Declarations!$G$33,0)</f>
        <v>71.6926209068943</v>
      </c>
      <c r="J52" s="11" t="n">
        <f aca="false">Declarations!$C$34+(Declarations!$C$10-Declarations!$C$34)*EXP(-Declarations!$D$34*$B52)+IF(Declarations!$E$34=0,0,Declarations!$E$34*($B52/Declarations!$F$34)*EXP(1-$B52/Declarations!$F$34))+IF($B52&gt;=T_sale,Declarations!$G$34,0)</f>
        <v>62.5226117769387</v>
      </c>
      <c r="K52" s="11" t="n">
        <f aca="false">Declarations!$C$35+(Declarations!$C$4-Declarations!$C$35)*EXP(-Declarations!$D$35*$B52)+IF(Declarations!$E$35=0,0,Declarations!$E$35*($B52/Declarations!$F$35)*EXP(1-$B52/Declarations!$F$35))+IF($B52&gt;=T_sale,Declarations!$G$35,0)</f>
        <v>101.385241813789</v>
      </c>
      <c r="L52" s="11" t="n">
        <f aca="false">Declarations!$C$36+(Declarations!$C$7-Declarations!$C$36)*EXP(-Declarations!$D$36*$B52)+IF(Declarations!$E$36=0,0,Declarations!$E$36*($B52/Declarations!$F$36)*EXP(1-$B52/Declarations!$F$36))+IF($B52&gt;=T_sale,Declarations!$G$36,0)</f>
        <v>40.1190541679042</v>
      </c>
      <c r="M52" s="11" t="n">
        <f aca="false">Declarations!$C$37+(Declarations!$C$8-Declarations!$C$37)*EXP(-Declarations!$D$37*$B52)+IF(Declarations!$E$37=0,0,Declarations!$E$37*($B52/Declarations!$F$37)*EXP(1-$B52/Declarations!$F$37))+IF($B52&gt;=T_sale,Declarations!$G$37,0)</f>
        <v>73.3624952822503</v>
      </c>
      <c r="N52" s="11" t="n">
        <f aca="false">Declarations!$C$38+(Declarations!$C$10-Declarations!$C$38)*EXP(-Declarations!$D$38*$B52)+IF(Declarations!$E$38=0,0,Declarations!$E$38*($B52/Declarations!$F$38)*EXP(1-$B52/Declarations!$F$38))+IF($B52&gt;=T_sale,Declarations!$G$38,0)</f>
        <v>64.4816289376924</v>
      </c>
      <c r="O52" s="13" t="n">
        <f aca="false">C52*USD_pt</f>
        <v>530.923456381531</v>
      </c>
      <c r="P52" s="13" t="n">
        <f aca="false">C52*USD_pt-Floor_usd</f>
        <v>180.923456381531</v>
      </c>
      <c r="Q52" s="11" t="n">
        <f aca="false">Risk_ceiling-F52</f>
        <v>2.32804440521863</v>
      </c>
      <c r="R52" s="13" t="n">
        <f aca="false">MIN(Wf_today-Idx_lo,Idx_hi-Wf_today,D52-Idx_lo,Idx_hi-D52,E52-Idx_lo,Idx_hi-E52,F52-Idx_lo,Idx_hi-F52)</f>
        <v>27.3280444052186</v>
      </c>
      <c r="S52" s="13" t="n">
        <f aca="false">G52*USD_pt</f>
        <v>623.981465884924</v>
      </c>
      <c r="T52" s="13" t="n">
        <f aca="false">G52*USD_pt-Floor_usd</f>
        <v>273.981465884924</v>
      </c>
      <c r="U52" s="11" t="n">
        <f aca="false">Risk_ceiling-J52</f>
        <v>12.4773882230613</v>
      </c>
      <c r="V52" s="13" t="n">
        <f aca="false">MIN(Wf_today-Idx_lo,Idx_hi-Wf_today,H52-Idx_lo,Idx_hi-H52,I52-Idx_lo,Idx_hi-I52,J52-Idx_lo,Idx_hi-J52)</f>
        <v>28.3073790931057</v>
      </c>
      <c r="W52" s="13" t="n">
        <f aca="false">K52*USD_pt</f>
        <v>628.588499245489</v>
      </c>
      <c r="X52" s="13" t="n">
        <f aca="false">K52*USD_pt-Floor_usd</f>
        <v>278.588499245489</v>
      </c>
      <c r="Y52" s="11" t="n">
        <f aca="false">Risk_ceiling-N52</f>
        <v>10.5183710623076</v>
      </c>
      <c r="Z52" s="13" t="n">
        <f aca="false">MIN(Wf_today-Idx_lo,Idx_hi-Wf_today,L52-Idx_lo,Idx_hi-L52,M52-Idx_lo,Idx_hi-M52,N52-Idx_lo,Idx_hi-N52)</f>
        <v>26.6375047177497</v>
      </c>
    </row>
    <row r="53" customFormat="false" ht="15" hidden="false" customHeight="false" outlineLevel="0" collapsed="false">
      <c r="A53" s="19" t="n">
        <v>8</v>
      </c>
      <c r="B53" s="23" t="n">
        <f aca="false">A53/12</f>
        <v>0.666666666666667</v>
      </c>
      <c r="C53" s="11" t="n">
        <f aca="false">Declarations!$C$27+(Declarations!$C$4-Declarations!$C$27)*EXP(-Declarations!$D$27*$B53)+IF(Declarations!$E$27=0,0,Declarations!$E$27*($B53/Declarations!$F$27)*EXP(1-$B53/Declarations!$F$27))+IF($B53&gt;=T_sale,Declarations!$G$27,0)</f>
        <v>84.318474154115</v>
      </c>
      <c r="D53" s="11" t="n">
        <f aca="false">Declarations!$C$28+(Declarations!$C$7-Declarations!$C$28)*EXP(-Declarations!$D$28*$B53)+IF(Declarations!$E$28=0,0,Declarations!$E$28*($B53/Declarations!$F$28)*EXP(1-$B53/Declarations!$F$28))+IF($B53&gt;=T_sale,Declarations!$G$28,0)</f>
        <v>52.3574970568017</v>
      </c>
      <c r="E53" s="11" t="n">
        <f aca="false">Declarations!$C$29+(Declarations!$C$8-Declarations!$C$29)*EXP(-Declarations!$D$29*$B53)+IF(Declarations!$E$29=0,0,Declarations!$E$29*($B53/Declarations!$F$29)*EXP(1-$B53/Declarations!$F$29))+IF($B53&gt;=T_sale,Declarations!$G$29,0)</f>
        <v>65.7291761420234</v>
      </c>
      <c r="F53" s="11" t="n">
        <f aca="false">Declarations!$C$30+(Declarations!$C$10-Declarations!$C$30)*EXP(-Declarations!$D$30*$B53)+IF(Declarations!$E$30=0,0,Declarations!$E$30*($B53/Declarations!$F$30)*EXP(1-$B53/Declarations!$F$30))+IF($B53&gt;=T_sale,Declarations!$G$30,0)</f>
        <v>73.0874733801265</v>
      </c>
      <c r="G53" s="11" t="n">
        <f aca="false">Declarations!$C$31+(Declarations!$C$4-Declarations!$C$31)*EXP(-Declarations!$D$31*$B53)+IF(Declarations!$E$31=0,0,Declarations!$E$31*($B53/Declarations!$F$31)*EXP(1-$B53/Declarations!$F$31))+IF($B53&gt;=T_sale,Declarations!$G$31,0)</f>
        <v>100.725076987688</v>
      </c>
      <c r="H53" s="11" t="n">
        <f aca="false">Declarations!$C$32+(Declarations!$C$7-Declarations!$C$32)*EXP(-Declarations!$D$32*$B53)+IF(Declarations!$E$32=0,0,Declarations!$E$32*($B53/Declarations!$F$32)*EXP(1-$B53/Declarations!$F$32))+IF($B53&gt;=T_sale,Declarations!$G$32,0)</f>
        <v>40.5394451746718</v>
      </c>
      <c r="I53" s="11" t="n">
        <f aca="false">Declarations!$C$33+(Declarations!$C$8-Declarations!$C$33)*EXP(-Declarations!$D$33*$B53)+IF(Declarations!$E$33=0,0,Declarations!$E$33*($B53/Declarations!$F$33)*EXP(1-$B53/Declarations!$F$33))+IF($B53&gt;=T_sale,Declarations!$G$33,0)</f>
        <v>71.7775453379549</v>
      </c>
      <c r="J53" s="11" t="n">
        <f aca="false">Declarations!$C$34+(Declarations!$C$10-Declarations!$C$34)*EXP(-Declarations!$D$34*$B53)+IF(Declarations!$E$34=0,0,Declarations!$E$34*($B53/Declarations!$F$34)*EXP(1-$B53/Declarations!$F$34))+IF($B53&gt;=T_sale,Declarations!$G$34,0)</f>
        <v>62.3351165306943</v>
      </c>
      <c r="K53" s="11" t="n">
        <f aca="false">Declarations!$C$35+(Declarations!$C$4-Declarations!$C$35)*EXP(-Declarations!$D$35*$B53)+IF(Declarations!$E$35=0,0,Declarations!$E$35*($B53/Declarations!$F$35)*EXP(1-$B53/Declarations!$F$35))+IF($B53&gt;=T_sale,Declarations!$G$35,0)</f>
        <v>101.55509067591</v>
      </c>
      <c r="L53" s="11" t="n">
        <f aca="false">Declarations!$C$36+(Declarations!$C$7-Declarations!$C$36)*EXP(-Declarations!$D$36*$B53)+IF(Declarations!$E$36=0,0,Declarations!$E$36*($B53/Declarations!$F$36)*EXP(1-$B53/Declarations!$F$36))+IF($B53&gt;=T_sale,Declarations!$G$36,0)</f>
        <v>40.0013865523436</v>
      </c>
      <c r="M53" s="11" t="n">
        <f aca="false">Declarations!$C$37+(Declarations!$C$8-Declarations!$C$37)*EXP(-Declarations!$D$37*$B53)+IF(Declarations!$E$37=0,0,Declarations!$E$37*($B53/Declarations!$F$37)*EXP(1-$B53/Declarations!$F$37))+IF($B53&gt;=T_sale,Declarations!$G$37,0)</f>
        <v>73.6374396317149</v>
      </c>
      <c r="N53" s="11" t="n">
        <f aca="false">Declarations!$C$38+(Declarations!$C$10-Declarations!$C$38)*EXP(-Declarations!$D$38*$B53)+IF(Declarations!$E$38=0,0,Declarations!$E$38*($B53/Declarations!$F$38)*EXP(1-$B53/Declarations!$F$38))+IF($B53&gt;=T_sale,Declarations!$G$38,0)</f>
        <v>64.5438077407661</v>
      </c>
      <c r="O53" s="13" t="n">
        <f aca="false">C53*USD_pt</f>
        <v>522.774539755513</v>
      </c>
      <c r="P53" s="13" t="n">
        <f aca="false">C53*USD_pt-Floor_usd</f>
        <v>172.774539755513</v>
      </c>
      <c r="Q53" s="11" t="n">
        <f aca="false">Risk_ceiling-F53</f>
        <v>1.91252661987349</v>
      </c>
      <c r="R53" s="13" t="n">
        <f aca="false">MIN(Wf_today-Idx_lo,Idx_hi-Wf_today,D53-Idx_lo,Idx_hi-D53,E53-Idx_lo,Idx_hi-E53,F53-Idx_lo,Idx_hi-F53)</f>
        <v>26.9125266198735</v>
      </c>
      <c r="S53" s="13" t="n">
        <f aca="false">G53*USD_pt</f>
        <v>624.495477323666</v>
      </c>
      <c r="T53" s="13" t="n">
        <f aca="false">G53*USD_pt-Floor_usd</f>
        <v>274.495477323666</v>
      </c>
      <c r="U53" s="11" t="n">
        <f aca="false">Risk_ceiling-J53</f>
        <v>12.6648834693058</v>
      </c>
      <c r="V53" s="13" t="n">
        <f aca="false">MIN(Wf_today-Idx_lo,Idx_hi-Wf_today,H53-Idx_lo,Idx_hi-H53,I53-Idx_lo,Idx_hi-I53,J53-Idx_lo,Idx_hi-J53)</f>
        <v>28.2224546620452</v>
      </c>
      <c r="W53" s="13" t="n">
        <f aca="false">K53*USD_pt</f>
        <v>629.64156219064</v>
      </c>
      <c r="X53" s="13" t="n">
        <f aca="false">K53*USD_pt-Floor_usd</f>
        <v>279.64156219064</v>
      </c>
      <c r="Y53" s="11" t="n">
        <f aca="false">Risk_ceiling-N53</f>
        <v>10.4561922592339</v>
      </c>
      <c r="Z53" s="13" t="n">
        <f aca="false">MIN(Wf_today-Idx_lo,Idx_hi-Wf_today,L53-Idx_lo,Idx_hi-L53,M53-Idx_lo,Idx_hi-M53,N53-Idx_lo,Idx_hi-N53)</f>
        <v>26.3625603682851</v>
      </c>
    </row>
    <row r="54" customFormat="false" ht="15" hidden="false" customHeight="false" outlineLevel="0" collapsed="false">
      <c r="A54" s="19" t="n">
        <v>9</v>
      </c>
      <c r="B54" s="23" t="n">
        <f aca="false">A54/12</f>
        <v>0.75</v>
      </c>
      <c r="C54" s="11" t="n">
        <f aca="false">Declarations!$C$27+(Declarations!$C$4-Declarations!$C$27)*EXP(-Declarations!$D$27*$B54)+IF(Declarations!$E$27=0,0,Declarations!$E$27*($B54/Declarations!$F$27)*EXP(1-$B54/Declarations!$F$27))+IF($B54&gt;=T_sale,Declarations!$G$27,0)</f>
        <v>83.1539010745388</v>
      </c>
      <c r="D54" s="11" t="n">
        <f aca="false">Declarations!$C$28+(Declarations!$C$7-Declarations!$C$28)*EXP(-Declarations!$D$28*$B54)+IF(Declarations!$E$28=0,0,Declarations!$E$28*($B54/Declarations!$F$28)*EXP(1-$B54/Declarations!$F$28))+IF($B54&gt;=T_sale,Declarations!$G$28,0)</f>
        <v>53.5062517224391</v>
      </c>
      <c r="E54" s="11" t="n">
        <f aca="false">Declarations!$C$29+(Declarations!$C$8-Declarations!$C$29)*EXP(-Declarations!$D$29*$B54)+IF(Declarations!$E$29=0,0,Declarations!$E$29*($B54/Declarations!$F$29)*EXP(1-$B54/Declarations!$F$29))+IF($B54&gt;=T_sale,Declarations!$G$29,0)</f>
        <v>65.4570186091036</v>
      </c>
      <c r="F54" s="11" t="n">
        <f aca="false">Declarations!$C$30+(Declarations!$C$10-Declarations!$C$30)*EXP(-Declarations!$D$30*$B54)+IF(Declarations!$E$30=0,0,Declarations!$E$30*($B54/Declarations!$F$30)*EXP(1-$B54/Declarations!$F$30))+IF($B54&gt;=T_sale,Declarations!$G$30,0)</f>
        <v>73.3618117467716</v>
      </c>
      <c r="G54" s="11" t="n">
        <f aca="false">Declarations!$C$31+(Declarations!$C$4-Declarations!$C$31)*EXP(-Declarations!$D$31*$B54)+IF(Declarations!$E$31=0,0,Declarations!$E$31*($B54/Declarations!$F$31)*EXP(1-$B54/Declarations!$F$31))+IF($B54&gt;=T_sale,Declarations!$G$31,0)</f>
        <v>100.805935124962</v>
      </c>
      <c r="H54" s="11" t="n">
        <f aca="false">Declarations!$C$32+(Declarations!$C$7-Declarations!$C$32)*EXP(-Declarations!$D$32*$B54)+IF(Declarations!$E$32=0,0,Declarations!$E$32*($B54/Declarations!$F$32)*EXP(1-$B54/Declarations!$F$32))+IF($B54&gt;=T_sale,Declarations!$G$32,0)</f>
        <v>40.4870873545412</v>
      </c>
      <c r="I54" s="11" t="n">
        <f aca="false">Declarations!$C$33+(Declarations!$C$8-Declarations!$C$33)*EXP(-Declarations!$D$33*$B54)+IF(Declarations!$E$33=0,0,Declarations!$E$33*($B54/Declarations!$F$33)*EXP(1-$B54/Declarations!$F$33))+IF($B54&gt;=T_sale,Declarations!$G$33,0)</f>
        <v>71.8593440758805</v>
      </c>
      <c r="J54" s="11" t="n">
        <f aca="false">Declarations!$C$34+(Declarations!$C$10-Declarations!$C$34)*EXP(-Declarations!$D$34*$B54)+IF(Declarations!$E$34=0,0,Declarations!$E$34*($B54/Declarations!$F$34)*EXP(1-$B54/Declarations!$F$34))+IF($B54&gt;=T_sale,Declarations!$G$34,0)</f>
        <v>62.1530109149486</v>
      </c>
      <c r="K54" s="11" t="n">
        <f aca="false">Declarations!$C$35+(Declarations!$C$4-Declarations!$C$35)*EXP(-Declarations!$D$35*$B54)+IF(Declarations!$E$35=0,0,Declarations!$E$35*($B54/Declarations!$F$35)*EXP(1-$B54/Declarations!$F$35))+IF($B54&gt;=T_sale,Declarations!$G$35,0)</f>
        <v>101.718688151761</v>
      </c>
      <c r="L54" s="11" t="n">
        <f aca="false">Declarations!$C$36+(Declarations!$C$7-Declarations!$C$36)*EXP(-Declarations!$D$36*$B54)+IF(Declarations!$E$36=0,0,Declarations!$E$36*($B54/Declarations!$F$36)*EXP(1-$B54/Declarations!$F$36))+IF($B54&gt;=T_sale,Declarations!$G$36,0)</f>
        <v>39.8856638114005</v>
      </c>
      <c r="M54" s="11" t="n">
        <f aca="false">Declarations!$C$37+(Declarations!$C$8-Declarations!$C$37)*EXP(-Declarations!$D$37*$B54)+IF(Declarations!$E$37=0,0,Declarations!$E$37*($B54/Declarations!$F$37)*EXP(1-$B54/Declarations!$F$37))+IF($B54&gt;=T_sale,Declarations!$G$37,0)</f>
        <v>73.8989747870258</v>
      </c>
      <c r="N54" s="11" t="n">
        <f aca="false">Declarations!$C$38+(Declarations!$C$10-Declarations!$C$38)*EXP(-Declarations!$D$38*$B54)+IF(Declarations!$E$38=0,0,Declarations!$E$38*($B54/Declarations!$F$38)*EXP(1-$B54/Declarations!$F$38))+IF($B54&gt;=T_sale,Declarations!$G$38,0)</f>
        <v>64.6044513437219</v>
      </c>
      <c r="O54" s="13" t="n">
        <f aca="false">C54*USD_pt</f>
        <v>515.554186662141</v>
      </c>
      <c r="P54" s="13" t="n">
        <f aca="false">C54*USD_pt-Floor_usd</f>
        <v>165.554186662141</v>
      </c>
      <c r="Q54" s="11" t="n">
        <f aca="false">Risk_ceiling-F54</f>
        <v>1.63818825322841</v>
      </c>
      <c r="R54" s="13" t="n">
        <f aca="false">MIN(Wf_today-Idx_lo,Idx_hi-Wf_today,D54-Idx_lo,Idx_hi-D54,E54-Idx_lo,Idx_hi-E54,F54-Idx_lo,Idx_hi-F54)</f>
        <v>26.6381882532284</v>
      </c>
      <c r="S54" s="13" t="n">
        <f aca="false">G54*USD_pt</f>
        <v>624.996797774767</v>
      </c>
      <c r="T54" s="13" t="n">
        <f aca="false">G54*USD_pt-Floor_usd</f>
        <v>274.996797774767</v>
      </c>
      <c r="U54" s="11" t="n">
        <f aca="false">Risk_ceiling-J54</f>
        <v>12.8469890850514</v>
      </c>
      <c r="V54" s="13" t="n">
        <f aca="false">MIN(Wf_today-Idx_lo,Idx_hi-Wf_today,H54-Idx_lo,Idx_hi-H54,I54-Idx_lo,Idx_hi-I54,J54-Idx_lo,Idx_hi-J54)</f>
        <v>28.1406559241195</v>
      </c>
      <c r="W54" s="13" t="n">
        <f aca="false">K54*USD_pt</f>
        <v>630.655866540918</v>
      </c>
      <c r="X54" s="13" t="n">
        <f aca="false">K54*USD_pt-Floor_usd</f>
        <v>280.655866540918</v>
      </c>
      <c r="Y54" s="11" t="n">
        <f aca="false">Risk_ceiling-N54</f>
        <v>10.3955486562781</v>
      </c>
      <c r="Z54" s="13" t="n">
        <f aca="false">MIN(Wf_today-Idx_lo,Idx_hi-Wf_today,L54-Idx_lo,Idx_hi-L54,M54-Idx_lo,Idx_hi-M54,N54-Idx_lo,Idx_hi-N54)</f>
        <v>26.1010252129742</v>
      </c>
    </row>
    <row r="55" customFormat="false" ht="15" hidden="false" customHeight="false" outlineLevel="0" collapsed="false">
      <c r="A55" s="19" t="n">
        <v>10</v>
      </c>
      <c r="B55" s="23" t="n">
        <f aca="false">A55/12</f>
        <v>0.833333333333333</v>
      </c>
      <c r="C55" s="11" t="n">
        <f aca="false">Declarations!$C$27+(Declarations!$C$4-Declarations!$C$27)*EXP(-Declarations!$D$27*$B55)+IF(Declarations!$E$27=0,0,Declarations!$E$27*($B55/Declarations!$F$27)*EXP(1-$B55/Declarations!$F$27))+IF($B55&gt;=T_sale,Declarations!$G$27,0)</f>
        <v>82.129102030291</v>
      </c>
      <c r="D55" s="11" t="n">
        <f aca="false">Declarations!$C$28+(Declarations!$C$7-Declarations!$C$28)*EXP(-Declarations!$D$28*$B55)+IF(Declarations!$E$28=0,0,Declarations!$E$28*($B55/Declarations!$F$28)*EXP(1-$B55/Declarations!$F$28))+IF($B55&gt;=T_sale,Declarations!$G$28,0)</f>
        <v>54.6035434991088</v>
      </c>
      <c r="E55" s="11" t="n">
        <f aca="false">Declarations!$C$29+(Declarations!$C$8-Declarations!$C$29)*EXP(-Declarations!$D$29*$B55)+IF(Declarations!$E$29=0,0,Declarations!$E$29*($B55/Declarations!$F$29)*EXP(1-$B55/Declarations!$F$29))+IF($B55&gt;=T_sale,Declarations!$G$29,0)</f>
        <v>65.2464387307634</v>
      </c>
      <c r="F55" s="11" t="n">
        <f aca="false">Declarations!$C$30+(Declarations!$C$10-Declarations!$C$30)*EXP(-Declarations!$D$30*$B55)+IF(Declarations!$E$30=0,0,Declarations!$E$30*($B55/Declarations!$F$30)*EXP(1-$B55/Declarations!$F$30))+IF($B55&gt;=T_sale,Declarations!$G$30,0)</f>
        <v>73.5116462745503</v>
      </c>
      <c r="G55" s="11" t="n">
        <f aca="false">Declarations!$C$31+(Declarations!$C$4-Declarations!$C$31)*EXP(-Declarations!$D$31*$B55)+IF(Declarations!$E$31=0,0,Declarations!$E$31*($B55/Declarations!$F$31)*EXP(1-$B55/Declarations!$F$31))+IF($B55&gt;=T_sale,Declarations!$G$31,0)</f>
        <v>100.884796867714</v>
      </c>
      <c r="H55" s="11" t="n">
        <f aca="false">Declarations!$C$32+(Declarations!$C$7-Declarations!$C$32)*EXP(-Declarations!$D$32*$B55)+IF(Declarations!$E$32=0,0,Declarations!$E$32*($B55/Declarations!$F$32)*EXP(1-$B55/Declarations!$F$32))+IF($B55&gt;=T_sale,Declarations!$G$32,0)</f>
        <v>40.4358090384519</v>
      </c>
      <c r="I55" s="11" t="n">
        <f aca="false">Declarations!$C$33+(Declarations!$C$8-Declarations!$C$33)*EXP(-Declarations!$D$33*$B55)+IF(Declarations!$E$33=0,0,Declarations!$E$33*($B55/Declarations!$F$33)*EXP(1-$B55/Declarations!$F$33))+IF($B55&gt;=T_sale,Declarations!$G$33,0)</f>
        <v>71.9381321636271</v>
      </c>
      <c r="J55" s="11" t="n">
        <f aca="false">Declarations!$C$34+(Declarations!$C$10-Declarations!$C$34)*EXP(-Declarations!$D$34*$B55)+IF(Declarations!$E$34=0,0,Declarations!$E$34*($B55/Declarations!$F$34)*EXP(1-$B55/Declarations!$F$34))+IF($B55&gt;=T_sale,Declarations!$G$34,0)</f>
        <v>61.9761400024835</v>
      </c>
      <c r="K55" s="11" t="n">
        <f aca="false">Declarations!$C$35+(Declarations!$C$4-Declarations!$C$35)*EXP(-Declarations!$D$35*$B55)+IF(Declarations!$E$35=0,0,Declarations!$E$35*($B55/Declarations!$F$35)*EXP(1-$B55/Declarations!$F$35))+IF($B55&gt;=T_sale,Declarations!$G$35,0)</f>
        <v>101.876264327254</v>
      </c>
      <c r="L55" s="11" t="n">
        <f aca="false">Declarations!$C$36+(Declarations!$C$7-Declarations!$C$36)*EXP(-Declarations!$D$36*$B55)+IF(Declarations!$E$36=0,0,Declarations!$E$36*($B55/Declarations!$F$36)*EXP(1-$B55/Declarations!$F$36))+IF($B55&gt;=T_sale,Declarations!$G$36,0)</f>
        <v>39.7718537991249</v>
      </c>
      <c r="M55" s="11" t="n">
        <f aca="false">Declarations!$C$37+(Declarations!$C$8-Declarations!$C$37)*EXP(-Declarations!$D$37*$B55)+IF(Declarations!$E$37=0,0,Declarations!$E$37*($B55/Declarations!$F$37)*EXP(1-$B55/Declarations!$F$37))+IF($B55&gt;=T_sale,Declarations!$G$37,0)</f>
        <v>74.1477547222989</v>
      </c>
      <c r="N55" s="11" t="n">
        <f aca="false">Declarations!$C$38+(Declarations!$C$10-Declarations!$C$38)*EXP(-Declarations!$D$38*$B55)+IF(Declarations!$E$38=0,0,Declarations!$E$38*($B55/Declarations!$F$38)*EXP(1-$B55/Declarations!$F$38))+IF($B55&gt;=T_sale,Declarations!$G$38,0)</f>
        <v>64.6635976507858</v>
      </c>
      <c r="O55" s="13" t="n">
        <f aca="false">C55*USD_pt</f>
        <v>509.200432587804</v>
      </c>
      <c r="P55" s="13" t="n">
        <f aca="false">C55*USD_pt-Floor_usd</f>
        <v>159.200432587804</v>
      </c>
      <c r="Q55" s="11" t="n">
        <f aca="false">Risk_ceiling-F55</f>
        <v>1.4883537254497</v>
      </c>
      <c r="R55" s="13" t="n">
        <f aca="false">MIN(Wf_today-Idx_lo,Idx_hi-Wf_today,D55-Idx_lo,Idx_hi-D55,E55-Idx_lo,Idx_hi-E55,F55-Idx_lo,Idx_hi-F55)</f>
        <v>26.4883537254497</v>
      </c>
      <c r="S55" s="13" t="n">
        <f aca="false">G55*USD_pt</f>
        <v>625.485740579829</v>
      </c>
      <c r="T55" s="13" t="n">
        <f aca="false">G55*USD_pt-Floor_usd</f>
        <v>275.485740579829</v>
      </c>
      <c r="U55" s="11" t="n">
        <f aca="false">Risk_ceiling-J55</f>
        <v>13.0238599975165</v>
      </c>
      <c r="V55" s="13" t="n">
        <f aca="false">MIN(Wf_today-Idx_lo,Idx_hi-Wf_today,H55-Idx_lo,Idx_hi-H55,I55-Idx_lo,Idx_hi-I55,J55-Idx_lo,Idx_hi-J55)</f>
        <v>28.0618678363729</v>
      </c>
      <c r="W55" s="13" t="n">
        <f aca="false">K55*USD_pt</f>
        <v>631.632838828976</v>
      </c>
      <c r="X55" s="13" t="n">
        <f aca="false">K55*USD_pt-Floor_usd</f>
        <v>281.632838828976</v>
      </c>
      <c r="Y55" s="11" t="n">
        <f aca="false">Risk_ceiling-N55</f>
        <v>10.3364023492142</v>
      </c>
      <c r="Z55" s="13" t="n">
        <f aca="false">MIN(Wf_today-Idx_lo,Idx_hi-Wf_today,L55-Idx_lo,Idx_hi-L55,M55-Idx_lo,Idx_hi-M55,N55-Idx_lo,Idx_hi-N55)</f>
        <v>25.8522452777011</v>
      </c>
    </row>
    <row r="56" customFormat="false" ht="15" hidden="false" customHeight="false" outlineLevel="0" collapsed="false">
      <c r="A56" s="19" t="n">
        <v>11</v>
      </c>
      <c r="B56" s="23" t="n">
        <f aca="false">A56/12</f>
        <v>0.916666666666667</v>
      </c>
      <c r="C56" s="11" t="n">
        <f aca="false">Declarations!$C$27+(Declarations!$C$4-Declarations!$C$27)*EXP(-Declarations!$D$27*$B56)+IF(Declarations!$E$27=0,0,Declarations!$E$27*($B56/Declarations!$F$27)*EXP(1-$B56/Declarations!$F$27))+IF($B56&gt;=T_sale,Declarations!$G$27,0)</f>
        <v>81.2346478726594</v>
      </c>
      <c r="D56" s="11" t="n">
        <f aca="false">Declarations!$C$28+(Declarations!$C$7-Declarations!$C$28)*EXP(-Declarations!$D$28*$B56)+IF(Declarations!$E$28=0,0,Declarations!$E$28*($B56/Declarations!$F$28)*EXP(1-$B56/Declarations!$F$28))+IF($B56&gt;=T_sale,Declarations!$G$28,0)</f>
        <v>55.6516778650994</v>
      </c>
      <c r="E56" s="11" t="n">
        <f aca="false">Declarations!$C$29+(Declarations!$C$8-Declarations!$C$29)*EXP(-Declarations!$D$29*$B56)+IF(Declarations!$E$29=0,0,Declarations!$E$29*($B56/Declarations!$F$29)*EXP(1-$B56/Declarations!$F$29))+IF($B56&gt;=T_sale,Declarations!$G$29,0)</f>
        <v>65.0916066416841</v>
      </c>
      <c r="F56" s="11" t="n">
        <f aca="false">Declarations!$C$30+(Declarations!$C$10-Declarations!$C$30)*EXP(-Declarations!$D$30*$B56)+IF(Declarations!$E$30=0,0,Declarations!$E$30*($B56/Declarations!$F$30)*EXP(1-$B56/Declarations!$F$30))+IF($B56&gt;=T_sale,Declarations!$G$30,0)</f>
        <v>73.5520635207556</v>
      </c>
      <c r="G56" s="11" t="n">
        <f aca="false">Declarations!$C$31+(Declarations!$C$4-Declarations!$C$31)*EXP(-Declarations!$D$31*$B56)+IF(Declarations!$E$31=0,0,Declarations!$E$31*($B56/Declarations!$F$31)*EXP(1-$B56/Declarations!$F$31))+IF($B56&gt;=T_sale,Declarations!$G$31,0)</f>
        <v>100.9617115071</v>
      </c>
      <c r="H56" s="11" t="n">
        <f aca="false">Declarations!$C$32+(Declarations!$C$7-Declarations!$C$32)*EXP(-Declarations!$D$32*$B56)+IF(Declarations!$E$32=0,0,Declarations!$E$32*($B56/Declarations!$F$32)*EXP(1-$B56/Declarations!$F$32))+IF($B56&gt;=T_sale,Declarations!$G$32,0)</f>
        <v>40.3855879693854</v>
      </c>
      <c r="I56" s="11" t="n">
        <f aca="false">Declarations!$C$33+(Declarations!$C$8-Declarations!$C$33)*EXP(-Declarations!$D$33*$B56)+IF(Declarations!$E$33=0,0,Declarations!$E$33*($B56/Declarations!$F$33)*EXP(1-$B56/Declarations!$F$33))+IF($B56&gt;=T_sale,Declarations!$G$33,0)</f>
        <v>72.0140204099275</v>
      </c>
      <c r="J56" s="11" t="n">
        <f aca="false">Declarations!$C$34+(Declarations!$C$10-Declarations!$C$34)*EXP(-Declarations!$D$34*$B56)+IF(Declarations!$E$34=0,0,Declarations!$E$34*($B56/Declarations!$F$34)*EXP(1-$B56/Declarations!$F$34))+IF($B56&gt;=T_sale,Declarations!$G$34,0)</f>
        <v>61.8043533195295</v>
      </c>
      <c r="K56" s="11" t="n">
        <f aca="false">Declarations!$C$35+(Declarations!$C$4-Declarations!$C$35)*EXP(-Declarations!$D$35*$B56)+IF(Declarations!$E$35=0,0,Declarations!$E$35*($B56/Declarations!$F$35)*EXP(1-$B56/Declarations!$F$35))+IF($B56&gt;=T_sale,Declarations!$G$35,0)</f>
        <v>102.028040819855</v>
      </c>
      <c r="L56" s="11" t="n">
        <f aca="false">Declarations!$C$36+(Declarations!$C$7-Declarations!$C$36)*EXP(-Declarations!$D$36*$B56)+IF(Declarations!$E$36=0,0,Declarations!$E$36*($B56/Declarations!$F$36)*EXP(1-$B56/Declarations!$F$36))+IF($B56&gt;=T_sale,Declarations!$G$36,0)</f>
        <v>39.6599249008928</v>
      </c>
      <c r="M56" s="11" t="n">
        <f aca="false">Declarations!$C$37+(Declarations!$C$8-Declarations!$C$37)*EXP(-Declarations!$D$37*$B56)+IF(Declarations!$E$37=0,0,Declarations!$E$37*($B56/Declarations!$F$37)*EXP(1-$B56/Declarations!$F$37))+IF($B56&gt;=T_sale,Declarations!$G$37,0)</f>
        <v>74.3844015169561</v>
      </c>
      <c r="N56" s="11" t="n">
        <f aca="false">Declarations!$C$38+(Declarations!$C$10-Declarations!$C$38)*EXP(-Declarations!$D$38*$B56)+IF(Declarations!$E$38=0,0,Declarations!$E$38*($B56/Declarations!$F$38)*EXP(1-$B56/Declarations!$F$38))+IF($B56&gt;=T_sale,Declarations!$G$38,0)</f>
        <v>64.7212836303251</v>
      </c>
      <c r="O56" s="13" t="n">
        <f aca="false">C56*USD_pt</f>
        <v>503.654816810488</v>
      </c>
      <c r="P56" s="13" t="n">
        <f aca="false">C56*USD_pt-Floor_usd</f>
        <v>153.654816810488</v>
      </c>
      <c r="Q56" s="11" t="n">
        <f aca="false">Risk_ceiling-F56</f>
        <v>1.44793647924442</v>
      </c>
      <c r="R56" s="13" t="n">
        <f aca="false">MIN(Wf_today-Idx_lo,Idx_hi-Wf_today,D56-Idx_lo,Idx_hi-D56,E56-Idx_lo,Idx_hi-E56,F56-Idx_lo,Idx_hi-F56)</f>
        <v>26.4479364792444</v>
      </c>
      <c r="S56" s="13" t="n">
        <f aca="false">G56*USD_pt</f>
        <v>625.962611344021</v>
      </c>
      <c r="T56" s="13" t="n">
        <f aca="false">G56*USD_pt-Floor_usd</f>
        <v>275.962611344021</v>
      </c>
      <c r="U56" s="11" t="n">
        <f aca="false">Risk_ceiling-J56</f>
        <v>13.1956466804705</v>
      </c>
      <c r="V56" s="13" t="n">
        <f aca="false">MIN(Wf_today-Idx_lo,Idx_hi-Wf_today,H56-Idx_lo,Idx_hi-H56,I56-Idx_lo,Idx_hi-I56,J56-Idx_lo,Idx_hi-J56)</f>
        <v>27.9859795900725</v>
      </c>
      <c r="W56" s="13" t="n">
        <f aca="false">K56*USD_pt</f>
        <v>632.573853083101</v>
      </c>
      <c r="X56" s="13" t="n">
        <f aca="false">K56*USD_pt-Floor_usd</f>
        <v>282.573853083101</v>
      </c>
      <c r="Y56" s="11" t="n">
        <f aca="false">Risk_ceiling-N56</f>
        <v>10.2787163696749</v>
      </c>
      <c r="Z56" s="13" t="n">
        <f aca="false">MIN(Wf_today-Idx_lo,Idx_hi-Wf_today,L56-Idx_lo,Idx_hi-L56,M56-Idx_lo,Idx_hi-M56,N56-Idx_lo,Idx_hi-N56)</f>
        <v>25.6155984830439</v>
      </c>
    </row>
    <row r="57" customFormat="false" ht="15" hidden="false" customHeight="false" outlineLevel="0" collapsed="false">
      <c r="A57" s="19" t="n">
        <v>12</v>
      </c>
      <c r="B57" s="23" t="n">
        <f aca="false">A57/12</f>
        <v>1</v>
      </c>
      <c r="C57" s="11" t="n">
        <f aca="false">Declarations!$C$27+(Declarations!$C$4-Declarations!$C$27)*EXP(-Declarations!$D$27*$B57)+IF(Declarations!$E$27=0,0,Declarations!$E$27*($B57/Declarations!$F$27)*EXP(1-$B57/Declarations!$F$27))+IF($B57&gt;=T_sale,Declarations!$G$27,0)</f>
        <v>80.4616451335736</v>
      </c>
      <c r="D57" s="11" t="n">
        <f aca="false">Declarations!$C$28+(Declarations!$C$7-Declarations!$C$28)*EXP(-Declarations!$D$28*$B57)+IF(Declarations!$E$28=0,0,Declarations!$E$28*($B57/Declarations!$F$28)*EXP(1-$B57/Declarations!$F$28))+IF($B57&gt;=T_sale,Declarations!$G$28,0)</f>
        <v>56.652857015922</v>
      </c>
      <c r="E57" s="11" t="n">
        <f aca="false">Declarations!$C$29+(Declarations!$C$8-Declarations!$C$29)*EXP(-Declarations!$D$29*$B57)+IF(Declarations!$E$29=0,0,Declarations!$E$29*($B57/Declarations!$F$29)*EXP(1-$B57/Declarations!$F$29))+IF($B57&gt;=T_sale,Declarations!$G$29,0)</f>
        <v>64.9871414912077</v>
      </c>
      <c r="F57" s="11" t="n">
        <f aca="false">Declarations!$C$30+(Declarations!$C$10-Declarations!$C$30)*EXP(-Declarations!$D$30*$B57)+IF(Declarations!$E$30=0,0,Declarations!$E$30*($B57/Declarations!$F$30)*EXP(1-$B57/Declarations!$F$30))+IF($B57&gt;=T_sale,Declarations!$G$30,0)</f>
        <v>73.4966987485625</v>
      </c>
      <c r="G57" s="11" t="n">
        <f aca="false">Declarations!$C$31+(Declarations!$C$4-Declarations!$C$31)*EXP(-Declarations!$D$31*$B57)+IF(Declarations!$E$31=0,0,Declarations!$E$31*($B57/Declarations!$F$31)*EXP(1-$B57/Declarations!$F$31))+IF($B57&gt;=T_sale,Declarations!$G$31,0)</f>
        <v>119.036727117273</v>
      </c>
      <c r="H57" s="11" t="n">
        <f aca="false">Declarations!$C$32+(Declarations!$C$7-Declarations!$C$32)*EXP(-Declarations!$D$32*$B57)+IF(Declarations!$E$32=0,0,Declarations!$E$32*($B57/Declarations!$F$32)*EXP(1-$B57/Declarations!$F$32))+IF($B57&gt;=T_sale,Declarations!$G$32,0)</f>
        <v>40.3364023492142</v>
      </c>
      <c r="I57" s="11" t="n">
        <f aca="false">Declarations!$C$33+(Declarations!$C$8-Declarations!$C$33)*EXP(-Declarations!$D$33*$B57)+IF(Declarations!$E$33=0,0,Declarations!$E$33*($B57/Declarations!$F$33)*EXP(1-$B57/Declarations!$F$33))+IF($B57&gt;=T_sale,Declarations!$G$33,0)</f>
        <v>72.0871155451347</v>
      </c>
      <c r="J57" s="11" t="n">
        <f aca="false">Declarations!$C$34+(Declarations!$C$10-Declarations!$C$34)*EXP(-Declarations!$D$34*$B57)+IF(Declarations!$E$34=0,0,Declarations!$E$34*($B57/Declarations!$F$34)*EXP(1-$B57/Declarations!$F$34))+IF($B57&gt;=T_sale,Declarations!$G$34,0)</f>
        <v>53.6375047177497</v>
      </c>
      <c r="K57" s="11" t="n">
        <f aca="false">Declarations!$C$35+(Declarations!$C$4-Declarations!$C$35)*EXP(-Declarations!$D$35*$B57)+IF(Declarations!$E$35=0,0,Declarations!$E$35*($B57/Declarations!$F$35)*EXP(1-$B57/Declarations!$F$35))+IF($B57&gt;=T_sale,Declarations!$G$35,0)</f>
        <v>102.174231090269</v>
      </c>
      <c r="L57" s="11" t="n">
        <f aca="false">Declarations!$C$36+(Declarations!$C$7-Declarations!$C$36)*EXP(-Declarations!$D$36*$B57)+IF(Declarations!$E$36=0,0,Declarations!$E$36*($B57/Declarations!$F$36)*EXP(1-$B57/Declarations!$F$36))+IF($B57&gt;=T_sale,Declarations!$G$36,0)</f>
        <v>39.5498460246239</v>
      </c>
      <c r="M57" s="11" t="n">
        <f aca="false">Declarations!$C$37+(Declarations!$C$8-Declarations!$C$37)*EXP(-Declarations!$D$37*$B57)+IF(Declarations!$E$37=0,0,Declarations!$E$37*($B57/Declarations!$F$37)*EXP(1-$B57/Declarations!$F$37))+IF($B57&gt;=T_sale,Declarations!$G$37,0)</f>
        <v>74.6095069112478</v>
      </c>
      <c r="N57" s="11" t="n">
        <f aca="false">Declarations!$C$38+(Declarations!$C$10-Declarations!$C$38)*EXP(-Declarations!$D$38*$B57)+IF(Declarations!$E$38=0,0,Declarations!$E$38*($B57/Declarations!$F$38)*EXP(1-$B57/Declarations!$F$38))+IF($B57&gt;=T_sale,Declarations!$G$38,0)</f>
        <v>64.7775453379549</v>
      </c>
      <c r="O57" s="13" t="n">
        <f aca="false">C57*USD_pt</f>
        <v>498.862199828157</v>
      </c>
      <c r="P57" s="13" t="n">
        <f aca="false">C57*USD_pt-Floor_usd</f>
        <v>148.862199828157</v>
      </c>
      <c r="Q57" s="11" t="n">
        <f aca="false">Risk_ceiling-F57</f>
        <v>1.50330125143749</v>
      </c>
      <c r="R57" s="13" t="n">
        <f aca="false">MIN(Wf_today-Idx_lo,Idx_hi-Wf_today,D57-Idx_lo,Idx_hi-D57,E57-Idx_lo,Idx_hi-E57,F57-Idx_lo,Idx_hi-F57)</f>
        <v>26.5033012514375</v>
      </c>
      <c r="S57" s="13" t="n">
        <f aca="false">G57*USD_pt</f>
        <v>738.027708127093</v>
      </c>
      <c r="T57" s="13" t="n">
        <f aca="false">G57*USD_pt-Floor_usd</f>
        <v>388.027708127093</v>
      </c>
      <c r="U57" s="11" t="n">
        <f aca="false">Risk_ceiling-J57</f>
        <v>21.3624952822503</v>
      </c>
      <c r="V57" s="13" t="n">
        <f aca="false">MIN(Wf_today-Idx_lo,Idx_hi-Wf_today,H57-Idx_lo,Idx_hi-H57,I57-Idx_lo,Idx_hi-I57,J57-Idx_lo,Idx_hi-J57)</f>
        <v>27.9128844548653</v>
      </c>
      <c r="W57" s="13" t="n">
        <f aca="false">K57*USD_pt</f>
        <v>633.48023275967</v>
      </c>
      <c r="X57" s="13" t="n">
        <f aca="false">K57*USD_pt-Floor_usd</f>
        <v>283.48023275967</v>
      </c>
      <c r="Y57" s="11" t="n">
        <f aca="false">Risk_ceiling-N57</f>
        <v>10.2224546620452</v>
      </c>
      <c r="Z57" s="13" t="n">
        <f aca="false">MIN(Wf_today-Idx_lo,Idx_hi-Wf_today,L57-Idx_lo,Idx_hi-L57,M57-Idx_lo,Idx_hi-M57,N57-Idx_lo,Idx_hi-N57)</f>
        <v>25.3904930887522</v>
      </c>
    </row>
    <row r="58" customFormat="false" ht="15" hidden="false" customHeight="false" outlineLevel="0" collapsed="false">
      <c r="A58" s="19" t="n">
        <v>13</v>
      </c>
      <c r="B58" s="23" t="n">
        <f aca="false">A58/12</f>
        <v>1.08333333333333</v>
      </c>
      <c r="C58" s="11" t="n">
        <f aca="false">Declarations!$C$27+(Declarations!$C$4-Declarations!$C$27)*EXP(-Declarations!$D$27*$B58)+IF(Declarations!$E$27=0,0,Declarations!$E$27*($B58/Declarations!$F$27)*EXP(1-$B58/Declarations!$F$27))+IF($B58&gt;=T_sale,Declarations!$G$27,0)</f>
        <v>79.801708039877</v>
      </c>
      <c r="D58" s="11" t="n">
        <f aca="false">Declarations!$C$28+(Declarations!$C$7-Declarations!$C$28)*EXP(-Declarations!$D$28*$B58)+IF(Declarations!$E$28=0,0,Declarations!$E$28*($B58/Declarations!$F$28)*EXP(1-$B58/Declarations!$F$28))+IF($B58&gt;=T_sale,Declarations!$G$28,0)</f>
        <v>57.609184491259</v>
      </c>
      <c r="E58" s="11" t="n">
        <f aca="false">Declarations!$C$29+(Declarations!$C$8-Declarations!$C$29)*EXP(-Declarations!$D$29*$B58)+IF(Declarations!$E$29=0,0,Declarations!$E$29*($B58/Declarations!$F$29)*EXP(1-$B58/Declarations!$F$29))+IF($B58&gt;=T_sale,Declarations!$G$29,0)</f>
        <v>64.9280799899194</v>
      </c>
      <c r="F58" s="11" t="n">
        <f aca="false">Declarations!$C$30+(Declarations!$C$10-Declarations!$C$30)*EXP(-Declarations!$D$30*$B58)+IF(Declarations!$E$30=0,0,Declarations!$E$30*($B58/Declarations!$F$30)*EXP(1-$B58/Declarations!$F$30))+IF($B58&gt;=T_sale,Declarations!$G$30,0)</f>
        <v>73.357862341466</v>
      </c>
      <c r="G58" s="11" t="n">
        <f aca="false">Declarations!$C$31+(Declarations!$C$4-Declarations!$C$31)*EXP(-Declarations!$D$31*$B58)+IF(Declarations!$E$31=0,0,Declarations!$E$31*($B58/Declarations!$F$31)*EXP(1-$B58/Declarations!$F$31))+IF($B58&gt;=T_sale,Declarations!$G$31,0)</f>
        <v>119.109890585432</v>
      </c>
      <c r="H58" s="11" t="n">
        <f aca="false">Declarations!$C$32+(Declarations!$C$7-Declarations!$C$32)*EXP(-Declarations!$D$32*$B58)+IF(Declarations!$E$32=0,0,Declarations!$E$32*($B58/Declarations!$F$32)*EXP(1-$B58/Declarations!$F$32))+IF($B58&gt;=T_sale,Declarations!$G$32,0)</f>
        <v>40.2882308292409</v>
      </c>
      <c r="I58" s="11" t="n">
        <f aca="false">Declarations!$C$33+(Declarations!$C$8-Declarations!$C$33)*EXP(-Declarations!$D$33*$B58)+IF(Declarations!$E$33=0,0,Declarations!$E$33*($B58/Declarations!$F$33)*EXP(1-$B58/Declarations!$F$33))+IF($B58&gt;=T_sale,Declarations!$G$33,0)</f>
        <v>72.1575203713288</v>
      </c>
      <c r="J58" s="11" t="n">
        <f aca="false">Declarations!$C$34+(Declarations!$C$10-Declarations!$C$34)*EXP(-Declarations!$D$34*$B58)+IF(Declarations!$E$34=0,0,Declarations!$E$34*($B58/Declarations!$F$34)*EXP(1-$B58/Declarations!$F$34))+IF($B58&gt;=T_sale,Declarations!$G$34,0)</f>
        <v>53.4754522499031</v>
      </c>
      <c r="K58" s="11" t="n">
        <f aca="false">Declarations!$C$35+(Declarations!$C$4-Declarations!$C$35)*EXP(-Declarations!$D$35*$B58)+IF(Declarations!$E$35=0,0,Declarations!$E$35*($B58/Declarations!$F$35)*EXP(1-$B58/Declarations!$F$35))+IF($B58&gt;=T_sale,Declarations!$G$35,0)</f>
        <v>102.315040742658</v>
      </c>
      <c r="L58" s="11" t="n">
        <f aca="false">Declarations!$C$36+(Declarations!$C$7-Declarations!$C$36)*EXP(-Declarations!$D$36*$B58)+IF(Declarations!$E$36=0,0,Declarations!$E$36*($B58/Declarations!$F$36)*EXP(1-$B58/Declarations!$F$36))+IF($B58&gt;=T_sale,Declarations!$G$36,0)</f>
        <v>39.4415865921446</v>
      </c>
      <c r="M58" s="11" t="n">
        <f aca="false">Declarations!$C$37+(Declarations!$C$8-Declarations!$C$37)*EXP(-Declarations!$D$37*$B58)+IF(Declarations!$E$37=0,0,Declarations!$E$37*($B58/Declarations!$F$37)*EXP(1-$B58/Declarations!$F$37))+IF($B58&gt;=T_sale,Declarations!$G$37,0)</f>
        <v>74.8236337859119</v>
      </c>
      <c r="N58" s="11" t="n">
        <f aca="false">Declarations!$C$38+(Declarations!$C$10-Declarations!$C$38)*EXP(-Declarations!$D$38*$B58)+IF(Declarations!$E$38=0,0,Declarations!$E$38*($B58/Declarations!$F$38)*EXP(1-$B58/Declarations!$F$38))+IF($B58&gt;=T_sale,Declarations!$G$38,0)</f>
        <v>64.8324179390738</v>
      </c>
      <c r="O58" s="13" t="n">
        <f aca="false">C58*USD_pt</f>
        <v>494.770589847238</v>
      </c>
      <c r="P58" s="13" t="n">
        <f aca="false">C58*USD_pt-Floor_usd</f>
        <v>144.770589847238</v>
      </c>
      <c r="Q58" s="11" t="n">
        <f aca="false">Risk_ceiling-F58</f>
        <v>1.64213765853404</v>
      </c>
      <c r="R58" s="13" t="n">
        <f aca="false">MIN(Wf_today-Idx_lo,Idx_hi-Wf_today,D58-Idx_lo,Idx_hi-D58,E58-Idx_lo,Idx_hi-E58,F58-Idx_lo,Idx_hi-F58)</f>
        <v>26.642137658534</v>
      </c>
      <c r="S58" s="13" t="n">
        <f aca="false">G58*USD_pt</f>
        <v>738.481321629677</v>
      </c>
      <c r="T58" s="13" t="n">
        <f aca="false">G58*USD_pt-Floor_usd</f>
        <v>388.481321629677</v>
      </c>
      <c r="U58" s="11" t="n">
        <f aca="false">Risk_ceiling-J58</f>
        <v>21.5245477500969</v>
      </c>
      <c r="V58" s="13" t="n">
        <f aca="false">MIN(Wf_today-Idx_lo,Idx_hi-Wf_today,H58-Idx_lo,Idx_hi-H58,I58-Idx_lo,Idx_hi-I58,J58-Idx_lo,Idx_hi-J58)</f>
        <v>27.8424796286712</v>
      </c>
      <c r="W58" s="13" t="n">
        <f aca="false">K58*USD_pt</f>
        <v>634.353252604477</v>
      </c>
      <c r="X58" s="13" t="n">
        <f aca="false">K58*USD_pt-Floor_usd</f>
        <v>284.353252604477</v>
      </c>
      <c r="Y58" s="11" t="n">
        <f aca="false">Risk_ceiling-N58</f>
        <v>10.1675820609262</v>
      </c>
      <c r="Z58" s="13" t="n">
        <f aca="false">MIN(Wf_today-Idx_lo,Idx_hi-Wf_today,L58-Idx_lo,Idx_hi-L58,M58-Idx_lo,Idx_hi-M58,N58-Idx_lo,Idx_hi-N58)</f>
        <v>25.1763662140881</v>
      </c>
    </row>
    <row r="59" customFormat="false" ht="15" hidden="false" customHeight="false" outlineLevel="0" collapsed="false">
      <c r="A59" s="19" t="n">
        <v>14</v>
      </c>
      <c r="B59" s="23" t="n">
        <f aca="false">A59/12</f>
        <v>1.16666666666667</v>
      </c>
      <c r="C59" s="11" t="n">
        <f aca="false">Declarations!$C$27+(Declarations!$C$4-Declarations!$C$27)*EXP(-Declarations!$D$27*$B59)+IF(Declarations!$E$27=0,0,Declarations!$E$27*($B59/Declarations!$F$27)*EXP(1-$B59/Declarations!$F$27))+IF($B59&gt;=T_sale,Declarations!$G$27,0)</f>
        <v>79.2469319187023</v>
      </c>
      <c r="D59" s="11" t="n">
        <f aca="false">Declarations!$C$28+(Declarations!$C$7-Declarations!$C$28)*EXP(-Declarations!$D$28*$B59)+IF(Declarations!$E$28=0,0,Declarations!$E$28*($B59/Declarations!$F$28)*EXP(1-$B59/Declarations!$F$28))+IF($B59&gt;=T_sale,Declarations!$G$28,0)</f>
        <v>58.5226695946323</v>
      </c>
      <c r="E59" s="11" t="n">
        <f aca="false">Declarations!$C$29+(Declarations!$C$8-Declarations!$C$29)*EXP(-Declarations!$D$29*$B59)+IF(Declarations!$E$29=0,0,Declarations!$E$29*($B59/Declarations!$F$29)*EXP(1-$B59/Declarations!$F$29))+IF($B59&gt;=T_sale,Declarations!$G$29,0)</f>
        <v>64.9098470423679</v>
      </c>
      <c r="F59" s="11" t="n">
        <f aca="false">Declarations!$C$30+(Declarations!$C$10-Declarations!$C$30)*EXP(-Declarations!$D$30*$B59)+IF(Declarations!$E$30=0,0,Declarations!$E$30*($B59/Declarations!$F$30)*EXP(1-$B59/Declarations!$F$30))+IF($B59&gt;=T_sale,Declarations!$G$30,0)</f>
        <v>73.146655801452</v>
      </c>
      <c r="G59" s="11" t="n">
        <f aca="false">Declarations!$C$31+(Declarations!$C$4-Declarations!$C$31)*EXP(-Declarations!$D$31*$B59)+IF(Declarations!$E$31=0,0,Declarations!$E$31*($B59/Declarations!$F$31)*EXP(1-$B59/Declarations!$F$31))+IF($B59&gt;=T_sale,Declarations!$G$31,0)</f>
        <v>119.181247641125</v>
      </c>
      <c r="H59" s="11" t="n">
        <f aca="false">Declarations!$C$32+(Declarations!$C$7-Declarations!$C$32)*EXP(-Declarations!$D$32*$B59)+IF(Declarations!$E$32=0,0,Declarations!$E$32*($B59/Declarations!$F$32)*EXP(1-$B59/Declarations!$F$32))+IF($B59&gt;=T_sale,Declarations!$G$32,0)</f>
        <v>40.2410525009313</v>
      </c>
      <c r="I59" s="11" t="n">
        <f aca="false">Declarations!$C$33+(Declarations!$C$8-Declarations!$C$33)*EXP(-Declarations!$D$33*$B59)+IF(Declarations!$E$33=0,0,Declarations!$E$33*($B59/Declarations!$F$33)*EXP(1-$B59/Declarations!$F$33))+IF($B59&gt;=T_sale,Declarations!$G$33,0)</f>
        <v>72.2253339068996</v>
      </c>
      <c r="J59" s="11" t="n">
        <f aca="false">Declarations!$C$34+(Declarations!$C$10-Declarations!$C$34)*EXP(-Declarations!$D$34*$B59)+IF(Declarations!$E$34=0,0,Declarations!$E$34*($B59/Declarations!$F$34)*EXP(1-$B59/Declarations!$F$34))+IF($B59&gt;=T_sale,Declarations!$G$34,0)</f>
        <v>53.3180580490824</v>
      </c>
      <c r="K59" s="11" t="n">
        <f aca="false">Declarations!$C$35+(Declarations!$C$4-Declarations!$C$35)*EXP(-Declarations!$D$35*$B59)+IF(Declarations!$E$35=0,0,Declarations!$E$35*($B59/Declarations!$F$35)*EXP(1-$B59/Declarations!$F$35))+IF($B59&gt;=T_sale,Declarations!$G$35,0)</f>
        <v>102.450667813799</v>
      </c>
      <c r="L59" s="11" t="n">
        <f aca="false">Declarations!$C$36+(Declarations!$C$7-Declarations!$C$36)*EXP(-Declarations!$D$36*$B59)+IF(Declarations!$E$36=0,0,Declarations!$E$36*($B59/Declarations!$F$36)*EXP(1-$B59/Declarations!$F$36))+IF($B59&gt;=T_sale,Declarations!$G$36,0)</f>
        <v>39.3351165306943</v>
      </c>
      <c r="M59" s="11" t="n">
        <f aca="false">Declarations!$C$37+(Declarations!$C$8-Declarations!$C$37)*EXP(-Declarations!$D$37*$B59)+IF(Declarations!$E$37=0,0,Declarations!$E$37*($B59/Declarations!$F$37)*EXP(1-$B59/Declarations!$F$37))+IF($B59&gt;=T_sale,Declarations!$G$37,0)</f>
        <v>75.0273175696687</v>
      </c>
      <c r="N59" s="11" t="n">
        <f aca="false">Declarations!$C$38+(Declarations!$C$10-Declarations!$C$38)*EXP(-Declarations!$D$38*$B59)+IF(Declarations!$E$38=0,0,Declarations!$E$38*($B59/Declarations!$F$38)*EXP(1-$B59/Declarations!$F$38))+IF($B59&gt;=T_sale,Declarations!$G$38,0)</f>
        <v>64.8859357308439</v>
      </c>
      <c r="O59" s="13" t="n">
        <f aca="false">C59*USD_pt</f>
        <v>491.330977895954</v>
      </c>
      <c r="P59" s="13" t="n">
        <f aca="false">C59*USD_pt-Floor_usd</f>
        <v>141.330977895954</v>
      </c>
      <c r="Q59" s="11" t="n">
        <f aca="false">Risk_ceiling-F59</f>
        <v>1.85334419854804</v>
      </c>
      <c r="R59" s="13" t="n">
        <f aca="false">MIN(Wf_today-Idx_lo,Idx_hi-Wf_today,D59-Idx_lo,Idx_hi-D59,E59-Idx_lo,Idx_hi-E59,F59-Idx_lo,Idx_hi-F59)</f>
        <v>26.853344198548</v>
      </c>
      <c r="S59" s="13" t="n">
        <f aca="false">G59*USD_pt</f>
        <v>738.923735374976</v>
      </c>
      <c r="T59" s="13" t="n">
        <f aca="false">G59*USD_pt-Floor_usd</f>
        <v>388.923735374976</v>
      </c>
      <c r="U59" s="11" t="n">
        <f aca="false">Risk_ceiling-J59</f>
        <v>21.6819419509176</v>
      </c>
      <c r="V59" s="13" t="n">
        <f aca="false">MIN(Wf_today-Idx_lo,Idx_hi-Wf_today,H59-Idx_lo,Idx_hi-H59,I59-Idx_lo,Idx_hi-I59,J59-Idx_lo,Idx_hi-J59)</f>
        <v>27.7746660931005</v>
      </c>
      <c r="W59" s="13" t="n">
        <f aca="false">K59*USD_pt</f>
        <v>635.194140445555</v>
      </c>
      <c r="X59" s="13" t="n">
        <f aca="false">K59*USD_pt-Floor_usd</f>
        <v>285.194140445555</v>
      </c>
      <c r="Y59" s="11" t="n">
        <f aca="false">Risk_ceiling-N59</f>
        <v>10.1140642691561</v>
      </c>
      <c r="Z59" s="13" t="n">
        <f aca="false">MIN(Wf_today-Idx_lo,Idx_hi-Wf_today,L59-Idx_lo,Idx_hi-L59,M59-Idx_lo,Idx_hi-M59,N59-Idx_lo,Idx_hi-N59)</f>
        <v>24.9726824303313</v>
      </c>
    </row>
    <row r="60" customFormat="false" ht="15" hidden="false" customHeight="false" outlineLevel="0" collapsed="false">
      <c r="A60" s="19" t="n">
        <v>15</v>
      </c>
      <c r="B60" s="23" t="n">
        <f aca="false">A60/12</f>
        <v>1.25</v>
      </c>
      <c r="C60" s="11" t="n">
        <f aca="false">Declarations!$C$27+(Declarations!$C$4-Declarations!$C$27)*EXP(-Declarations!$D$27*$B60)+IF(Declarations!$E$27=0,0,Declarations!$E$27*($B60/Declarations!$F$27)*EXP(1-$B60/Declarations!$F$27))+IF($B60&gt;=T_sale,Declarations!$G$27,0)</f>
        <v>78.7898679270468</v>
      </c>
      <c r="D60" s="11" t="n">
        <f aca="false">Declarations!$C$28+(Declarations!$C$7-Declarations!$C$28)*EXP(-Declarations!$D$28*$B60)+IF(Declarations!$E$28=0,0,Declarations!$E$28*($B60/Declarations!$F$28)*EXP(1-$B60/Declarations!$F$28))+IF($B60&gt;=T_sale,Declarations!$G$28,0)</f>
        <v>59.3952316150752</v>
      </c>
      <c r="E60" s="11" t="n">
        <f aca="false">Declarations!$C$29+(Declarations!$C$8-Declarations!$C$29)*EXP(-Declarations!$D$29*$B60)+IF(Declarations!$E$29=0,0,Declarations!$E$29*($B60/Declarations!$F$29)*EXP(1-$B60/Declarations!$F$29))+IF($B60&gt;=T_sale,Declarations!$G$29,0)</f>
        <v>64.9282283323937</v>
      </c>
      <c r="F60" s="11" t="n">
        <f aca="false">Declarations!$C$30+(Declarations!$C$10-Declarations!$C$30)*EXP(-Declarations!$D$30*$B60)+IF(Declarations!$E$30=0,0,Declarations!$E$30*($B60/Declarations!$F$30)*EXP(1-$B60/Declarations!$F$30))+IF($B60&gt;=T_sale,Declarations!$G$30,0)</f>
        <v>72.8730781591058</v>
      </c>
      <c r="G60" s="11" t="n">
        <f aca="false">Declarations!$C$31+(Declarations!$C$4-Declarations!$C$31)*EXP(-Declarations!$D$31*$B60)+IF(Declarations!$E$31=0,0,Declarations!$E$31*($B60/Declarations!$F$31)*EXP(1-$B60/Declarations!$F$31))+IF($B60&gt;=T_sale,Declarations!$G$31,0)</f>
        <v>119.250842884836</v>
      </c>
      <c r="H60" s="11" t="n">
        <f aca="false">Declarations!$C$32+(Declarations!$C$7-Declarations!$C$32)*EXP(-Declarations!$D$32*$B60)+IF(Declarations!$E$32=0,0,Declarations!$E$32*($B60/Declarations!$F$32)*EXP(1-$B60/Declarations!$F$32))+IF($B60&gt;=T_sale,Declarations!$G$32,0)</f>
        <v>40.1948468868399</v>
      </c>
      <c r="I60" s="11" t="n">
        <f aca="false">Declarations!$C$33+(Declarations!$C$8-Declarations!$C$33)*EXP(-Declarations!$D$33*$B60)+IF(Declarations!$E$33=0,0,Declarations!$E$33*($B60/Declarations!$F$33)*EXP(1-$B60/Declarations!$F$33))+IF($B60&gt;=T_sale,Declarations!$G$33,0)</f>
        <v>72.2906515258072</v>
      </c>
      <c r="J60" s="11" t="n">
        <f aca="false">Declarations!$C$34+(Declarations!$C$10-Declarations!$C$34)*EXP(-Declarations!$D$34*$B60)+IF(Declarations!$E$34=0,0,Declarations!$E$34*($B60/Declarations!$F$34)*EXP(1-$B60/Declarations!$F$34))+IF($B60&gt;=T_sale,Declarations!$G$34,0)</f>
        <v>53.1651882114231</v>
      </c>
      <c r="K60" s="11" t="n">
        <f aca="false">Declarations!$C$35+(Declarations!$C$4-Declarations!$C$35)*EXP(-Declarations!$D$35*$B60)+IF(Declarations!$E$35=0,0,Declarations!$E$35*($B60/Declarations!$F$35)*EXP(1-$B60/Declarations!$F$35))+IF($B60&gt;=T_sale,Declarations!$G$35,0)</f>
        <v>102.581303051614</v>
      </c>
      <c r="L60" s="11" t="n">
        <f aca="false">Declarations!$C$36+(Declarations!$C$7-Declarations!$C$36)*EXP(-Declarations!$D$36*$B60)+IF(Declarations!$E$36=0,0,Declarations!$E$36*($B60/Declarations!$F$36)*EXP(1-$B60/Declarations!$F$36))+IF($B60&gt;=T_sale,Declarations!$G$36,0)</f>
        <v>39.2304062645712</v>
      </c>
      <c r="M60" s="11" t="n">
        <f aca="false">Declarations!$C$37+(Declarations!$C$8-Declarations!$C$37)*EXP(-Declarations!$D$37*$B60)+IF(Declarations!$E$37=0,0,Declarations!$E$37*($B60/Declarations!$F$37)*EXP(1-$B60/Declarations!$F$37))+IF($B60&gt;=T_sale,Declarations!$G$37,0)</f>
        <v>75.2210675780719</v>
      </c>
      <c r="N60" s="11" t="n">
        <f aca="false">Declarations!$C$38+(Declarations!$C$10-Declarations!$C$38)*EXP(-Declarations!$D$38*$B60)+IF(Declarations!$E$38=0,0,Declarations!$E$38*($B60/Declarations!$F$38)*EXP(1-$B60/Declarations!$F$38))+IF($B60&gt;=T_sale,Declarations!$G$38,0)</f>
        <v>64.9381321636271</v>
      </c>
      <c r="O60" s="13" t="n">
        <f aca="false">C60*USD_pt</f>
        <v>488.49718114769</v>
      </c>
      <c r="P60" s="13" t="n">
        <f aca="false">C60*USD_pt-Floor_usd</f>
        <v>138.49718114769</v>
      </c>
      <c r="Q60" s="11" t="n">
        <f aca="false">Risk_ceiling-F60</f>
        <v>2.12692184089417</v>
      </c>
      <c r="R60" s="13" t="n">
        <f aca="false">MIN(Wf_today-Idx_lo,Idx_hi-Wf_today,D60-Idx_lo,Idx_hi-D60,E60-Idx_lo,Idx_hi-E60,F60-Idx_lo,Idx_hi-F60)</f>
        <v>27.1269218408942</v>
      </c>
      <c r="S60" s="13" t="n">
        <f aca="false">G60*USD_pt</f>
        <v>739.355225885984</v>
      </c>
      <c r="T60" s="13" t="n">
        <f aca="false">G60*USD_pt-Floor_usd</f>
        <v>389.355225885984</v>
      </c>
      <c r="U60" s="11" t="n">
        <f aca="false">Risk_ceiling-J60</f>
        <v>21.8348117885769</v>
      </c>
      <c r="V60" s="13" t="n">
        <f aca="false">MIN(Wf_today-Idx_lo,Idx_hi-Wf_today,H60-Idx_lo,Idx_hi-H60,I60-Idx_lo,Idx_hi-I60,J60-Idx_lo,Idx_hi-J60)</f>
        <v>27.7093484741928</v>
      </c>
      <c r="W60" s="13" t="n">
        <f aca="false">K60*USD_pt</f>
        <v>636.00407892001</v>
      </c>
      <c r="X60" s="13" t="n">
        <f aca="false">K60*USD_pt-Floor_usd</f>
        <v>286.00407892001</v>
      </c>
      <c r="Y60" s="11" t="n">
        <f aca="false">Risk_ceiling-N60</f>
        <v>10.0618678363729</v>
      </c>
      <c r="Z60" s="13" t="n">
        <f aca="false">MIN(Wf_today-Idx_lo,Idx_hi-Wf_today,L60-Idx_lo,Idx_hi-L60,M60-Idx_lo,Idx_hi-M60,N60-Idx_lo,Idx_hi-N60)</f>
        <v>24.7789324219281</v>
      </c>
    </row>
    <row r="61" customFormat="false" ht="15" hidden="false" customHeight="false" outlineLevel="0" collapsed="false">
      <c r="A61" s="19" t="n">
        <v>16</v>
      </c>
      <c r="B61" s="23" t="n">
        <f aca="false">A61/12</f>
        <v>1.33333333333333</v>
      </c>
      <c r="C61" s="11" t="n">
        <f aca="false">Declarations!$C$27+(Declarations!$C$4-Declarations!$C$27)*EXP(-Declarations!$D$27*$B61)+IF(Declarations!$E$27=0,0,Declarations!$E$27*($B61/Declarations!$F$27)*EXP(1-$B61/Declarations!$F$27))+IF($B61&gt;=T_sale,Declarations!$G$27,0)</f>
        <v>78.423499041783</v>
      </c>
      <c r="D61" s="11" t="n">
        <f aca="false">Declarations!$C$28+(Declarations!$C$7-Declarations!$C$28)*EXP(-Declarations!$D$28*$B61)+IF(Declarations!$E$28=0,0,Declarations!$E$28*($B61/Declarations!$F$28)*EXP(1-$B61/Declarations!$F$28))+IF($B61&gt;=T_sale,Declarations!$G$28,0)</f>
        <v>60.2287038596774</v>
      </c>
      <c r="E61" s="11" t="n">
        <f aca="false">Declarations!$C$29+(Declarations!$C$8-Declarations!$C$29)*EXP(-Declarations!$D$29*$B61)+IF(Declarations!$E$29=0,0,Declarations!$E$29*($B61/Declarations!$F$29)*EXP(1-$B61/Declarations!$F$29))+IF($B61&gt;=T_sale,Declarations!$G$29,0)</f>
        <v>64.9793447358696</v>
      </c>
      <c r="F61" s="11" t="n">
        <f aca="false">Declarations!$C$30+(Declarations!$C$10-Declarations!$C$30)*EXP(-Declarations!$D$30*$B61)+IF(Declarations!$E$30=0,0,Declarations!$E$30*($B61/Declarations!$F$30)*EXP(1-$B61/Declarations!$F$30))+IF($B61&gt;=T_sale,Declarations!$G$30,0)</f>
        <v>72.5461235596317</v>
      </c>
      <c r="G61" s="11" t="n">
        <f aca="false">Declarations!$C$31+(Declarations!$C$4-Declarations!$C$31)*EXP(-Declarations!$D$31*$B61)+IF(Declarations!$E$31=0,0,Declarations!$E$31*($B61/Declarations!$F$31)*EXP(1-$B61/Declarations!$F$31))+IF($B61&gt;=T_sale,Declarations!$G$31,0)</f>
        <v>119.318719815857</v>
      </c>
      <c r="H61" s="11" t="n">
        <f aca="false">Declarations!$C$32+(Declarations!$C$7-Declarations!$C$32)*EXP(-Declarations!$D$32*$B61)+IF(Declarations!$E$32=0,0,Declarations!$E$32*($B61/Declarations!$F$32)*EXP(1-$B61/Declarations!$F$32))+IF($B61&gt;=T_sale,Declarations!$G$32,0)</f>
        <v>40.1495939317214</v>
      </c>
      <c r="I61" s="11" t="n">
        <f aca="false">Declarations!$C$33+(Declarations!$C$8-Declarations!$C$33)*EXP(-Declarations!$D$33*$B61)+IF(Declarations!$E$33=0,0,Declarations!$E$33*($B61/Declarations!$F$33)*EXP(1-$B61/Declarations!$F$33))+IF($B61&gt;=T_sale,Declarations!$G$33,0)</f>
        <v>72.3535650917179</v>
      </c>
      <c r="J61" s="11" t="n">
        <f aca="false">Declarations!$C$34+(Declarations!$C$10-Declarations!$C$34)*EXP(-Declarations!$D$34*$B61)+IF(Declarations!$E$34=0,0,Declarations!$E$34*($B61/Declarations!$F$34)*EXP(1-$B61/Declarations!$F$34))+IF($B61&gt;=T_sale,Declarations!$G$34,0)</f>
        <v>53.0167126821845</v>
      </c>
      <c r="K61" s="11" t="n">
        <f aca="false">Declarations!$C$35+(Declarations!$C$4-Declarations!$C$35)*EXP(-Declarations!$D$35*$B61)+IF(Declarations!$E$35=0,0,Declarations!$E$35*($B61/Declarations!$F$35)*EXP(1-$B61/Declarations!$F$35))+IF($B61&gt;=T_sale,Declarations!$G$35,0)</f>
        <v>102.707130183436</v>
      </c>
      <c r="L61" s="11" t="n">
        <f aca="false">Declarations!$C$36+(Declarations!$C$7-Declarations!$C$36)*EXP(-Declarations!$D$36*$B61)+IF(Declarations!$E$36=0,0,Declarations!$E$36*($B61/Declarations!$F$36)*EXP(1-$B61/Declarations!$F$36))+IF($B61&gt;=T_sale,Declarations!$G$36,0)</f>
        <v>39.1274267069172</v>
      </c>
      <c r="M61" s="11" t="n">
        <f aca="false">Declarations!$C$37+(Declarations!$C$8-Declarations!$C$37)*EXP(-Declarations!$D$37*$B61)+IF(Declarations!$E$37=0,0,Declarations!$E$37*($B61/Declarations!$F$37)*EXP(1-$B61/Declarations!$F$37))+IF($B61&gt;=T_sale,Declarations!$G$37,0)</f>
        <v>75.4053682870622</v>
      </c>
      <c r="N61" s="11" t="n">
        <f aca="false">Declarations!$C$38+(Declarations!$C$10-Declarations!$C$38)*EXP(-Declarations!$D$38*$B61)+IF(Declarations!$E$38=0,0,Declarations!$E$38*($B61/Declarations!$F$38)*EXP(1-$B61/Declarations!$F$38))+IF($B61&gt;=T_sale,Declarations!$G$38,0)</f>
        <v>64.9890398618931</v>
      </c>
      <c r="O61" s="13" t="n">
        <f aca="false">C61*USD_pt</f>
        <v>486.225694059055</v>
      </c>
      <c r="P61" s="13" t="n">
        <f aca="false">C61*USD_pt-Floor_usd</f>
        <v>136.225694059055</v>
      </c>
      <c r="Q61" s="11" t="n">
        <f aca="false">Risk_ceiling-F61</f>
        <v>2.45387644036828</v>
      </c>
      <c r="R61" s="13" t="n">
        <f aca="false">MIN(Wf_today-Idx_lo,Idx_hi-Wf_today,D61-Idx_lo,Idx_hi-D61,E61-Idx_lo,Idx_hi-E61,F61-Idx_lo,Idx_hi-F61)</f>
        <v>27.4538764403683</v>
      </c>
      <c r="S61" s="13" t="n">
        <f aca="false">G61*USD_pt</f>
        <v>739.776062858316</v>
      </c>
      <c r="T61" s="13" t="n">
        <f aca="false">G61*USD_pt-Floor_usd</f>
        <v>389.776062858316</v>
      </c>
      <c r="U61" s="11" t="n">
        <f aca="false">Risk_ceiling-J61</f>
        <v>21.9832873178156</v>
      </c>
      <c r="V61" s="13" t="n">
        <f aca="false">MIN(Wf_today-Idx_lo,Idx_hi-Wf_today,H61-Idx_lo,Idx_hi-H61,I61-Idx_lo,Idx_hi-I61,J61-Idx_lo,Idx_hi-J61)</f>
        <v>27.6464349082821</v>
      </c>
      <c r="W61" s="13" t="n">
        <f aca="false">K61*USD_pt</f>
        <v>636.784207137302</v>
      </c>
      <c r="X61" s="13" t="n">
        <f aca="false">K61*USD_pt-Floor_usd</f>
        <v>286.784207137302</v>
      </c>
      <c r="Y61" s="11" t="n">
        <f aca="false">Risk_ceiling-N61</f>
        <v>10.0109601381069</v>
      </c>
      <c r="Z61" s="13" t="n">
        <f aca="false">MIN(Wf_today-Idx_lo,Idx_hi-Wf_today,L61-Idx_lo,Idx_hi-L61,M61-Idx_lo,Idx_hi-M61,N61-Idx_lo,Idx_hi-N61)</f>
        <v>24.5946317129378</v>
      </c>
    </row>
    <row r="62" customFormat="false" ht="15" hidden="false" customHeight="false" outlineLevel="0" collapsed="false">
      <c r="A62" s="19" t="n">
        <v>17</v>
      </c>
      <c r="B62" s="23" t="n">
        <f aca="false">A62/12</f>
        <v>1.41666666666667</v>
      </c>
      <c r="C62" s="11" t="n">
        <f aca="false">Declarations!$C$27+(Declarations!$C$4-Declarations!$C$27)*EXP(-Declarations!$D$27*$B62)+IF(Declarations!$E$27=0,0,Declarations!$E$27*($B62/Declarations!$F$27)*EXP(1-$B62/Declarations!$F$27))+IF($B62&gt;=T_sale,Declarations!$G$27,0)</f>
        <v>78.1412172493408</v>
      </c>
      <c r="D62" s="11" t="n">
        <f aca="false">Declarations!$C$28+(Declarations!$C$7-Declarations!$C$28)*EXP(-Declarations!$D$28*$B62)+IF(Declarations!$E$28=0,0,Declarations!$E$28*($B62/Declarations!$F$28)*EXP(1-$B62/Declarations!$F$28))+IF($B62&gt;=T_sale,Declarations!$G$28,0)</f>
        <v>61.024837505478</v>
      </c>
      <c r="E62" s="11" t="n">
        <f aca="false">Declarations!$C$29+(Declarations!$C$8-Declarations!$C$29)*EXP(-Declarations!$D$29*$B62)+IF(Declarations!$E$29=0,0,Declarations!$E$29*($B62/Declarations!$F$29)*EXP(1-$B62/Declarations!$F$29))+IF($B62&gt;=T_sale,Declarations!$G$29,0)</f>
        <v>65.0596284434855</v>
      </c>
      <c r="F62" s="11" t="n">
        <f aca="false">Declarations!$C$30+(Declarations!$C$10-Declarations!$C$30)*EXP(-Declarations!$D$30*$B62)+IF(Declarations!$E$30=0,0,Declarations!$E$30*($B62/Declarations!$F$30)*EXP(1-$B62/Declarations!$F$30))+IF($B62&gt;=T_sale,Declarations!$G$30,0)</f>
        <v>72.1738707294185</v>
      </c>
      <c r="G62" s="11" t="n">
        <f aca="false">Declarations!$C$31+(Declarations!$C$4-Declarations!$C$31)*EXP(-Declarations!$D$31*$B62)+IF(Declarations!$E$31=0,0,Declarations!$E$31*($B62/Declarations!$F$31)*EXP(1-$B62/Declarations!$F$31))+IF($B62&gt;=T_sale,Declarations!$G$31,0)</f>
        <v>119.384920859481</v>
      </c>
      <c r="H62" s="11" t="n">
        <f aca="false">Declarations!$C$32+(Declarations!$C$7-Declarations!$C$32)*EXP(-Declarations!$D$32*$B62)+IF(Declarations!$E$32=0,0,Declarations!$E$32*($B62/Declarations!$F$32)*EXP(1-$B62/Declarations!$F$32))+IF($B62&gt;=T_sale,Declarations!$G$32,0)</f>
        <v>40.1052739938257</v>
      </c>
      <c r="I62" s="11" t="n">
        <f aca="false">Declarations!$C$33+(Declarations!$C$8-Declarations!$C$33)*EXP(-Declarations!$D$33*$B62)+IF(Declarations!$E$33=0,0,Declarations!$E$33*($B62/Declarations!$F$33)*EXP(1-$B62/Declarations!$F$33))+IF($B62&gt;=T_sale,Declarations!$G$33,0)</f>
        <v>72.414163087202</v>
      </c>
      <c r="J62" s="11" t="n">
        <f aca="false">Declarations!$C$34+(Declarations!$C$10-Declarations!$C$34)*EXP(-Declarations!$D$34*$B62)+IF(Declarations!$E$34=0,0,Declarations!$E$34*($B62/Declarations!$F$34)*EXP(1-$B62/Declarations!$F$34))+IF($B62&gt;=T_sale,Declarations!$G$34,0)</f>
        <v>52.8725051451041</v>
      </c>
      <c r="K62" s="11" t="n">
        <f aca="false">Declarations!$C$35+(Declarations!$C$4-Declarations!$C$35)*EXP(-Declarations!$D$35*$B62)+IF(Declarations!$E$35=0,0,Declarations!$E$35*($B62/Declarations!$F$35)*EXP(1-$B62/Declarations!$F$35))+IF($B62&gt;=T_sale,Declarations!$G$35,0)</f>
        <v>102.828326174404</v>
      </c>
      <c r="L62" s="11" t="n">
        <f aca="false">Declarations!$C$36+(Declarations!$C$7-Declarations!$C$36)*EXP(-Declarations!$D$36*$B62)+IF(Declarations!$E$36=0,0,Declarations!$E$36*($B62/Declarations!$F$36)*EXP(1-$B62/Declarations!$F$36))+IF($B62&gt;=T_sale,Declarations!$G$36,0)</f>
        <v>39.0261492516373</v>
      </c>
      <c r="M62" s="11" t="n">
        <f aca="false">Declarations!$C$37+(Declarations!$C$8-Declarations!$C$37)*EXP(-Declarations!$D$37*$B62)+IF(Declarations!$E$37=0,0,Declarations!$E$37*($B62/Declarations!$F$37)*EXP(1-$B62/Declarations!$F$37))+IF($B62&gt;=T_sale,Declarations!$G$37,0)</f>
        <v>75.5806805444102</v>
      </c>
      <c r="N62" s="11" t="n">
        <f aca="false">Declarations!$C$38+(Declarations!$C$10-Declarations!$C$38)*EXP(-Declarations!$D$38*$B62)+IF(Declarations!$E$38=0,0,Declarations!$E$38*($B62/Declarations!$F$38)*EXP(1-$B62/Declarations!$F$38))+IF($B62&gt;=T_sale,Declarations!$G$38,0)</f>
        <v>65.0386906446105</v>
      </c>
      <c r="O62" s="13" t="n">
        <f aca="false">C62*USD_pt</f>
        <v>484.475546945913</v>
      </c>
      <c r="P62" s="13" t="n">
        <f aca="false">C62*USD_pt-Floor_usd</f>
        <v>134.475546945913</v>
      </c>
      <c r="Q62" s="11" t="n">
        <f aca="false">Risk_ceiling-F62</f>
        <v>2.82612927058146</v>
      </c>
      <c r="R62" s="13" t="n">
        <f aca="false">MIN(Wf_today-Idx_lo,Idx_hi-Wf_today,D62-Idx_lo,Idx_hi-D62,E62-Idx_lo,Idx_hi-E62,F62-Idx_lo,Idx_hi-F62)</f>
        <v>27.8261292705815</v>
      </c>
      <c r="S62" s="13" t="n">
        <f aca="false">G62*USD_pt</f>
        <v>740.18650932878</v>
      </c>
      <c r="T62" s="13" t="n">
        <f aca="false">G62*USD_pt-Floor_usd</f>
        <v>390.18650932878</v>
      </c>
      <c r="U62" s="11" t="n">
        <f aca="false">Risk_ceiling-J62</f>
        <v>22.1274948548959</v>
      </c>
      <c r="V62" s="13" t="n">
        <f aca="false">MIN(Wf_today-Idx_lo,Idx_hi-Wf_today,H62-Idx_lo,Idx_hi-H62,I62-Idx_lo,Idx_hi-I62,J62-Idx_lo,Idx_hi-J62)</f>
        <v>27.585836912798</v>
      </c>
      <c r="W62" s="13" t="n">
        <f aca="false">K62*USD_pt</f>
        <v>637.535622281305</v>
      </c>
      <c r="X62" s="13" t="n">
        <f aca="false">K62*USD_pt-Floor_usd</f>
        <v>287.535622281305</v>
      </c>
      <c r="Y62" s="11" t="n">
        <f aca="false">Risk_ceiling-N62</f>
        <v>9.96130935538955</v>
      </c>
      <c r="Z62" s="13" t="n">
        <f aca="false">MIN(Wf_today-Idx_lo,Idx_hi-Wf_today,L62-Idx_lo,Idx_hi-L62,M62-Idx_lo,Idx_hi-M62,N62-Idx_lo,Idx_hi-N62)</f>
        <v>24.4193194555898</v>
      </c>
    </row>
    <row r="63" customFormat="false" ht="15" hidden="false" customHeight="false" outlineLevel="0" collapsed="false">
      <c r="A63" s="19" t="n">
        <v>18</v>
      </c>
      <c r="B63" s="23" t="n">
        <f aca="false">A63/12</f>
        <v>1.5</v>
      </c>
      <c r="C63" s="11" t="n">
        <f aca="false">Declarations!$C$27+(Declarations!$C$4-Declarations!$C$27)*EXP(-Declarations!$D$27*$B63)+IF(Declarations!$E$27=0,0,Declarations!$E$27*($B63/Declarations!$F$27)*EXP(1-$B63/Declarations!$F$27))+IF($B63&gt;=T_sale,Declarations!$G$27,0)</f>
        <v>77.9368018771557</v>
      </c>
      <c r="D63" s="11" t="n">
        <f aca="false">Declarations!$C$28+(Declarations!$C$7-Declarations!$C$28)*EXP(-Declarations!$D$28*$B63)+IF(Declarations!$E$28=0,0,Declarations!$E$28*($B63/Declarations!$F$28)*EXP(1-$B63/Declarations!$F$28))+IF($B63&gt;=T_sale,Declarations!$G$28,0)</f>
        <v>61.7853052787969</v>
      </c>
      <c r="E63" s="11" t="n">
        <f aca="false">Declarations!$C$29+(Declarations!$C$8-Declarations!$C$29)*EXP(-Declarations!$D$29*$B63)+IF(Declarations!$E$29=0,0,Declarations!$E$29*($B63/Declarations!$F$29)*EXP(1-$B63/Declarations!$F$29))+IF($B63&gt;=T_sale,Declarations!$G$29,0)</f>
        <v>65.1658006835539</v>
      </c>
      <c r="F63" s="11" t="n">
        <f aca="false">Declarations!$C$30+(Declarations!$C$10-Declarations!$C$30)*EXP(-Declarations!$D$30*$B63)+IF(Declarations!$E$30=0,0,Declarations!$E$30*($B63/Declarations!$F$30)*EXP(1-$B63/Declarations!$F$30))+IF($B63&gt;=T_sale,Declarations!$G$30,0)</f>
        <v>71.7635649729719</v>
      </c>
      <c r="G63" s="11" t="n">
        <f aca="false">Declarations!$C$31+(Declarations!$C$4-Declarations!$C$31)*EXP(-Declarations!$D$31*$B63)+IF(Declarations!$E$31=0,0,Declarations!$E$31*($B63/Declarations!$F$31)*EXP(1-$B63/Declarations!$F$31))+IF($B63&gt;=T_sale,Declarations!$G$31,0)</f>
        <v>119.449487393513</v>
      </c>
      <c r="H63" s="11" t="n">
        <f aca="false">Declarations!$C$32+(Declarations!$C$7-Declarations!$C$32)*EXP(-Declarations!$D$32*$B63)+IF(Declarations!$E$32=0,0,Declarations!$E$32*($B63/Declarations!$F$32)*EXP(1-$B63/Declarations!$F$32))+IF($B63&gt;=T_sale,Declarations!$G$32,0)</f>
        <v>40.0618678363729</v>
      </c>
      <c r="I63" s="11" t="n">
        <f aca="false">Declarations!$C$33+(Declarations!$C$8-Declarations!$C$33)*EXP(-Declarations!$D$33*$B63)+IF(Declarations!$E$33=0,0,Declarations!$E$33*($B63/Declarations!$F$33)*EXP(1-$B63/Declarations!$F$33))+IF($B63&gt;=T_sale,Declarations!$G$33,0)</f>
        <v>72.4725307381774</v>
      </c>
      <c r="J63" s="11" t="n">
        <f aca="false">Declarations!$C$34+(Declarations!$C$10-Declarations!$C$34)*EXP(-Declarations!$D$34*$B63)+IF(Declarations!$E$34=0,0,Declarations!$E$34*($B63/Declarations!$F$34)*EXP(1-$B63/Declarations!$F$34))+IF($B63&gt;=T_sale,Declarations!$G$34,0)</f>
        <v>52.7324429149345</v>
      </c>
      <c r="K63" s="11" t="n">
        <f aca="false">Declarations!$C$35+(Declarations!$C$4-Declarations!$C$35)*EXP(-Declarations!$D$35*$B63)+IF(Declarations!$E$35=0,0,Declarations!$E$35*($B63/Declarations!$F$35)*EXP(1-$B63/Declarations!$F$35))+IF($B63&gt;=T_sale,Declarations!$G$35,0)</f>
        <v>102.945061476355</v>
      </c>
      <c r="L63" s="11" t="n">
        <f aca="false">Declarations!$C$36+(Declarations!$C$7-Declarations!$C$36)*EXP(-Declarations!$D$36*$B63)+IF(Declarations!$E$36=0,0,Declarations!$E$36*($B63/Declarations!$F$36)*EXP(1-$B63/Declarations!$F$36))+IF($B63&gt;=T_sale,Declarations!$G$36,0)</f>
        <v>38.9265457654537</v>
      </c>
      <c r="M63" s="11" t="n">
        <f aca="false">Declarations!$C$37+(Declarations!$C$8-Declarations!$C$37)*EXP(-Declarations!$D$37*$B63)+IF(Declarations!$E$37=0,0,Declarations!$E$37*($B63/Declarations!$F$37)*EXP(1-$B63/Declarations!$F$37))+IF($B63&gt;=T_sale,Declarations!$G$37,0)</f>
        <v>75.7474427220752</v>
      </c>
      <c r="N63" s="11" t="n">
        <f aca="false">Declarations!$C$38+(Declarations!$C$10-Declarations!$C$38)*EXP(-Declarations!$D$38*$B63)+IF(Declarations!$E$38=0,0,Declarations!$E$38*($B63/Declarations!$F$38)*EXP(1-$B63/Declarations!$F$38))+IF($B63&gt;=T_sale,Declarations!$G$38,0)</f>
        <v>65.0871155451347</v>
      </c>
      <c r="O63" s="13" t="n">
        <f aca="false">C63*USD_pt</f>
        <v>483.208171638365</v>
      </c>
      <c r="P63" s="13" t="n">
        <f aca="false">C63*USD_pt-Floor_usd</f>
        <v>133.208171638365</v>
      </c>
      <c r="Q63" s="11" t="n">
        <f aca="false">Risk_ceiling-F63</f>
        <v>3.23643502702808</v>
      </c>
      <c r="R63" s="13" t="n">
        <f aca="false">MIN(Wf_today-Idx_lo,Idx_hi-Wf_today,D63-Idx_lo,Idx_hi-D63,E63-Idx_lo,Idx_hi-E63,F63-Idx_lo,Idx_hi-F63)</f>
        <v>28.2364350270281</v>
      </c>
      <c r="S63" s="13" t="n">
        <f aca="false">G63*USD_pt</f>
        <v>740.58682183978</v>
      </c>
      <c r="T63" s="13" t="n">
        <f aca="false">G63*USD_pt-Floor_usd</f>
        <v>390.58682183978</v>
      </c>
      <c r="U63" s="11" t="n">
        <f aca="false">Risk_ceiling-J63</f>
        <v>22.2675570850655</v>
      </c>
      <c r="V63" s="13" t="n">
        <f aca="false">MIN(Wf_today-Idx_lo,Idx_hi-Wf_today,H63-Idx_lo,Idx_hi-H63,I63-Idx_lo,Idx_hi-I63,J63-Idx_lo,Idx_hi-J63)</f>
        <v>27.5274692618226</v>
      </c>
      <c r="W63" s="13" t="n">
        <f aca="false">K63*USD_pt</f>
        <v>638.259381153399</v>
      </c>
      <c r="X63" s="13" t="n">
        <f aca="false">K63*USD_pt-Floor_usd</f>
        <v>288.259381153399</v>
      </c>
      <c r="Y63" s="11" t="n">
        <f aca="false">Risk_ceiling-N63</f>
        <v>9.91288445486532</v>
      </c>
      <c r="Z63" s="13" t="n">
        <f aca="false">MIN(Wf_today-Idx_lo,Idx_hi-Wf_today,L63-Idx_lo,Idx_hi-L63,M63-Idx_lo,Idx_hi-M63,N63-Idx_lo,Idx_hi-N63)</f>
        <v>24.2525572779248</v>
      </c>
    </row>
    <row r="64" customFormat="false" ht="15" hidden="false" customHeight="false" outlineLevel="0" collapsed="false">
      <c r="A64" s="19" t="n">
        <v>19</v>
      </c>
      <c r="B64" s="23" t="n">
        <f aca="false">A64/12</f>
        <v>1.58333333333333</v>
      </c>
      <c r="C64" s="11" t="n">
        <f aca="false">Declarations!$C$27+(Declarations!$C$4-Declarations!$C$27)*EXP(-Declarations!$D$27*$B64)+IF(Declarations!$E$27=0,0,Declarations!$E$27*($B64/Declarations!$F$27)*EXP(1-$B64/Declarations!$F$27))+IF($B64&gt;=T_sale,Declarations!$G$27,0)</f>
        <v>77.8043990117055</v>
      </c>
      <c r="D64" s="11" t="n">
        <f aca="false">Declarations!$C$28+(Declarations!$C$7-Declarations!$C$28)*EXP(-Declarations!$D$28*$B64)+IF(Declarations!$E$28=0,0,Declarations!$E$28*($B64/Declarations!$F$28)*EXP(1-$B64/Declarations!$F$28))+IF($B64&gt;=T_sale,Declarations!$G$28,0)</f>
        <v>62.511704969737</v>
      </c>
      <c r="E64" s="11" t="n">
        <f aca="false">Declarations!$C$29+(Declarations!$C$8-Declarations!$C$29)*EXP(-Declarations!$D$29*$B64)+IF(Declarations!$E$29=0,0,Declarations!$E$29*($B64/Declarations!$F$29)*EXP(1-$B64/Declarations!$F$29))+IF($B64&gt;=T_sale,Declarations!$G$29,0)</f>
        <v>65.2948509417047</v>
      </c>
      <c r="F64" s="11" t="n">
        <f aca="false">Declarations!$C$30+(Declarations!$C$10-Declarations!$C$30)*EXP(-Declarations!$D$30*$B64)+IF(Declarations!$E$30=0,0,Declarations!$E$30*($B64/Declarations!$F$30)*EXP(1-$B64/Declarations!$F$30))+IF($B64&gt;=T_sale,Declarations!$G$30,0)</f>
        <v>71.3216932993983</v>
      </c>
      <c r="G64" s="11" t="n">
        <f aca="false">Declarations!$C$31+(Declarations!$C$4-Declarations!$C$31)*EXP(-Declarations!$D$31*$B64)+IF(Declarations!$E$31=0,0,Declarations!$E$31*($B64/Declarations!$F$31)*EXP(1-$B64/Declarations!$F$31))+IF($B64&gt;=T_sale,Declarations!$G$31,0)</f>
        <v>119.51245977414</v>
      </c>
      <c r="H64" s="11" t="n">
        <f aca="false">Declarations!$C$32+(Declarations!$C$7-Declarations!$C$32)*EXP(-Declarations!$D$32*$B64)+IF(Declarations!$E$32=0,0,Declarations!$E$32*($B64/Declarations!$F$32)*EXP(1-$B64/Declarations!$F$32))+IF($B64&gt;=T_sale,Declarations!$G$32,0)</f>
        <v>40.0193566192036</v>
      </c>
      <c r="I64" s="11" t="n">
        <f aca="false">Declarations!$C$33+(Declarations!$C$8-Declarations!$C$33)*EXP(-Declarations!$D$33*$B64)+IF(Declarations!$E$33=0,0,Declarations!$E$33*($B64/Declarations!$F$33)*EXP(1-$B64/Declarations!$F$33))+IF($B64&gt;=T_sale,Declarations!$G$33,0)</f>
        <v>72.5287501337723</v>
      </c>
      <c r="J64" s="11" t="n">
        <f aca="false">Declarations!$C$34+(Declarations!$C$10-Declarations!$C$34)*EXP(-Declarations!$D$34*$B64)+IF(Declarations!$E$34=0,0,Declarations!$E$34*($B64/Declarations!$F$34)*EXP(1-$B64/Declarations!$F$34))+IF($B64&gt;=T_sale,Declarations!$G$34,0)</f>
        <v>52.5964068330677</v>
      </c>
      <c r="K64" s="11" t="n">
        <f aca="false">Declarations!$C$35+(Declarations!$C$4-Declarations!$C$35)*EXP(-Declarations!$D$35*$B64)+IF(Declarations!$E$35=0,0,Declarations!$E$35*($B64/Declarations!$F$35)*EXP(1-$B64/Declarations!$F$35))+IF($B64&gt;=T_sale,Declarations!$G$35,0)</f>
        <v>103.057500267545</v>
      </c>
      <c r="L64" s="11" t="n">
        <f aca="false">Declarations!$C$36+(Declarations!$C$7-Declarations!$C$36)*EXP(-Declarations!$D$36*$B64)+IF(Declarations!$E$36=0,0,Declarations!$E$36*($B64/Declarations!$F$36)*EXP(1-$B64/Declarations!$F$36))+IF($B64&gt;=T_sale,Declarations!$G$36,0)</f>
        <v>38.8285885800911</v>
      </c>
      <c r="M64" s="11" t="n">
        <f aca="false">Declarations!$C$37+(Declarations!$C$8-Declarations!$C$37)*EXP(-Declarations!$D$37*$B64)+IF(Declarations!$E$37=0,0,Declarations!$E$37*($B64/Declarations!$F$37)*EXP(1-$B64/Declarations!$F$37))+IF($B64&gt;=T_sale,Declarations!$G$37,0)</f>
        <v>75.906071812364</v>
      </c>
      <c r="N64" s="11" t="n">
        <f aca="false">Declarations!$C$38+(Declarations!$C$10-Declarations!$C$38)*EXP(-Declarations!$D$38*$B64)+IF(Declarations!$E$38=0,0,Declarations!$E$38*($B64/Declarations!$F$38)*EXP(1-$B64/Declarations!$F$38))+IF($B64&gt;=T_sale,Declarations!$G$38,0)</f>
        <v>65.134344830605</v>
      </c>
      <c r="O64" s="13" t="n">
        <f aca="false">C64*USD_pt</f>
        <v>482.387273872574</v>
      </c>
      <c r="P64" s="13" t="n">
        <f aca="false">C64*USD_pt-Floor_usd</f>
        <v>132.387273872574</v>
      </c>
      <c r="Q64" s="11" t="n">
        <f aca="false">Risk_ceiling-F64</f>
        <v>3.6783067006017</v>
      </c>
      <c r="R64" s="13" t="n">
        <f aca="false">MIN(Wf_today-Idx_lo,Idx_hi-Wf_today,D64-Idx_lo,Idx_hi-D64,E64-Idx_lo,Idx_hi-E64,F64-Idx_lo,Idx_hi-F64)</f>
        <v>28.6783067006017</v>
      </c>
      <c r="S64" s="13" t="n">
        <f aca="false">G64*USD_pt</f>
        <v>740.977250599668</v>
      </c>
      <c r="T64" s="13" t="n">
        <f aca="false">G64*USD_pt-Floor_usd</f>
        <v>390.977250599668</v>
      </c>
      <c r="U64" s="11" t="n">
        <f aca="false">Risk_ceiling-J64</f>
        <v>22.4035931669323</v>
      </c>
      <c r="V64" s="13" t="n">
        <f aca="false">MIN(Wf_today-Idx_lo,Idx_hi-Wf_today,H64-Idx_lo,Idx_hi-H64,I64-Idx_lo,Idx_hi-I64,J64-Idx_lo,Idx_hi-J64)</f>
        <v>27.4712498662277</v>
      </c>
      <c r="W64" s="13" t="n">
        <f aca="false">K64*USD_pt</f>
        <v>638.956501658776</v>
      </c>
      <c r="X64" s="13" t="n">
        <f aca="false">K64*USD_pt-Floor_usd</f>
        <v>288.956501658776</v>
      </c>
      <c r="Y64" s="11" t="n">
        <f aca="false">Risk_ceiling-N64</f>
        <v>9.86565516939506</v>
      </c>
      <c r="Z64" s="13" t="n">
        <f aca="false">MIN(Wf_today-Idx_lo,Idx_hi-Wf_today,L64-Idx_lo,Idx_hi-L64,M64-Idx_lo,Idx_hi-M64,N64-Idx_lo,Idx_hi-N64)</f>
        <v>24.093928187636</v>
      </c>
    </row>
    <row r="65" customFormat="false" ht="15" hidden="false" customHeight="false" outlineLevel="0" collapsed="false">
      <c r="A65" s="19" t="n">
        <v>20</v>
      </c>
      <c r="B65" s="23" t="n">
        <f aca="false">A65/12</f>
        <v>1.66666666666667</v>
      </c>
      <c r="C65" s="11" t="n">
        <f aca="false">Declarations!$C$27+(Declarations!$C$4-Declarations!$C$27)*EXP(-Declarations!$D$27*$B65)+IF(Declarations!$E$27=0,0,Declarations!$E$27*($B65/Declarations!$F$27)*EXP(1-$B65/Declarations!$F$27))+IF($B65&gt;=T_sale,Declarations!$G$27,0)</f>
        <v>77.738501950561</v>
      </c>
      <c r="D65" s="11" t="n">
        <f aca="false">Declarations!$C$28+(Declarations!$C$7-Declarations!$C$28)*EXP(-Declarations!$D$28*$B65)+IF(Declarations!$E$28=0,0,Declarations!$E$28*($B65/Declarations!$F$28)*EXP(1-$B65/Declarations!$F$28))+IF($B65&gt;=T_sale,Declarations!$G$28,0)</f>
        <v>63.2055627892406</v>
      </c>
      <c r="E65" s="11" t="n">
        <f aca="false">Declarations!$C$29+(Declarations!$C$8-Declarations!$C$29)*EXP(-Declarations!$D$29*$B65)+IF(Declarations!$E$29=0,0,Declarations!$E$29*($B65/Declarations!$F$29)*EXP(1-$B65/Declarations!$F$29))+IF($B65&gt;=T_sale,Declarations!$G$29,0)</f>
        <v>65.4440175808138</v>
      </c>
      <c r="F65" s="11" t="n">
        <f aca="false">Declarations!$C$30+(Declarations!$C$10-Declarations!$C$30)*EXP(-Declarations!$D$30*$B65)+IF(Declarations!$E$30=0,0,Declarations!$E$30*($B65/Declarations!$F$30)*EXP(1-$B65/Declarations!$F$30))+IF($B65&gt;=T_sale,Declarations!$G$30,0)</f>
        <v>70.854053230863</v>
      </c>
      <c r="G65" s="11" t="n">
        <f aca="false">Declarations!$C$31+(Declarations!$C$4-Declarations!$C$31)*EXP(-Declarations!$D$31*$B65)+IF(Declarations!$E$31=0,0,Declarations!$E$31*($B65/Declarations!$F$31)*EXP(1-$B65/Declarations!$F$31))+IF($B65&gt;=T_sale,Declarations!$G$31,0)</f>
        <v>119.573877361149</v>
      </c>
      <c r="H65" s="11" t="n">
        <f aca="false">Declarations!$C$32+(Declarations!$C$7-Declarations!$C$32)*EXP(-Declarations!$D$32*$B65)+IF(Declarations!$E$32=0,0,Declarations!$E$32*($B65/Declarations!$F$32)*EXP(1-$B65/Declarations!$F$32))+IF($B65&gt;=T_sale,Declarations!$G$32,0)</f>
        <v>39.9777218906013</v>
      </c>
      <c r="I65" s="11" t="n">
        <f aca="false">Declarations!$C$33+(Declarations!$C$8-Declarations!$C$33)*EXP(-Declarations!$D$33*$B65)+IF(Declarations!$E$33=0,0,Declarations!$E$33*($B65/Declarations!$F$33)*EXP(1-$B65/Declarations!$F$33))+IF($B65&gt;=T_sale,Declarations!$G$33,0)</f>
        <v>72.582900341777</v>
      </c>
      <c r="J65" s="11" t="n">
        <f aca="false">Declarations!$C$34+(Declarations!$C$10-Declarations!$C$34)*EXP(-Declarations!$D$34*$B65)+IF(Declarations!$E$34=0,0,Declarations!$E$34*($B65/Declarations!$F$34)*EXP(1-$B65/Declarations!$F$34))+IF($B65&gt;=T_sale,Declarations!$G$34,0)</f>
        <v>52.4642811661604</v>
      </c>
      <c r="K65" s="11" t="n">
        <f aca="false">Declarations!$C$35+(Declarations!$C$4-Declarations!$C$35)*EXP(-Declarations!$D$35*$B65)+IF(Declarations!$E$35=0,0,Declarations!$E$35*($B65/Declarations!$F$35)*EXP(1-$B65/Declarations!$F$35))+IF($B65&gt;=T_sale,Declarations!$G$35,0)</f>
        <v>103.165800683554</v>
      </c>
      <c r="L65" s="11" t="n">
        <f aca="false">Declarations!$C$36+(Declarations!$C$7-Declarations!$C$36)*EXP(-Declarations!$D$36*$B65)+IF(Declarations!$E$36=0,0,Declarations!$E$36*($B65/Declarations!$F$36)*EXP(1-$B65/Declarations!$F$36))+IF($B65&gt;=T_sale,Declarations!$G$36,0)</f>
        <v>38.7322504845903</v>
      </c>
      <c r="M65" s="11" t="n">
        <f aca="false">Declarations!$C$37+(Declarations!$C$8-Declarations!$C$37)*EXP(-Declarations!$D$37*$B65)+IF(Declarations!$E$37=0,0,Declarations!$E$37*($B65/Declarations!$F$37)*EXP(1-$B65/Declarations!$F$37))+IF($B65&gt;=T_sale,Declarations!$G$37,0)</f>
        <v>76.0569644706285</v>
      </c>
      <c r="N65" s="11" t="n">
        <f aca="false">Declarations!$C$38+(Declarations!$C$10-Declarations!$C$38)*EXP(-Declarations!$D$38*$B65)+IF(Declarations!$E$38=0,0,Declarations!$E$38*($B65/Declarations!$F$38)*EXP(1-$B65/Declarations!$F$38))+IF($B65&gt;=T_sale,Declarations!$G$38,0)</f>
        <v>65.1804080208621</v>
      </c>
      <c r="O65" s="13" t="n">
        <f aca="false">C65*USD_pt</f>
        <v>481.978712093478</v>
      </c>
      <c r="P65" s="13" t="n">
        <f aca="false">C65*USD_pt-Floor_usd</f>
        <v>131.978712093478</v>
      </c>
      <c r="Q65" s="11" t="n">
        <f aca="false">Risk_ceiling-F65</f>
        <v>4.145946769137</v>
      </c>
      <c r="R65" s="13" t="n">
        <f aca="false">MIN(Wf_today-Idx_lo,Idx_hi-Wf_today,D65-Idx_lo,Idx_hi-D65,E65-Idx_lo,Idx_hi-E65,F65-Idx_lo,Idx_hi-F65)</f>
        <v>29.145946769137</v>
      </c>
      <c r="S65" s="13" t="n">
        <f aca="false">G65*USD_pt</f>
        <v>741.358039639127</v>
      </c>
      <c r="T65" s="13" t="n">
        <f aca="false">G65*USD_pt-Floor_usd</f>
        <v>391.358039639127</v>
      </c>
      <c r="U65" s="11" t="n">
        <f aca="false">Risk_ceiling-J65</f>
        <v>22.5357188338396</v>
      </c>
      <c r="V65" s="13" t="n">
        <f aca="false">MIN(Wf_today-Idx_lo,Idx_hi-Wf_today,H65-Idx_lo,Idx_hi-H65,I65-Idx_lo,Idx_hi-I65,J65-Idx_lo,Idx_hi-J65)</f>
        <v>27.417099658223</v>
      </c>
      <c r="W65" s="13" t="n">
        <f aca="false">K65*USD_pt</f>
        <v>639.627964238034</v>
      </c>
      <c r="X65" s="13" t="n">
        <f aca="false">K65*USD_pt-Floor_usd</f>
        <v>289.627964238034</v>
      </c>
      <c r="Y65" s="11" t="n">
        <f aca="false">Risk_ceiling-N65</f>
        <v>9.8195919791379</v>
      </c>
      <c r="Z65" s="13" t="n">
        <f aca="false">MIN(Wf_today-Idx_lo,Idx_hi-Wf_today,L65-Idx_lo,Idx_hi-L65,M65-Idx_lo,Idx_hi-M65,N65-Idx_lo,Idx_hi-N65)</f>
        <v>23.9430355293715</v>
      </c>
    </row>
    <row r="66" customFormat="false" ht="15" hidden="false" customHeight="false" outlineLevel="0" collapsed="false">
      <c r="A66" s="19" t="n">
        <v>21</v>
      </c>
      <c r="B66" s="23" t="n">
        <f aca="false">A66/12</f>
        <v>1.75</v>
      </c>
      <c r="C66" s="11" t="n">
        <f aca="false">Declarations!$C$27+(Declarations!$C$4-Declarations!$C$27)*EXP(-Declarations!$D$27*$B66)+IF(Declarations!$E$27=0,0,Declarations!$E$27*($B66/Declarations!$F$27)*EXP(1-$B66/Declarations!$F$27))+IF($B66&gt;=T_sale,Declarations!$G$27,0)</f>
        <v>77.7339326383525</v>
      </c>
      <c r="D66" s="11" t="n">
        <f aca="false">Declarations!$C$28+(Declarations!$C$7-Declarations!$C$28)*EXP(-Declarations!$D$28*$B66)+IF(Declarations!$E$28=0,0,Declarations!$E$28*($B66/Declarations!$F$28)*EXP(1-$B66/Declarations!$F$28))+IF($B66&gt;=T_sale,Declarations!$G$28,0)</f>
        <v>63.8683365757539</v>
      </c>
      <c r="E66" s="11" t="n">
        <f aca="false">Declarations!$C$29+(Declarations!$C$8-Declarations!$C$29)*EXP(-Declarations!$D$29*$B66)+IF(Declarations!$E$29=0,0,Declarations!$E$29*($B66/Declarations!$F$29)*EXP(1-$B66/Declarations!$F$29))+IF($B66&gt;=T_sale,Declarations!$G$29,0)</f>
        <v>65.6107697705775</v>
      </c>
      <c r="F66" s="11" t="n">
        <f aca="false">Declarations!$C$30+(Declarations!$C$10-Declarations!$C$30)*EXP(-Declarations!$D$30*$B66)+IF(Declarations!$E$30=0,0,Declarations!$E$30*($B66/Declarations!$F$30)*EXP(1-$B66/Declarations!$F$30))+IF($B66&gt;=T_sale,Declarations!$G$30,0)</f>
        <v>70.3658158022576</v>
      </c>
      <c r="G66" s="11" t="n">
        <f aca="false">Declarations!$C$31+(Declarations!$C$4-Declarations!$C$31)*EXP(-Declarations!$D$31*$B66)+IF(Declarations!$E$31=0,0,Declarations!$E$31*($B66/Declarations!$F$31)*EXP(1-$B66/Declarations!$F$31))+IF($B66&gt;=T_sale,Declarations!$G$31,0)</f>
        <v>119.633778542533</v>
      </c>
      <c r="H66" s="11" t="n">
        <f aca="false">Declarations!$C$32+(Declarations!$C$7-Declarations!$C$32)*EXP(-Declarations!$D$32*$B66)+IF(Declarations!$E$32=0,0,Declarations!$E$32*($B66/Declarations!$F$32)*EXP(1-$B66/Declarations!$F$32))+IF($B66&gt;=T_sale,Declarations!$G$32,0)</f>
        <v>39.9369455792837</v>
      </c>
      <c r="I66" s="11" t="n">
        <f aca="false">Declarations!$C$33+(Declarations!$C$8-Declarations!$C$33)*EXP(-Declarations!$D$33*$B66)+IF(Declarations!$E$33=0,0,Declarations!$E$33*($B66/Declarations!$F$33)*EXP(1-$B66/Declarations!$F$33))+IF($B66&gt;=T_sale,Declarations!$G$33,0)</f>
        <v>72.6350575198455</v>
      </c>
      <c r="J66" s="11" t="n">
        <f aca="false">Declarations!$C$34+(Declarations!$C$10-Declarations!$C$34)*EXP(-Declarations!$D$34*$B66)+IF(Declarations!$E$34=0,0,Declarations!$E$34*($B66/Declarations!$F$34)*EXP(1-$B66/Declarations!$F$34))+IF($B66&gt;=T_sale,Declarations!$G$34,0)</f>
        <v>52.3359535076735</v>
      </c>
      <c r="K66" s="11" t="n">
        <f aca="false">Declarations!$C$35+(Declarations!$C$4-Declarations!$C$35)*EXP(-Declarations!$D$35*$B66)+IF(Declarations!$E$35=0,0,Declarations!$E$35*($B66/Declarations!$F$35)*EXP(1-$B66/Declarations!$F$35))+IF($B66&gt;=T_sale,Declarations!$G$35,0)</f>
        <v>103.270115039691</v>
      </c>
      <c r="L66" s="11" t="n">
        <f aca="false">Declarations!$C$36+(Declarations!$C$7-Declarations!$C$36)*EXP(-Declarations!$D$36*$B66)+IF(Declarations!$E$36=0,0,Declarations!$E$36*($B66/Declarations!$F$36)*EXP(1-$B66/Declarations!$F$36))+IF($B66&gt;=T_sale,Declarations!$G$36,0)</f>
        <v>38.6375047177497</v>
      </c>
      <c r="M66" s="11" t="n">
        <f aca="false">Declarations!$C$37+(Declarations!$C$8-Declarations!$C$37)*EXP(-Declarations!$D$37*$B66)+IF(Declarations!$E$37=0,0,Declarations!$E$37*($B66/Declarations!$F$37)*EXP(1-$B66/Declarations!$F$37))+IF($B66&gt;=T_sale,Declarations!$G$37,0)</f>
        <v>76.2004980071108</v>
      </c>
      <c r="N66" s="11" t="n">
        <f aca="false">Declarations!$C$38+(Declarations!$C$10-Declarations!$C$38)*EXP(-Declarations!$D$38*$B66)+IF(Declarations!$E$38=0,0,Declarations!$E$38*($B66/Declarations!$F$38)*EXP(1-$B66/Declarations!$F$38))+IF($B66&gt;=T_sale,Declarations!$G$38,0)</f>
        <v>65.2253339068996</v>
      </c>
      <c r="O66" s="13" t="n">
        <f aca="false">C66*USD_pt</f>
        <v>481.950382357786</v>
      </c>
      <c r="P66" s="13" t="n">
        <f aca="false">C66*USD_pt-Floor_usd</f>
        <v>131.950382357786</v>
      </c>
      <c r="Q66" s="11" t="n">
        <f aca="false">Risk_ceiling-F66</f>
        <v>4.63418419774241</v>
      </c>
      <c r="R66" s="13" t="n">
        <f aca="false">MIN(Wf_today-Idx_lo,Idx_hi-Wf_today,D66-Idx_lo,Idx_hi-D66,E66-Idx_lo,Idx_hi-E66,F66-Idx_lo,Idx_hi-F66)</f>
        <v>29.6341841977424</v>
      </c>
      <c r="S66" s="13" t="n">
        <f aca="false">G66*USD_pt</f>
        <v>741.729426963703</v>
      </c>
      <c r="T66" s="13" t="n">
        <f aca="false">G66*USD_pt-Floor_usd</f>
        <v>391.729426963703</v>
      </c>
      <c r="U66" s="11" t="n">
        <f aca="false">Risk_ceiling-J66</f>
        <v>22.6640464923265</v>
      </c>
      <c r="V66" s="13" t="n">
        <f aca="false">MIN(Wf_today-Idx_lo,Idx_hi-Wf_today,H66-Idx_lo,Idx_hi-H66,I66-Idx_lo,Idx_hi-I66,J66-Idx_lo,Idx_hi-J66)</f>
        <v>27.3649424801545</v>
      </c>
      <c r="W66" s="13" t="n">
        <f aca="false">K66*USD_pt</f>
        <v>640.274713246084</v>
      </c>
      <c r="X66" s="13" t="n">
        <f aca="false">K66*USD_pt-Floor_usd</f>
        <v>290.274713246084</v>
      </c>
      <c r="Y66" s="11" t="n">
        <f aca="false">Risk_ceiling-N66</f>
        <v>9.77466609310045</v>
      </c>
      <c r="Z66" s="13" t="n">
        <f aca="false">MIN(Wf_today-Idx_lo,Idx_hi-Wf_today,L66-Idx_lo,Idx_hi-L66,M66-Idx_lo,Idx_hi-M66,N66-Idx_lo,Idx_hi-N66)</f>
        <v>23.7995019928892</v>
      </c>
    </row>
    <row r="67" customFormat="false" ht="15" hidden="false" customHeight="false" outlineLevel="0" collapsed="false">
      <c r="A67" s="19" t="n">
        <v>22</v>
      </c>
      <c r="B67" s="23" t="n">
        <f aca="false">A67/12</f>
        <v>1.83333333333333</v>
      </c>
      <c r="C67" s="11" t="n">
        <f aca="false">Declarations!$C$27+(Declarations!$C$4-Declarations!$C$27)*EXP(-Declarations!$D$27*$B67)+IF(Declarations!$E$27=0,0,Declarations!$E$27*($B67/Declarations!$F$27)*EXP(1-$B67/Declarations!$F$27))+IF($B67&gt;=T_sale,Declarations!$G$27,0)</f>
        <v>77.785824038926</v>
      </c>
      <c r="D67" s="11" t="n">
        <f aca="false">Declarations!$C$28+(Declarations!$C$7-Declarations!$C$28)*EXP(-Declarations!$D$28*$B67)+IF(Declarations!$E$28=0,0,Declarations!$E$28*($B67/Declarations!$F$28)*EXP(1-$B67/Declarations!$F$28))+IF($B67&gt;=T_sale,Declarations!$G$28,0)</f>
        <v>64.5014188582355</v>
      </c>
      <c r="E67" s="11" t="n">
        <f aca="false">Declarations!$C$29+(Declarations!$C$8-Declarations!$C$29)*EXP(-Declarations!$D$29*$B67)+IF(Declarations!$E$29=0,0,Declarations!$E$29*($B67/Declarations!$F$29)*EXP(1-$B67/Declarations!$F$29))+IF($B67&gt;=T_sale,Declarations!$G$29,0)</f>
        <v>65.792790641846</v>
      </c>
      <c r="F67" s="11" t="n">
        <f aca="false">Declarations!$C$30+(Declarations!$C$10-Declarations!$C$30)*EXP(-Declarations!$D$30*$B67)+IF(Declarations!$E$30=0,0,Declarations!$E$30*($B67/Declarations!$F$30)*EXP(1-$B67/Declarations!$F$30))+IF($B67&gt;=T_sale,Declarations!$G$30,0)</f>
        <v>69.861583221432</v>
      </c>
      <c r="G67" s="11" t="n">
        <f aca="false">Declarations!$C$31+(Declarations!$C$4-Declarations!$C$31)*EXP(-Declarations!$D$31*$B67)+IF(Declarations!$E$31=0,0,Declarations!$E$31*($B67/Declarations!$F$31)*EXP(1-$B67/Declarations!$F$31))+IF($B67&gt;=T_sale,Declarations!$G$31,0)</f>
        <v>119.692200758478</v>
      </c>
      <c r="H67" s="11" t="n">
        <f aca="false">Declarations!$C$32+(Declarations!$C$7-Declarations!$C$32)*EXP(-Declarations!$D$32*$B67)+IF(Declarations!$E$32=0,0,Declarations!$E$32*($B67/Declarations!$F$32)*EXP(1-$B67/Declarations!$F$32))+IF($B67&gt;=T_sale,Declarations!$G$32,0)</f>
        <v>39.8970099865588</v>
      </c>
      <c r="I67" s="11" t="n">
        <f aca="false">Declarations!$C$33+(Declarations!$C$8-Declarations!$C$33)*EXP(-Declarations!$D$33*$B67)+IF(Declarations!$E$33=0,0,Declarations!$E$33*($B67/Declarations!$F$33)*EXP(1-$B67/Declarations!$F$33))+IF($B67&gt;=T_sale,Declarations!$G$33,0)</f>
        <v>72.6852950226052</v>
      </c>
      <c r="J67" s="11" t="n">
        <f aca="false">Declarations!$C$34+(Declarations!$C$10-Declarations!$C$34)*EXP(-Declarations!$D$34*$B67)+IF(Declarations!$E$34=0,0,Declarations!$E$34*($B67/Declarations!$F$34)*EXP(1-$B67/Declarations!$F$34))+IF($B67&gt;=T_sale,Declarations!$G$34,0)</f>
        <v>52.2113146822417</v>
      </c>
      <c r="K67" s="11" t="n">
        <f aca="false">Declarations!$C$35+(Declarations!$C$4-Declarations!$C$35)*EXP(-Declarations!$D$35*$B67)+IF(Declarations!$E$35=0,0,Declarations!$E$35*($B67/Declarations!$F$35)*EXP(1-$B67/Declarations!$F$35))+IF($B67&gt;=T_sale,Declarations!$G$35,0)</f>
        <v>103.37059004521</v>
      </c>
      <c r="L67" s="11" t="n">
        <f aca="false">Declarations!$C$36+(Declarations!$C$7-Declarations!$C$36)*EXP(-Declarations!$D$36*$B67)+IF(Declarations!$E$36=0,0,Declarations!$E$36*($B67/Declarations!$F$36)*EXP(1-$B67/Declarations!$F$36))+IF($B67&gt;=T_sale,Declarations!$G$36,0)</f>
        <v>38.5443249606915</v>
      </c>
      <c r="M67" s="11" t="n">
        <f aca="false">Declarations!$C$37+(Declarations!$C$8-Declarations!$C$37)*EXP(-Declarations!$D$37*$B67)+IF(Declarations!$E$37=0,0,Declarations!$E$37*($B67/Declarations!$F$37)*EXP(1-$B67/Declarations!$F$37))+IF($B67&gt;=T_sale,Declarations!$G$37,0)</f>
        <v>76.3370313304154</v>
      </c>
      <c r="N67" s="11" t="n">
        <f aca="false">Declarations!$C$38+(Declarations!$C$10-Declarations!$C$38)*EXP(-Declarations!$D$38*$B67)+IF(Declarations!$E$38=0,0,Declarations!$E$38*($B67/Declarations!$F$38)*EXP(1-$B67/Declarations!$F$38))+IF($B67&gt;=T_sale,Declarations!$G$38,0)</f>
        <v>65.2691505688585</v>
      </c>
      <c r="O67" s="13" t="n">
        <f aca="false">C67*USD_pt</f>
        <v>482.272109041341</v>
      </c>
      <c r="P67" s="13" t="n">
        <f aca="false">C67*USD_pt-Floor_usd</f>
        <v>132.272109041341</v>
      </c>
      <c r="Q67" s="11" t="n">
        <f aca="false">Risk_ceiling-F67</f>
        <v>5.13841677856799</v>
      </c>
      <c r="R67" s="13" t="n">
        <f aca="false">MIN(Wf_today-Idx_lo,Idx_hi-Wf_today,D67-Idx_lo,Idx_hi-D67,E67-Idx_lo,Idx_hi-E67,F67-Idx_lo,Idx_hi-F67)</f>
        <v>30.138416778568</v>
      </c>
      <c r="S67" s="13" t="n">
        <f aca="false">G67*USD_pt</f>
        <v>742.091644702564</v>
      </c>
      <c r="T67" s="13" t="n">
        <f aca="false">G67*USD_pt-Floor_usd</f>
        <v>392.091644702564</v>
      </c>
      <c r="U67" s="11" t="n">
        <f aca="false">Risk_ceiling-J67</f>
        <v>22.7886853177583</v>
      </c>
      <c r="V67" s="13" t="n">
        <f aca="false">MIN(Wf_today-Idx_lo,Idx_hi-Wf_today,H67-Idx_lo,Idx_hi-H67,I67-Idx_lo,Idx_hi-I67,J67-Idx_lo,Idx_hi-J67)</f>
        <v>27.3147049773949</v>
      </c>
      <c r="W67" s="13" t="n">
        <f aca="false">K67*USD_pt</f>
        <v>640.897658280304</v>
      </c>
      <c r="X67" s="13" t="n">
        <f aca="false">K67*USD_pt-Floor_usd</f>
        <v>290.897658280304</v>
      </c>
      <c r="Y67" s="11" t="n">
        <f aca="false">Risk_ceiling-N67</f>
        <v>9.73084943114147</v>
      </c>
      <c r="Z67" s="13" t="n">
        <f aca="false">MIN(Wf_today-Idx_lo,Idx_hi-Wf_today,L67-Idx_lo,Idx_hi-L67,M67-Idx_lo,Idx_hi-M67,N67-Idx_lo,Idx_hi-N67)</f>
        <v>23.6629686695846</v>
      </c>
    </row>
    <row r="68" customFormat="false" ht="15" hidden="false" customHeight="false" outlineLevel="0" collapsed="false">
      <c r="A68" s="19" t="n">
        <v>23</v>
      </c>
      <c r="B68" s="23" t="n">
        <f aca="false">A68/12</f>
        <v>1.91666666666667</v>
      </c>
      <c r="C68" s="11" t="n">
        <f aca="false">Declarations!$C$27+(Declarations!$C$4-Declarations!$C$27)*EXP(-Declarations!$D$27*$B68)+IF(Declarations!$E$27=0,0,Declarations!$E$27*($B68/Declarations!$F$27)*EXP(1-$B68/Declarations!$F$27))+IF($B68&gt;=T_sale,Declarations!$G$27,0)</f>
        <v>77.8896033982143</v>
      </c>
      <c r="D68" s="11" t="n">
        <f aca="false">Declarations!$C$28+(Declarations!$C$7-Declarations!$C$28)*EXP(-Declarations!$D$28*$B68)+IF(Declarations!$E$28=0,0,Declarations!$E$28*($B68/Declarations!$F$28)*EXP(1-$B68/Declarations!$F$28))+IF($B68&gt;=T_sale,Declarations!$G$28,0)</f>
        <v>65.1061397819471</v>
      </c>
      <c r="E68" s="11" t="n">
        <f aca="false">Declarations!$C$29+(Declarations!$C$8-Declarations!$C$29)*EXP(-Declarations!$D$29*$B68)+IF(Declarations!$E$29=0,0,Declarations!$E$29*($B68/Declarations!$F$29)*EXP(1-$B68/Declarations!$F$29))+IF($B68&gt;=T_sale,Declarations!$G$29,0)</f>
        <v>65.987961586177</v>
      </c>
      <c r="F68" s="11" t="n">
        <f aca="false">Declarations!$C$30+(Declarations!$C$10-Declarations!$C$30)*EXP(-Declarations!$D$30*$B68)+IF(Declarations!$E$30=0,0,Declarations!$E$30*($B68/Declarations!$F$30)*EXP(1-$B68/Declarations!$F$30))+IF($B68&gt;=T_sale,Declarations!$G$30,0)</f>
        <v>69.3454416225273</v>
      </c>
      <c r="G68" s="11" t="n">
        <f aca="false">Declarations!$C$31+(Declarations!$C$4-Declarations!$C$31)*EXP(-Declarations!$D$31*$B68)+IF(Declarations!$E$31=0,0,Declarations!$E$31*($B68/Declarations!$F$31)*EXP(1-$B68/Declarations!$F$31))+IF($B68&gt;=T_sale,Declarations!$G$31,0)</f>
        <v>119.749180524772</v>
      </c>
      <c r="H68" s="11" t="n">
        <f aca="false">Declarations!$C$32+(Declarations!$C$7-Declarations!$C$32)*EXP(-Declarations!$D$32*$B68)+IF(Declarations!$E$32=0,0,Declarations!$E$32*($B68/Declarations!$F$32)*EXP(1-$B68/Declarations!$F$32))+IF($B68&gt;=T_sale,Declarations!$G$32,0)</f>
        <v>39.8578977786431</v>
      </c>
      <c r="I68" s="11" t="n">
        <f aca="false">Declarations!$C$33+(Declarations!$C$8-Declarations!$C$33)*EXP(-Declarations!$D$33*$B68)+IF(Declarations!$E$33=0,0,Declarations!$E$33*($B68/Declarations!$F$33)*EXP(1-$B68/Declarations!$F$33))+IF($B68&gt;=T_sale,Declarations!$G$33,0)</f>
        <v>72.7336835048235</v>
      </c>
      <c r="J68" s="11" t="n">
        <f aca="false">Declarations!$C$34+(Declarations!$C$10-Declarations!$C$34)*EXP(-Declarations!$D$34*$B68)+IF(Declarations!$E$34=0,0,Declarations!$E$34*($B68/Declarations!$F$34)*EXP(1-$B68/Declarations!$F$34))+IF($B68&gt;=T_sale,Declarations!$G$34,0)</f>
        <v>52.0902586527917</v>
      </c>
      <c r="K68" s="11" t="n">
        <f aca="false">Declarations!$C$35+(Declarations!$C$4-Declarations!$C$35)*EXP(-Declarations!$D$35*$B68)+IF(Declarations!$E$35=0,0,Declarations!$E$35*($B68/Declarations!$F$35)*EXP(1-$B68/Declarations!$F$35))+IF($B68&gt;=T_sale,Declarations!$G$35,0)</f>
        <v>103.467367009647</v>
      </c>
      <c r="L68" s="11" t="n">
        <f aca="false">Declarations!$C$36+(Declarations!$C$7-Declarations!$C$36)*EXP(-Declarations!$D$36*$B68)+IF(Declarations!$E$36=0,0,Declarations!$E$36*($B68/Declarations!$F$36)*EXP(1-$B68/Declarations!$F$36))+IF($B68&gt;=T_sale,Declarations!$G$36,0)</f>
        <v>38.4526853295508</v>
      </c>
      <c r="M68" s="11" t="n">
        <f aca="false">Declarations!$C$37+(Declarations!$C$8-Declarations!$C$37)*EXP(-Declarations!$D$37*$B68)+IF(Declarations!$E$37=0,0,Declarations!$E$37*($B68/Declarations!$F$37)*EXP(1-$B68/Declarations!$F$37))+IF($B68&gt;=T_sale,Declarations!$G$37,0)</f>
        <v>76.4669058449676</v>
      </c>
      <c r="N68" s="11" t="n">
        <f aca="false">Declarations!$C$38+(Declarations!$C$10-Declarations!$C$38)*EXP(-Declarations!$D$38*$B68)+IF(Declarations!$E$38=0,0,Declarations!$E$38*($B68/Declarations!$F$38)*EXP(1-$B68/Declarations!$F$38))+IF($B68&gt;=T_sale,Declarations!$G$38,0)</f>
        <v>65.3118853935791</v>
      </c>
      <c r="O68" s="13" t="n">
        <f aca="false">C68*USD_pt</f>
        <v>482.915541068929</v>
      </c>
      <c r="P68" s="13" t="n">
        <f aca="false">C68*USD_pt-Floor_usd</f>
        <v>132.915541068929</v>
      </c>
      <c r="Q68" s="11" t="n">
        <f aca="false">Risk_ceiling-F68</f>
        <v>5.65455837747267</v>
      </c>
      <c r="R68" s="13" t="n">
        <f aca="false">MIN(Wf_today-Idx_lo,Idx_hi-Wf_today,D68-Idx_lo,Idx_hi-D68,E68-Idx_lo,Idx_hi-E68,F68-Idx_lo,Idx_hi-F68)</f>
        <v>30.6545583774727</v>
      </c>
      <c r="S68" s="13" t="n">
        <f aca="false">G68*USD_pt</f>
        <v>742.444919253588</v>
      </c>
      <c r="T68" s="13" t="n">
        <f aca="false">G68*USD_pt-Floor_usd</f>
        <v>392.444919253588</v>
      </c>
      <c r="U68" s="11" t="n">
        <f aca="false">Risk_ceiling-J68</f>
        <v>22.9097413472083</v>
      </c>
      <c r="V68" s="13" t="n">
        <f aca="false">MIN(Wf_today-Idx_lo,Idx_hi-Wf_today,H68-Idx_lo,Idx_hi-H68,I68-Idx_lo,Idx_hi-I68,J68-Idx_lo,Idx_hi-J68)</f>
        <v>27.2663164951765</v>
      </c>
      <c r="W68" s="13" t="n">
        <f aca="false">K68*USD_pt</f>
        <v>641.497675459812</v>
      </c>
      <c r="X68" s="13" t="n">
        <f aca="false">K68*USD_pt-Floor_usd</f>
        <v>291.497675459812</v>
      </c>
      <c r="Y68" s="11" t="n">
        <f aca="false">Risk_ceiling-N68</f>
        <v>9.68811460642087</v>
      </c>
      <c r="Z68" s="13" t="n">
        <f aca="false">MIN(Wf_today-Idx_lo,Idx_hi-Wf_today,L68-Idx_lo,Idx_hi-L68,M68-Idx_lo,Idx_hi-M68,N68-Idx_lo,Idx_hi-N68)</f>
        <v>23.5330941550324</v>
      </c>
    </row>
    <row r="69" customFormat="false" ht="15" hidden="false" customHeight="false" outlineLevel="0" collapsed="false">
      <c r="A69" s="19" t="n">
        <v>24</v>
      </c>
      <c r="B69" s="23" t="n">
        <f aca="false">A69/12</f>
        <v>2</v>
      </c>
      <c r="C69" s="11" t="n">
        <f aca="false">Declarations!$C$27+(Declarations!$C$4-Declarations!$C$27)*EXP(-Declarations!$D$27*$B69)+IF(Declarations!$E$27=0,0,Declarations!$E$27*($B69/Declarations!$F$27)*EXP(1-$B69/Declarations!$F$27))+IF($B69&gt;=T_sale,Declarations!$G$27,0)</f>
        <v>78.0409763545031</v>
      </c>
      <c r="D69" s="11" t="n">
        <f aca="false">Declarations!$C$28+(Declarations!$C$7-Declarations!$C$28)*EXP(-Declarations!$D$28*$B69)+IF(Declarations!$E$28=0,0,Declarations!$E$28*($B69/Declarations!$F$28)*EXP(1-$B69/Declarations!$F$28))+IF($B69&gt;=T_sale,Declarations!$G$28,0)</f>
        <v>65.6837699031711</v>
      </c>
      <c r="E69" s="11" t="n">
        <f aca="false">Declarations!$C$29+(Declarations!$C$8-Declarations!$C$29)*EXP(-Declarations!$D$29*$B69)+IF(Declarations!$E$29=0,0,Declarations!$E$29*($B69/Declarations!$F$29)*EXP(1-$B69/Declarations!$F$29))+IF($B69&gt;=T_sale,Declarations!$G$29,0)</f>
        <v>66.1943476260859</v>
      </c>
      <c r="F69" s="11" t="n">
        <f aca="false">Declarations!$C$30+(Declarations!$C$10-Declarations!$C$30)*EXP(-Declarations!$D$30*$B69)+IF(Declarations!$E$30=0,0,Declarations!$E$30*($B69/Declarations!$F$30)*EXP(1-$B69/Declarations!$F$30))+IF($B69&gt;=T_sale,Declarations!$G$30,0)</f>
        <v>68.821009310951</v>
      </c>
      <c r="G69" s="11" t="n">
        <f aca="false">Declarations!$C$31+(Declarations!$C$4-Declarations!$C$31)*EXP(-Declarations!$D$31*$B69)+IF(Declarations!$E$31=0,0,Declarations!$E$31*($B69/Declarations!$F$31)*EXP(1-$B69/Declarations!$F$31))+IF($B69&gt;=T_sale,Declarations!$G$31,0)</f>
        <v>119.804753455624</v>
      </c>
      <c r="H69" s="11" t="n">
        <f aca="false">Declarations!$C$32+(Declarations!$C$7-Declarations!$C$32)*EXP(-Declarations!$D$32*$B69)+IF(Declarations!$E$32=0,0,Declarations!$E$32*($B69/Declarations!$F$32)*EXP(1-$B69/Declarations!$F$32))+IF($B69&gt;=T_sale,Declarations!$G$32,0)</f>
        <v>39.8195919791379</v>
      </c>
      <c r="I69" s="11" t="n">
        <f aca="false">Declarations!$C$33+(Declarations!$C$8-Declarations!$C$33)*EXP(-Declarations!$D$33*$B69)+IF(Declarations!$E$33=0,0,Declarations!$E$33*($B69/Declarations!$F$33)*EXP(1-$B69/Declarations!$F$33))+IF($B69&gt;=T_sale,Declarations!$G$33,0)</f>
        <v>72.7802910207782</v>
      </c>
      <c r="J69" s="11" t="n">
        <f aca="false">Declarations!$C$34+(Declarations!$C$10-Declarations!$C$34)*EXP(-Declarations!$D$34*$B69)+IF(Declarations!$E$34=0,0,Declarations!$E$34*($B69/Declarations!$F$34)*EXP(1-$B69/Declarations!$F$34))+IF($B69&gt;=T_sale,Declarations!$G$34,0)</f>
        <v>51.9726824303313</v>
      </c>
      <c r="K69" s="11" t="n">
        <f aca="false">Declarations!$C$35+(Declarations!$C$4-Declarations!$C$35)*EXP(-Declarations!$D$35*$B69)+IF(Declarations!$E$35=0,0,Declarations!$E$35*($B69/Declarations!$F$35)*EXP(1-$B69/Declarations!$F$35))+IF($B69&gt;=T_sale,Declarations!$G$35,0)</f>
        <v>103.560582041556</v>
      </c>
      <c r="L69" s="11" t="n">
        <f aca="false">Declarations!$C$36+(Declarations!$C$7-Declarations!$C$36)*EXP(-Declarations!$D$36*$B69)+IF(Declarations!$E$36=0,0,Declarations!$E$36*($B69/Declarations!$F$36)*EXP(1-$B69/Declarations!$F$36))+IF($B69&gt;=T_sale,Declarations!$G$36,0)</f>
        <v>38.3625603682851</v>
      </c>
      <c r="M69" s="11" t="n">
        <f aca="false">Declarations!$C$37+(Declarations!$C$8-Declarations!$C$37)*EXP(-Declarations!$D$37*$B69)+IF(Declarations!$E$37=0,0,Declarations!$E$37*($B69/Declarations!$F$37)*EXP(1-$B69/Declarations!$F$37))+IF($B69&gt;=T_sale,Declarations!$G$37,0)</f>
        <v>76.5904463047024</v>
      </c>
      <c r="N69" s="11" t="n">
        <f aca="false">Declarations!$C$38+(Declarations!$C$10-Declarations!$C$38)*EXP(-Declarations!$D$38*$B69)+IF(Declarations!$E$38=0,0,Declarations!$E$38*($B69/Declarations!$F$38)*EXP(1-$B69/Declarations!$F$38))+IF($B69&gt;=T_sale,Declarations!$G$38,0)</f>
        <v>65.3535650917179</v>
      </c>
      <c r="O69" s="13" t="n">
        <f aca="false">C69*USD_pt</f>
        <v>483.854053397919</v>
      </c>
      <c r="P69" s="13" t="n">
        <f aca="false">C69*USD_pt-Floor_usd</f>
        <v>133.854053397919</v>
      </c>
      <c r="Q69" s="11" t="n">
        <f aca="false">Risk_ceiling-F69</f>
        <v>6.17899068904897</v>
      </c>
      <c r="R69" s="13" t="n">
        <f aca="false">MIN(Wf_today-Idx_lo,Idx_hi-Wf_today,D69-Idx_lo,Idx_hi-D69,E69-Idx_lo,Idx_hi-E69,F69-Idx_lo,Idx_hi-F69)</f>
        <v>31.178990689049</v>
      </c>
      <c r="S69" s="13" t="n">
        <f aca="false">G69*USD_pt</f>
        <v>742.789471424868</v>
      </c>
      <c r="T69" s="13" t="n">
        <f aca="false">G69*USD_pt-Floor_usd</f>
        <v>392.789471424868</v>
      </c>
      <c r="U69" s="11" t="n">
        <f aca="false">Risk_ceiling-J69</f>
        <v>23.0273175696687</v>
      </c>
      <c r="V69" s="13" t="n">
        <f aca="false">MIN(Wf_today-Idx_lo,Idx_hi-Wf_today,H69-Idx_lo,Idx_hi-H69,I69-Idx_lo,Idx_hi-I69,J69-Idx_lo,Idx_hi-J69)</f>
        <v>27.2197089792218</v>
      </c>
      <c r="W69" s="13" t="n">
        <f aca="false">K69*USD_pt</f>
        <v>642.07560865765</v>
      </c>
      <c r="X69" s="13" t="n">
        <f aca="false">K69*USD_pt-Floor_usd</f>
        <v>292.07560865765</v>
      </c>
      <c r="Y69" s="11" t="n">
        <f aca="false">Risk_ceiling-N69</f>
        <v>9.64643490828208</v>
      </c>
      <c r="Z69" s="13" t="n">
        <f aca="false">MIN(Wf_today-Idx_lo,Idx_hi-Wf_today,L69-Idx_lo,Idx_hi-L69,M69-Idx_lo,Idx_hi-M69,N69-Idx_lo,Idx_hi-N69)</f>
        <v>23.4095536952976</v>
      </c>
    </row>
    <row r="70" customFormat="false" ht="15" hidden="false" customHeight="false" outlineLevel="0" collapsed="false">
      <c r="A70" s="19" t="n">
        <v>25</v>
      </c>
      <c r="B70" s="23" t="n">
        <f aca="false">A70/12</f>
        <v>2.08333333333333</v>
      </c>
      <c r="C70" s="11" t="n">
        <f aca="false">Declarations!$C$27+(Declarations!$C$4-Declarations!$C$27)*EXP(-Declarations!$D$27*$B70)+IF(Declarations!$E$27=0,0,Declarations!$E$27*($B70/Declarations!$F$27)*EXP(1-$B70/Declarations!$F$27))+IF($B70&gt;=T_sale,Declarations!$G$27,0)</f>
        <v>78.2359118548215</v>
      </c>
      <c r="D70" s="11" t="n">
        <f aca="false">Declarations!$C$28+(Declarations!$C$7-Declarations!$C$28)*EXP(-Declarations!$D$28*$B70)+IF(Declarations!$E$28=0,0,Declarations!$E$28*($B70/Declarations!$F$28)*EXP(1-$B70/Declarations!$F$28))+IF($B70&gt;=T_sale,Declarations!$G$28,0)</f>
        <v>66.2355228587284</v>
      </c>
      <c r="E70" s="11" t="n">
        <f aca="false">Declarations!$C$29+(Declarations!$C$8-Declarations!$C$29)*EXP(-Declarations!$D$29*$B70)+IF(Declarations!$E$29=0,0,Declarations!$E$29*($B70/Declarations!$F$29)*EXP(1-$B70/Declarations!$F$29))+IF($B70&gt;=T_sale,Declarations!$G$29,0)</f>
        <v>66.4101837861788</v>
      </c>
      <c r="F70" s="11" t="n">
        <f aca="false">Declarations!$C$30+(Declarations!$C$10-Declarations!$C$30)*EXP(-Declarations!$D$30*$B70)+IF(Declarations!$E$30=0,0,Declarations!$E$30*($B70/Declarations!$F$30)*EXP(1-$B70/Declarations!$F$30))+IF($B70&gt;=T_sale,Declarations!$G$30,0)</f>
        <v>68.2914808671584</v>
      </c>
      <c r="G70" s="11" t="n">
        <f aca="false">Declarations!$C$31+(Declarations!$C$4-Declarations!$C$31)*EXP(-Declarations!$D$31*$B70)+IF(Declarations!$E$31=0,0,Declarations!$E$31*($B70/Declarations!$F$31)*EXP(1-$B70/Declarations!$F$31))+IF($B70&gt;=T_sale,Declarations!$G$31,0)</f>
        <v>119.858954285924</v>
      </c>
      <c r="H70" s="11" t="n">
        <f aca="false">Declarations!$C$32+(Declarations!$C$7-Declarations!$C$32)*EXP(-Declarations!$D$32*$B70)+IF(Declarations!$E$32=0,0,Declarations!$E$32*($B70/Declarations!$F$32)*EXP(1-$B70/Declarations!$F$32))+IF($B70&gt;=T_sale,Declarations!$G$32,0)</f>
        <v>39.7820759616609</v>
      </c>
      <c r="I70" s="11" t="n">
        <f aca="false">Declarations!$C$33+(Declarations!$C$8-Declarations!$C$33)*EXP(-Declarations!$D$33*$B70)+IF(Declarations!$E$33=0,0,Declarations!$E$33*($B70/Declarations!$F$33)*EXP(1-$B70/Declarations!$F$33))+IF($B70&gt;=T_sale,Declarations!$G$33,0)</f>
        <v>72.8251831199696</v>
      </c>
      <c r="J70" s="11" t="n">
        <f aca="false">Declarations!$C$34+(Declarations!$C$10-Declarations!$C$34)*EXP(-Declarations!$D$34*$B70)+IF(Declarations!$E$34=0,0,Declarations!$E$34*($B70/Declarations!$F$34)*EXP(1-$B70/Declarations!$F$34))+IF($B70&gt;=T_sale,Declarations!$G$34,0)</f>
        <v>51.8584859863302</v>
      </c>
      <c r="K70" s="11" t="n">
        <f aca="false">Declarations!$C$35+(Declarations!$C$4-Declarations!$C$35)*EXP(-Declarations!$D$35*$B70)+IF(Declarations!$E$35=0,0,Declarations!$E$35*($B70/Declarations!$F$35)*EXP(1-$B70/Declarations!$F$35))+IF($B70&gt;=T_sale,Declarations!$G$35,0)</f>
        <v>103.650366239939</v>
      </c>
      <c r="L70" s="11" t="n">
        <f aca="false">Declarations!$C$36+(Declarations!$C$7-Declarations!$C$36)*EXP(-Declarations!$D$36*$B70)+IF(Declarations!$E$36=0,0,Declarations!$E$36*($B70/Declarations!$F$36)*EXP(1-$B70/Declarations!$F$36))+IF($B70&gt;=T_sale,Declarations!$G$36,0)</f>
        <v>38.2739250416036</v>
      </c>
      <c r="M70" s="11" t="n">
        <f aca="false">Declarations!$C$37+(Declarations!$C$8-Declarations!$C$37)*EXP(-Declarations!$D$37*$B70)+IF(Declarations!$E$37=0,0,Declarations!$E$37*($B70/Declarations!$F$37)*EXP(1-$B70/Declarations!$F$37))+IF($B70&gt;=T_sale,Declarations!$G$37,0)</f>
        <v>76.7079616251185</v>
      </c>
      <c r="N70" s="11" t="n">
        <f aca="false">Declarations!$C$38+(Declarations!$C$10-Declarations!$C$38)*EXP(-Declarations!$D$38*$B70)+IF(Declarations!$E$38=0,0,Declarations!$E$38*($B70/Declarations!$F$38)*EXP(1-$B70/Declarations!$F$38))+IF($B70&gt;=T_sale,Declarations!$G$38,0)</f>
        <v>65.394215714443</v>
      </c>
      <c r="O70" s="13" t="n">
        <f aca="false">C70*USD_pt</f>
        <v>485.062653499893</v>
      </c>
      <c r="P70" s="13" t="n">
        <f aca="false">C70*USD_pt-Floor_usd</f>
        <v>135.062653499893</v>
      </c>
      <c r="Q70" s="11" t="n">
        <f aca="false">Risk_ceiling-F70</f>
        <v>6.7085191328416</v>
      </c>
      <c r="R70" s="13" t="n">
        <f aca="false">MIN(Wf_today-Idx_lo,Idx_hi-Wf_today,D70-Idx_lo,Idx_hi-D70,E70-Idx_lo,Idx_hi-E70,F70-Idx_lo,Idx_hi-F70)</f>
        <v>31.7085191328416</v>
      </c>
      <c r="S70" s="13" t="n">
        <f aca="false">G70*USD_pt</f>
        <v>743.125516572729</v>
      </c>
      <c r="T70" s="13" t="n">
        <f aca="false">G70*USD_pt-Floor_usd</f>
        <v>393.125516572729</v>
      </c>
      <c r="U70" s="11" t="n">
        <f aca="false">Risk_ceiling-J70</f>
        <v>23.1415140136698</v>
      </c>
      <c r="V70" s="13" t="n">
        <f aca="false">MIN(Wf_today-Idx_lo,Idx_hi-Wf_today,H70-Idx_lo,Idx_hi-H70,I70-Idx_lo,Idx_hi-I70,J70-Idx_lo,Idx_hi-J70)</f>
        <v>27.1748168800304</v>
      </c>
      <c r="W70" s="13" t="n">
        <f aca="false">K70*USD_pt</f>
        <v>642.632270687623</v>
      </c>
      <c r="X70" s="13" t="n">
        <f aca="false">K70*USD_pt-Floor_usd</f>
        <v>292.632270687623</v>
      </c>
      <c r="Y70" s="11" t="n">
        <f aca="false">Risk_ceiling-N70</f>
        <v>9.60578428555697</v>
      </c>
      <c r="Z70" s="13" t="n">
        <f aca="false">MIN(Wf_today-Idx_lo,Idx_hi-Wf_today,L70-Idx_lo,Idx_hi-L70,M70-Idx_lo,Idx_hi-M70,N70-Idx_lo,Idx_hi-N70)</f>
        <v>23.2920383748815</v>
      </c>
    </row>
    <row r="71" customFormat="false" ht="15" hidden="false" customHeight="false" outlineLevel="0" collapsed="false">
      <c r="A71" s="19" t="n">
        <v>26</v>
      </c>
      <c r="B71" s="23" t="n">
        <f aca="false">A71/12</f>
        <v>2.16666666666667</v>
      </c>
      <c r="C71" s="11" t="n">
        <f aca="false">Declarations!$C$27+(Declarations!$C$4-Declarations!$C$27)*EXP(-Declarations!$D$27*$B71)+IF(Declarations!$E$27=0,0,Declarations!$E$27*($B71/Declarations!$F$27)*EXP(1-$B71/Declarations!$F$27))+IF($B71&gt;=T_sale,Declarations!$G$27,0)</f>
        <v>78.4706278381456</v>
      </c>
      <c r="D71" s="11" t="n">
        <f aca="false">Declarations!$C$28+(Declarations!$C$7-Declarations!$C$28)*EXP(-Declarations!$D$28*$B71)+IF(Declarations!$E$28=0,0,Declarations!$E$28*($B71/Declarations!$F$28)*EXP(1-$B71/Declarations!$F$28))+IF($B71&gt;=T_sale,Declarations!$G$28,0)</f>
        <v>66.762557915905</v>
      </c>
      <c r="E71" s="11" t="n">
        <f aca="false">Declarations!$C$29+(Declarations!$C$8-Declarations!$C$29)*EXP(-Declarations!$D$29*$B71)+IF(Declarations!$E$29=0,0,Declarations!$E$29*($B71/Declarations!$F$29)*EXP(1-$B71/Declarations!$F$29))+IF($B71&gt;=T_sale,Declarations!$G$29,0)</f>
        <v>66.6338623997701</v>
      </c>
      <c r="F71" s="11" t="n">
        <f aca="false">Declarations!$C$30+(Declarations!$C$10-Declarations!$C$30)*EXP(-Declarations!$D$30*$B71)+IF(Declarations!$E$30=0,0,Declarations!$E$30*($B71/Declarations!$F$30)*EXP(1-$B71/Declarations!$F$30))+IF($B71&gt;=T_sale,Declarations!$G$30,0)</f>
        <v>67.7596674474404</v>
      </c>
      <c r="G71" s="11" t="n">
        <f aca="false">Declarations!$C$31+(Declarations!$C$4-Declarations!$C$31)*EXP(-Declarations!$D$31*$B71)+IF(Declarations!$E$31=0,0,Declarations!$E$31*($B71/Declarations!$F$31)*EXP(1-$B71/Declarations!$F$31))+IF($B71&gt;=T_sale,Declarations!$G$31,0)</f>
        <v>119.911816892956</v>
      </c>
      <c r="H71" s="11" t="n">
        <f aca="false">Declarations!$C$32+(Declarations!$C$7-Declarations!$C$32)*EXP(-Declarations!$D$32*$B71)+IF(Declarations!$E$32=0,0,Declarations!$E$32*($B71/Declarations!$F$32)*EXP(1-$B71/Declarations!$F$32))+IF($B71&gt;=T_sale,Declarations!$G$32,0)</f>
        <v>39.7453334426294</v>
      </c>
      <c r="I71" s="11" t="n">
        <f aca="false">Declarations!$C$33+(Declarations!$C$8-Declarations!$C$33)*EXP(-Declarations!$D$33*$B71)+IF(Declarations!$E$33=0,0,Declarations!$E$33*($B71/Declarations!$F$33)*EXP(1-$B71/Declarations!$F$33))+IF($B71&gt;=T_sale,Declarations!$G$33,0)</f>
        <v>72.8684229393105</v>
      </c>
      <c r="J71" s="11" t="n">
        <f aca="false">Declarations!$C$34+(Declarations!$C$10-Declarations!$C$34)*EXP(-Declarations!$D$34*$B71)+IF(Declarations!$E$34=0,0,Declarations!$E$34*($B71/Declarations!$F$34)*EXP(1-$B71/Declarations!$F$34))+IF($B71&gt;=T_sale,Declarations!$G$34,0)</f>
        <v>51.7475721676211</v>
      </c>
      <c r="K71" s="11" t="n">
        <f aca="false">Declarations!$C$35+(Declarations!$C$4-Declarations!$C$35)*EXP(-Declarations!$D$35*$B71)+IF(Declarations!$E$35=0,0,Declarations!$E$35*($B71/Declarations!$F$35)*EXP(1-$B71/Declarations!$F$35))+IF($B71&gt;=T_sale,Declarations!$G$35,0)</f>
        <v>103.736845878621</v>
      </c>
      <c r="L71" s="11" t="n">
        <f aca="false">Declarations!$C$36+(Declarations!$C$7-Declarations!$C$36)*EXP(-Declarations!$D$36*$B71)+IF(Declarations!$E$36=0,0,Declarations!$E$36*($B71/Declarations!$F$36)*EXP(1-$B71/Declarations!$F$36))+IF($B71&gt;=T_sale,Declarations!$G$36,0)</f>
        <v>38.1867547280121</v>
      </c>
      <c r="M71" s="11" t="n">
        <f aca="false">Declarations!$C$37+(Declarations!$C$8-Declarations!$C$37)*EXP(-Declarations!$D$37*$B71)+IF(Declarations!$E$37=0,0,Declarations!$E$37*($B71/Declarations!$F$37)*EXP(1-$B71/Declarations!$F$37))+IF($B71&gt;=T_sale,Declarations!$G$37,0)</f>
        <v>76.8197456557279</v>
      </c>
      <c r="N71" s="11" t="n">
        <f aca="false">Declarations!$C$38+(Declarations!$C$10-Declarations!$C$38)*EXP(-Declarations!$D$38*$B71)+IF(Declarations!$E$38=0,0,Declarations!$E$38*($B71/Declarations!$F$38)*EXP(1-$B71/Declarations!$F$38))+IF($B71&gt;=T_sale,Declarations!$G$38,0)</f>
        <v>65.433862669717</v>
      </c>
      <c r="O71" s="13" t="n">
        <f aca="false">C71*USD_pt</f>
        <v>486.517892596503</v>
      </c>
      <c r="P71" s="13" t="n">
        <f aca="false">C71*USD_pt-Floor_usd</f>
        <v>136.517892596503</v>
      </c>
      <c r="Q71" s="11" t="n">
        <f aca="false">Risk_ceiling-F71</f>
        <v>7.24033255255961</v>
      </c>
      <c r="R71" s="13" t="n">
        <f aca="false">MIN(Wf_today-Idx_lo,Idx_hi-Wf_today,D71-Idx_lo,Idx_hi-D71,E71-Idx_lo,Idx_hi-E71,F71-Idx_lo,Idx_hi-F71)</f>
        <v>32.2403325525596</v>
      </c>
      <c r="S71" s="13" t="n">
        <f aca="false">G71*USD_pt</f>
        <v>743.453264736327</v>
      </c>
      <c r="T71" s="13" t="n">
        <f aca="false">G71*USD_pt-Floor_usd</f>
        <v>393.453264736327</v>
      </c>
      <c r="U71" s="11" t="n">
        <f aca="false">Risk_ceiling-J71</f>
        <v>23.2524278323789</v>
      </c>
      <c r="V71" s="13" t="n">
        <f aca="false">MIN(Wf_today-Idx_lo,Idx_hi-Wf_today,H71-Idx_lo,Idx_hi-H71,I71-Idx_lo,Idx_hi-I71,J71-Idx_lo,Idx_hi-J71)</f>
        <v>27.1315770606895</v>
      </c>
      <c r="W71" s="13" t="n">
        <f aca="false">K71*USD_pt</f>
        <v>643.168444447451</v>
      </c>
      <c r="X71" s="13" t="n">
        <f aca="false">K71*USD_pt-Floor_usd</f>
        <v>293.168444447451</v>
      </c>
      <c r="Y71" s="11" t="n">
        <f aca="false">Risk_ceiling-N71</f>
        <v>9.56613733028304</v>
      </c>
      <c r="Z71" s="13" t="n">
        <f aca="false">MIN(Wf_today-Idx_lo,Idx_hi-Wf_today,L71-Idx_lo,Idx_hi-L71,M71-Idx_lo,Idx_hi-M71,N71-Idx_lo,Idx_hi-N71)</f>
        <v>23.1802543442721</v>
      </c>
    </row>
    <row r="72" customFormat="false" ht="15" hidden="false" customHeight="false" outlineLevel="0" collapsed="false">
      <c r="A72" s="19" t="n">
        <v>27</v>
      </c>
      <c r="B72" s="23" t="n">
        <f aca="false">A72/12</f>
        <v>2.25</v>
      </c>
      <c r="C72" s="11" t="n">
        <f aca="false">Declarations!$C$27+(Declarations!$C$4-Declarations!$C$27)*EXP(-Declarations!$D$27*$B72)+IF(Declarations!$E$27=0,0,Declarations!$E$27*($B72/Declarations!$F$27)*EXP(1-$B72/Declarations!$F$27))+IF($B72&gt;=T_sale,Declarations!$G$27,0)</f>
        <v>78.7415776479672</v>
      </c>
      <c r="D72" s="11" t="n">
        <f aca="false">Declarations!$C$28+(Declarations!$C$7-Declarations!$C$28)*EXP(-Declarations!$D$28*$B72)+IF(Declarations!$E$28=0,0,Declarations!$E$28*($B72/Declarations!$F$28)*EXP(1-$B72/Declarations!$F$28))+IF($B72&gt;=T_sale,Declarations!$G$28,0)</f>
        <v>67.2659824081448</v>
      </c>
      <c r="E72" s="11" t="n">
        <f aca="false">Declarations!$C$29+(Declarations!$C$8-Declarations!$C$29)*EXP(-Declarations!$D$29*$B72)+IF(Declarations!$E$29=0,0,Declarations!$E$29*($B72/Declarations!$F$29)*EXP(1-$B72/Declarations!$F$29))+IF($B72&gt;=T_sale,Declarations!$G$29,0)</f>
        <v>66.8639212897294</v>
      </c>
      <c r="F72" s="11" t="n">
        <f aca="false">Declarations!$C$30+(Declarations!$C$10-Declarations!$C$30)*EXP(-Declarations!$D$30*$B72)+IF(Declarations!$E$30=0,0,Declarations!$E$30*($B72/Declarations!$F$30)*EXP(1-$B72/Declarations!$F$30))+IF($B72&gt;=T_sale,Declarations!$G$30,0)</f>
        <v>67.2280335931886</v>
      </c>
      <c r="G72" s="11" t="n">
        <f aca="false">Declarations!$C$31+(Declarations!$C$4-Declarations!$C$31)*EXP(-Declarations!$D$31*$B72)+IF(Declarations!$E$31=0,0,Declarations!$E$31*($B72/Declarations!$F$31)*EXP(1-$B72/Declarations!$F$31))+IF($B72&gt;=T_sale,Declarations!$G$31,0)</f>
        <v>119.96337431757</v>
      </c>
      <c r="H72" s="11" t="n">
        <f aca="false">Declarations!$C$32+(Declarations!$C$7-Declarations!$C$32)*EXP(-Declarations!$D$32*$B72)+IF(Declarations!$E$32=0,0,Declarations!$E$32*($B72/Declarations!$F$32)*EXP(1-$B72/Declarations!$F$32))+IF($B72&gt;=T_sale,Declarations!$G$32,0)</f>
        <v>39.7093484741928</v>
      </c>
      <c r="I72" s="11" t="n">
        <f aca="false">Declarations!$C$33+(Declarations!$C$8-Declarations!$C$33)*EXP(-Declarations!$D$33*$B72)+IF(Declarations!$E$33=0,0,Declarations!$E$33*($B72/Declarations!$F$33)*EXP(1-$B72/Declarations!$F$33))+IF($B72&gt;=T_sale,Declarations!$G$33,0)</f>
        <v>72.910071291923</v>
      </c>
      <c r="J72" s="11" t="n">
        <f aca="false">Declarations!$C$34+(Declarations!$C$10-Declarations!$C$34)*EXP(-Declarations!$D$34*$B72)+IF(Declarations!$E$34=0,0,Declarations!$E$34*($B72/Declarations!$F$34)*EXP(1-$B72/Declarations!$F$34))+IF($B72&gt;=T_sale,Declarations!$G$34,0)</f>
        <v>51.6398466137454</v>
      </c>
      <c r="K72" s="11" t="n">
        <f aca="false">Declarations!$C$35+(Declarations!$C$4-Declarations!$C$35)*EXP(-Declarations!$D$35*$B72)+IF(Declarations!$E$35=0,0,Declarations!$E$35*($B72/Declarations!$F$35)*EXP(1-$B72/Declarations!$F$35))+IF($B72&gt;=T_sale,Declarations!$G$35,0)</f>
        <v>103.820142583846</v>
      </c>
      <c r="L72" s="11" t="n">
        <f aca="false">Declarations!$C$36+(Declarations!$C$7-Declarations!$C$36)*EXP(-Declarations!$D$36*$B72)+IF(Declarations!$E$36=0,0,Declarations!$E$36*($B72/Declarations!$F$36)*EXP(1-$B72/Declarations!$F$36))+IF($B72&gt;=T_sale,Declarations!$G$36,0)</f>
        <v>38.1010252129742</v>
      </c>
      <c r="M72" s="11" t="n">
        <f aca="false">Declarations!$C$37+(Declarations!$C$8-Declarations!$C$37)*EXP(-Declarations!$D$37*$B72)+IF(Declarations!$E$37=0,0,Declarations!$E$37*($B72/Declarations!$F$37)*EXP(1-$B72/Declarations!$F$37))+IF($B72&gt;=T_sale,Declarations!$G$37,0)</f>
        <v>76.9260779148329</v>
      </c>
      <c r="N72" s="11" t="n">
        <f aca="false">Declarations!$C$38+(Declarations!$C$10-Declarations!$C$38)*EXP(-Declarations!$D$38*$B72)+IF(Declarations!$E$38=0,0,Declarations!$E$38*($B72/Declarations!$F$38)*EXP(1-$B72/Declarations!$F$38))+IF($B72&gt;=T_sale,Declarations!$G$38,0)</f>
        <v>65.4725307381774</v>
      </c>
      <c r="O72" s="13" t="n">
        <f aca="false">C72*USD_pt</f>
        <v>488.197781417396</v>
      </c>
      <c r="P72" s="13" t="n">
        <f aca="false">C72*USD_pt-Floor_usd</f>
        <v>138.197781417396</v>
      </c>
      <c r="Q72" s="11" t="n">
        <f aca="false">Risk_ceiling-F72</f>
        <v>7.77196640681137</v>
      </c>
      <c r="R72" s="13" t="n">
        <f aca="false">MIN(Wf_today-Idx_lo,Idx_hi-Wf_today,D72-Idx_lo,Idx_hi-D72,E72-Idx_lo,Idx_hi-E72,F72-Idx_lo,Idx_hi-F72)</f>
        <v>32.7340175918553</v>
      </c>
      <c r="S72" s="13" t="n">
        <f aca="false">G72*USD_pt</f>
        <v>743.772920768933</v>
      </c>
      <c r="T72" s="13" t="n">
        <f aca="false">G72*USD_pt-Floor_usd</f>
        <v>393.772920768933</v>
      </c>
      <c r="U72" s="11" t="n">
        <f aca="false">Risk_ceiling-J72</f>
        <v>23.3601533862546</v>
      </c>
      <c r="V72" s="13" t="n">
        <f aca="false">MIN(Wf_today-Idx_lo,Idx_hi-Wf_today,H72-Idx_lo,Idx_hi-H72,I72-Idx_lo,Idx_hi-I72,J72-Idx_lo,Idx_hi-J72)</f>
        <v>27.089928708077</v>
      </c>
      <c r="W72" s="13" t="n">
        <f aca="false">K72*USD_pt</f>
        <v>643.684884019845</v>
      </c>
      <c r="X72" s="13" t="n">
        <f aca="false">K72*USD_pt-Floor_usd</f>
        <v>293.684884019845</v>
      </c>
      <c r="Y72" s="11" t="n">
        <f aca="false">Risk_ceiling-N72</f>
        <v>9.52746926182265</v>
      </c>
      <c r="Z72" s="13" t="n">
        <f aca="false">MIN(Wf_today-Idx_lo,Idx_hi-Wf_today,L72-Idx_lo,Idx_hi-L72,M72-Idx_lo,Idx_hi-M72,N72-Idx_lo,Idx_hi-N72)</f>
        <v>23.0739220851671</v>
      </c>
    </row>
    <row r="73" customFormat="false" ht="15" hidden="false" customHeight="false" outlineLevel="0" collapsed="false">
      <c r="A73" s="19" t="n">
        <v>28</v>
      </c>
      <c r="B73" s="23" t="n">
        <f aca="false">A73/12</f>
        <v>2.33333333333333</v>
      </c>
      <c r="C73" s="11" t="n">
        <f aca="false">Declarations!$C$27+(Declarations!$C$4-Declarations!$C$27)*EXP(-Declarations!$D$27*$B73)+IF(Declarations!$E$27=0,0,Declarations!$E$27*($B73/Declarations!$F$27)*EXP(1-$B73/Declarations!$F$27))+IF($B73&gt;=T_sale,Declarations!$G$27,0)</f>
        <v>79.045437138559</v>
      </c>
      <c r="D73" s="11" t="n">
        <f aca="false">Declarations!$C$28+(Declarations!$C$7-Declarations!$C$28)*EXP(-Declarations!$D$28*$B73)+IF(Declarations!$E$28=0,0,Declarations!$E$28*($B73/Declarations!$F$28)*EXP(1-$B73/Declarations!$F$28))+IF($B73&gt;=T_sale,Declarations!$G$28,0)</f>
        <v>67.7468540616254</v>
      </c>
      <c r="E73" s="11" t="n">
        <f aca="false">Declarations!$C$29+(Declarations!$C$8-Declarations!$C$29)*EXP(-Declarations!$D$29*$B73)+IF(Declarations!$E$29=0,0,Declarations!$E$29*($B73/Declarations!$F$29)*EXP(1-$B73/Declarations!$F$29))+IF($B73&gt;=T_sale,Declarations!$G$29,0)</f>
        <v>67.0990327661884</v>
      </c>
      <c r="F73" s="11" t="n">
        <f aca="false">Declarations!$C$30+(Declarations!$C$10-Declarations!$C$30)*EXP(-Declarations!$D$30*$B73)+IF(Declarations!$E$30=0,0,Declarations!$E$30*($B73/Declarations!$F$30)*EXP(1-$B73/Declarations!$F$30))+IF($B73&gt;=T_sale,Declarations!$G$30,0)</f>
        <v>66.6987308354428</v>
      </c>
      <c r="G73" s="11" t="n">
        <f aca="false">Declarations!$C$31+(Declarations!$C$4-Declarations!$C$31)*EXP(-Declarations!$D$31*$B73)+IF(Declarations!$E$31=0,0,Declarations!$E$31*($B73/Declarations!$F$31)*EXP(1-$B73/Declarations!$F$31))+IF($B73&gt;=T_sale,Declarations!$G$31,0)</f>
        <v>120.013658784834</v>
      </c>
      <c r="H73" s="11" t="n">
        <f aca="false">Declarations!$C$32+(Declarations!$C$7-Declarations!$C$32)*EXP(-Declarations!$D$32*$B73)+IF(Declarations!$E$32=0,0,Declarations!$E$32*($B73/Declarations!$F$32)*EXP(1-$B73/Declarations!$F$32))+IF($B73&gt;=T_sale,Declarations!$G$32,0)</f>
        <v>39.6741054373101</v>
      </c>
      <c r="I73" s="11" t="n">
        <f aca="false">Declarations!$C$33+(Declarations!$C$8-Declarations!$C$33)*EXP(-Declarations!$D$33*$B73)+IF(Declarations!$E$33=0,0,Declarations!$E$33*($B73/Declarations!$F$33)*EXP(1-$B73/Declarations!$F$33))+IF($B73&gt;=T_sale,Declarations!$G$33,0)</f>
        <v>72.9501867526665</v>
      </c>
      <c r="J73" s="11" t="n">
        <f aca="false">Declarations!$C$34+(Declarations!$C$10-Declarations!$C$34)*EXP(-Declarations!$D$34*$B73)+IF(Declarations!$E$34=0,0,Declarations!$E$34*($B73/Declarations!$F$34)*EXP(1-$B73/Declarations!$F$34))+IF($B73&gt;=T_sale,Declarations!$G$34,0)</f>
        <v>51.5352176766762</v>
      </c>
      <c r="K73" s="11" t="n">
        <f aca="false">Declarations!$C$35+(Declarations!$C$4-Declarations!$C$35)*EXP(-Declarations!$D$35*$B73)+IF(Declarations!$E$35=0,0,Declarations!$E$35*($B73/Declarations!$F$35)*EXP(1-$B73/Declarations!$F$35))+IF($B73&gt;=T_sale,Declarations!$G$35,0)</f>
        <v>103.900373505333</v>
      </c>
      <c r="L73" s="11" t="n">
        <f aca="false">Declarations!$C$36+(Declarations!$C$7-Declarations!$C$36)*EXP(-Declarations!$D$36*$B73)+IF(Declarations!$E$36=0,0,Declarations!$E$36*($B73/Declarations!$F$36)*EXP(1-$B73/Declarations!$F$36))+IF($B73&gt;=T_sale,Declarations!$G$36,0)</f>
        <v>38.0167126821845</v>
      </c>
      <c r="M73" s="11" t="n">
        <f aca="false">Declarations!$C$37+(Declarations!$C$8-Declarations!$C$37)*EXP(-Declarations!$D$37*$B73)+IF(Declarations!$E$37=0,0,Declarations!$E$37*($B73/Declarations!$F$37)*EXP(1-$B73/Declarations!$F$37))+IF($B73&gt;=T_sale,Declarations!$G$37,0)</f>
        <v>77.0272242884672</v>
      </c>
      <c r="N73" s="11" t="n">
        <f aca="false">Declarations!$C$38+(Declarations!$C$10-Declarations!$C$38)*EXP(-Declarations!$D$38*$B73)+IF(Declarations!$E$38=0,0,Declarations!$E$38*($B73/Declarations!$F$38)*EXP(1-$B73/Declarations!$F$38))+IF($B73&gt;=T_sale,Declarations!$G$38,0)</f>
        <v>65.5102440886258</v>
      </c>
      <c r="O73" s="13" t="n">
        <f aca="false">C73*USD_pt</f>
        <v>490.081710259066</v>
      </c>
      <c r="P73" s="13" t="n">
        <f aca="false">C73*USD_pt-Floor_usd</f>
        <v>140.081710259066</v>
      </c>
      <c r="Q73" s="11" t="n">
        <f aca="false">Risk_ceiling-F73</f>
        <v>8.30126916455716</v>
      </c>
      <c r="R73" s="13" t="n">
        <f aca="false">MIN(Wf_today-Idx_lo,Idx_hi-Wf_today,D73-Idx_lo,Idx_hi-D73,E73-Idx_lo,Idx_hi-E73,F73-Idx_lo,Idx_hi-F73)</f>
        <v>32.2531459383746</v>
      </c>
      <c r="S73" s="13" t="n">
        <f aca="false">G73*USD_pt</f>
        <v>744.084684465973</v>
      </c>
      <c r="T73" s="13" t="n">
        <f aca="false">G73*USD_pt-Floor_usd</f>
        <v>394.084684465973</v>
      </c>
      <c r="U73" s="11" t="n">
        <f aca="false">Risk_ceiling-J73</f>
        <v>23.4647823233238</v>
      </c>
      <c r="V73" s="13" t="n">
        <f aca="false">MIN(Wf_today-Idx_lo,Idx_hi-Wf_today,H73-Idx_lo,Idx_hi-H73,I73-Idx_lo,Idx_hi-I73,J73-Idx_lo,Idx_hi-J73)</f>
        <v>27.0498132473335</v>
      </c>
      <c r="W73" s="13" t="n">
        <f aca="false">K73*USD_pt</f>
        <v>644.182315733065</v>
      </c>
      <c r="X73" s="13" t="n">
        <f aca="false">K73*USD_pt-Floor_usd</f>
        <v>294.182315733065</v>
      </c>
      <c r="Y73" s="11" t="n">
        <f aca="false">Risk_ceiling-N73</f>
        <v>9.48975591137423</v>
      </c>
      <c r="Z73" s="13" t="n">
        <f aca="false">MIN(Wf_today-Idx_lo,Idx_hi-Wf_today,L73-Idx_lo,Idx_hi-L73,M73-Idx_lo,Idx_hi-M73,N73-Idx_lo,Idx_hi-N73)</f>
        <v>22.9727757115328</v>
      </c>
    </row>
    <row r="74" customFormat="false" ht="15" hidden="false" customHeight="false" outlineLevel="0" collapsed="false">
      <c r="A74" s="19" t="n">
        <v>29</v>
      </c>
      <c r="B74" s="23" t="n">
        <f aca="false">A74/12</f>
        <v>2.41666666666667</v>
      </c>
      <c r="C74" s="11" t="n">
        <f aca="false">Declarations!$C$27+(Declarations!$C$4-Declarations!$C$27)*EXP(-Declarations!$D$27*$B74)+IF(Declarations!$E$27=0,0,Declarations!$E$27*($B74/Declarations!$F$27)*EXP(1-$B74/Declarations!$F$27))+IF($B74&gt;=T_sale,Declarations!$G$27,0)</f>
        <v>79.3790924409648</v>
      </c>
      <c r="D74" s="11" t="n">
        <f aca="false">Declarations!$C$28+(Declarations!$C$7-Declarations!$C$28)*EXP(-Declarations!$D$28*$B74)+IF(Declarations!$E$28=0,0,Declarations!$E$28*($B74/Declarations!$F$28)*EXP(1-$B74/Declarations!$F$28))+IF($B74&gt;=T_sale,Declarations!$G$28,0)</f>
        <v>68.2061832176076</v>
      </c>
      <c r="E74" s="11" t="n">
        <f aca="false">Declarations!$C$29+(Declarations!$C$8-Declarations!$C$29)*EXP(-Declarations!$D$29*$B74)+IF(Declarations!$E$29=0,0,Declarations!$E$29*($B74/Declarations!$F$29)*EXP(1-$B74/Declarations!$F$29))+IF($B74&gt;=T_sale,Declarations!$G$29,0)</f>
        <v>67.3379933873867</v>
      </c>
      <c r="F74" s="11" t="n">
        <f aca="false">Declarations!$C$30+(Declarations!$C$10-Declarations!$C$30)*EXP(-Declarations!$D$30*$B74)+IF(Declarations!$E$30=0,0,Declarations!$E$30*($B74/Declarations!$F$30)*EXP(1-$B74/Declarations!$F$30))+IF($B74&gt;=T_sale,Declarations!$G$30,0)</f>
        <v>66.1736283587675</v>
      </c>
      <c r="G74" s="11" t="n">
        <f aca="false">Declarations!$C$31+(Declarations!$C$4-Declarations!$C$31)*EXP(-Declarations!$D$31*$B74)+IF(Declarations!$E$31=0,0,Declarations!$E$31*($B74/Declarations!$F$31)*EXP(1-$B74/Declarations!$F$31))+IF($B74&gt;=T_sale,Declarations!$G$31,0)</f>
        <v>120.062701724179</v>
      </c>
      <c r="H74" s="11" t="n">
        <f aca="false">Declarations!$C$32+(Declarations!$C$7-Declarations!$C$32)*EXP(-Declarations!$D$32*$B74)+IF(Declarations!$E$32=0,0,Declarations!$E$32*($B74/Declarations!$F$32)*EXP(1-$B74/Declarations!$F$32))+IF($B74&gt;=T_sale,Declarations!$G$32,0)</f>
        <v>39.6395890349713</v>
      </c>
      <c r="I74" s="11" t="n">
        <f aca="false">Declarations!$C$33+(Declarations!$C$8-Declarations!$C$33)*EXP(-Declarations!$D$33*$B74)+IF(Declarations!$E$33=0,0,Declarations!$E$33*($B74/Declarations!$F$33)*EXP(1-$B74/Declarations!$F$33))+IF($B74&gt;=T_sale,Declarations!$G$33,0)</f>
        <v>72.988825740519</v>
      </c>
      <c r="J74" s="11" t="n">
        <f aca="false">Declarations!$C$34+(Declarations!$C$10-Declarations!$C$34)*EXP(-Declarations!$D$34*$B74)+IF(Declarations!$E$34=0,0,Declarations!$E$34*($B74/Declarations!$F$34)*EXP(1-$B74/Declarations!$F$34))+IF($B74&gt;=T_sale,Declarations!$G$34,0)</f>
        <v>51.433596342848</v>
      </c>
      <c r="K74" s="11" t="n">
        <f aca="false">Declarations!$C$35+(Declarations!$C$4-Declarations!$C$35)*EXP(-Declarations!$D$35*$B74)+IF(Declarations!$E$35=0,0,Declarations!$E$35*($B74/Declarations!$F$35)*EXP(1-$B74/Declarations!$F$35))+IF($B74&gt;=T_sale,Declarations!$G$35,0)</f>
        <v>103.977651481038</v>
      </c>
      <c r="L74" s="11" t="n">
        <f aca="false">Declarations!$C$36+(Declarations!$C$7-Declarations!$C$36)*EXP(-Declarations!$D$36*$B74)+IF(Declarations!$E$36=0,0,Declarations!$E$36*($B74/Declarations!$F$36)*EXP(1-$B74/Declarations!$F$36))+IF($B74&gt;=T_sale,Declarations!$G$36,0)</f>
        <v>37.9337937149533</v>
      </c>
      <c r="M74" s="11" t="n">
        <f aca="false">Declarations!$C$37+(Declarations!$C$8-Declarations!$C$37)*EXP(-Declarations!$D$37*$B74)+IF(Declarations!$E$37=0,0,Declarations!$E$37*($B74/Declarations!$F$37)*EXP(1-$B74/Declarations!$F$37))+IF($B74&gt;=T_sale,Declarations!$G$37,0)</f>
        <v>77.1234376952496</v>
      </c>
      <c r="N74" s="11" t="n">
        <f aca="false">Declarations!$C$38+(Declarations!$C$10-Declarations!$C$38)*EXP(-Declarations!$D$38*$B74)+IF(Declarations!$E$38=0,0,Declarations!$E$38*($B74/Declarations!$F$38)*EXP(1-$B74/Declarations!$F$38))+IF($B74&gt;=T_sale,Declarations!$G$38,0)</f>
        <v>65.5470262931339</v>
      </c>
      <c r="O74" s="13" t="n">
        <f aca="false">C74*USD_pt</f>
        <v>492.150373133982</v>
      </c>
      <c r="P74" s="13" t="n">
        <f aca="false">C74*USD_pt-Floor_usd</f>
        <v>142.150373133982</v>
      </c>
      <c r="Q74" s="11" t="n">
        <f aca="false">Risk_ceiling-F74</f>
        <v>8.8263716412325</v>
      </c>
      <c r="R74" s="13" t="n">
        <f aca="false">MIN(Wf_today-Idx_lo,Idx_hi-Wf_today,D74-Idx_lo,Idx_hi-D74,E74-Idx_lo,Idx_hi-E74,F74-Idx_lo,Idx_hi-F74)</f>
        <v>31.7938167823924</v>
      </c>
      <c r="S74" s="13" t="n">
        <f aca="false">G74*USD_pt</f>
        <v>744.388750689907</v>
      </c>
      <c r="T74" s="13" t="n">
        <f aca="false">G74*USD_pt-Floor_usd</f>
        <v>394.388750689907</v>
      </c>
      <c r="U74" s="11" t="n">
        <f aca="false">Risk_ceiling-J74</f>
        <v>23.566403657152</v>
      </c>
      <c r="V74" s="13" t="n">
        <f aca="false">MIN(Wf_today-Idx_lo,Idx_hi-Wf_today,H74-Idx_lo,Idx_hi-H74,I74-Idx_lo,Idx_hi-I74,J74-Idx_lo,Idx_hi-J74)</f>
        <v>27.011174259481</v>
      </c>
      <c r="W74" s="13" t="n">
        <f aca="false">K74*USD_pt</f>
        <v>644.661439182436</v>
      </c>
      <c r="X74" s="13" t="n">
        <f aca="false">K74*USD_pt-Floor_usd</f>
        <v>294.661439182436</v>
      </c>
      <c r="Y74" s="11" t="n">
        <f aca="false">Risk_ceiling-N74</f>
        <v>9.45297370686609</v>
      </c>
      <c r="Z74" s="13" t="n">
        <f aca="false">MIN(Wf_today-Idx_lo,Idx_hi-Wf_today,L74-Idx_lo,Idx_hi-L74,M74-Idx_lo,Idx_hi-M74,N74-Idx_lo,Idx_hi-N74)</f>
        <v>22.8765623047504</v>
      </c>
    </row>
    <row r="75" customFormat="false" ht="15" hidden="false" customHeight="false" outlineLevel="0" collapsed="false">
      <c r="A75" s="19" t="n">
        <v>30</v>
      </c>
      <c r="B75" s="23" t="n">
        <f aca="false">A75/12</f>
        <v>2.5</v>
      </c>
      <c r="C75" s="11" t="n">
        <f aca="false">Declarations!$C$27+(Declarations!$C$4-Declarations!$C$27)*EXP(-Declarations!$D$27*$B75)+IF(Declarations!$E$27=0,0,Declarations!$E$27*($B75/Declarations!$F$27)*EXP(1-$B75/Declarations!$F$27))+IF($B75&gt;=T_sale,Declarations!$G$27,0)</f>
        <v>79.7396283563587</v>
      </c>
      <c r="D75" s="11" t="n">
        <f aca="false">Declarations!$C$28+(Declarations!$C$7-Declarations!$C$28)*EXP(-Declarations!$D$28*$B75)+IF(Declarations!$E$28=0,0,Declarations!$E$28*($B75/Declarations!$F$28)*EXP(1-$B75/Declarations!$F$28))+IF($B75&gt;=T_sale,Declarations!$G$28,0)</f>
        <v>68.6449349552244</v>
      </c>
      <c r="E75" s="11" t="n">
        <f aca="false">Declarations!$C$29+(Declarations!$C$8-Declarations!$C$29)*EXP(-Declarations!$D$29*$B75)+IF(Declarations!$E$29=0,0,Declarations!$E$29*($B75/Declarations!$F$29)*EXP(1-$B75/Declarations!$F$29))+IF($B75&gt;=T_sale,Declarations!$G$29,0)</f>
        <v>67.57971443335</v>
      </c>
      <c r="F75" s="11" t="n">
        <f aca="false">Declarations!$C$30+(Declarations!$C$10-Declarations!$C$30)*EXP(-Declarations!$D$30*$B75)+IF(Declarations!$E$30=0,0,Declarations!$E$30*($B75/Declarations!$F$30)*EXP(1-$B75/Declarations!$F$30))+IF($B75&gt;=T_sale,Declarations!$G$30,0)</f>
        <v>65.6543409675087</v>
      </c>
      <c r="G75" s="11" t="n">
        <f aca="false">Declarations!$C$31+(Declarations!$C$4-Declarations!$C$31)*EXP(-Declarations!$D$31*$B75)+IF(Declarations!$E$31=0,0,Declarations!$E$31*($B75/Declarations!$F$31)*EXP(1-$B75/Declarations!$F$31))+IF($B75&gt;=T_sale,Declarations!$G$31,0)</f>
        <v>120.110533789036</v>
      </c>
      <c r="H75" s="11" t="n">
        <f aca="false">Declarations!$C$32+(Declarations!$C$7-Declarations!$C$32)*EXP(-Declarations!$D$32*$B75)+IF(Declarations!$E$32=0,0,Declarations!$E$32*($B75/Declarations!$F$32)*EXP(1-$B75/Declarations!$F$32))+IF($B75&gt;=T_sale,Declarations!$G$32,0)</f>
        <v>39.605784285557</v>
      </c>
      <c r="I75" s="11" t="n">
        <f aca="false">Declarations!$C$33+(Declarations!$C$8-Declarations!$C$33)*EXP(-Declarations!$D$33*$B75)+IF(Declarations!$E$33=0,0,Declarations!$E$33*($B75/Declarations!$F$33)*EXP(1-$B75/Declarations!$F$33))+IF($B75&gt;=T_sale,Declarations!$G$33,0)</f>
        <v>73.026042597925</v>
      </c>
      <c r="J75" s="11" t="n">
        <f aca="false">Declarations!$C$34+(Declarations!$C$10-Declarations!$C$34)*EXP(-Declarations!$D$34*$B75)+IF(Declarations!$E$34=0,0,Declarations!$E$34*($B75/Declarations!$F$34)*EXP(1-$B75/Declarations!$F$34))+IF($B75&gt;=T_sale,Declarations!$G$34,0)</f>
        <v>51.3348961574281</v>
      </c>
      <c r="K75" s="11" t="n">
        <f aca="false">Declarations!$C$35+(Declarations!$C$4-Declarations!$C$35)*EXP(-Declarations!$D$35*$B75)+IF(Declarations!$E$35=0,0,Declarations!$E$35*($B75/Declarations!$F$35)*EXP(1-$B75/Declarations!$F$35))+IF($B75&gt;=T_sale,Declarations!$G$35,0)</f>
        <v>104.05208519585</v>
      </c>
      <c r="L75" s="11" t="n">
        <f aca="false">Declarations!$C$36+(Declarations!$C$7-Declarations!$C$36)*EXP(-Declarations!$D$36*$B75)+IF(Declarations!$E$36=0,0,Declarations!$E$36*($B75/Declarations!$F$36)*EXP(1-$B75/Declarations!$F$36))+IF($B75&gt;=T_sale,Declarations!$G$36,0)</f>
        <v>37.8522452777011</v>
      </c>
      <c r="M75" s="11" t="n">
        <f aca="false">Declarations!$C$37+(Declarations!$C$8-Declarations!$C$37)*EXP(-Declarations!$D$37*$B75)+IF(Declarations!$E$37=0,0,Declarations!$E$37*($B75/Declarations!$F$37)*EXP(1-$B75/Declarations!$F$37))+IF($B75&gt;=T_sale,Declarations!$G$37,0)</f>
        <v>77.2149587188126</v>
      </c>
      <c r="N75" s="11" t="n">
        <f aca="false">Declarations!$C$38+(Declarations!$C$10-Declarations!$C$38)*EXP(-Declarations!$D$38*$B75)+IF(Declarations!$E$38=0,0,Declarations!$E$38*($B75/Declarations!$F$38)*EXP(1-$B75/Declarations!$F$38))+IF($B75&gt;=T_sale,Declarations!$G$38,0)</f>
        <v>65.582900341777</v>
      </c>
      <c r="O75" s="13" t="n">
        <f aca="false">C75*USD_pt</f>
        <v>494.385695809424</v>
      </c>
      <c r="P75" s="13" t="n">
        <f aca="false">C75*USD_pt-Floor_usd</f>
        <v>144.385695809424</v>
      </c>
      <c r="Q75" s="11" t="n">
        <f aca="false">Risk_ceiling-F75</f>
        <v>9.34565903249127</v>
      </c>
      <c r="R75" s="13" t="n">
        <f aca="false">MIN(Wf_today-Idx_lo,Idx_hi-Wf_today,D75-Idx_lo,Idx_hi-D75,E75-Idx_lo,Idx_hi-E75,F75-Idx_lo,Idx_hi-F75)</f>
        <v>31.3550650447756</v>
      </c>
      <c r="S75" s="13" t="n">
        <f aca="false">G75*USD_pt</f>
        <v>744.685309492023</v>
      </c>
      <c r="T75" s="13" t="n">
        <f aca="false">G75*USD_pt-Floor_usd</f>
        <v>394.685309492023</v>
      </c>
      <c r="U75" s="11" t="n">
        <f aca="false">Risk_ceiling-J75</f>
        <v>23.6651038425719</v>
      </c>
      <c r="V75" s="13" t="n">
        <f aca="false">MIN(Wf_today-Idx_lo,Idx_hi-Wf_today,H75-Idx_lo,Idx_hi-H75,I75-Idx_lo,Idx_hi-I75,J75-Idx_lo,Idx_hi-J75)</f>
        <v>26.973957402075</v>
      </c>
      <c r="W75" s="13" t="n">
        <f aca="false">K75*USD_pt</f>
        <v>645.122928214269</v>
      </c>
      <c r="X75" s="13" t="n">
        <f aca="false">K75*USD_pt-Floor_usd</f>
        <v>295.122928214269</v>
      </c>
      <c r="Y75" s="11" t="n">
        <f aca="false">Risk_ceiling-N75</f>
        <v>9.41709965822304</v>
      </c>
      <c r="Z75" s="13" t="n">
        <f aca="false">MIN(Wf_today-Idx_lo,Idx_hi-Wf_today,L75-Idx_lo,Idx_hi-L75,M75-Idx_lo,Idx_hi-M75,N75-Idx_lo,Idx_hi-N75)</f>
        <v>22.7850412811874</v>
      </c>
    </row>
    <row r="76" customFormat="false" ht="15" hidden="false" customHeight="false" outlineLevel="0" collapsed="false">
      <c r="A76" s="19" t="n">
        <v>31</v>
      </c>
      <c r="B76" s="23" t="n">
        <f aca="false">A76/12</f>
        <v>2.58333333333333</v>
      </c>
      <c r="C76" s="11" t="n">
        <f aca="false">Declarations!$C$27+(Declarations!$C$4-Declarations!$C$27)*EXP(-Declarations!$D$27*$B76)+IF(Declarations!$E$27=0,0,Declarations!$E$27*($B76/Declarations!$F$27)*EXP(1-$B76/Declarations!$F$27))+IF($B76&gt;=T_sale,Declarations!$G$27,0)</f>
        <v>80.1243173459593</v>
      </c>
      <c r="D76" s="11" t="n">
        <f aca="false">Declarations!$C$28+(Declarations!$C$7-Declarations!$C$28)*EXP(-Declarations!$D$28*$B76)+IF(Declarations!$E$28=0,0,Declarations!$E$28*($B76/Declarations!$F$28)*EXP(1-$B76/Declarations!$F$28))+IF($B76&gt;=T_sale,Declarations!$G$28,0)</f>
        <v>69.0640311191727</v>
      </c>
      <c r="E76" s="11" t="n">
        <f aca="false">Declarations!$C$29+(Declarations!$C$8-Declarations!$C$29)*EXP(-Declarations!$D$29*$B76)+IF(Declarations!$E$29=0,0,Declarations!$E$29*($B76/Declarations!$F$29)*EXP(1-$B76/Declarations!$F$29))+IF($B76&gt;=T_sale,Declarations!$G$29,0)</f>
        <v>67.8232130453035</v>
      </c>
      <c r="F76" s="11" t="n">
        <f aca="false">Declarations!$C$30+(Declarations!$C$10-Declarations!$C$30)*EXP(-Declarations!$D$30*$B76)+IF(Declarations!$E$30=0,0,Declarations!$E$30*($B76/Declarations!$F$30)*EXP(1-$B76/Declarations!$F$30))+IF($B76&gt;=T_sale,Declarations!$G$30,0)</f>
        <v>65.1422545781151</v>
      </c>
      <c r="G76" s="11" t="n">
        <f aca="false">Declarations!$C$31+(Declarations!$C$4-Declarations!$C$31)*EXP(-Declarations!$D$31*$B76)+IF(Declarations!$E$31=0,0,Declarations!$E$31*($B76/Declarations!$F$31)*EXP(1-$B76/Declarations!$F$31))+IF($B76&gt;=T_sale,Declarations!$G$31,0)</f>
        <v>120.157184876004</v>
      </c>
      <c r="H76" s="11" t="n">
        <f aca="false">Declarations!$C$32+(Declarations!$C$7-Declarations!$C$32)*EXP(-Declarations!$D$32*$B76)+IF(Declarations!$E$32=0,0,Declarations!$E$32*($B76/Declarations!$F$32)*EXP(1-$B76/Declarations!$F$32))+IF($B76&gt;=T_sale,Declarations!$G$32,0)</f>
        <v>39.5726765163362</v>
      </c>
      <c r="I76" s="11" t="n">
        <f aca="false">Declarations!$C$33+(Declarations!$C$8-Declarations!$C$33)*EXP(-Declarations!$D$33*$B76)+IF(Declarations!$E$33=0,0,Declarations!$E$33*($B76/Declarations!$F$33)*EXP(1-$B76/Declarations!$F$33))+IF($B76&gt;=T_sale,Declarations!$G$33,0)</f>
        <v>73.0618896672234</v>
      </c>
      <c r="J76" s="11" t="n">
        <f aca="false">Declarations!$C$34+(Declarations!$C$10-Declarations!$C$34)*EXP(-Declarations!$D$34*$B76)+IF(Declarations!$E$34=0,0,Declarations!$E$34*($B76/Declarations!$F$34)*EXP(1-$B76/Declarations!$F$34))+IF($B76&gt;=T_sale,Declarations!$G$34,0)</f>
        <v>51.2390331507645</v>
      </c>
      <c r="K76" s="11" t="n">
        <f aca="false">Declarations!$C$35+(Declarations!$C$4-Declarations!$C$35)*EXP(-Declarations!$D$35*$B76)+IF(Declarations!$E$35=0,0,Declarations!$E$35*($B76/Declarations!$F$35)*EXP(1-$B76/Declarations!$F$35))+IF($B76&gt;=T_sale,Declarations!$G$35,0)</f>
        <v>104.123779334447</v>
      </c>
      <c r="L76" s="11" t="n">
        <f aca="false">Declarations!$C$36+(Declarations!$C$7-Declarations!$C$36)*EXP(-Declarations!$D$36*$B76)+IF(Declarations!$E$36=0,0,Declarations!$E$36*($B76/Declarations!$F$36)*EXP(1-$B76/Declarations!$F$36))+IF($B76&gt;=T_sale,Declarations!$G$36,0)</f>
        <v>37.7720447175597</v>
      </c>
      <c r="M76" s="11" t="n">
        <f aca="false">Declarations!$C$37+(Declarations!$C$8-Declarations!$C$37)*EXP(-Declarations!$D$37*$B76)+IF(Declarations!$E$37=0,0,Declarations!$E$37*($B76/Declarations!$F$37)*EXP(1-$B76/Declarations!$F$37))+IF($B76&gt;=T_sale,Declarations!$G$37,0)</f>
        <v>77.3020162093861</v>
      </c>
      <c r="N76" s="11" t="n">
        <f aca="false">Declarations!$C$38+(Declarations!$C$10-Declarations!$C$38)*EXP(-Declarations!$D$38*$B76)+IF(Declarations!$E$38=0,0,Declarations!$E$38*($B76/Declarations!$F$38)*EXP(1-$B76/Declarations!$F$38))+IF($B76&gt;=T_sale,Declarations!$G$38,0)</f>
        <v>65.6178886570031</v>
      </c>
      <c r="O76" s="13" t="n">
        <f aca="false">C76*USD_pt</f>
        <v>496.770767544947</v>
      </c>
      <c r="P76" s="13" t="n">
        <f aca="false">C76*USD_pt-Floor_usd</f>
        <v>146.770767544947</v>
      </c>
      <c r="Q76" s="11" t="n">
        <f aca="false">Risk_ceiling-F76</f>
        <v>9.85774542188494</v>
      </c>
      <c r="R76" s="13" t="n">
        <f aca="false">MIN(Wf_today-Idx_lo,Idx_hi-Wf_today,D76-Idx_lo,Idx_hi-D76,E76-Idx_lo,Idx_hi-E76,F76-Idx_lo,Idx_hi-F76)</f>
        <v>30.9359688808273</v>
      </c>
      <c r="S76" s="13" t="n">
        <f aca="false">G76*USD_pt</f>
        <v>744.974546231226</v>
      </c>
      <c r="T76" s="13" t="n">
        <f aca="false">G76*USD_pt-Floor_usd</f>
        <v>394.974546231226</v>
      </c>
      <c r="U76" s="11" t="n">
        <f aca="false">Risk_ceiling-J76</f>
        <v>23.7609668492355</v>
      </c>
      <c r="V76" s="13" t="n">
        <f aca="false">MIN(Wf_today-Idx_lo,Idx_hi-Wf_today,H76-Idx_lo,Idx_hi-H76,I76-Idx_lo,Idx_hi-I76,J76-Idx_lo,Idx_hi-J76)</f>
        <v>26.9381103327766</v>
      </c>
      <c r="W76" s="13" t="n">
        <f aca="false">K76*USD_pt</f>
        <v>645.567431873571</v>
      </c>
      <c r="X76" s="13" t="n">
        <f aca="false">K76*USD_pt-Floor_usd</f>
        <v>295.567431873571</v>
      </c>
      <c r="Y76" s="11" t="n">
        <f aca="false">Risk_ceiling-N76</f>
        <v>9.38211134299689</v>
      </c>
      <c r="Z76" s="13" t="n">
        <f aca="false">MIN(Wf_today-Idx_lo,Idx_hi-Wf_today,L76-Idx_lo,Idx_hi-L76,M76-Idx_lo,Idx_hi-M76,N76-Idx_lo,Idx_hi-N76)</f>
        <v>22.6979837906139</v>
      </c>
    </row>
    <row r="77" customFormat="false" ht="15" hidden="false" customHeight="false" outlineLevel="0" collapsed="false">
      <c r="A77" s="19" t="n">
        <v>32</v>
      </c>
      <c r="B77" s="23" t="n">
        <f aca="false">A77/12</f>
        <v>2.66666666666667</v>
      </c>
      <c r="C77" s="11" t="n">
        <f aca="false">Declarations!$C$27+(Declarations!$C$4-Declarations!$C$27)*EXP(-Declarations!$D$27*$B77)+IF(Declarations!$E$27=0,0,Declarations!$E$27*($B77/Declarations!$F$27)*EXP(1-$B77/Declarations!$F$27))+IF($B77&gt;=T_sale,Declarations!$G$27,0)</f>
        <v>80.5306090881554</v>
      </c>
      <c r="D77" s="11" t="n">
        <f aca="false">Declarations!$C$28+(Declarations!$C$7-Declarations!$C$28)*EXP(-Declarations!$D$28*$B77)+IF(Declarations!$E$28=0,0,Declarations!$E$28*($B77/Declarations!$F$28)*EXP(1-$B77/Declarations!$F$28))+IF($B77&gt;=T_sale,Declarations!$G$28,0)</f>
        <v>69.4643522565664</v>
      </c>
      <c r="E77" s="11" t="n">
        <f aca="false">Declarations!$C$29+(Declarations!$C$8-Declarations!$C$29)*EXP(-Declarations!$D$29*$B77)+IF(Declarations!$E$29=0,0,Declarations!$E$29*($B77/Declarations!$F$29)*EXP(1-$B77/Declarations!$F$29))+IF($B77&gt;=T_sale,Declarations!$G$29,0)</f>
        <v>68.0676039867308</v>
      </c>
      <c r="F77" s="11" t="n">
        <f aca="false">Declarations!$C$30+(Declarations!$C$10-Declarations!$C$30)*EXP(-Declarations!$D$30*$B77)+IF(Declarations!$E$30=0,0,Declarations!$E$30*($B77/Declarations!$F$30)*EXP(1-$B77/Declarations!$F$30))+IF($B77&gt;=T_sale,Declarations!$G$30,0)</f>
        <v>64.6385494433426</v>
      </c>
      <c r="G77" s="11" t="n">
        <f aca="false">Declarations!$C$31+(Declarations!$C$4-Declarations!$C$31)*EXP(-Declarations!$D$31*$B77)+IF(Declarations!$E$31=0,0,Declarations!$E$31*($B77/Declarations!$F$31)*EXP(1-$B77/Declarations!$F$31))+IF($B77&gt;=T_sale,Declarations!$G$31,0)</f>
        <v>120.202684143531</v>
      </c>
      <c r="H77" s="11" t="n">
        <f aca="false">Declarations!$C$32+(Declarations!$C$7-Declarations!$C$32)*EXP(-Declarations!$D$32*$B77)+IF(Declarations!$E$32=0,0,Declarations!$E$32*($B77/Declarations!$F$32)*EXP(1-$B77/Declarations!$F$32))+IF($B77&gt;=T_sale,Declarations!$G$32,0)</f>
        <v>39.5402513570978</v>
      </c>
      <c r="I77" s="11" t="n">
        <f aca="false">Declarations!$C$33+(Declarations!$C$8-Declarations!$C$33)*EXP(-Declarations!$D$33*$B77)+IF(Declarations!$E$33=0,0,Declarations!$E$33*($B77/Declarations!$F$33)*EXP(1-$B77/Declarations!$F$33))+IF($B77&gt;=T_sale,Declarations!$G$33,0)</f>
        <v>73.0964173642634</v>
      </c>
      <c r="J77" s="11" t="n">
        <f aca="false">Declarations!$C$34+(Declarations!$C$10-Declarations!$C$34)*EXP(-Declarations!$D$34*$B77)+IF(Declarations!$E$34=0,0,Declarations!$E$34*($B77/Declarations!$F$34)*EXP(1-$B77/Declarations!$F$34))+IF($B77&gt;=T_sale,Declarations!$G$34,0)</f>
        <v>51.1459257669488</v>
      </c>
      <c r="K77" s="11" t="n">
        <f aca="false">Declarations!$C$35+(Declarations!$C$4-Declarations!$C$35)*EXP(-Declarations!$D$35*$B77)+IF(Declarations!$E$35=0,0,Declarations!$E$35*($B77/Declarations!$F$35)*EXP(1-$B77/Declarations!$F$35))+IF($B77&gt;=T_sale,Declarations!$G$35,0)</f>
        <v>104.192834728527</v>
      </c>
      <c r="L77" s="11" t="n">
        <f aca="false">Declarations!$C$36+(Declarations!$C$7-Declarations!$C$36)*EXP(-Declarations!$D$36*$B77)+IF(Declarations!$E$36=0,0,Declarations!$E$36*($B77/Declarations!$F$36)*EXP(1-$B77/Declarations!$F$36))+IF($B77&gt;=T_sale,Declarations!$G$36,0)</f>
        <v>37.6931697560803</v>
      </c>
      <c r="M77" s="11" t="n">
        <f aca="false">Declarations!$C$37+(Declarations!$C$8-Declarations!$C$37)*EXP(-Declarations!$D$37*$B77)+IF(Declarations!$E$37=0,0,Declarations!$E$37*($B77/Declarations!$F$37)*EXP(1-$B77/Declarations!$F$37))+IF($B77&gt;=T_sale,Declarations!$G$37,0)</f>
        <v>77.3848278560428</v>
      </c>
      <c r="N77" s="11" t="n">
        <f aca="false">Declarations!$C$38+(Declarations!$C$10-Declarations!$C$38)*EXP(-Declarations!$D$38*$B77)+IF(Declarations!$E$38=0,0,Declarations!$E$38*($B77/Declarations!$F$38)*EXP(1-$B77/Declarations!$F$38))+IF($B77&gt;=T_sale,Declarations!$G$38,0)</f>
        <v>65.6520131076483</v>
      </c>
      <c r="O77" s="13" t="n">
        <f aca="false">C77*USD_pt</f>
        <v>499.289776346563</v>
      </c>
      <c r="P77" s="13" t="n">
        <f aca="false">C77*USD_pt-Floor_usd</f>
        <v>149.289776346563</v>
      </c>
      <c r="Q77" s="11" t="n">
        <f aca="false">Risk_ceiling-F77</f>
        <v>10.3614505566574</v>
      </c>
      <c r="R77" s="13" t="n">
        <f aca="false">MIN(Wf_today-Idx_lo,Idx_hi-Wf_today,D77-Idx_lo,Idx_hi-D77,E77-Idx_lo,Idx_hi-E77,F77-Idx_lo,Idx_hi-F77)</f>
        <v>30.5356477434336</v>
      </c>
      <c r="S77" s="13" t="n">
        <f aca="false">G77*USD_pt</f>
        <v>745.256641689893</v>
      </c>
      <c r="T77" s="13" t="n">
        <f aca="false">G77*USD_pt-Floor_usd</f>
        <v>395.256641689893</v>
      </c>
      <c r="U77" s="11" t="n">
        <f aca="false">Risk_ceiling-J77</f>
        <v>23.8540742330512</v>
      </c>
      <c r="V77" s="13" t="n">
        <f aca="false">MIN(Wf_today-Idx_lo,Idx_hi-Wf_today,H77-Idx_lo,Idx_hi-H77,I77-Idx_lo,Idx_hi-I77,J77-Idx_lo,Idx_hi-J77)</f>
        <v>26.9035826357366</v>
      </c>
      <c r="W77" s="13" t="n">
        <f aca="false">K77*USD_pt</f>
        <v>645.995575316866</v>
      </c>
      <c r="X77" s="13" t="n">
        <f aca="false">K77*USD_pt-Floor_usd</f>
        <v>295.995575316866</v>
      </c>
      <c r="Y77" s="11" t="n">
        <f aca="false">Risk_ceiling-N77</f>
        <v>9.34798689235167</v>
      </c>
      <c r="Z77" s="13" t="n">
        <f aca="false">MIN(Wf_today-Idx_lo,Idx_hi-Wf_today,L77-Idx_lo,Idx_hi-L77,M77-Idx_lo,Idx_hi-M77,N77-Idx_lo,Idx_hi-N77)</f>
        <v>22.6151721439572</v>
      </c>
    </row>
    <row r="78" customFormat="false" ht="15" hidden="false" customHeight="false" outlineLevel="0" collapsed="false">
      <c r="A78" s="19" t="n">
        <v>33</v>
      </c>
      <c r="B78" s="23" t="n">
        <f aca="false">A78/12</f>
        <v>2.75</v>
      </c>
      <c r="C78" s="11" t="n">
        <f aca="false">Declarations!$C$27+(Declarations!$C$4-Declarations!$C$27)*EXP(-Declarations!$D$27*$B78)+IF(Declarations!$E$27=0,0,Declarations!$E$27*($B78/Declarations!$F$27)*EXP(1-$B78/Declarations!$F$27))+IF($B78&gt;=T_sale,Declarations!$G$27,0)</f>
        <v>80.9561205749002</v>
      </c>
      <c r="D78" s="11" t="n">
        <f aca="false">Declarations!$C$28+(Declarations!$C$7-Declarations!$C$28)*EXP(-Declarations!$D$28*$B78)+IF(Declarations!$E$28=0,0,Declarations!$E$28*($B78/Declarations!$F$28)*EXP(1-$B78/Declarations!$F$28))+IF($B78&gt;=T_sale,Declarations!$G$28,0)</f>
        <v>69.8467394670203</v>
      </c>
      <c r="E78" s="11" t="n">
        <f aca="false">Declarations!$C$29+(Declarations!$C$8-Declarations!$C$29)*EXP(-Declarations!$D$29*$B78)+IF(Declarations!$E$29=0,0,Declarations!$E$29*($B78/Declarations!$F$29)*EXP(1-$B78/Declarations!$F$29))+IF($B78&gt;=T_sale,Declarations!$G$29,0)</f>
        <v>68.3120919848047</v>
      </c>
      <c r="F78" s="11" t="n">
        <f aca="false">Declarations!$C$30+(Declarations!$C$10-Declarations!$C$30)*EXP(-Declarations!$D$30*$B78)+IF(Declarations!$E$30=0,0,Declarations!$E$30*($B78/Declarations!$F$30)*EXP(1-$B78/Declarations!$F$30))+IF($B78&gt;=T_sale,Declarations!$G$30,0)</f>
        <v>64.144221297692</v>
      </c>
      <c r="G78" s="11" t="n">
        <f aca="false">Declarations!$C$31+(Declarations!$C$4-Declarations!$C$31)*EXP(-Declarations!$D$31*$B78)+IF(Declarations!$E$31=0,0,Declarations!$E$31*($B78/Declarations!$F$31)*EXP(1-$B78/Declarations!$F$31))+IF($B78&gt;=T_sale,Declarations!$G$31,0)</f>
        <v>120.24706003014</v>
      </c>
      <c r="H78" s="11" t="n">
        <f aca="false">Declarations!$C$32+(Declarations!$C$7-Declarations!$C$32)*EXP(-Declarations!$D$32*$B78)+IF(Declarations!$E$32=0,0,Declarations!$E$32*($B78/Declarations!$F$32)*EXP(1-$B78/Declarations!$F$32))+IF($B78&gt;=T_sale,Declarations!$G$32,0)</f>
        <v>39.5084947339128</v>
      </c>
      <c r="I78" s="11" t="n">
        <f aca="false">Declarations!$C$33+(Declarations!$C$8-Declarations!$C$33)*EXP(-Declarations!$D$33*$B78)+IF(Declarations!$E$33=0,0,Declarations!$E$33*($B78/Declarations!$F$33)*EXP(1-$B78/Declarations!$F$33))+IF($B78&gt;=T_sale,Declarations!$G$33,0)</f>
        <v>73.129674249309</v>
      </c>
      <c r="J78" s="11" t="n">
        <f aca="false">Declarations!$C$34+(Declarations!$C$10-Declarations!$C$34)*EXP(-Declarations!$D$34*$B78)+IF(Declarations!$E$34=0,0,Declarations!$E$34*($B78/Declarations!$F$34)*EXP(1-$B78/Declarations!$F$34))+IF($B78&gt;=T_sale,Declarations!$G$34,0)</f>
        <v>51.0554947944316</v>
      </c>
      <c r="K78" s="11" t="n">
        <f aca="false">Declarations!$C$35+(Declarations!$C$4-Declarations!$C$35)*EXP(-Declarations!$D$35*$B78)+IF(Declarations!$E$35=0,0,Declarations!$E$35*($B78/Declarations!$F$35)*EXP(1-$B78/Declarations!$F$35))+IF($B78&gt;=T_sale,Declarations!$G$35,0)</f>
        <v>104.259348498618</v>
      </c>
      <c r="L78" s="11" t="n">
        <f aca="false">Declarations!$C$36+(Declarations!$C$7-Declarations!$C$36)*EXP(-Declarations!$D$36*$B78)+IF(Declarations!$E$36=0,0,Declarations!$E$36*($B78/Declarations!$F$36)*EXP(1-$B78/Declarations!$F$36))+IF($B78&gt;=T_sale,Declarations!$G$36,0)</f>
        <v>37.6155984830439</v>
      </c>
      <c r="M78" s="11" t="n">
        <f aca="false">Declarations!$C$37+(Declarations!$C$8-Declarations!$C$37)*EXP(-Declarations!$D$37*$B78)+IF(Declarations!$E$37=0,0,Declarations!$E$37*($B78/Declarations!$F$37)*EXP(1-$B78/Declarations!$F$37))+IF($B78&gt;=T_sale,Declarations!$G$37,0)</f>
        <v>77.463600731034</v>
      </c>
      <c r="N78" s="11" t="n">
        <f aca="false">Declarations!$C$38+(Declarations!$C$10-Declarations!$C$38)*EXP(-Declarations!$D$38*$B78)+IF(Declarations!$E$38=0,0,Declarations!$E$38*($B78/Declarations!$F$38)*EXP(1-$B78/Declarations!$F$38))+IF($B78&gt;=T_sale,Declarations!$G$38,0)</f>
        <v>65.6852950226052</v>
      </c>
      <c r="O78" s="13" t="n">
        <f aca="false">C78*USD_pt</f>
        <v>501.927947564381</v>
      </c>
      <c r="P78" s="13" t="n">
        <f aca="false">C78*USD_pt-Floor_usd</f>
        <v>151.927947564381</v>
      </c>
      <c r="Q78" s="11" t="n">
        <f aca="false">Risk_ceiling-F78</f>
        <v>10.855778702308</v>
      </c>
      <c r="R78" s="13" t="n">
        <f aca="false">MIN(Wf_today-Idx_lo,Idx_hi-Wf_today,D78-Idx_lo,Idx_hi-D78,E78-Idx_lo,Idx_hi-E78,F78-Idx_lo,Idx_hi-F78)</f>
        <v>30.1532605329797</v>
      </c>
      <c r="S78" s="13" t="n">
        <f aca="false">G78*USD_pt</f>
        <v>745.531772186869</v>
      </c>
      <c r="T78" s="13" t="n">
        <f aca="false">G78*USD_pt-Floor_usd</f>
        <v>395.531772186869</v>
      </c>
      <c r="U78" s="11" t="n">
        <f aca="false">Risk_ceiling-J78</f>
        <v>23.9445052055684</v>
      </c>
      <c r="V78" s="13" t="n">
        <f aca="false">MIN(Wf_today-Idx_lo,Idx_hi-Wf_today,H78-Idx_lo,Idx_hi-H78,I78-Idx_lo,Idx_hi-I78,J78-Idx_lo,Idx_hi-J78)</f>
        <v>26.870325750691</v>
      </c>
      <c r="W78" s="13" t="n">
        <f aca="false">K78*USD_pt</f>
        <v>646.407960691432</v>
      </c>
      <c r="X78" s="13" t="n">
        <f aca="false">K78*USD_pt-Floor_usd</f>
        <v>296.407960691432</v>
      </c>
      <c r="Y78" s="11" t="n">
        <f aca="false">Risk_ceiling-N78</f>
        <v>9.31470497739485</v>
      </c>
      <c r="Z78" s="13" t="n">
        <f aca="false">MIN(Wf_today-Idx_lo,Idx_hi-Wf_today,L78-Idx_lo,Idx_hi-L78,M78-Idx_lo,Idx_hi-M78,N78-Idx_lo,Idx_hi-N78)</f>
        <v>22.536399268966</v>
      </c>
    </row>
    <row r="79" customFormat="false" ht="15" hidden="false" customHeight="false" outlineLevel="0" collapsed="false">
      <c r="A79" s="19" t="n">
        <v>34</v>
      </c>
      <c r="B79" s="23" t="n">
        <f aca="false">A79/12</f>
        <v>2.83333333333333</v>
      </c>
      <c r="C79" s="11" t="n">
        <f aca="false">Declarations!$C$27+(Declarations!$C$4-Declarations!$C$27)*EXP(-Declarations!$D$27*$B79)+IF(Declarations!$E$27=0,0,Declarations!$E$27*($B79/Declarations!$F$27)*EXP(1-$B79/Declarations!$F$27))+IF($B79&gt;=T_sale,Declarations!$G$27,0)</f>
        <v>81.3986267207659</v>
      </c>
      <c r="D79" s="11" t="n">
        <f aca="false">Declarations!$C$28+(Declarations!$C$7-Declarations!$C$28)*EXP(-Declarations!$D$28*$B79)+IF(Declarations!$E$28=0,0,Declarations!$E$28*($B79/Declarations!$F$28)*EXP(1-$B79/Declarations!$F$28))+IF($B79&gt;=T_sale,Declarations!$G$28,0)</f>
        <v>70.2119961698534</v>
      </c>
      <c r="E79" s="11" t="n">
        <f aca="false">Declarations!$C$29+(Declarations!$C$8-Declarations!$C$29)*EXP(-Declarations!$D$29*$B79)+IF(Declarations!$E$29=0,0,Declarations!$E$29*($B79/Declarations!$F$29)*EXP(1-$B79/Declarations!$F$29))+IF($B79&gt;=T_sale,Declarations!$G$29,0)</f>
        <v>68.5559646135639</v>
      </c>
      <c r="F79" s="11" t="n">
        <f aca="false">Declarations!$C$30+(Declarations!$C$10-Declarations!$C$30)*EXP(-Declarations!$D$30*$B79)+IF(Declarations!$E$30=0,0,Declarations!$E$30*($B79/Declarations!$F$30)*EXP(1-$B79/Declarations!$F$30))+IF($B79&gt;=T_sale,Declarations!$G$30,0)</f>
        <v>63.6601005982351</v>
      </c>
      <c r="G79" s="11" t="n">
        <f aca="false">Declarations!$C$31+(Declarations!$C$4-Declarations!$C$31)*EXP(-Declarations!$D$31*$B79)+IF(Declarations!$E$31=0,0,Declarations!$E$31*($B79/Declarations!$F$31)*EXP(1-$B79/Declarations!$F$31))+IF($B79&gt;=T_sale,Declarations!$G$31,0)</f>
        <v>120.290340272205</v>
      </c>
      <c r="H79" s="11" t="n">
        <f aca="false">Declarations!$C$32+(Declarations!$C$7-Declarations!$C$32)*EXP(-Declarations!$D$32*$B79)+IF(Declarations!$E$32=0,0,Declarations!$E$32*($B79/Declarations!$F$32)*EXP(1-$B79/Declarations!$F$32))+IF($B79&gt;=T_sale,Declarations!$G$32,0)</f>
        <v>39.4773928630262</v>
      </c>
      <c r="I79" s="11" t="n">
        <f aca="false">Declarations!$C$33+(Declarations!$C$8-Declarations!$C$33)*EXP(-Declarations!$D$33*$B79)+IF(Declarations!$E$33=0,0,Declarations!$E$33*($B79/Declarations!$F$33)*EXP(1-$B79/Declarations!$F$33))+IF($B79&gt;=T_sale,Declarations!$G$33,0)</f>
        <v>73.1617070953358</v>
      </c>
      <c r="J79" s="11" t="n">
        <f aca="false">Declarations!$C$34+(Declarations!$C$10-Declarations!$C$34)*EXP(-Declarations!$D$34*$B79)+IF(Declarations!$E$34=0,0,Declarations!$E$34*($B79/Declarations!$F$34)*EXP(1-$B79/Declarations!$F$34))+IF($B79&gt;=T_sale,Declarations!$G$34,0)</f>
        <v>50.9676632986332</v>
      </c>
      <c r="K79" s="11" t="n">
        <f aca="false">Declarations!$C$35+(Declarations!$C$4-Declarations!$C$35)*EXP(-Declarations!$D$35*$B79)+IF(Declarations!$E$35=0,0,Declarations!$E$35*($B79/Declarations!$F$35)*EXP(1-$B79/Declarations!$F$35))+IF($B79&gt;=T_sale,Declarations!$G$35,0)</f>
        <v>104.323414190672</v>
      </c>
      <c r="L79" s="11" t="n">
        <f aca="false">Declarations!$C$36+(Declarations!$C$7-Declarations!$C$36)*EXP(-Declarations!$D$36*$B79)+IF(Declarations!$E$36=0,0,Declarations!$E$36*($B79/Declarations!$F$36)*EXP(1-$B79/Declarations!$F$36))+IF($B79&gt;=T_sale,Declarations!$G$36,0)</f>
        <v>37.539309350376</v>
      </c>
      <c r="M79" s="11" t="n">
        <f aca="false">Declarations!$C$37+(Declarations!$C$8-Declarations!$C$37)*EXP(-Declarations!$D$37*$B79)+IF(Declarations!$E$37=0,0,Declarations!$E$37*($B79/Declarations!$F$37)*EXP(1-$B79/Declarations!$F$37))+IF($B79&gt;=T_sale,Declarations!$G$37,0)</f>
        <v>77.5385318075781</v>
      </c>
      <c r="N79" s="11" t="n">
        <f aca="false">Declarations!$C$38+(Declarations!$C$10-Declarations!$C$38)*EXP(-Declarations!$D$38*$B79)+IF(Declarations!$E$38=0,0,Declarations!$E$38*($B79/Declarations!$F$38)*EXP(1-$B79/Declarations!$F$38))+IF($B79&gt;=T_sale,Declarations!$G$38,0)</f>
        <v>65.7177552041538</v>
      </c>
      <c r="O79" s="13" t="n">
        <f aca="false">C79*USD_pt</f>
        <v>504.671485668748</v>
      </c>
      <c r="P79" s="13" t="n">
        <f aca="false">C79*USD_pt-Floor_usd</f>
        <v>154.671485668748</v>
      </c>
      <c r="Q79" s="11" t="n">
        <f aca="false">Risk_ceiling-F79</f>
        <v>11.3398994017649</v>
      </c>
      <c r="R79" s="13" t="n">
        <f aca="false">MIN(Wf_today-Idx_lo,Idx_hi-Wf_today,D79-Idx_lo,Idx_hi-D79,E79-Idx_lo,Idx_hi-E79,F79-Idx_lo,Idx_hi-F79)</f>
        <v>29.7880038301467</v>
      </c>
      <c r="S79" s="13" t="n">
        <f aca="false">G79*USD_pt</f>
        <v>745.800109687672</v>
      </c>
      <c r="T79" s="13" t="n">
        <f aca="false">G79*USD_pt-Floor_usd</f>
        <v>395.800109687672</v>
      </c>
      <c r="U79" s="11" t="n">
        <f aca="false">Risk_ceiling-J79</f>
        <v>24.0323367013668</v>
      </c>
      <c r="V79" s="13" t="n">
        <f aca="false">MIN(Wf_today-Idx_lo,Idx_hi-Wf_today,H79-Idx_lo,Idx_hi-H79,I79-Idx_lo,Idx_hi-I79,J79-Idx_lo,Idx_hi-J79)</f>
        <v>26.8382929046642</v>
      </c>
      <c r="W79" s="13" t="n">
        <f aca="false">K79*USD_pt</f>
        <v>646.805167982164</v>
      </c>
      <c r="X79" s="13" t="n">
        <f aca="false">K79*USD_pt-Floor_usd</f>
        <v>296.805167982164</v>
      </c>
      <c r="Y79" s="11" t="n">
        <f aca="false">Risk_ceiling-N79</f>
        <v>9.28224479584618</v>
      </c>
      <c r="Z79" s="13" t="n">
        <f aca="false">MIN(Wf_today-Idx_lo,Idx_hi-Wf_today,L79-Idx_lo,Idx_hi-L79,M79-Idx_lo,Idx_hi-M79,N79-Idx_lo,Idx_hi-N79)</f>
        <v>22.4614681924219</v>
      </c>
    </row>
    <row r="80" customFormat="false" ht="15" hidden="false" customHeight="false" outlineLevel="0" collapsed="false">
      <c r="A80" s="19" t="n">
        <v>35</v>
      </c>
      <c r="B80" s="23" t="n">
        <f aca="false">A80/12</f>
        <v>2.91666666666667</v>
      </c>
      <c r="C80" s="11" t="n">
        <f aca="false">Declarations!$C$27+(Declarations!$C$4-Declarations!$C$27)*EXP(-Declarations!$D$27*$B80)+IF(Declarations!$E$27=0,0,Declarations!$E$27*($B80/Declarations!$F$27)*EXP(1-$B80/Declarations!$F$27))+IF($B80&gt;=T_sale,Declarations!$G$27,0)</f>
        <v>81.8560514593246</v>
      </c>
      <c r="D80" s="11" t="n">
        <f aca="false">Declarations!$C$28+(Declarations!$C$7-Declarations!$C$28)*EXP(-Declarations!$D$28*$B80)+IF(Declarations!$E$28=0,0,Declarations!$E$28*($B80/Declarations!$F$28)*EXP(1-$B80/Declarations!$F$28))+IF($B80&gt;=T_sale,Declarations!$G$28,0)</f>
        <v>70.5608897921219</v>
      </c>
      <c r="E80" s="11" t="n">
        <f aca="false">Declarations!$C$29+(Declarations!$C$8-Declarations!$C$29)*EXP(-Declarations!$D$29*$B80)+IF(Declarations!$E$29=0,0,Declarations!$E$29*($B80/Declarations!$F$29)*EXP(1-$B80/Declarations!$F$29))+IF($B80&gt;=T_sale,Declarations!$G$29,0)</f>
        <v>68.7985856826848</v>
      </c>
      <c r="F80" s="11" t="n">
        <f aca="false">Declarations!$C$30+(Declarations!$C$10-Declarations!$C$30)*EXP(-Declarations!$D$30*$B80)+IF(Declarations!$E$30=0,0,Declarations!$E$30*($B80/Declarations!$F$30)*EXP(1-$B80/Declarations!$F$30))+IF($B80&gt;=T_sale,Declarations!$G$30,0)</f>
        <v>63.1868700209848</v>
      </c>
      <c r="G80" s="11" t="n">
        <f aca="false">Declarations!$C$31+(Declarations!$C$4-Declarations!$C$31)*EXP(-Declarations!$D$31*$B80)+IF(Declarations!$E$31=0,0,Declarations!$E$31*($B80/Declarations!$F$31)*EXP(1-$B80/Declarations!$F$31))+IF($B80&gt;=T_sale,Declarations!$G$31,0)</f>
        <v>120.332551921286</v>
      </c>
      <c r="H80" s="11" t="n">
        <f aca="false">Declarations!$C$32+(Declarations!$C$7-Declarations!$C$32)*EXP(-Declarations!$D$32*$B80)+IF(Declarations!$E$32=0,0,Declarations!$E$32*($B80/Declarations!$F$32)*EXP(1-$B80/Declarations!$F$32))+IF($B80&gt;=T_sale,Declarations!$G$32,0)</f>
        <v>39.4469322448738</v>
      </c>
      <c r="I80" s="11" t="n">
        <f aca="false">Declarations!$C$33+(Declarations!$C$8-Declarations!$C$33)*EXP(-Declarations!$D$33*$B80)+IF(Declarations!$E$33=0,0,Declarations!$E$33*($B80/Declarations!$F$33)*EXP(1-$B80/Declarations!$F$33))+IF($B80&gt;=T_sale,Declarations!$G$33,0)</f>
        <v>73.1925609538125</v>
      </c>
      <c r="J80" s="11" t="n">
        <f aca="false">Declarations!$C$34+(Declarations!$C$10-Declarations!$C$34)*EXP(-Declarations!$D$34*$B80)+IF(Declarations!$E$34=0,0,Declarations!$E$34*($B80/Declarations!$F$34)*EXP(1-$B80/Declarations!$F$34))+IF($B80&gt;=T_sale,Declarations!$G$34,0)</f>
        <v>50.8823565564912</v>
      </c>
      <c r="K80" s="11" t="n">
        <f aca="false">Declarations!$C$35+(Declarations!$C$4-Declarations!$C$35)*EXP(-Declarations!$D$35*$B80)+IF(Declarations!$E$35=0,0,Declarations!$E$35*($B80/Declarations!$F$35)*EXP(1-$B80/Declarations!$F$35))+IF($B80&gt;=T_sale,Declarations!$G$35,0)</f>
        <v>104.385121907625</v>
      </c>
      <c r="L80" s="11" t="n">
        <f aca="false">Declarations!$C$36+(Declarations!$C$7-Declarations!$C$36)*EXP(-Declarations!$D$36*$B80)+IF(Declarations!$E$36=0,0,Declarations!$E$36*($B80/Declarations!$F$36)*EXP(1-$B80/Declarations!$F$36))+IF($B80&gt;=T_sale,Declarations!$G$36,0)</f>
        <v>37.4642811661604</v>
      </c>
      <c r="M80" s="11" t="n">
        <f aca="false">Declarations!$C$37+(Declarations!$C$8-Declarations!$C$37)*EXP(-Declarations!$D$37*$B80)+IF(Declarations!$E$37=0,0,Declarations!$E$37*($B80/Declarations!$F$37)*EXP(1-$B80/Declarations!$F$37))+IF($B80&gt;=T_sale,Declarations!$G$37,0)</f>
        <v>77.6098084523964</v>
      </c>
      <c r="N80" s="11" t="n">
        <f aca="false">Declarations!$C$38+(Declarations!$C$10-Declarations!$C$38)*EXP(-Declarations!$D$38*$B80)+IF(Declarations!$E$38=0,0,Declarations!$E$38*($B80/Declarations!$F$38)*EXP(1-$B80/Declarations!$F$38))+IF($B80&gt;=T_sale,Declarations!$G$38,0)</f>
        <v>65.7494139409645</v>
      </c>
      <c r="O80" s="13" t="n">
        <f aca="false">C80*USD_pt</f>
        <v>507.507519047813</v>
      </c>
      <c r="P80" s="13" t="n">
        <f aca="false">C80*USD_pt-Floor_usd</f>
        <v>157.507519047813</v>
      </c>
      <c r="Q80" s="11" t="n">
        <f aca="false">Risk_ceiling-F80</f>
        <v>11.8131299790152</v>
      </c>
      <c r="R80" s="13" t="n">
        <f aca="false">MIN(Wf_today-Idx_lo,Idx_hi-Wf_today,D80-Idx_lo,Idx_hi-D80,E80-Idx_lo,Idx_hi-E80,F80-Idx_lo,Idx_hi-F80)</f>
        <v>29.4391102078781</v>
      </c>
      <c r="S80" s="13" t="n">
        <f aca="false">G80*USD_pt</f>
        <v>746.061821911973</v>
      </c>
      <c r="T80" s="13" t="n">
        <f aca="false">G80*USD_pt-Floor_usd</f>
        <v>396.061821911973</v>
      </c>
      <c r="U80" s="11" t="n">
        <f aca="false">Risk_ceiling-J80</f>
        <v>24.1176434435088</v>
      </c>
      <c r="V80" s="13" t="n">
        <f aca="false">MIN(Wf_today-Idx_lo,Idx_hi-Wf_today,H80-Idx_lo,Idx_hi-H80,I80-Idx_lo,Idx_hi-I80,J80-Idx_lo,Idx_hi-J80)</f>
        <v>26.8074390461876</v>
      </c>
      <c r="W80" s="13" t="n">
        <f aca="false">K80*USD_pt</f>
        <v>647.187755827274</v>
      </c>
      <c r="X80" s="13" t="n">
        <f aca="false">K80*USD_pt-Floor_usd</f>
        <v>297.187755827274</v>
      </c>
      <c r="Y80" s="11" t="n">
        <f aca="false">Risk_ceiling-N80</f>
        <v>9.25058605903553</v>
      </c>
      <c r="Z80" s="13" t="n">
        <f aca="false">MIN(Wf_today-Idx_lo,Idx_hi-Wf_today,L80-Idx_lo,Idx_hi-L80,M80-Idx_lo,Idx_hi-M80,N80-Idx_lo,Idx_hi-N80)</f>
        <v>22.3901915476036</v>
      </c>
    </row>
    <row r="81" customFormat="false" ht="15" hidden="false" customHeight="false" outlineLevel="0" collapsed="false">
      <c r="A81" s="19" t="n">
        <v>36</v>
      </c>
      <c r="B81" s="23" t="n">
        <f aca="false">A81/12</f>
        <v>3</v>
      </c>
      <c r="C81" s="11" t="n">
        <f aca="false">Declarations!$C$27+(Declarations!$C$4-Declarations!$C$27)*EXP(-Declarations!$D$27*$B81)+IF(Declarations!$E$27=0,0,Declarations!$E$27*($B81/Declarations!$F$27)*EXP(1-$B81/Declarations!$F$27))+IF($B81&gt;=T_sale,Declarations!$G$27,0)</f>
        <v>82.3264593027355</v>
      </c>
      <c r="D81" s="11" t="n">
        <f aca="false">Declarations!$C$28+(Declarations!$C$7-Declarations!$C$28)*EXP(-Declarations!$D$28*$B81)+IF(Declarations!$E$28=0,0,Declarations!$E$28*($B81/Declarations!$F$28)*EXP(1-$B81/Declarations!$F$28))+IF($B81&gt;=T_sale,Declarations!$G$28,0)</f>
        <v>70.8941533810321</v>
      </c>
      <c r="E81" s="11" t="n">
        <f aca="false">Declarations!$C$29+(Declarations!$C$8-Declarations!$C$29)*EXP(-Declarations!$D$29*$B81)+IF(Declarations!$E$29=0,0,Declarations!$E$29*($B81/Declarations!$F$29)*EXP(1-$B81/Declarations!$F$29))+IF($B81&gt;=T_sale,Declarations!$G$29,0)</f>
        <v>69.0393890980235</v>
      </c>
      <c r="F81" s="11" t="n">
        <f aca="false">Declarations!$C$30+(Declarations!$C$10-Declarations!$C$30)*EXP(-Declarations!$D$30*$B81)+IF(Declarations!$E$30=0,0,Declarations!$E$30*($B81/Declarations!$F$30)*EXP(1-$B81/Declarations!$F$30))+IF($B81&gt;=T_sale,Declarations!$G$30,0)</f>
        <v>62.7250803600537</v>
      </c>
      <c r="G81" s="11" t="n">
        <f aca="false">Declarations!$C$31+(Declarations!$C$4-Declarations!$C$31)*EXP(-Declarations!$D$31*$B81)+IF(Declarations!$E$31=0,0,Declarations!$E$31*($B81/Declarations!$F$31)*EXP(1-$B81/Declarations!$F$31))+IF($B81&gt;=T_sale,Declarations!$G$31,0)</f>
        <v>120.373721361038</v>
      </c>
      <c r="H81" s="11" t="n">
        <f aca="false">Declarations!$C$32+(Declarations!$C$7-Declarations!$C$32)*EXP(-Declarations!$D$32*$B81)+IF(Declarations!$E$32=0,0,Declarations!$E$32*($B81/Declarations!$F$32)*EXP(1-$B81/Declarations!$F$32))+IF($B81&gt;=T_sale,Declarations!$G$32,0)</f>
        <v>39.417099658223</v>
      </c>
      <c r="I81" s="11" t="n">
        <f aca="false">Declarations!$C$33+(Declarations!$C$8-Declarations!$C$33)*EXP(-Declarations!$D$33*$B81)+IF(Declarations!$E$33=0,0,Declarations!$E$33*($B81/Declarations!$F$33)*EXP(1-$B81/Declarations!$F$33))+IF($B81&gt;=T_sale,Declarations!$G$33,0)</f>
        <v>73.2222792180623</v>
      </c>
      <c r="J81" s="11" t="n">
        <f aca="false">Declarations!$C$34+(Declarations!$C$10-Declarations!$C$34)*EXP(-Declarations!$D$34*$B81)+IF(Declarations!$E$34=0,0,Declarations!$E$34*($B81/Declarations!$F$34)*EXP(1-$B81/Declarations!$F$34))+IF($B81&gt;=T_sale,Declarations!$G$34,0)</f>
        <v>50.7995019928892</v>
      </c>
      <c r="K81" s="11" t="n">
        <f aca="false">Declarations!$C$35+(Declarations!$C$4-Declarations!$C$35)*EXP(-Declarations!$D$35*$B81)+IF(Declarations!$E$35=0,0,Declarations!$E$35*($B81/Declarations!$F$35)*EXP(1-$B81/Declarations!$F$35))+IF($B81&gt;=T_sale,Declarations!$G$35,0)</f>
        <v>104.444558436125</v>
      </c>
      <c r="L81" s="11" t="n">
        <f aca="false">Declarations!$C$36+(Declarations!$C$7-Declarations!$C$36)*EXP(-Declarations!$D$36*$B81)+IF(Declarations!$E$36=0,0,Declarations!$E$36*($B81/Declarations!$F$36)*EXP(1-$B81/Declarations!$F$36))+IF($B81&gt;=T_sale,Declarations!$G$36,0)</f>
        <v>37.3904930887522</v>
      </c>
      <c r="M81" s="11" t="n">
        <f aca="false">Declarations!$C$37+(Declarations!$C$8-Declarations!$C$37)*EXP(-Declarations!$D$37*$B81)+IF(Declarations!$E$37=0,0,Declarations!$E$37*($B81/Declarations!$F$37)*EXP(1-$B81/Declarations!$F$37))+IF($B81&gt;=T_sale,Declarations!$G$37,0)</f>
        <v>77.6776088942273</v>
      </c>
      <c r="N81" s="11" t="n">
        <f aca="false">Declarations!$C$38+(Declarations!$C$10-Declarations!$C$38)*EXP(-Declarations!$D$38*$B81)+IF(Declarations!$E$38=0,0,Declarations!$E$38*($B81/Declarations!$F$38)*EXP(1-$B81/Declarations!$F$38))+IF($B81&gt;=T_sale,Declarations!$G$38,0)</f>
        <v>65.7802910207782</v>
      </c>
      <c r="O81" s="13" t="n">
        <f aca="false">C81*USD_pt</f>
        <v>510.42404767696</v>
      </c>
      <c r="P81" s="13" t="n">
        <f aca="false">C81*USD_pt-Floor_usd</f>
        <v>160.42404767696</v>
      </c>
      <c r="Q81" s="11" t="n">
        <f aca="false">Risk_ceiling-F81</f>
        <v>12.2749196399463</v>
      </c>
      <c r="R81" s="13" t="n">
        <f aca="false">MIN(Wf_today-Idx_lo,Idx_hi-Wf_today,D81-Idx_lo,Idx_hi-D81,E81-Idx_lo,Idx_hi-E81,F81-Idx_lo,Idx_hi-F81)</f>
        <v>29.1058466189679</v>
      </c>
      <c r="S81" s="13" t="n">
        <f aca="false">G81*USD_pt</f>
        <v>746.317072438433</v>
      </c>
      <c r="T81" s="13" t="n">
        <f aca="false">G81*USD_pt-Floor_usd</f>
        <v>396.317072438433</v>
      </c>
      <c r="U81" s="11" t="n">
        <f aca="false">Risk_ceiling-J81</f>
        <v>24.2004980071108</v>
      </c>
      <c r="V81" s="13" t="n">
        <f aca="false">MIN(Wf_today-Idx_lo,Idx_hi-Wf_today,H81-Idx_lo,Idx_hi-H81,I81-Idx_lo,Idx_hi-I81,J81-Idx_lo,Idx_hi-J81)</f>
        <v>26.7777207819377</v>
      </c>
      <c r="W81" s="13" t="n">
        <f aca="false">K81*USD_pt</f>
        <v>647.556262303973</v>
      </c>
      <c r="X81" s="13" t="n">
        <f aca="false">K81*USD_pt-Floor_usd</f>
        <v>297.556262303973</v>
      </c>
      <c r="Y81" s="11" t="n">
        <f aca="false">Risk_ceiling-N81</f>
        <v>9.21970897922179</v>
      </c>
      <c r="Z81" s="13" t="n">
        <f aca="false">MIN(Wf_today-Idx_lo,Idx_hi-Wf_today,L81-Idx_lo,Idx_hi-L81,M81-Idx_lo,Idx_hi-M81,N81-Idx_lo,Idx_hi-N81)</f>
        <v>22.3223911057727</v>
      </c>
    </row>
    <row r="82" customFormat="false" ht="15" hidden="false" customHeight="false" outlineLevel="0" collapsed="false">
      <c r="A82" s="19" t="n">
        <v>37</v>
      </c>
      <c r="B82" s="23" t="n">
        <f aca="false">A82/12</f>
        <v>3.08333333333333</v>
      </c>
      <c r="C82" s="11" t="n">
        <f aca="false">Declarations!$C$27+(Declarations!$C$4-Declarations!$C$27)*EXP(-Declarations!$D$27*$B82)+IF(Declarations!$E$27=0,0,Declarations!$E$27*($B82/Declarations!$F$27)*EXP(1-$B82/Declarations!$F$27))+IF($B82&gt;=T_sale,Declarations!$G$27,0)</f>
        <v>82.8080473415731</v>
      </c>
      <c r="D82" s="11" t="n">
        <f aca="false">Declarations!$C$28+(Declarations!$C$7-Declarations!$C$28)*EXP(-Declarations!$D$28*$B82)+IF(Declarations!$E$28=0,0,Declarations!$E$28*($B82/Declarations!$F$28)*EXP(1-$B82/Declarations!$F$28))+IF($B82&gt;=T_sale,Declarations!$G$28,0)</f>
        <v>71.2124871441178</v>
      </c>
      <c r="E82" s="11" t="n">
        <f aca="false">Declarations!$C$29+(Declarations!$C$8-Declarations!$C$29)*EXP(-Declarations!$D$29*$B82)+IF(Declarations!$E$29=0,0,Declarations!$E$29*($B82/Declarations!$F$29)*EXP(1-$B82/Declarations!$F$29))+IF($B82&gt;=T_sale,Declarations!$G$29,0)</f>
        <v>69.2778731622786</v>
      </c>
      <c r="F82" s="11" t="n">
        <f aca="false">Declarations!$C$30+(Declarations!$C$10-Declarations!$C$30)*EXP(-Declarations!$D$30*$B82)+IF(Declarations!$E$30=0,0,Declarations!$E$30*($B82/Declarations!$F$30)*EXP(1-$B82/Declarations!$F$30))+IF($B82&gt;=T_sale,Declarations!$G$30,0)</f>
        <v>62.2751649649466</v>
      </c>
      <c r="G82" s="11" t="n">
        <f aca="false">Declarations!$C$31+(Declarations!$C$4-Declarations!$C$31)*EXP(-Declarations!$D$31*$B82)+IF(Declarations!$E$31=0,0,Declarations!$E$31*($B82/Declarations!$F$31)*EXP(1-$B82/Declarations!$F$31))+IF($B82&gt;=T_sale,Declarations!$G$31,0)</f>
        <v>120.4138743237</v>
      </c>
      <c r="H82" s="11" t="n">
        <f aca="false">Declarations!$C$32+(Declarations!$C$7-Declarations!$C$32)*EXP(-Declarations!$D$32*$B82)+IF(Declarations!$E$32=0,0,Declarations!$E$32*($B82/Declarations!$F$32)*EXP(1-$B82/Declarations!$F$32))+IF($B82&gt;=T_sale,Declarations!$G$32,0)</f>
        <v>39.3878821544342</v>
      </c>
      <c r="I82" s="11" t="n">
        <f aca="false">Declarations!$C$33+(Declarations!$C$8-Declarations!$C$33)*EXP(-Declarations!$D$33*$B82)+IF(Declarations!$E$33=0,0,Declarations!$E$33*($B82/Declarations!$F$33)*EXP(1-$B82/Declarations!$F$33))+IF($B82&gt;=T_sale,Declarations!$G$33,0)</f>
        <v>73.2509036842922</v>
      </c>
      <c r="J82" s="11" t="n">
        <f aca="false">Declarations!$C$34+(Declarations!$C$10-Declarations!$C$34)*EXP(-Declarations!$D$34*$B82)+IF(Declarations!$E$34=0,0,Declarations!$E$34*($B82/Declarations!$F$34)*EXP(1-$B82/Declarations!$F$34))+IF($B82&gt;=T_sale,Declarations!$G$34,0)</f>
        <v>50.7190291189135</v>
      </c>
      <c r="K82" s="11" t="n">
        <f aca="false">Declarations!$C$35+(Declarations!$C$4-Declarations!$C$35)*EXP(-Declarations!$D$35*$B82)+IF(Declarations!$E$35=0,0,Declarations!$E$35*($B82/Declarations!$F$35)*EXP(1-$B82/Declarations!$F$35))+IF($B82&gt;=T_sale,Declarations!$G$35,0)</f>
        <v>104.501807368584</v>
      </c>
      <c r="L82" s="11" t="n">
        <f aca="false">Declarations!$C$36+(Declarations!$C$7-Declarations!$C$36)*EXP(-Declarations!$D$36*$B82)+IF(Declarations!$E$36=0,0,Declarations!$E$36*($B82/Declarations!$F$36)*EXP(1-$B82/Declarations!$F$36))+IF($B82&gt;=T_sale,Declarations!$G$36,0)</f>
        <v>37.3179246209889</v>
      </c>
      <c r="M82" s="11" t="n">
        <f aca="false">Declarations!$C$37+(Declarations!$C$8-Declarations!$C$37)*EXP(-Declarations!$D$37*$B82)+IF(Declarations!$E$37=0,0,Declarations!$E$37*($B82/Declarations!$F$37)*EXP(1-$B82/Declarations!$F$37))+IF($B82&gt;=T_sale,Declarations!$G$37,0)</f>
        <v>77.742102669491</v>
      </c>
      <c r="N82" s="11" t="n">
        <f aca="false">Declarations!$C$38+(Declarations!$C$10-Declarations!$C$38)*EXP(-Declarations!$D$38*$B82)+IF(Declarations!$E$38=0,0,Declarations!$E$38*($B82/Declarations!$F$38)*EXP(1-$B82/Declarations!$F$38))+IF($B82&gt;=T_sale,Declarations!$G$38,0)</f>
        <v>65.810405742775</v>
      </c>
      <c r="O82" s="13" t="n">
        <f aca="false">C82*USD_pt</f>
        <v>513.409893517753</v>
      </c>
      <c r="P82" s="13" t="n">
        <f aca="false">C82*USD_pt-Floor_usd</f>
        <v>163.409893517753</v>
      </c>
      <c r="Q82" s="11" t="n">
        <f aca="false">Risk_ceiling-F82</f>
        <v>12.7248350350534</v>
      </c>
      <c r="R82" s="13" t="n">
        <f aca="false">MIN(Wf_today-Idx_lo,Idx_hi-Wf_today,D82-Idx_lo,Idx_hi-D82,E82-Idx_lo,Idx_hi-E82,F82-Idx_lo,Idx_hi-F82)</f>
        <v>28.7875128558822</v>
      </c>
      <c r="S82" s="13" t="n">
        <f aca="false">G82*USD_pt</f>
        <v>746.56602080694</v>
      </c>
      <c r="T82" s="13" t="n">
        <f aca="false">G82*USD_pt-Floor_usd</f>
        <v>396.56602080694</v>
      </c>
      <c r="U82" s="11" t="n">
        <f aca="false">Risk_ceiling-J82</f>
        <v>24.2809708810865</v>
      </c>
      <c r="V82" s="13" t="n">
        <f aca="false">MIN(Wf_today-Idx_lo,Idx_hi-Wf_today,H82-Idx_lo,Idx_hi-H82,I82-Idx_lo,Idx_hi-I82,J82-Idx_lo,Idx_hi-J82)</f>
        <v>26.7490963157078</v>
      </c>
      <c r="W82" s="13" t="n">
        <f aca="false">K82*USD_pt</f>
        <v>647.911205685223</v>
      </c>
      <c r="X82" s="13" t="n">
        <f aca="false">K82*USD_pt-Floor_usd</f>
        <v>297.911205685223</v>
      </c>
      <c r="Y82" s="11" t="n">
        <f aca="false">Risk_ceiling-N82</f>
        <v>9.18959425722498</v>
      </c>
      <c r="Z82" s="13" t="n">
        <f aca="false">MIN(Wf_today-Idx_lo,Idx_hi-Wf_today,L82-Idx_lo,Idx_hi-L82,M82-Idx_lo,Idx_hi-M82,N82-Idx_lo,Idx_hi-N82)</f>
        <v>22.257897330509</v>
      </c>
    </row>
    <row r="83" customFormat="false" ht="15" hidden="false" customHeight="false" outlineLevel="0" collapsed="false">
      <c r="A83" s="19" t="n">
        <v>38</v>
      </c>
      <c r="B83" s="23" t="n">
        <f aca="false">A83/12</f>
        <v>3.16666666666667</v>
      </c>
      <c r="C83" s="11" t="n">
        <f aca="false">Declarations!$C$27+(Declarations!$C$4-Declarations!$C$27)*EXP(-Declarations!$D$27*$B83)+IF(Declarations!$E$27=0,0,Declarations!$E$27*($B83/Declarations!$F$27)*EXP(1-$B83/Declarations!$F$27))+IF($B83&gt;=T_sale,Declarations!$G$27,0)</f>
        <v>83.2991376630354</v>
      </c>
      <c r="D83" s="11" t="n">
        <f aca="false">Declarations!$C$28+(Declarations!$C$7-Declarations!$C$28)*EXP(-Declarations!$D$28*$B83)+IF(Declarations!$E$28=0,0,Declarations!$E$28*($B83/Declarations!$F$28)*EXP(1-$B83/Declarations!$F$28))+IF($B83&gt;=T_sale,Declarations!$G$28,0)</f>
        <v>71.5165599204197</v>
      </c>
      <c r="E83" s="11" t="n">
        <f aca="false">Declarations!$C$29+(Declarations!$C$8-Declarations!$C$29)*EXP(-Declarations!$D$29*$B83)+IF(Declarations!$E$29=0,0,Declarations!$E$29*($B83/Declarations!$F$29)*EXP(1-$B83/Declarations!$F$29))+IF($B83&gt;=T_sale,Declarations!$G$29,0)</f>
        <v>69.5135952861703</v>
      </c>
      <c r="F83" s="11" t="n">
        <f aca="false">Declarations!$C$30+(Declarations!$C$10-Declarations!$C$30)*EXP(-Declarations!$D$30*$B83)+IF(Declarations!$E$30=0,0,Declarations!$E$30*($B83/Declarations!$F$30)*EXP(1-$B83/Declarations!$F$30))+IF($B83&gt;=T_sale,Declarations!$G$30,0)</f>
        <v>61.8374528403716</v>
      </c>
      <c r="G83" s="11" t="n">
        <f aca="false">Declarations!$C$31+(Declarations!$C$4-Declarations!$C$31)*EXP(-Declarations!$D$31*$B83)+IF(Declarations!$E$31=0,0,Declarations!$E$31*($B83/Declarations!$F$31)*EXP(1-$B83/Declarations!$F$31))+IF($B83&gt;=T_sale,Declarations!$G$31,0)</f>
        <v>120.453035906182</v>
      </c>
      <c r="H83" s="11" t="n">
        <f aca="false">Declarations!$C$32+(Declarations!$C$7-Declarations!$C$32)*EXP(-Declarations!$D$32*$B83)+IF(Declarations!$E$32=0,0,Declarations!$E$32*($B83/Declarations!$F$32)*EXP(1-$B83/Declarations!$F$32))+IF($B83&gt;=T_sale,Declarations!$G$32,0)</f>
        <v>39.3592670518405</v>
      </c>
      <c r="I83" s="11" t="n">
        <f aca="false">Declarations!$C$33+(Declarations!$C$8-Declarations!$C$33)*EXP(-Declarations!$D$33*$B83)+IF(Declarations!$E$33=0,0,Declarations!$E$33*($B83/Declarations!$F$33)*EXP(1-$B83/Declarations!$F$33))+IF($B83&gt;=T_sale,Declarations!$G$33,0)</f>
        <v>73.278474610375</v>
      </c>
      <c r="J83" s="11" t="n">
        <f aca="false">Declarations!$C$34+(Declarations!$C$10-Declarations!$C$34)*EXP(-Declarations!$D$34*$B83)+IF(Declarations!$E$34=0,0,Declarations!$E$34*($B83/Declarations!$F$34)*EXP(1-$B83/Declarations!$F$34))+IF($B83&gt;=T_sale,Declarations!$G$34,0)</f>
        <v>50.6408694718839</v>
      </c>
      <c r="K83" s="11" t="n">
        <f aca="false">Declarations!$C$35+(Declarations!$C$4-Declarations!$C$35)*EXP(-Declarations!$D$35*$B83)+IF(Declarations!$E$35=0,0,Declarations!$E$35*($B83/Declarations!$F$35)*EXP(1-$B83/Declarations!$F$35))+IF($B83&gt;=T_sale,Declarations!$G$35,0)</f>
        <v>104.55694922075</v>
      </c>
      <c r="L83" s="11" t="n">
        <f aca="false">Declarations!$C$36+(Declarations!$C$7-Declarations!$C$36)*EXP(-Declarations!$D$36*$B83)+IF(Declarations!$E$36=0,0,Declarations!$E$36*($B83/Declarations!$F$36)*EXP(1-$B83/Declarations!$F$36))+IF($B83&gt;=T_sale,Declarations!$G$36,0)</f>
        <v>37.2465556044961</v>
      </c>
      <c r="M83" s="11" t="n">
        <f aca="false">Declarations!$C$37+(Declarations!$C$8-Declarations!$C$37)*EXP(-Declarations!$D$37*$B83)+IF(Declarations!$E$37=0,0,Declarations!$E$37*($B83/Declarations!$F$37)*EXP(1-$B83/Declarations!$F$37))+IF($B83&gt;=T_sale,Declarations!$G$37,0)</f>
        <v>77.8034510462189</v>
      </c>
      <c r="N83" s="11" t="n">
        <f aca="false">Declarations!$C$38+(Declarations!$C$10-Declarations!$C$38)*EXP(-Declarations!$D$38*$B83)+IF(Declarations!$E$38=0,0,Declarations!$E$38*($B83/Declarations!$F$38)*EXP(1-$B83/Declarations!$F$38))+IF($B83&gt;=T_sale,Declarations!$G$38,0)</f>
        <v>65.8397769296365</v>
      </c>
      <c r="O83" s="13" t="n">
        <f aca="false">C83*USD_pt</f>
        <v>516.454653510819</v>
      </c>
      <c r="P83" s="13" t="n">
        <f aca="false">C83*USD_pt-Floor_usd</f>
        <v>166.454653510819</v>
      </c>
      <c r="Q83" s="11" t="n">
        <f aca="false">Risk_ceiling-F83</f>
        <v>13.1625471596284</v>
      </c>
      <c r="R83" s="13" t="n">
        <f aca="false">MIN(Wf_today-Idx_lo,Idx_hi-Wf_today,D83-Idx_lo,Idx_hi-D83,E83-Idx_lo,Idx_hi-E83,F83-Idx_lo,Idx_hi-F83)</f>
        <v>28.4834400795803</v>
      </c>
      <c r="S83" s="13" t="n">
        <f aca="false">G83*USD_pt</f>
        <v>746.808822618328</v>
      </c>
      <c r="T83" s="13" t="n">
        <f aca="false">G83*USD_pt-Floor_usd</f>
        <v>396.808822618328</v>
      </c>
      <c r="U83" s="11" t="n">
        <f aca="false">Risk_ceiling-J83</f>
        <v>24.3591305281161</v>
      </c>
      <c r="V83" s="13" t="n">
        <f aca="false">MIN(Wf_today-Idx_lo,Idx_hi-Wf_today,H83-Idx_lo,Idx_hi-H83,I83-Idx_lo,Idx_hi-I83,J83-Idx_lo,Idx_hi-J83)</f>
        <v>26.721525389625</v>
      </c>
      <c r="W83" s="13" t="n">
        <f aca="false">K83*USD_pt</f>
        <v>648.25308516865</v>
      </c>
      <c r="X83" s="13" t="n">
        <f aca="false">K83*USD_pt-Floor_usd</f>
        <v>298.25308516865</v>
      </c>
      <c r="Y83" s="11" t="n">
        <f aca="false">Risk_ceiling-N83</f>
        <v>9.1602230703635</v>
      </c>
      <c r="Z83" s="13" t="n">
        <f aca="false">MIN(Wf_today-Idx_lo,Idx_hi-Wf_today,L83-Idx_lo,Idx_hi-L83,M83-Idx_lo,Idx_hi-M83,N83-Idx_lo,Idx_hi-N83)</f>
        <v>22.1965489537811</v>
      </c>
    </row>
    <row r="84" customFormat="false" ht="15" hidden="false" customHeight="false" outlineLevel="0" collapsed="false">
      <c r="A84" s="19" t="n">
        <v>39</v>
      </c>
      <c r="B84" s="23" t="n">
        <f aca="false">A84/12</f>
        <v>3.25</v>
      </c>
      <c r="C84" s="11" t="n">
        <f aca="false">Declarations!$C$27+(Declarations!$C$4-Declarations!$C$27)*EXP(-Declarations!$D$27*$B84)+IF(Declarations!$E$27=0,0,Declarations!$E$27*($B84/Declarations!$F$27)*EXP(1-$B84/Declarations!$F$27))+IF($B84&gt;=T_sale,Declarations!$G$27,0)</f>
        <v>83.7981701667219</v>
      </c>
      <c r="D84" s="11" t="n">
        <f aca="false">Declarations!$C$28+(Declarations!$C$7-Declarations!$C$28)*EXP(-Declarations!$D$28*$B84)+IF(Declarations!$E$28=0,0,Declarations!$E$28*($B84/Declarations!$F$28)*EXP(1-$B84/Declarations!$F$28))+IF($B84&gt;=T_sale,Declarations!$G$28,0)</f>
        <v>71.8070105857583</v>
      </c>
      <c r="E84" s="11" t="n">
        <f aca="false">Declarations!$C$29+(Declarations!$C$8-Declarations!$C$29)*EXP(-Declarations!$D$29*$B84)+IF(Declarations!$E$29=0,0,Declarations!$E$29*($B84/Declarations!$F$29)*EXP(1-$B84/Declarations!$F$29))+IF($B84&gt;=T_sale,Declarations!$G$29,0)</f>
        <v>69.7461670824402</v>
      </c>
      <c r="F84" s="11" t="n">
        <f aca="false">Declarations!$C$30+(Declarations!$C$10-Declarations!$C$30)*EXP(-Declarations!$D$30*$B84)+IF(Declarations!$E$30=0,0,Declarations!$E$30*($B84/Declarations!$F$30)*EXP(1-$B84/Declarations!$F$30))+IF($B84&gt;=T_sale,Declarations!$G$30,0)</f>
        <v>61.4121805228463</v>
      </c>
      <c r="G84" s="11" t="n">
        <f aca="false">Declarations!$C$31+(Declarations!$C$4-Declarations!$C$31)*EXP(-Declarations!$D$31*$B84)+IF(Declarations!$E$31=0,0,Declarations!$E$31*($B84/Declarations!$F$31)*EXP(1-$B84/Declarations!$F$31))+IF($B84&gt;=T_sale,Declarations!$G$31,0)</f>
        <v>120.491230585747</v>
      </c>
      <c r="H84" s="11" t="n">
        <f aca="false">Declarations!$C$32+(Declarations!$C$7-Declarations!$C$32)*EXP(-Declarations!$D$32*$B84)+IF(Declarations!$E$32=0,0,Declarations!$E$32*($B84/Declarations!$F$32)*EXP(1-$B84/Declarations!$F$32))+IF($B84&gt;=T_sale,Declarations!$G$32,0)</f>
        <v>39.3312419302432</v>
      </c>
      <c r="I84" s="11" t="n">
        <f aca="false">Declarations!$C$33+(Declarations!$C$8-Declarations!$C$33)*EXP(-Declarations!$D$33*$B84)+IF(Declarations!$E$33=0,0,Declarations!$E$33*($B84/Declarations!$F$33)*EXP(1-$B84/Declarations!$F$33))+IF($B84&gt;=T_sale,Declarations!$G$33,0)</f>
        <v>73.3050307724693</v>
      </c>
      <c r="J84" s="11" t="n">
        <f aca="false">Declarations!$C$34+(Declarations!$C$10-Declarations!$C$34)*EXP(-Declarations!$D$34*$B84)+IF(Declarations!$E$34=0,0,Declarations!$E$34*($B84/Declarations!$F$34)*EXP(1-$B84/Declarations!$F$34))+IF($B84&gt;=T_sale,Declarations!$G$34,0)</f>
        <v>50.5649565571094</v>
      </c>
      <c r="K84" s="11" t="n">
        <f aca="false">Declarations!$C$35+(Declarations!$C$4-Declarations!$C$35)*EXP(-Declarations!$D$35*$B84)+IF(Declarations!$E$35=0,0,Declarations!$E$35*($B84/Declarations!$F$35)*EXP(1-$B84/Declarations!$F$35))+IF($B84&gt;=T_sale,Declarations!$G$35,0)</f>
        <v>104.610061544939</v>
      </c>
      <c r="L84" s="11" t="n">
        <f aca="false">Declarations!$C$36+(Declarations!$C$7-Declarations!$C$36)*EXP(-Declarations!$D$36*$B84)+IF(Declarations!$E$36=0,0,Declarations!$E$36*($B84/Declarations!$F$36)*EXP(1-$B84/Declarations!$F$36))+IF($B84&gt;=T_sale,Declarations!$G$36,0)</f>
        <v>37.1763662140881</v>
      </c>
      <c r="M84" s="11" t="n">
        <f aca="false">Declarations!$C$37+(Declarations!$C$8-Declarations!$C$37)*EXP(-Declarations!$D$37*$B84)+IF(Declarations!$E$37=0,0,Declarations!$E$37*($B84/Declarations!$F$37)*EXP(1-$B84/Declarations!$F$37))+IF($B84&gt;=T_sale,Declarations!$G$37,0)</f>
        <v>77.8618074273079</v>
      </c>
      <c r="N84" s="11" t="n">
        <f aca="false">Declarations!$C$38+(Declarations!$C$10-Declarations!$C$38)*EXP(-Declarations!$D$38*$B84)+IF(Declarations!$E$38=0,0,Declarations!$E$38*($B84/Declarations!$F$38)*EXP(1-$B84/Declarations!$F$38))+IF($B84&gt;=T_sale,Declarations!$G$38,0)</f>
        <v>65.8684229393105</v>
      </c>
      <c r="O84" s="13" t="n">
        <f aca="false">C84*USD_pt</f>
        <v>519.548655033676</v>
      </c>
      <c r="P84" s="13" t="n">
        <f aca="false">C84*USD_pt-Floor_usd</f>
        <v>169.548655033676</v>
      </c>
      <c r="Q84" s="11" t="n">
        <f aca="false">Risk_ceiling-F84</f>
        <v>13.5878194771537</v>
      </c>
      <c r="R84" s="13" t="n">
        <f aca="false">MIN(Wf_today-Idx_lo,Idx_hi-Wf_today,D84-Idx_lo,Idx_hi-D84,E84-Idx_lo,Idx_hi-E84,F84-Idx_lo,Idx_hi-F84)</f>
        <v>28.1929894142417</v>
      </c>
      <c r="S84" s="13" t="n">
        <f aca="false">G84*USD_pt</f>
        <v>747.045629631634</v>
      </c>
      <c r="T84" s="13" t="n">
        <f aca="false">G84*USD_pt-Floor_usd</f>
        <v>397.045629631634</v>
      </c>
      <c r="U84" s="11" t="n">
        <f aca="false">Risk_ceiling-J84</f>
        <v>24.4350434428906</v>
      </c>
      <c r="V84" s="13" t="n">
        <f aca="false">MIN(Wf_today-Idx_lo,Idx_hi-Wf_today,H84-Idx_lo,Idx_hi-H84,I84-Idx_lo,Idx_hi-I84,J84-Idx_lo,Idx_hi-J84)</f>
        <v>26.6949692275307</v>
      </c>
      <c r="W84" s="13" t="n">
        <f aca="false">K84*USD_pt</f>
        <v>648.58238157862</v>
      </c>
      <c r="X84" s="13" t="n">
        <f aca="false">K84*USD_pt-Floor_usd</f>
        <v>298.58238157862</v>
      </c>
      <c r="Y84" s="11" t="n">
        <f aca="false">Risk_ceiling-N84</f>
        <v>9.13157706068947</v>
      </c>
      <c r="Z84" s="13" t="n">
        <f aca="false">MIN(Wf_today-Idx_lo,Idx_hi-Wf_today,L84-Idx_lo,Idx_hi-L84,M84-Idx_lo,Idx_hi-M84,N84-Idx_lo,Idx_hi-N84)</f>
        <v>22.1381925726921</v>
      </c>
    </row>
    <row r="85" customFormat="false" ht="15" hidden="false" customHeight="false" outlineLevel="0" collapsed="false">
      <c r="A85" s="19" t="n">
        <v>40</v>
      </c>
      <c r="B85" s="23" t="n">
        <f aca="false">A85/12</f>
        <v>3.33333333333333</v>
      </c>
      <c r="C85" s="11" t="n">
        <f aca="false">Declarations!$C$27+(Declarations!$C$4-Declarations!$C$27)*EXP(-Declarations!$D$27*$B85)+IF(Declarations!$E$27=0,0,Declarations!$E$27*($B85/Declarations!$F$27)*EXP(1-$B85/Declarations!$F$27))+IF($B85&gt;=T_sale,Declarations!$G$27,0)</f>
        <v>84.3036957581705</v>
      </c>
      <c r="D85" s="11" t="n">
        <f aca="false">Declarations!$C$28+(Declarations!$C$7-Declarations!$C$28)*EXP(-Declarations!$D$28*$B85)+IF(Declarations!$E$28=0,0,Declarations!$E$28*($B85/Declarations!$F$28)*EXP(1-$B85/Declarations!$F$28))+IF($B85&gt;=T_sale,Declarations!$G$28,0)</f>
        <v>72.0844493950513</v>
      </c>
      <c r="E85" s="11" t="n">
        <f aca="false">Declarations!$C$29+(Declarations!$C$8-Declarations!$C$29)*EXP(-Declarations!$D$29*$B85)+IF(Declarations!$E$29=0,0,Declarations!$E$29*($B85/Declarations!$F$29)*EXP(1-$B85/Declarations!$F$29))+IF($B85&gt;=T_sale,Declarations!$G$29,0)</f>
        <v>69.9752498167725</v>
      </c>
      <c r="F85" s="11" t="n">
        <f aca="false">Declarations!$C$30+(Declarations!$C$10-Declarations!$C$30)*EXP(-Declarations!$D$30*$B85)+IF(Declarations!$E$30=0,0,Declarations!$E$30*($B85/Declarations!$F$30)*EXP(1-$B85/Declarations!$F$30))+IF($B85&gt;=T_sale,Declarations!$G$30,0)</f>
        <v>60.9995028390737</v>
      </c>
      <c r="G85" s="11" t="n">
        <f aca="false">Declarations!$C$31+(Declarations!$C$4-Declarations!$C$31)*EXP(-Declarations!$D$31*$B85)+IF(Declarations!$E$31=0,0,Declarations!$E$31*($B85/Declarations!$F$31)*EXP(1-$B85/Declarations!$F$31))+IF($B85&gt;=T_sale,Declarations!$G$31,0)</f>
        <v>120.528482235314</v>
      </c>
      <c r="H85" s="11" t="n">
        <f aca="false">Declarations!$C$32+(Declarations!$C$7-Declarations!$C$32)*EXP(-Declarations!$D$32*$B85)+IF(Declarations!$E$32=0,0,Declarations!$E$32*($B85/Declarations!$F$32)*EXP(1-$B85/Declarations!$F$32))+IF($B85&gt;=T_sale,Declarations!$G$32,0)</f>
        <v>39.3037946255212</v>
      </c>
      <c r="I85" s="11" t="n">
        <f aca="false">Declarations!$C$33+(Declarations!$C$8-Declarations!$C$33)*EXP(-Declarations!$D$33*$B85)+IF(Declarations!$E$33=0,0,Declarations!$E$33*($B85/Declarations!$F$33)*EXP(1-$B85/Declarations!$F$33))+IF($B85&gt;=T_sale,Declarations!$G$33,0)</f>
        <v>73.3306095195547</v>
      </c>
      <c r="J85" s="11" t="n">
        <f aca="false">Declarations!$C$34+(Declarations!$C$10-Declarations!$C$34)*EXP(-Declarations!$D$34*$B85)+IF(Declarations!$E$34=0,0,Declarations!$E$34*($B85/Declarations!$F$34)*EXP(1-$B85/Declarations!$F$34))+IF($B85&gt;=T_sale,Declarations!$G$34,0)</f>
        <v>50.4912257913168</v>
      </c>
      <c r="K85" s="11" t="n">
        <f aca="false">Declarations!$C$35+(Declarations!$C$4-Declarations!$C$35)*EXP(-Declarations!$D$35*$B85)+IF(Declarations!$E$35=0,0,Declarations!$E$35*($B85/Declarations!$F$35)*EXP(1-$B85/Declarations!$F$35))+IF($B85&gt;=T_sale,Declarations!$G$35,0)</f>
        <v>104.661219039109</v>
      </c>
      <c r="L85" s="11" t="n">
        <f aca="false">Declarations!$C$36+(Declarations!$C$7-Declarations!$C$36)*EXP(-Declarations!$D$36*$B85)+IF(Declarations!$E$36=0,0,Declarations!$E$36*($B85/Declarations!$F$36)*EXP(1-$B85/Declarations!$F$36))+IF($B85&gt;=T_sale,Declarations!$G$36,0)</f>
        <v>37.1073369522607</v>
      </c>
      <c r="M85" s="11" t="n">
        <f aca="false">Declarations!$C$37+(Declarations!$C$8-Declarations!$C$37)*EXP(-Declarations!$D$37*$B85)+IF(Declarations!$E$37=0,0,Declarations!$E$37*($B85/Declarations!$F$37)*EXP(1-$B85/Declarations!$F$37))+IF($B85&gt;=T_sale,Declarations!$G$37,0)</f>
        <v>77.9173177341071</v>
      </c>
      <c r="N85" s="11" t="n">
        <f aca="false">Declarations!$C$38+(Declarations!$C$10-Declarations!$C$38)*EXP(-Declarations!$D$38*$B85)+IF(Declarations!$E$38=0,0,Declarations!$E$38*($B85/Declarations!$F$38)*EXP(1-$B85/Declarations!$F$38))+IF($B85&gt;=T_sale,Declarations!$G$38,0)</f>
        <v>65.8963616764857</v>
      </c>
      <c r="O85" s="13" t="n">
        <f aca="false">C85*USD_pt</f>
        <v>522.682913700657</v>
      </c>
      <c r="P85" s="13" t="n">
        <f aca="false">C85*USD_pt-Floor_usd</f>
        <v>172.682913700657</v>
      </c>
      <c r="Q85" s="11" t="n">
        <f aca="false">Risk_ceiling-F85</f>
        <v>14.0004971609263</v>
      </c>
      <c r="R85" s="13" t="n">
        <f aca="false">MIN(Wf_today-Idx_lo,Idx_hi-Wf_today,D85-Idx_lo,Idx_hi-D85,E85-Idx_lo,Idx_hi-E85,F85-Idx_lo,Idx_hi-F85)</f>
        <v>27.9155506049487</v>
      </c>
      <c r="S85" s="13" t="n">
        <f aca="false">G85*USD_pt</f>
        <v>747.276589858948</v>
      </c>
      <c r="T85" s="13" t="n">
        <f aca="false">G85*USD_pt-Floor_usd</f>
        <v>397.276589858948</v>
      </c>
      <c r="U85" s="11" t="n">
        <f aca="false">Risk_ceiling-J85</f>
        <v>24.5087742086832</v>
      </c>
      <c r="V85" s="13" t="n">
        <f aca="false">MIN(Wf_today-Idx_lo,Idx_hi-Wf_today,H85-Idx_lo,Idx_hi-H85,I85-Idx_lo,Idx_hi-I85,J85-Idx_lo,Idx_hi-J85)</f>
        <v>26.6693904804453</v>
      </c>
      <c r="W85" s="13" t="n">
        <f aca="false">K85*USD_pt</f>
        <v>648.899558042479</v>
      </c>
      <c r="X85" s="13" t="n">
        <f aca="false">K85*USD_pt-Floor_usd</f>
        <v>298.899558042479</v>
      </c>
      <c r="Y85" s="11" t="n">
        <f aca="false">Risk_ceiling-N85</f>
        <v>9.10363832351433</v>
      </c>
      <c r="Z85" s="13" t="n">
        <f aca="false">MIN(Wf_today-Idx_lo,Idx_hi-Wf_today,L85-Idx_lo,Idx_hi-L85,M85-Idx_lo,Idx_hi-M85,N85-Idx_lo,Idx_hi-N85)</f>
        <v>22.0826822658929</v>
      </c>
    </row>
    <row r="86" customFormat="false" ht="15" hidden="false" customHeight="false" outlineLevel="0" collapsed="false">
      <c r="A86" s="19" t="n">
        <v>41</v>
      </c>
      <c r="B86" s="23" t="n">
        <f aca="false">A86/12</f>
        <v>3.41666666666667</v>
      </c>
      <c r="C86" s="11" t="n">
        <f aca="false">Declarations!$C$27+(Declarations!$C$4-Declarations!$C$27)*EXP(-Declarations!$D$27*$B86)+IF(Declarations!$E$27=0,0,Declarations!$E$27*($B86/Declarations!$F$27)*EXP(1-$B86/Declarations!$F$27))+IF($B86&gt;=T_sale,Declarations!$G$27,0)</f>
        <v>84.8143699012995</v>
      </c>
      <c r="D86" s="11" t="n">
        <f aca="false">Declarations!$C$28+(Declarations!$C$7-Declarations!$C$28)*EXP(-Declarations!$D$28*$B86)+IF(Declarations!$E$28=0,0,Declarations!$E$28*($B86/Declarations!$F$28)*EXP(1-$B86/Declarations!$F$28))+IF($B86&gt;=T_sale,Declarations!$G$28,0)</f>
        <v>72.3494592644975</v>
      </c>
      <c r="E86" s="11" t="n">
        <f aca="false">Declarations!$C$29+(Declarations!$C$8-Declarations!$C$29)*EXP(-Declarations!$D$29*$B86)+IF(Declarations!$E$29=0,0,Declarations!$E$29*($B86/Declarations!$F$29)*EXP(1-$B86/Declarations!$F$29))+IF($B86&gt;=T_sale,Declarations!$G$29,0)</f>
        <v>70.2005501914171</v>
      </c>
      <c r="F86" s="11" t="n">
        <f aca="false">Declarations!$C$30+(Declarations!$C$10-Declarations!$C$30)*EXP(-Declarations!$D$30*$B86)+IF(Declarations!$E$30=0,0,Declarations!$E$30*($B86/Declarations!$F$30)*EXP(1-$B86/Declarations!$F$30))+IF($B86&gt;=T_sale,Declarations!$G$30,0)</f>
        <v>60.5995026424849</v>
      </c>
      <c r="G86" s="11" t="n">
        <f aca="false">Declarations!$C$31+(Declarations!$C$4-Declarations!$C$31)*EXP(-Declarations!$D$31*$B86)+IF(Declarations!$E$31=0,0,Declarations!$E$31*($B86/Declarations!$F$31)*EXP(1-$B86/Declarations!$F$31))+IF($B86&gt;=T_sale,Declarations!$G$31,0)</f>
        <v>120.564814138376</v>
      </c>
      <c r="H86" s="11" t="n">
        <f aca="false">Declarations!$C$32+(Declarations!$C$7-Declarations!$C$32)*EXP(-Declarations!$D$32*$B86)+IF(Declarations!$E$32=0,0,Declarations!$E$32*($B86/Declarations!$F$32)*EXP(1-$B86/Declarations!$F$32))+IF($B86&gt;=T_sale,Declarations!$G$32,0)</f>
        <v>39.2769132243509</v>
      </c>
      <c r="I86" s="11" t="n">
        <f aca="false">Declarations!$C$33+(Declarations!$C$8-Declarations!$C$33)*EXP(-Declarations!$D$33*$B86)+IF(Declarations!$E$33=0,0,Declarations!$E$33*($B86/Declarations!$F$33)*EXP(1-$B86/Declarations!$F$33))+IF($B86&gt;=T_sale,Declarations!$G$33,0)</f>
        <v>73.3552468259596</v>
      </c>
      <c r="J86" s="11" t="n">
        <f aca="false">Declarations!$C$34+(Declarations!$C$10-Declarations!$C$34)*EXP(-Declarations!$D$34*$B86)+IF(Declarations!$E$34=0,0,Declarations!$E$34*($B86/Declarations!$F$34)*EXP(1-$B86/Declarations!$F$34))+IF($B86&gt;=T_sale,Declarations!$G$34,0)</f>
        <v>50.4196144477067</v>
      </c>
      <c r="K86" s="11" t="n">
        <f aca="false">Declarations!$C$35+(Declarations!$C$4-Declarations!$C$35)*EXP(-Declarations!$D$35*$B86)+IF(Declarations!$E$35=0,0,Declarations!$E$35*($B86/Declarations!$F$35)*EXP(1-$B86/Declarations!$F$35))+IF($B86&gt;=T_sale,Declarations!$G$35,0)</f>
        <v>104.710493651919</v>
      </c>
      <c r="L86" s="11" t="n">
        <f aca="false">Declarations!$C$36+(Declarations!$C$7-Declarations!$C$36)*EXP(-Declarations!$D$36*$B86)+IF(Declarations!$E$36=0,0,Declarations!$E$36*($B86/Declarations!$F$36)*EXP(1-$B86/Declarations!$F$36))+IF($B86&gt;=T_sale,Declarations!$G$36,0)</f>
        <v>37.0394486437751</v>
      </c>
      <c r="M86" s="11" t="n">
        <f aca="false">Declarations!$C$37+(Declarations!$C$8-Declarations!$C$37)*EXP(-Declarations!$D$37*$B86)+IF(Declarations!$E$37=0,0,Declarations!$E$37*($B86/Declarations!$F$37)*EXP(1-$B86/Declarations!$F$37))+IF($B86&gt;=T_sale,Declarations!$G$37,0)</f>
        <v>77.9701207712976</v>
      </c>
      <c r="N86" s="11" t="n">
        <f aca="false">Declarations!$C$38+(Declarations!$C$10-Declarations!$C$38)*EXP(-Declarations!$D$38*$B86)+IF(Declarations!$E$38=0,0,Declarations!$E$38*($B86/Declarations!$F$38)*EXP(1-$B86/Declarations!$F$38))+IF($B86&gt;=T_sale,Declarations!$G$38,0)</f>
        <v>65.9236106037822</v>
      </c>
      <c r="O86" s="13" t="n">
        <f aca="false">C86*USD_pt</f>
        <v>525.849093388057</v>
      </c>
      <c r="P86" s="13" t="n">
        <f aca="false">C86*USD_pt-Floor_usd</f>
        <v>175.849093388057</v>
      </c>
      <c r="Q86" s="11" t="n">
        <f aca="false">Risk_ceiling-F86</f>
        <v>14.4004973575151</v>
      </c>
      <c r="R86" s="13" t="n">
        <f aca="false">MIN(Wf_today-Idx_lo,Idx_hi-Wf_today,D86-Idx_lo,Idx_hi-D86,E86-Idx_lo,Idx_hi-E86,F86-Idx_lo,Idx_hi-F86)</f>
        <v>27.6505407355025</v>
      </c>
      <c r="S86" s="13" t="n">
        <f aca="false">G86*USD_pt</f>
        <v>747.501847657932</v>
      </c>
      <c r="T86" s="13" t="n">
        <f aca="false">G86*USD_pt-Floor_usd</f>
        <v>397.501847657932</v>
      </c>
      <c r="U86" s="11" t="n">
        <f aca="false">Risk_ceiling-J86</f>
        <v>24.5803855522933</v>
      </c>
      <c r="V86" s="13" t="n">
        <f aca="false">MIN(Wf_today-Idx_lo,Idx_hi-Wf_today,H86-Idx_lo,Idx_hi-H86,I86-Idx_lo,Idx_hi-I86,J86-Idx_lo,Idx_hi-J86)</f>
        <v>26.6447531740404</v>
      </c>
      <c r="W86" s="13" t="n">
        <f aca="false">K86*USD_pt</f>
        <v>649.2050606419</v>
      </c>
      <c r="X86" s="13" t="n">
        <f aca="false">K86*USD_pt-Floor_usd</f>
        <v>299.2050606419</v>
      </c>
      <c r="Y86" s="11" t="n">
        <f aca="false">Risk_ceiling-N86</f>
        <v>9.07638939621785</v>
      </c>
      <c r="Z86" s="13" t="n">
        <f aca="false">MIN(Wf_today-Idx_lo,Idx_hi-Wf_today,L86-Idx_lo,Idx_hi-L86,M86-Idx_lo,Idx_hi-M86,N86-Idx_lo,Idx_hi-N86)</f>
        <v>22.0298792287024</v>
      </c>
    </row>
    <row r="87" customFormat="false" ht="15" hidden="false" customHeight="false" outlineLevel="0" collapsed="false">
      <c r="A87" s="19" t="n">
        <v>42</v>
      </c>
      <c r="B87" s="23" t="n">
        <f aca="false">A87/12</f>
        <v>3.5</v>
      </c>
      <c r="C87" s="11" t="n">
        <f aca="false">Declarations!$C$27+(Declarations!$C$4-Declarations!$C$27)*EXP(-Declarations!$D$27*$B87)+IF(Declarations!$E$27=0,0,Declarations!$E$27*($B87/Declarations!$F$27)*EXP(1-$B87/Declarations!$F$27))+IF($B87&gt;=T_sale,Declarations!$G$27,0)</f>
        <v>85.3289465118079</v>
      </c>
      <c r="D87" s="11" t="n">
        <f aca="false">Declarations!$C$28+(Declarations!$C$7-Declarations!$C$28)*EXP(-Declarations!$D$28*$B87)+IF(Declarations!$E$28=0,0,Declarations!$E$28*($B87/Declarations!$F$28)*EXP(1-$B87/Declarations!$F$28))+IF($B87&gt;=T_sale,Declarations!$G$28,0)</f>
        <v>72.6025969963196</v>
      </c>
      <c r="E87" s="11" t="n">
        <f aca="false">Declarations!$C$29+(Declarations!$C$8-Declarations!$C$29)*EXP(-Declarations!$D$29*$B87)+IF(Declarations!$E$29=0,0,Declarations!$E$29*($B87/Declarations!$F$29)*EXP(1-$B87/Declarations!$F$29))+IF($B87&gt;=T_sale,Declarations!$G$29,0)</f>
        <v>70.4218164388671</v>
      </c>
      <c r="F87" s="11" t="n">
        <f aca="false">Declarations!$C$30+(Declarations!$C$10-Declarations!$C$30)*EXP(-Declarations!$D$30*$B87)+IF(Declarations!$E$30=0,0,Declarations!$E$30*($B87/Declarations!$F$30)*EXP(1-$B87/Declarations!$F$30))+IF($B87&gt;=T_sale,Declarations!$G$30,0)</f>
        <v>60.2121996164541</v>
      </c>
      <c r="G87" s="11" t="n">
        <f aca="false">Declarations!$C$31+(Declarations!$C$4-Declarations!$C$31)*EXP(-Declarations!$D$31*$B87)+IF(Declarations!$E$31=0,0,Declarations!$E$31*($B87/Declarations!$F$31)*EXP(1-$B87/Declarations!$F$31))+IF($B87&gt;=T_sale,Declarations!$G$31,0)</f>
        <v>120.600249003555</v>
      </c>
      <c r="H87" s="11" t="n">
        <f aca="false">Declarations!$C$32+(Declarations!$C$7-Declarations!$C$32)*EXP(-Declarations!$D$32*$B87)+IF(Declarations!$E$32=0,0,Declarations!$E$32*($B87/Declarations!$F$32)*EXP(1-$B87/Declarations!$F$32))+IF($B87&gt;=T_sale,Declarations!$G$32,0)</f>
        <v>39.2505860590355</v>
      </c>
      <c r="I87" s="11" t="n">
        <f aca="false">Declarations!$C$33+(Declarations!$C$8-Declarations!$C$33)*EXP(-Declarations!$D$33*$B87)+IF(Declarations!$E$33=0,0,Declarations!$E$33*($B87/Declarations!$F$33)*EXP(1-$B87/Declarations!$F$33))+IF($B87&gt;=T_sale,Declarations!$G$33,0)</f>
        <v>73.3789773419565</v>
      </c>
      <c r="J87" s="11" t="n">
        <f aca="false">Declarations!$C$34+(Declarations!$C$10-Declarations!$C$34)*EXP(-Declarations!$D$34*$B87)+IF(Declarations!$E$34=0,0,Declarations!$E$34*($B87/Declarations!$F$34)*EXP(1-$B87/Declarations!$F$34))+IF($B87&gt;=T_sale,Declarations!$G$34,0)</f>
        <v>50.3500616025883</v>
      </c>
      <c r="K87" s="11" t="n">
        <f aca="false">Declarations!$C$35+(Declarations!$C$4-Declarations!$C$35)*EXP(-Declarations!$D$35*$B87)+IF(Declarations!$E$35=0,0,Declarations!$E$35*($B87/Declarations!$F$35)*EXP(1-$B87/Declarations!$F$35))+IF($B87&gt;=T_sale,Declarations!$G$35,0)</f>
        <v>104.757954683913</v>
      </c>
      <c r="L87" s="11" t="n">
        <f aca="false">Declarations!$C$36+(Declarations!$C$7-Declarations!$C$36)*EXP(-Declarations!$D$36*$B87)+IF(Declarations!$E$36=0,0,Declarations!$E$36*($B87/Declarations!$F$36)*EXP(1-$B87/Declarations!$F$36))+IF($B87&gt;=T_sale,Declarations!$G$36,0)</f>
        <v>36.9726824303313</v>
      </c>
      <c r="M87" s="11" t="n">
        <f aca="false">Declarations!$C$37+(Declarations!$C$8-Declarations!$C$37)*EXP(-Declarations!$D$37*$B87)+IF(Declarations!$E$37=0,0,Declarations!$E$37*($B87/Declarations!$F$37)*EXP(1-$B87/Declarations!$F$37))+IF($B87&gt;=T_sale,Declarations!$G$37,0)</f>
        <v>78.0203485739762</v>
      </c>
      <c r="N87" s="11" t="n">
        <f aca="false">Declarations!$C$38+(Declarations!$C$10-Declarations!$C$38)*EXP(-Declarations!$D$38*$B87)+IF(Declarations!$E$38=0,0,Declarations!$E$38*($B87/Declarations!$F$38)*EXP(1-$B87/Declarations!$F$38))+IF($B87&gt;=T_sale,Declarations!$G$38,0)</f>
        <v>65.9501867526665</v>
      </c>
      <c r="O87" s="13" t="n">
        <f aca="false">C87*USD_pt</f>
        <v>529.039468373209</v>
      </c>
      <c r="P87" s="13" t="n">
        <f aca="false">C87*USD_pt-Floor_usd</f>
        <v>179.039468373209</v>
      </c>
      <c r="Q87" s="11" t="n">
        <f aca="false">Risk_ceiling-F87</f>
        <v>14.7878003835459</v>
      </c>
      <c r="R87" s="13" t="n">
        <f aca="false">MIN(Wf_today-Idx_lo,Idx_hi-Wf_today,D87-Idx_lo,Idx_hi-D87,E87-Idx_lo,Idx_hi-E87,F87-Idx_lo,Idx_hi-F87)</f>
        <v>27.3974030036804</v>
      </c>
      <c r="S87" s="13" t="n">
        <f aca="false">G87*USD_pt</f>
        <v>747.721543822043</v>
      </c>
      <c r="T87" s="13" t="n">
        <f aca="false">G87*USD_pt-Floor_usd</f>
        <v>397.721543822043</v>
      </c>
      <c r="U87" s="11" t="n">
        <f aca="false">Risk_ceiling-J87</f>
        <v>24.6499383974117</v>
      </c>
      <c r="V87" s="13" t="n">
        <f aca="false">MIN(Wf_today-Idx_lo,Idx_hi-Wf_today,H87-Idx_lo,Idx_hi-H87,I87-Idx_lo,Idx_hi-I87,J87-Idx_lo,Idx_hi-J87)</f>
        <v>26.6210226580435</v>
      </c>
      <c r="W87" s="13" t="n">
        <f aca="false">K87*USD_pt</f>
        <v>649.499319040261</v>
      </c>
      <c r="X87" s="13" t="n">
        <f aca="false">K87*USD_pt-Floor_usd</f>
        <v>299.499319040261</v>
      </c>
      <c r="Y87" s="11" t="n">
        <f aca="false">Risk_ceiling-N87</f>
        <v>9.04981324733346</v>
      </c>
      <c r="Z87" s="13" t="n">
        <f aca="false">MIN(Wf_today-Idx_lo,Idx_hi-Wf_today,L87-Idx_lo,Idx_hi-L87,M87-Idx_lo,Idx_hi-M87,N87-Idx_lo,Idx_hi-N87)</f>
        <v>21.9796514260239</v>
      </c>
    </row>
    <row r="88" customFormat="false" ht="15" hidden="false" customHeight="false" outlineLevel="0" collapsed="false">
      <c r="A88" s="19" t="n">
        <v>43</v>
      </c>
      <c r="B88" s="23" t="n">
        <f aca="false">A88/12</f>
        <v>3.58333333333333</v>
      </c>
      <c r="C88" s="11" t="n">
        <f aca="false">Declarations!$C$27+(Declarations!$C$4-Declarations!$C$27)*EXP(-Declarations!$D$27*$B88)+IF(Declarations!$E$27=0,0,Declarations!$E$27*($B88/Declarations!$F$27)*EXP(1-$B88/Declarations!$F$27))+IF($B88&gt;=T_sale,Declarations!$G$27,0)</f>
        <v>85.8462721744564</v>
      </c>
      <c r="D88" s="11" t="n">
        <f aca="false">Declarations!$C$28+(Declarations!$C$7-Declarations!$C$28)*EXP(-Declarations!$D$28*$B88)+IF(Declarations!$E$28=0,0,Declarations!$E$28*($B88/Declarations!$F$28)*EXP(1-$B88/Declarations!$F$28))+IF($B88&gt;=T_sale,Declarations!$G$28,0)</f>
        <v>72.8443944486408</v>
      </c>
      <c r="E88" s="11" t="n">
        <f aca="false">Declarations!$C$29+(Declarations!$C$8-Declarations!$C$29)*EXP(-Declarations!$D$29*$B88)+IF(Declarations!$E$29=0,0,Declarations!$E$29*($B88/Declarations!$F$29)*EXP(1-$B88/Declarations!$F$29))+IF($B88&gt;=T_sale,Declarations!$G$29,0)</f>
        <v>70.6388347044205</v>
      </c>
      <c r="F88" s="11" t="n">
        <f aca="false">Declarations!$C$30+(Declarations!$C$10-Declarations!$C$30)*EXP(-Declarations!$D$30*$B88)+IF(Declarations!$E$30=0,0,Declarations!$E$30*($B88/Declarations!$F$30)*EXP(1-$B88/Declarations!$F$30))+IF($B88&gt;=T_sale,Declarations!$G$30,0)</f>
        <v>59.8375582254175</v>
      </c>
      <c r="G88" s="11" t="n">
        <f aca="false">Declarations!$C$31+(Declarations!$C$4-Declarations!$C$31)*EXP(-Declarations!$D$31*$B88)+IF(Declarations!$E$31=0,0,Declarations!$E$31*($B88/Declarations!$F$31)*EXP(1-$B88/Declarations!$F$31))+IF($B88&gt;=T_sale,Declarations!$G$31,0)</f>
        <v>120.634808978796</v>
      </c>
      <c r="H88" s="11" t="n">
        <f aca="false">Declarations!$C$32+(Declarations!$C$7-Declarations!$C$32)*EXP(-Declarations!$D$32*$B88)+IF(Declarations!$E$32=0,0,Declarations!$E$32*($B88/Declarations!$F$32)*EXP(1-$B88/Declarations!$F$32))+IF($B88&gt;=T_sale,Declarations!$G$32,0)</f>
        <v>39.2248017024407</v>
      </c>
      <c r="I88" s="11" t="n">
        <f aca="false">Declarations!$C$33+(Declarations!$C$8-Declarations!$C$33)*EXP(-Declarations!$D$33*$B88)+IF(Declarations!$E$33=0,0,Declarations!$E$33*($B88/Declarations!$F$33)*EXP(1-$B88/Declarations!$F$33))+IF($B88&gt;=T_sale,Declarations!$G$33,0)</f>
        <v>73.4018344424944</v>
      </c>
      <c r="J88" s="11" t="n">
        <f aca="false">Declarations!$C$34+(Declarations!$C$10-Declarations!$C$34)*EXP(-Declarations!$D$34*$B88)+IF(Declarations!$E$34=0,0,Declarations!$E$34*($B88/Declarations!$F$34)*EXP(1-$B88/Declarations!$F$34))+IF($B88&gt;=T_sale,Declarations!$G$34,0)</f>
        <v>50.2825080835478</v>
      </c>
      <c r="K88" s="11" t="n">
        <f aca="false">Declarations!$C$35+(Declarations!$C$4-Declarations!$C$35)*EXP(-Declarations!$D$35*$B88)+IF(Declarations!$E$35=0,0,Declarations!$E$35*($B88/Declarations!$F$35)*EXP(1-$B88/Declarations!$F$35))+IF($B88&gt;=T_sale,Declarations!$G$35,0)</f>
        <v>104.803668884989</v>
      </c>
      <c r="L88" s="11" t="n">
        <f aca="false">Declarations!$C$36+(Declarations!$C$7-Declarations!$C$36)*EXP(-Declarations!$D$36*$B88)+IF(Declarations!$E$36=0,0,Declarations!$E$36*($B88/Declarations!$F$36)*EXP(1-$B88/Declarations!$F$36))+IF($B88&gt;=T_sale,Declarations!$G$36,0)</f>
        <v>36.9070197653295</v>
      </c>
      <c r="M88" s="11" t="n">
        <f aca="false">Declarations!$C$37+(Declarations!$C$8-Declarations!$C$37)*EXP(-Declarations!$D$37*$B88)+IF(Declarations!$E$37=0,0,Declarations!$E$37*($B88/Declarations!$F$37)*EXP(1-$B88/Declarations!$F$37))+IF($B88&gt;=T_sale,Declarations!$G$37,0)</f>
        <v>78.068126737812</v>
      </c>
      <c r="N88" s="11" t="n">
        <f aca="false">Declarations!$C$38+(Declarations!$C$10-Declarations!$C$38)*EXP(-Declarations!$D$38*$B88)+IF(Declarations!$E$38=0,0,Declarations!$E$38*($B88/Declarations!$F$38)*EXP(1-$B88/Declarations!$F$38))+IF($B88&gt;=T_sale,Declarations!$G$38,0)</f>
        <v>65.976106734097</v>
      </c>
      <c r="O88" s="13" t="n">
        <f aca="false">C88*USD_pt</f>
        <v>532.24688748163</v>
      </c>
      <c r="P88" s="13" t="n">
        <f aca="false">C88*USD_pt-Floor_usd</f>
        <v>182.24688748163</v>
      </c>
      <c r="Q88" s="11" t="n">
        <f aca="false">Risk_ceiling-F88</f>
        <v>15.1624417745825</v>
      </c>
      <c r="R88" s="13" t="n">
        <f aca="false">MIN(Wf_today-Idx_lo,Idx_hi-Wf_today,D88-Idx_lo,Idx_hi-D88,E88-Idx_lo,Idx_hi-E88,F88-Idx_lo,Idx_hi-F88)</f>
        <v>27.1556055513592</v>
      </c>
      <c r="S88" s="13" t="n">
        <f aca="false">G88*USD_pt</f>
        <v>747.935815668535</v>
      </c>
      <c r="T88" s="13" t="n">
        <f aca="false">G88*USD_pt-Floor_usd</f>
        <v>397.935815668535</v>
      </c>
      <c r="U88" s="11" t="n">
        <f aca="false">Risk_ceiling-J88</f>
        <v>24.7174919164522</v>
      </c>
      <c r="V88" s="13" t="n">
        <f aca="false">MIN(Wf_today-Idx_lo,Idx_hi-Wf_today,H88-Idx_lo,Idx_hi-H88,I88-Idx_lo,Idx_hi-I88,J88-Idx_lo,Idx_hi-J88)</f>
        <v>26.5981655575056</v>
      </c>
      <c r="W88" s="13" t="n">
        <f aca="false">K88*USD_pt</f>
        <v>649.782747086931</v>
      </c>
      <c r="X88" s="13" t="n">
        <f aca="false">K88*USD_pt-Floor_usd</f>
        <v>299.782747086931</v>
      </c>
      <c r="Y88" s="11" t="n">
        <f aca="false">Risk_ceiling-N88</f>
        <v>9.02389326590298</v>
      </c>
      <c r="Z88" s="13" t="n">
        <f aca="false">MIN(Wf_today-Idx_lo,Idx_hi-Wf_today,L88-Idx_lo,Idx_hi-L88,M88-Idx_lo,Idx_hi-M88,N88-Idx_lo,Idx_hi-N88)</f>
        <v>21.931873262188</v>
      </c>
    </row>
    <row r="89" customFormat="false" ht="15" hidden="false" customHeight="false" outlineLevel="0" collapsed="false">
      <c r="A89" s="19" t="n">
        <v>44</v>
      </c>
      <c r="B89" s="23" t="n">
        <f aca="false">A89/12</f>
        <v>3.66666666666667</v>
      </c>
      <c r="C89" s="11" t="n">
        <f aca="false">Declarations!$C$27+(Declarations!$C$4-Declarations!$C$27)*EXP(-Declarations!$D$27*$B89)+IF(Declarations!$E$27=0,0,Declarations!$E$27*($B89/Declarations!$F$27)*EXP(1-$B89/Declarations!$F$27))+IF($B89&gt;=T_sale,Declarations!$G$27,0)</f>
        <v>86.3652806679746</v>
      </c>
      <c r="D89" s="11" t="n">
        <f aca="false">Declarations!$C$28+(Declarations!$C$7-Declarations!$C$28)*EXP(-Declarations!$D$28*$B89)+IF(Declarations!$E$28=0,0,Declarations!$E$28*($B89/Declarations!$F$28)*EXP(1-$B89/Declarations!$F$28))+IF($B89&gt;=T_sale,Declarations!$G$28,0)</f>
        <v>73.0753596529513</v>
      </c>
      <c r="E89" s="11" t="n">
        <f aca="false">Declarations!$C$29+(Declarations!$C$8-Declarations!$C$29)*EXP(-Declarations!$D$29*$B89)+IF(Declarations!$E$29=0,0,Declarations!$E$29*($B89/Declarations!$F$29)*EXP(1-$B89/Declarations!$F$29))+IF($B89&gt;=T_sale,Declarations!$G$29,0)</f>
        <v>70.8514256978364</v>
      </c>
      <c r="F89" s="11" t="n">
        <f aca="false">Declarations!$C$30+(Declarations!$C$10-Declarations!$C$30)*EXP(-Declarations!$D$30*$B89)+IF(Declarations!$E$30=0,0,Declarations!$E$30*($B89/Declarations!$F$30)*EXP(1-$B89/Declarations!$F$30))+IF($B89&gt;=T_sale,Declarations!$G$30,0)</f>
        <v>59.4754948884388</v>
      </c>
      <c r="G89" s="11" t="n">
        <f aca="false">Declarations!$C$31+(Declarations!$C$4-Declarations!$C$31)*EXP(-Declarations!$D$31*$B89)+IF(Declarations!$E$31=0,0,Declarations!$E$31*($B89/Declarations!$F$31)*EXP(1-$B89/Declarations!$F$31))+IF($B89&gt;=T_sale,Declarations!$G$31,0)</f>
        <v>120.668515665208</v>
      </c>
      <c r="H89" s="11" t="n">
        <f aca="false">Declarations!$C$32+(Declarations!$C$7-Declarations!$C$32)*EXP(-Declarations!$D$32*$B89)+IF(Declarations!$E$32=0,0,Declarations!$E$32*($B89/Declarations!$F$32)*EXP(1-$B89/Declarations!$F$32))+IF($B89&gt;=T_sale,Declarations!$G$32,0)</f>
        <v>39.1995489630345</v>
      </c>
      <c r="I89" s="11" t="n">
        <f aca="false">Declarations!$C$33+(Declarations!$C$8-Declarations!$C$33)*EXP(-Declarations!$D$33*$B89)+IF(Declarations!$E$33=0,0,Declarations!$E$33*($B89/Declarations!$F$33)*EXP(1-$B89/Declarations!$F$33))+IF($B89&gt;=T_sale,Declarations!$G$33,0)</f>
        <v>73.4238502741377</v>
      </c>
      <c r="J89" s="11" t="n">
        <f aca="false">Declarations!$C$34+(Declarations!$C$10-Declarations!$C$34)*EXP(-Declarations!$D$34*$B89)+IF(Declarations!$E$34=0,0,Declarations!$E$34*($B89/Declarations!$F$34)*EXP(1-$B89/Declarations!$F$34))+IF($B89&gt;=T_sale,Declarations!$G$34,0)</f>
        <v>50.216896419108</v>
      </c>
      <c r="K89" s="11" t="n">
        <f aca="false">Declarations!$C$35+(Declarations!$C$4-Declarations!$C$35)*EXP(-Declarations!$D$35*$B89)+IF(Declarations!$E$35=0,0,Declarations!$E$35*($B89/Declarations!$F$35)*EXP(1-$B89/Declarations!$F$35))+IF($B89&gt;=T_sale,Declarations!$G$35,0)</f>
        <v>104.847700548275</v>
      </c>
      <c r="L89" s="11" t="n">
        <f aca="false">Declarations!$C$36+(Declarations!$C$7-Declarations!$C$36)*EXP(-Declarations!$D$36*$B89)+IF(Declarations!$E$36=0,0,Declarations!$E$36*($B89/Declarations!$F$36)*EXP(1-$B89/Declarations!$F$36))+IF($B89&gt;=T_sale,Declarations!$G$36,0)</f>
        <v>36.8424424087184</v>
      </c>
      <c r="M89" s="11" t="n">
        <f aca="false">Declarations!$C$37+(Declarations!$C$8-Declarations!$C$37)*EXP(-Declarations!$D$37*$B89)+IF(Declarations!$E$37=0,0,Declarations!$E$37*($B89/Declarations!$F$37)*EXP(1-$B89/Declarations!$F$37))+IF($B89&gt;=T_sale,Declarations!$G$37,0)</f>
        <v>78.1135747331013</v>
      </c>
      <c r="N89" s="11" t="n">
        <f aca="false">Declarations!$C$38+(Declarations!$C$10-Declarations!$C$38)*EXP(-Declarations!$D$38*$B89)+IF(Declarations!$E$38=0,0,Declarations!$E$38*($B89/Declarations!$F$38)*EXP(1-$B89/Declarations!$F$38))+IF($B89&gt;=T_sale,Declarations!$G$38,0)</f>
        <v>66.0013867489058</v>
      </c>
      <c r="O89" s="13" t="n">
        <f aca="false">C89*USD_pt</f>
        <v>535.464740141443</v>
      </c>
      <c r="P89" s="13" t="n">
        <f aca="false">C89*USD_pt-Floor_usd</f>
        <v>185.464740141443</v>
      </c>
      <c r="Q89" s="11" t="n">
        <f aca="false">Risk_ceiling-F89</f>
        <v>15.5245051115612</v>
      </c>
      <c r="R89" s="13" t="n">
        <f aca="false">MIN(Wf_today-Idx_lo,Idx_hi-Wf_today,D89-Idx_lo,Idx_hi-D89,E89-Idx_lo,Idx_hi-E89,F89-Idx_lo,Idx_hi-F89)</f>
        <v>26.9246403470487</v>
      </c>
      <c r="S89" s="13" t="n">
        <f aca="false">G89*USD_pt</f>
        <v>748.144797124288</v>
      </c>
      <c r="T89" s="13" t="n">
        <f aca="false">G89*USD_pt-Floor_usd</f>
        <v>398.144797124288</v>
      </c>
      <c r="U89" s="11" t="n">
        <f aca="false">Risk_ceiling-J89</f>
        <v>24.783103580892</v>
      </c>
      <c r="V89" s="13" t="n">
        <f aca="false">MIN(Wf_today-Idx_lo,Idx_hi-Wf_today,H89-Idx_lo,Idx_hi-H89,I89-Idx_lo,Idx_hi-I89,J89-Idx_lo,Idx_hi-J89)</f>
        <v>26.5761497258623</v>
      </c>
      <c r="W89" s="13" t="n">
        <f aca="false">K89*USD_pt</f>
        <v>650.055743399308</v>
      </c>
      <c r="X89" s="13" t="n">
        <f aca="false">K89*USD_pt-Floor_usd</f>
        <v>300.055743399308</v>
      </c>
      <c r="Y89" s="11" t="n">
        <f aca="false">Risk_ceiling-N89</f>
        <v>8.99861325109424</v>
      </c>
      <c r="Z89" s="13" t="n">
        <f aca="false">MIN(Wf_today-Idx_lo,Idx_hi-Wf_today,L89-Idx_lo,Idx_hi-L89,M89-Idx_lo,Idx_hi-M89,N89-Idx_lo,Idx_hi-N89)</f>
        <v>21.8864252668987</v>
      </c>
    </row>
    <row r="90" customFormat="false" ht="15" hidden="false" customHeight="false" outlineLevel="0" collapsed="false">
      <c r="A90" s="19" t="n">
        <v>45</v>
      </c>
      <c r="B90" s="23" t="n">
        <f aca="false">A90/12</f>
        <v>3.75</v>
      </c>
      <c r="C90" s="11" t="n">
        <f aca="false">Declarations!$C$27+(Declarations!$C$4-Declarations!$C$27)*EXP(-Declarations!$D$27*$B90)+IF(Declarations!$E$27=0,0,Declarations!$E$27*($B90/Declarations!$F$27)*EXP(1-$B90/Declarations!$F$27))+IF($B90&gt;=T_sale,Declarations!$G$27,0)</f>
        <v>86.8849877821281</v>
      </c>
      <c r="D90" s="11" t="n">
        <f aca="false">Declarations!$C$28+(Declarations!$C$7-Declarations!$C$28)*EXP(-Declarations!$D$28*$B90)+IF(Declarations!$E$28=0,0,Declarations!$E$28*($B90/Declarations!$F$28)*EXP(1-$B90/Declarations!$F$28))+IF($B90&gt;=T_sale,Declarations!$G$28,0)</f>
        <v>73.2959778815147</v>
      </c>
      <c r="E90" s="11" t="n">
        <f aca="false">Declarations!$C$29+(Declarations!$C$8-Declarations!$C$29)*EXP(-Declarations!$D$29*$B90)+IF(Declarations!$E$29=0,0,Declarations!$E$29*($B90/Declarations!$F$29)*EXP(1-$B90/Declarations!$F$29))+IF($B90&gt;=T_sale,Declarations!$G$29,0)</f>
        <v>71.0594415955908</v>
      </c>
      <c r="F90" s="11" t="n">
        <f aca="false">Declarations!$C$30+(Declarations!$C$10-Declarations!$C$30)*EXP(-Declarations!$D$30*$B90)+IF(Declarations!$E$30=0,0,Declarations!$E$30*($B90/Declarations!$F$30)*EXP(1-$B90/Declarations!$F$30))+IF($B90&gt;=T_sale,Declarations!$G$30,0)</f>
        <v>59.1258844435986</v>
      </c>
      <c r="G90" s="11" t="n">
        <f aca="false">Declarations!$C$31+(Declarations!$C$4-Declarations!$C$31)*EXP(-Declarations!$D$31*$B90)+IF(Declarations!$E$31=0,0,Declarations!$E$31*($B90/Declarations!$F$31)*EXP(1-$B90/Declarations!$F$31))+IF($B90&gt;=T_sale,Declarations!$G$31,0)</f>
        <v>120.701390130567</v>
      </c>
      <c r="H90" s="11" t="n">
        <f aca="false">Declarations!$C$32+(Declarations!$C$7-Declarations!$C$32)*EXP(-Declarations!$D$32*$B90)+IF(Declarations!$E$32=0,0,Declarations!$E$32*($B90/Declarations!$F$32)*EXP(1-$B90/Declarations!$F$32))+IF($B90&gt;=T_sale,Declarations!$G$32,0)</f>
        <v>39.1748168800304</v>
      </c>
      <c r="I90" s="11" t="n">
        <f aca="false">Declarations!$C$33+(Declarations!$C$8-Declarations!$C$33)*EXP(-Declarations!$D$33*$B90)+IF(Declarations!$E$33=0,0,Declarations!$E$33*($B90/Declarations!$F$33)*EXP(1-$B90/Declarations!$F$33))+IF($B90&gt;=T_sale,Declarations!$G$33,0)</f>
        <v>73.4450558002781</v>
      </c>
      <c r="J90" s="11" t="n">
        <f aca="false">Declarations!$C$34+(Declarations!$C$10-Declarations!$C$34)*EXP(-Declarations!$D$34*$B90)+IF(Declarations!$E$34=0,0,Declarations!$E$34*($B90/Declarations!$F$34)*EXP(1-$B90/Declarations!$F$34))+IF($B90&gt;=T_sale,Declarations!$G$34,0)</f>
        <v>50.1531707898335</v>
      </c>
      <c r="K90" s="11" t="n">
        <f aca="false">Declarations!$C$35+(Declarations!$C$4-Declarations!$C$35)*EXP(-Declarations!$D$35*$B90)+IF(Declarations!$E$35=0,0,Declarations!$E$35*($B90/Declarations!$F$35)*EXP(1-$B90/Declarations!$F$35))+IF($B90&gt;=T_sale,Declarations!$G$35,0)</f>
        <v>104.890111600556</v>
      </c>
      <c r="L90" s="11" t="n">
        <f aca="false">Declarations!$C$36+(Declarations!$C$7-Declarations!$C$36)*EXP(-Declarations!$D$36*$B90)+IF(Declarations!$E$36=0,0,Declarations!$E$36*($B90/Declarations!$F$36)*EXP(1-$B90/Declarations!$F$36))+IF($B90&gt;=T_sale,Declarations!$G$36,0)</f>
        <v>36.7789324219281</v>
      </c>
      <c r="M90" s="11" t="n">
        <f aca="false">Declarations!$C$37+(Declarations!$C$8-Declarations!$C$37)*EXP(-Declarations!$D$37*$B90)+IF(Declarations!$E$37=0,0,Declarations!$E$37*($B90/Declarations!$F$37)*EXP(1-$B90/Declarations!$F$37))+IF($B90&gt;=T_sale,Declarations!$G$37,0)</f>
        <v>78.1568062035051</v>
      </c>
      <c r="N90" s="11" t="n">
        <f aca="false">Declarations!$C$38+(Declarations!$C$10-Declarations!$C$38)*EXP(-Declarations!$D$38*$B90)+IF(Declarations!$E$38=0,0,Declarations!$E$38*($B90/Declarations!$F$38)*EXP(1-$B90/Declarations!$F$38))+IF($B90&gt;=T_sale,Declarations!$G$38,0)</f>
        <v>66.026042597925</v>
      </c>
      <c r="O90" s="13" t="n">
        <f aca="false">C90*USD_pt</f>
        <v>538.686924249194</v>
      </c>
      <c r="P90" s="13" t="n">
        <f aca="false">C90*USD_pt-Floor_usd</f>
        <v>188.686924249194</v>
      </c>
      <c r="Q90" s="11" t="n">
        <f aca="false">Risk_ceiling-F90</f>
        <v>15.8741155564014</v>
      </c>
      <c r="R90" s="13" t="n">
        <f aca="false">MIN(Wf_today-Idx_lo,Idx_hi-Wf_today,D90-Idx_lo,Idx_hi-D90,E90-Idx_lo,Idx_hi-E90,F90-Idx_lo,Idx_hi-F90)</f>
        <v>26.7040221184853</v>
      </c>
      <c r="S90" s="13" t="n">
        <f aca="false">G90*USD_pt</f>
        <v>748.348618809513</v>
      </c>
      <c r="T90" s="13" t="n">
        <f aca="false">G90*USD_pt-Floor_usd</f>
        <v>398.348618809513</v>
      </c>
      <c r="U90" s="11" t="n">
        <f aca="false">Risk_ceiling-J90</f>
        <v>24.8468292101665</v>
      </c>
      <c r="V90" s="13" t="n">
        <f aca="false">MIN(Wf_today-Idx_lo,Idx_hi-Wf_today,H90-Idx_lo,Idx_hi-H90,I90-Idx_lo,Idx_hi-I90,J90-Idx_lo,Idx_hi-J90)</f>
        <v>26.5549441997219</v>
      </c>
      <c r="W90" s="13" t="n">
        <f aca="false">K90*USD_pt</f>
        <v>650.318691923448</v>
      </c>
      <c r="X90" s="13" t="n">
        <f aca="false">K90*USD_pt-Floor_usd</f>
        <v>300.318691923448</v>
      </c>
      <c r="Y90" s="11" t="n">
        <f aca="false">Risk_ceiling-N90</f>
        <v>8.97395740207504</v>
      </c>
      <c r="Z90" s="13" t="n">
        <f aca="false">MIN(Wf_today-Idx_lo,Idx_hi-Wf_today,L90-Idx_lo,Idx_hi-L90,M90-Idx_lo,Idx_hi-M90,N90-Idx_lo,Idx_hi-N90)</f>
        <v>21.8431937964949</v>
      </c>
    </row>
    <row r="91" customFormat="false" ht="15" hidden="false" customHeight="false" outlineLevel="0" collapsed="false">
      <c r="A91" s="19" t="n">
        <v>46</v>
      </c>
      <c r="B91" s="23" t="n">
        <f aca="false">A91/12</f>
        <v>3.83333333333333</v>
      </c>
      <c r="C91" s="11" t="n">
        <f aca="false">Declarations!$C$27+(Declarations!$C$4-Declarations!$C$27)*EXP(-Declarations!$D$27*$B91)+IF(Declarations!$E$27=0,0,Declarations!$E$27*($B91/Declarations!$F$27)*EXP(1-$B91/Declarations!$F$27))+IF($B91&gt;=T_sale,Declarations!$G$27,0)</f>
        <v>87.4044864122299</v>
      </c>
      <c r="D91" s="11" t="n">
        <f aca="false">Declarations!$C$28+(Declarations!$C$7-Declarations!$C$28)*EXP(-Declarations!$D$28*$B91)+IF(Declarations!$E$28=0,0,Declarations!$E$28*($B91/Declarations!$F$28)*EXP(1-$B91/Declarations!$F$28))+IF($B91&gt;=T_sale,Declarations!$G$28,0)</f>
        <v>73.5067126669544</v>
      </c>
      <c r="E91" s="11" t="n">
        <f aca="false">Declarations!$C$29+(Declarations!$C$8-Declarations!$C$29)*EXP(-Declarations!$D$29*$B91)+IF(Declarations!$E$29=0,0,Declarations!$E$29*($B91/Declarations!$F$29)*EXP(1-$B91/Declarations!$F$29))+IF($B91&gt;=T_sale,Declarations!$G$29,0)</f>
        <v>71.2627631764471</v>
      </c>
      <c r="F91" s="11" t="n">
        <f aca="false">Declarations!$C$30+(Declarations!$C$10-Declarations!$C$30)*EXP(-Declarations!$D$30*$B91)+IF(Declarations!$E$30=0,0,Declarations!$E$30*($B91/Declarations!$F$30)*EXP(1-$B91/Declarations!$F$30))+IF($B91&gt;=T_sale,Declarations!$G$30,0)</f>
        <v>58.7885659659192</v>
      </c>
      <c r="G91" s="11" t="n">
        <f aca="false">Declarations!$C$31+(Declarations!$C$4-Declarations!$C$31)*EXP(-Declarations!$D$31*$B91)+IF(Declarations!$E$31=0,0,Declarations!$E$31*($B91/Declarations!$F$31)*EXP(1-$B91/Declarations!$F$31))+IF($B91&gt;=T_sale,Declarations!$G$31,0)</f>
        <v>120.733452922484</v>
      </c>
      <c r="H91" s="11" t="n">
        <f aca="false">Declarations!$C$32+(Declarations!$C$7-Declarations!$C$32)*EXP(-Declarations!$D$32*$B91)+IF(Declarations!$E$32=0,0,Declarations!$E$32*($B91/Declarations!$F$32)*EXP(1-$B91/Declarations!$F$32))+IF($B91&gt;=T_sale,Declarations!$G$32,0)</f>
        <v>39.1505947186289</v>
      </c>
      <c r="I91" s="11" t="n">
        <f aca="false">Declarations!$C$33+(Declarations!$C$8-Declarations!$C$33)*EXP(-Declarations!$D$33*$B91)+IF(Declarations!$E$33=0,0,Declarations!$E$33*($B91/Declarations!$F$33)*EXP(1-$B91/Declarations!$F$33))+IF($B91&gt;=T_sale,Declarations!$G$33,0)</f>
        <v>73.4654808446813</v>
      </c>
      <c r="J91" s="11" t="n">
        <f aca="false">Declarations!$C$34+(Declarations!$C$10-Declarations!$C$34)*EXP(-Declarations!$D$34*$B91)+IF(Declarations!$E$34=0,0,Declarations!$E$34*($B91/Declarations!$F$34)*EXP(1-$B91/Declarations!$F$34))+IF($B91&gt;=T_sale,Declarations!$G$34,0)</f>
        <v>50.0912769808422</v>
      </c>
      <c r="K91" s="11" t="n">
        <f aca="false">Declarations!$C$35+(Declarations!$C$4-Declarations!$C$35)*EXP(-Declarations!$D$35*$B91)+IF(Declarations!$E$35=0,0,Declarations!$E$35*($B91/Declarations!$F$35)*EXP(1-$B91/Declarations!$F$35))+IF($B91&gt;=T_sale,Declarations!$G$35,0)</f>
        <v>104.930961689363</v>
      </c>
      <c r="L91" s="11" t="n">
        <f aca="false">Declarations!$C$36+(Declarations!$C$7-Declarations!$C$36)*EXP(-Declarations!$D$36*$B91)+IF(Declarations!$E$36=0,0,Declarations!$E$36*($B91/Declarations!$F$36)*EXP(1-$B91/Declarations!$F$36))+IF($B91&gt;=T_sale,Declarations!$G$36,0)</f>
        <v>36.7164721628873</v>
      </c>
      <c r="M91" s="11" t="n">
        <f aca="false">Declarations!$C$37+(Declarations!$C$8-Declarations!$C$37)*EXP(-Declarations!$D$37*$B91)+IF(Declarations!$E$37=0,0,Declarations!$E$37*($B91/Declarations!$F$37)*EXP(1-$B91/Declarations!$F$37))+IF($B91&gt;=T_sale,Declarations!$G$37,0)</f>
        <v>78.1979292502176</v>
      </c>
      <c r="N91" s="11" t="n">
        <f aca="false">Declarations!$C$38+(Declarations!$C$10-Declarations!$C$38)*EXP(-Declarations!$D$38*$B91)+IF(Declarations!$E$38=0,0,Declarations!$E$38*($B91/Declarations!$F$38)*EXP(1-$B91/Declarations!$F$38))+IF($B91&gt;=T_sale,Declarations!$G$38,0)</f>
        <v>66.0500896918628</v>
      </c>
      <c r="O91" s="13" t="n">
        <f aca="false">C91*USD_pt</f>
        <v>541.907815755825</v>
      </c>
      <c r="P91" s="13" t="n">
        <f aca="false">C91*USD_pt-Floor_usd</f>
        <v>191.907815755825</v>
      </c>
      <c r="Q91" s="11" t="n">
        <f aca="false">Risk_ceiling-F91</f>
        <v>16.2114340340808</v>
      </c>
      <c r="R91" s="13" t="n">
        <f aca="false">MIN(Wf_today-Idx_lo,Idx_hi-Wf_today,D91-Idx_lo,Idx_hi-D91,E91-Idx_lo,Idx_hi-E91,F91-Idx_lo,Idx_hi-F91)</f>
        <v>26.4932873330456</v>
      </c>
      <c r="S91" s="13" t="n">
        <f aca="false">G91*USD_pt</f>
        <v>748.5474081194</v>
      </c>
      <c r="T91" s="13" t="n">
        <f aca="false">G91*USD_pt-Floor_usd</f>
        <v>398.5474081194</v>
      </c>
      <c r="U91" s="11" t="n">
        <f aca="false">Risk_ceiling-J91</f>
        <v>24.9087230191578</v>
      </c>
      <c r="V91" s="13" t="n">
        <f aca="false">MIN(Wf_today-Idx_lo,Idx_hi-Wf_today,H91-Idx_lo,Idx_hi-H91,I91-Idx_lo,Idx_hi-I91,J91-Idx_lo,Idx_hi-J91)</f>
        <v>26.5345191553187</v>
      </c>
      <c r="W91" s="13" t="n">
        <f aca="false">K91*USD_pt</f>
        <v>650.571962474048</v>
      </c>
      <c r="X91" s="13" t="n">
        <f aca="false">K91*USD_pt-Floor_usd</f>
        <v>300.571962474048</v>
      </c>
      <c r="Y91" s="11" t="n">
        <f aca="false">Risk_ceiling-N91</f>
        <v>8.94991030813716</v>
      </c>
      <c r="Z91" s="13" t="n">
        <f aca="false">MIN(Wf_today-Idx_lo,Idx_hi-Wf_today,L91-Idx_lo,Idx_hi-L91,M91-Idx_lo,Idx_hi-M91,N91-Idx_lo,Idx_hi-N91)</f>
        <v>21.8020707497824</v>
      </c>
    </row>
    <row r="92" customFormat="false" ht="15" hidden="false" customHeight="false" outlineLevel="0" collapsed="false">
      <c r="A92" s="19" t="n">
        <v>47</v>
      </c>
      <c r="B92" s="23" t="n">
        <f aca="false">A92/12</f>
        <v>3.91666666666667</v>
      </c>
      <c r="C92" s="11" t="n">
        <f aca="false">Declarations!$C$27+(Declarations!$C$4-Declarations!$C$27)*EXP(-Declarations!$D$27*$B92)+IF(Declarations!$E$27=0,0,Declarations!$E$27*($B92/Declarations!$F$27)*EXP(1-$B92/Declarations!$F$27))+IF($B92&gt;=T_sale,Declarations!$G$27,0)</f>
        <v>87.9229419170926</v>
      </c>
      <c r="D92" s="11" t="n">
        <f aca="false">Declarations!$C$28+(Declarations!$C$7-Declarations!$C$28)*EXP(-Declarations!$D$28*$B92)+IF(Declarations!$E$28=0,0,Declarations!$E$28*($B92/Declarations!$F$28)*EXP(1-$B92/Declarations!$F$28))+IF($B92&gt;=T_sale,Declarations!$G$28,0)</f>
        <v>73.7080067761652</v>
      </c>
      <c r="E92" s="11" t="n">
        <f aca="false">Declarations!$C$29+(Declarations!$C$8-Declarations!$C$29)*EXP(-Declarations!$D$29*$B92)+IF(Declarations!$E$29=0,0,Declarations!$E$29*($B92/Declarations!$F$29)*EXP(1-$B92/Declarations!$F$29))+IF($B92&gt;=T_sale,Declarations!$G$29,0)</f>
        <v>71.4612971741963</v>
      </c>
      <c r="F92" s="11" t="n">
        <f aca="false">Declarations!$C$30+(Declarations!$C$10-Declarations!$C$30)*EXP(-Declarations!$D$30*$B92)+IF(Declarations!$E$30=0,0,Declarations!$E$30*($B92/Declarations!$F$30)*EXP(1-$B92/Declarations!$F$30))+IF($B92&gt;=T_sale,Declarations!$G$30,0)</f>
        <v>58.463347996316</v>
      </c>
      <c r="G92" s="11" t="n">
        <f aca="false">Declarations!$C$31+(Declarations!$C$4-Declarations!$C$31)*EXP(-Declarations!$D$31*$B92)+IF(Declarations!$E$31=0,0,Declarations!$E$31*($B92/Declarations!$F$31)*EXP(1-$B92/Declarations!$F$31))+IF($B92&gt;=T_sale,Declarations!$G$31,0)</f>
        <v>120.764724081248</v>
      </c>
      <c r="H92" s="11" t="n">
        <f aca="false">Declarations!$C$32+(Declarations!$C$7-Declarations!$C$32)*EXP(-Declarations!$D$32*$B92)+IF(Declarations!$E$32=0,0,Declarations!$E$32*($B92/Declarations!$F$32)*EXP(1-$B92/Declarations!$F$32))+IF($B92&gt;=T_sale,Declarations!$G$32,0)</f>
        <v>39.126871965359</v>
      </c>
      <c r="I92" s="11" t="n">
        <f aca="false">Declarations!$C$33+(Declarations!$C$8-Declarations!$C$33)*EXP(-Declarations!$D$33*$B92)+IF(Declarations!$E$33=0,0,Declarations!$E$33*($B92/Declarations!$F$33)*EXP(1-$B92/Declarations!$F$33))+IF($B92&gt;=T_sale,Declarations!$G$33,0)</f>
        <v>73.4851541334322</v>
      </c>
      <c r="J92" s="11" t="n">
        <f aca="false">Declarations!$C$34+(Declarations!$C$10-Declarations!$C$34)*EXP(-Declarations!$D$34*$B92)+IF(Declarations!$E$34=0,0,Declarations!$E$34*($B92/Declarations!$F$34)*EXP(1-$B92/Declarations!$F$34))+IF($B92&gt;=T_sale,Declarations!$G$34,0)</f>
        <v>50.031162335682</v>
      </c>
      <c r="K92" s="11" t="n">
        <f aca="false">Declarations!$C$35+(Declarations!$C$4-Declarations!$C$35)*EXP(-Declarations!$D$35*$B92)+IF(Declarations!$E$35=0,0,Declarations!$E$35*($B92/Declarations!$F$35)*EXP(1-$B92/Declarations!$F$35))+IF($B92&gt;=T_sale,Declarations!$G$35,0)</f>
        <v>104.970308266864</v>
      </c>
      <c r="L92" s="11" t="n">
        <f aca="false">Declarations!$C$36+(Declarations!$C$7-Declarations!$C$36)*EXP(-Declarations!$D$36*$B92)+IF(Declarations!$E$36=0,0,Declarations!$E$36*($B92/Declarations!$F$36)*EXP(1-$B92/Declarations!$F$36))+IF($B92&gt;=T_sale,Declarations!$G$36,0)</f>
        <v>36.6550442811223</v>
      </c>
      <c r="M92" s="11" t="n">
        <f aca="false">Declarations!$C$37+(Declarations!$C$8-Declarations!$C$37)*EXP(-Declarations!$D$37*$B92)+IF(Declarations!$E$37=0,0,Declarations!$E$37*($B92/Declarations!$F$37)*EXP(1-$B92/Declarations!$F$37))+IF($B92&gt;=T_sale,Declarations!$G$37,0)</f>
        <v>78.2370467022756</v>
      </c>
      <c r="N92" s="11" t="n">
        <f aca="false">Declarations!$C$38+(Declarations!$C$10-Declarations!$C$38)*EXP(-Declarations!$D$38*$B92)+IF(Declarations!$E$38=0,0,Declarations!$E$38*($B92/Declarations!$F$38)*EXP(1-$B92/Declarations!$F$38))+IF($B92&gt;=T_sale,Declarations!$G$38,0)</f>
        <v>66.073543060936</v>
      </c>
      <c r="O92" s="13" t="n">
        <f aca="false">C92*USD_pt</f>
        <v>545.122239885974</v>
      </c>
      <c r="P92" s="13" t="n">
        <f aca="false">C92*USD_pt-Floor_usd</f>
        <v>195.122239885974</v>
      </c>
      <c r="Q92" s="11" t="n">
        <f aca="false">Risk_ceiling-F92</f>
        <v>16.536652003684</v>
      </c>
      <c r="R92" s="13" t="n">
        <f aca="false">MIN(Wf_today-Idx_lo,Idx_hi-Wf_today,D92-Idx_lo,Idx_hi-D92,E92-Idx_lo,Idx_hi-E92,F92-Idx_lo,Idx_hi-F92)</f>
        <v>26.2919932238348</v>
      </c>
      <c r="S92" s="13" t="n">
        <f aca="false">G92*USD_pt</f>
        <v>748.741289303737</v>
      </c>
      <c r="T92" s="13" t="n">
        <f aca="false">G92*USD_pt-Floor_usd</f>
        <v>398.741289303737</v>
      </c>
      <c r="U92" s="11" t="n">
        <f aca="false">Risk_ceiling-J92</f>
        <v>24.968837664318</v>
      </c>
      <c r="V92" s="13" t="n">
        <f aca="false">MIN(Wf_today-Idx_lo,Idx_hi-Wf_today,H92-Idx_lo,Idx_hi-H92,I92-Idx_lo,Idx_hi-I92,J92-Idx_lo,Idx_hi-J92)</f>
        <v>26.5148458665678</v>
      </c>
      <c r="W92" s="13" t="n">
        <f aca="false">K92*USD_pt</f>
        <v>650.815911254559</v>
      </c>
      <c r="X92" s="13" t="n">
        <f aca="false">K92*USD_pt-Floor_usd</f>
        <v>300.815911254559</v>
      </c>
      <c r="Y92" s="11" t="n">
        <f aca="false">Risk_ceiling-N92</f>
        <v>8.92645693906405</v>
      </c>
      <c r="Z92" s="13" t="n">
        <f aca="false">MIN(Wf_today-Idx_lo,Idx_hi-Wf_today,L92-Idx_lo,Idx_hi-L92,M92-Idx_lo,Idx_hi-M92,N92-Idx_lo,Idx_hi-N92)</f>
        <v>21.7629532977244</v>
      </c>
    </row>
    <row r="93" customFormat="false" ht="15" hidden="false" customHeight="false" outlineLevel="0" collapsed="false">
      <c r="A93" s="19" t="n">
        <v>48</v>
      </c>
      <c r="B93" s="23" t="n">
        <f aca="false">A93/12</f>
        <v>4</v>
      </c>
      <c r="C93" s="11" t="n">
        <f aca="false">Declarations!$C$27+(Declarations!$C$4-Declarations!$C$27)*EXP(-Declarations!$D$27*$B93)+IF(Declarations!$E$27=0,0,Declarations!$E$27*($B93/Declarations!$F$27)*EXP(1-$B93/Declarations!$F$27))+IF($B93&gt;=T_sale,Declarations!$G$27,0)</f>
        <v>88.4395877271</v>
      </c>
      <c r="D93" s="11" t="n">
        <f aca="false">Declarations!$C$28+(Declarations!$C$7-Declarations!$C$28)*EXP(-Declarations!$D$28*$B93)+IF(Declarations!$E$28=0,0,Declarations!$E$28*($B93/Declarations!$F$28)*EXP(1-$B93/Declarations!$F$28))+IF($B93&gt;=T_sale,Declarations!$G$28,0)</f>
        <v>73.9002831405936</v>
      </c>
      <c r="E93" s="11" t="n">
        <f aca="false">Declarations!$C$29+(Declarations!$C$8-Declarations!$C$29)*EXP(-Declarations!$D$29*$B93)+IF(Declarations!$E$29=0,0,Declarations!$E$29*($B93/Declarations!$F$29)*EXP(1-$B93/Declarations!$F$29))+IF($B93&gt;=T_sale,Declarations!$G$29,0)</f>
        <v>71.6549738324788</v>
      </c>
      <c r="F93" s="11" t="n">
        <f aca="false">Declarations!$C$30+(Declarations!$C$10-Declarations!$C$30)*EXP(-Declarations!$D$30*$B93)+IF(Declarations!$E$30=0,0,Declarations!$E$30*($B93/Declarations!$F$30)*EXP(1-$B93/Declarations!$F$30))+IF($B93&gt;=T_sale,Declarations!$G$30,0)</f>
        <v>58.1500132342694</v>
      </c>
      <c r="G93" s="11" t="n">
        <f aca="false">Declarations!$C$31+(Declarations!$C$4-Declarations!$C$31)*EXP(-Declarations!$D$31*$B93)+IF(Declarations!$E$31=0,0,Declarations!$E$31*($B93/Declarations!$F$31)*EXP(1-$B93/Declarations!$F$31))+IF($B93&gt;=T_sale,Declarations!$G$31,0)</f>
        <v>120.795223152351</v>
      </c>
      <c r="H93" s="11" t="n">
        <f aca="false">Declarations!$C$32+(Declarations!$C$7-Declarations!$C$32)*EXP(-Declarations!$D$32*$B93)+IF(Declarations!$E$32=0,0,Declarations!$E$32*($B93/Declarations!$F$32)*EXP(1-$B93/Declarations!$F$32))+IF($B93&gt;=T_sale,Declarations!$G$32,0)</f>
        <v>39.1036383235143</v>
      </c>
      <c r="I93" s="11" t="n">
        <f aca="false">Declarations!$C$33+(Declarations!$C$8-Declarations!$C$33)*EXP(-Declarations!$D$33*$B93)+IF(Declarations!$E$33=0,0,Declarations!$E$33*($B93/Declarations!$F$33)*EXP(1-$B93/Declarations!$F$33))+IF($B93&gt;=T_sale,Declarations!$G$33,0)</f>
        <v>73.5041033353352</v>
      </c>
      <c r="J93" s="11" t="n">
        <f aca="false">Declarations!$C$34+(Declarations!$C$10-Declarations!$C$34)*EXP(-Declarations!$D$34*$B93)+IF(Declarations!$E$34=0,0,Declarations!$E$34*($B93/Declarations!$F$34)*EXP(1-$B93/Declarations!$F$34))+IF($B93&gt;=T_sale,Declarations!$G$34,0)</f>
        <v>49.9727757115329</v>
      </c>
      <c r="K93" s="11" t="n">
        <f aca="false">Declarations!$C$35+(Declarations!$C$4-Declarations!$C$35)*EXP(-Declarations!$D$35*$B93)+IF(Declarations!$E$35=0,0,Declarations!$E$35*($B93/Declarations!$F$35)*EXP(1-$B93/Declarations!$F$35))+IF($B93&gt;=T_sale,Declarations!$G$35,0)</f>
        <v>105.00820667067</v>
      </c>
      <c r="L93" s="11" t="n">
        <f aca="false">Declarations!$C$36+(Declarations!$C$7-Declarations!$C$36)*EXP(-Declarations!$D$36*$B93)+IF(Declarations!$E$36=0,0,Declarations!$E$36*($B93/Declarations!$F$36)*EXP(1-$B93/Declarations!$F$36))+IF($B93&gt;=T_sale,Declarations!$G$36,0)</f>
        <v>36.5946317129378</v>
      </c>
      <c r="M93" s="11" t="n">
        <f aca="false">Declarations!$C$37+(Declarations!$C$8-Declarations!$C$37)*EXP(-Declarations!$D$37*$B93)+IF(Declarations!$E$37=0,0,Declarations!$E$37*($B93/Declarations!$F$37)*EXP(1-$B93/Declarations!$F$37))+IF($B93&gt;=T_sale,Declarations!$G$37,0)</f>
        <v>78.2742563736847</v>
      </c>
      <c r="N93" s="11" t="n">
        <f aca="false">Declarations!$C$38+(Declarations!$C$10-Declarations!$C$38)*EXP(-Declarations!$D$38*$B93)+IF(Declarations!$E$38=0,0,Declarations!$E$38*($B93/Declarations!$F$38)*EXP(1-$B93/Declarations!$F$38))+IF($B93&gt;=T_sale,Declarations!$G$38,0)</f>
        <v>66.0964173642634</v>
      </c>
      <c r="O93" s="13" t="n">
        <f aca="false">C93*USD_pt</f>
        <v>548.32544390802</v>
      </c>
      <c r="P93" s="13" t="n">
        <f aca="false">C93*USD_pt-Floor_usd</f>
        <v>198.32544390802</v>
      </c>
      <c r="Q93" s="11" t="n">
        <f aca="false">Risk_ceiling-F93</f>
        <v>16.8499867657306</v>
      </c>
      <c r="R93" s="13" t="n">
        <f aca="false">MIN(Wf_today-Idx_lo,Idx_hi-Wf_today,D93-Idx_lo,Idx_hi-D93,E93-Idx_lo,Idx_hi-E93,F93-Idx_lo,Idx_hi-F93)</f>
        <v>26.0997168594064</v>
      </c>
      <c r="S93" s="13" t="n">
        <f aca="false">G93*USD_pt</f>
        <v>748.930383544578</v>
      </c>
      <c r="T93" s="13" t="n">
        <f aca="false">G93*USD_pt-Floor_usd</f>
        <v>398.930383544577</v>
      </c>
      <c r="U93" s="11" t="n">
        <f aca="false">Risk_ceiling-J93</f>
        <v>25.0272242884671</v>
      </c>
      <c r="V93" s="13" t="n">
        <f aca="false">MIN(Wf_today-Idx_lo,Idx_hi-Wf_today,H93-Idx_lo,Idx_hi-H93,I93-Idx_lo,Idx_hi-I93,J93-Idx_lo,Idx_hi-J93)</f>
        <v>26.4958966646648</v>
      </c>
      <c r="W93" s="13" t="n">
        <f aca="false">K93*USD_pt</f>
        <v>651.050881358157</v>
      </c>
      <c r="X93" s="13" t="n">
        <f aca="false">K93*USD_pt-Floor_usd</f>
        <v>301.050881358157</v>
      </c>
      <c r="Y93" s="11" t="n">
        <f aca="false">Risk_ceiling-N93</f>
        <v>8.90358263573661</v>
      </c>
      <c r="Z93" s="13" t="n">
        <f aca="false">MIN(Wf_today-Idx_lo,Idx_hi-Wf_today,L93-Idx_lo,Idx_hi-L93,M93-Idx_lo,Idx_hi-M93,N93-Idx_lo,Idx_hi-N93)</f>
        <v>21.7257436263153</v>
      </c>
    </row>
    <row r="94" customFormat="false" ht="15" hidden="false" customHeight="false" outlineLevel="0" collapsed="false">
      <c r="A94" s="19" t="n">
        <v>49</v>
      </c>
      <c r="B94" s="23" t="n">
        <f aca="false">A94/12</f>
        <v>4.08333333333333</v>
      </c>
      <c r="C94" s="11" t="n">
        <f aca="false">Declarations!$C$27+(Declarations!$C$4-Declarations!$C$27)*EXP(-Declarations!$D$27*$B94)+IF(Declarations!$E$27=0,0,Declarations!$E$27*($B94/Declarations!$F$27)*EXP(1-$B94/Declarations!$F$27))+IF($B94&gt;=T_sale,Declarations!$G$27,0)</f>
        <v>88.9537211897241</v>
      </c>
      <c r="D94" s="11" t="n">
        <f aca="false">Declarations!$C$28+(Declarations!$C$7-Declarations!$C$28)*EXP(-Declarations!$D$28*$B94)+IF(Declarations!$E$28=0,0,Declarations!$E$28*($B94/Declarations!$F$28)*EXP(1-$B94/Declarations!$F$28))+IF($B94&gt;=T_sale,Declarations!$G$28,0)</f>
        <v>74.0839457448436</v>
      </c>
      <c r="E94" s="11" t="n">
        <f aca="false">Declarations!$C$29+(Declarations!$C$8-Declarations!$C$29)*EXP(-Declarations!$D$29*$B94)+IF(Declarations!$E$29=0,0,Declarations!$E$29*($B94/Declarations!$F$29)*EXP(1-$B94/Declarations!$F$29))+IF($B94&gt;=T_sale,Declarations!$G$29,0)</f>
        <v>71.8437446476006</v>
      </c>
      <c r="F94" s="11" t="n">
        <f aca="false">Declarations!$C$30+(Declarations!$C$10-Declarations!$C$30)*EXP(-Declarations!$D$30*$B94)+IF(Declarations!$E$30=0,0,Declarations!$E$30*($B94/Declarations!$F$30)*EXP(1-$B94/Declarations!$F$30))+IF($B94&gt;=T_sale,Declarations!$G$30,0)</f>
        <v>57.8483227424948</v>
      </c>
      <c r="G94" s="11" t="n">
        <f aca="false">Declarations!$C$31+(Declarations!$C$4-Declarations!$C$31)*EXP(-Declarations!$D$31*$B94)+IF(Declarations!$E$31=0,0,Declarations!$E$31*($B94/Declarations!$F$31)*EXP(1-$B94/Declarations!$F$31))+IF($B94&gt;=T_sale,Declarations!$G$31,0)</f>
        <v>120.824969198706</v>
      </c>
      <c r="H94" s="11" t="n">
        <f aca="false">Declarations!$C$32+(Declarations!$C$7-Declarations!$C$32)*EXP(-Declarations!$D$32*$B94)+IF(Declarations!$E$32=0,0,Declarations!$E$32*($B94/Declarations!$F$32)*EXP(1-$B94/Declarations!$F$32))+IF($B94&gt;=T_sale,Declarations!$G$32,0)</f>
        <v>39.0808837086842</v>
      </c>
      <c r="I94" s="11" t="n">
        <f aca="false">Declarations!$C$33+(Declarations!$C$8-Declarations!$C$33)*EXP(-Declarations!$D$33*$B94)+IF(Declarations!$E$33=0,0,Declarations!$E$33*($B94/Declarations!$F$33)*EXP(1-$B94/Declarations!$F$33))+IF($B94&gt;=T_sale,Declarations!$G$33,0)</f>
        <v>73.5223551008285</v>
      </c>
      <c r="J94" s="11" t="n">
        <f aca="false">Declarations!$C$34+(Declarations!$C$10-Declarations!$C$34)*EXP(-Declarations!$D$34*$B94)+IF(Declarations!$E$34=0,0,Declarations!$E$34*($B94/Declarations!$F$34)*EXP(1-$B94/Declarations!$F$34))+IF($B94&gt;=T_sale,Declarations!$G$34,0)</f>
        <v>49.9160674356967</v>
      </c>
      <c r="K94" s="11" t="n">
        <f aca="false">Declarations!$C$35+(Declarations!$C$4-Declarations!$C$35)*EXP(-Declarations!$D$35*$B94)+IF(Declarations!$E$35=0,0,Declarations!$E$35*($B94/Declarations!$F$35)*EXP(1-$B94/Declarations!$F$35))+IF($B94&gt;=T_sale,Declarations!$G$35,0)</f>
        <v>105.044710201657</v>
      </c>
      <c r="L94" s="11" t="n">
        <f aca="false">Declarations!$C$36+(Declarations!$C$7-Declarations!$C$36)*EXP(-Declarations!$D$36*$B94)+IF(Declarations!$E$36=0,0,Declarations!$E$36*($B94/Declarations!$F$36)*EXP(1-$B94/Declarations!$F$36))+IF($B94&gt;=T_sale,Declarations!$G$36,0)</f>
        <v>36.5352176766762</v>
      </c>
      <c r="M94" s="11" t="n">
        <f aca="false">Declarations!$C$37+(Declarations!$C$8-Declarations!$C$37)*EXP(-Declarations!$D$37*$B94)+IF(Declarations!$E$37=0,0,Declarations!$E$37*($B94/Declarations!$F$37)*EXP(1-$B94/Declarations!$F$37))+IF($B94&gt;=T_sale,Declarations!$G$37,0)</f>
        <v>78.309651308005</v>
      </c>
      <c r="N94" s="11" t="n">
        <f aca="false">Declarations!$C$38+(Declarations!$C$10-Declarations!$C$38)*EXP(-Declarations!$D$38*$B94)+IF(Declarations!$E$38=0,0,Declarations!$E$38*($B94/Declarations!$F$38)*EXP(1-$B94/Declarations!$F$38))+IF($B94&gt;=T_sale,Declarations!$G$38,0)</f>
        <v>66.1187268990294</v>
      </c>
      <c r="O94" s="13" t="n">
        <f aca="false">C94*USD_pt</f>
        <v>551.513071376289</v>
      </c>
      <c r="P94" s="13" t="n">
        <f aca="false">C94*USD_pt-Floor_usd</f>
        <v>201.513071376289</v>
      </c>
      <c r="Q94" s="11" t="n">
        <f aca="false">Risk_ceiling-F94</f>
        <v>17.1516772575052</v>
      </c>
      <c r="R94" s="13" t="n">
        <f aca="false">MIN(Wf_today-Idx_lo,Idx_hi-Wf_today,D94-Idx_lo,Idx_hi-D94,E94-Idx_lo,Idx_hi-E94,F94-Idx_lo,Idx_hi-F94)</f>
        <v>25.9160542551564</v>
      </c>
      <c r="S94" s="13" t="n">
        <f aca="false">G94*USD_pt</f>
        <v>749.114809031976</v>
      </c>
      <c r="T94" s="13" t="n">
        <f aca="false">G94*USD_pt-Floor_usd</f>
        <v>399.114809031976</v>
      </c>
      <c r="U94" s="11" t="n">
        <f aca="false">Risk_ceiling-J94</f>
        <v>25.0839325643033</v>
      </c>
      <c r="V94" s="13" t="n">
        <f aca="false">MIN(Wf_today-Idx_lo,Idx_hi-Wf_today,H94-Idx_lo,Idx_hi-H94,I94-Idx_lo,Idx_hi-I94,J94-Idx_lo,Idx_hi-J94)</f>
        <v>26.4776448991715</v>
      </c>
      <c r="W94" s="13" t="n">
        <f aca="false">K94*USD_pt</f>
        <v>651.277203250274</v>
      </c>
      <c r="X94" s="13" t="n">
        <f aca="false">K94*USD_pt-Floor_usd</f>
        <v>301.277203250274</v>
      </c>
      <c r="Y94" s="11" t="n">
        <f aca="false">Risk_ceiling-N94</f>
        <v>8.8812731009706</v>
      </c>
      <c r="Z94" s="13" t="n">
        <f aca="false">MIN(Wf_today-Idx_lo,Idx_hi-Wf_today,L94-Idx_lo,Idx_hi-L94,M94-Idx_lo,Idx_hi-M94,N94-Idx_lo,Idx_hi-N94)</f>
        <v>21.690348691995</v>
      </c>
    </row>
    <row r="95" customFormat="false" ht="15" hidden="false" customHeight="false" outlineLevel="0" collapsed="false">
      <c r="A95" s="19" t="n">
        <v>50</v>
      </c>
      <c r="B95" s="23" t="n">
        <f aca="false">A95/12</f>
        <v>4.16666666666667</v>
      </c>
      <c r="C95" s="11" t="n">
        <f aca="false">Declarations!$C$27+(Declarations!$C$4-Declarations!$C$27)*EXP(-Declarations!$D$27*$B95)+IF(Declarations!$E$27=0,0,Declarations!$E$27*($B95/Declarations!$F$27)*EXP(1-$B95/Declarations!$F$27))+IF($B95&gt;=T_sale,Declarations!$G$27,0)</f>
        <v>89.4646996404325</v>
      </c>
      <c r="D95" s="11" t="n">
        <f aca="false">Declarations!$C$28+(Declarations!$C$7-Declarations!$C$28)*EXP(-Declarations!$D$28*$B95)+IF(Declarations!$E$28=0,0,Declarations!$E$28*($B95/Declarations!$F$28)*EXP(1-$B95/Declarations!$F$28))+IF($B95&gt;=T_sale,Declarations!$G$28,0)</f>
        <v>74.2593804754729</v>
      </c>
      <c r="E95" s="11" t="n">
        <f aca="false">Declarations!$C$29+(Declarations!$C$8-Declarations!$C$29)*EXP(-Declarations!$D$29*$B95)+IF(Declarations!$E$29=0,0,Declarations!$E$29*($B95/Declarations!$F$29)*EXP(1-$B95/Declarations!$F$29))+IF($B95&gt;=T_sale,Declarations!$G$29,0)</f>
        <v>72.0275802861836</v>
      </c>
      <c r="F95" s="11" t="n">
        <f aca="false">Declarations!$C$30+(Declarations!$C$10-Declarations!$C$30)*EXP(-Declarations!$D$30*$B95)+IF(Declarations!$E$30=0,0,Declarations!$E$30*($B95/Declarations!$F$30)*EXP(1-$B95/Declarations!$F$30))+IF($B95&gt;=T_sale,Declarations!$G$30,0)</f>
        <v>57.5580197078313</v>
      </c>
      <c r="G95" s="11" t="n">
        <f aca="false">Declarations!$C$31+(Declarations!$C$4-Declarations!$C$31)*EXP(-Declarations!$D$31*$B95)+IF(Declarations!$E$31=0,0,Declarations!$E$31*($B95/Declarations!$F$31)*EXP(1-$B95/Declarations!$F$31))+IF($B95&gt;=T_sale,Declarations!$G$31,0)</f>
        <v>120.853980812559</v>
      </c>
      <c r="H95" s="11" t="n">
        <f aca="false">Declarations!$C$32+(Declarations!$C$7-Declarations!$C$32)*EXP(-Declarations!$D$32*$B95)+IF(Declarations!$E$32=0,0,Declarations!$E$32*($B95/Declarations!$F$32)*EXP(1-$B95/Declarations!$F$32))+IF($B95&gt;=T_sale,Declarations!$G$32,0)</f>
        <v>39.0585982443766</v>
      </c>
      <c r="I95" s="11" t="n">
        <f aca="false">Declarations!$C$33+(Declarations!$C$8-Declarations!$C$33)*EXP(-Declarations!$D$33*$B95)+IF(Declarations!$E$33=0,0,Declarations!$E$33*($B95/Declarations!$F$33)*EXP(1-$B95/Declarations!$F$33))+IF($B95&gt;=T_sale,Declarations!$G$33,0)</f>
        <v>73.5399350994652</v>
      </c>
      <c r="J95" s="11" t="n">
        <f aca="false">Declarations!$C$34+(Declarations!$C$10-Declarations!$C$34)*EXP(-Declarations!$D$34*$B95)+IF(Declarations!$E$34=0,0,Declarations!$E$34*($B95/Declarations!$F$34)*EXP(1-$B95/Declarations!$F$34))+IF($B95&gt;=T_sale,Declarations!$G$34,0)</f>
        <v>49.8609892633383</v>
      </c>
      <c r="K95" s="11" t="n">
        <f aca="false">Declarations!$C$35+(Declarations!$C$4-Declarations!$C$35)*EXP(-Declarations!$D$35*$B95)+IF(Declarations!$E$35=0,0,Declarations!$E$35*($B95/Declarations!$F$35)*EXP(1-$B95/Declarations!$F$35))+IF($B95&gt;=T_sale,Declarations!$G$35,0)</f>
        <v>105.07987019893</v>
      </c>
      <c r="L95" s="11" t="n">
        <f aca="false">Declarations!$C$36+(Declarations!$C$7-Declarations!$C$36)*EXP(-Declarations!$D$36*$B95)+IF(Declarations!$E$36=0,0,Declarations!$E$36*($B95/Declarations!$F$36)*EXP(1-$B95/Declarations!$F$36))+IF($B95&gt;=T_sale,Declarations!$G$36,0)</f>
        <v>36.4767856680566</v>
      </c>
      <c r="M95" s="11" t="n">
        <f aca="false">Declarations!$C$37+(Declarations!$C$8-Declarations!$C$37)*EXP(-Declarations!$D$37*$B95)+IF(Declarations!$E$37=0,0,Declarations!$E$37*($B95/Declarations!$F$37)*EXP(1-$B95/Declarations!$F$37))+IF($B95&gt;=T_sale,Declarations!$G$37,0)</f>
        <v>78.3433200110088</v>
      </c>
      <c r="N95" s="11" t="n">
        <f aca="false">Declarations!$C$38+(Declarations!$C$10-Declarations!$C$38)*EXP(-Declarations!$D$38*$B95)+IF(Declarations!$E$38=0,0,Declarations!$E$38*($B95/Declarations!$F$38)*EXP(1-$B95/Declarations!$F$38))+IF($B95&gt;=T_sale,Declarations!$G$38,0)</f>
        <v>66.1404856094194</v>
      </c>
      <c r="O95" s="13" t="n">
        <f aca="false">C95*USD_pt</f>
        <v>554.681137770682</v>
      </c>
      <c r="P95" s="13" t="n">
        <f aca="false">C95*USD_pt-Floor_usd</f>
        <v>204.681137770682</v>
      </c>
      <c r="Q95" s="11" t="n">
        <f aca="false">Risk_ceiling-F95</f>
        <v>17.4419802921687</v>
      </c>
      <c r="R95" s="13" t="n">
        <f aca="false">MIN(Wf_today-Idx_lo,Idx_hi-Wf_today,D95-Idx_lo,Idx_hi-D95,E95-Idx_lo,Idx_hi-E95,F95-Idx_lo,Idx_hi-F95)</f>
        <v>25.7406195245271</v>
      </c>
      <c r="S95" s="13" t="n">
        <f aca="false">G95*USD_pt</f>
        <v>749.294681037867</v>
      </c>
      <c r="T95" s="13" t="n">
        <f aca="false">G95*USD_pt-Floor_usd</f>
        <v>399.294681037867</v>
      </c>
      <c r="U95" s="11" t="n">
        <f aca="false">Risk_ceiling-J95</f>
        <v>25.1390107366617</v>
      </c>
      <c r="V95" s="13" t="n">
        <f aca="false">MIN(Wf_today-Idx_lo,Idx_hi-Wf_today,H95-Idx_lo,Idx_hi-H95,I95-Idx_lo,Idx_hi-I95,J95-Idx_lo,Idx_hi-J95)</f>
        <v>26.4600649005348</v>
      </c>
      <c r="W95" s="13" t="n">
        <f aca="false">K95*USD_pt</f>
        <v>651.495195233369</v>
      </c>
      <c r="X95" s="13" t="n">
        <f aca="false">K95*USD_pt-Floor_usd</f>
        <v>301.495195233369</v>
      </c>
      <c r="Y95" s="11" t="n">
        <f aca="false">Risk_ceiling-N95</f>
        <v>8.85951439058057</v>
      </c>
      <c r="Z95" s="13" t="n">
        <f aca="false">MIN(Wf_today-Idx_lo,Idx_hi-Wf_today,L95-Idx_lo,Idx_hi-L95,M95-Idx_lo,Idx_hi-M95,N95-Idx_lo,Idx_hi-N95)</f>
        <v>21.6566799889912</v>
      </c>
    </row>
    <row r="96" customFormat="false" ht="15" hidden="false" customHeight="false" outlineLevel="0" collapsed="false">
      <c r="A96" s="19" t="n">
        <v>51</v>
      </c>
      <c r="B96" s="23" t="n">
        <f aca="false">A96/12</f>
        <v>4.25</v>
      </c>
      <c r="C96" s="11" t="n">
        <f aca="false">Declarations!$C$27+(Declarations!$C$4-Declarations!$C$27)*EXP(-Declarations!$D$27*$B96)+IF(Declarations!$E$27=0,0,Declarations!$E$27*($B96/Declarations!$F$27)*EXP(1-$B96/Declarations!$F$27))+IF($B96&gt;=T_sale,Declarations!$G$27,0)</f>
        <v>89.9719366875169</v>
      </c>
      <c r="D96" s="11" t="n">
        <f aca="false">Declarations!$C$28+(Declarations!$C$7-Declarations!$C$28)*EXP(-Declarations!$D$28*$B96)+IF(Declarations!$E$28=0,0,Declarations!$E$28*($B96/Declarations!$F$28)*EXP(1-$B96/Declarations!$F$28))+IF($B96&gt;=T_sale,Declarations!$G$28,0)</f>
        <v>74.4269559317649</v>
      </c>
      <c r="E96" s="11" t="n">
        <f aca="false">Declarations!$C$29+(Declarations!$C$8-Declarations!$C$29)*EXP(-Declarations!$D$29*$B96)+IF(Declarations!$E$29=0,0,Declarations!$E$29*($B96/Declarations!$F$29)*EXP(1-$B96/Declarations!$F$29))+IF($B96&gt;=T_sale,Declarations!$G$29,0)</f>
        <v>72.2064686653675</v>
      </c>
      <c r="F96" s="11" t="n">
        <f aca="false">Declarations!$C$30+(Declarations!$C$10-Declarations!$C$30)*EXP(-Declarations!$D$30*$B96)+IF(Declarations!$E$30=0,0,Declarations!$E$30*($B96/Declarations!$F$30)*EXP(1-$B96/Declarations!$F$30))+IF($B96&gt;=T_sale,Declarations!$G$30,0)</f>
        <v>57.2788327988341</v>
      </c>
      <c r="G96" s="11" t="n">
        <f aca="false">Declarations!$C$31+(Declarations!$C$4-Declarations!$C$31)*EXP(-Declarations!$D$31*$B96)+IF(Declarations!$E$31=0,0,Declarations!$E$31*($B96/Declarations!$F$31)*EXP(1-$B96/Declarations!$F$31))+IF($B96&gt;=T_sale,Declarations!$G$31,0)</f>
        <v>120.882276127114</v>
      </c>
      <c r="H96" s="11" t="n">
        <f aca="false">Declarations!$C$32+(Declarations!$C$7-Declarations!$C$32)*EXP(-Declarations!$D$32*$B96)+IF(Declarations!$E$32=0,0,Declarations!$E$32*($B96/Declarations!$F$32)*EXP(1-$B96/Declarations!$F$32))+IF($B96&gt;=T_sale,Declarations!$G$32,0)</f>
        <v>39.0367722577309</v>
      </c>
      <c r="I96" s="11" t="n">
        <f aca="false">Declarations!$C$33+(Declarations!$C$8-Declarations!$C$33)*EXP(-Declarations!$D$33*$B96)+IF(Declarations!$E$33=0,0,Declarations!$E$33*($B96/Declarations!$F$33)*EXP(1-$B96/Declarations!$F$33))+IF($B96&gt;=T_sale,Declarations!$G$33,0)</f>
        <v>73.5568680560156</v>
      </c>
      <c r="J96" s="11" t="n">
        <f aca="false">Declarations!$C$34+(Declarations!$C$10-Declarations!$C$34)*EXP(-Declarations!$D$34*$B96)+IF(Declarations!$E$34=0,0,Declarations!$E$34*($B96/Declarations!$F$34)*EXP(1-$B96/Declarations!$F$34))+IF($B96&gt;=T_sale,Declarations!$G$34,0)</f>
        <v>49.8074943364409</v>
      </c>
      <c r="K96" s="11" t="n">
        <f aca="false">Declarations!$C$35+(Declarations!$C$4-Declarations!$C$35)*EXP(-Declarations!$D$35*$B96)+IF(Declarations!$E$35=0,0,Declarations!$E$35*($B96/Declarations!$F$35)*EXP(1-$B96/Declarations!$F$35))+IF($B96&gt;=T_sale,Declarations!$G$35,0)</f>
        <v>105.113736112031</v>
      </c>
      <c r="L96" s="11" t="n">
        <f aca="false">Declarations!$C$36+(Declarations!$C$7-Declarations!$C$36)*EXP(-Declarations!$D$36*$B96)+IF(Declarations!$E$36=0,0,Declarations!$E$36*($B96/Declarations!$F$36)*EXP(1-$B96/Declarations!$F$36))+IF($B96&gt;=T_sale,Declarations!$G$36,0)</f>
        <v>36.4193194555898</v>
      </c>
      <c r="M96" s="11" t="n">
        <f aca="false">Declarations!$C$37+(Declarations!$C$8-Declarations!$C$37)*EXP(-Declarations!$D$37*$B96)+IF(Declarations!$E$37=0,0,Declarations!$E$37*($B96/Declarations!$F$37)*EXP(1-$B96/Declarations!$F$37))+IF($B96&gt;=T_sale,Declarations!$G$37,0)</f>
        <v>78.3753466719908</v>
      </c>
      <c r="N96" s="11" t="n">
        <f aca="false">Declarations!$C$38+(Declarations!$C$10-Declarations!$C$38)*EXP(-Declarations!$D$38*$B96)+IF(Declarations!$E$38=0,0,Declarations!$E$38*($B96/Declarations!$F$38)*EXP(1-$B96/Declarations!$F$38))+IF($B96&gt;=T_sale,Declarations!$G$38,0)</f>
        <v>66.1617070953358</v>
      </c>
      <c r="O96" s="13" t="n">
        <f aca="false">C96*USD_pt</f>
        <v>557.826007462605</v>
      </c>
      <c r="P96" s="13" t="n">
        <f aca="false">C96*USD_pt-Floor_usd</f>
        <v>207.826007462605</v>
      </c>
      <c r="Q96" s="11" t="n">
        <f aca="false">Risk_ceiling-F96</f>
        <v>17.7211672011659</v>
      </c>
      <c r="R96" s="13" t="n">
        <f aca="false">MIN(Wf_today-Idx_lo,Idx_hi-Wf_today,D96-Idx_lo,Idx_hi-D96,E96-Idx_lo,Idx_hi-E96,F96-Idx_lo,Idx_hi-F96)</f>
        <v>25.5730440682351</v>
      </c>
      <c r="S96" s="13" t="n">
        <f aca="false">G96*USD_pt</f>
        <v>749.470111988109</v>
      </c>
      <c r="T96" s="13" t="n">
        <f aca="false">G96*USD_pt-Floor_usd</f>
        <v>399.470111988109</v>
      </c>
      <c r="U96" s="11" t="n">
        <f aca="false">Risk_ceiling-J96</f>
        <v>25.1925056635591</v>
      </c>
      <c r="V96" s="13" t="n">
        <f aca="false">MIN(Wf_today-Idx_lo,Idx_hi-Wf_today,H96-Idx_lo,Idx_hi-H96,I96-Idx_lo,Idx_hi-I96,J96-Idx_lo,Idx_hi-J96)</f>
        <v>26.4431319439844</v>
      </c>
      <c r="W96" s="13" t="n">
        <f aca="false">K96*USD_pt</f>
        <v>651.705163894594</v>
      </c>
      <c r="X96" s="13" t="n">
        <f aca="false">K96*USD_pt-Floor_usd</f>
        <v>301.705163894594</v>
      </c>
      <c r="Y96" s="11" t="n">
        <f aca="false">Risk_ceiling-N96</f>
        <v>8.83829290466423</v>
      </c>
      <c r="Z96" s="13" t="n">
        <f aca="false">MIN(Wf_today-Idx_lo,Idx_hi-Wf_today,L96-Idx_lo,Idx_hi-L96,M96-Idx_lo,Idx_hi-M96,N96-Idx_lo,Idx_hi-N96)</f>
        <v>21.6246533280092</v>
      </c>
    </row>
    <row r="97" customFormat="false" ht="15" hidden="false" customHeight="false" outlineLevel="0" collapsed="false">
      <c r="A97" s="19" t="n">
        <v>52</v>
      </c>
      <c r="B97" s="23" t="n">
        <f aca="false">A97/12</f>
        <v>4.33333333333333</v>
      </c>
      <c r="C97" s="11" t="n">
        <f aca="false">Declarations!$C$27+(Declarations!$C$4-Declarations!$C$27)*EXP(-Declarations!$D$27*$B97)+IF(Declarations!$E$27=0,0,Declarations!$E$27*($B97/Declarations!$F$27)*EXP(1-$B97/Declarations!$F$27))+IF($B97&gt;=T_sale,Declarations!$G$27,0)</f>
        <v>90.4748986999362</v>
      </c>
      <c r="D97" s="11" t="n">
        <f aca="false">Declarations!$C$28+(Declarations!$C$7-Declarations!$C$28)*EXP(-Declarations!$D$28*$B97)+IF(Declarations!$E$28=0,0,Declarations!$E$28*($B97/Declarations!$F$28)*EXP(1-$B97/Declarations!$F$28))+IF($B97&gt;=T_sale,Declarations!$G$28,0)</f>
        <v>74.5870242001787</v>
      </c>
      <c r="E97" s="11" t="n">
        <f aca="false">Declarations!$C$29+(Declarations!$C$8-Declarations!$C$29)*EXP(-Declarations!$D$29*$B97)+IF(Declarations!$E$29=0,0,Declarations!$E$29*($B97/Declarations!$F$29)*EXP(1-$B97/Declarations!$F$29))+IF($B97&gt;=T_sale,Declarations!$G$29,0)</f>
        <v>72.380413184091</v>
      </c>
      <c r="F97" s="11" t="n">
        <f aca="false">Declarations!$C$30+(Declarations!$C$10-Declarations!$C$30)*EXP(-Declarations!$D$30*$B97)+IF(Declarations!$E$30=0,0,Declarations!$E$30*($B97/Declarations!$F$30)*EXP(1-$B97/Declarations!$F$30))+IF($B97&gt;=T_sale,Declarations!$G$30,0)</f>
        <v>57.0104791571291</v>
      </c>
      <c r="G97" s="11" t="n">
        <f aca="false">Declarations!$C$31+(Declarations!$C$4-Declarations!$C$31)*EXP(-Declarations!$D$31*$B97)+IF(Declarations!$E$31=0,0,Declarations!$E$31*($B97/Declarations!$F$31)*EXP(1-$B97/Declarations!$F$31))+IF($B97&gt;=T_sale,Declarations!$G$31,0)</f>
        <v>120.909872827864</v>
      </c>
      <c r="H97" s="11" t="n">
        <f aca="false">Declarations!$C$32+(Declarations!$C$7-Declarations!$C$32)*EXP(-Declarations!$D$32*$B97)+IF(Declarations!$E$32=0,0,Declarations!$E$32*($B97/Declarations!$F$32)*EXP(1-$B97/Declarations!$F$32))+IF($B97&gt;=T_sale,Declarations!$G$32,0)</f>
        <v>39.0153962753202</v>
      </c>
      <c r="I97" s="11" t="n">
        <f aca="false">Declarations!$C$33+(Declarations!$C$8-Declarations!$C$33)*EXP(-Declarations!$D$33*$B97)+IF(Declarations!$E$33=0,0,Declarations!$E$33*($B97/Declarations!$F$33)*EXP(1-$B97/Declarations!$F$33))+IF($B97&gt;=T_sale,Declarations!$G$33,0)</f>
        <v>73.5731777852405</v>
      </c>
      <c r="J97" s="11" t="n">
        <f aca="false">Declarations!$C$34+(Declarations!$C$10-Declarations!$C$34)*EXP(-Declarations!$D$34*$B97)+IF(Declarations!$E$34=0,0,Declarations!$E$34*($B97/Declarations!$F$34)*EXP(1-$B97/Declarations!$F$34))+IF($B97&gt;=T_sale,Declarations!$G$34,0)</f>
        <v>49.755537143941</v>
      </c>
      <c r="K97" s="11" t="n">
        <f aca="false">Declarations!$C$35+(Declarations!$C$4-Declarations!$C$35)*EXP(-Declarations!$D$35*$B97)+IF(Declarations!$E$35=0,0,Declarations!$E$35*($B97/Declarations!$F$35)*EXP(1-$B97/Declarations!$F$35))+IF($B97&gt;=T_sale,Declarations!$G$35,0)</f>
        <v>105.146355570481</v>
      </c>
      <c r="L97" s="11" t="n">
        <f aca="false">Declarations!$C$36+(Declarations!$C$7-Declarations!$C$36)*EXP(-Declarations!$D$36*$B97)+IF(Declarations!$E$36=0,0,Declarations!$E$36*($B97/Declarations!$F$36)*EXP(1-$B97/Declarations!$F$36))+IF($B97&gt;=T_sale,Declarations!$G$36,0)</f>
        <v>36.3628030760695</v>
      </c>
      <c r="M97" s="11" t="n">
        <f aca="false">Declarations!$C$37+(Declarations!$C$8-Declarations!$C$37)*EXP(-Declarations!$D$37*$B97)+IF(Declarations!$E$37=0,0,Declarations!$E$37*($B97/Declarations!$F$37)*EXP(1-$B97/Declarations!$F$37))+IF($B97&gt;=T_sale,Declarations!$G$37,0)</f>
        <v>78.4058113742853</v>
      </c>
      <c r="N97" s="11" t="n">
        <f aca="false">Declarations!$C$38+(Declarations!$C$10-Declarations!$C$38)*EXP(-Declarations!$D$38*$B97)+IF(Declarations!$E$38=0,0,Declarations!$E$38*($B97/Declarations!$F$38)*EXP(1-$B97/Declarations!$F$38))+IF($B97&gt;=T_sale,Declarations!$G$38,0)</f>
        <v>66.182404620898</v>
      </c>
      <c r="O97" s="13" t="n">
        <f aca="false">C97*USD_pt</f>
        <v>560.944371939605</v>
      </c>
      <c r="P97" s="13" t="n">
        <f aca="false">C97*USD_pt-Floor_usd</f>
        <v>210.944371939605</v>
      </c>
      <c r="Q97" s="11" t="n">
        <f aca="false">Risk_ceiling-F97</f>
        <v>17.9895208428709</v>
      </c>
      <c r="R97" s="13" t="n">
        <f aca="false">MIN(Wf_today-Idx_lo,Idx_hi-Wf_today,D97-Idx_lo,Idx_hi-D97,E97-Idx_lo,Idx_hi-E97,F97-Idx_lo,Idx_hi-F97)</f>
        <v>25.4129757998213</v>
      </c>
      <c r="S97" s="13" t="n">
        <f aca="false">G97*USD_pt</f>
        <v>749.641211532757</v>
      </c>
      <c r="T97" s="13" t="n">
        <f aca="false">G97*USD_pt-Floor_usd</f>
        <v>399.641211532757</v>
      </c>
      <c r="U97" s="11" t="n">
        <f aca="false">Risk_ceiling-J97</f>
        <v>25.244462856059</v>
      </c>
      <c r="V97" s="13" t="n">
        <f aca="false">MIN(Wf_today-Idx_lo,Idx_hi-Wf_today,H97-Idx_lo,Idx_hi-H97,I97-Idx_lo,Idx_hi-I97,J97-Idx_lo,Idx_hi-J97)</f>
        <v>26.4268222147595</v>
      </c>
      <c r="W97" s="13" t="n">
        <f aca="false">K97*USD_pt</f>
        <v>651.907404536982</v>
      </c>
      <c r="X97" s="13" t="n">
        <f aca="false">K97*USD_pt-Floor_usd</f>
        <v>301.907404536982</v>
      </c>
      <c r="Y97" s="11" t="n">
        <f aca="false">Risk_ceiling-N97</f>
        <v>8.81759537910205</v>
      </c>
      <c r="Z97" s="13" t="n">
        <f aca="false">MIN(Wf_today-Idx_lo,Idx_hi-Wf_today,L97-Idx_lo,Idx_hi-L97,M97-Idx_lo,Idx_hi-M97,N97-Idx_lo,Idx_hi-N97)</f>
        <v>21.5941886257147</v>
      </c>
    </row>
    <row r="98" customFormat="false" ht="15" hidden="false" customHeight="false" outlineLevel="0" collapsed="false">
      <c r="A98" s="19" t="n">
        <v>53</v>
      </c>
      <c r="B98" s="23" t="n">
        <f aca="false">A98/12</f>
        <v>4.41666666666667</v>
      </c>
      <c r="C98" s="11" t="n">
        <f aca="false">Declarations!$C$27+(Declarations!$C$4-Declarations!$C$27)*EXP(-Declarations!$D$27*$B98)+IF(Declarations!$E$27=0,0,Declarations!$E$27*($B98/Declarations!$F$27)*EXP(1-$B98/Declarations!$F$27))+IF($B98&gt;=T_sale,Declarations!$G$27,0)</f>
        <v>90.9731014878013</v>
      </c>
      <c r="D98" s="11" t="n">
        <f aca="false">Declarations!$C$28+(Declarations!$C$7-Declarations!$C$28)*EXP(-Declarations!$D$28*$B98)+IF(Declarations!$E$28=0,0,Declarations!$E$28*($B98/Declarations!$F$28)*EXP(1-$B98/Declarations!$F$28))+IF($B98&gt;=T_sale,Declarations!$G$28,0)</f>
        <v>74.7399215941046</v>
      </c>
      <c r="E98" s="11" t="n">
        <f aca="false">Declarations!$C$29+(Declarations!$C$8-Declarations!$C$29)*EXP(-Declarations!$D$29*$B98)+IF(Declarations!$E$29=0,0,Declarations!$E$29*($B98/Declarations!$F$29)*EXP(1-$B98/Declarations!$F$29))+IF($B98&gt;=T_sale,Declarations!$G$29,0)</f>
        <v>72.5494310947498</v>
      </c>
      <c r="F98" s="11" t="n">
        <f aca="false">Declarations!$C$30+(Declarations!$C$10-Declarations!$C$30)*EXP(-Declarations!$D$30*$B98)+IF(Declarations!$E$30=0,0,Declarations!$E$30*($B98/Declarations!$F$30)*EXP(1-$B98/Declarations!$F$30))+IF($B98&gt;=T_sale,Declarations!$G$30,0)</f>
        <v>56.7526670564307</v>
      </c>
      <c r="G98" s="11" t="n">
        <f aca="false">Declarations!$C$31+(Declarations!$C$4-Declarations!$C$31)*EXP(-Declarations!$D$31*$B98)+IF(Declarations!$E$31=0,0,Declarations!$E$31*($B98/Declarations!$F$31)*EXP(1-$B98/Declarations!$F$31))+IF($B98&gt;=T_sale,Declarations!$G$31,0)</f>
        <v>120.936788163644</v>
      </c>
      <c r="H98" s="11" t="n">
        <f aca="false">Declarations!$C$32+(Declarations!$C$7-Declarations!$C$32)*EXP(-Declarations!$D$32*$B98)+IF(Declarations!$E$32=0,0,Declarations!$E$32*($B98/Declarations!$F$32)*EXP(1-$B98/Declarations!$F$32))+IF($B98&gt;=T_sale,Declarations!$G$32,0)</f>
        <v>38.9944610190387</v>
      </c>
      <c r="I98" s="11" t="n">
        <f aca="false">Declarations!$C$33+(Declarations!$C$8-Declarations!$C$33)*EXP(-Declarations!$D$33*$B98)+IF(Declarations!$E$33=0,0,Declarations!$E$33*($B98/Declarations!$F$33)*EXP(1-$B98/Declarations!$F$33))+IF($B98&gt;=T_sale,Declarations!$G$33,0)</f>
        <v>73.5888872253844</v>
      </c>
      <c r="J98" s="11" t="n">
        <f aca="false">Declarations!$C$34+(Declarations!$C$10-Declarations!$C$34)*EXP(-Declarations!$D$34*$B98)+IF(Declarations!$E$34=0,0,Declarations!$E$34*($B98/Declarations!$F$34)*EXP(1-$B98/Declarations!$F$34))+IF($B98&gt;=T_sale,Declarations!$G$34,0)</f>
        <v>49.7050734830103</v>
      </c>
      <c r="K98" s="11" t="n">
        <f aca="false">Declarations!$C$35+(Declarations!$C$4-Declarations!$C$35)*EXP(-Declarations!$D$35*$B98)+IF(Declarations!$E$35=0,0,Declarations!$E$35*($B98/Declarations!$F$35)*EXP(1-$B98/Declarations!$F$35))+IF($B98&gt;=T_sale,Declarations!$G$35,0)</f>
        <v>105.177774450769</v>
      </c>
      <c r="L98" s="11" t="n">
        <f aca="false">Declarations!$C$36+(Declarations!$C$7-Declarations!$C$36)*EXP(-Declarations!$D$36*$B98)+IF(Declarations!$E$36=0,0,Declarations!$E$36*($B98/Declarations!$F$36)*EXP(1-$B98/Declarations!$F$36))+IF($B98&gt;=T_sale,Declarations!$G$36,0)</f>
        <v>36.3072208301378</v>
      </c>
      <c r="M98" s="11" t="n">
        <f aca="false">Declarations!$C$37+(Declarations!$C$8-Declarations!$C$37)*EXP(-Declarations!$D$37*$B98)+IF(Declarations!$E$37=0,0,Declarations!$E$37*($B98/Declarations!$F$37)*EXP(1-$B98/Declarations!$F$37))+IF($B98&gt;=T_sale,Declarations!$G$37,0)</f>
        <v>78.4347902955166</v>
      </c>
      <c r="N98" s="11" t="n">
        <f aca="false">Declarations!$C$38+(Declarations!$C$10-Declarations!$C$38)*EXP(-Declarations!$D$38*$B98)+IF(Declarations!$E$38=0,0,Declarations!$E$38*($B98/Declarations!$F$38)*EXP(1-$B98/Declarations!$F$38))+IF($B98&gt;=T_sale,Declarations!$G$38,0)</f>
        <v>66.2025911227332</v>
      </c>
      <c r="O98" s="13" t="n">
        <f aca="false">C98*USD_pt</f>
        <v>564.033229224368</v>
      </c>
      <c r="P98" s="13" t="n">
        <f aca="false">C98*USD_pt-Floor_usd</f>
        <v>214.033229224368</v>
      </c>
      <c r="Q98" s="11" t="n">
        <f aca="false">Risk_ceiling-F98</f>
        <v>18.2473329435693</v>
      </c>
      <c r="R98" s="13" t="n">
        <f aca="false">MIN(Wf_today-Idx_lo,Idx_hi-Wf_today,D98-Idx_lo,Idx_hi-D98,E98-Idx_lo,Idx_hi-E98,F98-Idx_lo,Idx_hi-F98)</f>
        <v>25.2600784058954</v>
      </c>
      <c r="S98" s="13" t="n">
        <f aca="false">G98*USD_pt</f>
        <v>749.808086614595</v>
      </c>
      <c r="T98" s="13" t="n">
        <f aca="false">G98*USD_pt-Floor_usd</f>
        <v>399.808086614595</v>
      </c>
      <c r="U98" s="11" t="n">
        <f aca="false">Risk_ceiling-J98</f>
        <v>25.2949265169897</v>
      </c>
      <c r="V98" s="13" t="n">
        <f aca="false">MIN(Wf_today-Idx_lo,Idx_hi-Wf_today,H98-Idx_lo,Idx_hi-H98,I98-Idx_lo,Idx_hi-I98,J98-Idx_lo,Idx_hi-J98)</f>
        <v>26.4111127746156</v>
      </c>
      <c r="W98" s="13" t="n">
        <f aca="false">K98*USD_pt</f>
        <v>652.102201594766</v>
      </c>
      <c r="X98" s="13" t="n">
        <f aca="false">K98*USD_pt-Floor_usd</f>
        <v>302.102201594766</v>
      </c>
      <c r="Y98" s="11" t="n">
        <f aca="false">Risk_ceiling-N98</f>
        <v>8.79740887726678</v>
      </c>
      <c r="Z98" s="13" t="n">
        <f aca="false">MIN(Wf_today-Idx_lo,Idx_hi-Wf_today,L98-Idx_lo,Idx_hi-L98,M98-Idx_lo,Idx_hi-M98,N98-Idx_lo,Idx_hi-N98)</f>
        <v>21.5652097044834</v>
      </c>
    </row>
    <row r="99" customFormat="false" ht="15" hidden="false" customHeight="false" outlineLevel="0" collapsed="false">
      <c r="A99" s="19" t="n">
        <v>54</v>
      </c>
      <c r="B99" s="23" t="n">
        <f aca="false">A99/12</f>
        <v>4.5</v>
      </c>
      <c r="C99" s="11" t="n">
        <f aca="false">Declarations!$C$27+(Declarations!$C$4-Declarations!$C$27)*EXP(-Declarations!$D$27*$B99)+IF(Declarations!$E$27=0,0,Declarations!$E$27*($B99/Declarations!$F$27)*EXP(1-$B99/Declarations!$F$27))+IF($B99&gt;=T_sale,Declarations!$G$27,0)</f>
        <v>91.4661071656342</v>
      </c>
      <c r="D99" s="11" t="n">
        <f aca="false">Declarations!$C$28+(Declarations!$C$7-Declarations!$C$28)*EXP(-Declarations!$D$28*$B99)+IF(Declarations!$E$28=0,0,Declarations!$E$28*($B99/Declarations!$F$28)*EXP(1-$B99/Declarations!$F$28))+IF($B99&gt;=T_sale,Declarations!$G$28,0)</f>
        <v>74.8859693604795</v>
      </c>
      <c r="E99" s="11" t="n">
        <f aca="false">Declarations!$C$29+(Declarations!$C$8-Declarations!$C$29)*EXP(-Declarations!$D$29*$B99)+IF(Declarations!$E$29=0,0,Declarations!$E$29*($B99/Declarations!$F$29)*EXP(1-$B99/Declarations!$F$29))+IF($B99&gt;=T_sale,Declarations!$G$29,0)</f>
        <v>72.7135520052403</v>
      </c>
      <c r="F99" s="11" t="n">
        <f aca="false">Declarations!$C$30+(Declarations!$C$10-Declarations!$C$30)*EXP(-Declarations!$D$30*$B99)+IF(Declarations!$E$30=0,0,Declarations!$E$30*($B99/Declarations!$F$30)*EXP(1-$B99/Declarations!$F$30))+IF($B99&gt;=T_sale,Declarations!$G$30,0)</f>
        <v>56.5050982602328</v>
      </c>
      <c r="G99" s="11" t="n">
        <f aca="false">Declarations!$C$31+(Declarations!$C$4-Declarations!$C$31)*EXP(-Declarations!$D$31*$B99)+IF(Declarations!$E$31=0,0,Declarations!$E$31*($B99/Declarations!$F$31)*EXP(1-$B99/Declarations!$F$31))+IF($B99&gt;=T_sale,Declarations!$G$31,0)</f>
        <v>120.963038957416</v>
      </c>
      <c r="H99" s="11" t="n">
        <f aca="false">Declarations!$C$32+(Declarations!$C$7-Declarations!$C$32)*EXP(-Declarations!$D$32*$B99)+IF(Declarations!$E$32=0,0,Declarations!$E$32*($B99/Declarations!$F$32)*EXP(1-$B99/Declarations!$F$32))+IF($B99&gt;=T_sale,Declarations!$G$32,0)</f>
        <v>38.9739574020751</v>
      </c>
      <c r="I99" s="11" t="n">
        <f aca="false">Declarations!$C$33+(Declarations!$C$8-Declarations!$C$33)*EXP(-Declarations!$D$33*$B99)+IF(Declarations!$E$33=0,0,Declarations!$E$33*($B99/Declarations!$F$33)*EXP(1-$B99/Declarations!$F$33))+IF($B99&gt;=T_sale,Declarations!$G$33,0)</f>
        <v>73.6040184704365</v>
      </c>
      <c r="J99" s="11" t="n">
        <f aca="false">Declarations!$C$34+(Declarations!$C$10-Declarations!$C$34)*EXP(-Declarations!$D$34*$B99)+IF(Declarations!$E$34=0,0,Declarations!$E$34*($B99/Declarations!$F$34)*EXP(1-$B99/Declarations!$F$34))+IF($B99&gt;=T_sale,Declarations!$G$34,0)</f>
        <v>49.6560604214492</v>
      </c>
      <c r="K99" s="11" t="n">
        <f aca="false">Declarations!$C$35+(Declarations!$C$4-Declarations!$C$35)*EXP(-Declarations!$D$35*$B99)+IF(Declarations!$E$35=0,0,Declarations!$E$35*($B99/Declarations!$F$35)*EXP(1-$B99/Declarations!$F$35))+IF($B99&gt;=T_sale,Declarations!$G$35,0)</f>
        <v>105.208036940873</v>
      </c>
      <c r="L99" s="11" t="n">
        <f aca="false">Declarations!$C$36+(Declarations!$C$7-Declarations!$C$36)*EXP(-Declarations!$D$36*$B99)+IF(Declarations!$E$36=0,0,Declarations!$E$36*($B99/Declarations!$F$36)*EXP(1-$B99/Declarations!$F$36))+IF($B99&gt;=T_sale,Declarations!$G$36,0)</f>
        <v>36.2525572779248</v>
      </c>
      <c r="M99" s="11" t="n">
        <f aca="false">Declarations!$C$37+(Declarations!$C$8-Declarations!$C$37)*EXP(-Declarations!$D$37*$B99)+IF(Declarations!$E$37=0,0,Declarations!$E$37*($B99/Declarations!$F$37)*EXP(1-$B99/Declarations!$F$37))+IF($B99&gt;=T_sale,Declarations!$G$37,0)</f>
        <v>78.462355898082</v>
      </c>
      <c r="N99" s="11" t="n">
        <f aca="false">Declarations!$C$38+(Declarations!$C$10-Declarations!$C$38)*EXP(-Declarations!$D$38*$B99)+IF(Declarations!$E$38=0,0,Declarations!$E$38*($B99/Declarations!$F$38)*EXP(1-$B99/Declarations!$F$38))+IF($B99&gt;=T_sale,Declarations!$G$38,0)</f>
        <v>66.2222792180623</v>
      </c>
      <c r="O99" s="13" t="n">
        <f aca="false">C99*USD_pt</f>
        <v>567.089864426932</v>
      </c>
      <c r="P99" s="13" t="n">
        <f aca="false">C99*USD_pt-Floor_usd</f>
        <v>217.089864426932</v>
      </c>
      <c r="Q99" s="11" t="n">
        <f aca="false">Risk_ceiling-F99</f>
        <v>18.4949017397672</v>
      </c>
      <c r="R99" s="13" t="n">
        <f aca="false">MIN(Wf_today-Idx_lo,Idx_hi-Wf_today,D99-Idx_lo,Idx_hi-D99,E99-Idx_lo,Idx_hi-E99,F99-Idx_lo,Idx_hi-F99)</f>
        <v>25.1140306395205</v>
      </c>
      <c r="S99" s="13" t="n">
        <f aca="false">G99*USD_pt</f>
        <v>749.970841535982</v>
      </c>
      <c r="T99" s="13" t="n">
        <f aca="false">G99*USD_pt-Floor_usd</f>
        <v>399.970841535982</v>
      </c>
      <c r="U99" s="11" t="n">
        <f aca="false">Risk_ceiling-J99</f>
        <v>25.3439395785508</v>
      </c>
      <c r="V99" s="13" t="n">
        <f aca="false">MIN(Wf_today-Idx_lo,Idx_hi-Wf_today,H99-Idx_lo,Idx_hi-H99,I99-Idx_lo,Idx_hi-I99,J99-Idx_lo,Idx_hi-J99)</f>
        <v>26.3959815295635</v>
      </c>
      <c r="W99" s="13" t="n">
        <f aca="false">K99*USD_pt</f>
        <v>652.289829033413</v>
      </c>
      <c r="X99" s="13" t="n">
        <f aca="false">K99*USD_pt-Floor_usd</f>
        <v>302.289829033413</v>
      </c>
      <c r="Y99" s="11" t="n">
        <f aca="false">Risk_ceiling-N99</f>
        <v>8.77772078193767</v>
      </c>
      <c r="Z99" s="13" t="n">
        <f aca="false">MIN(Wf_today-Idx_lo,Idx_hi-Wf_today,L99-Idx_lo,Idx_hi-L99,M99-Idx_lo,Idx_hi-M99,N99-Idx_lo,Idx_hi-N99)</f>
        <v>21.537644101918</v>
      </c>
    </row>
    <row r="100" customFormat="false" ht="15" hidden="false" customHeight="false" outlineLevel="0" collapsed="false">
      <c r="A100" s="19" t="n">
        <v>55</v>
      </c>
      <c r="B100" s="23" t="n">
        <f aca="false">A100/12</f>
        <v>4.58333333333333</v>
      </c>
      <c r="C100" s="11" t="n">
        <f aca="false">Declarations!$C$27+(Declarations!$C$4-Declarations!$C$27)*EXP(-Declarations!$D$27*$B100)+IF(Declarations!$E$27=0,0,Declarations!$E$27*($B100/Declarations!$F$27)*EXP(1-$B100/Declarations!$F$27))+IF($B100&gt;=T_sale,Declarations!$G$27,0)</f>
        <v>91.9535211890218</v>
      </c>
      <c r="D100" s="11" t="n">
        <f aca="false">Declarations!$C$28+(Declarations!$C$7-Declarations!$C$28)*EXP(-Declarations!$D$28*$B100)+IF(Declarations!$E$28=0,0,Declarations!$E$28*($B100/Declarations!$F$28)*EXP(1-$B100/Declarations!$F$28))+IF($B100&gt;=T_sale,Declarations!$G$28,0)</f>
        <v>75.0254743547467</v>
      </c>
      <c r="E100" s="11" t="n">
        <f aca="false">Declarations!$C$29+(Declarations!$C$8-Declarations!$C$29)*EXP(-Declarations!$D$29*$B100)+IF(Declarations!$E$29=0,0,Declarations!$E$29*($B100/Declarations!$F$29)*EXP(1-$B100/Declarations!$F$29))+IF($B100&gt;=T_sale,Declarations!$G$29,0)</f>
        <v>72.8728165020682</v>
      </c>
      <c r="F100" s="11" t="n">
        <f aca="false">Declarations!$C$30+(Declarations!$C$10-Declarations!$C$30)*EXP(-Declarations!$D$30*$B100)+IF(Declarations!$E$30=0,0,Declarations!$E$30*($B100/Declarations!$F$30)*EXP(1-$B100/Declarations!$F$30))+IF($B100&gt;=T_sale,Declarations!$G$30,0)</f>
        <v>56.2674701065162</v>
      </c>
      <c r="G100" s="11" t="n">
        <f aca="false">Declarations!$C$31+(Declarations!$C$4-Declarations!$C$31)*EXP(-Declarations!$D$31*$B100)+IF(Declarations!$E$31=0,0,Declarations!$E$31*($B100/Declarations!$F$31)*EXP(1-$B100/Declarations!$F$31))+IF($B100&gt;=T_sale,Declarations!$G$31,0)</f>
        <v>120.988641616781</v>
      </c>
      <c r="H100" s="11" t="n">
        <f aca="false">Declarations!$C$32+(Declarations!$C$7-Declarations!$C$32)*EXP(-Declarations!$D$32*$B100)+IF(Declarations!$E$32=0,0,Declarations!$E$32*($B100/Declarations!$F$32)*EXP(1-$B100/Declarations!$F$32))+IF($B100&gt;=T_sale,Declarations!$G$32,0)</f>
        <v>38.953876524968</v>
      </c>
      <c r="I100" s="11" t="n">
        <f aca="false">Declarations!$C$33+(Declarations!$C$8-Declarations!$C$33)*EXP(-Declarations!$D$33*$B100)+IF(Declarations!$E$33=0,0,Declarations!$E$33*($B100/Declarations!$F$33)*EXP(1-$B100/Declarations!$F$33))+IF($B100&gt;=T_sale,Declarations!$G$33,0)</f>
        <v>73.6185928012039</v>
      </c>
      <c r="J100" s="11" t="n">
        <f aca="false">Declarations!$C$34+(Declarations!$C$10-Declarations!$C$34)*EXP(-Declarations!$D$34*$B100)+IF(Declarations!$E$34=0,0,Declarations!$E$34*($B100/Declarations!$F$34)*EXP(1-$B100/Declarations!$F$34))+IF($B100&gt;=T_sale,Declarations!$G$34,0)</f>
        <v>49.6084562611628</v>
      </c>
      <c r="K100" s="11" t="n">
        <f aca="false">Declarations!$C$35+(Declarations!$C$4-Declarations!$C$35)*EXP(-Declarations!$D$35*$B100)+IF(Declarations!$E$35=0,0,Declarations!$E$35*($B100/Declarations!$F$35)*EXP(1-$B100/Declarations!$F$35))+IF($B100&gt;=T_sale,Declarations!$G$35,0)</f>
        <v>105.237185602408</v>
      </c>
      <c r="L100" s="11" t="n">
        <f aca="false">Declarations!$C$36+(Declarations!$C$7-Declarations!$C$36)*EXP(-Declarations!$D$36*$B100)+IF(Declarations!$E$36=0,0,Declarations!$E$36*($B100/Declarations!$F$36)*EXP(1-$B100/Declarations!$F$36))+IF($B100&gt;=T_sale,Declarations!$G$36,0)</f>
        <v>36.1987972347588</v>
      </c>
      <c r="M100" s="11" t="n">
        <f aca="false">Declarations!$C$37+(Declarations!$C$8-Declarations!$C$37)*EXP(-Declarations!$D$37*$B100)+IF(Declarations!$E$37=0,0,Declarations!$E$37*($B100/Declarations!$F$37)*EXP(1-$B100/Declarations!$F$37))+IF($B100&gt;=T_sale,Declarations!$G$37,0)</f>
        <v>78.4885771103463</v>
      </c>
      <c r="N100" s="11" t="n">
        <f aca="false">Declarations!$C$38+(Declarations!$C$10-Declarations!$C$38)*EXP(-Declarations!$D$38*$B100)+IF(Declarations!$E$38=0,0,Declarations!$E$38*($B100/Declarations!$F$38)*EXP(1-$B100/Declarations!$F$38))+IF($B100&gt;=T_sale,Declarations!$G$38,0)</f>
        <v>66.2414812125858</v>
      </c>
      <c r="O100" s="13" t="n">
        <f aca="false">C100*USD_pt</f>
        <v>570.111831371935</v>
      </c>
      <c r="P100" s="13" t="n">
        <f aca="false">C100*USD_pt-Floor_usd</f>
        <v>220.111831371935</v>
      </c>
      <c r="Q100" s="11" t="n">
        <f aca="false">Risk_ceiling-F100</f>
        <v>18.7325298934838</v>
      </c>
      <c r="R100" s="13" t="n">
        <f aca="false">MIN(Wf_today-Idx_lo,Idx_hi-Wf_today,D100-Idx_lo,Idx_hi-D100,E100-Idx_lo,Idx_hi-E100,F100-Idx_lo,Idx_hi-F100)</f>
        <v>24.9745256452533</v>
      </c>
      <c r="S100" s="13" t="n">
        <f aca="false">G100*USD_pt</f>
        <v>750.129578024042</v>
      </c>
      <c r="T100" s="13" t="n">
        <f aca="false">G100*USD_pt-Floor_usd</f>
        <v>400.129578024042</v>
      </c>
      <c r="U100" s="11" t="n">
        <f aca="false">Risk_ceiling-J100</f>
        <v>25.3915437388372</v>
      </c>
      <c r="V100" s="13" t="n">
        <f aca="false">MIN(Wf_today-Idx_lo,Idx_hi-Wf_today,H100-Idx_lo,Idx_hi-H100,I100-Idx_lo,Idx_hi-I100,J100-Idx_lo,Idx_hi-J100)</f>
        <v>26.3814071987961</v>
      </c>
      <c r="W100" s="13" t="n">
        <f aca="false">K100*USD_pt</f>
        <v>652.470550734928</v>
      </c>
      <c r="X100" s="13" t="n">
        <f aca="false">K100*USD_pt-Floor_usd</f>
        <v>302.470550734928</v>
      </c>
      <c r="Y100" s="11" t="n">
        <f aca="false">Risk_ceiling-N100</f>
        <v>8.75851878741425</v>
      </c>
      <c r="Z100" s="13" t="n">
        <f aca="false">MIN(Wf_today-Idx_lo,Idx_hi-Wf_today,L100-Idx_lo,Idx_hi-L100,M100-Idx_lo,Idx_hi-M100,N100-Idx_lo,Idx_hi-N100)</f>
        <v>21.5114228896537</v>
      </c>
    </row>
    <row r="101" customFormat="false" ht="15" hidden="false" customHeight="false" outlineLevel="0" collapsed="false">
      <c r="A101" s="19" t="n">
        <v>56</v>
      </c>
      <c r="B101" s="23" t="n">
        <f aca="false">A101/12</f>
        <v>4.66666666666667</v>
      </c>
      <c r="C101" s="11" t="n">
        <f aca="false">Declarations!$C$27+(Declarations!$C$4-Declarations!$C$27)*EXP(-Declarations!$D$27*$B101)+IF(Declarations!$E$27=0,0,Declarations!$E$27*($B101/Declarations!$F$27)*EXP(1-$B101/Declarations!$F$27))+IF($B101&gt;=T_sale,Declarations!$G$27,0)</f>
        <v>92.4349895557443</v>
      </c>
      <c r="D101" s="11" t="n">
        <f aca="false">Declarations!$C$28+(Declarations!$C$7-Declarations!$C$28)*EXP(-Declarations!$D$28*$B101)+IF(Declarations!$E$28=0,0,Declarations!$E$28*($B101/Declarations!$F$28)*EXP(1-$B101/Declarations!$F$28))+IF($B101&gt;=T_sale,Declarations!$G$28,0)</f>
        <v>75.1587296855782</v>
      </c>
      <c r="E101" s="11" t="n">
        <f aca="false">Declarations!$C$29+(Declarations!$C$8-Declarations!$C$29)*EXP(-Declarations!$D$29*$B101)+IF(Declarations!$E$29=0,0,Declarations!$E$29*($B101/Declarations!$F$29)*EXP(1-$B101/Declarations!$F$29))+IF($B101&gt;=T_sale,Declarations!$G$29,0)</f>
        <v>73.0272748858283</v>
      </c>
      <c r="F101" s="11" t="n">
        <f aca="false">Declarations!$C$30+(Declarations!$C$10-Declarations!$C$30)*EXP(-Declarations!$D$30*$B101)+IF(Declarations!$E$30=0,0,Declarations!$E$30*($B101/Declarations!$F$30)*EXP(1-$B101/Declarations!$F$30))+IF($B101&gt;=T_sale,Declarations!$G$30,0)</f>
        <v>56.0394773453784</v>
      </c>
      <c r="G101" s="11" t="n">
        <f aca="false">Declarations!$C$31+(Declarations!$C$4-Declarations!$C$31)*EXP(-Declarations!$D$31*$B101)+IF(Declarations!$E$31=0,0,Declarations!$E$31*($B101/Declarations!$F$31)*EXP(1-$B101/Declarations!$F$31))+IF($B101&gt;=T_sale,Declarations!$G$31,0)</f>
        <v>121.013612144234</v>
      </c>
      <c r="H101" s="11" t="n">
        <f aca="false">Declarations!$C$32+(Declarations!$C$7-Declarations!$C$32)*EXP(-Declarations!$D$32*$B101)+IF(Declarations!$E$32=0,0,Declarations!$E$32*($B101/Declarations!$F$32)*EXP(1-$B101/Declarations!$F$32))+IF($B101&gt;=T_sale,Declarations!$G$32,0)</f>
        <v>38.9342096717438</v>
      </c>
      <c r="I101" s="11" t="n">
        <f aca="false">Declarations!$C$33+(Declarations!$C$8-Declarations!$C$33)*EXP(-Declarations!$D$33*$B101)+IF(Declarations!$E$33=0,0,Declarations!$E$33*($B101/Declarations!$F$33)*EXP(1-$B101/Declarations!$F$33))+IF($B101&gt;=T_sale,Declarations!$G$33,0)</f>
        <v>73.6326307152411</v>
      </c>
      <c r="J101" s="11" t="n">
        <f aca="false">Declarations!$C$34+(Declarations!$C$10-Declarations!$C$34)*EXP(-Declarations!$D$34*$B101)+IF(Declarations!$E$34=0,0,Declarations!$E$34*($B101/Declarations!$F$34)*EXP(1-$B101/Declarations!$F$34))+IF($B101&gt;=T_sale,Declarations!$G$34,0)</f>
        <v>49.5622205026855</v>
      </c>
      <c r="K101" s="11" t="n">
        <f aca="false">Declarations!$C$35+(Declarations!$C$4-Declarations!$C$35)*EXP(-Declarations!$D$35*$B101)+IF(Declarations!$E$35=0,0,Declarations!$E$35*($B101/Declarations!$F$35)*EXP(1-$B101/Declarations!$F$35))+IF($B101&gt;=T_sale,Declarations!$G$35,0)</f>
        <v>105.265261430482</v>
      </c>
      <c r="L101" s="11" t="n">
        <f aca="false">Declarations!$C$36+(Declarations!$C$7-Declarations!$C$36)*EXP(-Declarations!$D$36*$B101)+IF(Declarations!$E$36=0,0,Declarations!$E$36*($B101/Declarations!$F$36)*EXP(1-$B101/Declarations!$F$36))+IF($B101&gt;=T_sale,Declarations!$G$36,0)</f>
        <v>36.1459257669488</v>
      </c>
      <c r="M101" s="11" t="n">
        <f aca="false">Declarations!$C$37+(Declarations!$C$8-Declarations!$C$37)*EXP(-Declarations!$D$37*$B101)+IF(Declarations!$E$37=0,0,Declarations!$E$37*($B101/Declarations!$F$37)*EXP(1-$B101/Declarations!$F$37))+IF($B101&gt;=T_sale,Declarations!$G$37,0)</f>
        <v>78.5135194989983</v>
      </c>
      <c r="N101" s="11" t="n">
        <f aca="false">Declarations!$C$38+(Declarations!$C$10-Declarations!$C$38)*EXP(-Declarations!$D$38*$B101)+IF(Declarations!$E$38=0,0,Declarations!$E$38*($B101/Declarations!$F$38)*EXP(1-$B101/Declarations!$F$38))+IF($B101&gt;=T_sale,Declarations!$G$38,0)</f>
        <v>66.2602091081752</v>
      </c>
      <c r="O101" s="13" t="n">
        <f aca="false">C101*USD_pt</f>
        <v>573.096935245615</v>
      </c>
      <c r="P101" s="13" t="n">
        <f aca="false">C101*USD_pt-Floor_usd</f>
        <v>223.096935245615</v>
      </c>
      <c r="Q101" s="11" t="n">
        <f aca="false">Risk_ceiling-F101</f>
        <v>18.9605226546216</v>
      </c>
      <c r="R101" s="13" t="n">
        <f aca="false">MIN(Wf_today-Idx_lo,Idx_hi-Wf_today,D101-Idx_lo,Idx_hi-D101,E101-Idx_lo,Idx_hi-E101,F101-Idx_lo,Idx_hi-F101)</f>
        <v>24.8412703144218</v>
      </c>
      <c r="S101" s="13" t="n">
        <f aca="false">G101*USD_pt</f>
        <v>750.284395294248</v>
      </c>
      <c r="T101" s="13" t="n">
        <f aca="false">G101*USD_pt-Floor_usd</f>
        <v>400.284395294248</v>
      </c>
      <c r="U101" s="11" t="n">
        <f aca="false">Risk_ceiling-J101</f>
        <v>25.4377794973145</v>
      </c>
      <c r="V101" s="13" t="n">
        <f aca="false">MIN(Wf_today-Idx_lo,Idx_hi-Wf_today,H101-Idx_lo,Idx_hi-H101,I101-Idx_lo,Idx_hi-I101,J101-Idx_lo,Idx_hi-J101)</f>
        <v>26.367369284759</v>
      </c>
      <c r="W101" s="13" t="n">
        <f aca="false">K101*USD_pt</f>
        <v>652.644620868989</v>
      </c>
      <c r="X101" s="13" t="n">
        <f aca="false">K101*USD_pt-Floor_usd</f>
        <v>302.644620868989</v>
      </c>
      <c r="Y101" s="11" t="n">
        <f aca="false">Risk_ceiling-N101</f>
        <v>8.73979089182483</v>
      </c>
      <c r="Z101" s="13" t="n">
        <f aca="false">MIN(Wf_today-Idx_lo,Idx_hi-Wf_today,L101-Idx_lo,Idx_hi-L101,M101-Idx_lo,Idx_hi-M101,N101-Idx_lo,Idx_hi-N101)</f>
        <v>21.4864805010018</v>
      </c>
    </row>
    <row r="102" customFormat="false" ht="15" hidden="false" customHeight="false" outlineLevel="0" collapsed="false">
      <c r="A102" s="19" t="n">
        <v>57</v>
      </c>
      <c r="B102" s="23" t="n">
        <f aca="false">A102/12</f>
        <v>4.75</v>
      </c>
      <c r="C102" s="11" t="n">
        <f aca="false">Declarations!$C$27+(Declarations!$C$4-Declarations!$C$27)*EXP(-Declarations!$D$27*$B102)+IF(Declarations!$E$27=0,0,Declarations!$E$27*($B102/Declarations!$F$27)*EXP(1-$B102/Declarations!$F$27))+IF($B102&gt;=T_sale,Declarations!$G$27,0)</f>
        <v>92.9101961628956</v>
      </c>
      <c r="D102" s="11" t="n">
        <f aca="false">Declarations!$C$28+(Declarations!$C$7-Declarations!$C$28)*EXP(-Declarations!$D$28*$B102)+IF(Declarations!$E$28=0,0,Declarations!$E$28*($B102/Declarations!$F$28)*EXP(1-$B102/Declarations!$F$28))+IF($B102&gt;=T_sale,Declarations!$G$28,0)</f>
        <v>75.2860153307143</v>
      </c>
      <c r="E102" s="11" t="n">
        <f aca="false">Declarations!$C$29+(Declarations!$C$8-Declarations!$C$29)*EXP(-Declarations!$D$29*$B102)+IF(Declarations!$E$29=0,0,Declarations!$E$29*($B102/Declarations!$F$29)*EXP(1-$B102/Declarations!$F$29))+IF($B102&gt;=T_sale,Declarations!$G$29,0)</f>
        <v>73.1769860109444</v>
      </c>
      <c r="F102" s="11" t="n">
        <f aca="false">Declarations!$C$30+(Declarations!$C$10-Declarations!$C$30)*EXP(-Declarations!$D$30*$B102)+IF(Declarations!$E$30=0,0,Declarations!$E$30*($B102/Declarations!$F$30)*EXP(1-$B102/Declarations!$F$30))+IF($B102&gt;=T_sale,Declarations!$G$30,0)</f>
        <v>55.8208137532435</v>
      </c>
      <c r="G102" s="11" t="n">
        <f aca="false">Declarations!$C$31+(Declarations!$C$4-Declarations!$C$31)*EXP(-Declarations!$D$31*$B102)+IF(Declarations!$E$31=0,0,Declarations!$E$31*($B102/Declarations!$F$31)*EXP(1-$B102/Declarations!$F$31))+IF($B102&gt;=T_sale,Declarations!$G$31,0)</f>
        <v>121.037966147167</v>
      </c>
      <c r="H102" s="11" t="n">
        <f aca="false">Declarations!$C$32+(Declarations!$C$7-Declarations!$C$32)*EXP(-Declarations!$D$32*$B102)+IF(Declarations!$E$32=0,0,Declarations!$E$32*($B102/Declarations!$F$32)*EXP(1-$B102/Declarations!$F$32))+IF($B102&gt;=T_sale,Declarations!$G$32,0)</f>
        <v>38.9149483061332</v>
      </c>
      <c r="I102" s="11" t="n">
        <f aca="false">Declarations!$C$33+(Declarations!$C$8-Declarations!$C$33)*EXP(-Declarations!$D$33*$B102)+IF(Declarations!$E$33=0,0,Declarations!$E$33*($B102/Declarations!$F$33)*EXP(1-$B102/Declarations!$F$33))+IF($B102&gt;=T_sale,Declarations!$G$33,0)</f>
        <v>73.6461519556781</v>
      </c>
      <c r="J102" s="11" t="n">
        <f aca="false">Declarations!$C$34+(Declarations!$C$10-Declarations!$C$34)*EXP(-Declarations!$D$34*$B102)+IF(Declarations!$E$34=0,0,Declarations!$E$34*($B102/Declarations!$F$34)*EXP(1-$B102/Declarations!$F$34))+IF($B102&gt;=T_sale,Declarations!$G$34,0)</f>
        <v>49.5173138107259</v>
      </c>
      <c r="K102" s="11" t="n">
        <f aca="false">Declarations!$C$35+(Declarations!$C$4-Declarations!$C$35)*EXP(-Declarations!$D$35*$B102)+IF(Declarations!$E$35=0,0,Declarations!$E$35*($B102/Declarations!$F$35)*EXP(1-$B102/Declarations!$F$35))+IF($B102&gt;=T_sale,Declarations!$G$35,0)</f>
        <v>105.292303911356</v>
      </c>
      <c r="L102" s="11" t="n">
        <f aca="false">Declarations!$C$36+(Declarations!$C$7-Declarations!$C$36)*EXP(-Declarations!$D$36*$B102)+IF(Declarations!$E$36=0,0,Declarations!$E$36*($B102/Declarations!$F$36)*EXP(1-$B102/Declarations!$F$36))+IF($B102&gt;=T_sale,Declarations!$G$36,0)</f>
        <v>36.093928187636</v>
      </c>
      <c r="M102" s="11" t="n">
        <f aca="false">Declarations!$C$37+(Declarations!$C$8-Declarations!$C$37)*EXP(-Declarations!$D$37*$B102)+IF(Declarations!$E$37=0,0,Declarations!$E$37*($B102/Declarations!$F$37)*EXP(1-$B102/Declarations!$F$37))+IF($B102&gt;=T_sale,Declarations!$G$37,0)</f>
        <v>78.5372454330013</v>
      </c>
      <c r="N102" s="11" t="n">
        <f aca="false">Declarations!$C$38+(Declarations!$C$10-Declarations!$C$38)*EXP(-Declarations!$D$38*$B102)+IF(Declarations!$E$38=0,0,Declarations!$E$38*($B102/Declarations!$F$38)*EXP(1-$B102/Declarations!$F$38))+IF($B102&gt;=T_sale,Declarations!$G$38,0)</f>
        <v>66.278474610375</v>
      </c>
      <c r="O102" s="13" t="n">
        <f aca="false">C102*USD_pt</f>
        <v>576.043216209952</v>
      </c>
      <c r="P102" s="13" t="n">
        <f aca="false">C102*USD_pt-Floor_usd</f>
        <v>226.043216209952</v>
      </c>
      <c r="Q102" s="11" t="n">
        <f aca="false">Risk_ceiling-F102</f>
        <v>19.1791862467565</v>
      </c>
      <c r="R102" s="13" t="n">
        <f aca="false">MIN(Wf_today-Idx_lo,Idx_hi-Wf_today,D102-Idx_lo,Idx_hi-D102,E102-Idx_lo,Idx_hi-E102,F102-Idx_lo,Idx_hi-F102)</f>
        <v>24.7139846692857</v>
      </c>
      <c r="S102" s="13" t="n">
        <f aca="false">G102*USD_pt</f>
        <v>750.435390112433</v>
      </c>
      <c r="T102" s="13" t="n">
        <f aca="false">G102*USD_pt-Floor_usd</f>
        <v>400.435390112433</v>
      </c>
      <c r="U102" s="11" t="n">
        <f aca="false">Risk_ceiling-J102</f>
        <v>25.4826861892741</v>
      </c>
      <c r="V102" s="13" t="n">
        <f aca="false">MIN(Wf_today-Idx_lo,Idx_hi-Wf_today,H102-Idx_lo,Idx_hi-H102,I102-Idx_lo,Idx_hi-I102,J102-Idx_lo,Idx_hi-J102)</f>
        <v>26.3538480443219</v>
      </c>
      <c r="W102" s="13" t="n">
        <f aca="false">K102*USD_pt</f>
        <v>652.812284250408</v>
      </c>
      <c r="X102" s="13" t="n">
        <f aca="false">K102*USD_pt-Floor_usd</f>
        <v>302.812284250408</v>
      </c>
      <c r="Y102" s="11" t="n">
        <f aca="false">Risk_ceiling-N102</f>
        <v>8.72152538962503</v>
      </c>
      <c r="Z102" s="13" t="n">
        <f aca="false">MIN(Wf_today-Idx_lo,Idx_hi-Wf_today,L102-Idx_lo,Idx_hi-L102,M102-Idx_lo,Idx_hi-M102,N102-Idx_lo,Idx_hi-N102)</f>
        <v>21.4627545669987</v>
      </c>
    </row>
    <row r="103" customFormat="false" ht="15" hidden="false" customHeight="false" outlineLevel="0" collapsed="false">
      <c r="A103" s="19" t="n">
        <v>58</v>
      </c>
      <c r="B103" s="23" t="n">
        <f aca="false">A103/12</f>
        <v>4.83333333333333</v>
      </c>
      <c r="C103" s="11" t="n">
        <f aca="false">Declarations!$C$27+(Declarations!$C$4-Declarations!$C$27)*EXP(-Declarations!$D$27*$B103)+IF(Declarations!$E$27=0,0,Declarations!$E$27*($B103/Declarations!$F$27)*EXP(1-$B103/Declarations!$F$27))+IF($B103&gt;=T_sale,Declarations!$G$27,0)</f>
        <v>93.3788603119342</v>
      </c>
      <c r="D103" s="11" t="n">
        <f aca="false">Declarations!$C$28+(Declarations!$C$7-Declarations!$C$28)*EXP(-Declarations!$D$28*$B103)+IF(Declarations!$E$28=0,0,Declarations!$E$28*($B103/Declarations!$F$28)*EXP(1-$B103/Declarations!$F$28))+IF($B103&gt;=T_sale,Declarations!$G$28,0)</f>
        <v>75.4075987252143</v>
      </c>
      <c r="E103" s="11" t="n">
        <f aca="false">Declarations!$C$29+(Declarations!$C$8-Declarations!$C$29)*EXP(-Declarations!$D$29*$B103)+IF(Declarations!$E$29=0,0,Declarations!$E$29*($B103/Declarations!$F$29)*EXP(1-$B103/Declarations!$F$29))+IF($B103&gt;=T_sale,Declarations!$G$29,0)</f>
        <v>73.3220162221095</v>
      </c>
      <c r="F103" s="11" t="n">
        <f aca="false">Declarations!$C$30+(Declarations!$C$10-Declarations!$C$30)*EXP(-Declarations!$D$30*$B103)+IF(Declarations!$E$30=0,0,Declarations!$E$30*($B103/Declarations!$F$30)*EXP(1-$B103/Declarations!$F$30))+IF($B103&gt;=T_sale,Declarations!$G$30,0)</f>
        <v>55.6111735452535</v>
      </c>
      <c r="G103" s="11" t="n">
        <f aca="false">Declarations!$C$31+(Declarations!$C$4-Declarations!$C$31)*EXP(-Declarations!$D$31*$B103)+IF(Declarations!$E$31=0,0,Declarations!$E$31*($B103/Declarations!$F$31)*EXP(1-$B103/Declarations!$F$31))+IF($B103&gt;=T_sale,Declarations!$G$31,0)</f>
        <v>121.061718847625</v>
      </c>
      <c r="H103" s="11" t="n">
        <f aca="false">Declarations!$C$32+(Declarations!$C$7-Declarations!$C$32)*EXP(-Declarations!$D$32*$B103)+IF(Declarations!$E$32=0,0,Declarations!$E$32*($B103/Declarations!$F$32)*EXP(1-$B103/Declarations!$F$32))+IF($B103&gt;=T_sale,Declarations!$G$32,0)</f>
        <v>38.896084067866</v>
      </c>
      <c r="I103" s="11" t="n">
        <f aca="false">Declarations!$C$33+(Declarations!$C$8-Declarations!$C$33)*EXP(-Declarations!$D$33*$B103)+IF(Declarations!$E$33=0,0,Declarations!$E$33*($B103/Declarations!$F$33)*EXP(1-$B103/Declarations!$F$33))+IF($B103&gt;=T_sale,Declarations!$G$33,0)</f>
        <v>73.6591755389877</v>
      </c>
      <c r="J103" s="11" t="n">
        <f aca="false">Declarations!$C$34+(Declarations!$C$10-Declarations!$C$34)*EXP(-Declarations!$D$34*$B103)+IF(Declarations!$E$34=0,0,Declarations!$E$34*($B103/Declarations!$F$34)*EXP(1-$B103/Declarations!$F$34))+IF($B103&gt;=T_sale,Declarations!$G$34,0)</f>
        <v>49.4736979807024</v>
      </c>
      <c r="K103" s="11" t="n">
        <f aca="false">Declarations!$C$35+(Declarations!$C$4-Declarations!$C$35)*EXP(-Declarations!$D$35*$B103)+IF(Declarations!$E$35=0,0,Declarations!$E$35*($B103/Declarations!$F$35)*EXP(1-$B103/Declarations!$F$35))+IF($B103&gt;=T_sale,Declarations!$G$35,0)</f>
        <v>105.318351077975</v>
      </c>
      <c r="L103" s="11" t="n">
        <f aca="false">Declarations!$C$36+(Declarations!$C$7-Declarations!$C$36)*EXP(-Declarations!$D$36*$B103)+IF(Declarations!$E$36=0,0,Declarations!$E$36*($B103/Declarations!$F$36)*EXP(1-$B103/Declarations!$F$36))+IF($B103&gt;=T_sale,Declarations!$G$36,0)</f>
        <v>36.0427900527141</v>
      </c>
      <c r="M103" s="11" t="n">
        <f aca="false">Declarations!$C$37+(Declarations!$C$8-Declarations!$C$37)*EXP(-Declarations!$D$37*$B103)+IF(Declarations!$E$37=0,0,Declarations!$E$37*($B103/Declarations!$F$37)*EXP(1-$B103/Declarations!$F$37))+IF($B103&gt;=T_sale,Declarations!$G$37,0)</f>
        <v>78.5598142395487</v>
      </c>
      <c r="N103" s="11" t="n">
        <f aca="false">Declarations!$C$38+(Declarations!$C$10-Declarations!$C$38)*EXP(-Declarations!$D$38*$B103)+IF(Declarations!$E$38=0,0,Declarations!$E$38*($B103/Declarations!$F$38)*EXP(1-$B103/Declarations!$F$38))+IF($B103&gt;=T_sale,Declarations!$G$38,0)</f>
        <v>66.2962891357186</v>
      </c>
      <c r="O103" s="13" t="n">
        <f aca="false">C103*USD_pt</f>
        <v>578.948933933992</v>
      </c>
      <c r="P103" s="13" t="n">
        <f aca="false">C103*USD_pt-Floor_usd</f>
        <v>228.948933933992</v>
      </c>
      <c r="Q103" s="11" t="n">
        <f aca="false">Risk_ceiling-F103</f>
        <v>19.3888264547465</v>
      </c>
      <c r="R103" s="13" t="n">
        <f aca="false">MIN(Wf_today-Idx_lo,Idx_hi-Wf_today,D103-Idx_lo,Idx_hi-D103,E103-Idx_lo,Idx_hi-E103,F103-Idx_lo,Idx_hi-F103)</f>
        <v>24.5924012747857</v>
      </c>
      <c r="S103" s="13" t="n">
        <f aca="false">G103*USD_pt</f>
        <v>750.582656855274</v>
      </c>
      <c r="T103" s="13" t="n">
        <f aca="false">G103*USD_pt-Floor_usd</f>
        <v>400.582656855274</v>
      </c>
      <c r="U103" s="11" t="n">
        <f aca="false">Risk_ceiling-J103</f>
        <v>25.5263020192976</v>
      </c>
      <c r="V103" s="13" t="n">
        <f aca="false">MIN(Wf_today-Idx_lo,Idx_hi-Wf_today,H103-Idx_lo,Idx_hi-H103,I103-Idx_lo,Idx_hi-I103,J103-Idx_lo,Idx_hi-J103)</f>
        <v>26.3408244610123</v>
      </c>
      <c r="W103" s="13" t="n">
        <f aca="false">K103*USD_pt</f>
        <v>652.973776683448</v>
      </c>
      <c r="X103" s="13" t="n">
        <f aca="false">K103*USD_pt-Floor_usd</f>
        <v>302.973776683448</v>
      </c>
      <c r="Y103" s="11" t="n">
        <f aca="false">Risk_ceiling-N103</f>
        <v>8.70371086428139</v>
      </c>
      <c r="Z103" s="13" t="n">
        <f aca="false">MIN(Wf_today-Idx_lo,Idx_hi-Wf_today,L103-Idx_lo,Idx_hi-L103,M103-Idx_lo,Idx_hi-M103,N103-Idx_lo,Idx_hi-N103)</f>
        <v>21.4401857604513</v>
      </c>
    </row>
    <row r="104" customFormat="false" ht="15" hidden="false" customHeight="false" outlineLevel="0" collapsed="false">
      <c r="A104" s="19" t="n">
        <v>59</v>
      </c>
      <c r="B104" s="23" t="n">
        <f aca="false">A104/12</f>
        <v>4.91666666666667</v>
      </c>
      <c r="C104" s="11" t="n">
        <f aca="false">Declarations!$C$27+(Declarations!$C$4-Declarations!$C$27)*EXP(-Declarations!$D$27*$B104)+IF(Declarations!$E$27=0,0,Declarations!$E$27*($B104/Declarations!$F$27)*EXP(1-$B104/Declarations!$F$27))+IF($B104&gt;=T_sale,Declarations!$G$27,0)</f>
        <v>93.8407343539992</v>
      </c>
      <c r="D104" s="11" t="n">
        <f aca="false">Declarations!$C$28+(Declarations!$C$7-Declarations!$C$28)*EXP(-Declarations!$D$28*$B104)+IF(Declarations!$E$28=0,0,Declarations!$E$28*($B104/Declarations!$F$28)*EXP(1-$B104/Declarations!$F$28))+IF($B104&gt;=T_sale,Declarations!$G$28,0)</f>
        <v>75.5237353233542</v>
      </c>
      <c r="E104" s="11" t="n">
        <f aca="false">Declarations!$C$29+(Declarations!$C$8-Declarations!$C$29)*EXP(-Declarations!$D$29*$B104)+IF(Declarations!$E$29=0,0,Declarations!$E$29*($B104/Declarations!$F$29)*EXP(1-$B104/Declarations!$F$29))+IF($B104&gt;=T_sale,Declarations!$G$29,0)</f>
        <v>73.4624383803757</v>
      </c>
      <c r="F104" s="11" t="n">
        <f aca="false">Declarations!$C$30+(Declarations!$C$10-Declarations!$C$30)*EXP(-Declarations!$D$30*$B104)+IF(Declarations!$E$30=0,0,Declarations!$E$30*($B104/Declarations!$F$30)*EXP(1-$B104/Declarations!$F$30))+IF($B104&gt;=T_sale,Declarations!$G$30,0)</f>
        <v>55.4102526055541</v>
      </c>
      <c r="G104" s="11" t="n">
        <f aca="false">Declarations!$C$31+(Declarations!$C$4-Declarations!$C$31)*EXP(-Declarations!$D$31*$B104)+IF(Declarations!$E$31=0,0,Declarations!$E$31*($B104/Declarations!$F$31)*EXP(1-$B104/Declarations!$F$31))+IF($B104&gt;=T_sale,Declarations!$G$31,0)</f>
        <v>121.084885091819</v>
      </c>
      <c r="H104" s="11" t="n">
        <f aca="false">Declarations!$C$32+(Declarations!$C$7-Declarations!$C$32)*EXP(-Declarations!$D$32*$B104)+IF(Declarations!$E$32=0,0,Declarations!$E$32*($B104/Declarations!$F$32)*EXP(1-$B104/Declarations!$F$32))+IF($B104&gt;=T_sale,Declarations!$G$32,0)</f>
        <v>38.8776087690428</v>
      </c>
      <c r="I104" s="11" t="n">
        <f aca="false">Declarations!$C$33+(Declarations!$C$8-Declarations!$C$33)*EXP(-Declarations!$D$33*$B104)+IF(Declarations!$E$33=0,0,Declarations!$E$33*($B104/Declarations!$F$33)*EXP(1-$B104/Declarations!$F$33))+IF($B104&gt;=T_sale,Declarations!$G$33,0)</f>
        <v>73.6717197817303</v>
      </c>
      <c r="J104" s="11" t="n">
        <f aca="false">Declarations!$C$34+(Declarations!$C$10-Declarations!$C$34)*EXP(-Declarations!$D$34*$B104)+IF(Declarations!$E$34=0,0,Declarations!$E$34*($B104/Declarations!$F$34)*EXP(1-$B104/Declarations!$F$34))+IF($B104&gt;=T_sale,Declarations!$G$34,0)</f>
        <v>49.4313359062404</v>
      </c>
      <c r="K104" s="11" t="n">
        <f aca="false">Declarations!$C$35+(Declarations!$C$4-Declarations!$C$35)*EXP(-Declarations!$D$35*$B104)+IF(Declarations!$E$35=0,0,Declarations!$E$35*($B104/Declarations!$F$35)*EXP(1-$B104/Declarations!$F$35))+IF($B104&gt;=T_sale,Declarations!$G$35,0)</f>
        <v>105.343439563461</v>
      </c>
      <c r="L104" s="11" t="n">
        <f aca="false">Declarations!$C$36+(Declarations!$C$7-Declarations!$C$36)*EXP(-Declarations!$D$36*$B104)+IF(Declarations!$E$36=0,0,Declarations!$E$36*($B104/Declarations!$F$36)*EXP(1-$B104/Declarations!$F$36))+IF($B104&gt;=T_sale,Declarations!$G$36,0)</f>
        <v>35.9924971568167</v>
      </c>
      <c r="M104" s="11" t="n">
        <f aca="false">Declarations!$C$37+(Declarations!$C$8-Declarations!$C$37)*EXP(-Declarations!$D$37*$B104)+IF(Declarations!$E$37=0,0,Declarations!$E$37*($B104/Declarations!$F$37)*EXP(1-$B104/Declarations!$F$37))+IF($B104&gt;=T_sale,Declarations!$G$37,0)</f>
        <v>78.5812823524125</v>
      </c>
      <c r="N104" s="11" t="n">
        <f aca="false">Declarations!$C$38+(Declarations!$C$10-Declarations!$C$38)*EXP(-Declarations!$D$38*$B104)+IF(Declarations!$E$38=0,0,Declarations!$E$38*($B104/Declarations!$F$38)*EXP(1-$B104/Declarations!$F$38))+IF($B104&gt;=T_sale,Declarations!$G$38,0)</f>
        <v>66.3136638188643</v>
      </c>
      <c r="O104" s="13" t="n">
        <f aca="false">C104*USD_pt</f>
        <v>581.812552994795</v>
      </c>
      <c r="P104" s="13" t="n">
        <f aca="false">C104*USD_pt-Floor_usd</f>
        <v>231.812552994795</v>
      </c>
      <c r="Q104" s="11" t="n">
        <f aca="false">Risk_ceiling-F104</f>
        <v>19.589747394446</v>
      </c>
      <c r="R104" s="13" t="n">
        <f aca="false">MIN(Wf_today-Idx_lo,Idx_hi-Wf_today,D104-Idx_lo,Idx_hi-D104,E104-Idx_lo,Idx_hi-E104,F104-Idx_lo,Idx_hi-F104)</f>
        <v>24.4762646766458</v>
      </c>
      <c r="S104" s="13" t="n">
        <f aca="false">G104*USD_pt</f>
        <v>750.726287569279</v>
      </c>
      <c r="T104" s="13" t="n">
        <f aca="false">G104*USD_pt-Floor_usd</f>
        <v>400.726287569279</v>
      </c>
      <c r="U104" s="11" t="n">
        <f aca="false">Risk_ceiling-J104</f>
        <v>25.5686640937596</v>
      </c>
      <c r="V104" s="13" t="n">
        <f aca="false">MIN(Wf_today-Idx_lo,Idx_hi-Wf_today,H104-Idx_lo,Idx_hi-H104,I104-Idx_lo,Idx_hi-I104,J104-Idx_lo,Idx_hi-J104)</f>
        <v>26.3282802182698</v>
      </c>
      <c r="W104" s="13" t="n">
        <f aca="false">K104*USD_pt</f>
        <v>653.129325293455</v>
      </c>
      <c r="X104" s="13" t="n">
        <f aca="false">K104*USD_pt-Floor_usd</f>
        <v>303.129325293455</v>
      </c>
      <c r="Y104" s="11" t="n">
        <f aca="false">Risk_ceiling-N104</f>
        <v>8.68633618113567</v>
      </c>
      <c r="Z104" s="13" t="n">
        <f aca="false">MIN(Wf_today-Idx_lo,Idx_hi-Wf_today,L104-Idx_lo,Idx_hi-L104,M104-Idx_lo,Idx_hi-M104,N104-Idx_lo,Idx_hi-N104)</f>
        <v>21.4187176475875</v>
      </c>
    </row>
    <row r="105" customFormat="false" ht="15" hidden="false" customHeight="false" outlineLevel="0" collapsed="false">
      <c r="A105" s="19" t="n">
        <v>60</v>
      </c>
      <c r="B105" s="23" t="n">
        <f aca="false">A105/12</f>
        <v>5</v>
      </c>
      <c r="C105" s="11" t="n">
        <f aca="false">Declarations!$C$27+(Declarations!$C$4-Declarations!$C$27)*EXP(-Declarations!$D$27*$B105)+IF(Declarations!$E$27=0,0,Declarations!$E$27*($B105/Declarations!$F$27)*EXP(1-$B105/Declarations!$F$27))+IF($B105&gt;=T_sale,Declarations!$G$27,0)</f>
        <v>94.2956014682046</v>
      </c>
      <c r="D105" s="11" t="n">
        <f aca="false">Declarations!$C$28+(Declarations!$C$7-Declarations!$C$28)*EXP(-Declarations!$D$28*$B105)+IF(Declarations!$E$28=0,0,Declarations!$E$28*($B105/Declarations!$F$28)*EXP(1-$B105/Declarations!$F$28))+IF($B105&gt;=T_sale,Declarations!$G$28,0)</f>
        <v>75.6346691353518</v>
      </c>
      <c r="E105" s="11" t="n">
        <f aca="false">Declarations!$C$29+(Declarations!$C$8-Declarations!$C$29)*EXP(-Declarations!$D$29*$B105)+IF(Declarations!$E$29=0,0,Declarations!$E$29*($B105/Declarations!$F$29)*EXP(1-$B105/Declarations!$F$29))+IF($B105&gt;=T_sale,Declarations!$G$29,0)</f>
        <v>73.5983309723245</v>
      </c>
      <c r="F105" s="11" t="n">
        <f aca="false">Declarations!$C$30+(Declarations!$C$10-Declarations!$C$30)*EXP(-Declarations!$D$30*$B105)+IF(Declarations!$E$30=0,0,Declarations!$E$30*($B105/Declarations!$F$30)*EXP(1-$B105/Declarations!$F$30))+IF($B105&gt;=T_sale,Declarations!$G$30,0)</f>
        <v>55.2177495534504</v>
      </c>
      <c r="G105" s="11" t="n">
        <f aca="false">Declarations!$C$31+(Declarations!$C$4-Declarations!$C$31)*EXP(-Declarations!$D$31*$B105)+IF(Declarations!$E$31=0,0,Declarations!$E$31*($B105/Declarations!$F$31)*EXP(1-$B105/Declarations!$F$31))+IF($B105&gt;=T_sale,Declarations!$G$31,0)</f>
        <v>121.107479359406</v>
      </c>
      <c r="H105" s="11" t="n">
        <f aca="false">Declarations!$C$32+(Declarations!$C$7-Declarations!$C$32)*EXP(-Declarations!$D$32*$B105)+IF(Declarations!$E$32=0,0,Declarations!$E$32*($B105/Declarations!$F$32)*EXP(1-$B105/Declarations!$F$32))+IF($B105&gt;=T_sale,Declarations!$G$32,0)</f>
        <v>38.8595143905806</v>
      </c>
      <c r="I105" s="11" t="n">
        <f aca="false">Declarations!$C$33+(Declarations!$C$8-Declarations!$C$33)*EXP(-Declarations!$D$33*$B105)+IF(Declarations!$E$33=0,0,Declarations!$E$33*($B105/Declarations!$F$33)*EXP(1-$B105/Declarations!$F$33))+IF($B105&gt;=T_sale,Declarations!$G$33,0)</f>
        <v>73.6838023263144</v>
      </c>
      <c r="J105" s="11" t="n">
        <f aca="false">Declarations!$C$34+(Declarations!$C$10-Declarations!$C$34)*EXP(-Declarations!$D$34*$B105)+IF(Declarations!$E$34=0,0,Declarations!$E$34*($B105/Declarations!$F$34)*EXP(1-$B105/Declarations!$F$34))+IF($B105&gt;=T_sale,Declarations!$G$34,0)</f>
        <v>49.3901915476036</v>
      </c>
      <c r="K105" s="11" t="n">
        <f aca="false">Declarations!$C$35+(Declarations!$C$4-Declarations!$C$35)*EXP(-Declarations!$D$35*$B105)+IF(Declarations!$E$35=0,0,Declarations!$E$35*($B105/Declarations!$F$35)*EXP(1-$B105/Declarations!$F$35))+IF($B105&gt;=T_sale,Declarations!$G$35,0)</f>
        <v>105.367604652629</v>
      </c>
      <c r="L105" s="11" t="n">
        <f aca="false">Declarations!$C$36+(Declarations!$C$7-Declarations!$C$36)*EXP(-Declarations!$D$36*$B105)+IF(Declarations!$E$36=0,0,Declarations!$E$36*($B105/Declarations!$F$36)*EXP(1-$B105/Declarations!$F$36))+IF($B105&gt;=T_sale,Declarations!$G$36,0)</f>
        <v>35.9430355293715</v>
      </c>
      <c r="M105" s="11" t="n">
        <f aca="false">Declarations!$C$37+(Declarations!$C$8-Declarations!$C$37)*EXP(-Declarations!$D$37*$B105)+IF(Declarations!$E$37=0,0,Declarations!$E$37*($B105/Declarations!$F$37)*EXP(1-$B105/Declarations!$F$37))+IF($B105&gt;=T_sale,Declarations!$G$37,0)</f>
        <v>78.6017034530571</v>
      </c>
      <c r="N105" s="11" t="n">
        <f aca="false">Declarations!$C$38+(Declarations!$C$10-Declarations!$C$38)*EXP(-Declarations!$D$38*$B105)+IF(Declarations!$E$38=0,0,Declarations!$E$38*($B105/Declarations!$F$38)*EXP(1-$B105/Declarations!$F$38))+IF($B105&gt;=T_sale,Declarations!$G$38,0)</f>
        <v>66.3306095195547</v>
      </c>
      <c r="O105" s="13" t="n">
        <f aca="false">C105*USD_pt</f>
        <v>584.632729102868</v>
      </c>
      <c r="P105" s="13" t="n">
        <f aca="false">C105*USD_pt-Floor_usd</f>
        <v>234.632729102868</v>
      </c>
      <c r="Q105" s="11" t="n">
        <f aca="false">Risk_ceiling-F105</f>
        <v>19.7822504465496</v>
      </c>
      <c r="R105" s="13" t="n">
        <f aca="false">MIN(Wf_today-Idx_lo,Idx_hi-Wf_today,D105-Idx_lo,Idx_hi-D105,E105-Idx_lo,Idx_hi-E105,F105-Idx_lo,Idx_hi-F105)</f>
        <v>24.3653308646482</v>
      </c>
      <c r="S105" s="13" t="n">
        <f aca="false">G105*USD_pt</f>
        <v>750.866372028319</v>
      </c>
      <c r="T105" s="13" t="n">
        <f aca="false">G105*USD_pt-Floor_usd</f>
        <v>400.866372028319</v>
      </c>
      <c r="U105" s="11" t="n">
        <f aca="false">Risk_ceiling-J105</f>
        <v>25.6098084523964</v>
      </c>
      <c r="V105" s="13" t="n">
        <f aca="false">MIN(Wf_today-Idx_lo,Idx_hi-Wf_today,H105-Idx_lo,Idx_hi-H105,I105-Idx_lo,Idx_hi-I105,J105-Idx_lo,Idx_hi-J105)</f>
        <v>26.3161976736856</v>
      </c>
      <c r="W105" s="13" t="n">
        <f aca="false">K105*USD_pt</f>
        <v>653.279148846299</v>
      </c>
      <c r="X105" s="13" t="n">
        <f aca="false">K105*USD_pt-Floor_usd</f>
        <v>303.279148846299</v>
      </c>
      <c r="Y105" s="11" t="n">
        <f aca="false">Risk_ceiling-N105</f>
        <v>8.66939048044529</v>
      </c>
      <c r="Z105" s="13" t="n">
        <f aca="false">MIN(Wf_today-Idx_lo,Idx_hi-Wf_today,L105-Idx_lo,Idx_hi-L105,M105-Idx_lo,Idx_hi-M105,N105-Idx_lo,Idx_hi-N105)</f>
        <v>21.3982965469429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24"/>
  </cols>
  <sheetData>
    <row r="1" customFormat="false" ht="15" hidden="false" customHeight="false" outlineLevel="0" collapsed="false">
      <c r="A1" s="1" t="s">
        <v>187</v>
      </c>
    </row>
    <row r="3" customFormat="false" ht="15" hidden="false" customHeight="false" outlineLevel="0" collapsed="false">
      <c r="A3" s="8" t="s">
        <v>188</v>
      </c>
      <c r="B3" s="8" t="s">
        <v>189</v>
      </c>
      <c r="C3" s="8" t="s">
        <v>190</v>
      </c>
    </row>
    <row r="4" customFormat="false" ht="15" hidden="false" customHeight="false" outlineLevel="0" collapsed="false">
      <c r="A4" s="2" t="s">
        <v>191</v>
      </c>
      <c r="B4" s="14" t="n">
        <v>80</v>
      </c>
      <c r="C4" s="14" t="n">
        <v>10</v>
      </c>
    </row>
    <row r="5" customFormat="false" ht="15" hidden="false" customHeight="false" outlineLevel="0" collapsed="false">
      <c r="A5" s="2" t="s">
        <v>192</v>
      </c>
      <c r="B5" s="14" t="n">
        <v>0</v>
      </c>
      <c r="C5" s="14" t="n">
        <v>90</v>
      </c>
    </row>
    <row r="6" customFormat="false" ht="15" hidden="false" customHeight="false" outlineLevel="0" collapsed="false">
      <c r="A6" s="2" t="s">
        <v>193</v>
      </c>
      <c r="B6" s="14" t="n">
        <v>100</v>
      </c>
    </row>
    <row r="7" customFormat="false" ht="15" hidden="false" customHeight="false" outlineLevel="0" collapsed="false">
      <c r="A7" s="2" t="s">
        <v>194</v>
      </c>
      <c r="B7" s="14" t="n">
        <v>60</v>
      </c>
    </row>
    <row r="9" customFormat="false" ht="15" hidden="false" customHeight="false" outlineLevel="0" collapsed="false">
      <c r="A9" s="8" t="s">
        <v>195</v>
      </c>
      <c r="B9" s="8" t="s">
        <v>196</v>
      </c>
      <c r="C9" s="8" t="s">
        <v>197</v>
      </c>
      <c r="D9" s="8" t="s">
        <v>198</v>
      </c>
      <c r="E9" s="8" t="s">
        <v>199</v>
      </c>
      <c r="F9" s="8" t="s">
        <v>200</v>
      </c>
      <c r="G9" s="8" t="s">
        <v>201</v>
      </c>
    </row>
    <row r="10" customFormat="false" ht="15" hidden="false" customHeight="false" outlineLevel="0" collapsed="false">
      <c r="A10" s="13" t="n">
        <v>0</v>
      </c>
      <c r="B10" s="26" t="n">
        <f aca="false">A10*$B$4+(1-A10)*$B$5</f>
        <v>0</v>
      </c>
      <c r="C10" s="26" t="n">
        <f aca="false">A10*$C$4+(1-A10)*$C$5</f>
        <v>90</v>
      </c>
      <c r="D10" s="26" t="n">
        <f aca="false">$B$6-B10-C10</f>
        <v>10</v>
      </c>
      <c r="E10" s="26" t="n">
        <f aca="false">MIN(B10,$B$7-B10)</f>
        <v>0</v>
      </c>
      <c r="F10" s="2" t="str">
        <f aca="false">IF(AND(D10&gt;=-0.000000001,B10&gt;=0,C10&gt;=0),"feasible","infeasible")</f>
        <v>feasible</v>
      </c>
      <c r="G10" s="2" t="str">
        <f aca="false">IF(AND(F10="feasible",E10&lt;=0.000000001),"feasible","infeasible")</f>
        <v>feasible</v>
      </c>
    </row>
    <row r="11" customFormat="false" ht="15" hidden="false" customHeight="false" outlineLevel="0" collapsed="false">
      <c r="A11" s="13" t="n">
        <v>0.05</v>
      </c>
      <c r="B11" s="26" t="n">
        <f aca="false">A11*$B$4+(1-A11)*$B$5</f>
        <v>4</v>
      </c>
      <c r="C11" s="26" t="n">
        <f aca="false">A11*$C$4+(1-A11)*$C$5</f>
        <v>86</v>
      </c>
      <c r="D11" s="26" t="n">
        <f aca="false">$B$6-B11-C11</f>
        <v>10</v>
      </c>
      <c r="E11" s="26" t="n">
        <f aca="false">MIN(B11,$B$7-B11)</f>
        <v>4</v>
      </c>
      <c r="F11" s="2" t="str">
        <f aca="false">IF(AND(D11&gt;=-0.000000001,B11&gt;=0,C11&gt;=0),"feasible","infeasible")</f>
        <v>feasible</v>
      </c>
      <c r="G11" s="2" t="str">
        <f aca="false">IF(AND(F11="feasible",E11&lt;=0.000000001),"feasible","infeasible")</f>
        <v>infeasible</v>
      </c>
    </row>
    <row r="12" customFormat="false" ht="15" hidden="false" customHeight="false" outlineLevel="0" collapsed="false">
      <c r="A12" s="13" t="n">
        <v>0.1</v>
      </c>
      <c r="B12" s="26" t="n">
        <f aca="false">A12*$B$4+(1-A12)*$B$5</f>
        <v>8</v>
      </c>
      <c r="C12" s="26" t="n">
        <f aca="false">A12*$C$4+(1-A12)*$C$5</f>
        <v>82</v>
      </c>
      <c r="D12" s="26" t="n">
        <f aca="false">$B$6-B12-C12</f>
        <v>10</v>
      </c>
      <c r="E12" s="26" t="n">
        <f aca="false">MIN(B12,$B$7-B12)</f>
        <v>8</v>
      </c>
      <c r="F12" s="2" t="str">
        <f aca="false">IF(AND(D12&gt;=-0.000000001,B12&gt;=0,C12&gt;=0),"feasible","infeasible")</f>
        <v>feasible</v>
      </c>
      <c r="G12" s="2" t="str">
        <f aca="false">IF(AND(F12="feasible",E12&lt;=0.000000001),"feasible","infeasible")</f>
        <v>infeasible</v>
      </c>
    </row>
    <row r="13" customFormat="false" ht="15" hidden="false" customHeight="false" outlineLevel="0" collapsed="false">
      <c r="A13" s="13" t="n">
        <v>0.15</v>
      </c>
      <c r="B13" s="26" t="n">
        <f aca="false">A13*$B$4+(1-A13)*$B$5</f>
        <v>12</v>
      </c>
      <c r="C13" s="26" t="n">
        <f aca="false">A13*$C$4+(1-A13)*$C$5</f>
        <v>78</v>
      </c>
      <c r="D13" s="26" t="n">
        <f aca="false">$B$6-B13-C13</f>
        <v>10</v>
      </c>
      <c r="E13" s="26" t="n">
        <f aca="false">MIN(B13,$B$7-B13)</f>
        <v>12</v>
      </c>
      <c r="F13" s="2" t="str">
        <f aca="false">IF(AND(D13&gt;=-0.000000001,B13&gt;=0,C13&gt;=0),"feasible","infeasible")</f>
        <v>feasible</v>
      </c>
      <c r="G13" s="2" t="str">
        <f aca="false">IF(AND(F13="feasible",E13&lt;=0.000000001),"feasible","infeasible")</f>
        <v>infeasible</v>
      </c>
    </row>
    <row r="14" customFormat="false" ht="15" hidden="false" customHeight="false" outlineLevel="0" collapsed="false">
      <c r="A14" s="13" t="n">
        <v>0.2</v>
      </c>
      <c r="B14" s="26" t="n">
        <f aca="false">A14*$B$4+(1-A14)*$B$5</f>
        <v>16</v>
      </c>
      <c r="C14" s="26" t="n">
        <f aca="false">A14*$C$4+(1-A14)*$C$5</f>
        <v>74</v>
      </c>
      <c r="D14" s="26" t="n">
        <f aca="false">$B$6-B14-C14</f>
        <v>10</v>
      </c>
      <c r="E14" s="26" t="n">
        <f aca="false">MIN(B14,$B$7-B14)</f>
        <v>16</v>
      </c>
      <c r="F14" s="2" t="str">
        <f aca="false">IF(AND(D14&gt;=-0.000000001,B14&gt;=0,C14&gt;=0),"feasible","infeasible")</f>
        <v>feasible</v>
      </c>
      <c r="G14" s="2" t="str">
        <f aca="false">IF(AND(F14="feasible",E14&lt;=0.000000001),"feasible","infeasible")</f>
        <v>infeasible</v>
      </c>
    </row>
    <row r="15" customFormat="false" ht="15" hidden="false" customHeight="false" outlineLevel="0" collapsed="false">
      <c r="A15" s="13" t="n">
        <v>0.25</v>
      </c>
      <c r="B15" s="26" t="n">
        <f aca="false">A15*$B$4+(1-A15)*$B$5</f>
        <v>20</v>
      </c>
      <c r="C15" s="26" t="n">
        <f aca="false">A15*$C$4+(1-A15)*$C$5</f>
        <v>70</v>
      </c>
      <c r="D15" s="26" t="n">
        <f aca="false">$B$6-B15-C15</f>
        <v>10</v>
      </c>
      <c r="E15" s="26" t="n">
        <f aca="false">MIN(B15,$B$7-B15)</f>
        <v>20</v>
      </c>
      <c r="F15" s="2" t="str">
        <f aca="false">IF(AND(D15&gt;=-0.000000001,B15&gt;=0,C15&gt;=0),"feasible","infeasible")</f>
        <v>feasible</v>
      </c>
      <c r="G15" s="2" t="str">
        <f aca="false">IF(AND(F15="feasible",E15&lt;=0.000000001),"feasible","infeasible")</f>
        <v>infeasible</v>
      </c>
    </row>
    <row r="16" customFormat="false" ht="15" hidden="false" customHeight="false" outlineLevel="0" collapsed="false">
      <c r="A16" s="13" t="n">
        <v>0.3</v>
      </c>
      <c r="B16" s="26" t="n">
        <f aca="false">A16*$B$4+(1-A16)*$B$5</f>
        <v>24</v>
      </c>
      <c r="C16" s="26" t="n">
        <f aca="false">A16*$C$4+(1-A16)*$C$5</f>
        <v>66</v>
      </c>
      <c r="D16" s="26" t="n">
        <f aca="false">$B$6-B16-C16</f>
        <v>10</v>
      </c>
      <c r="E16" s="26" t="n">
        <f aca="false">MIN(B16,$B$7-B16)</f>
        <v>24</v>
      </c>
      <c r="F16" s="2" t="str">
        <f aca="false">IF(AND(D16&gt;=-0.000000001,B16&gt;=0,C16&gt;=0),"feasible","infeasible")</f>
        <v>feasible</v>
      </c>
      <c r="G16" s="2" t="str">
        <f aca="false">IF(AND(F16="feasible",E16&lt;=0.000000001),"feasible","infeasible")</f>
        <v>infeasible</v>
      </c>
    </row>
    <row r="17" customFormat="false" ht="15" hidden="false" customHeight="false" outlineLevel="0" collapsed="false">
      <c r="A17" s="13" t="n">
        <v>0.35</v>
      </c>
      <c r="B17" s="26" t="n">
        <f aca="false">A17*$B$4+(1-A17)*$B$5</f>
        <v>28</v>
      </c>
      <c r="C17" s="26" t="n">
        <f aca="false">A17*$C$4+(1-A17)*$C$5</f>
        <v>62</v>
      </c>
      <c r="D17" s="26" t="n">
        <f aca="false">$B$6-B17-C17</f>
        <v>10</v>
      </c>
      <c r="E17" s="26" t="n">
        <f aca="false">MIN(B17,$B$7-B17)</f>
        <v>28</v>
      </c>
      <c r="F17" s="2" t="str">
        <f aca="false">IF(AND(D17&gt;=-0.000000001,B17&gt;=0,C17&gt;=0),"feasible","infeasible")</f>
        <v>feasible</v>
      </c>
      <c r="G17" s="2" t="str">
        <f aca="false">IF(AND(F17="feasible",E17&lt;=0.000000001),"feasible","infeasible")</f>
        <v>infeasible</v>
      </c>
    </row>
    <row r="18" customFormat="false" ht="15" hidden="false" customHeight="false" outlineLevel="0" collapsed="false">
      <c r="A18" s="13" t="n">
        <v>0.4</v>
      </c>
      <c r="B18" s="26" t="n">
        <f aca="false">A18*$B$4+(1-A18)*$B$5</f>
        <v>32</v>
      </c>
      <c r="C18" s="26" t="n">
        <f aca="false">A18*$C$4+(1-A18)*$C$5</f>
        <v>58</v>
      </c>
      <c r="D18" s="26" t="n">
        <f aca="false">$B$6-B18-C18</f>
        <v>10</v>
      </c>
      <c r="E18" s="26" t="n">
        <f aca="false">MIN(B18,$B$7-B18)</f>
        <v>28</v>
      </c>
      <c r="F18" s="2" t="str">
        <f aca="false">IF(AND(D18&gt;=-0.000000001,B18&gt;=0,C18&gt;=0),"feasible","infeasible")</f>
        <v>feasible</v>
      </c>
      <c r="G18" s="2" t="str">
        <f aca="false">IF(AND(F18="feasible",E18&lt;=0.000000001),"feasible","infeasible")</f>
        <v>infeasible</v>
      </c>
    </row>
    <row r="19" customFormat="false" ht="15" hidden="false" customHeight="false" outlineLevel="0" collapsed="false">
      <c r="A19" s="13" t="n">
        <v>0.45</v>
      </c>
      <c r="B19" s="26" t="n">
        <f aca="false">A19*$B$4+(1-A19)*$B$5</f>
        <v>36</v>
      </c>
      <c r="C19" s="26" t="n">
        <f aca="false">A19*$C$4+(1-A19)*$C$5</f>
        <v>54</v>
      </c>
      <c r="D19" s="26" t="n">
        <f aca="false">$B$6-B19-C19</f>
        <v>9.99999999999999</v>
      </c>
      <c r="E19" s="26" t="n">
        <f aca="false">MIN(B19,$B$7-B19)</f>
        <v>24</v>
      </c>
      <c r="F19" s="2" t="str">
        <f aca="false">IF(AND(D19&gt;=-0.000000001,B19&gt;=0,C19&gt;=0),"feasible","infeasible")</f>
        <v>feasible</v>
      </c>
      <c r="G19" s="2" t="str">
        <f aca="false">IF(AND(F19="feasible",E19&lt;=0.000000001),"feasible","infeasible")</f>
        <v>infeasible</v>
      </c>
    </row>
    <row r="20" customFormat="false" ht="15" hidden="false" customHeight="false" outlineLevel="0" collapsed="false">
      <c r="A20" s="13" t="n">
        <v>0.5</v>
      </c>
      <c r="B20" s="26" t="n">
        <f aca="false">A20*$B$4+(1-A20)*$B$5</f>
        <v>40</v>
      </c>
      <c r="C20" s="26" t="n">
        <f aca="false">A20*$C$4+(1-A20)*$C$5</f>
        <v>50</v>
      </c>
      <c r="D20" s="26" t="n">
        <f aca="false">$B$6-B20-C20</f>
        <v>10</v>
      </c>
      <c r="E20" s="26" t="n">
        <f aca="false">MIN(B20,$B$7-B20)</f>
        <v>20</v>
      </c>
      <c r="F20" s="2" t="str">
        <f aca="false">IF(AND(D20&gt;=-0.000000001,B20&gt;=0,C20&gt;=0),"feasible","infeasible")</f>
        <v>feasible</v>
      </c>
      <c r="G20" s="2" t="str">
        <f aca="false">IF(AND(F20="feasible",E20&lt;=0.000000001),"feasible","infeasible")</f>
        <v>infeasible</v>
      </c>
    </row>
    <row r="21" customFormat="false" ht="15" hidden="false" customHeight="false" outlineLevel="0" collapsed="false">
      <c r="A21" s="13" t="n">
        <v>0.55</v>
      </c>
      <c r="B21" s="26" t="n">
        <f aca="false">A21*$B$4+(1-A21)*$B$5</f>
        <v>44</v>
      </c>
      <c r="C21" s="26" t="n">
        <f aca="false">A21*$C$4+(1-A21)*$C$5</f>
        <v>46</v>
      </c>
      <c r="D21" s="26" t="n">
        <f aca="false">$B$6-B21-C21</f>
        <v>10</v>
      </c>
      <c r="E21" s="26" t="n">
        <f aca="false">MIN(B21,$B$7-B21)</f>
        <v>16</v>
      </c>
      <c r="F21" s="2" t="str">
        <f aca="false">IF(AND(D21&gt;=-0.000000001,B21&gt;=0,C21&gt;=0),"feasible","infeasible")</f>
        <v>feasible</v>
      </c>
      <c r="G21" s="2" t="str">
        <f aca="false">IF(AND(F21="feasible",E21&lt;=0.000000001),"feasible","infeasible")</f>
        <v>infeasible</v>
      </c>
    </row>
    <row r="22" customFormat="false" ht="15" hidden="false" customHeight="false" outlineLevel="0" collapsed="false">
      <c r="A22" s="13" t="n">
        <v>0.6</v>
      </c>
      <c r="B22" s="26" t="n">
        <f aca="false">A22*$B$4+(1-A22)*$B$5</f>
        <v>48</v>
      </c>
      <c r="C22" s="26" t="n">
        <f aca="false">A22*$C$4+(1-A22)*$C$5</f>
        <v>42</v>
      </c>
      <c r="D22" s="26" t="n">
        <f aca="false">$B$6-B22-C22</f>
        <v>10</v>
      </c>
      <c r="E22" s="26" t="n">
        <f aca="false">MIN(B22,$B$7-B22)</f>
        <v>12</v>
      </c>
      <c r="F22" s="2" t="str">
        <f aca="false">IF(AND(D22&gt;=-0.000000001,B22&gt;=0,C22&gt;=0),"feasible","infeasible")</f>
        <v>feasible</v>
      </c>
      <c r="G22" s="2" t="str">
        <f aca="false">IF(AND(F22="feasible",E22&lt;=0.000000001),"feasible","infeasible")</f>
        <v>infeasible</v>
      </c>
    </row>
    <row r="23" customFormat="false" ht="15" hidden="false" customHeight="false" outlineLevel="0" collapsed="false">
      <c r="A23" s="13" t="n">
        <v>0.65</v>
      </c>
      <c r="B23" s="26" t="n">
        <f aca="false">A23*$B$4+(1-A23)*$B$5</f>
        <v>52</v>
      </c>
      <c r="C23" s="26" t="n">
        <f aca="false">A23*$C$4+(1-A23)*$C$5</f>
        <v>38</v>
      </c>
      <c r="D23" s="26" t="n">
        <f aca="false">$B$6-B23-C23</f>
        <v>10</v>
      </c>
      <c r="E23" s="26" t="n">
        <f aca="false">MIN(B23,$B$7-B23)</f>
        <v>8</v>
      </c>
      <c r="F23" s="2" t="str">
        <f aca="false">IF(AND(D23&gt;=-0.000000001,B23&gt;=0,C23&gt;=0),"feasible","infeasible")</f>
        <v>feasible</v>
      </c>
      <c r="G23" s="2" t="str">
        <f aca="false">IF(AND(F23="feasible",E23&lt;=0.000000001),"feasible","infeasible")</f>
        <v>infeasible</v>
      </c>
    </row>
    <row r="24" customFormat="false" ht="15" hidden="false" customHeight="false" outlineLevel="0" collapsed="false">
      <c r="A24" s="13" t="n">
        <v>0.7</v>
      </c>
      <c r="B24" s="26" t="n">
        <f aca="false">A24*$B$4+(1-A24)*$B$5</f>
        <v>56</v>
      </c>
      <c r="C24" s="26" t="n">
        <f aca="false">A24*$C$4+(1-A24)*$C$5</f>
        <v>34</v>
      </c>
      <c r="D24" s="26" t="n">
        <f aca="false">$B$6-B24-C24</f>
        <v>10</v>
      </c>
      <c r="E24" s="26" t="n">
        <f aca="false">MIN(B24,$B$7-B24)</f>
        <v>4</v>
      </c>
      <c r="F24" s="2" t="str">
        <f aca="false">IF(AND(D24&gt;=-0.000000001,B24&gt;=0,C24&gt;=0),"feasible","infeasible")</f>
        <v>feasible</v>
      </c>
      <c r="G24" s="2" t="str">
        <f aca="false">IF(AND(F24="feasible",E24&lt;=0.000000001),"feasible","infeasible")</f>
        <v>infeasible</v>
      </c>
    </row>
    <row r="25" customFormat="false" ht="15" hidden="false" customHeight="false" outlineLevel="0" collapsed="false">
      <c r="A25" s="13" t="n">
        <v>0.75</v>
      </c>
      <c r="B25" s="26" t="n">
        <f aca="false">A25*$B$4+(1-A25)*$B$5</f>
        <v>60</v>
      </c>
      <c r="C25" s="26" t="n">
        <f aca="false">A25*$C$4+(1-A25)*$C$5</f>
        <v>30</v>
      </c>
      <c r="D25" s="26" t="n">
        <f aca="false">$B$6-B25-C25</f>
        <v>10</v>
      </c>
      <c r="E25" s="26" t="n">
        <f aca="false">MIN(B25,$B$7-B25)</f>
        <v>0</v>
      </c>
      <c r="F25" s="2" t="str">
        <f aca="false">IF(AND(D25&gt;=-0.000000001,B25&gt;=0,C25&gt;=0),"feasible","infeasible")</f>
        <v>feasible</v>
      </c>
      <c r="G25" s="2" t="str">
        <f aca="false">IF(AND(F25="feasible",E25&lt;=0.000000001),"feasible","infeasible")</f>
        <v>feasible</v>
      </c>
    </row>
    <row r="26" customFormat="false" ht="15" hidden="false" customHeight="false" outlineLevel="0" collapsed="false">
      <c r="A26" s="13" t="n">
        <v>0.8</v>
      </c>
      <c r="B26" s="26" t="n">
        <f aca="false">A26*$B$4+(1-A26)*$B$5</f>
        <v>64</v>
      </c>
      <c r="C26" s="26" t="n">
        <f aca="false">A26*$C$4+(1-A26)*$C$5</f>
        <v>26</v>
      </c>
      <c r="D26" s="26" t="n">
        <f aca="false">$B$6-B26-C26</f>
        <v>10</v>
      </c>
      <c r="E26" s="26" t="n">
        <f aca="false">MIN(B26,$B$7-B26)</f>
        <v>-4</v>
      </c>
      <c r="F26" s="2" t="str">
        <f aca="false">IF(AND(D26&gt;=-0.000000001,B26&gt;=0,C26&gt;=0),"feasible","infeasible")</f>
        <v>feasible</v>
      </c>
      <c r="G26" s="2" t="str">
        <f aca="false">IF(AND(F26="feasible",E26&lt;=0.000000001),"feasible","infeasible")</f>
        <v>feasible</v>
      </c>
    </row>
    <row r="27" customFormat="false" ht="15" hidden="false" customHeight="false" outlineLevel="0" collapsed="false">
      <c r="A27" s="13" t="n">
        <v>0.85</v>
      </c>
      <c r="B27" s="26" t="n">
        <f aca="false">A27*$B$4+(1-A27)*$B$5</f>
        <v>68</v>
      </c>
      <c r="C27" s="26" t="n">
        <f aca="false">A27*$C$4+(1-A27)*$C$5</f>
        <v>22</v>
      </c>
      <c r="D27" s="26" t="n">
        <f aca="false">$B$6-B27-C27</f>
        <v>10</v>
      </c>
      <c r="E27" s="26" t="n">
        <f aca="false">MIN(B27,$B$7-B27)</f>
        <v>-8</v>
      </c>
      <c r="F27" s="2" t="str">
        <f aca="false">IF(AND(D27&gt;=-0.000000001,B27&gt;=0,C27&gt;=0),"feasible","infeasible")</f>
        <v>feasible</v>
      </c>
      <c r="G27" s="2" t="str">
        <f aca="false">IF(AND(F27="feasible",E27&lt;=0.000000001),"feasible","infeasible")</f>
        <v>feasible</v>
      </c>
    </row>
    <row r="28" customFormat="false" ht="15" hidden="false" customHeight="false" outlineLevel="0" collapsed="false">
      <c r="A28" s="13" t="n">
        <v>0.9</v>
      </c>
      <c r="B28" s="26" t="n">
        <f aca="false">A28*$B$4+(1-A28)*$B$5</f>
        <v>72</v>
      </c>
      <c r="C28" s="26" t="n">
        <f aca="false">A28*$C$4+(1-A28)*$C$5</f>
        <v>18</v>
      </c>
      <c r="D28" s="26" t="n">
        <f aca="false">$B$6-B28-C28</f>
        <v>10</v>
      </c>
      <c r="E28" s="26" t="n">
        <f aca="false">MIN(B28,$B$7-B28)</f>
        <v>-12</v>
      </c>
      <c r="F28" s="2" t="str">
        <f aca="false">IF(AND(D28&gt;=-0.000000001,B28&gt;=0,C28&gt;=0),"feasible","infeasible")</f>
        <v>feasible</v>
      </c>
      <c r="G28" s="2" t="str">
        <f aca="false">IF(AND(F28="feasible",E28&lt;=0.000000001),"feasible","infeasible")</f>
        <v>feasible</v>
      </c>
    </row>
    <row r="29" customFormat="false" ht="15" hidden="false" customHeight="false" outlineLevel="0" collapsed="false">
      <c r="A29" s="13" t="n">
        <v>0.95</v>
      </c>
      <c r="B29" s="26" t="n">
        <f aca="false">A29*$B$4+(1-A29)*$B$5</f>
        <v>76</v>
      </c>
      <c r="C29" s="26" t="n">
        <f aca="false">A29*$C$4+(1-A29)*$C$5</f>
        <v>14</v>
      </c>
      <c r="D29" s="26" t="n">
        <f aca="false">$B$6-B29-C29</f>
        <v>10</v>
      </c>
      <c r="E29" s="26" t="n">
        <f aca="false">MIN(B29,$B$7-B29)</f>
        <v>-16</v>
      </c>
      <c r="F29" s="2" t="str">
        <f aca="false">IF(AND(D29&gt;=-0.000000001,B29&gt;=0,C29&gt;=0),"feasible","infeasible")</f>
        <v>feasible</v>
      </c>
      <c r="G29" s="2" t="str">
        <f aca="false">IF(AND(F29="feasible",E29&lt;=0.000000001),"feasible","infeasible")</f>
        <v>feasible</v>
      </c>
    </row>
    <row r="30" customFormat="false" ht="15" hidden="false" customHeight="false" outlineLevel="0" collapsed="false">
      <c r="A30" s="13" t="n">
        <v>1</v>
      </c>
      <c r="B30" s="26" t="n">
        <f aca="false">A30*$B$4+(1-A30)*$B$5</f>
        <v>80</v>
      </c>
      <c r="C30" s="26" t="n">
        <f aca="false">A30*$C$4+(1-A30)*$C$5</f>
        <v>10</v>
      </c>
      <c r="D30" s="26" t="n">
        <f aca="false">$B$6-B30-C30</f>
        <v>10</v>
      </c>
      <c r="E30" s="26" t="n">
        <f aca="false">MIN(B30,$B$7-B30)</f>
        <v>-20</v>
      </c>
      <c r="F30" s="2" t="str">
        <f aca="false">IF(AND(D30&gt;=-0.000000001,B30&gt;=0,C30&gt;=0),"feasible","infeasible")</f>
        <v>feasible</v>
      </c>
      <c r="G30" s="2" t="str">
        <f aca="false">IF(AND(F30="feasible",E30&lt;=0.000000001),"feasible","infeasible")</f>
        <v>feasible</v>
      </c>
    </row>
    <row r="32" customFormat="false" ht="15" hidden="false" customHeight="false" outlineLevel="0" collapsed="false">
      <c r="A32" s="2" t="s">
        <v>202</v>
      </c>
      <c r="B32" s="19" t="n">
        <f aca="false">COUNTIF(F10:F30,"feasible")</f>
        <v>21</v>
      </c>
    </row>
    <row r="33" customFormat="false" ht="15" hidden="false" customHeight="false" outlineLevel="0" collapsed="false">
      <c r="A33" s="2" t="s">
        <v>203</v>
      </c>
      <c r="B33" s="19" t="n">
        <f aca="false">COUNTIF(G10:G30,"feasible")</f>
        <v>7</v>
      </c>
    </row>
    <row r="34" customFormat="false" ht="15" hidden="false" customHeight="false" outlineLevel="0" collapsed="false">
      <c r="A34" s="2" t="s">
        <v>204</v>
      </c>
      <c r="B34" s="26" t="n">
        <f aca="false">E20</f>
        <v>20</v>
      </c>
    </row>
    <row r="35" customFormat="false" ht="15" hidden="false" customHeight="false" outlineLevel="0" collapsed="false">
      <c r="A35" s="2" t="s">
        <v>205</v>
      </c>
      <c r="B35" s="13" t="n">
        <f aca="false">B7/B4</f>
        <v>0.75</v>
      </c>
    </row>
    <row r="36" customFormat="false" ht="15" hidden="false" customHeight="false" outlineLevel="0" collapsed="false">
      <c r="A36" s="10" t="s">
        <v>206</v>
      </c>
    </row>
    <row r="38" customFormat="false" ht="15" hidden="false" customHeight="false" outlineLevel="0" collapsed="false">
      <c r="A38" s="8" t="s">
        <v>207</v>
      </c>
      <c r="B38" s="8" t="s">
        <v>208</v>
      </c>
      <c r="C38" s="8" t="s">
        <v>209</v>
      </c>
      <c r="D38" s="8" t="s">
        <v>210</v>
      </c>
    </row>
    <row r="39" customFormat="false" ht="15" hidden="false" customHeight="false" outlineLevel="0" collapsed="false">
      <c r="A39" s="19" t="n">
        <v>1</v>
      </c>
      <c r="B39" s="11" t="n">
        <f aca="false">Covenant-1/A39</f>
        <v>3.5</v>
      </c>
      <c r="C39" s="2" t="str">
        <f aca="false">IF(B39&lt;=Covenant,"feasible","infeasible")</f>
        <v>feasible</v>
      </c>
      <c r="D39" s="2" t="str">
        <f aca="false">IF(B39&lt;Covenant,"feasible","infeasible")</f>
        <v>feasible</v>
      </c>
    </row>
    <row r="40" customFormat="false" ht="15" hidden="false" customHeight="false" outlineLevel="0" collapsed="false">
      <c r="A40" s="19" t="n">
        <v>2</v>
      </c>
      <c r="B40" s="11" t="n">
        <f aca="false">Covenant-1/A40</f>
        <v>4</v>
      </c>
      <c r="C40" s="2" t="str">
        <f aca="false">IF(B40&lt;=Covenant,"feasible","infeasible")</f>
        <v>feasible</v>
      </c>
      <c r="D40" s="2" t="str">
        <f aca="false">IF(B40&lt;Covenant,"feasible","infeasible")</f>
        <v>feasible</v>
      </c>
    </row>
    <row r="41" customFormat="false" ht="15" hidden="false" customHeight="false" outlineLevel="0" collapsed="false">
      <c r="A41" s="19" t="n">
        <v>3</v>
      </c>
      <c r="B41" s="11" t="n">
        <f aca="false">Covenant-1/A41</f>
        <v>4.16666666666667</v>
      </c>
      <c r="C41" s="2" t="str">
        <f aca="false">IF(B41&lt;=Covenant,"feasible","infeasible")</f>
        <v>feasible</v>
      </c>
      <c r="D41" s="2" t="str">
        <f aca="false">IF(B41&lt;Covenant,"feasible","infeasible")</f>
        <v>feasible</v>
      </c>
    </row>
    <row r="42" customFormat="false" ht="15" hidden="false" customHeight="false" outlineLevel="0" collapsed="false">
      <c r="A42" s="19" t="n">
        <v>4</v>
      </c>
      <c r="B42" s="11" t="n">
        <f aca="false">Covenant-1/A42</f>
        <v>4.25</v>
      </c>
      <c r="C42" s="2" t="str">
        <f aca="false">IF(B42&lt;=Covenant,"feasible","infeasible")</f>
        <v>feasible</v>
      </c>
      <c r="D42" s="2" t="str">
        <f aca="false">IF(B42&lt;Covenant,"feasible","infeasible")</f>
        <v>feasible</v>
      </c>
    </row>
    <row r="43" customFormat="false" ht="15" hidden="false" customHeight="false" outlineLevel="0" collapsed="false">
      <c r="A43" s="19" t="n">
        <v>5</v>
      </c>
      <c r="B43" s="11" t="n">
        <f aca="false">Covenant-1/A43</f>
        <v>4.3</v>
      </c>
      <c r="C43" s="2" t="str">
        <f aca="false">IF(B43&lt;=Covenant,"feasible","infeasible")</f>
        <v>feasible</v>
      </c>
      <c r="D43" s="2" t="str">
        <f aca="false">IF(B43&lt;Covenant,"feasible","infeasible")</f>
        <v>feasible</v>
      </c>
    </row>
    <row r="44" customFormat="false" ht="15" hidden="false" customHeight="false" outlineLevel="0" collapsed="false">
      <c r="A44" s="19" t="n">
        <v>6</v>
      </c>
      <c r="B44" s="11" t="n">
        <f aca="false">Covenant-1/A44</f>
        <v>4.33333333333333</v>
      </c>
      <c r="C44" s="2" t="str">
        <f aca="false">IF(B44&lt;=Covenant,"feasible","infeasible")</f>
        <v>feasible</v>
      </c>
      <c r="D44" s="2" t="str">
        <f aca="false">IF(B44&lt;Covenant,"feasible","infeasible")</f>
        <v>feasible</v>
      </c>
    </row>
    <row r="45" customFormat="false" ht="15" hidden="false" customHeight="false" outlineLevel="0" collapsed="false">
      <c r="A45" s="2" t="s">
        <v>211</v>
      </c>
      <c r="B45" s="18" t="n">
        <f aca="false">Covenant</f>
        <v>4.5</v>
      </c>
      <c r="C45" s="2" t="str">
        <f aca="false">IF(B45&lt;=Covenant,"feasible","infeasible")</f>
        <v>feasible</v>
      </c>
      <c r="D45" s="2" t="str">
        <f aca="false">IF(B45&lt;Covenant,"feasible","infeasible")</f>
        <v>infeasible</v>
      </c>
    </row>
    <row r="46" customFormat="false" ht="15" hidden="false" customHeight="false" outlineLevel="0" collapsed="false">
      <c r="A46" s="10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44"/>
    <col collapsed="false" customWidth="true" hidden="false" outlineLevel="0" max="13" min="10" style="0" width="14"/>
    <col collapsed="false" customWidth="true" hidden="false" outlineLevel="0" max="14" min="14" style="0" width="20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10" t="s">
        <v>214</v>
      </c>
    </row>
    <row r="4" customFormat="false" ht="15" hidden="false" customHeight="false" outlineLevel="0" collapsed="false">
      <c r="A4" s="8" t="s">
        <v>215</v>
      </c>
      <c r="B4" s="8" t="s">
        <v>69</v>
      </c>
      <c r="I4" s="8" t="s">
        <v>216</v>
      </c>
      <c r="J4" s="8" t="s">
        <v>69</v>
      </c>
    </row>
    <row r="5" customFormat="false" ht="15" hidden="false" customHeight="false" outlineLevel="0" collapsed="false">
      <c r="A5" s="2" t="s">
        <v>217</v>
      </c>
      <c r="B5" s="27" t="n">
        <f aca="false">Declarations!C27</f>
        <v>112</v>
      </c>
      <c r="I5" s="2" t="s">
        <v>218</v>
      </c>
      <c r="J5" s="11" t="n">
        <f aca="false">C23</f>
        <v>78.0409763545031</v>
      </c>
    </row>
    <row r="6" customFormat="false" ht="15" hidden="false" customHeight="false" outlineLevel="0" collapsed="false">
      <c r="A6" s="2" t="s">
        <v>91</v>
      </c>
      <c r="B6" s="27" t="n">
        <f aca="false">Declarations!D27</f>
        <v>0.35</v>
      </c>
      <c r="I6" s="2" t="s">
        <v>219</v>
      </c>
      <c r="J6" s="22" t="n">
        <f aca="false">MAX(G15:G35)</f>
        <v>0</v>
      </c>
    </row>
    <row r="7" customFormat="false" ht="15" hidden="false" customHeight="false" outlineLevel="0" collapsed="false">
      <c r="A7" s="2" t="s">
        <v>220</v>
      </c>
      <c r="B7" s="27" t="n">
        <f aca="false">Declarations!E27</f>
        <v>-28</v>
      </c>
      <c r="I7" s="2" t="s">
        <v>221</v>
      </c>
      <c r="J7" s="22" t="n">
        <f aca="false">MAX(O15:O25)</f>
        <v>0</v>
      </c>
    </row>
    <row r="8" customFormat="false" ht="15" hidden="false" customHeight="false" outlineLevel="0" collapsed="false">
      <c r="A8" s="2" t="s">
        <v>222</v>
      </c>
      <c r="B8" s="27" t="n">
        <f aca="false">Declarations!F27</f>
        <v>2</v>
      </c>
      <c r="I8" s="2" t="s">
        <v>223</v>
      </c>
      <c r="J8" s="22" t="n">
        <f aca="false">MAX(G39:G51)</f>
        <v>0</v>
      </c>
    </row>
    <row r="9" customFormat="false" ht="15" hidden="false" customHeight="false" outlineLevel="0" collapsed="false">
      <c r="A9" s="2" t="s">
        <v>224</v>
      </c>
      <c r="B9" s="27" t="n">
        <f aca="false">Liq_today</f>
        <v>100</v>
      </c>
      <c r="I9" s="2" t="s">
        <v>225</v>
      </c>
      <c r="J9" s="24" t="n">
        <f aca="false">C75</f>
        <v>100</v>
      </c>
    </row>
    <row r="10" customFormat="false" ht="15" hidden="false" customHeight="false" outlineLevel="0" collapsed="false">
      <c r="A10" s="2" t="s">
        <v>226</v>
      </c>
      <c r="B10" s="23" t="n">
        <f aca="false">B7*EXP(1)/B8</f>
        <v>-38.0559455984266</v>
      </c>
      <c r="I10" s="2" t="s">
        <v>227</v>
      </c>
      <c r="J10" s="11" t="n">
        <f aca="false">MIN(C15:C35)</f>
        <v>77.7339326383525</v>
      </c>
    </row>
    <row r="11" customFormat="false" ht="15" hidden="false" customHeight="false" outlineLevel="0" collapsed="false">
      <c r="A11" s="2" t="s">
        <v>228</v>
      </c>
      <c r="B11" s="15" t="n">
        <v>0.25</v>
      </c>
    </row>
    <row r="12" customFormat="false" ht="15" hidden="false" customHeight="false" outlineLevel="0" collapsed="false">
      <c r="A12" s="2" t="s">
        <v>229</v>
      </c>
      <c r="B12" s="15" t="n">
        <v>0.5</v>
      </c>
    </row>
    <row r="14" customFormat="false" ht="23.85" hidden="false" customHeight="false" outlineLevel="0" collapsed="false">
      <c r="A14" s="8" t="s">
        <v>230</v>
      </c>
      <c r="B14" s="8" t="s">
        <v>153</v>
      </c>
      <c r="C14" s="8" t="s">
        <v>231</v>
      </c>
      <c r="D14" s="8" t="s">
        <v>232</v>
      </c>
      <c r="E14" s="8" t="s">
        <v>233</v>
      </c>
      <c r="F14" s="8" t="s">
        <v>234</v>
      </c>
      <c r="G14" s="8" t="s">
        <v>235</v>
      </c>
      <c r="I14" s="8" t="s">
        <v>236</v>
      </c>
      <c r="J14" s="8" t="s">
        <v>153</v>
      </c>
      <c r="K14" s="8" t="s">
        <v>231</v>
      </c>
      <c r="L14" s="8" t="s">
        <v>232</v>
      </c>
      <c r="M14" s="8" t="s">
        <v>233</v>
      </c>
      <c r="N14" s="8" t="s">
        <v>237</v>
      </c>
      <c r="O14" s="8" t="s">
        <v>235</v>
      </c>
    </row>
    <row r="15" customFormat="false" ht="15" hidden="false" customHeight="false" outlineLevel="0" collapsed="false">
      <c r="A15" s="19" t="n">
        <v>0</v>
      </c>
      <c r="B15" s="13" t="n">
        <f aca="false">A15*$B$11</f>
        <v>0</v>
      </c>
      <c r="C15" s="24" t="n">
        <f aca="false">B9</f>
        <v>100</v>
      </c>
      <c r="D15" s="24" t="n">
        <f aca="false">B10</f>
        <v>-38.0559455984266</v>
      </c>
      <c r="E15" s="24" t="n">
        <v>0</v>
      </c>
      <c r="F15" s="24" t="n">
        <f aca="false">Declarations!$C$27+(Declarations!$C$4-Declarations!$C$27)*EXP(-Declarations!$D$27*B15)+IF(Declarations!$E$27=0,0,Declarations!$E$27*(B15/Declarations!$F$27)*EXP(1-B15/Declarations!$F$27))+IF(B15&gt;=T_sale,Declarations!$G$27,0)</f>
        <v>100</v>
      </c>
      <c r="G15" s="22" t="n">
        <f aca="false">ABS(C15-F15)</f>
        <v>0</v>
      </c>
      <c r="I15" s="19" t="n">
        <v>0</v>
      </c>
      <c r="J15" s="13" t="n">
        <f aca="false">I15*$B$12</f>
        <v>0</v>
      </c>
      <c r="K15" s="24" t="n">
        <f aca="false">B9</f>
        <v>100</v>
      </c>
      <c r="L15" s="24" t="n">
        <f aca="false">B10</f>
        <v>-38.0559455984266</v>
      </c>
      <c r="M15" s="24" t="n">
        <v>0</v>
      </c>
      <c r="N15" s="24" t="n">
        <f aca="false">INDEX($C$15:$C$35,2*I15+1)</f>
        <v>100</v>
      </c>
      <c r="O15" s="22" t="n">
        <f aca="false">MAX(ABS(K15-N15),ABS(L15-INDEX($D$15:$D$35,2*I15+1)),ABS(M15-INDEX($E$15:$E$35,2*I15+1)))</f>
        <v>0</v>
      </c>
    </row>
    <row r="16" customFormat="false" ht="15" hidden="false" customHeight="false" outlineLevel="0" collapsed="false">
      <c r="A16" s="19" t="n">
        <v>1</v>
      </c>
      <c r="B16" s="13" t="n">
        <f aca="false">A16*$B$11</f>
        <v>0.25</v>
      </c>
      <c r="C16" s="24" t="n">
        <f aca="false">$B$5+(C15-E15-$B$5)*EXP(-$B$6*$B$11)+(E15+$B$11*D15)*EXP(-$B$11/$B$8)</f>
        <v>92.6093100113046</v>
      </c>
      <c r="D16" s="24" t="n">
        <f aca="false">D15*EXP(-$B$11/$B$8)</f>
        <v>-33.5842541155394</v>
      </c>
      <c r="E16" s="24" t="n">
        <f aca="false">(E15+$B$11*D15)*EXP(-$B$11/$B$8)</f>
        <v>-8.39606352888484</v>
      </c>
      <c r="F16" s="24" t="n">
        <f aca="false">Declarations!$C$27+(Declarations!$C$4-Declarations!$C$27)*EXP(-Declarations!$D$27*B16)+IF(Declarations!$E$27=0,0,Declarations!$E$27*(B16/Declarations!$F$27)*EXP(1-B16/Declarations!$F$27))+IF(B16&gt;=T_sale,Declarations!$G$27,0)</f>
        <v>92.6093100113046</v>
      </c>
      <c r="G16" s="22" t="n">
        <f aca="false">ABS(C16-F16)</f>
        <v>0</v>
      </c>
      <c r="I16" s="19" t="n">
        <v>1</v>
      </c>
      <c r="J16" s="13" t="n">
        <f aca="false">I16*$B$12</f>
        <v>0.5</v>
      </c>
      <c r="K16" s="24" t="n">
        <f aca="false">$B$5+(K15-M15-$B$5)*EXP(-$B$6*$B$12)+(M15+$B$12*L15)*EXP(-$B$12/$B$8)</f>
        <v>87.1075156344808</v>
      </c>
      <c r="L16" s="24" t="n">
        <f aca="false">L15*EXP(-$B$12/$B$8)</f>
        <v>-29.6380002325774</v>
      </c>
      <c r="M16" s="24" t="n">
        <f aca="false">(M15+$B$12*L15)*EXP(-$B$12/$B$8)</f>
        <v>-14.8190001162887</v>
      </c>
      <c r="N16" s="24" t="n">
        <f aca="false">INDEX($C$15:$C$35,2*I16+1)</f>
        <v>87.1075156344808</v>
      </c>
      <c r="O16" s="22" t="n">
        <f aca="false">MAX(ABS(K16-N16),ABS(L16-INDEX($D$15:$D$35,2*I16+1)),ABS(M16-INDEX($E$15:$E$35,2*I16+1)))</f>
        <v>0</v>
      </c>
    </row>
    <row r="17" customFormat="false" ht="15" hidden="false" customHeight="false" outlineLevel="0" collapsed="false">
      <c r="A17" s="19" t="n">
        <v>2</v>
      </c>
      <c r="B17" s="13" t="n">
        <f aca="false">A17*$B$11</f>
        <v>0.5</v>
      </c>
      <c r="C17" s="24" t="n">
        <f aca="false">$B$5+(C16-E16-$B$5)*EXP(-$B$6*$B$11)+(E16+$B$11*D16)*EXP(-$B$11/$B$8)</f>
        <v>87.1075156344808</v>
      </c>
      <c r="D17" s="24" t="n">
        <f aca="false">D16*EXP(-$B$11/$B$8)</f>
        <v>-29.6380002325775</v>
      </c>
      <c r="E17" s="24" t="n">
        <f aca="false">(E16+$B$11*D16)*EXP(-$B$11/$B$8)</f>
        <v>-14.8190001162887</v>
      </c>
      <c r="F17" s="24" t="n">
        <f aca="false">Declarations!$C$27+(Declarations!$C$4-Declarations!$C$27)*EXP(-Declarations!$D$27*B17)+IF(Declarations!$E$27=0,0,Declarations!$E$27*(B17/Declarations!$F$27)*EXP(1-B17/Declarations!$F$27))+IF(B17&gt;=T_sale,Declarations!$G$27,0)</f>
        <v>87.1075156344808</v>
      </c>
      <c r="G17" s="22" t="n">
        <f aca="false">ABS(C17-F17)</f>
        <v>0</v>
      </c>
      <c r="I17" s="19" t="n">
        <v>2</v>
      </c>
      <c r="J17" s="13" t="n">
        <f aca="false">I17*$B$12</f>
        <v>1</v>
      </c>
      <c r="K17" s="24" t="n">
        <f aca="false">$B$5+(K16-M16-$B$5)*EXP(-$B$6*$B$12)+(M16+$B$12*L16)*EXP(-$B$12/$B$8)</f>
        <v>80.4616451335736</v>
      </c>
      <c r="L17" s="24" t="n">
        <f aca="false">L16*EXP(-$B$12/$B$8)</f>
        <v>-23.0820977898018</v>
      </c>
      <c r="M17" s="24" t="n">
        <f aca="false">(M16+$B$12*L16)*EXP(-$B$12/$B$8)</f>
        <v>-23.0820977898018</v>
      </c>
      <c r="N17" s="24" t="n">
        <f aca="false">INDEX($C$15:$C$35,2*I17+1)</f>
        <v>80.4616451335736</v>
      </c>
      <c r="O17" s="22" t="n">
        <f aca="false">MAX(ABS(K17-N17),ABS(L17-INDEX($D$15:$D$35,2*I17+1)),ABS(M17-INDEX($E$15:$E$35,2*I17+1)))</f>
        <v>0</v>
      </c>
    </row>
    <row r="18" customFormat="false" ht="15" hidden="false" customHeight="false" outlineLevel="0" collapsed="false">
      <c r="A18" s="19" t="n">
        <v>3</v>
      </c>
      <c r="B18" s="13" t="n">
        <f aca="false">A18*$B$11</f>
        <v>0.75</v>
      </c>
      <c r="C18" s="24" t="n">
        <f aca="false">$B$5+(C17-E17-$B$5)*EXP(-$B$6*$B$11)+(E17+$B$11*D17)*EXP(-$B$11/$B$8)</f>
        <v>83.1539010745388</v>
      </c>
      <c r="D18" s="24" t="n">
        <f aca="false">D17*EXP(-$B$11/$B$8)</f>
        <v>-26.1554434040511</v>
      </c>
      <c r="E18" s="24" t="n">
        <f aca="false">(E17+$B$11*D17)*EXP(-$B$11/$B$8)</f>
        <v>-19.6165825530383</v>
      </c>
      <c r="F18" s="24" t="n">
        <f aca="false">Declarations!$C$27+(Declarations!$C$4-Declarations!$C$27)*EXP(-Declarations!$D$27*B18)+IF(Declarations!$E$27=0,0,Declarations!$E$27*(B18/Declarations!$F$27)*EXP(1-B18/Declarations!$F$27))+IF(B18&gt;=T_sale,Declarations!$G$27,0)</f>
        <v>83.1539010745388</v>
      </c>
      <c r="G18" s="22" t="n">
        <f aca="false">ABS(C18-F18)</f>
        <v>0</v>
      </c>
      <c r="I18" s="19" t="n">
        <v>3</v>
      </c>
      <c r="J18" s="13" t="n">
        <f aca="false">I18*$B$12</f>
        <v>1.5</v>
      </c>
      <c r="K18" s="24" t="n">
        <f aca="false">$B$5+(K17-M17-$B$5)*EXP(-$B$6*$B$12)+(M17+$B$12*L17)*EXP(-$B$12/$B$8)</f>
        <v>77.9368018771557</v>
      </c>
      <c r="L18" s="24" t="n">
        <f aca="false">L17*EXP(-$B$12/$B$8)</f>
        <v>-17.9763558336284</v>
      </c>
      <c r="M18" s="24" t="n">
        <f aca="false">(M17+$B$12*L17)*EXP(-$B$12/$B$8)</f>
        <v>-26.9645337504426</v>
      </c>
      <c r="N18" s="24" t="n">
        <f aca="false">INDEX($C$15:$C$35,2*I18+1)</f>
        <v>77.9368018771556</v>
      </c>
      <c r="O18" s="22" t="n">
        <f aca="false">MAX(ABS(K18-N18),ABS(L18-INDEX($D$15:$D$35,2*I18+1)),ABS(M18-INDEX($E$15:$E$35,2*I18+1)))</f>
        <v>0</v>
      </c>
    </row>
    <row r="19" customFormat="false" ht="15" hidden="false" customHeight="false" outlineLevel="0" collapsed="false">
      <c r="A19" s="19" t="n">
        <v>4</v>
      </c>
      <c r="B19" s="13" t="n">
        <f aca="false">A19*$B$11</f>
        <v>1</v>
      </c>
      <c r="C19" s="24" t="n">
        <f aca="false">$B$5+(C18-E18-$B$5)*EXP(-$B$6*$B$11)+(E18+$B$11*D18)*EXP(-$B$11/$B$8)</f>
        <v>80.4616451335736</v>
      </c>
      <c r="D19" s="24" t="n">
        <f aca="false">D18*EXP(-$B$11/$B$8)</f>
        <v>-23.0820977898018</v>
      </c>
      <c r="E19" s="24" t="n">
        <f aca="false">(E18+$B$11*D18)*EXP(-$B$11/$B$8)</f>
        <v>-23.0820977898018</v>
      </c>
      <c r="F19" s="24" t="n">
        <f aca="false">Declarations!$C$27+(Declarations!$C$4-Declarations!$C$27)*EXP(-Declarations!$D$27*B19)+IF(Declarations!$E$27=0,0,Declarations!$E$27*(B19/Declarations!$F$27)*EXP(1-B19/Declarations!$F$27))+IF(B19&gt;=T_sale,Declarations!$G$27,0)</f>
        <v>80.4616451335736</v>
      </c>
      <c r="G19" s="22" t="n">
        <f aca="false">ABS(C19-F19)</f>
        <v>0</v>
      </c>
      <c r="I19" s="19" t="n">
        <v>4</v>
      </c>
      <c r="J19" s="13" t="n">
        <f aca="false">I19*$B$12</f>
        <v>2</v>
      </c>
      <c r="K19" s="24" t="n">
        <f aca="false">$B$5+(K18-M18-$B$5)*EXP(-$B$6*$B$12)+(M18+$B$12*L18)*EXP(-$B$12/$B$8)</f>
        <v>78.0409763545031</v>
      </c>
      <c r="L19" s="24" t="n">
        <f aca="false">L18*EXP(-$B$12/$B$8)</f>
        <v>-14</v>
      </c>
      <c r="M19" s="24" t="n">
        <f aca="false">(M18+$B$12*L18)*EXP(-$B$12/$B$8)</f>
        <v>-28</v>
      </c>
      <c r="N19" s="24" t="n">
        <f aca="false">INDEX($C$15:$C$35,2*I19+1)</f>
        <v>78.0409763545031</v>
      </c>
      <c r="O19" s="22" t="n">
        <f aca="false">MAX(ABS(K19-N19),ABS(L19-INDEX($D$15:$D$35,2*I19+1)),ABS(M19-INDEX($E$15:$E$35,2*I19+1)))</f>
        <v>0</v>
      </c>
    </row>
    <row r="20" customFormat="false" ht="15" hidden="false" customHeight="false" outlineLevel="0" collapsed="false">
      <c r="A20" s="19" t="n">
        <v>5</v>
      </c>
      <c r="B20" s="13" t="n">
        <f aca="false">A20*$B$11</f>
        <v>1.25</v>
      </c>
      <c r="C20" s="24" t="n">
        <f aca="false">$B$5+(C19-E19-$B$5)*EXP(-$B$6*$B$11)+(E19+$B$11*D19)*EXP(-$B$11/$B$8)</f>
        <v>78.7898679270467</v>
      </c>
      <c r="D20" s="24" t="n">
        <f aca="false">D19*EXP(-$B$11/$B$8)</f>
        <v>-20.3698798046548</v>
      </c>
      <c r="E20" s="24" t="n">
        <f aca="false">(E19+$B$11*D19)*EXP(-$B$11/$B$8)</f>
        <v>-25.4623497558185</v>
      </c>
      <c r="F20" s="24" t="n">
        <f aca="false">Declarations!$C$27+(Declarations!$C$4-Declarations!$C$27)*EXP(-Declarations!$D$27*B20)+IF(Declarations!$E$27=0,0,Declarations!$E$27*(B20/Declarations!$F$27)*EXP(1-B20/Declarations!$F$27))+IF(B20&gt;=T_sale,Declarations!$G$27,0)</f>
        <v>78.7898679270468</v>
      </c>
      <c r="G20" s="22" t="n">
        <f aca="false">ABS(C20-F20)</f>
        <v>0</v>
      </c>
      <c r="I20" s="19" t="n">
        <v>5</v>
      </c>
      <c r="J20" s="13" t="n">
        <f aca="false">I20*$B$12</f>
        <v>2.5</v>
      </c>
      <c r="K20" s="24" t="n">
        <f aca="false">$B$5+(K19-M19-$B$5)*EXP(-$B$6*$B$12)+(M19+$B$12*L19)*EXP(-$B$12/$B$8)</f>
        <v>79.7396283563587</v>
      </c>
      <c r="L20" s="24" t="n">
        <f aca="false">L19*EXP(-$B$12/$B$8)</f>
        <v>-10.9032109629997</v>
      </c>
      <c r="M20" s="24" t="n">
        <f aca="false">(M19+$B$12*L19)*EXP(-$B$12/$B$8)</f>
        <v>-27.2580274074992</v>
      </c>
      <c r="N20" s="24" t="n">
        <f aca="false">INDEX($C$15:$C$35,2*I20+1)</f>
        <v>79.7396283563587</v>
      </c>
      <c r="O20" s="22" t="n">
        <f aca="false">MAX(ABS(K20-N20),ABS(L20-INDEX($D$15:$D$35,2*I20+1)),ABS(M20-INDEX($E$15:$E$35,2*I20+1)))</f>
        <v>0</v>
      </c>
    </row>
    <row r="21" customFormat="false" ht="15" hidden="false" customHeight="false" outlineLevel="0" collapsed="false">
      <c r="A21" s="19" t="n">
        <v>6</v>
      </c>
      <c r="B21" s="13" t="n">
        <f aca="false">A21*$B$11</f>
        <v>1.5</v>
      </c>
      <c r="C21" s="24" t="n">
        <f aca="false">$B$5+(C20-E20-$B$5)*EXP(-$B$6*$B$11)+(E20+$B$11*D20)*EXP(-$B$11/$B$8)</f>
        <v>77.9368018771556</v>
      </c>
      <c r="D21" s="24" t="n">
        <f aca="false">D20*EXP(-$B$11/$B$8)</f>
        <v>-17.9763558336284</v>
      </c>
      <c r="E21" s="24" t="n">
        <f aca="false">(E20+$B$11*D20)*EXP(-$B$11/$B$8)</f>
        <v>-26.9645337504426</v>
      </c>
      <c r="F21" s="24" t="n">
        <f aca="false">Declarations!$C$27+(Declarations!$C$4-Declarations!$C$27)*EXP(-Declarations!$D$27*B21)+IF(Declarations!$E$27=0,0,Declarations!$E$27*(B21/Declarations!$F$27)*EXP(1-B21/Declarations!$F$27))+IF(B21&gt;=T_sale,Declarations!$G$27,0)</f>
        <v>77.9368018771557</v>
      </c>
      <c r="G21" s="22" t="n">
        <f aca="false">ABS(C21-F21)</f>
        <v>0</v>
      </c>
      <c r="I21" s="19" t="n">
        <v>6</v>
      </c>
      <c r="J21" s="13" t="n">
        <f aca="false">I21*$B$12</f>
        <v>3</v>
      </c>
      <c r="K21" s="24" t="n">
        <f aca="false">$B$5+(K20-M20-$B$5)*EXP(-$B$6*$B$12)+(M20+$B$12*L20)*EXP(-$B$12/$B$8)</f>
        <v>82.3264593027355</v>
      </c>
      <c r="L21" s="24" t="n">
        <f aca="false">L20*EXP(-$B$12/$B$8)</f>
        <v>-8.49142923597687</v>
      </c>
      <c r="M21" s="24" t="n">
        <f aca="false">(M20+$B$12*L20)*EXP(-$B$12/$B$8)</f>
        <v>-25.4742877079306</v>
      </c>
      <c r="N21" s="24" t="n">
        <f aca="false">INDEX($C$15:$C$35,2*I21+1)</f>
        <v>82.3264593027355</v>
      </c>
      <c r="O21" s="22" t="n">
        <f aca="false">MAX(ABS(K21-N21),ABS(L21-INDEX($D$15:$D$35,2*I21+1)),ABS(M21-INDEX($E$15:$E$35,2*I21+1)))</f>
        <v>0</v>
      </c>
    </row>
    <row r="22" customFormat="false" ht="15" hidden="false" customHeight="false" outlineLevel="0" collapsed="false">
      <c r="A22" s="19" t="n">
        <v>7</v>
      </c>
      <c r="B22" s="13" t="n">
        <f aca="false">A22*$B$11</f>
        <v>1.75</v>
      </c>
      <c r="C22" s="24" t="n">
        <f aca="false">$B$5+(C21-E21-$B$5)*EXP(-$B$6*$B$11)+(E21+$B$11*D21)*EXP(-$B$11/$B$8)</f>
        <v>77.7339326383525</v>
      </c>
      <c r="D22" s="24" t="n">
        <f aca="false">D21*EXP(-$B$11/$B$8)</f>
        <v>-15.8640783429356</v>
      </c>
      <c r="E22" s="24" t="n">
        <f aca="false">(E21+$B$11*D21)*EXP(-$B$11/$B$8)</f>
        <v>-27.7621371001373</v>
      </c>
      <c r="F22" s="24" t="n">
        <f aca="false">Declarations!$C$27+(Declarations!$C$4-Declarations!$C$27)*EXP(-Declarations!$D$27*B22)+IF(Declarations!$E$27=0,0,Declarations!$E$27*(B22/Declarations!$F$27)*EXP(1-B22/Declarations!$F$27))+IF(B22&gt;=T_sale,Declarations!$G$27,0)</f>
        <v>77.7339326383525</v>
      </c>
      <c r="G22" s="22" t="n">
        <f aca="false">ABS(C22-F22)</f>
        <v>0</v>
      </c>
      <c r="I22" s="19" t="n">
        <v>7</v>
      </c>
      <c r="J22" s="13" t="n">
        <f aca="false">I22*$B$12</f>
        <v>3.5</v>
      </c>
      <c r="K22" s="24" t="n">
        <f aca="false">$B$5+(K21-M21-$B$5)*EXP(-$B$6*$B$12)+(M21+$B$12*L21)*EXP(-$B$12/$B$8)</f>
        <v>85.3289465118079</v>
      </c>
      <c r="L22" s="24" t="n">
        <f aca="false">L21*EXP(-$B$12/$B$8)</f>
        <v>-6.6131317383742</v>
      </c>
      <c r="M22" s="24" t="n">
        <f aca="false">(M21+$B$12*L21)*EXP(-$B$12/$B$8)</f>
        <v>-23.1459610843097</v>
      </c>
      <c r="N22" s="24" t="n">
        <f aca="false">INDEX($C$15:$C$35,2*I22+1)</f>
        <v>85.3289465118078</v>
      </c>
      <c r="O22" s="22" t="n">
        <f aca="false">MAX(ABS(K22-N22),ABS(L22-INDEX($D$15:$D$35,2*I22+1)),ABS(M22-INDEX($E$15:$E$35,2*I22+1)))</f>
        <v>0</v>
      </c>
    </row>
    <row r="23" customFormat="false" ht="15" hidden="false" customHeight="false" outlineLevel="0" collapsed="false">
      <c r="A23" s="19" t="n">
        <v>8</v>
      </c>
      <c r="B23" s="13" t="n">
        <f aca="false">A23*$B$11</f>
        <v>2</v>
      </c>
      <c r="C23" s="24" t="n">
        <f aca="false">$B$5+(C22-E22-$B$5)*EXP(-$B$6*$B$11)+(E22+$B$11*D22)*EXP(-$B$11/$B$8)</f>
        <v>78.0409763545031</v>
      </c>
      <c r="D23" s="24" t="n">
        <f aca="false">D22*EXP(-$B$11/$B$8)</f>
        <v>-14</v>
      </c>
      <c r="E23" s="24" t="n">
        <f aca="false">(E22+$B$11*D22)*EXP(-$B$11/$B$8)</f>
        <v>-28</v>
      </c>
      <c r="F23" s="24" t="n">
        <f aca="false">Declarations!$C$27+(Declarations!$C$4-Declarations!$C$27)*EXP(-Declarations!$D$27*B23)+IF(Declarations!$E$27=0,0,Declarations!$E$27*(B23/Declarations!$F$27)*EXP(1-B23/Declarations!$F$27))+IF(B23&gt;=T_sale,Declarations!$G$27,0)</f>
        <v>78.0409763545031</v>
      </c>
      <c r="G23" s="22" t="n">
        <f aca="false">ABS(C23-F23)</f>
        <v>0</v>
      </c>
      <c r="I23" s="19" t="n">
        <v>8</v>
      </c>
      <c r="J23" s="13" t="n">
        <f aca="false">I23*$B$12</f>
        <v>4</v>
      </c>
      <c r="K23" s="24" t="n">
        <f aca="false">$B$5+(K22-M22-$B$5)*EXP(-$B$6*$B$12)+(M22+$B$12*L22)*EXP(-$B$12/$B$8)</f>
        <v>88.4395877271</v>
      </c>
      <c r="L23" s="24" t="n">
        <f aca="false">L22*EXP(-$B$12/$B$8)</f>
        <v>-5.15031217640019</v>
      </c>
      <c r="M23" s="24" t="n">
        <f aca="false">(M22+$B$12*L22)*EXP(-$B$12/$B$8)</f>
        <v>-20.6012487056008</v>
      </c>
      <c r="N23" s="24" t="n">
        <f aca="false">INDEX($C$15:$C$35,2*I23+1)</f>
        <v>88.4395877270999</v>
      </c>
      <c r="O23" s="22" t="n">
        <f aca="false">MAX(ABS(K23-N23),ABS(L23-INDEX($D$15:$D$35,2*I23+1)),ABS(M23-INDEX($E$15:$E$35,2*I23+1)))</f>
        <v>0</v>
      </c>
    </row>
    <row r="24" customFormat="false" ht="15" hidden="false" customHeight="false" outlineLevel="0" collapsed="false">
      <c r="A24" s="19" t="n">
        <v>9</v>
      </c>
      <c r="B24" s="13" t="n">
        <f aca="false">A24*$B$11</f>
        <v>2.25</v>
      </c>
      <c r="C24" s="24" t="n">
        <f aca="false">$B$5+(C23-E23-$B$5)*EXP(-$B$6*$B$11)+(E23+$B$11*D23)*EXP(-$B$11/$B$8)</f>
        <v>78.7415776479671</v>
      </c>
      <c r="D24" s="24" t="n">
        <f aca="false">D23*EXP(-$B$11/$B$8)</f>
        <v>-12.3549566361843</v>
      </c>
      <c r="E24" s="24" t="n">
        <f aca="false">(E23+$B$11*D23)*EXP(-$B$11/$B$8)</f>
        <v>-27.7986524314148</v>
      </c>
      <c r="F24" s="24" t="n">
        <f aca="false">Declarations!$C$27+(Declarations!$C$4-Declarations!$C$27)*EXP(-Declarations!$D$27*B24)+IF(Declarations!$E$27=0,0,Declarations!$E$27*(B24/Declarations!$F$27)*EXP(1-B24/Declarations!$F$27))+IF(B24&gt;=T_sale,Declarations!$G$27,0)</f>
        <v>78.7415776479672</v>
      </c>
      <c r="G24" s="22" t="n">
        <f aca="false">ABS(C24-F24)</f>
        <v>0</v>
      </c>
      <c r="I24" s="19" t="n">
        <v>9</v>
      </c>
      <c r="J24" s="13" t="n">
        <f aca="false">I24*$B$12</f>
        <v>4.5</v>
      </c>
      <c r="K24" s="24" t="n">
        <f aca="false">$B$5+(K23-M23-$B$5)*EXP(-$B$6*$B$12)+(M23+$B$12*L23)*EXP(-$B$12/$B$8)</f>
        <v>91.4661071656342</v>
      </c>
      <c r="L24" s="24" t="n">
        <f aca="false">L23*EXP(-$B$12/$B$8)</f>
        <v>-4.01106715604266</v>
      </c>
      <c r="M24" s="24" t="n">
        <f aca="false">(M23+$B$12*L23)*EXP(-$B$12/$B$8)</f>
        <v>-18.049802202192</v>
      </c>
      <c r="N24" s="24" t="n">
        <f aca="false">INDEX($C$15:$C$35,2*I24+1)</f>
        <v>91.4661071656342</v>
      </c>
      <c r="O24" s="22" t="n">
        <f aca="false">MAX(ABS(K24-N24),ABS(L24-INDEX($D$15:$D$35,2*I24+1)),ABS(M24-INDEX($E$15:$E$35,2*I24+1)))</f>
        <v>0</v>
      </c>
    </row>
    <row r="25" customFormat="false" ht="15" hidden="false" customHeight="false" outlineLevel="0" collapsed="false">
      <c r="A25" s="19" t="n">
        <v>10</v>
      </c>
      <c r="B25" s="13" t="n">
        <f aca="false">A25*$B$11</f>
        <v>2.5</v>
      </c>
      <c r="C25" s="24" t="n">
        <f aca="false">$B$5+(C24-E24-$B$5)*EXP(-$B$6*$B$11)+(E24+$B$11*D24)*EXP(-$B$11/$B$8)</f>
        <v>79.7396283563587</v>
      </c>
      <c r="D25" s="24" t="n">
        <f aca="false">D24*EXP(-$B$11/$B$8)</f>
        <v>-10.9032109629997</v>
      </c>
      <c r="E25" s="24" t="n">
        <f aca="false">(E24+$B$11*D24)*EXP(-$B$11/$B$8)</f>
        <v>-27.2580274074992</v>
      </c>
      <c r="F25" s="24" t="n">
        <f aca="false">Declarations!$C$27+(Declarations!$C$4-Declarations!$C$27)*EXP(-Declarations!$D$27*B25)+IF(Declarations!$E$27=0,0,Declarations!$E$27*(B25/Declarations!$F$27)*EXP(1-B25/Declarations!$F$27))+IF(B25&gt;=T_sale,Declarations!$G$27,0)</f>
        <v>79.7396283563587</v>
      </c>
      <c r="G25" s="22" t="n">
        <f aca="false">ABS(C25-F25)</f>
        <v>0</v>
      </c>
      <c r="I25" s="19" t="n">
        <v>10</v>
      </c>
      <c r="J25" s="13" t="n">
        <f aca="false">I25*$B$12</f>
        <v>5</v>
      </c>
      <c r="K25" s="24" t="n">
        <f aca="false">$B$5+(K24-M24-$B$5)*EXP(-$B$6*$B$12)+(M24+$B$12*L24)*EXP(-$B$12/$B$8)</f>
        <v>94.2956014682046</v>
      </c>
      <c r="L25" s="24" t="n">
        <f aca="false">L24*EXP(-$B$12/$B$8)</f>
        <v>-3.12382224207802</v>
      </c>
      <c r="M25" s="24" t="n">
        <f aca="false">(M24+$B$12*L24)*EXP(-$B$12/$B$8)</f>
        <v>-15.6191112103901</v>
      </c>
      <c r="N25" s="24" t="n">
        <f aca="false">INDEX($C$15:$C$35,2*I25+1)</f>
        <v>94.2956014682046</v>
      </c>
      <c r="O25" s="22" t="n">
        <f aca="false">MAX(ABS(K25-N25),ABS(L25-INDEX($D$15:$D$35,2*I25+1)),ABS(M25-INDEX($E$15:$E$35,2*I25+1)))</f>
        <v>0</v>
      </c>
    </row>
    <row r="26" customFormat="false" ht="15" hidden="false" customHeight="false" outlineLevel="0" collapsed="false">
      <c r="A26" s="19" t="n">
        <v>11</v>
      </c>
      <c r="B26" s="13" t="n">
        <f aca="false">A26*$B$11</f>
        <v>2.75</v>
      </c>
      <c r="C26" s="24" t="n">
        <f aca="false">$B$5+(C25-E25-$B$5)*EXP(-$B$6*$B$11)+(E25+$B$11*D25)*EXP(-$B$11/$B$8)</f>
        <v>80.9561205749002</v>
      </c>
      <c r="D26" s="24" t="n">
        <f aca="false">D25*EXP(-$B$11/$B$8)</f>
        <v>-9.62204990307362</v>
      </c>
      <c r="E26" s="24" t="n">
        <f aca="false">(E25+$B$11*D25)*EXP(-$B$11/$B$8)</f>
        <v>-26.4606372334524</v>
      </c>
      <c r="F26" s="24" t="n">
        <f aca="false">Declarations!$C$27+(Declarations!$C$4-Declarations!$C$27)*EXP(-Declarations!$D$27*B26)+IF(Declarations!$E$27=0,0,Declarations!$E$27*(B26/Declarations!$F$27)*EXP(1-B26/Declarations!$F$27))+IF(B26&gt;=T_sale,Declarations!$G$27,0)</f>
        <v>80.9561205749002</v>
      </c>
      <c r="G26" s="22" t="n">
        <f aca="false">ABS(C26-F26)</f>
        <v>0</v>
      </c>
    </row>
    <row r="27" customFormat="false" ht="15" hidden="false" customHeight="false" outlineLevel="0" collapsed="false">
      <c r="A27" s="19" t="n">
        <v>12</v>
      </c>
      <c r="B27" s="13" t="n">
        <f aca="false">A27*$B$11</f>
        <v>3</v>
      </c>
      <c r="C27" s="24" t="n">
        <f aca="false">$B$5+(C26-E26-$B$5)*EXP(-$B$6*$B$11)+(E26+$B$11*D26)*EXP(-$B$11/$B$8)</f>
        <v>82.3264593027355</v>
      </c>
      <c r="D27" s="24" t="n">
        <f aca="false">D26*EXP(-$B$11/$B$8)</f>
        <v>-8.49142923597687</v>
      </c>
      <c r="E27" s="24" t="n">
        <f aca="false">(E26+$B$11*D26)*EXP(-$B$11/$B$8)</f>
        <v>-25.4742877079306</v>
      </c>
      <c r="F27" s="24" t="n">
        <f aca="false">Declarations!$C$27+(Declarations!$C$4-Declarations!$C$27)*EXP(-Declarations!$D$27*B27)+IF(Declarations!$E$27=0,0,Declarations!$E$27*(B27/Declarations!$F$27)*EXP(1-B27/Declarations!$F$27))+IF(B27&gt;=T_sale,Declarations!$G$27,0)</f>
        <v>82.3264593027355</v>
      </c>
      <c r="G27" s="22" t="n">
        <f aca="false">ABS(C27-F27)</f>
        <v>0</v>
      </c>
    </row>
    <row r="28" customFormat="false" ht="15" hidden="false" customHeight="false" outlineLevel="0" collapsed="false">
      <c r="A28" s="19" t="n">
        <v>13</v>
      </c>
      <c r="B28" s="13" t="n">
        <f aca="false">A28*$B$11</f>
        <v>3.25</v>
      </c>
      <c r="C28" s="24" t="n">
        <f aca="false">$B$5+(C27-E27-$B$5)*EXP(-$B$6*$B$11)+(E27+$B$11*D27)*EXP(-$B$11/$B$8)</f>
        <v>83.7981701667219</v>
      </c>
      <c r="D28" s="24" t="n">
        <f aca="false">D27*EXP(-$B$11/$B$8)</f>
        <v>-7.49365999926587</v>
      </c>
      <c r="E28" s="24" t="n">
        <f aca="false">(E27+$B$11*D27)*EXP(-$B$11/$B$8)</f>
        <v>-24.3543949976141</v>
      </c>
      <c r="F28" s="24" t="n">
        <f aca="false">Declarations!$C$27+(Declarations!$C$4-Declarations!$C$27)*EXP(-Declarations!$D$27*B28)+IF(Declarations!$E$27=0,0,Declarations!$E$27*(B28/Declarations!$F$27)*EXP(1-B28/Declarations!$F$27))+IF(B28&gt;=T_sale,Declarations!$G$27,0)</f>
        <v>83.7981701667219</v>
      </c>
      <c r="G28" s="22" t="n">
        <f aca="false">ABS(C28-F28)</f>
        <v>0</v>
      </c>
    </row>
    <row r="29" customFormat="false" ht="15" hidden="false" customHeight="false" outlineLevel="0" collapsed="false">
      <c r="A29" s="19" t="n">
        <v>14</v>
      </c>
      <c r="B29" s="13" t="n">
        <f aca="false">A29*$B$11</f>
        <v>3.5</v>
      </c>
      <c r="C29" s="24" t="n">
        <f aca="false">$B$5+(C28-E28-$B$5)*EXP(-$B$6*$B$11)+(E28+$B$11*D28)*EXP(-$B$11/$B$8)</f>
        <v>85.3289465118078</v>
      </c>
      <c r="D29" s="24" t="n">
        <f aca="false">D28*EXP(-$B$11/$B$8)</f>
        <v>-6.61313173837421</v>
      </c>
      <c r="E29" s="24" t="n">
        <f aca="false">(E28+$B$11*D28)*EXP(-$B$11/$B$8)</f>
        <v>-23.1459610843097</v>
      </c>
      <c r="F29" s="24" t="n">
        <f aca="false">Declarations!$C$27+(Declarations!$C$4-Declarations!$C$27)*EXP(-Declarations!$D$27*B29)+IF(Declarations!$E$27=0,0,Declarations!$E$27*(B29/Declarations!$F$27)*EXP(1-B29/Declarations!$F$27))+IF(B29&gt;=T_sale,Declarations!$G$27,0)</f>
        <v>85.3289465118079</v>
      </c>
      <c r="G29" s="22" t="n">
        <f aca="false">ABS(C29-F29)</f>
        <v>0</v>
      </c>
    </row>
    <row r="30" customFormat="false" ht="15" hidden="false" customHeight="false" outlineLevel="0" collapsed="false">
      <c r="A30" s="19" t="n">
        <v>15</v>
      </c>
      <c r="B30" s="13" t="n">
        <f aca="false">A30*$B$11</f>
        <v>3.75</v>
      </c>
      <c r="C30" s="24" t="n">
        <f aca="false">$B$5+(C29-E29-$B$5)*EXP(-$B$6*$B$11)+(E29+$B$11*D29)*EXP(-$B$11/$B$8)</f>
        <v>86.8849877821281</v>
      </c>
      <c r="D30" s="24" t="n">
        <f aca="false">D29*EXP(-$B$11/$B$8)</f>
        <v>-5.83606827549912</v>
      </c>
      <c r="E30" s="24" t="n">
        <f aca="false">(E29+$B$11*D29)*EXP(-$B$11/$B$8)</f>
        <v>-21.8852560331217</v>
      </c>
      <c r="F30" s="24" t="n">
        <f aca="false">Declarations!$C$27+(Declarations!$C$4-Declarations!$C$27)*EXP(-Declarations!$D$27*B30)+IF(Declarations!$E$27=0,0,Declarations!$E$27*(B30/Declarations!$F$27)*EXP(1-B30/Declarations!$F$27))+IF(B30&gt;=T_sale,Declarations!$G$27,0)</f>
        <v>86.8849877821281</v>
      </c>
      <c r="G30" s="22" t="n">
        <f aca="false">ABS(C30-F30)</f>
        <v>0</v>
      </c>
    </row>
    <row r="31" customFormat="false" ht="15" hidden="false" customHeight="false" outlineLevel="0" collapsed="false">
      <c r="A31" s="19" t="n">
        <v>16</v>
      </c>
      <c r="B31" s="13" t="n">
        <f aca="false">A31*$B$11</f>
        <v>4</v>
      </c>
      <c r="C31" s="24" t="n">
        <f aca="false">$B$5+(C30-E30-$B$5)*EXP(-$B$6*$B$11)+(E30+$B$11*D30)*EXP(-$B$11/$B$8)</f>
        <v>88.4395877270999</v>
      </c>
      <c r="D31" s="24" t="n">
        <f aca="false">D30*EXP(-$B$11/$B$8)</f>
        <v>-5.1503121764002</v>
      </c>
      <c r="E31" s="24" t="n">
        <f aca="false">(E30+$B$11*D30)*EXP(-$B$11/$B$8)</f>
        <v>-20.6012487056008</v>
      </c>
      <c r="F31" s="24" t="n">
        <f aca="false">Declarations!$C$27+(Declarations!$C$4-Declarations!$C$27)*EXP(-Declarations!$D$27*B31)+IF(Declarations!$E$27=0,0,Declarations!$E$27*(B31/Declarations!$F$27)*EXP(1-B31/Declarations!$F$27))+IF(B31&gt;=T_sale,Declarations!$G$27,0)</f>
        <v>88.4395877271</v>
      </c>
      <c r="G31" s="22" t="n">
        <f aca="false">ABS(C31-F31)</f>
        <v>0</v>
      </c>
    </row>
    <row r="32" customFormat="false" ht="15" hidden="false" customHeight="false" outlineLevel="0" collapsed="false">
      <c r="A32" s="19" t="n">
        <v>17</v>
      </c>
      <c r="B32" s="13" t="n">
        <f aca="false">A32*$B$11</f>
        <v>4.25</v>
      </c>
      <c r="C32" s="24" t="n">
        <f aca="false">$B$5+(C31-E31-$B$5)*EXP(-$B$6*$B$11)+(E31+$B$11*D31)*EXP(-$B$11/$B$8)</f>
        <v>89.9719366875168</v>
      </c>
      <c r="D32" s="24" t="n">
        <f aca="false">D31*EXP(-$B$11/$B$8)</f>
        <v>-4.5451345430169</v>
      </c>
      <c r="E32" s="24" t="n">
        <f aca="false">(E31+$B$11*D31)*EXP(-$B$11/$B$8)</f>
        <v>-19.3168218078218</v>
      </c>
      <c r="F32" s="24" t="n">
        <f aca="false">Declarations!$C$27+(Declarations!$C$4-Declarations!$C$27)*EXP(-Declarations!$D$27*B32)+IF(Declarations!$E$27=0,0,Declarations!$E$27*(B32/Declarations!$F$27)*EXP(1-B32/Declarations!$F$27))+IF(B32&gt;=T_sale,Declarations!$G$27,0)</f>
        <v>89.9719366875169</v>
      </c>
      <c r="G32" s="22" t="n">
        <f aca="false">ABS(C32-F32)</f>
        <v>0</v>
      </c>
    </row>
    <row r="33" customFormat="false" ht="15" hidden="false" customHeight="false" outlineLevel="0" collapsed="false">
      <c r="A33" s="19" t="n">
        <v>18</v>
      </c>
      <c r="B33" s="13" t="n">
        <f aca="false">A33*$B$11</f>
        <v>4.5</v>
      </c>
      <c r="C33" s="24" t="n">
        <f aca="false">$B$5+(C32-E32-$B$5)*EXP(-$B$6*$B$11)+(E32+$B$11*D32)*EXP(-$B$11/$B$8)</f>
        <v>91.4661071656342</v>
      </c>
      <c r="D33" s="24" t="n">
        <f aca="false">D32*EXP(-$B$11/$B$8)</f>
        <v>-4.01106715604267</v>
      </c>
      <c r="E33" s="24" t="n">
        <f aca="false">(E32+$B$11*D32)*EXP(-$B$11/$B$8)</f>
        <v>-18.049802202192</v>
      </c>
      <c r="F33" s="24" t="n">
        <f aca="false">Declarations!$C$27+(Declarations!$C$4-Declarations!$C$27)*EXP(-Declarations!$D$27*B33)+IF(Declarations!$E$27=0,0,Declarations!$E$27*(B33/Declarations!$F$27)*EXP(1-B33/Declarations!$F$27))+IF(B33&gt;=T_sale,Declarations!$G$27,0)</f>
        <v>91.4661071656342</v>
      </c>
      <c r="G33" s="22" t="n">
        <f aca="false">ABS(C33-F33)</f>
        <v>0</v>
      </c>
    </row>
    <row r="34" customFormat="false" ht="15" hidden="false" customHeight="false" outlineLevel="0" collapsed="false">
      <c r="A34" s="19" t="n">
        <v>19</v>
      </c>
      <c r="B34" s="13" t="n">
        <f aca="false">A34*$B$11</f>
        <v>4.75</v>
      </c>
      <c r="C34" s="24" t="n">
        <f aca="false">$B$5+(C33-E33-$B$5)*EXP(-$B$6*$B$11)+(E33+$B$11*D33)*EXP(-$B$11/$B$8)</f>
        <v>92.9101961628955</v>
      </c>
      <c r="D34" s="24" t="n">
        <f aca="false">D33*EXP(-$B$11/$B$8)</f>
        <v>-3.53975434126646</v>
      </c>
      <c r="E34" s="24" t="n">
        <f aca="false">(E33+$B$11*D33)*EXP(-$B$11/$B$8)</f>
        <v>-16.8138331210157</v>
      </c>
      <c r="F34" s="24" t="n">
        <f aca="false">Declarations!$C$27+(Declarations!$C$4-Declarations!$C$27)*EXP(-Declarations!$D$27*B34)+IF(Declarations!$E$27=0,0,Declarations!$E$27*(B34/Declarations!$F$27)*EXP(1-B34/Declarations!$F$27))+IF(B34&gt;=T_sale,Declarations!$G$27,0)</f>
        <v>92.9101961628956</v>
      </c>
      <c r="G34" s="22" t="n">
        <f aca="false">ABS(C34-F34)</f>
        <v>0</v>
      </c>
    </row>
    <row r="35" customFormat="false" ht="15" hidden="false" customHeight="false" outlineLevel="0" collapsed="false">
      <c r="A35" s="19" t="n">
        <v>20</v>
      </c>
      <c r="B35" s="13" t="n">
        <f aca="false">A35*$B$11</f>
        <v>5</v>
      </c>
      <c r="C35" s="24" t="n">
        <f aca="false">$B$5+(C34-E34-$B$5)*EXP(-$B$6*$B$11)+(E34+$B$11*D34)*EXP(-$B$11/$B$8)</f>
        <v>94.2956014682046</v>
      </c>
      <c r="D35" s="24" t="n">
        <f aca="false">D34*EXP(-$B$11/$B$8)</f>
        <v>-3.12382224207802</v>
      </c>
      <c r="E35" s="24" t="n">
        <f aca="false">(E34+$B$11*D34)*EXP(-$B$11/$B$8)</f>
        <v>-15.6191112103901</v>
      </c>
      <c r="F35" s="24" t="n">
        <f aca="false">Declarations!$C$27+(Declarations!$C$4-Declarations!$C$27)*EXP(-Declarations!$D$27*B35)+IF(Declarations!$E$27=0,0,Declarations!$E$27*(B35/Declarations!$F$27)*EXP(1-B35/Declarations!$F$27))+IF(B35&gt;=T_sale,Declarations!$G$27,0)</f>
        <v>94.2956014682046</v>
      </c>
      <c r="G35" s="22" t="n">
        <f aca="false">ABS(C35-F35)</f>
        <v>0</v>
      </c>
    </row>
    <row r="38" customFormat="false" ht="15" hidden="false" customHeight="false" outlineLevel="0" collapsed="false">
      <c r="A38" s="8" t="s">
        <v>238</v>
      </c>
      <c r="B38" s="8" t="s">
        <v>153</v>
      </c>
      <c r="C38" s="8" t="s">
        <v>231</v>
      </c>
      <c r="D38" s="8" t="s">
        <v>232</v>
      </c>
      <c r="E38" s="8" t="s">
        <v>233</v>
      </c>
      <c r="F38" s="8" t="s">
        <v>239</v>
      </c>
      <c r="G38" s="8" t="s">
        <v>235</v>
      </c>
    </row>
    <row r="39" customFormat="false" ht="15" hidden="false" customHeight="false" outlineLevel="0" collapsed="false">
      <c r="A39" s="19" t="n">
        <v>8</v>
      </c>
      <c r="B39" s="13" t="n">
        <f aca="false">A39*$B$11</f>
        <v>2</v>
      </c>
      <c r="C39" s="28" t="n">
        <f aca="false">C23</f>
        <v>78.0409763545031</v>
      </c>
      <c r="D39" s="28" t="n">
        <f aca="false">D23</f>
        <v>-14</v>
      </c>
      <c r="E39" s="28" t="n">
        <f aca="false">E23</f>
        <v>-28</v>
      </c>
      <c r="F39" s="24" t="n">
        <f aca="false">INDEX($C$15:$C$35,A39+1)</f>
        <v>78.0409763545031</v>
      </c>
      <c r="G39" s="22" t="n">
        <f aca="false">ABS(C39-F39)</f>
        <v>0</v>
      </c>
    </row>
    <row r="40" customFormat="false" ht="15" hidden="false" customHeight="false" outlineLevel="0" collapsed="false">
      <c r="A40" s="19" t="n">
        <v>9</v>
      </c>
      <c r="B40" s="13" t="n">
        <f aca="false">A40*$B$11</f>
        <v>2.25</v>
      </c>
      <c r="C40" s="24" t="n">
        <f aca="false">$B$5+(C39-E39-$B$5)*EXP(-$B$6*$B$11)+(E39+$B$11*D39)*EXP(-$B$11/$B$8)</f>
        <v>78.7415776479671</v>
      </c>
      <c r="D40" s="24" t="n">
        <f aca="false">D39*EXP(-$B$11/$B$8)</f>
        <v>-12.3549566361843</v>
      </c>
      <c r="E40" s="24" t="n">
        <f aca="false">(E39+$B$11*D39)*EXP(-$B$11/$B$8)</f>
        <v>-27.7986524314148</v>
      </c>
      <c r="F40" s="24" t="n">
        <f aca="false">INDEX($C$15:$C$35,A40+1)</f>
        <v>78.7415776479671</v>
      </c>
      <c r="G40" s="22" t="n">
        <f aca="false">ABS(C40-F40)</f>
        <v>0</v>
      </c>
    </row>
    <row r="41" customFormat="false" ht="15" hidden="false" customHeight="false" outlineLevel="0" collapsed="false">
      <c r="A41" s="19" t="n">
        <v>10</v>
      </c>
      <c r="B41" s="13" t="n">
        <f aca="false">A41*$B$11</f>
        <v>2.5</v>
      </c>
      <c r="C41" s="24" t="n">
        <f aca="false">$B$5+(C40-E40-$B$5)*EXP(-$B$6*$B$11)+(E40+$B$11*D40)*EXP(-$B$11/$B$8)</f>
        <v>79.7396283563587</v>
      </c>
      <c r="D41" s="24" t="n">
        <f aca="false">D40*EXP(-$B$11/$B$8)</f>
        <v>-10.9032109629997</v>
      </c>
      <c r="E41" s="24" t="n">
        <f aca="false">(E40+$B$11*D40)*EXP(-$B$11/$B$8)</f>
        <v>-27.2580274074992</v>
      </c>
      <c r="F41" s="24" t="n">
        <f aca="false">INDEX($C$15:$C$35,A41+1)</f>
        <v>79.7396283563587</v>
      </c>
      <c r="G41" s="22" t="n">
        <f aca="false">ABS(C41-F41)</f>
        <v>0</v>
      </c>
    </row>
    <row r="42" customFormat="false" ht="15" hidden="false" customHeight="false" outlineLevel="0" collapsed="false">
      <c r="A42" s="19" t="n">
        <v>11</v>
      </c>
      <c r="B42" s="13" t="n">
        <f aca="false">A42*$B$11</f>
        <v>2.75</v>
      </c>
      <c r="C42" s="24" t="n">
        <f aca="false">$B$5+(C41-E41-$B$5)*EXP(-$B$6*$B$11)+(E41+$B$11*D41)*EXP(-$B$11/$B$8)</f>
        <v>80.9561205749002</v>
      </c>
      <c r="D42" s="24" t="n">
        <f aca="false">D41*EXP(-$B$11/$B$8)</f>
        <v>-9.62204990307362</v>
      </c>
      <c r="E42" s="24" t="n">
        <f aca="false">(E41+$B$11*D41)*EXP(-$B$11/$B$8)</f>
        <v>-26.4606372334524</v>
      </c>
      <c r="F42" s="24" t="n">
        <f aca="false">INDEX($C$15:$C$35,A42+1)</f>
        <v>80.9561205749002</v>
      </c>
      <c r="G42" s="22" t="n">
        <f aca="false">ABS(C42-F42)</f>
        <v>0</v>
      </c>
    </row>
    <row r="43" customFormat="false" ht="15" hidden="false" customHeight="false" outlineLevel="0" collapsed="false">
      <c r="A43" s="19" t="n">
        <v>12</v>
      </c>
      <c r="B43" s="13" t="n">
        <f aca="false">A43*$B$11</f>
        <v>3</v>
      </c>
      <c r="C43" s="24" t="n">
        <f aca="false">$B$5+(C42-E42-$B$5)*EXP(-$B$6*$B$11)+(E42+$B$11*D42)*EXP(-$B$11/$B$8)</f>
        <v>82.3264593027355</v>
      </c>
      <c r="D43" s="24" t="n">
        <f aca="false">D42*EXP(-$B$11/$B$8)</f>
        <v>-8.49142923597687</v>
      </c>
      <c r="E43" s="24" t="n">
        <f aca="false">(E42+$B$11*D42)*EXP(-$B$11/$B$8)</f>
        <v>-25.4742877079306</v>
      </c>
      <c r="F43" s="24" t="n">
        <f aca="false">INDEX($C$15:$C$35,A43+1)</f>
        <v>82.3264593027355</v>
      </c>
      <c r="G43" s="22" t="n">
        <f aca="false">ABS(C43-F43)</f>
        <v>0</v>
      </c>
    </row>
    <row r="44" customFormat="false" ht="15" hidden="false" customHeight="false" outlineLevel="0" collapsed="false">
      <c r="A44" s="19" t="n">
        <v>13</v>
      </c>
      <c r="B44" s="13" t="n">
        <f aca="false">A44*$B$11</f>
        <v>3.25</v>
      </c>
      <c r="C44" s="24" t="n">
        <f aca="false">$B$5+(C43-E43-$B$5)*EXP(-$B$6*$B$11)+(E43+$B$11*D43)*EXP(-$B$11/$B$8)</f>
        <v>83.7981701667219</v>
      </c>
      <c r="D44" s="24" t="n">
        <f aca="false">D43*EXP(-$B$11/$B$8)</f>
        <v>-7.49365999926587</v>
      </c>
      <c r="E44" s="24" t="n">
        <f aca="false">(E43+$B$11*D43)*EXP(-$B$11/$B$8)</f>
        <v>-24.3543949976141</v>
      </c>
      <c r="F44" s="24" t="n">
        <f aca="false">INDEX($C$15:$C$35,A44+1)</f>
        <v>83.7981701667219</v>
      </c>
      <c r="G44" s="22" t="n">
        <f aca="false">ABS(C44-F44)</f>
        <v>0</v>
      </c>
    </row>
    <row r="45" customFormat="false" ht="15" hidden="false" customHeight="false" outlineLevel="0" collapsed="false">
      <c r="A45" s="19" t="n">
        <v>14</v>
      </c>
      <c r="B45" s="13" t="n">
        <f aca="false">A45*$B$11</f>
        <v>3.5</v>
      </c>
      <c r="C45" s="24" t="n">
        <f aca="false">$B$5+(C44-E44-$B$5)*EXP(-$B$6*$B$11)+(E44+$B$11*D44)*EXP(-$B$11/$B$8)</f>
        <v>85.3289465118078</v>
      </c>
      <c r="D45" s="24" t="n">
        <f aca="false">D44*EXP(-$B$11/$B$8)</f>
        <v>-6.61313173837421</v>
      </c>
      <c r="E45" s="24" t="n">
        <f aca="false">(E44+$B$11*D44)*EXP(-$B$11/$B$8)</f>
        <v>-23.1459610843097</v>
      </c>
      <c r="F45" s="24" t="n">
        <f aca="false">INDEX($C$15:$C$35,A45+1)</f>
        <v>85.3289465118078</v>
      </c>
      <c r="G45" s="22" t="n">
        <f aca="false">ABS(C45-F45)</f>
        <v>0</v>
      </c>
    </row>
    <row r="46" customFormat="false" ht="15" hidden="false" customHeight="false" outlineLevel="0" collapsed="false">
      <c r="A46" s="19" t="n">
        <v>15</v>
      </c>
      <c r="B46" s="13" t="n">
        <f aca="false">A46*$B$11</f>
        <v>3.75</v>
      </c>
      <c r="C46" s="24" t="n">
        <f aca="false">$B$5+(C45-E45-$B$5)*EXP(-$B$6*$B$11)+(E45+$B$11*D45)*EXP(-$B$11/$B$8)</f>
        <v>86.8849877821281</v>
      </c>
      <c r="D46" s="24" t="n">
        <f aca="false">D45*EXP(-$B$11/$B$8)</f>
        <v>-5.83606827549912</v>
      </c>
      <c r="E46" s="24" t="n">
        <f aca="false">(E45+$B$11*D45)*EXP(-$B$11/$B$8)</f>
        <v>-21.8852560331217</v>
      </c>
      <c r="F46" s="24" t="n">
        <f aca="false">INDEX($C$15:$C$35,A46+1)</f>
        <v>86.8849877821281</v>
      </c>
      <c r="G46" s="22" t="n">
        <f aca="false">ABS(C46-F46)</f>
        <v>0</v>
      </c>
    </row>
    <row r="47" customFormat="false" ht="15" hidden="false" customHeight="false" outlineLevel="0" collapsed="false">
      <c r="A47" s="19" t="n">
        <v>16</v>
      </c>
      <c r="B47" s="13" t="n">
        <f aca="false">A47*$B$11</f>
        <v>4</v>
      </c>
      <c r="C47" s="24" t="n">
        <f aca="false">$B$5+(C46-E46-$B$5)*EXP(-$B$6*$B$11)+(E46+$B$11*D46)*EXP(-$B$11/$B$8)</f>
        <v>88.4395877270999</v>
      </c>
      <c r="D47" s="24" t="n">
        <f aca="false">D46*EXP(-$B$11/$B$8)</f>
        <v>-5.1503121764002</v>
      </c>
      <c r="E47" s="24" t="n">
        <f aca="false">(E46+$B$11*D46)*EXP(-$B$11/$B$8)</f>
        <v>-20.6012487056008</v>
      </c>
      <c r="F47" s="24" t="n">
        <f aca="false">INDEX($C$15:$C$35,A47+1)</f>
        <v>88.4395877270999</v>
      </c>
      <c r="G47" s="22" t="n">
        <f aca="false">ABS(C47-F47)</f>
        <v>0</v>
      </c>
    </row>
    <row r="48" customFormat="false" ht="15" hidden="false" customHeight="false" outlineLevel="0" collapsed="false">
      <c r="A48" s="19" t="n">
        <v>17</v>
      </c>
      <c r="B48" s="13" t="n">
        <f aca="false">A48*$B$11</f>
        <v>4.25</v>
      </c>
      <c r="C48" s="24" t="n">
        <f aca="false">$B$5+(C47-E47-$B$5)*EXP(-$B$6*$B$11)+(E47+$B$11*D47)*EXP(-$B$11/$B$8)</f>
        <v>89.9719366875168</v>
      </c>
      <c r="D48" s="24" t="n">
        <f aca="false">D47*EXP(-$B$11/$B$8)</f>
        <v>-4.5451345430169</v>
      </c>
      <c r="E48" s="24" t="n">
        <f aca="false">(E47+$B$11*D47)*EXP(-$B$11/$B$8)</f>
        <v>-19.3168218078218</v>
      </c>
      <c r="F48" s="24" t="n">
        <f aca="false">INDEX($C$15:$C$35,A48+1)</f>
        <v>89.9719366875168</v>
      </c>
      <c r="G48" s="22" t="n">
        <f aca="false">ABS(C48-F48)</f>
        <v>0</v>
      </c>
    </row>
    <row r="49" customFormat="false" ht="15" hidden="false" customHeight="false" outlineLevel="0" collapsed="false">
      <c r="A49" s="19" t="n">
        <v>18</v>
      </c>
      <c r="B49" s="13" t="n">
        <f aca="false">A49*$B$11</f>
        <v>4.5</v>
      </c>
      <c r="C49" s="24" t="n">
        <f aca="false">$B$5+(C48-E48-$B$5)*EXP(-$B$6*$B$11)+(E48+$B$11*D48)*EXP(-$B$11/$B$8)</f>
        <v>91.4661071656342</v>
      </c>
      <c r="D49" s="24" t="n">
        <f aca="false">D48*EXP(-$B$11/$B$8)</f>
        <v>-4.01106715604267</v>
      </c>
      <c r="E49" s="24" t="n">
        <f aca="false">(E48+$B$11*D48)*EXP(-$B$11/$B$8)</f>
        <v>-18.049802202192</v>
      </c>
      <c r="F49" s="24" t="n">
        <f aca="false">INDEX($C$15:$C$35,A49+1)</f>
        <v>91.4661071656342</v>
      </c>
      <c r="G49" s="22" t="n">
        <f aca="false">ABS(C49-F49)</f>
        <v>0</v>
      </c>
    </row>
    <row r="50" customFormat="false" ht="15" hidden="false" customHeight="false" outlineLevel="0" collapsed="false">
      <c r="A50" s="19" t="n">
        <v>19</v>
      </c>
      <c r="B50" s="13" t="n">
        <f aca="false">A50*$B$11</f>
        <v>4.75</v>
      </c>
      <c r="C50" s="24" t="n">
        <f aca="false">$B$5+(C49-E49-$B$5)*EXP(-$B$6*$B$11)+(E49+$B$11*D49)*EXP(-$B$11/$B$8)</f>
        <v>92.9101961628955</v>
      </c>
      <c r="D50" s="24" t="n">
        <f aca="false">D49*EXP(-$B$11/$B$8)</f>
        <v>-3.53975434126646</v>
      </c>
      <c r="E50" s="24" t="n">
        <f aca="false">(E49+$B$11*D49)*EXP(-$B$11/$B$8)</f>
        <v>-16.8138331210157</v>
      </c>
      <c r="F50" s="24" t="n">
        <f aca="false">INDEX($C$15:$C$35,A50+1)</f>
        <v>92.9101961628955</v>
      </c>
      <c r="G50" s="22" t="n">
        <f aca="false">ABS(C50-F50)</f>
        <v>0</v>
      </c>
    </row>
    <row r="51" customFormat="false" ht="15" hidden="false" customHeight="false" outlineLevel="0" collapsed="false">
      <c r="A51" s="19" t="n">
        <v>20</v>
      </c>
      <c r="B51" s="13" t="n">
        <f aca="false">A51*$B$11</f>
        <v>5</v>
      </c>
      <c r="C51" s="24" t="n">
        <f aca="false">$B$5+(C50-E50-$B$5)*EXP(-$B$6*$B$11)+(E50+$B$11*D50)*EXP(-$B$11/$B$8)</f>
        <v>94.2956014682046</v>
      </c>
      <c r="D51" s="24" t="n">
        <f aca="false">D50*EXP(-$B$11/$B$8)</f>
        <v>-3.12382224207802</v>
      </c>
      <c r="E51" s="24" t="n">
        <f aca="false">(E50+$B$11*D50)*EXP(-$B$11/$B$8)</f>
        <v>-15.6191112103901</v>
      </c>
      <c r="F51" s="24" t="n">
        <f aca="false">INDEX($C$15:$C$35,A51+1)</f>
        <v>94.2956014682046</v>
      </c>
      <c r="G51" s="22" t="n">
        <f aca="false">ABS(C51-F51)</f>
        <v>0</v>
      </c>
    </row>
    <row r="54" customFormat="false" ht="15" hidden="false" customHeight="false" outlineLevel="0" collapsed="false">
      <c r="A54" s="8" t="s">
        <v>240</v>
      </c>
      <c r="B54" s="8" t="s">
        <v>153</v>
      </c>
      <c r="C54" s="8" t="s">
        <v>231</v>
      </c>
      <c r="D54" s="8" t="s">
        <v>232</v>
      </c>
      <c r="E54" s="8" t="s">
        <v>233</v>
      </c>
    </row>
    <row r="55" customFormat="false" ht="15" hidden="false" customHeight="false" outlineLevel="0" collapsed="false">
      <c r="A55" s="19" t="n">
        <v>20</v>
      </c>
      <c r="B55" s="13" t="n">
        <f aca="false">A55*$B$11</f>
        <v>5</v>
      </c>
      <c r="C55" s="28" t="n">
        <f aca="false">C35</f>
        <v>94.2956014682046</v>
      </c>
      <c r="D55" s="28" t="n">
        <f aca="false">D35</f>
        <v>-3.12382224207802</v>
      </c>
      <c r="E55" s="28" t="n">
        <f aca="false">E35</f>
        <v>-15.6191112103901</v>
      </c>
    </row>
    <row r="56" customFormat="false" ht="15" hidden="false" customHeight="false" outlineLevel="0" collapsed="false">
      <c r="A56" s="19" t="n">
        <v>19</v>
      </c>
      <c r="B56" s="13" t="n">
        <f aca="false">A56*$B$11</f>
        <v>4.75</v>
      </c>
      <c r="C56" s="24" t="n">
        <f aca="false">$B$5+(C55-E55-$B$5)*EXP(-$B$6*(-$B$11))+(E55+(-$B$11)*D55)*EXP(-(-$B$11)/$B$8)</f>
        <v>92.9101961628955</v>
      </c>
      <c r="D56" s="24" t="n">
        <f aca="false">D55*EXP(-(-$B$11)/$B$8)</f>
        <v>-3.53975434126646</v>
      </c>
      <c r="E56" s="24" t="n">
        <f aca="false">(E55+(-$B$11)*D55)*EXP(-(-$B$11)/$B$8)</f>
        <v>-16.8138331210157</v>
      </c>
    </row>
    <row r="57" customFormat="false" ht="15" hidden="false" customHeight="false" outlineLevel="0" collapsed="false">
      <c r="A57" s="19" t="n">
        <v>18</v>
      </c>
      <c r="B57" s="13" t="n">
        <f aca="false">A57*$B$11</f>
        <v>4.5</v>
      </c>
      <c r="C57" s="24" t="n">
        <f aca="false">$B$5+(C56-E56-$B$5)*EXP(-$B$6*(-$B$11))+(E56+(-$B$11)*D56)*EXP(-(-$B$11)/$B$8)</f>
        <v>91.4661071656342</v>
      </c>
      <c r="D57" s="24" t="n">
        <f aca="false">D56*EXP(-(-$B$11)/$B$8)</f>
        <v>-4.01106715604267</v>
      </c>
      <c r="E57" s="24" t="n">
        <f aca="false">(E56+(-$B$11)*D56)*EXP(-(-$B$11)/$B$8)</f>
        <v>-18.049802202192</v>
      </c>
    </row>
    <row r="58" customFormat="false" ht="15" hidden="false" customHeight="false" outlineLevel="0" collapsed="false">
      <c r="A58" s="19" t="n">
        <v>17</v>
      </c>
      <c r="B58" s="13" t="n">
        <f aca="false">A58*$B$11</f>
        <v>4.25</v>
      </c>
      <c r="C58" s="24" t="n">
        <f aca="false">$B$5+(C57-E57-$B$5)*EXP(-$B$6*(-$B$11))+(E57+(-$B$11)*D57)*EXP(-(-$B$11)/$B$8)</f>
        <v>89.9719366875168</v>
      </c>
      <c r="D58" s="24" t="n">
        <f aca="false">D57*EXP(-(-$B$11)/$B$8)</f>
        <v>-4.5451345430169</v>
      </c>
      <c r="E58" s="24" t="n">
        <f aca="false">(E57+(-$B$11)*D57)*EXP(-(-$B$11)/$B$8)</f>
        <v>-19.3168218078218</v>
      </c>
    </row>
    <row r="59" customFormat="false" ht="15" hidden="false" customHeight="false" outlineLevel="0" collapsed="false">
      <c r="A59" s="19" t="n">
        <v>16</v>
      </c>
      <c r="B59" s="13" t="n">
        <f aca="false">A59*$B$11</f>
        <v>4</v>
      </c>
      <c r="C59" s="24" t="n">
        <f aca="false">$B$5+(C58-E58-$B$5)*EXP(-$B$6*(-$B$11))+(E58+(-$B$11)*D58)*EXP(-(-$B$11)/$B$8)</f>
        <v>88.4395877270999</v>
      </c>
      <c r="D59" s="24" t="n">
        <f aca="false">D58*EXP(-(-$B$11)/$B$8)</f>
        <v>-5.1503121764002</v>
      </c>
      <c r="E59" s="24" t="n">
        <f aca="false">(E58+(-$B$11)*D58)*EXP(-(-$B$11)/$B$8)</f>
        <v>-20.6012487056008</v>
      </c>
    </row>
    <row r="60" customFormat="false" ht="15" hidden="false" customHeight="false" outlineLevel="0" collapsed="false">
      <c r="A60" s="19" t="n">
        <v>15</v>
      </c>
      <c r="B60" s="13" t="n">
        <f aca="false">A60*$B$11</f>
        <v>3.75</v>
      </c>
      <c r="C60" s="24" t="n">
        <f aca="false">$B$5+(C59-E59-$B$5)*EXP(-$B$6*(-$B$11))+(E59+(-$B$11)*D59)*EXP(-(-$B$11)/$B$8)</f>
        <v>86.8849877821281</v>
      </c>
      <c r="D60" s="24" t="n">
        <f aca="false">D59*EXP(-(-$B$11)/$B$8)</f>
        <v>-5.83606827549913</v>
      </c>
      <c r="E60" s="24" t="n">
        <f aca="false">(E59+(-$B$11)*D59)*EXP(-(-$B$11)/$B$8)</f>
        <v>-21.8852560331217</v>
      </c>
    </row>
    <row r="61" customFormat="false" ht="15" hidden="false" customHeight="false" outlineLevel="0" collapsed="false">
      <c r="A61" s="19" t="n">
        <v>14</v>
      </c>
      <c r="B61" s="13" t="n">
        <f aca="false">A61*$B$11</f>
        <v>3.5</v>
      </c>
      <c r="C61" s="24" t="n">
        <f aca="false">$B$5+(C60-E60-$B$5)*EXP(-$B$6*(-$B$11))+(E60+(-$B$11)*D60)*EXP(-(-$B$11)/$B$8)</f>
        <v>85.3289465118079</v>
      </c>
      <c r="D61" s="24" t="n">
        <f aca="false">D60*EXP(-(-$B$11)/$B$8)</f>
        <v>-6.61313173837421</v>
      </c>
      <c r="E61" s="24" t="n">
        <f aca="false">(E60+(-$B$11)*D60)*EXP(-(-$B$11)/$B$8)</f>
        <v>-23.1459610843097</v>
      </c>
    </row>
    <row r="62" customFormat="false" ht="15" hidden="false" customHeight="false" outlineLevel="0" collapsed="false">
      <c r="A62" s="19" t="n">
        <v>13</v>
      </c>
      <c r="B62" s="13" t="n">
        <f aca="false">A62*$B$11</f>
        <v>3.25</v>
      </c>
      <c r="C62" s="24" t="n">
        <f aca="false">$B$5+(C61-E61-$B$5)*EXP(-$B$6*(-$B$11))+(E61+(-$B$11)*D61)*EXP(-(-$B$11)/$B$8)</f>
        <v>83.7981701667219</v>
      </c>
      <c r="D62" s="24" t="n">
        <f aca="false">D61*EXP(-(-$B$11)/$B$8)</f>
        <v>-7.49365999926587</v>
      </c>
      <c r="E62" s="24" t="n">
        <f aca="false">(E61+(-$B$11)*D61)*EXP(-(-$B$11)/$B$8)</f>
        <v>-24.3543949976141</v>
      </c>
    </row>
    <row r="63" customFormat="false" ht="15" hidden="false" customHeight="false" outlineLevel="0" collapsed="false">
      <c r="A63" s="19" t="n">
        <v>12</v>
      </c>
      <c r="B63" s="13" t="n">
        <f aca="false">A63*$B$11</f>
        <v>3</v>
      </c>
      <c r="C63" s="24" t="n">
        <f aca="false">$B$5+(C62-E62-$B$5)*EXP(-$B$6*(-$B$11))+(E62+(-$B$11)*D62)*EXP(-(-$B$11)/$B$8)</f>
        <v>82.3264593027355</v>
      </c>
      <c r="D63" s="24" t="n">
        <f aca="false">D62*EXP(-(-$B$11)/$B$8)</f>
        <v>-8.49142923597688</v>
      </c>
      <c r="E63" s="24" t="n">
        <f aca="false">(E62+(-$B$11)*D62)*EXP(-(-$B$11)/$B$8)</f>
        <v>-25.4742877079306</v>
      </c>
    </row>
    <row r="64" customFormat="false" ht="15" hidden="false" customHeight="false" outlineLevel="0" collapsed="false">
      <c r="A64" s="19" t="n">
        <v>11</v>
      </c>
      <c r="B64" s="13" t="n">
        <f aca="false">A64*$B$11</f>
        <v>2.75</v>
      </c>
      <c r="C64" s="24" t="n">
        <f aca="false">$B$5+(C63-E63-$B$5)*EXP(-$B$6*(-$B$11))+(E63+(-$B$11)*D63)*EXP(-(-$B$11)/$B$8)</f>
        <v>80.9561205749002</v>
      </c>
      <c r="D64" s="24" t="n">
        <f aca="false">D63*EXP(-(-$B$11)/$B$8)</f>
        <v>-9.62204990307362</v>
      </c>
      <c r="E64" s="24" t="n">
        <f aca="false">(E63+(-$B$11)*D63)*EXP(-(-$B$11)/$B$8)</f>
        <v>-26.4606372334525</v>
      </c>
    </row>
    <row r="65" customFormat="false" ht="15" hidden="false" customHeight="false" outlineLevel="0" collapsed="false">
      <c r="A65" s="19" t="n">
        <v>10</v>
      </c>
      <c r="B65" s="13" t="n">
        <f aca="false">A65*$B$11</f>
        <v>2.5</v>
      </c>
      <c r="C65" s="24" t="n">
        <f aca="false">$B$5+(C64-E64-$B$5)*EXP(-$B$6*(-$B$11))+(E64+(-$B$11)*D64)*EXP(-(-$B$11)/$B$8)</f>
        <v>79.7396283563587</v>
      </c>
      <c r="D65" s="24" t="n">
        <f aca="false">D64*EXP(-(-$B$11)/$B$8)</f>
        <v>-10.9032109629997</v>
      </c>
      <c r="E65" s="24" t="n">
        <f aca="false">(E64+(-$B$11)*D64)*EXP(-(-$B$11)/$B$8)</f>
        <v>-27.2580274074992</v>
      </c>
    </row>
    <row r="66" customFormat="false" ht="15" hidden="false" customHeight="false" outlineLevel="0" collapsed="false">
      <c r="A66" s="19" t="n">
        <v>9</v>
      </c>
      <c r="B66" s="13" t="n">
        <f aca="false">A66*$B$11</f>
        <v>2.25</v>
      </c>
      <c r="C66" s="24" t="n">
        <f aca="false">$B$5+(C65-E65-$B$5)*EXP(-$B$6*(-$B$11))+(E65+(-$B$11)*D65)*EXP(-(-$B$11)/$B$8)</f>
        <v>78.7415776479672</v>
      </c>
      <c r="D66" s="24" t="n">
        <f aca="false">D65*EXP(-(-$B$11)/$B$8)</f>
        <v>-12.3549566361844</v>
      </c>
      <c r="E66" s="24" t="n">
        <f aca="false">(E65+(-$B$11)*D65)*EXP(-(-$B$11)/$B$8)</f>
        <v>-27.7986524314148</v>
      </c>
    </row>
    <row r="67" customFormat="false" ht="15" hidden="false" customHeight="false" outlineLevel="0" collapsed="false">
      <c r="A67" s="19" t="n">
        <v>8</v>
      </c>
      <c r="B67" s="13" t="n">
        <f aca="false">A67*$B$11</f>
        <v>2</v>
      </c>
      <c r="C67" s="24" t="n">
        <f aca="false">$B$5+(C66-E66-$B$5)*EXP(-$B$6*(-$B$11))+(E66+(-$B$11)*D66)*EXP(-(-$B$11)/$B$8)</f>
        <v>78.0409763545031</v>
      </c>
      <c r="D67" s="24" t="n">
        <f aca="false">D66*EXP(-(-$B$11)/$B$8)</f>
        <v>-14</v>
      </c>
      <c r="E67" s="24" t="n">
        <f aca="false">(E66+(-$B$11)*D66)*EXP(-(-$B$11)/$B$8)</f>
        <v>-28</v>
      </c>
    </row>
    <row r="68" customFormat="false" ht="15" hidden="false" customHeight="false" outlineLevel="0" collapsed="false">
      <c r="A68" s="19" t="n">
        <v>7</v>
      </c>
      <c r="B68" s="13" t="n">
        <f aca="false">A68*$B$11</f>
        <v>1.75</v>
      </c>
      <c r="C68" s="24" t="n">
        <f aca="false">$B$5+(C67-E67-$B$5)*EXP(-$B$6*(-$B$11))+(E67+(-$B$11)*D67)*EXP(-(-$B$11)/$B$8)</f>
        <v>77.7339326383525</v>
      </c>
      <c r="D68" s="24" t="n">
        <f aca="false">D67*EXP(-(-$B$11)/$B$8)</f>
        <v>-15.8640783429356</v>
      </c>
      <c r="E68" s="24" t="n">
        <f aca="false">(E67+(-$B$11)*D67)*EXP(-(-$B$11)/$B$8)</f>
        <v>-27.7621371001373</v>
      </c>
    </row>
    <row r="69" customFormat="false" ht="15" hidden="false" customHeight="false" outlineLevel="0" collapsed="false">
      <c r="A69" s="19" t="n">
        <v>6</v>
      </c>
      <c r="B69" s="13" t="n">
        <f aca="false">A69*$B$11</f>
        <v>1.5</v>
      </c>
      <c r="C69" s="24" t="n">
        <f aca="false">$B$5+(C68-E68-$B$5)*EXP(-$B$6*(-$B$11))+(E68+(-$B$11)*D68)*EXP(-(-$B$11)/$B$8)</f>
        <v>77.9368018771557</v>
      </c>
      <c r="D69" s="24" t="n">
        <f aca="false">D68*EXP(-(-$B$11)/$B$8)</f>
        <v>-17.9763558336284</v>
      </c>
      <c r="E69" s="24" t="n">
        <f aca="false">(E68+(-$B$11)*D68)*EXP(-(-$B$11)/$B$8)</f>
        <v>-26.9645337504426</v>
      </c>
    </row>
    <row r="70" customFormat="false" ht="15" hidden="false" customHeight="false" outlineLevel="0" collapsed="false">
      <c r="A70" s="19" t="n">
        <v>5</v>
      </c>
      <c r="B70" s="13" t="n">
        <f aca="false">A70*$B$11</f>
        <v>1.25</v>
      </c>
      <c r="C70" s="24" t="n">
        <f aca="false">$B$5+(C69-E69-$B$5)*EXP(-$B$6*(-$B$11))+(E69+(-$B$11)*D69)*EXP(-(-$B$11)/$B$8)</f>
        <v>78.7898679270468</v>
      </c>
      <c r="D70" s="24" t="n">
        <f aca="false">D69*EXP(-(-$B$11)/$B$8)</f>
        <v>-20.3698798046548</v>
      </c>
      <c r="E70" s="24" t="n">
        <f aca="false">(E69+(-$B$11)*D69)*EXP(-(-$B$11)/$B$8)</f>
        <v>-25.4623497558185</v>
      </c>
    </row>
    <row r="71" customFormat="false" ht="15" hidden="false" customHeight="false" outlineLevel="0" collapsed="false">
      <c r="A71" s="19" t="n">
        <v>4</v>
      </c>
      <c r="B71" s="13" t="n">
        <f aca="false">A71*$B$11</f>
        <v>1</v>
      </c>
      <c r="C71" s="24" t="n">
        <f aca="false">$B$5+(C70-E70-$B$5)*EXP(-$B$6*(-$B$11))+(E70+(-$B$11)*D70)*EXP(-(-$B$11)/$B$8)</f>
        <v>80.4616451335737</v>
      </c>
      <c r="D71" s="24" t="n">
        <f aca="false">D70*EXP(-(-$B$11)/$B$8)</f>
        <v>-23.0820977898018</v>
      </c>
      <c r="E71" s="24" t="n">
        <f aca="false">(E70+(-$B$11)*D70)*EXP(-(-$B$11)/$B$8)</f>
        <v>-23.0820977898018</v>
      </c>
    </row>
    <row r="72" customFormat="false" ht="15" hidden="false" customHeight="false" outlineLevel="0" collapsed="false">
      <c r="A72" s="19" t="n">
        <v>3</v>
      </c>
      <c r="B72" s="13" t="n">
        <f aca="false">A72*$B$11</f>
        <v>0.75</v>
      </c>
      <c r="C72" s="24" t="n">
        <f aca="false">$B$5+(C71-E71-$B$5)*EXP(-$B$6*(-$B$11))+(E71+(-$B$11)*D71)*EXP(-(-$B$11)/$B$8)</f>
        <v>83.1539010745389</v>
      </c>
      <c r="D72" s="24" t="n">
        <f aca="false">D71*EXP(-(-$B$11)/$B$8)</f>
        <v>-26.1554434040511</v>
      </c>
      <c r="E72" s="24" t="n">
        <f aca="false">(E71+(-$B$11)*D71)*EXP(-(-$B$11)/$B$8)</f>
        <v>-19.6165825530383</v>
      </c>
    </row>
    <row r="73" customFormat="false" ht="15" hidden="false" customHeight="false" outlineLevel="0" collapsed="false">
      <c r="A73" s="19" t="n">
        <v>2</v>
      </c>
      <c r="B73" s="13" t="n">
        <f aca="false">A73*$B$11</f>
        <v>0.5</v>
      </c>
      <c r="C73" s="24" t="n">
        <f aca="false">$B$5+(C72-E72-$B$5)*EXP(-$B$6*(-$B$11))+(E72+(-$B$11)*D72)*EXP(-(-$B$11)/$B$8)</f>
        <v>87.1075156344809</v>
      </c>
      <c r="D73" s="24" t="n">
        <f aca="false">D72*EXP(-(-$B$11)/$B$8)</f>
        <v>-29.6380002325775</v>
      </c>
      <c r="E73" s="24" t="n">
        <f aca="false">(E72+(-$B$11)*D72)*EXP(-(-$B$11)/$B$8)</f>
        <v>-14.8190001162887</v>
      </c>
    </row>
    <row r="74" customFormat="false" ht="15" hidden="false" customHeight="false" outlineLevel="0" collapsed="false">
      <c r="A74" s="19" t="n">
        <v>1</v>
      </c>
      <c r="B74" s="13" t="n">
        <f aca="false">A74*$B$11</f>
        <v>0.25</v>
      </c>
      <c r="C74" s="24" t="n">
        <f aca="false">$B$5+(C73-E73-$B$5)*EXP(-$B$6*(-$B$11))+(E73+(-$B$11)*D73)*EXP(-(-$B$11)/$B$8)</f>
        <v>92.6093100113047</v>
      </c>
      <c r="D74" s="24" t="n">
        <f aca="false">D73*EXP(-(-$B$11)/$B$8)</f>
        <v>-33.5842541155394</v>
      </c>
      <c r="E74" s="24" t="n">
        <f aca="false">(E73+(-$B$11)*D73)*EXP(-(-$B$11)/$B$8)</f>
        <v>-8.39606352888483</v>
      </c>
    </row>
    <row r="75" customFormat="false" ht="15" hidden="false" customHeight="false" outlineLevel="0" collapsed="false">
      <c r="A75" s="19" t="n">
        <v>0</v>
      </c>
      <c r="B75" s="13" t="n">
        <f aca="false">A75*$B$11</f>
        <v>0</v>
      </c>
      <c r="C75" s="24" t="n">
        <f aca="false">$B$5+(C74-E74-$B$5)*EXP(-$B$6*(-$B$11))+(E74+(-$B$11)*D74)*EXP(-(-$B$11)/$B$8)</f>
        <v>100</v>
      </c>
      <c r="D75" s="24" t="n">
        <f aca="false">D74*EXP(-(-$B$11)/$B$8)</f>
        <v>-38.0559455984267</v>
      </c>
      <c r="E75" s="24" t="n">
        <f aca="false">(E74+(-$B$11)*D74)*EXP(-(-$B$11)/$B$8)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46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</cols>
  <sheetData>
    <row r="1" customFormat="false" ht="15" hidden="false" customHeight="false" outlineLevel="0" collapsed="false">
      <c r="A1" s="1" t="s">
        <v>241</v>
      </c>
    </row>
    <row r="3" customFormat="false" ht="23.85" hidden="false" customHeight="false" outlineLevel="0" collapsed="false">
      <c r="A3" s="8"/>
      <c r="B3" s="8" t="s">
        <v>242</v>
      </c>
      <c r="C3" s="8" t="s">
        <v>243</v>
      </c>
      <c r="D3" s="8" t="s">
        <v>244</v>
      </c>
      <c r="E3" s="8" t="s">
        <v>245</v>
      </c>
      <c r="J3" s="8" t="s">
        <v>246</v>
      </c>
      <c r="K3" s="8" t="s">
        <v>69</v>
      </c>
      <c r="L3" s="8" t="s">
        <v>247</v>
      </c>
    </row>
    <row r="4" customFormat="false" ht="15" hidden="false" customHeight="false" outlineLevel="0" collapsed="false">
      <c r="A4" s="2" t="s">
        <v>248</v>
      </c>
      <c r="B4" s="17" t="n">
        <f aca="false">Declarations!C35</f>
        <v>106</v>
      </c>
      <c r="C4" s="17" t="n">
        <f aca="false">Declarations!C36</f>
        <v>33</v>
      </c>
      <c r="D4" s="17" t="n">
        <f aca="false">Declarations!C37</f>
        <v>79</v>
      </c>
      <c r="E4" s="17" t="n">
        <f aca="false">Declarations!C38</f>
        <v>67</v>
      </c>
      <c r="J4" s="2" t="s">
        <v>249</v>
      </c>
      <c r="K4" s="19" t="n">
        <f aca="false">COUNTIF(G16:G56,"&gt;=1")</f>
        <v>15</v>
      </c>
      <c r="L4" s="10" t="s">
        <v>250</v>
      </c>
    </row>
    <row r="5" customFormat="false" ht="15" hidden="false" customHeight="false" outlineLevel="0" collapsed="false">
      <c r="A5" s="2" t="s">
        <v>251</v>
      </c>
      <c r="B5" s="27" t="n">
        <f aca="false">Declarations!D35</f>
        <v>0.45</v>
      </c>
      <c r="C5" s="27" t="n">
        <f aca="false">Declarations!D36</f>
        <v>0.2</v>
      </c>
      <c r="D5" s="27" t="n">
        <f aca="false">Declarations!D37</f>
        <v>0.6</v>
      </c>
      <c r="E5" s="27" t="n">
        <f aca="false">Declarations!D38</f>
        <v>0.3</v>
      </c>
      <c r="J5" s="2" t="s">
        <v>252</v>
      </c>
      <c r="K5" s="19" t="n">
        <f aca="false">COUNTIF(F16:F56,"&gt;=1")</f>
        <v>11</v>
      </c>
      <c r="L5" s="10" t="s">
        <v>253</v>
      </c>
    </row>
    <row r="6" customFormat="false" ht="15" hidden="false" customHeight="false" outlineLevel="0" collapsed="false">
      <c r="A6" s="2" t="s">
        <v>254</v>
      </c>
      <c r="B6" s="23" t="n">
        <f aca="false">EXP(-B5)</f>
        <v>0.637628151621773</v>
      </c>
      <c r="C6" s="23" t="n">
        <f aca="false">EXP(-C5)</f>
        <v>0.818730753077982</v>
      </c>
      <c r="D6" s="23" t="n">
        <f aca="false">EXP(-D5)</f>
        <v>0.548811636094026</v>
      </c>
      <c r="E6" s="23" t="n">
        <f aca="false">EXP(-E5)</f>
        <v>0.740818220681718</v>
      </c>
      <c r="J6" s="2" t="s">
        <v>255</v>
      </c>
      <c r="K6" s="13" t="n">
        <f aca="false">W_L*B4+W_T*C4+W_E*D4+W_R*E4</f>
        <v>37.75</v>
      </c>
      <c r="L6" s="10" t="s">
        <v>256</v>
      </c>
    </row>
    <row r="7" customFormat="false" ht="15" hidden="false" customHeight="false" outlineLevel="0" collapsed="false">
      <c r="A7" s="2" t="s">
        <v>257</v>
      </c>
      <c r="B7" s="29" t="n">
        <f aca="false">1-B6</f>
        <v>0.362371848378227</v>
      </c>
      <c r="C7" s="29" t="n">
        <f aca="false">1-C6</f>
        <v>0.181269246922018</v>
      </c>
      <c r="D7" s="29" t="n">
        <f aca="false">1-D6</f>
        <v>0.451188363905974</v>
      </c>
      <c r="E7" s="29" t="n">
        <f aca="false">1-E6</f>
        <v>0.259181779318282</v>
      </c>
      <c r="J7" s="2" t="s">
        <v>258</v>
      </c>
      <c r="K7" s="11" t="n">
        <f aca="false">MAX(H16:H31)</f>
        <v>38.4451693482574</v>
      </c>
      <c r="L7" s="10" t="s">
        <v>259</v>
      </c>
    </row>
    <row r="8" customFormat="false" ht="15" hidden="false" customHeight="false" outlineLevel="0" collapsed="false">
      <c r="A8" s="2" t="s">
        <v>20</v>
      </c>
      <c r="B8" s="17" t="n">
        <f aca="false">Liq_today</f>
        <v>100</v>
      </c>
      <c r="C8" s="17" t="n">
        <f aca="false">Tech_today</f>
        <v>41</v>
      </c>
      <c r="D8" s="17" t="n">
        <f aca="false">Eff_today</f>
        <v>71</v>
      </c>
      <c r="E8" s="17" t="n">
        <f aca="false">Risk_today</f>
        <v>64</v>
      </c>
      <c r="J8" s="2" t="s">
        <v>260</v>
      </c>
      <c r="K8" s="19" t="n">
        <f aca="false">INDEX(A16:A31,MATCH(K7,H16:H31,0))</f>
        <v>4</v>
      </c>
      <c r="L8" s="10"/>
    </row>
    <row r="10" customFormat="false" ht="15" hidden="false" customHeight="false" outlineLevel="0" collapsed="false">
      <c r="A10" s="2" t="s">
        <v>261</v>
      </c>
      <c r="B10" s="23" t="n">
        <f aca="false">MAX(B6:E6)</f>
        <v>0.818730753077982</v>
      </c>
      <c r="J10" s="8" t="s">
        <v>262</v>
      </c>
      <c r="K10" s="8"/>
      <c r="L10" s="8"/>
      <c r="M10" s="8"/>
      <c r="N10" s="8"/>
      <c r="O10" s="8"/>
      <c r="P10" s="8" t="s">
        <v>263</v>
      </c>
    </row>
    <row r="11" customFormat="false" ht="15" hidden="false" customHeight="false" outlineLevel="0" collapsed="false">
      <c r="A11" s="2" t="s">
        <v>264</v>
      </c>
      <c r="B11" s="2" t="str">
        <f aca="false">INDEX(B3:E3,MATCH(B10,B6:E6,0))</f>
        <v>Technology</v>
      </c>
      <c r="J11" s="4" t="s">
        <v>265</v>
      </c>
      <c r="K11" s="14" t="n">
        <v>0</v>
      </c>
      <c r="L11" s="14" t="n">
        <v>1</v>
      </c>
      <c r="M11" s="14" t="n">
        <v>3</v>
      </c>
      <c r="N11" s="14" t="n">
        <v>5</v>
      </c>
      <c r="O11" s="14" t="n">
        <v>11</v>
      </c>
    </row>
    <row r="12" customFormat="false" ht="15" hidden="false" customHeight="false" outlineLevel="0" collapsed="false">
      <c r="A12" s="2" t="s">
        <v>266</v>
      </c>
      <c r="B12" s="23" t="n">
        <f aca="false">MAX(ABS(B17-B16),ABS(C17-C16),ABS(D17-D16),ABS(E17-E16))</f>
        <v>3.60950691124779</v>
      </c>
      <c r="J12" s="2" t="s">
        <v>242</v>
      </c>
      <c r="K12" s="26" t="n">
        <f aca="false">INDEX($B$16:$B$56,K$11+1)</f>
        <v>100</v>
      </c>
      <c r="L12" s="26" t="n">
        <f aca="false">INDEX($B$16:$B$56,L$11+1)</f>
        <v>102.174231090269</v>
      </c>
      <c r="M12" s="26" t="n">
        <f aca="false">INDEX($B$16:$B$56,M$11+1)</f>
        <v>104.444558436125</v>
      </c>
      <c r="N12" s="26" t="n">
        <f aca="false">INDEX($B$16:$B$56,N$11+1)</f>
        <v>105.367604652629</v>
      </c>
      <c r="O12" s="26" t="n">
        <f aca="false">INDEX($B$16:$B$56,O$11+1)</f>
        <v>105.957499546426</v>
      </c>
      <c r="P12" s="26" t="n">
        <f aca="false">B4</f>
        <v>106</v>
      </c>
    </row>
    <row r="13" customFormat="false" ht="15" hidden="false" customHeight="false" outlineLevel="0" collapsed="false">
      <c r="A13" s="2" t="s">
        <v>267</v>
      </c>
      <c r="B13" s="11" t="n">
        <f aca="false">B12/(1-B10)</f>
        <v>19.912406392909</v>
      </c>
      <c r="J13" s="2" t="s">
        <v>243</v>
      </c>
      <c r="K13" s="26" t="n">
        <f aca="false">INDEX($C$16:$C$56,K$11+1)</f>
        <v>41</v>
      </c>
      <c r="L13" s="26" t="n">
        <f aca="false">INDEX($C$16:$C$56,L$11+1)</f>
        <v>39.5498460246239</v>
      </c>
      <c r="M13" s="26" t="n">
        <f aca="false">INDEX($C$16:$C$56,M$11+1)</f>
        <v>37.3904930887522</v>
      </c>
      <c r="N13" s="26" t="n">
        <f aca="false">INDEX($C$16:$C$56,N$11+1)</f>
        <v>35.9430355293715</v>
      </c>
      <c r="O13" s="26" t="n">
        <f aca="false">INDEX($C$16:$C$56,O$11+1)</f>
        <v>33.8864252668987</v>
      </c>
      <c r="P13" s="26" t="n">
        <f aca="false">C4</f>
        <v>33</v>
      </c>
    </row>
    <row r="14" customFormat="false" ht="15" hidden="false" customHeight="false" outlineLevel="0" collapsed="false">
      <c r="J14" s="2" t="s">
        <v>244</v>
      </c>
      <c r="K14" s="26" t="n">
        <f aca="false">INDEX($D$16:$D$56,K$11+1)</f>
        <v>71</v>
      </c>
      <c r="L14" s="26" t="n">
        <f aca="false">INDEX($D$16:$D$56,L$11+1)</f>
        <v>74.6095069112478</v>
      </c>
      <c r="M14" s="26" t="n">
        <f aca="false">INDEX($D$16:$D$56,M$11+1)</f>
        <v>77.6776088942273</v>
      </c>
      <c r="N14" s="26" t="n">
        <f aca="false">INDEX($D$16:$D$56,N$11+1)</f>
        <v>78.6017034530571</v>
      </c>
      <c r="O14" s="26" t="n">
        <f aca="false">INDEX($D$16:$D$56,O$11+1)</f>
        <v>78.9891170556996</v>
      </c>
      <c r="P14" s="26" t="n">
        <f aca="false">D4</f>
        <v>79</v>
      </c>
    </row>
    <row r="15" customFormat="false" ht="15" hidden="false" customHeight="false" outlineLevel="0" collapsed="false">
      <c r="A15" s="8" t="s">
        <v>265</v>
      </c>
      <c r="B15" s="8" t="s">
        <v>268</v>
      </c>
      <c r="C15" s="8" t="s">
        <v>243</v>
      </c>
      <c r="D15" s="8" t="s">
        <v>244</v>
      </c>
      <c r="E15" s="8" t="s">
        <v>245</v>
      </c>
      <c r="F15" s="8" t="s">
        <v>269</v>
      </c>
      <c r="G15" s="8" t="s">
        <v>270</v>
      </c>
      <c r="H15" s="8" t="s">
        <v>271</v>
      </c>
      <c r="J15" s="2" t="s">
        <v>245</v>
      </c>
      <c r="K15" s="26" t="n">
        <f aca="false">INDEX($E$16:$E$56,K$11+1)</f>
        <v>64</v>
      </c>
      <c r="L15" s="26" t="n">
        <f aca="false">INDEX($E$16:$E$56,L$11+1)</f>
        <v>64.7775453379549</v>
      </c>
      <c r="M15" s="26" t="n">
        <f aca="false">INDEX($E$16:$E$56,M$11+1)</f>
        <v>65.7802910207782</v>
      </c>
      <c r="N15" s="26" t="n">
        <f aca="false">INDEX($E$16:$E$56,N$11+1)</f>
        <v>66.3306095195547</v>
      </c>
      <c r="O15" s="26" t="n">
        <f aca="false">INDEX($E$16:$E$56,O$11+1)</f>
        <v>66.8893504977963</v>
      </c>
      <c r="P15" s="26" t="n">
        <f aca="false">E4</f>
        <v>67</v>
      </c>
    </row>
    <row r="16" customFormat="false" ht="15" hidden="false" customHeight="false" outlineLevel="0" collapsed="false">
      <c r="A16" s="19" t="n">
        <v>0</v>
      </c>
      <c r="B16" s="11" t="n">
        <f aca="false">B$8</f>
        <v>100</v>
      </c>
      <c r="C16" s="11" t="n">
        <f aca="false">C$8</f>
        <v>41</v>
      </c>
      <c r="D16" s="11" t="n">
        <f aca="false">D$8</f>
        <v>71</v>
      </c>
      <c r="E16" s="11" t="n">
        <f aca="false">E$8</f>
        <v>64</v>
      </c>
      <c r="F16" s="11" t="n">
        <f aca="false">MAX(ABS(B16-B$4),ABS(C16-C$4),ABS(D16-D$4),ABS(E16-E$4))</f>
        <v>8</v>
      </c>
      <c r="G16" s="11" t="n">
        <f aca="false">$B$13*$B$10^A16</f>
        <v>19.912406392909</v>
      </c>
      <c r="H16" s="11" t="n">
        <f aca="false">W_L*B16+W_T*C16+W_E*D16+W_R*E16</f>
        <v>37</v>
      </c>
      <c r="J16" s="2" t="s">
        <v>272</v>
      </c>
      <c r="K16" s="26" t="n">
        <f aca="false">INDEX($F$16:$F$56,K$11+1)</f>
        <v>8</v>
      </c>
      <c r="L16" s="26" t="n">
        <f aca="false">INDEX($F$16:$F$56,L$11+1)</f>
        <v>6.54984602462385</v>
      </c>
      <c r="M16" s="26" t="n">
        <f aca="false">INDEX($F$16:$F$56,M$11+1)</f>
        <v>4.39049308875222</v>
      </c>
      <c r="N16" s="26" t="n">
        <f aca="false">INDEX($F$16:$F$56,N$11+1)</f>
        <v>2.94303552937154</v>
      </c>
      <c r="O16" s="26" t="n">
        <f aca="false">INDEX($F$16:$F$56,O$11+1)</f>
        <v>0.886425266898677</v>
      </c>
      <c r="P16" s="26" t="n">
        <v>0</v>
      </c>
    </row>
    <row r="17" customFormat="false" ht="15" hidden="false" customHeight="false" outlineLevel="0" collapsed="false">
      <c r="A17" s="19" t="n">
        <v>1</v>
      </c>
      <c r="B17" s="11" t="n">
        <f aca="false">B$4+B$6*(B16-B$4)</f>
        <v>102.174231090269</v>
      </c>
      <c r="C17" s="11" t="n">
        <f aca="false">C$4+C$6*(C16-C$4)</f>
        <v>39.5498460246239</v>
      </c>
      <c r="D17" s="11" t="n">
        <f aca="false">D$4+D$6*(D16-D$4)</f>
        <v>74.6095069112478</v>
      </c>
      <c r="E17" s="11" t="n">
        <f aca="false">E$4+E$6*(E16-E$4)</f>
        <v>64.7775453379549</v>
      </c>
      <c r="F17" s="11" t="n">
        <f aca="false">MAX(ABS(B17-B$4),ABS(C17-C$4),ABS(D17-D$4),ABS(E17-E$4))</f>
        <v>6.54984602462385</v>
      </c>
      <c r="G17" s="11" t="n">
        <f aca="false">$B$13*$B$10^A17</f>
        <v>16.3028994816612</v>
      </c>
      <c r="H17" s="11" t="n">
        <f aca="false">W_L*B17+W_T*C17+W_E*D17+W_R*E17</f>
        <v>37.8890096720465</v>
      </c>
      <c r="J17" s="2" t="s">
        <v>270</v>
      </c>
      <c r="K17" s="26" t="n">
        <f aca="false">INDEX($G$16:$G$56,K$11+1)</f>
        <v>19.912406392909</v>
      </c>
      <c r="L17" s="26" t="n">
        <f aca="false">INDEX($G$16:$G$56,L$11+1)</f>
        <v>16.3028994816612</v>
      </c>
      <c r="M17" s="26" t="n">
        <f aca="false">INDEX($G$16:$G$56,M$11+1)</f>
        <v>10.9281603310615</v>
      </c>
      <c r="N17" s="26" t="n">
        <f aca="false">INDEX($G$16:$G$56,N$11+1)</f>
        <v>7.32536493620201</v>
      </c>
      <c r="O17" s="26" t="n">
        <f aca="false">INDEX($G$16:$G$56,O$11+1)</f>
        <v>2.20635751892864</v>
      </c>
      <c r="P17" s="26" t="n">
        <v>0</v>
      </c>
    </row>
    <row r="18" customFormat="false" ht="15" hidden="false" customHeight="false" outlineLevel="0" collapsed="false">
      <c r="A18" s="19" t="n">
        <v>2</v>
      </c>
      <c r="B18" s="11" t="n">
        <f aca="false">B$4+B$6*(B17-B$4)</f>
        <v>103.560582041556</v>
      </c>
      <c r="C18" s="11" t="n">
        <f aca="false">C$4+C$6*(C17-C$4)</f>
        <v>38.3625603682851</v>
      </c>
      <c r="D18" s="11" t="n">
        <f aca="false">D$4+D$6*(D17-D$4)</f>
        <v>76.5904463047024</v>
      </c>
      <c r="E18" s="11" t="n">
        <f aca="false">E$4+E$6*(E17-E$4)</f>
        <v>65.3535650917179</v>
      </c>
      <c r="F18" s="11" t="n">
        <f aca="false">MAX(ABS(B18-B$4),ABS(C18-C$4),ABS(D18-D$4),ABS(E18-E$4))</f>
        <v>5.36256036828512</v>
      </c>
      <c r="G18" s="11" t="n">
        <f aca="false">$B$13*$B$10^A18</f>
        <v>13.3476851699751</v>
      </c>
      <c r="H18" s="11" t="n">
        <f aca="false">W_L*B18+W_T*C18+W_E*D18+W_R*E18</f>
        <v>38.2900059057065</v>
      </c>
      <c r="J18" s="2" t="s">
        <v>271</v>
      </c>
      <c r="K18" s="26" t="n">
        <f aca="false">INDEX($H$16:$H$56,K$11+1)</f>
        <v>37</v>
      </c>
      <c r="L18" s="26" t="n">
        <f aca="false">INDEX($H$16:$H$56,L$11+1)</f>
        <v>37.8890096720465</v>
      </c>
      <c r="M18" s="26" t="n">
        <f aca="false">INDEX($H$16:$H$56,M$11+1)</f>
        <v>38.4330923495815</v>
      </c>
      <c r="N18" s="26" t="n">
        <f aca="false">INDEX($H$16:$H$56,N$11+1)</f>
        <v>38.3954335288757</v>
      </c>
      <c r="O18" s="26" t="n">
        <f aca="false">INDEX($H$16:$H$56,O$11+1)</f>
        <v>37.9859228428069</v>
      </c>
      <c r="P18" s="26" t="n">
        <f aca="false">K6</f>
        <v>37.75</v>
      </c>
    </row>
    <row r="19" customFormat="false" ht="15" hidden="false" customHeight="false" outlineLevel="0" collapsed="false">
      <c r="A19" s="19" t="n">
        <v>3</v>
      </c>
      <c r="B19" s="11" t="n">
        <f aca="false">B$4+B$6*(B18-B$4)</f>
        <v>104.444558436125</v>
      </c>
      <c r="C19" s="11" t="n">
        <f aca="false">C$4+C$6*(C18-C$4)</f>
        <v>37.3904930887522</v>
      </c>
      <c r="D19" s="11" t="n">
        <f aca="false">D$4+D$6*(D18-D$4)</f>
        <v>77.6776088942273</v>
      </c>
      <c r="E19" s="11" t="n">
        <f aca="false">E$4+E$6*(E18-E$4)</f>
        <v>65.7802910207782</v>
      </c>
      <c r="F19" s="11" t="n">
        <f aca="false">MAX(ABS(B19-B$4),ABS(C19-C$4),ABS(D19-D$4),ABS(E19-E$4))</f>
        <v>4.39049308875222</v>
      </c>
      <c r="G19" s="11" t="n">
        <f aca="false">$B$13*$B$10^A19</f>
        <v>10.9281603310615</v>
      </c>
      <c r="H19" s="11" t="n">
        <f aca="false">W_L*B19+W_T*C19+W_E*D19+W_R*E19</f>
        <v>38.4330923495815</v>
      </c>
    </row>
    <row r="20" customFormat="false" ht="15" hidden="false" customHeight="false" outlineLevel="0" collapsed="false">
      <c r="A20" s="19" t="n">
        <v>4</v>
      </c>
      <c r="B20" s="11" t="n">
        <f aca="false">B$4+B$6*(B19-B$4)</f>
        <v>105.00820667067</v>
      </c>
      <c r="C20" s="11" t="n">
        <f aca="false">C$4+C$6*(C19-C$4)</f>
        <v>36.5946317129378</v>
      </c>
      <c r="D20" s="11" t="n">
        <f aca="false">D$4+D$6*(D19-D$4)</f>
        <v>78.2742563736847</v>
      </c>
      <c r="E20" s="11" t="n">
        <f aca="false">E$4+E$6*(E19-E$4)</f>
        <v>66.0964173642634</v>
      </c>
      <c r="F20" s="11" t="n">
        <f aca="false">MAX(ABS(B20-B$4),ABS(C20-C$4),ABS(D20-D$4),ABS(E20-E$4))</f>
        <v>3.59463171293778</v>
      </c>
      <c r="G20" s="11" t="n">
        <f aca="false">$B$13*$B$10^A20</f>
        <v>8.94722093760693</v>
      </c>
      <c r="H20" s="11" t="n">
        <f aca="false">W_L*B20+W_T*C20+W_E*D20+W_R*E20</f>
        <v>38.4451693482574</v>
      </c>
    </row>
    <row r="21" customFormat="false" ht="15" hidden="false" customHeight="false" outlineLevel="0" collapsed="false">
      <c r="A21" s="19" t="n">
        <v>5</v>
      </c>
      <c r="B21" s="11" t="n">
        <f aca="false">B$4+B$6*(B20-B$4)</f>
        <v>105.367604652629</v>
      </c>
      <c r="C21" s="11" t="n">
        <f aca="false">C$4+C$6*(C20-C$4)</f>
        <v>35.9430355293715</v>
      </c>
      <c r="D21" s="11" t="n">
        <f aca="false">D$4+D$6*(D20-D$4)</f>
        <v>78.6017034530571</v>
      </c>
      <c r="E21" s="11" t="n">
        <f aca="false">E$4+E$6*(E20-E$4)</f>
        <v>66.3306095195547</v>
      </c>
      <c r="F21" s="11" t="n">
        <f aca="false">MAX(ABS(B21-B$4),ABS(C21-C$4),ABS(D21-D$4),ABS(E21-E$4))</f>
        <v>2.94303552937154</v>
      </c>
      <c r="G21" s="11" t="n">
        <f aca="false">$B$13*$B$10^A21</f>
        <v>7.32536493620201</v>
      </c>
      <c r="H21" s="11" t="n">
        <f aca="false">W_L*B21+W_T*C21+W_E*D21+W_R*E21</f>
        <v>38.3954335288757</v>
      </c>
    </row>
    <row r="22" customFormat="false" ht="15" hidden="false" customHeight="false" outlineLevel="0" collapsed="false">
      <c r="A22" s="19" t="n">
        <v>6</v>
      </c>
      <c r="B22" s="11" t="n">
        <f aca="false">B$4+B$6*(B21-B$4)</f>
        <v>105.596766923562</v>
      </c>
      <c r="C22" s="11" t="n">
        <f aca="false">C$4+C$6*(C21-C$4)</f>
        <v>35.4095536952976</v>
      </c>
      <c r="D22" s="11" t="n">
        <f aca="false">D$4+D$6*(D21-D$4)</f>
        <v>78.7814102204217</v>
      </c>
      <c r="E22" s="11" t="n">
        <f aca="false">E$4+E$6*(E21-E$4)</f>
        <v>66.5041033353352</v>
      </c>
      <c r="F22" s="11" t="n">
        <f aca="false">MAX(ABS(B22-B$4),ABS(C22-C$4),ABS(D22-D$4),ABS(E22-E$4))</f>
        <v>2.40955369529762</v>
      </c>
      <c r="G22" s="11" t="n">
        <f aca="false">$B$13*$B$10^A22</f>
        <v>5.99750155078771</v>
      </c>
      <c r="H22" s="11" t="n">
        <f aca="false">W_L*B22+W_T*C22+W_E*D22+W_R*E22</f>
        <v>38.3209068759864</v>
      </c>
    </row>
    <row r="23" customFormat="false" ht="15" hidden="false" customHeight="false" outlineLevel="0" collapsed="false">
      <c r="A23" s="19" t="n">
        <v>7</v>
      </c>
      <c r="B23" s="11" t="n">
        <f aca="false">B$4+B$6*(B22-B$4)</f>
        <v>105.742887238798</v>
      </c>
      <c r="C23" s="11" t="n">
        <f aca="false">C$4+C$6*(C22-C$4)</f>
        <v>34.9727757115329</v>
      </c>
      <c r="D23" s="11" t="n">
        <f aca="false">D$4+D$6*(D22-D$4)</f>
        <v>78.8800353854362</v>
      </c>
      <c r="E23" s="11" t="n">
        <f aca="false">E$4+E$6*(E22-E$4)</f>
        <v>66.6326307152411</v>
      </c>
      <c r="F23" s="11" t="n">
        <f aca="false">MAX(ABS(B23-B$4),ABS(C23-C$4),ABS(D23-D$4),ABS(E23-E$4))</f>
        <v>1.97277571153285</v>
      </c>
      <c r="G23" s="11" t="n">
        <f aca="false">$B$13*$B$10^A23</f>
        <v>4.91033896126279</v>
      </c>
      <c r="H23" s="11" t="n">
        <f aca="false">W_L*B23+W_T*C23+W_E*D23+W_R*E23</f>
        <v>38.2407669051314</v>
      </c>
    </row>
    <row r="24" customFormat="false" ht="15" hidden="false" customHeight="false" outlineLevel="0" collapsed="false">
      <c r="A24" s="19" t="n">
        <v>8</v>
      </c>
      <c r="B24" s="11" t="n">
        <f aca="false">B$4+B$6*(B23-B$4)</f>
        <v>105.836057665316</v>
      </c>
      <c r="C24" s="11" t="n">
        <f aca="false">C$4+C$6*(C23-C$4)</f>
        <v>34.6151721439572</v>
      </c>
      <c r="D24" s="11" t="n">
        <f aca="false">D$4+D$6*(D23-D$4)</f>
        <v>78.9341620236078</v>
      </c>
      <c r="E24" s="11" t="n">
        <f aca="false">E$4+E$6*(E23-E$4)</f>
        <v>66.7278461401318</v>
      </c>
      <c r="F24" s="11" t="n">
        <f aca="false">MAX(ABS(B24-B$4),ABS(C24-C$4),ABS(D24-D$4),ABS(E24-E$4))</f>
        <v>1.61517214395725</v>
      </c>
      <c r="G24" s="11" t="n">
        <f aca="false">$B$13*$B$10^A24</f>
        <v>4.02024551562284</v>
      </c>
      <c r="H24" s="11" t="n">
        <f aca="false">W_L*B24+W_T*C24+W_E*D24+W_R*E24</f>
        <v>38.1643864231874</v>
      </c>
    </row>
    <row r="25" customFormat="false" ht="15" hidden="false" customHeight="false" outlineLevel="0" collapsed="false">
      <c r="A25" s="19" t="n">
        <v>9</v>
      </c>
      <c r="B25" s="11" t="n">
        <f aca="false">B$4+B$6*(B24-B$4)</f>
        <v>105.895465752163</v>
      </c>
      <c r="C25" s="11" t="n">
        <f aca="false">C$4+C$6*(C24-C$4)</f>
        <v>34.3223911057727</v>
      </c>
      <c r="D25" s="11" t="n">
        <f aca="false">D$4+D$6*(D24-D$4)</f>
        <v>78.9638673524591</v>
      </c>
      <c r="E25" s="11" t="n">
        <f aca="false">E$4+E$6*(E24-E$4)</f>
        <v>66.7983834617808</v>
      </c>
      <c r="F25" s="11" t="n">
        <f aca="false">MAX(ABS(B25-B$4),ABS(C25-C$4),ABS(D25-D$4),ABS(E25-E$4))</f>
        <v>1.3223911057727</v>
      </c>
      <c r="G25" s="11" t="n">
        <f aca="false">$B$13*$B$10^A25</f>
        <v>3.29149863856427</v>
      </c>
      <c r="H25" s="11" t="n">
        <f aca="false">W_L*B25+W_T*C25+W_E*D25+W_R*E25</f>
        <v>38.0958351871535</v>
      </c>
    </row>
    <row r="26" customFormat="false" ht="15" hidden="false" customHeight="false" outlineLevel="0" collapsed="false">
      <c r="A26" s="19" t="n">
        <v>10</v>
      </c>
      <c r="B26" s="11" t="n">
        <f aca="false">B$4+B$6*(B25-B$4)</f>
        <v>105.933346020771</v>
      </c>
      <c r="C26" s="11" t="n">
        <f aca="false">C$4+C$6*(C25-C$4)</f>
        <v>34.0826822658929</v>
      </c>
      <c r="D26" s="11" t="n">
        <f aca="false">D$4+D$6*(D25-D$4)</f>
        <v>78.9801699825867</v>
      </c>
      <c r="E26" s="11" t="n">
        <f aca="false">E$4+E$6*(E25-E$4)</f>
        <v>66.8506387948964</v>
      </c>
      <c r="F26" s="11" t="n">
        <f aca="false">MAX(ABS(B26-B$4),ABS(C26-C$4),ABS(D26-D$4),ABS(E26-E$4))</f>
        <v>1.08268226589291</v>
      </c>
      <c r="G26" s="11" t="n">
        <f aca="false">$B$13*$B$10^A26</f>
        <v>2.69485115910687</v>
      </c>
      <c r="H26" s="11" t="n">
        <f aca="false">W_L*B26+W_T*C26+W_E*D26+W_R*E26</f>
        <v>38.0363898685884</v>
      </c>
    </row>
    <row r="27" customFormat="false" ht="15" hidden="false" customHeight="false" outlineLevel="0" collapsed="false">
      <c r="A27" s="19" t="n">
        <v>11</v>
      </c>
      <c r="B27" s="11" t="n">
        <f aca="false">B$4+B$6*(B26-B$4)</f>
        <v>105.957499546426</v>
      </c>
      <c r="C27" s="11" t="n">
        <f aca="false">C$4+C$6*(C26-C$4)</f>
        <v>33.8864252668987</v>
      </c>
      <c r="D27" s="11" t="n">
        <f aca="false">D$4+D$6*(D26-D$4)</f>
        <v>78.9891170556996</v>
      </c>
      <c r="E27" s="11" t="n">
        <f aca="false">E$4+E$6*(E26-E$4)</f>
        <v>66.8893504977963</v>
      </c>
      <c r="F27" s="11" t="n">
        <f aca="false">MAX(ABS(B27-B$4),ABS(C27-C$4),ABS(D27-D$4),ABS(E27-E$4))</f>
        <v>0.886425266898677</v>
      </c>
      <c r="G27" s="11" t="n">
        <f aca="false">$B$13*$B$10^A27</f>
        <v>2.20635751892864</v>
      </c>
      <c r="H27" s="11" t="n">
        <f aca="false">W_L*B27+W_T*C27+W_E*D27+W_R*E27</f>
        <v>37.9859228428069</v>
      </c>
    </row>
    <row r="28" customFormat="false" ht="15" hidden="false" customHeight="false" outlineLevel="0" collapsed="false">
      <c r="A28" s="19" t="n">
        <v>12</v>
      </c>
      <c r="B28" s="11" t="n">
        <f aca="false">B$4+B$6*(B27-B$4)</f>
        <v>105.972900514344</v>
      </c>
      <c r="C28" s="11" t="n">
        <f aca="false">C$4+C$6*(C27-C$4)</f>
        <v>33.7257436263153</v>
      </c>
      <c r="D28" s="11" t="n">
        <f aca="false">D$4+D$6*(D27-D$4)</f>
        <v>78.994027313533</v>
      </c>
      <c r="E28" s="11" t="n">
        <f aca="false">E$4+E$6*(E27-E$4)</f>
        <v>66.9180288326581</v>
      </c>
      <c r="F28" s="11" t="n">
        <f aca="false">MAX(ABS(B28-B$4),ABS(C28-C$4),ABS(D28-D$4),ABS(E28-E$4))</f>
        <v>0.725743626315307</v>
      </c>
      <c r="G28" s="11" t="n">
        <f aca="false">$B$13*$B$10^A28</f>
        <v>1.80641275303172</v>
      </c>
      <c r="H28" s="11" t="n">
        <f aca="false">W_L*B28+W_T*C28+W_E*D28+W_R*E28</f>
        <v>37.9436606553836</v>
      </c>
    </row>
    <row r="29" customFormat="false" ht="15" hidden="false" customHeight="false" outlineLevel="0" collapsed="false">
      <c r="A29" s="19" t="n">
        <v>13</v>
      </c>
      <c r="B29" s="11" t="n">
        <f aca="false">B$4+B$6*(B28-B$4)</f>
        <v>105.982720605051</v>
      </c>
      <c r="C29" s="11" t="n">
        <f aca="false">C$4+C$6*(C28-C$4)</f>
        <v>33.5941886257147</v>
      </c>
      <c r="D29" s="11" t="n">
        <f aca="false">D$4+D$6*(D28-D$4)</f>
        <v>78.9967221201682</v>
      </c>
      <c r="E29" s="11" t="n">
        <f aca="false">E$4+E$6*(E28-E$4)</f>
        <v>66.9392742656626</v>
      </c>
      <c r="F29" s="11" t="n">
        <f aca="false">MAX(ABS(B29-B$4),ABS(C29-C$4),ABS(D29-D$4),ABS(E29-E$4))</f>
        <v>0.594188625714679</v>
      </c>
      <c r="G29" s="11" t="n">
        <f aca="false">$B$13*$B$10^A29</f>
        <v>1.47896567365933</v>
      </c>
      <c r="H29" s="11" t="n">
        <f aca="false">W_L*B29+W_T*C29+W_E*D29+W_R*E29</f>
        <v>37.9085892713179</v>
      </c>
    </row>
    <row r="30" customFormat="false" ht="15" hidden="false" customHeight="false" outlineLevel="0" collapsed="false">
      <c r="A30" s="19" t="n">
        <v>14</v>
      </c>
      <c r="B30" s="11" t="n">
        <f aca="false">B$4+B$6*(B29-B$4)</f>
        <v>105.988982171338</v>
      </c>
      <c r="C30" s="11" t="n">
        <f aca="false">C$4+C$6*(C29-C$4)</f>
        <v>33.4864805010018</v>
      </c>
      <c r="D30" s="11" t="n">
        <f aca="false">D$4+D$6*(D29-D$4)</f>
        <v>78.9982010614066</v>
      </c>
      <c r="E30" s="11" t="n">
        <f aca="false">E$4+E$6*(E29-E$4)</f>
        <v>66.9550132695386</v>
      </c>
      <c r="F30" s="11" t="n">
        <f aca="false">MAX(ABS(B30-B$4),ABS(C30-C$4),ABS(D30-D$4),ABS(E30-E$4))</f>
        <v>0.486480501001751</v>
      </c>
      <c r="G30" s="11" t="n">
        <f aca="false">$B$13*$B$10^A30</f>
        <v>1.21087467977158</v>
      </c>
      <c r="H30" s="11" t="n">
        <f aca="false">W_L*B30+W_T*C30+W_E*D30+W_R*E30</f>
        <v>37.8796626160519</v>
      </c>
    </row>
    <row r="31" customFormat="false" ht="15" hidden="false" customHeight="false" outlineLevel="0" collapsed="false">
      <c r="A31" s="19" t="n">
        <v>15</v>
      </c>
      <c r="B31" s="11" t="n">
        <f aca="false">B$4+B$6*(B30-B$4)</f>
        <v>105.992974722275</v>
      </c>
      <c r="C31" s="11" t="n">
        <f aca="false">C$4+C$6*(C30-C$4)</f>
        <v>33.3982965469429</v>
      </c>
      <c r="D31" s="11" t="n">
        <f aca="false">D$4+D$6*(D30-D$4)</f>
        <v>78.9990127215673</v>
      </c>
      <c r="E31" s="11" t="n">
        <f aca="false">E$4+E$6*(E30-E$4)</f>
        <v>66.9666730103853</v>
      </c>
      <c r="F31" s="11" t="n">
        <f aca="false">MAX(ABS(B31-B$4),ABS(C31-C$4),ABS(D31-D$4),ABS(E31-E$4))</f>
        <v>0.398296546942916</v>
      </c>
      <c r="G31" s="11" t="n">
        <f aca="false">$B$13*$B$10^A31</f>
        <v>0.99138033845245</v>
      </c>
      <c r="H31" s="11" t="n">
        <f aca="false">W_L*B31+W_T*C31+W_E*D31+W_R*E31</f>
        <v>37.8559027451001</v>
      </c>
    </row>
    <row r="32" customFormat="false" ht="15" hidden="false" customHeight="false" outlineLevel="0" collapsed="false">
      <c r="A32" s="19" t="n">
        <v>16</v>
      </c>
      <c r="B32" s="11" t="n">
        <f aca="false">B$4+B$6*(B31-B$4)</f>
        <v>105.99552048515</v>
      </c>
      <c r="C32" s="11" t="n">
        <f aca="false">C$4+C$6*(C31-C$4)</f>
        <v>33.3260976318269</v>
      </c>
      <c r="D32" s="11" t="n">
        <f aca="false">D$4+D$6*(D31-D$4)</f>
        <v>78.9994581701081</v>
      </c>
      <c r="E32" s="11" t="n">
        <f aca="false">E$4+E$6*(E31-E$4)</f>
        <v>66.9753107588529</v>
      </c>
      <c r="F32" s="11" t="n">
        <f aca="false">MAX(ABS(B32-B$4),ABS(C32-C$4),ABS(D32-D$4),ABS(E32-E$4))</f>
        <v>0.326097631826933</v>
      </c>
      <c r="G32" s="11" t="n">
        <f aca="false">$B$13*$B$10^A32</f>
        <v>0.811673571087879</v>
      </c>
      <c r="H32" s="11" t="n">
        <f aca="false">W_L*B32+W_T*C32+W_E*D32+W_R*E32</f>
        <v>37.836441382058</v>
      </c>
    </row>
    <row r="33" customFormat="false" ht="15" hidden="false" customHeight="false" outlineLevel="0" collapsed="false">
      <c r="A33" s="19" t="n">
        <v>17</v>
      </c>
      <c r="B33" s="11" t="n">
        <f aca="false">B$4+B$6*(B32-B$4)</f>
        <v>105.997143735226</v>
      </c>
      <c r="C33" s="11" t="n">
        <f aca="false">C$4+C$6*(C32-C$4)</f>
        <v>33.2669861596826</v>
      </c>
      <c r="D33" s="11" t="n">
        <f aca="false">D$4+D$6*(D32-D$4)</f>
        <v>78.9997026374505</v>
      </c>
      <c r="E33" s="11" t="n">
        <f aca="false">E$4+E$6*(E32-E$4)</f>
        <v>66.9817097603035</v>
      </c>
      <c r="F33" s="11" t="n">
        <f aca="false">MAX(ABS(B33-B$4),ABS(C33-C$4),ABS(D33-D$4),ABS(E33-E$4))</f>
        <v>0.26698615968261</v>
      </c>
      <c r="G33" s="11" t="n">
        <f aca="false">$B$13*$B$10^A33</f>
        <v>0.664542114110274</v>
      </c>
      <c r="H33" s="11" t="n">
        <f aca="false">W_L*B33+W_T*C33+W_E*D33+W_R*E33</f>
        <v>37.8205306930139</v>
      </c>
    </row>
    <row r="34" customFormat="false" ht="15" hidden="false" customHeight="false" outlineLevel="0" collapsed="false">
      <c r="A34" s="19" t="n">
        <v>18</v>
      </c>
      <c r="B34" s="11" t="n">
        <f aca="false">B$4+B$6*(B33-B$4)</f>
        <v>105.998178765172</v>
      </c>
      <c r="C34" s="11" t="n">
        <f aca="false">C$4+C$6*(C33-C$4)</f>
        <v>33.2185897795783</v>
      </c>
      <c r="D34" s="11" t="n">
        <f aca="false">D$4+D$6*(D33-D$4)</f>
        <v>78.9998368039727</v>
      </c>
      <c r="E34" s="11" t="n">
        <f aca="false">E$4+E$6*(E33-E$4)</f>
        <v>66.9864502571722</v>
      </c>
      <c r="F34" s="11" t="n">
        <f aca="false">MAX(ABS(B34-B$4),ABS(C34-C$4),ABS(D34-D$4),ABS(E34-E$4))</f>
        <v>0.218589779578345</v>
      </c>
      <c r="G34" s="11" t="n">
        <f aca="false">$B$13*$B$10^A34</f>
        <v>0.544081065537539</v>
      </c>
      <c r="H34" s="11" t="n">
        <f aca="false">W_L*B34+W_T*C34+W_E*D34+W_R*E34</f>
        <v>37.8075387728876</v>
      </c>
    </row>
    <row r="35" customFormat="false" ht="15" hidden="false" customHeight="false" outlineLevel="0" collapsed="false">
      <c r="A35" s="19" t="n">
        <v>19</v>
      </c>
      <c r="B35" s="11" t="n">
        <f aca="false">B$4+B$6*(B34-B$4)</f>
        <v>105.998838729403</v>
      </c>
      <c r="C35" s="11" t="n">
        <f aca="false">C$4+C$6*(C34-C$4)</f>
        <v>33.1789661748493</v>
      </c>
      <c r="D35" s="11" t="n">
        <f aca="false">D$4+D$6*(D34-D$4)</f>
        <v>78.9999104361213</v>
      </c>
      <c r="E35" s="11" t="n">
        <f aca="false">E$4+E$6*(E34-E$4)</f>
        <v>66.9899621036276</v>
      </c>
      <c r="F35" s="11" t="n">
        <f aca="false">MAX(ABS(B35-B$4),ABS(C35-C$4),ABS(D35-D$4),ABS(E35-E$4))</f>
        <v>0.178966174849329</v>
      </c>
      <c r="G35" s="11" t="n">
        <f aca="false">$B$13*$B$10^A35</f>
        <v>0.44545590052302</v>
      </c>
      <c r="H35" s="11" t="n">
        <f aca="false">W_L*B35+W_T*C35+W_E*D35+W_R*E35</f>
        <v>37.7969383091864</v>
      </c>
    </row>
    <row r="36" customFormat="false" ht="15" hidden="false" customHeight="false" outlineLevel="0" collapsed="false">
      <c r="A36" s="19" t="n">
        <v>20</v>
      </c>
      <c r="B36" s="11" t="n">
        <f aca="false">B$4+B$6*(B35-B$4)</f>
        <v>105.999259541175</v>
      </c>
      <c r="C36" s="11" t="n">
        <f aca="false">C$4+C$6*(C35-C$4)</f>
        <v>33.1465251111099</v>
      </c>
      <c r="D36" s="11" t="n">
        <f aca="false">D$4+D$6*(D35-D$4)</f>
        <v>78.9999508463012</v>
      </c>
      <c r="E36" s="11" t="n">
        <f aca="false">E$4+E$6*(E35-E$4)</f>
        <v>66.99256374347</v>
      </c>
      <c r="F36" s="11" t="n">
        <f aca="false">MAX(ABS(B36-B$4),ABS(C36-C$4),ABS(D36-D$4),ABS(E36-E$4))</f>
        <v>0.146525111109874</v>
      </c>
      <c r="G36" s="11" t="n">
        <f aca="false">$B$13*$B$10^A36</f>
        <v>0.364708444898243</v>
      </c>
      <c r="H36" s="11" t="n">
        <f aca="false">W_L*B36+W_T*C36+W_E*D36+W_R*E36</f>
        <v>37.7882929387791</v>
      </c>
    </row>
    <row r="37" customFormat="false" ht="15" hidden="false" customHeight="false" outlineLevel="0" collapsed="false">
      <c r="A37" s="19" t="n">
        <v>21</v>
      </c>
      <c r="B37" s="11" t="n">
        <f aca="false">B$4+B$6*(B36-B$4)</f>
        <v>105.999527862608</v>
      </c>
      <c r="C37" s="11" t="n">
        <f aca="false">C$4+C$6*(C36-C$4)</f>
        <v>33.1199646145638</v>
      </c>
      <c r="D37" s="11" t="n">
        <f aca="false">D$4+D$6*(D36-D$4)</f>
        <v>78.9999730238781</v>
      </c>
      <c r="E37" s="11" t="n">
        <f aca="false">E$4+E$6*(E36-E$4)</f>
        <v>66.9944910856689</v>
      </c>
      <c r="F37" s="11" t="n">
        <f aca="false">MAX(ABS(B37-B$4),ABS(C37-C$4),ABS(D37-D$4),ABS(E37-E$4))</f>
        <v>0.11996461456382</v>
      </c>
      <c r="G37" s="11" t="n">
        <f aca="false">$B$13*$B$10^A37</f>
        <v>0.298598019745438</v>
      </c>
      <c r="H37" s="11" t="n">
        <f aca="false">W_L*B37+W_T*C37+W_E*D37+W_R*E37</f>
        <v>37.7812436038453</v>
      </c>
    </row>
    <row r="38" customFormat="false" ht="15" hidden="false" customHeight="false" outlineLevel="0" collapsed="false">
      <c r="A38" s="19" t="n">
        <v>22</v>
      </c>
      <c r="B38" s="11" t="n">
        <f aca="false">B$4+B$6*(B37-B$4)</f>
        <v>105.999698951908</v>
      </c>
      <c r="C38" s="11" t="n">
        <f aca="false">C$4+C$6*(C37-C$4)</f>
        <v>33.0982187192246</v>
      </c>
      <c r="D38" s="11" t="n">
        <f aca="false">D$4+D$6*(D37-D$4)</f>
        <v>78.9999851951904</v>
      </c>
      <c r="E38" s="11" t="n">
        <f aca="false">E$4+E$6*(E37-E$4)</f>
        <v>66.9959188958874</v>
      </c>
      <c r="F38" s="11" t="n">
        <f aca="false">MAX(ABS(B38-B$4),ABS(C38-C$4),ABS(D38-D$4),ABS(E38-E$4))</f>
        <v>0.0982187192245476</v>
      </c>
      <c r="G38" s="11" t="n">
        <f aca="false">$B$13*$B$10^A38</f>
        <v>0.244471381573776</v>
      </c>
      <c r="H38" s="11" t="n">
        <f aca="false">W_L*B38+W_T*C38+W_E*D38+W_R*E38</f>
        <v>37.7754959926088</v>
      </c>
    </row>
    <row r="39" customFormat="false" ht="15" hidden="false" customHeight="false" outlineLevel="0" collapsed="false">
      <c r="A39" s="19" t="n">
        <v>23</v>
      </c>
      <c r="B39" s="11" t="n">
        <f aca="false">B$4+B$6*(B38-B$4)</f>
        <v>105.999808043261</v>
      </c>
      <c r="C39" s="11" t="n">
        <f aca="false">C$4+C$6*(C38-C$4)</f>
        <v>33.0804146859571</v>
      </c>
      <c r="D39" s="11" t="n">
        <f aca="false">D$4+D$6*(D38-D$4)</f>
        <v>78.9999918749482</v>
      </c>
      <c r="E39" s="11" t="n">
        <f aca="false">E$4+E$6*(E38-E$4)</f>
        <v>66.9969766437129</v>
      </c>
      <c r="F39" s="11" t="n">
        <f aca="false">MAX(ABS(B39-B$4),ABS(C39-C$4),ABS(D39-D$4),ABS(E39-E$4))</f>
        <v>0.0804146859570665</v>
      </c>
      <c r="G39" s="11" t="n">
        <f aca="false">$B$13*$B$10^A39</f>
        <v>0.200156238341913</v>
      </c>
      <c r="H39" s="11" t="n">
        <f aca="false">W_L*B39+W_T*C39+W_E*D39+W_R*E39</f>
        <v>37.7708094901135</v>
      </c>
    </row>
    <row r="40" customFormat="false" ht="15" hidden="false" customHeight="false" outlineLevel="0" collapsed="false">
      <c r="A40" s="19" t="n">
        <v>24</v>
      </c>
      <c r="B40" s="11" t="n">
        <f aca="false">B$4+B$6*(B39-B$4)</f>
        <v>105.99987760298</v>
      </c>
      <c r="C40" s="11" t="n">
        <f aca="false">C$4+C$6*(C39-C$4)</f>
        <v>33.0658379763922</v>
      </c>
      <c r="D40" s="11" t="n">
        <f aca="false">D$4+D$6*(D39-D$4)</f>
        <v>78.9999955408771</v>
      </c>
      <c r="E40" s="11" t="n">
        <f aca="false">E$4+E$6*(E39-E$4)</f>
        <v>66.9977602425749</v>
      </c>
      <c r="F40" s="11" t="n">
        <f aca="false">MAX(ABS(B40-B$4),ABS(C40-C$4),ABS(D40-D$4),ABS(E40-E$4))</f>
        <v>0.0658379763921602</v>
      </c>
      <c r="G40" s="11" t="n">
        <f aca="false">$B$13*$B$10^A40</f>
        <v>0.16387406775093</v>
      </c>
      <c r="H40" s="11" t="n">
        <f aca="false">W_L*B40+W_T*C40+W_E*D40+W_R*E40</f>
        <v>37.7669877194185</v>
      </c>
    </row>
    <row r="41" customFormat="false" ht="15" hidden="false" customHeight="false" outlineLevel="0" collapsed="false">
      <c r="A41" s="19" t="n">
        <v>25</v>
      </c>
      <c r="B41" s="11" t="n">
        <f aca="false">B$4+B$6*(B40-B$4)</f>
        <v>105.999921956214</v>
      </c>
      <c r="C41" s="11" t="n">
        <f aca="false">C$4+C$6*(C40-C$4)</f>
        <v>33.0539035759927</v>
      </c>
      <c r="D41" s="11" t="n">
        <f aca="false">D$4+D$6*(D40-D$4)</f>
        <v>78.9999975527814</v>
      </c>
      <c r="E41" s="11" t="n">
        <f aca="false">E$4+E$6*(E40-E$4)</f>
        <v>66.9983407468896</v>
      </c>
      <c r="F41" s="11" t="n">
        <f aca="false">MAX(ABS(B41-B$4),ABS(C41-C$4),ABS(D41-D$4),ABS(E41-E$4))</f>
        <v>0.0539035759926847</v>
      </c>
      <c r="G41" s="11" t="n">
        <f aca="false">$B$13*$B$10^A41</f>
        <v>0.134168738899671</v>
      </c>
      <c r="H41" s="11" t="n">
        <f aca="false">W_L*B41+W_T*C41+W_E*D41+W_R*E41</f>
        <v>37.7638705845247</v>
      </c>
    </row>
    <row r="42" customFormat="false" ht="15" hidden="false" customHeight="false" outlineLevel="0" collapsed="false">
      <c r="A42" s="19" t="n">
        <v>26</v>
      </c>
      <c r="B42" s="11" t="n">
        <f aca="false">B$4+B$6*(B41-B$4)</f>
        <v>105.999950237085</v>
      </c>
      <c r="C42" s="11" t="n">
        <f aca="false">C$4+C$6*(C41-C$4)</f>
        <v>33.0441325153661</v>
      </c>
      <c r="D42" s="11" t="n">
        <f aca="false">D$4+D$6*(D41-D$4)</f>
        <v>78.999998656938</v>
      </c>
      <c r="E42" s="11" t="n">
        <f aca="false">E$4+E$6*(E41-E$4)</f>
        <v>66.9987707950631</v>
      </c>
      <c r="F42" s="11" t="n">
        <f aca="false">MAX(ABS(B42-B$4),ABS(C42-C$4),ABS(D42-D$4),ABS(E42-E$4))</f>
        <v>0.044132515366087</v>
      </c>
      <c r="G42" s="11" t="n">
        <f aca="false">$B$13*$B$10^A42</f>
        <v>0.109848072638851</v>
      </c>
      <c r="H42" s="11" t="n">
        <f aca="false">W_L*B42+W_T*C42+W_E*D42+W_R*E42</f>
        <v>37.7613276535815</v>
      </c>
    </row>
    <row r="43" customFormat="false" ht="15" hidden="false" customHeight="false" outlineLevel="0" collapsed="false">
      <c r="A43" s="19" t="n">
        <v>27</v>
      </c>
      <c r="B43" s="11" t="n">
        <f aca="false">B$4+B$6*(B42-B$4)</f>
        <v>105.999968269765</v>
      </c>
      <c r="C43" s="11" t="n">
        <f aca="false">C$4+C$6*(C42-C$4)</f>
        <v>33.0361326475409</v>
      </c>
      <c r="D43" s="11" t="n">
        <f aca="false">D$4+D$6*(D42-D$4)</f>
        <v>78.9999992629119</v>
      </c>
      <c r="E43" s="11" t="n">
        <f aca="false">E$4+E$6*(E42-E$4)</f>
        <v>66.9990893825858</v>
      </c>
      <c r="F43" s="11" t="n">
        <f aca="false">MAX(ABS(B43-B$4),ABS(C43-C$4),ABS(D43-D$4),ABS(E43-E$4))</f>
        <v>0.036132647540903</v>
      </c>
      <c r="G43" s="11" t="n">
        <f aca="false">$B$13*$B$10^A43</f>
        <v>0.0899359952357713</v>
      </c>
      <c r="H43" s="11" t="n">
        <f aca="false">W_L*B43+W_T*C43+W_E*D43+W_R*E43</f>
        <v>37.7592526994079</v>
      </c>
    </row>
    <row r="44" customFormat="false" ht="15" hidden="false" customHeight="false" outlineLevel="0" collapsed="false">
      <c r="A44" s="19" t="n">
        <v>28</v>
      </c>
      <c r="B44" s="11" t="n">
        <f aca="false">B$4+B$6*(B43-B$4)</f>
        <v>105.999979767909</v>
      </c>
      <c r="C44" s="11" t="n">
        <f aca="false">C$4+C$6*(C43-C$4)</f>
        <v>33.0295829097319</v>
      </c>
      <c r="D44" s="11" t="n">
        <f aca="false">D$4+D$6*(D43-D$4)</f>
        <v>78.9999995954775</v>
      </c>
      <c r="E44" s="11" t="n">
        <f aca="false">E$4+E$6*(E43-E$4)</f>
        <v>66.9993253980275</v>
      </c>
      <c r="F44" s="11" t="n">
        <f aca="false">MAX(ABS(B44-B$4),ABS(C44-C$4),ABS(D44-D$4),ABS(E44-E$4))</f>
        <v>0.0295829097318645</v>
      </c>
      <c r="G44" s="11" t="n">
        <f aca="false">$B$13*$B$10^A44</f>
        <v>0.0736333651082008</v>
      </c>
      <c r="H44" s="11" t="n">
        <f aca="false">W_L*B44+W_T*C44+W_E*D44+W_R*E44</f>
        <v>37.7575592187726</v>
      </c>
    </row>
    <row r="45" customFormat="false" ht="15" hidden="false" customHeight="false" outlineLevel="0" collapsed="false">
      <c r="A45" s="19" t="n">
        <v>29</v>
      </c>
      <c r="B45" s="11" t="n">
        <f aca="false">B$4+B$6*(B44-B$4)</f>
        <v>105.999987099449</v>
      </c>
      <c r="C45" s="11" t="n">
        <f aca="false">C$4+C$6*(C44-C$4)</f>
        <v>33.024220437963</v>
      </c>
      <c r="D45" s="11" t="n">
        <f aca="false">D$4+D$6*(D44-D$4)</f>
        <v>78.9999997779933</v>
      </c>
      <c r="E45" s="11" t="n">
        <f aca="false">E$4+E$6*(E44-E$4)</f>
        <v>66.999500242567</v>
      </c>
      <c r="F45" s="11" t="n">
        <f aca="false">MAX(ABS(B45-B$4),ABS(C45-C$4),ABS(D45-D$4),ABS(E45-E$4))</f>
        <v>0.0242204379630095</v>
      </c>
      <c r="G45" s="11" t="n">
        <f aca="false">$B$13*$B$10^A45</f>
        <v>0.0602859004667032</v>
      </c>
      <c r="H45" s="11" t="n">
        <f aca="false">W_L*B45+W_T*C45+W_E*D45+W_R*E45</f>
        <v>37.7561767682096</v>
      </c>
    </row>
    <row r="46" customFormat="false" ht="15" hidden="false" customHeight="false" outlineLevel="0" collapsed="false">
      <c r="A46" s="19" t="n">
        <v>30</v>
      </c>
      <c r="B46" s="11" t="n">
        <f aca="false">B$4+B$6*(B45-B$4)</f>
        <v>105.999991774245</v>
      </c>
      <c r="C46" s="11" t="n">
        <f aca="false">C$4+C$6*(C45-C$4)</f>
        <v>33.0198300174133</v>
      </c>
      <c r="D46" s="11" t="n">
        <f aca="false">D$4+D$6*(D45-D$4)</f>
        <v>78.9999998781602</v>
      </c>
      <c r="E46" s="11" t="n">
        <f aca="false">E$4+E$6*(E45-E$4)</f>
        <v>66.9996297705877</v>
      </c>
      <c r="F46" s="11" t="n">
        <f aca="false">MAX(ABS(B46-B$4),ABS(C46-C$4),ABS(D46-D$4),ABS(E46-E$4))</f>
        <v>0.0198300174133337</v>
      </c>
      <c r="G46" s="11" t="n">
        <f aca="false">$B$13*$B$10^A46</f>
        <v>0.0493579206890882</v>
      </c>
      <c r="H46" s="11" t="n">
        <f aca="false">W_L*B46+W_T*C46+W_E*D46+W_R*E46</f>
        <v>37.7550479748078</v>
      </c>
    </row>
    <row r="47" customFormat="false" ht="15" hidden="false" customHeight="false" outlineLevel="0" collapsed="false">
      <c r="A47" s="19" t="n">
        <v>31</v>
      </c>
      <c r="B47" s="11" t="n">
        <f aca="false">B$4+B$6*(B46-B$4)</f>
        <v>105.999994755027</v>
      </c>
      <c r="C47" s="11" t="n">
        <f aca="false">C$4+C$6*(C46-C$4)</f>
        <v>33.0162354450904</v>
      </c>
      <c r="D47" s="11" t="n">
        <f aca="false">D$4+D$6*(D46-D$4)</f>
        <v>78.9999999331329</v>
      </c>
      <c r="E47" s="11" t="n">
        <f aca="false">E$4+E$6*(E46-E$4)</f>
        <v>66.9997257273056</v>
      </c>
      <c r="F47" s="11" t="n">
        <f aca="false">MAX(ABS(B47-B$4),ABS(C47-C$4),ABS(D47-D$4),ABS(E47-E$4))</f>
        <v>0.0162354450903663</v>
      </c>
      <c r="G47" s="11" t="n">
        <f aca="false">$B$13*$B$10^A47</f>
        <v>0.0404108475761405</v>
      </c>
      <c r="H47" s="11" t="n">
        <f aca="false">W_L*B47+W_T*C47+W_E*D47+W_R*E47</f>
        <v>37.7541261014863</v>
      </c>
    </row>
    <row r="48" customFormat="false" ht="15" hidden="false" customHeight="false" outlineLevel="0" collapsed="false">
      <c r="A48" s="19" t="n">
        <v>32</v>
      </c>
      <c r="B48" s="11" t="n">
        <f aca="false">B$4+B$6*(B47-B$4)</f>
        <v>105.999996655658</v>
      </c>
      <c r="C48" s="11" t="n">
        <f aca="false">C$4+C$6*(C47-C$4)</f>
        <v>33.0132924581854</v>
      </c>
      <c r="D48" s="11" t="n">
        <f aca="false">D$4+D$6*(D47-D$4)</f>
        <v>78.9999999633025</v>
      </c>
      <c r="E48" s="11" t="n">
        <f aca="false">E$4+E$6*(E47-E$4)</f>
        <v>66.9997968137905</v>
      </c>
      <c r="F48" s="11" t="n">
        <f aca="false">MAX(ABS(B48-B$4),ABS(C48-C$4),ABS(D48-D$4),ABS(E48-E$4))</f>
        <v>0.0132924581853899</v>
      </c>
      <c r="G48" s="11" t="n">
        <f aca="false">$B$13*$B$10^A48</f>
        <v>0.033085603668533</v>
      </c>
      <c r="H48" s="11" t="n">
        <f aca="false">W_L*B48+W_T*C48+W_E*D48+W_R*E48</f>
        <v>37.7533730658388</v>
      </c>
    </row>
    <row r="49" customFormat="false" ht="15" hidden="false" customHeight="false" outlineLevel="0" collapsed="false">
      <c r="A49" s="19" t="n">
        <v>33</v>
      </c>
      <c r="B49" s="11" t="n">
        <f aca="false">B$4+B$6*(B48-B$4)</f>
        <v>105.999997867553</v>
      </c>
      <c r="C49" s="11" t="n">
        <f aca="false">C$4+C$6*(C48-C$4)</f>
        <v>33.0108829443004</v>
      </c>
      <c r="D49" s="11" t="n">
        <f aca="false">D$4+D$6*(D48-D$4)</f>
        <v>78.99999997986</v>
      </c>
      <c r="E49" s="11" t="n">
        <f aca="false">E$4+E$6*(E48-E$4)</f>
        <v>66.9998494759538</v>
      </c>
      <c r="F49" s="11" t="n">
        <f aca="false">MAX(ABS(B49-B$4),ABS(C49-C$4),ABS(D49-D$4),ABS(E49-E$4))</f>
        <v>0.0108829443003842</v>
      </c>
      <c r="G49" s="11" t="n">
        <f aca="false">$B$13*$B$10^A49</f>
        <v>0.0270882012075777</v>
      </c>
      <c r="H49" s="11" t="n">
        <f aca="false">W_L*B49+W_T*C49+W_E*D49+W_R*E49</f>
        <v>37.75275782894</v>
      </c>
    </row>
    <row r="50" customFormat="false" ht="15" hidden="false" customHeight="false" outlineLevel="0" collapsed="false">
      <c r="A50" s="19" t="n">
        <v>34</v>
      </c>
      <c r="B50" s="11" t="n">
        <f aca="false">B$4+B$6*(B49-B$4)</f>
        <v>105.999998640292</v>
      </c>
      <c r="C50" s="11" t="n">
        <f aca="false">C$4+C$6*(C49-C$4)</f>
        <v>33.0089102011828</v>
      </c>
      <c r="D50" s="11" t="n">
        <f aca="false">D$4+D$6*(D49-D$4)</f>
        <v>78.9999999889469</v>
      </c>
      <c r="E50" s="11" t="n">
        <f aca="false">E$4+E$6*(E49-E$4)</f>
        <v>66.9998884890439</v>
      </c>
      <c r="F50" s="11" t="n">
        <f aca="false">MAX(ABS(B50-B$4),ABS(C50-C$4),ABS(D50-D$4),ABS(E50-E$4))</f>
        <v>0.00891020118275776</v>
      </c>
      <c r="G50" s="11" t="n">
        <f aca="false">$B$13*$B$10^A50</f>
        <v>0.022177943374208</v>
      </c>
      <c r="H50" s="11" t="n">
        <f aca="false">W_L*B50+W_T*C50+W_E*D50+W_R*E50</f>
        <v>37.7522550853444</v>
      </c>
    </row>
    <row r="51" customFormat="false" ht="15" hidden="false" customHeight="false" outlineLevel="0" collapsed="false">
      <c r="A51" s="19" t="n">
        <v>35</v>
      </c>
      <c r="B51" s="11" t="n">
        <f aca="false">B$4+B$6*(B50-B$4)</f>
        <v>105.999999133012</v>
      </c>
      <c r="C51" s="11" t="n">
        <f aca="false">C$4+C$6*(C50-C$4)</f>
        <v>33.0072950557244</v>
      </c>
      <c r="D51" s="11" t="n">
        <f aca="false">D$4+D$6*(D50-D$4)</f>
        <v>78.999999993934</v>
      </c>
      <c r="E51" s="11" t="n">
        <f aca="false">E$4+E$6*(E50-E$4)</f>
        <v>66.9999173906519</v>
      </c>
      <c r="F51" s="11" t="n">
        <f aca="false">MAX(ABS(B51-B$4),ABS(C51-C$4),ABS(D51-D$4),ABS(E51-E$4))</f>
        <v>0.00729505572443401</v>
      </c>
      <c r="G51" s="11" t="n">
        <f aca="false">$B$13*$B$10^A51</f>
        <v>0.0181577642804861</v>
      </c>
      <c r="H51" s="11" t="n">
        <f aca="false">W_L*B51+W_T*C51+W_E*D51+W_R*E51</f>
        <v>37.7518441980046</v>
      </c>
    </row>
    <row r="52" customFormat="false" ht="15" hidden="false" customHeight="false" outlineLevel="0" collapsed="false">
      <c r="A52" s="19" t="n">
        <v>36</v>
      </c>
      <c r="B52" s="11" t="n">
        <f aca="false">B$4+B$6*(B51-B$4)</f>
        <v>105.999999447184</v>
      </c>
      <c r="C52" s="11" t="n">
        <f aca="false">C$4+C$6*(C51-C$4)</f>
        <v>33.005972686467</v>
      </c>
      <c r="D52" s="11" t="n">
        <f aca="false">D$4+D$6*(D51-D$4)</f>
        <v>78.9999999966709</v>
      </c>
      <c r="E52" s="11" t="n">
        <f aca="false">E$4+E$6*(E51-E$4)</f>
        <v>66.9999388014898</v>
      </c>
      <c r="F52" s="11" t="n">
        <f aca="false">MAX(ABS(B52-B$4),ABS(C52-C$4),ABS(D52-D$4),ABS(E52-E$4))</f>
        <v>0.0059726864670111</v>
      </c>
      <c r="G52" s="11" t="n">
        <f aca="false">$B$13*$B$10^A52</f>
        <v>0.0148663200235749</v>
      </c>
      <c r="H52" s="11" t="n">
        <f aca="false">W_L*B52+W_T*C52+W_E*D52+W_R*E52</f>
        <v>37.751508332208</v>
      </c>
    </row>
    <row r="53" customFormat="false" ht="15" hidden="false" customHeight="false" outlineLevel="0" collapsed="false">
      <c r="A53" s="19" t="n">
        <v>37</v>
      </c>
      <c r="B53" s="11" t="n">
        <f aca="false">B$4+B$6*(B52-B$4)</f>
        <v>105.999999647509</v>
      </c>
      <c r="C53" s="11" t="n">
        <f aca="false">C$4+C$6*(C52-C$4)</f>
        <v>33.004890022089</v>
      </c>
      <c r="D53" s="11" t="n">
        <f aca="false">D$4+D$6*(D52-D$4)</f>
        <v>78.9999999981729</v>
      </c>
      <c r="E53" s="11" t="n">
        <f aca="false">E$4+E$6*(E52-E$4)</f>
        <v>66.9999546630285</v>
      </c>
      <c r="F53" s="11" t="n">
        <f aca="false">MAX(ABS(B53-B$4),ABS(C53-C$4),ABS(D53-D$4),ABS(E53-E$4))</f>
        <v>0.004890022089036</v>
      </c>
      <c r="G53" s="11" t="n">
        <f aca="false">$B$13*$B$10^A53</f>
        <v>0.0121715133883997</v>
      </c>
      <c r="H53" s="11" t="n">
        <f aca="false">W_L*B53+W_T*C53+W_E*D53+W_R*E53</f>
        <v>37.7512337511856</v>
      </c>
    </row>
    <row r="54" customFormat="false" ht="15" hidden="false" customHeight="false" outlineLevel="0" collapsed="false">
      <c r="A54" s="19" t="n">
        <v>38</v>
      </c>
      <c r="B54" s="11" t="n">
        <f aca="false">B$4+B$6*(B53-B$4)</f>
        <v>105.999999775242</v>
      </c>
      <c r="C54" s="11" t="n">
        <f aca="false">C$4+C$6*(C53-C$4)</f>
        <v>33.0040036114675</v>
      </c>
      <c r="D54" s="11" t="n">
        <f aca="false">D$4+D$6*(D53-D$4)</f>
        <v>78.9999999989973</v>
      </c>
      <c r="E54" s="11" t="n">
        <f aca="false">E$4+E$6*(E53-E$4)</f>
        <v>66.9999664135455</v>
      </c>
      <c r="F54" s="11" t="n">
        <f aca="false">MAX(ABS(B54-B$4),ABS(C54-C$4),ABS(D54-D$4),ABS(E54-E$4))</f>
        <v>0.00400361146752459</v>
      </c>
      <c r="G54" s="11" t="n">
        <f aca="false">$B$13*$B$10^A54</f>
        <v>0.00996519232258326</v>
      </c>
      <c r="H54" s="11" t="n">
        <f aca="false">W_L*B54+W_T*C54+W_E*D54+W_R*E54</f>
        <v>37.7510092430403</v>
      </c>
    </row>
    <row r="55" customFormat="false" ht="15" hidden="false" customHeight="false" outlineLevel="0" collapsed="false">
      <c r="A55" s="19" t="n">
        <v>39</v>
      </c>
      <c r="B55" s="11" t="n">
        <f aca="false">B$4+B$6*(B54-B$4)</f>
        <v>105.999999856688</v>
      </c>
      <c r="C55" s="11" t="n">
        <f aca="false">C$4+C$6*(C54-C$4)</f>
        <v>33.0032778798318</v>
      </c>
      <c r="D55" s="11" t="n">
        <f aca="false">D$4+D$6*(D54-D$4)</f>
        <v>78.9999999994497</v>
      </c>
      <c r="E55" s="11" t="n">
        <f aca="false">E$4+E$6*(E54-E$4)</f>
        <v>66.9999751185425</v>
      </c>
      <c r="F55" s="11" t="n">
        <f aca="false">MAX(ABS(B55-B$4),ABS(C55-C$4),ABS(D55-D$4),ABS(E55-E$4))</f>
        <v>0.0032778798318347</v>
      </c>
      <c r="G55" s="11" t="n">
        <f aca="false">$B$13*$B$10^A55</f>
        <v>0.00815880941483552</v>
      </c>
      <c r="H55" s="11" t="n">
        <f aca="false">W_L*B55+W_T*C55+W_E*D55+W_R*E55</f>
        <v>37.7508256543567</v>
      </c>
    </row>
    <row r="56" customFormat="false" ht="15" hidden="false" customHeight="false" outlineLevel="0" collapsed="false">
      <c r="A56" s="19" t="n">
        <v>40</v>
      </c>
      <c r="B56" s="11" t="n">
        <f aca="false">B$4+B$6*(B55-B$4)</f>
        <v>105.99999990862</v>
      </c>
      <c r="C56" s="11" t="n">
        <f aca="false">C$4+C$6*(C55-C$4)</f>
        <v>33.0026837010232</v>
      </c>
      <c r="D56" s="11" t="n">
        <f aca="false">D$4+D$6*(D55-D$4)</f>
        <v>78.999999999698</v>
      </c>
      <c r="E56" s="11" t="n">
        <f aca="false">E$4+E$6*(E55-E$4)</f>
        <v>66.9999815673629</v>
      </c>
      <c r="F56" s="11" t="n">
        <f aca="false">MAX(ABS(B56-B$4),ABS(C56-C$4),ABS(D56-D$4),ABS(E56-E$4))</f>
        <v>0.00268370102321569</v>
      </c>
      <c r="G56" s="11" t="n">
        <f aca="false">$B$13*$B$10^A56</f>
        <v>0.00667986817642801</v>
      </c>
      <c r="H56" s="11" t="n">
        <f aca="false">W_L*B56+W_T*C56+W_E*D56+W_R*E56</f>
        <v>37.7506755104946</v>
      </c>
    </row>
    <row r="58" customFormat="false" ht="15" hidden="false" customHeight="false" outlineLevel="0" collapsed="false">
      <c r="A58" s="10" t="s">
        <v>273</v>
      </c>
    </row>
    <row r="60" customFormat="false" ht="15" hidden="false" customHeight="false" outlineLevel="0" collapsed="false">
      <c r="A60" s="8" t="s">
        <v>274</v>
      </c>
      <c r="B60" s="8"/>
      <c r="C60" s="8"/>
      <c r="D60" s="8"/>
      <c r="E60" s="8"/>
      <c r="F60" s="8"/>
      <c r="G60" s="8"/>
      <c r="H60" s="8"/>
      <c r="J60" s="8" t="s">
        <v>275</v>
      </c>
      <c r="K60" s="8"/>
      <c r="L60" s="8"/>
      <c r="M60" s="8"/>
      <c r="N60" s="8"/>
      <c r="O60" s="8"/>
      <c r="P60" s="8"/>
      <c r="Q60" s="8"/>
    </row>
    <row r="61" customFormat="false" ht="15" hidden="false" customHeight="false" outlineLevel="0" collapsed="false">
      <c r="A61" s="8" t="s">
        <v>265</v>
      </c>
      <c r="B61" s="8" t="s">
        <v>268</v>
      </c>
      <c r="C61" s="8" t="s">
        <v>243</v>
      </c>
      <c r="D61" s="8" t="s">
        <v>244</v>
      </c>
      <c r="E61" s="8" t="s">
        <v>245</v>
      </c>
      <c r="F61" s="8" t="s">
        <v>269</v>
      </c>
      <c r="G61" s="8" t="s">
        <v>270</v>
      </c>
      <c r="H61" s="8" t="s">
        <v>276</v>
      </c>
      <c r="J61" s="8" t="s">
        <v>265</v>
      </c>
      <c r="K61" s="8" t="s">
        <v>268</v>
      </c>
      <c r="L61" s="8" t="s">
        <v>243</v>
      </c>
      <c r="M61" s="8" t="s">
        <v>244</v>
      </c>
      <c r="N61" s="8" t="s">
        <v>245</v>
      </c>
      <c r="O61" s="8" t="s">
        <v>269</v>
      </c>
      <c r="P61" s="8" t="s">
        <v>270</v>
      </c>
      <c r="Q61" s="8" t="s">
        <v>276</v>
      </c>
    </row>
    <row r="62" customFormat="false" ht="15" hidden="false" customHeight="false" outlineLevel="0" collapsed="false">
      <c r="A62" s="19" t="n">
        <v>0</v>
      </c>
      <c r="B62" s="11" t="n">
        <f aca="false">Declarations!$C$27+(Declarations!$C$4-Declarations!$C$27)*EXP(-Declarations!$D$27*5)+IF(Declarations!$E$27=0,0,Declarations!$E$27*(5/Declarations!$F$27)*EXP(1-5/Declarations!$F$27))+IF(5&gt;=T_sale,Declarations!$G$27,0)</f>
        <v>94.2956014682046</v>
      </c>
      <c r="C62" s="11" t="n">
        <f aca="false">Declarations!$C$28+(Declarations!$C$7-Declarations!$C$28)*EXP(-Declarations!$D$28*5)+IF(Declarations!$E$28=0,0,Declarations!$E$28*(5/Declarations!$F$28)*EXP(1-5/Declarations!$F$28))+IF(5&gt;=T_sale,Declarations!$G$28,0)</f>
        <v>75.6346691353518</v>
      </c>
      <c r="D62" s="11" t="n">
        <f aca="false">Declarations!$C$29+(Declarations!$C$8-Declarations!$C$29)*EXP(-Declarations!$D$29*5)+IF(Declarations!$E$29=0,0,Declarations!$E$29*(5/Declarations!$F$29)*EXP(1-5/Declarations!$F$29))+IF(5&gt;=T_sale,Declarations!$G$29,0)</f>
        <v>73.5983309723245</v>
      </c>
      <c r="E62" s="11" t="n">
        <f aca="false">Declarations!$C$30+(Declarations!$C$10-Declarations!$C$30)*EXP(-Declarations!$D$30*5)+IF(Declarations!$E$30=0,0,Declarations!$E$30*(5/Declarations!$F$30)*EXP(1-5/Declarations!$F$30))+IF(5&gt;=T_sale,Declarations!$G$30,0)</f>
        <v>55.2177495534504</v>
      </c>
      <c r="F62" s="11" t="n">
        <f aca="false">MAX(ABS(B62-B$4),ABS(C62-C$4),ABS(D62-D$4),ABS(E62-E$4))</f>
        <v>42.6346691353518</v>
      </c>
      <c r="G62" s="11" t="n">
        <f aca="false">$H$62*$B$10^A62</f>
        <v>42.6346691353518</v>
      </c>
      <c r="H62" s="11" t="n">
        <f aca="false">MAX(ABS(B63-B62),ABS(C63-C62),ABS(D63-D62),ABS(E63-E62))/(1-$B$10)</f>
        <v>42.6346691353518</v>
      </c>
      <c r="J62" s="19" t="n">
        <v>0</v>
      </c>
      <c r="K62" s="11" t="n">
        <f aca="false">Declarations!$C$31+(Declarations!$C$4-Declarations!$C$31)*EXP(-Declarations!$D$31*5)+IF(Declarations!$E$31=0,0,Declarations!$E$31*(5/Declarations!$F$31)*EXP(1-5/Declarations!$F$31))+IF(5&gt;=T_sale,Declarations!$G$31,0)</f>
        <v>121.107479359406</v>
      </c>
      <c r="L62" s="11" t="n">
        <f aca="false">Declarations!$C$32+(Declarations!$C$7-Declarations!$C$32)*EXP(-Declarations!$D$32*5)+IF(Declarations!$E$32=0,0,Declarations!$E$32*(5/Declarations!$F$32)*EXP(1-5/Declarations!$F$32))+IF(5&gt;=T_sale,Declarations!$G$32,0)</f>
        <v>38.8595143905806</v>
      </c>
      <c r="M62" s="11" t="n">
        <f aca="false">Declarations!$C$33+(Declarations!$C$8-Declarations!$C$33)*EXP(-Declarations!$D$33*5)+IF(Declarations!$E$33=0,0,Declarations!$E$33*(5/Declarations!$F$33)*EXP(1-5/Declarations!$F$33))+IF(5&gt;=T_sale,Declarations!$G$33,0)</f>
        <v>73.6838023263144</v>
      </c>
      <c r="N62" s="11" t="n">
        <f aca="false">Declarations!$C$34+(Declarations!$C$10-Declarations!$C$34)*EXP(-Declarations!$D$34*5)+IF(Declarations!$E$34=0,0,Declarations!$E$34*(5/Declarations!$F$34)*EXP(1-5/Declarations!$F$34))+IF(5&gt;=T_sale,Declarations!$G$34,0)</f>
        <v>49.3901915476036</v>
      </c>
      <c r="O62" s="11" t="n">
        <f aca="false">MAX(ABS(K62-B$4),ABS(L62-C$4),ABS(M62-D$4),ABS(N62-E$4))</f>
        <v>17.6098084523964</v>
      </c>
      <c r="P62" s="11" t="n">
        <f aca="false">$Q$62*$B$10^J62</f>
        <v>30.2010700257341</v>
      </c>
      <c r="Q62" s="11" t="n">
        <f aca="false">MAX(ABS(K63-K62),ABS(L63-L62),ABS(M63-M62),ABS(N63-N62))/(1-$B$10)</f>
        <v>30.2010700257341</v>
      </c>
    </row>
    <row r="63" customFormat="false" ht="15" hidden="false" customHeight="false" outlineLevel="0" collapsed="false">
      <c r="A63" s="19" t="n">
        <v>1</v>
      </c>
      <c r="B63" s="11" t="n">
        <f aca="false">B$4+B$6*(B62-B$4)</f>
        <v>98.5369459983267</v>
      </c>
      <c r="C63" s="11" t="n">
        <f aca="false">C$4+C$6*(C62-C$4)</f>
        <v>67.9063147684172</v>
      </c>
      <c r="D63" s="11" t="n">
        <f aca="false">D$4+D$6*(D62-D$4)</f>
        <v>76.035501183283</v>
      </c>
      <c r="E63" s="11" t="n">
        <f aca="false">E$4+E$6*(E62-E$4)</f>
        <v>58.2714941885608</v>
      </c>
      <c r="F63" s="11" t="n">
        <f aca="false">MAX(ABS(B63-B$4),ABS(C63-C$4),ABS(D63-D$4),ABS(E63-E$4))</f>
        <v>34.9063147684172</v>
      </c>
      <c r="G63" s="11" t="n">
        <f aca="false">$H$62*$B$10^A63</f>
        <v>34.9063147684172</v>
      </c>
      <c r="J63" s="19" t="n">
        <v>1</v>
      </c>
      <c r="K63" s="11" t="n">
        <f aca="false">B$4+B$6*(K62-B$4)</f>
        <v>115.632954139602</v>
      </c>
      <c r="L63" s="11" t="n">
        <f aca="false">C$4+C$6*(L62-C$4)</f>
        <v>37.7973646296713</v>
      </c>
      <c r="M63" s="11" t="n">
        <f aca="false">D$4+D$6*(M62-D$4)</f>
        <v>76.0824088569054</v>
      </c>
      <c r="N63" s="11" t="n">
        <f aca="false">E$4+E$6*(N62-E$4)</f>
        <v>53.9543330357498</v>
      </c>
      <c r="O63" s="11" t="n">
        <f aca="false">MAX(ABS(K63-B$4),ABS(L63-C$4),ABS(M63-D$4),ABS(N63-E$4))</f>
        <v>13.0456669642502</v>
      </c>
      <c r="P63" s="11" t="n">
        <f aca="false">$Q$62*$B$10^J63</f>
        <v>24.7265448059302</v>
      </c>
    </row>
    <row r="64" customFormat="false" ht="15" hidden="false" customHeight="false" outlineLevel="0" collapsed="false">
      <c r="A64" s="19" t="n">
        <v>2</v>
      </c>
      <c r="B64" s="11" t="n">
        <f aca="false">B$4+B$6*(B63-B$4)</f>
        <v>101.24134667146</v>
      </c>
      <c r="C64" s="11" t="n">
        <f aca="false">C$4+C$6*(C63-C$4)</f>
        <v>61.5788733775233</v>
      </c>
      <c r="D64" s="11" t="n">
        <f aca="false">D$4+D$6*(D63-D$4)</f>
        <v>77.3730485541987</v>
      </c>
      <c r="E64" s="11" t="n">
        <f aca="false">E$4+E$6*(E63-E$4)</f>
        <v>60.5337638555596</v>
      </c>
      <c r="F64" s="11" t="n">
        <f aca="false">MAX(ABS(B64-B$4),ABS(C64-C$4),ABS(D64-D$4),ABS(E64-E$4))</f>
        <v>28.5788733775233</v>
      </c>
      <c r="G64" s="11" t="n">
        <f aca="false">$H$62*$B$10^A64</f>
        <v>28.5788733775233</v>
      </c>
      <c r="J64" s="19" t="n">
        <v>2</v>
      </c>
      <c r="K64" s="11" t="n">
        <f aca="false">B$4+B$6*(K63-B$4)</f>
        <v>112.142242742692</v>
      </c>
      <c r="L64" s="11" t="n">
        <f aca="false">C$4+C$6*(L63-C$4)</f>
        <v>36.9277499560405</v>
      </c>
      <c r="M64" s="11" t="n">
        <f aca="false">D$4+D$6*(M63-D$4)</f>
        <v>77.3987920313048</v>
      </c>
      <c r="N64" s="11" t="n">
        <f aca="false">E$4+E$6*(N63-E$4)</f>
        <v>57.3355322119379</v>
      </c>
      <c r="O64" s="11" t="n">
        <f aca="false">MAX(ABS(K64-B$4),ABS(L64-C$4),ABS(M64-D$4),ABS(N64-E$4))</f>
        <v>9.66446778806211</v>
      </c>
      <c r="P64" s="11" t="n">
        <f aca="false">$Q$62*$B$10^J64</f>
        <v>20.2443826499757</v>
      </c>
    </row>
    <row r="65" customFormat="false" ht="15" hidden="false" customHeight="false" outlineLevel="0" collapsed="false">
      <c r="A65" s="19" t="n">
        <v>3</v>
      </c>
      <c r="B65" s="11" t="n">
        <f aca="false">B$4+B$6*(B64-B$4)</f>
        <v>102.965748673914</v>
      </c>
      <c r="C65" s="11" t="n">
        <f aca="false">C$4+C$6*(C64-C$4)</f>
        <v>56.3984025224999</v>
      </c>
      <c r="D65" s="11" t="n">
        <f aca="false">D$4+D$6*(D64-D$4)</f>
        <v>78.1071101151843</v>
      </c>
      <c r="E65" s="11" t="n">
        <f aca="false">E$4+E$6*(E64-E$4)</f>
        <v>62.2096944449678</v>
      </c>
      <c r="F65" s="11" t="n">
        <f aca="false">MAX(ABS(B65-B$4),ABS(C65-C$4),ABS(D65-D$4),ABS(E65-E$4))</f>
        <v>23.3984025224999</v>
      </c>
      <c r="G65" s="11" t="n">
        <f aca="false">$H$62*$B$10^A65</f>
        <v>23.3984025224999</v>
      </c>
      <c r="J65" s="19" t="n">
        <v>3</v>
      </c>
      <c r="K65" s="11" t="n">
        <f aca="false">B$4+B$6*(K64-B$4)</f>
        <v>109.916466886835</v>
      </c>
      <c r="L65" s="11" t="n">
        <f aca="false">C$4+C$6*(L64-C$4)</f>
        <v>36.215769679411</v>
      </c>
      <c r="M65" s="11" t="n">
        <f aca="false">D$4+D$6*(M64-D$4)</f>
        <v>78.1212384349736</v>
      </c>
      <c r="N65" s="11" t="n">
        <f aca="false">E$4+E$6*(N64-E$4)</f>
        <v>59.8403861694121</v>
      </c>
      <c r="O65" s="11" t="n">
        <f aca="false">MAX(ABS(K65-B$4),ABS(L65-C$4),ABS(M65-D$4),ABS(N65-E$4))</f>
        <v>7.15961383058794</v>
      </c>
      <c r="P65" s="11" t="n">
        <f aca="false">$Q$62*$B$10^J65</f>
        <v>16.5746986526134</v>
      </c>
    </row>
    <row r="66" customFormat="false" ht="15" hidden="false" customHeight="false" outlineLevel="0" collapsed="false">
      <c r="A66" s="19" t="n">
        <v>4</v>
      </c>
      <c r="B66" s="11" t="n">
        <f aca="false">B$4+B$6*(B65-B$4)</f>
        <v>104.065275935392</v>
      </c>
      <c r="C66" s="11" t="n">
        <f aca="false">C$4+C$6*(C65-C$4)</f>
        <v>52.1569917180681</v>
      </c>
      <c r="D66" s="11" t="n">
        <f aca="false">D$4+D$6*(D65-D$4)</f>
        <v>78.5099716414625</v>
      </c>
      <c r="E66" s="11" t="n">
        <f aca="false">E$4+E$6*(E65-E$4)</f>
        <v>63.4512543621993</v>
      </c>
      <c r="F66" s="11" t="n">
        <f aca="false">MAX(ABS(B66-B$4),ABS(C66-C$4),ABS(D66-D$4),ABS(E66-E$4))</f>
        <v>19.1569917180681</v>
      </c>
      <c r="G66" s="11" t="n">
        <f aca="false">$H$62*$B$10^A66</f>
        <v>19.1569917180681</v>
      </c>
      <c r="J66" s="19" t="n">
        <v>4</v>
      </c>
      <c r="K66" s="11" t="n">
        <f aca="false">B$4+B$6*(K65-B$4)</f>
        <v>108.49724954194</v>
      </c>
      <c r="L66" s="11" t="n">
        <f aca="false">C$4+C$6*(L65-C$4)</f>
        <v>35.6328495313495</v>
      </c>
      <c r="M66" s="11" t="n">
        <f aca="false">D$4+D$6*(M65-D$4)</f>
        <v>78.5177254277613</v>
      </c>
      <c r="N66" s="11" t="n">
        <f aca="false">E$4+E$6*(N65-E$4)</f>
        <v>61.6960276212556</v>
      </c>
      <c r="O66" s="11" t="n">
        <f aca="false">MAX(ABS(K66-B$4),ABS(L66-C$4),ABS(M66-D$4),ABS(N66-E$4))</f>
        <v>5.30397237874438</v>
      </c>
      <c r="P66" s="11" t="n">
        <f aca="false">$Q$62*$B$10^J66</f>
        <v>13.5702155098948</v>
      </c>
    </row>
    <row r="67" customFormat="false" ht="15" hidden="false" customHeight="false" outlineLevel="0" collapsed="false">
      <c r="A67" s="19" t="n">
        <v>5</v>
      </c>
      <c r="B67" s="11" t="n">
        <f aca="false">B$4+B$6*(B66-B$4)</f>
        <v>104.766365470786</v>
      </c>
      <c r="C67" s="11" t="n">
        <f aca="false">C$4+C$6*(C66-C$4)</f>
        <v>48.6844182560426</v>
      </c>
      <c r="D67" s="11" t="n">
        <f aca="false">D$4+D$6*(D66-D$4)</f>
        <v>78.7310667348186</v>
      </c>
      <c r="E67" s="11" t="n">
        <f aca="false">E$4+E$6*(E66-E$4)</f>
        <v>64.3710245709525</v>
      </c>
      <c r="F67" s="11" t="n">
        <f aca="false">MAX(ABS(B67-B$4),ABS(C67-C$4),ABS(D67-D$4),ABS(E67-E$4))</f>
        <v>15.6844182560426</v>
      </c>
      <c r="G67" s="11" t="n">
        <f aca="false">$H$62*$B$10^A67</f>
        <v>15.6844182560426</v>
      </c>
      <c r="J67" s="19" t="n">
        <v>5</v>
      </c>
      <c r="K67" s="11" t="n">
        <f aca="false">B$4+B$6*(K66-B$4)</f>
        <v>107.592316609566</v>
      </c>
      <c r="L67" s="11" t="n">
        <f aca="false">C$4+C$6*(L66-C$4)</f>
        <v>35.1555948795428</v>
      </c>
      <c r="M67" s="11" t="n">
        <f aca="false">D$4+D$6*(M66-D$4)</f>
        <v>78.7353221029631</v>
      </c>
      <c r="N67" s="11" t="n">
        <f aca="false">E$4+E$6*(N66-E$4)</f>
        <v>63.0707206198336</v>
      </c>
      <c r="O67" s="11" t="n">
        <f aca="false">MAX(ABS(K67-B$4),ABS(L67-C$4),ABS(M67-D$4),ABS(N67-E$4))</f>
        <v>3.92927938016639</v>
      </c>
      <c r="P67" s="11" t="n">
        <f aca="false">$Q$62*$B$10^J67</f>
        <v>11.1103527638467</v>
      </c>
    </row>
    <row r="68" customFormat="false" ht="15" hidden="false" customHeight="false" outlineLevel="0" collapsed="false">
      <c r="A68" s="19" t="n">
        <v>6</v>
      </c>
      <c r="B68" s="11" t="n">
        <f aca="false">B$4+B$6*(B67-B$4)</f>
        <v>105.21339989536</v>
      </c>
      <c r="C68" s="11" t="n">
        <f aca="false">C$4+C$6*(C67-C$4)</f>
        <v>45.8413155703598</v>
      </c>
      <c r="D68" s="11" t="n">
        <f aca="false">D$4+D$6*(D67-D$4)</f>
        <v>78.8524062947357</v>
      </c>
      <c r="E68" s="11" t="n">
        <f aca="false">E$4+E$6*(E67-E$4)</f>
        <v>65.0524071004371</v>
      </c>
      <c r="F68" s="11" t="n">
        <f aca="false">MAX(ABS(B68-B$4),ABS(C68-C$4),ABS(D68-D$4),ABS(E68-E$4))</f>
        <v>12.8413155703598</v>
      </c>
      <c r="G68" s="11" t="n">
        <f aca="false">$H$62*$B$10^A68</f>
        <v>12.8413155703598</v>
      </c>
      <c r="J68" s="19" t="n">
        <v>6</v>
      </c>
      <c r="K68" s="11" t="n">
        <f aca="false">B$4+B$6*(K67-B$4)</f>
        <v>107.015305896554</v>
      </c>
      <c r="L68" s="11" t="n">
        <f aca="false">C$4+C$6*(L67-C$4)</f>
        <v>34.7648518190591</v>
      </c>
      <c r="M68" s="11" t="n">
        <f aca="false">D$4+D$6*(M67-D$4)</f>
        <v>78.8547416902893</v>
      </c>
      <c r="N68" s="11" t="n">
        <f aca="false">E$4+E$6*(N67-E$4)</f>
        <v>64.0891182410238</v>
      </c>
      <c r="O68" s="11" t="n">
        <f aca="false">MAX(ABS(K68-B$4),ABS(L68-C$4),ABS(M68-D$4),ABS(N68-E$4))</f>
        <v>2.91088175897623</v>
      </c>
      <c r="P68" s="11" t="n">
        <f aca="false">$Q$62*$B$10^J68</f>
        <v>9.09638748530622</v>
      </c>
    </row>
    <row r="69" customFormat="false" ht="15" hidden="false" customHeight="false" outlineLevel="0" collapsed="false">
      <c r="A69" s="19" t="n">
        <v>7</v>
      </c>
      <c r="B69" s="11" t="n">
        <f aca="false">B$4+B$6*(B68-B$4)</f>
        <v>105.498441629213</v>
      </c>
      <c r="C69" s="11" t="n">
        <f aca="false">C$4+C$6*(C68-C$4)</f>
        <v>43.5135799674327</v>
      </c>
      <c r="D69" s="11" t="n">
        <f aca="false">D$4+D$6*(D68-D$4)</f>
        <v>78.9189988571367</v>
      </c>
      <c r="E69" s="11" t="n">
        <f aca="false">E$4+E$6*(E68-E$4)</f>
        <v>65.5571876935334</v>
      </c>
      <c r="F69" s="11" t="n">
        <f aca="false">MAX(ABS(B69-B$4),ABS(C69-C$4),ABS(D69-D$4),ABS(E69-E$4))</f>
        <v>10.5135799674327</v>
      </c>
      <c r="G69" s="11" t="n">
        <f aca="false">$H$62*$B$10^A69</f>
        <v>10.5135799674327</v>
      </c>
      <c r="J69" s="19" t="n">
        <v>7</v>
      </c>
      <c r="K69" s="11" t="n">
        <f aca="false">B$4+B$6*(K68-B$4)</f>
        <v>106.64738762215</v>
      </c>
      <c r="L69" s="11" t="n">
        <f aca="false">C$4+C$6*(L68-C$4)</f>
        <v>34.4449384588893</v>
      </c>
      <c r="M69" s="11" t="n">
        <f aca="false">D$4+D$6*(M68-D$4)</f>
        <v>78.9202805493914</v>
      </c>
      <c r="N69" s="11" t="n">
        <f aca="false">E$4+E$6*(N68-E$4)</f>
        <v>64.8435657547004</v>
      </c>
      <c r="O69" s="11" t="n">
        <f aca="false">MAX(ABS(K69-B$4),ABS(L69-C$4),ABS(M69-D$4),ABS(N69-E$4))</f>
        <v>2.15643424529964</v>
      </c>
      <c r="P69" s="11" t="n">
        <f aca="false">$Q$62*$B$10^J69</f>
        <v>7.44749217613389</v>
      </c>
    </row>
    <row r="70" customFormat="false" ht="15" hidden="false" customHeight="false" outlineLevel="0" collapsed="false">
      <c r="A70" s="19" t="n">
        <v>8</v>
      </c>
      <c r="B70" s="11" t="n">
        <f aca="false">B$4+B$6*(B69-B$4)</f>
        <v>105.680192263105</v>
      </c>
      <c r="C70" s="11" t="n">
        <f aca="false">C$4+C$6*(C69-C$4)</f>
        <v>41.6077912442817</v>
      </c>
      <c r="D70" s="11" t="n">
        <f aca="false">D$4+D$6*(D69-D$4)</f>
        <v>78.9555456302597</v>
      </c>
      <c r="E70" s="11" t="n">
        <f aca="false">E$4+E$6*(E69-E$4)</f>
        <v>65.9311383543458</v>
      </c>
      <c r="F70" s="11" t="n">
        <f aca="false">MAX(ABS(B70-B$4),ABS(C70-C$4),ABS(D70-D$4),ABS(E70-E$4))</f>
        <v>8.60779124428174</v>
      </c>
      <c r="G70" s="11" t="n">
        <f aca="false">$H$62*$B$10^A70</f>
        <v>8.60779124428174</v>
      </c>
      <c r="J70" s="19" t="n">
        <v>8</v>
      </c>
      <c r="K70" s="11" t="n">
        <f aca="false">B$4+B$6*(K69-B$4)</f>
        <v>106.412792572895</v>
      </c>
      <c r="L70" s="11" t="n">
        <f aca="false">C$4+C$6*(L69-C$4)</f>
        <v>34.1830155525978</v>
      </c>
      <c r="M70" s="11" t="n">
        <f aca="false">D$4+D$6*(M69-D$4)</f>
        <v>78.956249037883</v>
      </c>
      <c r="N70" s="11" t="n">
        <f aca="false">E$4+E$6*(N69-E$4)</f>
        <v>65.40247421938</v>
      </c>
      <c r="O70" s="11" t="n">
        <f aca="false">MAX(ABS(K70-B$4),ABS(L70-C$4),ABS(M70-D$4),ABS(N70-E$4))</f>
        <v>1.59752578062</v>
      </c>
      <c r="P70" s="11" t="n">
        <f aca="false">$Q$62*$B$10^J70</f>
        <v>6.09749087790848</v>
      </c>
    </row>
    <row r="71" customFormat="false" ht="15" hidden="false" customHeight="false" outlineLevel="0" collapsed="false">
      <c r="A71" s="19" t="n">
        <v>9</v>
      </c>
      <c r="B71" s="11" t="n">
        <f aca="false">B$4+B$6*(B70-B$4)</f>
        <v>105.796081583849</v>
      </c>
      <c r="C71" s="11" t="n">
        <f aca="false">C$4+C$6*(C70-C$4)</f>
        <v>40.0474634077688</v>
      </c>
      <c r="D71" s="11" t="n">
        <f aca="false">D$4+D$6*(D70-D$4)</f>
        <v>78.9756029246113</v>
      </c>
      <c r="E71" s="11" t="n">
        <f aca="false">E$4+E$6*(E70-E$4)</f>
        <v>66.2081678175115</v>
      </c>
      <c r="F71" s="11" t="n">
        <f aca="false">MAX(ABS(B71-B$4),ABS(C71-C$4),ABS(D71-D$4),ABS(E71-E$4))</f>
        <v>7.04746340776885</v>
      </c>
      <c r="G71" s="11" t="n">
        <f aca="false">$H$62*$B$10^A71</f>
        <v>7.04746340776885</v>
      </c>
      <c r="J71" s="19" t="n">
        <v>9</v>
      </c>
      <c r="K71" s="11" t="n">
        <f aca="false">B$4+B$6*(K70-B$4)</f>
        <v>106.263208165258</v>
      </c>
      <c r="L71" s="11" t="n">
        <f aca="false">C$4+C$6*(L70-C$4)</f>
        <v>33.9685712142814</v>
      </c>
      <c r="M71" s="11" t="n">
        <f aca="false">D$4+D$6*(M70-D$4)</f>
        <v>78.9759889628999</v>
      </c>
      <c r="N71" s="11" t="n">
        <f aca="false">E$4+E$6*(N70-E$4)</f>
        <v>65.8165237937079</v>
      </c>
      <c r="O71" s="11" t="n">
        <f aca="false">MAX(ABS(K71-B$4),ABS(L71-C$4),ABS(M71-D$4),ABS(N71-E$4))</f>
        <v>1.18347620629208</v>
      </c>
      <c r="P71" s="11" t="n">
        <f aca="false">$Q$62*$B$10^J71</f>
        <v>4.99220329835613</v>
      </c>
    </row>
    <row r="72" customFormat="false" ht="15" hidden="false" customHeight="false" outlineLevel="0" collapsed="false">
      <c r="A72" s="19" t="n">
        <v>10</v>
      </c>
      <c r="B72" s="11" t="n">
        <f aca="false">B$4+B$6*(B71-B$4)</f>
        <v>105.869975877228</v>
      </c>
      <c r="C72" s="11" t="n">
        <f aca="false">C$4+C$6*(C71-C$4)</f>
        <v>38.7699750231321</v>
      </c>
      <c r="D72" s="11" t="n">
        <f aca="false">D$4+D$6*(D71-D$4)</f>
        <v>78.98661060114</v>
      </c>
      <c r="E72" s="11" t="n">
        <f aca="false">E$4+E$6*(E71-E$4)</f>
        <v>66.4133962914903</v>
      </c>
      <c r="F72" s="11" t="n">
        <f aca="false">MAX(ABS(B72-B$4),ABS(C72-C$4),ABS(D72-D$4),ABS(E72-E$4))</f>
        <v>5.76997502313211</v>
      </c>
      <c r="G72" s="11" t="n">
        <f aca="false">$H$62*$B$10^A72</f>
        <v>5.76997502313211</v>
      </c>
      <c r="J72" s="19" t="n">
        <v>10</v>
      </c>
      <c r="K72" s="11" t="n">
        <f aca="false">B$4+B$6*(K71-B$4)</f>
        <v>106.167828935905</v>
      </c>
      <c r="L72" s="11" t="n">
        <f aca="false">C$4+C$6*(L71-C$4)</f>
        <v>33.7929990396782</v>
      </c>
      <c r="M72" s="11" t="n">
        <f aca="false">D$4+D$6*(M71-D$4)</f>
        <v>78.9868224634448</v>
      </c>
      <c r="N72" s="11" t="n">
        <f aca="false">E$4+E$6*(N71-E$4)</f>
        <v>66.1232592626355</v>
      </c>
      <c r="O72" s="11" t="n">
        <f aca="false">MAX(ABS(K72-B$4),ABS(L72-C$4),ABS(M72-D$4),ABS(N72-E$4))</f>
        <v>0.876740737364457</v>
      </c>
      <c r="P72" s="11" t="n">
        <f aca="false">$Q$62*$B$10^J72</f>
        <v>4.0872703659815</v>
      </c>
    </row>
    <row r="73" customFormat="false" ht="15" hidden="false" customHeight="false" outlineLevel="0" collapsed="false">
      <c r="A73" s="19" t="n">
        <v>11</v>
      </c>
      <c r="B73" s="11" t="n">
        <f aca="false">B$4+B$6*(B72-B$4)</f>
        <v>105.917092958931</v>
      </c>
      <c r="C73" s="11" t="n">
        <f aca="false">C$4+C$6*(C72-C$4)</f>
        <v>37.7240559959301</v>
      </c>
      <c r="D73" s="11" t="n">
        <f aca="false">D$4+D$6*(D72-D$4)</f>
        <v>78.9926517421053</v>
      </c>
      <c r="E73" s="11" t="n">
        <f aca="false">E$4+E$6*(E72-E$4)</f>
        <v>66.5654332844166</v>
      </c>
      <c r="F73" s="11" t="n">
        <f aca="false">MAX(ABS(B73-B$4),ABS(C73-C$4),ABS(D73-D$4),ABS(E73-E$4))</f>
        <v>4.72405599593009</v>
      </c>
      <c r="G73" s="11" t="n">
        <f aca="false">$H$62*$B$10^A73</f>
        <v>4.7240559959301</v>
      </c>
      <c r="J73" s="19" t="n">
        <v>11</v>
      </c>
      <c r="K73" s="11" t="n">
        <f aca="false">B$4+B$6*(K72-B$4)</f>
        <v>106.10701245419</v>
      </c>
      <c r="L73" s="11" t="n">
        <f aca="false">C$4+C$6*(L72-C$4)</f>
        <v>33.6492527009459</v>
      </c>
      <c r="M73" s="11" t="n">
        <f aca="false">D$4+D$6*(M72-D$4)</f>
        <v>78.9927680146034</v>
      </c>
      <c r="N73" s="11" t="n">
        <f aca="false">E$4+E$6*(N72-E$4)</f>
        <v>66.3504944869465</v>
      </c>
      <c r="O73" s="11" t="n">
        <f aca="false">MAX(ABS(K73-B$4),ABS(L73-C$4),ABS(M73-D$4),ABS(N73-E$4))</f>
        <v>0.649505513053512</v>
      </c>
      <c r="P73" s="11" t="n">
        <f aca="false">$Q$62*$B$10^J73</f>
        <v>3.34637394477335</v>
      </c>
    </row>
    <row r="74" customFormat="false" ht="15" hidden="false" customHeight="false" outlineLevel="0" collapsed="false">
      <c r="A74" s="19" t="n">
        <v>12</v>
      </c>
      <c r="B74" s="11" t="n">
        <f aca="false">B$4+B$6*(B73-B$4)</f>
        <v>105.947136136647</v>
      </c>
      <c r="C74" s="11" t="n">
        <f aca="false">C$4+C$6*(C73-C$4)</f>
        <v>36.8677299231304</v>
      </c>
      <c r="D74" s="11" t="n">
        <f aca="false">D$4+D$6*(D73-D$4)</f>
        <v>78.9959671905624</v>
      </c>
      <c r="E74" s="11" t="n">
        <f aca="false">E$4+E$6*(E73-E$4)</f>
        <v>66.678065058994</v>
      </c>
      <c r="F74" s="11" t="n">
        <f aca="false">MAX(ABS(B74-B$4),ABS(C74-C$4),ABS(D74-D$4),ABS(E74-E$4))</f>
        <v>3.8677299231304</v>
      </c>
      <c r="G74" s="11" t="n">
        <f aca="false">$H$62*$B$10^A74</f>
        <v>3.8677299231304</v>
      </c>
      <c r="J74" s="19" t="n">
        <v>12</v>
      </c>
      <c r="K74" s="11" t="n">
        <f aca="false">B$4+B$6*(K73-B$4)</f>
        <v>106.068234153366</v>
      </c>
      <c r="L74" s="11" t="n">
        <f aca="false">C$4+C$6*(L73-C$4)</f>
        <v>33.5315631527833</v>
      </c>
      <c r="M74" s="11" t="n">
        <f aca="false">D$4+D$6*(M73-D$4)</f>
        <v>78.9960310022623</v>
      </c>
      <c r="N74" s="11" t="n">
        <f aca="false">E$4+E$6*(N73-E$4)</f>
        <v>66.5188344814967</v>
      </c>
      <c r="O74" s="11" t="n">
        <f aca="false">MAX(ABS(K74-B$4),ABS(L74-C$4),ABS(M74-D$4),ABS(N74-E$4))</f>
        <v>0.531563152783328</v>
      </c>
      <c r="P74" s="11" t="n">
        <f aca="false">$Q$62*$B$10^J74</f>
        <v>2.73977925988483</v>
      </c>
    </row>
    <row r="75" customFormat="false" ht="15" hidden="false" customHeight="false" outlineLevel="0" collapsed="false">
      <c r="A75" s="19" t="n">
        <v>13</v>
      </c>
      <c r="B75" s="11" t="n">
        <f aca="false">B$4+B$6*(B74-B$4)</f>
        <v>105.966292512522</v>
      </c>
      <c r="C75" s="11" t="n">
        <f aca="false">C$4+C$6*(C74-C$4)</f>
        <v>36.1666294326668</v>
      </c>
      <c r="D75" s="11" t="n">
        <f aca="false">D$4+D$6*(D74-D$4)</f>
        <v>78.9977867472545</v>
      </c>
      <c r="E75" s="11" t="n">
        <f aca="false">E$4+E$6*(E74-E$4)</f>
        <v>66.7615047298286</v>
      </c>
      <c r="F75" s="11" t="n">
        <f aca="false">MAX(ABS(B75-B$4),ABS(C75-C$4),ABS(D75-D$4),ABS(E75-E$4))</f>
        <v>3.1666294326668</v>
      </c>
      <c r="G75" s="11" t="n">
        <f aca="false">$H$62*$B$10^A75</f>
        <v>3.1666294326668</v>
      </c>
      <c r="J75" s="19" t="n">
        <v>13</v>
      </c>
      <c r="K75" s="11" t="n">
        <f aca="false">B$4+B$6*(K74-B$4)</f>
        <v>106.043508017088</v>
      </c>
      <c r="L75" s="11" t="n">
        <f aca="false">C$4+C$6*(L74-C$4)</f>
        <v>33.4352071003868</v>
      </c>
      <c r="M75" s="11" t="n">
        <f aca="false">D$4+D$6*(M74-D$4)</f>
        <v>78.9978217678579</v>
      </c>
      <c r="N75" s="11" t="n">
        <f aca="false">E$4+E$6*(N74-E$4)</f>
        <v>66.643543816729</v>
      </c>
      <c r="O75" s="11" t="n">
        <f aca="false">MAX(ABS(K75-B$4),ABS(L75-C$4),ABS(M75-D$4),ABS(N75-E$4))</f>
        <v>0.435207100386798</v>
      </c>
      <c r="P75" s="11" t="n">
        <f aca="false">$Q$62*$B$10^J75</f>
        <v>2.24314153671294</v>
      </c>
    </row>
    <row r="76" customFormat="false" ht="15" hidden="false" customHeight="false" outlineLevel="0" collapsed="false">
      <c r="A76" s="19" t="n">
        <v>14</v>
      </c>
      <c r="B76" s="11" t="n">
        <f aca="false">B$4+B$6*(B75-B$4)</f>
        <v>105.978507157064</v>
      </c>
      <c r="C76" s="11" t="n">
        <f aca="false">C$4+C$6*(C75-C$4)</f>
        <v>35.5926169001262</v>
      </c>
      <c r="D76" s="11" t="n">
        <f aca="false">D$4+D$6*(D75-D$4)</f>
        <v>78.9987853411397</v>
      </c>
      <c r="E76" s="11" t="n">
        <f aca="false">E$4+E$6*(E75-E$4)</f>
        <v>66.8233183583106</v>
      </c>
      <c r="F76" s="11" t="n">
        <f aca="false">MAX(ABS(B76-B$4),ABS(C76-C$4),ABS(D76-D$4),ABS(E76-E$4))</f>
        <v>2.59261690012619</v>
      </c>
      <c r="G76" s="11" t="n">
        <f aca="false">$H$62*$B$10^A76</f>
        <v>2.59261690012619</v>
      </c>
      <c r="J76" s="19" t="n">
        <v>14</v>
      </c>
      <c r="K76" s="11" t="n">
        <f aca="false">B$4+B$6*(K75-B$4)</f>
        <v>106.027741936517</v>
      </c>
      <c r="L76" s="11" t="n">
        <f aca="false">C$4+C$6*(L75-C$4)</f>
        <v>33.3563174370446</v>
      </c>
      <c r="M76" s="11" t="n">
        <f aca="false">D$4+D$6*(M75-D$4)</f>
        <v>78.9988045608543</v>
      </c>
      <c r="N76" s="11" t="n">
        <f aca="false">E$4+E$6*(N75-E$4)</f>
        <v>66.7359307645582</v>
      </c>
      <c r="O76" s="11" t="n">
        <f aca="false">MAX(ABS(K76-B$4),ABS(L76-C$4),ABS(M76-D$4),ABS(N76-E$4))</f>
        <v>0.356317437044567</v>
      </c>
      <c r="P76" s="11" t="n">
        <f aca="false">$Q$62*$B$10^J76</f>
        <v>1.83652895961349</v>
      </c>
    </row>
    <row r="77" customFormat="false" ht="15" hidden="false" customHeight="false" outlineLevel="0" collapsed="false">
      <c r="A77" s="19" t="n">
        <v>15</v>
      </c>
      <c r="B77" s="11" t="n">
        <f aca="false">B$4+B$6*(B76-B$4)</f>
        <v>105.986295558286</v>
      </c>
      <c r="C77" s="11" t="n">
        <f aca="false">C$4+C$6*(C76-C$4)</f>
        <v>35.122655187083</v>
      </c>
      <c r="D77" s="11" t="n">
        <f aca="false">D$4+D$6*(D76-D$4)</f>
        <v>78.9993333810836</v>
      </c>
      <c r="E77" s="11" t="n">
        <f aca="false">E$4+E$6*(E76-E$4)</f>
        <v>66.8691110205766</v>
      </c>
      <c r="F77" s="11" t="n">
        <f aca="false">MAX(ABS(B77-B$4),ABS(C77-C$4),ABS(D77-D$4),ABS(E77-E$4))</f>
        <v>2.12265518708302</v>
      </c>
      <c r="G77" s="11" t="n">
        <f aca="false">$H$62*$B$10^A77</f>
        <v>2.12265518708302</v>
      </c>
      <c r="J77" s="19" t="n">
        <v>15</v>
      </c>
      <c r="K77" s="11" t="n">
        <f aca="false">B$4+B$6*(K76-B$4)</f>
        <v>106.017689039703</v>
      </c>
      <c r="L77" s="11" t="n">
        <f aca="false">C$4+C$6*(L76-C$4)</f>
        <v>33.2917280435663</v>
      </c>
      <c r="M77" s="11" t="n">
        <f aca="false">D$4+D$6*(M76-D$4)</f>
        <v>78.9993439290866</v>
      </c>
      <c r="N77" s="11" t="n">
        <f aca="false">E$4+E$6*(N76-E$4)</f>
        <v>66.8043726988632</v>
      </c>
      <c r="O77" s="11" t="n">
        <f aca="false">MAX(ABS(K77-B$4),ABS(L77-C$4),ABS(M77-D$4),ABS(N77-E$4))</f>
        <v>0.291728043566316</v>
      </c>
      <c r="P77" s="11" t="n">
        <f aca="false">$Q$62*$B$10^J77</f>
        <v>1.50362273815387</v>
      </c>
    </row>
    <row r="78" customFormat="false" ht="15" hidden="false" customHeight="false" outlineLevel="0" collapsed="false">
      <c r="A78" s="19" t="n">
        <v>16</v>
      </c>
      <c r="B78" s="11" t="n">
        <f aca="false">B$4+B$6*(B77-B$4)</f>
        <v>105.991261662161</v>
      </c>
      <c r="C78" s="11" t="n">
        <f aca="false">C$4+C$6*(C77-C$4)</f>
        <v>34.7378830798454</v>
      </c>
      <c r="D78" s="11" t="n">
        <f aca="false">D$4+D$6*(D77-D$4)</f>
        <v>78.9996341517818</v>
      </c>
      <c r="E78" s="11" t="n">
        <f aca="false">E$4+E$6*(E77-E$4)</f>
        <v>66.9030350591567</v>
      </c>
      <c r="F78" s="11" t="n">
        <f aca="false">MAX(ABS(B78-B$4),ABS(C78-C$4),ABS(D78-D$4),ABS(E78-E$4))</f>
        <v>1.73788307984537</v>
      </c>
      <c r="G78" s="11" t="n">
        <f aca="false">$H$62*$B$10^A78</f>
        <v>1.73788307984536</v>
      </c>
      <c r="J78" s="19" t="n">
        <v>16</v>
      </c>
      <c r="K78" s="11" t="n">
        <f aca="false">B$4+B$6*(K77-B$4)</f>
        <v>106.01127902969</v>
      </c>
      <c r="L78" s="11" t="n">
        <f aca="false">C$4+C$6*(L77-C$4)</f>
        <v>33.238846720803</v>
      </c>
      <c r="M78" s="11" t="n">
        <f aca="false">D$4+D$6*(M77-D$4)</f>
        <v>78.9996399406486</v>
      </c>
      <c r="N78" s="11" t="n">
        <f aca="false">E$4+E$6*(N77-E$4)</f>
        <v>66.8550757308551</v>
      </c>
      <c r="O78" s="11" t="n">
        <f aca="false">MAX(ABS(K78-B$4),ABS(L78-C$4),ABS(M78-D$4),ABS(N78-E$4))</f>
        <v>0.238846720803018</v>
      </c>
      <c r="P78" s="11" t="n">
        <f aca="false">$Q$62*$B$10^J78</f>
        <v>1.2310621767539</v>
      </c>
    </row>
    <row r="79" customFormat="false" ht="15" hidden="false" customHeight="false" outlineLevel="0" collapsed="false">
      <c r="A79" s="19" t="n">
        <v>17</v>
      </c>
      <c r="B79" s="11" t="n">
        <f aca="false">B$4+B$6*(B78-B$4)</f>
        <v>105.994428189795</v>
      </c>
      <c r="C79" s="11" t="n">
        <f aca="false">C$4+C$6*(C78-C$4)</f>
        <v>34.4228583227233</v>
      </c>
      <c r="D79" s="11" t="n">
        <f aca="false">D$4+D$6*(D78-D$4)</f>
        <v>78.9997992182408</v>
      </c>
      <c r="E79" s="11" t="n">
        <f aca="false">E$4+E$6*(E78-E$4)</f>
        <v>66.928166605056</v>
      </c>
      <c r="F79" s="11" t="n">
        <f aca="false">MAX(ABS(B79-B$4),ABS(C79-C$4),ABS(D79-D$4),ABS(E79-E$4))</f>
        <v>1.42285832272328</v>
      </c>
      <c r="G79" s="11" t="n">
        <f aca="false">$H$62*$B$10^A79</f>
        <v>1.42285832272328</v>
      </c>
      <c r="J79" s="19" t="n">
        <v>17</v>
      </c>
      <c r="K79" s="11" t="n">
        <f aca="false">B$4+B$6*(K78-B$4)</f>
        <v>106.007191826853</v>
      </c>
      <c r="L79" s="11" t="n">
        <f aca="false">C$4+C$6*(L78-C$4)</f>
        <v>33.1955511555933</v>
      </c>
      <c r="M79" s="11" t="n">
        <f aca="false">D$4+D$6*(M78-D$4)</f>
        <v>78.9998023952383</v>
      </c>
      <c r="N79" s="11" t="n">
        <f aca="false">E$4+E$6*(N78-E$4)</f>
        <v>66.8926374607985</v>
      </c>
      <c r="O79" s="11" t="n">
        <f aca="false">MAX(ABS(K79-B$4),ABS(L79-C$4),ABS(M79-D$4),ABS(N79-E$4))</f>
        <v>0.195551155593265</v>
      </c>
      <c r="P79" s="11" t="n">
        <f aca="false">$Q$62*$B$10^J79</f>
        <v>1.00790846305954</v>
      </c>
    </row>
    <row r="80" customFormat="false" ht="15" hidden="false" customHeight="false" outlineLevel="0" collapsed="false">
      <c r="A80" s="19" t="n">
        <v>18</v>
      </c>
      <c r="B80" s="11" t="n">
        <f aca="false">B$4+B$6*(B79-B$4)</f>
        <v>105.996447256958</v>
      </c>
      <c r="C80" s="11" t="n">
        <f aca="false">C$4+C$6*(C79-C$4)</f>
        <v>34.1649378660865</v>
      </c>
      <c r="D80" s="11" t="n">
        <f aca="false">D$4+D$6*(D79-D$4)</f>
        <v>78.9998898086343</v>
      </c>
      <c r="E80" s="11" t="n">
        <f aca="false">E$4+E$6*(E79-E$4)</f>
        <v>66.946784512172</v>
      </c>
      <c r="F80" s="11" t="n">
        <f aca="false">MAX(ABS(B80-B$4),ABS(C80-C$4),ABS(D80-D$4),ABS(E80-E$4))</f>
        <v>1.1649378660865</v>
      </c>
      <c r="G80" s="11" t="n">
        <f aca="false">$H$62*$B$10^A80</f>
        <v>1.1649378660865</v>
      </c>
      <c r="J80" s="19" t="n">
        <v>18</v>
      </c>
      <c r="K80" s="11" t="n">
        <f aca="false">B$4+B$6*(K79-B$4)</f>
        <v>106.004585711263</v>
      </c>
      <c r="L80" s="11" t="n">
        <f aca="false">C$4+C$6*(L79-C$4)</f>
        <v>33.1601037448841</v>
      </c>
      <c r="M80" s="11" t="n">
        <f aca="false">D$4+D$6*(M79-D$4)</f>
        <v>78.9998915522074</v>
      </c>
      <c r="N80" s="11" t="n">
        <f aca="false">E$4+E$6*(N79-E$4)</f>
        <v>66.9204638747409</v>
      </c>
      <c r="O80" s="11" t="n">
        <f aca="false">MAX(ABS(K80-B$4),ABS(L80-C$4),ABS(M80-D$4),ABS(N80-E$4))</f>
        <v>0.16010374488414</v>
      </c>
      <c r="P80" s="11" t="n">
        <f aca="false">$Q$62*$B$10^J80</f>
        <v>0.825205654994406</v>
      </c>
    </row>
    <row r="81" customFormat="false" ht="15" hidden="false" customHeight="false" outlineLevel="0" collapsed="false">
      <c r="A81" s="19" t="n">
        <v>19</v>
      </c>
      <c r="B81" s="11" t="n">
        <f aca="false">B$4+B$6*(B80-B$4)</f>
        <v>105.997734671021</v>
      </c>
      <c r="C81" s="11" t="n">
        <f aca="false">C$4+C$6*(C80-C$4)</f>
        <v>33.9537704563901</v>
      </c>
      <c r="D81" s="11" t="n">
        <f aca="false">D$4+D$6*(D80-D$4)</f>
        <v>78.9999395256963</v>
      </c>
      <c r="E81" s="11" t="n">
        <f aca="false">E$4+E$6*(E80-E$4)</f>
        <v>66.9605769969946</v>
      </c>
      <c r="F81" s="11" t="n">
        <f aca="false">MAX(ABS(B81-B$4),ABS(C81-C$4),ABS(D81-D$4),ABS(E81-E$4))</f>
        <v>0.95377045639006</v>
      </c>
      <c r="G81" s="11" t="n">
        <f aca="false">$H$62*$B$10^A81</f>
        <v>0.95377045639006</v>
      </c>
      <c r="J81" s="19" t="n">
        <v>19</v>
      </c>
      <c r="K81" s="11" t="n">
        <f aca="false">B$4+B$6*(K80-B$4)</f>
        <v>106.002923978597</v>
      </c>
      <c r="L81" s="11" t="n">
        <f aca="false">C$4+C$6*(L80-C$4)</f>
        <v>33.1310818596196</v>
      </c>
      <c r="M81" s="11" t="n">
        <f aca="false">D$4+D$6*(M80-D$4)</f>
        <v>78.9999404825895</v>
      </c>
      <c r="N81" s="11" t="n">
        <f aca="false">E$4+E$6*(N80-E$4)</f>
        <v>66.9410781892056</v>
      </c>
      <c r="O81" s="11" t="n">
        <f aca="false">MAX(ABS(K81-B$4),ABS(L81-C$4),ABS(M81-D$4),ABS(N81-E$4))</f>
        <v>0.131081859619599</v>
      </c>
      <c r="P81" s="11" t="n">
        <f aca="false">$Q$62*$B$10^J81</f>
        <v>0.675621247357779</v>
      </c>
    </row>
    <row r="82" customFormat="false" ht="15" hidden="false" customHeight="false" outlineLevel="0" collapsed="false">
      <c r="A82" s="19" t="n">
        <v>20</v>
      </c>
      <c r="B82" s="11" t="n">
        <f aca="false">B$4+B$6*(B81-B$4)</f>
        <v>105.99855556247</v>
      </c>
      <c r="C82" s="11" t="n">
        <f aca="false">C$4+C$6*(C81-C$4)</f>
        <v>33.7808812040238</v>
      </c>
      <c r="D82" s="11" t="n">
        <f aca="false">D$4+D$6*(D81-D$4)</f>
        <v>78.9999668109984</v>
      </c>
      <c r="E82" s="11" t="n">
        <f aca="false">E$4+E$6*(E81-E$4)</f>
        <v>66.9707947210596</v>
      </c>
      <c r="F82" s="11" t="n">
        <f aca="false">MAX(ABS(B82-B$4),ABS(C82-C$4),ABS(D82-D$4),ABS(E82-E$4))</f>
        <v>0.780881204023764</v>
      </c>
      <c r="G82" s="11" t="n">
        <f aca="false">$H$62*$B$10^A82</f>
        <v>0.780881204023764</v>
      </c>
      <c r="J82" s="19" t="n">
        <v>20</v>
      </c>
      <c r="K82" s="11" t="n">
        <f aca="false">B$4+B$6*(K81-B$4)</f>
        <v>106.001864411068</v>
      </c>
      <c r="L82" s="11" t="n">
        <f aca="false">C$4+C$6*(L81-C$4)</f>
        <v>33.1073207496412</v>
      </c>
      <c r="M82" s="11" t="n">
        <f aca="false">D$4+D$6*(M81-D$4)</f>
        <v>78.9999673361526</v>
      </c>
      <c r="N82" s="11" t="n">
        <f aca="false">E$4+E$6*(N81-E$4)</f>
        <v>66.9563496489679</v>
      </c>
      <c r="O82" s="11" t="n">
        <f aca="false">MAX(ABS(K82-B$4),ABS(L82-C$4),ABS(M82-D$4),ABS(N82-E$4))</f>
        <v>0.107320749641218</v>
      </c>
      <c r="P82" s="11" t="n">
        <f aca="false">$Q$62*$B$10^J82</f>
        <v>0.55315189264472</v>
      </c>
    </row>
    <row r="83" customFormat="false" ht="15" hidden="false" customHeight="false" outlineLevel="0" collapsed="false">
      <c r="A83" s="19" t="n">
        <v>21</v>
      </c>
      <c r="B83" s="11" t="n">
        <f aca="false">B$4+B$6*(B82-B$4)</f>
        <v>105.999078985968</v>
      </c>
      <c r="C83" s="11" t="n">
        <f aca="false">C$4+C$6*(C82-C$4)</f>
        <v>33.6393314562348</v>
      </c>
      <c r="D83" s="11" t="n">
        <f aca="false">D$4+D$6*(D82-D$4)</f>
        <v>78.9999817854898</v>
      </c>
      <c r="E83" s="11" t="n">
        <f aca="false">E$4+E$6*(E82-E$4)</f>
        <v>66.9783641972208</v>
      </c>
      <c r="F83" s="11" t="n">
        <f aca="false">MAX(ABS(B83-B$4),ABS(C83-C$4),ABS(D83-D$4),ABS(E83-E$4))</f>
        <v>0.639331456234821</v>
      </c>
      <c r="G83" s="11" t="n">
        <f aca="false">$H$62*$B$10^A83</f>
        <v>0.639331456234818</v>
      </c>
      <c r="J83" s="19" t="n">
        <v>21</v>
      </c>
      <c r="K83" s="11" t="n">
        <f aca="false">B$4+B$6*(K82-B$4)</f>
        <v>106.001188800983</v>
      </c>
      <c r="L83" s="11" t="n">
        <f aca="false">C$4+C$6*(L82-C$4)</f>
        <v>33.0878667981746</v>
      </c>
      <c r="M83" s="11" t="n">
        <f aca="false">D$4+D$6*(M82-D$4)</f>
        <v>78.9999820737005</v>
      </c>
      <c r="N83" s="11" t="n">
        <f aca="false">E$4+E$6*(N82-E$4)</f>
        <v>66.9676630246163</v>
      </c>
      <c r="O83" s="11" t="n">
        <f aca="false">MAX(ABS(K83-B$4),ABS(L83-C$4),ABS(M83-D$4),ABS(N83-E$4))</f>
        <v>0.0878667981746446</v>
      </c>
      <c r="P83" s="11" t="n">
        <f aca="false">$Q$62*$B$10^J83</f>
        <v>0.452882465631523</v>
      </c>
    </row>
    <row r="84" customFormat="false" ht="15" hidden="false" customHeight="false" outlineLevel="0" collapsed="false">
      <c r="A84" s="19" t="n">
        <v>22</v>
      </c>
      <c r="B84" s="11" t="n">
        <f aca="false">B$4+B$6*(B83-B$4)</f>
        <v>105.999412735525</v>
      </c>
      <c r="C84" s="11" t="n">
        <f aca="false">C$4+C$6*(C83-C$4)</f>
        <v>33.5234403246296</v>
      </c>
      <c r="D84" s="11" t="n">
        <f aca="false">D$4+D$6*(D83-D$4)</f>
        <v>78.9999900036648</v>
      </c>
      <c r="E84" s="11" t="n">
        <f aca="false">E$4+E$6*(E83-E$4)</f>
        <v>66.9839718030821</v>
      </c>
      <c r="F84" s="11" t="n">
        <f aca="false">MAX(ABS(B84-B$4),ABS(C84-C$4),ABS(D84-D$4),ABS(E84-E$4))</f>
        <v>0.523440324629576</v>
      </c>
      <c r="G84" s="11" t="n">
        <f aca="false">$H$62*$B$10^A84</f>
        <v>0.523440324629575</v>
      </c>
      <c r="J84" s="19" t="n">
        <v>22</v>
      </c>
      <c r="K84" s="11" t="n">
        <f aca="false">B$4+B$6*(K83-B$4)</f>
        <v>106.000758012974</v>
      </c>
      <c r="L84" s="11" t="n">
        <f aca="false">C$4+C$6*(L83-C$4)</f>
        <v>33.0719392498401</v>
      </c>
      <c r="M84" s="11" t="n">
        <f aca="false">D$4+D$6*(M83-D$4)</f>
        <v>78.9999901618382</v>
      </c>
      <c r="N84" s="11" t="n">
        <f aca="false">E$4+E$6*(N83-E$4)</f>
        <v>66.976044179434</v>
      </c>
      <c r="O84" s="11" t="n">
        <f aca="false">MAX(ABS(K84-B$4),ABS(L84-C$4),ABS(M84-D$4),ABS(N84-E$4))</f>
        <v>0.0719392498400779</v>
      </c>
      <c r="P84" s="11" t="n">
        <f aca="false">$Q$62*$B$10^J84</f>
        <v>0.37078880214231</v>
      </c>
    </row>
    <row r="85" customFormat="false" ht="15" hidden="false" customHeight="false" outlineLevel="0" collapsed="false">
      <c r="A85" s="19" t="n">
        <v>23</v>
      </c>
      <c r="B85" s="11" t="n">
        <f aca="false">B$4+B$6*(B84-B$4)</f>
        <v>105.999625543638</v>
      </c>
      <c r="C85" s="11" t="n">
        <f aca="false">C$4+C$6*(C84-C$4)</f>
        <v>33.4285566911754</v>
      </c>
      <c r="D85" s="11" t="n">
        <f aca="false">D$4+D$6*(D84-D$4)</f>
        <v>78.999994513895</v>
      </c>
      <c r="E85" s="11" t="n">
        <f aca="false">E$4+E$6*(E84-E$4)</f>
        <v>66.9881260196786</v>
      </c>
      <c r="F85" s="11" t="n">
        <f aca="false">MAX(ABS(B85-B$4),ABS(C85-C$4),ABS(D85-D$4),ABS(E85-E$4))</f>
        <v>0.428556691175359</v>
      </c>
      <c r="G85" s="11" t="n">
        <f aca="false">$H$62*$B$10^A85</f>
        <v>0.428556691175355</v>
      </c>
      <c r="J85" s="19" t="n">
        <v>23</v>
      </c>
      <c r="K85" s="11" t="n">
        <f aca="false">B$4+B$6*(K84-B$4)</f>
        <v>106.000483330411</v>
      </c>
      <c r="L85" s="11" t="n">
        <f aca="false">C$4+C$6*(L84-C$4)</f>
        <v>33.0588988761974</v>
      </c>
      <c r="M85" s="11" t="n">
        <f aca="false">D$4+D$6*(M84-D$4)</f>
        <v>78.9999946007023</v>
      </c>
      <c r="N85" s="11" t="n">
        <f aca="false">E$4+E$6*(N84-E$4)</f>
        <v>66.9822530916333</v>
      </c>
      <c r="O85" s="11" t="n">
        <f aca="false">MAX(ABS(K85-B$4),ABS(L85-C$4),ABS(M85-D$4),ABS(N85-E$4))</f>
        <v>0.0588988761974321</v>
      </c>
      <c r="P85" s="11" t="n">
        <f aca="false">$Q$62*$B$10^J85</f>
        <v>0.303576195210856</v>
      </c>
    </row>
    <row r="86" customFormat="false" ht="15" hidden="false" customHeight="false" outlineLevel="0" collapsed="false">
      <c r="A86" s="19" t="n">
        <v>24</v>
      </c>
      <c r="B86" s="11" t="n">
        <f aca="false">B$4+B$6*(B85-B$4)</f>
        <v>105.999761236082</v>
      </c>
      <c r="C86" s="11" t="n">
        <f aca="false">C$4+C$6*(C85-C$4)</f>
        <v>33.3508725425026</v>
      </c>
      <c r="D86" s="11" t="n">
        <f aca="false">D$4+D$6*(D85-D$4)</f>
        <v>78.9999969891617</v>
      </c>
      <c r="E86" s="11" t="n">
        <f aca="false">E$4+E$6*(E85-E$4)</f>
        <v>66.9912035390259</v>
      </c>
      <c r="F86" s="11" t="n">
        <f aca="false">MAX(ABS(B86-B$4),ABS(C86-C$4),ABS(D86-D$4),ABS(E86-E$4))</f>
        <v>0.350872542502607</v>
      </c>
      <c r="G86" s="11" t="n">
        <f aca="false">$H$62*$B$10^A86</f>
        <v>0.350872542502607</v>
      </c>
      <c r="J86" s="19" t="n">
        <v>24</v>
      </c>
      <c r="K86" s="11" t="n">
        <f aca="false">B$4+B$6*(K85-B$4)</f>
        <v>106.000308185077</v>
      </c>
      <c r="L86" s="11" t="n">
        <f aca="false">C$4+C$6*(L85-C$4)</f>
        <v>33.0482223212646</v>
      </c>
      <c r="M86" s="11" t="n">
        <f aca="false">D$4+D$6*(M85-D$4)</f>
        <v>78.9999970368026</v>
      </c>
      <c r="N86" s="11" t="n">
        <f aca="false">E$4+E$6*(N85-E$4)</f>
        <v>66.9868527669212</v>
      </c>
      <c r="O86" s="11" t="n">
        <f aca="false">MAX(ABS(K86-B$4),ABS(L86-C$4),ABS(M86-D$4),ABS(N86-E$4))</f>
        <v>0.0482223212645678</v>
      </c>
      <c r="P86" s="11" t="n">
        <f aca="false">$Q$62*$B$10^J86</f>
        <v>0.248547166921533</v>
      </c>
    </row>
    <row r="87" customFormat="false" ht="15" hidden="false" customHeight="false" outlineLevel="0" collapsed="false">
      <c r="A87" s="19" t="n">
        <v>25</v>
      </c>
      <c r="B87" s="11" t="n">
        <f aca="false">B$4+B$6*(B86-B$4)</f>
        <v>105.999847757404</v>
      </c>
      <c r="C87" s="11" t="n">
        <f aca="false">C$4+C$6*(C86-C$4)</f>
        <v>33.2872701409575</v>
      </c>
      <c r="D87" s="11" t="n">
        <f aca="false">D$4+D$6*(D86-D$4)</f>
        <v>78.9999983476169</v>
      </c>
      <c r="E87" s="11" t="n">
        <f aca="false">E$4+E$6*(E86-E$4)</f>
        <v>66.9934834214328</v>
      </c>
      <c r="F87" s="11" t="n">
        <f aca="false">MAX(ABS(B87-B$4),ABS(C87-C$4),ABS(D87-D$4),ABS(E87-E$4))</f>
        <v>0.287270140957546</v>
      </c>
      <c r="G87" s="11" t="n">
        <f aca="false">$H$62*$B$10^A87</f>
        <v>0.287270140957545</v>
      </c>
      <c r="J87" s="19" t="n">
        <v>25</v>
      </c>
      <c r="K87" s="11" t="n">
        <f aca="false">B$4+B$6*(K86-B$4)</f>
        <v>106.000196507481</v>
      </c>
      <c r="L87" s="11" t="n">
        <f aca="false">C$4+C$6*(L86-C$4)</f>
        <v>33.0394810974041</v>
      </c>
      <c r="M87" s="11" t="n">
        <f aca="false">D$4+D$6*(M86-D$4)</f>
        <v>78.9999983737628</v>
      </c>
      <c r="N87" s="11" t="n">
        <f aca="false">E$4+E$6*(N86-E$4)</f>
        <v>66.9902602901837</v>
      </c>
      <c r="O87" s="11" t="n">
        <f aca="false">MAX(ABS(K87-B$4),ABS(L87-C$4),ABS(M87-D$4),ABS(N87-E$4))</f>
        <v>0.0394810974041064</v>
      </c>
      <c r="P87" s="11" t="n">
        <f aca="false">$Q$62*$B$10^J87</f>
        <v>0.203493209149065</v>
      </c>
    </row>
    <row r="88" customFormat="false" ht="15" hidden="false" customHeight="false" outlineLevel="0" collapsed="false">
      <c r="A88" s="19" t="n">
        <v>26</v>
      </c>
      <c r="B88" s="11" t="n">
        <f aca="false">B$4+B$6*(B87-B$4)</f>
        <v>105.999902925835</v>
      </c>
      <c r="C88" s="11" t="n">
        <f aca="false">C$4+C$6*(C87-C$4)</f>
        <v>33.235196898843</v>
      </c>
      <c r="D88" s="11" t="n">
        <f aca="false">D$4+D$6*(D87-D$4)</f>
        <v>78.9999990931529</v>
      </c>
      <c r="E88" s="11" t="n">
        <f aca="false">E$4+E$6*(E87-E$4)</f>
        <v>66.995172399861</v>
      </c>
      <c r="F88" s="11" t="n">
        <f aca="false">MAX(ABS(B88-B$4),ABS(C88-C$4),ABS(D88-D$4),ABS(E88-E$4))</f>
        <v>0.235196898842986</v>
      </c>
      <c r="G88" s="11" t="n">
        <f aca="false">$H$62*$B$10^A88</f>
        <v>0.235196898842989</v>
      </c>
      <c r="J88" s="19" t="n">
        <v>26</v>
      </c>
      <c r="K88" s="11" t="n">
        <f aca="false">B$4+B$6*(K87-B$4)</f>
        <v>106.000125298702</v>
      </c>
      <c r="L88" s="11" t="n">
        <f aca="false">C$4+C$6*(L87-C$4)</f>
        <v>33.03232438861</v>
      </c>
      <c r="M88" s="11" t="n">
        <f aca="false">D$4+D$6*(M87-D$4)</f>
        <v>78.9999991075021</v>
      </c>
      <c r="N88" s="11" t="n">
        <f aca="false">E$4+E$6*(N87-E$4)</f>
        <v>66.9927846455039</v>
      </c>
      <c r="O88" s="11" t="n">
        <f aca="false">MAX(ABS(K88-B$4),ABS(L88-C$4),ABS(M88-D$4),ABS(N88-E$4))</f>
        <v>0.0323243886100073</v>
      </c>
      <c r="P88" s="11" t="n">
        <f aca="false">$Q$62*$B$10^J88</f>
        <v>0.166606148372869</v>
      </c>
    </row>
    <row r="89" customFormat="false" ht="15" hidden="false" customHeight="false" outlineLevel="0" collapsed="false">
      <c r="A89" s="19" t="n">
        <v>27</v>
      </c>
      <c r="B89" s="11" t="n">
        <f aca="false">B$4+B$6*(B88-B$4)</f>
        <v>105.99993810278</v>
      </c>
      <c r="C89" s="11" t="n">
        <f aca="false">C$4+C$6*(C88-C$4)</f>
        <v>33.1925629341113</v>
      </c>
      <c r="D89" s="11" t="n">
        <f aca="false">D$4+D$6*(D88-D$4)</f>
        <v>78.9999995023118</v>
      </c>
      <c r="E89" s="11" t="n">
        <f aca="false">E$4+E$6*(E88-E$4)</f>
        <v>66.9964236258548</v>
      </c>
      <c r="F89" s="11" t="n">
        <f aca="false">MAX(ABS(B89-B$4),ABS(C89-C$4),ABS(D89-D$4),ABS(E89-E$4))</f>
        <v>0.192562934111322</v>
      </c>
      <c r="G89" s="11" t="n">
        <f aca="false">$H$62*$B$10^A89</f>
        <v>0.192562934111326</v>
      </c>
      <c r="J89" s="19" t="n">
        <v>27</v>
      </c>
      <c r="K89" s="11" t="n">
        <f aca="false">B$4+B$6*(K88-B$4)</f>
        <v>106.00007989398</v>
      </c>
      <c r="L89" s="11" t="n">
        <f aca="false">C$4+C$6*(L88-C$4)</f>
        <v>33.0264649710295</v>
      </c>
      <c r="M89" s="11" t="n">
        <f aca="false">D$4+D$6*(M88-D$4)</f>
        <v>78.9999995101868</v>
      </c>
      <c r="N89" s="11" t="n">
        <f aca="false">E$4+E$6*(N88-E$4)</f>
        <v>66.9946547339206</v>
      </c>
      <c r="O89" s="11" t="n">
        <f aca="false">MAX(ABS(K89-B$4),ABS(L89-C$4),ABS(M89-D$4),ABS(N89-E$4))</f>
        <v>0.0264649710294549</v>
      </c>
      <c r="P89" s="11" t="n">
        <f aca="false">$Q$62*$B$10^J89</f>
        <v>0.136405577324741</v>
      </c>
    </row>
    <row r="90" customFormat="false" ht="15" hidden="false" customHeight="false" outlineLevel="0" collapsed="false">
      <c r="A90" s="19" t="n">
        <v>28</v>
      </c>
      <c r="B90" s="11" t="n">
        <f aca="false">B$4+B$6*(B89-B$4)</f>
        <v>105.99996053259</v>
      </c>
      <c r="C90" s="11" t="n">
        <f aca="false">C$4+C$6*(C89-C$4)</f>
        <v>33.1576571960599</v>
      </c>
      <c r="D90" s="11" t="n">
        <f aca="false">D$4+D$6*(D89-D$4)</f>
        <v>78.9999997268629</v>
      </c>
      <c r="E90" s="11" t="n">
        <f aca="false">E$4+E$6*(E89-E$4)</f>
        <v>66.9973505568693</v>
      </c>
      <c r="F90" s="11" t="n">
        <f aca="false">MAX(ABS(B90-B$4),ABS(C90-C$4),ABS(D90-D$4),ABS(E90-E$4))</f>
        <v>0.157657196059866</v>
      </c>
      <c r="G90" s="11" t="n">
        <f aca="false">$H$62*$B$10^A90</f>
        <v>0.157657196059872</v>
      </c>
      <c r="J90" s="19" t="n">
        <v>28</v>
      </c>
      <c r="K90" s="11" t="n">
        <f aca="false">B$4+B$6*(K89-B$4)</f>
        <v>106.000050942651</v>
      </c>
      <c r="L90" s="11" t="n">
        <f aca="false">C$4+C$6*(L89-C$4)</f>
        <v>33.0216676856611</v>
      </c>
      <c r="M90" s="11" t="n">
        <f aca="false">D$4+D$6*(M89-D$4)</f>
        <v>78.9999997311848</v>
      </c>
      <c r="N90" s="11" t="n">
        <f aca="false">E$4+E$6*(N89-E$4)</f>
        <v>66.996040129494</v>
      </c>
      <c r="O90" s="11" t="n">
        <f aca="false">MAX(ABS(K90-B$4),ABS(L90-C$4),ABS(M90-D$4),ABS(N90-E$4))</f>
        <v>0.0216676856611358</v>
      </c>
      <c r="P90" s="11" t="n">
        <f aca="false">$Q$62*$B$10^J90</f>
        <v>0.111679441047122</v>
      </c>
    </row>
    <row r="91" customFormat="false" ht="15" hidden="false" customHeight="false" outlineLevel="0" collapsed="false">
      <c r="A91" s="19" t="n">
        <v>29</v>
      </c>
      <c r="B91" s="11" t="n">
        <f aca="false">B$4+B$6*(B90-B$4)</f>
        <v>105.999974834468</v>
      </c>
      <c r="C91" s="11" t="n">
        <f aca="false">C$4+C$6*(C90-C$4)</f>
        <v>33.1290787948583</v>
      </c>
      <c r="D91" s="11" t="n">
        <f aca="false">D$4+D$6*(D90-D$4)</f>
        <v>78.9999998500992</v>
      </c>
      <c r="E91" s="11" t="n">
        <f aca="false">E$4+E$6*(E90-E$4)</f>
        <v>66.9980372442541</v>
      </c>
      <c r="F91" s="11" t="n">
        <f aca="false">MAX(ABS(B91-B$4),ABS(C91-C$4),ABS(D91-D$4),ABS(E91-E$4))</f>
        <v>0.129078794858259</v>
      </c>
      <c r="G91" s="11" t="n">
        <f aca="false">$H$62*$B$10^A91</f>
        <v>0.129078794858262</v>
      </c>
      <c r="J91" s="19" t="n">
        <v>29</v>
      </c>
      <c r="K91" s="11" t="n">
        <f aca="false">B$4+B$6*(K90-B$4)</f>
        <v>106.000032482468</v>
      </c>
      <c r="L91" s="11" t="n">
        <f aca="false">C$4+C$6*(L90-C$4)</f>
        <v>33.0177400005988</v>
      </c>
      <c r="M91" s="11" t="n">
        <f aca="false">D$4+D$6*(M90-D$4)</f>
        <v>78.9999998524711</v>
      </c>
      <c r="N91" s="11" t="n">
        <f aca="false">E$4+E$6*(N90-E$4)</f>
        <v>66.9970664557776</v>
      </c>
      <c r="O91" s="11" t="n">
        <f aca="false">MAX(ABS(K91-B$4),ABS(L91-C$4),ABS(M91-D$4),ABS(N91-E$4))</f>
        <v>0.0177400005987991</v>
      </c>
      <c r="P91" s="11" t="n">
        <f aca="false">$Q$62*$B$10^J91</f>
        <v>0.0914353928718386</v>
      </c>
    </row>
    <row r="92" customFormat="false" ht="15" hidden="false" customHeight="false" outlineLevel="0" collapsed="false">
      <c r="A92" s="19" t="n">
        <v>30</v>
      </c>
      <c r="B92" s="11" t="n">
        <f aca="false">B$4+B$6*(B91-B$4)</f>
        <v>105.999983953748</v>
      </c>
      <c r="C92" s="11" t="n">
        <f aca="false">C$4+C$6*(C91-C$4)</f>
        <v>33.1056807789207</v>
      </c>
      <c r="D92" s="11" t="n">
        <f aca="false">D$4+D$6*(D91-D$4)</f>
        <v>78.9999999177327</v>
      </c>
      <c r="E92" s="11" t="n">
        <f aca="false">E$4+E$6*(E91-E$4)</f>
        <v>66.9985459547807</v>
      </c>
      <c r="F92" s="11" t="n">
        <f aca="false">MAX(ABS(B92-B$4),ABS(C92-C$4),ABS(D92-D$4),ABS(E92-E$4))</f>
        <v>0.1056807789207</v>
      </c>
      <c r="G92" s="11" t="n">
        <f aca="false">$H$62*$B$10^A92</f>
        <v>0.105680778920703</v>
      </c>
      <c r="J92" s="19" t="n">
        <v>30</v>
      </c>
      <c r="K92" s="11" t="n">
        <f aca="false">B$4+B$6*(K91-B$4)</f>
        <v>106.000020711736</v>
      </c>
      <c r="L92" s="11" t="n">
        <f aca="false">C$4+C$6*(L91-C$4)</f>
        <v>33.0145242840499</v>
      </c>
      <c r="M92" s="11" t="n">
        <f aca="false">D$4+D$6*(M91-D$4)</f>
        <v>78.9999999190344</v>
      </c>
      <c r="N92" s="11" t="n">
        <f aca="false">E$4+E$6*(N91-E$4)</f>
        <v>66.9978267769889</v>
      </c>
      <c r="O92" s="11" t="n">
        <f aca="false">MAX(ABS(K92-B$4),ABS(L92-C$4),ABS(M92-D$4),ABS(N92-E$4))</f>
        <v>0.0145242840498554</v>
      </c>
      <c r="P92" s="11" t="n">
        <f aca="false">$Q$62*$B$10^J92</f>
        <v>0.0748609680639415</v>
      </c>
    </row>
    <row r="93" customFormat="false" ht="15" hidden="false" customHeight="false" outlineLevel="0" collapsed="false">
      <c r="A93" s="19" t="n">
        <v>31</v>
      </c>
      <c r="B93" s="11" t="n">
        <f aca="false">B$4+B$6*(B92-B$4)</f>
        <v>105.999989768458</v>
      </c>
      <c r="C93" s="11" t="n">
        <f aca="false">C$4+C$6*(C92-C$4)</f>
        <v>33.0865241037116</v>
      </c>
      <c r="D93" s="11" t="n">
        <f aca="false">D$4+D$6*(D92-D$4)</f>
        <v>78.9999999548508</v>
      </c>
      <c r="E93" s="11" t="n">
        <f aca="false">E$4+E$6*(E92-E$4)</f>
        <v>66.9989228168079</v>
      </c>
      <c r="F93" s="11" t="n">
        <f aca="false">MAX(ABS(B93-B$4),ABS(C93-C$4),ABS(D93-D$4),ABS(E93-E$4))</f>
        <v>0.0865241037116107</v>
      </c>
      <c r="G93" s="11" t="n">
        <f aca="false">$H$62*$B$10^A93</f>
        <v>0.0865241037116151</v>
      </c>
      <c r="J93" s="19" t="n">
        <v>31</v>
      </c>
      <c r="K93" s="11" t="n">
        <f aca="false">B$4+B$6*(K92-B$4)</f>
        <v>106.000013206386</v>
      </c>
      <c r="L93" s="11" t="n">
        <f aca="false">C$4+C$6*(L92-C$4)</f>
        <v>33.0118914780181</v>
      </c>
      <c r="M93" s="11" t="n">
        <f aca="false">D$4+D$6*(M92-D$4)</f>
        <v>78.9999999555651</v>
      </c>
      <c r="N93" s="11" t="n">
        <f aca="false">E$4+E$6*(N92-E$4)</f>
        <v>66.9983900367958</v>
      </c>
      <c r="O93" s="11" t="n">
        <f aca="false">MAX(ABS(K93-B$4),ABS(L93-C$4),ABS(M93-D$4),ABS(N93-E$4))</f>
        <v>0.0118914780180575</v>
      </c>
      <c r="P93" s="11" t="n">
        <f aca="false">$Q$62*$B$10^J93</f>
        <v>0.0612909767591376</v>
      </c>
    </row>
    <row r="94" customFormat="false" ht="15" hidden="false" customHeight="false" outlineLevel="0" collapsed="false">
      <c r="A94" s="19" t="n">
        <v>32</v>
      </c>
      <c r="B94" s="11" t="n">
        <f aca="false">B$4+B$6*(B93-B$4)</f>
        <v>105.999993476081</v>
      </c>
      <c r="C94" s="11" t="n">
        <f aca="false">C$4+C$6*(C93-C$4)</f>
        <v>33.0708399445912</v>
      </c>
      <c r="D94" s="11" t="n">
        <f aca="false">D$4+D$6*(D93-D$4)</f>
        <v>78.9999999752216</v>
      </c>
      <c r="E94" s="11" t="n">
        <f aca="false">E$4+E$6*(E93-E$4)</f>
        <v>66.9992020030642</v>
      </c>
      <c r="F94" s="11" t="n">
        <f aca="false">MAX(ABS(B94-B$4),ABS(C94-C$4),ABS(D94-D$4),ABS(E94-E$4))</f>
        <v>0.0708399445912065</v>
      </c>
      <c r="G94" s="11" t="n">
        <f aca="false">$H$62*$B$10^A94</f>
        <v>0.070839944591208</v>
      </c>
      <c r="J94" s="19" t="n">
        <v>32</v>
      </c>
      <c r="K94" s="11" t="n">
        <f aca="false">B$4+B$6*(K93-B$4)</f>
        <v>106.000008420763</v>
      </c>
      <c r="L94" s="11" t="n">
        <f aca="false">C$4+C$6*(L93-C$4)</f>
        <v>33.0097359187529</v>
      </c>
      <c r="M94" s="11" t="n">
        <f aca="false">D$4+D$6*(M93-D$4)</f>
        <v>78.9999999756136</v>
      </c>
      <c r="N94" s="11" t="n">
        <f aca="false">E$4+E$6*(N93-E$4)</f>
        <v>66.9988073099237</v>
      </c>
      <c r="O94" s="11" t="n">
        <f aca="false">MAX(ABS(K94-B$4),ABS(L94-C$4),ABS(M94-D$4),ABS(N94-E$4))</f>
        <v>0.00973591875293778</v>
      </c>
      <c r="P94" s="11" t="n">
        <f aca="false">$Q$62*$B$10^J94</f>
        <v>0.0501808075588938</v>
      </c>
    </row>
    <row r="95" customFormat="false" ht="15" hidden="false" customHeight="false" outlineLevel="0" collapsed="false">
      <c r="A95" s="19" t="n">
        <v>33</v>
      </c>
      <c r="B95" s="11" t="n">
        <f aca="false">B$4+B$6*(B94-B$4)</f>
        <v>105.999995840166</v>
      </c>
      <c r="C95" s="11" t="n">
        <f aca="false">C$4+C$6*(C94-C$4)</f>
        <v>33.0579988411832</v>
      </c>
      <c r="D95" s="11" t="n">
        <f aca="false">D$4+D$6*(D94-D$4)</f>
        <v>78.9999999864013</v>
      </c>
      <c r="E95" s="11" t="n">
        <f aca="false">E$4+E$6*(E94-E$4)</f>
        <v>66.9994088293299</v>
      </c>
      <c r="F95" s="11" t="n">
        <f aca="false">MAX(ABS(B95-B$4),ABS(C95-C$4),ABS(D95-D$4),ABS(E95-E$4))</f>
        <v>0.0579988411831636</v>
      </c>
      <c r="G95" s="11" t="n">
        <f aca="false">$H$62*$B$10^A95</f>
        <v>0.0579988411831622</v>
      </c>
      <c r="J95" s="19" t="n">
        <v>33</v>
      </c>
      <c r="K95" s="11" t="n">
        <f aca="false">B$4+B$6*(K94-B$4)</f>
        <v>106.000005369316</v>
      </c>
      <c r="L95" s="11" t="n">
        <f aca="false">C$4+C$6*(L94-C$4)</f>
        <v>33.0079710960925</v>
      </c>
      <c r="M95" s="11" t="n">
        <f aca="false">D$4+D$6*(M94-D$4)</f>
        <v>78.9999999866165</v>
      </c>
      <c r="N95" s="11" t="n">
        <f aca="false">E$4+E$6*(N94-E$4)</f>
        <v>66.9991164334598</v>
      </c>
      <c r="O95" s="11" t="n">
        <f aca="false">MAX(ABS(K95-B$4),ABS(L95-C$4),ABS(M95-D$4),ABS(N95-E$4))</f>
        <v>0.00797109609249702</v>
      </c>
      <c r="P95" s="11" t="n">
        <f aca="false">$Q$62*$B$10^J95</f>
        <v>0.0410845703627544</v>
      </c>
    </row>
    <row r="96" customFormat="false" ht="15" hidden="false" customHeight="false" outlineLevel="0" collapsed="false">
      <c r="A96" s="19" t="n">
        <v>34</v>
      </c>
      <c r="B96" s="11" t="n">
        <f aca="false">B$4+B$6*(B95-B$4)</f>
        <v>105.999997347572</v>
      </c>
      <c r="C96" s="11" t="n">
        <f aca="false">C$4+C$6*(C95-C$4)</f>
        <v>33.0474854349195</v>
      </c>
      <c r="D96" s="11" t="n">
        <f aca="false">D$4+D$6*(D95-D$4)</f>
        <v>78.9999999925369</v>
      </c>
      <c r="E96" s="11" t="n">
        <f aca="false">E$4+E$6*(E95-E$4)</f>
        <v>66.9995620499961</v>
      </c>
      <c r="F96" s="11" t="n">
        <f aca="false">MAX(ABS(B96-B$4),ABS(C96-C$4),ABS(D96-D$4),ABS(E96-E$4))</f>
        <v>0.0474854349195439</v>
      </c>
      <c r="G96" s="11" t="n">
        <f aca="false">$H$62*$B$10^A96</f>
        <v>0.0474854349195407</v>
      </c>
      <c r="J96" s="19" t="n">
        <v>34</v>
      </c>
      <c r="K96" s="11" t="n">
        <f aca="false">B$4+B$6*(K95-B$4)</f>
        <v>106.000003423627</v>
      </c>
      <c r="L96" s="11" t="n">
        <f aca="false">C$4+C$6*(L95-C$4)</f>
        <v>33.0065261815067</v>
      </c>
      <c r="M96" s="11" t="n">
        <f aca="false">D$4+D$6*(M95-D$4)</f>
        <v>78.999999992655</v>
      </c>
      <c r="N96" s="11" t="n">
        <f aca="false">E$4+E$6*(N95-E$4)</f>
        <v>66.9993454378079</v>
      </c>
      <c r="O96" s="11" t="n">
        <f aca="false">MAX(ABS(K96-B$4),ABS(L96-C$4),ABS(M96-D$4),ABS(N96-E$4))</f>
        <v>0.00652618150666484</v>
      </c>
      <c r="P96" s="11" t="n">
        <f aca="false">$Q$62*$B$10^J96</f>
        <v>0.0336372012329833</v>
      </c>
    </row>
    <row r="97" customFormat="false" ht="15" hidden="false" customHeight="false" outlineLevel="0" collapsed="false">
      <c r="A97" s="19" t="n">
        <v>35</v>
      </c>
      <c r="B97" s="11" t="n">
        <f aca="false">B$4+B$6*(B96-B$4)</f>
        <v>105.999998308738</v>
      </c>
      <c r="C97" s="11" t="n">
        <f aca="false">C$4+C$6*(C96-C$4)</f>
        <v>33.0388777858919</v>
      </c>
      <c r="D97" s="11" t="n">
        <f aca="false">D$4+D$6*(D96-D$4)</f>
        <v>78.9999999959042</v>
      </c>
      <c r="E97" s="11" t="n">
        <f aca="false">E$4+E$6*(E96-E$4)</f>
        <v>66.9996755586574</v>
      </c>
      <c r="F97" s="11" t="n">
        <f aca="false">MAX(ABS(B97-B$4),ABS(C97-C$4),ABS(D97-D$4),ABS(E97-E$4))</f>
        <v>0.0388777858919127</v>
      </c>
      <c r="G97" s="11" t="n">
        <f aca="false">$H$62*$B$10^A97</f>
        <v>0.038877785891911</v>
      </c>
      <c r="J97" s="19" t="n">
        <v>35</v>
      </c>
      <c r="K97" s="11" t="n">
        <f aca="false">B$4+B$6*(K96-B$4)</f>
        <v>106.000002183001</v>
      </c>
      <c r="L97" s="11" t="n">
        <f aca="false">C$4+C$6*(L96-C$4)</f>
        <v>33.0053431854997</v>
      </c>
      <c r="M97" s="11" t="n">
        <f aca="false">D$4+D$6*(M96-D$4)</f>
        <v>78.999999995969</v>
      </c>
      <c r="N97" s="11" t="n">
        <f aca="false">E$4+E$6*(N96-E$4)</f>
        <v>66.9995150884015</v>
      </c>
      <c r="O97" s="11" t="n">
        <f aca="false">MAX(ABS(K97-B$4),ABS(L97-C$4),ABS(M97-D$4),ABS(N97-E$4))</f>
        <v>0.00534318549967594</v>
      </c>
      <c r="P97" s="11" t="n">
        <f aca="false">$Q$62*$B$10^J97</f>
        <v>0.027539811096916</v>
      </c>
    </row>
    <row r="98" customFormat="false" ht="15" hidden="false" customHeight="false" outlineLevel="0" collapsed="false">
      <c r="A98" s="19" t="n">
        <v>36</v>
      </c>
      <c r="B98" s="11" t="n">
        <f aca="false">B$4+B$6*(B97-B$4)</f>
        <v>105.999998921603</v>
      </c>
      <c r="C98" s="11" t="n">
        <f aca="false">C$4+C$6*(C97-C$4)</f>
        <v>33.0318304389213</v>
      </c>
      <c r="D98" s="11" t="n">
        <f aca="false">D$4+D$6*(D97-D$4)</f>
        <v>78.9999999977522</v>
      </c>
      <c r="E98" s="11" t="n">
        <f aca="false">E$4+E$6*(E97-E$4)</f>
        <v>66.9997596479418</v>
      </c>
      <c r="F98" s="11" t="n">
        <f aca="false">MAX(ABS(B98-B$4),ABS(C98-C$4),ABS(D98-D$4),ABS(E98-E$4))</f>
        <v>0.0318304389212898</v>
      </c>
      <c r="G98" s="11" t="n">
        <f aca="false">$H$62*$B$10^A98</f>
        <v>0.0318304389212889</v>
      </c>
      <c r="J98" s="19" t="n">
        <v>36</v>
      </c>
      <c r="K98" s="11" t="n">
        <f aca="false">B$4+B$6*(K97-B$4)</f>
        <v>106.000001391943</v>
      </c>
      <c r="L98" s="11" t="n">
        <f aca="false">C$4+C$6*(L97-C$4)</f>
        <v>33.004374630288</v>
      </c>
      <c r="M98" s="11" t="n">
        <f aca="false">D$4+D$6*(M97-D$4)</f>
        <v>78.9999999977877</v>
      </c>
      <c r="N98" s="11" t="n">
        <f aca="false">E$4+E$6*(N97-E$4)</f>
        <v>66.9996407686524</v>
      </c>
      <c r="O98" s="11" t="n">
        <f aca="false">MAX(ABS(K98-B$4),ABS(L98-C$4),ABS(M98-D$4),ABS(N98-E$4))</f>
        <v>0.00437463028798391</v>
      </c>
      <c r="P98" s="11" t="n">
        <f aca="false">$Q$62*$B$10^J98</f>
        <v>0.0225476902790034</v>
      </c>
    </row>
    <row r="99" customFormat="false" ht="15" hidden="false" customHeight="false" outlineLevel="0" collapsed="false">
      <c r="A99" s="19" t="n">
        <v>37</v>
      </c>
      <c r="B99" s="11" t="n">
        <f aca="false">B$4+B$6*(B98-B$4)</f>
        <v>105.999999312384</v>
      </c>
      <c r="C99" s="11" t="n">
        <f aca="false">C$4+C$6*(C98-C$4)</f>
        <v>33.0260605592288</v>
      </c>
      <c r="D99" s="11" t="n">
        <f aca="false">D$4+D$6*(D98-D$4)</f>
        <v>78.9999999987664</v>
      </c>
      <c r="E99" s="11" t="n">
        <f aca="false">E$4+E$6*(E98-E$4)</f>
        <v>66.9998219428159</v>
      </c>
      <c r="F99" s="11" t="n">
        <f aca="false">MAX(ABS(B99-B$4),ABS(C99-C$4),ABS(D99-D$4),ABS(E99-E$4))</f>
        <v>0.0260605592288314</v>
      </c>
      <c r="G99" s="11" t="n">
        <f aca="false">$H$62*$B$10^A99</f>
        <v>0.0260605592288295</v>
      </c>
      <c r="J99" s="19" t="n">
        <v>37</v>
      </c>
      <c r="K99" s="11" t="n">
        <f aca="false">B$4+B$6*(K98-B$4)</f>
        <v>106.000000887542</v>
      </c>
      <c r="L99" s="11" t="n">
        <f aca="false">C$4+C$6*(L98-C$4)</f>
        <v>33.0035816443501</v>
      </c>
      <c r="M99" s="11" t="n">
        <f aca="false">D$4+D$6*(M98-D$4)</f>
        <v>78.9999999987859</v>
      </c>
      <c r="N99" s="11" t="n">
        <f aca="false">E$4+E$6*(N98-E$4)</f>
        <v>66.9997338748723</v>
      </c>
      <c r="O99" s="11" t="n">
        <f aca="false">MAX(ABS(K99-B$4),ABS(L99-C$4),ABS(M99-D$4),ABS(N99-E$4))</f>
        <v>0.00358164435012043</v>
      </c>
      <c r="P99" s="11" t="n">
        <f aca="false">$Q$62*$B$10^J99</f>
        <v>0.0184604874422975</v>
      </c>
    </row>
    <row r="100" customFormat="false" ht="15" hidden="false" customHeight="false" outlineLevel="0" collapsed="false">
      <c r="A100" s="19" t="n">
        <v>38</v>
      </c>
      <c r="B100" s="11" t="n">
        <f aca="false">B$4+B$6*(B99-B$4)</f>
        <v>105.999999561557</v>
      </c>
      <c r="C100" s="11" t="n">
        <f aca="false">C$4+C$6*(C99-C$4)</f>
        <v>33.0213365812831</v>
      </c>
      <c r="D100" s="11" t="n">
        <f aca="false">D$4+D$6*(D99-D$4)</f>
        <v>78.999999999323</v>
      </c>
      <c r="E100" s="11" t="n">
        <f aca="false">E$4+E$6*(E99-E$4)</f>
        <v>66.9998680919937</v>
      </c>
      <c r="F100" s="11" t="n">
        <f aca="false">MAX(ABS(B100-B$4),ABS(C100-C$4),ABS(D100-D$4),ABS(E100-E$4))</f>
        <v>0.0213365812830517</v>
      </c>
      <c r="G100" s="11" t="n">
        <f aca="false">$H$62*$B$10^A100</f>
        <v>0.021336581283053</v>
      </c>
      <c r="J100" s="19" t="n">
        <v>38</v>
      </c>
      <c r="K100" s="11" t="n">
        <f aca="false">B$4+B$6*(K99-B$4)</f>
        <v>106.000000565922</v>
      </c>
      <c r="L100" s="11" t="n">
        <f aca="false">C$4+C$6*(L99-C$4)</f>
        <v>33.002932402376</v>
      </c>
      <c r="M100" s="11" t="n">
        <f aca="false">D$4+D$6*(M99-D$4)</f>
        <v>78.9999999993337</v>
      </c>
      <c r="N100" s="11" t="n">
        <f aca="false">E$4+E$6*(N99-E$4)</f>
        <v>66.9998028496564</v>
      </c>
      <c r="O100" s="11" t="n">
        <f aca="false">MAX(ABS(K100-B$4),ABS(L100-C$4),ABS(M100-D$4),ABS(N100-E$4))</f>
        <v>0.00293240237603243</v>
      </c>
      <c r="P100" s="11" t="n">
        <f aca="false">$Q$62*$B$10^J100</f>
        <v>0.0151141687858189</v>
      </c>
    </row>
    <row r="101" customFormat="false" ht="15" hidden="false" customHeight="false" outlineLevel="0" collapsed="false">
      <c r="A101" s="19" t="n">
        <v>39</v>
      </c>
      <c r="B101" s="11" t="n">
        <f aca="false">B$4+B$6*(B100-B$4)</f>
        <v>105.999999720436</v>
      </c>
      <c r="C101" s="11" t="n">
        <f aca="false">C$4+C$6*(C100-C$4)</f>
        <v>33.017468915262</v>
      </c>
      <c r="D101" s="11" t="n">
        <f aca="false">D$4+D$6*(D100-D$4)</f>
        <v>78.9999999996284</v>
      </c>
      <c r="E101" s="11" t="n">
        <f aca="false">E$4+E$6*(E100-E$4)</f>
        <v>66.9999022801455</v>
      </c>
      <c r="F101" s="11" t="n">
        <f aca="false">MAX(ABS(B101-B$4),ABS(C101-C$4),ABS(D101-D$4),ABS(E101-E$4))</f>
        <v>0.0174689152619791</v>
      </c>
      <c r="G101" s="11" t="n">
        <f aca="false">$H$62*$B$10^A101</f>
        <v>0.0174689152619835</v>
      </c>
      <c r="J101" s="19" t="n">
        <v>39</v>
      </c>
      <c r="K101" s="11" t="n">
        <f aca="false">B$4+B$6*(K100-B$4)</f>
        <v>106.000000360848</v>
      </c>
      <c r="L101" s="11" t="n">
        <f aca="false">C$4+C$6*(L100-C$4)</f>
        <v>33.0024008480057</v>
      </c>
      <c r="M101" s="11" t="n">
        <f aca="false">D$4+D$6*(M100-D$4)</f>
        <v>78.9999999996343</v>
      </c>
      <c r="N101" s="11" t="n">
        <f aca="false">E$4+E$6*(N100-E$4)</f>
        <v>66.9998539474332</v>
      </c>
      <c r="O101" s="11" t="n">
        <f aca="false">MAX(ABS(K101-B$4),ABS(L101-C$4),ABS(M101-D$4),ABS(N101-E$4))</f>
        <v>0.00240084800565654</v>
      </c>
      <c r="P101" s="11" t="n">
        <f aca="false">$Q$62*$B$10^J101</f>
        <v>0.0123744347921612</v>
      </c>
    </row>
    <row r="102" customFormat="false" ht="15" hidden="false" customHeight="false" outlineLevel="0" collapsed="false">
      <c r="A102" s="19" t="n">
        <v>40</v>
      </c>
      <c r="B102" s="11" t="n">
        <f aca="false">B$4+B$6*(B101-B$4)</f>
        <v>105.999999821742</v>
      </c>
      <c r="C102" s="11" t="n">
        <f aca="false">C$4+C$6*(C101-C$4)</f>
        <v>33.0143023381479</v>
      </c>
      <c r="D102" s="11" t="n">
        <f aca="false">D$4+D$6*(D101-D$4)</f>
        <v>78.9999999997961</v>
      </c>
      <c r="E102" s="11" t="n">
        <f aca="false">E$4+E$6*(E101-E$4)</f>
        <v>66.9999276073513</v>
      </c>
      <c r="F102" s="11" t="n">
        <f aca="false">MAX(ABS(B102-B$4),ABS(C102-C$4),ABS(D102-D$4),ABS(E102-E$4))</f>
        <v>0.0143023381478926</v>
      </c>
      <c r="G102" s="11" t="n">
        <f aca="false">$H$62*$B$10^A102</f>
        <v>0.0143023381478992</v>
      </c>
      <c r="J102" s="19" t="n">
        <v>40</v>
      </c>
      <c r="K102" s="11" t="n">
        <f aca="false">B$4+B$6*(K101-B$4)</f>
        <v>106.000000230087</v>
      </c>
      <c r="L102" s="11" t="n">
        <f aca="false">C$4+C$6*(L101-C$4)</f>
        <v>33.0019656480957</v>
      </c>
      <c r="M102" s="11" t="n">
        <f aca="false">D$4+D$6*(M101-D$4)</f>
        <v>78.9999999997993</v>
      </c>
      <c r="N102" s="11" t="n">
        <f aca="false">E$4+E$6*(N101-E$4)</f>
        <v>66.9998918015974</v>
      </c>
      <c r="O102" s="11" t="n">
        <f aca="false">MAX(ABS(K102-B$4),ABS(L102-C$4),ABS(M102-D$4),ABS(N102-E$4))</f>
        <v>0.00196564809569821</v>
      </c>
      <c r="P102" s="11" t="n">
        <f aca="false">$Q$62*$B$10^J102</f>
        <v>0.0101313303163005</v>
      </c>
    </row>
    <row r="104" customFormat="false" ht="15" hidden="false" customHeight="false" outlineLevel="0" collapsed="false">
      <c r="A104" s="2" t="s">
        <v>277</v>
      </c>
      <c r="F104" s="19" t="n">
        <f aca="false">COUNTIF(G62:G102,"&gt;=1")</f>
        <v>19</v>
      </c>
      <c r="G104" s="19" t="n">
        <f aca="false">COUNTIF(F62:F102,"&gt;=1")</f>
        <v>19</v>
      </c>
      <c r="J104" s="2" t="s">
        <v>277</v>
      </c>
      <c r="O104" s="19" t="n">
        <f aca="false">COUNTIF(P62:P102,"&gt;=1")</f>
        <v>18</v>
      </c>
      <c r="P104" s="19" t="n">
        <f aca="false">COUNTIF(O62:O102,"&gt;=1")</f>
        <v>10</v>
      </c>
    </row>
    <row r="105" customFormat="false" ht="15" hidden="false" customHeight="false" outlineLevel="0" collapsed="false">
      <c r="A105" s="2" t="s">
        <v>278</v>
      </c>
      <c r="F105" s="19" t="n">
        <f aca="false">SUMPRODUCT(--(F62:F102&gt;G62:G102+0.000000001))</f>
        <v>0</v>
      </c>
      <c r="J105" s="2" t="s">
        <v>278</v>
      </c>
      <c r="O105" s="19" t="n">
        <f aca="false">SUMPRODUCT(--(O62:O102&gt;P62:P102+0.000000001))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46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3"/>
    <col collapsed="false" customWidth="true" hidden="false" outlineLevel="0" max="11" min="11" style="0" width="42"/>
    <col collapsed="false" customWidth="true" hidden="false" outlineLevel="0" max="13" min="12" style="0" width="12"/>
    <col collapsed="false" customWidth="true" hidden="false" outlineLevel="0" max="15" min="14" style="0" width="14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1" t="s">
        <v>279</v>
      </c>
    </row>
    <row r="3" customFormat="false" ht="15" hidden="false" customHeight="false" outlineLevel="0" collapsed="false">
      <c r="A3" s="8" t="s">
        <v>280</v>
      </c>
      <c r="B3" s="8" t="s">
        <v>69</v>
      </c>
      <c r="C3" s="8" t="s">
        <v>281</v>
      </c>
      <c r="F3" s="8" t="s">
        <v>282</v>
      </c>
      <c r="G3" s="8" t="s">
        <v>18</v>
      </c>
      <c r="H3" s="8" t="s">
        <v>283</v>
      </c>
      <c r="I3" s="8" t="s">
        <v>284</v>
      </c>
      <c r="K3" s="8" t="s">
        <v>285</v>
      </c>
      <c r="L3" s="8" t="s">
        <v>286</v>
      </c>
      <c r="M3" s="8" t="s">
        <v>287</v>
      </c>
    </row>
    <row r="4" customFormat="false" ht="15" hidden="false" customHeight="false" outlineLevel="0" collapsed="false">
      <c r="A4" s="2" t="s">
        <v>288</v>
      </c>
      <c r="B4" s="15" t="n">
        <v>0.9</v>
      </c>
      <c r="C4" s="10"/>
      <c r="F4" s="2" t="s">
        <v>289</v>
      </c>
      <c r="G4" s="9" t="n">
        <v>0</v>
      </c>
      <c r="H4" s="11" t="n">
        <f aca="false">3*G4^2-2*G4^3-G4</f>
        <v>0</v>
      </c>
      <c r="I4" s="13" t="n">
        <f aca="false">6*G4*(1-G4)</f>
        <v>0</v>
      </c>
      <c r="K4" s="2" t="s">
        <v>290</v>
      </c>
      <c r="L4" s="15" t="n">
        <v>0.55</v>
      </c>
      <c r="M4" s="15" t="n">
        <v>0.2</v>
      </c>
    </row>
    <row r="5" customFormat="false" ht="15" hidden="false" customHeight="false" outlineLevel="0" collapsed="false">
      <c r="A5" s="2" t="s">
        <v>291</v>
      </c>
      <c r="B5" s="14" t="n">
        <v>100</v>
      </c>
      <c r="C5" s="10"/>
      <c r="F5" s="2" t="s">
        <v>292</v>
      </c>
      <c r="G5" s="9" t="n">
        <v>0.5</v>
      </c>
      <c r="H5" s="11" t="n">
        <f aca="false">3*G5^2-2*G5^3-G5</f>
        <v>0</v>
      </c>
      <c r="I5" s="13" t="n">
        <f aca="false">6*G5*(1-G5)</f>
        <v>1.5</v>
      </c>
      <c r="K5" s="2" t="s">
        <v>293</v>
      </c>
      <c r="L5" s="15" t="n">
        <v>0.1</v>
      </c>
      <c r="M5" s="15" t="n">
        <v>0.6</v>
      </c>
    </row>
    <row r="6" customFormat="false" ht="15" hidden="false" customHeight="false" outlineLevel="0" collapsed="false">
      <c r="A6" s="2" t="s">
        <v>294</v>
      </c>
      <c r="B6" s="15" t="n">
        <v>0.25</v>
      </c>
      <c r="C6" s="10"/>
      <c r="F6" s="2" t="s">
        <v>295</v>
      </c>
      <c r="G6" s="9" t="n">
        <v>1</v>
      </c>
      <c r="H6" s="11" t="n">
        <f aca="false">3*G6^2-2*G6^3-G6</f>
        <v>0</v>
      </c>
      <c r="I6" s="13" t="n">
        <f aca="false">6*G6*(1-G6)</f>
        <v>0</v>
      </c>
      <c r="K6" s="2" t="s">
        <v>296</v>
      </c>
      <c r="L6" s="15" t="n">
        <v>28</v>
      </c>
      <c r="M6" s="15" t="n">
        <v>24</v>
      </c>
    </row>
    <row r="7" customFormat="false" ht="15" hidden="false" customHeight="false" outlineLevel="0" collapsed="false">
      <c r="A7" s="2" t="s">
        <v>297</v>
      </c>
      <c r="B7" s="14" t="n">
        <v>2</v>
      </c>
      <c r="C7" s="10"/>
      <c r="F7" s="2" t="s">
        <v>298</v>
      </c>
      <c r="G7" s="19" t="n">
        <f aca="false">SUMPRODUCT(--(ABS(H4:H6)&lt;0.000000000001))</f>
        <v>3</v>
      </c>
      <c r="K7" s="2" t="s">
        <v>299</v>
      </c>
      <c r="L7" s="15" t="n">
        <v>70</v>
      </c>
      <c r="M7" s="15" t="n">
        <v>60</v>
      </c>
    </row>
    <row r="8" customFormat="false" ht="15" hidden="false" customHeight="false" outlineLevel="0" collapsed="false">
      <c r="A8" s="2" t="s">
        <v>300</v>
      </c>
      <c r="B8" s="11" t="n">
        <f aca="false">1+B6*B4</f>
        <v>1.225</v>
      </c>
      <c r="C8" s="10" t="s">
        <v>301</v>
      </c>
      <c r="K8" s="2" t="s">
        <v>302</v>
      </c>
      <c r="L8" s="11" t="n">
        <f aca="false">ABS(L4)+ABS(M4)</f>
        <v>0.75</v>
      </c>
      <c r="M8" s="11" t="n">
        <f aca="false">ABS(L5)+ABS(M5)</f>
        <v>0.7</v>
      </c>
    </row>
    <row r="9" customFormat="false" ht="15" hidden="false" customHeight="false" outlineLevel="0" collapsed="false">
      <c r="A9" s="2" t="s">
        <v>303</v>
      </c>
      <c r="B9" s="11" t="n">
        <f aca="false">1-B6*B4</f>
        <v>0.775</v>
      </c>
      <c r="C9" s="10" t="s">
        <v>304</v>
      </c>
      <c r="F9" s="8" t="s">
        <v>265</v>
      </c>
      <c r="G9" s="8" t="s">
        <v>305</v>
      </c>
      <c r="H9" s="8" t="s">
        <v>306</v>
      </c>
      <c r="K9" s="2" t="s">
        <v>307</v>
      </c>
      <c r="L9" s="11" t="n">
        <f aca="false">MAX(L8:M8)</f>
        <v>0.75</v>
      </c>
    </row>
    <row r="10" customFormat="false" ht="15" hidden="false" customHeight="false" outlineLevel="0" collapsed="false">
      <c r="A10" s="2" t="s">
        <v>308</v>
      </c>
      <c r="B10" s="13" t="n">
        <f aca="false">60+B6*B4*60*(1-60/B5)</f>
        <v>65.4</v>
      </c>
      <c r="C10" s="10" t="s">
        <v>309</v>
      </c>
      <c r="F10" s="19" t="n">
        <v>0</v>
      </c>
      <c r="G10" s="30" t="n">
        <v>0.49</v>
      </c>
      <c r="H10" s="30" t="n">
        <v>0.51</v>
      </c>
      <c r="K10" s="2" t="s">
        <v>310</v>
      </c>
      <c r="L10" s="11" t="n">
        <f aca="false">(1-L4)*(1-M5)-M4*L5</f>
        <v>0.16</v>
      </c>
    </row>
    <row r="11" customFormat="false" ht="15" hidden="false" customHeight="false" outlineLevel="0" collapsed="false">
      <c r="A11" s="2" t="s">
        <v>311</v>
      </c>
      <c r="B11" s="11" t="n">
        <f aca="false">1+B6*B4*(1-2*60/B5)</f>
        <v>0.955</v>
      </c>
      <c r="C11" s="10" t="s">
        <v>312</v>
      </c>
      <c r="F11" s="19" t="n">
        <v>1</v>
      </c>
      <c r="G11" s="23" t="n">
        <f aca="false">3*G10^2-2*G10^3</f>
        <v>0.485002</v>
      </c>
      <c r="H11" s="23" t="n">
        <f aca="false">3*H10^2-2*H10^3</f>
        <v>0.514998</v>
      </c>
      <c r="K11" s="2" t="s">
        <v>313</v>
      </c>
      <c r="L11" s="11" t="n">
        <f aca="false">((1-M5)*L6+M4*M6)/L10</f>
        <v>100</v>
      </c>
      <c r="M11" s="11" t="n">
        <f aca="false">(L5*L6+(1-L4)*M6)/L10</f>
        <v>85</v>
      </c>
    </row>
    <row r="12" customFormat="false" ht="15" hidden="false" customHeight="false" outlineLevel="0" collapsed="false">
      <c r="A12" s="2" t="s">
        <v>314</v>
      </c>
      <c r="B12" s="13" t="n">
        <f aca="false">INDEX(C17:C65,21)</f>
        <v>58.1286024143917</v>
      </c>
      <c r="C12" s="10" t="s">
        <v>315</v>
      </c>
      <c r="F12" s="19" t="n">
        <v>2</v>
      </c>
      <c r="G12" s="23" t="n">
        <f aca="false">3*G11^2-2*G11^3</f>
        <v>0.47750974730036</v>
      </c>
      <c r="H12" s="23" t="n">
        <f aca="false">3*H11^2-2*H11^3</f>
        <v>0.52249025269964</v>
      </c>
      <c r="K12" s="2" t="s">
        <v>316</v>
      </c>
      <c r="L12" s="11" t="n">
        <f aca="false">MAX(ABS(L17-L16),ABS(M17-M16))</f>
        <v>8.5</v>
      </c>
    </row>
    <row r="13" customFormat="false" ht="15" hidden="false" customHeight="false" outlineLevel="0" collapsed="false">
      <c r="A13" s="2" t="s">
        <v>317</v>
      </c>
      <c r="B13" s="13" t="n">
        <f aca="false">INDEX(C17:C65,41)</f>
        <v>99.4908864552412</v>
      </c>
      <c r="C13" s="10" t="s">
        <v>318</v>
      </c>
      <c r="F13" s="19" t="n">
        <v>3</v>
      </c>
      <c r="G13" s="23" t="n">
        <f aca="false">3*G12^2-2*G12^3</f>
        <v>0.46628737260594</v>
      </c>
      <c r="H13" s="23" t="n">
        <f aca="false">3*H12^2-2*H12^3</f>
        <v>0.53371262739406</v>
      </c>
      <c r="K13" s="2" t="s">
        <v>319</v>
      </c>
      <c r="L13" s="11" t="n">
        <f aca="false">L12/(1-L9)</f>
        <v>34</v>
      </c>
    </row>
    <row r="14" customFormat="false" ht="15" hidden="false" customHeight="false" outlineLevel="0" collapsed="false">
      <c r="A14" s="2" t="s">
        <v>320</v>
      </c>
      <c r="B14" s="13" t="n">
        <f aca="false">COUNTIF(C17:C65,"&lt;=60")*B6</f>
        <v>5.25</v>
      </c>
      <c r="C14" s="10" t="s">
        <v>321</v>
      </c>
      <c r="F14" s="19" t="n">
        <v>4</v>
      </c>
      <c r="G14" s="23" t="n">
        <f aca="false">3*G13^2-2*G13^3</f>
        <v>0.449507690491985</v>
      </c>
      <c r="H14" s="23" t="n">
        <f aca="false">3*H13^2-2*H13^3</f>
        <v>0.550492309508014</v>
      </c>
    </row>
    <row r="15" customFormat="false" ht="15" hidden="false" customHeight="false" outlineLevel="0" collapsed="false">
      <c r="F15" s="19" t="n">
        <v>5</v>
      </c>
      <c r="G15" s="23" t="n">
        <f aca="false">3*G14^2-2*G14^3</f>
        <v>0.424518993329834</v>
      </c>
      <c r="H15" s="23" t="n">
        <f aca="false">3*H14^2-2*H14^3</f>
        <v>0.575481006670165</v>
      </c>
      <c r="K15" s="8" t="s">
        <v>322</v>
      </c>
      <c r="L15" s="8" t="s">
        <v>286</v>
      </c>
      <c r="M15" s="8" t="s">
        <v>287</v>
      </c>
      <c r="N15" s="8" t="s">
        <v>323</v>
      </c>
      <c r="O15" s="8" t="s">
        <v>324</v>
      </c>
      <c r="P15" s="8" t="s">
        <v>325</v>
      </c>
    </row>
    <row r="16" customFormat="false" ht="15" hidden="false" customHeight="false" outlineLevel="0" collapsed="false">
      <c r="A16" s="8" t="s">
        <v>230</v>
      </c>
      <c r="B16" s="8" t="s">
        <v>265</v>
      </c>
      <c r="C16" s="8" t="s">
        <v>326</v>
      </c>
      <c r="D16" s="8" t="s">
        <v>327</v>
      </c>
      <c r="F16" s="19" t="n">
        <v>6</v>
      </c>
      <c r="G16" s="23" t="n">
        <f aca="false">3*G15^2-2*G15^3</f>
        <v>0.387638578307786</v>
      </c>
      <c r="H16" s="23" t="n">
        <f aca="false">3*H15^2-2*H15^3</f>
        <v>0.612361421692213</v>
      </c>
      <c r="K16" s="19" t="n">
        <v>0</v>
      </c>
      <c r="L16" s="23" t="n">
        <f aca="false">L7</f>
        <v>70</v>
      </c>
      <c r="M16" s="23" t="n">
        <f aca="false">M7</f>
        <v>60</v>
      </c>
      <c r="N16" s="23" t="n">
        <f aca="false">MAX(ABS(L16-$L$11),ABS(M16-$M$11))</f>
        <v>30</v>
      </c>
      <c r="O16" s="23" t="n">
        <f aca="false">$L$13*$L$9^K16</f>
        <v>34</v>
      </c>
    </row>
    <row r="17" customFormat="false" ht="15" hidden="false" customHeight="false" outlineLevel="0" collapsed="false">
      <c r="A17" s="19" t="n">
        <v>0</v>
      </c>
      <c r="B17" s="13" t="n">
        <f aca="false">A17*$B$6</f>
        <v>0</v>
      </c>
      <c r="C17" s="11" t="n">
        <f aca="false">$B$7</f>
        <v>2</v>
      </c>
      <c r="D17" s="11" t="n">
        <f aca="false">1+$B$6*$B$4*(1-2*C17/$B$5)</f>
        <v>1.216</v>
      </c>
      <c r="F17" s="19" t="n">
        <v>7</v>
      </c>
      <c r="G17" s="23" t="n">
        <f aca="false">3*G16^2-2*G16^3</f>
        <v>0.334295013378773</v>
      </c>
      <c r="H17" s="23" t="n">
        <f aca="false">3*H16^2-2*H16^3</f>
        <v>0.665704986621226</v>
      </c>
      <c r="K17" s="19" t="n">
        <v>1</v>
      </c>
      <c r="L17" s="23" t="n">
        <f aca="false">$L$4*L16+$M$4*M16+$L$6</f>
        <v>78.5</v>
      </c>
      <c r="M17" s="23" t="n">
        <f aca="false">$L$5*L16+$M$5*M16+$M$6</f>
        <v>67</v>
      </c>
      <c r="N17" s="23" t="n">
        <f aca="false">MAX(ABS(L17-$L$11),ABS(M17-$M$11))</f>
        <v>21.5</v>
      </c>
      <c r="O17" s="23" t="n">
        <f aca="false">$L$13*$L$9^K17</f>
        <v>25.5</v>
      </c>
      <c r="P17" s="23" t="n">
        <f aca="false">$L$9/(1-$L$9)*MAX(ABS(L17-L16),ABS(M17-M16))</f>
        <v>25.5</v>
      </c>
    </row>
    <row r="18" customFormat="false" ht="15" hidden="false" customHeight="false" outlineLevel="0" collapsed="false">
      <c r="A18" s="19" t="n">
        <v>1</v>
      </c>
      <c r="B18" s="13" t="n">
        <f aca="false">A18*$B$6</f>
        <v>0.25</v>
      </c>
      <c r="C18" s="11" t="n">
        <f aca="false">C17+$B$6*$B$4*C17*(1-C17/$B$5)</f>
        <v>2.441</v>
      </c>
      <c r="D18" s="11" t="n">
        <f aca="false">1+$B$6*$B$4*(1-2*C18/$B$5)</f>
        <v>1.2140155</v>
      </c>
      <c r="F18" s="19" t="n">
        <v>8</v>
      </c>
      <c r="G18" s="23" t="n">
        <f aca="false">3*G17^2-2*G17^3</f>
        <v>0.260542422369577</v>
      </c>
      <c r="H18" s="23" t="n">
        <f aca="false">3*H17^2-2*H17^3</f>
        <v>0.739457577630421</v>
      </c>
      <c r="K18" s="19" t="n">
        <v>2</v>
      </c>
      <c r="L18" s="23" t="n">
        <f aca="false">$L$4*L17+$M$4*M17+$L$6</f>
        <v>84.575</v>
      </c>
      <c r="M18" s="23" t="n">
        <f aca="false">$L$5*L17+$M$5*M17+$M$6</f>
        <v>72.05</v>
      </c>
      <c r="N18" s="23" t="n">
        <f aca="false">MAX(ABS(L18-$L$11),ABS(M18-$M$11))</f>
        <v>15.425</v>
      </c>
      <c r="O18" s="23" t="n">
        <f aca="false">$L$13*$L$9^K18</f>
        <v>19.125</v>
      </c>
      <c r="P18" s="23" t="n">
        <f aca="false">$L$9/(1-$L$9)*MAX(ABS(L18-L17),ABS(M18-M17))</f>
        <v>18.225</v>
      </c>
    </row>
    <row r="19" customFormat="false" ht="15" hidden="false" customHeight="false" outlineLevel="0" collapsed="false">
      <c r="A19" s="19" t="n">
        <v>2</v>
      </c>
      <c r="B19" s="13" t="n">
        <f aca="false">A19*$B$6</f>
        <v>0.5</v>
      </c>
      <c r="C19" s="11" t="n">
        <f aca="false">C18+$B$6*$B$4*C18*(1-C18/$B$5)</f>
        <v>2.97681841775</v>
      </c>
      <c r="D19" s="11" t="n">
        <f aca="false">1+$B$6*$B$4*(1-2*C19/$B$5)</f>
        <v>1.21160431712013</v>
      </c>
      <c r="F19" s="19" t="n">
        <v>9</v>
      </c>
      <c r="G19" s="23" t="n">
        <f aca="false">3*G18^2-2*G18^3</f>
        <v>0.168274595743974</v>
      </c>
      <c r="H19" s="23" t="n">
        <f aca="false">3*H18^2-2*H18^3</f>
        <v>0.831725404256025</v>
      </c>
      <c r="K19" s="19" t="n">
        <v>3</v>
      </c>
      <c r="L19" s="23" t="n">
        <f aca="false">$L$4*L18+$M$4*M18+$L$6</f>
        <v>88.92625</v>
      </c>
      <c r="M19" s="23" t="n">
        <f aca="false">$L$5*L18+$M$5*M18+$M$6</f>
        <v>75.6875</v>
      </c>
      <c r="N19" s="23" t="n">
        <f aca="false">MAX(ABS(L19-$L$11),ABS(M19-$M$11))</f>
        <v>11.07375</v>
      </c>
      <c r="O19" s="23" t="n">
        <f aca="false">$L$13*$L$9^K19</f>
        <v>14.34375</v>
      </c>
      <c r="P19" s="23" t="n">
        <f aca="false">$L$9/(1-$L$9)*MAX(ABS(L19-L18),ABS(M19-M18))</f>
        <v>13.05375</v>
      </c>
    </row>
    <row r="20" customFormat="false" ht="15" hidden="false" customHeight="false" outlineLevel="0" collapsed="false">
      <c r="A20" s="19" t="n">
        <v>3</v>
      </c>
      <c r="B20" s="13" t="n">
        <f aca="false">A20*$B$6</f>
        <v>0.75</v>
      </c>
      <c r="C20" s="11" t="n">
        <f aca="false">C19+$B$6*$B$4*C19*(1-C19/$B$5)</f>
        <v>3.62666430398617</v>
      </c>
      <c r="D20" s="11" t="n">
        <f aca="false">1+$B$6*$B$4*(1-2*C20/$B$5)</f>
        <v>1.20868001063206</v>
      </c>
      <c r="F20" s="19" t="n">
        <v>10</v>
      </c>
      <c r="G20" s="23" t="n">
        <f aca="false">3*G19^2-2*G19^3</f>
        <v>0.0754191775292701</v>
      </c>
      <c r="H20" s="23" t="n">
        <f aca="false">3*H19^2-2*H19^3</f>
        <v>0.924580822470728</v>
      </c>
      <c r="K20" s="19" t="n">
        <v>4</v>
      </c>
      <c r="L20" s="23" t="n">
        <f aca="false">$L$4*L19+$M$4*M19+$L$6</f>
        <v>92.0469375</v>
      </c>
      <c r="M20" s="23" t="n">
        <f aca="false">$L$5*L19+$M$5*M19+$M$6</f>
        <v>78.305125</v>
      </c>
      <c r="N20" s="23" t="n">
        <f aca="false">MAX(ABS(L20-$L$11),ABS(M20-$M$11))</f>
        <v>7.9530625</v>
      </c>
      <c r="O20" s="23" t="n">
        <f aca="false">$L$13*$L$9^K20</f>
        <v>10.7578125</v>
      </c>
      <c r="P20" s="23" t="n">
        <f aca="false">$L$9/(1-$L$9)*MAX(ABS(L20-L19),ABS(M20-M19))</f>
        <v>9.36206250000001</v>
      </c>
    </row>
    <row r="21" customFormat="false" ht="15" hidden="false" customHeight="false" outlineLevel="0" collapsed="false">
      <c r="A21" s="19" t="n">
        <v>4</v>
      </c>
      <c r="B21" s="13" t="n">
        <f aca="false">A21*$B$6</f>
        <v>1</v>
      </c>
      <c r="C21" s="11" t="n">
        <f aca="false">C20+$B$6*$B$4*C20*(1-C20/$B$5)</f>
        <v>4.413070210942</v>
      </c>
      <c r="D21" s="11" t="n">
        <f aca="false">1+$B$6*$B$4*(1-2*C21/$B$5)</f>
        <v>1.20514118405076</v>
      </c>
      <c r="K21" s="19" t="n">
        <v>5</v>
      </c>
      <c r="L21" s="23" t="n">
        <f aca="false">$L$4*L20+$M$4*M20+$L$6</f>
        <v>94.286840625</v>
      </c>
      <c r="M21" s="23" t="n">
        <f aca="false">$L$5*L20+$M$5*M20+$M$6</f>
        <v>80.18776875</v>
      </c>
      <c r="N21" s="23" t="n">
        <f aca="false">MAX(ABS(L21-$L$11),ABS(M21-$M$11))</f>
        <v>5.713159375</v>
      </c>
      <c r="O21" s="23" t="n">
        <f aca="false">$L$13*$L$9^K21</f>
        <v>8.068359375</v>
      </c>
      <c r="P21" s="23" t="n">
        <f aca="false">$L$9/(1-$L$9)*MAX(ABS(L21-L20),ABS(M21-M20))</f>
        <v>6.71970937499999</v>
      </c>
    </row>
    <row r="22" customFormat="false" ht="15" hidden="false" customHeight="false" outlineLevel="0" collapsed="false">
      <c r="A22" s="19" t="n">
        <v>5</v>
      </c>
      <c r="B22" s="13" t="n">
        <f aca="false">A22*$B$6</f>
        <v>1.25</v>
      </c>
      <c r="C22" s="11" t="n">
        <f aca="false">C21+$B$6*$B$4*C21*(1-C21/$B$5)</f>
        <v>5.36219183385886</v>
      </c>
      <c r="D22" s="11" t="n">
        <f aca="false">1+$B$6*$B$4*(1-2*C22/$B$5)</f>
        <v>1.20087013674764</v>
      </c>
      <c r="K22" s="19" t="n">
        <v>6</v>
      </c>
      <c r="L22" s="23" t="n">
        <f aca="false">$L$4*L21+$M$4*M21+$L$6</f>
        <v>95.89531609375</v>
      </c>
      <c r="M22" s="23" t="n">
        <f aca="false">$L$5*L21+$M$5*M21+$M$6</f>
        <v>81.5413453125</v>
      </c>
      <c r="N22" s="23" t="n">
        <f aca="false">MAX(ABS(L22-$L$11),ABS(M22-$M$11))</f>
        <v>4.10468390625</v>
      </c>
      <c r="O22" s="23" t="n">
        <f aca="false">$L$13*$L$9^K22</f>
        <v>6.05126953125</v>
      </c>
      <c r="P22" s="23" t="n">
        <f aca="false">$L$9/(1-$L$9)*MAX(ABS(L22-L21),ABS(M22-M21))</f>
        <v>4.82542640625</v>
      </c>
    </row>
    <row r="23" customFormat="false" ht="15" hidden="false" customHeight="false" outlineLevel="0" collapsed="false">
      <c r="A23" s="19" t="n">
        <v>6</v>
      </c>
      <c r="B23" s="13" t="n">
        <f aca="false">A23*$B$6</f>
        <v>1.5</v>
      </c>
      <c r="C23" s="11" t="n">
        <f aca="false">C22+$B$6*$B$4*C22*(1-C22/$B$5)</f>
        <v>6.50399051863513</v>
      </c>
      <c r="D23" s="11" t="n">
        <f aca="false">1+$B$6*$B$4*(1-2*C23/$B$5)</f>
        <v>1.19573204266614</v>
      </c>
      <c r="K23" s="19" t="n">
        <v>7</v>
      </c>
      <c r="L23" s="23" t="n">
        <f aca="false">$L$4*L22+$M$4*M22+$L$6</f>
        <v>97.0506929140625</v>
      </c>
      <c r="M23" s="23" t="n">
        <f aca="false">$L$5*L22+$M$5*M22+$M$6</f>
        <v>82.514338796875</v>
      </c>
      <c r="N23" s="23" t="n">
        <f aca="false">MAX(ABS(L23-$L$11),ABS(M23-$M$11))</f>
        <v>2.94930708593751</v>
      </c>
      <c r="O23" s="23" t="n">
        <f aca="false">$L$13*$L$9^K23</f>
        <v>4.5384521484375</v>
      </c>
      <c r="P23" s="23" t="n">
        <f aca="false">$L$9/(1-$L$9)*MAX(ABS(L23-L22),ABS(M23-M22))</f>
        <v>3.46613046093749</v>
      </c>
    </row>
    <row r="24" customFormat="false" ht="15" hidden="false" customHeight="false" outlineLevel="0" collapsed="false">
      <c r="A24" s="19" t="n">
        <v>7</v>
      </c>
      <c r="B24" s="13" t="n">
        <f aca="false">A24*$B$6</f>
        <v>1.75</v>
      </c>
      <c r="C24" s="11" t="n">
        <f aca="false">C23+$B$6*$B$4*C23*(1-C23/$B$5)</f>
        <v>7.87220912682841</v>
      </c>
      <c r="D24" s="11" t="n">
        <f aca="false">1+$B$6*$B$4*(1-2*C24/$B$5)</f>
        <v>1.18957505892927</v>
      </c>
      <c r="K24" s="19" t="n">
        <v>8</v>
      </c>
      <c r="L24" s="23" t="n">
        <f aca="false">$L$4*L23+$M$4*M23+$L$6</f>
        <v>97.8807488621094</v>
      </c>
      <c r="M24" s="23" t="n">
        <f aca="false">$L$5*L23+$M$5*M23+$M$6</f>
        <v>83.2136725695312</v>
      </c>
      <c r="N24" s="23" t="n">
        <f aca="false">MAX(ABS(L24-$L$11),ABS(M24-$M$11))</f>
        <v>2.11925113789063</v>
      </c>
      <c r="O24" s="23" t="n">
        <f aca="false">$L$13*$L$9^K24</f>
        <v>3.40383911132813</v>
      </c>
      <c r="P24" s="23" t="n">
        <f aca="false">$L$9/(1-$L$9)*MAX(ABS(L24-L23),ABS(M24-M23))</f>
        <v>2.49016784414063</v>
      </c>
    </row>
    <row r="25" customFormat="false" ht="15" hidden="false" customHeight="false" outlineLevel="0" collapsed="false">
      <c r="A25" s="19" t="n">
        <v>8</v>
      </c>
      <c r="B25" s="13" t="n">
        <f aca="false">A25*$B$6</f>
        <v>2</v>
      </c>
      <c r="C25" s="11" t="n">
        <f aca="false">C24+$B$6*$B$4*C24*(1-C24/$B$5)</f>
        <v>9.50401990815764</v>
      </c>
      <c r="D25" s="11" t="n">
        <f aca="false">1+$B$6*$B$4*(1-2*C25/$B$5)</f>
        <v>1.18223191041329</v>
      </c>
      <c r="K25" s="19" t="n">
        <v>9</v>
      </c>
      <c r="L25" s="23" t="n">
        <f aca="false">$L$4*L24+$M$4*M24+$L$6</f>
        <v>98.4771463880664</v>
      </c>
      <c r="M25" s="23" t="n">
        <f aca="false">$L$5*L24+$M$5*M24+$M$6</f>
        <v>83.7162784279297</v>
      </c>
      <c r="N25" s="23" t="n">
        <f aca="false">MAX(ABS(L25-$L$11),ABS(M25-$M$11))</f>
        <v>1.5228536119336</v>
      </c>
      <c r="O25" s="23" t="n">
        <f aca="false">$L$13*$L$9^K25</f>
        <v>2.55287933349609</v>
      </c>
      <c r="P25" s="23" t="n">
        <f aca="false">$L$9/(1-$L$9)*MAX(ABS(L25-L24),ABS(M25-M24))</f>
        <v>1.78919257787109</v>
      </c>
    </row>
    <row r="26" customFormat="false" ht="15" hidden="false" customHeight="false" outlineLevel="0" collapsed="false">
      <c r="A26" s="19" t="n">
        <v>9</v>
      </c>
      <c r="B26" s="13" t="n">
        <f aca="false">A26*$B$6</f>
        <v>2.25</v>
      </c>
      <c r="C26" s="11" t="n">
        <f aca="false">C25+$B$6*$B$4*C25*(1-C25/$B$5)</f>
        <v>11.4391900000601</v>
      </c>
      <c r="D26" s="11" t="n">
        <f aca="false">1+$B$6*$B$4*(1-2*C26/$B$5)</f>
        <v>1.17352364499973</v>
      </c>
      <c r="K26" s="19" t="n">
        <v>10</v>
      </c>
      <c r="L26" s="23" t="n">
        <f aca="false">$L$4*L25+$M$4*M25+$L$6</f>
        <v>98.9056861990225</v>
      </c>
      <c r="M26" s="23" t="n">
        <f aca="false">$L$5*L25+$M$5*M25+$M$6</f>
        <v>84.0774816955644</v>
      </c>
      <c r="N26" s="23" t="n">
        <f aca="false">MAX(ABS(L26-$L$11),ABS(M26-$M$11))</f>
        <v>1.09431380097755</v>
      </c>
      <c r="O26" s="23" t="n">
        <f aca="false">$L$13*$L$9^K26</f>
        <v>1.91465950012207</v>
      </c>
      <c r="P26" s="23" t="n">
        <f aca="false">$L$9/(1-$L$9)*MAX(ABS(L26-L25),ABS(M26-M25))</f>
        <v>1.28561943286816</v>
      </c>
    </row>
    <row r="27" customFormat="false" ht="15" hidden="false" customHeight="false" outlineLevel="0" collapsed="false">
      <c r="A27" s="19" t="n">
        <v>10</v>
      </c>
      <c r="B27" s="13" t="n">
        <f aca="false">A27*$B$6</f>
        <v>2.5</v>
      </c>
      <c r="C27" s="11" t="n">
        <f aca="false">C26+$B$6*$B$4*C26*(1-C26/$B$5)</f>
        <v>13.7185838473943</v>
      </c>
      <c r="D27" s="11" t="n">
        <f aca="false">1+$B$6*$B$4*(1-2*C27/$B$5)</f>
        <v>1.16326637268673</v>
      </c>
      <c r="K27" s="19" t="n">
        <v>11</v>
      </c>
      <c r="L27" s="23" t="n">
        <f aca="false">$L$4*L26+$M$4*M26+$L$6</f>
        <v>99.2136237485753</v>
      </c>
      <c r="M27" s="23" t="n">
        <f aca="false">$L$5*L26+$M$5*M26+$M$6</f>
        <v>84.3370576372409</v>
      </c>
      <c r="N27" s="23" t="n">
        <f aca="false">MAX(ABS(L27-$L$11),ABS(M27-$M$11))</f>
        <v>0.786376251424755</v>
      </c>
      <c r="O27" s="23" t="n">
        <f aca="false">$L$13*$L$9^K27</f>
        <v>1.43599462509155</v>
      </c>
      <c r="P27" s="23" t="n">
        <f aca="false">$L$9/(1-$L$9)*MAX(ABS(L27-L26),ABS(M27-M26))</f>
        <v>0.92381264865837</v>
      </c>
    </row>
    <row r="28" customFormat="false" ht="15" hidden="false" customHeight="false" outlineLevel="0" collapsed="false">
      <c r="A28" s="19" t="n">
        <v>11</v>
      </c>
      <c r="B28" s="13" t="n">
        <f aca="false">A28*$B$6</f>
        <v>2.75</v>
      </c>
      <c r="C28" s="11" t="n">
        <f aca="false">C27+$B$6*$B$4*C27*(1-C27/$B$5)</f>
        <v>16.3818162418076</v>
      </c>
      <c r="D28" s="11" t="n">
        <f aca="false">1+$B$6*$B$4*(1-2*C28/$B$5)</f>
        <v>1.15128182691187</v>
      </c>
      <c r="K28" s="19" t="n">
        <v>12</v>
      </c>
      <c r="L28" s="23" t="n">
        <f aca="false">$L$4*L27+$M$4*M27+$L$6</f>
        <v>99.4349045891646</v>
      </c>
      <c r="M28" s="23" t="n">
        <f aca="false">$L$5*L27+$M$5*M27+$M$6</f>
        <v>84.5235969572021</v>
      </c>
      <c r="N28" s="23" t="n">
        <f aca="false">MAX(ABS(L28-$L$11),ABS(M28-$M$11))</f>
        <v>0.56509541083544</v>
      </c>
      <c r="O28" s="23" t="n">
        <f aca="false">$L$13*$L$9^K28</f>
        <v>1.07699596881866</v>
      </c>
      <c r="P28" s="23" t="n">
        <f aca="false">$L$9/(1-$L$9)*MAX(ABS(L28-L27),ABS(M28-M27))</f>
        <v>0.663842521767947</v>
      </c>
    </row>
    <row r="29" customFormat="false" ht="15" hidden="false" customHeight="false" outlineLevel="0" collapsed="false">
      <c r="A29" s="19" t="n">
        <v>12</v>
      </c>
      <c r="B29" s="13" t="n">
        <f aca="false">A29*$B$6</f>
        <v>3</v>
      </c>
      <c r="C29" s="11" t="n">
        <f aca="false">C28+$B$6*$B$4*C28*(1-C28/$B$5)</f>
        <v>19.4639061136085</v>
      </c>
      <c r="D29" s="11" t="n">
        <f aca="false">1+$B$6*$B$4*(1-2*C29/$B$5)</f>
        <v>1.13741242248876</v>
      </c>
      <c r="K29" s="19" t="n">
        <v>13</v>
      </c>
      <c r="L29" s="23" t="n">
        <f aca="false">$L$4*L28+$M$4*M28+$L$6</f>
        <v>99.593916915481</v>
      </c>
      <c r="M29" s="23" t="n">
        <f aca="false">$L$5*L28+$M$5*M28+$M$6</f>
        <v>84.6576486332377</v>
      </c>
      <c r="N29" s="23" t="n">
        <f aca="false">MAX(ABS(L29-$L$11),ABS(M29-$M$11))</f>
        <v>0.406083084519068</v>
      </c>
      <c r="O29" s="23" t="n">
        <f aca="false">$L$13*$L$9^K29</f>
        <v>0.807746976613998</v>
      </c>
      <c r="P29" s="23" t="n">
        <f aca="false">$L$9/(1-$L$9)*MAX(ABS(L29-L28),ABS(M29-M28))</f>
        <v>0.477036978949116</v>
      </c>
    </row>
    <row r="30" customFormat="false" ht="15" hidden="false" customHeight="false" outlineLevel="0" collapsed="false">
      <c r="A30" s="19" t="n">
        <v>13</v>
      </c>
      <c r="B30" s="13" t="n">
        <f aca="false">A30*$B$6</f>
        <v>3.25</v>
      </c>
      <c r="C30" s="11" t="n">
        <f aca="false">C29+$B$6*$B$4*C29*(1-C29/$B$5)</f>
        <v>22.9908867964718</v>
      </c>
      <c r="D30" s="11" t="n">
        <f aca="false">1+$B$6*$B$4*(1-2*C30/$B$5)</f>
        <v>1.12154100941588</v>
      </c>
      <c r="K30" s="19" t="n">
        <v>14</v>
      </c>
      <c r="L30" s="23" t="n">
        <f aca="false">$L$4*L29+$M$4*M29+$L$6</f>
        <v>99.7081840301621</v>
      </c>
      <c r="M30" s="23" t="n">
        <f aca="false">$L$5*L29+$M$5*M29+$M$6</f>
        <v>84.7539808714907</v>
      </c>
      <c r="N30" s="23" t="n">
        <f aca="false">MAX(ABS(L30-$L$11),ABS(M30-$M$11))</f>
        <v>0.291815969837941</v>
      </c>
      <c r="O30" s="23" t="n">
        <f aca="false">$L$13*$L$9^K30</f>
        <v>0.605810232460499</v>
      </c>
      <c r="P30" s="23" t="n">
        <f aca="false">$L$9/(1-$L$9)*MAX(ABS(L30-L29),ABS(M30-M29))</f>
        <v>0.34280134404338</v>
      </c>
    </row>
    <row r="31" customFormat="false" ht="15" hidden="false" customHeight="false" outlineLevel="0" collapsed="false">
      <c r="A31" s="19" t="n">
        <v>14</v>
      </c>
      <c r="B31" s="13" t="n">
        <f aca="false">A31*$B$6</f>
        <v>3.5</v>
      </c>
      <c r="C31" s="11" t="n">
        <f aca="false">C30+$B$6*$B$4*C30*(1-C30/$B$5)</f>
        <v>26.9745293553796</v>
      </c>
      <c r="D31" s="11" t="n">
        <f aca="false">1+$B$6*$B$4*(1-2*C31/$B$5)</f>
        <v>1.10361461790079</v>
      </c>
      <c r="K31" s="19" t="n">
        <v>15</v>
      </c>
      <c r="L31" s="23" t="n">
        <f aca="false">$L$4*L30+$M$4*M30+$L$6</f>
        <v>99.7902973908873</v>
      </c>
      <c r="M31" s="23" t="n">
        <f aca="false">$L$5*L30+$M$5*M30+$M$6</f>
        <v>84.8232069259106</v>
      </c>
      <c r="N31" s="23" t="n">
        <f aca="false">MAX(ABS(L31-$L$11),ABS(M31-$M$11))</f>
        <v>0.209702609112725</v>
      </c>
      <c r="O31" s="23" t="n">
        <f aca="false">$L$13*$L$9^K31</f>
        <v>0.454357674345374</v>
      </c>
      <c r="P31" s="23" t="n">
        <f aca="false">$L$9/(1-$L$9)*MAX(ABS(L31-L30),ABS(M31-M30))</f>
        <v>0.246340082175649</v>
      </c>
    </row>
    <row r="32" customFormat="false" ht="15" hidden="false" customHeight="false" outlineLevel="0" collapsed="false">
      <c r="A32" s="19" t="n">
        <v>15</v>
      </c>
      <c r="B32" s="13" t="n">
        <f aca="false">A32*$B$6</f>
        <v>3.75</v>
      </c>
      <c r="C32" s="11" t="n">
        <f aca="false">C31+$B$6*$B$4*C31*(1-C31/$B$5)</f>
        <v>31.4066416839655</v>
      </c>
      <c r="D32" s="11" t="n">
        <f aca="false">1+$B$6*$B$4*(1-2*C32/$B$5)</f>
        <v>1.08367011242216</v>
      </c>
      <c r="K32" s="19" t="n">
        <v>16</v>
      </c>
      <c r="L32" s="23" t="n">
        <f aca="false">$L$4*L31+$M$4*M31+$L$6</f>
        <v>99.8493049501701</v>
      </c>
      <c r="M32" s="23" t="n">
        <f aca="false">$L$5*L31+$M$5*M31+$M$6</f>
        <v>84.8729538946351</v>
      </c>
      <c r="N32" s="23" t="n">
        <f aca="false">MAX(ABS(L32-$L$11),ABS(M32-$M$11))</f>
        <v>0.150695049829878</v>
      </c>
      <c r="O32" s="23" t="n">
        <f aca="false">$L$13*$L$9^K32</f>
        <v>0.340768255759031</v>
      </c>
      <c r="P32" s="23" t="n">
        <f aca="false">$L$9/(1-$L$9)*MAX(ABS(L32-L31),ABS(M32-M31))</f>
        <v>0.177022677848541</v>
      </c>
    </row>
    <row r="33" customFormat="false" ht="15" hidden="false" customHeight="false" outlineLevel="0" collapsed="false">
      <c r="A33" s="19" t="n">
        <v>16</v>
      </c>
      <c r="B33" s="13" t="n">
        <f aca="false">A33*$B$6</f>
        <v>4</v>
      </c>
      <c r="C33" s="11" t="n">
        <f aca="false">C32+$B$6*$B$4*C32*(1-C32/$B$5)</f>
        <v>36.2537874936615</v>
      </c>
      <c r="D33" s="11" t="n">
        <f aca="false">1+$B$6*$B$4*(1-2*C33/$B$5)</f>
        <v>1.06185795627852</v>
      </c>
      <c r="K33" s="19" t="n">
        <v>17</v>
      </c>
      <c r="L33" s="23" t="n">
        <f aca="false">$L$4*L32+$M$4*M32+$L$6</f>
        <v>99.8917085015206</v>
      </c>
      <c r="M33" s="23" t="n">
        <f aca="false">$L$5*L32+$M$5*M32+$M$6</f>
        <v>84.9087028317981</v>
      </c>
      <c r="N33" s="23" t="n">
        <f aca="false">MAX(ABS(L33-$L$11),ABS(M33-$M$11))</f>
        <v>0.108291498479417</v>
      </c>
      <c r="O33" s="23" t="n">
        <f aca="false">$L$13*$L$9^K33</f>
        <v>0.255576191819273</v>
      </c>
      <c r="P33" s="23" t="n">
        <f aca="false">$L$9/(1-$L$9)*MAX(ABS(L33-L32),ABS(M33-M32))</f>
        <v>0.127210654051382</v>
      </c>
    </row>
    <row r="34" customFormat="false" ht="15" hidden="false" customHeight="false" outlineLevel="0" collapsed="false">
      <c r="A34" s="19" t="n">
        <v>17</v>
      </c>
      <c r="B34" s="13" t="n">
        <f aca="false">A34*$B$6</f>
        <v>4.25</v>
      </c>
      <c r="C34" s="11" t="n">
        <f aca="false">C33+$B$6*$B$4*C33*(1-C33/$B$5)</f>
        <v>41.4536311875553</v>
      </c>
      <c r="D34" s="11" t="n">
        <f aca="false">1+$B$6*$B$4*(1-2*C34/$B$5)</f>
        <v>1.038458659656</v>
      </c>
      <c r="K34" s="19" t="n">
        <v>18</v>
      </c>
      <c r="L34" s="23" t="n">
        <f aca="false">$L$4*L33+$M$4*M33+$L$6</f>
        <v>99.922180242196</v>
      </c>
      <c r="M34" s="23" t="n">
        <f aca="false">$L$5*L33+$M$5*M33+$M$6</f>
        <v>84.9343925492309</v>
      </c>
      <c r="N34" s="23" t="n">
        <f aca="false">MAX(ABS(L34-$L$11),ABS(M34-$M$11))</f>
        <v>0.0778197578040647</v>
      </c>
      <c r="O34" s="23" t="n">
        <f aca="false">$L$13*$L$9^K34</f>
        <v>0.191682143864455</v>
      </c>
      <c r="P34" s="23" t="n">
        <f aca="false">$L$9/(1-$L$9)*MAX(ABS(L34-L33),ABS(M34-M33))</f>
        <v>0.0914152220260576</v>
      </c>
    </row>
    <row r="35" customFormat="false" ht="15" hidden="false" customHeight="false" outlineLevel="0" collapsed="false">
      <c r="A35" s="19" t="n">
        <v>18</v>
      </c>
      <c r="B35" s="13" t="n">
        <f aca="false">A35*$B$6</f>
        <v>4.5</v>
      </c>
      <c r="C35" s="11" t="n">
        <f aca="false">C34+$B$6*$B$4*C34*(1-C34/$B$5)</f>
        <v>46.914290242829</v>
      </c>
      <c r="D35" s="11" t="n">
        <f aca="false">1+$B$6*$B$4*(1-2*C35/$B$5)</f>
        <v>1.01388569390727</v>
      </c>
      <c r="K35" s="19" t="n">
        <v>19</v>
      </c>
      <c r="L35" s="23" t="n">
        <f aca="false">$L$4*L34+$M$4*M34+$L$6</f>
        <v>99.944077643054</v>
      </c>
      <c r="M35" s="23" t="n">
        <f aca="false">$L$5*L34+$M$5*M34+$M$6</f>
        <v>84.9528535537581</v>
      </c>
      <c r="N35" s="23" t="n">
        <f aca="false">MAX(ABS(L35-$L$11),ABS(M35-$M$11))</f>
        <v>0.0559223569460556</v>
      </c>
      <c r="O35" s="23" t="n">
        <f aca="false">$L$13*$L$9^K35</f>
        <v>0.143761607898341</v>
      </c>
      <c r="P35" s="23" t="n">
        <f aca="false">$L$9/(1-$L$9)*MAX(ABS(L35-L34),ABS(M35-M34))</f>
        <v>0.0656922025740272</v>
      </c>
    </row>
    <row r="36" customFormat="false" ht="15" hidden="false" customHeight="false" outlineLevel="0" collapsed="false">
      <c r="A36" s="19" t="n">
        <v>19</v>
      </c>
      <c r="B36" s="13" t="n">
        <f aca="false">A36*$B$6</f>
        <v>4.75</v>
      </c>
      <c r="C36" s="11" t="n">
        <f aca="false">C35+$B$6*$B$4*C35*(1-C35/$B$5)</f>
        <v>52.5178666322417</v>
      </c>
      <c r="D36" s="11" t="n">
        <f aca="false">1+$B$6*$B$4*(1-2*C36/$B$5)</f>
        <v>0.988669600154913</v>
      </c>
      <c r="K36" s="19" t="n">
        <v>20</v>
      </c>
      <c r="L36" s="23" t="n">
        <f aca="false">$L$4*L35+$M$4*M35+$L$6</f>
        <v>99.9598134144313</v>
      </c>
      <c r="M36" s="23" t="n">
        <f aca="false">$L$5*L35+$M$5*M35+$M$6</f>
        <v>84.9661198965603</v>
      </c>
      <c r="N36" s="23" t="n">
        <f aca="false">MAX(ABS(L36-$L$11),ABS(M36-$M$11))</f>
        <v>0.0401865855687049</v>
      </c>
      <c r="O36" s="23" t="n">
        <f aca="false">$L$13*$L$9^K36</f>
        <v>0.107821205923756</v>
      </c>
      <c r="P36" s="23" t="n">
        <f aca="false">$L$9/(1-$L$9)*MAX(ABS(L36-L35),ABS(M36-M35))</f>
        <v>0.0472073141320522</v>
      </c>
    </row>
    <row r="37" customFormat="false" ht="15" hidden="false" customHeight="false" outlineLevel="0" collapsed="false">
      <c r="A37" s="19" t="n">
        <v>20</v>
      </c>
      <c r="B37" s="13" t="n">
        <f aca="false">A37*$B$6</f>
        <v>5</v>
      </c>
      <c r="C37" s="11" t="n">
        <f aca="false">C36+$B$6*$B$4*C36*(1-C36/$B$5)</f>
        <v>58.1286024143917</v>
      </c>
      <c r="D37" s="11" t="n">
        <f aca="false">1+$B$6*$B$4*(1-2*C37/$B$5)</f>
        <v>0.963421289135237</v>
      </c>
      <c r="K37" s="19" t="n">
        <v>21</v>
      </c>
      <c r="L37" s="23" t="n">
        <f aca="false">$L$4*L36+$M$4*M36+$L$6</f>
        <v>99.9711213572493</v>
      </c>
      <c r="M37" s="23" t="n">
        <f aca="false">$L$5*L36+$M$5*M36+$M$6</f>
        <v>84.9756532793793</v>
      </c>
      <c r="N37" s="23" t="n">
        <f aca="false">MAX(ABS(L37-$L$11),ABS(M37-$M$11))</f>
        <v>0.0288786427507404</v>
      </c>
      <c r="O37" s="23" t="n">
        <f aca="false">$L$13*$L$9^K37</f>
        <v>0.0808659044428168</v>
      </c>
      <c r="P37" s="23" t="n">
        <f aca="false">$L$9/(1-$L$9)*MAX(ABS(L37-L36),ABS(M37-M36))</f>
        <v>0.0339238284538936</v>
      </c>
    </row>
    <row r="38" customFormat="false" ht="15" hidden="false" customHeight="false" outlineLevel="0" collapsed="false">
      <c r="A38" s="19" t="n">
        <v>21</v>
      </c>
      <c r="B38" s="13" t="n">
        <f aca="false">A38*$B$6</f>
        <v>5.25</v>
      </c>
      <c r="C38" s="11" t="n">
        <f aca="false">C37+$B$6*$B$4*C37*(1-C37/$B$5)</f>
        <v>63.6049355156664</v>
      </c>
      <c r="D38" s="11" t="n">
        <f aca="false">1+$B$6*$B$4*(1-2*C38/$B$5)</f>
        <v>0.938777790179501</v>
      </c>
      <c r="K38" s="19" t="n">
        <v>22</v>
      </c>
      <c r="L38" s="23" t="n">
        <f aca="false">$L$4*L37+$M$4*M37+$L$6</f>
        <v>99.979247402363</v>
      </c>
      <c r="M38" s="23" t="n">
        <f aca="false">$L$5*L37+$M$5*M37+$M$6</f>
        <v>84.9825041033525</v>
      </c>
      <c r="N38" s="23" t="n">
        <f aca="false">MAX(ABS(L38-$L$11),ABS(M38-$M$11))</f>
        <v>0.0207525976370562</v>
      </c>
      <c r="O38" s="23" t="n">
        <f aca="false">$L$13*$L$9^K38</f>
        <v>0.0606494283321126</v>
      </c>
      <c r="P38" s="23" t="n">
        <f aca="false">$L$9/(1-$L$9)*MAX(ABS(L38-L37),ABS(M38-M37))</f>
        <v>0.0243781353410526</v>
      </c>
    </row>
    <row r="39" customFormat="false" ht="15" hidden="false" customHeight="false" outlineLevel="0" collapsed="false">
      <c r="A39" s="19" t="n">
        <v>22</v>
      </c>
      <c r="B39" s="13" t="n">
        <f aca="false">A39*$B$6</f>
        <v>5.5</v>
      </c>
      <c r="C39" s="11" t="n">
        <f aca="false">C38+$B$6*$B$4*C38*(1-C38/$B$5)</f>
        <v>68.8134734072991</v>
      </c>
      <c r="D39" s="11" t="n">
        <f aca="false">1+$B$6*$B$4*(1-2*C39/$B$5)</f>
        <v>0.915339369667154</v>
      </c>
      <c r="K39" s="19" t="n">
        <v>23</v>
      </c>
      <c r="L39" s="23" t="n">
        <f aca="false">$L$4*L38+$M$4*M38+$L$6</f>
        <v>99.9850868919701</v>
      </c>
      <c r="M39" s="23" t="n">
        <f aca="false">$L$5*L38+$M$5*M38+$M$6</f>
        <v>84.9874272022478</v>
      </c>
      <c r="N39" s="23" t="n">
        <f aca="false">MAX(ABS(L39-$L$11),ABS(M39-$M$11))</f>
        <v>0.0149131080298872</v>
      </c>
      <c r="O39" s="23" t="n">
        <f aca="false">$L$13*$L$9^K39</f>
        <v>0.0454870712490845</v>
      </c>
      <c r="P39" s="23" t="n">
        <f aca="false">$L$9/(1-$L$9)*MAX(ABS(L39-L38),ABS(M39-M38))</f>
        <v>0.0175184688215069</v>
      </c>
    </row>
    <row r="40" customFormat="false" ht="15" hidden="false" customHeight="false" outlineLevel="0" collapsed="false">
      <c r="A40" s="19" t="n">
        <v>23</v>
      </c>
      <c r="B40" s="13" t="n">
        <f aca="false">A40*$B$6</f>
        <v>5.75</v>
      </c>
      <c r="C40" s="11" t="n">
        <f aca="false">C39+$B$6*$B$4*C39*(1-C39/$B$5)</f>
        <v>73.6420931485931</v>
      </c>
      <c r="D40" s="11" t="n">
        <f aca="false">1+$B$6*$B$4*(1-2*C40/$B$5)</f>
        <v>0.893610580831331</v>
      </c>
      <c r="K40" s="19" t="n">
        <v>24</v>
      </c>
      <c r="L40" s="23" t="n">
        <f aca="false">$L$4*L39+$M$4*M39+$L$6</f>
        <v>99.9892832310331</v>
      </c>
      <c r="M40" s="23" t="n">
        <f aca="false">$L$5*L39+$M$5*M39+$M$6</f>
        <v>84.9909650105457</v>
      </c>
      <c r="N40" s="23" t="n">
        <f aca="false">MAX(ABS(L40-$L$11),ABS(M40-$M$11))</f>
        <v>0.0107167689668728</v>
      </c>
      <c r="O40" s="23" t="n">
        <f aca="false">$L$13*$L$9^K40</f>
        <v>0.0341153034368134</v>
      </c>
      <c r="P40" s="23" t="n">
        <f aca="false">$L$9/(1-$L$9)*MAX(ABS(L40-L39),ABS(M40-M39))</f>
        <v>0.0125890171890433</v>
      </c>
    </row>
    <row r="41" customFormat="false" ht="15" hidden="false" customHeight="false" outlineLevel="0" collapsed="false">
      <c r="A41" s="19" t="n">
        <v>24</v>
      </c>
      <c r="B41" s="13" t="n">
        <f aca="false">A41*$B$6</f>
        <v>6</v>
      </c>
      <c r="C41" s="11" t="n">
        <f aca="false">C40+$B$6*$B$4*C40*(1-C40/$B$5)</f>
        <v>78.0094588695879</v>
      </c>
      <c r="D41" s="11" t="n">
        <f aca="false">1+$B$6*$B$4*(1-2*C41/$B$5)</f>
        <v>0.873957435086855</v>
      </c>
      <c r="K41" s="19" t="n">
        <v>25</v>
      </c>
      <c r="L41" s="23" t="n">
        <f aca="false">$L$4*L40+$M$4*M40+$L$6</f>
        <v>99.9922987791774</v>
      </c>
      <c r="M41" s="23" t="n">
        <f aca="false">$L$5*L40+$M$5*M40+$M$6</f>
        <v>84.9935073294307</v>
      </c>
      <c r="N41" s="23" t="n">
        <f aca="false">MAX(ABS(L41-$L$11),ABS(M41-$M$11))</f>
        <v>0.00770122082263924</v>
      </c>
      <c r="O41" s="23" t="n">
        <f aca="false">$L$13*$L$9^K41</f>
        <v>0.02558647757761</v>
      </c>
      <c r="P41" s="23" t="n">
        <f aca="false">$L$9/(1-$L$9)*MAX(ABS(L41-L40),ABS(M41-M40))</f>
        <v>0.00904664443270065</v>
      </c>
    </row>
    <row r="42" customFormat="false" ht="15" hidden="false" customHeight="false" outlineLevel="0" collapsed="false">
      <c r="A42" s="19" t="n">
        <v>25</v>
      </c>
      <c r="B42" s="13" t="n">
        <f aca="false">A42*$B$6</f>
        <v>6.25</v>
      </c>
      <c r="C42" s="11" t="n">
        <f aca="false">C41+$B$6*$B$4*C41*(1-C41/$B$5)</f>
        <v>81.8692668507118</v>
      </c>
      <c r="D42" s="11" t="n">
        <f aca="false">1+$B$6*$B$4*(1-2*C42/$B$5)</f>
        <v>0.856588299171797</v>
      </c>
      <c r="K42" s="19" t="n">
        <v>26</v>
      </c>
      <c r="L42" s="23" t="n">
        <f aca="false">$L$4*L41+$M$4*M41+$L$6</f>
        <v>99.9944657944337</v>
      </c>
      <c r="M42" s="23" t="n">
        <f aca="false">$L$5*L41+$M$5*M41+$M$6</f>
        <v>84.9953342755762</v>
      </c>
      <c r="N42" s="23" t="n">
        <f aca="false">MAX(ABS(L42-$L$11),ABS(M42-$M$11))</f>
        <v>0.00553420556632034</v>
      </c>
      <c r="O42" s="23" t="n">
        <f aca="false">$L$13*$L$9^K42</f>
        <v>0.0191898581832075</v>
      </c>
      <c r="P42" s="23" t="n">
        <f aca="false">$L$9/(1-$L$9)*MAX(ABS(L42-L41),ABS(M42-M41))</f>
        <v>0.00650104576895672</v>
      </c>
    </row>
    <row r="43" customFormat="false" ht="15" hidden="false" customHeight="false" outlineLevel="0" collapsed="false">
      <c r="A43" s="19" t="n">
        <v>26</v>
      </c>
      <c r="B43" s="13" t="n">
        <f aca="false">A43*$B$6</f>
        <v>6.5</v>
      </c>
      <c r="C43" s="11" t="n">
        <f aca="false">C42+$B$6*$B$4*C42*(1-C42/$B$5)</f>
        <v>85.2090539691076</v>
      </c>
      <c r="D43" s="11" t="n">
        <f aca="false">1+$B$6*$B$4*(1-2*C43/$B$5)</f>
        <v>0.841559257139016</v>
      </c>
      <c r="K43" s="19" t="n">
        <v>27</v>
      </c>
      <c r="L43" s="23" t="n">
        <f aca="false">$L$4*L42+$M$4*M42+$L$6</f>
        <v>99.9960230420538</v>
      </c>
      <c r="M43" s="23" t="n">
        <f aca="false">$L$5*L42+$M$5*M42+$M$6</f>
        <v>84.9966471447891</v>
      </c>
      <c r="N43" s="23" t="n">
        <f aca="false">MAX(ABS(L43-$L$11),ABS(M43-$M$11))</f>
        <v>0.00397695794625008</v>
      </c>
      <c r="O43" s="23" t="n">
        <f aca="false">$L$13*$L$9^K43</f>
        <v>0.0143923936374056</v>
      </c>
      <c r="P43" s="23" t="n">
        <f aca="false">$L$9/(1-$L$9)*MAX(ABS(L43-L42),ABS(M43-M42))</f>
        <v>0.00467174286021077</v>
      </c>
    </row>
    <row r="44" customFormat="false" ht="15" hidden="false" customHeight="false" outlineLevel="0" collapsed="false">
      <c r="A44" s="19" t="n">
        <v>27</v>
      </c>
      <c r="B44" s="13" t="n">
        <f aca="false">A44*$B$6</f>
        <v>6.75</v>
      </c>
      <c r="C44" s="11" t="n">
        <f aca="false">C43+$B$6*$B$4*C43*(1-C43/$B$5)</f>
        <v>88.0447796359587</v>
      </c>
      <c r="D44" s="11" t="n">
        <f aca="false">1+$B$6*$B$4*(1-2*C44/$B$5)</f>
        <v>0.828798491638186</v>
      </c>
      <c r="K44" s="19" t="n">
        <v>28</v>
      </c>
      <c r="L44" s="23" t="n">
        <f aca="false">$L$4*L43+$M$4*M43+$L$6</f>
        <v>99.9971421020874</v>
      </c>
      <c r="M44" s="23" t="n">
        <f aca="false">$L$5*L43+$M$5*M43+$M$6</f>
        <v>84.9975905910788</v>
      </c>
      <c r="N44" s="23" t="n">
        <f aca="false">MAX(ABS(L44-$L$11),ABS(M44-$M$11))</f>
        <v>0.00285789791261948</v>
      </c>
      <c r="O44" s="23" t="n">
        <f aca="false">$L$13*$L$9^K44</f>
        <v>0.0107942952280542</v>
      </c>
      <c r="P44" s="23" t="n">
        <f aca="false">$L$9/(1-$L$9)*MAX(ABS(L44-L43),ABS(M44-M43))</f>
        <v>0.00335718010089181</v>
      </c>
    </row>
    <row r="45" customFormat="false" ht="15" hidden="false" customHeight="false" outlineLevel="0" collapsed="false">
      <c r="A45" s="19" t="n">
        <v>28</v>
      </c>
      <c r="B45" s="13" t="n">
        <f aca="false">A45*$B$6</f>
        <v>7</v>
      </c>
      <c r="C45" s="11" t="n">
        <f aca="false">C44+$B$6*$B$4*C44*(1-C44/$B$5)</f>
        <v>90.4131178064742</v>
      </c>
      <c r="D45" s="11" t="n">
        <f aca="false">1+$B$6*$B$4*(1-2*C45/$B$5)</f>
        <v>0.818140969870866</v>
      </c>
      <c r="K45" s="19" t="n">
        <v>29</v>
      </c>
      <c r="L45" s="23" t="n">
        <f aca="false">$L$4*L44+$M$4*M44+$L$6</f>
        <v>99.9979462743638</v>
      </c>
      <c r="M45" s="23" t="n">
        <f aca="false">$L$5*L44+$M$5*M44+$M$6</f>
        <v>84.998268564856</v>
      </c>
      <c r="N45" s="23" t="n">
        <f aca="false">MAX(ABS(L45-$L$11),ABS(M45-$M$11))</f>
        <v>0.00205372563617345</v>
      </c>
      <c r="O45" s="23" t="n">
        <f aca="false">$L$13*$L$9^K45</f>
        <v>0.00809572142104067</v>
      </c>
      <c r="P45" s="23" t="n">
        <f aca="false">$L$9/(1-$L$9)*MAX(ABS(L45-L44),ABS(M45-M44))</f>
        <v>0.00241251682933807</v>
      </c>
    </row>
    <row r="46" customFormat="false" ht="15" hidden="false" customHeight="false" outlineLevel="0" collapsed="false">
      <c r="A46" s="19" t="n">
        <v>29</v>
      </c>
      <c r="B46" s="13" t="n">
        <f aca="false">A46*$B$6</f>
        <v>7.25</v>
      </c>
      <c r="C46" s="11" t="n">
        <f aca="false">C45+$B$6*$B$4*C45*(1-C45/$B$5)</f>
        <v>92.3633726020843</v>
      </c>
      <c r="D46" s="11" t="n">
        <f aca="false">1+$B$6*$B$4*(1-2*C46/$B$5)</f>
        <v>0.809364823290621</v>
      </c>
      <c r="K46" s="19" t="n">
        <v>30</v>
      </c>
      <c r="L46" s="23" t="n">
        <f aca="false">$L$4*L45+$M$4*M45+$L$6</f>
        <v>99.9985241638713</v>
      </c>
      <c r="M46" s="23" t="n">
        <f aca="false">$L$5*L45+$M$5*M45+$M$6</f>
        <v>84.99875576635</v>
      </c>
      <c r="N46" s="23" t="n">
        <f aca="false">MAX(ABS(L46-$L$11),ABS(M46-$M$11))</f>
        <v>0.00147583612869084</v>
      </c>
      <c r="O46" s="23" t="n">
        <f aca="false">$L$13*$L$9^K46</f>
        <v>0.0060717910657805</v>
      </c>
      <c r="P46" s="23" t="n">
        <f aca="false">$L$9/(1-$L$9)*MAX(ABS(L46-L45),ABS(M46-M45))</f>
        <v>0.00173366852244783</v>
      </c>
    </row>
    <row r="47" customFormat="false" ht="15" hidden="false" customHeight="false" outlineLevel="0" collapsed="false">
      <c r="A47" s="19" t="n">
        <v>30</v>
      </c>
      <c r="B47" s="13" t="n">
        <f aca="false">A47*$B$6</f>
        <v>7.5</v>
      </c>
      <c r="C47" s="11" t="n">
        <f aca="false">C46+$B$6*$B$4*C46*(1-C46/$B$5)</f>
        <v>93.9503980910825</v>
      </c>
      <c r="D47" s="11" t="n">
        <f aca="false">1+$B$6*$B$4*(1-2*C47/$B$5)</f>
        <v>0.802223208590129</v>
      </c>
    </row>
    <row r="48" customFormat="false" ht="15" hidden="false" customHeight="false" outlineLevel="0" collapsed="false">
      <c r="A48" s="19" t="n">
        <v>31</v>
      </c>
      <c r="B48" s="13" t="n">
        <f aca="false">A48*$B$6</f>
        <v>7.75</v>
      </c>
      <c r="C48" s="11" t="n">
        <f aca="false">C47+$B$6*$B$4*C47*(1-C47/$B$5)</f>
        <v>95.2292137332621</v>
      </c>
      <c r="D48" s="11" t="n">
        <f aca="false">1+$B$6*$B$4*(1-2*C48/$B$5)</f>
        <v>0.796468538200321</v>
      </c>
      <c r="K48" s="2" t="s">
        <v>328</v>
      </c>
      <c r="L48" s="19" t="n">
        <f aca="false">COUNTIF(O16:O46,"&gt;1")</f>
        <v>13</v>
      </c>
      <c r="M48" s="10" t="s">
        <v>329</v>
      </c>
    </row>
    <row r="49" customFormat="false" ht="15" hidden="false" customHeight="false" outlineLevel="0" collapsed="false">
      <c r="A49" s="19" t="n">
        <v>32</v>
      </c>
      <c r="B49" s="13" t="n">
        <f aca="false">A49*$B$6</f>
        <v>8</v>
      </c>
      <c r="C49" s="11" t="n">
        <f aca="false">C48+$B$6*$B$4*C48*(1-C48/$B$5)</f>
        <v>96.2514297396716</v>
      </c>
      <c r="D49" s="11" t="n">
        <f aca="false">1+$B$6*$B$4*(1-2*C49/$B$5)</f>
        <v>0.791868566171478</v>
      </c>
      <c r="K49" s="2" t="s">
        <v>330</v>
      </c>
      <c r="L49" s="19" t="n">
        <f aca="false">COUNTIF(N16:N46,"&gt;1")</f>
        <v>11</v>
      </c>
      <c r="M49" s="10" t="s">
        <v>331</v>
      </c>
    </row>
    <row r="50" customFormat="false" ht="15" hidden="false" customHeight="false" outlineLevel="0" collapsed="false">
      <c r="A50" s="19" t="n">
        <v>33</v>
      </c>
      <c r="B50" s="13" t="n">
        <f aca="false">A50*$B$6</f>
        <v>8.25</v>
      </c>
      <c r="C50" s="11" t="n">
        <f aca="false">C49+$B$6*$B$4*C49*(1-C49/$B$5)</f>
        <v>97.0632415455031</v>
      </c>
      <c r="D50" s="11" t="n">
        <f aca="false">1+$B$6*$B$4*(1-2*C50/$B$5)</f>
        <v>0.788215413045236</v>
      </c>
      <c r="K50" s="2" t="s">
        <v>332</v>
      </c>
      <c r="L50" s="11" t="n">
        <f aca="false">N21</f>
        <v>5.713159375</v>
      </c>
      <c r="M50" s="10" t="s">
        <v>333</v>
      </c>
    </row>
    <row r="51" customFormat="false" ht="15" hidden="false" customHeight="false" outlineLevel="0" collapsed="false">
      <c r="A51" s="19" t="n">
        <v>34</v>
      </c>
      <c r="B51" s="13" t="n">
        <f aca="false">A51*$B$6</f>
        <v>8.5</v>
      </c>
      <c r="C51" s="11" t="n">
        <f aca="false">C50+$B$6*$B$4*C50*(1-C50/$B$5)</f>
        <v>97.7046069597698</v>
      </c>
      <c r="D51" s="11" t="n">
        <f aca="false">1+$B$6*$B$4*(1-2*C51/$B$5)</f>
        <v>0.785329268681036</v>
      </c>
      <c r="K51" s="2" t="s">
        <v>334</v>
      </c>
      <c r="L51" s="11" t="n">
        <f aca="false">O21</f>
        <v>8.068359375</v>
      </c>
      <c r="M51" s="10" t="s">
        <v>335</v>
      </c>
    </row>
    <row r="52" customFormat="false" ht="15" hidden="false" customHeight="false" outlineLevel="0" collapsed="false">
      <c r="A52" s="19" t="n">
        <v>35</v>
      </c>
      <c r="B52" s="13" t="n">
        <f aca="false">A52*$B$6</f>
        <v>8.75</v>
      </c>
      <c r="C52" s="11" t="n">
        <f aca="false">C51+$B$6*$B$4*C51*(1-C51/$B$5)</f>
        <v>98.209215528101</v>
      </c>
      <c r="D52" s="11" t="n">
        <f aca="false">1+$B$6*$B$4*(1-2*C52/$B$5)</f>
        <v>0.783058530123546</v>
      </c>
      <c r="K52" s="2" t="s">
        <v>336</v>
      </c>
      <c r="L52" s="11" t="n">
        <f aca="false">P21</f>
        <v>6.71970937499999</v>
      </c>
      <c r="M52" s="10" t="s">
        <v>337</v>
      </c>
    </row>
    <row r="53" customFormat="false" ht="15" hidden="false" customHeight="false" outlineLevel="0" collapsed="false">
      <c r="A53" s="19" t="n">
        <v>36</v>
      </c>
      <c r="B53" s="13" t="n">
        <f aca="false">A53*$B$6</f>
        <v>9</v>
      </c>
      <c r="C53" s="11" t="n">
        <f aca="false">C52+$B$6*$B$4*C52*(1-C52/$B$5)</f>
        <v>98.6049264889725</v>
      </c>
      <c r="D53" s="11" t="n">
        <f aca="false">1+$B$6*$B$4*(1-2*C53/$B$5)</f>
        <v>0.781277830799624</v>
      </c>
    </row>
    <row r="54" customFormat="false" ht="15" hidden="false" customHeight="false" outlineLevel="0" collapsed="false">
      <c r="A54" s="19" t="n">
        <v>37</v>
      </c>
      <c r="B54" s="13" t="n">
        <f aca="false">A54*$B$6</f>
        <v>9.25</v>
      </c>
      <c r="C54" s="11" t="n">
        <f aca="false">C53+$B$6*$B$4*C53*(1-C53/$B$5)</f>
        <v>98.914439011226</v>
      </c>
      <c r="D54" s="11" t="n">
        <f aca="false">1+$B$6*$B$4*(1-2*C54/$B$5)</f>
        <v>0.779885024449483</v>
      </c>
    </row>
    <row r="55" customFormat="false" ht="15" hidden="false" customHeight="false" outlineLevel="0" collapsed="false">
      <c r="A55" s="19" t="n">
        <v>38</v>
      </c>
      <c r="B55" s="13" t="n">
        <f aca="false">A55*$B$6</f>
        <v>9.5</v>
      </c>
      <c r="C55" s="11" t="n">
        <f aca="false">C54+$B$6*$B$4*C54*(1-C54/$B$5)</f>
        <v>99.1560387377144</v>
      </c>
      <c r="D55" s="11" t="n">
        <f aca="false">1+$B$6*$B$4*(1-2*C55/$B$5)</f>
        <v>0.778797825680285</v>
      </c>
    </row>
    <row r="56" customFormat="false" ht="15" hidden="false" customHeight="false" outlineLevel="0" collapsed="false">
      <c r="A56" s="19" t="n">
        <v>39</v>
      </c>
      <c r="B56" s="13" t="n">
        <f aca="false">A56*$B$6</f>
        <v>9.75</v>
      </c>
      <c r="C56" s="11" t="n">
        <f aca="false">C55+$B$6*$B$4*C55*(1-C55/$B$5)</f>
        <v>99.3443274128511</v>
      </c>
      <c r="D56" s="11" t="n">
        <f aca="false">1+$B$6*$B$4*(1-2*C56/$B$5)</f>
        <v>0.77795052664217</v>
      </c>
    </row>
    <row r="57" customFormat="false" ht="15" hidden="false" customHeight="false" outlineLevel="0" collapsed="false">
      <c r="A57" s="19" t="n">
        <v>40</v>
      </c>
      <c r="B57" s="13" t="n">
        <f aca="false">A57*$B$6</f>
        <v>10</v>
      </c>
      <c r="C57" s="11" t="n">
        <f aca="false">C56+$B$6*$B$4*C56*(1-C56/$B$5)</f>
        <v>99.4908864552412</v>
      </c>
      <c r="D57" s="11" t="n">
        <f aca="false">1+$B$6*$B$4*(1-2*C57/$B$5)</f>
        <v>0.777291010951415</v>
      </c>
    </row>
    <row r="58" customFormat="false" ht="15" hidden="false" customHeight="false" outlineLevel="0" collapsed="false">
      <c r="A58" s="19" t="n">
        <v>41</v>
      </c>
      <c r="B58" s="13" t="n">
        <f aca="false">A58*$B$6</f>
        <v>10.25</v>
      </c>
      <c r="C58" s="11" t="n">
        <f aca="false">C57+$B$6*$B$4*C57*(1-C57/$B$5)</f>
        <v>99.6048538104586</v>
      </c>
      <c r="D58" s="11" t="n">
        <f aca="false">1+$B$6*$B$4*(1-2*C58/$B$5)</f>
        <v>0.776778157852936</v>
      </c>
    </row>
    <row r="59" customFormat="false" ht="15" hidden="false" customHeight="false" outlineLevel="0" collapsed="false">
      <c r="A59" s="19" t="n">
        <v>42</v>
      </c>
      <c r="B59" s="13" t="n">
        <f aca="false">A59*$B$6</f>
        <v>10.5</v>
      </c>
      <c r="C59" s="11" t="n">
        <f aca="false">C58+$B$6*$B$4*C58*(1-C58/$B$5)</f>
        <v>99.6934103869554</v>
      </c>
      <c r="D59" s="11" t="n">
        <f aca="false">1+$B$6*$B$4*(1-2*C59/$B$5)</f>
        <v>0.776379653258701</v>
      </c>
    </row>
    <row r="60" customFormat="false" ht="15" hidden="false" customHeight="false" outlineLevel="0" collapsed="false">
      <c r="A60" s="19" t="n">
        <v>43</v>
      </c>
      <c r="B60" s="13" t="n">
        <f aca="false">A60*$B$6</f>
        <v>10.75</v>
      </c>
      <c r="C60" s="11" t="n">
        <f aca="false">C59+$B$6*$B$4*C59*(1-C59/$B$5)</f>
        <v>99.7621815562111</v>
      </c>
      <c r="D60" s="11" t="n">
        <f aca="false">1+$B$6*$B$4*(1-2*C60/$B$5)</f>
        <v>0.77607018299705</v>
      </c>
    </row>
    <row r="61" customFormat="false" ht="15" hidden="false" customHeight="false" outlineLevel="0" collapsed="false">
      <c r="A61" s="19" t="n">
        <v>44</v>
      </c>
      <c r="B61" s="13" t="n">
        <f aca="false">A61*$B$6</f>
        <v>11</v>
      </c>
      <c r="C61" s="11" t="n">
        <f aca="false">C60+$B$6*$B$4*C60*(1-C60/$B$5)</f>
        <v>99.8155634514362</v>
      </c>
      <c r="D61" s="11" t="n">
        <f aca="false">1+$B$6*$B$4*(1-2*C61/$B$5)</f>
        <v>0.775829964468537</v>
      </c>
    </row>
    <row r="62" customFormat="false" ht="15" hidden="false" customHeight="false" outlineLevel="0" collapsed="false">
      <c r="A62" s="19" t="n">
        <v>45</v>
      </c>
      <c r="B62" s="13" t="n">
        <f aca="false">A62*$B$6</f>
        <v>11.25</v>
      </c>
      <c r="C62" s="11" t="n">
        <f aca="false">C61+$B$6*$B$4*C61*(1-C61/$B$5)</f>
        <v>99.856985136972</v>
      </c>
      <c r="D62" s="11" t="n">
        <f aca="false">1+$B$6*$B$4*(1-2*C62/$B$5)</f>
        <v>0.775643566883626</v>
      </c>
    </row>
    <row r="63" customFormat="false" ht="15" hidden="false" customHeight="false" outlineLevel="0" collapsed="false">
      <c r="A63" s="19" t="n">
        <v>46</v>
      </c>
      <c r="B63" s="13" t="n">
        <f aca="false">A63*$B$6</f>
        <v>11.5</v>
      </c>
      <c r="C63" s="11" t="n">
        <f aca="false">C62+$B$6*$B$4*C62*(1-C62/$B$5)</f>
        <v>99.8891174613385</v>
      </c>
      <c r="D63" s="11" t="n">
        <f aca="false">1+$B$6*$B$4*(1-2*C63/$B$5)</f>
        <v>0.775498971423977</v>
      </c>
    </row>
    <row r="64" customFormat="false" ht="15" hidden="false" customHeight="false" outlineLevel="0" collapsed="false">
      <c r="A64" s="19" t="n">
        <v>47</v>
      </c>
      <c r="B64" s="13" t="n">
        <f aca="false">A64*$B$6</f>
        <v>11.75</v>
      </c>
      <c r="C64" s="11" t="n">
        <f aca="false">C63+$B$6*$B$4*C63*(1-C63/$B$5)</f>
        <v>99.9140383689282</v>
      </c>
      <c r="D64" s="11" t="n">
        <f aca="false">1+$B$6*$B$4*(1-2*C64/$B$5)</f>
        <v>0.775386827339823</v>
      </c>
    </row>
    <row r="65" customFormat="false" ht="15" hidden="false" customHeight="false" outlineLevel="0" collapsed="false">
      <c r="A65" s="19" t="n">
        <v>48</v>
      </c>
      <c r="B65" s="13" t="n">
        <f aca="false">A65*$B$6</f>
        <v>12</v>
      </c>
      <c r="C65" s="11" t="n">
        <f aca="false">C64+$B$6*$B$4*C64*(1-C64/$B$5)</f>
        <v>99.9333631097648</v>
      </c>
      <c r="D65" s="11" t="n">
        <f aca="false">1+$B$6*$B$4*(1-2*C65/$B$5)</f>
        <v>0.775299866006058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338</v>
      </c>
    </row>
    <row r="3" customFormat="false" ht="15" hidden="false" customHeight="false" outlineLevel="0" collapsed="false">
      <c r="A3" s="8" t="s">
        <v>19</v>
      </c>
      <c r="B3" s="8" t="s">
        <v>26</v>
      </c>
      <c r="C3" s="8" t="s">
        <v>20</v>
      </c>
      <c r="D3" s="8" t="s">
        <v>339</v>
      </c>
      <c r="E3" s="8" t="s">
        <v>340</v>
      </c>
      <c r="F3" s="8" t="s">
        <v>341</v>
      </c>
      <c r="G3" s="8" t="s">
        <v>342</v>
      </c>
      <c r="H3" s="8" t="s">
        <v>343</v>
      </c>
      <c r="I3" s="8" t="s">
        <v>344</v>
      </c>
      <c r="J3" s="8" t="s">
        <v>345</v>
      </c>
    </row>
    <row r="4" customFormat="false" ht="15" hidden="false" customHeight="false" outlineLevel="0" collapsed="false">
      <c r="A4" s="7" t="str">
        <f aca="false">Declarations!B4</f>
        <v>liquidity</v>
      </c>
      <c r="B4" s="18" t="n">
        <f aca="false">Declarations!I4</f>
        <v>100</v>
      </c>
      <c r="C4" s="18" t="n">
        <f aca="false">Declarations!C4</f>
        <v>100</v>
      </c>
      <c r="D4" s="11" t="n">
        <f aca="false">Declarations!$C$27+(Declarations!$C$4-Declarations!$C$27)*EXP(-Declarations!$D$27*5)+IF(Declarations!$E$27=0,0,Declarations!$E$27*(5/Declarations!$F$27)*EXP(1-5/Declarations!$F$27))+IF(5&gt;=T_sale,Declarations!$G$27,0)</f>
        <v>94.2956014682046</v>
      </c>
      <c r="E4" s="11" t="n">
        <f aca="false">Declarations!$C$31+(Declarations!$C$4-Declarations!$C$31)*EXP(-Declarations!$D$31*5)+IF(Declarations!$E$31=0,0,Declarations!$E$31*(5/Declarations!$F$31)*EXP(1-5/Declarations!$F$31))+IF(5&gt;=T_sale,Declarations!$G$31,0)</f>
        <v>121.107479359406</v>
      </c>
      <c r="F4" s="11" t="n">
        <f aca="false">Declarations!$C$35+(Declarations!$C$4-Declarations!$C$35)*EXP(-Declarations!$D$35*5)+IF(Declarations!$E$35=0,0,Declarations!$E$35*(5/Declarations!$F$35)*EXP(1-5/Declarations!$F$35))+IF(5&gt;=T_sale,Declarations!$G$35,0)</f>
        <v>105.367604652629</v>
      </c>
      <c r="G4" s="11" t="n">
        <f aca="false">C4/$B4</f>
        <v>1</v>
      </c>
      <c r="H4" s="11" t="n">
        <f aca="false">D4/$B4</f>
        <v>0.942956014682046</v>
      </c>
      <c r="I4" s="11" t="n">
        <f aca="false">E4/$B4</f>
        <v>1.21107479359406</v>
      </c>
      <c r="J4" s="11" t="n">
        <f aca="false">F4/$B4</f>
        <v>1.05367604652629</v>
      </c>
    </row>
    <row r="5" customFormat="false" ht="15" hidden="false" customHeight="false" outlineLevel="0" collapsed="false">
      <c r="A5" s="7" t="str">
        <f aca="false">Declarations!B5</f>
        <v>net leverage</v>
      </c>
      <c r="B5" s="18" t="n">
        <f aca="false">Declarations!I5</f>
        <v>3.4</v>
      </c>
      <c r="C5" s="18" t="n">
        <f aca="false">Declarations!C5</f>
        <v>3.4</v>
      </c>
      <c r="D5" s="11" t="n">
        <f aca="false">C5</f>
        <v>3.4</v>
      </c>
      <c r="E5" s="11" t="n">
        <f aca="false">C5</f>
        <v>3.4</v>
      </c>
      <c r="F5" s="11" t="n">
        <f aca="false">C5</f>
        <v>3.4</v>
      </c>
      <c r="G5" s="11" t="n">
        <f aca="false">C5/$B5</f>
        <v>1</v>
      </c>
      <c r="H5" s="11" t="n">
        <f aca="false">D5/$B5</f>
        <v>1</v>
      </c>
      <c r="I5" s="11" t="n">
        <f aca="false">E5/$B5</f>
        <v>1</v>
      </c>
      <c r="J5" s="11" t="n">
        <f aca="false">F5/$B5</f>
        <v>1</v>
      </c>
    </row>
    <row r="6" customFormat="false" ht="15" hidden="false" customHeight="false" outlineLevel="0" collapsed="false">
      <c r="A6" s="7" t="str">
        <f aca="false">Declarations!B6</f>
        <v>workforce capability</v>
      </c>
      <c r="B6" s="18" t="n">
        <f aca="false">Declarations!I6</f>
        <v>100</v>
      </c>
      <c r="C6" s="18" t="n">
        <f aca="false">Declarations!C6</f>
        <v>58</v>
      </c>
      <c r="D6" s="11" t="n">
        <f aca="false">C6</f>
        <v>58</v>
      </c>
      <c r="E6" s="11" t="n">
        <f aca="false">C6</f>
        <v>58</v>
      </c>
      <c r="F6" s="11" t="n">
        <f aca="false">C6</f>
        <v>58</v>
      </c>
      <c r="G6" s="11" t="n">
        <f aca="false">C6/$B6</f>
        <v>0.58</v>
      </c>
      <c r="H6" s="11" t="n">
        <f aca="false">D6/$B6</f>
        <v>0.58</v>
      </c>
      <c r="I6" s="11" t="n">
        <f aca="false">E6/$B6</f>
        <v>0.58</v>
      </c>
      <c r="J6" s="11" t="n">
        <f aca="false">F6/$B6</f>
        <v>0.58</v>
      </c>
    </row>
    <row r="7" customFormat="false" ht="15" hidden="false" customHeight="false" outlineLevel="0" collapsed="false">
      <c r="A7" s="7" t="str">
        <f aca="false">Declarations!B7</f>
        <v>technology platform</v>
      </c>
      <c r="B7" s="18" t="n">
        <f aca="false">Declarations!I7</f>
        <v>100</v>
      </c>
      <c r="C7" s="18" t="n">
        <f aca="false">Declarations!C7</f>
        <v>41</v>
      </c>
      <c r="D7" s="11" t="n">
        <f aca="false">Declarations!$C$28+(Declarations!$C$7-Declarations!$C$28)*EXP(-Declarations!$D$28*5)+IF(Declarations!$E$28=0,0,Declarations!$E$28*(5/Declarations!$F$28)*EXP(1-5/Declarations!$F$28))+IF(5&gt;=T_sale,Declarations!$G$28,0)</f>
        <v>75.6346691353518</v>
      </c>
      <c r="E7" s="11" t="n">
        <f aca="false">Declarations!$C$32+(Declarations!$C$7-Declarations!$C$32)*EXP(-Declarations!$D$32*5)+IF(Declarations!$E$32=0,0,Declarations!$E$32*(5/Declarations!$F$32)*EXP(1-5/Declarations!$F$32))+IF(5&gt;=T_sale,Declarations!$G$32,0)</f>
        <v>38.8595143905806</v>
      </c>
      <c r="F7" s="11" t="n">
        <f aca="false">Declarations!$C$36+(Declarations!$C$7-Declarations!$C$36)*EXP(-Declarations!$D$36*5)+IF(Declarations!$E$36=0,0,Declarations!$E$36*(5/Declarations!$F$36)*EXP(1-5/Declarations!$F$36))+IF(5&gt;=T_sale,Declarations!$G$36,0)</f>
        <v>35.9430355293715</v>
      </c>
      <c r="G7" s="11" t="n">
        <f aca="false">C7/$B7</f>
        <v>0.41</v>
      </c>
      <c r="H7" s="11" t="n">
        <f aca="false">D7/$B7</f>
        <v>0.756346691353518</v>
      </c>
      <c r="I7" s="11" t="n">
        <f aca="false">E7/$B7</f>
        <v>0.388595143905806</v>
      </c>
      <c r="J7" s="11" t="n">
        <f aca="false">F7/$B7</f>
        <v>0.359430355293715</v>
      </c>
    </row>
    <row r="8" customFormat="false" ht="15" hidden="false" customHeight="false" outlineLevel="0" collapsed="false">
      <c r="A8" s="7" t="str">
        <f aca="false">Declarations!B8</f>
        <v>operational efficiency</v>
      </c>
      <c r="B8" s="18" t="n">
        <f aca="false">Declarations!I8</f>
        <v>100</v>
      </c>
      <c r="C8" s="18" t="n">
        <f aca="false">Declarations!C8</f>
        <v>71</v>
      </c>
      <c r="D8" s="11" t="n">
        <f aca="false">Declarations!$C$29+(Declarations!$C$8-Declarations!$C$29)*EXP(-Declarations!$D$29*5)+IF(Declarations!$E$29=0,0,Declarations!$E$29*(5/Declarations!$F$29)*EXP(1-5/Declarations!$F$29))+IF(5&gt;=T_sale,Declarations!$G$29,0)</f>
        <v>73.5983309723245</v>
      </c>
      <c r="E8" s="11" t="n">
        <f aca="false">Declarations!$C$33+(Declarations!$C$8-Declarations!$C$33)*EXP(-Declarations!$D$33*5)+IF(Declarations!$E$33=0,0,Declarations!$E$33*(5/Declarations!$F$33)*EXP(1-5/Declarations!$F$33))+IF(5&gt;=T_sale,Declarations!$G$33,0)</f>
        <v>73.6838023263144</v>
      </c>
      <c r="F8" s="11" t="n">
        <f aca="false">Declarations!$C$37+(Declarations!$C$8-Declarations!$C$37)*EXP(-Declarations!$D$37*5)+IF(Declarations!$E$37=0,0,Declarations!$E$37*(5/Declarations!$F$37)*EXP(1-5/Declarations!$F$37))+IF(5&gt;=T_sale,Declarations!$G$37,0)</f>
        <v>78.6017034530571</v>
      </c>
      <c r="G8" s="11" t="n">
        <f aca="false">C8/$B8</f>
        <v>0.71</v>
      </c>
      <c r="H8" s="11" t="n">
        <f aca="false">D8/$B8</f>
        <v>0.735983309723245</v>
      </c>
      <c r="I8" s="11" t="n">
        <f aca="false">E8/$B8</f>
        <v>0.736838023263144</v>
      </c>
      <c r="J8" s="11" t="n">
        <f aca="false">F8/$B8</f>
        <v>0.786017034530571</v>
      </c>
    </row>
    <row r="9" customFormat="false" ht="15" hidden="false" customHeight="false" outlineLevel="0" collapsed="false">
      <c r="A9" s="7" t="str">
        <f aca="false">Declarations!B9</f>
        <v>ROIC</v>
      </c>
      <c r="B9" s="18" t="n">
        <f aca="false">Declarations!I9</f>
        <v>0.083</v>
      </c>
      <c r="C9" s="18" t="n">
        <f aca="false">Declarations!C9</f>
        <v>0.083</v>
      </c>
      <c r="D9" s="11" t="n">
        <f aca="false">C9</f>
        <v>0.083</v>
      </c>
      <c r="E9" s="11" t="n">
        <f aca="false">C9</f>
        <v>0.083</v>
      </c>
      <c r="F9" s="11" t="n">
        <f aca="false">C9</f>
        <v>0.083</v>
      </c>
      <c r="G9" s="11" t="n">
        <f aca="false">C9/$B9</f>
        <v>1</v>
      </c>
      <c r="H9" s="11" t="n">
        <f aca="false">D9/$B9</f>
        <v>1</v>
      </c>
      <c r="I9" s="11" t="n">
        <f aca="false">E9/$B9</f>
        <v>1</v>
      </c>
      <c r="J9" s="11" t="n">
        <f aca="false">F9/$B9</f>
        <v>1</v>
      </c>
    </row>
    <row r="10" customFormat="false" ht="15" hidden="false" customHeight="false" outlineLevel="0" collapsed="false">
      <c r="A10" s="7" t="str">
        <f aca="false">Declarations!B10</f>
        <v>strategic risk (lower is better)</v>
      </c>
      <c r="B10" s="18" t="n">
        <f aca="false">Declarations!I10</f>
        <v>100</v>
      </c>
      <c r="C10" s="18" t="n">
        <f aca="false">Declarations!C10</f>
        <v>64</v>
      </c>
      <c r="D10" s="11" t="n">
        <f aca="false">Declarations!$C$30+(Declarations!$C$10-Declarations!$C$30)*EXP(-Declarations!$D$30*5)+IF(Declarations!$E$30=0,0,Declarations!$E$30*(5/Declarations!$F$30)*EXP(1-5/Declarations!$F$30))+IF(5&gt;=T_sale,Declarations!$G$30,0)</f>
        <v>55.2177495534504</v>
      </c>
      <c r="E10" s="11" t="n">
        <f aca="false">Declarations!$C$34+(Declarations!$C$10-Declarations!$C$34)*EXP(-Declarations!$D$34*5)+IF(Declarations!$E$34=0,0,Declarations!$E$34*(5/Declarations!$F$34)*EXP(1-5/Declarations!$F$34))+IF(5&gt;=T_sale,Declarations!$G$34,0)</f>
        <v>49.3901915476036</v>
      </c>
      <c r="F10" s="11" t="n">
        <f aca="false">Declarations!$C$38+(Declarations!$C$10-Declarations!$C$38)*EXP(-Declarations!$D$38*5)+IF(Declarations!$E$38=0,0,Declarations!$E$38*(5/Declarations!$F$38)*EXP(1-5/Declarations!$F$38))+IF(5&gt;=T_sale,Declarations!$G$38,0)</f>
        <v>66.3306095195547</v>
      </c>
      <c r="G10" s="11" t="n">
        <f aca="false">C10/$B10</f>
        <v>0.64</v>
      </c>
      <c r="H10" s="11" t="n">
        <f aca="false">D10/$B10</f>
        <v>0.552177495534504</v>
      </c>
      <c r="I10" s="11" t="n">
        <f aca="false">E10/$B10</f>
        <v>0.493901915476036</v>
      </c>
      <c r="J10" s="11" t="n">
        <f aca="false">F10/$B10</f>
        <v>0.663306095195547</v>
      </c>
    </row>
    <row r="11" customFormat="false" ht="15" hidden="false" customHeight="false" outlineLevel="0" collapsed="false">
      <c r="A11" s="7" t="str">
        <f aca="false">Declarations!B11</f>
        <v>market share</v>
      </c>
      <c r="B11" s="18" t="n">
        <f aca="false">Declarations!I11</f>
        <v>0.19</v>
      </c>
      <c r="C11" s="18" t="n">
        <f aca="false">Declarations!C11</f>
        <v>0.19</v>
      </c>
      <c r="D11" s="11" t="n">
        <f aca="false">C11</f>
        <v>0.19</v>
      </c>
      <c r="E11" s="11" t="n">
        <f aca="false">C11</f>
        <v>0.19</v>
      </c>
      <c r="F11" s="11" t="n">
        <f aca="false">C11</f>
        <v>0.19</v>
      </c>
      <c r="G11" s="11" t="n">
        <f aca="false">C11/$B11</f>
        <v>1</v>
      </c>
      <c r="H11" s="11" t="n">
        <f aca="false">D11/$B11</f>
        <v>1</v>
      </c>
      <c r="I11" s="11" t="n">
        <f aca="false">E11/$B11</f>
        <v>1</v>
      </c>
      <c r="J11" s="11" t="n">
        <f aca="false">F11/$B11</f>
        <v>1</v>
      </c>
    </row>
    <row r="13" customFormat="false" ht="15" hidden="false" customHeight="false" outlineLevel="0" collapsed="false">
      <c r="A13" s="4" t="s">
        <v>346</v>
      </c>
      <c r="H13" s="11" t="n">
        <f aca="false">SQRT(SUMXMY2(H4:H11,$G$4:$G$11))</f>
        <v>0.362764347128064</v>
      </c>
      <c r="I13" s="11" t="n">
        <f aca="false">SQRT(SUMXMY2(I4:I11,$G$4:$G$11))</f>
        <v>0.258989702786489</v>
      </c>
      <c r="J13" s="11" t="n">
        <f aca="false">SQRT(SUMXMY2(J4:J11,$G$4:$G$11))</f>
        <v>0.108444320037972</v>
      </c>
    </row>
    <row r="14" customFormat="false" ht="15" hidden="false" customHeight="false" outlineLevel="0" collapsed="false">
      <c r="A14" s="2" t="s">
        <v>347</v>
      </c>
      <c r="H14" s="11" t="n">
        <f aca="false">MAX(ABS(H4-$G4),ABS(H5-$G5),ABS(H6-$G6),ABS(H7-$G7),ABS(H8-$G8),ABS(H9-$G9),ABS(H10-$G10),ABS(H11-$G11))</f>
        <v>0.346346691353518</v>
      </c>
      <c r="I14" s="11" t="n">
        <f aca="false">MAX(ABS(I4-$G4),ABS(I5-$G5),ABS(I6-$G6),ABS(I7-$G7),ABS(I8-$G8),ABS(I9-$G9),ABS(I10-$G10),ABS(I11-$G11))</f>
        <v>0.211074793594063</v>
      </c>
      <c r="J14" s="11" t="n">
        <f aca="false">MAX(ABS(J4-$G4),ABS(J5-$G5),ABS(J6-$G6),ABS(J7-$G7),ABS(J8-$G8),ABS(J9-$G9),ABS(J10-$G10),ABS(J11-$G11))</f>
        <v>0.0760170345305709</v>
      </c>
    </row>
    <row r="15" customFormat="false" ht="15" hidden="false" customHeight="false" outlineLevel="0" collapsed="false">
      <c r="A15" s="2" t="s">
        <v>348</v>
      </c>
      <c r="H15" s="13" t="n">
        <f aca="false">H13/J13</f>
        <v>3.34516687458635</v>
      </c>
    </row>
    <row r="16" customFormat="false" ht="15" hidden="false" customHeight="false" outlineLevel="0" collapsed="false">
      <c r="A16" s="2" t="s">
        <v>349</v>
      </c>
      <c r="H16" s="19" t="n">
        <f aca="false">IF(H13&gt;3*J13,1,0)</f>
        <v>1</v>
      </c>
    </row>
    <row r="17" customFormat="false" ht="15" hidden="false" customHeight="false" outlineLevel="0" collapsed="false">
      <c r="A17" s="10" t="s">
        <v>350</v>
      </c>
    </row>
    <row r="19" customFormat="false" ht="35.05" hidden="false" customHeight="false" outlineLevel="0" collapsed="false">
      <c r="A19" s="8" t="s">
        <v>351</v>
      </c>
      <c r="B19" s="8" t="s">
        <v>352</v>
      </c>
      <c r="C19" s="8" t="s">
        <v>353</v>
      </c>
      <c r="D19" s="8" t="s">
        <v>354</v>
      </c>
    </row>
    <row r="20" customFormat="false" ht="15" hidden="false" customHeight="false" outlineLevel="0" collapsed="false">
      <c r="A20" s="14" t="n">
        <v>2</v>
      </c>
      <c r="B20" s="31" t="n">
        <f aca="false">EXP((A20/2)*LN(PI())-A20*LN(2)-GAMMALN(A20/2+1))</f>
        <v>0.785398163397448</v>
      </c>
      <c r="C20" s="11" t="n">
        <f aca="false">LOG10(B20)</f>
        <v>-0.104910118633829</v>
      </c>
      <c r="D20" s="11" t="n">
        <f aca="false">1-0.9^A20</f>
        <v>0.19</v>
      </c>
    </row>
    <row r="21" customFormat="false" ht="15" hidden="false" customHeight="false" outlineLevel="0" collapsed="false">
      <c r="A21" s="14" t="n">
        <v>3</v>
      </c>
      <c r="B21" s="31" t="n">
        <f aca="false">EXP((A21/2)*LN(PI())-A21*LN(2)-GAMMALN(A21/2+1))</f>
        <v>0.523598775598299</v>
      </c>
      <c r="C21" s="11" t="n">
        <f aca="false">LOG10(B21)</f>
        <v>-0.28100137768951</v>
      </c>
      <c r="D21" s="11" t="n">
        <f aca="false">1-0.9^A21</f>
        <v>0.271</v>
      </c>
    </row>
    <row r="22" customFormat="false" ht="15" hidden="false" customHeight="false" outlineLevel="0" collapsed="false">
      <c r="A22" s="14" t="n">
        <v>8</v>
      </c>
      <c r="B22" s="31" t="n">
        <f aca="false">EXP((A22/2)*LN(PI())-A22*LN(2)-GAMMALN(A22/2+1))</f>
        <v>0.0158543442438155</v>
      </c>
      <c r="C22" s="11" t="n">
        <f aca="false">LOG10(B22)</f>
        <v>-1.79985171624692</v>
      </c>
      <c r="D22" s="11" t="n">
        <f aca="false">1-0.9^A22</f>
        <v>0.56953279</v>
      </c>
    </row>
    <row r="23" customFormat="false" ht="15" hidden="false" customHeight="false" outlineLevel="0" collapsed="false">
      <c r="A23" s="14" t="n">
        <v>32</v>
      </c>
      <c r="B23" s="31" t="n">
        <f aca="false">EXP((A23/2)*LN(PI())-A23*LN(2)-GAMMALN(A23/2+1))</f>
        <v>1.00188646163627E-015</v>
      </c>
      <c r="C23" s="11" t="n">
        <f aca="false">LOG10(B23)</f>
        <v>-14.9991814919206</v>
      </c>
      <c r="D23" s="11" t="n">
        <f aca="false">1-0.9^A23</f>
        <v>0.965663161797075</v>
      </c>
    </row>
    <row r="24" customFormat="false" ht="15" hidden="false" customHeight="false" outlineLevel="0" collapsed="false">
      <c r="A24" s="10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356</v>
      </c>
      <c r="B1" s="8" t="s">
        <v>357</v>
      </c>
      <c r="C1" s="8" t="s">
        <v>358</v>
      </c>
    </row>
    <row r="2" customFormat="false" ht="15" hidden="false" customHeight="false" outlineLevel="0" collapsed="false">
      <c r="A2" s="2" t="s">
        <v>112</v>
      </c>
      <c r="B2" s="32" t="n">
        <v>8</v>
      </c>
      <c r="C2" s="2" t="s">
        <v>359</v>
      </c>
    </row>
    <row r="3" customFormat="false" ht="15" hidden="false" customHeight="false" outlineLevel="0" collapsed="false">
      <c r="A3" s="2" t="s">
        <v>360</v>
      </c>
      <c r="B3" s="32" t="n">
        <v>4</v>
      </c>
      <c r="C3" s="2" t="s">
        <v>361</v>
      </c>
    </row>
    <row r="4" customFormat="false" ht="15" hidden="false" customHeight="false" outlineLevel="0" collapsed="false">
      <c r="A4" s="2" t="s">
        <v>362</v>
      </c>
      <c r="B4" s="32" t="n">
        <v>0.06</v>
      </c>
      <c r="C4" s="2" t="s">
        <v>363</v>
      </c>
    </row>
    <row r="5" customFormat="false" ht="15" hidden="false" customHeight="false" outlineLevel="0" collapsed="false">
      <c r="A5" s="2" t="s">
        <v>364</v>
      </c>
      <c r="B5" s="32" t="n">
        <v>0.05</v>
      </c>
      <c r="C5" s="2" t="s">
        <v>365</v>
      </c>
    </row>
    <row r="6" customFormat="false" ht="15" hidden="false" customHeight="false" outlineLevel="0" collapsed="false">
      <c r="A6" s="2" t="s">
        <v>366</v>
      </c>
      <c r="B6" s="32" t="n">
        <v>9</v>
      </c>
      <c r="C6" s="2" t="s">
        <v>367</v>
      </c>
    </row>
    <row r="7" customFormat="false" ht="15" hidden="false" customHeight="false" outlineLevel="0" collapsed="false">
      <c r="A7" s="2" t="s">
        <v>368</v>
      </c>
      <c r="B7" s="32" t="n">
        <v>270</v>
      </c>
      <c r="C7" s="2" t="s">
        <v>369</v>
      </c>
    </row>
    <row r="8" customFormat="false" ht="15" hidden="false" customHeight="false" outlineLevel="0" collapsed="false">
      <c r="A8" s="2" t="s">
        <v>370</v>
      </c>
      <c r="B8" s="32" t="n">
        <v>1.1</v>
      </c>
      <c r="C8" s="2" t="s">
        <v>371</v>
      </c>
    </row>
    <row r="9" customFormat="false" ht="15" hidden="false" customHeight="false" outlineLevel="0" collapsed="false">
      <c r="A9" s="2" t="s">
        <v>372</v>
      </c>
      <c r="B9" s="32" t="n">
        <v>11</v>
      </c>
      <c r="C9" s="2" t="s">
        <v>373</v>
      </c>
    </row>
    <row r="10" customFormat="false" ht="15" hidden="false" customHeight="false" outlineLevel="0" collapsed="false">
      <c r="A10" s="2" t="s">
        <v>374</v>
      </c>
      <c r="B10" s="32" t="n">
        <v>0</v>
      </c>
      <c r="C10" s="2" t="s">
        <v>375</v>
      </c>
    </row>
    <row r="11" customFormat="false" ht="15" hidden="false" customHeight="false" outlineLevel="0" collapsed="false">
      <c r="A11" s="2" t="s">
        <v>376</v>
      </c>
      <c r="B11" s="32" t="n">
        <v>0</v>
      </c>
      <c r="C11" s="2" t="s">
        <v>377</v>
      </c>
    </row>
    <row r="12" customFormat="false" ht="15" hidden="false" customHeight="false" outlineLevel="0" collapsed="false">
      <c r="A12" s="2" t="s">
        <v>378</v>
      </c>
      <c r="B12" s="32" t="n">
        <v>481.917941377968</v>
      </c>
      <c r="C12" s="2" t="s">
        <v>379</v>
      </c>
    </row>
    <row r="13" customFormat="false" ht="15" hidden="false" customHeight="false" outlineLevel="0" collapsed="false">
      <c r="A13" s="2" t="s">
        <v>163</v>
      </c>
      <c r="B13" s="32" t="n">
        <v>1.71453765808661</v>
      </c>
      <c r="C13" s="2" t="s">
        <v>380</v>
      </c>
    </row>
    <row r="14" customFormat="false" ht="15" hidden="false" customHeight="false" outlineLevel="0" collapsed="false">
      <c r="A14" s="2" t="s">
        <v>169</v>
      </c>
      <c r="B14" s="32" t="n">
        <v>77.7339326383525</v>
      </c>
      <c r="C14" s="2" t="s">
        <v>381</v>
      </c>
    </row>
    <row r="15" customFormat="false" ht="15" hidden="false" customHeight="false" outlineLevel="0" collapsed="false">
      <c r="A15" s="2" t="s">
        <v>382</v>
      </c>
      <c r="B15" s="32" t="n">
        <v>21</v>
      </c>
      <c r="C15" s="2" t="s">
        <v>383</v>
      </c>
    </row>
    <row r="16" customFormat="false" ht="15" hidden="false" customHeight="false" outlineLevel="0" collapsed="false">
      <c r="A16" s="2" t="s">
        <v>384</v>
      </c>
      <c r="B16" s="32" t="n">
        <v>131.917941377968</v>
      </c>
      <c r="C16" s="2" t="s">
        <v>385</v>
      </c>
    </row>
    <row r="17" customFormat="false" ht="15" hidden="false" customHeight="false" outlineLevel="0" collapsed="false">
      <c r="A17" s="2" t="s">
        <v>168</v>
      </c>
      <c r="B17" s="32" t="n">
        <v>481.917941377968</v>
      </c>
      <c r="C17" s="2" t="s">
        <v>386</v>
      </c>
    </row>
    <row r="18" customFormat="false" ht="15" hidden="false" customHeight="false" outlineLevel="0" collapsed="false">
      <c r="A18" s="2" t="s">
        <v>387</v>
      </c>
      <c r="B18" s="32" t="n">
        <v>4.42420568414043</v>
      </c>
      <c r="C18" s="2" t="s">
        <v>388</v>
      </c>
    </row>
    <row r="19" customFormat="false" ht="15" hidden="false" customHeight="false" outlineLevel="0" collapsed="false">
      <c r="A19" s="2" t="s">
        <v>389</v>
      </c>
      <c r="B19" s="32" t="n">
        <v>73.5525461861166</v>
      </c>
      <c r="C19" s="2" t="s">
        <v>390</v>
      </c>
    </row>
    <row r="20" customFormat="false" ht="15" hidden="false" customHeight="false" outlineLevel="0" collapsed="false">
      <c r="A20" s="2" t="s">
        <v>391</v>
      </c>
      <c r="B20" s="32" t="n">
        <v>1.44745381388336</v>
      </c>
      <c r="C20" s="2" t="s">
        <v>392</v>
      </c>
    </row>
    <row r="21" customFormat="false" ht="15" hidden="false" customHeight="false" outlineLevel="0" collapsed="false">
      <c r="A21" s="2" t="s">
        <v>393</v>
      </c>
      <c r="B21" s="32" t="n">
        <v>11</v>
      </c>
      <c r="C21" s="2" t="s">
        <v>394</v>
      </c>
    </row>
    <row r="22" customFormat="false" ht="15" hidden="false" customHeight="false" outlineLevel="0" collapsed="false">
      <c r="A22" s="2" t="s">
        <v>395</v>
      </c>
      <c r="B22" s="32" t="n">
        <v>8.66939048044529</v>
      </c>
      <c r="C22" s="2" t="s">
        <v>388</v>
      </c>
    </row>
    <row r="23" customFormat="false" ht="15" hidden="false" customHeight="false" outlineLevel="0" collapsed="false">
      <c r="A23" s="2" t="s">
        <v>396</v>
      </c>
      <c r="B23" s="32" t="n">
        <v>24.3653308646482</v>
      </c>
      <c r="C23" s="2" t="s">
        <v>388</v>
      </c>
    </row>
    <row r="24" customFormat="false" ht="15" hidden="false" customHeight="false" outlineLevel="0" collapsed="false">
      <c r="A24" s="2" t="s">
        <v>202</v>
      </c>
      <c r="B24" s="32" t="n">
        <v>21</v>
      </c>
      <c r="C24" s="2" t="s">
        <v>397</v>
      </c>
    </row>
    <row r="25" customFormat="false" ht="15" hidden="false" customHeight="false" outlineLevel="0" collapsed="false">
      <c r="A25" s="2" t="s">
        <v>203</v>
      </c>
      <c r="B25" s="32" t="n">
        <v>7</v>
      </c>
      <c r="C25" s="2" t="s">
        <v>398</v>
      </c>
    </row>
    <row r="26" customFormat="false" ht="15" hidden="false" customHeight="false" outlineLevel="0" collapsed="false">
      <c r="A26" s="2" t="s">
        <v>399</v>
      </c>
      <c r="B26" s="32" t="n">
        <v>20</v>
      </c>
      <c r="C26" s="2" t="s">
        <v>400</v>
      </c>
    </row>
    <row r="27" customFormat="false" ht="15" hidden="false" customHeight="false" outlineLevel="0" collapsed="false">
      <c r="A27" s="2" t="s">
        <v>218</v>
      </c>
      <c r="B27" s="32" t="n">
        <v>78.0409763545031</v>
      </c>
      <c r="C27" s="2" t="s">
        <v>401</v>
      </c>
    </row>
    <row r="28" customFormat="false" ht="15" hidden="false" customHeight="false" outlineLevel="0" collapsed="false">
      <c r="A28" s="2" t="s">
        <v>219</v>
      </c>
      <c r="B28" s="32" t="n">
        <v>0</v>
      </c>
      <c r="C28" s="2" t="s">
        <v>402</v>
      </c>
    </row>
    <row r="29" customFormat="false" ht="15" hidden="false" customHeight="false" outlineLevel="0" collapsed="false">
      <c r="A29" s="2" t="s">
        <v>221</v>
      </c>
      <c r="B29" s="32" t="n">
        <v>2.1316282072803E-014</v>
      </c>
      <c r="C29" s="2" t="s">
        <v>403</v>
      </c>
    </row>
    <row r="30" customFormat="false" ht="15" hidden="false" customHeight="false" outlineLevel="0" collapsed="false">
      <c r="A30" s="2" t="s">
        <v>223</v>
      </c>
      <c r="B30" s="32" t="n">
        <v>0</v>
      </c>
      <c r="C30" s="2" t="s">
        <v>404</v>
      </c>
    </row>
    <row r="31" customFormat="false" ht="15" hidden="false" customHeight="false" outlineLevel="0" collapsed="false">
      <c r="A31" s="2" t="s">
        <v>225</v>
      </c>
      <c r="B31" s="32" t="n">
        <v>99.9999999999998</v>
      </c>
      <c r="C31" s="2" t="s">
        <v>405</v>
      </c>
    </row>
    <row r="32" customFormat="false" ht="15" hidden="false" customHeight="false" outlineLevel="0" collapsed="false">
      <c r="A32" s="2" t="s">
        <v>406</v>
      </c>
      <c r="B32" s="32" t="n">
        <v>0.637628151621773</v>
      </c>
      <c r="C32" s="2" t="s">
        <v>407</v>
      </c>
    </row>
    <row r="33" customFormat="false" ht="15" hidden="false" customHeight="false" outlineLevel="0" collapsed="false">
      <c r="A33" s="2" t="s">
        <v>408</v>
      </c>
      <c r="B33" s="32" t="n">
        <v>0.818730753077982</v>
      </c>
      <c r="C33" s="2" t="s">
        <v>409</v>
      </c>
    </row>
    <row r="34" customFormat="false" ht="15" hidden="false" customHeight="false" outlineLevel="0" collapsed="false">
      <c r="A34" s="2" t="s">
        <v>410</v>
      </c>
      <c r="B34" s="32" t="n">
        <v>0.548811636094026</v>
      </c>
      <c r="C34" s="2" t="s">
        <v>411</v>
      </c>
    </row>
    <row r="35" customFormat="false" ht="15" hidden="false" customHeight="false" outlineLevel="0" collapsed="false">
      <c r="A35" s="2" t="s">
        <v>412</v>
      </c>
      <c r="B35" s="32" t="n">
        <v>0.740818220681718</v>
      </c>
      <c r="C35" s="2" t="s">
        <v>413</v>
      </c>
    </row>
    <row r="36" customFormat="false" ht="15" hidden="false" customHeight="false" outlineLevel="0" collapsed="false">
      <c r="A36" s="2" t="s">
        <v>414</v>
      </c>
      <c r="B36" s="32" t="n">
        <v>36.2371848378227</v>
      </c>
      <c r="C36" s="2" t="s">
        <v>415</v>
      </c>
    </row>
    <row r="37" customFormat="false" ht="15" hidden="false" customHeight="false" outlineLevel="0" collapsed="false">
      <c r="A37" s="2" t="s">
        <v>416</v>
      </c>
      <c r="B37" s="32" t="n">
        <v>18.1269246922018</v>
      </c>
      <c r="C37" s="2" t="s">
        <v>417</v>
      </c>
    </row>
    <row r="38" customFormat="false" ht="15" hidden="false" customHeight="false" outlineLevel="0" collapsed="false">
      <c r="A38" s="2" t="s">
        <v>418</v>
      </c>
      <c r="B38" s="32" t="n">
        <v>45.1188363905974</v>
      </c>
      <c r="C38" s="2" t="s">
        <v>419</v>
      </c>
    </row>
    <row r="39" customFormat="false" ht="15" hidden="false" customHeight="false" outlineLevel="0" collapsed="false">
      <c r="A39" s="2" t="s">
        <v>420</v>
      </c>
      <c r="B39" s="32" t="n">
        <v>25.9181779318282</v>
      </c>
      <c r="C39" s="2" t="s">
        <v>421</v>
      </c>
    </row>
    <row r="40" customFormat="false" ht="15" hidden="false" customHeight="false" outlineLevel="0" collapsed="false">
      <c r="A40" s="2" t="s">
        <v>422</v>
      </c>
      <c r="B40" s="32" t="n">
        <v>102.174231090269</v>
      </c>
      <c r="C40" s="2" t="s">
        <v>423</v>
      </c>
    </row>
    <row r="41" customFormat="false" ht="15" hidden="false" customHeight="false" outlineLevel="0" collapsed="false">
      <c r="A41" s="2" t="s">
        <v>424</v>
      </c>
      <c r="B41" s="32" t="n">
        <v>39.5498460246239</v>
      </c>
      <c r="C41" s="2" t="s">
        <v>425</v>
      </c>
    </row>
    <row r="42" customFormat="false" ht="15" hidden="false" customHeight="false" outlineLevel="0" collapsed="false">
      <c r="A42" s="2" t="s">
        <v>426</v>
      </c>
      <c r="B42" s="32" t="n">
        <v>74.6095069112478</v>
      </c>
      <c r="C42" s="2" t="s">
        <v>427</v>
      </c>
    </row>
    <row r="43" customFormat="false" ht="15" hidden="false" customHeight="false" outlineLevel="0" collapsed="false">
      <c r="A43" s="2" t="s">
        <v>428</v>
      </c>
      <c r="B43" s="32" t="n">
        <v>64.7775453379549</v>
      </c>
      <c r="C43" s="2" t="s">
        <v>429</v>
      </c>
    </row>
    <row r="44" customFormat="false" ht="15" hidden="false" customHeight="false" outlineLevel="0" collapsed="false">
      <c r="A44" s="2" t="s">
        <v>430</v>
      </c>
      <c r="B44" s="32" t="n">
        <v>0.818730753077982</v>
      </c>
      <c r="C44" s="2" t="s">
        <v>431</v>
      </c>
    </row>
    <row r="45" customFormat="false" ht="15" hidden="false" customHeight="false" outlineLevel="0" collapsed="false">
      <c r="A45" s="2" t="s">
        <v>266</v>
      </c>
      <c r="B45" s="32" t="n">
        <v>3.60950691124779</v>
      </c>
      <c r="C45" s="2" t="s">
        <v>432</v>
      </c>
    </row>
    <row r="46" customFormat="false" ht="15" hidden="false" customHeight="false" outlineLevel="0" collapsed="false">
      <c r="A46" s="2" t="s">
        <v>433</v>
      </c>
      <c r="B46" s="32" t="n">
        <v>19.912406392909</v>
      </c>
      <c r="C46" s="2" t="s">
        <v>434</v>
      </c>
    </row>
    <row r="47" customFormat="false" ht="15" hidden="false" customHeight="false" outlineLevel="0" collapsed="false">
      <c r="A47" s="2" t="s">
        <v>435</v>
      </c>
      <c r="B47" s="32" t="n">
        <v>15</v>
      </c>
      <c r="C47" s="2" t="s">
        <v>250</v>
      </c>
    </row>
    <row r="48" customFormat="false" ht="15" hidden="false" customHeight="false" outlineLevel="0" collapsed="false">
      <c r="A48" s="2" t="s">
        <v>436</v>
      </c>
      <c r="B48" s="32" t="n">
        <v>11</v>
      </c>
      <c r="C48" s="2" t="s">
        <v>253</v>
      </c>
    </row>
    <row r="49" customFormat="false" ht="15" hidden="false" customHeight="false" outlineLevel="0" collapsed="false">
      <c r="A49" s="2" t="s">
        <v>437</v>
      </c>
      <c r="B49" s="32" t="n">
        <v>8</v>
      </c>
      <c r="C49" s="2" t="s">
        <v>438</v>
      </c>
    </row>
    <row r="50" customFormat="false" ht="15" hidden="false" customHeight="false" outlineLevel="0" collapsed="false">
      <c r="A50" s="2" t="s">
        <v>439</v>
      </c>
      <c r="B50" s="32" t="n">
        <v>19.912406392909</v>
      </c>
      <c r="C50" s="2" t="s">
        <v>440</v>
      </c>
    </row>
    <row r="51" customFormat="false" ht="15" hidden="false" customHeight="false" outlineLevel="0" collapsed="false">
      <c r="A51" s="2" t="s">
        <v>441</v>
      </c>
      <c r="B51" s="32" t="n">
        <v>37</v>
      </c>
      <c r="C51" s="2" t="s">
        <v>442</v>
      </c>
    </row>
    <row r="52" customFormat="false" ht="15" hidden="false" customHeight="false" outlineLevel="0" collapsed="false">
      <c r="A52" s="2" t="s">
        <v>443</v>
      </c>
      <c r="B52" s="32" t="n">
        <v>6.54984602462385</v>
      </c>
      <c r="C52" s="2" t="s">
        <v>444</v>
      </c>
    </row>
    <row r="53" customFormat="false" ht="15" hidden="false" customHeight="false" outlineLevel="0" collapsed="false">
      <c r="A53" s="2" t="s">
        <v>445</v>
      </c>
      <c r="B53" s="32" t="n">
        <v>16.3028994816612</v>
      </c>
      <c r="C53" s="2" t="s">
        <v>446</v>
      </c>
    </row>
    <row r="54" customFormat="false" ht="15" hidden="false" customHeight="false" outlineLevel="0" collapsed="false">
      <c r="A54" s="2" t="s">
        <v>447</v>
      </c>
      <c r="B54" s="32" t="n">
        <v>37.8890096720465</v>
      </c>
      <c r="C54" s="2" t="s">
        <v>448</v>
      </c>
    </row>
    <row r="55" customFormat="false" ht="15" hidden="false" customHeight="false" outlineLevel="0" collapsed="false">
      <c r="A55" s="2" t="s">
        <v>449</v>
      </c>
      <c r="B55" s="32" t="n">
        <v>4.39049308875221</v>
      </c>
      <c r="C55" s="2" t="s">
        <v>450</v>
      </c>
    </row>
    <row r="56" customFormat="false" ht="15" hidden="false" customHeight="false" outlineLevel="0" collapsed="false">
      <c r="A56" s="2" t="s">
        <v>451</v>
      </c>
      <c r="B56" s="32" t="n">
        <v>10.9281603310615</v>
      </c>
      <c r="C56" s="2" t="s">
        <v>452</v>
      </c>
    </row>
    <row r="57" customFormat="false" ht="15" hidden="false" customHeight="false" outlineLevel="0" collapsed="false">
      <c r="A57" s="2" t="s">
        <v>453</v>
      </c>
      <c r="B57" s="32" t="n">
        <v>38.4330923495815</v>
      </c>
      <c r="C57" s="2" t="s">
        <v>454</v>
      </c>
    </row>
    <row r="58" customFormat="false" ht="15" hidden="false" customHeight="false" outlineLevel="0" collapsed="false">
      <c r="A58" s="2" t="s">
        <v>455</v>
      </c>
      <c r="B58" s="32" t="n">
        <v>2.94303552937154</v>
      </c>
      <c r="C58" s="2" t="s">
        <v>456</v>
      </c>
    </row>
    <row r="59" customFormat="false" ht="15" hidden="false" customHeight="false" outlineLevel="0" collapsed="false">
      <c r="A59" s="2" t="s">
        <v>457</v>
      </c>
      <c r="B59" s="32" t="n">
        <v>7.32536493620201</v>
      </c>
      <c r="C59" s="2" t="s">
        <v>458</v>
      </c>
    </row>
    <row r="60" customFormat="false" ht="15" hidden="false" customHeight="false" outlineLevel="0" collapsed="false">
      <c r="A60" s="2" t="s">
        <v>459</v>
      </c>
      <c r="B60" s="32" t="n">
        <v>38.3954335288757</v>
      </c>
      <c r="C60" s="2" t="s">
        <v>454</v>
      </c>
    </row>
    <row r="61" customFormat="false" ht="15" hidden="false" customHeight="false" outlineLevel="0" collapsed="false">
      <c r="A61" s="2" t="s">
        <v>460</v>
      </c>
      <c r="B61" s="32" t="n">
        <v>0.886425266898669</v>
      </c>
      <c r="C61" s="2" t="s">
        <v>461</v>
      </c>
    </row>
    <row r="62" customFormat="false" ht="15" hidden="false" customHeight="false" outlineLevel="0" collapsed="false">
      <c r="A62" s="2" t="s">
        <v>462</v>
      </c>
      <c r="B62" s="32" t="n">
        <v>2.20635751892864</v>
      </c>
      <c r="C62" s="2" t="s">
        <v>463</v>
      </c>
    </row>
    <row r="63" customFormat="false" ht="15" hidden="false" customHeight="false" outlineLevel="0" collapsed="false">
      <c r="A63" s="2" t="s">
        <v>464</v>
      </c>
      <c r="B63" s="32" t="n">
        <v>37.9859228428069</v>
      </c>
      <c r="C63" s="2" t="s">
        <v>465</v>
      </c>
    </row>
    <row r="64" customFormat="false" ht="15" hidden="false" customHeight="false" outlineLevel="0" collapsed="false">
      <c r="A64" s="2" t="s">
        <v>466</v>
      </c>
      <c r="B64" s="32" t="n">
        <v>104.444558436125</v>
      </c>
      <c r="C64" s="2" t="s">
        <v>467</v>
      </c>
    </row>
    <row r="65" customFormat="false" ht="15" hidden="false" customHeight="false" outlineLevel="0" collapsed="false">
      <c r="A65" s="2" t="s">
        <v>468</v>
      </c>
      <c r="B65" s="32" t="n">
        <v>37.3904930887522</v>
      </c>
      <c r="C65" s="2" t="s">
        <v>467</v>
      </c>
    </row>
    <row r="66" customFormat="false" ht="15" hidden="false" customHeight="false" outlineLevel="0" collapsed="false">
      <c r="A66" s="2" t="s">
        <v>469</v>
      </c>
      <c r="B66" s="32" t="n">
        <v>77.6776088942273</v>
      </c>
      <c r="C66" s="2" t="s">
        <v>467</v>
      </c>
    </row>
    <row r="67" customFormat="false" ht="15" hidden="false" customHeight="false" outlineLevel="0" collapsed="false">
      <c r="A67" s="2" t="s">
        <v>470</v>
      </c>
      <c r="B67" s="32" t="n">
        <v>65.7802910207782</v>
      </c>
      <c r="C67" s="2" t="s">
        <v>467</v>
      </c>
    </row>
    <row r="68" customFormat="false" ht="15" hidden="false" customHeight="false" outlineLevel="0" collapsed="false">
      <c r="A68" s="2" t="s">
        <v>471</v>
      </c>
      <c r="B68" s="32" t="n">
        <v>105.367604652629</v>
      </c>
      <c r="C68" s="2" t="s">
        <v>467</v>
      </c>
    </row>
    <row r="69" customFormat="false" ht="15" hidden="false" customHeight="false" outlineLevel="0" collapsed="false">
      <c r="A69" s="2" t="s">
        <v>472</v>
      </c>
      <c r="B69" s="32" t="n">
        <v>35.9430355293715</v>
      </c>
      <c r="C69" s="2" t="s">
        <v>467</v>
      </c>
    </row>
    <row r="70" customFormat="false" ht="15" hidden="false" customHeight="false" outlineLevel="0" collapsed="false">
      <c r="A70" s="2" t="s">
        <v>473</v>
      </c>
      <c r="B70" s="32" t="n">
        <v>78.6017034530571</v>
      </c>
      <c r="C70" s="2" t="s">
        <v>467</v>
      </c>
    </row>
    <row r="71" customFormat="false" ht="15" hidden="false" customHeight="false" outlineLevel="0" collapsed="false">
      <c r="A71" s="2" t="s">
        <v>474</v>
      </c>
      <c r="B71" s="32" t="n">
        <v>66.3306095195547</v>
      </c>
      <c r="C71" s="2" t="s">
        <v>467</v>
      </c>
    </row>
    <row r="72" customFormat="false" ht="15" hidden="false" customHeight="false" outlineLevel="0" collapsed="false">
      <c r="A72" s="2" t="s">
        <v>475</v>
      </c>
      <c r="B72" s="32" t="n">
        <v>105.957499546426</v>
      </c>
      <c r="C72" s="2" t="s">
        <v>467</v>
      </c>
    </row>
    <row r="73" customFormat="false" ht="15" hidden="false" customHeight="false" outlineLevel="0" collapsed="false">
      <c r="A73" s="2" t="s">
        <v>476</v>
      </c>
      <c r="B73" s="32" t="n">
        <v>33.8864252668987</v>
      </c>
      <c r="C73" s="2" t="s">
        <v>467</v>
      </c>
    </row>
    <row r="74" customFormat="false" ht="15" hidden="false" customHeight="false" outlineLevel="0" collapsed="false">
      <c r="A74" s="2" t="s">
        <v>477</v>
      </c>
      <c r="B74" s="32" t="n">
        <v>78.9891170556996</v>
      </c>
      <c r="C74" s="2" t="s">
        <v>467</v>
      </c>
    </row>
    <row r="75" customFormat="false" ht="15" hidden="false" customHeight="false" outlineLevel="0" collapsed="false">
      <c r="A75" s="2" t="s">
        <v>478</v>
      </c>
      <c r="B75" s="32" t="n">
        <v>66.8893504977963</v>
      </c>
      <c r="C75" s="2" t="s">
        <v>467</v>
      </c>
    </row>
    <row r="76" customFormat="false" ht="15" hidden="false" customHeight="false" outlineLevel="0" collapsed="false">
      <c r="A76" s="2" t="s">
        <v>479</v>
      </c>
      <c r="B76" s="32" t="n">
        <v>37.75</v>
      </c>
      <c r="C76" s="2" t="s">
        <v>256</v>
      </c>
    </row>
    <row r="77" customFormat="false" ht="15" hidden="false" customHeight="false" outlineLevel="0" collapsed="false">
      <c r="A77" s="2" t="s">
        <v>480</v>
      </c>
      <c r="B77" s="32" t="n">
        <v>38.4451693482574</v>
      </c>
      <c r="C77" s="2" t="s">
        <v>481</v>
      </c>
    </row>
    <row r="78" customFormat="false" ht="15" hidden="false" customHeight="false" outlineLevel="0" collapsed="false">
      <c r="A78" s="2" t="s">
        <v>482</v>
      </c>
      <c r="B78" s="32" t="n">
        <v>4</v>
      </c>
      <c r="C78" s="2" t="s">
        <v>483</v>
      </c>
    </row>
    <row r="79" customFormat="false" ht="15" hidden="false" customHeight="false" outlineLevel="0" collapsed="false">
      <c r="A79" s="2" t="s">
        <v>484</v>
      </c>
      <c r="B79" s="32" t="n">
        <v>42.6346691353518</v>
      </c>
      <c r="C79" s="2" t="s">
        <v>485</v>
      </c>
    </row>
    <row r="80" customFormat="false" ht="15" hidden="false" customHeight="false" outlineLevel="0" collapsed="false">
      <c r="A80" s="2" t="s">
        <v>486</v>
      </c>
      <c r="B80" s="32" t="n">
        <v>19</v>
      </c>
      <c r="C80" s="2" t="s">
        <v>487</v>
      </c>
    </row>
    <row r="81" customFormat="false" ht="15" hidden="false" customHeight="false" outlineLevel="0" collapsed="false">
      <c r="A81" s="2" t="s">
        <v>488</v>
      </c>
      <c r="B81" s="32" t="n">
        <v>19</v>
      </c>
      <c r="C81" s="2" t="s">
        <v>487</v>
      </c>
    </row>
    <row r="82" customFormat="false" ht="15" hidden="false" customHeight="false" outlineLevel="0" collapsed="false">
      <c r="A82" s="2" t="s">
        <v>489</v>
      </c>
      <c r="B82" s="32" t="n">
        <v>0</v>
      </c>
      <c r="C82" s="2" t="s">
        <v>490</v>
      </c>
    </row>
    <row r="83" customFormat="false" ht="15" hidden="false" customHeight="false" outlineLevel="0" collapsed="false">
      <c r="A83" s="2" t="s">
        <v>491</v>
      </c>
      <c r="B83" s="32" t="n">
        <v>30.2010700257342</v>
      </c>
      <c r="C83" s="2" t="s">
        <v>485</v>
      </c>
    </row>
    <row r="84" customFormat="false" ht="15" hidden="false" customHeight="false" outlineLevel="0" collapsed="false">
      <c r="A84" s="2" t="s">
        <v>492</v>
      </c>
      <c r="B84" s="32" t="n">
        <v>18</v>
      </c>
      <c r="C84" s="2" t="s">
        <v>487</v>
      </c>
    </row>
    <row r="85" customFormat="false" ht="15" hidden="false" customHeight="false" outlineLevel="0" collapsed="false">
      <c r="A85" s="2" t="s">
        <v>493</v>
      </c>
      <c r="B85" s="32" t="n">
        <v>10</v>
      </c>
      <c r="C85" s="2" t="s">
        <v>487</v>
      </c>
    </row>
    <row r="86" customFormat="false" ht="15" hidden="false" customHeight="false" outlineLevel="0" collapsed="false">
      <c r="A86" s="2" t="s">
        <v>494</v>
      </c>
      <c r="B86" s="32" t="n">
        <v>0</v>
      </c>
      <c r="C86" s="2" t="s">
        <v>490</v>
      </c>
    </row>
    <row r="87" customFormat="false" ht="15" hidden="false" customHeight="false" outlineLevel="0" collapsed="false">
      <c r="A87" s="2" t="s">
        <v>495</v>
      </c>
      <c r="B87" s="32" t="n">
        <v>75.6346691353518</v>
      </c>
      <c r="C87" s="2" t="s">
        <v>496</v>
      </c>
    </row>
    <row r="88" customFormat="false" ht="15" hidden="false" customHeight="false" outlineLevel="0" collapsed="false">
      <c r="A88" s="2" t="s">
        <v>497</v>
      </c>
      <c r="B88" s="32" t="n">
        <v>1.225</v>
      </c>
      <c r="C88" s="2" t="s">
        <v>498</v>
      </c>
    </row>
    <row r="89" customFormat="false" ht="15" hidden="false" customHeight="false" outlineLevel="0" collapsed="false">
      <c r="A89" s="2" t="s">
        <v>499</v>
      </c>
      <c r="B89" s="32" t="n">
        <v>0.775</v>
      </c>
      <c r="C89" s="2" t="s">
        <v>304</v>
      </c>
    </row>
    <row r="90" customFormat="false" ht="15" hidden="false" customHeight="false" outlineLevel="0" collapsed="false">
      <c r="A90" s="2" t="s">
        <v>500</v>
      </c>
      <c r="B90" s="32" t="n">
        <v>65.4</v>
      </c>
      <c r="C90" s="2" t="s">
        <v>309</v>
      </c>
    </row>
    <row r="91" customFormat="false" ht="15" hidden="false" customHeight="false" outlineLevel="0" collapsed="false">
      <c r="A91" s="2" t="s">
        <v>501</v>
      </c>
      <c r="B91" s="32" t="n">
        <v>0.955</v>
      </c>
      <c r="C91" s="2" t="s">
        <v>312</v>
      </c>
    </row>
    <row r="92" customFormat="false" ht="15" hidden="false" customHeight="false" outlineLevel="0" collapsed="false">
      <c r="A92" s="2" t="s">
        <v>502</v>
      </c>
      <c r="B92" s="32" t="n">
        <v>58.1286024143917</v>
      </c>
      <c r="C92" s="2" t="s">
        <v>315</v>
      </c>
    </row>
    <row r="93" customFormat="false" ht="15" hidden="false" customHeight="false" outlineLevel="0" collapsed="false">
      <c r="A93" s="2" t="s">
        <v>503</v>
      </c>
      <c r="B93" s="32" t="n">
        <v>99.4908864552412</v>
      </c>
      <c r="C93" s="2" t="s">
        <v>318</v>
      </c>
    </row>
    <row r="94" customFormat="false" ht="15" hidden="false" customHeight="false" outlineLevel="0" collapsed="false">
      <c r="A94" s="2" t="s">
        <v>504</v>
      </c>
      <c r="B94" s="32" t="n">
        <v>5.25</v>
      </c>
      <c r="C94" s="2" t="s">
        <v>321</v>
      </c>
    </row>
    <row r="95" customFormat="false" ht="15" hidden="false" customHeight="false" outlineLevel="0" collapsed="false">
      <c r="A95" s="2" t="s">
        <v>505</v>
      </c>
      <c r="B95" s="32" t="n">
        <v>3</v>
      </c>
      <c r="C95" s="2" t="s">
        <v>506</v>
      </c>
    </row>
    <row r="96" customFormat="false" ht="15" hidden="false" customHeight="false" outlineLevel="0" collapsed="false">
      <c r="A96" s="2" t="s">
        <v>507</v>
      </c>
      <c r="B96" s="32" t="n">
        <v>1.5</v>
      </c>
      <c r="C96" s="2" t="s">
        <v>508</v>
      </c>
    </row>
    <row r="97" customFormat="false" ht="15" hidden="false" customHeight="false" outlineLevel="0" collapsed="false">
      <c r="A97" s="2" t="s">
        <v>509</v>
      </c>
      <c r="B97" s="32" t="n">
        <v>0.75</v>
      </c>
      <c r="C97" s="2" t="s">
        <v>510</v>
      </c>
    </row>
    <row r="98" customFormat="false" ht="15" hidden="false" customHeight="false" outlineLevel="0" collapsed="false">
      <c r="A98" s="2" t="s">
        <v>511</v>
      </c>
      <c r="B98" s="32" t="n">
        <v>100</v>
      </c>
      <c r="C98" s="2" t="s">
        <v>512</v>
      </c>
    </row>
    <row r="99" customFormat="false" ht="15" hidden="false" customHeight="false" outlineLevel="0" collapsed="false">
      <c r="A99" s="2" t="s">
        <v>513</v>
      </c>
      <c r="B99" s="32" t="n">
        <v>85</v>
      </c>
      <c r="C99" s="2" t="s">
        <v>514</v>
      </c>
    </row>
    <row r="100" customFormat="false" ht="15" hidden="false" customHeight="false" outlineLevel="0" collapsed="false">
      <c r="A100" s="2" t="s">
        <v>515</v>
      </c>
      <c r="B100" s="32" t="n">
        <v>8.5</v>
      </c>
      <c r="C100" s="2" t="s">
        <v>516</v>
      </c>
    </row>
    <row r="101" customFormat="false" ht="15" hidden="false" customHeight="false" outlineLevel="0" collapsed="false">
      <c r="A101" s="2" t="s">
        <v>517</v>
      </c>
      <c r="B101" s="32" t="n">
        <v>34</v>
      </c>
      <c r="C101" s="2" t="s">
        <v>518</v>
      </c>
    </row>
    <row r="102" customFormat="false" ht="15" hidden="false" customHeight="false" outlineLevel="0" collapsed="false">
      <c r="A102" s="2" t="s">
        <v>519</v>
      </c>
      <c r="B102" s="32" t="n">
        <v>13</v>
      </c>
      <c r="C102" s="2" t="s">
        <v>520</v>
      </c>
    </row>
    <row r="103" customFormat="false" ht="15" hidden="false" customHeight="false" outlineLevel="0" collapsed="false">
      <c r="A103" s="2" t="s">
        <v>521</v>
      </c>
      <c r="B103" s="32" t="n">
        <v>11</v>
      </c>
      <c r="C103" s="2" t="s">
        <v>522</v>
      </c>
    </row>
    <row r="104" customFormat="false" ht="15" hidden="false" customHeight="false" outlineLevel="0" collapsed="false">
      <c r="A104" s="2" t="s">
        <v>523</v>
      </c>
      <c r="B104" s="32" t="n">
        <v>5.713159375</v>
      </c>
      <c r="C104" s="2" t="s">
        <v>524</v>
      </c>
    </row>
    <row r="105" customFormat="false" ht="15" hidden="false" customHeight="false" outlineLevel="0" collapsed="false">
      <c r="A105" s="2" t="s">
        <v>525</v>
      </c>
      <c r="B105" s="32" t="n">
        <v>8.068359375</v>
      </c>
      <c r="C105" s="2" t="s">
        <v>335</v>
      </c>
    </row>
    <row r="106" customFormat="false" ht="15" hidden="false" customHeight="false" outlineLevel="0" collapsed="false">
      <c r="A106" s="2" t="s">
        <v>526</v>
      </c>
      <c r="B106" s="32" t="n">
        <v>6.71970937499999</v>
      </c>
      <c r="C106" s="2" t="s">
        <v>337</v>
      </c>
    </row>
    <row r="107" customFormat="false" ht="15" hidden="false" customHeight="false" outlineLevel="0" collapsed="false">
      <c r="A107" s="2" t="s">
        <v>527</v>
      </c>
      <c r="B107" s="32" t="n">
        <v>0.108444320037972</v>
      </c>
      <c r="C107" s="2" t="s">
        <v>528</v>
      </c>
    </row>
    <row r="108" customFormat="false" ht="15" hidden="false" customHeight="false" outlineLevel="0" collapsed="false">
      <c r="A108" s="2" t="s">
        <v>529</v>
      </c>
      <c r="B108" s="32" t="n">
        <v>0.258989702786489</v>
      </c>
      <c r="C108" s="2" t="s">
        <v>530</v>
      </c>
    </row>
    <row r="109" customFormat="false" ht="15" hidden="false" customHeight="false" outlineLevel="0" collapsed="false">
      <c r="A109" s="2" t="s">
        <v>531</v>
      </c>
      <c r="B109" s="32" t="n">
        <v>0.362764347128064</v>
      </c>
      <c r="C109" s="2" t="s">
        <v>532</v>
      </c>
    </row>
    <row r="110" customFormat="false" ht="15" hidden="false" customHeight="false" outlineLevel="0" collapsed="false">
      <c r="A110" s="2" t="s">
        <v>348</v>
      </c>
      <c r="B110" s="32" t="n">
        <v>3.34516687458635</v>
      </c>
      <c r="C110" s="2" t="s">
        <v>533</v>
      </c>
    </row>
    <row r="111" customFormat="false" ht="15" hidden="false" customHeight="false" outlineLevel="0" collapsed="false">
      <c r="A111" s="2" t="s">
        <v>534</v>
      </c>
      <c r="B111" s="32" t="n">
        <v>1</v>
      </c>
      <c r="C111" s="2" t="s">
        <v>535</v>
      </c>
    </row>
    <row r="112" customFormat="false" ht="15" hidden="false" customHeight="false" outlineLevel="0" collapsed="false">
      <c r="A112" s="2" t="s">
        <v>536</v>
      </c>
      <c r="B112" s="32" t="n">
        <v>0.785398163397448</v>
      </c>
      <c r="C112" s="2" t="s">
        <v>537</v>
      </c>
    </row>
    <row r="113" customFormat="false" ht="15" hidden="false" customHeight="false" outlineLevel="0" collapsed="false">
      <c r="A113" s="2" t="s">
        <v>538</v>
      </c>
      <c r="B113" s="32" t="n">
        <v>0.19</v>
      </c>
      <c r="C113" s="2" t="s">
        <v>539</v>
      </c>
    </row>
    <row r="114" customFormat="false" ht="15" hidden="false" customHeight="false" outlineLevel="0" collapsed="false">
      <c r="A114" s="2" t="s">
        <v>540</v>
      </c>
      <c r="B114" s="32" t="n">
        <v>0.523598775598299</v>
      </c>
      <c r="C114" s="2" t="s">
        <v>541</v>
      </c>
    </row>
    <row r="115" customFormat="false" ht="15" hidden="false" customHeight="false" outlineLevel="0" collapsed="false">
      <c r="A115" s="2" t="s">
        <v>542</v>
      </c>
      <c r="B115" s="32" t="n">
        <v>0.271</v>
      </c>
      <c r="C115" s="2" t="s">
        <v>543</v>
      </c>
    </row>
    <row r="116" customFormat="false" ht="15" hidden="false" customHeight="false" outlineLevel="0" collapsed="false">
      <c r="A116" s="2" t="s">
        <v>544</v>
      </c>
      <c r="B116" s="32" t="n">
        <v>0.0158543442438155</v>
      </c>
      <c r="C116" s="2" t="s">
        <v>545</v>
      </c>
    </row>
    <row r="117" customFormat="false" ht="15" hidden="false" customHeight="false" outlineLevel="0" collapsed="false">
      <c r="A117" s="2" t="s">
        <v>546</v>
      </c>
      <c r="B117" s="32" t="n">
        <v>0.56953279</v>
      </c>
      <c r="C117" s="2" t="s">
        <v>547</v>
      </c>
    </row>
    <row r="118" customFormat="false" ht="15" hidden="false" customHeight="false" outlineLevel="0" collapsed="false">
      <c r="A118" s="2" t="s">
        <v>548</v>
      </c>
      <c r="B118" s="32" t="n">
        <v>-14.9991814919206</v>
      </c>
      <c r="C118" s="2" t="s">
        <v>549</v>
      </c>
    </row>
    <row r="119" customFormat="false" ht="15" hidden="false" customHeight="false" outlineLevel="0" collapsed="false">
      <c r="A119" s="2" t="s">
        <v>550</v>
      </c>
      <c r="B119" s="32" t="n">
        <v>0.965663161797075</v>
      </c>
      <c r="C119" s="2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356</v>
      </c>
      <c r="B1" s="8" t="s">
        <v>552</v>
      </c>
      <c r="C1" s="8" t="s">
        <v>357</v>
      </c>
      <c r="D1" s="8" t="s">
        <v>553</v>
      </c>
      <c r="E1" s="8" t="s">
        <v>554</v>
      </c>
      <c r="F1" s="8" t="s">
        <v>555</v>
      </c>
    </row>
    <row r="2" customFormat="false" ht="15" hidden="false" customHeight="false" outlineLevel="0" collapsed="false">
      <c r="A2" s="2" t="s">
        <v>112</v>
      </c>
      <c r="B2" s="24" t="n">
        <f aca="false">State!B13</f>
        <v>8</v>
      </c>
      <c r="C2" s="28" t="n">
        <f aca="false">Reference_Values!B2</f>
        <v>8</v>
      </c>
      <c r="D2" s="22" t="n">
        <f aca="false">ABS(B2-C2)</f>
        <v>0</v>
      </c>
      <c r="E2" s="33" t="n">
        <v>0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360</v>
      </c>
      <c r="B3" s="24" t="n">
        <f aca="false">State!B16</f>
        <v>4</v>
      </c>
      <c r="C3" s="28" t="n">
        <f aca="false">Reference_Values!B3</f>
        <v>4</v>
      </c>
      <c r="D3" s="22" t="n">
        <f aca="false">ABS(B3-C3)</f>
        <v>0</v>
      </c>
      <c r="E3" s="33" t="n">
        <v>0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362</v>
      </c>
      <c r="B4" s="24" t="n">
        <f aca="false">State!B20</f>
        <v>0.06</v>
      </c>
      <c r="C4" s="28" t="n">
        <f aca="false">Reference_Values!B4</f>
        <v>0.06</v>
      </c>
      <c r="D4" s="22" t="n">
        <f aca="false">ABS(B4-C4)</f>
        <v>0</v>
      </c>
      <c r="E4" s="33" t="n">
        <v>1E-012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364</v>
      </c>
      <c r="B5" s="24" t="n">
        <f aca="false">State!B21</f>
        <v>0.05</v>
      </c>
      <c r="C5" s="28" t="n">
        <f aca="false">Reference_Values!B5</f>
        <v>0.05</v>
      </c>
      <c r="D5" s="22" t="n">
        <f aca="false">ABS(B5-C5)</f>
        <v>0</v>
      </c>
      <c r="E5" s="33" t="n">
        <v>1E-012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366</v>
      </c>
      <c r="B6" s="24" t="n">
        <f aca="false">State!B25</f>
        <v>9</v>
      </c>
      <c r="C6" s="28" t="n">
        <f aca="false">Reference_Values!B6</f>
        <v>9</v>
      </c>
      <c r="D6" s="22" t="n">
        <f aca="false">ABS(B6-C6)</f>
        <v>0</v>
      </c>
      <c r="E6" s="33" t="n">
        <v>0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368</v>
      </c>
      <c r="B7" s="24" t="n">
        <f aca="false">Walls!D6</f>
        <v>270</v>
      </c>
      <c r="C7" s="28" t="n">
        <f aca="false">Reference_Values!B7</f>
        <v>270</v>
      </c>
      <c r="D7" s="22" t="n">
        <f aca="false">ABS(B7-C7)</f>
        <v>0</v>
      </c>
      <c r="E7" s="33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370</v>
      </c>
      <c r="B8" s="24" t="n">
        <f aca="false">Walls!D7</f>
        <v>1.1</v>
      </c>
      <c r="C8" s="28" t="n">
        <f aca="false">Reference_Values!B8</f>
        <v>1.1</v>
      </c>
      <c r="D8" s="22" t="n">
        <f aca="false">ABS(B8-C8)</f>
        <v>0</v>
      </c>
      <c r="E8" s="33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372</v>
      </c>
      <c r="B9" s="24" t="n">
        <f aca="false">Walls!D8</f>
        <v>11</v>
      </c>
      <c r="C9" s="28" t="n">
        <f aca="false">Reference_Values!B9</f>
        <v>11</v>
      </c>
      <c r="D9" s="22" t="n">
        <f aca="false">ABS(B9-C9)</f>
        <v>0</v>
      </c>
      <c r="E9" s="33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374</v>
      </c>
      <c r="B10" s="24" t="n">
        <f aca="false">Walls!D11</f>
        <v>0</v>
      </c>
      <c r="C10" s="28" t="n">
        <f aca="false">Reference_Values!B10</f>
        <v>0</v>
      </c>
      <c r="D10" s="22" t="n">
        <f aca="false">ABS(B10-C10)</f>
        <v>0</v>
      </c>
      <c r="E10" s="33" t="n">
        <v>0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376</v>
      </c>
      <c r="B11" s="24" t="n">
        <f aca="false">Walls!E11</f>
        <v>0</v>
      </c>
      <c r="C11" s="28" t="n">
        <f aca="false">Reference_Values!B11</f>
        <v>0</v>
      </c>
      <c r="D11" s="22" t="n">
        <f aca="false">ABS(B11-C11)</f>
        <v>0</v>
      </c>
      <c r="E11" s="33" t="n">
        <v>0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378</v>
      </c>
      <c r="B12" s="24" t="n">
        <f aca="false">Walls!J21</f>
        <v>481.917941377968</v>
      </c>
      <c r="C12" s="28" t="n">
        <f aca="false">Reference_Values!B12</f>
        <v>481.917941377968</v>
      </c>
      <c r="D12" s="22" t="n">
        <f aca="false">ABS(B12-C12)</f>
        <v>0</v>
      </c>
      <c r="E12" s="33" t="n">
        <v>1E-006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163</v>
      </c>
      <c r="B13" s="24" t="n">
        <f aca="false">Walls!J19</f>
        <v>1.71453760723574</v>
      </c>
      <c r="C13" s="28" t="n">
        <f aca="false">Reference_Values!B13</f>
        <v>1.71453765808661</v>
      </c>
      <c r="D13" s="22" t="n">
        <f aca="false">ABS(B13-C13)</f>
        <v>5.08508672947272E-008</v>
      </c>
      <c r="E13" s="33" t="n">
        <v>1E-006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169</v>
      </c>
      <c r="B14" s="24" t="n">
        <f aca="false">Walls!J25</f>
        <v>77.7339326383525</v>
      </c>
      <c r="C14" s="28" t="n">
        <f aca="false">Reference_Values!B14</f>
        <v>77.7339326383525</v>
      </c>
      <c r="D14" s="22" t="n">
        <f aca="false">ABS(B14-C14)</f>
        <v>0</v>
      </c>
      <c r="E14" s="33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382</v>
      </c>
      <c r="B15" s="24" t="n">
        <f aca="false">Walls!J26</f>
        <v>21</v>
      </c>
      <c r="C15" s="28" t="n">
        <f aca="false">Reference_Values!B15</f>
        <v>21</v>
      </c>
      <c r="D15" s="22" t="n">
        <f aca="false">ABS(B15-C15)</f>
        <v>0</v>
      </c>
      <c r="E15" s="33" t="n">
        <v>0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384</v>
      </c>
      <c r="B16" s="24" t="n">
        <f aca="false">Walls!E6</f>
        <v>131.917941377968</v>
      </c>
      <c r="C16" s="28" t="n">
        <f aca="false">Reference_Values!B16</f>
        <v>131.917941377968</v>
      </c>
      <c r="D16" s="22" t="n">
        <f aca="false">ABS(B16-C16)</f>
        <v>0</v>
      </c>
      <c r="E16" s="33" t="n">
        <v>1E-006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168</v>
      </c>
      <c r="B17" s="24" t="n">
        <f aca="false">Walls!J24</f>
        <v>481.917941377968</v>
      </c>
      <c r="C17" s="28" t="n">
        <f aca="false">Reference_Values!B17</f>
        <v>481.917941377968</v>
      </c>
      <c r="D17" s="22" t="n">
        <f aca="false">ABS(B17-C17)</f>
        <v>0</v>
      </c>
      <c r="E17" s="33" t="n">
        <v>1E-006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387</v>
      </c>
      <c r="B18" s="24" t="n">
        <f aca="false">Walls!E8</f>
        <v>4.42420538527767</v>
      </c>
      <c r="C18" s="28" t="n">
        <f aca="false">Reference_Values!B18</f>
        <v>4.42420568414043</v>
      </c>
      <c r="D18" s="22" t="n">
        <f aca="false">ABS(B18-C18)</f>
        <v>2.98862758540963E-007</v>
      </c>
      <c r="E18" s="33" t="n">
        <v>1E-006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389</v>
      </c>
      <c r="B19" s="24" t="n">
        <f aca="false">Walls!J35</f>
        <v>73.5525461861166</v>
      </c>
      <c r="C19" s="28" t="n">
        <f aca="false">Reference_Values!B19</f>
        <v>73.5525461861166</v>
      </c>
      <c r="D19" s="22" t="n">
        <f aca="false">ABS(B19-C19)</f>
        <v>0</v>
      </c>
      <c r="E19" s="33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391</v>
      </c>
      <c r="B20" s="24" t="n">
        <f aca="false">Walls!J37</f>
        <v>1.44745381388336</v>
      </c>
      <c r="C20" s="28" t="n">
        <f aca="false">Reference_Values!B20</f>
        <v>1.44745381388336</v>
      </c>
      <c r="D20" s="22" t="n">
        <f aca="false">ABS(B20-C20)</f>
        <v>0</v>
      </c>
      <c r="E20" s="33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393</v>
      </c>
      <c r="B21" s="24" t="n">
        <f aca="false">Walls!J39</f>
        <v>11</v>
      </c>
      <c r="C21" s="28" t="n">
        <f aca="false">Reference_Values!B21</f>
        <v>11</v>
      </c>
      <c r="D21" s="22" t="n">
        <f aca="false">ABS(B21-C21)</f>
        <v>0</v>
      </c>
      <c r="E21" s="33" t="n">
        <v>0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395</v>
      </c>
      <c r="B22" s="24" t="n">
        <f aca="false">Walls!J8</f>
        <v>8.66939048044529</v>
      </c>
      <c r="C22" s="28" t="n">
        <f aca="false">Reference_Values!B22</f>
        <v>8.66939048044529</v>
      </c>
      <c r="D22" s="22" t="n">
        <f aca="false">ABS(B22-C22)</f>
        <v>0</v>
      </c>
      <c r="E22" s="33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396</v>
      </c>
      <c r="B23" s="24" t="n">
        <f aca="false">Walls!F9</f>
        <v>24.3653308646482</v>
      </c>
      <c r="C23" s="28" t="n">
        <f aca="false">Reference_Values!B23</f>
        <v>24.3653308646482</v>
      </c>
      <c r="D23" s="22" t="n">
        <f aca="false">ABS(B23-C23)</f>
        <v>0</v>
      </c>
      <c r="E23" s="33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202</v>
      </c>
      <c r="B24" s="24" t="n">
        <f aca="false">Blend!B32</f>
        <v>21</v>
      </c>
      <c r="C24" s="28" t="n">
        <f aca="false">Reference_Values!B24</f>
        <v>21</v>
      </c>
      <c r="D24" s="22" t="n">
        <f aca="false">ABS(B24-C24)</f>
        <v>0</v>
      </c>
      <c r="E24" s="33" t="n">
        <v>0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203</v>
      </c>
      <c r="B25" s="24" t="n">
        <f aca="false">Blend!B33</f>
        <v>7</v>
      </c>
      <c r="C25" s="28" t="n">
        <f aca="false">Reference_Values!B25</f>
        <v>7</v>
      </c>
      <c r="D25" s="22" t="n">
        <f aca="false">ABS(B25-C25)</f>
        <v>0</v>
      </c>
      <c r="E25" s="33" t="n">
        <v>0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399</v>
      </c>
      <c r="B26" s="24" t="n">
        <f aca="false">Blend!B34</f>
        <v>20</v>
      </c>
      <c r="C26" s="28" t="n">
        <f aca="false">Reference_Values!B26</f>
        <v>20</v>
      </c>
      <c r="D26" s="22" t="n">
        <f aca="false">ABS(B26-C26)</f>
        <v>0</v>
      </c>
      <c r="E26" s="33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218</v>
      </c>
      <c r="B27" s="24" t="n">
        <f aca="false">PathSampling!J5</f>
        <v>78.0409763545031</v>
      </c>
      <c r="C27" s="28" t="n">
        <f aca="false">Reference_Values!B27</f>
        <v>78.0409763545031</v>
      </c>
      <c r="D27" s="22" t="n">
        <f aca="false">ABS(B27-C27)</f>
        <v>0</v>
      </c>
      <c r="E27" s="33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219</v>
      </c>
      <c r="B28" s="24" t="n">
        <f aca="false">PathSampling!J6</f>
        <v>0</v>
      </c>
      <c r="C28" s="28" t="n">
        <f aca="false">Reference_Values!B28</f>
        <v>0</v>
      </c>
      <c r="D28" s="22" t="n">
        <f aca="false">ABS(B28-C28)</f>
        <v>0</v>
      </c>
      <c r="E28" s="33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221</v>
      </c>
      <c r="B29" s="24" t="n">
        <f aca="false">PathSampling!J7</f>
        <v>0</v>
      </c>
      <c r="C29" s="28" t="n">
        <f aca="false">Reference_Values!B29</f>
        <v>2.1316282072803E-014</v>
      </c>
      <c r="D29" s="22" t="n">
        <f aca="false">ABS(B29-C29)</f>
        <v>2.1316282072803E-014</v>
      </c>
      <c r="E29" s="33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223</v>
      </c>
      <c r="B30" s="24" t="n">
        <f aca="false">PathSampling!J8</f>
        <v>0</v>
      </c>
      <c r="C30" s="28" t="n">
        <f aca="false">Reference_Values!B30</f>
        <v>0</v>
      </c>
      <c r="D30" s="22" t="n">
        <f aca="false">ABS(B30-C30)</f>
        <v>0</v>
      </c>
      <c r="E30" s="33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225</v>
      </c>
      <c r="B31" s="24" t="n">
        <f aca="false">PathSampling!J9</f>
        <v>100</v>
      </c>
      <c r="C31" s="28" t="n">
        <f aca="false">Reference_Values!B31</f>
        <v>99.9999999999998</v>
      </c>
      <c r="D31" s="22" t="n">
        <f aca="false">ABS(B31-C31)</f>
        <v>3.5527136788005E-013</v>
      </c>
      <c r="E31" s="33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406</v>
      </c>
      <c r="B32" s="24" t="n">
        <f aca="false">Turnaround!B6</f>
        <v>0.637628151621773</v>
      </c>
      <c r="C32" s="28" t="n">
        <f aca="false">Reference_Values!B32</f>
        <v>0.637628151621773</v>
      </c>
      <c r="D32" s="22" t="n">
        <f aca="false">ABS(B32-C32)</f>
        <v>0</v>
      </c>
      <c r="E32" s="33" t="n">
        <v>1E-012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408</v>
      </c>
      <c r="B33" s="24" t="n">
        <f aca="false">Turnaround!C6</f>
        <v>0.818730753077982</v>
      </c>
      <c r="C33" s="28" t="n">
        <f aca="false">Reference_Values!B33</f>
        <v>0.818730753077982</v>
      </c>
      <c r="D33" s="22" t="n">
        <f aca="false">ABS(B33-C33)</f>
        <v>0</v>
      </c>
      <c r="E33" s="33" t="n">
        <v>1E-012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410</v>
      </c>
      <c r="B34" s="24" t="n">
        <f aca="false">Turnaround!D6</f>
        <v>0.548811636094026</v>
      </c>
      <c r="C34" s="28" t="n">
        <f aca="false">Reference_Values!B34</f>
        <v>0.548811636094026</v>
      </c>
      <c r="D34" s="22" t="n">
        <f aca="false">ABS(B34-C34)</f>
        <v>0</v>
      </c>
      <c r="E34" s="33" t="n">
        <v>1E-012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412</v>
      </c>
      <c r="B35" s="24" t="n">
        <f aca="false">Turnaround!E6</f>
        <v>0.740818220681718</v>
      </c>
      <c r="C35" s="28" t="n">
        <f aca="false">Reference_Values!B35</f>
        <v>0.740818220681718</v>
      </c>
      <c r="D35" s="22" t="n">
        <f aca="false">ABS(B35-C35)</f>
        <v>0</v>
      </c>
      <c r="E35" s="33" t="n">
        <v>1E-012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414</v>
      </c>
      <c r="B36" s="24" t="n">
        <f aca="false">100*Turnaround!B7</f>
        <v>36.2371848378227</v>
      </c>
      <c r="C36" s="28" t="n">
        <f aca="false">Reference_Values!B36</f>
        <v>36.2371848378227</v>
      </c>
      <c r="D36" s="22" t="n">
        <f aca="false">ABS(B36-C36)</f>
        <v>0</v>
      </c>
      <c r="E36" s="33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416</v>
      </c>
      <c r="B37" s="24" t="n">
        <f aca="false">100*Turnaround!C7</f>
        <v>18.1269246922018</v>
      </c>
      <c r="C37" s="28" t="n">
        <f aca="false">Reference_Values!B37</f>
        <v>18.1269246922018</v>
      </c>
      <c r="D37" s="22" t="n">
        <f aca="false">ABS(B37-C37)</f>
        <v>0</v>
      </c>
      <c r="E37" s="33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418</v>
      </c>
      <c r="B38" s="24" t="n">
        <f aca="false">100*Turnaround!D7</f>
        <v>45.1188363905974</v>
      </c>
      <c r="C38" s="28" t="n">
        <f aca="false">Reference_Values!B38</f>
        <v>45.1188363905974</v>
      </c>
      <c r="D38" s="22" t="n">
        <f aca="false">ABS(B38-C38)</f>
        <v>0</v>
      </c>
      <c r="E38" s="33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420</v>
      </c>
      <c r="B39" s="24" t="n">
        <f aca="false">100*Turnaround!E7</f>
        <v>25.9181779318282</v>
      </c>
      <c r="C39" s="28" t="n">
        <f aca="false">Reference_Values!B39</f>
        <v>25.9181779318282</v>
      </c>
      <c r="D39" s="22" t="n">
        <f aca="false">ABS(B39-C39)</f>
        <v>0</v>
      </c>
      <c r="E39" s="33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422</v>
      </c>
      <c r="B40" s="24" t="n">
        <f aca="false">Turnaround!B17</f>
        <v>102.174231090269</v>
      </c>
      <c r="C40" s="28" t="n">
        <f aca="false">Reference_Values!B40</f>
        <v>102.174231090269</v>
      </c>
      <c r="D40" s="22" t="n">
        <f aca="false">ABS(B40-C40)</f>
        <v>0</v>
      </c>
      <c r="E40" s="33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424</v>
      </c>
      <c r="B41" s="24" t="n">
        <f aca="false">Turnaround!C17</f>
        <v>39.5498460246239</v>
      </c>
      <c r="C41" s="28" t="n">
        <f aca="false">Reference_Values!B41</f>
        <v>39.5498460246239</v>
      </c>
      <c r="D41" s="22" t="n">
        <f aca="false">ABS(B41-C41)</f>
        <v>0</v>
      </c>
      <c r="E41" s="33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426</v>
      </c>
      <c r="B42" s="24" t="n">
        <f aca="false">Turnaround!D17</f>
        <v>74.6095069112478</v>
      </c>
      <c r="C42" s="28" t="n">
        <f aca="false">Reference_Values!B42</f>
        <v>74.6095069112478</v>
      </c>
      <c r="D42" s="22" t="n">
        <f aca="false">ABS(B42-C42)</f>
        <v>0</v>
      </c>
      <c r="E42" s="33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428</v>
      </c>
      <c r="B43" s="24" t="n">
        <f aca="false">Turnaround!E17</f>
        <v>64.7775453379549</v>
      </c>
      <c r="C43" s="28" t="n">
        <f aca="false">Reference_Values!B43</f>
        <v>64.7775453379549</v>
      </c>
      <c r="D43" s="22" t="n">
        <f aca="false">ABS(B43-C43)</f>
        <v>0</v>
      </c>
      <c r="E43" s="33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430</v>
      </c>
      <c r="B44" s="24" t="n">
        <f aca="false">Turnaround!B10</f>
        <v>0.818730753077982</v>
      </c>
      <c r="C44" s="28" t="n">
        <f aca="false">Reference_Values!B44</f>
        <v>0.818730753077982</v>
      </c>
      <c r="D44" s="22" t="n">
        <f aca="false">ABS(B44-C44)</f>
        <v>0</v>
      </c>
      <c r="E44" s="33" t="n">
        <v>1E-012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266</v>
      </c>
      <c r="B45" s="24" t="n">
        <f aca="false">Turnaround!B12</f>
        <v>3.60950691124779</v>
      </c>
      <c r="C45" s="28" t="n">
        <f aca="false">Reference_Values!B45</f>
        <v>3.60950691124779</v>
      </c>
      <c r="D45" s="22" t="n">
        <f aca="false">ABS(B45-C45)</f>
        <v>0</v>
      </c>
      <c r="E45" s="33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433</v>
      </c>
      <c r="B46" s="24" t="n">
        <f aca="false">Turnaround!B13</f>
        <v>19.912406392909</v>
      </c>
      <c r="C46" s="28" t="n">
        <f aca="false">Reference_Values!B46</f>
        <v>19.912406392909</v>
      </c>
      <c r="D46" s="22" t="n">
        <f aca="false">ABS(B46-C46)</f>
        <v>0</v>
      </c>
      <c r="E46" s="33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435</v>
      </c>
      <c r="B47" s="24" t="n">
        <f aca="false">Turnaround!K4</f>
        <v>15</v>
      </c>
      <c r="C47" s="28" t="n">
        <f aca="false">Reference_Values!B47</f>
        <v>15</v>
      </c>
      <c r="D47" s="22" t="n">
        <f aca="false">ABS(B47-C47)</f>
        <v>0</v>
      </c>
      <c r="E47" s="33" t="n">
        <v>0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436</v>
      </c>
      <c r="B48" s="24" t="n">
        <f aca="false">Turnaround!K5</f>
        <v>11</v>
      </c>
      <c r="C48" s="28" t="n">
        <f aca="false">Reference_Values!B48</f>
        <v>11</v>
      </c>
      <c r="D48" s="22" t="n">
        <f aca="false">ABS(B48-C48)</f>
        <v>0</v>
      </c>
      <c r="E48" s="33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437</v>
      </c>
      <c r="B49" s="24" t="n">
        <f aca="false">Turnaround!K16</f>
        <v>8</v>
      </c>
      <c r="C49" s="28" t="n">
        <f aca="false">Reference_Values!B49</f>
        <v>8</v>
      </c>
      <c r="D49" s="22" t="n">
        <f aca="false">ABS(B49-C49)</f>
        <v>0</v>
      </c>
      <c r="E49" s="33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439</v>
      </c>
      <c r="B50" s="24" t="n">
        <f aca="false">Turnaround!K17</f>
        <v>19.912406392909</v>
      </c>
      <c r="C50" s="28" t="n">
        <f aca="false">Reference_Values!B50</f>
        <v>19.912406392909</v>
      </c>
      <c r="D50" s="22" t="n">
        <f aca="false">ABS(B50-C50)</f>
        <v>0</v>
      </c>
      <c r="E50" s="33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441</v>
      </c>
      <c r="B51" s="24" t="n">
        <f aca="false">Turnaround!K18</f>
        <v>37</v>
      </c>
      <c r="C51" s="28" t="n">
        <f aca="false">Reference_Values!B51</f>
        <v>37</v>
      </c>
      <c r="D51" s="22" t="n">
        <f aca="false">ABS(B51-C51)</f>
        <v>0</v>
      </c>
      <c r="E51" s="33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443</v>
      </c>
      <c r="B52" s="24" t="n">
        <f aca="false">Turnaround!L16</f>
        <v>6.54984602462385</v>
      </c>
      <c r="C52" s="28" t="n">
        <f aca="false">Reference_Values!B52</f>
        <v>6.54984602462385</v>
      </c>
      <c r="D52" s="22" t="n">
        <f aca="false">ABS(B52-C52)</f>
        <v>0</v>
      </c>
      <c r="E52" s="33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445</v>
      </c>
      <c r="B53" s="24" t="n">
        <f aca="false">Turnaround!L17</f>
        <v>16.3028994816612</v>
      </c>
      <c r="C53" s="28" t="n">
        <f aca="false">Reference_Values!B53</f>
        <v>16.3028994816612</v>
      </c>
      <c r="D53" s="22" t="n">
        <f aca="false">ABS(B53-C53)</f>
        <v>0</v>
      </c>
      <c r="E53" s="33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447</v>
      </c>
      <c r="B54" s="24" t="n">
        <f aca="false">Turnaround!L18</f>
        <v>37.8890096720465</v>
      </c>
      <c r="C54" s="28" t="n">
        <f aca="false">Reference_Values!B54</f>
        <v>37.8890096720465</v>
      </c>
      <c r="D54" s="22" t="n">
        <f aca="false">ABS(B54-C54)</f>
        <v>0</v>
      </c>
      <c r="E54" s="33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449</v>
      </c>
      <c r="B55" s="24" t="n">
        <f aca="false">Turnaround!M16</f>
        <v>4.39049308875222</v>
      </c>
      <c r="C55" s="28" t="n">
        <f aca="false">Reference_Values!B55</f>
        <v>4.39049308875221</v>
      </c>
      <c r="D55" s="22" t="n">
        <f aca="false">ABS(B55-C55)</f>
        <v>0</v>
      </c>
      <c r="E55" s="33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451</v>
      </c>
      <c r="B56" s="24" t="n">
        <f aca="false">Turnaround!M17</f>
        <v>10.9281603310615</v>
      </c>
      <c r="C56" s="28" t="n">
        <f aca="false">Reference_Values!B56</f>
        <v>10.9281603310615</v>
      </c>
      <c r="D56" s="22" t="n">
        <f aca="false">ABS(B56-C56)</f>
        <v>0</v>
      </c>
      <c r="E56" s="33" t="n">
        <v>1E-009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453</v>
      </c>
      <c r="B57" s="24" t="n">
        <f aca="false">Turnaround!M18</f>
        <v>38.4330923495815</v>
      </c>
      <c r="C57" s="28" t="n">
        <f aca="false">Reference_Values!B57</f>
        <v>38.4330923495815</v>
      </c>
      <c r="D57" s="22" t="n">
        <f aca="false">ABS(B57-C57)</f>
        <v>0</v>
      </c>
      <c r="E57" s="33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455</v>
      </c>
      <c r="B58" s="24" t="n">
        <f aca="false">Turnaround!N16</f>
        <v>2.94303552937154</v>
      </c>
      <c r="C58" s="28" t="n">
        <f aca="false">Reference_Values!B58</f>
        <v>2.94303552937154</v>
      </c>
      <c r="D58" s="22" t="n">
        <f aca="false">ABS(B58-C58)</f>
        <v>0</v>
      </c>
      <c r="E58" s="33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457</v>
      </c>
      <c r="B59" s="24" t="n">
        <f aca="false">Turnaround!N17</f>
        <v>7.32536493620201</v>
      </c>
      <c r="C59" s="28" t="n">
        <f aca="false">Reference_Values!B59</f>
        <v>7.32536493620201</v>
      </c>
      <c r="D59" s="22" t="n">
        <f aca="false">ABS(B59-C59)</f>
        <v>0</v>
      </c>
      <c r="E59" s="33" t="n">
        <v>1E-009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459</v>
      </c>
      <c r="B60" s="24" t="n">
        <f aca="false">Turnaround!N18</f>
        <v>38.3954335288757</v>
      </c>
      <c r="C60" s="28" t="n">
        <f aca="false">Reference_Values!B60</f>
        <v>38.3954335288757</v>
      </c>
      <c r="D60" s="22" t="n">
        <f aca="false">ABS(B60-C60)</f>
        <v>0</v>
      </c>
      <c r="E60" s="33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460</v>
      </c>
      <c r="B61" s="24" t="n">
        <f aca="false">Turnaround!O16</f>
        <v>0.886425266898677</v>
      </c>
      <c r="C61" s="28" t="n">
        <f aca="false">Reference_Values!B61</f>
        <v>0.886425266898669</v>
      </c>
      <c r="D61" s="22" t="n">
        <f aca="false">ABS(B61-C61)</f>
        <v>7.105427357601E-015</v>
      </c>
      <c r="E61" s="33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462</v>
      </c>
      <c r="B62" s="24" t="n">
        <f aca="false">Turnaround!O17</f>
        <v>2.20635751892864</v>
      </c>
      <c r="C62" s="28" t="n">
        <f aca="false">Reference_Values!B62</f>
        <v>2.20635751892864</v>
      </c>
      <c r="D62" s="22" t="n">
        <f aca="false">ABS(B62-C62)</f>
        <v>0</v>
      </c>
      <c r="E62" s="33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464</v>
      </c>
      <c r="B63" s="24" t="n">
        <f aca="false">Turnaround!O18</f>
        <v>37.9859228428069</v>
      </c>
      <c r="C63" s="28" t="n">
        <f aca="false">Reference_Values!B63</f>
        <v>37.9859228428069</v>
      </c>
      <c r="D63" s="22" t="n">
        <f aca="false">ABS(B63-C63)</f>
        <v>0</v>
      </c>
      <c r="E63" s="33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466</v>
      </c>
      <c r="B64" s="24" t="n">
        <f aca="false">Turnaround!M12</f>
        <v>104.444558436125</v>
      </c>
      <c r="C64" s="28" t="n">
        <f aca="false">Reference_Values!B64</f>
        <v>104.444558436125</v>
      </c>
      <c r="D64" s="22" t="n">
        <f aca="false">ABS(B64-C64)</f>
        <v>0</v>
      </c>
      <c r="E64" s="33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468</v>
      </c>
      <c r="B65" s="24" t="n">
        <f aca="false">Turnaround!M13</f>
        <v>37.3904930887522</v>
      </c>
      <c r="C65" s="28" t="n">
        <f aca="false">Reference_Values!B65</f>
        <v>37.3904930887522</v>
      </c>
      <c r="D65" s="22" t="n">
        <f aca="false">ABS(B65-C65)</f>
        <v>0</v>
      </c>
      <c r="E65" s="33" t="n">
        <v>1E-009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469</v>
      </c>
      <c r="B66" s="24" t="n">
        <f aca="false">Turnaround!M14</f>
        <v>77.6776088942273</v>
      </c>
      <c r="C66" s="28" t="n">
        <f aca="false">Reference_Values!B66</f>
        <v>77.6776088942273</v>
      </c>
      <c r="D66" s="22" t="n">
        <f aca="false">ABS(B66-C66)</f>
        <v>0</v>
      </c>
      <c r="E66" s="33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470</v>
      </c>
      <c r="B67" s="24" t="n">
        <f aca="false">Turnaround!M15</f>
        <v>65.7802910207782</v>
      </c>
      <c r="C67" s="28" t="n">
        <f aca="false">Reference_Values!B67</f>
        <v>65.7802910207782</v>
      </c>
      <c r="D67" s="22" t="n">
        <f aca="false">ABS(B67-C67)</f>
        <v>0</v>
      </c>
      <c r="E67" s="33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471</v>
      </c>
      <c r="B68" s="24" t="n">
        <f aca="false">Turnaround!N12</f>
        <v>105.367604652629</v>
      </c>
      <c r="C68" s="28" t="n">
        <f aca="false">Reference_Values!B68</f>
        <v>105.367604652629</v>
      </c>
      <c r="D68" s="22" t="n">
        <f aca="false">ABS(B68-C68)</f>
        <v>0</v>
      </c>
      <c r="E68" s="33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472</v>
      </c>
      <c r="B69" s="24" t="n">
        <f aca="false">Turnaround!N13</f>
        <v>35.9430355293715</v>
      </c>
      <c r="C69" s="28" t="n">
        <f aca="false">Reference_Values!B69</f>
        <v>35.9430355293715</v>
      </c>
      <c r="D69" s="22" t="n">
        <f aca="false">ABS(B69-C69)</f>
        <v>0</v>
      </c>
      <c r="E69" s="33" t="n">
        <v>1E-009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473</v>
      </c>
      <c r="B70" s="24" t="n">
        <f aca="false">Turnaround!N14</f>
        <v>78.6017034530571</v>
      </c>
      <c r="C70" s="28" t="n">
        <f aca="false">Reference_Values!B70</f>
        <v>78.6017034530571</v>
      </c>
      <c r="D70" s="22" t="n">
        <f aca="false">ABS(B70-C70)</f>
        <v>0</v>
      </c>
      <c r="E70" s="33" t="n">
        <v>1E-009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474</v>
      </c>
      <c r="B71" s="24" t="n">
        <f aca="false">Turnaround!N15</f>
        <v>66.3306095195547</v>
      </c>
      <c r="C71" s="28" t="n">
        <f aca="false">Reference_Values!B71</f>
        <v>66.3306095195547</v>
      </c>
      <c r="D71" s="22" t="n">
        <f aca="false">ABS(B71-C71)</f>
        <v>0</v>
      </c>
      <c r="E71" s="33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475</v>
      </c>
      <c r="B72" s="24" t="n">
        <f aca="false">Turnaround!O12</f>
        <v>105.957499546426</v>
      </c>
      <c r="C72" s="28" t="n">
        <f aca="false">Reference_Values!B72</f>
        <v>105.957499546426</v>
      </c>
      <c r="D72" s="22" t="n">
        <f aca="false">ABS(B72-C72)</f>
        <v>0</v>
      </c>
      <c r="E72" s="33" t="n">
        <v>1E-009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476</v>
      </c>
      <c r="B73" s="24" t="n">
        <f aca="false">Turnaround!O13</f>
        <v>33.8864252668987</v>
      </c>
      <c r="C73" s="28" t="n">
        <f aca="false">Reference_Values!B73</f>
        <v>33.8864252668987</v>
      </c>
      <c r="D73" s="22" t="n">
        <f aca="false">ABS(B73-C73)</f>
        <v>0</v>
      </c>
      <c r="E73" s="33" t="n">
        <v>1E-009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477</v>
      </c>
      <c r="B74" s="24" t="n">
        <f aca="false">Turnaround!O14</f>
        <v>78.9891170556996</v>
      </c>
      <c r="C74" s="28" t="n">
        <f aca="false">Reference_Values!B74</f>
        <v>78.9891170556996</v>
      </c>
      <c r="D74" s="22" t="n">
        <f aca="false">ABS(B74-C74)</f>
        <v>0</v>
      </c>
      <c r="E74" s="33" t="n">
        <v>1E-009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478</v>
      </c>
      <c r="B75" s="24" t="n">
        <f aca="false">Turnaround!O15</f>
        <v>66.8893504977963</v>
      </c>
      <c r="C75" s="28" t="n">
        <f aca="false">Reference_Values!B75</f>
        <v>66.8893504977963</v>
      </c>
      <c r="D75" s="22" t="n">
        <f aca="false">ABS(B75-C75)</f>
        <v>0</v>
      </c>
      <c r="E75" s="33" t="n">
        <v>1E-009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479</v>
      </c>
      <c r="B76" s="24" t="n">
        <f aca="false">Turnaround!K6</f>
        <v>37.75</v>
      </c>
      <c r="C76" s="28" t="n">
        <f aca="false">Reference_Values!B76</f>
        <v>37.75</v>
      </c>
      <c r="D76" s="22" t="n">
        <f aca="false">ABS(B76-C76)</f>
        <v>0</v>
      </c>
      <c r="E76" s="33" t="n">
        <v>1E-009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480</v>
      </c>
      <c r="B77" s="24" t="n">
        <f aca="false">Turnaround!K7</f>
        <v>38.4451693482574</v>
      </c>
      <c r="C77" s="28" t="n">
        <f aca="false">Reference_Values!B77</f>
        <v>38.4451693482574</v>
      </c>
      <c r="D77" s="22" t="n">
        <f aca="false">ABS(B77-C77)</f>
        <v>0</v>
      </c>
      <c r="E77" s="33" t="n">
        <v>1E-009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482</v>
      </c>
      <c r="B78" s="24" t="n">
        <f aca="false">Turnaround!K8</f>
        <v>4</v>
      </c>
      <c r="C78" s="28" t="n">
        <f aca="false">Reference_Values!B78</f>
        <v>4</v>
      </c>
      <c r="D78" s="22" t="n">
        <f aca="false">ABS(B78-C78)</f>
        <v>0</v>
      </c>
      <c r="E78" s="33" t="n">
        <v>0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484</v>
      </c>
      <c r="B79" s="24" t="n">
        <f aca="false">Turnaround!H62</f>
        <v>42.6346691353518</v>
      </c>
      <c r="C79" s="28" t="n">
        <f aca="false">Reference_Values!B79</f>
        <v>42.6346691353518</v>
      </c>
      <c r="D79" s="22" t="n">
        <f aca="false">ABS(B79-C79)</f>
        <v>0</v>
      </c>
      <c r="E79" s="33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486</v>
      </c>
      <c r="B80" s="24" t="n">
        <f aca="false">Turnaround!F104</f>
        <v>19</v>
      </c>
      <c r="C80" s="28" t="n">
        <f aca="false">Reference_Values!B80</f>
        <v>19</v>
      </c>
      <c r="D80" s="22" t="n">
        <f aca="false">ABS(B80-C80)</f>
        <v>0</v>
      </c>
      <c r="E80" s="33" t="n">
        <v>0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488</v>
      </c>
      <c r="B81" s="24" t="n">
        <f aca="false">Turnaround!G104</f>
        <v>19</v>
      </c>
      <c r="C81" s="28" t="n">
        <f aca="false">Reference_Values!B81</f>
        <v>19</v>
      </c>
      <c r="D81" s="22" t="n">
        <f aca="false">ABS(B81-C81)</f>
        <v>0</v>
      </c>
      <c r="E81" s="33" t="n">
        <v>0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489</v>
      </c>
      <c r="B82" s="24" t="n">
        <f aca="false">Turnaround!F105</f>
        <v>0</v>
      </c>
      <c r="C82" s="28" t="n">
        <f aca="false">Reference_Values!B82</f>
        <v>0</v>
      </c>
      <c r="D82" s="22" t="n">
        <f aca="false">ABS(B82-C82)</f>
        <v>0</v>
      </c>
      <c r="E82" s="33" t="n">
        <v>0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491</v>
      </c>
      <c r="B83" s="24" t="n">
        <f aca="false">Turnaround!Q62</f>
        <v>30.2010700257341</v>
      </c>
      <c r="C83" s="28" t="n">
        <f aca="false">Reference_Values!B83</f>
        <v>30.2010700257342</v>
      </c>
      <c r="D83" s="22" t="n">
        <f aca="false">ABS(B83-C83)</f>
        <v>0</v>
      </c>
      <c r="E83" s="33" t="n">
        <v>1E-009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492</v>
      </c>
      <c r="B84" s="24" t="n">
        <f aca="false">Turnaround!O104</f>
        <v>18</v>
      </c>
      <c r="C84" s="28" t="n">
        <f aca="false">Reference_Values!B84</f>
        <v>18</v>
      </c>
      <c r="D84" s="22" t="n">
        <f aca="false">ABS(B84-C84)</f>
        <v>0</v>
      </c>
      <c r="E84" s="33" t="n">
        <v>0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493</v>
      </c>
      <c r="B85" s="24" t="n">
        <f aca="false">Turnaround!P104</f>
        <v>10</v>
      </c>
      <c r="C85" s="28" t="n">
        <f aca="false">Reference_Values!B85</f>
        <v>10</v>
      </c>
      <c r="D85" s="22" t="n">
        <f aca="false">ABS(B85-C85)</f>
        <v>0</v>
      </c>
      <c r="E85" s="33" t="n">
        <v>0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494</v>
      </c>
      <c r="B86" s="24" t="n">
        <f aca="false">Turnaround!O105</f>
        <v>0</v>
      </c>
      <c r="C86" s="28" t="n">
        <f aca="false">Reference_Values!B86</f>
        <v>0</v>
      </c>
      <c r="D86" s="22" t="n">
        <f aca="false">ABS(B86-C86)</f>
        <v>0</v>
      </c>
      <c r="E86" s="33" t="n">
        <v>0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495</v>
      </c>
      <c r="B87" s="24" t="n">
        <f aca="false">Profiles!D7</f>
        <v>75.6346691353518</v>
      </c>
      <c r="C87" s="28" t="n">
        <f aca="false">Reference_Values!B87</f>
        <v>75.6346691353518</v>
      </c>
      <c r="D87" s="22" t="n">
        <f aca="false">ABS(B87-C87)</f>
        <v>0</v>
      </c>
      <c r="E87" s="33" t="n">
        <v>1E-009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497</v>
      </c>
      <c r="B88" s="24" t="n">
        <f aca="false">Equilibria!B8</f>
        <v>1.225</v>
      </c>
      <c r="C88" s="28" t="n">
        <f aca="false">Reference_Values!B88</f>
        <v>1.225</v>
      </c>
      <c r="D88" s="22" t="n">
        <f aca="false">ABS(B88-C88)</f>
        <v>0</v>
      </c>
      <c r="E88" s="33" t="n">
        <v>1E-012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499</v>
      </c>
      <c r="B89" s="24" t="n">
        <f aca="false">Equilibria!B9</f>
        <v>0.775</v>
      </c>
      <c r="C89" s="28" t="n">
        <f aca="false">Reference_Values!B89</f>
        <v>0.775</v>
      </c>
      <c r="D89" s="22" t="n">
        <f aca="false">ABS(B89-C89)</f>
        <v>0</v>
      </c>
      <c r="E89" s="33" t="n">
        <v>1E-012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500</v>
      </c>
      <c r="B90" s="24" t="n">
        <f aca="false">Equilibria!B10</f>
        <v>65.4</v>
      </c>
      <c r="C90" s="28" t="n">
        <f aca="false">Reference_Values!B90</f>
        <v>65.4</v>
      </c>
      <c r="D90" s="22" t="n">
        <f aca="false">ABS(B90-C90)</f>
        <v>0</v>
      </c>
      <c r="E90" s="33" t="n">
        <v>1E-009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501</v>
      </c>
      <c r="B91" s="24" t="n">
        <f aca="false">Equilibria!B11</f>
        <v>0.955</v>
      </c>
      <c r="C91" s="28" t="n">
        <f aca="false">Reference_Values!B91</f>
        <v>0.955</v>
      </c>
      <c r="D91" s="22" t="n">
        <f aca="false">ABS(B91-C91)</f>
        <v>0</v>
      </c>
      <c r="E91" s="33" t="n">
        <v>1E-012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502</v>
      </c>
      <c r="B92" s="24" t="n">
        <f aca="false">Equilibria!B12</f>
        <v>58.1286024143917</v>
      </c>
      <c r="C92" s="28" t="n">
        <f aca="false">Reference_Values!B92</f>
        <v>58.1286024143917</v>
      </c>
      <c r="D92" s="22" t="n">
        <f aca="false">ABS(B92-C92)</f>
        <v>0</v>
      </c>
      <c r="E92" s="33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503</v>
      </c>
      <c r="B93" s="24" t="n">
        <f aca="false">Equilibria!B13</f>
        <v>99.4908864552412</v>
      </c>
      <c r="C93" s="28" t="n">
        <f aca="false">Reference_Values!B93</f>
        <v>99.4908864552412</v>
      </c>
      <c r="D93" s="22" t="n">
        <f aca="false">ABS(B93-C93)</f>
        <v>0</v>
      </c>
      <c r="E93" s="33" t="n">
        <v>1E-009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504</v>
      </c>
      <c r="B94" s="24" t="n">
        <f aca="false">Equilibria!B14</f>
        <v>5.25</v>
      </c>
      <c r="C94" s="28" t="n">
        <f aca="false">Reference_Values!B94</f>
        <v>5.25</v>
      </c>
      <c r="D94" s="22" t="n">
        <f aca="false">ABS(B94-C94)</f>
        <v>0</v>
      </c>
      <c r="E94" s="33" t="n">
        <v>0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505</v>
      </c>
      <c r="B95" s="24" t="n">
        <f aca="false">Equilibria!G7</f>
        <v>3</v>
      </c>
      <c r="C95" s="28" t="n">
        <f aca="false">Reference_Values!B95</f>
        <v>3</v>
      </c>
      <c r="D95" s="22" t="n">
        <f aca="false">ABS(B95-C95)</f>
        <v>0</v>
      </c>
      <c r="E95" s="33" t="n">
        <v>0</v>
      </c>
      <c r="F95" s="4" t="str">
        <f aca="false">IF(D95&lt;=E95,"PASS","FAIL")</f>
        <v>PASS</v>
      </c>
    </row>
    <row r="96" customFormat="false" ht="15" hidden="false" customHeight="false" outlineLevel="0" collapsed="false">
      <c r="A96" s="2" t="s">
        <v>507</v>
      </c>
      <c r="B96" s="24" t="n">
        <f aca="false">Equilibria!I5</f>
        <v>1.5</v>
      </c>
      <c r="C96" s="28" t="n">
        <f aca="false">Reference_Values!B96</f>
        <v>1.5</v>
      </c>
      <c r="D96" s="22" t="n">
        <f aca="false">ABS(B96-C96)</f>
        <v>0</v>
      </c>
      <c r="E96" s="33" t="n">
        <v>1E-012</v>
      </c>
      <c r="F96" s="4" t="str">
        <f aca="false">IF(D96&lt;=E96,"PASS","FAIL")</f>
        <v>PASS</v>
      </c>
    </row>
    <row r="97" customFormat="false" ht="15" hidden="false" customHeight="false" outlineLevel="0" collapsed="false">
      <c r="A97" s="2" t="s">
        <v>509</v>
      </c>
      <c r="B97" s="24" t="n">
        <f aca="false">Equilibria!L9</f>
        <v>0.75</v>
      </c>
      <c r="C97" s="28" t="n">
        <f aca="false">Reference_Values!B97</f>
        <v>0.75</v>
      </c>
      <c r="D97" s="22" t="n">
        <f aca="false">ABS(B97-C97)</f>
        <v>0</v>
      </c>
      <c r="E97" s="33" t="n">
        <v>1E-012</v>
      </c>
      <c r="F97" s="4" t="str">
        <f aca="false">IF(D97&lt;=E97,"PASS","FAIL")</f>
        <v>PASS</v>
      </c>
    </row>
    <row r="98" customFormat="false" ht="15" hidden="false" customHeight="false" outlineLevel="0" collapsed="false">
      <c r="A98" s="2" t="s">
        <v>511</v>
      </c>
      <c r="B98" s="24" t="n">
        <f aca="false">Equilibria!L11</f>
        <v>100</v>
      </c>
      <c r="C98" s="28" t="n">
        <f aca="false">Reference_Values!B98</f>
        <v>100</v>
      </c>
      <c r="D98" s="22" t="n">
        <f aca="false">ABS(B98-C98)</f>
        <v>0</v>
      </c>
      <c r="E98" s="33" t="n">
        <v>1E-009</v>
      </c>
      <c r="F98" s="4" t="str">
        <f aca="false">IF(D98&lt;=E98,"PASS","FAIL")</f>
        <v>PASS</v>
      </c>
    </row>
    <row r="99" customFormat="false" ht="15" hidden="false" customHeight="false" outlineLevel="0" collapsed="false">
      <c r="A99" s="2" t="s">
        <v>513</v>
      </c>
      <c r="B99" s="24" t="n">
        <f aca="false">Equilibria!M11</f>
        <v>85</v>
      </c>
      <c r="C99" s="28" t="n">
        <f aca="false">Reference_Values!B99</f>
        <v>85</v>
      </c>
      <c r="D99" s="22" t="n">
        <f aca="false">ABS(B99-C99)</f>
        <v>0</v>
      </c>
      <c r="E99" s="33" t="n">
        <v>1E-009</v>
      </c>
      <c r="F99" s="4" t="str">
        <f aca="false">IF(D99&lt;=E99,"PASS","FAIL")</f>
        <v>PASS</v>
      </c>
    </row>
    <row r="100" customFormat="false" ht="15" hidden="false" customHeight="false" outlineLevel="0" collapsed="false">
      <c r="A100" s="2" t="s">
        <v>515</v>
      </c>
      <c r="B100" s="24" t="n">
        <f aca="false">Equilibria!L12</f>
        <v>8.5</v>
      </c>
      <c r="C100" s="28" t="n">
        <f aca="false">Reference_Values!B100</f>
        <v>8.5</v>
      </c>
      <c r="D100" s="22" t="n">
        <f aca="false">ABS(B100-C100)</f>
        <v>0</v>
      </c>
      <c r="E100" s="33" t="n">
        <v>1E-009</v>
      </c>
      <c r="F100" s="4" t="str">
        <f aca="false">IF(D100&lt;=E100,"PASS","FAIL")</f>
        <v>PASS</v>
      </c>
    </row>
    <row r="101" customFormat="false" ht="15" hidden="false" customHeight="false" outlineLevel="0" collapsed="false">
      <c r="A101" s="2" t="s">
        <v>517</v>
      </c>
      <c r="B101" s="24" t="n">
        <f aca="false">Equilibria!L13</f>
        <v>34</v>
      </c>
      <c r="C101" s="28" t="n">
        <f aca="false">Reference_Values!B101</f>
        <v>34</v>
      </c>
      <c r="D101" s="22" t="n">
        <f aca="false">ABS(B101-C101)</f>
        <v>0</v>
      </c>
      <c r="E101" s="33" t="n">
        <v>1E-009</v>
      </c>
      <c r="F101" s="4" t="str">
        <f aca="false">IF(D101&lt;=E101,"PASS","FAIL")</f>
        <v>PASS</v>
      </c>
    </row>
    <row r="102" customFormat="false" ht="15" hidden="false" customHeight="false" outlineLevel="0" collapsed="false">
      <c r="A102" s="2" t="s">
        <v>519</v>
      </c>
      <c r="B102" s="24" t="n">
        <f aca="false">Equilibria!L48</f>
        <v>13</v>
      </c>
      <c r="C102" s="28" t="n">
        <f aca="false">Reference_Values!B102</f>
        <v>13</v>
      </c>
      <c r="D102" s="22" t="n">
        <f aca="false">ABS(B102-C102)</f>
        <v>0</v>
      </c>
      <c r="E102" s="33" t="n">
        <v>0</v>
      </c>
      <c r="F102" s="4" t="str">
        <f aca="false">IF(D102&lt;=E102,"PASS","FAIL")</f>
        <v>PASS</v>
      </c>
    </row>
    <row r="103" customFormat="false" ht="15" hidden="false" customHeight="false" outlineLevel="0" collapsed="false">
      <c r="A103" s="2" t="s">
        <v>521</v>
      </c>
      <c r="B103" s="24" t="n">
        <f aca="false">Equilibria!L49</f>
        <v>11</v>
      </c>
      <c r="C103" s="28" t="n">
        <f aca="false">Reference_Values!B103</f>
        <v>11</v>
      </c>
      <c r="D103" s="22" t="n">
        <f aca="false">ABS(B103-C103)</f>
        <v>0</v>
      </c>
      <c r="E103" s="33" t="n">
        <v>0</v>
      </c>
      <c r="F103" s="4" t="str">
        <f aca="false">IF(D103&lt;=E103,"PASS","FAIL")</f>
        <v>PASS</v>
      </c>
    </row>
    <row r="104" customFormat="false" ht="15" hidden="false" customHeight="false" outlineLevel="0" collapsed="false">
      <c r="A104" s="2" t="s">
        <v>523</v>
      </c>
      <c r="B104" s="24" t="n">
        <f aca="false">Equilibria!L50</f>
        <v>5.713159375</v>
      </c>
      <c r="C104" s="28" t="n">
        <f aca="false">Reference_Values!B104</f>
        <v>5.713159375</v>
      </c>
      <c r="D104" s="22" t="n">
        <f aca="false">ABS(B104-C104)</f>
        <v>0</v>
      </c>
      <c r="E104" s="33" t="n">
        <v>1E-009</v>
      </c>
      <c r="F104" s="4" t="str">
        <f aca="false">IF(D104&lt;=E104,"PASS","FAIL")</f>
        <v>PASS</v>
      </c>
    </row>
    <row r="105" customFormat="false" ht="15" hidden="false" customHeight="false" outlineLevel="0" collapsed="false">
      <c r="A105" s="2" t="s">
        <v>525</v>
      </c>
      <c r="B105" s="24" t="n">
        <f aca="false">Equilibria!L51</f>
        <v>8.068359375</v>
      </c>
      <c r="C105" s="28" t="n">
        <f aca="false">Reference_Values!B105</f>
        <v>8.068359375</v>
      </c>
      <c r="D105" s="22" t="n">
        <f aca="false">ABS(B105-C105)</f>
        <v>0</v>
      </c>
      <c r="E105" s="33" t="n">
        <v>1E-009</v>
      </c>
      <c r="F105" s="4" t="str">
        <f aca="false">IF(D105&lt;=E105,"PASS","FAIL")</f>
        <v>PASS</v>
      </c>
    </row>
    <row r="106" customFormat="false" ht="15" hidden="false" customHeight="false" outlineLevel="0" collapsed="false">
      <c r="A106" s="2" t="s">
        <v>526</v>
      </c>
      <c r="B106" s="24" t="n">
        <f aca="false">Equilibria!L52</f>
        <v>6.71970937499999</v>
      </c>
      <c r="C106" s="28" t="n">
        <f aca="false">Reference_Values!B106</f>
        <v>6.71970937499999</v>
      </c>
      <c r="D106" s="22" t="n">
        <f aca="false">ABS(B106-C106)</f>
        <v>0</v>
      </c>
      <c r="E106" s="33" t="n">
        <v>1E-009</v>
      </c>
      <c r="F106" s="4" t="str">
        <f aca="false">IF(D106&lt;=E106,"PASS","FAIL")</f>
        <v>PASS</v>
      </c>
    </row>
    <row r="107" customFormat="false" ht="15" hidden="false" customHeight="false" outlineLevel="0" collapsed="false">
      <c r="A107" s="2" t="s">
        <v>527</v>
      </c>
      <c r="B107" s="24" t="n">
        <f aca="false">Profiles!J13</f>
        <v>0.108444320037972</v>
      </c>
      <c r="C107" s="28" t="n">
        <f aca="false">Reference_Values!B107</f>
        <v>0.108444320037972</v>
      </c>
      <c r="D107" s="22" t="n">
        <f aca="false">ABS(B107-C107)</f>
        <v>0</v>
      </c>
      <c r="E107" s="33" t="n">
        <v>1E-009</v>
      </c>
      <c r="F107" s="4" t="str">
        <f aca="false">IF(D107&lt;=E107,"PASS","FAIL")</f>
        <v>PASS</v>
      </c>
    </row>
    <row r="108" customFormat="false" ht="15" hidden="false" customHeight="false" outlineLevel="0" collapsed="false">
      <c r="A108" s="2" t="s">
        <v>529</v>
      </c>
      <c r="B108" s="24" t="n">
        <f aca="false">Profiles!I13</f>
        <v>0.258989702786489</v>
      </c>
      <c r="C108" s="28" t="n">
        <f aca="false">Reference_Values!B108</f>
        <v>0.258989702786489</v>
      </c>
      <c r="D108" s="22" t="n">
        <f aca="false">ABS(B108-C108)</f>
        <v>0</v>
      </c>
      <c r="E108" s="33" t="n">
        <v>1E-009</v>
      </c>
      <c r="F108" s="4" t="str">
        <f aca="false">IF(D108&lt;=E108,"PASS","FAIL")</f>
        <v>PASS</v>
      </c>
    </row>
    <row r="109" customFormat="false" ht="15" hidden="false" customHeight="false" outlineLevel="0" collapsed="false">
      <c r="A109" s="2" t="s">
        <v>531</v>
      </c>
      <c r="B109" s="24" t="n">
        <f aca="false">Profiles!H13</f>
        <v>0.362764347128064</v>
      </c>
      <c r="C109" s="28" t="n">
        <f aca="false">Reference_Values!B109</f>
        <v>0.362764347128064</v>
      </c>
      <c r="D109" s="22" t="n">
        <f aca="false">ABS(B109-C109)</f>
        <v>0</v>
      </c>
      <c r="E109" s="33" t="n">
        <v>1E-009</v>
      </c>
      <c r="F109" s="4" t="str">
        <f aca="false">IF(D109&lt;=E109,"PASS","FAIL")</f>
        <v>PASS</v>
      </c>
    </row>
    <row r="110" customFormat="false" ht="15" hidden="false" customHeight="false" outlineLevel="0" collapsed="false">
      <c r="A110" s="2" t="s">
        <v>348</v>
      </c>
      <c r="B110" s="24" t="n">
        <f aca="false">Profiles!H15</f>
        <v>3.34516687458635</v>
      </c>
      <c r="C110" s="28" t="n">
        <f aca="false">Reference_Values!B110</f>
        <v>3.34516687458635</v>
      </c>
      <c r="D110" s="22" t="n">
        <f aca="false">ABS(B110-C110)</f>
        <v>0</v>
      </c>
      <c r="E110" s="33" t="n">
        <v>1E-009</v>
      </c>
      <c r="F110" s="4" t="str">
        <f aca="false">IF(D110&lt;=E110,"PASS","FAIL")</f>
        <v>PASS</v>
      </c>
    </row>
    <row r="111" customFormat="false" ht="15" hidden="false" customHeight="false" outlineLevel="0" collapsed="false">
      <c r="A111" s="2" t="s">
        <v>534</v>
      </c>
      <c r="B111" s="24" t="n">
        <f aca="false">Profiles!H16</f>
        <v>1</v>
      </c>
      <c r="C111" s="28" t="n">
        <f aca="false">Reference_Values!B111</f>
        <v>1</v>
      </c>
      <c r="D111" s="22" t="n">
        <f aca="false">ABS(B111-C111)</f>
        <v>0</v>
      </c>
      <c r="E111" s="33" t="n">
        <v>0</v>
      </c>
      <c r="F111" s="4" t="str">
        <f aca="false">IF(D111&lt;=E111,"PASS","FAIL")</f>
        <v>PASS</v>
      </c>
    </row>
    <row r="112" customFormat="false" ht="15" hidden="false" customHeight="false" outlineLevel="0" collapsed="false">
      <c r="A112" s="2" t="s">
        <v>536</v>
      </c>
      <c r="B112" s="24" t="n">
        <f aca="false">Profiles!B20</f>
        <v>0.785398163397448</v>
      </c>
      <c r="C112" s="28" t="n">
        <f aca="false">Reference_Values!B112</f>
        <v>0.785398163397448</v>
      </c>
      <c r="D112" s="22" t="n">
        <f aca="false">ABS(B112-C112)</f>
        <v>0</v>
      </c>
      <c r="E112" s="33" t="n">
        <v>1E-012</v>
      </c>
      <c r="F112" s="4" t="str">
        <f aca="false">IF(D112&lt;=E112,"PASS","FAIL")</f>
        <v>PASS</v>
      </c>
    </row>
    <row r="113" customFormat="false" ht="15" hidden="false" customHeight="false" outlineLevel="0" collapsed="false">
      <c r="A113" s="2" t="s">
        <v>538</v>
      </c>
      <c r="B113" s="24" t="n">
        <f aca="false">Profiles!D20</f>
        <v>0.19</v>
      </c>
      <c r="C113" s="28" t="n">
        <f aca="false">Reference_Values!B113</f>
        <v>0.19</v>
      </c>
      <c r="D113" s="22" t="n">
        <f aca="false">ABS(B113-C113)</f>
        <v>0</v>
      </c>
      <c r="E113" s="33" t="n">
        <v>1E-012</v>
      </c>
      <c r="F113" s="4" t="str">
        <f aca="false">IF(D113&lt;=E113,"PASS","FAIL")</f>
        <v>PASS</v>
      </c>
    </row>
    <row r="114" customFormat="false" ht="15" hidden="false" customHeight="false" outlineLevel="0" collapsed="false">
      <c r="A114" s="2" t="s">
        <v>540</v>
      </c>
      <c r="B114" s="24" t="n">
        <f aca="false">Profiles!B21</f>
        <v>0.523598775598299</v>
      </c>
      <c r="C114" s="28" t="n">
        <f aca="false">Reference_Values!B114</f>
        <v>0.523598775598299</v>
      </c>
      <c r="D114" s="22" t="n">
        <f aca="false">ABS(B114-C114)</f>
        <v>0</v>
      </c>
      <c r="E114" s="33" t="n">
        <v>1E-012</v>
      </c>
      <c r="F114" s="4" t="str">
        <f aca="false">IF(D114&lt;=E114,"PASS","FAIL")</f>
        <v>PASS</v>
      </c>
    </row>
    <row r="115" customFormat="false" ht="15" hidden="false" customHeight="false" outlineLevel="0" collapsed="false">
      <c r="A115" s="2" t="s">
        <v>542</v>
      </c>
      <c r="B115" s="24" t="n">
        <f aca="false">Profiles!D21</f>
        <v>0.271</v>
      </c>
      <c r="C115" s="28" t="n">
        <f aca="false">Reference_Values!B115</f>
        <v>0.271</v>
      </c>
      <c r="D115" s="22" t="n">
        <f aca="false">ABS(B115-C115)</f>
        <v>0</v>
      </c>
      <c r="E115" s="33" t="n">
        <v>1E-012</v>
      </c>
      <c r="F115" s="4" t="str">
        <f aca="false">IF(D115&lt;=E115,"PASS","FAIL")</f>
        <v>PASS</v>
      </c>
    </row>
    <row r="116" customFormat="false" ht="15" hidden="false" customHeight="false" outlineLevel="0" collapsed="false">
      <c r="A116" s="2" t="s">
        <v>544</v>
      </c>
      <c r="B116" s="24" t="n">
        <f aca="false">Profiles!B22</f>
        <v>0.0158543442438155</v>
      </c>
      <c r="C116" s="28" t="n">
        <f aca="false">Reference_Values!B116</f>
        <v>0.0158543442438155</v>
      </c>
      <c r="D116" s="22" t="n">
        <f aca="false">ABS(B116-C116)</f>
        <v>0</v>
      </c>
      <c r="E116" s="33" t="n">
        <v>1E-012</v>
      </c>
      <c r="F116" s="4" t="str">
        <f aca="false">IF(D116&lt;=E116,"PASS","FAIL")</f>
        <v>PASS</v>
      </c>
    </row>
    <row r="117" customFormat="false" ht="15" hidden="false" customHeight="false" outlineLevel="0" collapsed="false">
      <c r="A117" s="2" t="s">
        <v>546</v>
      </c>
      <c r="B117" s="24" t="n">
        <f aca="false">Profiles!D22</f>
        <v>0.56953279</v>
      </c>
      <c r="C117" s="28" t="n">
        <f aca="false">Reference_Values!B117</f>
        <v>0.56953279</v>
      </c>
      <c r="D117" s="22" t="n">
        <f aca="false">ABS(B117-C117)</f>
        <v>0</v>
      </c>
      <c r="E117" s="33" t="n">
        <v>1E-012</v>
      </c>
      <c r="F117" s="4" t="str">
        <f aca="false">IF(D117&lt;=E117,"PASS","FAIL")</f>
        <v>PASS</v>
      </c>
    </row>
    <row r="118" customFormat="false" ht="15" hidden="false" customHeight="false" outlineLevel="0" collapsed="false">
      <c r="A118" s="2" t="s">
        <v>548</v>
      </c>
      <c r="B118" s="24" t="n">
        <f aca="false">Profiles!C23</f>
        <v>-14.9991814919206</v>
      </c>
      <c r="C118" s="28" t="n">
        <f aca="false">Reference_Values!B118</f>
        <v>-14.9991814919206</v>
      </c>
      <c r="D118" s="22" t="n">
        <f aca="false">ABS(B118-C118)</f>
        <v>0</v>
      </c>
      <c r="E118" s="33" t="n">
        <v>1E-009</v>
      </c>
      <c r="F118" s="4" t="str">
        <f aca="false">IF(D118&lt;=E118,"PASS","FAIL")</f>
        <v>PASS</v>
      </c>
    </row>
    <row r="119" customFormat="false" ht="15" hidden="false" customHeight="false" outlineLevel="0" collapsed="false">
      <c r="A119" s="2" t="s">
        <v>550</v>
      </c>
      <c r="B119" s="24" t="n">
        <f aca="false">Profiles!D23</f>
        <v>0.965663161797075</v>
      </c>
      <c r="C119" s="28" t="n">
        <f aca="false">Reference_Values!B119</f>
        <v>0.965663161797075</v>
      </c>
      <c r="D119" s="22" t="n">
        <f aca="false">ABS(B119-C119)</f>
        <v>0</v>
      </c>
      <c r="E119" s="33" t="n">
        <v>1E-012</v>
      </c>
      <c r="F119" s="4" t="str">
        <f aca="false">IF(D119&lt;=E119,"PASS","FAIL")</f>
        <v>PASS</v>
      </c>
    </row>
    <row r="121" customFormat="false" ht="15" hidden="false" customHeight="false" outlineLevel="0" collapsed="false">
      <c r="A121" s="4" t="s">
        <v>556</v>
      </c>
      <c r="F121" s="4" t="str">
        <f aca="false">IF(COUNTIF(F2:F119,"PASS")=118,"ALL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2026-10-05T08:37:31Z</dcterms:created>
  <dc:creator>openpyxl</dc:creator>
  <dc:description/>
  <dc:language>en-US</dc:language>
  <cp:lastModifiedBy/>
  <dcterms:modified xsi:type="dcterms:W3CDTF">2026-10-05T08:37:31Z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