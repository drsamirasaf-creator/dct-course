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clarations" sheetId="2" state="visible" r:id="rId4"/>
    <sheet name="Operators" sheetId="3" state="visible" r:id="rId5"/>
    <sheet name="Policy" sheetId="4" state="visible" r:id="rId6"/>
    <sheet name="Programs" sheetId="5" state="visible" r:id="rId7"/>
    <sheet name="Playbook" sheetId="6" state="visible" r:id="rId8"/>
    <sheet name="Reachability" sheetId="7" state="visible" r:id="rId9"/>
    <sheet name="Stability" sheetId="8" state="visible" r:id="rId10"/>
    <sheet name="Reference_Values" sheetId="9" state="visible" r:id="rId11"/>
    <sheet name="Checks" sheetId="10" state="visible" r:id="rId12"/>
  </sheets>
  <definedNames>
    <definedName function="false" hidden="false" name="Ceil_E" vbProcedure="false">Declarations!$B$11</definedName>
    <definedName function="false" hidden="false" name="Close_A" vbProcedure="false">Declarations!$B$12</definedName>
    <definedName function="false" hidden="false" name="Cost_A" vbProcedure="false">Declarations!$B$10</definedName>
    <definedName function="false" hidden="false" name="D_dE" vbProcedure="false">Declarations!$B$25</definedName>
    <definedName function="false" hidden="false" name="D_dip" vbProcedure="false">Declarations!$B$26</definedName>
    <definedName function="false" hidden="false" name="D_dL" vbProcedure="false">Declarations!$B$23</definedName>
    <definedName function="false" hidden="false" name="D_dT" vbProcedure="false">Declarations!$B$24</definedName>
    <definedName function="false" hidden="false" name="Eff_today" vbProcedure="false">Declarations!$B$7</definedName>
    <definedName function="false" hidden="false" name="Floor_q" vbProcedure="false">Declarations!$B$8</definedName>
    <definedName function="false" hidden="false" name="Liq_today" vbProcedure="false">Declarations!$B$4</definedName>
    <definedName function="false" hidden="false" name="Pre_A" vbProcedure="false">Declarations!$B$16</definedName>
    <definedName function="false" hidden="false" name="Pre_D" vbProcedure="false">Declarations!$B$27</definedName>
    <definedName function="false" hidden="false" name="Proc_S" vbProcedure="false">Declarations!$B$18</definedName>
    <definedName function="false" hidden="false" name="Proc_Sk" vbProcedure="false">Declarations!$B$19</definedName>
    <definedName function="false" hidden="false" name="Target_E" vbProcedure="false">Declarations!$B$29</definedName>
    <definedName function="false" hidden="false" name="Target_T" vbProcedure="false">Declarations!$B$28</definedName>
    <definedName function="false" hidden="false" name="Tech_share" vbProcedure="false">Declarations!$B$20</definedName>
    <definedName function="false" hidden="false" name="Tech_today" vbProcedure="false">Declarations!$B$5</definedName>
    <definedName function="false" hidden="false" name="Value_pt" vbProcedure="false">Declarations!$B$15</definedName>
    <definedName function="false" hidden="false" name="W_gain" vbProcedure="false">Declarations!$B$14</definedName>
    <definedName function="false" hidden="false" name="W_lost" vbProcedure="false">Declarations!$B$21</definedName>
    <definedName function="false" hidden="false" name="W_min" vbProcedure="false">Declarations!$B$13</definedName>
    <definedName function="false" hidden="false" name="W_today" vbProcedure="false">Declarations!$B$6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<sst xmlns="http://schemas.openxmlformats.org/spreadsheetml/2006/main" count="1072" uniqueCount="825">
  <si>
    <t xml:space="preserve">DCT Laboratory — Vol I, Ch 6: Enterprise Transformation Operators</t>
  </si>
  <si>
    <t xml:space="preserve">Seed 26106 · Companion to DCT_V1_Ch06_Lab.ipynb and AXIOM Lab 1.6 (module AXIOM-06). Money in $ million.</t>
  </si>
  <si>
    <t xml:space="preserve">Worked Example 6.1, Strategy or Trade? Meridian's Automation Playbook, with the book's declarations, and the five steps of AXIOM Lab 1.6, Sequencing Meridian's Moves.</t>
  </si>
  <si>
    <t xml:space="preserve">Declarations: Meridian today (Table 3.1), the board's floor (Table 5.4), the automation round (Worked Example 6.1), the sale (Worked Example 3.1), the digital build (Worked Example 1.1, computed with the Chapter 1 model), and the target.</t>
  </si>
  <si>
    <t xml:space="preserve">Operators: each move's domain and effect from today, Figure 6.1's states, and why the sale is a family of two (Definitions 6.1-6.4; Proposition 6.1; Theorem 6.1; lab step 1).</t>
  </si>
  <si>
    <t xml:space="preserve">Policy: the bank's rule of Online Appendix Example 6.B.1, a family made a closed-loop system (Theorem 6.1(iii)).</t>
  </si>
  <si>
    <t xml:space="preserve">Programs: all sixteen two-move sequences, seam by seam, and Section 6.5's sale, two rounds, then the build (Theorem 6.2(iii); Proposition 6.5; Figure 6.3; lab step 2).</t>
  </si>
  <si>
    <t xml:space="preserve">Playbook: the automation round year by year, savings paid out, recycled and short of plan, with Table 6.4, the nested domains and the sustainable core (Equation 6.2; Theorem 6.3; Figure 6.2; lab step 3).</t>
  </si>
  <si>
    <t xml:space="preserve">Reachability: every program of up to four moves, the reachable sets R_k to closure, targets and a cushion you can change, and complete goals with tolerances (Theorem 6.4; Remark 6.B.3; lab step 4).</t>
  </si>
  <si>
    <t xml:space="preserve">Stability: the drift bound and its worst case, and the playbook's steady states short of plan (Theorem 6.5; Equation 6.4; Figure 6.4; Remark 6.B.2; Worked Example 6.1, Step 4; lab step 5).</t>
  </si>
  <si>
    <t xml:space="preserve">Every result is a formula of the declarations. Reference_Values and Checks: the notebook engine's numbers and a PASS/FAIL comparison with this workbook's formulas.</t>
  </si>
  <si>
    <t xml:space="preserve">LEGEND</t>
  </si>
  <si>
    <t xml:space="preserve">Input: blue on pale gold. A declaration from the book; change it to explore.</t>
  </si>
  <si>
    <t xml:space="preserve">Formula: black. Recalculates from the inputs.</t>
  </si>
  <si>
    <t xml:space="preserve">Engine value: green on pale green. Computed by the notebook's engine (the book's numbers); the Checks sheet compares the workbook's formulas with them.</t>
  </si>
  <si>
    <t xml:space="preserve">Cross-sheet link: green.</t>
  </si>
  <si>
    <t xml:space="preserve">Declarations (Worked Example 6.1, Step 1; Worked Example 3.1; Figure 6.3). Money in $ million; indices from 0 to 100.</t>
  </si>
  <si>
    <t xml:space="preserve">Quantity</t>
  </si>
  <si>
    <t xml:space="preserve">Value</t>
  </si>
  <si>
    <t xml:space="preserve">Source</t>
  </si>
  <si>
    <t xml:space="preserve">Liquidity today</t>
  </si>
  <si>
    <t xml:space="preserve">Table 3.1</t>
  </si>
  <si>
    <t xml:space="preserve">Technology platform today (index)</t>
  </si>
  <si>
    <t xml:space="preserve">Workforce capability today (index)</t>
  </si>
  <si>
    <t xml:space="preserve">Operational efficiency today (index)</t>
  </si>
  <si>
    <t xml:space="preserve">The board's liquidity floor</t>
  </si>
  <si>
    <t xml:space="preserve">Table 5.4</t>
  </si>
  <si>
    <t xml:space="preserve">Automation round: cost</t>
  </si>
  <si>
    <t xml:space="preserve">Worked Example 6.1</t>
  </si>
  <si>
    <t xml:space="preserve">Automation round: the plants' technical ceiling on efficiency</t>
  </si>
  <si>
    <t xml:space="preserve">Automation round: share of the gap to the ceiling closed</t>
  </si>
  <si>
    <t xml:space="preserve">Worked Example 6.1: half of the gap</t>
  </si>
  <si>
    <t xml:space="preserve">Workforce capability needed to staff the automated lines</t>
  </si>
  <si>
    <t xml:space="preserve">Worked Example 6.1, Step 1</t>
  </si>
  <si>
    <t xml:space="preserve">Workforce capability added by a round's retraining</t>
  </si>
  <si>
    <t xml:space="preserve">Value of an efficiency point gained over today, a year</t>
  </si>
  <si>
    <t xml:space="preserve">Worked Example 6.1: $10 million a year in lower costs</t>
  </si>
  <si>
    <t xml:space="preserve">Liquidity a round needs: floor + cost</t>
  </si>
  <si>
    <t xml:space="preserve">Worked Example 6.1, Step 1: $470 million, so the floor holds after the round</t>
  </si>
  <si>
    <t xml:space="preserve">Sale of part of Industrial Systems, engineers leave: net proceeds</t>
  </si>
  <si>
    <t xml:space="preserve">Worked Example 3.1</t>
  </si>
  <si>
    <t xml:space="preserve">Sale, engineers kept: net proceeds</t>
  </si>
  <si>
    <t xml:space="preserve">Worked Example 3.1: $20 million less</t>
  </si>
  <si>
    <t xml:space="preserve">Share of the technology position the unit takes</t>
  </si>
  <si>
    <t xml:space="preserve">Workforce capability lost if the engineers leave</t>
  </si>
  <si>
    <t xml:space="preserve">Digital build: liquidity change over five years</t>
  </si>
  <si>
    <t xml:space="preserve">Worked Example 1.1; Table 1.9: computed below with the Chapter 1 model</t>
  </si>
  <si>
    <t xml:space="preserve">Digital build: technology change over five years (points)</t>
  </si>
  <si>
    <t xml:space="preserve">Worked Example 1.1; Table 1.9</t>
  </si>
  <si>
    <t xml:space="preserve">Digital build: efficiency change over five years (points)</t>
  </si>
  <si>
    <t xml:space="preserve">Digital build: low point below its starting liquidity</t>
  </si>
  <si>
    <t xml:space="preserve">Worked Example 1.1: cash bottoms around month 21</t>
  </si>
  <si>
    <t xml:space="preserve">Liquidity the build needs: floor + its low point</t>
  </si>
  <si>
    <t xml:space="preserve">$488 million, so the floor holds at the build's low point</t>
  </si>
  <si>
    <t xml:space="preserve">Technology target</t>
  </si>
  <si>
    <t xml:space="preserve">Figure 6.3: at least 70, with every constraint met</t>
  </si>
  <si>
    <t xml:space="preserve">Efficiency target</t>
  </si>
  <si>
    <t xml:space="preserve">Figure 6.3: at least 80</t>
  </si>
  <si>
    <t xml:space="preserve">Move codes on the other sheets: 1 = S, sell, engineers leave; 2 = S*, sell, engineers kept; 3 = D, digital build; 4 = A, automation round.</t>
  </si>
  <si>
    <t xml:space="preserve">Domains: S and S* need the unit unsold; D needs the platform unbuilt, workforce capability of at least 55, and liquidity of at least floor + its low point, so the floor holds on the way; A needs workforce capability of at least 55 and liquidity of at least floor + cost.</t>
  </si>
  <si>
    <t xml:space="preserve">The digital build: Worked Example 1.1's program in the Chapter 1 model (Equation 1.B.1; Table 1.B.1, digital row). Liquidity is indexed to today = 100 = $620 million; the five-year changes add to the state the build starts from.</t>
  </si>
  <si>
    <t xml:space="preserve">Reading</t>
  </si>
  <si>
    <t xml:space="preserve">Start</t>
  </si>
  <si>
    <t xml:space="preserve">Target</t>
  </si>
  <si>
    <t xml:space="preserve">Rate k</t>
  </si>
  <si>
    <t xml:space="preserve">Dip depth</t>
  </si>
  <si>
    <t xml:space="preserve">Dip timing tau (years)</t>
  </si>
  <si>
    <t xml:space="preserve">Year 5</t>
  </si>
  <si>
    <t xml:space="preserve">Change</t>
  </si>
  <si>
    <t xml:space="preserve">Liquidity (index)</t>
  </si>
  <si>
    <t xml:space="preserve">Technology platform</t>
  </si>
  <si>
    <t xml:space="preserve">Operational efficiency</t>
  </si>
  <si>
    <t xml:space="preserve">Low point of the liquidity index: Newton's method on its slope, from year 1.5</t>
  </si>
  <si>
    <t xml:space="preserve">Iteration</t>
  </si>
  <si>
    <t xml:space="preserve">Year t</t>
  </si>
  <si>
    <t xml:space="preserve">Slope</t>
  </si>
  <si>
    <t xml:space="preserve">Curvature</t>
  </si>
  <si>
    <t xml:space="preserve">Month of the low point</t>
  </si>
  <si>
    <t xml:space="preserve">Worked Example 1.1: around month 21</t>
  </si>
  <si>
    <t xml:space="preserve">Liquidity index at the low point</t>
  </si>
  <si>
    <t xml:space="preserve">Forge the operators: domains and effects from today's state (Definitions 6.1-6.4; Figure 6.1; AXIOM Lab 1.6, step 1)</t>
  </si>
  <si>
    <t xml:space="preserve">Liquidity</t>
  </si>
  <si>
    <t xml:space="preserve">Technology</t>
  </si>
  <si>
    <t xml:space="preserve">Workforce</t>
  </si>
  <si>
    <t xml:space="preserve">Efficiency</t>
  </si>
  <si>
    <t xml:space="preserve">Unit sold (1 = yes)</t>
  </si>
  <si>
    <t xml:space="preserve">Platform built (1 = yes)</t>
  </si>
  <si>
    <t xml:space="preserve">Meridian today</t>
  </si>
  <si>
    <t xml:space="preserve">Move</t>
  </si>
  <si>
    <t xml:space="preserve">Liquidity after</t>
  </si>
  <si>
    <t xml:space="preserve">Technology after</t>
  </si>
  <si>
    <t xml:space="preserve">Workforce after</t>
  </si>
  <si>
    <t xml:space="preserve">Efficiency after</t>
  </si>
  <si>
    <t xml:space="preserve">In the domain today (1 = yes)</t>
  </si>
  <si>
    <t xml:space="preserve">Domain (preconditions)</t>
  </si>
  <si>
    <t xml:space="preserve">Why not</t>
  </si>
  <si>
    <t xml:space="preserve">S, sell, engineers leave (code 1)</t>
  </si>
  <si>
    <t xml:space="preserve">S*, sell, engineers kept (code 2)</t>
  </si>
  <si>
    <t xml:space="preserve">D, digital build (code 3)</t>
  </si>
  <si>
    <t xml:space="preserve">A, automation round (code 4)</t>
  </si>
  <si>
    <t xml:space="preserve">Moves that can be taken today</t>
  </si>
  <si>
    <t xml:space="preserve">The digital build's low point from today</t>
  </si>
  <si>
    <t xml:space="preserve">The round on Figure 6.1's plane</t>
  </si>
  <si>
    <t xml:space="preserve">In the domain (1 = yes)</t>
  </si>
  <si>
    <t xml:space="preserve">a state in the domain</t>
  </si>
  <si>
    <t xml:space="preserve">a feasible state outside</t>
  </si>
  <si>
    <t xml:space="preserve">Range: liquidity at least the floor, and efficiency (e + 85)/2, which stays below the ceiling of 85 whenever e does: the round can approach the ceiling but never deliver it.</t>
  </si>
  <si>
    <t xml:space="preserve">Record of 'sell part of Industrial Systems' (Proposition 6.1)</t>
  </si>
  <si>
    <t xml:space="preserve">Same start?</t>
  </si>
  <si>
    <t xml:space="preserve">today, then the sale with the engineers leaving</t>
  </si>
  <si>
    <t xml:space="preserve">yes</t>
  </si>
  <si>
    <t xml:space="preserve">today, then the sale keeping the engineers</t>
  </si>
  <si>
    <t xml:space="preserve">Different outcomes from one start</t>
  </si>
  <si>
    <t xml:space="preserve">One operator?</t>
  </si>
  <si>
    <t xml:space="preserve">Theorem 6.1(ii): the sale's proceeds rest on a buyer paying the assumed price, an assumption about the environment, not a commitment (Table 6.1: a buyer at the assumed price).</t>
  </si>
  <si>
    <t xml:space="preserve">A policy turns a family into a system: the bank's rule (Theorem 6.1(iii); Online Appendix Example 6.B.1)</t>
  </si>
  <si>
    <t xml:space="preserve">The family T_u(q, t) = (q - u, t + 0.05u) on the domain q - u &gt;= 300; the rule u(q) = share x (q - 300) leaves the closed loop q' = (1 - share) q + share x 300, a contraction with L = 1 - share.</t>
  </si>
  <si>
    <t xml:space="preserve">Declaration</t>
  </si>
  <si>
    <t xml:space="preserve">Result</t>
  </si>
  <si>
    <t xml:space="preserve">Liquidity today ($ million)</t>
  </si>
  <si>
    <t xml:space="preserve">Liquidity after one year</t>
  </si>
  <si>
    <t xml:space="preserve">Regulatory floor ($ million)</t>
  </si>
  <si>
    <t xml:space="preserve">after two years</t>
  </si>
  <si>
    <t xml:space="preserve">Technology index today</t>
  </si>
  <si>
    <t xml:space="preserve">after three years</t>
  </si>
  <si>
    <t xml:space="preserve">Technology points per $1 million invested</t>
  </si>
  <si>
    <t xml:space="preserve">after four years</t>
  </si>
  <si>
    <t xml:space="preserve">The rule: share of the liquidity above the floor invested each year</t>
  </si>
  <si>
    <t xml:space="preserve">Technology after one year</t>
  </si>
  <si>
    <t xml:space="preserve">Total invested over 40 years (the initial slack)</t>
  </si>
  <si>
    <t xml:space="preserve">Year</t>
  </si>
  <si>
    <t xml:space="preserve">Invested u</t>
  </si>
  <si>
    <t xml:space="preserve">Closed form: floor + (q0 - floor)(1 - share)^k</t>
  </si>
  <si>
    <t xml:space="preserve">In the domain (q - u &gt;= floor)</t>
  </si>
  <si>
    <t xml:space="preserve">Technology after 40 years (limit 41 + 0.05 x 600 = 71)</t>
  </si>
  <si>
    <t xml:space="preserve">Compose programs: every two-move sequence from today, seam by seam (Theorem 6.2(iii); Proposition 6.5; Figure 6.3; AXIOM Lab 1.6, step 2)</t>
  </si>
  <si>
    <t xml:space="preserve">A program runs only if each step's result lies in the next step's domain (Definition 6.5). Codes: 1 = S, 2 = S*, 3 = D, 4 = A. A second sale or a second build is never possible. Grey: the state a move would produce if its preconditions were ignored; it has no result.</t>
  </si>
  <si>
    <t xml:space="preserve">Unit sold</t>
  </si>
  <si>
    <t xml:space="preserve">Built</t>
  </si>
  <si>
    <t xml:space="preserve">First move</t>
  </si>
  <si>
    <t xml:space="preserve">Second move</t>
  </si>
  <si>
    <t xml:space="preserve">Code 1</t>
  </si>
  <si>
    <t xml:space="preserve">Code 2</t>
  </si>
  <si>
    <t xml:space="preserve">Step 1 runs</t>
  </si>
  <si>
    <t xml:space="preserve">Liquidity 1</t>
  </si>
  <si>
    <t xml:space="preserve">Technology 1</t>
  </si>
  <si>
    <t xml:space="preserve">Workforce 1</t>
  </si>
  <si>
    <t xml:space="preserve">Efficiency 1</t>
  </si>
  <si>
    <t xml:space="preserve">Sold 1</t>
  </si>
  <si>
    <t xml:space="preserve">Step 2 runs</t>
  </si>
  <si>
    <t xml:space="preserve">Liquidity 2</t>
  </si>
  <si>
    <t xml:space="preserve">Technology 2</t>
  </si>
  <si>
    <t xml:space="preserve">Workforce 2</t>
  </si>
  <si>
    <t xml:space="preserve">Efficiency 2</t>
  </si>
  <si>
    <t xml:space="preserve">Sold 2</t>
  </si>
  <si>
    <t xml:space="preserve">Target met (technology and efficiency)</t>
  </si>
  <si>
    <t xml:space="preserve">Headroom over the floor</t>
  </si>
  <si>
    <t xml:space="preserve">Built 1</t>
  </si>
  <si>
    <t xml:space="preserve">Built 2</t>
  </si>
  <si>
    <t xml:space="preserve">S</t>
  </si>
  <si>
    <t xml:space="preserve">S*</t>
  </si>
  <si>
    <t xml:space="preserve">D</t>
  </si>
  <si>
    <t xml:space="preserve">A</t>
  </si>
  <si>
    <t xml:space="preserve">Two-move programs that pass every seam</t>
  </si>
  <si>
    <t xml:space="preserve">Programs that reach the target (technology &gt;= 70 and efficiency &gt;= 80)</t>
  </si>
  <si>
    <t xml:space="preserve">Automate, then build: the round's efficiency gain comes first and the build adds its own; built first, the round closes half of a smaller gap (Section 6.6; Theorem 6.2(iii)).</t>
  </si>
  <si>
    <t xml:space="preserve">Its liquidity</t>
  </si>
  <si>
    <t xml:space="preserve">Its technology</t>
  </si>
  <si>
    <t xml:space="preserve">Its headroom over the floor at the build's low point</t>
  </si>
  <si>
    <t xml:space="preserve">Its efficiency</t>
  </si>
  <si>
    <t xml:space="preserve">The other order, D then A: efficiency</t>
  </si>
  <si>
    <t xml:space="preserve">Section 6.5: sell keeping the engineers, two automation rounds, then the build (Proposition 6.5)</t>
  </si>
  <si>
    <t xml:space="preserve">Today</t>
  </si>
  <si>
    <t xml:space="preserve">After the sale, engineers kept</t>
  </si>
  <si>
    <t xml:space="preserve">After one automation round</t>
  </si>
  <si>
    <t xml:space="preserve">After a second round</t>
  </si>
  <si>
    <t xml:space="preserve">After the build (floor ignored)</t>
  </si>
  <si>
    <t xml:space="preserve">The build's low point on the way</t>
  </si>
  <si>
    <t xml:space="preserve">Below the floor at the low point by</t>
  </si>
  <si>
    <t xml:space="preserve">Above the floor at the end by</t>
  </si>
  <si>
    <t xml:space="preserve">A step that is not feasibility-preserving: no arithmetic on the end points certifies the path (Proposition 6.5).</t>
  </si>
  <si>
    <t xml:space="preserve">Test the playbook: one automation round a year, savings paid out, recycled, or short of plan (Worked Example 6.1, Steps 2-4; Table 6.4; Equation 6.2; Theorem 6.3; AXIOM Lab 1.6, step 3)</t>
  </si>
  <si>
    <t xml:space="preserve">Round k is taken at the start of year k if liquidity is at least $470 million and workforce capability at least 55; its cost and the year's savings land by the year's end. Columns run every round, as if no precondition bound; 'Round k runs' applies Equation 6.2.</t>
  </si>
  <si>
    <t xml:space="preserve">Case</t>
  </si>
  <si>
    <t xml:space="preserve">Savings paid out</t>
  </si>
  <si>
    <t xml:space="preserve">Recycled, as designed</t>
  </si>
  <si>
    <t xml:space="preserve">Recycled, 1-point shortfall</t>
  </si>
  <si>
    <t xml:space="preserve">Recycled, 2-point shortfall</t>
  </si>
  <si>
    <t xml:space="preserve">Share of the savings kept in liquidity</t>
  </si>
  <si>
    <t xml:space="preserve">Efficiency shortfall a round (points)</t>
  </si>
  <si>
    <t xml:space="preserve">Rounds that run, of 40</t>
  </si>
  <si>
    <t xml:space="preserve">The round whose precondition fails</t>
  </si>
  <si>
    <t xml:space="preserve">First year the savings exceed the round's cost</t>
  </si>
  <si>
    <t xml:space="preserve">Lowest liquidity at a year end while the playbook runs</t>
  </si>
  <si>
    <t xml:space="preserve">Liquidity at the end of year 40, had every round run</t>
  </si>
  <si>
    <t xml:space="preserve">Savings less the round's cost in year 40, had every round run</t>
  </si>
  <si>
    <t xml:space="preserve">Liquidity today that lets all 40 rounds run</t>
  </si>
  <si>
    <t xml:space="preserve">Increase from round 39 to round 40</t>
  </si>
  <si>
    <t xml:space="preserve">Sustainable core: empty, or the liquidity today it starts from</t>
  </si>
  <si>
    <t xml:space="preserve">Meridian's margin over the liquidity 40 rounds need</t>
  </si>
  <si>
    <t xml:space="preserve">Table 6.4: recycled, as designed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</si>
  <si>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</si>
  <si>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</si>
  <si>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</si>
  <si>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</si>
  <si>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</si>
  <si>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</si>
  <si>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</si>
  <si>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Efficiency (index)</t>
  </si>
  <si>
    <t xml:space="preserve">Savings this year</t>
  </si>
  <si>
    <t xml:space="preserve">--</t>
  </si>
  <si>
    <t xml:space="preserve">Savings less the round's cost</t>
  </si>
  <si>
    <t xml:space="preserve">Liquidity at year end</t>
  </si>
  <si>
    <t xml:space="preserve">Liquidity today that lets k rounds run (Equation 6.2)</t>
  </si>
  <si>
    <t xml:space="preserve">k = 1</t>
  </si>
  <si>
    <t xml:space="preserve">k = 2</t>
  </si>
  <si>
    <t xml:space="preserve">k = 3</t>
  </si>
  <si>
    <t xml:space="preserve">k = 4</t>
  </si>
  <si>
    <t xml:space="preserve">k = 5</t>
  </si>
  <si>
    <t xml:space="preserve">k = 6</t>
  </si>
  <si>
    <t xml:space="preserve">k = 7</t>
  </si>
  <si>
    <t xml:space="preserve">k = 8</t>
  </si>
  <si>
    <t xml:space="preserve">k = 9</t>
  </si>
  <si>
    <t xml:space="preserve">k = 10</t>
  </si>
  <si>
    <t xml:space="preserve">Paid out: 470 + 120(k - 1), rising without bound, so no starting liquidity supports every round and the sustainable core is empty. Recycled: the requirement settles at $535 million after round 3.</t>
  </si>
  <si>
    <t xml:space="preserve">Savings paid out: round k runs</t>
  </si>
  <si>
    <t xml:space="preserve">Savings</t>
  </si>
  <si>
    <t xml:space="preserve">Savings less cost</t>
  </si>
  <si>
    <t xml:space="preserve">Drop below today</t>
  </si>
  <si>
    <t xml:space="preserve">Liquidity today round k needs</t>
  </si>
  <si>
    <t xml:space="preserve">Recycled, as designed: round k runs</t>
  </si>
  <si>
    <t xml:space="preserve">Recycled, 1-point shortfall: round k runs</t>
  </si>
  <si>
    <t xml:space="preserve">Recycled, 2-point shortfall: round k runs</t>
  </si>
  <si>
    <t xml:space="preserve">Explore reachability: every program of up to four moves, grown breadth first (Theorem 6.4; Online Appendix Remark 6.B.3; AXIOM Lab 1.6, step 4)</t>
  </si>
  <si>
    <t xml:space="preserve">R_k: the states reached by programs of at most k moves (Definition 6.9). A row is a new state when its program runs and no earlier row reached the same state; grey rows do not run. Change the targets and the cushion to tighten or loosen the goal.</t>
  </si>
  <si>
    <t xml:space="preserve">Goal</t>
  </si>
  <si>
    <t xml:space="preserve">Cushion over the floor required ($ million)</t>
  </si>
  <si>
    <t xml:space="preserve">Depth k</t>
  </si>
  <si>
    <t xml:space="preserve">States in R_k</t>
  </si>
  <si>
    <t xml:space="preserve">Programs of length k that run</t>
  </si>
  <si>
    <t xml:space="preserve">Highest technology in R_k</t>
  </si>
  <si>
    <t xml:space="preserve">Programs of five moves that run (closure: R_5 = R_4 when zero)</t>
  </si>
  <si>
    <t xml:space="preserve">First depth at which the goal is met</t>
  </si>
  <si>
    <t xml:space="preserve">Programs that meet the goal</t>
  </si>
  <si>
    <t xml:space="preserve">Distinct states that meet the goal</t>
  </si>
  <si>
    <t xml:space="preserve">Liquidity of the best state that meets the goal</t>
  </si>
  <si>
    <t xml:space="preserve">Largest cushion with which the target stays reachable</t>
  </si>
  <si>
    <t xml:space="preserve">Highest technology the repertoire can reach</t>
  </si>
  <si>
    <t xml:space="preserve">Technology levels it can reach: distinct values</t>
  </si>
  <si>
    <t xml:space="preserve">Complete goal: efficiency within eps of the ceiling of 85 (Remark 6.B.3)</t>
  </si>
  <si>
    <t xml:space="preserve">Tolerance eps</t>
  </si>
  <si>
    <t xml:space="preserve">Rounds needed</t>
  </si>
  <si>
    <t xml:space="preserve">Efficiency then</t>
  </si>
  <si>
    <t xml:space="preserve">One round fewer</t>
  </si>
  <si>
    <t xml:space="preserve">recycled rounds: efficiency 85 - 14 x 0.5^k never reaches 85</t>
  </si>
  <si>
    <t xml:space="preserve">Extra rounds when the tolerance halves, log 2 / log(1/L)</t>
  </si>
  <si>
    <t xml:space="preserve">Theorem 6.4(iii): T x = x/2 from 1; the target {0} itself is never reached</t>
  </si>
  <si>
    <t xml:space="preserve">Steps to [0, eps]</t>
  </si>
  <si>
    <t xml:space="preserve">x then</t>
  </si>
  <si>
    <t xml:space="preserve">steps until x is within eps of 0</t>
  </si>
  <si>
    <t xml:space="preserve">Program (word)</t>
  </si>
  <si>
    <t xml:space="preserve">Depth</t>
  </si>
  <si>
    <t xml:space="preserve">Parent row</t>
  </si>
  <si>
    <t xml:space="preserve">Move code</t>
  </si>
  <si>
    <t xml:space="preserve">Parent runs</t>
  </si>
  <si>
    <t xml:space="preserve">Parent liquidity</t>
  </si>
  <si>
    <t xml:space="preserve">Parent technology</t>
  </si>
  <si>
    <t xml:space="preserve">Parent workforce</t>
  </si>
  <si>
    <t xml:space="preserve">Parent efficiency</t>
  </si>
  <si>
    <t xml:space="preserve">Parent sold</t>
  </si>
  <si>
    <t xml:space="preserve">Move possible</t>
  </si>
  <si>
    <t xml:space="preserve">Program runs</t>
  </si>
  <si>
    <t xml:space="preserve">Sold</t>
  </si>
  <si>
    <t xml:space="preserve">New state</t>
  </si>
  <si>
    <t xml:space="preserve">Meets the goal</t>
  </si>
  <si>
    <t xml:space="preserve">Moves that can follow (depth 4)</t>
  </si>
  <si>
    <t xml:space="preserve">Parent built</t>
  </si>
  <si>
    <t xml:space="preserve">today</t>
  </si>
  <si>
    <t xml:space="preserve">S S</t>
  </si>
  <si>
    <t xml:space="preserve">S S*</t>
  </si>
  <si>
    <t xml:space="preserve">S D</t>
  </si>
  <si>
    <t xml:space="preserve">S A</t>
  </si>
  <si>
    <t xml:space="preserve">S* S</t>
  </si>
  <si>
    <t xml:space="preserve">S* S*</t>
  </si>
  <si>
    <t xml:space="preserve">S* D</t>
  </si>
  <si>
    <t xml:space="preserve">S* A</t>
  </si>
  <si>
    <t xml:space="preserve">D S</t>
  </si>
  <si>
    <t xml:space="preserve">D S*</t>
  </si>
  <si>
    <t xml:space="preserve">D D</t>
  </si>
  <si>
    <t xml:space="preserve">D A</t>
  </si>
  <si>
    <t xml:space="preserve">A S</t>
  </si>
  <si>
    <t xml:space="preserve">A S*</t>
  </si>
  <si>
    <t xml:space="preserve">A D</t>
  </si>
  <si>
    <t xml:space="preserve">A A</t>
  </si>
  <si>
    <t xml:space="preserve">S S S</t>
  </si>
  <si>
    <t xml:space="preserve">S S S*</t>
  </si>
  <si>
    <t xml:space="preserve">S S D</t>
  </si>
  <si>
    <t xml:space="preserve">S S A</t>
  </si>
  <si>
    <t xml:space="preserve">S S* S</t>
  </si>
  <si>
    <t xml:space="preserve">S S* S*</t>
  </si>
  <si>
    <t xml:space="preserve">S S* D</t>
  </si>
  <si>
    <t xml:space="preserve">S S* A</t>
  </si>
  <si>
    <t xml:space="preserve">S D S</t>
  </si>
  <si>
    <t xml:space="preserve">S D S*</t>
  </si>
  <si>
    <t xml:space="preserve">S D D</t>
  </si>
  <si>
    <t xml:space="preserve">S D A</t>
  </si>
  <si>
    <t xml:space="preserve">S A S</t>
  </si>
  <si>
    <t xml:space="preserve">S A S*</t>
  </si>
  <si>
    <t xml:space="preserve">S A D</t>
  </si>
  <si>
    <t xml:space="preserve">S A A</t>
  </si>
  <si>
    <t xml:space="preserve">S* S S</t>
  </si>
  <si>
    <t xml:space="preserve">S* S S*</t>
  </si>
  <si>
    <t xml:space="preserve">S* S D</t>
  </si>
  <si>
    <t xml:space="preserve">S* S A</t>
  </si>
  <si>
    <t xml:space="preserve">S* S* S</t>
  </si>
  <si>
    <t xml:space="preserve">S* S* S*</t>
  </si>
  <si>
    <t xml:space="preserve">S* S* D</t>
  </si>
  <si>
    <t xml:space="preserve">S* S* A</t>
  </si>
  <si>
    <t xml:space="preserve">S* D S</t>
  </si>
  <si>
    <t xml:space="preserve">S* D S*</t>
  </si>
  <si>
    <t xml:space="preserve">S* D D</t>
  </si>
  <si>
    <t xml:space="preserve">S* D A</t>
  </si>
  <si>
    <t xml:space="preserve">S* A S</t>
  </si>
  <si>
    <t xml:space="preserve">S* A S*</t>
  </si>
  <si>
    <t xml:space="preserve">S* A D</t>
  </si>
  <si>
    <t xml:space="preserve">S* A A</t>
  </si>
  <si>
    <t xml:space="preserve">D S S</t>
  </si>
  <si>
    <t xml:space="preserve">D S S*</t>
  </si>
  <si>
    <t xml:space="preserve">D S D</t>
  </si>
  <si>
    <t xml:space="preserve">D S A</t>
  </si>
  <si>
    <t xml:space="preserve">D S* S</t>
  </si>
  <si>
    <t xml:space="preserve">D S* S*</t>
  </si>
  <si>
    <t xml:space="preserve">D S* D</t>
  </si>
  <si>
    <t xml:space="preserve">D S* A</t>
  </si>
  <si>
    <t xml:space="preserve">D D S</t>
  </si>
  <si>
    <t xml:space="preserve">D D S*</t>
  </si>
  <si>
    <t xml:space="preserve">D D D</t>
  </si>
  <si>
    <t xml:space="preserve">D D A</t>
  </si>
  <si>
    <t xml:space="preserve">D A S</t>
  </si>
  <si>
    <t xml:space="preserve">D A S*</t>
  </si>
  <si>
    <t xml:space="preserve">D A D</t>
  </si>
  <si>
    <t xml:space="preserve">D A A</t>
  </si>
  <si>
    <t xml:space="preserve">A S S</t>
  </si>
  <si>
    <t xml:space="preserve">A S S*</t>
  </si>
  <si>
    <t xml:space="preserve">A S D</t>
  </si>
  <si>
    <t xml:space="preserve">A S A</t>
  </si>
  <si>
    <t xml:space="preserve">A S* S</t>
  </si>
  <si>
    <t xml:space="preserve">A S* S*</t>
  </si>
  <si>
    <t xml:space="preserve">A S* D</t>
  </si>
  <si>
    <t xml:space="preserve">A S* A</t>
  </si>
  <si>
    <t xml:space="preserve">A D S</t>
  </si>
  <si>
    <t xml:space="preserve">A D S*</t>
  </si>
  <si>
    <t xml:space="preserve">A D D</t>
  </si>
  <si>
    <t xml:space="preserve">A D A</t>
  </si>
  <si>
    <t xml:space="preserve">A A S</t>
  </si>
  <si>
    <t xml:space="preserve">A A S*</t>
  </si>
  <si>
    <t xml:space="preserve">A A D</t>
  </si>
  <si>
    <t xml:space="preserve">A A A</t>
  </si>
  <si>
    <t xml:space="preserve">S S S S</t>
  </si>
  <si>
    <t xml:space="preserve">S S S S*</t>
  </si>
  <si>
    <t xml:space="preserve">S S S D</t>
  </si>
  <si>
    <t xml:space="preserve">S S S A</t>
  </si>
  <si>
    <t xml:space="preserve">S S S* S</t>
  </si>
  <si>
    <t xml:space="preserve">S S S* S*</t>
  </si>
  <si>
    <t xml:space="preserve">S S S* D</t>
  </si>
  <si>
    <t xml:space="preserve">S S S* A</t>
  </si>
  <si>
    <t xml:space="preserve">S S D S</t>
  </si>
  <si>
    <t xml:space="preserve">S S D S*</t>
  </si>
  <si>
    <t xml:space="preserve">S S D D</t>
  </si>
  <si>
    <t xml:space="preserve">S S D A</t>
  </si>
  <si>
    <t xml:space="preserve">S S A S</t>
  </si>
  <si>
    <t xml:space="preserve">S S A S*</t>
  </si>
  <si>
    <t xml:space="preserve">S S A D</t>
  </si>
  <si>
    <t xml:space="preserve">S S A A</t>
  </si>
  <si>
    <t xml:space="preserve">S S* S S</t>
  </si>
  <si>
    <t xml:space="preserve">S S* S S*</t>
  </si>
  <si>
    <t xml:space="preserve">S S* S D</t>
  </si>
  <si>
    <t xml:space="preserve">S S* S A</t>
  </si>
  <si>
    <t xml:space="preserve">S S* S* S</t>
  </si>
  <si>
    <t xml:space="preserve">S S* S* S*</t>
  </si>
  <si>
    <t xml:space="preserve">S S* S* D</t>
  </si>
  <si>
    <t xml:space="preserve">S S* S* A</t>
  </si>
  <si>
    <t xml:space="preserve">S S* D S</t>
  </si>
  <si>
    <t xml:space="preserve">S S* D S*</t>
  </si>
  <si>
    <t xml:space="preserve">S S* D D</t>
  </si>
  <si>
    <t xml:space="preserve">S S* D A</t>
  </si>
  <si>
    <t xml:space="preserve">S S* A S</t>
  </si>
  <si>
    <t xml:space="preserve">S S* A S*</t>
  </si>
  <si>
    <t xml:space="preserve">S S* A D</t>
  </si>
  <si>
    <t xml:space="preserve">S S* A A</t>
  </si>
  <si>
    <t xml:space="preserve">S D S S</t>
  </si>
  <si>
    <t xml:space="preserve">S D S S*</t>
  </si>
  <si>
    <t xml:space="preserve">S D S D</t>
  </si>
  <si>
    <t xml:space="preserve">S D S A</t>
  </si>
  <si>
    <t xml:space="preserve">S D S* S</t>
  </si>
  <si>
    <t xml:space="preserve">S D S* S*</t>
  </si>
  <si>
    <t xml:space="preserve">S D S* D</t>
  </si>
  <si>
    <t xml:space="preserve">S D S* A</t>
  </si>
  <si>
    <t xml:space="preserve">S D D S</t>
  </si>
  <si>
    <t xml:space="preserve">S D D S*</t>
  </si>
  <si>
    <t xml:space="preserve">S D D D</t>
  </si>
  <si>
    <t xml:space="preserve">S D D A</t>
  </si>
  <si>
    <t xml:space="preserve">S D A S</t>
  </si>
  <si>
    <t xml:space="preserve">S D A S*</t>
  </si>
  <si>
    <t xml:space="preserve">S D A D</t>
  </si>
  <si>
    <t xml:space="preserve">S D A A</t>
  </si>
  <si>
    <t xml:space="preserve">S A S S</t>
  </si>
  <si>
    <t xml:space="preserve">S A S S*</t>
  </si>
  <si>
    <t xml:space="preserve">S A S D</t>
  </si>
  <si>
    <t xml:space="preserve">S A S A</t>
  </si>
  <si>
    <t xml:space="preserve">S A S* S</t>
  </si>
  <si>
    <t xml:space="preserve">S A S* S*</t>
  </si>
  <si>
    <t xml:space="preserve">S A S* D</t>
  </si>
  <si>
    <t xml:space="preserve">S A S* A</t>
  </si>
  <si>
    <t xml:space="preserve">S A D S</t>
  </si>
  <si>
    <t xml:space="preserve">S A D S*</t>
  </si>
  <si>
    <t xml:space="preserve">S A D D</t>
  </si>
  <si>
    <t xml:space="preserve">S A D A</t>
  </si>
  <si>
    <t xml:space="preserve">S A A S</t>
  </si>
  <si>
    <t xml:space="preserve">S A A S*</t>
  </si>
  <si>
    <t xml:space="preserve">S A A D</t>
  </si>
  <si>
    <t xml:space="preserve">S A A A</t>
  </si>
  <si>
    <t xml:space="preserve">S* S S S</t>
  </si>
  <si>
    <t xml:space="preserve">S* S S S*</t>
  </si>
  <si>
    <t xml:space="preserve">S* S S D</t>
  </si>
  <si>
    <t xml:space="preserve">S* S S A</t>
  </si>
  <si>
    <t xml:space="preserve">S* S S* S</t>
  </si>
  <si>
    <t xml:space="preserve">S* S S* S*</t>
  </si>
  <si>
    <t xml:space="preserve">S* S S* D</t>
  </si>
  <si>
    <t xml:space="preserve">S* S S* A</t>
  </si>
  <si>
    <t xml:space="preserve">S* S D S</t>
  </si>
  <si>
    <t xml:space="preserve">S* S D S*</t>
  </si>
  <si>
    <t xml:space="preserve">S* S D D</t>
  </si>
  <si>
    <t xml:space="preserve">S* S D A</t>
  </si>
  <si>
    <t xml:space="preserve">S* S A S</t>
  </si>
  <si>
    <t xml:space="preserve">S* S A S*</t>
  </si>
  <si>
    <t xml:space="preserve">S* S A D</t>
  </si>
  <si>
    <t xml:space="preserve">S* S A A</t>
  </si>
  <si>
    <t xml:space="preserve">S* S* S S</t>
  </si>
  <si>
    <t xml:space="preserve">S* S* S S*</t>
  </si>
  <si>
    <t xml:space="preserve">S* S* S D</t>
  </si>
  <si>
    <t xml:space="preserve">S* S* S A</t>
  </si>
  <si>
    <t xml:space="preserve">S* S* S* S</t>
  </si>
  <si>
    <t xml:space="preserve">S* S* S* S*</t>
  </si>
  <si>
    <t xml:space="preserve">S* S* S* D</t>
  </si>
  <si>
    <t xml:space="preserve">S* S* S* A</t>
  </si>
  <si>
    <t xml:space="preserve">S* S* D S</t>
  </si>
  <si>
    <t xml:space="preserve">S* S* D S*</t>
  </si>
  <si>
    <t xml:space="preserve">S* S* D D</t>
  </si>
  <si>
    <t xml:space="preserve">S* S* D A</t>
  </si>
  <si>
    <t xml:space="preserve">S* S* A S</t>
  </si>
  <si>
    <t xml:space="preserve">S* S* A S*</t>
  </si>
  <si>
    <t xml:space="preserve">S* S* A D</t>
  </si>
  <si>
    <t xml:space="preserve">S* S* A A</t>
  </si>
  <si>
    <t xml:space="preserve">S* D S S</t>
  </si>
  <si>
    <t xml:space="preserve">S* D S S*</t>
  </si>
  <si>
    <t xml:space="preserve">S* D S D</t>
  </si>
  <si>
    <t xml:space="preserve">S* D S A</t>
  </si>
  <si>
    <t xml:space="preserve">S* D S* S</t>
  </si>
  <si>
    <t xml:space="preserve">S* D S* S*</t>
  </si>
  <si>
    <t xml:space="preserve">S* D S* D</t>
  </si>
  <si>
    <t xml:space="preserve">S* D S* A</t>
  </si>
  <si>
    <t xml:space="preserve">S* D D S</t>
  </si>
  <si>
    <t xml:space="preserve">S* D D S*</t>
  </si>
  <si>
    <t xml:space="preserve">S* D D D</t>
  </si>
  <si>
    <t xml:space="preserve">S* D D A</t>
  </si>
  <si>
    <t xml:space="preserve">S* D A S</t>
  </si>
  <si>
    <t xml:space="preserve">S* D A S*</t>
  </si>
  <si>
    <t xml:space="preserve">S* D A D</t>
  </si>
  <si>
    <t xml:space="preserve">S* D A A</t>
  </si>
  <si>
    <t xml:space="preserve">S* A S S</t>
  </si>
  <si>
    <t xml:space="preserve">S* A S S*</t>
  </si>
  <si>
    <t xml:space="preserve">S* A S D</t>
  </si>
  <si>
    <t xml:space="preserve">S* A S A</t>
  </si>
  <si>
    <t xml:space="preserve">S* A S* S</t>
  </si>
  <si>
    <t xml:space="preserve">S* A S* S*</t>
  </si>
  <si>
    <t xml:space="preserve">S* A S* D</t>
  </si>
  <si>
    <t xml:space="preserve">S* A S* A</t>
  </si>
  <si>
    <t xml:space="preserve">S* A D S</t>
  </si>
  <si>
    <t xml:space="preserve">S* A D S*</t>
  </si>
  <si>
    <t xml:space="preserve">S* A D D</t>
  </si>
  <si>
    <t xml:space="preserve">S* A D A</t>
  </si>
  <si>
    <t xml:space="preserve">S* A A S</t>
  </si>
  <si>
    <t xml:space="preserve">S* A A S*</t>
  </si>
  <si>
    <t xml:space="preserve">S* A A D</t>
  </si>
  <si>
    <t xml:space="preserve">S* A A A</t>
  </si>
  <si>
    <t xml:space="preserve">D S S S</t>
  </si>
  <si>
    <t xml:space="preserve">D S S S*</t>
  </si>
  <si>
    <t xml:space="preserve">D S S D</t>
  </si>
  <si>
    <t xml:space="preserve">D S S A</t>
  </si>
  <si>
    <t xml:space="preserve">D S S* S</t>
  </si>
  <si>
    <t xml:space="preserve">D S S* S*</t>
  </si>
  <si>
    <t xml:space="preserve">D S S* D</t>
  </si>
  <si>
    <t xml:space="preserve">D S S* A</t>
  </si>
  <si>
    <t xml:space="preserve">D S D S</t>
  </si>
  <si>
    <t xml:space="preserve">D S D S*</t>
  </si>
  <si>
    <t xml:space="preserve">D S D D</t>
  </si>
  <si>
    <t xml:space="preserve">D S D A</t>
  </si>
  <si>
    <t xml:space="preserve">D S A S</t>
  </si>
  <si>
    <t xml:space="preserve">D S A S*</t>
  </si>
  <si>
    <t xml:space="preserve">D S A D</t>
  </si>
  <si>
    <t xml:space="preserve">D S A A</t>
  </si>
  <si>
    <t xml:space="preserve">D S* S S</t>
  </si>
  <si>
    <t xml:space="preserve">D S* S S*</t>
  </si>
  <si>
    <t xml:space="preserve">D S* S D</t>
  </si>
  <si>
    <t xml:space="preserve">D S* S A</t>
  </si>
  <si>
    <t xml:space="preserve">D S* S* S</t>
  </si>
  <si>
    <t xml:space="preserve">D S* S* S*</t>
  </si>
  <si>
    <t xml:space="preserve">D S* S* D</t>
  </si>
  <si>
    <t xml:space="preserve">D S* S* A</t>
  </si>
  <si>
    <t xml:space="preserve">D S* D S</t>
  </si>
  <si>
    <t xml:space="preserve">D S* D S*</t>
  </si>
  <si>
    <t xml:space="preserve">D S* D D</t>
  </si>
  <si>
    <t xml:space="preserve">D S* D A</t>
  </si>
  <si>
    <t xml:space="preserve">D S* A S</t>
  </si>
  <si>
    <t xml:space="preserve">D S* A S*</t>
  </si>
  <si>
    <t xml:space="preserve">D S* A D</t>
  </si>
  <si>
    <t xml:space="preserve">D S* A A</t>
  </si>
  <si>
    <t xml:space="preserve">D D S S</t>
  </si>
  <si>
    <t xml:space="preserve">D D S S*</t>
  </si>
  <si>
    <t xml:space="preserve">D D S D</t>
  </si>
  <si>
    <t xml:space="preserve">D D S A</t>
  </si>
  <si>
    <t xml:space="preserve">D D S* S</t>
  </si>
  <si>
    <t xml:space="preserve">D D S* S*</t>
  </si>
  <si>
    <t xml:space="preserve">D D S* D</t>
  </si>
  <si>
    <t xml:space="preserve">D D S* A</t>
  </si>
  <si>
    <t xml:space="preserve">D D D S</t>
  </si>
  <si>
    <t xml:space="preserve">D D D S*</t>
  </si>
  <si>
    <t xml:space="preserve">D D D D</t>
  </si>
  <si>
    <t xml:space="preserve">D D D A</t>
  </si>
  <si>
    <t xml:space="preserve">D D A S</t>
  </si>
  <si>
    <t xml:space="preserve">D D A S*</t>
  </si>
  <si>
    <t xml:space="preserve">D D A D</t>
  </si>
  <si>
    <t xml:space="preserve">D D A A</t>
  </si>
  <si>
    <t xml:space="preserve">D A S S</t>
  </si>
  <si>
    <t xml:space="preserve">D A S S*</t>
  </si>
  <si>
    <t xml:space="preserve">D A S D</t>
  </si>
  <si>
    <t xml:space="preserve">D A S A</t>
  </si>
  <si>
    <t xml:space="preserve">D A S* S</t>
  </si>
  <si>
    <t xml:space="preserve">D A S* S*</t>
  </si>
  <si>
    <t xml:space="preserve">D A S* D</t>
  </si>
  <si>
    <t xml:space="preserve">D A S* A</t>
  </si>
  <si>
    <t xml:space="preserve">D A D S</t>
  </si>
  <si>
    <t xml:space="preserve">D A D S*</t>
  </si>
  <si>
    <t xml:space="preserve">D A D D</t>
  </si>
  <si>
    <t xml:space="preserve">D A D A</t>
  </si>
  <si>
    <t xml:space="preserve">D A A S</t>
  </si>
  <si>
    <t xml:space="preserve">D A A S*</t>
  </si>
  <si>
    <t xml:space="preserve">D A A D</t>
  </si>
  <si>
    <t xml:space="preserve">D A A A</t>
  </si>
  <si>
    <t xml:space="preserve">A S S S</t>
  </si>
  <si>
    <t xml:space="preserve">A S S S*</t>
  </si>
  <si>
    <t xml:space="preserve">A S S D</t>
  </si>
  <si>
    <t xml:space="preserve">A S S A</t>
  </si>
  <si>
    <t xml:space="preserve">A S S* S</t>
  </si>
  <si>
    <t xml:space="preserve">A S S* S*</t>
  </si>
  <si>
    <t xml:space="preserve">A S S* D</t>
  </si>
  <si>
    <t xml:space="preserve">A S S* A</t>
  </si>
  <si>
    <t xml:space="preserve">A S D S</t>
  </si>
  <si>
    <t xml:space="preserve">A S D S*</t>
  </si>
  <si>
    <t xml:space="preserve">A S D D</t>
  </si>
  <si>
    <t xml:space="preserve">A S D A</t>
  </si>
  <si>
    <t xml:space="preserve">A S A S</t>
  </si>
  <si>
    <t xml:space="preserve">A S A S*</t>
  </si>
  <si>
    <t xml:space="preserve">A S A D</t>
  </si>
  <si>
    <t xml:space="preserve">A S A A</t>
  </si>
  <si>
    <t xml:space="preserve">A S* S S</t>
  </si>
  <si>
    <t xml:space="preserve">A S* S S*</t>
  </si>
  <si>
    <t xml:space="preserve">A S* S D</t>
  </si>
  <si>
    <t xml:space="preserve">A S* S A</t>
  </si>
  <si>
    <t xml:space="preserve">A S* S* S</t>
  </si>
  <si>
    <t xml:space="preserve">A S* S* S*</t>
  </si>
  <si>
    <t xml:space="preserve">A S* S* D</t>
  </si>
  <si>
    <t xml:space="preserve">A S* S* A</t>
  </si>
  <si>
    <t xml:space="preserve">A S* D S</t>
  </si>
  <si>
    <t xml:space="preserve">A S* D S*</t>
  </si>
  <si>
    <t xml:space="preserve">A S* D D</t>
  </si>
  <si>
    <t xml:space="preserve">A S* D A</t>
  </si>
  <si>
    <t xml:space="preserve">A S* A S</t>
  </si>
  <si>
    <t xml:space="preserve">A S* A S*</t>
  </si>
  <si>
    <t xml:space="preserve">A S* A D</t>
  </si>
  <si>
    <t xml:space="preserve">A S* A A</t>
  </si>
  <si>
    <t xml:space="preserve">A D S S</t>
  </si>
  <si>
    <t xml:space="preserve">A D S S*</t>
  </si>
  <si>
    <t xml:space="preserve">A D S D</t>
  </si>
  <si>
    <t xml:space="preserve">A D S A</t>
  </si>
  <si>
    <t xml:space="preserve">A D S* S</t>
  </si>
  <si>
    <t xml:space="preserve">A D S* S*</t>
  </si>
  <si>
    <t xml:space="preserve">A D S* D</t>
  </si>
  <si>
    <t xml:space="preserve">A D S* A</t>
  </si>
  <si>
    <t xml:space="preserve">A D D S</t>
  </si>
  <si>
    <t xml:space="preserve">A D D S*</t>
  </si>
  <si>
    <t xml:space="preserve">A D D D</t>
  </si>
  <si>
    <t xml:space="preserve">A D D A</t>
  </si>
  <si>
    <t xml:space="preserve">A D A S</t>
  </si>
  <si>
    <t xml:space="preserve">A D A S*</t>
  </si>
  <si>
    <t xml:space="preserve">A D A D</t>
  </si>
  <si>
    <t xml:space="preserve">A D A A</t>
  </si>
  <si>
    <t xml:space="preserve">A A S S</t>
  </si>
  <si>
    <t xml:space="preserve">A A S S*</t>
  </si>
  <si>
    <t xml:space="preserve">A A S D</t>
  </si>
  <si>
    <t xml:space="preserve">A A S A</t>
  </si>
  <si>
    <t xml:space="preserve">A A S* S</t>
  </si>
  <si>
    <t xml:space="preserve">A A S* S*</t>
  </si>
  <si>
    <t xml:space="preserve">A A S* D</t>
  </si>
  <si>
    <t xml:space="preserve">A A S* A</t>
  </si>
  <si>
    <t xml:space="preserve">A A D S</t>
  </si>
  <si>
    <t xml:space="preserve">A A D S*</t>
  </si>
  <si>
    <t xml:space="preserve">A A D D</t>
  </si>
  <si>
    <t xml:space="preserve">A A D A</t>
  </si>
  <si>
    <t xml:space="preserve">A A A S</t>
  </si>
  <si>
    <t xml:space="preserve">A A A S*</t>
  </si>
  <si>
    <t xml:space="preserve">A A A D</t>
  </si>
  <si>
    <t xml:space="preserve">A A A A</t>
  </si>
  <si>
    <t xml:space="preserve">Stress the execution: drift and its bound, and the playbook short of plan (Theorem 6.5; Equation 6.4; Figure 6.4; Remark 6.B.2; Worked Example 6.1, Step 4; AXIOM Lab 1.6, step 5)</t>
  </si>
  <si>
    <t xml:space="preserve">Each step falls short of the design by eps (percent of plan); the executed path stays within eps (1 + L + ... + L^(k-1)) of the designed one, never more than eps/(1 - L) when L &lt; 1.</t>
  </si>
  <si>
    <t xml:space="preserve">Shortfall a quarter, eps (percent of plan)</t>
  </si>
  <si>
    <t xml:space="preserve">Sensitivity factors L: consolidating, neutral, amplifying</t>
  </si>
  <si>
    <t xml:space="preserve">Quarter k</t>
  </si>
  <si>
    <t xml:space="preserve">Drift, L = 0.8 (recursion)</t>
  </si>
  <si>
    <t xml:space="preserve">Drift, L = 1.0 (recursion)</t>
  </si>
  <si>
    <t xml:space="preserve">Drift, L = 1.2 (recursion)</t>
  </si>
  <si>
    <t xml:space="preserve">Equation 6.4, L = 0.8</t>
  </si>
  <si>
    <t xml:space="preserve">Equation 6.4, L = 1.0</t>
  </si>
  <si>
    <t xml:space="preserve">Equation 6.4, L = 1.2</t>
  </si>
  <si>
    <t xml:space="preserve">Executed, design held at 100, L = 0.8</t>
  </si>
  <si>
    <t xml:space="preserve">Executed, design held at 100, L = 1.0</t>
  </si>
  <si>
    <t xml:space="preserve">Executed, design held at 100, L = 1.2</t>
  </si>
  <si>
    <t xml:space="preserve">Gap from the design, L = 0.8</t>
  </si>
  <si>
    <t xml:space="preserve">Gap from the design, L = 1.0</t>
  </si>
  <si>
    <t xml:space="preserve">Gap from the design, L = 1.2</t>
  </si>
  <si>
    <t xml:space="preserve">After 12 quarters</t>
  </si>
  <si>
    <t xml:space="preserve">L = 0.8</t>
  </si>
  <si>
    <t xml:space="preserve">L = 1.0</t>
  </si>
  <si>
    <t xml:space="preserve">L = 1.2</t>
  </si>
  <si>
    <t xml:space="preserve">Drift (Equation 6.4)</t>
  </si>
  <si>
    <t xml:space="preserve">Bound less the worst case (Remark 6.B.2: the bound is attained)</t>
  </si>
  <si>
    <t xml:space="preserve">An error of 1 in the starting state (Theorem 6.5(i)): L^12</t>
  </si>
  <si>
    <t xml:space="preserve">Bound under contraction, eps/(1 - L), at L = 0.8</t>
  </si>
  <si>
    <t xml:space="preserve">Precision an amplifying program needs, relative to a consolidating one</t>
  </si>
  <si>
    <t xml:space="preserve">Worked Example 6.1, Step 4: shortfall a round (points)</t>
  </si>
  <si>
    <t xml:space="preserve">1 point</t>
  </si>
  <si>
    <t xml:space="preserve">2 points</t>
  </si>
  <si>
    <t xml:space="preserve">Shortfall s (Playbook inputs)</t>
  </si>
  <si>
    <t xml:space="preserve">Efficiency step's factor L = 1 - share of the gap closed</t>
  </si>
  <si>
    <t xml:space="preserve">Steady efficiency: 85 - s/(1 - L)</t>
  </si>
  <si>
    <t xml:space="preserve">Shift of the steady state, s/(1 - L) (Theorem 6.5(iii))</t>
  </si>
  <si>
    <t xml:space="preserve">Savings at the steady state</t>
  </si>
  <si>
    <t xml:space="preserve">Savings less the round's cost at the steady state</t>
  </si>
  <si>
    <t xml:space="preserve">1 point: liquidity at the end of year 40</t>
  </si>
  <si>
    <t xml:space="preserve">1 point: headroom over the $470 million precondition</t>
  </si>
  <si>
    <t xml:space="preserve">2 points: the round whose precondition fails</t>
  </si>
  <si>
    <t xml:space="preserve">Designed less executed liquidity, 1 point (the account keeps every shortfall)</t>
  </si>
  <si>
    <t xml:space="preserve">Year 1</t>
  </si>
  <si>
    <t xml:space="preserve">Year 2</t>
  </si>
  <si>
    <t xml:space="preserve">Year 3</t>
  </si>
  <si>
    <t xml:space="preserve">Year 4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</si>
  <si>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</si>
  <si>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</si>
  <si>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</si>
  <si>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</si>
  <si>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</si>
  <si>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Gap ($ million)</t>
  </si>
  <si>
    <t xml:space="preserve">Efficiency forgives the shortfall (L = 0.5); liquidity keeps it: the gap grows by close to $20 million a year.</t>
  </si>
  <si>
    <t xml:space="preserve">Checkpoint</t>
  </si>
  <si>
    <t xml:space="preserve">Engine value</t>
  </si>
  <si>
    <t xml:space="preserve">Meaning (where in the book)</t>
  </si>
  <si>
    <t xml:space="preserve">Liquidity a round needs</t>
  </si>
  <si>
    <t xml:space="preserve">Worked Example 6.1, Step 1: $470 million</t>
  </si>
  <si>
    <t xml:space="preserve">Moves possible from today</t>
  </si>
  <si>
    <t xml:space="preserve">Section 6.6: all four first moves</t>
  </si>
  <si>
    <t xml:space="preserve">One round from today: liquidity</t>
  </si>
  <si>
    <t xml:space="preserve">Figure 6.1: $500 million</t>
  </si>
  <si>
    <t xml:space="preserve">One round from today: efficiency</t>
  </si>
  <si>
    <t xml:space="preserve">Figure 6.1: 78</t>
  </si>
  <si>
    <t xml:space="preserve">Digital build first: its low point</t>
  </si>
  <si>
    <t xml:space="preserve">Section 6.6: $482 million, above the floor</t>
  </si>
  <si>
    <t xml:space="preserve">Sell, engineers leave: liquidity</t>
  </si>
  <si>
    <t xml:space="preserve">Figure 6.3: $732 million</t>
  </si>
  <si>
    <t xml:space="preserve">Sell, engineers leave: technology</t>
  </si>
  <si>
    <t xml:space="preserve">Figure 6.3: 36.9</t>
  </si>
  <si>
    <t xml:space="preserve">Sell, engineers leave: workforce</t>
  </si>
  <si>
    <t xml:space="preserve">Figure 6.3: 53, a dead end</t>
  </si>
  <si>
    <t xml:space="preserve">Sell, engineers kept: liquidity</t>
  </si>
  <si>
    <t xml:space="preserve">Figure 6.3: $712 million</t>
  </si>
  <si>
    <t xml:space="preserve">Figure 6.3: nine sequences run</t>
  </si>
  <si>
    <t xml:space="preserve">Two-move programs reaching the target</t>
  </si>
  <si>
    <t xml:space="preserve">Section 6.6: exactly one, automate then build</t>
  </si>
  <si>
    <t xml:space="preserve">A then D: liquidity</t>
  </si>
  <si>
    <t xml:space="preserve">Figure 6.3: $465 million</t>
  </si>
  <si>
    <t xml:space="preserve">A then D: technology</t>
  </si>
  <si>
    <t xml:space="preserve">Figure 6.3: 75.6</t>
  </si>
  <si>
    <t xml:space="preserve">A then D: headroom at the build's low point</t>
  </si>
  <si>
    <t xml:space="preserve">Section 6.6: $12 million</t>
  </si>
  <si>
    <t xml:space="preserve">A then S: liquidity</t>
  </si>
  <si>
    <t xml:space="preserve">Figure 6.3: $612 million</t>
  </si>
  <si>
    <t xml:space="preserve">A then S: workforce</t>
  </si>
  <si>
    <t xml:space="preserve">Figure 6.3: 54</t>
  </si>
  <si>
    <t xml:space="preserve">A then S*: liquidity</t>
  </si>
  <si>
    <t xml:space="preserve">Figure 6.3: $592 million</t>
  </si>
  <si>
    <t xml:space="preserve">A then A: liquidity</t>
  </si>
  <si>
    <t xml:space="preserve">Figure 6.3: $380 million</t>
  </si>
  <si>
    <t xml:space="preserve">A then D: efficiency</t>
  </si>
  <si>
    <t xml:space="preserve">Figure 6.3: 80.6</t>
  </si>
  <si>
    <t xml:space="preserve">S*, A, A, then D: end liquidity (floor ignored)</t>
  </si>
  <si>
    <t xml:space="preserve">Section 6.5: $437 million</t>
  </si>
  <si>
    <t xml:space="preserve">S*, A, A, then D: the build's low point</t>
  </si>
  <si>
    <t xml:space="preserve">Section 6.5: $334 million, below the floor</t>
  </si>
  <si>
    <t xml:space="preserve">Paid out: liquidity after round 2</t>
  </si>
  <si>
    <t xml:space="preserve">Worked Example 6.1, Step 2: $380 million</t>
  </si>
  <si>
    <t xml:space="preserve">Paid out: rounds that run</t>
  </si>
  <si>
    <t xml:space="preserve">LOS Guidance 6.4: runs twice and stops</t>
  </si>
  <si>
    <t xml:space="preserve">Paid out: extra liquidity each round needs</t>
  </si>
  <si>
    <t xml:space="preserve">Step 2: 470 + 120(k - 1)</t>
  </si>
  <si>
    <t xml:space="preserve">Table 6.4: efficiency, year 1</t>
  </si>
  <si>
    <t xml:space="preserve">Table 6.4</t>
  </si>
  <si>
    <t xml:space="preserve">Table 6.4: efficiency, year 2</t>
  </si>
  <si>
    <t xml:space="preserve">Table 6.4: efficiency, year 3</t>
  </si>
  <si>
    <t xml:space="preserve">Table 6.4: efficiency, year 4</t>
  </si>
  <si>
    <t xml:space="preserve">Table 6.4: efficiency, year 5</t>
  </si>
  <si>
    <t xml:space="preserve">Table 6.4: efficiency, year 6</t>
  </si>
  <si>
    <t xml:space="preserve">Table 6.4: savings, year 1</t>
  </si>
  <si>
    <t xml:space="preserve">Table 6.4: savings, year 2</t>
  </si>
  <si>
    <t xml:space="preserve">Table 6.4: savings, year 3</t>
  </si>
  <si>
    <t xml:space="preserve">Table 6.4: savings, year 4</t>
  </si>
  <si>
    <t xml:space="preserve">Table 6.4: savings, year 5</t>
  </si>
  <si>
    <t xml:space="preserve">Table 6.4: savings, year 6</t>
  </si>
  <si>
    <t xml:space="preserve">Table 6.4: savings less cost, year 1</t>
  </si>
  <si>
    <t xml:space="preserve">Table 6.4: savings less cost, year 2</t>
  </si>
  <si>
    <t xml:space="preserve">Table 6.4: savings less cost, year 3</t>
  </si>
  <si>
    <t xml:space="preserve">Table 6.4: savings less cost, year 4</t>
  </si>
  <si>
    <t xml:space="preserve">Table 6.4: savings less cost, year 5</t>
  </si>
  <si>
    <t xml:space="preserve">Table 6.4: savings less cost, year 6</t>
  </si>
  <si>
    <t xml:space="preserve">Table 6.4: liquidity, year 1</t>
  </si>
  <si>
    <t xml:space="preserve">Table 6.4: liquidity, year 2</t>
  </si>
  <si>
    <t xml:space="preserve">Table 6.4: liquidity, year 3</t>
  </si>
  <si>
    <t xml:space="preserve">Table 6.4: liquidity, year 4</t>
  </si>
  <si>
    <t xml:space="preserve">Table 6.4: liquidity, year 5</t>
  </si>
  <si>
    <t xml:space="preserve">Table 6.4: liquidity, year 6</t>
  </si>
  <si>
    <t xml:space="preserve">Recycled: first year savings exceed the cost</t>
  </si>
  <si>
    <t xml:space="preserve">Step 3: year 3</t>
  </si>
  <si>
    <t xml:space="preserve">Recycled: lowest liquidity</t>
  </si>
  <si>
    <t xml:space="preserve">Step 3: $555 million at the end of year 2</t>
  </si>
  <si>
    <t xml:space="preserve">Recycled: yearly rise of liquidity in year 40</t>
  </si>
  <si>
    <t xml:space="preserve">Step 3: up to $20 million a year</t>
  </si>
  <si>
    <t xml:space="preserve">Core threshold at today's efficiency</t>
  </si>
  <si>
    <t xml:space="preserve">Step 3: $535 million</t>
  </si>
  <si>
    <t xml:space="preserve">Meridian's margin inside the core</t>
  </si>
  <si>
    <t xml:space="preserve">Step 3: $85 million to spare</t>
  </si>
  <si>
    <t xml:space="preserve">1-point shortfall: steady efficiency</t>
  </si>
  <si>
    <t xml:space="preserve">Step 4: 83 instead of 85</t>
  </si>
  <si>
    <t xml:space="preserve">Steady-state shift bound</t>
  </si>
  <si>
    <t xml:space="preserve">Theorem 6.5(iii): 1/(1 - 0.5) = 2</t>
  </si>
  <si>
    <t xml:space="preserve">1-point shortfall: savings top out</t>
  </si>
  <si>
    <t xml:space="preserve">Step 4: $120 million, the cost of a round</t>
  </si>
  <si>
    <t xml:space="preserve">1-point shortfall: liquidity in the long run</t>
  </si>
  <si>
    <t xml:space="preserve">Step 4: toward $500 million</t>
  </si>
  <si>
    <t xml:space="preserve">1-point shortfall: headroom</t>
  </si>
  <si>
    <t xml:space="preserve">Step 4: $30 million</t>
  </si>
  <si>
    <t xml:space="preserve">2-point shortfall: savings top out</t>
  </si>
  <si>
    <t xml:space="preserve">Step 4: $100 million</t>
  </si>
  <si>
    <t xml:space="preserve">2-point shortfall: round that fails</t>
  </si>
  <si>
    <t xml:space="preserve">Step 4: before the fifth round</t>
  </si>
  <si>
    <t xml:space="preserve">Drift bound at L = 0.8</t>
  </si>
  <si>
    <t xml:space="preserve">Section 6.7: never more than 5 percent</t>
  </si>
  <si>
    <t xml:space="preserve">Drift after 12 quarters, L = 0.8</t>
  </si>
  <si>
    <t xml:space="preserve">Figure 6.4: 4.7%</t>
  </si>
  <si>
    <t xml:space="preserve">Drift after 12 quarters, L = 1.0</t>
  </si>
  <si>
    <t xml:space="preserve">Figure 6.4: 12%</t>
  </si>
  <si>
    <t xml:space="preserve">Drift after 12 quarters, L = 1.2</t>
  </si>
  <si>
    <t xml:space="preserve">Section 6.7: about 40 percent</t>
  </si>
  <si>
    <t xml:space="preserve">Bound less the worst case, L = 1.2</t>
  </si>
  <si>
    <t xml:space="preserve">Remark 6.B.2: the bound is attained</t>
  </si>
  <si>
    <t xml:space="preserve">Bank: liquidity after one year</t>
  </si>
  <si>
    <t xml:space="preserve">Example 6.B.1: $600 million</t>
  </si>
  <si>
    <t xml:space="preserve">Bank: liquidity after two years</t>
  </si>
  <si>
    <t xml:space="preserve">Example 6.B.1: $450 million</t>
  </si>
  <si>
    <t xml:space="preserve">Bank: liquidity after three years</t>
  </si>
  <si>
    <t xml:space="preserve">Example 6.B.1: $375 million</t>
  </si>
  <si>
    <t xml:space="preserve">Bank: liquidity after four years</t>
  </si>
  <si>
    <t xml:space="preserve">Example 6.B.1: $337.5 million</t>
  </si>
  <si>
    <t xml:space="preserve">Bank: technology after one year</t>
  </si>
  <si>
    <t xml:space="preserve">Example 6.B.1: 56</t>
  </si>
  <si>
    <t xml:space="preserve">Bank: technology after two years</t>
  </si>
  <si>
    <t xml:space="preserve">Example 6.B.1: 63.5</t>
  </si>
  <si>
    <t xml:space="preserve">Bank: total invested over 40 years</t>
  </si>
  <si>
    <t xml:space="preserve">Example 6.B.1: the initial slack of $600 million</t>
  </si>
  <si>
    <t xml:space="preserve">Bank: technology after 40 years</t>
  </si>
  <si>
    <t xml:space="preserve">Example 6.B.1: toward 71</t>
  </si>
  <si>
    <t xml:space="preserve">States in R_1</t>
  </si>
  <si>
    <t xml:space="preserve">Theorem 6.4(i): breadth-first search (computed from the declarations)</t>
  </si>
  <si>
    <t xml:space="preserve">States in R_2</t>
  </si>
  <si>
    <t xml:space="preserve">States in R_3</t>
  </si>
  <si>
    <t xml:space="preserve">States in R_4</t>
  </si>
  <si>
    <t xml:space="preserve">Programs of length 1 that run</t>
  </si>
  <si>
    <t xml:space="preserve">Computed from the declarations; length 2: Figure 6.3</t>
  </si>
  <si>
    <t xml:space="preserve">Programs of length 2 that run</t>
  </si>
  <si>
    <t xml:space="preserve">Programs of length 3 that run</t>
  </si>
  <si>
    <t xml:space="preserve">Programs of length 4 that run</t>
  </si>
  <si>
    <t xml:space="preserve">Programs of five moves that run</t>
  </si>
  <si>
    <t xml:space="preserve">Closure: R_5 = R_4 (computed from the declarations)</t>
  </si>
  <si>
    <t xml:space="preserve">First depth meeting the target</t>
  </si>
  <si>
    <t xml:space="preserve">Figure 6.3: found at depth two</t>
  </si>
  <si>
    <t xml:space="preserve">Computed from the declarations: S*, A, D ends $207 million above the floor</t>
  </si>
  <si>
    <t xml:space="preserve">Rounds to come within 1 point of the ceiling</t>
  </si>
  <si>
    <t xml:space="preserve">Remark 6.B.3 with Table 6.4's efficiency row</t>
  </si>
  <si>
    <t xml:space="preserve">D then A: efficiency</t>
  </si>
  <si>
    <t xml:space="preserve">Figure 6.3: 79.3, short of 80</t>
  </si>
  <si>
    <t xml:space="preserve">S*, A, A: liquidity before the build</t>
  </si>
  <si>
    <t xml:space="preserve">Section 6.5: $472 million</t>
  </si>
  <si>
    <t xml:space="preserve">Digital build: low point below its start</t>
  </si>
  <si>
    <t xml:space="preserve">Worked Example 1.1: $138 million</t>
  </si>
  <si>
    <t xml:space="preserve">Digital build: month of the low point</t>
  </si>
  <si>
    <t xml:space="preserve">Liquidity the build needs</t>
  </si>
  <si>
    <t xml:space="preserve">Section 6.6: $488 million</t>
  </si>
  <si>
    <t xml:space="preserve">Table 1.9: $35 million down</t>
  </si>
  <si>
    <t xml:space="preserve">Digital build: technology change over five years</t>
  </si>
  <si>
    <t xml:space="preserve">Table 1.9: +34.6</t>
  </si>
  <si>
    <t xml:space="preserve">Digital build: efficiency change over five years</t>
  </si>
  <si>
    <t xml:space="preserve">Table 1.9: +2.6</t>
  </si>
  <si>
    <t xml:space="preserve">Workbook formula value</t>
  </si>
  <si>
    <t xml:space="preserve">|diff|</t>
  </si>
  <si>
    <t xml:space="preserve">Tolerance</t>
  </si>
  <si>
    <t xml:space="preserve">Status</t>
  </si>
  <si>
    <t xml:space="preserve">All checkpoints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</si>
</sst>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.0"/>
    <numFmt numFmtId="167" formatCode="0.00"/>
    <numFmt numFmtId="168" formatCode="0%"/>
    <numFmt numFmtId="169" formatCode="0.000000"/>
    <numFmt numFmtId="170" formatCode="0.000"/>
    <numFmt numFmtId="171" formatCode="0.0000"/>
    <numFmt numFmtId="172" formatCode="0.00000"/>
    <numFmt numFmtId="173" formatCode="0.0E+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D6"/>
        <bgColor rgb="FFE8F0EC"/>
      </patternFill>
    </fill>
    <fill>
      <patternFill patternType="solid">
        <fgColor rgb="FFE8F0EC"/>
        <bgColor rgb="FFFFF3D6"/>
      </patternFill>
    </fill>
    <fill>
      <patternFill patternType="solid">
        <fgColor rgb="FF0B3D2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BE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A6A6A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ECE"/>
      <rgbColor rgb="FF808080"/>
      <rgbColor rgb="FF9999FF"/>
      <rgbColor rgb="FF993366"/>
      <rgbColor rgb="FFFFF3D6"/>
      <rgbColor rgb="FFE8F0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6A6A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0"/>
  </cols>
  <sheetData>
    <row r="1" customFormat="false" ht="15" hidden="false" customHeight="true" outlineLevel="0" collapsed="false">
      <c r="B1" s="2" t="s">
        <v>0</v>
      </c>
    </row>
    <row r="2" customFormat="false" ht="15" hidden="false" customHeight="true" outlineLevel="0" collapsed="false">
      <c r="B2" s="3" t="s">
        <v>1</v>
      </c>
    </row>
    <row r="4" customFormat="false" ht="23.25" hidden="false" customHeight="true" outlineLevel="0" collapsed="false">
      <c r="B4" s="4" t="s">
        <v>2</v>
      </c>
    </row>
    <row r="5" customFormat="false" ht="23.25" hidden="false" customHeight="true" outlineLevel="0" collapsed="false">
      <c r="B5" s="4" t="s">
        <v>3</v>
      </c>
    </row>
    <row r="6" customFormat="false" ht="23.25" hidden="false" customHeight="true" outlineLevel="0" collapsed="false">
      <c r="B6" s="4" t="s">
        <v>4</v>
      </c>
    </row>
    <row r="7" customFormat="false" ht="15" hidden="false" customHeight="true" outlineLevel="0" collapsed="false">
      <c r="B7" s="4" t="s">
        <v>5</v>
      </c>
    </row>
    <row r="8" customFormat="false" ht="23.25" hidden="false" customHeight="true" outlineLevel="0" collapsed="false">
      <c r="B8" s="4" t="s">
        <v>6</v>
      </c>
    </row>
    <row r="9" customFormat="false" ht="23.25" hidden="false" customHeight="true" outlineLevel="0" collapsed="false">
      <c r="B9" s="4" t="s">
        <v>7</v>
      </c>
    </row>
    <row r="10" customFormat="false" ht="23.25" hidden="false" customHeight="true" outlineLevel="0" collapsed="false">
      <c r="B10" s="4" t="s">
        <v>8</v>
      </c>
    </row>
    <row r="11" customFormat="false" ht="23.25" hidden="false" customHeight="true" outlineLevel="0" collapsed="false">
      <c r="B11" s="4" t="s">
        <v>9</v>
      </c>
    </row>
    <row r="12" customFormat="false" ht="23.25" hidden="false" customHeight="true" outlineLevel="0" collapsed="false">
      <c r="B12" s="4" t="s">
        <v>10</v>
      </c>
    </row>
    <row r="14" customFormat="false" ht="15" hidden="false" customHeight="true" outlineLevel="0" collapsed="false">
      <c r="B14" s="5" t="s">
        <v>11</v>
      </c>
    </row>
    <row r="15" customFormat="false" ht="15" hidden="false" customHeight="true" outlineLevel="0" collapsed="false">
      <c r="B15" s="6" t="s">
        <v>12</v>
      </c>
    </row>
    <row r="16" customFormat="false" ht="15" hidden="false" customHeight="true" outlineLevel="0" collapsed="false">
      <c r="B16" s="3" t="s">
        <v>13</v>
      </c>
    </row>
    <row r="17" customFormat="false" ht="15" hidden="false" customHeight="true" outlineLevel="0" collapsed="false">
      <c r="B17" s="7" t="s">
        <v>14</v>
      </c>
    </row>
    <row r="18" customFormat="false" ht="15" hidden="false" customHeight="true" outlineLevel="0" collapsed="false">
      <c r="B18" s="8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2"/>
    <col collapsed="false" customWidth="true" hidden="false" outlineLevel="0" max="3" min="3" style="1" width="66"/>
    <col collapsed="false" customWidth="true" hidden="false" outlineLevel="0" max="8" min="4" style="0" width="13"/>
  </cols>
  <sheetData>
    <row r="1" customFormat="false" ht="15" hidden="false" customHeight="true" outlineLevel="0" collapsed="false">
      <c r="A1" s="2" t="s">
        <v>16</v>
      </c>
    </row>
    <row r="3" customFormat="false" ht="15" hidden="false" customHeight="true" outlineLevel="0" collapsed="false">
      <c r="A3" s="9" t="s">
        <v>17</v>
      </c>
      <c r="B3" s="9" t="s">
        <v>18</v>
      </c>
      <c r="C3" s="9" t="s">
        <v>19</v>
      </c>
    </row>
    <row r="4" customFormat="false" ht="15" hidden="false" customHeight="true" outlineLevel="0" collapsed="false">
      <c r="A4" s="3" t="s">
        <v>20</v>
      </c>
      <c r="B4" s="10" t="n">
        <v>620</v>
      </c>
      <c r="C4" s="11" t="s">
        <v>21</v>
      </c>
    </row>
    <row r="5" customFormat="false" ht="15" hidden="false" customHeight="true" outlineLevel="0" collapsed="false">
      <c r="A5" s="3" t="s">
        <v>22</v>
      </c>
      <c r="B5" s="12" t="n">
        <v>41</v>
      </c>
      <c r="C5" s="11" t="s">
        <v>21</v>
      </c>
    </row>
    <row r="6" customFormat="false" ht="15" hidden="false" customHeight="true" outlineLevel="0" collapsed="false">
      <c r="A6" s="3" t="s">
        <v>23</v>
      </c>
      <c r="B6" s="10" t="n">
        <v>58</v>
      </c>
      <c r="C6" s="11" t="s">
        <v>21</v>
      </c>
    </row>
    <row r="7" customFormat="false" ht="15" hidden="false" customHeight="true" outlineLevel="0" collapsed="false">
      <c r="A7" s="3" t="s">
        <v>24</v>
      </c>
      <c r="B7" s="13" t="n">
        <v>71</v>
      </c>
      <c r="C7" s="11" t="s">
        <v>21</v>
      </c>
    </row>
    <row r="8" customFormat="false" ht="15" hidden="false" customHeight="true" outlineLevel="0" collapsed="false">
      <c r="A8" s="3" t="s">
        <v>25</v>
      </c>
      <c r="B8" s="10" t="n">
        <v>350</v>
      </c>
      <c r="C8" s="11" t="s">
        <v>26</v>
      </c>
    </row>
    <row r="10" customFormat="false" ht="15" hidden="false" customHeight="true" outlineLevel="0" collapsed="false">
      <c r="A10" s="3" t="s">
        <v>27</v>
      </c>
      <c r="B10" s="10" t="n">
        <v>120</v>
      </c>
      <c r="C10" s="11" t="s">
        <v>28</v>
      </c>
    </row>
    <row r="11" customFormat="false" ht="15" hidden="false" customHeight="true" outlineLevel="0" collapsed="false">
      <c r="A11" s="3" t="s">
        <v>29</v>
      </c>
      <c r="B11" s="10" t="n">
        <v>85</v>
      </c>
      <c r="C11" s="11" t="s">
        <v>28</v>
      </c>
    </row>
    <row r="12" customFormat="false" ht="15" hidden="false" customHeight="true" outlineLevel="0" collapsed="false">
      <c r="A12" s="3" t="s">
        <v>30</v>
      </c>
      <c r="B12" s="13" t="n">
        <v>0.5</v>
      </c>
      <c r="C12" s="11" t="s">
        <v>31</v>
      </c>
    </row>
    <row r="13" customFormat="false" ht="15" hidden="false" customHeight="true" outlineLevel="0" collapsed="false">
      <c r="A13" s="3" t="s">
        <v>32</v>
      </c>
      <c r="B13" s="10" t="n">
        <v>55</v>
      </c>
      <c r="C13" s="11" t="s">
        <v>33</v>
      </c>
    </row>
    <row r="14" customFormat="false" ht="15" hidden="false" customHeight="true" outlineLevel="0" collapsed="false">
      <c r="A14" s="3" t="s">
        <v>34</v>
      </c>
      <c r="B14" s="10" t="n">
        <v>1</v>
      </c>
      <c r="C14" s="11" t="s">
        <v>28</v>
      </c>
    </row>
    <row r="15" customFormat="false" ht="15" hidden="false" customHeight="true" outlineLevel="0" collapsed="false">
      <c r="A15" s="3" t="s">
        <v>35</v>
      </c>
      <c r="B15" s="10" t="n">
        <v>10</v>
      </c>
      <c r="C15" s="11" t="s">
        <v>36</v>
      </c>
    </row>
    <row r="16" customFormat="false" ht="15" hidden="false" customHeight="true" outlineLevel="0" collapsed="false">
      <c r="A16" s="3" t="s">
        <v>37</v>
      </c>
      <c r="B16" s="14" t="n">
        <f aca="false">B8+B10</f>
        <v>470</v>
      </c>
      <c r="C16" s="11" t="s">
        <v>38</v>
      </c>
    </row>
    <row r="18" customFormat="false" ht="15" hidden="false" customHeight="true" outlineLevel="0" collapsed="false">
      <c r="A18" s="3" t="s">
        <v>39</v>
      </c>
      <c r="B18" s="10" t="n">
        <v>112</v>
      </c>
      <c r="C18" s="11" t="s">
        <v>40</v>
      </c>
    </row>
    <row r="19" customFormat="false" ht="15" hidden="false" customHeight="true" outlineLevel="0" collapsed="false">
      <c r="A19" s="3" t="s">
        <v>41</v>
      </c>
      <c r="B19" s="10" t="n">
        <v>92</v>
      </c>
      <c r="C19" s="11" t="s">
        <v>42</v>
      </c>
    </row>
    <row r="20" customFormat="false" ht="15" hidden="false" customHeight="true" outlineLevel="0" collapsed="false">
      <c r="A20" s="3" t="s">
        <v>43</v>
      </c>
      <c r="B20" s="15" t="n">
        <v>0.1</v>
      </c>
      <c r="C20" s="11" t="s">
        <v>40</v>
      </c>
    </row>
    <row r="21" customFormat="false" ht="15" hidden="false" customHeight="true" outlineLevel="0" collapsed="false">
      <c r="A21" s="3" t="s">
        <v>44</v>
      </c>
      <c r="B21" s="10" t="n">
        <v>5</v>
      </c>
      <c r="C21" s="11" t="s">
        <v>40</v>
      </c>
    </row>
    <row r="23" customFormat="false" ht="15" hidden="false" customHeight="true" outlineLevel="0" collapsed="false">
      <c r="A23" s="3" t="s">
        <v>45</v>
      </c>
      <c r="B23" s="16" t="n">
        <f aca="false">(G37-B37)*Liq_today/100</f>
        <v>-35.3672708971317</v>
      </c>
      <c r="C23" s="11" t="s">
        <v>46</v>
      </c>
    </row>
    <row r="24" customFormat="false" ht="15" hidden="false" customHeight="true" outlineLevel="0" collapsed="false">
      <c r="A24" s="3" t="s">
        <v>47</v>
      </c>
      <c r="B24" s="16" t="n">
        <f aca="false">G38-B38</f>
        <v>34.6346691353518</v>
      </c>
      <c r="C24" s="11" t="s">
        <v>48</v>
      </c>
    </row>
    <row r="25" customFormat="false" ht="15" hidden="false" customHeight="true" outlineLevel="0" collapsed="false">
      <c r="A25" s="3" t="s">
        <v>49</v>
      </c>
      <c r="B25" s="16" t="n">
        <f aca="false">G39-B39</f>
        <v>2.59833097232446</v>
      </c>
      <c r="C25" s="11" t="s">
        <v>48</v>
      </c>
    </row>
    <row r="26" customFormat="false" ht="15" hidden="false" customHeight="false" outlineLevel="0" collapsed="false">
      <c r="A26" s="3" t="s">
        <v>50</v>
      </c>
      <c r="B26" s="16" t="n">
        <f aca="false">(100-B50)*Liq_today/100</f>
        <v>138.082058622032</v>
      </c>
      <c r="C26" s="11" t="s">
        <v>51</v>
      </c>
    </row>
    <row r="27" customFormat="false" ht="15" hidden="false" customHeight="true" outlineLevel="0" collapsed="false">
      <c r="A27" s="3" t="s">
        <v>52</v>
      </c>
      <c r="B27" s="16" t="n">
        <f aca="false">B8+B26</f>
        <v>488.082058622032</v>
      </c>
      <c r="C27" s="11" t="s">
        <v>53</v>
      </c>
    </row>
    <row r="28" customFormat="false" ht="15" hidden="false" customHeight="false" outlineLevel="0" collapsed="false">
      <c r="A28" s="3" t="s">
        <v>54</v>
      </c>
      <c r="B28" s="14" t="n">
        <v>70</v>
      </c>
      <c r="C28" s="11" t="s">
        <v>55</v>
      </c>
    </row>
    <row r="29" customFormat="false" ht="15" hidden="false" customHeight="true" outlineLevel="0" collapsed="false">
      <c r="A29" s="3" t="s">
        <v>56</v>
      </c>
      <c r="B29" s="14" t="n">
        <v>80</v>
      </c>
      <c r="C29" s="11" t="s">
        <v>57</v>
      </c>
    </row>
    <row r="30" customFormat="false" ht="15" hidden="false" customHeight="true" outlineLevel="0" collapsed="false">
      <c r="A30" s="11"/>
    </row>
    <row r="31" customFormat="false" ht="15" hidden="false" customHeight="false" outlineLevel="0" collapsed="false">
      <c r="A31" s="11" t="s">
        <v>58</v>
      </c>
    </row>
    <row r="32" customFormat="false" ht="15" hidden="false" customHeight="false" outlineLevel="0" collapsed="false">
      <c r="A32" s="11" t="s">
        <v>59</v>
      </c>
    </row>
    <row r="34" customFormat="false" ht="52.2" hidden="false" customHeight="false" outlineLevel="0" collapsed="false">
      <c r="A34" s="17" t="s">
        <v>60</v>
      </c>
    </row>
    <row r="36" customFormat="false" ht="23.85" hidden="false" customHeight="false" outlineLevel="0" collapsed="false">
      <c r="A36" s="9" t="s">
        <v>61</v>
      </c>
      <c r="B36" s="9" t="s">
        <v>62</v>
      </c>
      <c r="C36" s="9" t="s">
        <v>63</v>
      </c>
      <c r="D36" s="9" t="s">
        <v>64</v>
      </c>
      <c r="E36" s="9" t="s">
        <v>65</v>
      </c>
      <c r="F36" s="9" t="s">
        <v>66</v>
      </c>
      <c r="G36" s="9" t="s">
        <v>67</v>
      </c>
      <c r="H36" s="9" t="s">
        <v>68</v>
      </c>
    </row>
    <row r="37" customFormat="false" ht="15" hidden="false" customHeight="false" outlineLevel="0" collapsed="false">
      <c r="A37" s="3" t="s">
        <v>69</v>
      </c>
      <c r="B37" s="3" t="n">
        <v>100</v>
      </c>
      <c r="C37" s="3" t="n">
        <v>112</v>
      </c>
      <c r="D37" s="3" t="n">
        <v>0.35</v>
      </c>
      <c r="E37" s="3" t="n">
        <v>-28</v>
      </c>
      <c r="F37" s="3" t="n">
        <v>2</v>
      </c>
      <c r="G37" s="16" t="n">
        <f aca="false">C37+(B37-C37)*EXP(-D37*5)+E37*(5/F37)*EXP(1-5/F37)</f>
        <v>94.2956014682046</v>
      </c>
      <c r="H37" s="16" t="n">
        <f aca="false">G37-B37</f>
        <v>-5.70439853179543</v>
      </c>
    </row>
    <row r="38" customFormat="false" ht="15" hidden="false" customHeight="false" outlineLevel="0" collapsed="false">
      <c r="A38" s="3" t="s">
        <v>70</v>
      </c>
      <c r="B38" s="3" t="n">
        <v>41</v>
      </c>
      <c r="C38" s="3" t="n">
        <v>78</v>
      </c>
      <c r="D38" s="3" t="n">
        <v>0.55</v>
      </c>
      <c r="E38" s="3" t="n">
        <v>0</v>
      </c>
      <c r="F38" s="3" t="n">
        <v>1</v>
      </c>
      <c r="G38" s="16" t="n">
        <f aca="false">C38+(B38-C38)*EXP(-D38*5)+E38*(5/F38)*EXP(1-5/F38)</f>
        <v>75.6346691353518</v>
      </c>
      <c r="H38" s="16" t="n">
        <f aca="false">G38-B38</f>
        <v>34.6346691353518</v>
      </c>
    </row>
    <row r="39" customFormat="false" ht="15" hidden="false" customHeight="false" outlineLevel="0" collapsed="false">
      <c r="A39" s="3" t="s">
        <v>71</v>
      </c>
      <c r="B39" s="3" t="n">
        <v>71</v>
      </c>
      <c r="C39" s="3" t="n">
        <v>77</v>
      </c>
      <c r="D39" s="3" t="n">
        <v>0.5</v>
      </c>
      <c r="E39" s="3" t="n">
        <v>-9</v>
      </c>
      <c r="F39" s="3" t="n">
        <v>1.5</v>
      </c>
      <c r="G39" s="16" t="n">
        <f aca="false">C39+(B39-C39)*EXP(-D39*5)+E39*(5/F39)*EXP(1-5/F39)</f>
        <v>73.5983309723245</v>
      </c>
      <c r="H39" s="16" t="n">
        <f aca="false">G39-B39</f>
        <v>2.59833097232446</v>
      </c>
    </row>
    <row r="41" customFormat="false" ht="15" hidden="false" customHeight="false" outlineLevel="0" collapsed="false">
      <c r="A41" s="11" t="s">
        <v>72</v>
      </c>
    </row>
    <row r="42" customFormat="false" ht="15" hidden="false" customHeight="false" outlineLevel="0" collapsed="false">
      <c r="A42" s="9" t="s">
        <v>73</v>
      </c>
      <c r="B42" s="9" t="s">
        <v>74</v>
      </c>
      <c r="C42" s="9" t="s">
        <v>75</v>
      </c>
      <c r="D42" s="9" t="s">
        <v>76</v>
      </c>
    </row>
    <row r="43" customFormat="false" ht="15" hidden="false" customHeight="false" outlineLevel="0" collapsed="false">
      <c r="A43" s="3" t="n">
        <v>0</v>
      </c>
      <c r="B43" s="18" t="n">
        <v>1.5</v>
      </c>
      <c r="C43" s="18" t="n">
        <f aca="false">-$D$37*($B$37-$C$37)*EXP(-$D$37*B43)+($E$37/$F$37)*EXP(1-B43/$F$37)*(1-B43/$F$37)</f>
        <v>-2.00955642806647</v>
      </c>
      <c r="D43" s="18" t="n">
        <f aca="false">$D$37^2*($B$37-$C$37)*EXP(-$D$37*B43)+($E$37/$F$37^2)*EXP(1-B43/$F$37)*(B43/$F$37-2)</f>
        <v>10.3656360103985</v>
      </c>
    </row>
    <row r="44" customFormat="false" ht="15" hidden="false" customHeight="false" outlineLevel="0" collapsed="false">
      <c r="A44" s="3" t="n">
        <v>1</v>
      </c>
      <c r="B44" s="18" t="n">
        <f aca="false">B43-C43/D43</f>
        <v>1.69386716126734</v>
      </c>
      <c r="C44" s="18" t="n">
        <f aca="false">-$D$37*($B$37-$C$37)*EXP(-$D$37*B44)+($E$37/$F$37)*EXP(1-B44/$F$37)*(1-B44/$F$37)</f>
        <v>-0.175834971299236</v>
      </c>
      <c r="D44" s="18" t="n">
        <f aca="false">$D$37^2*($B$37-$C$37)*EXP(-$D$37*B44)+($E$37/$F$37^2)*EXP(1-B44/$F$37)*(B44/$F$37-2)</f>
        <v>8.59396524790554</v>
      </c>
    </row>
    <row r="45" customFormat="false" ht="15" hidden="false" customHeight="false" outlineLevel="0" collapsed="false">
      <c r="A45" s="3" t="n">
        <v>2</v>
      </c>
      <c r="B45" s="18" t="n">
        <f aca="false">B44-C44/D44</f>
        <v>1.71432744545828</v>
      </c>
      <c r="C45" s="18" t="n">
        <f aca="false">-$D$37*($B$37-$C$37)*EXP(-$D$37*B45)+($E$37/$F$37)*EXP(1-B45/$F$37)*(1-B45/$F$37)</f>
        <v>-0.00176967527690408</v>
      </c>
      <c r="D45" s="18" t="n">
        <f aca="false">$D$37^2*($B$37-$C$37)*EXP(-$D$37*B45)+($E$37/$F$37^2)*EXP(1-B45/$F$37)*(B45/$F$37-2)</f>
        <v>8.42141759575561</v>
      </c>
    </row>
    <row r="46" customFormat="false" ht="15" hidden="false" customHeight="false" outlineLevel="0" collapsed="false">
      <c r="A46" s="3" t="n">
        <v>3</v>
      </c>
      <c r="B46" s="18" t="n">
        <f aca="false">B45-C45/D45</f>
        <v>1.71453758529006</v>
      </c>
      <c r="C46" s="18" t="n">
        <f aca="false">-$D$37*($B$37-$C$37)*EXP(-$D$37*B46)+($E$37/$F$37)*EXP(1-B46/$F$37)*(1-B46/$F$37)</f>
        <v>-1.84775125866565E-007</v>
      </c>
      <c r="D46" s="18" t="n">
        <f aca="false">$D$37^2*($B$37-$C$37)*EXP(-$D$37*B46)+($E$37/$F$37^2)*EXP(1-B46/$F$37)*(B46/$F$37-2)</f>
        <v>8.419659049601</v>
      </c>
    </row>
    <row r="47" customFormat="false" ht="15" hidden="false" customHeight="false" outlineLevel="0" collapsed="false">
      <c r="A47" s="3" t="n">
        <v>4</v>
      </c>
      <c r="B47" s="18" t="n">
        <f aca="false">B46-C46/D46</f>
        <v>1.71453760723574</v>
      </c>
      <c r="C47" s="18" t="n">
        <f aca="false">-$D$37*($B$37-$C$37)*EXP(-$D$37*B47)+($E$37/$F$37)*EXP(1-B47/$F$37)*(1-B47/$F$37)</f>
        <v>0</v>
      </c>
      <c r="D47" s="18" t="n">
        <f aca="false">$D$37^2*($B$37-$C$37)*EXP(-$D$37*B47)+($E$37/$F$37^2)*EXP(1-B47/$F$37)*(B47/$F$37-2)</f>
        <v>8.41965886596394</v>
      </c>
    </row>
    <row r="48" customFormat="false" ht="15" hidden="false" customHeight="false" outlineLevel="0" collapsed="false">
      <c r="A48" s="3" t="n">
        <v>5</v>
      </c>
      <c r="B48" s="18" t="n">
        <f aca="false">B47-C47/D47</f>
        <v>1.71453760723574</v>
      </c>
      <c r="C48" s="18" t="n">
        <f aca="false">-$D$37*($B$37-$C$37)*EXP(-$D$37*B48)+($E$37/$F$37)*EXP(1-B48/$F$37)*(1-B48/$F$37)</f>
        <v>0</v>
      </c>
      <c r="D48" s="18" t="n">
        <f aca="false">$D$37^2*($B$37-$C$37)*EXP(-$D$37*B48)+($E$37/$F$37^2)*EXP(1-B48/$F$37)*(B48/$F$37-2)</f>
        <v>8.41965886596394</v>
      </c>
    </row>
    <row r="49" customFormat="false" ht="15" hidden="false" customHeight="false" outlineLevel="0" collapsed="false">
      <c r="A49" s="3" t="s">
        <v>77</v>
      </c>
      <c r="B49" s="19" t="n">
        <f aca="false">B48*12</f>
        <v>20.5744512868289</v>
      </c>
      <c r="C49" s="11" t="s">
        <v>78</v>
      </c>
    </row>
    <row r="50" customFormat="false" ht="15" hidden="false" customHeight="false" outlineLevel="0" collapsed="false">
      <c r="A50" s="3" t="s">
        <v>79</v>
      </c>
      <c r="B50" s="16" t="n">
        <f aca="false">$C$37+($B$37-$C$37)*EXP(-$D$37*B48)+$E$37*(B48/$F$37)*EXP(1-B48/$F$37)</f>
        <v>77.7287002222529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5" min="2" style="1" width="14"/>
    <col collapsed="false" customWidth="true" hidden="false" outlineLevel="0" max="6" min="6" style="1" width="16"/>
    <col collapsed="false" customWidth="true" hidden="false" outlineLevel="0" max="7" min="7" style="1" width="36"/>
    <col collapsed="false" customWidth="true" hidden="false" outlineLevel="0" max="8" min="8" style="1" width="32"/>
  </cols>
  <sheetData>
    <row r="1" customFormat="false" ht="15" hidden="false" customHeight="true" outlineLevel="0" collapsed="false">
      <c r="A1" s="2" t="s">
        <v>80</v>
      </c>
    </row>
    <row r="3" customFormat="false" ht="15" hidden="false" customHeight="true" outlineLevel="0" collapsed="false">
      <c r="A3" s="9"/>
      <c r="B3" s="9" t="s">
        <v>81</v>
      </c>
      <c r="C3" s="9" t="s">
        <v>82</v>
      </c>
      <c r="D3" s="9" t="s">
        <v>83</v>
      </c>
      <c r="E3" s="9" t="s">
        <v>84</v>
      </c>
      <c r="F3" s="9" t="s">
        <v>85</v>
      </c>
      <c r="G3" s="9" t="s">
        <v>86</v>
      </c>
    </row>
    <row r="4" customFormat="false" ht="15" hidden="false" customHeight="true" outlineLevel="0" collapsed="false">
      <c r="A4" s="3" t="s">
        <v>87</v>
      </c>
      <c r="B4" s="20" t="n">
        <f aca="false">Liq_today</f>
        <v>620</v>
      </c>
      <c r="C4" s="21" t="n">
        <f aca="false">Tech_today</f>
        <v>41</v>
      </c>
      <c r="D4" s="20" t="n">
        <f aca="false">W_today</f>
        <v>58</v>
      </c>
      <c r="E4" s="22" t="n">
        <f aca="false">Eff_today</f>
        <v>71</v>
      </c>
      <c r="F4" s="10" t="n">
        <v>0</v>
      </c>
      <c r="G4" s="10" t="n">
        <v>0</v>
      </c>
    </row>
    <row r="6" customFormat="false" ht="23.25" hidden="false" customHeight="true" outlineLevel="0" collapsed="false">
      <c r="A6" s="9" t="s">
        <v>88</v>
      </c>
      <c r="B6" s="23" t="s">
        <v>89</v>
      </c>
      <c r="C6" s="23" t="s">
        <v>90</v>
      </c>
      <c r="D6" s="23" t="s">
        <v>91</v>
      </c>
      <c r="E6" s="23" t="s">
        <v>92</v>
      </c>
      <c r="F6" s="24" t="s">
        <v>93</v>
      </c>
      <c r="G6" s="9" t="s">
        <v>94</v>
      </c>
      <c r="H6" s="9" t="s">
        <v>95</v>
      </c>
    </row>
    <row r="7" customFormat="false" ht="15" hidden="false" customHeight="true" outlineLevel="0" collapsed="false">
      <c r="A7" s="3" t="s">
        <v>96</v>
      </c>
      <c r="B7" s="25" t="n">
        <f aca="false">IF(F7=1,CHOOSE(1,$B$4+Proc_S,$B$4+Proc_Sk,$B$4+D_dL,$B$4-Cost_A),"no result")</f>
        <v>732</v>
      </c>
      <c r="C7" s="26" t="n">
        <f aca="false">IF(F7=1,CHOOSE(1,(1-Tech_share)*$C$4,(1-Tech_share)*$C$4,$C$4+D_dT,$C$4),"no result")</f>
        <v>36.9</v>
      </c>
      <c r="D7" s="25" t="n">
        <f aca="false">IF(F7=1,CHOOSE(1,$D$4-W_lost,$D$4,$D$4,$D$4+W_gain),"no result")</f>
        <v>53</v>
      </c>
      <c r="E7" s="27" t="n">
        <f aca="false">IF(F7=1,CHOOSE(1,$E$4,$E$4,$E$4+D_dE,$E$4+Close_A*(Ceil_E-$E$4)),"no result")</f>
        <v>71</v>
      </c>
      <c r="F7" s="28" t="n">
        <f aca="false">IF(1&lt;=2,1-$F$4,IF(1=3,IF(AND($G$4=0,$D$4&gt;=W_min,$B$4-D_dip&gt;=Floor_q),1,0),IF(AND($D$4&gt;=W_min,$B$4&gt;=Pre_A),1,0)))</f>
        <v>1</v>
      </c>
      <c r="G7" s="3" t="str">
        <f aca="false">"the unit unsold"</f>
        <v>the unit unsold</v>
      </c>
      <c r="H7" s="3" t="str">
        <f aca="false">IF($F$4=1,"the unit is already sold","")</f>
        <v/>
      </c>
    </row>
    <row r="8" customFormat="false" ht="15" hidden="false" customHeight="true" outlineLevel="0" collapsed="false">
      <c r="A8" s="3" t="s">
        <v>97</v>
      </c>
      <c r="B8" s="25" t="n">
        <f aca="false">IF(F8=1,CHOOSE(2,$B$4+Proc_S,$B$4+Proc_Sk,$B$4+D_dL,$B$4-Cost_A),"no result")</f>
        <v>712</v>
      </c>
      <c r="C8" s="26" t="n">
        <f aca="false">IF(F8=1,CHOOSE(2,(1-Tech_share)*$C$4,(1-Tech_share)*$C$4,$C$4+D_dT,$C$4),"no result")</f>
        <v>36.9</v>
      </c>
      <c r="D8" s="25" t="n">
        <f aca="false">IF(F8=1,CHOOSE(2,$D$4-W_lost,$D$4,$D$4,$D$4+W_gain),"no result")</f>
        <v>58</v>
      </c>
      <c r="E8" s="27" t="n">
        <f aca="false">IF(F8=1,CHOOSE(2,$E$4,$E$4,$E$4+D_dE,$E$4+Close_A*(Ceil_E-$E$4)),"no result")</f>
        <v>71</v>
      </c>
      <c r="F8" s="28" t="n">
        <f aca="false">IF(2&lt;=2,1-$F$4,IF(2=3,IF(AND($G$4=0,$D$4&gt;=W_min,$B$4-D_dip&gt;=Floor_q),1,0),IF(AND($D$4&gt;=W_min,$B$4&gt;=Pre_A),1,0)))</f>
        <v>1</v>
      </c>
      <c r="G8" s="3" t="str">
        <f aca="false">"the unit unsold"</f>
        <v>the unit unsold</v>
      </c>
      <c r="H8" s="3" t="str">
        <f aca="false">IF($F$4=1,"the unit is already sold","")</f>
        <v/>
      </c>
    </row>
    <row r="9" customFormat="false" ht="15" hidden="false" customHeight="true" outlineLevel="0" collapsed="false">
      <c r="A9" s="3" t="s">
        <v>98</v>
      </c>
      <c r="B9" s="25" t="n">
        <f aca="false">IF(F9=1,CHOOSE(3,$B$4+Proc_S,$B$4+Proc_Sk,$B$4+D_dL,$B$4-Cost_A),"no result")</f>
        <v>584.632729102868</v>
      </c>
      <c r="C9" s="26" t="n">
        <f aca="false">IF(F9=1,CHOOSE(3,(1-Tech_share)*$C$4,(1-Tech_share)*$C$4,$C$4+D_dT,$C$4),"no result")</f>
        <v>75.6346691353518</v>
      </c>
      <c r="D9" s="25" t="n">
        <f aca="false">IF(F9=1,CHOOSE(3,$D$4-W_lost,$D$4,$D$4,$D$4+W_gain),"no result")</f>
        <v>58</v>
      </c>
      <c r="E9" s="27" t="n">
        <f aca="false">IF(F9=1,CHOOSE(3,$E$4,$E$4,$E$4+D_dE,$E$4+Close_A*(Ceil_E-$E$4)),"no result")</f>
        <v>73.5983309723245</v>
      </c>
      <c r="F9" s="28" t="n">
        <f aca="false">IF(3&lt;=2,1-$F$4,IF(3=3,IF(AND($G$4=0,$D$4&gt;=W_min,$B$4-D_dip&gt;=Floor_q),1,0),IF(AND($D$4&gt;=W_min,$B$4&gt;=Pre_A),1,0)))</f>
        <v>1</v>
      </c>
      <c r="G9" s="3" t="str">
        <f aca="false">"not built, workforce &gt;= "&amp;TEXT(W_min,"0")&amp;", liquidity &gt;= $"&amp;TEXT(Pre_D,"0")&amp;"m"</f>
        <v>not built, workforce &gt;= 55, liquidity &gt;= $488m</v>
      </c>
      <c r="H9" s="3" t="str">
        <f aca="false">IF($G$4=1,"the platform is already built",IF($D$4&lt;W_min,"workforce below "&amp;TEXT(W_min,"0"),IF($B$4-D_dip&lt;Floor_q,"its low point $"&amp;TEXT($B$4-D_dip,"0")&amp;"m is below the floor","")))</f>
        <v/>
      </c>
    </row>
    <row r="10" customFormat="false" ht="15" hidden="false" customHeight="true" outlineLevel="0" collapsed="false">
      <c r="A10" s="3" t="s">
        <v>99</v>
      </c>
      <c r="B10" s="25" t="n">
        <f aca="false">IF(F10=1,CHOOSE(4,$B$4+Proc_S,$B$4+Proc_Sk,$B$4+D_dL,$B$4-Cost_A),"no result")</f>
        <v>500</v>
      </c>
      <c r="C10" s="26" t="n">
        <f aca="false">IF(F10=1,CHOOSE(4,(1-Tech_share)*$C$4,(1-Tech_share)*$C$4,$C$4+D_dT,$C$4),"no result")</f>
        <v>41</v>
      </c>
      <c r="D10" s="25" t="n">
        <f aca="false">IF(F10=1,CHOOSE(4,$D$4-W_lost,$D$4,$D$4,$D$4+W_gain),"no result")</f>
        <v>59</v>
      </c>
      <c r="E10" s="27" t="n">
        <f aca="false">IF(F10=1,CHOOSE(4,$E$4,$E$4,$E$4+D_dE,$E$4+Close_A*(Ceil_E-$E$4)),"no result")</f>
        <v>78</v>
      </c>
      <c r="F10" s="28" t="n">
        <f aca="false">IF(4&lt;=2,1-$F$4,IF(4=3,IF(AND($G$4=0,$D$4&gt;=W_min,$B$4-D_dip&gt;=Floor_q),1,0),IF(AND($D$4&gt;=W_min,$B$4&gt;=Pre_A),1,0)))</f>
        <v>1</v>
      </c>
      <c r="G10" s="3" t="str">
        <f aca="false">"workforce &gt;= "&amp;TEXT(W_min,"0")&amp;", liquidity &gt;= $"&amp;TEXT(Pre_A,"0")&amp;"m"</f>
        <v>workforce &gt;= 55, liquidity &gt;= $470m</v>
      </c>
      <c r="H10" s="3" t="str">
        <f aca="false">IF($D$4&lt;W_min,"workforce below "&amp;TEXT(W_min,"0"),IF($B$4&lt;Pre_A,"liquidity below $"&amp;TEXT(Pre_A,"0")&amp;"m",""))</f>
        <v/>
      </c>
    </row>
    <row r="11" customFormat="false" ht="15" hidden="false" customHeight="true" outlineLevel="0" collapsed="false">
      <c r="A11" s="5" t="s">
        <v>100</v>
      </c>
      <c r="F11" s="28" t="n">
        <f aca="false">SUM(F7:F10)</f>
        <v>4</v>
      </c>
    </row>
    <row r="12" customFormat="false" ht="15" hidden="false" customHeight="true" outlineLevel="0" collapsed="false">
      <c r="A12" s="3" t="s">
        <v>101</v>
      </c>
      <c r="B12" s="14" t="n">
        <f aca="false">B4-D_dip</f>
        <v>481.917941377968</v>
      </c>
      <c r="C12" s="11" t="str">
        <f aca="false">IF(B12&gt;=Floor_q,"$"&amp;TEXT(B12-Floor_q,"0")&amp;" million above the floor: the build can start today","below the floor: outside its domain the build has no result (Definition 6.3)")</f>
        <v>$132 million above the floor: the build can start today</v>
      </c>
    </row>
    <row r="14" customFormat="false" ht="23.25" hidden="false" customHeight="true" outlineLevel="0" collapsed="false">
      <c r="A14" s="9" t="s">
        <v>102</v>
      </c>
      <c r="B14" s="23" t="s">
        <v>81</v>
      </c>
      <c r="C14" s="23" t="s">
        <v>84</v>
      </c>
      <c r="D14" s="24" t="s">
        <v>103</v>
      </c>
      <c r="E14" s="23" t="s">
        <v>89</v>
      </c>
      <c r="F14" s="23" t="s">
        <v>92</v>
      </c>
    </row>
    <row r="15" customFormat="false" ht="15" hidden="false" customHeight="true" outlineLevel="0" collapsed="false">
      <c r="A15" s="3" t="s">
        <v>87</v>
      </c>
      <c r="B15" s="29" t="n">
        <v>620</v>
      </c>
      <c r="C15" s="30" t="n">
        <v>71</v>
      </c>
      <c r="D15" s="28" t="n">
        <f aca="false">IF(AND(B15&gt;=Pre_A,W_today&gt;=W_min),1,0)</f>
        <v>1</v>
      </c>
      <c r="E15" s="25" t="n">
        <f aca="false">IF(D15=1,B15-Cost_A,"no result")</f>
        <v>500</v>
      </c>
      <c r="F15" s="27" t="n">
        <f aca="false">IF(D15=1,C15+Close_A*(Ceil_E-C15),"no result")</f>
        <v>78</v>
      </c>
    </row>
    <row r="16" customFormat="false" ht="15" hidden="false" customHeight="true" outlineLevel="0" collapsed="false">
      <c r="A16" s="3" t="s">
        <v>104</v>
      </c>
      <c r="B16" s="29" t="n">
        <v>860</v>
      </c>
      <c r="C16" s="30" t="n">
        <v>67.5</v>
      </c>
      <c r="D16" s="28" t="n">
        <f aca="false">IF(AND(B16&gt;=Pre_A,W_today&gt;=W_min),1,0)</f>
        <v>1</v>
      </c>
      <c r="E16" s="25" t="n">
        <f aca="false">IF(D16=1,B16-Cost_A,"no result")</f>
        <v>740</v>
      </c>
      <c r="F16" s="27" t="n">
        <f aca="false">IF(D16=1,C16+Close_A*(Ceil_E-C16),"no result")</f>
        <v>76.25</v>
      </c>
    </row>
    <row r="17" customFormat="false" ht="15" hidden="false" customHeight="true" outlineLevel="0" collapsed="false">
      <c r="A17" s="3" t="s">
        <v>104</v>
      </c>
      <c r="B17" s="29" t="n">
        <v>800</v>
      </c>
      <c r="C17" s="30" t="n">
        <v>81</v>
      </c>
      <c r="D17" s="28" t="n">
        <f aca="false">IF(AND(B17&gt;=Pre_A,W_today&gt;=W_min),1,0)</f>
        <v>1</v>
      </c>
      <c r="E17" s="25" t="n">
        <f aca="false">IF(D17=1,B17-Cost_A,"no result")</f>
        <v>680</v>
      </c>
      <c r="F17" s="27" t="n">
        <f aca="false">IF(D17=1,C17+Close_A*(Ceil_E-C17),"no result")</f>
        <v>83</v>
      </c>
    </row>
    <row r="18" customFormat="false" ht="15" hidden="false" customHeight="true" outlineLevel="0" collapsed="false">
      <c r="A18" s="3" t="s">
        <v>105</v>
      </c>
      <c r="B18" s="29" t="n">
        <v>410</v>
      </c>
      <c r="C18" s="30" t="n">
        <v>66.5</v>
      </c>
      <c r="D18" s="28" t="n">
        <f aca="false">IF(AND(B18&gt;=Pre_A,W_today&gt;=W_min),1,0)</f>
        <v>0</v>
      </c>
      <c r="E18" s="25" t="str">
        <f aca="false">IF(D18=1,B18-Cost_A,"no result")</f>
        <v>no result</v>
      </c>
      <c r="F18" s="27" t="str">
        <f aca="false">IF(D18=1,C18+Close_A*(Ceil_E-C18),"no result")</f>
        <v>no result</v>
      </c>
    </row>
    <row r="19" customFormat="false" ht="15" hidden="false" customHeight="true" outlineLevel="0" collapsed="false">
      <c r="A19" s="11" t="s">
        <v>106</v>
      </c>
    </row>
    <row r="21" customFormat="false" ht="15" hidden="false" customHeight="true" outlineLevel="0" collapsed="false">
      <c r="A21" s="9" t="s">
        <v>107</v>
      </c>
      <c r="B21" s="23" t="s">
        <v>89</v>
      </c>
      <c r="C21" s="23" t="s">
        <v>91</v>
      </c>
      <c r="D21" s="23" t="s">
        <v>108</v>
      </c>
    </row>
    <row r="22" customFormat="false" ht="15" hidden="false" customHeight="true" outlineLevel="0" collapsed="false">
      <c r="A22" s="3" t="s">
        <v>109</v>
      </c>
      <c r="B22" s="25" t="n">
        <f aca="false">CHOOSE(1,$B$4+Proc_S,$B$4+Proc_Sk,$B$4+D_dL,$B$4-Cost_A)</f>
        <v>732</v>
      </c>
      <c r="C22" s="25" t="n">
        <f aca="false">CHOOSE(1,$D$4-W_lost,$D$4,$D$4,$D$4+W_gain)</f>
        <v>53</v>
      </c>
      <c r="D22" s="31" t="s">
        <v>110</v>
      </c>
    </row>
    <row r="23" customFormat="false" ht="15" hidden="false" customHeight="true" outlineLevel="0" collapsed="false">
      <c r="A23" s="3" t="s">
        <v>111</v>
      </c>
      <c r="B23" s="25" t="n">
        <f aca="false">CHOOSE(2,$B$4+Proc_S,$B$4+Proc_Sk,$B$4+D_dL,$B$4-Cost_A)</f>
        <v>712</v>
      </c>
      <c r="C23" s="25" t="n">
        <f aca="false">CHOOSE(2,$D$4-W_lost,$D$4,$D$4,$D$4+W_gain)</f>
        <v>58</v>
      </c>
      <c r="D23" s="31" t="s">
        <v>110</v>
      </c>
    </row>
    <row r="24" customFormat="false" ht="15" hidden="false" customHeight="true" outlineLevel="0" collapsed="false">
      <c r="A24" s="3" t="s">
        <v>112</v>
      </c>
      <c r="B24" s="14" t="n">
        <f aca="false">IF(OR(B22&lt;&gt;B23,C22&lt;&gt;C23),2,1)</f>
        <v>2</v>
      </c>
    </row>
    <row r="25" customFormat="false" ht="15" hidden="false" customHeight="true" outlineLevel="0" collapsed="false">
      <c r="A25" s="3" t="s">
        <v>113</v>
      </c>
      <c r="B25" s="3" t="str">
        <f aca="false">IF(B24=1,"yes","no: a family of two, one per decision about the engineers")</f>
        <v>no: a family of two, one per decision about the engineers</v>
      </c>
    </row>
    <row r="27" customFormat="false" ht="15" hidden="false" customHeight="true" outlineLevel="0" collapsed="false">
      <c r="A27" s="11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4" min="2" style="1" width="14"/>
    <col collapsed="false" customWidth="true" hidden="false" outlineLevel="0" max="5" min="5" style="1" width="22"/>
    <col collapsed="false" customWidth="true" hidden="false" outlineLevel="0" max="6" min="6" style="1" width="16"/>
    <col collapsed="false" customWidth="true" hidden="false" outlineLevel="0" max="7" min="7" style="1" width="3"/>
    <col collapsed="false" customWidth="true" hidden="false" outlineLevel="0" max="8" min="8" style="1" width="52"/>
    <col collapsed="false" customWidth="true" hidden="false" outlineLevel="0" max="9" min="9" style="1" width="14"/>
  </cols>
  <sheetData>
    <row r="1" customFormat="false" ht="15" hidden="false" customHeight="true" outlineLevel="0" collapsed="false">
      <c r="A1" s="2" t="s">
        <v>115</v>
      </c>
    </row>
    <row r="2" customFormat="false" ht="15" hidden="false" customHeight="true" outlineLevel="0" collapsed="false">
      <c r="A2" s="11" t="s">
        <v>116</v>
      </c>
    </row>
    <row r="3" customFormat="false" ht="15" hidden="false" customHeight="true" outlineLevel="0" collapsed="false">
      <c r="A3" s="9" t="s">
        <v>117</v>
      </c>
      <c r="B3" s="9" t="s">
        <v>18</v>
      </c>
      <c r="H3" s="9" t="s">
        <v>118</v>
      </c>
      <c r="I3" s="9" t="s">
        <v>18</v>
      </c>
    </row>
    <row r="4" customFormat="false" ht="15" hidden="false" customHeight="true" outlineLevel="0" collapsed="false">
      <c r="A4" s="3" t="s">
        <v>119</v>
      </c>
      <c r="B4" s="10" t="n">
        <v>900</v>
      </c>
      <c r="H4" s="3" t="s">
        <v>120</v>
      </c>
      <c r="I4" s="16" t="n">
        <f aca="false">B13</f>
        <v>600</v>
      </c>
    </row>
    <row r="5" customFormat="false" ht="15" hidden="false" customHeight="true" outlineLevel="0" collapsed="false">
      <c r="A5" s="3" t="s">
        <v>121</v>
      </c>
      <c r="B5" s="10" t="n">
        <v>300</v>
      </c>
      <c r="H5" s="3" t="s">
        <v>122</v>
      </c>
      <c r="I5" s="16" t="n">
        <f aca="false">B14</f>
        <v>450</v>
      </c>
    </row>
    <row r="6" customFormat="false" ht="15" hidden="false" customHeight="true" outlineLevel="0" collapsed="false">
      <c r="A6" s="3" t="s">
        <v>123</v>
      </c>
      <c r="B6" s="12" t="n">
        <v>41</v>
      </c>
      <c r="H6" s="3" t="s">
        <v>124</v>
      </c>
      <c r="I6" s="16" t="n">
        <f aca="false">B15</f>
        <v>375</v>
      </c>
    </row>
    <row r="7" customFormat="false" ht="15" hidden="false" customHeight="true" outlineLevel="0" collapsed="false">
      <c r="A7" s="3" t="s">
        <v>125</v>
      </c>
      <c r="B7" s="13" t="n">
        <v>0.05</v>
      </c>
      <c r="H7" s="3" t="s">
        <v>126</v>
      </c>
      <c r="I7" s="16" t="n">
        <f aca="false">B16</f>
        <v>337.5</v>
      </c>
    </row>
    <row r="8" customFormat="false" ht="15" hidden="false" customHeight="true" outlineLevel="0" collapsed="false">
      <c r="A8" s="3" t="s">
        <v>127</v>
      </c>
      <c r="B8" s="13" t="n">
        <v>0.5</v>
      </c>
      <c r="H8" s="3" t="s">
        <v>128</v>
      </c>
      <c r="I8" s="16" t="n">
        <f aca="false">D13</f>
        <v>56</v>
      </c>
    </row>
    <row r="9" customFormat="false" ht="15" hidden="false" customHeight="true" outlineLevel="0" collapsed="false">
      <c r="H9" s="3" t="s">
        <v>122</v>
      </c>
      <c r="I9" s="16" t="n">
        <f aca="false">D14</f>
        <v>63.5</v>
      </c>
    </row>
    <row r="10" customFormat="false" ht="15" hidden="false" customHeight="true" outlineLevel="0" collapsed="false">
      <c r="H10" s="3" t="s">
        <v>129</v>
      </c>
      <c r="I10" s="18" t="n">
        <f aca="false">SUM(C12:C52)</f>
        <v>599.999999999454</v>
      </c>
    </row>
    <row r="11" customFormat="false" ht="23.25" hidden="false" customHeight="true" outlineLevel="0" collapsed="false">
      <c r="A11" s="9" t="s">
        <v>130</v>
      </c>
      <c r="B11" s="9" t="s">
        <v>81</v>
      </c>
      <c r="C11" s="9" t="s">
        <v>131</v>
      </c>
      <c r="D11" s="9" t="s">
        <v>82</v>
      </c>
      <c r="E11" s="9" t="s">
        <v>132</v>
      </c>
      <c r="F11" s="9" t="s">
        <v>133</v>
      </c>
      <c r="H11" s="3" t="s">
        <v>134</v>
      </c>
      <c r="I11" s="18" t="n">
        <f aca="false">D52</f>
        <v>70.9999999999727</v>
      </c>
    </row>
    <row r="12" customFormat="false" ht="15" hidden="false" customHeight="true" outlineLevel="0" collapsed="false">
      <c r="A12" s="14" t="n">
        <v>0</v>
      </c>
      <c r="B12" s="16" t="n">
        <f aca="false">B4</f>
        <v>900</v>
      </c>
      <c r="C12" s="16" t="n">
        <v>0</v>
      </c>
      <c r="D12" s="16" t="n">
        <f aca="false">B6</f>
        <v>41</v>
      </c>
      <c r="E12" s="16" t="n">
        <f aca="false">$B$5+($B$4-$B$5)*(1-$B$8)^A12</f>
        <v>900</v>
      </c>
    </row>
    <row r="13" customFormat="false" ht="15" hidden="false" customHeight="true" outlineLevel="0" collapsed="false">
      <c r="A13" s="14" t="n">
        <v>1</v>
      </c>
      <c r="B13" s="16" t="n">
        <f aca="false">B12-C13</f>
        <v>600</v>
      </c>
      <c r="C13" s="16" t="n">
        <f aca="false">$B$8*(B12-$B$5)</f>
        <v>300</v>
      </c>
      <c r="D13" s="16" t="n">
        <f aca="false">D12+$B$7*C13</f>
        <v>56</v>
      </c>
      <c r="E13" s="16" t="n">
        <f aca="false">$B$5+($B$4-$B$5)*(1-$B$8)^A13</f>
        <v>600</v>
      </c>
      <c r="F13" s="14" t="n">
        <f aca="false">IF(B12-C13&gt;=$B$5,1,0)</f>
        <v>1</v>
      </c>
    </row>
    <row r="14" customFormat="false" ht="15" hidden="false" customHeight="true" outlineLevel="0" collapsed="false">
      <c r="A14" s="14" t="n">
        <v>2</v>
      </c>
      <c r="B14" s="16" t="n">
        <f aca="false">B13-C14</f>
        <v>450</v>
      </c>
      <c r="C14" s="16" t="n">
        <f aca="false">$B$8*(B13-$B$5)</f>
        <v>150</v>
      </c>
      <c r="D14" s="16" t="n">
        <f aca="false">D13+$B$7*C14</f>
        <v>63.5</v>
      </c>
      <c r="E14" s="16" t="n">
        <f aca="false">$B$5+($B$4-$B$5)*(1-$B$8)^A14</f>
        <v>450</v>
      </c>
      <c r="F14" s="14" t="n">
        <f aca="false">IF(B13-C14&gt;=$B$5,1,0)</f>
        <v>1</v>
      </c>
    </row>
    <row r="15" customFormat="false" ht="15" hidden="false" customHeight="true" outlineLevel="0" collapsed="false">
      <c r="A15" s="14" t="n">
        <v>3</v>
      </c>
      <c r="B15" s="16" t="n">
        <f aca="false">B14-C15</f>
        <v>375</v>
      </c>
      <c r="C15" s="16" t="n">
        <f aca="false">$B$8*(B14-$B$5)</f>
        <v>75</v>
      </c>
      <c r="D15" s="16" t="n">
        <f aca="false">D14+$B$7*C15</f>
        <v>67.25</v>
      </c>
      <c r="E15" s="16" t="n">
        <f aca="false">$B$5+($B$4-$B$5)*(1-$B$8)^A15</f>
        <v>375</v>
      </c>
      <c r="F15" s="14" t="n">
        <f aca="false">IF(B14-C15&gt;=$B$5,1,0)</f>
        <v>1</v>
      </c>
    </row>
    <row r="16" customFormat="false" ht="15" hidden="false" customHeight="true" outlineLevel="0" collapsed="false">
      <c r="A16" s="14" t="n">
        <v>4</v>
      </c>
      <c r="B16" s="16" t="n">
        <f aca="false">B15-C16</f>
        <v>337.5</v>
      </c>
      <c r="C16" s="16" t="n">
        <f aca="false">$B$8*(B15-$B$5)</f>
        <v>37.5</v>
      </c>
      <c r="D16" s="16" t="n">
        <f aca="false">D15+$B$7*C16</f>
        <v>69.125</v>
      </c>
      <c r="E16" s="16" t="n">
        <f aca="false">$B$5+($B$4-$B$5)*(1-$B$8)^A16</f>
        <v>337.5</v>
      </c>
      <c r="F16" s="14" t="n">
        <f aca="false">IF(B15-C16&gt;=$B$5,1,0)</f>
        <v>1</v>
      </c>
    </row>
    <row r="17" customFormat="false" ht="15" hidden="false" customHeight="true" outlineLevel="0" collapsed="false">
      <c r="A17" s="14" t="n">
        <v>5</v>
      </c>
      <c r="B17" s="16" t="n">
        <f aca="false">B16-C17</f>
        <v>318.75</v>
      </c>
      <c r="C17" s="16" t="n">
        <f aca="false">$B$8*(B16-$B$5)</f>
        <v>18.75</v>
      </c>
      <c r="D17" s="16" t="n">
        <f aca="false">D16+$B$7*C17</f>
        <v>70.0625</v>
      </c>
      <c r="E17" s="16" t="n">
        <f aca="false">$B$5+($B$4-$B$5)*(1-$B$8)^A17</f>
        <v>318.75</v>
      </c>
      <c r="F17" s="14" t="n">
        <f aca="false">IF(B16-C17&gt;=$B$5,1,0)</f>
        <v>1</v>
      </c>
    </row>
    <row r="18" customFormat="false" ht="15" hidden="false" customHeight="true" outlineLevel="0" collapsed="false">
      <c r="A18" s="14" t="n">
        <v>6</v>
      </c>
      <c r="B18" s="16" t="n">
        <f aca="false">B17-C18</f>
        <v>309.375</v>
      </c>
      <c r="C18" s="16" t="n">
        <f aca="false">$B$8*(B17-$B$5)</f>
        <v>9.375</v>
      </c>
      <c r="D18" s="16" t="n">
        <f aca="false">D17+$B$7*C18</f>
        <v>70.53125</v>
      </c>
      <c r="E18" s="16" t="n">
        <f aca="false">$B$5+($B$4-$B$5)*(1-$B$8)^A18</f>
        <v>309.375</v>
      </c>
      <c r="F18" s="14" t="n">
        <f aca="false">IF(B17-C18&gt;=$B$5,1,0)</f>
        <v>1</v>
      </c>
    </row>
    <row r="19" customFormat="false" ht="15" hidden="false" customHeight="true" outlineLevel="0" collapsed="false">
      <c r="A19" s="14" t="n">
        <v>7</v>
      </c>
      <c r="B19" s="16" t="n">
        <f aca="false">B18-C19</f>
        <v>304.6875</v>
      </c>
      <c r="C19" s="16" t="n">
        <f aca="false">$B$8*(B18-$B$5)</f>
        <v>4.6875</v>
      </c>
      <c r="D19" s="16" t="n">
        <f aca="false">D18+$B$7*C19</f>
        <v>70.765625</v>
      </c>
      <c r="E19" s="16" t="n">
        <f aca="false">$B$5+($B$4-$B$5)*(1-$B$8)^A19</f>
        <v>304.6875</v>
      </c>
      <c r="F19" s="14" t="n">
        <f aca="false">IF(B18-C19&gt;=$B$5,1,0)</f>
        <v>1</v>
      </c>
    </row>
    <row r="20" customFormat="false" ht="15" hidden="false" customHeight="true" outlineLevel="0" collapsed="false">
      <c r="A20" s="14" t="n">
        <v>8</v>
      </c>
      <c r="B20" s="16" t="n">
        <f aca="false">B19-C20</f>
        <v>302.34375</v>
      </c>
      <c r="C20" s="16" t="n">
        <f aca="false">$B$8*(B19-$B$5)</f>
        <v>2.34375</v>
      </c>
      <c r="D20" s="16" t="n">
        <f aca="false">D19+$B$7*C20</f>
        <v>70.8828125</v>
      </c>
      <c r="E20" s="16" t="n">
        <f aca="false">$B$5+($B$4-$B$5)*(1-$B$8)^A20</f>
        <v>302.34375</v>
      </c>
      <c r="F20" s="14" t="n">
        <f aca="false">IF(B19-C20&gt;=$B$5,1,0)</f>
        <v>1</v>
      </c>
    </row>
    <row r="21" customFormat="false" ht="15" hidden="false" customHeight="true" outlineLevel="0" collapsed="false">
      <c r="A21" s="14" t="n">
        <v>9</v>
      </c>
      <c r="B21" s="16" t="n">
        <f aca="false">B20-C21</f>
        <v>301.171875</v>
      </c>
      <c r="C21" s="16" t="n">
        <f aca="false">$B$8*(B20-$B$5)</f>
        <v>1.171875</v>
      </c>
      <c r="D21" s="16" t="n">
        <f aca="false">D20+$B$7*C21</f>
        <v>70.94140625</v>
      </c>
      <c r="E21" s="16" t="n">
        <f aca="false">$B$5+($B$4-$B$5)*(1-$B$8)^A21</f>
        <v>301.171875</v>
      </c>
      <c r="F21" s="14" t="n">
        <f aca="false">IF(B20-C21&gt;=$B$5,1,0)</f>
        <v>1</v>
      </c>
    </row>
    <row r="22" customFormat="false" ht="15" hidden="false" customHeight="true" outlineLevel="0" collapsed="false">
      <c r="A22" s="14" t="n">
        <v>10</v>
      </c>
      <c r="B22" s="16" t="n">
        <f aca="false">B21-C22</f>
        <v>300.5859375</v>
      </c>
      <c r="C22" s="16" t="n">
        <f aca="false">$B$8*(B21-$B$5)</f>
        <v>0.5859375</v>
      </c>
      <c r="D22" s="16" t="n">
        <f aca="false">D21+$B$7*C22</f>
        <v>70.970703125</v>
      </c>
      <c r="E22" s="16" t="n">
        <f aca="false">$B$5+($B$4-$B$5)*(1-$B$8)^A22</f>
        <v>300.5859375</v>
      </c>
      <c r="F22" s="14" t="n">
        <f aca="false">IF(B21-C22&gt;=$B$5,1,0)</f>
        <v>1</v>
      </c>
    </row>
    <row r="23" customFormat="false" ht="15" hidden="false" customHeight="true" outlineLevel="0" collapsed="false">
      <c r="A23" s="14" t="n">
        <v>11</v>
      </c>
      <c r="B23" s="16" t="n">
        <f aca="false">B22-C23</f>
        <v>300.29296875</v>
      </c>
      <c r="C23" s="16" t="n">
        <f aca="false">$B$8*(B22-$B$5)</f>
        <v>0.29296875</v>
      </c>
      <c r="D23" s="16" t="n">
        <f aca="false">D22+$B$7*C23</f>
        <v>70.9853515625</v>
      </c>
      <c r="E23" s="16" t="n">
        <f aca="false">$B$5+($B$4-$B$5)*(1-$B$8)^A23</f>
        <v>300.29296875</v>
      </c>
      <c r="F23" s="14" t="n">
        <f aca="false">IF(B22-C23&gt;=$B$5,1,0)</f>
        <v>1</v>
      </c>
    </row>
    <row r="24" customFormat="false" ht="15" hidden="false" customHeight="true" outlineLevel="0" collapsed="false">
      <c r="A24" s="14" t="n">
        <v>12</v>
      </c>
      <c r="B24" s="16" t="n">
        <f aca="false">B23-C24</f>
        <v>300.146484375</v>
      </c>
      <c r="C24" s="16" t="n">
        <f aca="false">$B$8*(B23-$B$5)</f>
        <v>0.146484375</v>
      </c>
      <c r="D24" s="16" t="n">
        <f aca="false">D23+$B$7*C24</f>
        <v>70.99267578125</v>
      </c>
      <c r="E24" s="16" t="n">
        <f aca="false">$B$5+($B$4-$B$5)*(1-$B$8)^A24</f>
        <v>300.146484375</v>
      </c>
      <c r="F24" s="14" t="n">
        <f aca="false">IF(B23-C24&gt;=$B$5,1,0)</f>
        <v>1</v>
      </c>
    </row>
    <row r="25" customFormat="false" ht="15" hidden="false" customHeight="true" outlineLevel="0" collapsed="false">
      <c r="A25" s="14" t="n">
        <v>13</v>
      </c>
      <c r="B25" s="16" t="n">
        <f aca="false">B24-C25</f>
        <v>300.0732421875</v>
      </c>
      <c r="C25" s="16" t="n">
        <f aca="false">$B$8*(B24-$B$5)</f>
        <v>0.0732421875</v>
      </c>
      <c r="D25" s="16" t="n">
        <f aca="false">D24+$B$7*C25</f>
        <v>70.996337890625</v>
      </c>
      <c r="E25" s="16" t="n">
        <f aca="false">$B$5+($B$4-$B$5)*(1-$B$8)^A25</f>
        <v>300.0732421875</v>
      </c>
      <c r="F25" s="14" t="n">
        <f aca="false">IF(B24-C25&gt;=$B$5,1,0)</f>
        <v>1</v>
      </c>
    </row>
    <row r="26" customFormat="false" ht="15" hidden="false" customHeight="true" outlineLevel="0" collapsed="false">
      <c r="A26" s="14" t="n">
        <v>14</v>
      </c>
      <c r="B26" s="16" t="n">
        <f aca="false">B25-C26</f>
        <v>300.03662109375</v>
      </c>
      <c r="C26" s="16" t="n">
        <f aca="false">$B$8*(B25-$B$5)</f>
        <v>0.03662109375</v>
      </c>
      <c r="D26" s="16" t="n">
        <f aca="false">D25+$B$7*C26</f>
        <v>70.9981689453125</v>
      </c>
      <c r="E26" s="16" t="n">
        <f aca="false">$B$5+($B$4-$B$5)*(1-$B$8)^A26</f>
        <v>300.03662109375</v>
      </c>
      <c r="F26" s="14" t="n">
        <f aca="false">IF(B25-C26&gt;=$B$5,1,0)</f>
        <v>1</v>
      </c>
    </row>
    <row r="27" customFormat="false" ht="15" hidden="false" customHeight="true" outlineLevel="0" collapsed="false">
      <c r="A27" s="14" t="n">
        <v>15</v>
      </c>
      <c r="B27" s="16" t="n">
        <f aca="false">B26-C27</f>
        <v>300.018310546875</v>
      </c>
      <c r="C27" s="16" t="n">
        <f aca="false">$B$8*(B26-$B$5)</f>
        <v>0.018310546875</v>
      </c>
      <c r="D27" s="16" t="n">
        <f aca="false">D26+$B$7*C27</f>
        <v>70.9990844726563</v>
      </c>
      <c r="E27" s="16" t="n">
        <f aca="false">$B$5+($B$4-$B$5)*(1-$B$8)^A27</f>
        <v>300.018310546875</v>
      </c>
      <c r="F27" s="14" t="n">
        <f aca="false">IF(B26-C27&gt;=$B$5,1,0)</f>
        <v>1</v>
      </c>
    </row>
    <row r="28" customFormat="false" ht="15" hidden="false" customHeight="true" outlineLevel="0" collapsed="false">
      <c r="A28" s="14" t="n">
        <v>16</v>
      </c>
      <c r="B28" s="16" t="n">
        <f aca="false">B27-C28</f>
        <v>300.009155273438</v>
      </c>
      <c r="C28" s="16" t="n">
        <f aca="false">$B$8*(B27-$B$5)</f>
        <v>0.0091552734375</v>
      </c>
      <c r="D28" s="16" t="n">
        <f aca="false">D27+$B$7*C28</f>
        <v>70.9995422363281</v>
      </c>
      <c r="E28" s="16" t="n">
        <f aca="false">$B$5+($B$4-$B$5)*(1-$B$8)^A28</f>
        <v>300.009155273438</v>
      </c>
      <c r="F28" s="14" t="n">
        <f aca="false">IF(B27-C28&gt;=$B$5,1,0)</f>
        <v>1</v>
      </c>
    </row>
    <row r="29" customFormat="false" ht="15" hidden="false" customHeight="true" outlineLevel="0" collapsed="false">
      <c r="A29" s="14" t="n">
        <v>17</v>
      </c>
      <c r="B29" s="16" t="n">
        <f aca="false">B28-C29</f>
        <v>300.004577636719</v>
      </c>
      <c r="C29" s="16" t="n">
        <f aca="false">$B$8*(B28-$B$5)</f>
        <v>0.00457763671875</v>
      </c>
      <c r="D29" s="16" t="n">
        <f aca="false">D28+$B$7*C29</f>
        <v>70.9997711181641</v>
      </c>
      <c r="E29" s="16" t="n">
        <f aca="false">$B$5+($B$4-$B$5)*(1-$B$8)^A29</f>
        <v>300.004577636719</v>
      </c>
      <c r="F29" s="14" t="n">
        <f aca="false">IF(B28-C29&gt;=$B$5,1,0)</f>
        <v>1</v>
      </c>
    </row>
    <row r="30" customFormat="false" ht="15" hidden="false" customHeight="true" outlineLevel="0" collapsed="false">
      <c r="A30" s="14" t="n">
        <v>18</v>
      </c>
      <c r="B30" s="16" t="n">
        <f aca="false">B29-C30</f>
        <v>300.002288818359</v>
      </c>
      <c r="C30" s="16" t="n">
        <f aca="false">$B$8*(B29-$B$5)</f>
        <v>0.002288818359375</v>
      </c>
      <c r="D30" s="16" t="n">
        <f aca="false">D29+$B$7*C30</f>
        <v>70.999885559082</v>
      </c>
      <c r="E30" s="16" t="n">
        <f aca="false">$B$5+($B$4-$B$5)*(1-$B$8)^A30</f>
        <v>300.002288818359</v>
      </c>
      <c r="F30" s="14" t="n">
        <f aca="false">IF(B29-C30&gt;=$B$5,1,0)</f>
        <v>1</v>
      </c>
    </row>
    <row r="31" customFormat="false" ht="15" hidden="false" customHeight="true" outlineLevel="0" collapsed="false">
      <c r="A31" s="14" t="n">
        <v>19</v>
      </c>
      <c r="B31" s="16" t="n">
        <f aca="false">B30-C31</f>
        <v>300.00114440918</v>
      </c>
      <c r="C31" s="16" t="n">
        <f aca="false">$B$8*(B30-$B$5)</f>
        <v>0.0011444091796875</v>
      </c>
      <c r="D31" s="16" t="n">
        <f aca="false">D30+$B$7*C31</f>
        <v>70.999942779541</v>
      </c>
      <c r="E31" s="16" t="n">
        <f aca="false">$B$5+($B$4-$B$5)*(1-$B$8)^A31</f>
        <v>300.00114440918</v>
      </c>
      <c r="F31" s="14" t="n">
        <f aca="false">IF(B30-C31&gt;=$B$5,1,0)</f>
        <v>1</v>
      </c>
    </row>
    <row r="32" customFormat="false" ht="15" hidden="false" customHeight="true" outlineLevel="0" collapsed="false">
      <c r="A32" s="14" t="n">
        <v>20</v>
      </c>
      <c r="B32" s="16" t="n">
        <f aca="false">B31-C32</f>
        <v>300.00057220459</v>
      </c>
      <c r="C32" s="16" t="n">
        <f aca="false">$B$8*(B31-$B$5)</f>
        <v>0.00057220458984375</v>
      </c>
      <c r="D32" s="16" t="n">
        <f aca="false">D31+$B$7*C32</f>
        <v>70.9999713897705</v>
      </c>
      <c r="E32" s="16" t="n">
        <f aca="false">$B$5+($B$4-$B$5)*(1-$B$8)^A32</f>
        <v>300.00057220459</v>
      </c>
      <c r="F32" s="14" t="n">
        <f aca="false">IF(B31-C32&gt;=$B$5,1,0)</f>
        <v>1</v>
      </c>
    </row>
    <row r="33" customFormat="false" ht="15" hidden="false" customHeight="true" outlineLevel="0" collapsed="false">
      <c r="A33" s="14" t="n">
        <v>21</v>
      </c>
      <c r="B33" s="16" t="n">
        <f aca="false">B32-C33</f>
        <v>300.000286102295</v>
      </c>
      <c r="C33" s="16" t="n">
        <f aca="false">$B$8*(B32-$B$5)</f>
        <v>0.000286102294921875</v>
      </c>
      <c r="D33" s="16" t="n">
        <f aca="false">D32+$B$7*C33</f>
        <v>70.9999856948853</v>
      </c>
      <c r="E33" s="16" t="n">
        <f aca="false">$B$5+($B$4-$B$5)*(1-$B$8)^A33</f>
        <v>300.000286102295</v>
      </c>
      <c r="F33" s="14" t="n">
        <f aca="false">IF(B32-C33&gt;=$B$5,1,0)</f>
        <v>1</v>
      </c>
    </row>
    <row r="34" customFormat="false" ht="15" hidden="false" customHeight="true" outlineLevel="0" collapsed="false">
      <c r="A34" s="14" t="n">
        <v>22</v>
      </c>
      <c r="B34" s="16" t="n">
        <f aca="false">B33-C34</f>
        <v>300.000143051147</v>
      </c>
      <c r="C34" s="16" t="n">
        <f aca="false">$B$8*(B33-$B$5)</f>
        <v>0.000143051147460938</v>
      </c>
      <c r="D34" s="16" t="n">
        <f aca="false">D33+$B$7*C34</f>
        <v>70.9999928474426</v>
      </c>
      <c r="E34" s="16" t="n">
        <f aca="false">$B$5+($B$4-$B$5)*(1-$B$8)^A34</f>
        <v>300.000143051147</v>
      </c>
      <c r="F34" s="14" t="n">
        <f aca="false">IF(B33-C34&gt;=$B$5,1,0)</f>
        <v>1</v>
      </c>
    </row>
    <row r="35" customFormat="false" ht="15" hidden="false" customHeight="true" outlineLevel="0" collapsed="false">
      <c r="A35" s="14" t="n">
        <v>23</v>
      </c>
      <c r="B35" s="16" t="n">
        <f aca="false">B34-C35</f>
        <v>300.000071525574</v>
      </c>
      <c r="C35" s="16" t="n">
        <f aca="false">$B$8*(B34-$B$5)</f>
        <v>7.15255737304688E-005</v>
      </c>
      <c r="D35" s="16" t="n">
        <f aca="false">D34+$B$7*C35</f>
        <v>70.9999964237213</v>
      </c>
      <c r="E35" s="16" t="n">
        <f aca="false">$B$5+($B$4-$B$5)*(1-$B$8)^A35</f>
        <v>300.000071525574</v>
      </c>
      <c r="F35" s="14" t="n">
        <f aca="false">IF(B34-C35&gt;=$B$5,1,0)</f>
        <v>1</v>
      </c>
    </row>
    <row r="36" customFormat="false" ht="15" hidden="false" customHeight="true" outlineLevel="0" collapsed="false">
      <c r="A36" s="14" t="n">
        <v>24</v>
      </c>
      <c r="B36" s="16" t="n">
        <f aca="false">B35-C36</f>
        <v>300.000035762787</v>
      </c>
      <c r="C36" s="16" t="n">
        <f aca="false">$B$8*(B35-$B$5)</f>
        <v>3.57627868652344E-005</v>
      </c>
      <c r="D36" s="16" t="n">
        <f aca="false">D35+$B$7*C36</f>
        <v>70.9999982118607</v>
      </c>
      <c r="E36" s="16" t="n">
        <f aca="false">$B$5+($B$4-$B$5)*(1-$B$8)^A36</f>
        <v>300.000035762787</v>
      </c>
      <c r="F36" s="14" t="n">
        <f aca="false">IF(B35-C36&gt;=$B$5,1,0)</f>
        <v>1</v>
      </c>
    </row>
    <row r="37" customFormat="false" ht="15" hidden="false" customHeight="true" outlineLevel="0" collapsed="false">
      <c r="A37" s="14" t="n">
        <v>25</v>
      </c>
      <c r="B37" s="16" t="n">
        <f aca="false">B36-C37</f>
        <v>300.000017881393</v>
      </c>
      <c r="C37" s="16" t="n">
        <f aca="false">$B$8*(B36-$B$5)</f>
        <v>1.78813934326172E-005</v>
      </c>
      <c r="D37" s="16" t="n">
        <f aca="false">D36+$B$7*C37</f>
        <v>70.9999991059303</v>
      </c>
      <c r="E37" s="16" t="n">
        <f aca="false">$B$5+($B$4-$B$5)*(1-$B$8)^A37</f>
        <v>300.000017881393</v>
      </c>
      <c r="F37" s="14" t="n">
        <f aca="false">IF(B36-C37&gt;=$B$5,1,0)</f>
        <v>1</v>
      </c>
    </row>
    <row r="38" customFormat="false" ht="15" hidden="false" customHeight="true" outlineLevel="0" collapsed="false">
      <c r="A38" s="14" t="n">
        <v>26</v>
      </c>
      <c r="B38" s="16" t="n">
        <f aca="false">B37-C38</f>
        <v>300.000008940697</v>
      </c>
      <c r="C38" s="16" t="n">
        <f aca="false">$B$8*(B37-$B$5)</f>
        <v>8.94069671630859E-006</v>
      </c>
      <c r="D38" s="16" t="n">
        <f aca="false">D37+$B$7*C38</f>
        <v>70.9999995529652</v>
      </c>
      <c r="E38" s="16" t="n">
        <f aca="false">$B$5+($B$4-$B$5)*(1-$B$8)^A38</f>
        <v>300.000008940697</v>
      </c>
      <c r="F38" s="14" t="n">
        <f aca="false">IF(B37-C38&gt;=$B$5,1,0)</f>
        <v>1</v>
      </c>
    </row>
    <row r="39" customFormat="false" ht="15" hidden="false" customHeight="true" outlineLevel="0" collapsed="false">
      <c r="A39" s="14" t="n">
        <v>27</v>
      </c>
      <c r="B39" s="16" t="n">
        <f aca="false">B38-C39</f>
        <v>300.000004470348</v>
      </c>
      <c r="C39" s="16" t="n">
        <f aca="false">$B$8*(B38-$B$5)</f>
        <v>4.4703483581543E-006</v>
      </c>
      <c r="D39" s="16" t="n">
        <f aca="false">D38+$B$7*C39</f>
        <v>70.9999997764826</v>
      </c>
      <c r="E39" s="16" t="n">
        <f aca="false">$B$5+($B$4-$B$5)*(1-$B$8)^A39</f>
        <v>300.000004470348</v>
      </c>
      <c r="F39" s="14" t="n">
        <f aca="false">IF(B38-C39&gt;=$B$5,1,0)</f>
        <v>1</v>
      </c>
    </row>
    <row r="40" customFormat="false" ht="15" hidden="false" customHeight="true" outlineLevel="0" collapsed="false">
      <c r="A40" s="14" t="n">
        <v>28</v>
      </c>
      <c r="B40" s="16" t="n">
        <f aca="false">B39-C40</f>
        <v>300.000002235174</v>
      </c>
      <c r="C40" s="16" t="n">
        <f aca="false">$B$8*(B39-$B$5)</f>
        <v>2.23517417907715E-006</v>
      </c>
      <c r="D40" s="16" t="n">
        <f aca="false">D39+$B$7*C40</f>
        <v>70.9999998882413</v>
      </c>
      <c r="E40" s="16" t="n">
        <f aca="false">$B$5+($B$4-$B$5)*(1-$B$8)^A40</f>
        <v>300.000002235174</v>
      </c>
      <c r="F40" s="14" t="n">
        <f aca="false">IF(B39-C40&gt;=$B$5,1,0)</f>
        <v>1</v>
      </c>
    </row>
    <row r="41" customFormat="false" ht="15" hidden="false" customHeight="true" outlineLevel="0" collapsed="false">
      <c r="A41" s="14" t="n">
        <v>29</v>
      </c>
      <c r="B41" s="16" t="n">
        <f aca="false">B40-C41</f>
        <v>300.000001117587</v>
      </c>
      <c r="C41" s="16" t="n">
        <f aca="false">$B$8*(B40-$B$5)</f>
        <v>1.11758708953857E-006</v>
      </c>
      <c r="D41" s="16" t="n">
        <f aca="false">D40+$B$7*C41</f>
        <v>70.9999999441207</v>
      </c>
      <c r="E41" s="16" t="n">
        <f aca="false">$B$5+($B$4-$B$5)*(1-$B$8)^A41</f>
        <v>300.000001117587</v>
      </c>
      <c r="F41" s="14" t="n">
        <f aca="false">IF(B40-C41&gt;=$B$5,1,0)</f>
        <v>1</v>
      </c>
    </row>
    <row r="42" customFormat="false" ht="15" hidden="false" customHeight="true" outlineLevel="0" collapsed="false">
      <c r="A42" s="14" t="n">
        <v>30</v>
      </c>
      <c r="B42" s="16" t="n">
        <f aca="false">B41-C42</f>
        <v>300.000000558794</v>
      </c>
      <c r="C42" s="16" t="n">
        <f aca="false">$B$8*(B41-$B$5)</f>
        <v>5.58793544769287E-007</v>
      </c>
      <c r="D42" s="16" t="n">
        <f aca="false">D41+$B$7*C42</f>
        <v>70.9999999720603</v>
      </c>
      <c r="E42" s="16" t="n">
        <f aca="false">$B$5+($B$4-$B$5)*(1-$B$8)^A42</f>
        <v>300.000000558794</v>
      </c>
      <c r="F42" s="14" t="n">
        <f aca="false">IF(B41-C42&gt;=$B$5,1,0)</f>
        <v>1</v>
      </c>
    </row>
    <row r="43" customFormat="false" ht="15" hidden="false" customHeight="true" outlineLevel="0" collapsed="false">
      <c r="A43" s="14" t="n">
        <v>31</v>
      </c>
      <c r="B43" s="16" t="n">
        <f aca="false">B42-C43</f>
        <v>300.000000279397</v>
      </c>
      <c r="C43" s="16" t="n">
        <f aca="false">$B$8*(B42-$B$5)</f>
        <v>2.79396772384644E-007</v>
      </c>
      <c r="D43" s="16" t="n">
        <f aca="false">D42+$B$7*C43</f>
        <v>70.9999999860302</v>
      </c>
      <c r="E43" s="16" t="n">
        <f aca="false">$B$5+($B$4-$B$5)*(1-$B$8)^A43</f>
        <v>300.000000279397</v>
      </c>
      <c r="F43" s="14" t="n">
        <f aca="false">IF(B42-C43&gt;=$B$5,1,0)</f>
        <v>1</v>
      </c>
    </row>
    <row r="44" customFormat="false" ht="15" hidden="false" customHeight="true" outlineLevel="0" collapsed="false">
      <c r="A44" s="14" t="n">
        <v>32</v>
      </c>
      <c r="B44" s="16" t="n">
        <f aca="false">B43-C44</f>
        <v>300.000000139698</v>
      </c>
      <c r="C44" s="16" t="n">
        <f aca="false">$B$8*(B43-$B$5)</f>
        <v>1.39698386192322E-007</v>
      </c>
      <c r="D44" s="16" t="n">
        <f aca="false">D43+$B$7*C44</f>
        <v>70.9999999930151</v>
      </c>
      <c r="E44" s="16" t="n">
        <f aca="false">$B$5+($B$4-$B$5)*(1-$B$8)^A44</f>
        <v>300.000000139698</v>
      </c>
      <c r="F44" s="14" t="n">
        <f aca="false">IF(B43-C44&gt;=$B$5,1,0)</f>
        <v>1</v>
      </c>
    </row>
    <row r="45" customFormat="false" ht="15" hidden="false" customHeight="true" outlineLevel="0" collapsed="false">
      <c r="A45" s="14" t="n">
        <v>33</v>
      </c>
      <c r="B45" s="16" t="n">
        <f aca="false">B44-C45</f>
        <v>300.000000069849</v>
      </c>
      <c r="C45" s="16" t="n">
        <f aca="false">$B$8*(B44-$B$5)</f>
        <v>6.98491930961609E-008</v>
      </c>
      <c r="D45" s="16" t="n">
        <f aca="false">D44+$B$7*C45</f>
        <v>70.9999999965075</v>
      </c>
      <c r="E45" s="16" t="n">
        <f aca="false">$B$5+($B$4-$B$5)*(1-$B$8)^A45</f>
        <v>300.000000069849</v>
      </c>
      <c r="F45" s="14" t="n">
        <f aca="false">IF(B44-C45&gt;=$B$5,1,0)</f>
        <v>1</v>
      </c>
    </row>
    <row r="46" customFormat="false" ht="15" hidden="false" customHeight="true" outlineLevel="0" collapsed="false">
      <c r="A46" s="14" t="n">
        <v>34</v>
      </c>
      <c r="B46" s="16" t="n">
        <f aca="false">B45-C46</f>
        <v>300.000000034925</v>
      </c>
      <c r="C46" s="16" t="n">
        <f aca="false">$B$8*(B45-$B$5)</f>
        <v>3.49245965480804E-008</v>
      </c>
      <c r="D46" s="16" t="n">
        <f aca="false">D45+$B$7*C46</f>
        <v>70.9999999982538</v>
      </c>
      <c r="E46" s="16" t="n">
        <f aca="false">$B$5+($B$4-$B$5)*(1-$B$8)^A46</f>
        <v>300.000000034925</v>
      </c>
      <c r="F46" s="14" t="n">
        <f aca="false">IF(B45-C46&gt;=$B$5,1,0)</f>
        <v>1</v>
      </c>
    </row>
    <row r="47" customFormat="false" ht="15" hidden="false" customHeight="true" outlineLevel="0" collapsed="false">
      <c r="A47" s="14" t="n">
        <v>35</v>
      </c>
      <c r="B47" s="16" t="n">
        <f aca="false">B46-C47</f>
        <v>300.000000017462</v>
      </c>
      <c r="C47" s="16" t="n">
        <f aca="false">$B$8*(B46-$B$5)</f>
        <v>1.74622982740402E-008</v>
      </c>
      <c r="D47" s="16" t="n">
        <f aca="false">D46+$B$7*C47</f>
        <v>70.9999999991269</v>
      </c>
      <c r="E47" s="16" t="n">
        <f aca="false">$B$5+($B$4-$B$5)*(1-$B$8)^A47</f>
        <v>300.000000017462</v>
      </c>
      <c r="F47" s="14" t="n">
        <f aca="false">IF(B46-C47&gt;=$B$5,1,0)</f>
        <v>1</v>
      </c>
    </row>
    <row r="48" customFormat="false" ht="15" hidden="false" customHeight="true" outlineLevel="0" collapsed="false">
      <c r="A48" s="14" t="n">
        <v>36</v>
      </c>
      <c r="B48" s="16" t="n">
        <f aca="false">B47-C48</f>
        <v>300.000000008731</v>
      </c>
      <c r="C48" s="16" t="n">
        <f aca="false">$B$8*(B47-$B$5)</f>
        <v>8.73114913702011E-009</v>
      </c>
      <c r="D48" s="16" t="n">
        <f aca="false">D47+$B$7*C48</f>
        <v>70.9999999995634</v>
      </c>
      <c r="E48" s="16" t="n">
        <f aca="false">$B$5+($B$4-$B$5)*(1-$B$8)^A48</f>
        <v>300.000000008731</v>
      </c>
      <c r="F48" s="14" t="n">
        <f aca="false">IF(B47-C48&gt;=$B$5,1,0)</f>
        <v>1</v>
      </c>
    </row>
    <row r="49" customFormat="false" ht="15" hidden="false" customHeight="true" outlineLevel="0" collapsed="false">
      <c r="A49" s="14" t="n">
        <v>37</v>
      </c>
      <c r="B49" s="16" t="n">
        <f aca="false">B48-C49</f>
        <v>300.000000004366</v>
      </c>
      <c r="C49" s="16" t="n">
        <f aca="false">$B$8*(B48-$B$5)</f>
        <v>4.36557456851006E-009</v>
      </c>
      <c r="D49" s="16" t="n">
        <f aca="false">D48+$B$7*C49</f>
        <v>70.9999999997817</v>
      </c>
      <c r="E49" s="16" t="n">
        <f aca="false">$B$5+($B$4-$B$5)*(1-$B$8)^A49</f>
        <v>300.000000004366</v>
      </c>
      <c r="F49" s="14" t="n">
        <f aca="false">IF(B48-C49&gt;=$B$5,1,0)</f>
        <v>1</v>
      </c>
    </row>
    <row r="50" customFormat="false" ht="15" hidden="false" customHeight="true" outlineLevel="0" collapsed="false">
      <c r="A50" s="14" t="n">
        <v>38</v>
      </c>
      <c r="B50" s="16" t="n">
        <f aca="false">B49-C50</f>
        <v>300.000000002183</v>
      </c>
      <c r="C50" s="16" t="n">
        <f aca="false">$B$8*(B49-$B$5)</f>
        <v>2.18278728425503E-009</v>
      </c>
      <c r="D50" s="16" t="n">
        <f aca="false">D49+$B$7*C50</f>
        <v>70.9999999998909</v>
      </c>
      <c r="E50" s="16" t="n">
        <f aca="false">$B$5+($B$4-$B$5)*(1-$B$8)^A50</f>
        <v>300.000000002183</v>
      </c>
      <c r="F50" s="14" t="n">
        <f aca="false">IF(B49-C50&gt;=$B$5,1,0)</f>
        <v>1</v>
      </c>
    </row>
    <row r="51" customFormat="false" ht="15" hidden="false" customHeight="true" outlineLevel="0" collapsed="false">
      <c r="A51" s="14" t="n">
        <v>39</v>
      </c>
      <c r="B51" s="16" t="n">
        <f aca="false">B50-C51</f>
        <v>300.000000001091</v>
      </c>
      <c r="C51" s="16" t="n">
        <f aca="false">$B$8*(B50-$B$5)</f>
        <v>1.09139364212751E-009</v>
      </c>
      <c r="D51" s="16" t="n">
        <f aca="false">D50+$B$7*C51</f>
        <v>70.9999999999454</v>
      </c>
      <c r="E51" s="16" t="n">
        <f aca="false">$B$5+($B$4-$B$5)*(1-$B$8)^A51</f>
        <v>300.000000001091</v>
      </c>
      <c r="F51" s="14" t="n">
        <f aca="false">IF(B50-C51&gt;=$B$5,1,0)</f>
        <v>1</v>
      </c>
    </row>
    <row r="52" customFormat="false" ht="15" hidden="false" customHeight="true" outlineLevel="0" collapsed="false">
      <c r="A52" s="14" t="n">
        <v>40</v>
      </c>
      <c r="B52" s="16" t="n">
        <f aca="false">B51-C52</f>
        <v>300.000000000546</v>
      </c>
      <c r="C52" s="16" t="n">
        <f aca="false">$B$8*(B51-$B$5)</f>
        <v>5.45696821063757E-010</v>
      </c>
      <c r="D52" s="16" t="n">
        <f aca="false">D51+$B$7*C52</f>
        <v>70.9999999999727</v>
      </c>
      <c r="E52" s="16" t="n">
        <f aca="false">$B$5+($B$4-$B$5)*(1-$B$8)^A52</f>
        <v>300.000000000546</v>
      </c>
      <c r="F52" s="14" t="n">
        <f aca="false">IF(B51-C52&gt;=$B$5,1,0)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3"/>
    <col collapsed="false" customWidth="true" hidden="false" outlineLevel="0" max="16" min="3" style="1" width="11"/>
    <col collapsed="false" customWidth="true" hidden="false" outlineLevel="0" max="18" min="17" style="1" width="14"/>
    <col collapsed="false" customWidth="true" hidden="false" outlineLevel="0" max="20" min="19" style="0" width="10"/>
  </cols>
  <sheetData>
    <row r="1" customFormat="false" ht="15" hidden="false" customHeight="true" outlineLevel="0" collapsed="false">
      <c r="A1" s="2" t="s">
        <v>135</v>
      </c>
    </row>
    <row r="2" customFormat="false" ht="15" hidden="false" customHeight="true" outlineLevel="0" collapsed="false">
      <c r="A2" s="11" t="s">
        <v>136</v>
      </c>
    </row>
    <row r="3" customFormat="false" ht="15" hidden="false" customHeight="true" outlineLevel="0" collapsed="false">
      <c r="A3" s="9"/>
      <c r="B3" s="9" t="s">
        <v>81</v>
      </c>
      <c r="C3" s="9" t="s">
        <v>82</v>
      </c>
      <c r="D3" s="9" t="s">
        <v>83</v>
      </c>
      <c r="E3" s="9" t="s">
        <v>84</v>
      </c>
      <c r="F3" s="9" t="s">
        <v>137</v>
      </c>
      <c r="G3" s="9" t="s">
        <v>138</v>
      </c>
    </row>
    <row r="4" customFormat="false" ht="15" hidden="false" customHeight="true" outlineLevel="0" collapsed="false">
      <c r="A4" s="3" t="s">
        <v>87</v>
      </c>
      <c r="B4" s="20" t="n">
        <f aca="false">Liq_today</f>
        <v>620</v>
      </c>
      <c r="C4" s="20" t="n">
        <f aca="false">Tech_today</f>
        <v>41</v>
      </c>
      <c r="D4" s="20" t="n">
        <f aca="false">W_today</f>
        <v>58</v>
      </c>
      <c r="E4" s="20" t="n">
        <f aca="false">Eff_today</f>
        <v>71</v>
      </c>
      <c r="F4" s="20" t="n">
        <f aca="false">Operators!F4</f>
        <v>0</v>
      </c>
      <c r="G4" s="20" t="n">
        <f aca="false">Operators!G4</f>
        <v>0</v>
      </c>
    </row>
    <row r="6" customFormat="false" ht="23.25" hidden="false" customHeight="true" outlineLevel="0" collapsed="false">
      <c r="A6" s="9" t="s">
        <v>139</v>
      </c>
      <c r="B6" s="9" t="s">
        <v>140</v>
      </c>
      <c r="C6" s="9" t="s">
        <v>141</v>
      </c>
      <c r="D6" s="9" t="s">
        <v>142</v>
      </c>
      <c r="E6" s="9" t="s">
        <v>143</v>
      </c>
      <c r="F6" s="9" t="s">
        <v>144</v>
      </c>
      <c r="G6" s="9" t="s">
        <v>145</v>
      </c>
      <c r="H6" s="9" t="s">
        <v>146</v>
      </c>
      <c r="I6" s="9" t="s">
        <v>147</v>
      </c>
      <c r="J6" s="9" t="s">
        <v>148</v>
      </c>
      <c r="K6" s="9" t="s">
        <v>149</v>
      </c>
      <c r="L6" s="9" t="s">
        <v>150</v>
      </c>
      <c r="M6" s="9" t="s">
        <v>151</v>
      </c>
      <c r="N6" s="9" t="s">
        <v>152</v>
      </c>
      <c r="O6" s="9" t="s">
        <v>153</v>
      </c>
      <c r="P6" s="9" t="s">
        <v>154</v>
      </c>
      <c r="Q6" s="9" t="s">
        <v>155</v>
      </c>
      <c r="R6" s="9" t="s">
        <v>156</v>
      </c>
      <c r="S6" s="9" t="s">
        <v>157</v>
      </c>
      <c r="T6" s="9" t="s">
        <v>158</v>
      </c>
    </row>
    <row r="7" customFormat="false" ht="15" hidden="false" customHeight="true" outlineLevel="0" collapsed="false">
      <c r="A7" s="3" t="s">
        <v>159</v>
      </c>
      <c r="B7" s="3" t="s">
        <v>159</v>
      </c>
      <c r="C7" s="14" t="n">
        <v>1</v>
      </c>
      <c r="D7" s="14" t="n">
        <v>1</v>
      </c>
      <c r="E7" s="14" t="n">
        <f aca="false">IF(C7&lt;=2,1-$F$4,IF(C7=3,IF(AND($G$4=0,$D$4&gt;=W_min,$B$4-D_dip&gt;=Floor_q),1,0),IF(AND($D$4&gt;=W_min,$B$4&gt;=Pre_A),1,0)))</f>
        <v>1</v>
      </c>
      <c r="F7" s="14" t="n">
        <f aca="false">CHOOSE(C7,$B$4+Proc_S,$B$4+Proc_Sk,$B$4+D_dL,$B$4-Cost_A)</f>
        <v>732</v>
      </c>
      <c r="G7" s="19" t="n">
        <f aca="false">CHOOSE(C7,(1-Tech_share)*$C$4,(1-Tech_share)*$C$4,$C$4+D_dT,$C$4)</f>
        <v>36.9</v>
      </c>
      <c r="H7" s="14" t="n">
        <f aca="false">CHOOSE(C7,$D$4-W_lost,$D$4,$D$4,$D$4+W_gain)</f>
        <v>53</v>
      </c>
      <c r="I7" s="16" t="n">
        <f aca="false">CHOOSE(C7,$E$4,$E$4,$E$4+D_dE,$E$4+Close_A*(Ceil_E-$E$4))</f>
        <v>71</v>
      </c>
      <c r="J7" s="14" t="n">
        <f aca="false">CHOOSE(C7,1,1,$F$4,$F$4)</f>
        <v>1</v>
      </c>
      <c r="K7" s="14" t="n">
        <f aca="false">E7*IF(D7&lt;=2,1-J7,IF(D7=3,IF(AND(S7=0,H7&gt;=W_min,F7-D_dip&gt;=Floor_q),1,0),IF(AND(H7&gt;=W_min,F7&gt;=Pre_A),1,0)))</f>
        <v>0</v>
      </c>
      <c r="L7" s="14" t="n">
        <f aca="false">CHOOSE(D7,F7+Proc_S,F7+Proc_Sk,F7+D_dL,F7-Cost_A)</f>
        <v>844</v>
      </c>
      <c r="M7" s="19" t="n">
        <f aca="false">CHOOSE(D7,(1-Tech_share)*G7,(1-Tech_share)*G7,G7+D_dT,G7)</f>
        <v>33.21</v>
      </c>
      <c r="N7" s="14" t="n">
        <f aca="false">CHOOSE(D7,H7-W_lost,H7,H7,H7+W_gain)</f>
        <v>48</v>
      </c>
      <c r="O7" s="16" t="n">
        <f aca="false">CHOOSE(D7,I7,I7,I7+D_dE,I7+Close_A*(Ceil_E-I7))</f>
        <v>71</v>
      </c>
      <c r="P7" s="14" t="n">
        <f aca="false">CHOOSE(D7,1,1,J7,J7)</f>
        <v>1</v>
      </c>
      <c r="Q7" s="14" t="n">
        <f aca="false">IF(K7=1,IF(AND(M7&gt;=Target_T,O7&gt;=Target_E,L7&gt;=Floor_q),1,0),0)</f>
        <v>0</v>
      </c>
      <c r="R7" s="14" t="str">
        <f aca="false">IF(K7=1,L7-Floor_q,"")</f>
        <v/>
      </c>
      <c r="S7" s="14" t="n">
        <f aca="false">CHOOSE(C7,$G$4,$G$4,1,$G$4)</f>
        <v>0</v>
      </c>
      <c r="T7" s="14" t="n">
        <f aca="false">CHOOSE(D7,S7,S7,1,S7)</f>
        <v>0</v>
      </c>
    </row>
    <row r="8" customFormat="false" ht="15" hidden="false" customHeight="true" outlineLevel="0" collapsed="false">
      <c r="A8" s="3" t="s">
        <v>159</v>
      </c>
      <c r="B8" s="3" t="s">
        <v>160</v>
      </c>
      <c r="C8" s="14" t="n">
        <v>1</v>
      </c>
      <c r="D8" s="14" t="n">
        <v>2</v>
      </c>
      <c r="E8" s="14" t="n">
        <f aca="false">IF(C8&lt;=2,1-$F$4,IF(C8=3,IF(AND($G$4=0,$D$4&gt;=W_min,$B$4-D_dip&gt;=Floor_q),1,0),IF(AND($D$4&gt;=W_min,$B$4&gt;=Pre_A),1,0)))</f>
        <v>1</v>
      </c>
      <c r="F8" s="14" t="n">
        <f aca="false">CHOOSE(C8,$B$4+Proc_S,$B$4+Proc_Sk,$B$4+D_dL,$B$4-Cost_A)</f>
        <v>732</v>
      </c>
      <c r="G8" s="19" t="n">
        <f aca="false">CHOOSE(C8,(1-Tech_share)*$C$4,(1-Tech_share)*$C$4,$C$4+D_dT,$C$4)</f>
        <v>36.9</v>
      </c>
      <c r="H8" s="14" t="n">
        <f aca="false">CHOOSE(C8,$D$4-W_lost,$D$4,$D$4,$D$4+W_gain)</f>
        <v>53</v>
      </c>
      <c r="I8" s="16" t="n">
        <f aca="false">CHOOSE(C8,$E$4,$E$4,$E$4+D_dE,$E$4+Close_A*(Ceil_E-$E$4))</f>
        <v>71</v>
      </c>
      <c r="J8" s="14" t="n">
        <f aca="false">CHOOSE(C8,1,1,$F$4,$F$4)</f>
        <v>1</v>
      </c>
      <c r="K8" s="14" t="n">
        <f aca="false">E8*IF(D8&lt;=2,1-J8,IF(D8=3,IF(AND(S8=0,H8&gt;=W_min,F8-D_dip&gt;=Floor_q),1,0),IF(AND(H8&gt;=W_min,F8&gt;=Pre_A),1,0)))</f>
        <v>0</v>
      </c>
      <c r="L8" s="14" t="n">
        <f aca="false">CHOOSE(D8,F8+Proc_S,F8+Proc_Sk,F8+D_dL,F8-Cost_A)</f>
        <v>824</v>
      </c>
      <c r="M8" s="19" t="n">
        <f aca="false">CHOOSE(D8,(1-Tech_share)*G8,(1-Tech_share)*G8,G8+D_dT,G8)</f>
        <v>33.21</v>
      </c>
      <c r="N8" s="14" t="n">
        <f aca="false">CHOOSE(D8,H8-W_lost,H8,H8,H8+W_gain)</f>
        <v>53</v>
      </c>
      <c r="O8" s="16" t="n">
        <f aca="false">CHOOSE(D8,I8,I8,I8+D_dE,I8+Close_A*(Ceil_E-I8))</f>
        <v>71</v>
      </c>
      <c r="P8" s="14" t="n">
        <f aca="false">CHOOSE(D8,1,1,J8,J8)</f>
        <v>1</v>
      </c>
      <c r="Q8" s="14" t="n">
        <f aca="false">IF(K8=1,IF(AND(M8&gt;=Target_T,O8&gt;=Target_E,L8&gt;=Floor_q),1,0),0)</f>
        <v>0</v>
      </c>
      <c r="R8" s="14" t="str">
        <f aca="false">IF(K8=1,L8-Floor_q,"")</f>
        <v/>
      </c>
      <c r="S8" s="14" t="n">
        <f aca="false">CHOOSE(C8,$G$4,$G$4,1,$G$4)</f>
        <v>0</v>
      </c>
      <c r="T8" s="14" t="n">
        <f aca="false">CHOOSE(D8,S8,S8,1,S8)</f>
        <v>0</v>
      </c>
    </row>
    <row r="9" customFormat="false" ht="15" hidden="false" customHeight="true" outlineLevel="0" collapsed="false">
      <c r="A9" s="3" t="s">
        <v>159</v>
      </c>
      <c r="B9" s="3" t="s">
        <v>161</v>
      </c>
      <c r="C9" s="14" t="n">
        <v>1</v>
      </c>
      <c r="D9" s="14" t="n">
        <v>3</v>
      </c>
      <c r="E9" s="14" t="n">
        <f aca="false">IF(C9&lt;=2,1-$F$4,IF(C9=3,IF(AND($G$4=0,$D$4&gt;=W_min,$B$4-D_dip&gt;=Floor_q),1,0),IF(AND($D$4&gt;=W_min,$B$4&gt;=Pre_A),1,0)))</f>
        <v>1</v>
      </c>
      <c r="F9" s="14" t="n">
        <f aca="false">CHOOSE(C9,$B$4+Proc_S,$B$4+Proc_Sk,$B$4+D_dL,$B$4-Cost_A)</f>
        <v>732</v>
      </c>
      <c r="G9" s="19" t="n">
        <f aca="false">CHOOSE(C9,(1-Tech_share)*$C$4,(1-Tech_share)*$C$4,$C$4+D_dT,$C$4)</f>
        <v>36.9</v>
      </c>
      <c r="H9" s="14" t="n">
        <f aca="false">CHOOSE(C9,$D$4-W_lost,$D$4,$D$4,$D$4+W_gain)</f>
        <v>53</v>
      </c>
      <c r="I9" s="16" t="n">
        <f aca="false">CHOOSE(C9,$E$4,$E$4,$E$4+D_dE,$E$4+Close_A*(Ceil_E-$E$4))</f>
        <v>71</v>
      </c>
      <c r="J9" s="14" t="n">
        <f aca="false">CHOOSE(C9,1,1,$F$4,$F$4)</f>
        <v>1</v>
      </c>
      <c r="K9" s="14" t="n">
        <f aca="false">E9*IF(D9&lt;=2,1-J9,IF(D9=3,IF(AND(S9=0,H9&gt;=W_min,F9-D_dip&gt;=Floor_q),1,0),IF(AND(H9&gt;=W_min,F9&gt;=Pre_A),1,0)))</f>
        <v>0</v>
      </c>
      <c r="L9" s="14" t="n">
        <f aca="false">CHOOSE(D9,F9+Proc_S,F9+Proc_Sk,F9+D_dL,F9-Cost_A)</f>
        <v>696.632729102868</v>
      </c>
      <c r="M9" s="19" t="n">
        <f aca="false">CHOOSE(D9,(1-Tech_share)*G9,(1-Tech_share)*G9,G9+D_dT,G9)</f>
        <v>71.5346691353518</v>
      </c>
      <c r="N9" s="14" t="n">
        <f aca="false">CHOOSE(D9,H9-W_lost,H9,H9,H9+W_gain)</f>
        <v>53</v>
      </c>
      <c r="O9" s="16" t="n">
        <f aca="false">CHOOSE(D9,I9,I9,I9+D_dE,I9+Close_A*(Ceil_E-I9))</f>
        <v>73.5983309723245</v>
      </c>
      <c r="P9" s="14" t="n">
        <f aca="false">CHOOSE(D9,1,1,J9,J9)</f>
        <v>1</v>
      </c>
      <c r="Q9" s="14" t="n">
        <f aca="false">IF(K9=1,IF(AND(M9&gt;=Target_T,O9&gt;=Target_E,L9&gt;=Floor_q),1,0),0)</f>
        <v>0</v>
      </c>
      <c r="R9" s="14" t="str">
        <f aca="false">IF(K9=1,L9-Floor_q,"")</f>
        <v/>
      </c>
      <c r="S9" s="14" t="n">
        <f aca="false">CHOOSE(C9,$G$4,$G$4,1,$G$4)</f>
        <v>0</v>
      </c>
      <c r="T9" s="14" t="n">
        <f aca="false">CHOOSE(D9,S9,S9,1,S9)</f>
        <v>1</v>
      </c>
    </row>
    <row r="10" customFormat="false" ht="15" hidden="false" customHeight="true" outlineLevel="0" collapsed="false">
      <c r="A10" s="3" t="s">
        <v>159</v>
      </c>
      <c r="B10" s="3" t="s">
        <v>162</v>
      </c>
      <c r="C10" s="14" t="n">
        <v>1</v>
      </c>
      <c r="D10" s="14" t="n">
        <v>4</v>
      </c>
      <c r="E10" s="14" t="n">
        <f aca="false">IF(C10&lt;=2,1-$F$4,IF(C10=3,IF(AND($G$4=0,$D$4&gt;=W_min,$B$4-D_dip&gt;=Floor_q),1,0),IF(AND($D$4&gt;=W_min,$B$4&gt;=Pre_A),1,0)))</f>
        <v>1</v>
      </c>
      <c r="F10" s="14" t="n">
        <f aca="false">CHOOSE(C10,$B$4+Proc_S,$B$4+Proc_Sk,$B$4+D_dL,$B$4-Cost_A)</f>
        <v>732</v>
      </c>
      <c r="G10" s="19" t="n">
        <f aca="false">CHOOSE(C10,(1-Tech_share)*$C$4,(1-Tech_share)*$C$4,$C$4+D_dT,$C$4)</f>
        <v>36.9</v>
      </c>
      <c r="H10" s="14" t="n">
        <f aca="false">CHOOSE(C10,$D$4-W_lost,$D$4,$D$4,$D$4+W_gain)</f>
        <v>53</v>
      </c>
      <c r="I10" s="16" t="n">
        <f aca="false">CHOOSE(C10,$E$4,$E$4,$E$4+D_dE,$E$4+Close_A*(Ceil_E-$E$4))</f>
        <v>71</v>
      </c>
      <c r="J10" s="14" t="n">
        <f aca="false">CHOOSE(C10,1,1,$F$4,$F$4)</f>
        <v>1</v>
      </c>
      <c r="K10" s="14" t="n">
        <f aca="false">E10*IF(D10&lt;=2,1-J10,IF(D10=3,IF(AND(S10=0,H10&gt;=W_min,F10-D_dip&gt;=Floor_q),1,0),IF(AND(H10&gt;=W_min,F10&gt;=Pre_A),1,0)))</f>
        <v>0</v>
      </c>
      <c r="L10" s="14" t="n">
        <f aca="false">CHOOSE(D10,F10+Proc_S,F10+Proc_Sk,F10+D_dL,F10-Cost_A)</f>
        <v>612</v>
      </c>
      <c r="M10" s="19" t="n">
        <f aca="false">CHOOSE(D10,(1-Tech_share)*G10,(1-Tech_share)*G10,G10+D_dT,G10)</f>
        <v>36.9</v>
      </c>
      <c r="N10" s="14" t="n">
        <f aca="false">CHOOSE(D10,H10-W_lost,H10,H10,H10+W_gain)</f>
        <v>54</v>
      </c>
      <c r="O10" s="16" t="n">
        <f aca="false">CHOOSE(D10,I10,I10,I10+D_dE,I10+Close_A*(Ceil_E-I10))</f>
        <v>78</v>
      </c>
      <c r="P10" s="14" t="n">
        <f aca="false">CHOOSE(D10,1,1,J10,J10)</f>
        <v>1</v>
      </c>
      <c r="Q10" s="14" t="n">
        <f aca="false">IF(K10=1,IF(AND(M10&gt;=Target_T,O10&gt;=Target_E,L10&gt;=Floor_q),1,0),0)</f>
        <v>0</v>
      </c>
      <c r="R10" s="14" t="str">
        <f aca="false">IF(K10=1,L10-Floor_q,"")</f>
        <v/>
      </c>
      <c r="S10" s="14" t="n">
        <f aca="false">CHOOSE(C10,$G$4,$G$4,1,$G$4)</f>
        <v>0</v>
      </c>
      <c r="T10" s="14" t="n">
        <f aca="false">CHOOSE(D10,S10,S10,1,S10)</f>
        <v>0</v>
      </c>
    </row>
    <row r="11" customFormat="false" ht="15" hidden="false" customHeight="true" outlineLevel="0" collapsed="false">
      <c r="A11" s="3" t="s">
        <v>160</v>
      </c>
      <c r="B11" s="3" t="s">
        <v>159</v>
      </c>
      <c r="C11" s="14" t="n">
        <v>2</v>
      </c>
      <c r="D11" s="14" t="n">
        <v>1</v>
      </c>
      <c r="E11" s="14" t="n">
        <f aca="false">IF(C11&lt;=2,1-$F$4,IF(C11=3,IF(AND($G$4=0,$D$4&gt;=W_min,$B$4-D_dip&gt;=Floor_q),1,0),IF(AND($D$4&gt;=W_min,$B$4&gt;=Pre_A),1,0)))</f>
        <v>1</v>
      </c>
      <c r="F11" s="14" t="n">
        <f aca="false">CHOOSE(C11,$B$4+Proc_S,$B$4+Proc_Sk,$B$4+D_dL,$B$4-Cost_A)</f>
        <v>712</v>
      </c>
      <c r="G11" s="19" t="n">
        <f aca="false">CHOOSE(C11,(1-Tech_share)*$C$4,(1-Tech_share)*$C$4,$C$4+D_dT,$C$4)</f>
        <v>36.9</v>
      </c>
      <c r="H11" s="14" t="n">
        <f aca="false">CHOOSE(C11,$D$4-W_lost,$D$4,$D$4,$D$4+W_gain)</f>
        <v>58</v>
      </c>
      <c r="I11" s="16" t="n">
        <f aca="false">CHOOSE(C11,$E$4,$E$4,$E$4+D_dE,$E$4+Close_A*(Ceil_E-$E$4))</f>
        <v>71</v>
      </c>
      <c r="J11" s="14" t="n">
        <f aca="false">CHOOSE(C11,1,1,$F$4,$F$4)</f>
        <v>1</v>
      </c>
      <c r="K11" s="14" t="n">
        <f aca="false">E11*IF(D11&lt;=2,1-J11,IF(D11=3,IF(AND(S11=0,H11&gt;=W_min,F11-D_dip&gt;=Floor_q),1,0),IF(AND(H11&gt;=W_min,F11&gt;=Pre_A),1,0)))</f>
        <v>0</v>
      </c>
      <c r="L11" s="14" t="n">
        <f aca="false">CHOOSE(D11,F11+Proc_S,F11+Proc_Sk,F11+D_dL,F11-Cost_A)</f>
        <v>824</v>
      </c>
      <c r="M11" s="19" t="n">
        <f aca="false">CHOOSE(D11,(1-Tech_share)*G11,(1-Tech_share)*G11,G11+D_dT,G11)</f>
        <v>33.21</v>
      </c>
      <c r="N11" s="14" t="n">
        <f aca="false">CHOOSE(D11,H11-W_lost,H11,H11,H11+W_gain)</f>
        <v>53</v>
      </c>
      <c r="O11" s="16" t="n">
        <f aca="false">CHOOSE(D11,I11,I11,I11+D_dE,I11+Close_A*(Ceil_E-I11))</f>
        <v>71</v>
      </c>
      <c r="P11" s="14" t="n">
        <f aca="false">CHOOSE(D11,1,1,J11,J11)</f>
        <v>1</v>
      </c>
      <c r="Q11" s="14" t="n">
        <f aca="false">IF(K11=1,IF(AND(M11&gt;=Target_T,O11&gt;=Target_E,L11&gt;=Floor_q),1,0),0)</f>
        <v>0</v>
      </c>
      <c r="R11" s="14" t="str">
        <f aca="false">IF(K11=1,L11-Floor_q,"")</f>
        <v/>
      </c>
      <c r="S11" s="14" t="n">
        <f aca="false">CHOOSE(C11,$G$4,$G$4,1,$G$4)</f>
        <v>0</v>
      </c>
      <c r="T11" s="14" t="n">
        <f aca="false">CHOOSE(D11,S11,S11,1,S11)</f>
        <v>0</v>
      </c>
    </row>
    <row r="12" customFormat="false" ht="15" hidden="false" customHeight="true" outlineLevel="0" collapsed="false">
      <c r="A12" s="3" t="s">
        <v>160</v>
      </c>
      <c r="B12" s="3" t="s">
        <v>160</v>
      </c>
      <c r="C12" s="14" t="n">
        <v>2</v>
      </c>
      <c r="D12" s="14" t="n">
        <v>2</v>
      </c>
      <c r="E12" s="14" t="n">
        <f aca="false">IF(C12&lt;=2,1-$F$4,IF(C12=3,IF(AND($G$4=0,$D$4&gt;=W_min,$B$4-D_dip&gt;=Floor_q),1,0),IF(AND($D$4&gt;=W_min,$B$4&gt;=Pre_A),1,0)))</f>
        <v>1</v>
      </c>
      <c r="F12" s="14" t="n">
        <f aca="false">CHOOSE(C12,$B$4+Proc_S,$B$4+Proc_Sk,$B$4+D_dL,$B$4-Cost_A)</f>
        <v>712</v>
      </c>
      <c r="G12" s="19" t="n">
        <f aca="false">CHOOSE(C12,(1-Tech_share)*$C$4,(1-Tech_share)*$C$4,$C$4+D_dT,$C$4)</f>
        <v>36.9</v>
      </c>
      <c r="H12" s="14" t="n">
        <f aca="false">CHOOSE(C12,$D$4-W_lost,$D$4,$D$4,$D$4+W_gain)</f>
        <v>58</v>
      </c>
      <c r="I12" s="16" t="n">
        <f aca="false">CHOOSE(C12,$E$4,$E$4,$E$4+D_dE,$E$4+Close_A*(Ceil_E-$E$4))</f>
        <v>71</v>
      </c>
      <c r="J12" s="14" t="n">
        <f aca="false">CHOOSE(C12,1,1,$F$4,$F$4)</f>
        <v>1</v>
      </c>
      <c r="K12" s="14" t="n">
        <f aca="false">E12*IF(D12&lt;=2,1-J12,IF(D12=3,IF(AND(S12=0,H12&gt;=W_min,F12-D_dip&gt;=Floor_q),1,0),IF(AND(H12&gt;=W_min,F12&gt;=Pre_A),1,0)))</f>
        <v>0</v>
      </c>
      <c r="L12" s="14" t="n">
        <f aca="false">CHOOSE(D12,F12+Proc_S,F12+Proc_Sk,F12+D_dL,F12-Cost_A)</f>
        <v>804</v>
      </c>
      <c r="M12" s="19" t="n">
        <f aca="false">CHOOSE(D12,(1-Tech_share)*G12,(1-Tech_share)*G12,G12+D_dT,G12)</f>
        <v>33.21</v>
      </c>
      <c r="N12" s="14" t="n">
        <f aca="false">CHOOSE(D12,H12-W_lost,H12,H12,H12+W_gain)</f>
        <v>58</v>
      </c>
      <c r="O12" s="16" t="n">
        <f aca="false">CHOOSE(D12,I12,I12,I12+D_dE,I12+Close_A*(Ceil_E-I12))</f>
        <v>71</v>
      </c>
      <c r="P12" s="14" t="n">
        <f aca="false">CHOOSE(D12,1,1,J12,J12)</f>
        <v>1</v>
      </c>
      <c r="Q12" s="14" t="n">
        <f aca="false">IF(K12=1,IF(AND(M12&gt;=Target_T,O12&gt;=Target_E,L12&gt;=Floor_q),1,0),0)</f>
        <v>0</v>
      </c>
      <c r="R12" s="14" t="str">
        <f aca="false">IF(K12=1,L12-Floor_q,"")</f>
        <v/>
      </c>
      <c r="S12" s="14" t="n">
        <f aca="false">CHOOSE(C12,$G$4,$G$4,1,$G$4)</f>
        <v>0</v>
      </c>
      <c r="T12" s="14" t="n">
        <f aca="false">CHOOSE(D12,S12,S12,1,S12)</f>
        <v>0</v>
      </c>
    </row>
    <row r="13" customFormat="false" ht="15" hidden="false" customHeight="true" outlineLevel="0" collapsed="false">
      <c r="A13" s="3" t="s">
        <v>160</v>
      </c>
      <c r="B13" s="3" t="s">
        <v>161</v>
      </c>
      <c r="C13" s="14" t="n">
        <v>2</v>
      </c>
      <c r="D13" s="14" t="n">
        <v>3</v>
      </c>
      <c r="E13" s="14" t="n">
        <f aca="false">IF(C13&lt;=2,1-$F$4,IF(C13=3,IF(AND($G$4=0,$D$4&gt;=W_min,$B$4-D_dip&gt;=Floor_q),1,0),IF(AND($D$4&gt;=W_min,$B$4&gt;=Pre_A),1,0)))</f>
        <v>1</v>
      </c>
      <c r="F13" s="14" t="n">
        <f aca="false">CHOOSE(C13,$B$4+Proc_S,$B$4+Proc_Sk,$B$4+D_dL,$B$4-Cost_A)</f>
        <v>712</v>
      </c>
      <c r="G13" s="19" t="n">
        <f aca="false">CHOOSE(C13,(1-Tech_share)*$C$4,(1-Tech_share)*$C$4,$C$4+D_dT,$C$4)</f>
        <v>36.9</v>
      </c>
      <c r="H13" s="14" t="n">
        <f aca="false">CHOOSE(C13,$D$4-W_lost,$D$4,$D$4,$D$4+W_gain)</f>
        <v>58</v>
      </c>
      <c r="I13" s="16" t="n">
        <f aca="false">CHOOSE(C13,$E$4,$E$4,$E$4+D_dE,$E$4+Close_A*(Ceil_E-$E$4))</f>
        <v>71</v>
      </c>
      <c r="J13" s="14" t="n">
        <f aca="false">CHOOSE(C13,1,1,$F$4,$F$4)</f>
        <v>1</v>
      </c>
      <c r="K13" s="14" t="n">
        <f aca="false">E13*IF(D13&lt;=2,1-J13,IF(D13=3,IF(AND(S13=0,H13&gt;=W_min,F13-D_dip&gt;=Floor_q),1,0),IF(AND(H13&gt;=W_min,F13&gt;=Pre_A),1,0)))</f>
        <v>1</v>
      </c>
      <c r="L13" s="14" t="n">
        <f aca="false">CHOOSE(D13,F13+Proc_S,F13+Proc_Sk,F13+D_dL,F13-Cost_A)</f>
        <v>676.632729102868</v>
      </c>
      <c r="M13" s="19" t="n">
        <f aca="false">CHOOSE(D13,(1-Tech_share)*G13,(1-Tech_share)*G13,G13+D_dT,G13)</f>
        <v>71.5346691353518</v>
      </c>
      <c r="N13" s="14" t="n">
        <f aca="false">CHOOSE(D13,H13-W_lost,H13,H13,H13+W_gain)</f>
        <v>58</v>
      </c>
      <c r="O13" s="16" t="n">
        <f aca="false">CHOOSE(D13,I13,I13,I13+D_dE,I13+Close_A*(Ceil_E-I13))</f>
        <v>73.5983309723245</v>
      </c>
      <c r="P13" s="14" t="n">
        <f aca="false">CHOOSE(D13,1,1,J13,J13)</f>
        <v>1</v>
      </c>
      <c r="Q13" s="14" t="n">
        <f aca="false">IF(K13=1,IF(AND(M13&gt;=Target_T,O13&gt;=Target_E,L13&gt;=Floor_q),1,0),0)</f>
        <v>0</v>
      </c>
      <c r="R13" s="14" t="n">
        <f aca="false">IF(K13=1,L13-Floor_q,"")</f>
        <v>326.632729102868</v>
      </c>
      <c r="S13" s="14" t="n">
        <f aca="false">CHOOSE(C13,$G$4,$G$4,1,$G$4)</f>
        <v>0</v>
      </c>
      <c r="T13" s="14" t="n">
        <f aca="false">CHOOSE(D13,S13,S13,1,S13)</f>
        <v>1</v>
      </c>
    </row>
    <row r="14" customFormat="false" ht="15" hidden="false" customHeight="true" outlineLevel="0" collapsed="false">
      <c r="A14" s="3" t="s">
        <v>160</v>
      </c>
      <c r="B14" s="3" t="s">
        <v>162</v>
      </c>
      <c r="C14" s="14" t="n">
        <v>2</v>
      </c>
      <c r="D14" s="14" t="n">
        <v>4</v>
      </c>
      <c r="E14" s="14" t="n">
        <f aca="false">IF(C14&lt;=2,1-$F$4,IF(C14=3,IF(AND($G$4=0,$D$4&gt;=W_min,$B$4-D_dip&gt;=Floor_q),1,0),IF(AND($D$4&gt;=W_min,$B$4&gt;=Pre_A),1,0)))</f>
        <v>1</v>
      </c>
      <c r="F14" s="14" t="n">
        <f aca="false">CHOOSE(C14,$B$4+Proc_S,$B$4+Proc_Sk,$B$4+D_dL,$B$4-Cost_A)</f>
        <v>712</v>
      </c>
      <c r="G14" s="19" t="n">
        <f aca="false">CHOOSE(C14,(1-Tech_share)*$C$4,(1-Tech_share)*$C$4,$C$4+D_dT,$C$4)</f>
        <v>36.9</v>
      </c>
      <c r="H14" s="14" t="n">
        <f aca="false">CHOOSE(C14,$D$4-W_lost,$D$4,$D$4,$D$4+W_gain)</f>
        <v>58</v>
      </c>
      <c r="I14" s="16" t="n">
        <f aca="false">CHOOSE(C14,$E$4,$E$4,$E$4+D_dE,$E$4+Close_A*(Ceil_E-$E$4))</f>
        <v>71</v>
      </c>
      <c r="J14" s="14" t="n">
        <f aca="false">CHOOSE(C14,1,1,$F$4,$F$4)</f>
        <v>1</v>
      </c>
      <c r="K14" s="14" t="n">
        <f aca="false">E14*IF(D14&lt;=2,1-J14,IF(D14=3,IF(AND(S14=0,H14&gt;=W_min,F14-D_dip&gt;=Floor_q),1,0),IF(AND(H14&gt;=W_min,F14&gt;=Pre_A),1,0)))</f>
        <v>1</v>
      </c>
      <c r="L14" s="14" t="n">
        <f aca="false">CHOOSE(D14,F14+Proc_S,F14+Proc_Sk,F14+D_dL,F14-Cost_A)</f>
        <v>592</v>
      </c>
      <c r="M14" s="19" t="n">
        <f aca="false">CHOOSE(D14,(1-Tech_share)*G14,(1-Tech_share)*G14,G14+D_dT,G14)</f>
        <v>36.9</v>
      </c>
      <c r="N14" s="14" t="n">
        <f aca="false">CHOOSE(D14,H14-W_lost,H14,H14,H14+W_gain)</f>
        <v>59</v>
      </c>
      <c r="O14" s="16" t="n">
        <f aca="false">CHOOSE(D14,I14,I14,I14+D_dE,I14+Close_A*(Ceil_E-I14))</f>
        <v>78</v>
      </c>
      <c r="P14" s="14" t="n">
        <f aca="false">CHOOSE(D14,1,1,J14,J14)</f>
        <v>1</v>
      </c>
      <c r="Q14" s="14" t="n">
        <f aca="false">IF(K14=1,IF(AND(M14&gt;=Target_T,O14&gt;=Target_E,L14&gt;=Floor_q),1,0),0)</f>
        <v>0</v>
      </c>
      <c r="R14" s="14" t="n">
        <f aca="false">IF(K14=1,L14-Floor_q,"")</f>
        <v>242</v>
      </c>
      <c r="S14" s="14" t="n">
        <f aca="false">CHOOSE(C14,$G$4,$G$4,1,$G$4)</f>
        <v>0</v>
      </c>
      <c r="T14" s="14" t="n">
        <f aca="false">CHOOSE(D14,S14,S14,1,S14)</f>
        <v>0</v>
      </c>
    </row>
    <row r="15" customFormat="false" ht="15" hidden="false" customHeight="true" outlineLevel="0" collapsed="false">
      <c r="A15" s="3" t="s">
        <v>161</v>
      </c>
      <c r="B15" s="3" t="s">
        <v>159</v>
      </c>
      <c r="C15" s="14" t="n">
        <v>3</v>
      </c>
      <c r="D15" s="14" t="n">
        <v>1</v>
      </c>
      <c r="E15" s="14" t="n">
        <f aca="false">IF(C15&lt;=2,1-$F$4,IF(C15=3,IF(AND($G$4=0,$D$4&gt;=W_min,$B$4-D_dip&gt;=Floor_q),1,0),IF(AND($D$4&gt;=W_min,$B$4&gt;=Pre_A),1,0)))</f>
        <v>1</v>
      </c>
      <c r="F15" s="14" t="n">
        <f aca="false">CHOOSE(C15,$B$4+Proc_S,$B$4+Proc_Sk,$B$4+D_dL,$B$4-Cost_A)</f>
        <v>584.632729102868</v>
      </c>
      <c r="G15" s="19" t="n">
        <f aca="false">CHOOSE(C15,(1-Tech_share)*$C$4,(1-Tech_share)*$C$4,$C$4+D_dT,$C$4)</f>
        <v>75.6346691353518</v>
      </c>
      <c r="H15" s="14" t="n">
        <f aca="false">CHOOSE(C15,$D$4-W_lost,$D$4,$D$4,$D$4+W_gain)</f>
        <v>58</v>
      </c>
      <c r="I15" s="16" t="n">
        <f aca="false">CHOOSE(C15,$E$4,$E$4,$E$4+D_dE,$E$4+Close_A*(Ceil_E-$E$4))</f>
        <v>73.5983309723245</v>
      </c>
      <c r="J15" s="14" t="n">
        <f aca="false">CHOOSE(C15,1,1,$F$4,$F$4)</f>
        <v>0</v>
      </c>
      <c r="K15" s="14" t="n">
        <f aca="false">E15*IF(D15&lt;=2,1-J15,IF(D15=3,IF(AND(S15=0,H15&gt;=W_min,F15-D_dip&gt;=Floor_q),1,0),IF(AND(H15&gt;=W_min,F15&gt;=Pre_A),1,0)))</f>
        <v>1</v>
      </c>
      <c r="L15" s="14" t="n">
        <f aca="false">CHOOSE(D15,F15+Proc_S,F15+Proc_Sk,F15+D_dL,F15-Cost_A)</f>
        <v>696.632729102868</v>
      </c>
      <c r="M15" s="19" t="n">
        <f aca="false">CHOOSE(D15,(1-Tech_share)*G15,(1-Tech_share)*G15,G15+D_dT,G15)</f>
        <v>68.0712022218166</v>
      </c>
      <c r="N15" s="14" t="n">
        <f aca="false">CHOOSE(D15,H15-W_lost,H15,H15,H15+W_gain)</f>
        <v>53</v>
      </c>
      <c r="O15" s="16" t="n">
        <f aca="false">CHOOSE(D15,I15,I15,I15+D_dE,I15+Close_A*(Ceil_E-I15))</f>
        <v>73.5983309723245</v>
      </c>
      <c r="P15" s="14" t="n">
        <f aca="false">CHOOSE(D15,1,1,J15,J15)</f>
        <v>1</v>
      </c>
      <c r="Q15" s="14" t="n">
        <f aca="false">IF(K15=1,IF(AND(M15&gt;=Target_T,O15&gt;=Target_E,L15&gt;=Floor_q),1,0),0)</f>
        <v>0</v>
      </c>
      <c r="R15" s="14" t="n">
        <f aca="false">IF(K15=1,L15-Floor_q,"")</f>
        <v>346.632729102868</v>
      </c>
      <c r="S15" s="14" t="n">
        <f aca="false">CHOOSE(C15,$G$4,$G$4,1,$G$4)</f>
        <v>1</v>
      </c>
      <c r="T15" s="14" t="n">
        <f aca="false">CHOOSE(D15,S15,S15,1,S15)</f>
        <v>1</v>
      </c>
    </row>
    <row r="16" customFormat="false" ht="15" hidden="false" customHeight="true" outlineLevel="0" collapsed="false">
      <c r="A16" s="3" t="s">
        <v>161</v>
      </c>
      <c r="B16" s="3" t="s">
        <v>160</v>
      </c>
      <c r="C16" s="14" t="n">
        <v>3</v>
      </c>
      <c r="D16" s="14" t="n">
        <v>2</v>
      </c>
      <c r="E16" s="14" t="n">
        <f aca="false">IF(C16&lt;=2,1-$F$4,IF(C16=3,IF(AND($G$4=0,$D$4&gt;=W_min,$B$4-D_dip&gt;=Floor_q),1,0),IF(AND($D$4&gt;=W_min,$B$4&gt;=Pre_A),1,0)))</f>
        <v>1</v>
      </c>
      <c r="F16" s="14" t="n">
        <f aca="false">CHOOSE(C16,$B$4+Proc_S,$B$4+Proc_Sk,$B$4+D_dL,$B$4-Cost_A)</f>
        <v>584.632729102868</v>
      </c>
      <c r="G16" s="19" t="n">
        <f aca="false">CHOOSE(C16,(1-Tech_share)*$C$4,(1-Tech_share)*$C$4,$C$4+D_dT,$C$4)</f>
        <v>75.6346691353518</v>
      </c>
      <c r="H16" s="14" t="n">
        <f aca="false">CHOOSE(C16,$D$4-W_lost,$D$4,$D$4,$D$4+W_gain)</f>
        <v>58</v>
      </c>
      <c r="I16" s="16" t="n">
        <f aca="false">CHOOSE(C16,$E$4,$E$4,$E$4+D_dE,$E$4+Close_A*(Ceil_E-$E$4))</f>
        <v>73.5983309723245</v>
      </c>
      <c r="J16" s="14" t="n">
        <f aca="false">CHOOSE(C16,1,1,$F$4,$F$4)</f>
        <v>0</v>
      </c>
      <c r="K16" s="14" t="n">
        <f aca="false">E16*IF(D16&lt;=2,1-J16,IF(D16=3,IF(AND(S16=0,H16&gt;=W_min,F16-D_dip&gt;=Floor_q),1,0),IF(AND(H16&gt;=W_min,F16&gt;=Pre_A),1,0)))</f>
        <v>1</v>
      </c>
      <c r="L16" s="14" t="n">
        <f aca="false">CHOOSE(D16,F16+Proc_S,F16+Proc_Sk,F16+D_dL,F16-Cost_A)</f>
        <v>676.632729102868</v>
      </c>
      <c r="M16" s="19" t="n">
        <f aca="false">CHOOSE(D16,(1-Tech_share)*G16,(1-Tech_share)*G16,G16+D_dT,G16)</f>
        <v>68.0712022218166</v>
      </c>
      <c r="N16" s="14" t="n">
        <f aca="false">CHOOSE(D16,H16-W_lost,H16,H16,H16+W_gain)</f>
        <v>58</v>
      </c>
      <c r="O16" s="16" t="n">
        <f aca="false">CHOOSE(D16,I16,I16,I16+D_dE,I16+Close_A*(Ceil_E-I16))</f>
        <v>73.5983309723245</v>
      </c>
      <c r="P16" s="14" t="n">
        <f aca="false">CHOOSE(D16,1,1,J16,J16)</f>
        <v>1</v>
      </c>
      <c r="Q16" s="14" t="n">
        <f aca="false">IF(K16=1,IF(AND(M16&gt;=Target_T,O16&gt;=Target_E,L16&gt;=Floor_q),1,0),0)</f>
        <v>0</v>
      </c>
      <c r="R16" s="14" t="n">
        <f aca="false">IF(K16=1,L16-Floor_q,"")</f>
        <v>326.632729102868</v>
      </c>
      <c r="S16" s="14" t="n">
        <f aca="false">CHOOSE(C16,$G$4,$G$4,1,$G$4)</f>
        <v>1</v>
      </c>
      <c r="T16" s="14" t="n">
        <f aca="false">CHOOSE(D16,S16,S16,1,S16)</f>
        <v>1</v>
      </c>
    </row>
    <row r="17" customFormat="false" ht="15" hidden="false" customHeight="true" outlineLevel="0" collapsed="false">
      <c r="A17" s="3" t="s">
        <v>161</v>
      </c>
      <c r="B17" s="3" t="s">
        <v>161</v>
      </c>
      <c r="C17" s="14" t="n">
        <v>3</v>
      </c>
      <c r="D17" s="14" t="n">
        <v>3</v>
      </c>
      <c r="E17" s="14" t="n">
        <f aca="false">IF(C17&lt;=2,1-$F$4,IF(C17=3,IF(AND($G$4=0,$D$4&gt;=W_min,$B$4-D_dip&gt;=Floor_q),1,0),IF(AND($D$4&gt;=W_min,$B$4&gt;=Pre_A),1,0)))</f>
        <v>1</v>
      </c>
      <c r="F17" s="14" t="n">
        <f aca="false">CHOOSE(C17,$B$4+Proc_S,$B$4+Proc_Sk,$B$4+D_dL,$B$4-Cost_A)</f>
        <v>584.632729102868</v>
      </c>
      <c r="G17" s="19" t="n">
        <f aca="false">CHOOSE(C17,(1-Tech_share)*$C$4,(1-Tech_share)*$C$4,$C$4+D_dT,$C$4)</f>
        <v>75.6346691353518</v>
      </c>
      <c r="H17" s="14" t="n">
        <f aca="false">CHOOSE(C17,$D$4-W_lost,$D$4,$D$4,$D$4+W_gain)</f>
        <v>58</v>
      </c>
      <c r="I17" s="16" t="n">
        <f aca="false">CHOOSE(C17,$E$4,$E$4,$E$4+D_dE,$E$4+Close_A*(Ceil_E-$E$4))</f>
        <v>73.5983309723245</v>
      </c>
      <c r="J17" s="14" t="n">
        <f aca="false">CHOOSE(C17,1,1,$F$4,$F$4)</f>
        <v>0</v>
      </c>
      <c r="K17" s="14" t="n">
        <f aca="false">E17*IF(D17&lt;=2,1-J17,IF(D17=3,IF(AND(S17=0,H17&gt;=W_min,F17-D_dip&gt;=Floor_q),1,0),IF(AND(H17&gt;=W_min,F17&gt;=Pre_A),1,0)))</f>
        <v>0</v>
      </c>
      <c r="L17" s="14" t="n">
        <f aca="false">CHOOSE(D17,F17+Proc_S,F17+Proc_Sk,F17+D_dL,F17-Cost_A)</f>
        <v>549.265458205737</v>
      </c>
      <c r="M17" s="19" t="n">
        <f aca="false">CHOOSE(D17,(1-Tech_share)*G17,(1-Tech_share)*G17,G17+D_dT,G17)</f>
        <v>110.269338270704</v>
      </c>
      <c r="N17" s="14" t="n">
        <f aca="false">CHOOSE(D17,H17-W_lost,H17,H17,H17+W_gain)</f>
        <v>58</v>
      </c>
      <c r="O17" s="16" t="n">
        <f aca="false">CHOOSE(D17,I17,I17,I17+D_dE,I17+Close_A*(Ceil_E-I17))</f>
        <v>76.1966619446489</v>
      </c>
      <c r="P17" s="14" t="n">
        <f aca="false">CHOOSE(D17,1,1,J17,J17)</f>
        <v>0</v>
      </c>
      <c r="Q17" s="14" t="n">
        <f aca="false">IF(K17=1,IF(AND(M17&gt;=Target_T,O17&gt;=Target_E,L17&gt;=Floor_q),1,0),0)</f>
        <v>0</v>
      </c>
      <c r="R17" s="14" t="str">
        <f aca="false">IF(K17=1,L17-Floor_q,"")</f>
        <v/>
      </c>
      <c r="S17" s="14" t="n">
        <f aca="false">CHOOSE(C17,$G$4,$G$4,1,$G$4)</f>
        <v>1</v>
      </c>
      <c r="T17" s="14" t="n">
        <f aca="false">CHOOSE(D17,S17,S17,1,S17)</f>
        <v>1</v>
      </c>
    </row>
    <row r="18" customFormat="false" ht="15" hidden="false" customHeight="true" outlineLevel="0" collapsed="false">
      <c r="A18" s="3" t="s">
        <v>161</v>
      </c>
      <c r="B18" s="3" t="s">
        <v>162</v>
      </c>
      <c r="C18" s="14" t="n">
        <v>3</v>
      </c>
      <c r="D18" s="14" t="n">
        <v>4</v>
      </c>
      <c r="E18" s="14" t="n">
        <f aca="false">IF(C18&lt;=2,1-$F$4,IF(C18=3,IF(AND($G$4=0,$D$4&gt;=W_min,$B$4-D_dip&gt;=Floor_q),1,0),IF(AND($D$4&gt;=W_min,$B$4&gt;=Pre_A),1,0)))</f>
        <v>1</v>
      </c>
      <c r="F18" s="14" t="n">
        <f aca="false">CHOOSE(C18,$B$4+Proc_S,$B$4+Proc_Sk,$B$4+D_dL,$B$4-Cost_A)</f>
        <v>584.632729102868</v>
      </c>
      <c r="G18" s="19" t="n">
        <f aca="false">CHOOSE(C18,(1-Tech_share)*$C$4,(1-Tech_share)*$C$4,$C$4+D_dT,$C$4)</f>
        <v>75.6346691353518</v>
      </c>
      <c r="H18" s="14" t="n">
        <f aca="false">CHOOSE(C18,$D$4-W_lost,$D$4,$D$4,$D$4+W_gain)</f>
        <v>58</v>
      </c>
      <c r="I18" s="16" t="n">
        <f aca="false">CHOOSE(C18,$E$4,$E$4,$E$4+D_dE,$E$4+Close_A*(Ceil_E-$E$4))</f>
        <v>73.5983309723245</v>
      </c>
      <c r="J18" s="14" t="n">
        <f aca="false">CHOOSE(C18,1,1,$F$4,$F$4)</f>
        <v>0</v>
      </c>
      <c r="K18" s="14" t="n">
        <f aca="false">E18*IF(D18&lt;=2,1-J18,IF(D18=3,IF(AND(S18=0,H18&gt;=W_min,F18-D_dip&gt;=Floor_q),1,0),IF(AND(H18&gt;=W_min,F18&gt;=Pre_A),1,0)))</f>
        <v>1</v>
      </c>
      <c r="L18" s="14" t="n">
        <f aca="false">CHOOSE(D18,F18+Proc_S,F18+Proc_Sk,F18+D_dL,F18-Cost_A)</f>
        <v>464.632729102868</v>
      </c>
      <c r="M18" s="19" t="n">
        <f aca="false">CHOOSE(D18,(1-Tech_share)*G18,(1-Tech_share)*G18,G18+D_dT,G18)</f>
        <v>75.6346691353518</v>
      </c>
      <c r="N18" s="14" t="n">
        <f aca="false">CHOOSE(D18,H18-W_lost,H18,H18,H18+W_gain)</f>
        <v>59</v>
      </c>
      <c r="O18" s="16" t="n">
        <f aca="false">CHOOSE(D18,I18,I18,I18+D_dE,I18+Close_A*(Ceil_E-I18))</f>
        <v>79.2991654861622</v>
      </c>
      <c r="P18" s="14" t="n">
        <f aca="false">CHOOSE(D18,1,1,J18,J18)</f>
        <v>0</v>
      </c>
      <c r="Q18" s="14" t="n">
        <f aca="false">IF(K18=1,IF(AND(M18&gt;=Target_T,O18&gt;=Target_E,L18&gt;=Floor_q),1,0),0)</f>
        <v>0</v>
      </c>
      <c r="R18" s="14" t="n">
        <f aca="false">IF(K18=1,L18-Floor_q,"")</f>
        <v>114.632729102868</v>
      </c>
      <c r="S18" s="14" t="n">
        <f aca="false">CHOOSE(C18,$G$4,$G$4,1,$G$4)</f>
        <v>1</v>
      </c>
      <c r="T18" s="14" t="n">
        <f aca="false">CHOOSE(D18,S18,S18,1,S18)</f>
        <v>1</v>
      </c>
    </row>
    <row r="19" customFormat="false" ht="15" hidden="false" customHeight="true" outlineLevel="0" collapsed="false">
      <c r="A19" s="3" t="s">
        <v>162</v>
      </c>
      <c r="B19" s="3" t="s">
        <v>159</v>
      </c>
      <c r="C19" s="14" t="n">
        <v>4</v>
      </c>
      <c r="D19" s="14" t="n">
        <v>1</v>
      </c>
      <c r="E19" s="14" t="n">
        <f aca="false">IF(C19&lt;=2,1-$F$4,IF(C19=3,IF(AND($G$4=0,$D$4&gt;=W_min,$B$4-D_dip&gt;=Floor_q),1,0),IF(AND($D$4&gt;=W_min,$B$4&gt;=Pre_A),1,0)))</f>
        <v>1</v>
      </c>
      <c r="F19" s="14" t="n">
        <f aca="false">CHOOSE(C19,$B$4+Proc_S,$B$4+Proc_Sk,$B$4+D_dL,$B$4-Cost_A)</f>
        <v>500</v>
      </c>
      <c r="G19" s="19" t="n">
        <f aca="false">CHOOSE(C19,(1-Tech_share)*$C$4,(1-Tech_share)*$C$4,$C$4+D_dT,$C$4)</f>
        <v>41</v>
      </c>
      <c r="H19" s="14" t="n">
        <f aca="false">CHOOSE(C19,$D$4-W_lost,$D$4,$D$4,$D$4+W_gain)</f>
        <v>59</v>
      </c>
      <c r="I19" s="16" t="n">
        <f aca="false">CHOOSE(C19,$E$4,$E$4,$E$4+D_dE,$E$4+Close_A*(Ceil_E-$E$4))</f>
        <v>78</v>
      </c>
      <c r="J19" s="14" t="n">
        <f aca="false">CHOOSE(C19,1,1,$F$4,$F$4)</f>
        <v>0</v>
      </c>
      <c r="K19" s="14" t="n">
        <f aca="false">E19*IF(D19&lt;=2,1-J19,IF(D19=3,IF(AND(S19=0,H19&gt;=W_min,F19-D_dip&gt;=Floor_q),1,0),IF(AND(H19&gt;=W_min,F19&gt;=Pre_A),1,0)))</f>
        <v>1</v>
      </c>
      <c r="L19" s="14" t="n">
        <f aca="false">CHOOSE(D19,F19+Proc_S,F19+Proc_Sk,F19+D_dL,F19-Cost_A)</f>
        <v>612</v>
      </c>
      <c r="M19" s="19" t="n">
        <f aca="false">CHOOSE(D19,(1-Tech_share)*G19,(1-Tech_share)*G19,G19+D_dT,G19)</f>
        <v>36.9</v>
      </c>
      <c r="N19" s="14" t="n">
        <f aca="false">CHOOSE(D19,H19-W_lost,H19,H19,H19+W_gain)</f>
        <v>54</v>
      </c>
      <c r="O19" s="16" t="n">
        <f aca="false">CHOOSE(D19,I19,I19,I19+D_dE,I19+Close_A*(Ceil_E-I19))</f>
        <v>78</v>
      </c>
      <c r="P19" s="14" t="n">
        <f aca="false">CHOOSE(D19,1,1,J19,J19)</f>
        <v>1</v>
      </c>
      <c r="Q19" s="14" t="n">
        <f aca="false">IF(K19=1,IF(AND(M19&gt;=Target_T,O19&gt;=Target_E,L19&gt;=Floor_q),1,0),0)</f>
        <v>0</v>
      </c>
      <c r="R19" s="14" t="n">
        <f aca="false">IF(K19=1,L19-Floor_q,"")</f>
        <v>262</v>
      </c>
      <c r="S19" s="14" t="n">
        <f aca="false">CHOOSE(C19,$G$4,$G$4,1,$G$4)</f>
        <v>0</v>
      </c>
      <c r="T19" s="14" t="n">
        <f aca="false">CHOOSE(D19,S19,S19,1,S19)</f>
        <v>0</v>
      </c>
    </row>
    <row r="20" customFormat="false" ht="15" hidden="false" customHeight="true" outlineLevel="0" collapsed="false">
      <c r="A20" s="3" t="s">
        <v>162</v>
      </c>
      <c r="B20" s="3" t="s">
        <v>160</v>
      </c>
      <c r="C20" s="14" t="n">
        <v>4</v>
      </c>
      <c r="D20" s="14" t="n">
        <v>2</v>
      </c>
      <c r="E20" s="14" t="n">
        <f aca="false">IF(C20&lt;=2,1-$F$4,IF(C20=3,IF(AND($G$4=0,$D$4&gt;=W_min,$B$4-D_dip&gt;=Floor_q),1,0),IF(AND($D$4&gt;=W_min,$B$4&gt;=Pre_A),1,0)))</f>
        <v>1</v>
      </c>
      <c r="F20" s="14" t="n">
        <f aca="false">CHOOSE(C20,$B$4+Proc_S,$B$4+Proc_Sk,$B$4+D_dL,$B$4-Cost_A)</f>
        <v>500</v>
      </c>
      <c r="G20" s="19" t="n">
        <f aca="false">CHOOSE(C20,(1-Tech_share)*$C$4,(1-Tech_share)*$C$4,$C$4+D_dT,$C$4)</f>
        <v>41</v>
      </c>
      <c r="H20" s="14" t="n">
        <f aca="false">CHOOSE(C20,$D$4-W_lost,$D$4,$D$4,$D$4+W_gain)</f>
        <v>59</v>
      </c>
      <c r="I20" s="16" t="n">
        <f aca="false">CHOOSE(C20,$E$4,$E$4,$E$4+D_dE,$E$4+Close_A*(Ceil_E-$E$4))</f>
        <v>78</v>
      </c>
      <c r="J20" s="14" t="n">
        <f aca="false">CHOOSE(C20,1,1,$F$4,$F$4)</f>
        <v>0</v>
      </c>
      <c r="K20" s="14" t="n">
        <f aca="false">E20*IF(D20&lt;=2,1-J20,IF(D20=3,IF(AND(S20=0,H20&gt;=W_min,F20-D_dip&gt;=Floor_q),1,0),IF(AND(H20&gt;=W_min,F20&gt;=Pre_A),1,0)))</f>
        <v>1</v>
      </c>
      <c r="L20" s="14" t="n">
        <f aca="false">CHOOSE(D20,F20+Proc_S,F20+Proc_Sk,F20+D_dL,F20-Cost_A)</f>
        <v>592</v>
      </c>
      <c r="M20" s="19" t="n">
        <f aca="false">CHOOSE(D20,(1-Tech_share)*G20,(1-Tech_share)*G20,G20+D_dT,G20)</f>
        <v>36.9</v>
      </c>
      <c r="N20" s="14" t="n">
        <f aca="false">CHOOSE(D20,H20-W_lost,H20,H20,H20+W_gain)</f>
        <v>59</v>
      </c>
      <c r="O20" s="16" t="n">
        <f aca="false">CHOOSE(D20,I20,I20,I20+D_dE,I20+Close_A*(Ceil_E-I20))</f>
        <v>78</v>
      </c>
      <c r="P20" s="14" t="n">
        <f aca="false">CHOOSE(D20,1,1,J20,J20)</f>
        <v>1</v>
      </c>
      <c r="Q20" s="14" t="n">
        <f aca="false">IF(K20=1,IF(AND(M20&gt;=Target_T,O20&gt;=Target_E,L20&gt;=Floor_q),1,0),0)</f>
        <v>0</v>
      </c>
      <c r="R20" s="14" t="n">
        <f aca="false">IF(K20=1,L20-Floor_q,"")</f>
        <v>242</v>
      </c>
      <c r="S20" s="14" t="n">
        <f aca="false">CHOOSE(C20,$G$4,$G$4,1,$G$4)</f>
        <v>0</v>
      </c>
      <c r="T20" s="14" t="n">
        <f aca="false">CHOOSE(D20,S20,S20,1,S20)</f>
        <v>0</v>
      </c>
    </row>
    <row r="21" customFormat="false" ht="15" hidden="false" customHeight="true" outlineLevel="0" collapsed="false">
      <c r="A21" s="3" t="s">
        <v>162</v>
      </c>
      <c r="B21" s="3" t="s">
        <v>161</v>
      </c>
      <c r="C21" s="14" t="n">
        <v>4</v>
      </c>
      <c r="D21" s="14" t="n">
        <v>3</v>
      </c>
      <c r="E21" s="14" t="n">
        <f aca="false">IF(C21&lt;=2,1-$F$4,IF(C21=3,IF(AND($G$4=0,$D$4&gt;=W_min,$B$4-D_dip&gt;=Floor_q),1,0),IF(AND($D$4&gt;=W_min,$B$4&gt;=Pre_A),1,0)))</f>
        <v>1</v>
      </c>
      <c r="F21" s="14" t="n">
        <f aca="false">CHOOSE(C21,$B$4+Proc_S,$B$4+Proc_Sk,$B$4+D_dL,$B$4-Cost_A)</f>
        <v>500</v>
      </c>
      <c r="G21" s="19" t="n">
        <f aca="false">CHOOSE(C21,(1-Tech_share)*$C$4,(1-Tech_share)*$C$4,$C$4+D_dT,$C$4)</f>
        <v>41</v>
      </c>
      <c r="H21" s="14" t="n">
        <f aca="false">CHOOSE(C21,$D$4-W_lost,$D$4,$D$4,$D$4+W_gain)</f>
        <v>59</v>
      </c>
      <c r="I21" s="16" t="n">
        <f aca="false">CHOOSE(C21,$E$4,$E$4,$E$4+D_dE,$E$4+Close_A*(Ceil_E-$E$4))</f>
        <v>78</v>
      </c>
      <c r="J21" s="14" t="n">
        <f aca="false">CHOOSE(C21,1,1,$F$4,$F$4)</f>
        <v>0</v>
      </c>
      <c r="K21" s="14" t="n">
        <f aca="false">E21*IF(D21&lt;=2,1-J21,IF(D21=3,IF(AND(S21=0,H21&gt;=W_min,F21-D_dip&gt;=Floor_q),1,0),IF(AND(H21&gt;=W_min,F21&gt;=Pre_A),1,0)))</f>
        <v>1</v>
      </c>
      <c r="L21" s="14" t="n">
        <f aca="false">CHOOSE(D21,F21+Proc_S,F21+Proc_Sk,F21+D_dL,F21-Cost_A)</f>
        <v>464.632729102868</v>
      </c>
      <c r="M21" s="19" t="n">
        <f aca="false">CHOOSE(D21,(1-Tech_share)*G21,(1-Tech_share)*G21,G21+D_dT,G21)</f>
        <v>75.6346691353518</v>
      </c>
      <c r="N21" s="14" t="n">
        <f aca="false">CHOOSE(D21,H21-W_lost,H21,H21,H21+W_gain)</f>
        <v>59</v>
      </c>
      <c r="O21" s="16" t="n">
        <f aca="false">CHOOSE(D21,I21,I21,I21+D_dE,I21+Close_A*(Ceil_E-I21))</f>
        <v>80.5983309723245</v>
      </c>
      <c r="P21" s="14" t="n">
        <f aca="false">CHOOSE(D21,1,1,J21,J21)</f>
        <v>0</v>
      </c>
      <c r="Q21" s="14" t="n">
        <f aca="false">IF(K21=1,IF(AND(M21&gt;=Target_T,O21&gt;=Target_E,L21&gt;=Floor_q),1,0),0)</f>
        <v>1</v>
      </c>
      <c r="R21" s="14" t="n">
        <f aca="false">IF(K21=1,L21-Floor_q,"")</f>
        <v>114.632729102868</v>
      </c>
      <c r="S21" s="14" t="n">
        <f aca="false">CHOOSE(C21,$G$4,$G$4,1,$G$4)</f>
        <v>0</v>
      </c>
      <c r="T21" s="14" t="n">
        <f aca="false">CHOOSE(D21,S21,S21,1,S21)</f>
        <v>1</v>
      </c>
    </row>
    <row r="22" customFormat="false" ht="15" hidden="false" customHeight="true" outlineLevel="0" collapsed="false">
      <c r="A22" s="3" t="s">
        <v>162</v>
      </c>
      <c r="B22" s="3" t="s">
        <v>162</v>
      </c>
      <c r="C22" s="14" t="n">
        <v>4</v>
      </c>
      <c r="D22" s="14" t="n">
        <v>4</v>
      </c>
      <c r="E22" s="14" t="n">
        <f aca="false">IF(C22&lt;=2,1-$F$4,IF(C22=3,IF(AND($G$4=0,$D$4&gt;=W_min,$B$4-D_dip&gt;=Floor_q),1,0),IF(AND($D$4&gt;=W_min,$B$4&gt;=Pre_A),1,0)))</f>
        <v>1</v>
      </c>
      <c r="F22" s="14" t="n">
        <f aca="false">CHOOSE(C22,$B$4+Proc_S,$B$4+Proc_Sk,$B$4+D_dL,$B$4-Cost_A)</f>
        <v>500</v>
      </c>
      <c r="G22" s="19" t="n">
        <f aca="false">CHOOSE(C22,(1-Tech_share)*$C$4,(1-Tech_share)*$C$4,$C$4+D_dT,$C$4)</f>
        <v>41</v>
      </c>
      <c r="H22" s="14" t="n">
        <f aca="false">CHOOSE(C22,$D$4-W_lost,$D$4,$D$4,$D$4+W_gain)</f>
        <v>59</v>
      </c>
      <c r="I22" s="16" t="n">
        <f aca="false">CHOOSE(C22,$E$4,$E$4,$E$4+D_dE,$E$4+Close_A*(Ceil_E-$E$4))</f>
        <v>78</v>
      </c>
      <c r="J22" s="14" t="n">
        <f aca="false">CHOOSE(C22,1,1,$F$4,$F$4)</f>
        <v>0</v>
      </c>
      <c r="K22" s="14" t="n">
        <f aca="false">E22*IF(D22&lt;=2,1-J22,IF(D22=3,IF(AND(S22=0,H22&gt;=W_min,F22-D_dip&gt;=Floor_q),1,0),IF(AND(H22&gt;=W_min,F22&gt;=Pre_A),1,0)))</f>
        <v>1</v>
      </c>
      <c r="L22" s="14" t="n">
        <f aca="false">CHOOSE(D22,F22+Proc_S,F22+Proc_Sk,F22+D_dL,F22-Cost_A)</f>
        <v>380</v>
      </c>
      <c r="M22" s="19" t="n">
        <f aca="false">CHOOSE(D22,(1-Tech_share)*G22,(1-Tech_share)*G22,G22+D_dT,G22)</f>
        <v>41</v>
      </c>
      <c r="N22" s="14" t="n">
        <f aca="false">CHOOSE(D22,H22-W_lost,H22,H22,H22+W_gain)</f>
        <v>60</v>
      </c>
      <c r="O22" s="16" t="n">
        <f aca="false">CHOOSE(D22,I22,I22,I22+D_dE,I22+Close_A*(Ceil_E-I22))</f>
        <v>81.5</v>
      </c>
      <c r="P22" s="14" t="n">
        <f aca="false">CHOOSE(D22,1,1,J22,J22)</f>
        <v>0</v>
      </c>
      <c r="Q22" s="14" t="n">
        <f aca="false">IF(K22=1,IF(AND(M22&gt;=Target_T,O22&gt;=Target_E,L22&gt;=Floor_q),1,0),0)</f>
        <v>0</v>
      </c>
      <c r="R22" s="14" t="n">
        <f aca="false">IF(K22=1,L22-Floor_q,"")</f>
        <v>30</v>
      </c>
      <c r="S22" s="14" t="n">
        <f aca="false">CHOOSE(C22,$G$4,$G$4,1,$G$4)</f>
        <v>0</v>
      </c>
      <c r="T22" s="14" t="n">
        <f aca="false">CHOOSE(D22,S22,S22,1,S22)</f>
        <v>0</v>
      </c>
    </row>
    <row r="25" customFormat="false" ht="15" hidden="false" customHeight="true" outlineLevel="0" collapsed="false">
      <c r="A25" s="5" t="s">
        <v>163</v>
      </c>
      <c r="B25" s="14" t="n">
        <f aca="false">SUM(K7:K22)</f>
        <v>9</v>
      </c>
    </row>
    <row r="26" customFormat="false" ht="15" hidden="false" customHeight="true" outlineLevel="0" collapsed="false">
      <c r="A26" s="5" t="s">
        <v>164</v>
      </c>
      <c r="B26" s="14" t="n">
        <f aca="false">SUM(Q7:Q22)</f>
        <v>1</v>
      </c>
      <c r="C26" s="11" t="s">
        <v>165</v>
      </c>
    </row>
    <row r="27" customFormat="false" ht="15" hidden="false" customHeight="true" outlineLevel="0" collapsed="false">
      <c r="A27" s="3" t="s">
        <v>166</v>
      </c>
      <c r="B27" s="14" t="n">
        <f aca="false">SUMIFS(L7:L22,Q7:Q22,1)</f>
        <v>464.632729102868</v>
      </c>
    </row>
    <row r="28" customFormat="false" ht="15" hidden="false" customHeight="true" outlineLevel="0" collapsed="false">
      <c r="A28" s="3" t="s">
        <v>167</v>
      </c>
      <c r="B28" s="19" t="n">
        <f aca="false">SUMIFS(M7:M22,Q7:Q22,1)</f>
        <v>75.6346691353518</v>
      </c>
    </row>
    <row r="29" customFormat="false" ht="15" hidden="false" customHeight="true" outlineLevel="0" collapsed="false">
      <c r="A29" s="3" t="s">
        <v>168</v>
      </c>
      <c r="B29" s="14" t="n">
        <f aca="false">SUMIFS(F7:F22,Q7:Q22,1)-D_dip-Floor_q</f>
        <v>11.9179413779679</v>
      </c>
    </row>
    <row r="30" customFormat="false" ht="15" hidden="false" customHeight="true" outlineLevel="0" collapsed="false">
      <c r="A30" s="3" t="s">
        <v>169</v>
      </c>
      <c r="B30" s="14" t="n">
        <f aca="false">SUMIFS(O7:O22,Q7:Q22,1)</f>
        <v>80.5983309723245</v>
      </c>
    </row>
    <row r="31" customFormat="false" ht="15" hidden="false" customHeight="false" outlineLevel="0" collapsed="false">
      <c r="A31" s="3" t="s">
        <v>170</v>
      </c>
      <c r="B31" s="14" t="n">
        <f aca="false">O18</f>
        <v>79.2991654861622</v>
      </c>
    </row>
    <row r="32" customFormat="false" ht="15" hidden="false" customHeight="true" outlineLevel="0" collapsed="false">
      <c r="A32" s="9" t="s">
        <v>171</v>
      </c>
      <c r="B32" s="9" t="s">
        <v>81</v>
      </c>
      <c r="C32" s="9" t="s">
        <v>82</v>
      </c>
      <c r="D32" s="9" t="s">
        <v>83</v>
      </c>
      <c r="E32" s="9" t="s">
        <v>84</v>
      </c>
    </row>
    <row r="33" customFormat="false" ht="15" hidden="false" customHeight="true" outlineLevel="0" collapsed="false">
      <c r="A33" s="3" t="s">
        <v>172</v>
      </c>
      <c r="B33" s="14" t="n">
        <f aca="false">B4</f>
        <v>620</v>
      </c>
      <c r="C33" s="14" t="n">
        <f aca="false">C4</f>
        <v>41</v>
      </c>
      <c r="D33" s="14" t="n">
        <f aca="false">D4</f>
        <v>58</v>
      </c>
      <c r="E33" s="14" t="n">
        <f aca="false">E4</f>
        <v>71</v>
      </c>
    </row>
    <row r="34" customFormat="false" ht="15" hidden="false" customHeight="true" outlineLevel="0" collapsed="false">
      <c r="A34" s="3" t="s">
        <v>173</v>
      </c>
      <c r="B34" s="14" t="n">
        <f aca="false">B33+Proc_Sk</f>
        <v>712</v>
      </c>
      <c r="C34" s="14" t="n">
        <f aca="false">(1-Tech_share)*C33</f>
        <v>36.9</v>
      </c>
      <c r="D34" s="14" t="n">
        <f aca="false">D33</f>
        <v>58</v>
      </c>
      <c r="E34" s="14" t="n">
        <f aca="false">E33</f>
        <v>71</v>
      </c>
    </row>
    <row r="35" customFormat="false" ht="15" hidden="false" customHeight="true" outlineLevel="0" collapsed="false">
      <c r="A35" s="3" t="s">
        <v>174</v>
      </c>
      <c r="B35" s="14" t="n">
        <f aca="false">B34-Cost_A</f>
        <v>592</v>
      </c>
      <c r="C35" s="14" t="n">
        <f aca="false">C34</f>
        <v>36.9</v>
      </c>
      <c r="D35" s="14" t="n">
        <f aca="false">D34+W_gain</f>
        <v>59</v>
      </c>
      <c r="E35" s="14" t="n">
        <f aca="false">E34+Close_A*(Ceil_E-E34)</f>
        <v>78</v>
      </c>
    </row>
    <row r="36" customFormat="false" ht="15" hidden="false" customHeight="true" outlineLevel="0" collapsed="false">
      <c r="A36" s="3" t="s">
        <v>175</v>
      </c>
      <c r="B36" s="14" t="n">
        <f aca="false">B35-Cost_A</f>
        <v>472</v>
      </c>
      <c r="C36" s="14" t="n">
        <f aca="false">C35</f>
        <v>36.9</v>
      </c>
      <c r="D36" s="14" t="n">
        <f aca="false">D35+W_gain</f>
        <v>60</v>
      </c>
      <c r="E36" s="14" t="n">
        <f aca="false">E35+Close_A*(Ceil_E-E35)</f>
        <v>81.5</v>
      </c>
    </row>
    <row r="37" customFormat="false" ht="15" hidden="false" customHeight="true" outlineLevel="0" collapsed="false">
      <c r="A37" s="3" t="s">
        <v>176</v>
      </c>
      <c r="B37" s="14" t="n">
        <f aca="false">B36+D_dL</f>
        <v>436.632729102868</v>
      </c>
      <c r="C37" s="14" t="n">
        <f aca="false">C36+D_dT</f>
        <v>71.5346691353518</v>
      </c>
      <c r="D37" s="14" t="n">
        <f aca="false">D36</f>
        <v>60</v>
      </c>
      <c r="E37" s="14" t="n">
        <f aca="false">E36+D_dE</f>
        <v>84.0983309723245</v>
      </c>
    </row>
    <row r="38" customFormat="false" ht="15" hidden="false" customHeight="true" outlineLevel="0" collapsed="false">
      <c r="A38" s="3" t="s">
        <v>177</v>
      </c>
      <c r="B38" s="14" t="n">
        <f aca="false">B36-D_dip</f>
        <v>333.917941377968</v>
      </c>
    </row>
    <row r="39" customFormat="false" ht="15" hidden="false" customHeight="false" outlineLevel="0" collapsed="false">
      <c r="A39" s="3" t="s">
        <v>178</v>
      </c>
      <c r="B39" s="14" t="n">
        <f aca="false">Floor_q-B38</f>
        <v>16.0820586220322</v>
      </c>
    </row>
    <row r="40" customFormat="false" ht="15" hidden="false" customHeight="false" outlineLevel="0" collapsed="false">
      <c r="A40" s="3" t="s">
        <v>179</v>
      </c>
      <c r="B40" s="14" t="n">
        <f aca="false">B37-Floor_q</f>
        <v>86.6327291028683</v>
      </c>
    </row>
    <row r="41" customFormat="false" ht="15" hidden="false" customHeight="false" outlineLevel="0" collapsed="false">
      <c r="A41" s="11" t="s">
        <v>180</v>
      </c>
    </row>
  </sheetData>
  <conditionalFormatting sqref="F7:J22">
    <cfRule type="expression" priority="2" aboveAverage="0" equalAverage="0" bottom="0" percent="0" rank="0" text="" dxfId="0">
      <formula>$E7=0</formula>
    </cfRule>
  </conditionalFormatting>
  <conditionalFormatting sqref="S7:S22">
    <cfRule type="expression" priority="3" aboveAverage="0" equalAverage="0" bottom="0" percent="0" rank="0" text="" dxfId="0">
      <formula>$E7=0</formula>
    </cfRule>
  </conditionalFormatting>
  <conditionalFormatting sqref="L7:P22">
    <cfRule type="expression" priority="4" aboveAverage="0" equalAverage="0" bottom="0" percent="0" rank="0" text="" dxfId="0">
      <formula>$K7=0</formula>
    </cfRule>
  </conditionalFormatting>
  <conditionalFormatting sqref="T7:T22">
    <cfRule type="expression" priority="5" aboveAverage="0" equalAverage="0" bottom="0" percent="0" rank="0" text="" dxfId="0">
      <formula>$K7=0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2" topLeftCell="B33" activePane="bottomRight" state="frozen"/>
      <selection pane="topLeft" activeCell="A1" activeCellId="0" sqref="A1"/>
      <selection pane="topRight" activeCell="B1" activeCellId="0" sqref="B1"/>
      <selection pane="bottomLeft" activeCell="A33" activeCellId="0" sqref="A3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5" min="2" style="1" width="17"/>
    <col collapsed="false" customWidth="true" hidden="false" outlineLevel="0" max="33" min="6" style="1" width="12"/>
  </cols>
  <sheetData>
    <row r="1" customFormat="false" ht="15" hidden="false" customHeight="true" outlineLevel="0" collapsed="false">
      <c r="A1" s="2" t="s">
        <v>181</v>
      </c>
    </row>
    <row r="2" customFormat="false" ht="15" hidden="false" customHeight="true" outlineLevel="0" collapsed="false">
      <c r="A2" s="11" t="s">
        <v>182</v>
      </c>
    </row>
    <row r="3" customFormat="false" ht="23.25" hidden="false" customHeight="true" outlineLevel="0" collapsed="false">
      <c r="A3" s="9" t="s">
        <v>183</v>
      </c>
      <c r="B3" s="23" t="s">
        <v>184</v>
      </c>
      <c r="C3" s="23" t="s">
        <v>185</v>
      </c>
      <c r="D3" s="23" t="s">
        <v>186</v>
      </c>
      <c r="E3" s="23" t="s">
        <v>187</v>
      </c>
    </row>
    <row r="4" customFormat="false" ht="15" hidden="false" customHeight="true" outlineLevel="0" collapsed="false">
      <c r="A4" s="3" t="s">
        <v>188</v>
      </c>
      <c r="B4" s="32" t="n">
        <v>0</v>
      </c>
      <c r="C4" s="32" t="n">
        <v>1</v>
      </c>
      <c r="D4" s="32" t="n">
        <v>1</v>
      </c>
      <c r="E4" s="32" t="n">
        <v>1</v>
      </c>
    </row>
    <row r="5" customFormat="false" ht="15" hidden="false" customHeight="true" outlineLevel="0" collapsed="false">
      <c r="A5" s="3" t="s">
        <v>189</v>
      </c>
      <c r="B5" s="30" t="n">
        <v>0</v>
      </c>
      <c r="C5" s="30" t="n">
        <v>0</v>
      </c>
      <c r="D5" s="30" t="n">
        <v>1</v>
      </c>
      <c r="E5" s="30" t="n">
        <v>2</v>
      </c>
    </row>
    <row r="6" customFormat="false" ht="15" hidden="false" customHeight="true" outlineLevel="0" collapsed="false">
      <c r="B6" s="33"/>
      <c r="C6" s="33"/>
      <c r="D6" s="33"/>
      <c r="E6" s="33"/>
    </row>
    <row r="7" customFormat="false" ht="15" hidden="false" customHeight="true" outlineLevel="0" collapsed="false">
      <c r="A7" s="3" t="s">
        <v>190</v>
      </c>
      <c r="B7" s="25" t="n">
        <f aca="false">SUM(B34:B73)</f>
        <v>2</v>
      </c>
      <c r="C7" s="25" t="n">
        <f aca="false">SUM(J34:J73)</f>
        <v>40</v>
      </c>
      <c r="D7" s="25" t="n">
        <f aca="false">SUM(R34:R73)</f>
        <v>40</v>
      </c>
      <c r="E7" s="25" t="n">
        <f aca="false">SUM(Z34:Z73)</f>
        <v>4</v>
      </c>
    </row>
    <row r="8" customFormat="false" ht="15" hidden="false" customHeight="true" outlineLevel="0" collapsed="false">
      <c r="A8" s="3" t="s">
        <v>191</v>
      </c>
      <c r="B8" s="25" t="n">
        <f aca="false">IF(B7=40,"none in 40 years",B7+1)</f>
        <v>3</v>
      </c>
      <c r="C8" s="25" t="str">
        <f aca="false">IF(C7=40,"none in 40 years",C7+1)</f>
        <v>none in 40 years</v>
      </c>
      <c r="D8" s="25" t="str">
        <f aca="false">IF(D7=40,"none in 40 years",D7+1)</f>
        <v>none in 40 years</v>
      </c>
      <c r="E8" s="25" t="n">
        <f aca="false">IF(E7=40,"none in 40 years",E7+1)</f>
        <v>5</v>
      </c>
    </row>
    <row r="9" customFormat="false" ht="15" hidden="false" customHeight="true" outlineLevel="0" collapsed="false">
      <c r="A9" s="3" t="s">
        <v>192</v>
      </c>
      <c r="B9" s="25" t="str">
        <f aca="false">IF(COUNTIF(D34:D73,"&gt;"&amp;Cost_A)=0,"never",_xlfn.MINIFS($A$34:$A$73,D34:D73,"&gt;"&amp;Cost_A))</f>
        <v>never</v>
      </c>
      <c r="C9" s="25" t="n">
        <f aca="false">IF(COUNTIF(L34:L73,"&gt;"&amp;Cost_A)=0,"never",_xlfn.MINIFS($A$34:$A$73,L34:L73,"&gt;"&amp;Cost_A))</f>
        <v>3</v>
      </c>
      <c r="D9" s="25" t="str">
        <f aca="false">IF(COUNTIF(T34:T73,"&gt;"&amp;Cost_A)=0,"never",_xlfn.MINIFS($A$34:$A$73,T34:T73,"&gt;"&amp;Cost_A))</f>
        <v>never</v>
      </c>
      <c r="E9" s="25" t="str">
        <f aca="false">IF(COUNTIF(AB34:AB73,"&gt;"&amp;Cost_A)=0,"never",_xlfn.MINIFS($A$34:$A$73,AB34:AB73,"&gt;"&amp;Cost_A))</f>
        <v>never</v>
      </c>
    </row>
    <row r="10" customFormat="false" ht="15" hidden="false" customHeight="true" outlineLevel="0" collapsed="false">
      <c r="A10" s="3" t="s">
        <v>193</v>
      </c>
      <c r="B10" s="27" t="n">
        <f aca="false">_xlfn.MINIFS(F34:F73,B34:B73,1)</f>
        <v>380</v>
      </c>
      <c r="C10" s="27" t="n">
        <f aca="false">_xlfn.MINIFS(N34:N73,J34:J73,1)</f>
        <v>555</v>
      </c>
      <c r="D10" s="27" t="n">
        <f aca="false">_xlfn.MINIFS(V34:V73,R34:R73,1)</f>
        <v>500.000000000109</v>
      </c>
      <c r="E10" s="27" t="n">
        <f aca="false">_xlfn.MINIFS(AD34:AD73,Z34:Z73,1)</f>
        <v>446.25</v>
      </c>
    </row>
    <row r="11" customFormat="false" ht="15" hidden="false" customHeight="true" outlineLevel="0" collapsed="false">
      <c r="A11" s="3" t="s">
        <v>194</v>
      </c>
      <c r="B11" s="27" t="n">
        <f aca="false">F73</f>
        <v>-4180</v>
      </c>
      <c r="C11" s="27" t="n">
        <f aca="false">N73</f>
        <v>1280.00000000013</v>
      </c>
      <c r="D11" s="27" t="n">
        <f aca="false">V73</f>
        <v>500.000000000109</v>
      </c>
      <c r="E11" s="27" t="n">
        <f aca="false">AD73</f>
        <v>-279.999999999909</v>
      </c>
    </row>
    <row r="12" customFormat="false" ht="15" hidden="false" customHeight="true" outlineLevel="0" collapsed="false">
      <c r="A12" s="3" t="s">
        <v>195</v>
      </c>
      <c r="B12" s="34" t="n">
        <f aca="false">E73</f>
        <v>-120</v>
      </c>
      <c r="C12" s="34" t="n">
        <f aca="false">M73</f>
        <v>19.9999999998727</v>
      </c>
      <c r="D12" s="34" t="n">
        <f aca="false">U73</f>
        <v>-1.09139364212751E-010</v>
      </c>
      <c r="E12" s="34" t="n">
        <f aca="false">AC73</f>
        <v>-20.000000000091</v>
      </c>
    </row>
    <row r="13" customFormat="false" ht="15" hidden="false" customHeight="true" outlineLevel="0" collapsed="false">
      <c r="A13" s="3" t="s">
        <v>196</v>
      </c>
      <c r="B13" s="27" t="n">
        <f aca="false">I73</f>
        <v>5150</v>
      </c>
      <c r="C13" s="27" t="n">
        <f aca="false">Q73</f>
        <v>535</v>
      </c>
      <c r="D13" s="27" t="n">
        <f aca="false">Y73</f>
        <v>589.999999999782</v>
      </c>
      <c r="E13" s="27" t="n">
        <f aca="false">AG73</f>
        <v>1349.99999999982</v>
      </c>
    </row>
    <row r="14" customFormat="false" ht="15" hidden="false" customHeight="true" outlineLevel="0" collapsed="false">
      <c r="A14" s="3" t="s">
        <v>197</v>
      </c>
      <c r="B14" s="35" t="n">
        <f aca="false">I73-I72</f>
        <v>120</v>
      </c>
      <c r="C14" s="35" t="n">
        <f aca="false">Q73-Q72</f>
        <v>0</v>
      </c>
      <c r="D14" s="35" t="n">
        <f aca="false">Y73-Y72</f>
        <v>2.18278728425503E-010</v>
      </c>
      <c r="E14" s="35" t="n">
        <f aca="false">AG73-AG72</f>
        <v>20.0000000001819</v>
      </c>
    </row>
    <row r="15" customFormat="false" ht="15" hidden="false" customHeight="true" outlineLevel="0" collapsed="false">
      <c r="A15" s="3" t="s">
        <v>198</v>
      </c>
      <c r="B15" s="31" t="str">
        <f aca="false">IF(B14&gt;0.000001,"empty","from "&amp;TEXT(B13,"0.00"))</f>
        <v>empty</v>
      </c>
      <c r="C15" s="31" t="str">
        <f aca="false">IF(C14&gt;0.000001,"empty","from "&amp;TEXT(C13,"0.00"))</f>
        <v>from 535.00</v>
      </c>
      <c r="D15" s="31" t="str">
        <f aca="false">IF(D14&gt;0.000001,"empty","from "&amp;TEXT(D13,"0.00"))</f>
        <v>from 590.00</v>
      </c>
      <c r="E15" s="31" t="str">
        <f aca="false">IF(E14&gt;0.000001,"empty","from "&amp;TEXT(E13,"0.00"))</f>
        <v>empty</v>
      </c>
    </row>
    <row r="16" customFormat="false" ht="15" hidden="false" customHeight="true" outlineLevel="0" collapsed="false">
      <c r="A16" s="3" t="s">
        <v>199</v>
      </c>
      <c r="B16" s="27" t="n">
        <f aca="false">Liq_today-B13</f>
        <v>-4530</v>
      </c>
      <c r="C16" s="27" t="n">
        <f aca="false">Liq_today-C13</f>
        <v>85</v>
      </c>
      <c r="D16" s="27" t="n">
        <f aca="false">Liq_today-D13</f>
        <v>30.0000000002183</v>
      </c>
      <c r="E16" s="27" t="n">
        <f aca="false">Liq_today-E13</f>
        <v>-729.999999999818</v>
      </c>
    </row>
    <row r="18" customFormat="false" ht="15" hidden="false" customHeight="true" outlineLevel="0" collapsed="false">
      <c r="A18" s="9" t="s">
        <v>200</v>
      </c>
      <c r="B18" s="23" t="s">
        <v>201</v>
      </c>
      <c r="C18" s="23" t="s">
        <v>202</v>
      </c>
      <c r="D18" s="23" t="s">
        <v>203</v>
      </c>
      <c r="E18" s="23" t="s">
        <v>204</v>
      </c>
      <c r="F18" s="23" t="s">
        <v>205</v>
      </c>
      <c r="G18" s="23" t="s">
        <v>206</v>
      </c>
      <c r="H18" s="23" t="s">
        <v>207</v>
      </c>
    </row>
    <row r="19" customFormat="false" ht="15" hidden="false" customHeight="true" outlineLevel="0" collapsed="false">
      <c r="A19" s="3" t="s">
        <v>208</v>
      </c>
      <c r="B19" s="27" t="n">
        <f aca="false">K33</f>
        <v>71</v>
      </c>
      <c r="C19" s="27" t="n">
        <f aca="false">K34</f>
        <v>78</v>
      </c>
      <c r="D19" s="27" t="n">
        <f aca="false">K35</f>
        <v>81.5</v>
      </c>
      <c r="E19" s="27" t="n">
        <f aca="false">K36</f>
        <v>83.25</v>
      </c>
      <c r="F19" s="27" t="n">
        <f aca="false">K37</f>
        <v>84.125</v>
      </c>
      <c r="G19" s="27" t="n">
        <f aca="false">K38</f>
        <v>84.5625</v>
      </c>
      <c r="H19" s="27" t="n">
        <f aca="false">K39</f>
        <v>84.78125</v>
      </c>
    </row>
    <row r="20" customFormat="false" ht="15" hidden="false" customHeight="true" outlineLevel="0" collapsed="false">
      <c r="A20" s="3" t="s">
        <v>209</v>
      </c>
      <c r="B20" s="31" t="s">
        <v>210</v>
      </c>
      <c r="C20" s="26" t="n">
        <f aca="false">L34</f>
        <v>70</v>
      </c>
      <c r="D20" s="26" t="n">
        <f aca="false">L35</f>
        <v>105</v>
      </c>
      <c r="E20" s="26" t="n">
        <f aca="false">L36</f>
        <v>122.5</v>
      </c>
      <c r="F20" s="26" t="n">
        <f aca="false">L37</f>
        <v>131.25</v>
      </c>
      <c r="G20" s="26" t="n">
        <f aca="false">L38</f>
        <v>135.625</v>
      </c>
      <c r="H20" s="26" t="n">
        <f aca="false">L39</f>
        <v>137.8125</v>
      </c>
    </row>
    <row r="21" customFormat="false" ht="15" hidden="false" customHeight="true" outlineLevel="0" collapsed="false">
      <c r="A21" s="3" t="s">
        <v>211</v>
      </c>
      <c r="B21" s="31" t="s">
        <v>210</v>
      </c>
      <c r="C21" s="26" t="n">
        <f aca="false">M34</f>
        <v>-50</v>
      </c>
      <c r="D21" s="26" t="n">
        <f aca="false">M35</f>
        <v>-15</v>
      </c>
      <c r="E21" s="26" t="n">
        <f aca="false">M36</f>
        <v>2.5</v>
      </c>
      <c r="F21" s="26" t="n">
        <f aca="false">M37</f>
        <v>11.25</v>
      </c>
      <c r="G21" s="26" t="n">
        <f aca="false">M38</f>
        <v>15.625</v>
      </c>
      <c r="H21" s="26" t="n">
        <f aca="false">M39</f>
        <v>17.8125</v>
      </c>
    </row>
    <row r="22" customFormat="false" ht="15" hidden="false" customHeight="true" outlineLevel="0" collapsed="false">
      <c r="A22" s="3" t="s">
        <v>212</v>
      </c>
      <c r="B22" s="26" t="n">
        <f aca="false">N33</f>
        <v>620</v>
      </c>
      <c r="C22" s="26" t="n">
        <f aca="false">N34</f>
        <v>570</v>
      </c>
      <c r="D22" s="26" t="n">
        <f aca="false">N35</f>
        <v>555</v>
      </c>
      <c r="E22" s="26" t="n">
        <f aca="false">N36</f>
        <v>557.5</v>
      </c>
      <c r="F22" s="26" t="n">
        <f aca="false">N37</f>
        <v>568.75</v>
      </c>
      <c r="G22" s="26" t="n">
        <f aca="false">N38</f>
        <v>584.375</v>
      </c>
      <c r="H22" s="26" t="n">
        <f aca="false">N39</f>
        <v>602.1875</v>
      </c>
    </row>
    <row r="24" customFormat="false" ht="15" hidden="false" customHeight="true" outlineLevel="0" collapsed="false">
      <c r="A24" s="9" t="s">
        <v>213</v>
      </c>
      <c r="B24" s="23" t="s">
        <v>214</v>
      </c>
      <c r="C24" s="23" t="s">
        <v>215</v>
      </c>
      <c r="D24" s="23" t="s">
        <v>216</v>
      </c>
      <c r="E24" s="23" t="s">
        <v>217</v>
      </c>
      <c r="F24" s="23" t="s">
        <v>218</v>
      </c>
      <c r="G24" s="23" t="s">
        <v>219</v>
      </c>
      <c r="H24" s="23" t="s">
        <v>220</v>
      </c>
      <c r="I24" s="23" t="s">
        <v>221</v>
      </c>
      <c r="J24" s="23" t="s">
        <v>222</v>
      </c>
      <c r="K24" s="23" t="s">
        <v>223</v>
      </c>
    </row>
    <row r="25" customFormat="false" ht="15" hidden="false" customHeight="true" outlineLevel="0" collapsed="false">
      <c r="A25" s="3" t="s">
        <v>184</v>
      </c>
      <c r="B25" s="26" t="n">
        <f aca="false">I34</f>
        <v>470</v>
      </c>
      <c r="C25" s="26" t="n">
        <f aca="false">I35</f>
        <v>590</v>
      </c>
      <c r="D25" s="26" t="n">
        <f aca="false">I36</f>
        <v>710</v>
      </c>
      <c r="E25" s="26" t="n">
        <f aca="false">I37</f>
        <v>830</v>
      </c>
      <c r="F25" s="26" t="n">
        <f aca="false">I38</f>
        <v>950</v>
      </c>
      <c r="G25" s="26" t="n">
        <f aca="false">I39</f>
        <v>1070</v>
      </c>
      <c r="H25" s="26" t="n">
        <f aca="false">I40</f>
        <v>1190</v>
      </c>
      <c r="I25" s="26" t="n">
        <f aca="false">I41</f>
        <v>1310</v>
      </c>
      <c r="J25" s="26" t="n">
        <f aca="false">I42</f>
        <v>1430</v>
      </c>
      <c r="K25" s="26" t="n">
        <f aca="false">I43</f>
        <v>1550</v>
      </c>
    </row>
    <row r="26" customFormat="false" ht="15" hidden="false" customHeight="true" outlineLevel="0" collapsed="false">
      <c r="A26" s="3" t="s">
        <v>185</v>
      </c>
      <c r="B26" s="26" t="n">
        <f aca="false">Q34</f>
        <v>470</v>
      </c>
      <c r="C26" s="26" t="n">
        <f aca="false">Q35</f>
        <v>520</v>
      </c>
      <c r="D26" s="26" t="n">
        <f aca="false">Q36</f>
        <v>535</v>
      </c>
      <c r="E26" s="26" t="n">
        <f aca="false">Q37</f>
        <v>535</v>
      </c>
      <c r="F26" s="26" t="n">
        <f aca="false">Q38</f>
        <v>535</v>
      </c>
      <c r="G26" s="26" t="n">
        <f aca="false">Q39</f>
        <v>535</v>
      </c>
      <c r="H26" s="26" t="n">
        <f aca="false">Q40</f>
        <v>535</v>
      </c>
      <c r="I26" s="26" t="n">
        <f aca="false">Q41</f>
        <v>535</v>
      </c>
      <c r="J26" s="26" t="n">
        <f aca="false">Q42</f>
        <v>535</v>
      </c>
      <c r="K26" s="26" t="n">
        <f aca="false">Q43</f>
        <v>535</v>
      </c>
    </row>
    <row r="27" customFormat="false" ht="15" hidden="false" customHeight="true" outlineLevel="0" collapsed="false">
      <c r="A27" s="3" t="s">
        <v>186</v>
      </c>
      <c r="B27" s="26" t="n">
        <f aca="false">Y34</f>
        <v>470</v>
      </c>
      <c r="C27" s="26" t="n">
        <f aca="false">Y35</f>
        <v>530</v>
      </c>
      <c r="D27" s="26" t="n">
        <f aca="false">Y36</f>
        <v>560</v>
      </c>
      <c r="E27" s="26" t="n">
        <f aca="false">Y37</f>
        <v>575</v>
      </c>
      <c r="F27" s="26" t="n">
        <f aca="false">Y38</f>
        <v>582.5</v>
      </c>
      <c r="G27" s="26" t="n">
        <f aca="false">Y39</f>
        <v>586.25</v>
      </c>
      <c r="H27" s="26" t="n">
        <f aca="false">Y40</f>
        <v>588.125</v>
      </c>
      <c r="I27" s="26" t="n">
        <f aca="false">Y41</f>
        <v>589.0625</v>
      </c>
      <c r="J27" s="26" t="n">
        <f aca="false">Y42</f>
        <v>589.53125</v>
      </c>
      <c r="K27" s="26" t="n">
        <f aca="false">Y43</f>
        <v>589.765625</v>
      </c>
    </row>
    <row r="28" customFormat="false" ht="15" hidden="false" customHeight="true" outlineLevel="0" collapsed="false">
      <c r="A28" s="3" t="s">
        <v>187</v>
      </c>
      <c r="B28" s="26" t="n">
        <f aca="false">AG34</f>
        <v>470</v>
      </c>
      <c r="C28" s="26" t="n">
        <f aca="false">AG35</f>
        <v>540</v>
      </c>
      <c r="D28" s="26" t="n">
        <f aca="false">AG36</f>
        <v>585</v>
      </c>
      <c r="E28" s="26" t="n">
        <f aca="false">AG37</f>
        <v>617.5</v>
      </c>
      <c r="F28" s="26" t="n">
        <f aca="false">AG38</f>
        <v>643.75</v>
      </c>
      <c r="G28" s="26" t="n">
        <f aca="false">AG39</f>
        <v>666.875</v>
      </c>
      <c r="H28" s="26" t="n">
        <f aca="false">AG40</f>
        <v>688.4375</v>
      </c>
      <c r="I28" s="26" t="n">
        <f aca="false">AG41</f>
        <v>709.21875</v>
      </c>
      <c r="J28" s="26" t="n">
        <f aca="false">AG42</f>
        <v>729.609375</v>
      </c>
      <c r="K28" s="26" t="n">
        <f aca="false">AG43</f>
        <v>749.8046875</v>
      </c>
    </row>
    <row r="29" customFormat="false" ht="15" hidden="false" customHeight="true" outlineLevel="0" collapsed="false">
      <c r="A29" s="11" t="s">
        <v>224</v>
      </c>
    </row>
    <row r="32" customFormat="false" ht="45.75" hidden="false" customHeight="true" outlineLevel="0" collapsed="false">
      <c r="A32" s="9" t="s">
        <v>130</v>
      </c>
      <c r="B32" s="9" t="s">
        <v>225</v>
      </c>
      <c r="C32" s="9" t="s">
        <v>84</v>
      </c>
      <c r="D32" s="9" t="s">
        <v>226</v>
      </c>
      <c r="E32" s="9" t="s">
        <v>227</v>
      </c>
      <c r="F32" s="9" t="s">
        <v>212</v>
      </c>
      <c r="G32" s="9" t="s">
        <v>83</v>
      </c>
      <c r="H32" s="9" t="s">
        <v>228</v>
      </c>
      <c r="I32" s="9" t="s">
        <v>229</v>
      </c>
      <c r="J32" s="9" t="s">
        <v>230</v>
      </c>
      <c r="K32" s="9" t="s">
        <v>84</v>
      </c>
      <c r="L32" s="9" t="s">
        <v>226</v>
      </c>
      <c r="M32" s="9" t="s">
        <v>227</v>
      </c>
      <c r="N32" s="9" t="s">
        <v>212</v>
      </c>
      <c r="O32" s="9" t="s">
        <v>83</v>
      </c>
      <c r="P32" s="9" t="s">
        <v>228</v>
      </c>
      <c r="Q32" s="9" t="s">
        <v>229</v>
      </c>
      <c r="R32" s="9" t="s">
        <v>231</v>
      </c>
      <c r="S32" s="9" t="s">
        <v>84</v>
      </c>
      <c r="T32" s="9" t="s">
        <v>226</v>
      </c>
      <c r="U32" s="9" t="s">
        <v>227</v>
      </c>
      <c r="V32" s="9" t="s">
        <v>212</v>
      </c>
      <c r="W32" s="9" t="s">
        <v>83</v>
      </c>
      <c r="X32" s="9" t="s">
        <v>228</v>
      </c>
      <c r="Y32" s="9" t="s">
        <v>229</v>
      </c>
      <c r="Z32" s="9" t="s">
        <v>232</v>
      </c>
      <c r="AA32" s="9" t="s">
        <v>84</v>
      </c>
      <c r="AB32" s="9" t="s">
        <v>226</v>
      </c>
      <c r="AC32" s="9" t="s">
        <v>227</v>
      </c>
      <c r="AD32" s="9" t="s">
        <v>212</v>
      </c>
      <c r="AE32" s="9" t="s">
        <v>83</v>
      </c>
      <c r="AF32" s="9" t="s">
        <v>228</v>
      </c>
      <c r="AG32" s="9" t="s">
        <v>229</v>
      </c>
    </row>
    <row r="33" customFormat="false" ht="15" hidden="false" customHeight="true" outlineLevel="0" collapsed="false">
      <c r="A33" s="14" t="n">
        <v>0</v>
      </c>
      <c r="B33" s="14" t="n">
        <v>1</v>
      </c>
      <c r="C33" s="36" t="n">
        <f aca="false">Eff_today</f>
        <v>71</v>
      </c>
      <c r="F33" s="16" t="n">
        <f aca="false">Liq_today</f>
        <v>620</v>
      </c>
      <c r="G33" s="14" t="n">
        <f aca="false">W_today</f>
        <v>58</v>
      </c>
      <c r="H33" s="16" t="n">
        <f aca="false">Liq_today-F33</f>
        <v>0</v>
      </c>
      <c r="J33" s="14" t="n">
        <v>1</v>
      </c>
      <c r="K33" s="36" t="n">
        <f aca="false">Eff_today</f>
        <v>71</v>
      </c>
      <c r="N33" s="16" t="n">
        <f aca="false">Liq_today</f>
        <v>620</v>
      </c>
      <c r="O33" s="14" t="n">
        <f aca="false">W_today</f>
        <v>58</v>
      </c>
      <c r="P33" s="16" t="n">
        <f aca="false">Liq_today-N33</f>
        <v>0</v>
      </c>
      <c r="R33" s="14" t="n">
        <v>1</v>
      </c>
      <c r="S33" s="36" t="n">
        <f aca="false">Eff_today</f>
        <v>71</v>
      </c>
      <c r="V33" s="16" t="n">
        <f aca="false">Liq_today</f>
        <v>620</v>
      </c>
      <c r="W33" s="14" t="n">
        <f aca="false">W_today</f>
        <v>58</v>
      </c>
      <c r="X33" s="16" t="n">
        <f aca="false">Liq_today-V33</f>
        <v>0</v>
      </c>
      <c r="Z33" s="14" t="n">
        <v>1</v>
      </c>
      <c r="AA33" s="36" t="n">
        <f aca="false">Eff_today</f>
        <v>71</v>
      </c>
      <c r="AD33" s="16" t="n">
        <f aca="false">Liq_today</f>
        <v>620</v>
      </c>
      <c r="AE33" s="14" t="n">
        <f aca="false">W_today</f>
        <v>58</v>
      </c>
      <c r="AF33" s="16" t="n">
        <f aca="false">Liq_today-AD33</f>
        <v>0</v>
      </c>
    </row>
    <row r="34" customFormat="false" ht="15" hidden="false" customHeight="true" outlineLevel="0" collapsed="false">
      <c r="A34" s="14" t="n">
        <v>1</v>
      </c>
      <c r="B34" s="14" t="n">
        <f aca="false">IF(AND(B33=1,F33&gt;=Pre_A,G33&gt;=W_min),1,0)</f>
        <v>1</v>
      </c>
      <c r="C34" s="36" t="n">
        <f aca="false">C33+Close_A*(Ceil_E-C33)-$B$5</f>
        <v>78</v>
      </c>
      <c r="D34" s="16" t="n">
        <f aca="false">$B$4*Value_pt*(C34-Eff_today)</f>
        <v>0</v>
      </c>
      <c r="E34" s="16" t="n">
        <f aca="false">D34-Cost_A</f>
        <v>-120</v>
      </c>
      <c r="F34" s="16" t="n">
        <f aca="false">F33+E34</f>
        <v>500</v>
      </c>
      <c r="G34" s="14" t="n">
        <f aca="false">G33+W_gain</f>
        <v>59</v>
      </c>
      <c r="H34" s="16" t="n">
        <f aca="false">Liq_today-F34</f>
        <v>120</v>
      </c>
      <c r="I34" s="16" t="n">
        <f aca="false">Pre_A+MAX(H33:H33)</f>
        <v>470</v>
      </c>
      <c r="J34" s="14" t="n">
        <f aca="false">IF(AND(J33=1,N33&gt;=Pre_A,O33&gt;=W_min),1,0)</f>
        <v>1</v>
      </c>
      <c r="K34" s="36" t="n">
        <f aca="false">K33+Close_A*(Ceil_E-K33)-$C$5</f>
        <v>78</v>
      </c>
      <c r="L34" s="16" t="n">
        <f aca="false">$C$4*Value_pt*(K34-Eff_today)</f>
        <v>70</v>
      </c>
      <c r="M34" s="16" t="n">
        <f aca="false">L34-Cost_A</f>
        <v>-50</v>
      </c>
      <c r="N34" s="16" t="n">
        <f aca="false">N33+M34</f>
        <v>570</v>
      </c>
      <c r="O34" s="14" t="n">
        <f aca="false">O33+W_gain</f>
        <v>59</v>
      </c>
      <c r="P34" s="16" t="n">
        <f aca="false">Liq_today-N34</f>
        <v>50</v>
      </c>
      <c r="Q34" s="16" t="n">
        <f aca="false">Pre_A+MAX(P33:P33)</f>
        <v>470</v>
      </c>
      <c r="R34" s="14" t="n">
        <f aca="false">IF(AND(R33=1,V33&gt;=Pre_A,W33&gt;=W_min),1,0)</f>
        <v>1</v>
      </c>
      <c r="S34" s="36" t="n">
        <f aca="false">S33+Close_A*(Ceil_E-S33)-$D$5</f>
        <v>77</v>
      </c>
      <c r="T34" s="16" t="n">
        <f aca="false">$D$4*Value_pt*(S34-Eff_today)</f>
        <v>60</v>
      </c>
      <c r="U34" s="16" t="n">
        <f aca="false">T34-Cost_A</f>
        <v>-60</v>
      </c>
      <c r="V34" s="16" t="n">
        <f aca="false">V33+U34</f>
        <v>560</v>
      </c>
      <c r="W34" s="14" t="n">
        <f aca="false">W33+W_gain</f>
        <v>59</v>
      </c>
      <c r="X34" s="16" t="n">
        <f aca="false">Liq_today-V34</f>
        <v>60</v>
      </c>
      <c r="Y34" s="16" t="n">
        <f aca="false">Pre_A+MAX(X33:X33)</f>
        <v>470</v>
      </c>
      <c r="Z34" s="14" t="n">
        <f aca="false">IF(AND(Z33=1,AD33&gt;=Pre_A,AE33&gt;=W_min),1,0)</f>
        <v>1</v>
      </c>
      <c r="AA34" s="36" t="n">
        <f aca="false">AA33+Close_A*(Ceil_E-AA33)-$E$5</f>
        <v>76</v>
      </c>
      <c r="AB34" s="16" t="n">
        <f aca="false">$E$4*Value_pt*(AA34-Eff_today)</f>
        <v>50</v>
      </c>
      <c r="AC34" s="16" t="n">
        <f aca="false">AB34-Cost_A</f>
        <v>-70</v>
      </c>
      <c r="AD34" s="16" t="n">
        <f aca="false">AD33+AC34</f>
        <v>550</v>
      </c>
      <c r="AE34" s="14" t="n">
        <f aca="false">AE33+W_gain</f>
        <v>59</v>
      </c>
      <c r="AF34" s="16" t="n">
        <f aca="false">Liq_today-AD34</f>
        <v>70</v>
      </c>
      <c r="AG34" s="16" t="n">
        <f aca="false">Pre_A+MAX(AF33:AF33)</f>
        <v>470</v>
      </c>
    </row>
    <row r="35" customFormat="false" ht="15" hidden="false" customHeight="true" outlineLevel="0" collapsed="false">
      <c r="A35" s="14" t="n">
        <v>2</v>
      </c>
      <c r="B35" s="14" t="n">
        <f aca="false">IF(AND(B34=1,F34&gt;=Pre_A,G34&gt;=W_min),1,0)</f>
        <v>1</v>
      </c>
      <c r="C35" s="36" t="n">
        <f aca="false">C34+Close_A*(Ceil_E-C34)-$B$5</f>
        <v>81.5</v>
      </c>
      <c r="D35" s="16" t="n">
        <f aca="false">$B$4*Value_pt*(C35-Eff_today)</f>
        <v>0</v>
      </c>
      <c r="E35" s="16" t="n">
        <f aca="false">D35-Cost_A</f>
        <v>-120</v>
      </c>
      <c r="F35" s="16" t="n">
        <f aca="false">F34+E35</f>
        <v>380</v>
      </c>
      <c r="G35" s="14" t="n">
        <f aca="false">G34+W_gain</f>
        <v>60</v>
      </c>
      <c r="H35" s="16" t="n">
        <f aca="false">Liq_today-F35</f>
        <v>240</v>
      </c>
      <c r="I35" s="16" t="n">
        <f aca="false">Pre_A+MAX(H33:H34)</f>
        <v>590</v>
      </c>
      <c r="J35" s="14" t="n">
        <f aca="false">IF(AND(J34=1,N34&gt;=Pre_A,O34&gt;=W_min),1,0)</f>
        <v>1</v>
      </c>
      <c r="K35" s="36" t="n">
        <f aca="false">K34+Close_A*(Ceil_E-K34)-$C$5</f>
        <v>81.5</v>
      </c>
      <c r="L35" s="16" t="n">
        <f aca="false">$C$4*Value_pt*(K35-Eff_today)</f>
        <v>105</v>
      </c>
      <c r="M35" s="16" t="n">
        <f aca="false">L35-Cost_A</f>
        <v>-15</v>
      </c>
      <c r="N35" s="16" t="n">
        <f aca="false">N34+M35</f>
        <v>555</v>
      </c>
      <c r="O35" s="14" t="n">
        <f aca="false">O34+W_gain</f>
        <v>60</v>
      </c>
      <c r="P35" s="16" t="n">
        <f aca="false">Liq_today-N35</f>
        <v>65</v>
      </c>
      <c r="Q35" s="16" t="n">
        <f aca="false">Pre_A+MAX(P33:P34)</f>
        <v>520</v>
      </c>
      <c r="R35" s="14" t="n">
        <f aca="false">IF(AND(R34=1,V34&gt;=Pre_A,W34&gt;=W_min),1,0)</f>
        <v>1</v>
      </c>
      <c r="S35" s="36" t="n">
        <f aca="false">S34+Close_A*(Ceil_E-S34)-$D$5</f>
        <v>80</v>
      </c>
      <c r="T35" s="16" t="n">
        <f aca="false">$D$4*Value_pt*(S35-Eff_today)</f>
        <v>90</v>
      </c>
      <c r="U35" s="16" t="n">
        <f aca="false">T35-Cost_A</f>
        <v>-30</v>
      </c>
      <c r="V35" s="16" t="n">
        <f aca="false">V34+U35</f>
        <v>530</v>
      </c>
      <c r="W35" s="14" t="n">
        <f aca="false">W34+W_gain</f>
        <v>60</v>
      </c>
      <c r="X35" s="16" t="n">
        <f aca="false">Liq_today-V35</f>
        <v>90</v>
      </c>
      <c r="Y35" s="16" t="n">
        <f aca="false">Pre_A+MAX(X33:X34)</f>
        <v>530</v>
      </c>
      <c r="Z35" s="14" t="n">
        <f aca="false">IF(AND(Z34=1,AD34&gt;=Pre_A,AE34&gt;=W_min),1,0)</f>
        <v>1</v>
      </c>
      <c r="AA35" s="36" t="n">
        <f aca="false">AA34+Close_A*(Ceil_E-AA34)-$E$5</f>
        <v>78.5</v>
      </c>
      <c r="AB35" s="16" t="n">
        <f aca="false">$E$4*Value_pt*(AA35-Eff_today)</f>
        <v>75</v>
      </c>
      <c r="AC35" s="16" t="n">
        <f aca="false">AB35-Cost_A</f>
        <v>-45</v>
      </c>
      <c r="AD35" s="16" t="n">
        <f aca="false">AD34+AC35</f>
        <v>505</v>
      </c>
      <c r="AE35" s="14" t="n">
        <f aca="false">AE34+W_gain</f>
        <v>60</v>
      </c>
      <c r="AF35" s="16" t="n">
        <f aca="false">Liq_today-AD35</f>
        <v>115</v>
      </c>
      <c r="AG35" s="16" t="n">
        <f aca="false">Pre_A+MAX(AF33:AF34)</f>
        <v>540</v>
      </c>
    </row>
    <row r="36" customFormat="false" ht="15" hidden="false" customHeight="true" outlineLevel="0" collapsed="false">
      <c r="A36" s="14" t="n">
        <v>3</v>
      </c>
      <c r="B36" s="14" t="n">
        <f aca="false">IF(AND(B35=1,F35&gt;=Pre_A,G35&gt;=W_min),1,0)</f>
        <v>0</v>
      </c>
      <c r="C36" s="36" t="n">
        <f aca="false">C35+Close_A*(Ceil_E-C35)-$B$5</f>
        <v>83.25</v>
      </c>
      <c r="D36" s="16" t="n">
        <f aca="false">$B$4*Value_pt*(C36-Eff_today)</f>
        <v>0</v>
      </c>
      <c r="E36" s="16" t="n">
        <f aca="false">D36-Cost_A</f>
        <v>-120</v>
      </c>
      <c r="F36" s="16" t="n">
        <f aca="false">F35+E36</f>
        <v>260</v>
      </c>
      <c r="G36" s="14" t="n">
        <f aca="false">G35+W_gain</f>
        <v>61</v>
      </c>
      <c r="H36" s="16" t="n">
        <f aca="false">Liq_today-F36</f>
        <v>360</v>
      </c>
      <c r="I36" s="16" t="n">
        <f aca="false">Pre_A+MAX(H33:H35)</f>
        <v>710</v>
      </c>
      <c r="J36" s="14" t="n">
        <f aca="false">IF(AND(J35=1,N35&gt;=Pre_A,O35&gt;=W_min),1,0)</f>
        <v>1</v>
      </c>
      <c r="K36" s="36" t="n">
        <f aca="false">K35+Close_A*(Ceil_E-K35)-$C$5</f>
        <v>83.25</v>
      </c>
      <c r="L36" s="16" t="n">
        <f aca="false">$C$4*Value_pt*(K36-Eff_today)</f>
        <v>122.5</v>
      </c>
      <c r="M36" s="16" t="n">
        <f aca="false">L36-Cost_A</f>
        <v>2.5</v>
      </c>
      <c r="N36" s="16" t="n">
        <f aca="false">N35+M36</f>
        <v>557.5</v>
      </c>
      <c r="O36" s="14" t="n">
        <f aca="false">O35+W_gain</f>
        <v>61</v>
      </c>
      <c r="P36" s="16" t="n">
        <f aca="false">Liq_today-N36</f>
        <v>62.5</v>
      </c>
      <c r="Q36" s="16" t="n">
        <f aca="false">Pre_A+MAX(P33:P35)</f>
        <v>535</v>
      </c>
      <c r="R36" s="14" t="n">
        <f aca="false">IF(AND(R35=1,V35&gt;=Pre_A,W35&gt;=W_min),1,0)</f>
        <v>1</v>
      </c>
      <c r="S36" s="36" t="n">
        <f aca="false">S35+Close_A*(Ceil_E-S35)-$D$5</f>
        <v>81.5</v>
      </c>
      <c r="T36" s="16" t="n">
        <f aca="false">$D$4*Value_pt*(S36-Eff_today)</f>
        <v>105</v>
      </c>
      <c r="U36" s="16" t="n">
        <f aca="false">T36-Cost_A</f>
        <v>-15</v>
      </c>
      <c r="V36" s="16" t="n">
        <f aca="false">V35+U36</f>
        <v>515</v>
      </c>
      <c r="W36" s="14" t="n">
        <f aca="false">W35+W_gain</f>
        <v>61</v>
      </c>
      <c r="X36" s="16" t="n">
        <f aca="false">Liq_today-V36</f>
        <v>105</v>
      </c>
      <c r="Y36" s="16" t="n">
        <f aca="false">Pre_A+MAX(X33:X35)</f>
        <v>560</v>
      </c>
      <c r="Z36" s="14" t="n">
        <f aca="false">IF(AND(Z35=1,AD35&gt;=Pre_A,AE35&gt;=W_min),1,0)</f>
        <v>1</v>
      </c>
      <c r="AA36" s="36" t="n">
        <f aca="false">AA35+Close_A*(Ceil_E-AA35)-$E$5</f>
        <v>79.75</v>
      </c>
      <c r="AB36" s="16" t="n">
        <f aca="false">$E$4*Value_pt*(AA36-Eff_today)</f>
        <v>87.5</v>
      </c>
      <c r="AC36" s="16" t="n">
        <f aca="false">AB36-Cost_A</f>
        <v>-32.5</v>
      </c>
      <c r="AD36" s="16" t="n">
        <f aca="false">AD35+AC36</f>
        <v>472.5</v>
      </c>
      <c r="AE36" s="14" t="n">
        <f aca="false">AE35+W_gain</f>
        <v>61</v>
      </c>
      <c r="AF36" s="16" t="n">
        <f aca="false">Liq_today-AD36</f>
        <v>147.5</v>
      </c>
      <c r="AG36" s="16" t="n">
        <f aca="false">Pre_A+MAX(AF33:AF35)</f>
        <v>585</v>
      </c>
    </row>
    <row r="37" customFormat="false" ht="15" hidden="false" customHeight="true" outlineLevel="0" collapsed="false">
      <c r="A37" s="14" t="n">
        <v>4</v>
      </c>
      <c r="B37" s="14" t="n">
        <f aca="false">IF(AND(B36=1,F36&gt;=Pre_A,G36&gt;=W_min),1,0)</f>
        <v>0</v>
      </c>
      <c r="C37" s="36" t="n">
        <f aca="false">C36+Close_A*(Ceil_E-C36)-$B$5</f>
        <v>84.125</v>
      </c>
      <c r="D37" s="16" t="n">
        <f aca="false">$B$4*Value_pt*(C37-Eff_today)</f>
        <v>0</v>
      </c>
      <c r="E37" s="16" t="n">
        <f aca="false">D37-Cost_A</f>
        <v>-120</v>
      </c>
      <c r="F37" s="16" t="n">
        <f aca="false">F36+E37</f>
        <v>140</v>
      </c>
      <c r="G37" s="14" t="n">
        <f aca="false">G36+W_gain</f>
        <v>62</v>
      </c>
      <c r="H37" s="16" t="n">
        <f aca="false">Liq_today-F37</f>
        <v>480</v>
      </c>
      <c r="I37" s="16" t="n">
        <f aca="false">Pre_A+MAX(H33:H36)</f>
        <v>830</v>
      </c>
      <c r="J37" s="14" t="n">
        <f aca="false">IF(AND(J36=1,N36&gt;=Pre_A,O36&gt;=W_min),1,0)</f>
        <v>1</v>
      </c>
      <c r="K37" s="36" t="n">
        <f aca="false">K36+Close_A*(Ceil_E-K36)-$C$5</f>
        <v>84.125</v>
      </c>
      <c r="L37" s="16" t="n">
        <f aca="false">$C$4*Value_pt*(K37-Eff_today)</f>
        <v>131.25</v>
      </c>
      <c r="M37" s="16" t="n">
        <f aca="false">L37-Cost_A</f>
        <v>11.25</v>
      </c>
      <c r="N37" s="16" t="n">
        <f aca="false">N36+M37</f>
        <v>568.75</v>
      </c>
      <c r="O37" s="14" t="n">
        <f aca="false">O36+W_gain</f>
        <v>62</v>
      </c>
      <c r="P37" s="16" t="n">
        <f aca="false">Liq_today-N37</f>
        <v>51.25</v>
      </c>
      <c r="Q37" s="16" t="n">
        <f aca="false">Pre_A+MAX(P33:P36)</f>
        <v>535</v>
      </c>
      <c r="R37" s="14" t="n">
        <f aca="false">IF(AND(R36=1,V36&gt;=Pre_A,W36&gt;=W_min),1,0)</f>
        <v>1</v>
      </c>
      <c r="S37" s="36" t="n">
        <f aca="false">S36+Close_A*(Ceil_E-S36)-$D$5</f>
        <v>82.25</v>
      </c>
      <c r="T37" s="16" t="n">
        <f aca="false">$D$4*Value_pt*(S37-Eff_today)</f>
        <v>112.5</v>
      </c>
      <c r="U37" s="16" t="n">
        <f aca="false">T37-Cost_A</f>
        <v>-7.5</v>
      </c>
      <c r="V37" s="16" t="n">
        <f aca="false">V36+U37</f>
        <v>507.5</v>
      </c>
      <c r="W37" s="14" t="n">
        <f aca="false">W36+W_gain</f>
        <v>62</v>
      </c>
      <c r="X37" s="16" t="n">
        <f aca="false">Liq_today-V37</f>
        <v>112.5</v>
      </c>
      <c r="Y37" s="16" t="n">
        <f aca="false">Pre_A+MAX(X33:X36)</f>
        <v>575</v>
      </c>
      <c r="Z37" s="14" t="n">
        <f aca="false">IF(AND(Z36=1,AD36&gt;=Pre_A,AE36&gt;=W_min),1,0)</f>
        <v>1</v>
      </c>
      <c r="AA37" s="36" t="n">
        <f aca="false">AA36+Close_A*(Ceil_E-AA36)-$E$5</f>
        <v>80.375</v>
      </c>
      <c r="AB37" s="16" t="n">
        <f aca="false">$E$4*Value_pt*(AA37-Eff_today)</f>
        <v>93.75</v>
      </c>
      <c r="AC37" s="16" t="n">
        <f aca="false">AB37-Cost_A</f>
        <v>-26.25</v>
      </c>
      <c r="AD37" s="16" t="n">
        <f aca="false">AD36+AC37</f>
        <v>446.25</v>
      </c>
      <c r="AE37" s="14" t="n">
        <f aca="false">AE36+W_gain</f>
        <v>62</v>
      </c>
      <c r="AF37" s="16" t="n">
        <f aca="false">Liq_today-AD37</f>
        <v>173.75</v>
      </c>
      <c r="AG37" s="16" t="n">
        <f aca="false">Pre_A+MAX(AF33:AF36)</f>
        <v>617.5</v>
      </c>
    </row>
    <row r="38" customFormat="false" ht="15" hidden="false" customHeight="true" outlineLevel="0" collapsed="false">
      <c r="A38" s="14" t="n">
        <v>5</v>
      </c>
      <c r="B38" s="14" t="n">
        <f aca="false">IF(AND(B37=1,F37&gt;=Pre_A,G37&gt;=W_min),1,0)</f>
        <v>0</v>
      </c>
      <c r="C38" s="36" t="n">
        <f aca="false">C37+Close_A*(Ceil_E-C37)-$B$5</f>
        <v>84.5625</v>
      </c>
      <c r="D38" s="16" t="n">
        <f aca="false">$B$4*Value_pt*(C38-Eff_today)</f>
        <v>0</v>
      </c>
      <c r="E38" s="16" t="n">
        <f aca="false">D38-Cost_A</f>
        <v>-120</v>
      </c>
      <c r="F38" s="16" t="n">
        <f aca="false">F37+E38</f>
        <v>20</v>
      </c>
      <c r="G38" s="14" t="n">
        <f aca="false">G37+W_gain</f>
        <v>63</v>
      </c>
      <c r="H38" s="16" t="n">
        <f aca="false">Liq_today-F38</f>
        <v>600</v>
      </c>
      <c r="I38" s="16" t="n">
        <f aca="false">Pre_A+MAX(H33:H37)</f>
        <v>950</v>
      </c>
      <c r="J38" s="14" t="n">
        <f aca="false">IF(AND(J37=1,N37&gt;=Pre_A,O37&gt;=W_min),1,0)</f>
        <v>1</v>
      </c>
      <c r="K38" s="36" t="n">
        <f aca="false">K37+Close_A*(Ceil_E-K37)-$C$5</f>
        <v>84.5625</v>
      </c>
      <c r="L38" s="16" t="n">
        <f aca="false">$C$4*Value_pt*(K38-Eff_today)</f>
        <v>135.625</v>
      </c>
      <c r="M38" s="16" t="n">
        <f aca="false">L38-Cost_A</f>
        <v>15.625</v>
      </c>
      <c r="N38" s="16" t="n">
        <f aca="false">N37+M38</f>
        <v>584.375</v>
      </c>
      <c r="O38" s="14" t="n">
        <f aca="false">O37+W_gain</f>
        <v>63</v>
      </c>
      <c r="P38" s="16" t="n">
        <f aca="false">Liq_today-N38</f>
        <v>35.625</v>
      </c>
      <c r="Q38" s="16" t="n">
        <f aca="false">Pre_A+MAX(P33:P37)</f>
        <v>535</v>
      </c>
      <c r="R38" s="14" t="n">
        <f aca="false">IF(AND(R37=1,V37&gt;=Pre_A,W37&gt;=W_min),1,0)</f>
        <v>1</v>
      </c>
      <c r="S38" s="36" t="n">
        <f aca="false">S37+Close_A*(Ceil_E-S37)-$D$5</f>
        <v>82.625</v>
      </c>
      <c r="T38" s="16" t="n">
        <f aca="false">$D$4*Value_pt*(S38-Eff_today)</f>
        <v>116.25</v>
      </c>
      <c r="U38" s="16" t="n">
        <f aca="false">T38-Cost_A</f>
        <v>-3.75</v>
      </c>
      <c r="V38" s="16" t="n">
        <f aca="false">V37+U38</f>
        <v>503.75</v>
      </c>
      <c r="W38" s="14" t="n">
        <f aca="false">W37+W_gain</f>
        <v>63</v>
      </c>
      <c r="X38" s="16" t="n">
        <f aca="false">Liq_today-V38</f>
        <v>116.25</v>
      </c>
      <c r="Y38" s="16" t="n">
        <f aca="false">Pre_A+MAX(X33:X37)</f>
        <v>582.5</v>
      </c>
      <c r="Z38" s="14" t="n">
        <f aca="false">IF(AND(Z37=1,AD37&gt;=Pre_A,AE37&gt;=W_min),1,0)</f>
        <v>0</v>
      </c>
      <c r="AA38" s="36" t="n">
        <f aca="false">AA37+Close_A*(Ceil_E-AA37)-$E$5</f>
        <v>80.6875</v>
      </c>
      <c r="AB38" s="16" t="n">
        <f aca="false">$E$4*Value_pt*(AA38-Eff_today)</f>
        <v>96.875</v>
      </c>
      <c r="AC38" s="16" t="n">
        <f aca="false">AB38-Cost_A</f>
        <v>-23.125</v>
      </c>
      <c r="AD38" s="16" t="n">
        <f aca="false">AD37+AC38</f>
        <v>423.125</v>
      </c>
      <c r="AE38" s="14" t="n">
        <f aca="false">AE37+W_gain</f>
        <v>63</v>
      </c>
      <c r="AF38" s="16" t="n">
        <f aca="false">Liq_today-AD38</f>
        <v>196.875</v>
      </c>
      <c r="AG38" s="16" t="n">
        <f aca="false">Pre_A+MAX(AF33:AF37)</f>
        <v>643.75</v>
      </c>
    </row>
    <row r="39" customFormat="false" ht="15" hidden="false" customHeight="true" outlineLevel="0" collapsed="false">
      <c r="A39" s="14" t="n">
        <v>6</v>
      </c>
      <c r="B39" s="14" t="n">
        <f aca="false">IF(AND(B38=1,F38&gt;=Pre_A,G38&gt;=W_min),1,0)</f>
        <v>0</v>
      </c>
      <c r="C39" s="36" t="n">
        <f aca="false">C38+Close_A*(Ceil_E-C38)-$B$5</f>
        <v>84.78125</v>
      </c>
      <c r="D39" s="16" t="n">
        <f aca="false">$B$4*Value_pt*(C39-Eff_today)</f>
        <v>0</v>
      </c>
      <c r="E39" s="16" t="n">
        <f aca="false">D39-Cost_A</f>
        <v>-120</v>
      </c>
      <c r="F39" s="16" t="n">
        <f aca="false">F38+E39</f>
        <v>-100</v>
      </c>
      <c r="G39" s="14" t="n">
        <f aca="false">G38+W_gain</f>
        <v>64</v>
      </c>
      <c r="H39" s="16" t="n">
        <f aca="false">Liq_today-F39</f>
        <v>720</v>
      </c>
      <c r="I39" s="16" t="n">
        <f aca="false">Pre_A+MAX(H33:H38)</f>
        <v>1070</v>
      </c>
      <c r="J39" s="14" t="n">
        <f aca="false">IF(AND(J38=1,N38&gt;=Pre_A,O38&gt;=W_min),1,0)</f>
        <v>1</v>
      </c>
      <c r="K39" s="36" t="n">
        <f aca="false">K38+Close_A*(Ceil_E-K38)-$C$5</f>
        <v>84.78125</v>
      </c>
      <c r="L39" s="16" t="n">
        <f aca="false">$C$4*Value_pt*(K39-Eff_today)</f>
        <v>137.8125</v>
      </c>
      <c r="M39" s="16" t="n">
        <f aca="false">L39-Cost_A</f>
        <v>17.8125</v>
      </c>
      <c r="N39" s="16" t="n">
        <f aca="false">N38+M39</f>
        <v>602.1875</v>
      </c>
      <c r="O39" s="14" t="n">
        <f aca="false">O38+W_gain</f>
        <v>64</v>
      </c>
      <c r="P39" s="16" t="n">
        <f aca="false">Liq_today-N39</f>
        <v>17.8125</v>
      </c>
      <c r="Q39" s="16" t="n">
        <f aca="false">Pre_A+MAX(P33:P38)</f>
        <v>535</v>
      </c>
      <c r="R39" s="14" t="n">
        <f aca="false">IF(AND(R38=1,V38&gt;=Pre_A,W38&gt;=W_min),1,0)</f>
        <v>1</v>
      </c>
      <c r="S39" s="36" t="n">
        <f aca="false">S38+Close_A*(Ceil_E-S38)-$D$5</f>
        <v>82.8125</v>
      </c>
      <c r="T39" s="16" t="n">
        <f aca="false">$D$4*Value_pt*(S39-Eff_today)</f>
        <v>118.125</v>
      </c>
      <c r="U39" s="16" t="n">
        <f aca="false">T39-Cost_A</f>
        <v>-1.875</v>
      </c>
      <c r="V39" s="16" t="n">
        <f aca="false">V38+U39</f>
        <v>501.875</v>
      </c>
      <c r="W39" s="14" t="n">
        <f aca="false">W38+W_gain</f>
        <v>64</v>
      </c>
      <c r="X39" s="16" t="n">
        <f aca="false">Liq_today-V39</f>
        <v>118.125</v>
      </c>
      <c r="Y39" s="16" t="n">
        <f aca="false">Pre_A+MAX(X33:X38)</f>
        <v>586.25</v>
      </c>
      <c r="Z39" s="14" t="n">
        <f aca="false">IF(AND(Z38=1,AD38&gt;=Pre_A,AE38&gt;=W_min),1,0)</f>
        <v>0</v>
      </c>
      <c r="AA39" s="36" t="n">
        <f aca="false">AA38+Close_A*(Ceil_E-AA38)-$E$5</f>
        <v>80.84375</v>
      </c>
      <c r="AB39" s="16" t="n">
        <f aca="false">$E$4*Value_pt*(AA39-Eff_today)</f>
        <v>98.4375</v>
      </c>
      <c r="AC39" s="16" t="n">
        <f aca="false">AB39-Cost_A</f>
        <v>-21.5625</v>
      </c>
      <c r="AD39" s="16" t="n">
        <f aca="false">AD38+AC39</f>
        <v>401.5625</v>
      </c>
      <c r="AE39" s="14" t="n">
        <f aca="false">AE38+W_gain</f>
        <v>64</v>
      </c>
      <c r="AF39" s="16" t="n">
        <f aca="false">Liq_today-AD39</f>
        <v>218.4375</v>
      </c>
      <c r="AG39" s="16" t="n">
        <f aca="false">Pre_A+MAX(AF33:AF38)</f>
        <v>666.875</v>
      </c>
    </row>
    <row r="40" customFormat="false" ht="15" hidden="false" customHeight="true" outlineLevel="0" collapsed="false">
      <c r="A40" s="14" t="n">
        <v>7</v>
      </c>
      <c r="B40" s="14" t="n">
        <f aca="false">IF(AND(B39=1,F39&gt;=Pre_A,G39&gt;=W_min),1,0)</f>
        <v>0</v>
      </c>
      <c r="C40" s="36" t="n">
        <f aca="false">C39+Close_A*(Ceil_E-C39)-$B$5</f>
        <v>84.890625</v>
      </c>
      <c r="D40" s="16" t="n">
        <f aca="false">$B$4*Value_pt*(C40-Eff_today)</f>
        <v>0</v>
      </c>
      <c r="E40" s="16" t="n">
        <f aca="false">D40-Cost_A</f>
        <v>-120</v>
      </c>
      <c r="F40" s="16" t="n">
        <f aca="false">F39+E40</f>
        <v>-220</v>
      </c>
      <c r="G40" s="14" t="n">
        <f aca="false">G39+W_gain</f>
        <v>65</v>
      </c>
      <c r="H40" s="16" t="n">
        <f aca="false">Liq_today-F40</f>
        <v>840</v>
      </c>
      <c r="I40" s="16" t="n">
        <f aca="false">Pre_A+MAX(H33:H39)</f>
        <v>1190</v>
      </c>
      <c r="J40" s="14" t="n">
        <f aca="false">IF(AND(J39=1,N39&gt;=Pre_A,O39&gt;=W_min),1,0)</f>
        <v>1</v>
      </c>
      <c r="K40" s="36" t="n">
        <f aca="false">K39+Close_A*(Ceil_E-K39)-$C$5</f>
        <v>84.890625</v>
      </c>
      <c r="L40" s="16" t="n">
        <f aca="false">$C$4*Value_pt*(K40-Eff_today)</f>
        <v>138.90625</v>
      </c>
      <c r="M40" s="16" t="n">
        <f aca="false">L40-Cost_A</f>
        <v>18.90625</v>
      </c>
      <c r="N40" s="16" t="n">
        <f aca="false">N39+M40</f>
        <v>621.09375</v>
      </c>
      <c r="O40" s="14" t="n">
        <f aca="false">O39+W_gain</f>
        <v>65</v>
      </c>
      <c r="P40" s="16" t="n">
        <f aca="false">Liq_today-N40</f>
        <v>-1.09375</v>
      </c>
      <c r="Q40" s="16" t="n">
        <f aca="false">Pre_A+MAX(P33:P39)</f>
        <v>535</v>
      </c>
      <c r="R40" s="14" t="n">
        <f aca="false">IF(AND(R39=1,V39&gt;=Pre_A,W39&gt;=W_min),1,0)</f>
        <v>1</v>
      </c>
      <c r="S40" s="36" t="n">
        <f aca="false">S39+Close_A*(Ceil_E-S39)-$D$5</f>
        <v>82.90625</v>
      </c>
      <c r="T40" s="16" t="n">
        <f aca="false">$D$4*Value_pt*(S40-Eff_today)</f>
        <v>119.0625</v>
      </c>
      <c r="U40" s="16" t="n">
        <f aca="false">T40-Cost_A</f>
        <v>-0.9375</v>
      </c>
      <c r="V40" s="16" t="n">
        <f aca="false">V39+U40</f>
        <v>500.9375</v>
      </c>
      <c r="W40" s="14" t="n">
        <f aca="false">W39+W_gain</f>
        <v>65</v>
      </c>
      <c r="X40" s="16" t="n">
        <f aca="false">Liq_today-V40</f>
        <v>119.0625</v>
      </c>
      <c r="Y40" s="16" t="n">
        <f aca="false">Pre_A+MAX(X33:X39)</f>
        <v>588.125</v>
      </c>
      <c r="Z40" s="14" t="n">
        <f aca="false">IF(AND(Z39=1,AD39&gt;=Pre_A,AE39&gt;=W_min),1,0)</f>
        <v>0</v>
      </c>
      <c r="AA40" s="36" t="n">
        <f aca="false">AA39+Close_A*(Ceil_E-AA39)-$E$5</f>
        <v>80.921875</v>
      </c>
      <c r="AB40" s="16" t="n">
        <f aca="false">$E$4*Value_pt*(AA40-Eff_today)</f>
        <v>99.21875</v>
      </c>
      <c r="AC40" s="16" t="n">
        <f aca="false">AB40-Cost_A</f>
        <v>-20.78125</v>
      </c>
      <c r="AD40" s="16" t="n">
        <f aca="false">AD39+AC40</f>
        <v>380.78125</v>
      </c>
      <c r="AE40" s="14" t="n">
        <f aca="false">AE39+W_gain</f>
        <v>65</v>
      </c>
      <c r="AF40" s="16" t="n">
        <f aca="false">Liq_today-AD40</f>
        <v>239.21875</v>
      </c>
      <c r="AG40" s="16" t="n">
        <f aca="false">Pre_A+MAX(AF33:AF39)</f>
        <v>688.4375</v>
      </c>
    </row>
    <row r="41" customFormat="false" ht="15" hidden="false" customHeight="true" outlineLevel="0" collapsed="false">
      <c r="A41" s="14" t="n">
        <v>8</v>
      </c>
      <c r="B41" s="14" t="n">
        <f aca="false">IF(AND(B40=1,F40&gt;=Pre_A,G40&gt;=W_min),1,0)</f>
        <v>0</v>
      </c>
      <c r="C41" s="36" t="n">
        <f aca="false">C40+Close_A*(Ceil_E-C40)-$B$5</f>
        <v>84.9453125</v>
      </c>
      <c r="D41" s="16" t="n">
        <f aca="false">$B$4*Value_pt*(C41-Eff_today)</f>
        <v>0</v>
      </c>
      <c r="E41" s="16" t="n">
        <f aca="false">D41-Cost_A</f>
        <v>-120</v>
      </c>
      <c r="F41" s="16" t="n">
        <f aca="false">F40+E41</f>
        <v>-340</v>
      </c>
      <c r="G41" s="14" t="n">
        <f aca="false">G40+W_gain</f>
        <v>66</v>
      </c>
      <c r="H41" s="16" t="n">
        <f aca="false">Liq_today-F41</f>
        <v>960</v>
      </c>
      <c r="I41" s="16" t="n">
        <f aca="false">Pre_A+MAX(H33:H40)</f>
        <v>1310</v>
      </c>
      <c r="J41" s="14" t="n">
        <f aca="false">IF(AND(J40=1,N40&gt;=Pre_A,O40&gt;=W_min),1,0)</f>
        <v>1</v>
      </c>
      <c r="K41" s="36" t="n">
        <f aca="false">K40+Close_A*(Ceil_E-K40)-$C$5</f>
        <v>84.9453125</v>
      </c>
      <c r="L41" s="16" t="n">
        <f aca="false">$C$4*Value_pt*(K41-Eff_today)</f>
        <v>139.453125</v>
      </c>
      <c r="M41" s="16" t="n">
        <f aca="false">L41-Cost_A</f>
        <v>19.453125</v>
      </c>
      <c r="N41" s="16" t="n">
        <f aca="false">N40+M41</f>
        <v>640.546875</v>
      </c>
      <c r="O41" s="14" t="n">
        <f aca="false">O40+W_gain</f>
        <v>66</v>
      </c>
      <c r="P41" s="16" t="n">
        <f aca="false">Liq_today-N41</f>
        <v>-20.546875</v>
      </c>
      <c r="Q41" s="16" t="n">
        <f aca="false">Pre_A+MAX(P33:P40)</f>
        <v>535</v>
      </c>
      <c r="R41" s="14" t="n">
        <f aca="false">IF(AND(R40=1,V40&gt;=Pre_A,W40&gt;=W_min),1,0)</f>
        <v>1</v>
      </c>
      <c r="S41" s="36" t="n">
        <f aca="false">S40+Close_A*(Ceil_E-S40)-$D$5</f>
        <v>82.953125</v>
      </c>
      <c r="T41" s="16" t="n">
        <f aca="false">$D$4*Value_pt*(S41-Eff_today)</f>
        <v>119.53125</v>
      </c>
      <c r="U41" s="16" t="n">
        <f aca="false">T41-Cost_A</f>
        <v>-0.46875</v>
      </c>
      <c r="V41" s="16" t="n">
        <f aca="false">V40+U41</f>
        <v>500.46875</v>
      </c>
      <c r="W41" s="14" t="n">
        <f aca="false">W40+W_gain</f>
        <v>66</v>
      </c>
      <c r="X41" s="16" t="n">
        <f aca="false">Liq_today-V41</f>
        <v>119.53125</v>
      </c>
      <c r="Y41" s="16" t="n">
        <f aca="false">Pre_A+MAX(X33:X40)</f>
        <v>589.0625</v>
      </c>
      <c r="Z41" s="14" t="n">
        <f aca="false">IF(AND(Z40=1,AD40&gt;=Pre_A,AE40&gt;=W_min),1,0)</f>
        <v>0</v>
      </c>
      <c r="AA41" s="36" t="n">
        <f aca="false">AA40+Close_A*(Ceil_E-AA40)-$E$5</f>
        <v>80.9609375</v>
      </c>
      <c r="AB41" s="16" t="n">
        <f aca="false">$E$4*Value_pt*(AA41-Eff_today)</f>
        <v>99.609375</v>
      </c>
      <c r="AC41" s="16" t="n">
        <f aca="false">AB41-Cost_A</f>
        <v>-20.390625</v>
      </c>
      <c r="AD41" s="16" t="n">
        <f aca="false">AD40+AC41</f>
        <v>360.390625</v>
      </c>
      <c r="AE41" s="14" t="n">
        <f aca="false">AE40+W_gain</f>
        <v>66</v>
      </c>
      <c r="AF41" s="16" t="n">
        <f aca="false">Liq_today-AD41</f>
        <v>259.609375</v>
      </c>
      <c r="AG41" s="16" t="n">
        <f aca="false">Pre_A+MAX(AF33:AF40)</f>
        <v>709.21875</v>
      </c>
    </row>
    <row r="42" customFormat="false" ht="15" hidden="false" customHeight="true" outlineLevel="0" collapsed="false">
      <c r="A42" s="14" t="n">
        <v>9</v>
      </c>
      <c r="B42" s="14" t="n">
        <f aca="false">IF(AND(B41=1,F41&gt;=Pre_A,G41&gt;=W_min),1,0)</f>
        <v>0</v>
      </c>
      <c r="C42" s="36" t="n">
        <f aca="false">C41+Close_A*(Ceil_E-C41)-$B$5</f>
        <v>84.97265625</v>
      </c>
      <c r="D42" s="16" t="n">
        <f aca="false">$B$4*Value_pt*(C42-Eff_today)</f>
        <v>0</v>
      </c>
      <c r="E42" s="16" t="n">
        <f aca="false">D42-Cost_A</f>
        <v>-120</v>
      </c>
      <c r="F42" s="16" t="n">
        <f aca="false">F41+E42</f>
        <v>-460</v>
      </c>
      <c r="G42" s="14" t="n">
        <f aca="false">G41+W_gain</f>
        <v>67</v>
      </c>
      <c r="H42" s="16" t="n">
        <f aca="false">Liq_today-F42</f>
        <v>1080</v>
      </c>
      <c r="I42" s="16" t="n">
        <f aca="false">Pre_A+MAX(H33:H41)</f>
        <v>1430</v>
      </c>
      <c r="J42" s="14" t="n">
        <f aca="false">IF(AND(J41=1,N41&gt;=Pre_A,O41&gt;=W_min),1,0)</f>
        <v>1</v>
      </c>
      <c r="K42" s="36" t="n">
        <f aca="false">K41+Close_A*(Ceil_E-K41)-$C$5</f>
        <v>84.97265625</v>
      </c>
      <c r="L42" s="16" t="n">
        <f aca="false">$C$4*Value_pt*(K42-Eff_today)</f>
        <v>139.7265625</v>
      </c>
      <c r="M42" s="16" t="n">
        <f aca="false">L42-Cost_A</f>
        <v>19.7265625</v>
      </c>
      <c r="N42" s="16" t="n">
        <f aca="false">N41+M42</f>
        <v>660.2734375</v>
      </c>
      <c r="O42" s="14" t="n">
        <f aca="false">O41+W_gain</f>
        <v>67</v>
      </c>
      <c r="P42" s="16" t="n">
        <f aca="false">Liq_today-N42</f>
        <v>-40.2734375</v>
      </c>
      <c r="Q42" s="16" t="n">
        <f aca="false">Pre_A+MAX(P33:P41)</f>
        <v>535</v>
      </c>
      <c r="R42" s="14" t="n">
        <f aca="false">IF(AND(R41=1,V41&gt;=Pre_A,W41&gt;=W_min),1,0)</f>
        <v>1</v>
      </c>
      <c r="S42" s="36" t="n">
        <f aca="false">S41+Close_A*(Ceil_E-S41)-$D$5</f>
        <v>82.9765625</v>
      </c>
      <c r="T42" s="16" t="n">
        <f aca="false">$D$4*Value_pt*(S42-Eff_today)</f>
        <v>119.765625</v>
      </c>
      <c r="U42" s="16" t="n">
        <f aca="false">T42-Cost_A</f>
        <v>-0.234375</v>
      </c>
      <c r="V42" s="16" t="n">
        <f aca="false">V41+U42</f>
        <v>500.234375</v>
      </c>
      <c r="W42" s="14" t="n">
        <f aca="false">W41+W_gain</f>
        <v>67</v>
      </c>
      <c r="X42" s="16" t="n">
        <f aca="false">Liq_today-V42</f>
        <v>119.765625</v>
      </c>
      <c r="Y42" s="16" t="n">
        <f aca="false">Pre_A+MAX(X33:X41)</f>
        <v>589.53125</v>
      </c>
      <c r="Z42" s="14" t="n">
        <f aca="false">IF(AND(Z41=1,AD41&gt;=Pre_A,AE41&gt;=W_min),1,0)</f>
        <v>0</v>
      </c>
      <c r="AA42" s="36" t="n">
        <f aca="false">AA41+Close_A*(Ceil_E-AA41)-$E$5</f>
        <v>80.98046875</v>
      </c>
      <c r="AB42" s="16" t="n">
        <f aca="false">$E$4*Value_pt*(AA42-Eff_today)</f>
        <v>99.8046875</v>
      </c>
      <c r="AC42" s="16" t="n">
        <f aca="false">AB42-Cost_A</f>
        <v>-20.1953125</v>
      </c>
      <c r="AD42" s="16" t="n">
        <f aca="false">AD41+AC42</f>
        <v>340.1953125</v>
      </c>
      <c r="AE42" s="14" t="n">
        <f aca="false">AE41+W_gain</f>
        <v>67</v>
      </c>
      <c r="AF42" s="16" t="n">
        <f aca="false">Liq_today-AD42</f>
        <v>279.8046875</v>
      </c>
      <c r="AG42" s="16" t="n">
        <f aca="false">Pre_A+MAX(AF33:AF41)</f>
        <v>729.609375</v>
      </c>
    </row>
    <row r="43" customFormat="false" ht="15" hidden="false" customHeight="true" outlineLevel="0" collapsed="false">
      <c r="A43" s="14" t="n">
        <v>10</v>
      </c>
      <c r="B43" s="14" t="n">
        <f aca="false">IF(AND(B42=1,F42&gt;=Pre_A,G42&gt;=W_min),1,0)</f>
        <v>0</v>
      </c>
      <c r="C43" s="36" t="n">
        <f aca="false">C42+Close_A*(Ceil_E-C42)-$B$5</f>
        <v>84.986328125</v>
      </c>
      <c r="D43" s="16" t="n">
        <f aca="false">$B$4*Value_pt*(C43-Eff_today)</f>
        <v>0</v>
      </c>
      <c r="E43" s="16" t="n">
        <f aca="false">D43-Cost_A</f>
        <v>-120</v>
      </c>
      <c r="F43" s="16" t="n">
        <f aca="false">F42+E43</f>
        <v>-580</v>
      </c>
      <c r="G43" s="14" t="n">
        <f aca="false">G42+W_gain</f>
        <v>68</v>
      </c>
      <c r="H43" s="16" t="n">
        <f aca="false">Liq_today-F43</f>
        <v>1200</v>
      </c>
      <c r="I43" s="16" t="n">
        <f aca="false">Pre_A+MAX(H33:H42)</f>
        <v>1550</v>
      </c>
      <c r="J43" s="14" t="n">
        <f aca="false">IF(AND(J42=1,N42&gt;=Pre_A,O42&gt;=W_min),1,0)</f>
        <v>1</v>
      </c>
      <c r="K43" s="36" t="n">
        <f aca="false">K42+Close_A*(Ceil_E-K42)-$C$5</f>
        <v>84.986328125</v>
      </c>
      <c r="L43" s="16" t="n">
        <f aca="false">$C$4*Value_pt*(K43-Eff_today)</f>
        <v>139.86328125</v>
      </c>
      <c r="M43" s="16" t="n">
        <f aca="false">L43-Cost_A</f>
        <v>19.86328125</v>
      </c>
      <c r="N43" s="16" t="n">
        <f aca="false">N42+M43</f>
        <v>680.13671875</v>
      </c>
      <c r="O43" s="14" t="n">
        <f aca="false">O42+W_gain</f>
        <v>68</v>
      </c>
      <c r="P43" s="16" t="n">
        <f aca="false">Liq_today-N43</f>
        <v>-60.13671875</v>
      </c>
      <c r="Q43" s="16" t="n">
        <f aca="false">Pre_A+MAX(P33:P42)</f>
        <v>535</v>
      </c>
      <c r="R43" s="14" t="n">
        <f aca="false">IF(AND(R42=1,V42&gt;=Pre_A,W42&gt;=W_min),1,0)</f>
        <v>1</v>
      </c>
      <c r="S43" s="36" t="n">
        <f aca="false">S42+Close_A*(Ceil_E-S42)-$D$5</f>
        <v>82.98828125</v>
      </c>
      <c r="T43" s="16" t="n">
        <f aca="false">$D$4*Value_pt*(S43-Eff_today)</f>
        <v>119.8828125</v>
      </c>
      <c r="U43" s="16" t="n">
        <f aca="false">T43-Cost_A</f>
        <v>-0.1171875</v>
      </c>
      <c r="V43" s="16" t="n">
        <f aca="false">V42+U43</f>
        <v>500.1171875</v>
      </c>
      <c r="W43" s="14" t="n">
        <f aca="false">W42+W_gain</f>
        <v>68</v>
      </c>
      <c r="X43" s="16" t="n">
        <f aca="false">Liq_today-V43</f>
        <v>119.8828125</v>
      </c>
      <c r="Y43" s="16" t="n">
        <f aca="false">Pre_A+MAX(X33:X42)</f>
        <v>589.765625</v>
      </c>
      <c r="Z43" s="14" t="n">
        <f aca="false">IF(AND(Z42=1,AD42&gt;=Pre_A,AE42&gt;=W_min),1,0)</f>
        <v>0</v>
      </c>
      <c r="AA43" s="36" t="n">
        <f aca="false">AA42+Close_A*(Ceil_E-AA42)-$E$5</f>
        <v>80.990234375</v>
      </c>
      <c r="AB43" s="16" t="n">
        <f aca="false">$E$4*Value_pt*(AA43-Eff_today)</f>
        <v>99.90234375</v>
      </c>
      <c r="AC43" s="16" t="n">
        <f aca="false">AB43-Cost_A</f>
        <v>-20.09765625</v>
      </c>
      <c r="AD43" s="16" t="n">
        <f aca="false">AD42+AC43</f>
        <v>320.09765625</v>
      </c>
      <c r="AE43" s="14" t="n">
        <f aca="false">AE42+W_gain</f>
        <v>68</v>
      </c>
      <c r="AF43" s="16" t="n">
        <f aca="false">Liq_today-AD43</f>
        <v>299.90234375</v>
      </c>
      <c r="AG43" s="16" t="n">
        <f aca="false">Pre_A+MAX(AF33:AF42)</f>
        <v>749.8046875</v>
      </c>
    </row>
    <row r="44" customFormat="false" ht="15" hidden="false" customHeight="true" outlineLevel="0" collapsed="false">
      <c r="A44" s="14" t="n">
        <v>11</v>
      </c>
      <c r="B44" s="14" t="n">
        <f aca="false">IF(AND(B43=1,F43&gt;=Pre_A,G43&gt;=W_min),1,0)</f>
        <v>0</v>
      </c>
      <c r="C44" s="36" t="n">
        <f aca="false">C43+Close_A*(Ceil_E-C43)-$B$5</f>
        <v>84.9931640625</v>
      </c>
      <c r="D44" s="16" t="n">
        <f aca="false">$B$4*Value_pt*(C44-Eff_today)</f>
        <v>0</v>
      </c>
      <c r="E44" s="16" t="n">
        <f aca="false">D44-Cost_A</f>
        <v>-120</v>
      </c>
      <c r="F44" s="16" t="n">
        <f aca="false">F43+E44</f>
        <v>-700</v>
      </c>
      <c r="G44" s="14" t="n">
        <f aca="false">G43+W_gain</f>
        <v>69</v>
      </c>
      <c r="H44" s="16" t="n">
        <f aca="false">Liq_today-F44</f>
        <v>1320</v>
      </c>
      <c r="I44" s="16" t="n">
        <f aca="false">Pre_A+MAX(H33:H43)</f>
        <v>1670</v>
      </c>
      <c r="J44" s="14" t="n">
        <f aca="false">IF(AND(J43=1,N43&gt;=Pre_A,O43&gt;=W_min),1,0)</f>
        <v>1</v>
      </c>
      <c r="K44" s="36" t="n">
        <f aca="false">K43+Close_A*(Ceil_E-K43)-$C$5</f>
        <v>84.9931640625</v>
      </c>
      <c r="L44" s="16" t="n">
        <f aca="false">$C$4*Value_pt*(K44-Eff_today)</f>
        <v>139.931640625</v>
      </c>
      <c r="M44" s="16" t="n">
        <f aca="false">L44-Cost_A</f>
        <v>19.931640625</v>
      </c>
      <c r="N44" s="16" t="n">
        <f aca="false">N43+M44</f>
        <v>700.068359375</v>
      </c>
      <c r="O44" s="14" t="n">
        <f aca="false">O43+W_gain</f>
        <v>69</v>
      </c>
      <c r="P44" s="16" t="n">
        <f aca="false">Liq_today-N44</f>
        <v>-80.068359375</v>
      </c>
      <c r="Q44" s="16" t="n">
        <f aca="false">Pre_A+MAX(P33:P43)</f>
        <v>535</v>
      </c>
      <c r="R44" s="14" t="n">
        <f aca="false">IF(AND(R43=1,V43&gt;=Pre_A,W43&gt;=W_min),1,0)</f>
        <v>1</v>
      </c>
      <c r="S44" s="36" t="n">
        <f aca="false">S43+Close_A*(Ceil_E-S43)-$D$5</f>
        <v>82.994140625</v>
      </c>
      <c r="T44" s="16" t="n">
        <f aca="false">$D$4*Value_pt*(S44-Eff_today)</f>
        <v>119.94140625</v>
      </c>
      <c r="U44" s="16" t="n">
        <f aca="false">T44-Cost_A</f>
        <v>-0.05859375</v>
      </c>
      <c r="V44" s="16" t="n">
        <f aca="false">V43+U44</f>
        <v>500.05859375</v>
      </c>
      <c r="W44" s="14" t="n">
        <f aca="false">W43+W_gain</f>
        <v>69</v>
      </c>
      <c r="X44" s="16" t="n">
        <f aca="false">Liq_today-V44</f>
        <v>119.94140625</v>
      </c>
      <c r="Y44" s="16" t="n">
        <f aca="false">Pre_A+MAX(X33:X43)</f>
        <v>589.8828125</v>
      </c>
      <c r="Z44" s="14" t="n">
        <f aca="false">IF(AND(Z43=1,AD43&gt;=Pre_A,AE43&gt;=W_min),1,0)</f>
        <v>0</v>
      </c>
      <c r="AA44" s="36" t="n">
        <f aca="false">AA43+Close_A*(Ceil_E-AA43)-$E$5</f>
        <v>80.9951171875</v>
      </c>
      <c r="AB44" s="16" t="n">
        <f aca="false">$E$4*Value_pt*(AA44-Eff_today)</f>
        <v>99.951171875</v>
      </c>
      <c r="AC44" s="16" t="n">
        <f aca="false">AB44-Cost_A</f>
        <v>-20.048828125</v>
      </c>
      <c r="AD44" s="16" t="n">
        <f aca="false">AD43+AC44</f>
        <v>300.048828125</v>
      </c>
      <c r="AE44" s="14" t="n">
        <f aca="false">AE43+W_gain</f>
        <v>69</v>
      </c>
      <c r="AF44" s="16" t="n">
        <f aca="false">Liq_today-AD44</f>
        <v>319.951171875</v>
      </c>
      <c r="AG44" s="16" t="n">
        <f aca="false">Pre_A+MAX(AF33:AF43)</f>
        <v>769.90234375</v>
      </c>
    </row>
    <row r="45" customFormat="false" ht="15" hidden="false" customHeight="true" outlineLevel="0" collapsed="false">
      <c r="A45" s="14" t="n">
        <v>12</v>
      </c>
      <c r="B45" s="14" t="n">
        <f aca="false">IF(AND(B44=1,F44&gt;=Pre_A,G44&gt;=W_min),1,0)</f>
        <v>0</v>
      </c>
      <c r="C45" s="36" t="n">
        <f aca="false">C44+Close_A*(Ceil_E-C44)-$B$5</f>
        <v>84.99658203125</v>
      </c>
      <c r="D45" s="16" t="n">
        <f aca="false">$B$4*Value_pt*(C45-Eff_today)</f>
        <v>0</v>
      </c>
      <c r="E45" s="16" t="n">
        <f aca="false">D45-Cost_A</f>
        <v>-120</v>
      </c>
      <c r="F45" s="16" t="n">
        <f aca="false">F44+E45</f>
        <v>-820</v>
      </c>
      <c r="G45" s="14" t="n">
        <f aca="false">G44+W_gain</f>
        <v>70</v>
      </c>
      <c r="H45" s="16" t="n">
        <f aca="false">Liq_today-F45</f>
        <v>1440</v>
      </c>
      <c r="I45" s="16" t="n">
        <f aca="false">Pre_A+MAX(H33:H44)</f>
        <v>1790</v>
      </c>
      <c r="J45" s="14" t="n">
        <f aca="false">IF(AND(J44=1,N44&gt;=Pre_A,O44&gt;=W_min),1,0)</f>
        <v>1</v>
      </c>
      <c r="K45" s="36" t="n">
        <f aca="false">K44+Close_A*(Ceil_E-K44)-$C$5</f>
        <v>84.99658203125</v>
      </c>
      <c r="L45" s="16" t="n">
        <f aca="false">$C$4*Value_pt*(K45-Eff_today)</f>
        <v>139.9658203125</v>
      </c>
      <c r="M45" s="16" t="n">
        <f aca="false">L45-Cost_A</f>
        <v>19.9658203125</v>
      </c>
      <c r="N45" s="16" t="n">
        <f aca="false">N44+M45</f>
        <v>720.0341796875</v>
      </c>
      <c r="O45" s="14" t="n">
        <f aca="false">O44+W_gain</f>
        <v>70</v>
      </c>
      <c r="P45" s="16" t="n">
        <f aca="false">Liq_today-N45</f>
        <v>-100.0341796875</v>
      </c>
      <c r="Q45" s="16" t="n">
        <f aca="false">Pre_A+MAX(P33:P44)</f>
        <v>535</v>
      </c>
      <c r="R45" s="14" t="n">
        <f aca="false">IF(AND(R44=1,V44&gt;=Pre_A,W44&gt;=W_min),1,0)</f>
        <v>1</v>
      </c>
      <c r="S45" s="36" t="n">
        <f aca="false">S44+Close_A*(Ceil_E-S44)-$D$5</f>
        <v>82.9970703125</v>
      </c>
      <c r="T45" s="16" t="n">
        <f aca="false">$D$4*Value_pt*(S45-Eff_today)</f>
        <v>119.970703125</v>
      </c>
      <c r="U45" s="16" t="n">
        <f aca="false">T45-Cost_A</f>
        <v>-0.029296875</v>
      </c>
      <c r="V45" s="16" t="n">
        <f aca="false">V44+U45</f>
        <v>500.029296875</v>
      </c>
      <c r="W45" s="14" t="n">
        <f aca="false">W44+W_gain</f>
        <v>70</v>
      </c>
      <c r="X45" s="16" t="n">
        <f aca="false">Liq_today-V45</f>
        <v>119.970703125</v>
      </c>
      <c r="Y45" s="16" t="n">
        <f aca="false">Pre_A+MAX(X33:X44)</f>
        <v>589.94140625</v>
      </c>
      <c r="Z45" s="14" t="n">
        <f aca="false">IF(AND(Z44=1,AD44&gt;=Pre_A,AE44&gt;=W_min),1,0)</f>
        <v>0</v>
      </c>
      <c r="AA45" s="36" t="n">
        <f aca="false">AA44+Close_A*(Ceil_E-AA44)-$E$5</f>
        <v>80.99755859375</v>
      </c>
      <c r="AB45" s="16" t="n">
        <f aca="false">$E$4*Value_pt*(AA45-Eff_today)</f>
        <v>99.9755859375</v>
      </c>
      <c r="AC45" s="16" t="n">
        <f aca="false">AB45-Cost_A</f>
        <v>-20.0244140625</v>
      </c>
      <c r="AD45" s="16" t="n">
        <f aca="false">AD44+AC45</f>
        <v>280.0244140625</v>
      </c>
      <c r="AE45" s="14" t="n">
        <f aca="false">AE44+W_gain</f>
        <v>70</v>
      </c>
      <c r="AF45" s="16" t="n">
        <f aca="false">Liq_today-AD45</f>
        <v>339.9755859375</v>
      </c>
      <c r="AG45" s="16" t="n">
        <f aca="false">Pre_A+MAX(AF33:AF44)</f>
        <v>789.951171875</v>
      </c>
    </row>
    <row r="46" customFormat="false" ht="15" hidden="false" customHeight="true" outlineLevel="0" collapsed="false">
      <c r="A46" s="14" t="n">
        <v>13</v>
      </c>
      <c r="B46" s="14" t="n">
        <f aca="false">IF(AND(B45=1,F45&gt;=Pre_A,G45&gt;=W_min),1,0)</f>
        <v>0</v>
      </c>
      <c r="C46" s="36" t="n">
        <f aca="false">C45+Close_A*(Ceil_E-C45)-$B$5</f>
        <v>84.998291015625</v>
      </c>
      <c r="D46" s="16" t="n">
        <f aca="false">$B$4*Value_pt*(C46-Eff_today)</f>
        <v>0</v>
      </c>
      <c r="E46" s="16" t="n">
        <f aca="false">D46-Cost_A</f>
        <v>-120</v>
      </c>
      <c r="F46" s="16" t="n">
        <f aca="false">F45+E46</f>
        <v>-940</v>
      </c>
      <c r="G46" s="14" t="n">
        <f aca="false">G45+W_gain</f>
        <v>71</v>
      </c>
      <c r="H46" s="16" t="n">
        <f aca="false">Liq_today-F46</f>
        <v>1560</v>
      </c>
      <c r="I46" s="16" t="n">
        <f aca="false">Pre_A+MAX(H33:H45)</f>
        <v>1910</v>
      </c>
      <c r="J46" s="14" t="n">
        <f aca="false">IF(AND(J45=1,N45&gt;=Pre_A,O45&gt;=W_min),1,0)</f>
        <v>1</v>
      </c>
      <c r="K46" s="36" t="n">
        <f aca="false">K45+Close_A*(Ceil_E-K45)-$C$5</f>
        <v>84.998291015625</v>
      </c>
      <c r="L46" s="16" t="n">
        <f aca="false">$C$4*Value_pt*(K46-Eff_today)</f>
        <v>139.98291015625</v>
      </c>
      <c r="M46" s="16" t="n">
        <f aca="false">L46-Cost_A</f>
        <v>19.98291015625</v>
      </c>
      <c r="N46" s="16" t="n">
        <f aca="false">N45+M46</f>
        <v>740.01708984375</v>
      </c>
      <c r="O46" s="14" t="n">
        <f aca="false">O45+W_gain</f>
        <v>71</v>
      </c>
      <c r="P46" s="16" t="n">
        <f aca="false">Liq_today-N46</f>
        <v>-120.01708984375</v>
      </c>
      <c r="Q46" s="16" t="n">
        <f aca="false">Pre_A+MAX(P33:P45)</f>
        <v>535</v>
      </c>
      <c r="R46" s="14" t="n">
        <f aca="false">IF(AND(R45=1,V45&gt;=Pre_A,W45&gt;=W_min),1,0)</f>
        <v>1</v>
      </c>
      <c r="S46" s="36" t="n">
        <f aca="false">S45+Close_A*(Ceil_E-S45)-$D$5</f>
        <v>82.99853515625</v>
      </c>
      <c r="T46" s="16" t="n">
        <f aca="false">$D$4*Value_pt*(S46-Eff_today)</f>
        <v>119.9853515625</v>
      </c>
      <c r="U46" s="16" t="n">
        <f aca="false">T46-Cost_A</f>
        <v>-0.0146484375</v>
      </c>
      <c r="V46" s="16" t="n">
        <f aca="false">V45+U46</f>
        <v>500.0146484375</v>
      </c>
      <c r="W46" s="14" t="n">
        <f aca="false">W45+W_gain</f>
        <v>71</v>
      </c>
      <c r="X46" s="16" t="n">
        <f aca="false">Liq_today-V46</f>
        <v>119.9853515625</v>
      </c>
      <c r="Y46" s="16" t="n">
        <f aca="false">Pre_A+MAX(X33:X45)</f>
        <v>589.970703125</v>
      </c>
      <c r="Z46" s="14" t="n">
        <f aca="false">IF(AND(Z45=1,AD45&gt;=Pre_A,AE45&gt;=W_min),1,0)</f>
        <v>0</v>
      </c>
      <c r="AA46" s="36" t="n">
        <f aca="false">AA45+Close_A*(Ceil_E-AA45)-$E$5</f>
        <v>80.998779296875</v>
      </c>
      <c r="AB46" s="16" t="n">
        <f aca="false">$E$4*Value_pt*(AA46-Eff_today)</f>
        <v>99.98779296875</v>
      </c>
      <c r="AC46" s="16" t="n">
        <f aca="false">AB46-Cost_A</f>
        <v>-20.01220703125</v>
      </c>
      <c r="AD46" s="16" t="n">
        <f aca="false">AD45+AC46</f>
        <v>260.01220703125</v>
      </c>
      <c r="AE46" s="14" t="n">
        <f aca="false">AE45+W_gain</f>
        <v>71</v>
      </c>
      <c r="AF46" s="16" t="n">
        <f aca="false">Liq_today-AD46</f>
        <v>359.98779296875</v>
      </c>
      <c r="AG46" s="16" t="n">
        <f aca="false">Pre_A+MAX(AF33:AF45)</f>
        <v>809.9755859375</v>
      </c>
    </row>
    <row r="47" customFormat="false" ht="15" hidden="false" customHeight="true" outlineLevel="0" collapsed="false">
      <c r="A47" s="14" t="n">
        <v>14</v>
      </c>
      <c r="B47" s="14" t="n">
        <f aca="false">IF(AND(B46=1,F46&gt;=Pre_A,G46&gt;=W_min),1,0)</f>
        <v>0</v>
      </c>
      <c r="C47" s="36" t="n">
        <f aca="false">C46+Close_A*(Ceil_E-C46)-$B$5</f>
        <v>84.9991455078125</v>
      </c>
      <c r="D47" s="16" t="n">
        <f aca="false">$B$4*Value_pt*(C47-Eff_today)</f>
        <v>0</v>
      </c>
      <c r="E47" s="16" t="n">
        <f aca="false">D47-Cost_A</f>
        <v>-120</v>
      </c>
      <c r="F47" s="16" t="n">
        <f aca="false">F46+E47</f>
        <v>-1060</v>
      </c>
      <c r="G47" s="14" t="n">
        <f aca="false">G46+W_gain</f>
        <v>72</v>
      </c>
      <c r="H47" s="16" t="n">
        <f aca="false">Liq_today-F47</f>
        <v>1680</v>
      </c>
      <c r="I47" s="16" t="n">
        <f aca="false">Pre_A+MAX(H33:H46)</f>
        <v>2030</v>
      </c>
      <c r="J47" s="14" t="n">
        <f aca="false">IF(AND(J46=1,N46&gt;=Pre_A,O46&gt;=W_min),1,0)</f>
        <v>1</v>
      </c>
      <c r="K47" s="36" t="n">
        <f aca="false">K46+Close_A*(Ceil_E-K46)-$C$5</f>
        <v>84.9991455078125</v>
      </c>
      <c r="L47" s="16" t="n">
        <f aca="false">$C$4*Value_pt*(K47-Eff_today)</f>
        <v>139.991455078125</v>
      </c>
      <c r="M47" s="16" t="n">
        <f aca="false">L47-Cost_A</f>
        <v>19.991455078125</v>
      </c>
      <c r="N47" s="16" t="n">
        <f aca="false">N46+M47</f>
        <v>760.008544921875</v>
      </c>
      <c r="O47" s="14" t="n">
        <f aca="false">O46+W_gain</f>
        <v>72</v>
      </c>
      <c r="P47" s="16" t="n">
        <f aca="false">Liq_today-N47</f>
        <v>-140.008544921875</v>
      </c>
      <c r="Q47" s="16" t="n">
        <f aca="false">Pre_A+MAX(P33:P46)</f>
        <v>535</v>
      </c>
      <c r="R47" s="14" t="n">
        <f aca="false">IF(AND(R46=1,V46&gt;=Pre_A,W46&gt;=W_min),1,0)</f>
        <v>1</v>
      </c>
      <c r="S47" s="36" t="n">
        <f aca="false">S46+Close_A*(Ceil_E-S46)-$D$5</f>
        <v>82.999267578125</v>
      </c>
      <c r="T47" s="16" t="n">
        <f aca="false">$D$4*Value_pt*(S47-Eff_today)</f>
        <v>119.99267578125</v>
      </c>
      <c r="U47" s="16" t="n">
        <f aca="false">T47-Cost_A</f>
        <v>-0.00732421875</v>
      </c>
      <c r="V47" s="16" t="n">
        <f aca="false">V46+U47</f>
        <v>500.00732421875</v>
      </c>
      <c r="W47" s="14" t="n">
        <f aca="false">W46+W_gain</f>
        <v>72</v>
      </c>
      <c r="X47" s="16" t="n">
        <f aca="false">Liq_today-V47</f>
        <v>119.99267578125</v>
      </c>
      <c r="Y47" s="16" t="n">
        <f aca="false">Pre_A+MAX(X33:X46)</f>
        <v>589.9853515625</v>
      </c>
      <c r="Z47" s="14" t="n">
        <f aca="false">IF(AND(Z46=1,AD46&gt;=Pre_A,AE46&gt;=W_min),1,0)</f>
        <v>0</v>
      </c>
      <c r="AA47" s="36" t="n">
        <f aca="false">AA46+Close_A*(Ceil_E-AA46)-$E$5</f>
        <v>80.9993896484375</v>
      </c>
      <c r="AB47" s="16" t="n">
        <f aca="false">$E$4*Value_pt*(AA47-Eff_today)</f>
        <v>99.993896484375</v>
      </c>
      <c r="AC47" s="16" t="n">
        <f aca="false">AB47-Cost_A</f>
        <v>-20.006103515625</v>
      </c>
      <c r="AD47" s="16" t="n">
        <f aca="false">AD46+AC47</f>
        <v>240.006103515625</v>
      </c>
      <c r="AE47" s="14" t="n">
        <f aca="false">AE46+W_gain</f>
        <v>72</v>
      </c>
      <c r="AF47" s="16" t="n">
        <f aca="false">Liq_today-AD47</f>
        <v>379.993896484375</v>
      </c>
      <c r="AG47" s="16" t="n">
        <f aca="false">Pre_A+MAX(AF33:AF46)</f>
        <v>829.98779296875</v>
      </c>
    </row>
    <row r="48" customFormat="false" ht="15" hidden="false" customHeight="true" outlineLevel="0" collapsed="false">
      <c r="A48" s="14" t="n">
        <v>15</v>
      </c>
      <c r="B48" s="14" t="n">
        <f aca="false">IF(AND(B47=1,F47&gt;=Pre_A,G47&gt;=W_min),1,0)</f>
        <v>0</v>
      </c>
      <c r="C48" s="36" t="n">
        <f aca="false">C47+Close_A*(Ceil_E-C47)-$B$5</f>
        <v>84.9995727539063</v>
      </c>
      <c r="D48" s="16" t="n">
        <f aca="false">$B$4*Value_pt*(C48-Eff_today)</f>
        <v>0</v>
      </c>
      <c r="E48" s="16" t="n">
        <f aca="false">D48-Cost_A</f>
        <v>-120</v>
      </c>
      <c r="F48" s="16" t="n">
        <f aca="false">F47+E48</f>
        <v>-1180</v>
      </c>
      <c r="G48" s="14" t="n">
        <f aca="false">G47+W_gain</f>
        <v>73</v>
      </c>
      <c r="H48" s="16" t="n">
        <f aca="false">Liq_today-F48</f>
        <v>1800</v>
      </c>
      <c r="I48" s="16" t="n">
        <f aca="false">Pre_A+MAX(H33:H47)</f>
        <v>2150</v>
      </c>
      <c r="J48" s="14" t="n">
        <f aca="false">IF(AND(J47=1,N47&gt;=Pre_A,O47&gt;=W_min),1,0)</f>
        <v>1</v>
      </c>
      <c r="K48" s="36" t="n">
        <f aca="false">K47+Close_A*(Ceil_E-K47)-$C$5</f>
        <v>84.9995727539063</v>
      </c>
      <c r="L48" s="16" t="n">
        <f aca="false">$C$4*Value_pt*(K48-Eff_today)</f>
        <v>139.995727539063</v>
      </c>
      <c r="M48" s="16" t="n">
        <f aca="false">L48-Cost_A</f>
        <v>19.9957275390625</v>
      </c>
      <c r="N48" s="16" t="n">
        <f aca="false">N47+M48</f>
        <v>780.004272460938</v>
      </c>
      <c r="O48" s="14" t="n">
        <f aca="false">O47+W_gain</f>
        <v>73</v>
      </c>
      <c r="P48" s="16" t="n">
        <f aca="false">Liq_today-N48</f>
        <v>-160.004272460938</v>
      </c>
      <c r="Q48" s="16" t="n">
        <f aca="false">Pre_A+MAX(P33:P47)</f>
        <v>535</v>
      </c>
      <c r="R48" s="14" t="n">
        <f aca="false">IF(AND(R47=1,V47&gt;=Pre_A,W47&gt;=W_min),1,0)</f>
        <v>1</v>
      </c>
      <c r="S48" s="36" t="n">
        <f aca="false">S47+Close_A*(Ceil_E-S47)-$D$5</f>
        <v>82.9996337890625</v>
      </c>
      <c r="T48" s="16" t="n">
        <f aca="false">$D$4*Value_pt*(S48-Eff_today)</f>
        <v>119.996337890625</v>
      </c>
      <c r="U48" s="16" t="n">
        <f aca="false">T48-Cost_A</f>
        <v>-0.003662109375</v>
      </c>
      <c r="V48" s="16" t="n">
        <f aca="false">V47+U48</f>
        <v>500.003662109375</v>
      </c>
      <c r="W48" s="14" t="n">
        <f aca="false">W47+W_gain</f>
        <v>73</v>
      </c>
      <c r="X48" s="16" t="n">
        <f aca="false">Liq_today-V48</f>
        <v>119.996337890625</v>
      </c>
      <c r="Y48" s="16" t="n">
        <f aca="false">Pre_A+MAX(X33:X47)</f>
        <v>589.99267578125</v>
      </c>
      <c r="Z48" s="14" t="n">
        <f aca="false">IF(AND(Z47=1,AD47&gt;=Pre_A,AE47&gt;=W_min),1,0)</f>
        <v>0</v>
      </c>
      <c r="AA48" s="36" t="n">
        <f aca="false">AA47+Close_A*(Ceil_E-AA47)-$E$5</f>
        <v>80.9996948242188</v>
      </c>
      <c r="AB48" s="16" t="n">
        <f aca="false">$E$4*Value_pt*(AA48-Eff_today)</f>
        <v>99.9969482421875</v>
      </c>
      <c r="AC48" s="16" t="n">
        <f aca="false">AB48-Cost_A</f>
        <v>-20.0030517578125</v>
      </c>
      <c r="AD48" s="16" t="n">
        <f aca="false">AD47+AC48</f>
        <v>220.003051757813</v>
      </c>
      <c r="AE48" s="14" t="n">
        <f aca="false">AE47+W_gain</f>
        <v>73</v>
      </c>
      <c r="AF48" s="16" t="n">
        <f aca="false">Liq_today-AD48</f>
        <v>399.996948242188</v>
      </c>
      <c r="AG48" s="16" t="n">
        <f aca="false">Pre_A+MAX(AF33:AF47)</f>
        <v>849.993896484375</v>
      </c>
    </row>
    <row r="49" customFormat="false" ht="15" hidden="false" customHeight="true" outlineLevel="0" collapsed="false">
      <c r="A49" s="14" t="n">
        <v>16</v>
      </c>
      <c r="B49" s="14" t="n">
        <f aca="false">IF(AND(B48=1,F48&gt;=Pre_A,G48&gt;=W_min),1,0)</f>
        <v>0</v>
      </c>
      <c r="C49" s="36" t="n">
        <f aca="false">C48+Close_A*(Ceil_E-C48)-$B$5</f>
        <v>84.9997863769531</v>
      </c>
      <c r="D49" s="16" t="n">
        <f aca="false">$B$4*Value_pt*(C49-Eff_today)</f>
        <v>0</v>
      </c>
      <c r="E49" s="16" t="n">
        <f aca="false">D49-Cost_A</f>
        <v>-120</v>
      </c>
      <c r="F49" s="16" t="n">
        <f aca="false">F48+E49</f>
        <v>-1300</v>
      </c>
      <c r="G49" s="14" t="n">
        <f aca="false">G48+W_gain</f>
        <v>74</v>
      </c>
      <c r="H49" s="16" t="n">
        <f aca="false">Liq_today-F49</f>
        <v>1920</v>
      </c>
      <c r="I49" s="16" t="n">
        <f aca="false">Pre_A+MAX(H33:H48)</f>
        <v>2270</v>
      </c>
      <c r="J49" s="14" t="n">
        <f aca="false">IF(AND(J48=1,N48&gt;=Pre_A,O48&gt;=W_min),1,0)</f>
        <v>1</v>
      </c>
      <c r="K49" s="36" t="n">
        <f aca="false">K48+Close_A*(Ceil_E-K48)-$C$5</f>
        <v>84.9997863769531</v>
      </c>
      <c r="L49" s="16" t="n">
        <f aca="false">$C$4*Value_pt*(K49-Eff_today)</f>
        <v>139.997863769531</v>
      </c>
      <c r="M49" s="16" t="n">
        <f aca="false">L49-Cost_A</f>
        <v>19.9978637695313</v>
      </c>
      <c r="N49" s="16" t="n">
        <f aca="false">N48+M49</f>
        <v>800.002136230469</v>
      </c>
      <c r="O49" s="14" t="n">
        <f aca="false">O48+W_gain</f>
        <v>74</v>
      </c>
      <c r="P49" s="16" t="n">
        <f aca="false">Liq_today-N49</f>
        <v>-180.002136230469</v>
      </c>
      <c r="Q49" s="16" t="n">
        <f aca="false">Pre_A+MAX(P33:P48)</f>
        <v>535</v>
      </c>
      <c r="R49" s="14" t="n">
        <f aca="false">IF(AND(R48=1,V48&gt;=Pre_A,W48&gt;=W_min),1,0)</f>
        <v>1</v>
      </c>
      <c r="S49" s="36" t="n">
        <f aca="false">S48+Close_A*(Ceil_E-S48)-$D$5</f>
        <v>82.9998168945313</v>
      </c>
      <c r="T49" s="16" t="n">
        <f aca="false">$D$4*Value_pt*(S49-Eff_today)</f>
        <v>119.998168945313</v>
      </c>
      <c r="U49" s="16" t="n">
        <f aca="false">T49-Cost_A</f>
        <v>-0.0018310546875</v>
      </c>
      <c r="V49" s="16" t="n">
        <f aca="false">V48+U49</f>
        <v>500.001831054688</v>
      </c>
      <c r="W49" s="14" t="n">
        <f aca="false">W48+W_gain</f>
        <v>74</v>
      </c>
      <c r="X49" s="16" t="n">
        <f aca="false">Liq_today-V49</f>
        <v>119.998168945313</v>
      </c>
      <c r="Y49" s="16" t="n">
        <f aca="false">Pre_A+MAX(X33:X48)</f>
        <v>589.996337890625</v>
      </c>
      <c r="Z49" s="14" t="n">
        <f aca="false">IF(AND(Z48=1,AD48&gt;=Pre_A,AE48&gt;=W_min),1,0)</f>
        <v>0</v>
      </c>
      <c r="AA49" s="36" t="n">
        <f aca="false">AA48+Close_A*(Ceil_E-AA48)-$E$5</f>
        <v>80.9998474121094</v>
      </c>
      <c r="AB49" s="16" t="n">
        <f aca="false">$E$4*Value_pt*(AA49-Eff_today)</f>
        <v>99.9984741210938</v>
      </c>
      <c r="AC49" s="16" t="n">
        <f aca="false">AB49-Cost_A</f>
        <v>-20.0015258789063</v>
      </c>
      <c r="AD49" s="16" t="n">
        <f aca="false">AD48+AC49</f>
        <v>200.001525878906</v>
      </c>
      <c r="AE49" s="14" t="n">
        <f aca="false">AE48+W_gain</f>
        <v>74</v>
      </c>
      <c r="AF49" s="16" t="n">
        <f aca="false">Liq_today-AD49</f>
        <v>419.998474121094</v>
      </c>
      <c r="AG49" s="16" t="n">
        <f aca="false">Pre_A+MAX(AF33:AF48)</f>
        <v>869.996948242188</v>
      </c>
    </row>
    <row r="50" customFormat="false" ht="15" hidden="false" customHeight="true" outlineLevel="0" collapsed="false">
      <c r="A50" s="14" t="n">
        <v>17</v>
      </c>
      <c r="B50" s="14" t="n">
        <f aca="false">IF(AND(B49=1,F49&gt;=Pre_A,G49&gt;=W_min),1,0)</f>
        <v>0</v>
      </c>
      <c r="C50" s="36" t="n">
        <f aca="false">C49+Close_A*(Ceil_E-C49)-$B$5</f>
        <v>84.9998931884766</v>
      </c>
      <c r="D50" s="16" t="n">
        <f aca="false">$B$4*Value_pt*(C50-Eff_today)</f>
        <v>0</v>
      </c>
      <c r="E50" s="16" t="n">
        <f aca="false">D50-Cost_A</f>
        <v>-120</v>
      </c>
      <c r="F50" s="16" t="n">
        <f aca="false">F49+E50</f>
        <v>-1420</v>
      </c>
      <c r="G50" s="14" t="n">
        <f aca="false">G49+W_gain</f>
        <v>75</v>
      </c>
      <c r="H50" s="16" t="n">
        <f aca="false">Liq_today-F50</f>
        <v>2040</v>
      </c>
      <c r="I50" s="16" t="n">
        <f aca="false">Pre_A+MAX(H33:H49)</f>
        <v>2390</v>
      </c>
      <c r="J50" s="14" t="n">
        <f aca="false">IF(AND(J49=1,N49&gt;=Pre_A,O49&gt;=W_min),1,0)</f>
        <v>1</v>
      </c>
      <c r="K50" s="36" t="n">
        <f aca="false">K49+Close_A*(Ceil_E-K49)-$C$5</f>
        <v>84.9998931884766</v>
      </c>
      <c r="L50" s="16" t="n">
        <f aca="false">$C$4*Value_pt*(K50-Eff_today)</f>
        <v>139.998931884766</v>
      </c>
      <c r="M50" s="16" t="n">
        <f aca="false">L50-Cost_A</f>
        <v>19.9989318847656</v>
      </c>
      <c r="N50" s="16" t="n">
        <f aca="false">N49+M50</f>
        <v>820.001068115234</v>
      </c>
      <c r="O50" s="14" t="n">
        <f aca="false">O49+W_gain</f>
        <v>75</v>
      </c>
      <c r="P50" s="16" t="n">
        <f aca="false">Liq_today-N50</f>
        <v>-200.001068115234</v>
      </c>
      <c r="Q50" s="16" t="n">
        <f aca="false">Pre_A+MAX(P33:P49)</f>
        <v>535</v>
      </c>
      <c r="R50" s="14" t="n">
        <f aca="false">IF(AND(R49=1,V49&gt;=Pre_A,W49&gt;=W_min),1,0)</f>
        <v>1</v>
      </c>
      <c r="S50" s="36" t="n">
        <f aca="false">S49+Close_A*(Ceil_E-S49)-$D$5</f>
        <v>82.9999084472656</v>
      </c>
      <c r="T50" s="16" t="n">
        <f aca="false">$D$4*Value_pt*(S50-Eff_today)</f>
        <v>119.999084472656</v>
      </c>
      <c r="U50" s="16" t="n">
        <f aca="false">T50-Cost_A</f>
        <v>-0.00091552734375</v>
      </c>
      <c r="V50" s="16" t="n">
        <f aca="false">V49+U50</f>
        <v>500.000915527344</v>
      </c>
      <c r="W50" s="14" t="n">
        <f aca="false">W49+W_gain</f>
        <v>75</v>
      </c>
      <c r="X50" s="16" t="n">
        <f aca="false">Liq_today-V50</f>
        <v>119.999084472656</v>
      </c>
      <c r="Y50" s="16" t="n">
        <f aca="false">Pre_A+MAX(X33:X49)</f>
        <v>589.998168945313</v>
      </c>
      <c r="Z50" s="14" t="n">
        <f aca="false">IF(AND(Z49=1,AD49&gt;=Pre_A,AE49&gt;=W_min),1,0)</f>
        <v>0</v>
      </c>
      <c r="AA50" s="36" t="n">
        <f aca="false">AA49+Close_A*(Ceil_E-AA49)-$E$5</f>
        <v>80.9999237060547</v>
      </c>
      <c r="AB50" s="16" t="n">
        <f aca="false">$E$4*Value_pt*(AA50-Eff_today)</f>
        <v>99.9992370605469</v>
      </c>
      <c r="AC50" s="16" t="n">
        <f aca="false">AB50-Cost_A</f>
        <v>-20.0007629394531</v>
      </c>
      <c r="AD50" s="16" t="n">
        <f aca="false">AD49+AC50</f>
        <v>180.000762939453</v>
      </c>
      <c r="AE50" s="14" t="n">
        <f aca="false">AE49+W_gain</f>
        <v>75</v>
      </c>
      <c r="AF50" s="16" t="n">
        <f aca="false">Liq_today-AD50</f>
        <v>439.999237060547</v>
      </c>
      <c r="AG50" s="16" t="n">
        <f aca="false">Pre_A+MAX(AF33:AF49)</f>
        <v>889.998474121094</v>
      </c>
    </row>
    <row r="51" customFormat="false" ht="15" hidden="false" customHeight="true" outlineLevel="0" collapsed="false">
      <c r="A51" s="14" t="n">
        <v>18</v>
      </c>
      <c r="B51" s="14" t="n">
        <f aca="false">IF(AND(B50=1,F50&gt;=Pre_A,G50&gt;=W_min),1,0)</f>
        <v>0</v>
      </c>
      <c r="C51" s="36" t="n">
        <f aca="false">C50+Close_A*(Ceil_E-C50)-$B$5</f>
        <v>84.9999465942383</v>
      </c>
      <c r="D51" s="16" t="n">
        <f aca="false">$B$4*Value_pt*(C51-Eff_today)</f>
        <v>0</v>
      </c>
      <c r="E51" s="16" t="n">
        <f aca="false">D51-Cost_A</f>
        <v>-120</v>
      </c>
      <c r="F51" s="16" t="n">
        <f aca="false">F50+E51</f>
        <v>-1540</v>
      </c>
      <c r="G51" s="14" t="n">
        <f aca="false">G50+W_gain</f>
        <v>76</v>
      </c>
      <c r="H51" s="16" t="n">
        <f aca="false">Liq_today-F51</f>
        <v>2160</v>
      </c>
      <c r="I51" s="16" t="n">
        <f aca="false">Pre_A+MAX(H33:H50)</f>
        <v>2510</v>
      </c>
      <c r="J51" s="14" t="n">
        <f aca="false">IF(AND(J50=1,N50&gt;=Pre_A,O50&gt;=W_min),1,0)</f>
        <v>1</v>
      </c>
      <c r="K51" s="36" t="n">
        <f aca="false">K50+Close_A*(Ceil_E-K50)-$C$5</f>
        <v>84.9999465942383</v>
      </c>
      <c r="L51" s="16" t="n">
        <f aca="false">$C$4*Value_pt*(K51-Eff_today)</f>
        <v>139.999465942383</v>
      </c>
      <c r="M51" s="16" t="n">
        <f aca="false">L51-Cost_A</f>
        <v>19.9994659423828</v>
      </c>
      <c r="N51" s="16" t="n">
        <f aca="false">N50+M51</f>
        <v>840.000534057617</v>
      </c>
      <c r="O51" s="14" t="n">
        <f aca="false">O50+W_gain</f>
        <v>76</v>
      </c>
      <c r="P51" s="16" t="n">
        <f aca="false">Liq_today-N51</f>
        <v>-220.000534057617</v>
      </c>
      <c r="Q51" s="16" t="n">
        <f aca="false">Pre_A+MAX(P33:P50)</f>
        <v>535</v>
      </c>
      <c r="R51" s="14" t="n">
        <f aca="false">IF(AND(R50=1,V50&gt;=Pre_A,W50&gt;=W_min),1,0)</f>
        <v>1</v>
      </c>
      <c r="S51" s="36" t="n">
        <f aca="false">S50+Close_A*(Ceil_E-S50)-$D$5</f>
        <v>82.9999542236328</v>
      </c>
      <c r="T51" s="16" t="n">
        <f aca="false">$D$4*Value_pt*(S51-Eff_today)</f>
        <v>119.999542236328</v>
      </c>
      <c r="U51" s="16" t="n">
        <f aca="false">T51-Cost_A</f>
        <v>-0.000457763671875</v>
      </c>
      <c r="V51" s="16" t="n">
        <f aca="false">V50+U51</f>
        <v>500.000457763672</v>
      </c>
      <c r="W51" s="14" t="n">
        <f aca="false">W50+W_gain</f>
        <v>76</v>
      </c>
      <c r="X51" s="16" t="n">
        <f aca="false">Liq_today-V51</f>
        <v>119.999542236328</v>
      </c>
      <c r="Y51" s="16" t="n">
        <f aca="false">Pre_A+MAX(X33:X50)</f>
        <v>589.999084472656</v>
      </c>
      <c r="Z51" s="14" t="n">
        <f aca="false">IF(AND(Z50=1,AD50&gt;=Pre_A,AE50&gt;=W_min),1,0)</f>
        <v>0</v>
      </c>
      <c r="AA51" s="36" t="n">
        <f aca="false">AA50+Close_A*(Ceil_E-AA50)-$E$5</f>
        <v>80.9999618530273</v>
      </c>
      <c r="AB51" s="16" t="n">
        <f aca="false">$E$4*Value_pt*(AA51-Eff_today)</f>
        <v>99.9996185302734</v>
      </c>
      <c r="AC51" s="16" t="n">
        <f aca="false">AB51-Cost_A</f>
        <v>-20.0003814697266</v>
      </c>
      <c r="AD51" s="16" t="n">
        <f aca="false">AD50+AC51</f>
        <v>160.000381469727</v>
      </c>
      <c r="AE51" s="14" t="n">
        <f aca="false">AE50+W_gain</f>
        <v>76</v>
      </c>
      <c r="AF51" s="16" t="n">
        <f aca="false">Liq_today-AD51</f>
        <v>459.999618530273</v>
      </c>
      <c r="AG51" s="16" t="n">
        <f aca="false">Pre_A+MAX(AF33:AF50)</f>
        <v>909.999237060547</v>
      </c>
    </row>
    <row r="52" customFormat="false" ht="15" hidden="false" customHeight="true" outlineLevel="0" collapsed="false">
      <c r="A52" s="14" t="n">
        <v>19</v>
      </c>
      <c r="B52" s="14" t="n">
        <f aca="false">IF(AND(B51=1,F51&gt;=Pre_A,G51&gt;=W_min),1,0)</f>
        <v>0</v>
      </c>
      <c r="C52" s="36" t="n">
        <f aca="false">C51+Close_A*(Ceil_E-C51)-$B$5</f>
        <v>84.9999732971191</v>
      </c>
      <c r="D52" s="16" t="n">
        <f aca="false">$B$4*Value_pt*(C52-Eff_today)</f>
        <v>0</v>
      </c>
      <c r="E52" s="16" t="n">
        <f aca="false">D52-Cost_A</f>
        <v>-120</v>
      </c>
      <c r="F52" s="16" t="n">
        <f aca="false">F51+E52</f>
        <v>-1660</v>
      </c>
      <c r="G52" s="14" t="n">
        <f aca="false">G51+W_gain</f>
        <v>77</v>
      </c>
      <c r="H52" s="16" t="n">
        <f aca="false">Liq_today-F52</f>
        <v>2280</v>
      </c>
      <c r="I52" s="16" t="n">
        <f aca="false">Pre_A+MAX(H33:H51)</f>
        <v>2630</v>
      </c>
      <c r="J52" s="14" t="n">
        <f aca="false">IF(AND(J51=1,N51&gt;=Pre_A,O51&gt;=W_min),1,0)</f>
        <v>1</v>
      </c>
      <c r="K52" s="36" t="n">
        <f aca="false">K51+Close_A*(Ceil_E-K51)-$C$5</f>
        <v>84.9999732971191</v>
      </c>
      <c r="L52" s="16" t="n">
        <f aca="false">$C$4*Value_pt*(K52-Eff_today)</f>
        <v>139.999732971191</v>
      </c>
      <c r="M52" s="16" t="n">
        <f aca="false">L52-Cost_A</f>
        <v>19.9997329711914</v>
      </c>
      <c r="N52" s="16" t="n">
        <f aca="false">N51+M52</f>
        <v>860.000267028809</v>
      </c>
      <c r="O52" s="14" t="n">
        <f aca="false">O51+W_gain</f>
        <v>77</v>
      </c>
      <c r="P52" s="16" t="n">
        <f aca="false">Liq_today-N52</f>
        <v>-240.000267028809</v>
      </c>
      <c r="Q52" s="16" t="n">
        <f aca="false">Pre_A+MAX(P33:P51)</f>
        <v>535</v>
      </c>
      <c r="R52" s="14" t="n">
        <f aca="false">IF(AND(R51=1,V51&gt;=Pre_A,W51&gt;=W_min),1,0)</f>
        <v>1</v>
      </c>
      <c r="S52" s="36" t="n">
        <f aca="false">S51+Close_A*(Ceil_E-S51)-$D$5</f>
        <v>82.9999771118164</v>
      </c>
      <c r="T52" s="16" t="n">
        <f aca="false">$D$4*Value_pt*(S52-Eff_today)</f>
        <v>119.999771118164</v>
      </c>
      <c r="U52" s="16" t="n">
        <f aca="false">T52-Cost_A</f>
        <v>-0.0002288818359375</v>
      </c>
      <c r="V52" s="16" t="n">
        <f aca="false">V51+U52</f>
        <v>500.000228881836</v>
      </c>
      <c r="W52" s="14" t="n">
        <f aca="false">W51+W_gain</f>
        <v>77</v>
      </c>
      <c r="X52" s="16" t="n">
        <f aca="false">Liq_today-V52</f>
        <v>119.999771118164</v>
      </c>
      <c r="Y52" s="16" t="n">
        <f aca="false">Pre_A+MAX(X33:X51)</f>
        <v>589.999542236328</v>
      </c>
      <c r="Z52" s="14" t="n">
        <f aca="false">IF(AND(Z51=1,AD51&gt;=Pre_A,AE51&gt;=W_min),1,0)</f>
        <v>0</v>
      </c>
      <c r="AA52" s="36" t="n">
        <f aca="false">AA51+Close_A*(Ceil_E-AA51)-$E$5</f>
        <v>80.9999809265137</v>
      </c>
      <c r="AB52" s="16" t="n">
        <f aca="false">$E$4*Value_pt*(AA52-Eff_today)</f>
        <v>99.9998092651367</v>
      </c>
      <c r="AC52" s="16" t="n">
        <f aca="false">AB52-Cost_A</f>
        <v>-20.0001907348633</v>
      </c>
      <c r="AD52" s="16" t="n">
        <f aca="false">AD51+AC52</f>
        <v>140.000190734863</v>
      </c>
      <c r="AE52" s="14" t="n">
        <f aca="false">AE51+W_gain</f>
        <v>77</v>
      </c>
      <c r="AF52" s="16" t="n">
        <f aca="false">Liq_today-AD52</f>
        <v>479.999809265137</v>
      </c>
      <c r="AG52" s="16" t="n">
        <f aca="false">Pre_A+MAX(AF33:AF51)</f>
        <v>929.999618530273</v>
      </c>
    </row>
    <row r="53" customFormat="false" ht="15" hidden="false" customHeight="true" outlineLevel="0" collapsed="false">
      <c r="A53" s="14" t="n">
        <v>20</v>
      </c>
      <c r="B53" s="14" t="n">
        <f aca="false">IF(AND(B52=1,F52&gt;=Pre_A,G52&gt;=W_min),1,0)</f>
        <v>0</v>
      </c>
      <c r="C53" s="36" t="n">
        <f aca="false">C52+Close_A*(Ceil_E-C52)-$B$5</f>
        <v>84.9999866485596</v>
      </c>
      <c r="D53" s="16" t="n">
        <f aca="false">$B$4*Value_pt*(C53-Eff_today)</f>
        <v>0</v>
      </c>
      <c r="E53" s="16" t="n">
        <f aca="false">D53-Cost_A</f>
        <v>-120</v>
      </c>
      <c r="F53" s="16" t="n">
        <f aca="false">F52+E53</f>
        <v>-1780</v>
      </c>
      <c r="G53" s="14" t="n">
        <f aca="false">G52+W_gain</f>
        <v>78</v>
      </c>
      <c r="H53" s="16" t="n">
        <f aca="false">Liq_today-F53</f>
        <v>2400</v>
      </c>
      <c r="I53" s="16" t="n">
        <f aca="false">Pre_A+MAX(H33:H52)</f>
        <v>2750</v>
      </c>
      <c r="J53" s="14" t="n">
        <f aca="false">IF(AND(J52=1,N52&gt;=Pre_A,O52&gt;=W_min),1,0)</f>
        <v>1</v>
      </c>
      <c r="K53" s="36" t="n">
        <f aca="false">K52+Close_A*(Ceil_E-K52)-$C$5</f>
        <v>84.9999866485596</v>
      </c>
      <c r="L53" s="16" t="n">
        <f aca="false">$C$4*Value_pt*(K53-Eff_today)</f>
        <v>139.999866485596</v>
      </c>
      <c r="M53" s="16" t="n">
        <f aca="false">L53-Cost_A</f>
        <v>19.9998664855957</v>
      </c>
      <c r="N53" s="16" t="n">
        <f aca="false">N52+M53</f>
        <v>880.000133514404</v>
      </c>
      <c r="O53" s="14" t="n">
        <f aca="false">O52+W_gain</f>
        <v>78</v>
      </c>
      <c r="P53" s="16" t="n">
        <f aca="false">Liq_today-N53</f>
        <v>-260.000133514404</v>
      </c>
      <c r="Q53" s="16" t="n">
        <f aca="false">Pre_A+MAX(P33:P52)</f>
        <v>535</v>
      </c>
      <c r="R53" s="14" t="n">
        <f aca="false">IF(AND(R52=1,V52&gt;=Pre_A,W52&gt;=W_min),1,0)</f>
        <v>1</v>
      </c>
      <c r="S53" s="36" t="n">
        <f aca="false">S52+Close_A*(Ceil_E-S52)-$D$5</f>
        <v>82.9999885559082</v>
      </c>
      <c r="T53" s="16" t="n">
        <f aca="false">$D$4*Value_pt*(S53-Eff_today)</f>
        <v>119.999885559082</v>
      </c>
      <c r="U53" s="16" t="n">
        <f aca="false">T53-Cost_A</f>
        <v>-0.00011444091796875</v>
      </c>
      <c r="V53" s="16" t="n">
        <f aca="false">V52+U53</f>
        <v>500.000114440918</v>
      </c>
      <c r="W53" s="14" t="n">
        <f aca="false">W52+W_gain</f>
        <v>78</v>
      </c>
      <c r="X53" s="16" t="n">
        <f aca="false">Liq_today-V53</f>
        <v>119.999885559082</v>
      </c>
      <c r="Y53" s="16" t="n">
        <f aca="false">Pre_A+MAX(X33:X52)</f>
        <v>589.999771118164</v>
      </c>
      <c r="Z53" s="14" t="n">
        <f aca="false">IF(AND(Z52=1,AD52&gt;=Pre_A,AE52&gt;=W_min),1,0)</f>
        <v>0</v>
      </c>
      <c r="AA53" s="36" t="n">
        <f aca="false">AA52+Close_A*(Ceil_E-AA52)-$E$5</f>
        <v>80.9999904632568</v>
      </c>
      <c r="AB53" s="16" t="n">
        <f aca="false">$E$4*Value_pt*(AA53-Eff_today)</f>
        <v>99.9999046325684</v>
      </c>
      <c r="AC53" s="16" t="n">
        <f aca="false">AB53-Cost_A</f>
        <v>-20.0000953674316</v>
      </c>
      <c r="AD53" s="16" t="n">
        <f aca="false">AD52+AC53</f>
        <v>120.000095367432</v>
      </c>
      <c r="AE53" s="14" t="n">
        <f aca="false">AE52+W_gain</f>
        <v>78</v>
      </c>
      <c r="AF53" s="16" t="n">
        <f aca="false">Liq_today-AD53</f>
        <v>499.999904632568</v>
      </c>
      <c r="AG53" s="16" t="n">
        <f aca="false">Pre_A+MAX(AF33:AF52)</f>
        <v>949.999809265137</v>
      </c>
    </row>
    <row r="54" customFormat="false" ht="15" hidden="false" customHeight="true" outlineLevel="0" collapsed="false">
      <c r="A54" s="14" t="n">
        <v>21</v>
      </c>
      <c r="B54" s="14" t="n">
        <f aca="false">IF(AND(B53=1,F53&gt;=Pre_A,G53&gt;=W_min),1,0)</f>
        <v>0</v>
      </c>
      <c r="C54" s="36" t="n">
        <f aca="false">C53+Close_A*(Ceil_E-C53)-$B$5</f>
        <v>84.9999933242798</v>
      </c>
      <c r="D54" s="16" t="n">
        <f aca="false">$B$4*Value_pt*(C54-Eff_today)</f>
        <v>0</v>
      </c>
      <c r="E54" s="16" t="n">
        <f aca="false">D54-Cost_A</f>
        <v>-120</v>
      </c>
      <c r="F54" s="16" t="n">
        <f aca="false">F53+E54</f>
        <v>-1900</v>
      </c>
      <c r="G54" s="14" t="n">
        <f aca="false">G53+W_gain</f>
        <v>79</v>
      </c>
      <c r="H54" s="16" t="n">
        <f aca="false">Liq_today-F54</f>
        <v>2520</v>
      </c>
      <c r="I54" s="16" t="n">
        <f aca="false">Pre_A+MAX(H33:H53)</f>
        <v>2870</v>
      </c>
      <c r="J54" s="14" t="n">
        <f aca="false">IF(AND(J53=1,N53&gt;=Pre_A,O53&gt;=W_min),1,0)</f>
        <v>1</v>
      </c>
      <c r="K54" s="36" t="n">
        <f aca="false">K53+Close_A*(Ceil_E-K53)-$C$5</f>
        <v>84.9999933242798</v>
      </c>
      <c r="L54" s="16" t="n">
        <f aca="false">$C$4*Value_pt*(K54-Eff_today)</f>
        <v>139.999933242798</v>
      </c>
      <c r="M54" s="16" t="n">
        <f aca="false">L54-Cost_A</f>
        <v>19.9999332427979</v>
      </c>
      <c r="N54" s="16" t="n">
        <f aca="false">N53+M54</f>
        <v>900.000066757202</v>
      </c>
      <c r="O54" s="14" t="n">
        <f aca="false">O53+W_gain</f>
        <v>79</v>
      </c>
      <c r="P54" s="16" t="n">
        <f aca="false">Liq_today-N54</f>
        <v>-280.000066757202</v>
      </c>
      <c r="Q54" s="16" t="n">
        <f aca="false">Pre_A+MAX(P33:P53)</f>
        <v>535</v>
      </c>
      <c r="R54" s="14" t="n">
        <f aca="false">IF(AND(R53=1,V53&gt;=Pre_A,W53&gt;=W_min),1,0)</f>
        <v>1</v>
      </c>
      <c r="S54" s="36" t="n">
        <f aca="false">S53+Close_A*(Ceil_E-S53)-$D$5</f>
        <v>82.9999942779541</v>
      </c>
      <c r="T54" s="16" t="n">
        <f aca="false">$D$4*Value_pt*(S54-Eff_today)</f>
        <v>119.999942779541</v>
      </c>
      <c r="U54" s="16" t="n">
        <f aca="false">T54-Cost_A</f>
        <v>-5.7220458984375E-005</v>
      </c>
      <c r="V54" s="16" t="n">
        <f aca="false">V53+U54</f>
        <v>500.000057220459</v>
      </c>
      <c r="W54" s="14" t="n">
        <f aca="false">W53+W_gain</f>
        <v>79</v>
      </c>
      <c r="X54" s="16" t="n">
        <f aca="false">Liq_today-V54</f>
        <v>119.999942779541</v>
      </c>
      <c r="Y54" s="16" t="n">
        <f aca="false">Pre_A+MAX(X33:X53)</f>
        <v>589.999885559082</v>
      </c>
      <c r="Z54" s="14" t="n">
        <f aca="false">IF(AND(Z53=1,AD53&gt;=Pre_A,AE53&gt;=W_min),1,0)</f>
        <v>0</v>
      </c>
      <c r="AA54" s="36" t="n">
        <f aca="false">AA53+Close_A*(Ceil_E-AA53)-$E$5</f>
        <v>80.9999952316284</v>
      </c>
      <c r="AB54" s="16" t="n">
        <f aca="false">$E$4*Value_pt*(AA54-Eff_today)</f>
        <v>99.9999523162842</v>
      </c>
      <c r="AC54" s="16" t="n">
        <f aca="false">AB54-Cost_A</f>
        <v>-20.0000476837158</v>
      </c>
      <c r="AD54" s="16" t="n">
        <f aca="false">AD53+AC54</f>
        <v>100.000047683716</v>
      </c>
      <c r="AE54" s="14" t="n">
        <f aca="false">AE53+W_gain</f>
        <v>79</v>
      </c>
      <c r="AF54" s="16" t="n">
        <f aca="false">Liq_today-AD54</f>
        <v>519.999952316284</v>
      </c>
      <c r="AG54" s="16" t="n">
        <f aca="false">Pre_A+MAX(AF33:AF53)</f>
        <v>969.999904632568</v>
      </c>
    </row>
    <row r="55" customFormat="false" ht="15" hidden="false" customHeight="true" outlineLevel="0" collapsed="false">
      <c r="A55" s="14" t="n">
        <v>22</v>
      </c>
      <c r="B55" s="14" t="n">
        <f aca="false">IF(AND(B54=1,F54&gt;=Pre_A,G54&gt;=W_min),1,0)</f>
        <v>0</v>
      </c>
      <c r="C55" s="36" t="n">
        <f aca="false">C54+Close_A*(Ceil_E-C54)-$B$5</f>
        <v>84.9999966621399</v>
      </c>
      <c r="D55" s="16" t="n">
        <f aca="false">$B$4*Value_pt*(C55-Eff_today)</f>
        <v>0</v>
      </c>
      <c r="E55" s="16" t="n">
        <f aca="false">D55-Cost_A</f>
        <v>-120</v>
      </c>
      <c r="F55" s="16" t="n">
        <f aca="false">F54+E55</f>
        <v>-2020</v>
      </c>
      <c r="G55" s="14" t="n">
        <f aca="false">G54+W_gain</f>
        <v>80</v>
      </c>
      <c r="H55" s="16" t="n">
        <f aca="false">Liq_today-F55</f>
        <v>2640</v>
      </c>
      <c r="I55" s="16" t="n">
        <f aca="false">Pre_A+MAX(H33:H54)</f>
        <v>2990</v>
      </c>
      <c r="J55" s="14" t="n">
        <f aca="false">IF(AND(J54=1,N54&gt;=Pre_A,O54&gt;=W_min),1,0)</f>
        <v>1</v>
      </c>
      <c r="K55" s="36" t="n">
        <f aca="false">K54+Close_A*(Ceil_E-K54)-$C$5</f>
        <v>84.9999966621399</v>
      </c>
      <c r="L55" s="16" t="n">
        <f aca="false">$C$4*Value_pt*(K55-Eff_today)</f>
        <v>139.999966621399</v>
      </c>
      <c r="M55" s="16" t="n">
        <f aca="false">L55-Cost_A</f>
        <v>19.9999666213989</v>
      </c>
      <c r="N55" s="16" t="n">
        <f aca="false">N54+M55</f>
        <v>920.000033378601</v>
      </c>
      <c r="O55" s="14" t="n">
        <f aca="false">O54+W_gain</f>
        <v>80</v>
      </c>
      <c r="P55" s="16" t="n">
        <f aca="false">Liq_today-N55</f>
        <v>-300.000033378601</v>
      </c>
      <c r="Q55" s="16" t="n">
        <f aca="false">Pre_A+MAX(P33:P54)</f>
        <v>535</v>
      </c>
      <c r="R55" s="14" t="n">
        <f aca="false">IF(AND(R54=1,V54&gt;=Pre_A,W54&gt;=W_min),1,0)</f>
        <v>1</v>
      </c>
      <c r="S55" s="36" t="n">
        <f aca="false">S54+Close_A*(Ceil_E-S54)-$D$5</f>
        <v>82.9999971389771</v>
      </c>
      <c r="T55" s="16" t="n">
        <f aca="false">$D$4*Value_pt*(S55-Eff_today)</f>
        <v>119.999971389771</v>
      </c>
      <c r="U55" s="16" t="n">
        <f aca="false">T55-Cost_A</f>
        <v>-2.86102294921875E-005</v>
      </c>
      <c r="V55" s="16" t="n">
        <f aca="false">V54+U55</f>
        <v>500.00002861023</v>
      </c>
      <c r="W55" s="14" t="n">
        <f aca="false">W54+W_gain</f>
        <v>80</v>
      </c>
      <c r="X55" s="16" t="n">
        <f aca="false">Liq_today-V55</f>
        <v>119.999971389771</v>
      </c>
      <c r="Y55" s="16" t="n">
        <f aca="false">Pre_A+MAX(X33:X54)</f>
        <v>589.999942779541</v>
      </c>
      <c r="Z55" s="14" t="n">
        <f aca="false">IF(AND(Z54=1,AD54&gt;=Pre_A,AE54&gt;=W_min),1,0)</f>
        <v>0</v>
      </c>
      <c r="AA55" s="36" t="n">
        <f aca="false">AA54+Close_A*(Ceil_E-AA54)-$E$5</f>
        <v>80.9999976158142</v>
      </c>
      <c r="AB55" s="16" t="n">
        <f aca="false">$E$4*Value_pt*(AA55-Eff_today)</f>
        <v>99.9999761581421</v>
      </c>
      <c r="AC55" s="16" t="n">
        <f aca="false">AB55-Cost_A</f>
        <v>-20.0000238418579</v>
      </c>
      <c r="AD55" s="16" t="n">
        <f aca="false">AD54+AC55</f>
        <v>80.0000238418579</v>
      </c>
      <c r="AE55" s="14" t="n">
        <f aca="false">AE54+W_gain</f>
        <v>80</v>
      </c>
      <c r="AF55" s="16" t="n">
        <f aca="false">Liq_today-AD55</f>
        <v>539.999976158142</v>
      </c>
      <c r="AG55" s="16" t="n">
        <f aca="false">Pre_A+MAX(AF33:AF54)</f>
        <v>989.999952316284</v>
      </c>
    </row>
    <row r="56" customFormat="false" ht="15" hidden="false" customHeight="true" outlineLevel="0" collapsed="false">
      <c r="A56" s="14" t="n">
        <v>23</v>
      </c>
      <c r="B56" s="14" t="n">
        <f aca="false">IF(AND(B55=1,F55&gt;=Pre_A,G55&gt;=W_min),1,0)</f>
        <v>0</v>
      </c>
      <c r="C56" s="36" t="n">
        <f aca="false">C55+Close_A*(Ceil_E-C55)-$B$5</f>
        <v>84.99999833107</v>
      </c>
      <c r="D56" s="16" t="n">
        <f aca="false">$B$4*Value_pt*(C56-Eff_today)</f>
        <v>0</v>
      </c>
      <c r="E56" s="16" t="n">
        <f aca="false">D56-Cost_A</f>
        <v>-120</v>
      </c>
      <c r="F56" s="16" t="n">
        <f aca="false">F55+E56</f>
        <v>-2140</v>
      </c>
      <c r="G56" s="14" t="n">
        <f aca="false">G55+W_gain</f>
        <v>81</v>
      </c>
      <c r="H56" s="16" t="n">
        <f aca="false">Liq_today-F56</f>
        <v>2760</v>
      </c>
      <c r="I56" s="16" t="n">
        <f aca="false">Pre_A+MAX(H33:H55)</f>
        <v>3110</v>
      </c>
      <c r="J56" s="14" t="n">
        <f aca="false">IF(AND(J55=1,N55&gt;=Pre_A,O55&gt;=W_min),1,0)</f>
        <v>1</v>
      </c>
      <c r="K56" s="36" t="n">
        <f aca="false">K55+Close_A*(Ceil_E-K55)-$C$5</f>
        <v>84.99999833107</v>
      </c>
      <c r="L56" s="16" t="n">
        <f aca="false">$C$4*Value_pt*(K56-Eff_today)</f>
        <v>139.999983310699</v>
      </c>
      <c r="M56" s="16" t="n">
        <f aca="false">L56-Cost_A</f>
        <v>19.9999833106995</v>
      </c>
      <c r="N56" s="16" t="n">
        <f aca="false">N55+M56</f>
        <v>940.000016689301</v>
      </c>
      <c r="O56" s="14" t="n">
        <f aca="false">O55+W_gain</f>
        <v>81</v>
      </c>
      <c r="P56" s="16" t="n">
        <f aca="false">Liq_today-N56</f>
        <v>-320.000016689301</v>
      </c>
      <c r="Q56" s="16" t="n">
        <f aca="false">Pre_A+MAX(P33:P55)</f>
        <v>535</v>
      </c>
      <c r="R56" s="14" t="n">
        <f aca="false">IF(AND(R55=1,V55&gt;=Pre_A,W55&gt;=W_min),1,0)</f>
        <v>1</v>
      </c>
      <c r="S56" s="36" t="n">
        <f aca="false">S55+Close_A*(Ceil_E-S55)-$D$5</f>
        <v>82.9999985694885</v>
      </c>
      <c r="T56" s="16" t="n">
        <f aca="false">$D$4*Value_pt*(S56-Eff_today)</f>
        <v>119.999985694885</v>
      </c>
      <c r="U56" s="16" t="n">
        <f aca="false">T56-Cost_A</f>
        <v>-1.43051147460938E-005</v>
      </c>
      <c r="V56" s="16" t="n">
        <f aca="false">V55+U56</f>
        <v>500.000014305115</v>
      </c>
      <c r="W56" s="14" t="n">
        <f aca="false">W55+W_gain</f>
        <v>81</v>
      </c>
      <c r="X56" s="16" t="n">
        <f aca="false">Liq_today-V56</f>
        <v>119.999985694885</v>
      </c>
      <c r="Y56" s="16" t="n">
        <f aca="false">Pre_A+MAX(X33:X55)</f>
        <v>589.999971389771</v>
      </c>
      <c r="Z56" s="14" t="n">
        <f aca="false">IF(AND(Z55=1,AD55&gt;=Pre_A,AE55&gt;=W_min),1,0)</f>
        <v>0</v>
      </c>
      <c r="AA56" s="36" t="n">
        <f aca="false">AA55+Close_A*(Ceil_E-AA55)-$E$5</f>
        <v>80.9999988079071</v>
      </c>
      <c r="AB56" s="16" t="n">
        <f aca="false">$E$4*Value_pt*(AA56-Eff_today)</f>
        <v>99.999988079071</v>
      </c>
      <c r="AC56" s="16" t="n">
        <f aca="false">AB56-Cost_A</f>
        <v>-20.000011920929</v>
      </c>
      <c r="AD56" s="16" t="n">
        <f aca="false">AD55+AC56</f>
        <v>60.000011920929</v>
      </c>
      <c r="AE56" s="14" t="n">
        <f aca="false">AE55+W_gain</f>
        <v>81</v>
      </c>
      <c r="AF56" s="16" t="n">
        <f aca="false">Liq_today-AD56</f>
        <v>559.999988079071</v>
      </c>
      <c r="AG56" s="16" t="n">
        <f aca="false">Pre_A+MAX(AF33:AF55)</f>
        <v>1009.99997615814</v>
      </c>
    </row>
    <row r="57" customFormat="false" ht="15" hidden="false" customHeight="true" outlineLevel="0" collapsed="false">
      <c r="A57" s="14" t="n">
        <v>24</v>
      </c>
      <c r="B57" s="14" t="n">
        <f aca="false">IF(AND(B56=1,F56&gt;=Pre_A,G56&gt;=W_min),1,0)</f>
        <v>0</v>
      </c>
      <c r="C57" s="36" t="n">
        <f aca="false">C56+Close_A*(Ceil_E-C56)-$B$5</f>
        <v>84.999999165535</v>
      </c>
      <c r="D57" s="16" t="n">
        <f aca="false">$B$4*Value_pt*(C57-Eff_today)</f>
        <v>0</v>
      </c>
      <c r="E57" s="16" t="n">
        <f aca="false">D57-Cost_A</f>
        <v>-120</v>
      </c>
      <c r="F57" s="16" t="n">
        <f aca="false">F56+E57</f>
        <v>-2260</v>
      </c>
      <c r="G57" s="14" t="n">
        <f aca="false">G56+W_gain</f>
        <v>82</v>
      </c>
      <c r="H57" s="16" t="n">
        <f aca="false">Liq_today-F57</f>
        <v>2880</v>
      </c>
      <c r="I57" s="16" t="n">
        <f aca="false">Pre_A+MAX(H33:H56)</f>
        <v>3230</v>
      </c>
      <c r="J57" s="14" t="n">
        <f aca="false">IF(AND(J56=1,N56&gt;=Pre_A,O56&gt;=W_min),1,0)</f>
        <v>1</v>
      </c>
      <c r="K57" s="36" t="n">
        <f aca="false">K56+Close_A*(Ceil_E-K56)-$C$5</f>
        <v>84.999999165535</v>
      </c>
      <c r="L57" s="16" t="n">
        <f aca="false">$C$4*Value_pt*(K57-Eff_today)</f>
        <v>139.99999165535</v>
      </c>
      <c r="M57" s="16" t="n">
        <f aca="false">L57-Cost_A</f>
        <v>19.9999916553497</v>
      </c>
      <c r="N57" s="16" t="n">
        <f aca="false">N56+M57</f>
        <v>960.00000834465</v>
      </c>
      <c r="O57" s="14" t="n">
        <f aca="false">O56+W_gain</f>
        <v>82</v>
      </c>
      <c r="P57" s="16" t="n">
        <f aca="false">Liq_today-N57</f>
        <v>-340.00000834465</v>
      </c>
      <c r="Q57" s="16" t="n">
        <f aca="false">Pre_A+MAX(P33:P56)</f>
        <v>535</v>
      </c>
      <c r="R57" s="14" t="n">
        <f aca="false">IF(AND(R56=1,V56&gt;=Pre_A,W56&gt;=W_min),1,0)</f>
        <v>1</v>
      </c>
      <c r="S57" s="36" t="n">
        <f aca="false">S56+Close_A*(Ceil_E-S56)-$D$5</f>
        <v>82.9999992847443</v>
      </c>
      <c r="T57" s="16" t="n">
        <f aca="false">$D$4*Value_pt*(S57-Eff_today)</f>
        <v>119.999992847443</v>
      </c>
      <c r="U57" s="16" t="n">
        <f aca="false">T57-Cost_A</f>
        <v>-7.15255737304688E-006</v>
      </c>
      <c r="V57" s="16" t="n">
        <f aca="false">V56+U57</f>
        <v>500.000007152557</v>
      </c>
      <c r="W57" s="14" t="n">
        <f aca="false">W56+W_gain</f>
        <v>82</v>
      </c>
      <c r="X57" s="16" t="n">
        <f aca="false">Liq_today-V57</f>
        <v>119.999992847443</v>
      </c>
      <c r="Y57" s="16" t="n">
        <f aca="false">Pre_A+MAX(X33:X56)</f>
        <v>589.999985694885</v>
      </c>
      <c r="Z57" s="14" t="n">
        <f aca="false">IF(AND(Z56=1,AD56&gt;=Pre_A,AE56&gt;=W_min),1,0)</f>
        <v>0</v>
      </c>
      <c r="AA57" s="36" t="n">
        <f aca="false">AA56+Close_A*(Ceil_E-AA56)-$E$5</f>
        <v>80.9999994039536</v>
      </c>
      <c r="AB57" s="16" t="n">
        <f aca="false">$E$4*Value_pt*(AA57-Eff_today)</f>
        <v>99.9999940395355</v>
      </c>
      <c r="AC57" s="16" t="n">
        <f aca="false">AB57-Cost_A</f>
        <v>-20.0000059604645</v>
      </c>
      <c r="AD57" s="16" t="n">
        <f aca="false">AD56+AC57</f>
        <v>40.0000059604645</v>
      </c>
      <c r="AE57" s="14" t="n">
        <f aca="false">AE56+W_gain</f>
        <v>82</v>
      </c>
      <c r="AF57" s="16" t="n">
        <f aca="false">Liq_today-AD57</f>
        <v>579.999994039536</v>
      </c>
      <c r="AG57" s="16" t="n">
        <f aca="false">Pre_A+MAX(AF33:AF56)</f>
        <v>1029.99998807907</v>
      </c>
    </row>
    <row r="58" customFormat="false" ht="15" hidden="false" customHeight="true" outlineLevel="0" collapsed="false">
      <c r="A58" s="14" t="n">
        <v>25</v>
      </c>
      <c r="B58" s="14" t="n">
        <f aca="false">IF(AND(B57=1,F57&gt;=Pre_A,G57&gt;=W_min),1,0)</f>
        <v>0</v>
      </c>
      <c r="C58" s="36" t="n">
        <f aca="false">C57+Close_A*(Ceil_E-C57)-$B$5</f>
        <v>84.9999995827675</v>
      </c>
      <c r="D58" s="16" t="n">
        <f aca="false">$B$4*Value_pt*(C58-Eff_today)</f>
        <v>0</v>
      </c>
      <c r="E58" s="16" t="n">
        <f aca="false">D58-Cost_A</f>
        <v>-120</v>
      </c>
      <c r="F58" s="16" t="n">
        <f aca="false">F57+E58</f>
        <v>-2380</v>
      </c>
      <c r="G58" s="14" t="n">
        <f aca="false">G57+W_gain</f>
        <v>83</v>
      </c>
      <c r="H58" s="16" t="n">
        <f aca="false">Liq_today-F58</f>
        <v>3000</v>
      </c>
      <c r="I58" s="16" t="n">
        <f aca="false">Pre_A+MAX(H33:H57)</f>
        <v>3350</v>
      </c>
      <c r="J58" s="14" t="n">
        <f aca="false">IF(AND(J57=1,N57&gt;=Pre_A,O57&gt;=W_min),1,0)</f>
        <v>1</v>
      </c>
      <c r="K58" s="36" t="n">
        <f aca="false">K57+Close_A*(Ceil_E-K57)-$C$5</f>
        <v>84.9999995827675</v>
      </c>
      <c r="L58" s="16" t="n">
        <f aca="false">$C$4*Value_pt*(K58-Eff_today)</f>
        <v>139.999995827675</v>
      </c>
      <c r="M58" s="16" t="n">
        <f aca="false">L58-Cost_A</f>
        <v>19.9999958276749</v>
      </c>
      <c r="N58" s="16" t="n">
        <f aca="false">N57+M58</f>
        <v>980.000004172325</v>
      </c>
      <c r="O58" s="14" t="n">
        <f aca="false">O57+W_gain</f>
        <v>83</v>
      </c>
      <c r="P58" s="16" t="n">
        <f aca="false">Liq_today-N58</f>
        <v>-360.000004172325</v>
      </c>
      <c r="Q58" s="16" t="n">
        <f aca="false">Pre_A+MAX(P33:P57)</f>
        <v>535</v>
      </c>
      <c r="R58" s="14" t="n">
        <f aca="false">IF(AND(R57=1,V57&gt;=Pre_A,W57&gt;=W_min),1,0)</f>
        <v>1</v>
      </c>
      <c r="S58" s="36" t="n">
        <f aca="false">S57+Close_A*(Ceil_E-S57)-$D$5</f>
        <v>82.9999996423721</v>
      </c>
      <c r="T58" s="16" t="n">
        <f aca="false">$D$4*Value_pt*(S58-Eff_today)</f>
        <v>119.999996423721</v>
      </c>
      <c r="U58" s="16" t="n">
        <f aca="false">T58-Cost_A</f>
        <v>-3.57627868652344E-006</v>
      </c>
      <c r="V58" s="16" t="n">
        <f aca="false">V57+U58</f>
        <v>500.000003576279</v>
      </c>
      <c r="W58" s="14" t="n">
        <f aca="false">W57+W_gain</f>
        <v>83</v>
      </c>
      <c r="X58" s="16" t="n">
        <f aca="false">Liq_today-V58</f>
        <v>119.999996423721</v>
      </c>
      <c r="Y58" s="16" t="n">
        <f aca="false">Pre_A+MAX(X33:X57)</f>
        <v>589.999992847443</v>
      </c>
      <c r="Z58" s="14" t="n">
        <f aca="false">IF(AND(Z57=1,AD57&gt;=Pre_A,AE57&gt;=W_min),1,0)</f>
        <v>0</v>
      </c>
      <c r="AA58" s="36" t="n">
        <f aca="false">AA57+Close_A*(Ceil_E-AA57)-$E$5</f>
        <v>80.9999997019768</v>
      </c>
      <c r="AB58" s="16" t="n">
        <f aca="false">$E$4*Value_pt*(AA58-Eff_today)</f>
        <v>99.9999970197678</v>
      </c>
      <c r="AC58" s="16" t="n">
        <f aca="false">AB58-Cost_A</f>
        <v>-20.0000029802322</v>
      </c>
      <c r="AD58" s="16" t="n">
        <f aca="false">AD57+AC58</f>
        <v>20.0000029802322</v>
      </c>
      <c r="AE58" s="14" t="n">
        <f aca="false">AE57+W_gain</f>
        <v>83</v>
      </c>
      <c r="AF58" s="16" t="n">
        <f aca="false">Liq_today-AD58</f>
        <v>599.999997019768</v>
      </c>
      <c r="AG58" s="16" t="n">
        <f aca="false">Pre_A+MAX(AF33:AF57)</f>
        <v>1049.99999403954</v>
      </c>
    </row>
    <row r="59" customFormat="false" ht="15" hidden="false" customHeight="true" outlineLevel="0" collapsed="false">
      <c r="A59" s="14" t="n">
        <v>26</v>
      </c>
      <c r="B59" s="14" t="n">
        <f aca="false">IF(AND(B58=1,F58&gt;=Pre_A,G58&gt;=W_min),1,0)</f>
        <v>0</v>
      </c>
      <c r="C59" s="36" t="n">
        <f aca="false">C58+Close_A*(Ceil_E-C58)-$B$5</f>
        <v>84.9999997913837</v>
      </c>
      <c r="D59" s="16" t="n">
        <f aca="false">$B$4*Value_pt*(C59-Eff_today)</f>
        <v>0</v>
      </c>
      <c r="E59" s="16" t="n">
        <f aca="false">D59-Cost_A</f>
        <v>-120</v>
      </c>
      <c r="F59" s="16" t="n">
        <f aca="false">F58+E59</f>
        <v>-2500</v>
      </c>
      <c r="G59" s="14" t="n">
        <f aca="false">G58+W_gain</f>
        <v>84</v>
      </c>
      <c r="H59" s="16" t="n">
        <f aca="false">Liq_today-F59</f>
        <v>3120</v>
      </c>
      <c r="I59" s="16" t="n">
        <f aca="false">Pre_A+MAX(H33:H58)</f>
        <v>3470</v>
      </c>
      <c r="J59" s="14" t="n">
        <f aca="false">IF(AND(J58=1,N58&gt;=Pre_A,O58&gt;=W_min),1,0)</f>
        <v>1</v>
      </c>
      <c r="K59" s="36" t="n">
        <f aca="false">K58+Close_A*(Ceil_E-K58)-$C$5</f>
        <v>84.9999997913837</v>
      </c>
      <c r="L59" s="16" t="n">
        <f aca="false">$C$4*Value_pt*(K59-Eff_today)</f>
        <v>139.999997913837</v>
      </c>
      <c r="M59" s="16" t="n">
        <f aca="false">L59-Cost_A</f>
        <v>19.9999979138374</v>
      </c>
      <c r="N59" s="16" t="n">
        <f aca="false">N58+M59</f>
        <v>1000.00000208616</v>
      </c>
      <c r="O59" s="14" t="n">
        <f aca="false">O58+W_gain</f>
        <v>84</v>
      </c>
      <c r="P59" s="16" t="n">
        <f aca="false">Liq_today-N59</f>
        <v>-380.000002086163</v>
      </c>
      <c r="Q59" s="16" t="n">
        <f aca="false">Pre_A+MAX(P33:P58)</f>
        <v>535</v>
      </c>
      <c r="R59" s="14" t="n">
        <f aca="false">IF(AND(R58=1,V58&gt;=Pre_A,W58&gt;=W_min),1,0)</f>
        <v>1</v>
      </c>
      <c r="S59" s="36" t="n">
        <f aca="false">S58+Close_A*(Ceil_E-S58)-$D$5</f>
        <v>82.9999998211861</v>
      </c>
      <c r="T59" s="16" t="n">
        <f aca="false">$D$4*Value_pt*(S59-Eff_today)</f>
        <v>119.999998211861</v>
      </c>
      <c r="U59" s="16" t="n">
        <f aca="false">T59-Cost_A</f>
        <v>-1.78813934326172E-006</v>
      </c>
      <c r="V59" s="16" t="n">
        <f aca="false">V58+U59</f>
        <v>500.000001788139</v>
      </c>
      <c r="W59" s="14" t="n">
        <f aca="false">W58+W_gain</f>
        <v>84</v>
      </c>
      <c r="X59" s="16" t="n">
        <f aca="false">Liq_today-V59</f>
        <v>119.999998211861</v>
      </c>
      <c r="Y59" s="16" t="n">
        <f aca="false">Pre_A+MAX(X33:X58)</f>
        <v>589.999996423721</v>
      </c>
      <c r="Z59" s="14" t="n">
        <f aca="false">IF(AND(Z58=1,AD58&gt;=Pre_A,AE58&gt;=W_min),1,0)</f>
        <v>0</v>
      </c>
      <c r="AA59" s="36" t="n">
        <f aca="false">AA58+Close_A*(Ceil_E-AA58)-$E$5</f>
        <v>80.9999998509884</v>
      </c>
      <c r="AB59" s="16" t="n">
        <f aca="false">$E$4*Value_pt*(AA59-Eff_today)</f>
        <v>99.9999985098839</v>
      </c>
      <c r="AC59" s="16" t="n">
        <f aca="false">AB59-Cost_A</f>
        <v>-20.0000014901161</v>
      </c>
      <c r="AD59" s="16" t="n">
        <f aca="false">AD58+AC59</f>
        <v>1.49011611938477E-006</v>
      </c>
      <c r="AE59" s="14" t="n">
        <f aca="false">AE58+W_gain</f>
        <v>84</v>
      </c>
      <c r="AF59" s="16" t="n">
        <f aca="false">Liq_today-AD59</f>
        <v>619.999998509884</v>
      </c>
      <c r="AG59" s="16" t="n">
        <f aca="false">Pre_A+MAX(AF33:AF58)</f>
        <v>1069.99999701977</v>
      </c>
    </row>
    <row r="60" customFormat="false" ht="15" hidden="false" customHeight="true" outlineLevel="0" collapsed="false">
      <c r="A60" s="14" t="n">
        <v>27</v>
      </c>
      <c r="B60" s="14" t="n">
        <f aca="false">IF(AND(B59=1,F59&gt;=Pre_A,G59&gt;=W_min),1,0)</f>
        <v>0</v>
      </c>
      <c r="C60" s="36" t="n">
        <f aca="false">C59+Close_A*(Ceil_E-C59)-$B$5</f>
        <v>84.9999998956919</v>
      </c>
      <c r="D60" s="16" t="n">
        <f aca="false">$B$4*Value_pt*(C60-Eff_today)</f>
        <v>0</v>
      </c>
      <c r="E60" s="16" t="n">
        <f aca="false">D60-Cost_A</f>
        <v>-120</v>
      </c>
      <c r="F60" s="16" t="n">
        <f aca="false">F59+E60</f>
        <v>-2620</v>
      </c>
      <c r="G60" s="14" t="n">
        <f aca="false">G59+W_gain</f>
        <v>85</v>
      </c>
      <c r="H60" s="16" t="n">
        <f aca="false">Liq_today-F60</f>
        <v>3240</v>
      </c>
      <c r="I60" s="16" t="n">
        <f aca="false">Pre_A+MAX(H33:H59)</f>
        <v>3590</v>
      </c>
      <c r="J60" s="14" t="n">
        <f aca="false">IF(AND(J59=1,N59&gt;=Pre_A,O59&gt;=W_min),1,0)</f>
        <v>1</v>
      </c>
      <c r="K60" s="36" t="n">
        <f aca="false">K59+Close_A*(Ceil_E-K59)-$C$5</f>
        <v>84.9999998956919</v>
      </c>
      <c r="L60" s="16" t="n">
        <f aca="false">$C$4*Value_pt*(K60-Eff_today)</f>
        <v>139.999998956919</v>
      </c>
      <c r="M60" s="16" t="n">
        <f aca="false">L60-Cost_A</f>
        <v>19.9999989569187</v>
      </c>
      <c r="N60" s="16" t="n">
        <f aca="false">N59+M60</f>
        <v>1020.00000104308</v>
      </c>
      <c r="O60" s="14" t="n">
        <f aca="false">O59+W_gain</f>
        <v>85</v>
      </c>
      <c r="P60" s="16" t="n">
        <f aca="false">Liq_today-N60</f>
        <v>-400.000001043081</v>
      </c>
      <c r="Q60" s="16" t="n">
        <f aca="false">Pre_A+MAX(P33:P59)</f>
        <v>535</v>
      </c>
      <c r="R60" s="14" t="n">
        <f aca="false">IF(AND(R59=1,V59&gt;=Pre_A,W59&gt;=W_min),1,0)</f>
        <v>1</v>
      </c>
      <c r="S60" s="36" t="n">
        <f aca="false">S59+Close_A*(Ceil_E-S59)-$D$5</f>
        <v>82.999999910593</v>
      </c>
      <c r="T60" s="16" t="n">
        <f aca="false">$D$4*Value_pt*(S60-Eff_today)</f>
        <v>119.99999910593</v>
      </c>
      <c r="U60" s="16" t="n">
        <f aca="false">T60-Cost_A</f>
        <v>-8.94069671630859E-007</v>
      </c>
      <c r="V60" s="16" t="n">
        <f aca="false">V59+U60</f>
        <v>500.00000089407</v>
      </c>
      <c r="W60" s="14" t="n">
        <f aca="false">W59+W_gain</f>
        <v>85</v>
      </c>
      <c r="X60" s="16" t="n">
        <f aca="false">Liq_today-V60</f>
        <v>119.99999910593</v>
      </c>
      <c r="Y60" s="16" t="n">
        <f aca="false">Pre_A+MAX(X33:X59)</f>
        <v>589.999998211861</v>
      </c>
      <c r="Z60" s="14" t="n">
        <f aca="false">IF(AND(Z59=1,AD59&gt;=Pre_A,AE59&gt;=W_min),1,0)</f>
        <v>0</v>
      </c>
      <c r="AA60" s="36" t="n">
        <f aca="false">AA59+Close_A*(Ceil_E-AA59)-$E$5</f>
        <v>80.9999999254942</v>
      </c>
      <c r="AB60" s="16" t="n">
        <f aca="false">$E$4*Value_pt*(AA60-Eff_today)</f>
        <v>99.9999992549419</v>
      </c>
      <c r="AC60" s="16" t="n">
        <f aca="false">AB60-Cost_A</f>
        <v>-20.0000007450581</v>
      </c>
      <c r="AD60" s="16" t="n">
        <f aca="false">AD59+AC60</f>
        <v>-19.9999992549419</v>
      </c>
      <c r="AE60" s="14" t="n">
        <f aca="false">AE59+W_gain</f>
        <v>85</v>
      </c>
      <c r="AF60" s="16" t="n">
        <f aca="false">Liq_today-AD60</f>
        <v>639.999999254942</v>
      </c>
      <c r="AG60" s="16" t="n">
        <f aca="false">Pre_A+MAX(AF33:AF59)</f>
        <v>1089.99999850988</v>
      </c>
    </row>
    <row r="61" customFormat="false" ht="15" hidden="false" customHeight="true" outlineLevel="0" collapsed="false">
      <c r="A61" s="14" t="n">
        <v>28</v>
      </c>
      <c r="B61" s="14" t="n">
        <f aca="false">IF(AND(B60=1,F60&gt;=Pre_A,G60&gt;=W_min),1,0)</f>
        <v>0</v>
      </c>
      <c r="C61" s="36" t="n">
        <f aca="false">C60+Close_A*(Ceil_E-C60)-$B$5</f>
        <v>84.9999999478459</v>
      </c>
      <c r="D61" s="16" t="n">
        <f aca="false">$B$4*Value_pt*(C61-Eff_today)</f>
        <v>0</v>
      </c>
      <c r="E61" s="16" t="n">
        <f aca="false">D61-Cost_A</f>
        <v>-120</v>
      </c>
      <c r="F61" s="16" t="n">
        <f aca="false">F60+E61</f>
        <v>-2740</v>
      </c>
      <c r="G61" s="14" t="n">
        <f aca="false">G60+W_gain</f>
        <v>86</v>
      </c>
      <c r="H61" s="16" t="n">
        <f aca="false">Liq_today-F61</f>
        <v>3360</v>
      </c>
      <c r="I61" s="16" t="n">
        <f aca="false">Pre_A+MAX(H33:H60)</f>
        <v>3710</v>
      </c>
      <c r="J61" s="14" t="n">
        <f aca="false">IF(AND(J60=1,N60&gt;=Pre_A,O60&gt;=W_min),1,0)</f>
        <v>1</v>
      </c>
      <c r="K61" s="36" t="n">
        <f aca="false">K60+Close_A*(Ceil_E-K60)-$C$5</f>
        <v>84.9999999478459</v>
      </c>
      <c r="L61" s="16" t="n">
        <f aca="false">$C$4*Value_pt*(K61-Eff_today)</f>
        <v>139.999999478459</v>
      </c>
      <c r="M61" s="16" t="n">
        <f aca="false">L61-Cost_A</f>
        <v>19.9999994784594</v>
      </c>
      <c r="N61" s="16" t="n">
        <f aca="false">N60+M61</f>
        <v>1040.00000052154</v>
      </c>
      <c r="O61" s="14" t="n">
        <f aca="false">O60+W_gain</f>
        <v>86</v>
      </c>
      <c r="P61" s="16" t="n">
        <f aca="false">Liq_today-N61</f>
        <v>-420.000000521541</v>
      </c>
      <c r="Q61" s="16" t="n">
        <f aca="false">Pre_A+MAX(P33:P60)</f>
        <v>535</v>
      </c>
      <c r="R61" s="14" t="n">
        <f aca="false">IF(AND(R60=1,V60&gt;=Pre_A,W60&gt;=W_min),1,0)</f>
        <v>1</v>
      </c>
      <c r="S61" s="36" t="n">
        <f aca="false">S60+Close_A*(Ceil_E-S60)-$D$5</f>
        <v>82.9999999552965</v>
      </c>
      <c r="T61" s="16" t="n">
        <f aca="false">$D$4*Value_pt*(S61-Eff_today)</f>
        <v>119.999999552965</v>
      </c>
      <c r="U61" s="16" t="n">
        <f aca="false">T61-Cost_A</f>
        <v>-4.4703483581543E-007</v>
      </c>
      <c r="V61" s="16" t="n">
        <f aca="false">V60+U61</f>
        <v>500.000000447035</v>
      </c>
      <c r="W61" s="14" t="n">
        <f aca="false">W60+W_gain</f>
        <v>86</v>
      </c>
      <c r="X61" s="16" t="n">
        <f aca="false">Liq_today-V61</f>
        <v>119.999999552965</v>
      </c>
      <c r="Y61" s="16" t="n">
        <f aca="false">Pre_A+MAX(X33:X60)</f>
        <v>589.99999910593</v>
      </c>
      <c r="Z61" s="14" t="n">
        <f aca="false">IF(AND(Z60=1,AD60&gt;=Pre_A,AE60&gt;=W_min),1,0)</f>
        <v>0</v>
      </c>
      <c r="AA61" s="36" t="n">
        <f aca="false">AA60+Close_A*(Ceil_E-AA60)-$E$5</f>
        <v>80.9999999627471</v>
      </c>
      <c r="AB61" s="16" t="n">
        <f aca="false">$E$4*Value_pt*(AA61-Eff_today)</f>
        <v>99.999999627471</v>
      </c>
      <c r="AC61" s="16" t="n">
        <f aca="false">AB61-Cost_A</f>
        <v>-20.000000372529</v>
      </c>
      <c r="AD61" s="16" t="n">
        <f aca="false">AD60+AC61</f>
        <v>-39.999999627471</v>
      </c>
      <c r="AE61" s="14" t="n">
        <f aca="false">AE60+W_gain</f>
        <v>86</v>
      </c>
      <c r="AF61" s="16" t="n">
        <f aca="false">Liq_today-AD61</f>
        <v>659.999999627471</v>
      </c>
      <c r="AG61" s="16" t="n">
        <f aca="false">Pre_A+MAX(AF33:AF60)</f>
        <v>1109.99999925494</v>
      </c>
    </row>
    <row r="62" customFormat="false" ht="15" hidden="false" customHeight="true" outlineLevel="0" collapsed="false">
      <c r="A62" s="14" t="n">
        <v>29</v>
      </c>
      <c r="B62" s="14" t="n">
        <f aca="false">IF(AND(B61=1,F61&gt;=Pre_A,G61&gt;=W_min),1,0)</f>
        <v>0</v>
      </c>
      <c r="C62" s="36" t="n">
        <f aca="false">C61+Close_A*(Ceil_E-C61)-$B$5</f>
        <v>84.999999973923</v>
      </c>
      <c r="D62" s="16" t="n">
        <f aca="false">$B$4*Value_pt*(C62-Eff_today)</f>
        <v>0</v>
      </c>
      <c r="E62" s="16" t="n">
        <f aca="false">D62-Cost_A</f>
        <v>-120</v>
      </c>
      <c r="F62" s="16" t="n">
        <f aca="false">F61+E62</f>
        <v>-2860</v>
      </c>
      <c r="G62" s="14" t="n">
        <f aca="false">G61+W_gain</f>
        <v>87</v>
      </c>
      <c r="H62" s="16" t="n">
        <f aca="false">Liq_today-F62</f>
        <v>3480</v>
      </c>
      <c r="I62" s="16" t="n">
        <f aca="false">Pre_A+MAX(H33:H61)</f>
        <v>3830</v>
      </c>
      <c r="J62" s="14" t="n">
        <f aca="false">IF(AND(J61=1,N61&gt;=Pre_A,O61&gt;=W_min),1,0)</f>
        <v>1</v>
      </c>
      <c r="K62" s="36" t="n">
        <f aca="false">K61+Close_A*(Ceil_E-K61)-$C$5</f>
        <v>84.999999973923</v>
      </c>
      <c r="L62" s="16" t="n">
        <f aca="false">$C$4*Value_pt*(K62-Eff_today)</f>
        <v>139.99999973923</v>
      </c>
      <c r="M62" s="16" t="n">
        <f aca="false">L62-Cost_A</f>
        <v>19.9999997392297</v>
      </c>
      <c r="N62" s="16" t="n">
        <f aca="false">N61+M62</f>
        <v>1060.00000026077</v>
      </c>
      <c r="O62" s="14" t="n">
        <f aca="false">O61+W_gain</f>
        <v>87</v>
      </c>
      <c r="P62" s="16" t="n">
        <f aca="false">Liq_today-N62</f>
        <v>-440.00000026077</v>
      </c>
      <c r="Q62" s="16" t="n">
        <f aca="false">Pre_A+MAX(P33:P61)</f>
        <v>535</v>
      </c>
      <c r="R62" s="14" t="n">
        <f aca="false">IF(AND(R61=1,V61&gt;=Pre_A,W61&gt;=W_min),1,0)</f>
        <v>1</v>
      </c>
      <c r="S62" s="36" t="n">
        <f aca="false">S61+Close_A*(Ceil_E-S61)-$D$5</f>
        <v>82.9999999776483</v>
      </c>
      <c r="T62" s="16" t="n">
        <f aca="false">$D$4*Value_pt*(S62-Eff_today)</f>
        <v>119.999999776483</v>
      </c>
      <c r="U62" s="16" t="n">
        <f aca="false">T62-Cost_A</f>
        <v>-2.23517417907715E-007</v>
      </c>
      <c r="V62" s="16" t="n">
        <f aca="false">V61+U62</f>
        <v>500.000000223517</v>
      </c>
      <c r="W62" s="14" t="n">
        <f aca="false">W61+W_gain</f>
        <v>87</v>
      </c>
      <c r="X62" s="16" t="n">
        <f aca="false">Liq_today-V62</f>
        <v>119.999999776483</v>
      </c>
      <c r="Y62" s="16" t="n">
        <f aca="false">Pre_A+MAX(X33:X61)</f>
        <v>589.999999552965</v>
      </c>
      <c r="Z62" s="14" t="n">
        <f aca="false">IF(AND(Z61=1,AD61&gt;=Pre_A,AE61&gt;=W_min),1,0)</f>
        <v>0</v>
      </c>
      <c r="AA62" s="36" t="n">
        <f aca="false">AA61+Close_A*(Ceil_E-AA61)-$E$5</f>
        <v>80.9999999813736</v>
      </c>
      <c r="AB62" s="16" t="n">
        <f aca="false">$E$4*Value_pt*(AA62-Eff_today)</f>
        <v>99.9999998137355</v>
      </c>
      <c r="AC62" s="16" t="n">
        <f aca="false">AB62-Cost_A</f>
        <v>-20.0000001862645</v>
      </c>
      <c r="AD62" s="16" t="n">
        <f aca="false">AD61+AC62</f>
        <v>-59.9999998137355</v>
      </c>
      <c r="AE62" s="14" t="n">
        <f aca="false">AE61+W_gain</f>
        <v>87</v>
      </c>
      <c r="AF62" s="16" t="n">
        <f aca="false">Liq_today-AD62</f>
        <v>679.999999813736</v>
      </c>
      <c r="AG62" s="16" t="n">
        <f aca="false">Pre_A+MAX(AF33:AF61)</f>
        <v>1129.99999962747</v>
      </c>
    </row>
    <row r="63" customFormat="false" ht="15" hidden="false" customHeight="true" outlineLevel="0" collapsed="false">
      <c r="A63" s="14" t="n">
        <v>30</v>
      </c>
      <c r="B63" s="14" t="n">
        <f aca="false">IF(AND(B62=1,F62&gt;=Pre_A,G62&gt;=W_min),1,0)</f>
        <v>0</v>
      </c>
      <c r="C63" s="36" t="n">
        <f aca="false">C62+Close_A*(Ceil_E-C62)-$B$5</f>
        <v>84.9999999869615</v>
      </c>
      <c r="D63" s="16" t="n">
        <f aca="false">$B$4*Value_pt*(C63-Eff_today)</f>
        <v>0</v>
      </c>
      <c r="E63" s="16" t="n">
        <f aca="false">D63-Cost_A</f>
        <v>-120</v>
      </c>
      <c r="F63" s="16" t="n">
        <f aca="false">F62+E63</f>
        <v>-2980</v>
      </c>
      <c r="G63" s="14" t="n">
        <f aca="false">G62+W_gain</f>
        <v>88</v>
      </c>
      <c r="H63" s="16" t="n">
        <f aca="false">Liq_today-F63</f>
        <v>3600</v>
      </c>
      <c r="I63" s="16" t="n">
        <f aca="false">Pre_A+MAX(H33:H62)</f>
        <v>3950</v>
      </c>
      <c r="J63" s="14" t="n">
        <f aca="false">IF(AND(J62=1,N62&gt;=Pre_A,O62&gt;=W_min),1,0)</f>
        <v>1</v>
      </c>
      <c r="K63" s="36" t="n">
        <f aca="false">K62+Close_A*(Ceil_E-K62)-$C$5</f>
        <v>84.9999999869615</v>
      </c>
      <c r="L63" s="16" t="n">
        <f aca="false">$C$4*Value_pt*(K63-Eff_today)</f>
        <v>139.999999869615</v>
      </c>
      <c r="M63" s="16" t="n">
        <f aca="false">L63-Cost_A</f>
        <v>19.9999998696148</v>
      </c>
      <c r="N63" s="16" t="n">
        <f aca="false">N62+M63</f>
        <v>1080.00000013039</v>
      </c>
      <c r="O63" s="14" t="n">
        <f aca="false">O62+W_gain</f>
        <v>88</v>
      </c>
      <c r="P63" s="16" t="n">
        <f aca="false">Liq_today-N63</f>
        <v>-460.000000130385</v>
      </c>
      <c r="Q63" s="16" t="n">
        <f aca="false">Pre_A+MAX(P33:P62)</f>
        <v>535</v>
      </c>
      <c r="R63" s="14" t="n">
        <f aca="false">IF(AND(R62=1,V62&gt;=Pre_A,W62&gt;=W_min),1,0)</f>
        <v>1</v>
      </c>
      <c r="S63" s="36" t="n">
        <f aca="false">S62+Close_A*(Ceil_E-S62)-$D$5</f>
        <v>82.9999999888241</v>
      </c>
      <c r="T63" s="16" t="n">
        <f aca="false">$D$4*Value_pt*(S63-Eff_today)</f>
        <v>119.999999888241</v>
      </c>
      <c r="U63" s="16" t="n">
        <f aca="false">T63-Cost_A</f>
        <v>-1.11758708953857E-007</v>
      </c>
      <c r="V63" s="16" t="n">
        <f aca="false">V62+U63</f>
        <v>500.000000111759</v>
      </c>
      <c r="W63" s="14" t="n">
        <f aca="false">W62+W_gain</f>
        <v>88</v>
      </c>
      <c r="X63" s="16" t="n">
        <f aca="false">Liq_today-V63</f>
        <v>119.999999888241</v>
      </c>
      <c r="Y63" s="16" t="n">
        <f aca="false">Pre_A+MAX(X33:X62)</f>
        <v>589.999999776483</v>
      </c>
      <c r="Z63" s="14" t="n">
        <f aca="false">IF(AND(Z62=1,AD62&gt;=Pre_A,AE62&gt;=W_min),1,0)</f>
        <v>0</v>
      </c>
      <c r="AA63" s="36" t="n">
        <f aca="false">AA62+Close_A*(Ceil_E-AA62)-$E$5</f>
        <v>80.9999999906868</v>
      </c>
      <c r="AB63" s="16" t="n">
        <f aca="false">$E$4*Value_pt*(AA63-Eff_today)</f>
        <v>99.9999999068677</v>
      </c>
      <c r="AC63" s="16" t="n">
        <f aca="false">AB63-Cost_A</f>
        <v>-20.0000000931323</v>
      </c>
      <c r="AD63" s="16" t="n">
        <f aca="false">AD62+AC63</f>
        <v>-79.9999999068677</v>
      </c>
      <c r="AE63" s="14" t="n">
        <f aca="false">AE62+W_gain</f>
        <v>88</v>
      </c>
      <c r="AF63" s="16" t="n">
        <f aca="false">Liq_today-AD63</f>
        <v>699.999999906868</v>
      </c>
      <c r="AG63" s="16" t="n">
        <f aca="false">Pre_A+MAX(AF33:AF62)</f>
        <v>1149.99999981374</v>
      </c>
    </row>
    <row r="64" customFormat="false" ht="15" hidden="false" customHeight="true" outlineLevel="0" collapsed="false">
      <c r="A64" s="14" t="n">
        <v>31</v>
      </c>
      <c r="B64" s="14" t="n">
        <f aca="false">IF(AND(B63=1,F63&gt;=Pre_A,G63&gt;=W_min),1,0)</f>
        <v>0</v>
      </c>
      <c r="C64" s="36" t="n">
        <f aca="false">C63+Close_A*(Ceil_E-C63)-$B$5</f>
        <v>84.9999999934807</v>
      </c>
      <c r="D64" s="16" t="n">
        <f aca="false">$B$4*Value_pt*(C64-Eff_today)</f>
        <v>0</v>
      </c>
      <c r="E64" s="16" t="n">
        <f aca="false">D64-Cost_A</f>
        <v>-120</v>
      </c>
      <c r="F64" s="16" t="n">
        <f aca="false">F63+E64</f>
        <v>-3100</v>
      </c>
      <c r="G64" s="14" t="n">
        <f aca="false">G63+W_gain</f>
        <v>89</v>
      </c>
      <c r="H64" s="16" t="n">
        <f aca="false">Liq_today-F64</f>
        <v>3720</v>
      </c>
      <c r="I64" s="16" t="n">
        <f aca="false">Pre_A+MAX(H33:H63)</f>
        <v>4070</v>
      </c>
      <c r="J64" s="14" t="n">
        <f aca="false">IF(AND(J63=1,N63&gt;=Pre_A,O63&gt;=W_min),1,0)</f>
        <v>1</v>
      </c>
      <c r="K64" s="36" t="n">
        <f aca="false">K63+Close_A*(Ceil_E-K63)-$C$5</f>
        <v>84.9999999934807</v>
      </c>
      <c r="L64" s="16" t="n">
        <f aca="false">$C$4*Value_pt*(K64-Eff_today)</f>
        <v>139.999999934807</v>
      </c>
      <c r="M64" s="16" t="n">
        <f aca="false">L64-Cost_A</f>
        <v>19.9999999348074</v>
      </c>
      <c r="N64" s="16" t="n">
        <f aca="false">N63+M64</f>
        <v>1100.00000006519</v>
      </c>
      <c r="O64" s="14" t="n">
        <f aca="false">O63+W_gain</f>
        <v>89</v>
      </c>
      <c r="P64" s="16" t="n">
        <f aca="false">Liq_today-N64</f>
        <v>-480.000000065193</v>
      </c>
      <c r="Q64" s="16" t="n">
        <f aca="false">Pre_A+MAX(P33:P63)</f>
        <v>535</v>
      </c>
      <c r="R64" s="14" t="n">
        <f aca="false">IF(AND(R63=1,V63&gt;=Pre_A,W63&gt;=W_min),1,0)</f>
        <v>1</v>
      </c>
      <c r="S64" s="36" t="n">
        <f aca="false">S63+Close_A*(Ceil_E-S63)-$D$5</f>
        <v>82.9999999944121</v>
      </c>
      <c r="T64" s="16" t="n">
        <f aca="false">$D$4*Value_pt*(S64-Eff_today)</f>
        <v>119.999999944121</v>
      </c>
      <c r="U64" s="16" t="n">
        <f aca="false">T64-Cost_A</f>
        <v>-5.58793544769287E-008</v>
      </c>
      <c r="V64" s="16" t="n">
        <f aca="false">V63+U64</f>
        <v>500.000000055879</v>
      </c>
      <c r="W64" s="14" t="n">
        <f aca="false">W63+W_gain</f>
        <v>89</v>
      </c>
      <c r="X64" s="16" t="n">
        <f aca="false">Liq_today-V64</f>
        <v>119.999999944121</v>
      </c>
      <c r="Y64" s="16" t="n">
        <f aca="false">Pre_A+MAX(X33:X63)</f>
        <v>589.999999888241</v>
      </c>
      <c r="Z64" s="14" t="n">
        <f aca="false">IF(AND(Z63=1,AD63&gt;=Pre_A,AE63&gt;=W_min),1,0)</f>
        <v>0</v>
      </c>
      <c r="AA64" s="36" t="n">
        <f aca="false">AA63+Close_A*(Ceil_E-AA63)-$E$5</f>
        <v>80.9999999953434</v>
      </c>
      <c r="AB64" s="16" t="n">
        <f aca="false">$E$4*Value_pt*(AA64-Eff_today)</f>
        <v>99.9999999534339</v>
      </c>
      <c r="AC64" s="16" t="n">
        <f aca="false">AB64-Cost_A</f>
        <v>-20.0000000465661</v>
      </c>
      <c r="AD64" s="16" t="n">
        <f aca="false">AD63+AC64</f>
        <v>-99.9999999534339</v>
      </c>
      <c r="AE64" s="14" t="n">
        <f aca="false">AE63+W_gain</f>
        <v>89</v>
      </c>
      <c r="AF64" s="16" t="n">
        <f aca="false">Liq_today-AD64</f>
        <v>719.999999953434</v>
      </c>
      <c r="AG64" s="16" t="n">
        <f aca="false">Pre_A+MAX(AF33:AF63)</f>
        <v>1169.99999990687</v>
      </c>
    </row>
    <row r="65" customFormat="false" ht="15" hidden="false" customHeight="true" outlineLevel="0" collapsed="false">
      <c r="A65" s="14" t="n">
        <v>32</v>
      </c>
      <c r="B65" s="14" t="n">
        <f aca="false">IF(AND(B64=1,F64&gt;=Pre_A,G64&gt;=W_min),1,0)</f>
        <v>0</v>
      </c>
      <c r="C65" s="36" t="n">
        <f aca="false">C64+Close_A*(Ceil_E-C64)-$B$5</f>
        <v>84.9999999967404</v>
      </c>
      <c r="D65" s="16" t="n">
        <f aca="false">$B$4*Value_pt*(C65-Eff_today)</f>
        <v>0</v>
      </c>
      <c r="E65" s="16" t="n">
        <f aca="false">D65-Cost_A</f>
        <v>-120</v>
      </c>
      <c r="F65" s="16" t="n">
        <f aca="false">F64+E65</f>
        <v>-3220</v>
      </c>
      <c r="G65" s="14" t="n">
        <f aca="false">G64+W_gain</f>
        <v>90</v>
      </c>
      <c r="H65" s="16" t="n">
        <f aca="false">Liq_today-F65</f>
        <v>3840</v>
      </c>
      <c r="I65" s="16" t="n">
        <f aca="false">Pre_A+MAX(H33:H64)</f>
        <v>4190</v>
      </c>
      <c r="J65" s="14" t="n">
        <f aca="false">IF(AND(J64=1,N64&gt;=Pre_A,O64&gt;=W_min),1,0)</f>
        <v>1</v>
      </c>
      <c r="K65" s="36" t="n">
        <f aca="false">K64+Close_A*(Ceil_E-K64)-$C$5</f>
        <v>84.9999999967404</v>
      </c>
      <c r="L65" s="16" t="n">
        <f aca="false">$C$4*Value_pt*(K65-Eff_today)</f>
        <v>139.999999967404</v>
      </c>
      <c r="M65" s="16" t="n">
        <f aca="false">L65-Cost_A</f>
        <v>19.9999999674037</v>
      </c>
      <c r="N65" s="16" t="n">
        <f aca="false">N64+M65</f>
        <v>1120.0000000326</v>
      </c>
      <c r="O65" s="14" t="n">
        <f aca="false">O64+W_gain</f>
        <v>90</v>
      </c>
      <c r="P65" s="16" t="n">
        <f aca="false">Liq_today-N65</f>
        <v>-500.000000032596</v>
      </c>
      <c r="Q65" s="16" t="n">
        <f aca="false">Pre_A+MAX(P33:P64)</f>
        <v>535</v>
      </c>
      <c r="R65" s="14" t="n">
        <f aca="false">IF(AND(R64=1,V64&gt;=Pre_A,W64&gt;=W_min),1,0)</f>
        <v>1</v>
      </c>
      <c r="S65" s="36" t="n">
        <f aca="false">S64+Close_A*(Ceil_E-S64)-$D$5</f>
        <v>82.999999997206</v>
      </c>
      <c r="T65" s="16" t="n">
        <f aca="false">$D$4*Value_pt*(S65-Eff_today)</f>
        <v>119.99999997206</v>
      </c>
      <c r="U65" s="16" t="n">
        <f aca="false">T65-Cost_A</f>
        <v>-2.79396772384644E-008</v>
      </c>
      <c r="V65" s="16" t="n">
        <f aca="false">V64+U65</f>
        <v>500.00000002794</v>
      </c>
      <c r="W65" s="14" t="n">
        <f aca="false">W64+W_gain</f>
        <v>90</v>
      </c>
      <c r="X65" s="16" t="n">
        <f aca="false">Liq_today-V65</f>
        <v>119.99999997206</v>
      </c>
      <c r="Y65" s="16" t="n">
        <f aca="false">Pre_A+MAX(X33:X64)</f>
        <v>589.999999944121</v>
      </c>
      <c r="Z65" s="14" t="n">
        <f aca="false">IF(AND(Z64=1,AD64&gt;=Pre_A,AE64&gt;=W_min),1,0)</f>
        <v>0</v>
      </c>
      <c r="AA65" s="36" t="n">
        <f aca="false">AA64+Close_A*(Ceil_E-AA64)-$E$5</f>
        <v>80.9999999976717</v>
      </c>
      <c r="AB65" s="16" t="n">
        <f aca="false">$E$4*Value_pt*(AA65-Eff_today)</f>
        <v>99.9999999767169</v>
      </c>
      <c r="AC65" s="16" t="n">
        <f aca="false">AB65-Cost_A</f>
        <v>-20.0000000232831</v>
      </c>
      <c r="AD65" s="16" t="n">
        <f aca="false">AD64+AC65</f>
        <v>-119.999999976717</v>
      </c>
      <c r="AE65" s="14" t="n">
        <f aca="false">AE64+W_gain</f>
        <v>90</v>
      </c>
      <c r="AF65" s="16" t="n">
        <f aca="false">Liq_today-AD65</f>
        <v>739.999999976717</v>
      </c>
      <c r="AG65" s="16" t="n">
        <f aca="false">Pre_A+MAX(AF33:AF64)</f>
        <v>1189.99999995343</v>
      </c>
    </row>
    <row r="66" customFormat="false" ht="15" hidden="false" customHeight="true" outlineLevel="0" collapsed="false">
      <c r="A66" s="14" t="n">
        <v>33</v>
      </c>
      <c r="B66" s="14" t="n">
        <f aca="false">IF(AND(B65=1,F65&gt;=Pre_A,G65&gt;=W_min),1,0)</f>
        <v>0</v>
      </c>
      <c r="C66" s="36" t="n">
        <f aca="false">C65+Close_A*(Ceil_E-C65)-$B$5</f>
        <v>84.9999999983702</v>
      </c>
      <c r="D66" s="16" t="n">
        <f aca="false">$B$4*Value_pt*(C66-Eff_today)</f>
        <v>0</v>
      </c>
      <c r="E66" s="16" t="n">
        <f aca="false">D66-Cost_A</f>
        <v>-120</v>
      </c>
      <c r="F66" s="16" t="n">
        <f aca="false">F65+E66</f>
        <v>-3340</v>
      </c>
      <c r="G66" s="14" t="n">
        <f aca="false">G65+W_gain</f>
        <v>91</v>
      </c>
      <c r="H66" s="16" t="n">
        <f aca="false">Liq_today-F66</f>
        <v>3960</v>
      </c>
      <c r="I66" s="16" t="n">
        <f aca="false">Pre_A+MAX(H33:H65)</f>
        <v>4310</v>
      </c>
      <c r="J66" s="14" t="n">
        <f aca="false">IF(AND(J65=1,N65&gt;=Pre_A,O65&gt;=W_min),1,0)</f>
        <v>1</v>
      </c>
      <c r="K66" s="36" t="n">
        <f aca="false">K65+Close_A*(Ceil_E-K65)-$C$5</f>
        <v>84.9999999983702</v>
      </c>
      <c r="L66" s="16" t="n">
        <f aca="false">$C$4*Value_pt*(K66-Eff_today)</f>
        <v>139.999999983702</v>
      </c>
      <c r="M66" s="16" t="n">
        <f aca="false">L66-Cost_A</f>
        <v>19.9999999837019</v>
      </c>
      <c r="N66" s="16" t="n">
        <f aca="false">N65+M66</f>
        <v>1140.0000000163</v>
      </c>
      <c r="O66" s="14" t="n">
        <f aca="false">O65+W_gain</f>
        <v>91</v>
      </c>
      <c r="P66" s="16" t="n">
        <f aca="false">Liq_today-N66</f>
        <v>-520.000000016298</v>
      </c>
      <c r="Q66" s="16" t="n">
        <f aca="false">Pre_A+MAX(P33:P65)</f>
        <v>535</v>
      </c>
      <c r="R66" s="14" t="n">
        <f aca="false">IF(AND(R65=1,V65&gt;=Pre_A,W65&gt;=W_min),1,0)</f>
        <v>1</v>
      </c>
      <c r="S66" s="36" t="n">
        <f aca="false">S65+Close_A*(Ceil_E-S65)-$D$5</f>
        <v>82.999999998603</v>
      </c>
      <c r="T66" s="16" t="n">
        <f aca="false">$D$4*Value_pt*(S66-Eff_today)</f>
        <v>119.99999998603</v>
      </c>
      <c r="U66" s="16" t="n">
        <f aca="false">T66-Cost_A</f>
        <v>-1.39698386192322E-008</v>
      </c>
      <c r="V66" s="16" t="n">
        <f aca="false">V65+U66</f>
        <v>500.00000001397</v>
      </c>
      <c r="W66" s="14" t="n">
        <f aca="false">W65+W_gain</f>
        <v>91</v>
      </c>
      <c r="X66" s="16" t="n">
        <f aca="false">Liq_today-V66</f>
        <v>119.99999998603</v>
      </c>
      <c r="Y66" s="16" t="n">
        <f aca="false">Pre_A+MAX(X33:X65)</f>
        <v>589.99999997206</v>
      </c>
      <c r="Z66" s="14" t="n">
        <f aca="false">IF(AND(Z65=1,AD65&gt;=Pre_A,AE65&gt;=W_min),1,0)</f>
        <v>0</v>
      </c>
      <c r="AA66" s="36" t="n">
        <f aca="false">AA65+Close_A*(Ceil_E-AA65)-$E$5</f>
        <v>80.9999999988359</v>
      </c>
      <c r="AB66" s="16" t="n">
        <f aca="false">$E$4*Value_pt*(AA66-Eff_today)</f>
        <v>99.9999999883585</v>
      </c>
      <c r="AC66" s="16" t="n">
        <f aca="false">AB66-Cost_A</f>
        <v>-20.0000000116415</v>
      </c>
      <c r="AD66" s="16" t="n">
        <f aca="false">AD65+AC66</f>
        <v>-139.999999988358</v>
      </c>
      <c r="AE66" s="14" t="n">
        <f aca="false">AE65+W_gain</f>
        <v>91</v>
      </c>
      <c r="AF66" s="16" t="n">
        <f aca="false">Liq_today-AD66</f>
        <v>759.999999988359</v>
      </c>
      <c r="AG66" s="16" t="n">
        <f aca="false">Pre_A+MAX(AF33:AF65)</f>
        <v>1209.99999997672</v>
      </c>
    </row>
    <row r="67" customFormat="false" ht="15" hidden="false" customHeight="true" outlineLevel="0" collapsed="false">
      <c r="A67" s="14" t="n">
        <v>34</v>
      </c>
      <c r="B67" s="14" t="n">
        <f aca="false">IF(AND(B66=1,F66&gt;=Pre_A,G66&gt;=W_min),1,0)</f>
        <v>0</v>
      </c>
      <c r="C67" s="36" t="n">
        <f aca="false">C66+Close_A*(Ceil_E-C66)-$B$5</f>
        <v>84.9999999991851</v>
      </c>
      <c r="D67" s="16" t="n">
        <f aca="false">$B$4*Value_pt*(C67-Eff_today)</f>
        <v>0</v>
      </c>
      <c r="E67" s="16" t="n">
        <f aca="false">D67-Cost_A</f>
        <v>-120</v>
      </c>
      <c r="F67" s="16" t="n">
        <f aca="false">F66+E67</f>
        <v>-3460</v>
      </c>
      <c r="G67" s="14" t="n">
        <f aca="false">G66+W_gain</f>
        <v>92</v>
      </c>
      <c r="H67" s="16" t="n">
        <f aca="false">Liq_today-F67</f>
        <v>4080</v>
      </c>
      <c r="I67" s="16" t="n">
        <f aca="false">Pre_A+MAX(H33:H66)</f>
        <v>4430</v>
      </c>
      <c r="J67" s="14" t="n">
        <f aca="false">IF(AND(J66=1,N66&gt;=Pre_A,O66&gt;=W_min),1,0)</f>
        <v>1</v>
      </c>
      <c r="K67" s="36" t="n">
        <f aca="false">K66+Close_A*(Ceil_E-K66)-$C$5</f>
        <v>84.9999999991851</v>
      </c>
      <c r="L67" s="16" t="n">
        <f aca="false">$C$4*Value_pt*(K67-Eff_today)</f>
        <v>139.999999991851</v>
      </c>
      <c r="M67" s="16" t="n">
        <f aca="false">L67-Cost_A</f>
        <v>19.9999999918509</v>
      </c>
      <c r="N67" s="16" t="n">
        <f aca="false">N66+M67</f>
        <v>1160.00000000815</v>
      </c>
      <c r="O67" s="14" t="n">
        <f aca="false">O66+W_gain</f>
        <v>92</v>
      </c>
      <c r="P67" s="16" t="n">
        <f aca="false">Liq_today-N67</f>
        <v>-540.000000008149</v>
      </c>
      <c r="Q67" s="16" t="n">
        <f aca="false">Pre_A+MAX(P33:P66)</f>
        <v>535</v>
      </c>
      <c r="R67" s="14" t="n">
        <f aca="false">IF(AND(R66=1,V66&gt;=Pre_A,W66&gt;=W_min),1,0)</f>
        <v>1</v>
      </c>
      <c r="S67" s="36" t="n">
        <f aca="false">S66+Close_A*(Ceil_E-S66)-$D$5</f>
        <v>82.9999999993015</v>
      </c>
      <c r="T67" s="16" t="n">
        <f aca="false">$D$4*Value_pt*(S67-Eff_today)</f>
        <v>119.999999993015</v>
      </c>
      <c r="U67" s="16" t="n">
        <f aca="false">T67-Cost_A</f>
        <v>-6.98491930961609E-009</v>
      </c>
      <c r="V67" s="16" t="n">
        <f aca="false">V66+U67</f>
        <v>500.000000006985</v>
      </c>
      <c r="W67" s="14" t="n">
        <f aca="false">W66+W_gain</f>
        <v>92</v>
      </c>
      <c r="X67" s="16" t="n">
        <f aca="false">Liq_today-V67</f>
        <v>119.999999993015</v>
      </c>
      <c r="Y67" s="16" t="n">
        <f aca="false">Pre_A+MAX(X33:X66)</f>
        <v>589.99999998603</v>
      </c>
      <c r="Z67" s="14" t="n">
        <f aca="false">IF(AND(Z66=1,AD66&gt;=Pre_A,AE66&gt;=W_min),1,0)</f>
        <v>0</v>
      </c>
      <c r="AA67" s="36" t="n">
        <f aca="false">AA66+Close_A*(Ceil_E-AA66)-$E$5</f>
        <v>80.9999999994179</v>
      </c>
      <c r="AB67" s="16" t="n">
        <f aca="false">$E$4*Value_pt*(AA67-Eff_today)</f>
        <v>99.9999999941792</v>
      </c>
      <c r="AC67" s="16" t="n">
        <f aca="false">AB67-Cost_A</f>
        <v>-20.0000000058208</v>
      </c>
      <c r="AD67" s="16" t="n">
        <f aca="false">AD66+AC67</f>
        <v>-159.999999994179</v>
      </c>
      <c r="AE67" s="14" t="n">
        <f aca="false">AE66+W_gain</f>
        <v>92</v>
      </c>
      <c r="AF67" s="16" t="n">
        <f aca="false">Liq_today-AD67</f>
        <v>779.999999994179</v>
      </c>
      <c r="AG67" s="16" t="n">
        <f aca="false">Pre_A+MAX(AF33:AF66)</f>
        <v>1229.99999998836</v>
      </c>
    </row>
    <row r="68" customFormat="false" ht="15" hidden="false" customHeight="true" outlineLevel="0" collapsed="false">
      <c r="A68" s="14" t="n">
        <v>35</v>
      </c>
      <c r="B68" s="14" t="n">
        <f aca="false">IF(AND(B67=1,F67&gt;=Pre_A,G67&gt;=W_min),1,0)</f>
        <v>0</v>
      </c>
      <c r="C68" s="36" t="n">
        <f aca="false">C67+Close_A*(Ceil_E-C67)-$B$5</f>
        <v>84.9999999995926</v>
      </c>
      <c r="D68" s="16" t="n">
        <f aca="false">$B$4*Value_pt*(C68-Eff_today)</f>
        <v>0</v>
      </c>
      <c r="E68" s="16" t="n">
        <f aca="false">D68-Cost_A</f>
        <v>-120</v>
      </c>
      <c r="F68" s="16" t="n">
        <f aca="false">F67+E68</f>
        <v>-3580</v>
      </c>
      <c r="G68" s="14" t="n">
        <f aca="false">G67+W_gain</f>
        <v>93</v>
      </c>
      <c r="H68" s="16" t="n">
        <f aca="false">Liq_today-F68</f>
        <v>4200</v>
      </c>
      <c r="I68" s="16" t="n">
        <f aca="false">Pre_A+MAX(H33:H67)</f>
        <v>4550</v>
      </c>
      <c r="J68" s="14" t="n">
        <f aca="false">IF(AND(J67=1,N67&gt;=Pre_A,O67&gt;=W_min),1,0)</f>
        <v>1</v>
      </c>
      <c r="K68" s="36" t="n">
        <f aca="false">K67+Close_A*(Ceil_E-K67)-$C$5</f>
        <v>84.9999999995926</v>
      </c>
      <c r="L68" s="16" t="n">
        <f aca="false">$C$4*Value_pt*(K68-Eff_today)</f>
        <v>139.999999995925</v>
      </c>
      <c r="M68" s="16" t="n">
        <f aca="false">L68-Cost_A</f>
        <v>19.9999999959255</v>
      </c>
      <c r="N68" s="16" t="n">
        <f aca="false">N67+M68</f>
        <v>1180.00000000407</v>
      </c>
      <c r="O68" s="14" t="n">
        <f aca="false">O67+W_gain</f>
        <v>93</v>
      </c>
      <c r="P68" s="16" t="n">
        <f aca="false">Liq_today-N68</f>
        <v>-560.000000004075</v>
      </c>
      <c r="Q68" s="16" t="n">
        <f aca="false">Pre_A+MAX(P33:P67)</f>
        <v>535</v>
      </c>
      <c r="R68" s="14" t="n">
        <f aca="false">IF(AND(R67=1,V67&gt;=Pre_A,W67&gt;=W_min),1,0)</f>
        <v>1</v>
      </c>
      <c r="S68" s="36" t="n">
        <f aca="false">S67+Close_A*(Ceil_E-S67)-$D$5</f>
        <v>82.9999999996508</v>
      </c>
      <c r="T68" s="16" t="n">
        <f aca="false">$D$4*Value_pt*(S68-Eff_today)</f>
        <v>119.999999996508</v>
      </c>
      <c r="U68" s="16" t="n">
        <f aca="false">T68-Cost_A</f>
        <v>-3.49245965480804E-009</v>
      </c>
      <c r="V68" s="16" t="n">
        <f aca="false">V67+U68</f>
        <v>500.000000003492</v>
      </c>
      <c r="W68" s="14" t="n">
        <f aca="false">W67+W_gain</f>
        <v>93</v>
      </c>
      <c r="X68" s="16" t="n">
        <f aca="false">Liq_today-V68</f>
        <v>119.999999996508</v>
      </c>
      <c r="Y68" s="16" t="n">
        <f aca="false">Pre_A+MAX(X33:X67)</f>
        <v>589.999999993015</v>
      </c>
      <c r="Z68" s="14" t="n">
        <f aca="false">IF(AND(Z67=1,AD67&gt;=Pre_A,AE67&gt;=W_min),1,0)</f>
        <v>0</v>
      </c>
      <c r="AA68" s="36" t="n">
        <f aca="false">AA67+Close_A*(Ceil_E-AA67)-$E$5</f>
        <v>80.999999999709</v>
      </c>
      <c r="AB68" s="16" t="n">
        <f aca="false">$E$4*Value_pt*(AA68-Eff_today)</f>
        <v>99.9999999970896</v>
      </c>
      <c r="AC68" s="16" t="n">
        <f aca="false">AB68-Cost_A</f>
        <v>-20.0000000029104</v>
      </c>
      <c r="AD68" s="16" t="n">
        <f aca="false">AD67+AC68</f>
        <v>-179.99999999709</v>
      </c>
      <c r="AE68" s="14" t="n">
        <f aca="false">AE67+W_gain</f>
        <v>93</v>
      </c>
      <c r="AF68" s="16" t="n">
        <f aca="false">Liq_today-AD68</f>
        <v>799.99999999709</v>
      </c>
      <c r="AG68" s="16" t="n">
        <f aca="false">Pre_A+MAX(AF33:AF67)</f>
        <v>1249.99999999418</v>
      </c>
    </row>
    <row r="69" customFormat="false" ht="15" hidden="false" customHeight="true" outlineLevel="0" collapsed="false">
      <c r="A69" s="14" t="n">
        <v>36</v>
      </c>
      <c r="B69" s="14" t="n">
        <f aca="false">IF(AND(B68=1,F68&gt;=Pre_A,G68&gt;=W_min),1,0)</f>
        <v>0</v>
      </c>
      <c r="C69" s="36" t="n">
        <f aca="false">C68+Close_A*(Ceil_E-C68)-$B$5</f>
        <v>84.9999999997963</v>
      </c>
      <c r="D69" s="16" t="n">
        <f aca="false">$B$4*Value_pt*(C69-Eff_today)</f>
        <v>0</v>
      </c>
      <c r="E69" s="16" t="n">
        <f aca="false">D69-Cost_A</f>
        <v>-120</v>
      </c>
      <c r="F69" s="16" t="n">
        <f aca="false">F68+E69</f>
        <v>-3700</v>
      </c>
      <c r="G69" s="14" t="n">
        <f aca="false">G68+W_gain</f>
        <v>94</v>
      </c>
      <c r="H69" s="16" t="n">
        <f aca="false">Liq_today-F69</f>
        <v>4320</v>
      </c>
      <c r="I69" s="16" t="n">
        <f aca="false">Pre_A+MAX(H33:H68)</f>
        <v>4670</v>
      </c>
      <c r="J69" s="14" t="n">
        <f aca="false">IF(AND(J68=1,N68&gt;=Pre_A,O68&gt;=W_min),1,0)</f>
        <v>1</v>
      </c>
      <c r="K69" s="36" t="n">
        <f aca="false">K68+Close_A*(Ceil_E-K68)-$C$5</f>
        <v>84.9999999997963</v>
      </c>
      <c r="L69" s="16" t="n">
        <f aca="false">$C$4*Value_pt*(K69-Eff_today)</f>
        <v>139.999999997963</v>
      </c>
      <c r="M69" s="16" t="n">
        <f aca="false">L69-Cost_A</f>
        <v>19.9999999979627</v>
      </c>
      <c r="N69" s="16" t="n">
        <f aca="false">N68+M69</f>
        <v>1200.00000000204</v>
      </c>
      <c r="O69" s="14" t="n">
        <f aca="false">O68+W_gain</f>
        <v>94</v>
      </c>
      <c r="P69" s="16" t="n">
        <f aca="false">Liq_today-N69</f>
        <v>-580.000000002037</v>
      </c>
      <c r="Q69" s="16" t="n">
        <f aca="false">Pre_A+MAX(P33:P68)</f>
        <v>535</v>
      </c>
      <c r="R69" s="14" t="n">
        <f aca="false">IF(AND(R68=1,V68&gt;=Pre_A,W68&gt;=W_min),1,0)</f>
        <v>1</v>
      </c>
      <c r="S69" s="36" t="n">
        <f aca="false">S68+Close_A*(Ceil_E-S68)-$D$5</f>
        <v>82.9999999998254</v>
      </c>
      <c r="T69" s="16" t="n">
        <f aca="false">$D$4*Value_pt*(S69-Eff_today)</f>
        <v>119.999999998254</v>
      </c>
      <c r="U69" s="16" t="n">
        <f aca="false">T69-Cost_A</f>
        <v>-1.74622982740402E-009</v>
      </c>
      <c r="V69" s="16" t="n">
        <f aca="false">V68+U69</f>
        <v>500.000000001746</v>
      </c>
      <c r="W69" s="14" t="n">
        <f aca="false">W68+W_gain</f>
        <v>94</v>
      </c>
      <c r="X69" s="16" t="n">
        <f aca="false">Liq_today-V69</f>
        <v>119.999999998254</v>
      </c>
      <c r="Y69" s="16" t="n">
        <f aca="false">Pre_A+MAX(X33:X68)</f>
        <v>589.999999996508</v>
      </c>
      <c r="Z69" s="14" t="n">
        <f aca="false">IF(AND(Z68=1,AD68&gt;=Pre_A,AE68&gt;=W_min),1,0)</f>
        <v>0</v>
      </c>
      <c r="AA69" s="36" t="n">
        <f aca="false">AA68+Close_A*(Ceil_E-AA68)-$E$5</f>
        <v>80.9999999998545</v>
      </c>
      <c r="AB69" s="16" t="n">
        <f aca="false">$E$4*Value_pt*(AA69-Eff_today)</f>
        <v>99.9999999985448</v>
      </c>
      <c r="AC69" s="16" t="n">
        <f aca="false">AB69-Cost_A</f>
        <v>-20.0000000014552</v>
      </c>
      <c r="AD69" s="16" t="n">
        <f aca="false">AD68+AC69</f>
        <v>-199.999999998545</v>
      </c>
      <c r="AE69" s="14" t="n">
        <f aca="false">AE68+W_gain</f>
        <v>94</v>
      </c>
      <c r="AF69" s="16" t="n">
        <f aca="false">Liq_today-AD69</f>
        <v>819.999999998545</v>
      </c>
      <c r="AG69" s="16" t="n">
        <f aca="false">Pre_A+MAX(AF33:AF68)</f>
        <v>1269.99999999709</v>
      </c>
    </row>
    <row r="70" customFormat="false" ht="15" hidden="false" customHeight="true" outlineLevel="0" collapsed="false">
      <c r="A70" s="14" t="n">
        <v>37</v>
      </c>
      <c r="B70" s="14" t="n">
        <f aca="false">IF(AND(B69=1,F69&gt;=Pre_A,G69&gt;=W_min),1,0)</f>
        <v>0</v>
      </c>
      <c r="C70" s="36" t="n">
        <f aca="false">C69+Close_A*(Ceil_E-C69)-$B$5</f>
        <v>84.9999999998981</v>
      </c>
      <c r="D70" s="16" t="n">
        <f aca="false">$B$4*Value_pt*(C70-Eff_today)</f>
        <v>0</v>
      </c>
      <c r="E70" s="16" t="n">
        <f aca="false">D70-Cost_A</f>
        <v>-120</v>
      </c>
      <c r="F70" s="16" t="n">
        <f aca="false">F69+E70</f>
        <v>-3820</v>
      </c>
      <c r="G70" s="14" t="n">
        <f aca="false">G69+W_gain</f>
        <v>95</v>
      </c>
      <c r="H70" s="16" t="n">
        <f aca="false">Liq_today-F70</f>
        <v>4440</v>
      </c>
      <c r="I70" s="16" t="n">
        <f aca="false">Pre_A+MAX(H33:H69)</f>
        <v>4790</v>
      </c>
      <c r="J70" s="14" t="n">
        <f aca="false">IF(AND(J69=1,N69&gt;=Pre_A,O69&gt;=W_min),1,0)</f>
        <v>1</v>
      </c>
      <c r="K70" s="36" t="n">
        <f aca="false">K69+Close_A*(Ceil_E-K69)-$C$5</f>
        <v>84.9999999998981</v>
      </c>
      <c r="L70" s="16" t="n">
        <f aca="false">$C$4*Value_pt*(K70-Eff_today)</f>
        <v>139.999999998981</v>
      </c>
      <c r="M70" s="16" t="n">
        <f aca="false">L70-Cost_A</f>
        <v>19.9999999989814</v>
      </c>
      <c r="N70" s="16" t="n">
        <f aca="false">N69+M70</f>
        <v>1220.00000000102</v>
      </c>
      <c r="O70" s="14" t="n">
        <f aca="false">O69+W_gain</f>
        <v>95</v>
      </c>
      <c r="P70" s="16" t="n">
        <f aca="false">Liq_today-N70</f>
        <v>-600.000000001019</v>
      </c>
      <c r="Q70" s="16" t="n">
        <f aca="false">Pre_A+MAX(P33:P69)</f>
        <v>535</v>
      </c>
      <c r="R70" s="14" t="n">
        <f aca="false">IF(AND(R69=1,V69&gt;=Pre_A,W69&gt;=W_min),1,0)</f>
        <v>1</v>
      </c>
      <c r="S70" s="36" t="n">
        <f aca="false">S69+Close_A*(Ceil_E-S69)-$D$5</f>
        <v>82.9999999999127</v>
      </c>
      <c r="T70" s="16" t="n">
        <f aca="false">$D$4*Value_pt*(S70-Eff_today)</f>
        <v>119.999999999127</v>
      </c>
      <c r="U70" s="16" t="n">
        <f aca="false">T70-Cost_A</f>
        <v>-8.73114913702011E-010</v>
      </c>
      <c r="V70" s="16" t="n">
        <f aca="false">V69+U70</f>
        <v>500.000000000873</v>
      </c>
      <c r="W70" s="14" t="n">
        <f aca="false">W69+W_gain</f>
        <v>95</v>
      </c>
      <c r="X70" s="16" t="n">
        <f aca="false">Liq_today-V70</f>
        <v>119.999999999127</v>
      </c>
      <c r="Y70" s="16" t="n">
        <f aca="false">Pre_A+MAX(X33:X69)</f>
        <v>589.999999998254</v>
      </c>
      <c r="Z70" s="14" t="n">
        <f aca="false">IF(AND(Z69=1,AD69&gt;=Pre_A,AE69&gt;=W_min),1,0)</f>
        <v>0</v>
      </c>
      <c r="AA70" s="36" t="n">
        <f aca="false">AA69+Close_A*(Ceil_E-AA69)-$E$5</f>
        <v>80.9999999999272</v>
      </c>
      <c r="AB70" s="16" t="n">
        <f aca="false">$E$4*Value_pt*(AA70-Eff_today)</f>
        <v>99.9999999992724</v>
      </c>
      <c r="AC70" s="16" t="n">
        <f aca="false">AB70-Cost_A</f>
        <v>-20.0000000007276</v>
      </c>
      <c r="AD70" s="16" t="n">
        <f aca="false">AD69+AC70</f>
        <v>-219.999999999272</v>
      </c>
      <c r="AE70" s="14" t="n">
        <f aca="false">AE69+W_gain</f>
        <v>95</v>
      </c>
      <c r="AF70" s="16" t="n">
        <f aca="false">Liq_today-AD70</f>
        <v>839.999999999272</v>
      </c>
      <c r="AG70" s="16" t="n">
        <f aca="false">Pre_A+MAX(AF33:AF69)</f>
        <v>1289.99999999854</v>
      </c>
    </row>
    <row r="71" customFormat="false" ht="15" hidden="false" customHeight="true" outlineLevel="0" collapsed="false">
      <c r="A71" s="14" t="n">
        <v>38</v>
      </c>
      <c r="B71" s="14" t="n">
        <f aca="false">IF(AND(B70=1,F70&gt;=Pre_A,G70&gt;=W_min),1,0)</f>
        <v>0</v>
      </c>
      <c r="C71" s="36" t="n">
        <f aca="false">C70+Close_A*(Ceil_E-C70)-$B$5</f>
        <v>84.9999999999491</v>
      </c>
      <c r="D71" s="16" t="n">
        <f aca="false">$B$4*Value_pt*(C71-Eff_today)</f>
        <v>0</v>
      </c>
      <c r="E71" s="16" t="n">
        <f aca="false">D71-Cost_A</f>
        <v>-120</v>
      </c>
      <c r="F71" s="16" t="n">
        <f aca="false">F70+E71</f>
        <v>-3940</v>
      </c>
      <c r="G71" s="14" t="n">
        <f aca="false">G70+W_gain</f>
        <v>96</v>
      </c>
      <c r="H71" s="16" t="n">
        <f aca="false">Liq_today-F71</f>
        <v>4560</v>
      </c>
      <c r="I71" s="16" t="n">
        <f aca="false">Pre_A+MAX(H33:H70)</f>
        <v>4910</v>
      </c>
      <c r="J71" s="14" t="n">
        <f aca="false">IF(AND(J70=1,N70&gt;=Pre_A,O70&gt;=W_min),1,0)</f>
        <v>1</v>
      </c>
      <c r="K71" s="36" t="n">
        <f aca="false">K70+Close_A*(Ceil_E-K70)-$C$5</f>
        <v>84.9999999999491</v>
      </c>
      <c r="L71" s="16" t="n">
        <f aca="false">$C$4*Value_pt*(K71-Eff_today)</f>
        <v>139.999999999491</v>
      </c>
      <c r="M71" s="16" t="n">
        <f aca="false">L71-Cost_A</f>
        <v>19.9999999994907</v>
      </c>
      <c r="N71" s="16" t="n">
        <f aca="false">N70+M71</f>
        <v>1240.00000000051</v>
      </c>
      <c r="O71" s="14" t="n">
        <f aca="false">O70+W_gain</f>
        <v>96</v>
      </c>
      <c r="P71" s="16" t="n">
        <f aca="false">Liq_today-N71</f>
        <v>-620.000000000509</v>
      </c>
      <c r="Q71" s="16" t="n">
        <f aca="false">Pre_A+MAX(P33:P70)</f>
        <v>535</v>
      </c>
      <c r="R71" s="14" t="n">
        <f aca="false">IF(AND(R70=1,V70&gt;=Pre_A,W70&gt;=W_min),1,0)</f>
        <v>1</v>
      </c>
      <c r="S71" s="36" t="n">
        <f aca="false">S70+Close_A*(Ceil_E-S70)-$D$5</f>
        <v>82.9999999999563</v>
      </c>
      <c r="T71" s="16" t="n">
        <f aca="false">$D$4*Value_pt*(S71-Eff_today)</f>
        <v>119.999999999563</v>
      </c>
      <c r="U71" s="16" t="n">
        <f aca="false">T71-Cost_A</f>
        <v>-4.36557456851006E-010</v>
      </c>
      <c r="V71" s="16" t="n">
        <f aca="false">V70+U71</f>
        <v>500.000000000437</v>
      </c>
      <c r="W71" s="14" t="n">
        <f aca="false">W70+W_gain</f>
        <v>96</v>
      </c>
      <c r="X71" s="16" t="n">
        <f aca="false">Liq_today-V71</f>
        <v>119.999999999563</v>
      </c>
      <c r="Y71" s="16" t="n">
        <f aca="false">Pre_A+MAX(X33:X70)</f>
        <v>589.999999999127</v>
      </c>
      <c r="Z71" s="14" t="n">
        <f aca="false">IF(AND(Z70=1,AD70&gt;=Pre_A,AE70&gt;=W_min),1,0)</f>
        <v>0</v>
      </c>
      <c r="AA71" s="36" t="n">
        <f aca="false">AA70+Close_A*(Ceil_E-AA70)-$E$5</f>
        <v>80.9999999999636</v>
      </c>
      <c r="AB71" s="16" t="n">
        <f aca="false">$E$4*Value_pt*(AA71-Eff_today)</f>
        <v>99.9999999996362</v>
      </c>
      <c r="AC71" s="16" t="n">
        <f aca="false">AB71-Cost_A</f>
        <v>-20.0000000003638</v>
      </c>
      <c r="AD71" s="16" t="n">
        <f aca="false">AD70+AC71</f>
        <v>-239.999999999636</v>
      </c>
      <c r="AE71" s="14" t="n">
        <f aca="false">AE70+W_gain</f>
        <v>96</v>
      </c>
      <c r="AF71" s="16" t="n">
        <f aca="false">Liq_today-AD71</f>
        <v>859.999999999636</v>
      </c>
      <c r="AG71" s="16" t="n">
        <f aca="false">Pre_A+MAX(AF33:AF70)</f>
        <v>1309.99999999927</v>
      </c>
    </row>
    <row r="72" customFormat="false" ht="15" hidden="false" customHeight="true" outlineLevel="0" collapsed="false">
      <c r="A72" s="14" t="n">
        <v>39</v>
      </c>
      <c r="B72" s="14" t="n">
        <f aca="false">IF(AND(B71=1,F71&gt;=Pre_A,G71&gt;=W_min),1,0)</f>
        <v>0</v>
      </c>
      <c r="C72" s="36" t="n">
        <f aca="false">C71+Close_A*(Ceil_E-C71)-$B$5</f>
        <v>84.9999999999745</v>
      </c>
      <c r="D72" s="16" t="n">
        <f aca="false">$B$4*Value_pt*(C72-Eff_today)</f>
        <v>0</v>
      </c>
      <c r="E72" s="16" t="n">
        <f aca="false">D72-Cost_A</f>
        <v>-120</v>
      </c>
      <c r="F72" s="16" t="n">
        <f aca="false">F71+E72</f>
        <v>-4060</v>
      </c>
      <c r="G72" s="14" t="n">
        <f aca="false">G71+W_gain</f>
        <v>97</v>
      </c>
      <c r="H72" s="16" t="n">
        <f aca="false">Liq_today-F72</f>
        <v>4680</v>
      </c>
      <c r="I72" s="16" t="n">
        <f aca="false">Pre_A+MAX(H33:H71)</f>
        <v>5030</v>
      </c>
      <c r="J72" s="14" t="n">
        <f aca="false">IF(AND(J71=1,N71&gt;=Pre_A,O71&gt;=W_min),1,0)</f>
        <v>1</v>
      </c>
      <c r="K72" s="36" t="n">
        <f aca="false">K71+Close_A*(Ceil_E-K71)-$C$5</f>
        <v>84.9999999999745</v>
      </c>
      <c r="L72" s="16" t="n">
        <f aca="false">$C$4*Value_pt*(K72-Eff_today)</f>
        <v>139.999999999745</v>
      </c>
      <c r="M72" s="16" t="n">
        <f aca="false">L72-Cost_A</f>
        <v>19.9999999997453</v>
      </c>
      <c r="N72" s="16" t="n">
        <f aca="false">N71+M72</f>
        <v>1260.00000000025</v>
      </c>
      <c r="O72" s="14" t="n">
        <f aca="false">O71+W_gain</f>
        <v>97</v>
      </c>
      <c r="P72" s="16" t="n">
        <f aca="false">Liq_today-N72</f>
        <v>-640.000000000255</v>
      </c>
      <c r="Q72" s="16" t="n">
        <f aca="false">Pre_A+MAX(P33:P71)</f>
        <v>535</v>
      </c>
      <c r="R72" s="14" t="n">
        <f aca="false">IF(AND(R71=1,V71&gt;=Pre_A,W71&gt;=W_min),1,0)</f>
        <v>1</v>
      </c>
      <c r="S72" s="36" t="n">
        <f aca="false">S71+Close_A*(Ceil_E-S71)-$D$5</f>
        <v>82.9999999999782</v>
      </c>
      <c r="T72" s="16" t="n">
        <f aca="false">$D$4*Value_pt*(S72-Eff_today)</f>
        <v>119.999999999782</v>
      </c>
      <c r="U72" s="16" t="n">
        <f aca="false">T72-Cost_A</f>
        <v>-2.18278728425503E-010</v>
      </c>
      <c r="V72" s="16" t="n">
        <f aca="false">V71+U72</f>
        <v>500.000000000218</v>
      </c>
      <c r="W72" s="14" t="n">
        <f aca="false">W71+W_gain</f>
        <v>97</v>
      </c>
      <c r="X72" s="16" t="n">
        <f aca="false">Liq_today-V72</f>
        <v>119.999999999782</v>
      </c>
      <c r="Y72" s="16" t="n">
        <f aca="false">Pre_A+MAX(X33:X71)</f>
        <v>589.999999999563</v>
      </c>
      <c r="Z72" s="14" t="n">
        <f aca="false">IF(AND(Z71=1,AD71&gt;=Pre_A,AE71&gt;=W_min),1,0)</f>
        <v>0</v>
      </c>
      <c r="AA72" s="36" t="n">
        <f aca="false">AA71+Close_A*(Ceil_E-AA71)-$E$5</f>
        <v>80.9999999999818</v>
      </c>
      <c r="AB72" s="16" t="n">
        <f aca="false">$E$4*Value_pt*(AA72-Eff_today)</f>
        <v>99.9999999998181</v>
      </c>
      <c r="AC72" s="16" t="n">
        <f aca="false">AB72-Cost_A</f>
        <v>-20.0000000001819</v>
      </c>
      <c r="AD72" s="16" t="n">
        <f aca="false">AD71+AC72</f>
        <v>-259.999999999818</v>
      </c>
      <c r="AE72" s="14" t="n">
        <f aca="false">AE71+W_gain</f>
        <v>97</v>
      </c>
      <c r="AF72" s="16" t="n">
        <f aca="false">Liq_today-AD72</f>
        <v>879.999999999818</v>
      </c>
      <c r="AG72" s="16" t="n">
        <f aca="false">Pre_A+MAX(AF33:AF71)</f>
        <v>1329.99999999964</v>
      </c>
    </row>
    <row r="73" customFormat="false" ht="15" hidden="false" customHeight="true" outlineLevel="0" collapsed="false">
      <c r="A73" s="14" t="n">
        <v>40</v>
      </c>
      <c r="B73" s="14" t="n">
        <f aca="false">IF(AND(B72=1,F72&gt;=Pre_A,G72&gt;=W_min),1,0)</f>
        <v>0</v>
      </c>
      <c r="C73" s="36" t="n">
        <f aca="false">C72+Close_A*(Ceil_E-C72)-$B$5</f>
        <v>84.9999999999873</v>
      </c>
      <c r="D73" s="16" t="n">
        <f aca="false">$B$4*Value_pt*(C73-Eff_today)</f>
        <v>0</v>
      </c>
      <c r="E73" s="16" t="n">
        <f aca="false">D73-Cost_A</f>
        <v>-120</v>
      </c>
      <c r="F73" s="16" t="n">
        <f aca="false">F72+E73</f>
        <v>-4180</v>
      </c>
      <c r="G73" s="14" t="n">
        <f aca="false">G72+W_gain</f>
        <v>98</v>
      </c>
      <c r="H73" s="16" t="n">
        <f aca="false">Liq_today-F73</f>
        <v>4800</v>
      </c>
      <c r="I73" s="16" t="n">
        <f aca="false">Pre_A+MAX(H33:H72)</f>
        <v>5150</v>
      </c>
      <c r="J73" s="14" t="n">
        <f aca="false">IF(AND(J72=1,N72&gt;=Pre_A,O72&gt;=W_min),1,0)</f>
        <v>1</v>
      </c>
      <c r="K73" s="36" t="n">
        <f aca="false">K72+Close_A*(Ceil_E-K72)-$C$5</f>
        <v>84.9999999999873</v>
      </c>
      <c r="L73" s="16" t="n">
        <f aca="false">$C$4*Value_pt*(K73-Eff_today)</f>
        <v>139.999999999873</v>
      </c>
      <c r="M73" s="16" t="n">
        <f aca="false">L73-Cost_A</f>
        <v>19.9999999998727</v>
      </c>
      <c r="N73" s="16" t="n">
        <f aca="false">N72+M73</f>
        <v>1280.00000000013</v>
      </c>
      <c r="O73" s="14" t="n">
        <f aca="false">O72+W_gain</f>
        <v>98</v>
      </c>
      <c r="P73" s="16" t="n">
        <f aca="false">Liq_today-N73</f>
        <v>-660.000000000127</v>
      </c>
      <c r="Q73" s="16" t="n">
        <f aca="false">Pre_A+MAX(P33:P72)</f>
        <v>535</v>
      </c>
      <c r="R73" s="14" t="n">
        <f aca="false">IF(AND(R72=1,V72&gt;=Pre_A,W72&gt;=W_min),1,0)</f>
        <v>1</v>
      </c>
      <c r="S73" s="36" t="n">
        <f aca="false">S72+Close_A*(Ceil_E-S72)-$D$5</f>
        <v>82.9999999999891</v>
      </c>
      <c r="T73" s="16" t="n">
        <f aca="false">$D$4*Value_pt*(S73-Eff_today)</f>
        <v>119.999999999891</v>
      </c>
      <c r="U73" s="16" t="n">
        <f aca="false">T73-Cost_A</f>
        <v>-1.09139364212751E-010</v>
      </c>
      <c r="V73" s="16" t="n">
        <f aca="false">V72+U73</f>
        <v>500.000000000109</v>
      </c>
      <c r="W73" s="14" t="n">
        <f aca="false">W72+W_gain</f>
        <v>98</v>
      </c>
      <c r="X73" s="16" t="n">
        <f aca="false">Liq_today-V73</f>
        <v>119.999999999891</v>
      </c>
      <c r="Y73" s="16" t="n">
        <f aca="false">Pre_A+MAX(X33:X72)</f>
        <v>589.999999999782</v>
      </c>
      <c r="Z73" s="14" t="n">
        <f aca="false">IF(AND(Z72=1,AD72&gt;=Pre_A,AE72&gt;=W_min),1,0)</f>
        <v>0</v>
      </c>
      <c r="AA73" s="36" t="n">
        <f aca="false">AA72+Close_A*(Ceil_E-AA72)-$E$5</f>
        <v>80.9999999999909</v>
      </c>
      <c r="AB73" s="16" t="n">
        <f aca="false">$E$4*Value_pt*(AA73-Eff_today)</f>
        <v>99.9999999999091</v>
      </c>
      <c r="AC73" s="16" t="n">
        <f aca="false">AB73-Cost_A</f>
        <v>-20.000000000091</v>
      </c>
      <c r="AD73" s="16" t="n">
        <f aca="false">AD72+AC73</f>
        <v>-279.999999999909</v>
      </c>
      <c r="AE73" s="14" t="n">
        <f aca="false">AE72+W_gain</f>
        <v>98</v>
      </c>
      <c r="AF73" s="16" t="n">
        <f aca="false">Liq_today-AD73</f>
        <v>899.999999999909</v>
      </c>
      <c r="AG73" s="16" t="n">
        <f aca="false">Pre_A+MAX(AF33:AF72)</f>
        <v>1349.99999999982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4" topLeftCell="B35" activePane="bottomRight" state="frozen"/>
      <selection pane="topLeft" activeCell="A1" activeCellId="0" sqref="A1"/>
      <selection pane="topRight" activeCell="B1" activeCellId="0" sqref="B1"/>
      <selection pane="bottomLeft" activeCell="A35" activeCellId="0" sqref="A3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5" min="2" style="1" width="9"/>
    <col collapsed="false" customWidth="true" hidden="false" outlineLevel="0" max="9" min="6" style="1" width="11"/>
    <col collapsed="false" customWidth="true" hidden="false" outlineLevel="0" max="10" min="10" style="1" width="9"/>
    <col collapsed="false" customWidth="true" hidden="false" outlineLevel="0" max="12" min="11" style="1" width="10"/>
    <col collapsed="false" customWidth="true" hidden="false" outlineLevel="0" max="16" min="13" style="1" width="11"/>
    <col collapsed="false" customWidth="true" hidden="false" outlineLevel="0" max="17" min="17" style="1" width="9"/>
    <col collapsed="false" customWidth="true" hidden="false" outlineLevel="0" max="18" min="18" style="1" width="10"/>
    <col collapsed="false" customWidth="true" hidden="false" outlineLevel="0" max="19" min="19" style="1" width="11"/>
    <col collapsed="false" customWidth="true" hidden="false" outlineLevel="0" max="20" min="20" style="1" width="14"/>
    <col collapsed="false" customWidth="true" hidden="false" outlineLevel="0" max="22" min="21" style="0" width="10"/>
  </cols>
  <sheetData>
    <row r="1" customFormat="false" ht="15" hidden="false" customHeight="true" outlineLevel="0" collapsed="false">
      <c r="A1" s="2" t="s">
        <v>233</v>
      </c>
    </row>
    <row r="2" customFormat="false" ht="15" hidden="false" customHeight="true" outlineLevel="0" collapsed="false">
      <c r="A2" s="11" t="s">
        <v>234</v>
      </c>
    </row>
    <row r="3" customFormat="false" ht="15" hidden="false" customHeight="true" outlineLevel="0" collapsed="false">
      <c r="A3" s="9" t="s">
        <v>235</v>
      </c>
      <c r="B3" s="9" t="s">
        <v>18</v>
      </c>
    </row>
    <row r="4" customFormat="false" ht="15" hidden="false" customHeight="true" outlineLevel="0" collapsed="false">
      <c r="A4" s="3" t="s">
        <v>54</v>
      </c>
      <c r="B4" s="21" t="n">
        <f aca="false">Target_T</f>
        <v>70</v>
      </c>
    </row>
    <row r="5" customFormat="false" ht="15" hidden="false" customHeight="true" outlineLevel="0" collapsed="false">
      <c r="A5" s="3" t="s">
        <v>236</v>
      </c>
      <c r="B5" s="10" t="n">
        <v>0</v>
      </c>
    </row>
    <row r="6" customFormat="false" ht="15" hidden="false" customHeight="false" outlineLevel="0" collapsed="false">
      <c r="A6" s="3" t="s">
        <v>56</v>
      </c>
      <c r="B6" s="21" t="n">
        <f aca="false">Target_E</f>
        <v>80</v>
      </c>
    </row>
    <row r="7" customFormat="false" ht="15" hidden="false" customHeight="true" outlineLevel="0" collapsed="false">
      <c r="A7" s="9" t="s">
        <v>237</v>
      </c>
      <c r="B7" s="9" t="s">
        <v>201</v>
      </c>
      <c r="C7" s="9" t="s">
        <v>202</v>
      </c>
      <c r="D7" s="9" t="s">
        <v>203</v>
      </c>
      <c r="E7" s="9" t="s">
        <v>204</v>
      </c>
      <c r="F7" s="9" t="s">
        <v>205</v>
      </c>
    </row>
    <row r="8" customFormat="false" ht="15" hidden="false" customHeight="true" outlineLevel="0" collapsed="false">
      <c r="A8" s="3" t="s">
        <v>238</v>
      </c>
      <c r="B8" s="14" t="n">
        <f aca="false">SUMPRODUCT(($B$35:$B$375&lt;=0)*($R$35:$R$375=1))</f>
        <v>1</v>
      </c>
      <c r="C8" s="14" t="n">
        <f aca="false">SUMPRODUCT(($B$35:$B$375&lt;=1)*($R$35:$R$375=1))</f>
        <v>5</v>
      </c>
      <c r="D8" s="14" t="n">
        <f aca="false">SUMPRODUCT(($B$35:$B$375&lt;=2)*($R$35:$R$375=1))</f>
        <v>13</v>
      </c>
      <c r="E8" s="14" t="n">
        <f aca="false">SUMPRODUCT(($B$35:$B$375&lt;=3)*($R$35:$R$375=1))</f>
        <v>21</v>
      </c>
      <c r="F8" s="14" t="n">
        <f aca="false">SUMPRODUCT(($B$35:$B$375&lt;=4)*($R$35:$R$375=1))</f>
        <v>28</v>
      </c>
    </row>
    <row r="9" customFormat="false" ht="15" hidden="false" customHeight="true" outlineLevel="0" collapsed="false">
      <c r="A9" s="3" t="s">
        <v>239</v>
      </c>
      <c r="B9" s="14" t="n">
        <f aca="false">SUMIFS($L$35:$L$375,$B$35:$B$375,0)</f>
        <v>1</v>
      </c>
      <c r="C9" s="14" t="n">
        <f aca="false">SUMIFS($L$35:$L$375,$B$35:$B$375,1)</f>
        <v>4</v>
      </c>
      <c r="D9" s="14" t="n">
        <f aca="false">SUMIFS($L$35:$L$375,$B$35:$B$375,2)</f>
        <v>9</v>
      </c>
      <c r="E9" s="14" t="n">
        <f aca="false">SUMIFS($L$35:$L$375,$B$35:$B$375,3)</f>
        <v>12</v>
      </c>
      <c r="F9" s="14" t="n">
        <f aca="false">SUMIFS($L$35:$L$375,$B$35:$B$375,4)</f>
        <v>11</v>
      </c>
    </row>
    <row r="10" customFormat="false" ht="15" hidden="false" customHeight="true" outlineLevel="0" collapsed="false">
      <c r="A10" s="3" t="s">
        <v>240</v>
      </c>
      <c r="B10" s="19" t="n">
        <f aca="false">_xlfn.MAXIFS($N$35:$N$375,$L$35:$L$375,1,$B$35:$B$375,"&lt;="&amp;0)</f>
        <v>41</v>
      </c>
      <c r="C10" s="19" t="n">
        <f aca="false">_xlfn.MAXIFS($N$35:$N$375,$L$35:$L$375,1,$B$35:$B$375,"&lt;="&amp;1)</f>
        <v>75.6346691353518</v>
      </c>
      <c r="D10" s="19" t="n">
        <f aca="false">_xlfn.MAXIFS($N$35:$N$375,$L$35:$L$375,1,$B$35:$B$375,"&lt;="&amp;2)</f>
        <v>75.6346691353518</v>
      </c>
      <c r="E10" s="19" t="n">
        <f aca="false">_xlfn.MAXIFS($N$35:$N$375,$L$35:$L$375,1,$B$35:$B$375,"&lt;="&amp;3)</f>
        <v>75.6346691353518</v>
      </c>
      <c r="F10" s="19" t="n">
        <f aca="false">_xlfn.MAXIFS($N$35:$N$375,$L$35:$L$375,1,$B$35:$B$375,"&lt;="&amp;4)</f>
        <v>75.6346691353518</v>
      </c>
    </row>
    <row r="12" customFormat="false" ht="15" hidden="false" customHeight="true" outlineLevel="0" collapsed="false">
      <c r="A12" s="5" t="s">
        <v>241</v>
      </c>
      <c r="B12" s="14" t="n">
        <f aca="false">SUM($T$35:$T$375)</f>
        <v>0</v>
      </c>
    </row>
    <row r="13" customFormat="false" ht="15" hidden="false" customHeight="true" outlineLevel="0" collapsed="false">
      <c r="A13" s="5" t="s">
        <v>242</v>
      </c>
      <c r="B13" s="14" t="n">
        <f aca="false">IF(COUNTIFS($L$35:$L$375,1,$N$35:$N$375,"&gt;="&amp;($B$4-0.000000001),$P$35:$P$375,"&gt;="&amp;($B$6-0.000000001),$M$35:$M$375,"&gt;="&amp;(Floor_q+$B$5-0.000000001))=0,"not reachable",_xlfn.MINIFS($B$35:$B$375,$L$35:$L$375,1,$N$35:$N$375,"&gt;="&amp;($B$4-0.000000001),$P$35:$P$375,"&gt;="&amp;($B$6-0.000000001),$M$35:$M$375,"&gt;="&amp;(Floor_q+$B$5-0.000000001)))</f>
        <v>2</v>
      </c>
    </row>
    <row r="14" customFormat="false" ht="15" hidden="false" customHeight="true" outlineLevel="0" collapsed="false">
      <c r="A14" s="3" t="s">
        <v>243</v>
      </c>
      <c r="B14" s="14" t="n">
        <f aca="false">COUNTIFS($L$35:$L$375,1,$N$35:$N$375,"&gt;="&amp;($B$4-0.000000001),$P$35:$P$375,"&gt;="&amp;($B$6-0.000000001),$M$35:$M$375,"&gt;="&amp;(Floor_q+$B$5-0.000000001))</f>
        <v>7</v>
      </c>
    </row>
    <row r="15" customFormat="false" ht="15" hidden="false" customHeight="true" outlineLevel="0" collapsed="false">
      <c r="A15" s="3" t="s">
        <v>244</v>
      </c>
      <c r="B15" s="14" t="n">
        <f aca="false">SUMPRODUCT(($R$35:$R$375=1)*($N$35:$N$375&gt;=$B$4-0.000000001)*($P$35:$P$375&gt;=$B$6-0.000000001)*($M$35:$M$375&gt;=Floor_q+$B$5-0.000000001))</f>
        <v>5</v>
      </c>
    </row>
    <row r="16" customFormat="false" ht="15" hidden="false" customHeight="true" outlineLevel="0" collapsed="false">
      <c r="A16" s="3" t="s">
        <v>245</v>
      </c>
      <c r="B16" s="14" t="n">
        <f aca="false">IF(B14=0,"none",_xlfn.MAXIFS($M$35:$M$375,$L$35:$L$375,1,$N$35:$N$375,"&gt;="&amp;($B$4-0.000000001),$P$35:$P$375,"&gt;="&amp;($B$6-0.000000001),$M$35:$M$375,"&gt;="&amp;(Floor_q+$B$5-0.000000001)))</f>
        <v>556.632729102868</v>
      </c>
    </row>
    <row r="17" customFormat="false" ht="15" hidden="false" customHeight="true" outlineLevel="0" collapsed="false">
      <c r="A17" s="3" t="s">
        <v>246</v>
      </c>
      <c r="B17" s="14" t="n">
        <f aca="false">_xlfn.MAXIFS($M$35:$M$375,$L$35:$L$375,1,$N$35:$N$375,"&gt;="&amp;($B$4-0.000000001),$P$35:$P$375,"&gt;="&amp;($B$6-0.000000001))-Floor_q</f>
        <v>206.632729102868</v>
      </c>
    </row>
    <row r="18" customFormat="false" ht="15" hidden="false" customHeight="true" outlineLevel="0" collapsed="false">
      <c r="A18" s="3" t="s">
        <v>247</v>
      </c>
      <c r="B18" s="19" t="n">
        <f aca="false">_xlfn.MAXIFS($N$35:$N$375,$L$35:$L$375,1)</f>
        <v>75.6346691353518</v>
      </c>
    </row>
    <row r="19" customFormat="false" ht="15" hidden="false" customHeight="true" outlineLevel="0" collapsed="false">
      <c r="A19" s="3" t="s">
        <v>248</v>
      </c>
      <c r="B19" s="19" t="n">
        <f aca="false">IF(COUNTIFS($L$35:$L$375,1,$N$35:$N$375,"&gt;="&amp;36.85,$N$35:$N$375,"&lt;"&amp;36.95)&gt;0,36.9,"")</f>
        <v>36.9</v>
      </c>
      <c r="C19" s="19" t="n">
        <f aca="false">IF(COUNTIFS($L$35:$L$375,1,$N$35:$N$375,"&gt;="&amp;40.95,$N$35:$N$375,"&lt;"&amp;41.05)&gt;0,41,"")</f>
        <v>41</v>
      </c>
      <c r="D19" s="19" t="n">
        <f aca="false">IF(COUNTIFS($L$35:$L$375,1,$N$35:$N$375,"&gt;="&amp;68.05,$N$35:$N$375,"&lt;"&amp;68.15)&gt;0,68.1,"")</f>
        <v>68.1</v>
      </c>
      <c r="E19" s="19" t="n">
        <f aca="false">IF(COUNTIFS($L$35:$L$375,1,$N$35:$N$375,"&gt;="&amp;71.45,$N$35:$N$375,"&lt;"&amp;71.55)&gt;0,71.5,"")</f>
        <v>71.5</v>
      </c>
      <c r="F19" s="19" t="n">
        <f aca="false">IF(COUNTIFS($L$35:$L$375,1,$N$35:$N$375,"&gt;="&amp;75.55,$N$35:$N$375,"&lt;"&amp;75.65)&gt;0,75.6,"")</f>
        <v>75.6</v>
      </c>
    </row>
    <row r="21" customFormat="false" ht="34.5" hidden="false" customHeight="true" outlineLevel="0" collapsed="false">
      <c r="A21" s="9" t="s">
        <v>249</v>
      </c>
      <c r="B21" s="9" t="s">
        <v>250</v>
      </c>
      <c r="C21" s="9" t="s">
        <v>251</v>
      </c>
      <c r="D21" s="9" t="s">
        <v>252</v>
      </c>
      <c r="E21" s="9" t="s">
        <v>253</v>
      </c>
    </row>
    <row r="22" customFormat="false" ht="15" hidden="false" customHeight="true" outlineLevel="0" collapsed="false">
      <c r="A22" s="3" t="s">
        <v>254</v>
      </c>
      <c r="B22" s="13" t="n">
        <v>2</v>
      </c>
      <c r="C22" s="14" t="n">
        <f aca="false">ROUNDUP(LN((Ceil_E-Eff_today)/B22)/LN(1/(1-Close_A)),0)</f>
        <v>3</v>
      </c>
      <c r="D22" s="37" t="n">
        <f aca="false">Ceil_E-(Ceil_E-Eff_today)*(1-Close_A)^C22</f>
        <v>83.25</v>
      </c>
      <c r="E22" s="37" t="n">
        <f aca="false">Ceil_E-(Ceil_E-Eff_today)*(1-Close_A)^(C22-1)</f>
        <v>81.5</v>
      </c>
    </row>
    <row r="23" customFormat="false" ht="15" hidden="false" customHeight="true" outlineLevel="0" collapsed="false">
      <c r="A23" s="3" t="s">
        <v>254</v>
      </c>
      <c r="B23" s="13" t="n">
        <v>1</v>
      </c>
      <c r="C23" s="14" t="n">
        <f aca="false">ROUNDUP(LN((Ceil_E-Eff_today)/B23)/LN(1/(1-Close_A)),0)</f>
        <v>4</v>
      </c>
      <c r="D23" s="37" t="n">
        <f aca="false">Ceil_E-(Ceil_E-Eff_today)*(1-Close_A)^C23</f>
        <v>84.125</v>
      </c>
      <c r="E23" s="37" t="n">
        <f aca="false">Ceil_E-(Ceil_E-Eff_today)*(1-Close_A)^(C23-1)</f>
        <v>83.25</v>
      </c>
    </row>
    <row r="24" customFormat="false" ht="15" hidden="false" customHeight="true" outlineLevel="0" collapsed="false">
      <c r="A24" s="3" t="s">
        <v>254</v>
      </c>
      <c r="B24" s="13" t="n">
        <v>0.5</v>
      </c>
      <c r="C24" s="14" t="n">
        <f aca="false">ROUNDUP(LN((Ceil_E-Eff_today)/B24)/LN(1/(1-Close_A)),0)</f>
        <v>5</v>
      </c>
      <c r="D24" s="37" t="n">
        <f aca="false">Ceil_E-(Ceil_E-Eff_today)*(1-Close_A)^C24</f>
        <v>84.5625</v>
      </c>
      <c r="E24" s="37" t="n">
        <f aca="false">Ceil_E-(Ceil_E-Eff_today)*(1-Close_A)^(C24-1)</f>
        <v>84.125</v>
      </c>
    </row>
    <row r="25" customFormat="false" ht="15" hidden="false" customHeight="true" outlineLevel="0" collapsed="false">
      <c r="A25" s="3" t="s">
        <v>254</v>
      </c>
      <c r="B25" s="13" t="n">
        <v>0.25</v>
      </c>
      <c r="C25" s="14" t="n">
        <f aca="false">ROUNDUP(LN((Ceil_E-Eff_today)/B25)/LN(1/(1-Close_A)),0)</f>
        <v>6</v>
      </c>
      <c r="D25" s="37" t="n">
        <f aca="false">Ceil_E-(Ceil_E-Eff_today)*(1-Close_A)^C25</f>
        <v>84.78125</v>
      </c>
      <c r="E25" s="37" t="n">
        <f aca="false">Ceil_E-(Ceil_E-Eff_today)*(1-Close_A)^(C25-1)</f>
        <v>84.5625</v>
      </c>
    </row>
    <row r="26" customFormat="false" ht="15" hidden="false" customHeight="true" outlineLevel="0" collapsed="false">
      <c r="A26" s="3" t="s">
        <v>254</v>
      </c>
      <c r="B26" s="13" t="n">
        <v>0.1</v>
      </c>
      <c r="C26" s="14" t="n">
        <f aca="false">ROUNDUP(LN((Ceil_E-Eff_today)/B26)/LN(1/(1-Close_A)),0)</f>
        <v>8</v>
      </c>
      <c r="D26" s="37" t="n">
        <f aca="false">Ceil_E-(Ceil_E-Eff_today)*(1-Close_A)^C26</f>
        <v>84.9453125</v>
      </c>
      <c r="E26" s="37" t="n">
        <f aca="false">Ceil_E-(Ceil_E-Eff_today)*(1-Close_A)^(C26-1)</f>
        <v>84.890625</v>
      </c>
    </row>
    <row r="27" customFormat="false" ht="15" hidden="false" customHeight="true" outlineLevel="0" collapsed="false">
      <c r="A27" s="3" t="s">
        <v>255</v>
      </c>
      <c r="C27" s="16" t="n">
        <f aca="false">LN(2)/LN(1/(1-Close_A))</f>
        <v>1</v>
      </c>
    </row>
    <row r="29" customFormat="false" ht="23.25" hidden="false" customHeight="true" outlineLevel="0" collapsed="false">
      <c r="A29" s="9" t="s">
        <v>256</v>
      </c>
      <c r="B29" s="9" t="s">
        <v>250</v>
      </c>
      <c r="C29" s="9" t="s">
        <v>257</v>
      </c>
      <c r="D29" s="9" t="s">
        <v>258</v>
      </c>
    </row>
    <row r="30" customFormat="false" ht="15" hidden="false" customHeight="true" outlineLevel="0" collapsed="false">
      <c r="A30" s="3" t="s">
        <v>259</v>
      </c>
      <c r="B30" s="38" t="n">
        <v>0.1</v>
      </c>
      <c r="C30" s="14" t="n">
        <f aca="false">ROUNDUP(LOG(1/B30,2),0)</f>
        <v>4</v>
      </c>
      <c r="D30" s="39" t="n">
        <f aca="false">0.5^C30</f>
        <v>0.0625</v>
      </c>
    </row>
    <row r="31" customFormat="false" ht="15" hidden="false" customHeight="true" outlineLevel="0" collapsed="false">
      <c r="A31" s="3" t="s">
        <v>259</v>
      </c>
      <c r="B31" s="38" t="n">
        <v>0.01</v>
      </c>
      <c r="C31" s="14" t="n">
        <f aca="false">ROUNDUP(LOG(1/B31,2),0)</f>
        <v>7</v>
      </c>
      <c r="D31" s="39" t="n">
        <f aca="false">0.5^C31</f>
        <v>0.0078125</v>
      </c>
    </row>
    <row r="32" customFormat="false" ht="15" hidden="false" customHeight="true" outlineLevel="0" collapsed="false">
      <c r="A32" s="3" t="s">
        <v>259</v>
      </c>
      <c r="B32" s="38" t="n">
        <v>0.001</v>
      </c>
      <c r="C32" s="14" t="n">
        <f aca="false">ROUNDUP(LOG(1/B32,2),0)</f>
        <v>10</v>
      </c>
      <c r="D32" s="39" t="n">
        <f aca="false">0.5^C32</f>
        <v>0.0009765625</v>
      </c>
    </row>
    <row r="34" customFormat="false" ht="23.25" hidden="false" customHeight="true" outlineLevel="0" collapsed="false">
      <c r="A34" s="9" t="s">
        <v>260</v>
      </c>
      <c r="B34" s="9" t="s">
        <v>261</v>
      </c>
      <c r="C34" s="9" t="s">
        <v>262</v>
      </c>
      <c r="D34" s="9" t="s">
        <v>263</v>
      </c>
      <c r="E34" s="9" t="s">
        <v>264</v>
      </c>
      <c r="F34" s="9" t="s">
        <v>265</v>
      </c>
      <c r="G34" s="9" t="s">
        <v>266</v>
      </c>
      <c r="H34" s="9" t="s">
        <v>267</v>
      </c>
      <c r="I34" s="9" t="s">
        <v>268</v>
      </c>
      <c r="J34" s="9" t="s">
        <v>269</v>
      </c>
      <c r="K34" s="9" t="s">
        <v>270</v>
      </c>
      <c r="L34" s="9" t="s">
        <v>271</v>
      </c>
      <c r="M34" s="9" t="s">
        <v>81</v>
      </c>
      <c r="N34" s="9" t="s">
        <v>82</v>
      </c>
      <c r="O34" s="9" t="s">
        <v>83</v>
      </c>
      <c r="P34" s="9" t="s">
        <v>84</v>
      </c>
      <c r="Q34" s="9" t="s">
        <v>272</v>
      </c>
      <c r="R34" s="9" t="s">
        <v>273</v>
      </c>
      <c r="S34" s="9" t="s">
        <v>274</v>
      </c>
      <c r="T34" s="9" t="s">
        <v>275</v>
      </c>
      <c r="U34" s="9" t="s">
        <v>276</v>
      </c>
      <c r="V34" s="9" t="s">
        <v>138</v>
      </c>
    </row>
    <row r="35" customFormat="false" ht="15" hidden="false" customHeight="true" outlineLevel="0" collapsed="false">
      <c r="A35" s="3" t="s">
        <v>277</v>
      </c>
      <c r="B35" s="14" t="n">
        <v>0</v>
      </c>
      <c r="L35" s="14" t="n">
        <v>1</v>
      </c>
      <c r="M35" s="19" t="n">
        <f aca="false">Liq_today</f>
        <v>620</v>
      </c>
      <c r="N35" s="19" t="n">
        <f aca="false">Tech_today</f>
        <v>41</v>
      </c>
      <c r="O35" s="14" t="n">
        <f aca="false">W_today</f>
        <v>58</v>
      </c>
      <c r="P35" s="16" t="n">
        <f aca="false">Eff_today</f>
        <v>71</v>
      </c>
      <c r="Q35" s="14" t="n">
        <f aca="false">Operators!F4</f>
        <v>0</v>
      </c>
      <c r="R35" s="14" t="n">
        <v>1</v>
      </c>
      <c r="S35" s="14" t="n">
        <f aca="false">IF(AND(L35=1,N35&gt;=$B$4-0.000000001,P35&gt;=$B$6-0.000000001,M35&gt;=Floor_q+$B$5-0.000000001),1,0)</f>
        <v>0</v>
      </c>
      <c r="V35" s="14" t="n">
        <f aca="false">Operators!G4</f>
        <v>0</v>
      </c>
    </row>
    <row r="36" customFormat="false" ht="15" hidden="false" customHeight="true" outlineLevel="0" collapsed="false">
      <c r="A36" s="3" t="s">
        <v>159</v>
      </c>
      <c r="B36" s="14" t="n">
        <v>1</v>
      </c>
      <c r="C36" s="14" t="n">
        <v>35</v>
      </c>
      <c r="D36" s="14" t="n">
        <v>1</v>
      </c>
      <c r="E36" s="14" t="n">
        <f aca="false">L35</f>
        <v>1</v>
      </c>
      <c r="F36" s="19" t="n">
        <f aca="false">M35</f>
        <v>620</v>
      </c>
      <c r="G36" s="19" t="n">
        <f aca="false">N35</f>
        <v>41</v>
      </c>
      <c r="H36" s="14" t="n">
        <f aca="false">O35</f>
        <v>58</v>
      </c>
      <c r="I36" s="16" t="n">
        <f aca="false">P35</f>
        <v>71</v>
      </c>
      <c r="J36" s="14" t="n">
        <f aca="false">Q35</f>
        <v>0</v>
      </c>
      <c r="K36" s="14" t="n">
        <f aca="false">IF(D36&lt;=2,1-J36,IF(D36=3,IF(AND(U36=0,H36&gt;=W_min,F36-D_dip&gt;=Floor_q),1,0),IF(AND(H36&gt;=W_min,F36&gt;=Pre_A),1,0)))</f>
        <v>1</v>
      </c>
      <c r="L36" s="14" t="n">
        <f aca="false">E36*K36</f>
        <v>1</v>
      </c>
      <c r="M36" s="19" t="n">
        <f aca="false">CHOOSE(D36,F36+Proc_S,F36+Proc_Sk,F36+D_dL,F36-Cost_A)</f>
        <v>732</v>
      </c>
      <c r="N36" s="19" t="n">
        <f aca="false">CHOOSE(D36,(1-Tech_share)*G36,(1-Tech_share)*G36,G36+D_dT,G36)</f>
        <v>36.9</v>
      </c>
      <c r="O36" s="14" t="n">
        <f aca="false">CHOOSE(D36,H36-W_lost,H36,H36,H36+W_gain)</f>
        <v>53</v>
      </c>
      <c r="P36" s="16" t="n">
        <f aca="false">CHOOSE(D36,I36,I36,I36+D_dE,I36+Close_A*(Ceil_E-I36))</f>
        <v>71</v>
      </c>
      <c r="Q36" s="14" t="n">
        <f aca="false">CHOOSE(D36,1,1,J36,J36)</f>
        <v>1</v>
      </c>
      <c r="R36" s="14" t="n">
        <f aca="false">IF(L36=1,IF(SUMPRODUCT(($L$35:$L$35=1)*(ABS($M$35:$M$35-M36)&lt;0.000001)*(ABS($N$35:$N$35-N36)&lt;0.000001)*($O$35:$O$35=O36)*(ABS($P$35:$P$35-P36)&lt;0.000001)*($Q$35:$Q$35=Q36)*($V$35:$V$35=V36))=0,1,0),0)</f>
        <v>1</v>
      </c>
      <c r="S36" s="14" t="n">
        <f aca="false">IF(AND(L36=1,N36&gt;=$B$4-0.000000001,P36&gt;=$B$6-0.000000001,M36&gt;=Floor_q+$B$5-0.000000001),1,0)</f>
        <v>0</v>
      </c>
      <c r="U36" s="14" t="n">
        <f aca="false">V35</f>
        <v>0</v>
      </c>
      <c r="V36" s="14" t="n">
        <f aca="false">CHOOSE(D36,U36,U36,1,U36)</f>
        <v>0</v>
      </c>
    </row>
    <row r="37" customFormat="false" ht="15" hidden="false" customHeight="true" outlineLevel="0" collapsed="false">
      <c r="A37" s="3" t="s">
        <v>160</v>
      </c>
      <c r="B37" s="14" t="n">
        <v>1</v>
      </c>
      <c r="C37" s="14" t="n">
        <v>35</v>
      </c>
      <c r="D37" s="14" t="n">
        <v>2</v>
      </c>
      <c r="E37" s="14" t="n">
        <f aca="false">L35</f>
        <v>1</v>
      </c>
      <c r="F37" s="19" t="n">
        <f aca="false">M35</f>
        <v>620</v>
      </c>
      <c r="G37" s="19" t="n">
        <f aca="false">N35</f>
        <v>41</v>
      </c>
      <c r="H37" s="14" t="n">
        <f aca="false">O35</f>
        <v>58</v>
      </c>
      <c r="I37" s="16" t="n">
        <f aca="false">P35</f>
        <v>71</v>
      </c>
      <c r="J37" s="14" t="n">
        <f aca="false">Q35</f>
        <v>0</v>
      </c>
      <c r="K37" s="14" t="n">
        <f aca="false">IF(D37&lt;=2,1-J37,IF(D37=3,IF(AND(U37=0,H37&gt;=W_min,F37-D_dip&gt;=Floor_q),1,0),IF(AND(H37&gt;=W_min,F37&gt;=Pre_A),1,0)))</f>
        <v>1</v>
      </c>
      <c r="L37" s="14" t="n">
        <f aca="false">E37*K37</f>
        <v>1</v>
      </c>
      <c r="M37" s="19" t="n">
        <f aca="false">CHOOSE(D37,F37+Proc_S,F37+Proc_Sk,F37+D_dL,F37-Cost_A)</f>
        <v>712</v>
      </c>
      <c r="N37" s="19" t="n">
        <f aca="false">CHOOSE(D37,(1-Tech_share)*G37,(1-Tech_share)*G37,G37+D_dT,G37)</f>
        <v>36.9</v>
      </c>
      <c r="O37" s="14" t="n">
        <f aca="false">CHOOSE(D37,H37-W_lost,H37,H37,H37+W_gain)</f>
        <v>58</v>
      </c>
      <c r="P37" s="16" t="n">
        <f aca="false">CHOOSE(D37,I37,I37,I37+D_dE,I37+Close_A*(Ceil_E-I37))</f>
        <v>71</v>
      </c>
      <c r="Q37" s="14" t="n">
        <f aca="false">CHOOSE(D37,1,1,J37,J37)</f>
        <v>1</v>
      </c>
      <c r="R37" s="14" t="n">
        <f aca="false">IF(L37=1,IF(SUMPRODUCT(($L$35:$L$36=1)*(ABS($M$35:$M$36-M37)&lt;0.000001)*(ABS($N$35:$N$36-N37)&lt;0.000001)*($O$35:$O$36=O37)*(ABS($P$35:$P$36-P37)&lt;0.000001)*($Q$35:$Q$36=Q37)*($V$35:$V$36=V37))=0,1,0),0)</f>
        <v>1</v>
      </c>
      <c r="S37" s="14" t="n">
        <f aca="false">IF(AND(L37=1,N37&gt;=$B$4-0.000000001,P37&gt;=$B$6-0.000000001,M37&gt;=Floor_q+$B$5-0.000000001),1,0)</f>
        <v>0</v>
      </c>
      <c r="U37" s="14" t="n">
        <f aca="false">V35</f>
        <v>0</v>
      </c>
      <c r="V37" s="14" t="n">
        <f aca="false">CHOOSE(D37,U37,U37,1,U37)</f>
        <v>0</v>
      </c>
    </row>
    <row r="38" customFormat="false" ht="15" hidden="false" customHeight="true" outlineLevel="0" collapsed="false">
      <c r="A38" s="3" t="s">
        <v>161</v>
      </c>
      <c r="B38" s="14" t="n">
        <v>1</v>
      </c>
      <c r="C38" s="14" t="n">
        <v>35</v>
      </c>
      <c r="D38" s="14" t="n">
        <v>3</v>
      </c>
      <c r="E38" s="14" t="n">
        <f aca="false">L35</f>
        <v>1</v>
      </c>
      <c r="F38" s="19" t="n">
        <f aca="false">M35</f>
        <v>620</v>
      </c>
      <c r="G38" s="19" t="n">
        <f aca="false">N35</f>
        <v>41</v>
      </c>
      <c r="H38" s="14" t="n">
        <f aca="false">O35</f>
        <v>58</v>
      </c>
      <c r="I38" s="16" t="n">
        <f aca="false">P35</f>
        <v>71</v>
      </c>
      <c r="J38" s="14" t="n">
        <f aca="false">Q35</f>
        <v>0</v>
      </c>
      <c r="K38" s="14" t="n">
        <f aca="false">IF(D38&lt;=2,1-J38,IF(D38=3,IF(AND(U38=0,H38&gt;=W_min,F38-D_dip&gt;=Floor_q),1,0),IF(AND(H38&gt;=W_min,F38&gt;=Pre_A),1,0)))</f>
        <v>1</v>
      </c>
      <c r="L38" s="14" t="n">
        <f aca="false">E38*K38</f>
        <v>1</v>
      </c>
      <c r="M38" s="19" t="n">
        <f aca="false">CHOOSE(D38,F38+Proc_S,F38+Proc_Sk,F38+D_dL,F38-Cost_A)</f>
        <v>584.632729102868</v>
      </c>
      <c r="N38" s="19" t="n">
        <f aca="false">CHOOSE(D38,(1-Tech_share)*G38,(1-Tech_share)*G38,G38+D_dT,G38)</f>
        <v>75.6346691353518</v>
      </c>
      <c r="O38" s="14" t="n">
        <f aca="false">CHOOSE(D38,H38-W_lost,H38,H38,H38+W_gain)</f>
        <v>58</v>
      </c>
      <c r="P38" s="16" t="n">
        <f aca="false">CHOOSE(D38,I38,I38,I38+D_dE,I38+Close_A*(Ceil_E-I38))</f>
        <v>73.5983309723245</v>
      </c>
      <c r="Q38" s="14" t="n">
        <f aca="false">CHOOSE(D38,1,1,J38,J38)</f>
        <v>0</v>
      </c>
      <c r="R38" s="14" t="n">
        <f aca="false">IF(L38=1,IF(SUMPRODUCT(($L$35:$L$37=1)*(ABS($M$35:$M$37-M38)&lt;0.000001)*(ABS($N$35:$N$37-N38)&lt;0.000001)*($O$35:$O$37=O38)*(ABS($P$35:$P$37-P38)&lt;0.000001)*($Q$35:$Q$37=Q38)*($V$35:$V$37=V38))=0,1,0),0)</f>
        <v>1</v>
      </c>
      <c r="S38" s="14" t="n">
        <f aca="false">IF(AND(L38=1,N38&gt;=$B$4-0.000000001,P38&gt;=$B$6-0.000000001,M38&gt;=Floor_q+$B$5-0.000000001),1,0)</f>
        <v>0</v>
      </c>
      <c r="U38" s="14" t="n">
        <f aca="false">V35</f>
        <v>0</v>
      </c>
      <c r="V38" s="14" t="n">
        <f aca="false">CHOOSE(D38,U38,U38,1,U38)</f>
        <v>1</v>
      </c>
    </row>
    <row r="39" customFormat="false" ht="15" hidden="false" customHeight="true" outlineLevel="0" collapsed="false">
      <c r="A39" s="3" t="s">
        <v>162</v>
      </c>
      <c r="B39" s="14" t="n">
        <v>1</v>
      </c>
      <c r="C39" s="14" t="n">
        <v>35</v>
      </c>
      <c r="D39" s="14" t="n">
        <v>4</v>
      </c>
      <c r="E39" s="14" t="n">
        <f aca="false">L35</f>
        <v>1</v>
      </c>
      <c r="F39" s="19" t="n">
        <f aca="false">M35</f>
        <v>620</v>
      </c>
      <c r="G39" s="19" t="n">
        <f aca="false">N35</f>
        <v>41</v>
      </c>
      <c r="H39" s="14" t="n">
        <f aca="false">O35</f>
        <v>58</v>
      </c>
      <c r="I39" s="16" t="n">
        <f aca="false">P35</f>
        <v>71</v>
      </c>
      <c r="J39" s="14" t="n">
        <f aca="false">Q35</f>
        <v>0</v>
      </c>
      <c r="K39" s="14" t="n">
        <f aca="false">IF(D39&lt;=2,1-J39,IF(D39=3,IF(AND(U39=0,H39&gt;=W_min,F39-D_dip&gt;=Floor_q),1,0),IF(AND(H39&gt;=W_min,F39&gt;=Pre_A),1,0)))</f>
        <v>1</v>
      </c>
      <c r="L39" s="14" t="n">
        <f aca="false">E39*K39</f>
        <v>1</v>
      </c>
      <c r="M39" s="19" t="n">
        <f aca="false">CHOOSE(D39,F39+Proc_S,F39+Proc_Sk,F39+D_dL,F39-Cost_A)</f>
        <v>500</v>
      </c>
      <c r="N39" s="19" t="n">
        <f aca="false">CHOOSE(D39,(1-Tech_share)*G39,(1-Tech_share)*G39,G39+D_dT,G39)</f>
        <v>41</v>
      </c>
      <c r="O39" s="14" t="n">
        <f aca="false">CHOOSE(D39,H39-W_lost,H39,H39,H39+W_gain)</f>
        <v>59</v>
      </c>
      <c r="P39" s="16" t="n">
        <f aca="false">CHOOSE(D39,I39,I39,I39+D_dE,I39+Close_A*(Ceil_E-I39))</f>
        <v>78</v>
      </c>
      <c r="Q39" s="14" t="n">
        <f aca="false">CHOOSE(D39,1,1,J39,J39)</f>
        <v>0</v>
      </c>
      <c r="R39" s="14" t="n">
        <f aca="false">IF(L39=1,IF(SUMPRODUCT(($L$35:$L$38=1)*(ABS($M$35:$M$38-M39)&lt;0.000001)*(ABS($N$35:$N$38-N39)&lt;0.000001)*($O$35:$O$38=O39)*(ABS($P$35:$P$38-P39)&lt;0.000001)*($Q$35:$Q$38=Q39)*($V$35:$V$38=V39))=0,1,0),0)</f>
        <v>1</v>
      </c>
      <c r="S39" s="14" t="n">
        <f aca="false">IF(AND(L39=1,N39&gt;=$B$4-0.000000001,P39&gt;=$B$6-0.000000001,M39&gt;=Floor_q+$B$5-0.000000001),1,0)</f>
        <v>0</v>
      </c>
      <c r="U39" s="14" t="n">
        <f aca="false">V35</f>
        <v>0</v>
      </c>
      <c r="V39" s="14" t="n">
        <f aca="false">CHOOSE(D39,U39,U39,1,U39)</f>
        <v>0</v>
      </c>
    </row>
    <row r="40" customFormat="false" ht="15" hidden="false" customHeight="true" outlineLevel="0" collapsed="false">
      <c r="A40" s="3" t="s">
        <v>278</v>
      </c>
      <c r="B40" s="14" t="n">
        <v>2</v>
      </c>
      <c r="C40" s="14" t="n">
        <v>36</v>
      </c>
      <c r="D40" s="14" t="n">
        <v>1</v>
      </c>
      <c r="E40" s="14" t="n">
        <f aca="false">L36</f>
        <v>1</v>
      </c>
      <c r="F40" s="19" t="n">
        <f aca="false">M36</f>
        <v>732</v>
      </c>
      <c r="G40" s="19" t="n">
        <f aca="false">N36</f>
        <v>36.9</v>
      </c>
      <c r="H40" s="14" t="n">
        <f aca="false">O36</f>
        <v>53</v>
      </c>
      <c r="I40" s="16" t="n">
        <f aca="false">P36</f>
        <v>71</v>
      </c>
      <c r="J40" s="14" t="n">
        <f aca="false">Q36</f>
        <v>1</v>
      </c>
      <c r="K40" s="14" t="n">
        <f aca="false">IF(D40&lt;=2,1-J40,IF(D40=3,IF(AND(U40=0,H40&gt;=W_min,F40-D_dip&gt;=Floor_q),1,0),IF(AND(H40&gt;=W_min,F40&gt;=Pre_A),1,0)))</f>
        <v>0</v>
      </c>
      <c r="L40" s="14" t="n">
        <f aca="false">E40*K40</f>
        <v>0</v>
      </c>
      <c r="M40" s="19" t="n">
        <f aca="false">CHOOSE(D40,F40+Proc_S,F40+Proc_Sk,F40+D_dL,F40-Cost_A)</f>
        <v>844</v>
      </c>
      <c r="N40" s="19" t="n">
        <f aca="false">CHOOSE(D40,(1-Tech_share)*G40,(1-Tech_share)*G40,G40+D_dT,G40)</f>
        <v>33.21</v>
      </c>
      <c r="O40" s="14" t="n">
        <f aca="false">CHOOSE(D40,H40-W_lost,H40,H40,H40+W_gain)</f>
        <v>48</v>
      </c>
      <c r="P40" s="16" t="n">
        <f aca="false">CHOOSE(D40,I40,I40,I40+D_dE,I40+Close_A*(Ceil_E-I40))</f>
        <v>71</v>
      </c>
      <c r="Q40" s="14" t="n">
        <f aca="false">CHOOSE(D40,1,1,J40,J40)</f>
        <v>1</v>
      </c>
      <c r="R40" s="14" t="n">
        <f aca="false">IF(L40=1,IF(SUMPRODUCT(($L$35:$L$39=1)*(ABS($M$35:$M$39-M40)&lt;0.000001)*(ABS($N$35:$N$39-N40)&lt;0.000001)*($O$35:$O$39=O40)*(ABS($P$35:$P$39-P40)&lt;0.000001)*($Q$35:$Q$39=Q40)*($V$35:$V$39=V40))=0,1,0),0)</f>
        <v>0</v>
      </c>
      <c r="S40" s="14" t="n">
        <f aca="false">IF(AND(L40=1,N40&gt;=$B$4-0.000000001,P40&gt;=$B$6-0.000000001,M40&gt;=Floor_q+$B$5-0.000000001),1,0)</f>
        <v>0</v>
      </c>
      <c r="U40" s="14" t="n">
        <f aca="false">V36</f>
        <v>0</v>
      </c>
      <c r="V40" s="14" t="n">
        <f aca="false">CHOOSE(D40,U40,U40,1,U40)</f>
        <v>0</v>
      </c>
    </row>
    <row r="41" customFormat="false" ht="15" hidden="false" customHeight="true" outlineLevel="0" collapsed="false">
      <c r="A41" s="3" t="s">
        <v>279</v>
      </c>
      <c r="B41" s="14" t="n">
        <v>2</v>
      </c>
      <c r="C41" s="14" t="n">
        <v>36</v>
      </c>
      <c r="D41" s="14" t="n">
        <v>2</v>
      </c>
      <c r="E41" s="14" t="n">
        <f aca="false">L36</f>
        <v>1</v>
      </c>
      <c r="F41" s="19" t="n">
        <f aca="false">M36</f>
        <v>732</v>
      </c>
      <c r="G41" s="19" t="n">
        <f aca="false">N36</f>
        <v>36.9</v>
      </c>
      <c r="H41" s="14" t="n">
        <f aca="false">O36</f>
        <v>53</v>
      </c>
      <c r="I41" s="16" t="n">
        <f aca="false">P36</f>
        <v>71</v>
      </c>
      <c r="J41" s="14" t="n">
        <f aca="false">Q36</f>
        <v>1</v>
      </c>
      <c r="K41" s="14" t="n">
        <f aca="false">IF(D41&lt;=2,1-J41,IF(D41=3,IF(AND(U41=0,H41&gt;=W_min,F41-D_dip&gt;=Floor_q),1,0),IF(AND(H41&gt;=W_min,F41&gt;=Pre_A),1,0)))</f>
        <v>0</v>
      </c>
      <c r="L41" s="14" t="n">
        <f aca="false">E41*K41</f>
        <v>0</v>
      </c>
      <c r="M41" s="19" t="n">
        <f aca="false">CHOOSE(D41,F41+Proc_S,F41+Proc_Sk,F41+D_dL,F41-Cost_A)</f>
        <v>824</v>
      </c>
      <c r="N41" s="19" t="n">
        <f aca="false">CHOOSE(D41,(1-Tech_share)*G41,(1-Tech_share)*G41,G41+D_dT,G41)</f>
        <v>33.21</v>
      </c>
      <c r="O41" s="14" t="n">
        <f aca="false">CHOOSE(D41,H41-W_lost,H41,H41,H41+W_gain)</f>
        <v>53</v>
      </c>
      <c r="P41" s="16" t="n">
        <f aca="false">CHOOSE(D41,I41,I41,I41+D_dE,I41+Close_A*(Ceil_E-I41))</f>
        <v>71</v>
      </c>
      <c r="Q41" s="14" t="n">
        <f aca="false">CHOOSE(D41,1,1,J41,J41)</f>
        <v>1</v>
      </c>
      <c r="R41" s="14" t="n">
        <f aca="false">IF(L41=1,IF(SUMPRODUCT(($L$35:$L$40=1)*(ABS($M$35:$M$40-M41)&lt;0.000001)*(ABS($N$35:$N$40-N41)&lt;0.000001)*($O$35:$O$40=O41)*(ABS($P$35:$P$40-P41)&lt;0.000001)*($Q$35:$Q$40=Q41)*($V$35:$V$40=V41))=0,1,0),0)</f>
        <v>0</v>
      </c>
      <c r="S41" s="14" t="n">
        <f aca="false">IF(AND(L41=1,N41&gt;=$B$4-0.000000001,P41&gt;=$B$6-0.000000001,M41&gt;=Floor_q+$B$5-0.000000001),1,0)</f>
        <v>0</v>
      </c>
      <c r="U41" s="14" t="n">
        <f aca="false">V36</f>
        <v>0</v>
      </c>
      <c r="V41" s="14" t="n">
        <f aca="false">CHOOSE(D41,U41,U41,1,U41)</f>
        <v>0</v>
      </c>
    </row>
    <row r="42" customFormat="false" ht="15" hidden="false" customHeight="true" outlineLevel="0" collapsed="false">
      <c r="A42" s="3" t="s">
        <v>280</v>
      </c>
      <c r="B42" s="14" t="n">
        <v>2</v>
      </c>
      <c r="C42" s="14" t="n">
        <v>36</v>
      </c>
      <c r="D42" s="14" t="n">
        <v>3</v>
      </c>
      <c r="E42" s="14" t="n">
        <f aca="false">L36</f>
        <v>1</v>
      </c>
      <c r="F42" s="19" t="n">
        <f aca="false">M36</f>
        <v>732</v>
      </c>
      <c r="G42" s="19" t="n">
        <f aca="false">N36</f>
        <v>36.9</v>
      </c>
      <c r="H42" s="14" t="n">
        <f aca="false">O36</f>
        <v>53</v>
      </c>
      <c r="I42" s="16" t="n">
        <f aca="false">P36</f>
        <v>71</v>
      </c>
      <c r="J42" s="14" t="n">
        <f aca="false">Q36</f>
        <v>1</v>
      </c>
      <c r="K42" s="14" t="n">
        <f aca="false">IF(D42&lt;=2,1-J42,IF(D42=3,IF(AND(U42=0,H42&gt;=W_min,F42-D_dip&gt;=Floor_q),1,0),IF(AND(H42&gt;=W_min,F42&gt;=Pre_A),1,0)))</f>
        <v>0</v>
      </c>
      <c r="L42" s="14" t="n">
        <f aca="false">E42*K42</f>
        <v>0</v>
      </c>
      <c r="M42" s="19" t="n">
        <f aca="false">CHOOSE(D42,F42+Proc_S,F42+Proc_Sk,F42+D_dL,F42-Cost_A)</f>
        <v>696.632729102868</v>
      </c>
      <c r="N42" s="19" t="n">
        <f aca="false">CHOOSE(D42,(1-Tech_share)*G42,(1-Tech_share)*G42,G42+D_dT,G42)</f>
        <v>71.5346691353518</v>
      </c>
      <c r="O42" s="14" t="n">
        <f aca="false">CHOOSE(D42,H42-W_lost,H42,H42,H42+W_gain)</f>
        <v>53</v>
      </c>
      <c r="P42" s="16" t="n">
        <f aca="false">CHOOSE(D42,I42,I42,I42+D_dE,I42+Close_A*(Ceil_E-I42))</f>
        <v>73.5983309723245</v>
      </c>
      <c r="Q42" s="14" t="n">
        <f aca="false">CHOOSE(D42,1,1,J42,J42)</f>
        <v>1</v>
      </c>
      <c r="R42" s="14" t="n">
        <f aca="false">IF(L42=1,IF(SUMPRODUCT(($L$35:$L$41=1)*(ABS($M$35:$M$41-M42)&lt;0.000001)*(ABS($N$35:$N$41-N42)&lt;0.000001)*($O$35:$O$41=O42)*(ABS($P$35:$P$41-P42)&lt;0.000001)*($Q$35:$Q$41=Q42)*($V$35:$V$41=V42))=0,1,0),0)</f>
        <v>0</v>
      </c>
      <c r="S42" s="14" t="n">
        <f aca="false">IF(AND(L42=1,N42&gt;=$B$4-0.000000001,P42&gt;=$B$6-0.000000001,M42&gt;=Floor_q+$B$5-0.000000001),1,0)</f>
        <v>0</v>
      </c>
      <c r="U42" s="14" t="n">
        <f aca="false">V36</f>
        <v>0</v>
      </c>
      <c r="V42" s="14" t="n">
        <f aca="false">CHOOSE(D42,U42,U42,1,U42)</f>
        <v>1</v>
      </c>
    </row>
    <row r="43" customFormat="false" ht="15" hidden="false" customHeight="true" outlineLevel="0" collapsed="false">
      <c r="A43" s="3" t="s">
        <v>281</v>
      </c>
      <c r="B43" s="14" t="n">
        <v>2</v>
      </c>
      <c r="C43" s="14" t="n">
        <v>36</v>
      </c>
      <c r="D43" s="14" t="n">
        <v>4</v>
      </c>
      <c r="E43" s="14" t="n">
        <f aca="false">L36</f>
        <v>1</v>
      </c>
      <c r="F43" s="19" t="n">
        <f aca="false">M36</f>
        <v>732</v>
      </c>
      <c r="G43" s="19" t="n">
        <f aca="false">N36</f>
        <v>36.9</v>
      </c>
      <c r="H43" s="14" t="n">
        <f aca="false">O36</f>
        <v>53</v>
      </c>
      <c r="I43" s="16" t="n">
        <f aca="false">P36</f>
        <v>71</v>
      </c>
      <c r="J43" s="14" t="n">
        <f aca="false">Q36</f>
        <v>1</v>
      </c>
      <c r="K43" s="14" t="n">
        <f aca="false">IF(D43&lt;=2,1-J43,IF(D43=3,IF(AND(U43=0,H43&gt;=W_min,F43-D_dip&gt;=Floor_q),1,0),IF(AND(H43&gt;=W_min,F43&gt;=Pre_A),1,0)))</f>
        <v>0</v>
      </c>
      <c r="L43" s="14" t="n">
        <f aca="false">E43*K43</f>
        <v>0</v>
      </c>
      <c r="M43" s="19" t="n">
        <f aca="false">CHOOSE(D43,F43+Proc_S,F43+Proc_Sk,F43+D_dL,F43-Cost_A)</f>
        <v>612</v>
      </c>
      <c r="N43" s="19" t="n">
        <f aca="false">CHOOSE(D43,(1-Tech_share)*G43,(1-Tech_share)*G43,G43+D_dT,G43)</f>
        <v>36.9</v>
      </c>
      <c r="O43" s="14" t="n">
        <f aca="false">CHOOSE(D43,H43-W_lost,H43,H43,H43+W_gain)</f>
        <v>54</v>
      </c>
      <c r="P43" s="16" t="n">
        <f aca="false">CHOOSE(D43,I43,I43,I43+D_dE,I43+Close_A*(Ceil_E-I43))</f>
        <v>78</v>
      </c>
      <c r="Q43" s="14" t="n">
        <f aca="false">CHOOSE(D43,1,1,J43,J43)</f>
        <v>1</v>
      </c>
      <c r="R43" s="14" t="n">
        <f aca="false">IF(L43=1,IF(SUMPRODUCT(($L$35:$L$42=1)*(ABS($M$35:$M$42-M43)&lt;0.000001)*(ABS($N$35:$N$42-N43)&lt;0.000001)*($O$35:$O$42=O43)*(ABS($P$35:$P$42-P43)&lt;0.000001)*($Q$35:$Q$42=Q43)*($V$35:$V$42=V43))=0,1,0),0)</f>
        <v>0</v>
      </c>
      <c r="S43" s="14" t="n">
        <f aca="false">IF(AND(L43=1,N43&gt;=$B$4-0.000000001,P43&gt;=$B$6-0.000000001,M43&gt;=Floor_q+$B$5-0.000000001),1,0)</f>
        <v>0</v>
      </c>
      <c r="U43" s="14" t="n">
        <f aca="false">V36</f>
        <v>0</v>
      </c>
      <c r="V43" s="14" t="n">
        <f aca="false">CHOOSE(D43,U43,U43,1,U43)</f>
        <v>0</v>
      </c>
    </row>
    <row r="44" customFormat="false" ht="15" hidden="false" customHeight="true" outlineLevel="0" collapsed="false">
      <c r="A44" s="3" t="s">
        <v>282</v>
      </c>
      <c r="B44" s="14" t="n">
        <v>2</v>
      </c>
      <c r="C44" s="14" t="n">
        <v>37</v>
      </c>
      <c r="D44" s="14" t="n">
        <v>1</v>
      </c>
      <c r="E44" s="14" t="n">
        <f aca="false">L37</f>
        <v>1</v>
      </c>
      <c r="F44" s="19" t="n">
        <f aca="false">M37</f>
        <v>712</v>
      </c>
      <c r="G44" s="19" t="n">
        <f aca="false">N37</f>
        <v>36.9</v>
      </c>
      <c r="H44" s="14" t="n">
        <f aca="false">O37</f>
        <v>58</v>
      </c>
      <c r="I44" s="16" t="n">
        <f aca="false">P37</f>
        <v>71</v>
      </c>
      <c r="J44" s="14" t="n">
        <f aca="false">Q37</f>
        <v>1</v>
      </c>
      <c r="K44" s="14" t="n">
        <f aca="false">IF(D44&lt;=2,1-J44,IF(D44=3,IF(AND(U44=0,H44&gt;=W_min,F44-D_dip&gt;=Floor_q),1,0),IF(AND(H44&gt;=W_min,F44&gt;=Pre_A),1,0)))</f>
        <v>0</v>
      </c>
      <c r="L44" s="14" t="n">
        <f aca="false">E44*K44</f>
        <v>0</v>
      </c>
      <c r="M44" s="19" t="n">
        <f aca="false">CHOOSE(D44,F44+Proc_S,F44+Proc_Sk,F44+D_dL,F44-Cost_A)</f>
        <v>824</v>
      </c>
      <c r="N44" s="19" t="n">
        <f aca="false">CHOOSE(D44,(1-Tech_share)*G44,(1-Tech_share)*G44,G44+D_dT,G44)</f>
        <v>33.21</v>
      </c>
      <c r="O44" s="14" t="n">
        <f aca="false">CHOOSE(D44,H44-W_lost,H44,H44,H44+W_gain)</f>
        <v>53</v>
      </c>
      <c r="P44" s="16" t="n">
        <f aca="false">CHOOSE(D44,I44,I44,I44+D_dE,I44+Close_A*(Ceil_E-I44))</f>
        <v>71</v>
      </c>
      <c r="Q44" s="14" t="n">
        <f aca="false">CHOOSE(D44,1,1,J44,J44)</f>
        <v>1</v>
      </c>
      <c r="R44" s="14" t="n">
        <f aca="false">IF(L44=1,IF(SUMPRODUCT(($L$35:$L$43=1)*(ABS($M$35:$M$43-M44)&lt;0.000001)*(ABS($N$35:$N$43-N44)&lt;0.000001)*($O$35:$O$43=O44)*(ABS($P$35:$P$43-P44)&lt;0.000001)*($Q$35:$Q$43=Q44)*($V$35:$V$43=V44))=0,1,0),0)</f>
        <v>0</v>
      </c>
      <c r="S44" s="14" t="n">
        <f aca="false">IF(AND(L44=1,N44&gt;=$B$4-0.000000001,P44&gt;=$B$6-0.000000001,M44&gt;=Floor_q+$B$5-0.000000001),1,0)</f>
        <v>0</v>
      </c>
      <c r="U44" s="14" t="n">
        <f aca="false">V37</f>
        <v>0</v>
      </c>
      <c r="V44" s="14" t="n">
        <f aca="false">CHOOSE(D44,U44,U44,1,U44)</f>
        <v>0</v>
      </c>
    </row>
    <row r="45" customFormat="false" ht="15" hidden="false" customHeight="true" outlineLevel="0" collapsed="false">
      <c r="A45" s="3" t="s">
        <v>283</v>
      </c>
      <c r="B45" s="14" t="n">
        <v>2</v>
      </c>
      <c r="C45" s="14" t="n">
        <v>37</v>
      </c>
      <c r="D45" s="14" t="n">
        <v>2</v>
      </c>
      <c r="E45" s="14" t="n">
        <f aca="false">L37</f>
        <v>1</v>
      </c>
      <c r="F45" s="19" t="n">
        <f aca="false">M37</f>
        <v>712</v>
      </c>
      <c r="G45" s="19" t="n">
        <f aca="false">N37</f>
        <v>36.9</v>
      </c>
      <c r="H45" s="14" t="n">
        <f aca="false">O37</f>
        <v>58</v>
      </c>
      <c r="I45" s="16" t="n">
        <f aca="false">P37</f>
        <v>71</v>
      </c>
      <c r="J45" s="14" t="n">
        <f aca="false">Q37</f>
        <v>1</v>
      </c>
      <c r="K45" s="14" t="n">
        <f aca="false">IF(D45&lt;=2,1-J45,IF(D45=3,IF(AND(U45=0,H45&gt;=W_min,F45-D_dip&gt;=Floor_q),1,0),IF(AND(H45&gt;=W_min,F45&gt;=Pre_A),1,0)))</f>
        <v>0</v>
      </c>
      <c r="L45" s="14" t="n">
        <f aca="false">E45*K45</f>
        <v>0</v>
      </c>
      <c r="M45" s="19" t="n">
        <f aca="false">CHOOSE(D45,F45+Proc_S,F45+Proc_Sk,F45+D_dL,F45-Cost_A)</f>
        <v>804</v>
      </c>
      <c r="N45" s="19" t="n">
        <f aca="false">CHOOSE(D45,(1-Tech_share)*G45,(1-Tech_share)*G45,G45+D_dT,G45)</f>
        <v>33.21</v>
      </c>
      <c r="O45" s="14" t="n">
        <f aca="false">CHOOSE(D45,H45-W_lost,H45,H45,H45+W_gain)</f>
        <v>58</v>
      </c>
      <c r="P45" s="16" t="n">
        <f aca="false">CHOOSE(D45,I45,I45,I45+D_dE,I45+Close_A*(Ceil_E-I45))</f>
        <v>71</v>
      </c>
      <c r="Q45" s="14" t="n">
        <f aca="false">CHOOSE(D45,1,1,J45,J45)</f>
        <v>1</v>
      </c>
      <c r="R45" s="14" t="n">
        <f aca="false">IF(L45=1,IF(SUMPRODUCT(($L$35:$L$44=1)*(ABS($M$35:$M$44-M45)&lt;0.000001)*(ABS($N$35:$N$44-N45)&lt;0.000001)*($O$35:$O$44=O45)*(ABS($P$35:$P$44-P45)&lt;0.000001)*($Q$35:$Q$44=Q45)*($V$35:$V$44=V45))=0,1,0),0)</f>
        <v>0</v>
      </c>
      <c r="S45" s="14" t="n">
        <f aca="false">IF(AND(L45=1,N45&gt;=$B$4-0.000000001,P45&gt;=$B$6-0.000000001,M45&gt;=Floor_q+$B$5-0.000000001),1,0)</f>
        <v>0</v>
      </c>
      <c r="U45" s="14" t="n">
        <f aca="false">V37</f>
        <v>0</v>
      </c>
      <c r="V45" s="14" t="n">
        <f aca="false">CHOOSE(D45,U45,U45,1,U45)</f>
        <v>0</v>
      </c>
    </row>
    <row r="46" customFormat="false" ht="15" hidden="false" customHeight="true" outlineLevel="0" collapsed="false">
      <c r="A46" s="3" t="s">
        <v>284</v>
      </c>
      <c r="B46" s="14" t="n">
        <v>2</v>
      </c>
      <c r="C46" s="14" t="n">
        <v>37</v>
      </c>
      <c r="D46" s="14" t="n">
        <v>3</v>
      </c>
      <c r="E46" s="14" t="n">
        <f aca="false">L37</f>
        <v>1</v>
      </c>
      <c r="F46" s="19" t="n">
        <f aca="false">M37</f>
        <v>712</v>
      </c>
      <c r="G46" s="19" t="n">
        <f aca="false">N37</f>
        <v>36.9</v>
      </c>
      <c r="H46" s="14" t="n">
        <f aca="false">O37</f>
        <v>58</v>
      </c>
      <c r="I46" s="16" t="n">
        <f aca="false">P37</f>
        <v>71</v>
      </c>
      <c r="J46" s="14" t="n">
        <f aca="false">Q37</f>
        <v>1</v>
      </c>
      <c r="K46" s="14" t="n">
        <f aca="false">IF(D46&lt;=2,1-J46,IF(D46=3,IF(AND(U46=0,H46&gt;=W_min,F46-D_dip&gt;=Floor_q),1,0),IF(AND(H46&gt;=W_min,F46&gt;=Pre_A),1,0)))</f>
        <v>1</v>
      </c>
      <c r="L46" s="14" t="n">
        <f aca="false">E46*K46</f>
        <v>1</v>
      </c>
      <c r="M46" s="19" t="n">
        <f aca="false">CHOOSE(D46,F46+Proc_S,F46+Proc_Sk,F46+D_dL,F46-Cost_A)</f>
        <v>676.632729102868</v>
      </c>
      <c r="N46" s="19" t="n">
        <f aca="false">CHOOSE(D46,(1-Tech_share)*G46,(1-Tech_share)*G46,G46+D_dT,G46)</f>
        <v>71.5346691353518</v>
      </c>
      <c r="O46" s="14" t="n">
        <f aca="false">CHOOSE(D46,H46-W_lost,H46,H46,H46+W_gain)</f>
        <v>58</v>
      </c>
      <c r="P46" s="16" t="n">
        <f aca="false">CHOOSE(D46,I46,I46,I46+D_dE,I46+Close_A*(Ceil_E-I46))</f>
        <v>73.5983309723245</v>
      </c>
      <c r="Q46" s="14" t="n">
        <f aca="false">CHOOSE(D46,1,1,J46,J46)</f>
        <v>1</v>
      </c>
      <c r="R46" s="14" t="n">
        <f aca="false">IF(L46=1,IF(SUMPRODUCT(($L$35:$L$45=1)*(ABS($M$35:$M$45-M46)&lt;0.000001)*(ABS($N$35:$N$45-N46)&lt;0.000001)*($O$35:$O$45=O46)*(ABS($P$35:$P$45-P46)&lt;0.000001)*($Q$35:$Q$45=Q46)*($V$35:$V$45=V46))=0,1,0),0)</f>
        <v>1</v>
      </c>
      <c r="S46" s="14" t="n">
        <f aca="false">IF(AND(L46=1,N46&gt;=$B$4-0.000000001,P46&gt;=$B$6-0.000000001,M46&gt;=Floor_q+$B$5-0.000000001),1,0)</f>
        <v>0</v>
      </c>
      <c r="U46" s="14" t="n">
        <f aca="false">V37</f>
        <v>0</v>
      </c>
      <c r="V46" s="14" t="n">
        <f aca="false">CHOOSE(D46,U46,U46,1,U46)</f>
        <v>1</v>
      </c>
    </row>
    <row r="47" customFormat="false" ht="15" hidden="false" customHeight="true" outlineLevel="0" collapsed="false">
      <c r="A47" s="3" t="s">
        <v>285</v>
      </c>
      <c r="B47" s="14" t="n">
        <v>2</v>
      </c>
      <c r="C47" s="14" t="n">
        <v>37</v>
      </c>
      <c r="D47" s="14" t="n">
        <v>4</v>
      </c>
      <c r="E47" s="14" t="n">
        <f aca="false">L37</f>
        <v>1</v>
      </c>
      <c r="F47" s="19" t="n">
        <f aca="false">M37</f>
        <v>712</v>
      </c>
      <c r="G47" s="19" t="n">
        <f aca="false">N37</f>
        <v>36.9</v>
      </c>
      <c r="H47" s="14" t="n">
        <f aca="false">O37</f>
        <v>58</v>
      </c>
      <c r="I47" s="16" t="n">
        <f aca="false">P37</f>
        <v>71</v>
      </c>
      <c r="J47" s="14" t="n">
        <f aca="false">Q37</f>
        <v>1</v>
      </c>
      <c r="K47" s="14" t="n">
        <f aca="false">IF(D47&lt;=2,1-J47,IF(D47=3,IF(AND(U47=0,H47&gt;=W_min,F47-D_dip&gt;=Floor_q),1,0),IF(AND(H47&gt;=W_min,F47&gt;=Pre_A),1,0)))</f>
        <v>1</v>
      </c>
      <c r="L47" s="14" t="n">
        <f aca="false">E47*K47</f>
        <v>1</v>
      </c>
      <c r="M47" s="19" t="n">
        <f aca="false">CHOOSE(D47,F47+Proc_S,F47+Proc_Sk,F47+D_dL,F47-Cost_A)</f>
        <v>592</v>
      </c>
      <c r="N47" s="19" t="n">
        <f aca="false">CHOOSE(D47,(1-Tech_share)*G47,(1-Tech_share)*G47,G47+D_dT,G47)</f>
        <v>36.9</v>
      </c>
      <c r="O47" s="14" t="n">
        <f aca="false">CHOOSE(D47,H47-W_lost,H47,H47,H47+W_gain)</f>
        <v>59</v>
      </c>
      <c r="P47" s="16" t="n">
        <f aca="false">CHOOSE(D47,I47,I47,I47+D_dE,I47+Close_A*(Ceil_E-I47))</f>
        <v>78</v>
      </c>
      <c r="Q47" s="14" t="n">
        <f aca="false">CHOOSE(D47,1,1,J47,J47)</f>
        <v>1</v>
      </c>
      <c r="R47" s="14" t="n">
        <f aca="false">IF(L47=1,IF(SUMPRODUCT(($L$35:$L$46=1)*(ABS($M$35:$M$46-M47)&lt;0.000001)*(ABS($N$35:$N$46-N47)&lt;0.000001)*($O$35:$O$46=O47)*(ABS($P$35:$P$46-P47)&lt;0.000001)*($Q$35:$Q$46=Q47)*($V$35:$V$46=V47))=0,1,0),0)</f>
        <v>1</v>
      </c>
      <c r="S47" s="14" t="n">
        <f aca="false">IF(AND(L47=1,N47&gt;=$B$4-0.000000001,P47&gt;=$B$6-0.000000001,M47&gt;=Floor_q+$B$5-0.000000001),1,0)</f>
        <v>0</v>
      </c>
      <c r="U47" s="14" t="n">
        <f aca="false">V37</f>
        <v>0</v>
      </c>
      <c r="V47" s="14" t="n">
        <f aca="false">CHOOSE(D47,U47,U47,1,U47)</f>
        <v>0</v>
      </c>
    </row>
    <row r="48" customFormat="false" ht="15" hidden="false" customHeight="true" outlineLevel="0" collapsed="false">
      <c r="A48" s="3" t="s">
        <v>286</v>
      </c>
      <c r="B48" s="14" t="n">
        <v>2</v>
      </c>
      <c r="C48" s="14" t="n">
        <v>38</v>
      </c>
      <c r="D48" s="14" t="n">
        <v>1</v>
      </c>
      <c r="E48" s="14" t="n">
        <f aca="false">L38</f>
        <v>1</v>
      </c>
      <c r="F48" s="19" t="n">
        <f aca="false">M38</f>
        <v>584.632729102868</v>
      </c>
      <c r="G48" s="19" t="n">
        <f aca="false">N38</f>
        <v>75.6346691353518</v>
      </c>
      <c r="H48" s="14" t="n">
        <f aca="false">O38</f>
        <v>58</v>
      </c>
      <c r="I48" s="16" t="n">
        <f aca="false">P38</f>
        <v>73.5983309723245</v>
      </c>
      <c r="J48" s="14" t="n">
        <f aca="false">Q38</f>
        <v>0</v>
      </c>
      <c r="K48" s="14" t="n">
        <f aca="false">IF(D48&lt;=2,1-J48,IF(D48=3,IF(AND(U48=0,H48&gt;=W_min,F48-D_dip&gt;=Floor_q),1,0),IF(AND(H48&gt;=W_min,F48&gt;=Pre_A),1,0)))</f>
        <v>1</v>
      </c>
      <c r="L48" s="14" t="n">
        <f aca="false">E48*K48</f>
        <v>1</v>
      </c>
      <c r="M48" s="19" t="n">
        <f aca="false">CHOOSE(D48,F48+Proc_S,F48+Proc_Sk,F48+D_dL,F48-Cost_A)</f>
        <v>696.632729102868</v>
      </c>
      <c r="N48" s="19" t="n">
        <f aca="false">CHOOSE(D48,(1-Tech_share)*G48,(1-Tech_share)*G48,G48+D_dT,G48)</f>
        <v>68.0712022218166</v>
      </c>
      <c r="O48" s="14" t="n">
        <f aca="false">CHOOSE(D48,H48-W_lost,H48,H48,H48+W_gain)</f>
        <v>53</v>
      </c>
      <c r="P48" s="16" t="n">
        <f aca="false">CHOOSE(D48,I48,I48,I48+D_dE,I48+Close_A*(Ceil_E-I48))</f>
        <v>73.5983309723245</v>
      </c>
      <c r="Q48" s="14" t="n">
        <f aca="false">CHOOSE(D48,1,1,J48,J48)</f>
        <v>1</v>
      </c>
      <c r="R48" s="14" t="n">
        <f aca="false">IF(L48=1,IF(SUMPRODUCT(($L$35:$L$47=1)*(ABS($M$35:$M$47-M48)&lt;0.000001)*(ABS($N$35:$N$47-N48)&lt;0.000001)*($O$35:$O$47=O48)*(ABS($P$35:$P$47-P48)&lt;0.000001)*($Q$35:$Q$47=Q48)*($V$35:$V$47=V48))=0,1,0),0)</f>
        <v>1</v>
      </c>
      <c r="S48" s="14" t="n">
        <f aca="false">IF(AND(L48=1,N48&gt;=$B$4-0.000000001,P48&gt;=$B$6-0.000000001,M48&gt;=Floor_q+$B$5-0.000000001),1,0)</f>
        <v>0</v>
      </c>
      <c r="U48" s="14" t="n">
        <f aca="false">V38</f>
        <v>1</v>
      </c>
      <c r="V48" s="14" t="n">
        <f aca="false">CHOOSE(D48,U48,U48,1,U48)</f>
        <v>1</v>
      </c>
    </row>
    <row r="49" customFormat="false" ht="15" hidden="false" customHeight="true" outlineLevel="0" collapsed="false">
      <c r="A49" s="3" t="s">
        <v>287</v>
      </c>
      <c r="B49" s="14" t="n">
        <v>2</v>
      </c>
      <c r="C49" s="14" t="n">
        <v>38</v>
      </c>
      <c r="D49" s="14" t="n">
        <v>2</v>
      </c>
      <c r="E49" s="14" t="n">
        <f aca="false">L38</f>
        <v>1</v>
      </c>
      <c r="F49" s="19" t="n">
        <f aca="false">M38</f>
        <v>584.632729102868</v>
      </c>
      <c r="G49" s="19" t="n">
        <f aca="false">N38</f>
        <v>75.6346691353518</v>
      </c>
      <c r="H49" s="14" t="n">
        <f aca="false">O38</f>
        <v>58</v>
      </c>
      <c r="I49" s="16" t="n">
        <f aca="false">P38</f>
        <v>73.5983309723245</v>
      </c>
      <c r="J49" s="14" t="n">
        <f aca="false">Q38</f>
        <v>0</v>
      </c>
      <c r="K49" s="14" t="n">
        <f aca="false">IF(D49&lt;=2,1-J49,IF(D49=3,IF(AND(U49=0,H49&gt;=W_min,F49-D_dip&gt;=Floor_q),1,0),IF(AND(H49&gt;=W_min,F49&gt;=Pre_A),1,0)))</f>
        <v>1</v>
      </c>
      <c r="L49" s="14" t="n">
        <f aca="false">E49*K49</f>
        <v>1</v>
      </c>
      <c r="M49" s="19" t="n">
        <f aca="false">CHOOSE(D49,F49+Proc_S,F49+Proc_Sk,F49+D_dL,F49-Cost_A)</f>
        <v>676.632729102868</v>
      </c>
      <c r="N49" s="19" t="n">
        <f aca="false">CHOOSE(D49,(1-Tech_share)*G49,(1-Tech_share)*G49,G49+D_dT,G49)</f>
        <v>68.0712022218166</v>
      </c>
      <c r="O49" s="14" t="n">
        <f aca="false">CHOOSE(D49,H49-W_lost,H49,H49,H49+W_gain)</f>
        <v>58</v>
      </c>
      <c r="P49" s="16" t="n">
        <f aca="false">CHOOSE(D49,I49,I49,I49+D_dE,I49+Close_A*(Ceil_E-I49))</f>
        <v>73.5983309723245</v>
      </c>
      <c r="Q49" s="14" t="n">
        <f aca="false">CHOOSE(D49,1,1,J49,J49)</f>
        <v>1</v>
      </c>
      <c r="R49" s="14" t="n">
        <f aca="false">IF(L49=1,IF(SUMPRODUCT(($L$35:$L$48=1)*(ABS($M$35:$M$48-M49)&lt;0.000001)*(ABS($N$35:$N$48-N49)&lt;0.000001)*($O$35:$O$48=O49)*(ABS($P$35:$P$48-P49)&lt;0.000001)*($Q$35:$Q$48=Q49)*($V$35:$V$48=V49))=0,1,0),0)</f>
        <v>1</v>
      </c>
      <c r="S49" s="14" t="n">
        <f aca="false">IF(AND(L49=1,N49&gt;=$B$4-0.000000001,P49&gt;=$B$6-0.000000001,M49&gt;=Floor_q+$B$5-0.000000001),1,0)</f>
        <v>0</v>
      </c>
      <c r="U49" s="14" t="n">
        <f aca="false">V38</f>
        <v>1</v>
      </c>
      <c r="V49" s="14" t="n">
        <f aca="false">CHOOSE(D49,U49,U49,1,U49)</f>
        <v>1</v>
      </c>
    </row>
    <row r="50" customFormat="false" ht="15" hidden="false" customHeight="true" outlineLevel="0" collapsed="false">
      <c r="A50" s="3" t="s">
        <v>288</v>
      </c>
      <c r="B50" s="14" t="n">
        <v>2</v>
      </c>
      <c r="C50" s="14" t="n">
        <v>38</v>
      </c>
      <c r="D50" s="14" t="n">
        <v>3</v>
      </c>
      <c r="E50" s="14" t="n">
        <f aca="false">L38</f>
        <v>1</v>
      </c>
      <c r="F50" s="19" t="n">
        <f aca="false">M38</f>
        <v>584.632729102868</v>
      </c>
      <c r="G50" s="19" t="n">
        <f aca="false">N38</f>
        <v>75.6346691353518</v>
      </c>
      <c r="H50" s="14" t="n">
        <f aca="false">O38</f>
        <v>58</v>
      </c>
      <c r="I50" s="16" t="n">
        <f aca="false">P38</f>
        <v>73.5983309723245</v>
      </c>
      <c r="J50" s="14" t="n">
        <f aca="false">Q38</f>
        <v>0</v>
      </c>
      <c r="K50" s="14" t="n">
        <f aca="false">IF(D50&lt;=2,1-J50,IF(D50=3,IF(AND(U50=0,H50&gt;=W_min,F50-D_dip&gt;=Floor_q),1,0),IF(AND(H50&gt;=W_min,F50&gt;=Pre_A),1,0)))</f>
        <v>0</v>
      </c>
      <c r="L50" s="14" t="n">
        <f aca="false">E50*K50</f>
        <v>0</v>
      </c>
      <c r="M50" s="19" t="n">
        <f aca="false">CHOOSE(D50,F50+Proc_S,F50+Proc_Sk,F50+D_dL,F50-Cost_A)</f>
        <v>549.265458205737</v>
      </c>
      <c r="N50" s="19" t="n">
        <f aca="false">CHOOSE(D50,(1-Tech_share)*G50,(1-Tech_share)*G50,G50+D_dT,G50)</f>
        <v>110.269338270704</v>
      </c>
      <c r="O50" s="14" t="n">
        <f aca="false">CHOOSE(D50,H50-W_lost,H50,H50,H50+W_gain)</f>
        <v>58</v>
      </c>
      <c r="P50" s="16" t="n">
        <f aca="false">CHOOSE(D50,I50,I50,I50+D_dE,I50+Close_A*(Ceil_E-I50))</f>
        <v>76.1966619446489</v>
      </c>
      <c r="Q50" s="14" t="n">
        <f aca="false">CHOOSE(D50,1,1,J50,J50)</f>
        <v>0</v>
      </c>
      <c r="R50" s="14" t="n">
        <f aca="false">IF(L50=1,IF(SUMPRODUCT(($L$35:$L$49=1)*(ABS($M$35:$M$49-M50)&lt;0.000001)*(ABS($N$35:$N$49-N50)&lt;0.000001)*($O$35:$O$49=O50)*(ABS($P$35:$P$49-P50)&lt;0.000001)*($Q$35:$Q$49=Q50)*($V$35:$V$49=V50))=0,1,0),0)</f>
        <v>0</v>
      </c>
      <c r="S50" s="14" t="n">
        <f aca="false">IF(AND(L50=1,N50&gt;=$B$4-0.000000001,P50&gt;=$B$6-0.000000001,M50&gt;=Floor_q+$B$5-0.000000001),1,0)</f>
        <v>0</v>
      </c>
      <c r="U50" s="14" t="n">
        <f aca="false">V38</f>
        <v>1</v>
      </c>
      <c r="V50" s="14" t="n">
        <f aca="false">CHOOSE(D50,U50,U50,1,U50)</f>
        <v>1</v>
      </c>
    </row>
    <row r="51" customFormat="false" ht="15" hidden="false" customHeight="true" outlineLevel="0" collapsed="false">
      <c r="A51" s="3" t="s">
        <v>289</v>
      </c>
      <c r="B51" s="14" t="n">
        <v>2</v>
      </c>
      <c r="C51" s="14" t="n">
        <v>38</v>
      </c>
      <c r="D51" s="14" t="n">
        <v>4</v>
      </c>
      <c r="E51" s="14" t="n">
        <f aca="false">L38</f>
        <v>1</v>
      </c>
      <c r="F51" s="19" t="n">
        <f aca="false">M38</f>
        <v>584.632729102868</v>
      </c>
      <c r="G51" s="19" t="n">
        <f aca="false">N38</f>
        <v>75.6346691353518</v>
      </c>
      <c r="H51" s="14" t="n">
        <f aca="false">O38</f>
        <v>58</v>
      </c>
      <c r="I51" s="16" t="n">
        <f aca="false">P38</f>
        <v>73.5983309723245</v>
      </c>
      <c r="J51" s="14" t="n">
        <f aca="false">Q38</f>
        <v>0</v>
      </c>
      <c r="K51" s="14" t="n">
        <f aca="false">IF(D51&lt;=2,1-J51,IF(D51=3,IF(AND(U51=0,H51&gt;=W_min,F51-D_dip&gt;=Floor_q),1,0),IF(AND(H51&gt;=W_min,F51&gt;=Pre_A),1,0)))</f>
        <v>1</v>
      </c>
      <c r="L51" s="14" t="n">
        <f aca="false">E51*K51</f>
        <v>1</v>
      </c>
      <c r="M51" s="19" t="n">
        <f aca="false">CHOOSE(D51,F51+Proc_S,F51+Proc_Sk,F51+D_dL,F51-Cost_A)</f>
        <v>464.632729102868</v>
      </c>
      <c r="N51" s="19" t="n">
        <f aca="false">CHOOSE(D51,(1-Tech_share)*G51,(1-Tech_share)*G51,G51+D_dT,G51)</f>
        <v>75.6346691353518</v>
      </c>
      <c r="O51" s="14" t="n">
        <f aca="false">CHOOSE(D51,H51-W_lost,H51,H51,H51+W_gain)</f>
        <v>59</v>
      </c>
      <c r="P51" s="16" t="n">
        <f aca="false">CHOOSE(D51,I51,I51,I51+D_dE,I51+Close_A*(Ceil_E-I51))</f>
        <v>79.2991654861622</v>
      </c>
      <c r="Q51" s="14" t="n">
        <f aca="false">CHOOSE(D51,1,1,J51,J51)</f>
        <v>0</v>
      </c>
      <c r="R51" s="14" t="n">
        <f aca="false">IF(L51=1,IF(SUMPRODUCT(($L$35:$L$50=1)*(ABS($M$35:$M$50-M51)&lt;0.000001)*(ABS($N$35:$N$50-N51)&lt;0.000001)*($O$35:$O$50=O51)*(ABS($P$35:$P$50-P51)&lt;0.000001)*($Q$35:$Q$50=Q51)*($V$35:$V$50=V51))=0,1,0),0)</f>
        <v>1</v>
      </c>
      <c r="S51" s="14" t="n">
        <f aca="false">IF(AND(L51=1,N51&gt;=$B$4-0.000000001,P51&gt;=$B$6-0.000000001,M51&gt;=Floor_q+$B$5-0.000000001),1,0)</f>
        <v>0</v>
      </c>
      <c r="U51" s="14" t="n">
        <f aca="false">V38</f>
        <v>1</v>
      </c>
      <c r="V51" s="14" t="n">
        <f aca="false">CHOOSE(D51,U51,U51,1,U51)</f>
        <v>1</v>
      </c>
    </row>
    <row r="52" customFormat="false" ht="15" hidden="false" customHeight="true" outlineLevel="0" collapsed="false">
      <c r="A52" s="3" t="s">
        <v>290</v>
      </c>
      <c r="B52" s="14" t="n">
        <v>2</v>
      </c>
      <c r="C52" s="14" t="n">
        <v>39</v>
      </c>
      <c r="D52" s="14" t="n">
        <v>1</v>
      </c>
      <c r="E52" s="14" t="n">
        <f aca="false">L39</f>
        <v>1</v>
      </c>
      <c r="F52" s="19" t="n">
        <f aca="false">M39</f>
        <v>500</v>
      </c>
      <c r="G52" s="19" t="n">
        <f aca="false">N39</f>
        <v>41</v>
      </c>
      <c r="H52" s="14" t="n">
        <f aca="false">O39</f>
        <v>59</v>
      </c>
      <c r="I52" s="16" t="n">
        <f aca="false">P39</f>
        <v>78</v>
      </c>
      <c r="J52" s="14" t="n">
        <f aca="false">Q39</f>
        <v>0</v>
      </c>
      <c r="K52" s="14" t="n">
        <f aca="false">IF(D52&lt;=2,1-J52,IF(D52=3,IF(AND(U52=0,H52&gt;=W_min,F52-D_dip&gt;=Floor_q),1,0),IF(AND(H52&gt;=W_min,F52&gt;=Pre_A),1,0)))</f>
        <v>1</v>
      </c>
      <c r="L52" s="14" t="n">
        <f aca="false">E52*K52</f>
        <v>1</v>
      </c>
      <c r="M52" s="19" t="n">
        <f aca="false">CHOOSE(D52,F52+Proc_S,F52+Proc_Sk,F52+D_dL,F52-Cost_A)</f>
        <v>612</v>
      </c>
      <c r="N52" s="19" t="n">
        <f aca="false">CHOOSE(D52,(1-Tech_share)*G52,(1-Tech_share)*G52,G52+D_dT,G52)</f>
        <v>36.9</v>
      </c>
      <c r="O52" s="14" t="n">
        <f aca="false">CHOOSE(D52,H52-W_lost,H52,H52,H52+W_gain)</f>
        <v>54</v>
      </c>
      <c r="P52" s="16" t="n">
        <f aca="false">CHOOSE(D52,I52,I52,I52+D_dE,I52+Close_A*(Ceil_E-I52))</f>
        <v>78</v>
      </c>
      <c r="Q52" s="14" t="n">
        <f aca="false">CHOOSE(D52,1,1,J52,J52)</f>
        <v>1</v>
      </c>
      <c r="R52" s="14" t="n">
        <f aca="false">IF(L52=1,IF(SUMPRODUCT(($L$35:$L$51=1)*(ABS($M$35:$M$51-M52)&lt;0.000001)*(ABS($N$35:$N$51-N52)&lt;0.000001)*($O$35:$O$51=O52)*(ABS($P$35:$P$51-P52)&lt;0.000001)*($Q$35:$Q$51=Q52)*($V$35:$V$51=V52))=0,1,0),0)</f>
        <v>1</v>
      </c>
      <c r="S52" s="14" t="n">
        <f aca="false">IF(AND(L52=1,N52&gt;=$B$4-0.000000001,P52&gt;=$B$6-0.000000001,M52&gt;=Floor_q+$B$5-0.000000001),1,0)</f>
        <v>0</v>
      </c>
      <c r="U52" s="14" t="n">
        <f aca="false">V39</f>
        <v>0</v>
      </c>
      <c r="V52" s="14" t="n">
        <f aca="false">CHOOSE(D52,U52,U52,1,U52)</f>
        <v>0</v>
      </c>
    </row>
    <row r="53" customFormat="false" ht="15" hidden="false" customHeight="true" outlineLevel="0" collapsed="false">
      <c r="A53" s="3" t="s">
        <v>291</v>
      </c>
      <c r="B53" s="14" t="n">
        <v>2</v>
      </c>
      <c r="C53" s="14" t="n">
        <v>39</v>
      </c>
      <c r="D53" s="14" t="n">
        <v>2</v>
      </c>
      <c r="E53" s="14" t="n">
        <f aca="false">L39</f>
        <v>1</v>
      </c>
      <c r="F53" s="19" t="n">
        <f aca="false">M39</f>
        <v>500</v>
      </c>
      <c r="G53" s="19" t="n">
        <f aca="false">N39</f>
        <v>41</v>
      </c>
      <c r="H53" s="14" t="n">
        <f aca="false">O39</f>
        <v>59</v>
      </c>
      <c r="I53" s="16" t="n">
        <f aca="false">P39</f>
        <v>78</v>
      </c>
      <c r="J53" s="14" t="n">
        <f aca="false">Q39</f>
        <v>0</v>
      </c>
      <c r="K53" s="14" t="n">
        <f aca="false">IF(D53&lt;=2,1-J53,IF(D53=3,IF(AND(U53=0,H53&gt;=W_min,F53-D_dip&gt;=Floor_q),1,0),IF(AND(H53&gt;=W_min,F53&gt;=Pre_A),1,0)))</f>
        <v>1</v>
      </c>
      <c r="L53" s="14" t="n">
        <f aca="false">E53*K53</f>
        <v>1</v>
      </c>
      <c r="M53" s="19" t="n">
        <f aca="false">CHOOSE(D53,F53+Proc_S,F53+Proc_Sk,F53+D_dL,F53-Cost_A)</f>
        <v>592</v>
      </c>
      <c r="N53" s="19" t="n">
        <f aca="false">CHOOSE(D53,(1-Tech_share)*G53,(1-Tech_share)*G53,G53+D_dT,G53)</f>
        <v>36.9</v>
      </c>
      <c r="O53" s="14" t="n">
        <f aca="false">CHOOSE(D53,H53-W_lost,H53,H53,H53+W_gain)</f>
        <v>59</v>
      </c>
      <c r="P53" s="16" t="n">
        <f aca="false">CHOOSE(D53,I53,I53,I53+D_dE,I53+Close_A*(Ceil_E-I53))</f>
        <v>78</v>
      </c>
      <c r="Q53" s="14" t="n">
        <f aca="false">CHOOSE(D53,1,1,J53,J53)</f>
        <v>1</v>
      </c>
      <c r="R53" s="14" t="n">
        <f aca="false">IF(L53=1,IF(SUMPRODUCT(($L$35:$L$52=1)*(ABS($M$35:$M$52-M53)&lt;0.000001)*(ABS($N$35:$N$52-N53)&lt;0.000001)*($O$35:$O$52=O53)*(ABS($P$35:$P$52-P53)&lt;0.000001)*($Q$35:$Q$52=Q53)*($V$35:$V$52=V53))=0,1,0),0)</f>
        <v>0</v>
      </c>
      <c r="S53" s="14" t="n">
        <f aca="false">IF(AND(L53=1,N53&gt;=$B$4-0.000000001,P53&gt;=$B$6-0.000000001,M53&gt;=Floor_q+$B$5-0.000000001),1,0)</f>
        <v>0</v>
      </c>
      <c r="U53" s="14" t="n">
        <f aca="false">V39</f>
        <v>0</v>
      </c>
      <c r="V53" s="14" t="n">
        <f aca="false">CHOOSE(D53,U53,U53,1,U53)</f>
        <v>0</v>
      </c>
    </row>
    <row r="54" customFormat="false" ht="15" hidden="false" customHeight="true" outlineLevel="0" collapsed="false">
      <c r="A54" s="3" t="s">
        <v>292</v>
      </c>
      <c r="B54" s="14" t="n">
        <v>2</v>
      </c>
      <c r="C54" s="14" t="n">
        <v>39</v>
      </c>
      <c r="D54" s="14" t="n">
        <v>3</v>
      </c>
      <c r="E54" s="14" t="n">
        <f aca="false">L39</f>
        <v>1</v>
      </c>
      <c r="F54" s="19" t="n">
        <f aca="false">M39</f>
        <v>500</v>
      </c>
      <c r="G54" s="19" t="n">
        <f aca="false">N39</f>
        <v>41</v>
      </c>
      <c r="H54" s="14" t="n">
        <f aca="false">O39</f>
        <v>59</v>
      </c>
      <c r="I54" s="16" t="n">
        <f aca="false">P39</f>
        <v>78</v>
      </c>
      <c r="J54" s="14" t="n">
        <f aca="false">Q39</f>
        <v>0</v>
      </c>
      <c r="K54" s="14" t="n">
        <f aca="false">IF(D54&lt;=2,1-J54,IF(D54=3,IF(AND(U54=0,H54&gt;=W_min,F54-D_dip&gt;=Floor_q),1,0),IF(AND(H54&gt;=W_min,F54&gt;=Pre_A),1,0)))</f>
        <v>1</v>
      </c>
      <c r="L54" s="14" t="n">
        <f aca="false">E54*K54</f>
        <v>1</v>
      </c>
      <c r="M54" s="19" t="n">
        <f aca="false">CHOOSE(D54,F54+Proc_S,F54+Proc_Sk,F54+D_dL,F54-Cost_A)</f>
        <v>464.632729102868</v>
      </c>
      <c r="N54" s="19" t="n">
        <f aca="false">CHOOSE(D54,(1-Tech_share)*G54,(1-Tech_share)*G54,G54+D_dT,G54)</f>
        <v>75.6346691353518</v>
      </c>
      <c r="O54" s="14" t="n">
        <f aca="false">CHOOSE(D54,H54-W_lost,H54,H54,H54+W_gain)</f>
        <v>59</v>
      </c>
      <c r="P54" s="16" t="n">
        <f aca="false">CHOOSE(D54,I54,I54,I54+D_dE,I54+Close_A*(Ceil_E-I54))</f>
        <v>80.5983309723245</v>
      </c>
      <c r="Q54" s="14" t="n">
        <f aca="false">CHOOSE(D54,1,1,J54,J54)</f>
        <v>0</v>
      </c>
      <c r="R54" s="14" t="n">
        <f aca="false">IF(L54=1,IF(SUMPRODUCT(($L$35:$L$53=1)*(ABS($M$35:$M$53-M54)&lt;0.000001)*(ABS($N$35:$N$53-N54)&lt;0.000001)*($O$35:$O$53=O54)*(ABS($P$35:$P$53-P54)&lt;0.000001)*($Q$35:$Q$53=Q54)*($V$35:$V$53=V54))=0,1,0),0)</f>
        <v>1</v>
      </c>
      <c r="S54" s="14" t="n">
        <f aca="false">IF(AND(L54=1,N54&gt;=$B$4-0.000000001,P54&gt;=$B$6-0.000000001,M54&gt;=Floor_q+$B$5-0.000000001),1,0)</f>
        <v>1</v>
      </c>
      <c r="U54" s="14" t="n">
        <f aca="false">V39</f>
        <v>0</v>
      </c>
      <c r="V54" s="14" t="n">
        <f aca="false">CHOOSE(D54,U54,U54,1,U54)</f>
        <v>1</v>
      </c>
    </row>
    <row r="55" customFormat="false" ht="15" hidden="false" customHeight="true" outlineLevel="0" collapsed="false">
      <c r="A55" s="3" t="s">
        <v>293</v>
      </c>
      <c r="B55" s="14" t="n">
        <v>2</v>
      </c>
      <c r="C55" s="14" t="n">
        <v>39</v>
      </c>
      <c r="D55" s="14" t="n">
        <v>4</v>
      </c>
      <c r="E55" s="14" t="n">
        <f aca="false">L39</f>
        <v>1</v>
      </c>
      <c r="F55" s="19" t="n">
        <f aca="false">M39</f>
        <v>500</v>
      </c>
      <c r="G55" s="19" t="n">
        <f aca="false">N39</f>
        <v>41</v>
      </c>
      <c r="H55" s="14" t="n">
        <f aca="false">O39</f>
        <v>59</v>
      </c>
      <c r="I55" s="16" t="n">
        <f aca="false">P39</f>
        <v>78</v>
      </c>
      <c r="J55" s="14" t="n">
        <f aca="false">Q39</f>
        <v>0</v>
      </c>
      <c r="K55" s="14" t="n">
        <f aca="false">IF(D55&lt;=2,1-J55,IF(D55=3,IF(AND(U55=0,H55&gt;=W_min,F55-D_dip&gt;=Floor_q),1,0),IF(AND(H55&gt;=W_min,F55&gt;=Pre_A),1,0)))</f>
        <v>1</v>
      </c>
      <c r="L55" s="14" t="n">
        <f aca="false">E55*K55</f>
        <v>1</v>
      </c>
      <c r="M55" s="19" t="n">
        <f aca="false">CHOOSE(D55,F55+Proc_S,F55+Proc_Sk,F55+D_dL,F55-Cost_A)</f>
        <v>380</v>
      </c>
      <c r="N55" s="19" t="n">
        <f aca="false">CHOOSE(D55,(1-Tech_share)*G55,(1-Tech_share)*G55,G55+D_dT,G55)</f>
        <v>41</v>
      </c>
      <c r="O55" s="14" t="n">
        <f aca="false">CHOOSE(D55,H55-W_lost,H55,H55,H55+W_gain)</f>
        <v>60</v>
      </c>
      <c r="P55" s="16" t="n">
        <f aca="false">CHOOSE(D55,I55,I55,I55+D_dE,I55+Close_A*(Ceil_E-I55))</f>
        <v>81.5</v>
      </c>
      <c r="Q55" s="14" t="n">
        <f aca="false">CHOOSE(D55,1,1,J55,J55)</f>
        <v>0</v>
      </c>
      <c r="R55" s="14" t="n">
        <f aca="false">IF(L55=1,IF(SUMPRODUCT(($L$35:$L$54=1)*(ABS($M$35:$M$54-M55)&lt;0.000001)*(ABS($N$35:$N$54-N55)&lt;0.000001)*($O$35:$O$54=O55)*(ABS($P$35:$P$54-P55)&lt;0.000001)*($Q$35:$Q$54=Q55)*($V$35:$V$54=V55))=0,1,0),0)</f>
        <v>1</v>
      </c>
      <c r="S55" s="14" t="n">
        <f aca="false">IF(AND(L55=1,N55&gt;=$B$4-0.000000001,P55&gt;=$B$6-0.000000001,M55&gt;=Floor_q+$B$5-0.000000001),1,0)</f>
        <v>0</v>
      </c>
      <c r="U55" s="14" t="n">
        <f aca="false">V39</f>
        <v>0</v>
      </c>
      <c r="V55" s="14" t="n">
        <f aca="false">CHOOSE(D55,U55,U55,1,U55)</f>
        <v>0</v>
      </c>
    </row>
    <row r="56" customFormat="false" ht="15" hidden="false" customHeight="true" outlineLevel="0" collapsed="false">
      <c r="A56" s="3" t="s">
        <v>294</v>
      </c>
      <c r="B56" s="14" t="n">
        <v>3</v>
      </c>
      <c r="C56" s="14" t="n">
        <v>40</v>
      </c>
      <c r="D56" s="14" t="n">
        <v>1</v>
      </c>
      <c r="E56" s="14" t="n">
        <f aca="false">L40</f>
        <v>0</v>
      </c>
      <c r="F56" s="19" t="n">
        <f aca="false">M40</f>
        <v>844</v>
      </c>
      <c r="G56" s="19" t="n">
        <f aca="false">N40</f>
        <v>33.21</v>
      </c>
      <c r="H56" s="14" t="n">
        <f aca="false">O40</f>
        <v>48</v>
      </c>
      <c r="I56" s="16" t="n">
        <f aca="false">P40</f>
        <v>71</v>
      </c>
      <c r="J56" s="14" t="n">
        <f aca="false">Q40</f>
        <v>1</v>
      </c>
      <c r="K56" s="14" t="n">
        <f aca="false">IF(D56&lt;=2,1-J56,IF(D56=3,IF(AND(U56=0,H56&gt;=W_min,F56-D_dip&gt;=Floor_q),1,0),IF(AND(H56&gt;=W_min,F56&gt;=Pre_A),1,0)))</f>
        <v>0</v>
      </c>
      <c r="L56" s="14" t="n">
        <f aca="false">E56*K56</f>
        <v>0</v>
      </c>
      <c r="M56" s="19" t="n">
        <f aca="false">CHOOSE(D56,F56+Proc_S,F56+Proc_Sk,F56+D_dL,F56-Cost_A)</f>
        <v>956</v>
      </c>
      <c r="N56" s="19" t="n">
        <f aca="false">CHOOSE(D56,(1-Tech_share)*G56,(1-Tech_share)*G56,G56+D_dT,G56)</f>
        <v>29.889</v>
      </c>
      <c r="O56" s="14" t="n">
        <f aca="false">CHOOSE(D56,H56-W_lost,H56,H56,H56+W_gain)</f>
        <v>43</v>
      </c>
      <c r="P56" s="16" t="n">
        <f aca="false">CHOOSE(D56,I56,I56,I56+D_dE,I56+Close_A*(Ceil_E-I56))</f>
        <v>71</v>
      </c>
      <c r="Q56" s="14" t="n">
        <f aca="false">CHOOSE(D56,1,1,J56,J56)</f>
        <v>1</v>
      </c>
      <c r="R56" s="14" t="n">
        <f aca="false">IF(L56=1,IF(SUMPRODUCT(($L$35:$L$55=1)*(ABS($M$35:$M$55-M56)&lt;0.000001)*(ABS($N$35:$N$55-N56)&lt;0.000001)*($O$35:$O$55=O56)*(ABS($P$35:$P$55-P56)&lt;0.000001)*($Q$35:$Q$55=Q56)*($V$35:$V$55=V56))=0,1,0),0)</f>
        <v>0</v>
      </c>
      <c r="S56" s="14" t="n">
        <f aca="false">IF(AND(L56=1,N56&gt;=$B$4-0.000000001,P56&gt;=$B$6-0.000000001,M56&gt;=Floor_q+$B$5-0.000000001),1,0)</f>
        <v>0</v>
      </c>
      <c r="U56" s="14" t="n">
        <f aca="false">V40</f>
        <v>0</v>
      </c>
      <c r="V56" s="14" t="n">
        <f aca="false">CHOOSE(D56,U56,U56,1,U56)</f>
        <v>0</v>
      </c>
    </row>
    <row r="57" customFormat="false" ht="15" hidden="false" customHeight="true" outlineLevel="0" collapsed="false">
      <c r="A57" s="3" t="s">
        <v>295</v>
      </c>
      <c r="B57" s="14" t="n">
        <v>3</v>
      </c>
      <c r="C57" s="14" t="n">
        <v>40</v>
      </c>
      <c r="D57" s="14" t="n">
        <v>2</v>
      </c>
      <c r="E57" s="14" t="n">
        <f aca="false">L40</f>
        <v>0</v>
      </c>
      <c r="F57" s="19" t="n">
        <f aca="false">M40</f>
        <v>844</v>
      </c>
      <c r="G57" s="19" t="n">
        <f aca="false">N40</f>
        <v>33.21</v>
      </c>
      <c r="H57" s="14" t="n">
        <f aca="false">O40</f>
        <v>48</v>
      </c>
      <c r="I57" s="16" t="n">
        <f aca="false">P40</f>
        <v>71</v>
      </c>
      <c r="J57" s="14" t="n">
        <f aca="false">Q40</f>
        <v>1</v>
      </c>
      <c r="K57" s="14" t="n">
        <f aca="false">IF(D57&lt;=2,1-J57,IF(D57=3,IF(AND(U57=0,H57&gt;=W_min,F57-D_dip&gt;=Floor_q),1,0),IF(AND(H57&gt;=W_min,F57&gt;=Pre_A),1,0)))</f>
        <v>0</v>
      </c>
      <c r="L57" s="14" t="n">
        <f aca="false">E57*K57</f>
        <v>0</v>
      </c>
      <c r="M57" s="19" t="n">
        <f aca="false">CHOOSE(D57,F57+Proc_S,F57+Proc_Sk,F57+D_dL,F57-Cost_A)</f>
        <v>936</v>
      </c>
      <c r="N57" s="19" t="n">
        <f aca="false">CHOOSE(D57,(1-Tech_share)*G57,(1-Tech_share)*G57,G57+D_dT,G57)</f>
        <v>29.889</v>
      </c>
      <c r="O57" s="14" t="n">
        <f aca="false">CHOOSE(D57,H57-W_lost,H57,H57,H57+W_gain)</f>
        <v>48</v>
      </c>
      <c r="P57" s="16" t="n">
        <f aca="false">CHOOSE(D57,I57,I57,I57+D_dE,I57+Close_A*(Ceil_E-I57))</f>
        <v>71</v>
      </c>
      <c r="Q57" s="14" t="n">
        <f aca="false">CHOOSE(D57,1,1,J57,J57)</f>
        <v>1</v>
      </c>
      <c r="R57" s="14" t="n">
        <f aca="false">IF(L57=1,IF(SUMPRODUCT(($L$35:$L$56=1)*(ABS($M$35:$M$56-M57)&lt;0.000001)*(ABS($N$35:$N$56-N57)&lt;0.000001)*($O$35:$O$56=O57)*(ABS($P$35:$P$56-P57)&lt;0.000001)*($Q$35:$Q$56=Q57)*($V$35:$V$56=V57))=0,1,0),0)</f>
        <v>0</v>
      </c>
      <c r="S57" s="14" t="n">
        <f aca="false">IF(AND(L57=1,N57&gt;=$B$4-0.000000001,P57&gt;=$B$6-0.000000001,M57&gt;=Floor_q+$B$5-0.000000001),1,0)</f>
        <v>0</v>
      </c>
      <c r="U57" s="14" t="n">
        <f aca="false">V40</f>
        <v>0</v>
      </c>
      <c r="V57" s="14" t="n">
        <f aca="false">CHOOSE(D57,U57,U57,1,U57)</f>
        <v>0</v>
      </c>
    </row>
    <row r="58" customFormat="false" ht="15" hidden="false" customHeight="true" outlineLevel="0" collapsed="false">
      <c r="A58" s="3" t="s">
        <v>296</v>
      </c>
      <c r="B58" s="14" t="n">
        <v>3</v>
      </c>
      <c r="C58" s="14" t="n">
        <v>40</v>
      </c>
      <c r="D58" s="14" t="n">
        <v>3</v>
      </c>
      <c r="E58" s="14" t="n">
        <f aca="false">L40</f>
        <v>0</v>
      </c>
      <c r="F58" s="19" t="n">
        <f aca="false">M40</f>
        <v>844</v>
      </c>
      <c r="G58" s="19" t="n">
        <f aca="false">N40</f>
        <v>33.21</v>
      </c>
      <c r="H58" s="14" t="n">
        <f aca="false">O40</f>
        <v>48</v>
      </c>
      <c r="I58" s="16" t="n">
        <f aca="false">P40</f>
        <v>71</v>
      </c>
      <c r="J58" s="14" t="n">
        <f aca="false">Q40</f>
        <v>1</v>
      </c>
      <c r="K58" s="14" t="n">
        <f aca="false">IF(D58&lt;=2,1-J58,IF(D58=3,IF(AND(U58=0,H58&gt;=W_min,F58-D_dip&gt;=Floor_q),1,0),IF(AND(H58&gt;=W_min,F58&gt;=Pre_A),1,0)))</f>
        <v>0</v>
      </c>
      <c r="L58" s="14" t="n">
        <f aca="false">E58*K58</f>
        <v>0</v>
      </c>
      <c r="M58" s="19" t="n">
        <f aca="false">CHOOSE(D58,F58+Proc_S,F58+Proc_Sk,F58+D_dL,F58-Cost_A)</f>
        <v>808.632729102868</v>
      </c>
      <c r="N58" s="19" t="n">
        <f aca="false">CHOOSE(D58,(1-Tech_share)*G58,(1-Tech_share)*G58,G58+D_dT,G58)</f>
        <v>67.8446691353518</v>
      </c>
      <c r="O58" s="14" t="n">
        <f aca="false">CHOOSE(D58,H58-W_lost,H58,H58,H58+W_gain)</f>
        <v>48</v>
      </c>
      <c r="P58" s="16" t="n">
        <f aca="false">CHOOSE(D58,I58,I58,I58+D_dE,I58+Close_A*(Ceil_E-I58))</f>
        <v>73.5983309723245</v>
      </c>
      <c r="Q58" s="14" t="n">
        <f aca="false">CHOOSE(D58,1,1,J58,J58)</f>
        <v>1</v>
      </c>
      <c r="R58" s="14" t="n">
        <f aca="false">IF(L58=1,IF(SUMPRODUCT(($L$35:$L$57=1)*(ABS($M$35:$M$57-M58)&lt;0.000001)*(ABS($N$35:$N$57-N58)&lt;0.000001)*($O$35:$O$57=O58)*(ABS($P$35:$P$57-P58)&lt;0.000001)*($Q$35:$Q$57=Q58)*($V$35:$V$57=V58))=0,1,0),0)</f>
        <v>0</v>
      </c>
      <c r="S58" s="14" t="n">
        <f aca="false">IF(AND(L58=1,N58&gt;=$B$4-0.000000001,P58&gt;=$B$6-0.000000001,M58&gt;=Floor_q+$B$5-0.000000001),1,0)</f>
        <v>0</v>
      </c>
      <c r="U58" s="14" t="n">
        <f aca="false">V40</f>
        <v>0</v>
      </c>
      <c r="V58" s="14" t="n">
        <f aca="false">CHOOSE(D58,U58,U58,1,U58)</f>
        <v>1</v>
      </c>
    </row>
    <row r="59" customFormat="false" ht="15" hidden="false" customHeight="true" outlineLevel="0" collapsed="false">
      <c r="A59" s="3" t="s">
        <v>297</v>
      </c>
      <c r="B59" s="14" t="n">
        <v>3</v>
      </c>
      <c r="C59" s="14" t="n">
        <v>40</v>
      </c>
      <c r="D59" s="14" t="n">
        <v>4</v>
      </c>
      <c r="E59" s="14" t="n">
        <f aca="false">L40</f>
        <v>0</v>
      </c>
      <c r="F59" s="19" t="n">
        <f aca="false">M40</f>
        <v>844</v>
      </c>
      <c r="G59" s="19" t="n">
        <f aca="false">N40</f>
        <v>33.21</v>
      </c>
      <c r="H59" s="14" t="n">
        <f aca="false">O40</f>
        <v>48</v>
      </c>
      <c r="I59" s="16" t="n">
        <f aca="false">P40</f>
        <v>71</v>
      </c>
      <c r="J59" s="14" t="n">
        <f aca="false">Q40</f>
        <v>1</v>
      </c>
      <c r="K59" s="14" t="n">
        <f aca="false">IF(D59&lt;=2,1-J59,IF(D59=3,IF(AND(U59=0,H59&gt;=W_min,F59-D_dip&gt;=Floor_q),1,0),IF(AND(H59&gt;=W_min,F59&gt;=Pre_A),1,0)))</f>
        <v>0</v>
      </c>
      <c r="L59" s="14" t="n">
        <f aca="false">E59*K59</f>
        <v>0</v>
      </c>
      <c r="M59" s="19" t="n">
        <f aca="false">CHOOSE(D59,F59+Proc_S,F59+Proc_Sk,F59+D_dL,F59-Cost_A)</f>
        <v>724</v>
      </c>
      <c r="N59" s="19" t="n">
        <f aca="false">CHOOSE(D59,(1-Tech_share)*G59,(1-Tech_share)*G59,G59+D_dT,G59)</f>
        <v>33.21</v>
      </c>
      <c r="O59" s="14" t="n">
        <f aca="false">CHOOSE(D59,H59-W_lost,H59,H59,H59+W_gain)</f>
        <v>49</v>
      </c>
      <c r="P59" s="16" t="n">
        <f aca="false">CHOOSE(D59,I59,I59,I59+D_dE,I59+Close_A*(Ceil_E-I59))</f>
        <v>78</v>
      </c>
      <c r="Q59" s="14" t="n">
        <f aca="false">CHOOSE(D59,1,1,J59,J59)</f>
        <v>1</v>
      </c>
      <c r="R59" s="14" t="n">
        <f aca="false">IF(L59=1,IF(SUMPRODUCT(($L$35:$L$58=1)*(ABS($M$35:$M$58-M59)&lt;0.000001)*(ABS($N$35:$N$58-N59)&lt;0.000001)*($O$35:$O$58=O59)*(ABS($P$35:$P$58-P59)&lt;0.000001)*($Q$35:$Q$58=Q59)*($V$35:$V$58=V59))=0,1,0),0)</f>
        <v>0</v>
      </c>
      <c r="S59" s="14" t="n">
        <f aca="false">IF(AND(L59=1,N59&gt;=$B$4-0.000000001,P59&gt;=$B$6-0.000000001,M59&gt;=Floor_q+$B$5-0.000000001),1,0)</f>
        <v>0</v>
      </c>
      <c r="U59" s="14" t="n">
        <f aca="false">V40</f>
        <v>0</v>
      </c>
      <c r="V59" s="14" t="n">
        <f aca="false">CHOOSE(D59,U59,U59,1,U59)</f>
        <v>0</v>
      </c>
    </row>
    <row r="60" customFormat="false" ht="15" hidden="false" customHeight="true" outlineLevel="0" collapsed="false">
      <c r="A60" s="3" t="s">
        <v>298</v>
      </c>
      <c r="B60" s="14" t="n">
        <v>3</v>
      </c>
      <c r="C60" s="14" t="n">
        <v>41</v>
      </c>
      <c r="D60" s="14" t="n">
        <v>1</v>
      </c>
      <c r="E60" s="14" t="n">
        <f aca="false">L41</f>
        <v>0</v>
      </c>
      <c r="F60" s="19" t="n">
        <f aca="false">M41</f>
        <v>824</v>
      </c>
      <c r="G60" s="19" t="n">
        <f aca="false">N41</f>
        <v>33.21</v>
      </c>
      <c r="H60" s="14" t="n">
        <f aca="false">O41</f>
        <v>53</v>
      </c>
      <c r="I60" s="16" t="n">
        <f aca="false">P41</f>
        <v>71</v>
      </c>
      <c r="J60" s="14" t="n">
        <f aca="false">Q41</f>
        <v>1</v>
      </c>
      <c r="K60" s="14" t="n">
        <f aca="false">IF(D60&lt;=2,1-J60,IF(D60=3,IF(AND(U60=0,H60&gt;=W_min,F60-D_dip&gt;=Floor_q),1,0),IF(AND(H60&gt;=W_min,F60&gt;=Pre_A),1,0)))</f>
        <v>0</v>
      </c>
      <c r="L60" s="14" t="n">
        <f aca="false">E60*K60</f>
        <v>0</v>
      </c>
      <c r="M60" s="19" t="n">
        <f aca="false">CHOOSE(D60,F60+Proc_S,F60+Proc_Sk,F60+D_dL,F60-Cost_A)</f>
        <v>936</v>
      </c>
      <c r="N60" s="19" t="n">
        <f aca="false">CHOOSE(D60,(1-Tech_share)*G60,(1-Tech_share)*G60,G60+D_dT,G60)</f>
        <v>29.889</v>
      </c>
      <c r="O60" s="14" t="n">
        <f aca="false">CHOOSE(D60,H60-W_lost,H60,H60,H60+W_gain)</f>
        <v>48</v>
      </c>
      <c r="P60" s="16" t="n">
        <f aca="false">CHOOSE(D60,I60,I60,I60+D_dE,I60+Close_A*(Ceil_E-I60))</f>
        <v>71</v>
      </c>
      <c r="Q60" s="14" t="n">
        <f aca="false">CHOOSE(D60,1,1,J60,J60)</f>
        <v>1</v>
      </c>
      <c r="R60" s="14" t="n">
        <f aca="false">IF(L60=1,IF(SUMPRODUCT(($L$35:$L$59=1)*(ABS($M$35:$M$59-M60)&lt;0.000001)*(ABS($N$35:$N$59-N60)&lt;0.000001)*($O$35:$O$59=O60)*(ABS($P$35:$P$59-P60)&lt;0.000001)*($Q$35:$Q$59=Q60)*($V$35:$V$59=V60))=0,1,0),0)</f>
        <v>0</v>
      </c>
      <c r="S60" s="14" t="n">
        <f aca="false">IF(AND(L60=1,N60&gt;=$B$4-0.000000001,P60&gt;=$B$6-0.000000001,M60&gt;=Floor_q+$B$5-0.000000001),1,0)</f>
        <v>0</v>
      </c>
      <c r="U60" s="14" t="n">
        <f aca="false">V41</f>
        <v>0</v>
      </c>
      <c r="V60" s="14" t="n">
        <f aca="false">CHOOSE(D60,U60,U60,1,U60)</f>
        <v>0</v>
      </c>
    </row>
    <row r="61" customFormat="false" ht="15" hidden="false" customHeight="true" outlineLevel="0" collapsed="false">
      <c r="A61" s="3" t="s">
        <v>299</v>
      </c>
      <c r="B61" s="14" t="n">
        <v>3</v>
      </c>
      <c r="C61" s="14" t="n">
        <v>41</v>
      </c>
      <c r="D61" s="14" t="n">
        <v>2</v>
      </c>
      <c r="E61" s="14" t="n">
        <f aca="false">L41</f>
        <v>0</v>
      </c>
      <c r="F61" s="19" t="n">
        <f aca="false">M41</f>
        <v>824</v>
      </c>
      <c r="G61" s="19" t="n">
        <f aca="false">N41</f>
        <v>33.21</v>
      </c>
      <c r="H61" s="14" t="n">
        <f aca="false">O41</f>
        <v>53</v>
      </c>
      <c r="I61" s="16" t="n">
        <f aca="false">P41</f>
        <v>71</v>
      </c>
      <c r="J61" s="14" t="n">
        <f aca="false">Q41</f>
        <v>1</v>
      </c>
      <c r="K61" s="14" t="n">
        <f aca="false">IF(D61&lt;=2,1-J61,IF(D61=3,IF(AND(U61=0,H61&gt;=W_min,F61-D_dip&gt;=Floor_q),1,0),IF(AND(H61&gt;=W_min,F61&gt;=Pre_A),1,0)))</f>
        <v>0</v>
      </c>
      <c r="L61" s="14" t="n">
        <f aca="false">E61*K61</f>
        <v>0</v>
      </c>
      <c r="M61" s="19" t="n">
        <f aca="false">CHOOSE(D61,F61+Proc_S,F61+Proc_Sk,F61+D_dL,F61-Cost_A)</f>
        <v>916</v>
      </c>
      <c r="N61" s="19" t="n">
        <f aca="false">CHOOSE(D61,(1-Tech_share)*G61,(1-Tech_share)*G61,G61+D_dT,G61)</f>
        <v>29.889</v>
      </c>
      <c r="O61" s="14" t="n">
        <f aca="false">CHOOSE(D61,H61-W_lost,H61,H61,H61+W_gain)</f>
        <v>53</v>
      </c>
      <c r="P61" s="16" t="n">
        <f aca="false">CHOOSE(D61,I61,I61,I61+D_dE,I61+Close_A*(Ceil_E-I61))</f>
        <v>71</v>
      </c>
      <c r="Q61" s="14" t="n">
        <f aca="false">CHOOSE(D61,1,1,J61,J61)</f>
        <v>1</v>
      </c>
      <c r="R61" s="14" t="n">
        <f aca="false">IF(L61=1,IF(SUMPRODUCT(($L$35:$L$60=1)*(ABS($M$35:$M$60-M61)&lt;0.000001)*(ABS($N$35:$N$60-N61)&lt;0.000001)*($O$35:$O$60=O61)*(ABS($P$35:$P$60-P61)&lt;0.000001)*($Q$35:$Q$60=Q61)*($V$35:$V$60=V61))=0,1,0),0)</f>
        <v>0</v>
      </c>
      <c r="S61" s="14" t="n">
        <f aca="false">IF(AND(L61=1,N61&gt;=$B$4-0.000000001,P61&gt;=$B$6-0.000000001,M61&gt;=Floor_q+$B$5-0.000000001),1,0)</f>
        <v>0</v>
      </c>
      <c r="U61" s="14" t="n">
        <f aca="false">V41</f>
        <v>0</v>
      </c>
      <c r="V61" s="14" t="n">
        <f aca="false">CHOOSE(D61,U61,U61,1,U61)</f>
        <v>0</v>
      </c>
    </row>
    <row r="62" customFormat="false" ht="15" hidden="false" customHeight="true" outlineLevel="0" collapsed="false">
      <c r="A62" s="3" t="s">
        <v>300</v>
      </c>
      <c r="B62" s="14" t="n">
        <v>3</v>
      </c>
      <c r="C62" s="14" t="n">
        <v>41</v>
      </c>
      <c r="D62" s="14" t="n">
        <v>3</v>
      </c>
      <c r="E62" s="14" t="n">
        <f aca="false">L41</f>
        <v>0</v>
      </c>
      <c r="F62" s="19" t="n">
        <f aca="false">M41</f>
        <v>824</v>
      </c>
      <c r="G62" s="19" t="n">
        <f aca="false">N41</f>
        <v>33.21</v>
      </c>
      <c r="H62" s="14" t="n">
        <f aca="false">O41</f>
        <v>53</v>
      </c>
      <c r="I62" s="16" t="n">
        <f aca="false">P41</f>
        <v>71</v>
      </c>
      <c r="J62" s="14" t="n">
        <f aca="false">Q41</f>
        <v>1</v>
      </c>
      <c r="K62" s="14" t="n">
        <f aca="false">IF(D62&lt;=2,1-J62,IF(D62=3,IF(AND(U62=0,H62&gt;=W_min,F62-D_dip&gt;=Floor_q),1,0),IF(AND(H62&gt;=W_min,F62&gt;=Pre_A),1,0)))</f>
        <v>0</v>
      </c>
      <c r="L62" s="14" t="n">
        <f aca="false">E62*K62</f>
        <v>0</v>
      </c>
      <c r="M62" s="19" t="n">
        <f aca="false">CHOOSE(D62,F62+Proc_S,F62+Proc_Sk,F62+D_dL,F62-Cost_A)</f>
        <v>788.632729102868</v>
      </c>
      <c r="N62" s="19" t="n">
        <f aca="false">CHOOSE(D62,(1-Tech_share)*G62,(1-Tech_share)*G62,G62+D_dT,G62)</f>
        <v>67.8446691353518</v>
      </c>
      <c r="O62" s="14" t="n">
        <f aca="false">CHOOSE(D62,H62-W_lost,H62,H62,H62+W_gain)</f>
        <v>53</v>
      </c>
      <c r="P62" s="16" t="n">
        <f aca="false">CHOOSE(D62,I62,I62,I62+D_dE,I62+Close_A*(Ceil_E-I62))</f>
        <v>73.5983309723245</v>
      </c>
      <c r="Q62" s="14" t="n">
        <f aca="false">CHOOSE(D62,1,1,J62,J62)</f>
        <v>1</v>
      </c>
      <c r="R62" s="14" t="n">
        <f aca="false">IF(L62=1,IF(SUMPRODUCT(($L$35:$L$61=1)*(ABS($M$35:$M$61-M62)&lt;0.000001)*(ABS($N$35:$N$61-N62)&lt;0.000001)*($O$35:$O$61=O62)*(ABS($P$35:$P$61-P62)&lt;0.000001)*($Q$35:$Q$61=Q62)*($V$35:$V$61=V62))=0,1,0),0)</f>
        <v>0</v>
      </c>
      <c r="S62" s="14" t="n">
        <f aca="false">IF(AND(L62=1,N62&gt;=$B$4-0.000000001,P62&gt;=$B$6-0.000000001,M62&gt;=Floor_q+$B$5-0.000000001),1,0)</f>
        <v>0</v>
      </c>
      <c r="U62" s="14" t="n">
        <f aca="false">V41</f>
        <v>0</v>
      </c>
      <c r="V62" s="14" t="n">
        <f aca="false">CHOOSE(D62,U62,U62,1,U62)</f>
        <v>1</v>
      </c>
    </row>
    <row r="63" customFormat="false" ht="15" hidden="false" customHeight="true" outlineLevel="0" collapsed="false">
      <c r="A63" s="3" t="s">
        <v>301</v>
      </c>
      <c r="B63" s="14" t="n">
        <v>3</v>
      </c>
      <c r="C63" s="14" t="n">
        <v>41</v>
      </c>
      <c r="D63" s="14" t="n">
        <v>4</v>
      </c>
      <c r="E63" s="14" t="n">
        <f aca="false">L41</f>
        <v>0</v>
      </c>
      <c r="F63" s="19" t="n">
        <f aca="false">M41</f>
        <v>824</v>
      </c>
      <c r="G63" s="19" t="n">
        <f aca="false">N41</f>
        <v>33.21</v>
      </c>
      <c r="H63" s="14" t="n">
        <f aca="false">O41</f>
        <v>53</v>
      </c>
      <c r="I63" s="16" t="n">
        <f aca="false">P41</f>
        <v>71</v>
      </c>
      <c r="J63" s="14" t="n">
        <f aca="false">Q41</f>
        <v>1</v>
      </c>
      <c r="K63" s="14" t="n">
        <f aca="false">IF(D63&lt;=2,1-J63,IF(D63=3,IF(AND(U63=0,H63&gt;=W_min,F63-D_dip&gt;=Floor_q),1,0),IF(AND(H63&gt;=W_min,F63&gt;=Pre_A),1,0)))</f>
        <v>0</v>
      </c>
      <c r="L63" s="14" t="n">
        <f aca="false">E63*K63</f>
        <v>0</v>
      </c>
      <c r="M63" s="19" t="n">
        <f aca="false">CHOOSE(D63,F63+Proc_S,F63+Proc_Sk,F63+D_dL,F63-Cost_A)</f>
        <v>704</v>
      </c>
      <c r="N63" s="19" t="n">
        <f aca="false">CHOOSE(D63,(1-Tech_share)*G63,(1-Tech_share)*G63,G63+D_dT,G63)</f>
        <v>33.21</v>
      </c>
      <c r="O63" s="14" t="n">
        <f aca="false">CHOOSE(D63,H63-W_lost,H63,H63,H63+W_gain)</f>
        <v>54</v>
      </c>
      <c r="P63" s="16" t="n">
        <f aca="false">CHOOSE(D63,I63,I63,I63+D_dE,I63+Close_A*(Ceil_E-I63))</f>
        <v>78</v>
      </c>
      <c r="Q63" s="14" t="n">
        <f aca="false">CHOOSE(D63,1,1,J63,J63)</f>
        <v>1</v>
      </c>
      <c r="R63" s="14" t="n">
        <f aca="false">IF(L63=1,IF(SUMPRODUCT(($L$35:$L$62=1)*(ABS($M$35:$M$62-M63)&lt;0.000001)*(ABS($N$35:$N$62-N63)&lt;0.000001)*($O$35:$O$62=O63)*(ABS($P$35:$P$62-P63)&lt;0.000001)*($Q$35:$Q$62=Q63)*($V$35:$V$62=V63))=0,1,0),0)</f>
        <v>0</v>
      </c>
      <c r="S63" s="14" t="n">
        <f aca="false">IF(AND(L63=1,N63&gt;=$B$4-0.000000001,P63&gt;=$B$6-0.000000001,M63&gt;=Floor_q+$B$5-0.000000001),1,0)</f>
        <v>0</v>
      </c>
      <c r="U63" s="14" t="n">
        <f aca="false">V41</f>
        <v>0</v>
      </c>
      <c r="V63" s="14" t="n">
        <f aca="false">CHOOSE(D63,U63,U63,1,U63)</f>
        <v>0</v>
      </c>
    </row>
    <row r="64" customFormat="false" ht="15" hidden="false" customHeight="true" outlineLevel="0" collapsed="false">
      <c r="A64" s="3" t="s">
        <v>302</v>
      </c>
      <c r="B64" s="14" t="n">
        <v>3</v>
      </c>
      <c r="C64" s="14" t="n">
        <v>42</v>
      </c>
      <c r="D64" s="14" t="n">
        <v>1</v>
      </c>
      <c r="E64" s="14" t="n">
        <f aca="false">L42</f>
        <v>0</v>
      </c>
      <c r="F64" s="19" t="n">
        <f aca="false">M42</f>
        <v>696.632729102868</v>
      </c>
      <c r="G64" s="19" t="n">
        <f aca="false">N42</f>
        <v>71.5346691353518</v>
      </c>
      <c r="H64" s="14" t="n">
        <f aca="false">O42</f>
        <v>53</v>
      </c>
      <c r="I64" s="16" t="n">
        <f aca="false">P42</f>
        <v>73.5983309723245</v>
      </c>
      <c r="J64" s="14" t="n">
        <f aca="false">Q42</f>
        <v>1</v>
      </c>
      <c r="K64" s="14" t="n">
        <f aca="false">IF(D64&lt;=2,1-J64,IF(D64=3,IF(AND(U64=0,H64&gt;=W_min,F64-D_dip&gt;=Floor_q),1,0),IF(AND(H64&gt;=W_min,F64&gt;=Pre_A),1,0)))</f>
        <v>0</v>
      </c>
      <c r="L64" s="14" t="n">
        <f aca="false">E64*K64</f>
        <v>0</v>
      </c>
      <c r="M64" s="19" t="n">
        <f aca="false">CHOOSE(D64,F64+Proc_S,F64+Proc_Sk,F64+D_dL,F64-Cost_A)</f>
        <v>808.632729102868</v>
      </c>
      <c r="N64" s="19" t="n">
        <f aca="false">CHOOSE(D64,(1-Tech_share)*G64,(1-Tech_share)*G64,G64+D_dT,G64)</f>
        <v>64.3812022218166</v>
      </c>
      <c r="O64" s="14" t="n">
        <f aca="false">CHOOSE(D64,H64-W_lost,H64,H64,H64+W_gain)</f>
        <v>48</v>
      </c>
      <c r="P64" s="16" t="n">
        <f aca="false">CHOOSE(D64,I64,I64,I64+D_dE,I64+Close_A*(Ceil_E-I64))</f>
        <v>73.5983309723245</v>
      </c>
      <c r="Q64" s="14" t="n">
        <f aca="false">CHOOSE(D64,1,1,J64,J64)</f>
        <v>1</v>
      </c>
      <c r="R64" s="14" t="n">
        <f aca="false">IF(L64=1,IF(SUMPRODUCT(($L$35:$L$63=1)*(ABS($M$35:$M$63-M64)&lt;0.000001)*(ABS($N$35:$N$63-N64)&lt;0.000001)*($O$35:$O$63=O64)*(ABS($P$35:$P$63-P64)&lt;0.000001)*($Q$35:$Q$63=Q64)*($V$35:$V$63=V64))=0,1,0),0)</f>
        <v>0</v>
      </c>
      <c r="S64" s="14" t="n">
        <f aca="false">IF(AND(L64=1,N64&gt;=$B$4-0.000000001,P64&gt;=$B$6-0.000000001,M64&gt;=Floor_q+$B$5-0.000000001),1,0)</f>
        <v>0</v>
      </c>
      <c r="U64" s="14" t="n">
        <f aca="false">V42</f>
        <v>1</v>
      </c>
      <c r="V64" s="14" t="n">
        <f aca="false">CHOOSE(D64,U64,U64,1,U64)</f>
        <v>1</v>
      </c>
    </row>
    <row r="65" customFormat="false" ht="15" hidden="false" customHeight="true" outlineLevel="0" collapsed="false">
      <c r="A65" s="3" t="s">
        <v>303</v>
      </c>
      <c r="B65" s="14" t="n">
        <v>3</v>
      </c>
      <c r="C65" s="14" t="n">
        <v>42</v>
      </c>
      <c r="D65" s="14" t="n">
        <v>2</v>
      </c>
      <c r="E65" s="14" t="n">
        <f aca="false">L42</f>
        <v>0</v>
      </c>
      <c r="F65" s="19" t="n">
        <f aca="false">M42</f>
        <v>696.632729102868</v>
      </c>
      <c r="G65" s="19" t="n">
        <f aca="false">N42</f>
        <v>71.5346691353518</v>
      </c>
      <c r="H65" s="14" t="n">
        <f aca="false">O42</f>
        <v>53</v>
      </c>
      <c r="I65" s="16" t="n">
        <f aca="false">P42</f>
        <v>73.5983309723245</v>
      </c>
      <c r="J65" s="14" t="n">
        <f aca="false">Q42</f>
        <v>1</v>
      </c>
      <c r="K65" s="14" t="n">
        <f aca="false">IF(D65&lt;=2,1-J65,IF(D65=3,IF(AND(U65=0,H65&gt;=W_min,F65-D_dip&gt;=Floor_q),1,0),IF(AND(H65&gt;=W_min,F65&gt;=Pre_A),1,0)))</f>
        <v>0</v>
      </c>
      <c r="L65" s="14" t="n">
        <f aca="false">E65*K65</f>
        <v>0</v>
      </c>
      <c r="M65" s="19" t="n">
        <f aca="false">CHOOSE(D65,F65+Proc_S,F65+Proc_Sk,F65+D_dL,F65-Cost_A)</f>
        <v>788.632729102868</v>
      </c>
      <c r="N65" s="19" t="n">
        <f aca="false">CHOOSE(D65,(1-Tech_share)*G65,(1-Tech_share)*G65,G65+D_dT,G65)</f>
        <v>64.3812022218166</v>
      </c>
      <c r="O65" s="14" t="n">
        <f aca="false">CHOOSE(D65,H65-W_lost,H65,H65,H65+W_gain)</f>
        <v>53</v>
      </c>
      <c r="P65" s="16" t="n">
        <f aca="false">CHOOSE(D65,I65,I65,I65+D_dE,I65+Close_A*(Ceil_E-I65))</f>
        <v>73.5983309723245</v>
      </c>
      <c r="Q65" s="14" t="n">
        <f aca="false">CHOOSE(D65,1,1,J65,J65)</f>
        <v>1</v>
      </c>
      <c r="R65" s="14" t="n">
        <f aca="false">IF(L65=1,IF(SUMPRODUCT(($L$35:$L$64=1)*(ABS($M$35:$M$64-M65)&lt;0.000001)*(ABS($N$35:$N$64-N65)&lt;0.000001)*($O$35:$O$64=O65)*(ABS($P$35:$P$64-P65)&lt;0.000001)*($Q$35:$Q$64=Q65)*($V$35:$V$64=V65))=0,1,0),0)</f>
        <v>0</v>
      </c>
      <c r="S65" s="14" t="n">
        <f aca="false">IF(AND(L65=1,N65&gt;=$B$4-0.000000001,P65&gt;=$B$6-0.000000001,M65&gt;=Floor_q+$B$5-0.000000001),1,0)</f>
        <v>0</v>
      </c>
      <c r="U65" s="14" t="n">
        <f aca="false">V42</f>
        <v>1</v>
      </c>
      <c r="V65" s="14" t="n">
        <f aca="false">CHOOSE(D65,U65,U65,1,U65)</f>
        <v>1</v>
      </c>
    </row>
    <row r="66" customFormat="false" ht="15" hidden="false" customHeight="true" outlineLevel="0" collapsed="false">
      <c r="A66" s="3" t="s">
        <v>304</v>
      </c>
      <c r="B66" s="14" t="n">
        <v>3</v>
      </c>
      <c r="C66" s="14" t="n">
        <v>42</v>
      </c>
      <c r="D66" s="14" t="n">
        <v>3</v>
      </c>
      <c r="E66" s="14" t="n">
        <f aca="false">L42</f>
        <v>0</v>
      </c>
      <c r="F66" s="19" t="n">
        <f aca="false">M42</f>
        <v>696.632729102868</v>
      </c>
      <c r="G66" s="19" t="n">
        <f aca="false">N42</f>
        <v>71.5346691353518</v>
      </c>
      <c r="H66" s="14" t="n">
        <f aca="false">O42</f>
        <v>53</v>
      </c>
      <c r="I66" s="16" t="n">
        <f aca="false">P42</f>
        <v>73.5983309723245</v>
      </c>
      <c r="J66" s="14" t="n">
        <f aca="false">Q42</f>
        <v>1</v>
      </c>
      <c r="K66" s="14" t="n">
        <f aca="false">IF(D66&lt;=2,1-J66,IF(D66=3,IF(AND(U66=0,H66&gt;=W_min,F66-D_dip&gt;=Floor_q),1,0),IF(AND(H66&gt;=W_min,F66&gt;=Pre_A),1,0)))</f>
        <v>0</v>
      </c>
      <c r="L66" s="14" t="n">
        <f aca="false">E66*K66</f>
        <v>0</v>
      </c>
      <c r="M66" s="19" t="n">
        <f aca="false">CHOOSE(D66,F66+Proc_S,F66+Proc_Sk,F66+D_dL,F66-Cost_A)</f>
        <v>661.265458205737</v>
      </c>
      <c r="N66" s="19" t="n">
        <f aca="false">CHOOSE(D66,(1-Tech_share)*G66,(1-Tech_share)*G66,G66+D_dT,G66)</f>
        <v>106.169338270704</v>
      </c>
      <c r="O66" s="14" t="n">
        <f aca="false">CHOOSE(D66,H66-W_lost,H66,H66,H66+W_gain)</f>
        <v>53</v>
      </c>
      <c r="P66" s="16" t="n">
        <f aca="false">CHOOSE(D66,I66,I66,I66+D_dE,I66+Close_A*(Ceil_E-I66))</f>
        <v>76.1966619446489</v>
      </c>
      <c r="Q66" s="14" t="n">
        <f aca="false">CHOOSE(D66,1,1,J66,J66)</f>
        <v>1</v>
      </c>
      <c r="R66" s="14" t="n">
        <f aca="false">IF(L66=1,IF(SUMPRODUCT(($L$35:$L$65=1)*(ABS($M$35:$M$65-M66)&lt;0.000001)*(ABS($N$35:$N$65-N66)&lt;0.000001)*($O$35:$O$65=O66)*(ABS($P$35:$P$65-P66)&lt;0.000001)*($Q$35:$Q$65=Q66)*($V$35:$V$65=V66))=0,1,0),0)</f>
        <v>0</v>
      </c>
      <c r="S66" s="14" t="n">
        <f aca="false">IF(AND(L66=1,N66&gt;=$B$4-0.000000001,P66&gt;=$B$6-0.000000001,M66&gt;=Floor_q+$B$5-0.000000001),1,0)</f>
        <v>0</v>
      </c>
      <c r="U66" s="14" t="n">
        <f aca="false">V42</f>
        <v>1</v>
      </c>
      <c r="V66" s="14" t="n">
        <f aca="false">CHOOSE(D66,U66,U66,1,U66)</f>
        <v>1</v>
      </c>
    </row>
    <row r="67" customFormat="false" ht="15" hidden="false" customHeight="true" outlineLevel="0" collapsed="false">
      <c r="A67" s="3" t="s">
        <v>305</v>
      </c>
      <c r="B67" s="14" t="n">
        <v>3</v>
      </c>
      <c r="C67" s="14" t="n">
        <v>42</v>
      </c>
      <c r="D67" s="14" t="n">
        <v>4</v>
      </c>
      <c r="E67" s="14" t="n">
        <f aca="false">L42</f>
        <v>0</v>
      </c>
      <c r="F67" s="19" t="n">
        <f aca="false">M42</f>
        <v>696.632729102868</v>
      </c>
      <c r="G67" s="19" t="n">
        <f aca="false">N42</f>
        <v>71.5346691353518</v>
      </c>
      <c r="H67" s="14" t="n">
        <f aca="false">O42</f>
        <v>53</v>
      </c>
      <c r="I67" s="16" t="n">
        <f aca="false">P42</f>
        <v>73.5983309723245</v>
      </c>
      <c r="J67" s="14" t="n">
        <f aca="false">Q42</f>
        <v>1</v>
      </c>
      <c r="K67" s="14" t="n">
        <f aca="false">IF(D67&lt;=2,1-J67,IF(D67=3,IF(AND(U67=0,H67&gt;=W_min,F67-D_dip&gt;=Floor_q),1,0),IF(AND(H67&gt;=W_min,F67&gt;=Pre_A),1,0)))</f>
        <v>0</v>
      </c>
      <c r="L67" s="14" t="n">
        <f aca="false">E67*K67</f>
        <v>0</v>
      </c>
      <c r="M67" s="19" t="n">
        <f aca="false">CHOOSE(D67,F67+Proc_S,F67+Proc_Sk,F67+D_dL,F67-Cost_A)</f>
        <v>576.632729102868</v>
      </c>
      <c r="N67" s="19" t="n">
        <f aca="false">CHOOSE(D67,(1-Tech_share)*G67,(1-Tech_share)*G67,G67+D_dT,G67)</f>
        <v>71.5346691353518</v>
      </c>
      <c r="O67" s="14" t="n">
        <f aca="false">CHOOSE(D67,H67-W_lost,H67,H67,H67+W_gain)</f>
        <v>54</v>
      </c>
      <c r="P67" s="16" t="n">
        <f aca="false">CHOOSE(D67,I67,I67,I67+D_dE,I67+Close_A*(Ceil_E-I67))</f>
        <v>79.2991654861622</v>
      </c>
      <c r="Q67" s="14" t="n">
        <f aca="false">CHOOSE(D67,1,1,J67,J67)</f>
        <v>1</v>
      </c>
      <c r="R67" s="14" t="n">
        <f aca="false">IF(L67=1,IF(SUMPRODUCT(($L$35:$L$66=1)*(ABS($M$35:$M$66-M67)&lt;0.000001)*(ABS($N$35:$N$66-N67)&lt;0.000001)*($O$35:$O$66=O67)*(ABS($P$35:$P$66-P67)&lt;0.000001)*($Q$35:$Q$66=Q67)*($V$35:$V$66=V67))=0,1,0),0)</f>
        <v>0</v>
      </c>
      <c r="S67" s="14" t="n">
        <f aca="false">IF(AND(L67=1,N67&gt;=$B$4-0.000000001,P67&gt;=$B$6-0.000000001,M67&gt;=Floor_q+$B$5-0.000000001),1,0)</f>
        <v>0</v>
      </c>
      <c r="U67" s="14" t="n">
        <f aca="false">V42</f>
        <v>1</v>
      </c>
      <c r="V67" s="14" t="n">
        <f aca="false">CHOOSE(D67,U67,U67,1,U67)</f>
        <v>1</v>
      </c>
    </row>
    <row r="68" customFormat="false" ht="15" hidden="false" customHeight="true" outlineLevel="0" collapsed="false">
      <c r="A68" s="3" t="s">
        <v>306</v>
      </c>
      <c r="B68" s="14" t="n">
        <v>3</v>
      </c>
      <c r="C68" s="14" t="n">
        <v>43</v>
      </c>
      <c r="D68" s="14" t="n">
        <v>1</v>
      </c>
      <c r="E68" s="14" t="n">
        <f aca="false">L43</f>
        <v>0</v>
      </c>
      <c r="F68" s="19" t="n">
        <f aca="false">M43</f>
        <v>612</v>
      </c>
      <c r="G68" s="19" t="n">
        <f aca="false">N43</f>
        <v>36.9</v>
      </c>
      <c r="H68" s="14" t="n">
        <f aca="false">O43</f>
        <v>54</v>
      </c>
      <c r="I68" s="16" t="n">
        <f aca="false">P43</f>
        <v>78</v>
      </c>
      <c r="J68" s="14" t="n">
        <f aca="false">Q43</f>
        <v>1</v>
      </c>
      <c r="K68" s="14" t="n">
        <f aca="false">IF(D68&lt;=2,1-J68,IF(D68=3,IF(AND(U68=0,H68&gt;=W_min,F68-D_dip&gt;=Floor_q),1,0),IF(AND(H68&gt;=W_min,F68&gt;=Pre_A),1,0)))</f>
        <v>0</v>
      </c>
      <c r="L68" s="14" t="n">
        <f aca="false">E68*K68</f>
        <v>0</v>
      </c>
      <c r="M68" s="19" t="n">
        <f aca="false">CHOOSE(D68,F68+Proc_S,F68+Proc_Sk,F68+D_dL,F68-Cost_A)</f>
        <v>724</v>
      </c>
      <c r="N68" s="19" t="n">
        <f aca="false">CHOOSE(D68,(1-Tech_share)*G68,(1-Tech_share)*G68,G68+D_dT,G68)</f>
        <v>33.21</v>
      </c>
      <c r="O68" s="14" t="n">
        <f aca="false">CHOOSE(D68,H68-W_lost,H68,H68,H68+W_gain)</f>
        <v>49</v>
      </c>
      <c r="P68" s="16" t="n">
        <f aca="false">CHOOSE(D68,I68,I68,I68+D_dE,I68+Close_A*(Ceil_E-I68))</f>
        <v>78</v>
      </c>
      <c r="Q68" s="14" t="n">
        <f aca="false">CHOOSE(D68,1,1,J68,J68)</f>
        <v>1</v>
      </c>
      <c r="R68" s="14" t="n">
        <f aca="false">IF(L68=1,IF(SUMPRODUCT(($L$35:$L$67=1)*(ABS($M$35:$M$67-M68)&lt;0.000001)*(ABS($N$35:$N$67-N68)&lt;0.000001)*($O$35:$O$67=O68)*(ABS($P$35:$P$67-P68)&lt;0.000001)*($Q$35:$Q$67=Q68)*($V$35:$V$67=V68))=0,1,0),0)</f>
        <v>0</v>
      </c>
      <c r="S68" s="14" t="n">
        <f aca="false">IF(AND(L68=1,N68&gt;=$B$4-0.000000001,P68&gt;=$B$6-0.000000001,M68&gt;=Floor_q+$B$5-0.000000001),1,0)</f>
        <v>0</v>
      </c>
      <c r="U68" s="14" t="n">
        <f aca="false">V43</f>
        <v>0</v>
      </c>
      <c r="V68" s="14" t="n">
        <f aca="false">CHOOSE(D68,U68,U68,1,U68)</f>
        <v>0</v>
      </c>
    </row>
    <row r="69" customFormat="false" ht="15" hidden="false" customHeight="true" outlineLevel="0" collapsed="false">
      <c r="A69" s="3" t="s">
        <v>307</v>
      </c>
      <c r="B69" s="14" t="n">
        <v>3</v>
      </c>
      <c r="C69" s="14" t="n">
        <v>43</v>
      </c>
      <c r="D69" s="14" t="n">
        <v>2</v>
      </c>
      <c r="E69" s="14" t="n">
        <f aca="false">L43</f>
        <v>0</v>
      </c>
      <c r="F69" s="19" t="n">
        <f aca="false">M43</f>
        <v>612</v>
      </c>
      <c r="G69" s="19" t="n">
        <f aca="false">N43</f>
        <v>36.9</v>
      </c>
      <c r="H69" s="14" t="n">
        <f aca="false">O43</f>
        <v>54</v>
      </c>
      <c r="I69" s="16" t="n">
        <f aca="false">P43</f>
        <v>78</v>
      </c>
      <c r="J69" s="14" t="n">
        <f aca="false">Q43</f>
        <v>1</v>
      </c>
      <c r="K69" s="14" t="n">
        <f aca="false">IF(D69&lt;=2,1-J69,IF(D69=3,IF(AND(U69=0,H69&gt;=W_min,F69-D_dip&gt;=Floor_q),1,0),IF(AND(H69&gt;=W_min,F69&gt;=Pre_A),1,0)))</f>
        <v>0</v>
      </c>
      <c r="L69" s="14" t="n">
        <f aca="false">E69*K69</f>
        <v>0</v>
      </c>
      <c r="M69" s="19" t="n">
        <f aca="false">CHOOSE(D69,F69+Proc_S,F69+Proc_Sk,F69+D_dL,F69-Cost_A)</f>
        <v>704</v>
      </c>
      <c r="N69" s="19" t="n">
        <f aca="false">CHOOSE(D69,(1-Tech_share)*G69,(1-Tech_share)*G69,G69+D_dT,G69)</f>
        <v>33.21</v>
      </c>
      <c r="O69" s="14" t="n">
        <f aca="false">CHOOSE(D69,H69-W_lost,H69,H69,H69+W_gain)</f>
        <v>54</v>
      </c>
      <c r="P69" s="16" t="n">
        <f aca="false">CHOOSE(D69,I69,I69,I69+D_dE,I69+Close_A*(Ceil_E-I69))</f>
        <v>78</v>
      </c>
      <c r="Q69" s="14" t="n">
        <f aca="false">CHOOSE(D69,1,1,J69,J69)</f>
        <v>1</v>
      </c>
      <c r="R69" s="14" t="n">
        <f aca="false">IF(L69=1,IF(SUMPRODUCT(($L$35:$L$68=1)*(ABS($M$35:$M$68-M69)&lt;0.000001)*(ABS($N$35:$N$68-N69)&lt;0.000001)*($O$35:$O$68=O69)*(ABS($P$35:$P$68-P69)&lt;0.000001)*($Q$35:$Q$68=Q69)*($V$35:$V$68=V69))=0,1,0),0)</f>
        <v>0</v>
      </c>
      <c r="S69" s="14" t="n">
        <f aca="false">IF(AND(L69=1,N69&gt;=$B$4-0.000000001,P69&gt;=$B$6-0.000000001,M69&gt;=Floor_q+$B$5-0.000000001),1,0)</f>
        <v>0</v>
      </c>
      <c r="U69" s="14" t="n">
        <f aca="false">V43</f>
        <v>0</v>
      </c>
      <c r="V69" s="14" t="n">
        <f aca="false">CHOOSE(D69,U69,U69,1,U69)</f>
        <v>0</v>
      </c>
    </row>
    <row r="70" customFormat="false" ht="15" hidden="false" customHeight="true" outlineLevel="0" collapsed="false">
      <c r="A70" s="3" t="s">
        <v>308</v>
      </c>
      <c r="B70" s="14" t="n">
        <v>3</v>
      </c>
      <c r="C70" s="14" t="n">
        <v>43</v>
      </c>
      <c r="D70" s="14" t="n">
        <v>3</v>
      </c>
      <c r="E70" s="14" t="n">
        <f aca="false">L43</f>
        <v>0</v>
      </c>
      <c r="F70" s="19" t="n">
        <f aca="false">M43</f>
        <v>612</v>
      </c>
      <c r="G70" s="19" t="n">
        <f aca="false">N43</f>
        <v>36.9</v>
      </c>
      <c r="H70" s="14" t="n">
        <f aca="false">O43</f>
        <v>54</v>
      </c>
      <c r="I70" s="16" t="n">
        <f aca="false">P43</f>
        <v>78</v>
      </c>
      <c r="J70" s="14" t="n">
        <f aca="false">Q43</f>
        <v>1</v>
      </c>
      <c r="K70" s="14" t="n">
        <f aca="false">IF(D70&lt;=2,1-J70,IF(D70=3,IF(AND(U70=0,H70&gt;=W_min,F70-D_dip&gt;=Floor_q),1,0),IF(AND(H70&gt;=W_min,F70&gt;=Pre_A),1,0)))</f>
        <v>0</v>
      </c>
      <c r="L70" s="14" t="n">
        <f aca="false">E70*K70</f>
        <v>0</v>
      </c>
      <c r="M70" s="19" t="n">
        <f aca="false">CHOOSE(D70,F70+Proc_S,F70+Proc_Sk,F70+D_dL,F70-Cost_A)</f>
        <v>576.632729102868</v>
      </c>
      <c r="N70" s="19" t="n">
        <f aca="false">CHOOSE(D70,(1-Tech_share)*G70,(1-Tech_share)*G70,G70+D_dT,G70)</f>
        <v>71.5346691353518</v>
      </c>
      <c r="O70" s="14" t="n">
        <f aca="false">CHOOSE(D70,H70-W_lost,H70,H70,H70+W_gain)</f>
        <v>54</v>
      </c>
      <c r="P70" s="16" t="n">
        <f aca="false">CHOOSE(D70,I70,I70,I70+D_dE,I70+Close_A*(Ceil_E-I70))</f>
        <v>80.5983309723245</v>
      </c>
      <c r="Q70" s="14" t="n">
        <f aca="false">CHOOSE(D70,1,1,J70,J70)</f>
        <v>1</v>
      </c>
      <c r="R70" s="14" t="n">
        <f aca="false">IF(L70=1,IF(SUMPRODUCT(($L$35:$L$69=1)*(ABS($M$35:$M$69-M70)&lt;0.000001)*(ABS($N$35:$N$69-N70)&lt;0.000001)*($O$35:$O$69=O70)*(ABS($P$35:$P$69-P70)&lt;0.000001)*($Q$35:$Q$69=Q70)*($V$35:$V$69=V70))=0,1,0),0)</f>
        <v>0</v>
      </c>
      <c r="S70" s="14" t="n">
        <f aca="false">IF(AND(L70=1,N70&gt;=$B$4-0.000000001,P70&gt;=$B$6-0.000000001,M70&gt;=Floor_q+$B$5-0.000000001),1,0)</f>
        <v>0</v>
      </c>
      <c r="U70" s="14" t="n">
        <f aca="false">V43</f>
        <v>0</v>
      </c>
      <c r="V70" s="14" t="n">
        <f aca="false">CHOOSE(D70,U70,U70,1,U70)</f>
        <v>1</v>
      </c>
    </row>
    <row r="71" customFormat="false" ht="15" hidden="false" customHeight="true" outlineLevel="0" collapsed="false">
      <c r="A71" s="3" t="s">
        <v>309</v>
      </c>
      <c r="B71" s="14" t="n">
        <v>3</v>
      </c>
      <c r="C71" s="14" t="n">
        <v>43</v>
      </c>
      <c r="D71" s="14" t="n">
        <v>4</v>
      </c>
      <c r="E71" s="14" t="n">
        <f aca="false">L43</f>
        <v>0</v>
      </c>
      <c r="F71" s="19" t="n">
        <f aca="false">M43</f>
        <v>612</v>
      </c>
      <c r="G71" s="19" t="n">
        <f aca="false">N43</f>
        <v>36.9</v>
      </c>
      <c r="H71" s="14" t="n">
        <f aca="false">O43</f>
        <v>54</v>
      </c>
      <c r="I71" s="16" t="n">
        <f aca="false">P43</f>
        <v>78</v>
      </c>
      <c r="J71" s="14" t="n">
        <f aca="false">Q43</f>
        <v>1</v>
      </c>
      <c r="K71" s="14" t="n">
        <f aca="false">IF(D71&lt;=2,1-J71,IF(D71=3,IF(AND(U71=0,H71&gt;=W_min,F71-D_dip&gt;=Floor_q),1,0),IF(AND(H71&gt;=W_min,F71&gt;=Pre_A),1,0)))</f>
        <v>0</v>
      </c>
      <c r="L71" s="14" t="n">
        <f aca="false">E71*K71</f>
        <v>0</v>
      </c>
      <c r="M71" s="19" t="n">
        <f aca="false">CHOOSE(D71,F71+Proc_S,F71+Proc_Sk,F71+D_dL,F71-Cost_A)</f>
        <v>492</v>
      </c>
      <c r="N71" s="19" t="n">
        <f aca="false">CHOOSE(D71,(1-Tech_share)*G71,(1-Tech_share)*G71,G71+D_dT,G71)</f>
        <v>36.9</v>
      </c>
      <c r="O71" s="14" t="n">
        <f aca="false">CHOOSE(D71,H71-W_lost,H71,H71,H71+W_gain)</f>
        <v>55</v>
      </c>
      <c r="P71" s="16" t="n">
        <f aca="false">CHOOSE(D71,I71,I71,I71+D_dE,I71+Close_A*(Ceil_E-I71))</f>
        <v>81.5</v>
      </c>
      <c r="Q71" s="14" t="n">
        <f aca="false">CHOOSE(D71,1,1,J71,J71)</f>
        <v>1</v>
      </c>
      <c r="R71" s="14" t="n">
        <f aca="false">IF(L71=1,IF(SUMPRODUCT(($L$35:$L$70=1)*(ABS($M$35:$M$70-M71)&lt;0.000001)*(ABS($N$35:$N$70-N71)&lt;0.000001)*($O$35:$O$70=O71)*(ABS($P$35:$P$70-P71)&lt;0.000001)*($Q$35:$Q$70=Q71)*($V$35:$V$70=V71))=0,1,0),0)</f>
        <v>0</v>
      </c>
      <c r="S71" s="14" t="n">
        <f aca="false">IF(AND(L71=1,N71&gt;=$B$4-0.000000001,P71&gt;=$B$6-0.000000001,M71&gt;=Floor_q+$B$5-0.000000001),1,0)</f>
        <v>0</v>
      </c>
      <c r="U71" s="14" t="n">
        <f aca="false">V43</f>
        <v>0</v>
      </c>
      <c r="V71" s="14" t="n">
        <f aca="false">CHOOSE(D71,U71,U71,1,U71)</f>
        <v>0</v>
      </c>
    </row>
    <row r="72" customFormat="false" ht="15" hidden="false" customHeight="true" outlineLevel="0" collapsed="false">
      <c r="A72" s="3" t="s">
        <v>310</v>
      </c>
      <c r="B72" s="14" t="n">
        <v>3</v>
      </c>
      <c r="C72" s="14" t="n">
        <v>44</v>
      </c>
      <c r="D72" s="14" t="n">
        <v>1</v>
      </c>
      <c r="E72" s="14" t="n">
        <f aca="false">L44</f>
        <v>0</v>
      </c>
      <c r="F72" s="19" t="n">
        <f aca="false">M44</f>
        <v>824</v>
      </c>
      <c r="G72" s="19" t="n">
        <f aca="false">N44</f>
        <v>33.21</v>
      </c>
      <c r="H72" s="14" t="n">
        <f aca="false">O44</f>
        <v>53</v>
      </c>
      <c r="I72" s="16" t="n">
        <f aca="false">P44</f>
        <v>71</v>
      </c>
      <c r="J72" s="14" t="n">
        <f aca="false">Q44</f>
        <v>1</v>
      </c>
      <c r="K72" s="14" t="n">
        <f aca="false">IF(D72&lt;=2,1-J72,IF(D72=3,IF(AND(U72=0,H72&gt;=W_min,F72-D_dip&gt;=Floor_q),1,0),IF(AND(H72&gt;=W_min,F72&gt;=Pre_A),1,0)))</f>
        <v>0</v>
      </c>
      <c r="L72" s="14" t="n">
        <f aca="false">E72*K72</f>
        <v>0</v>
      </c>
      <c r="M72" s="19" t="n">
        <f aca="false">CHOOSE(D72,F72+Proc_S,F72+Proc_Sk,F72+D_dL,F72-Cost_A)</f>
        <v>936</v>
      </c>
      <c r="N72" s="19" t="n">
        <f aca="false">CHOOSE(D72,(1-Tech_share)*G72,(1-Tech_share)*G72,G72+D_dT,G72)</f>
        <v>29.889</v>
      </c>
      <c r="O72" s="14" t="n">
        <f aca="false">CHOOSE(D72,H72-W_lost,H72,H72,H72+W_gain)</f>
        <v>48</v>
      </c>
      <c r="P72" s="16" t="n">
        <f aca="false">CHOOSE(D72,I72,I72,I72+D_dE,I72+Close_A*(Ceil_E-I72))</f>
        <v>71</v>
      </c>
      <c r="Q72" s="14" t="n">
        <f aca="false">CHOOSE(D72,1,1,J72,J72)</f>
        <v>1</v>
      </c>
      <c r="R72" s="14" t="n">
        <f aca="false">IF(L72=1,IF(SUMPRODUCT(($L$35:$L$71=1)*(ABS($M$35:$M$71-M72)&lt;0.000001)*(ABS($N$35:$N$71-N72)&lt;0.000001)*($O$35:$O$71=O72)*(ABS($P$35:$P$71-P72)&lt;0.000001)*($Q$35:$Q$71=Q72)*($V$35:$V$71=V72))=0,1,0),0)</f>
        <v>0</v>
      </c>
      <c r="S72" s="14" t="n">
        <f aca="false">IF(AND(L72=1,N72&gt;=$B$4-0.000000001,P72&gt;=$B$6-0.000000001,M72&gt;=Floor_q+$B$5-0.000000001),1,0)</f>
        <v>0</v>
      </c>
      <c r="U72" s="14" t="n">
        <f aca="false">V44</f>
        <v>0</v>
      </c>
      <c r="V72" s="14" t="n">
        <f aca="false">CHOOSE(D72,U72,U72,1,U72)</f>
        <v>0</v>
      </c>
    </row>
    <row r="73" customFormat="false" ht="15" hidden="false" customHeight="true" outlineLevel="0" collapsed="false">
      <c r="A73" s="3" t="s">
        <v>311</v>
      </c>
      <c r="B73" s="14" t="n">
        <v>3</v>
      </c>
      <c r="C73" s="14" t="n">
        <v>44</v>
      </c>
      <c r="D73" s="14" t="n">
        <v>2</v>
      </c>
      <c r="E73" s="14" t="n">
        <f aca="false">L44</f>
        <v>0</v>
      </c>
      <c r="F73" s="19" t="n">
        <f aca="false">M44</f>
        <v>824</v>
      </c>
      <c r="G73" s="19" t="n">
        <f aca="false">N44</f>
        <v>33.21</v>
      </c>
      <c r="H73" s="14" t="n">
        <f aca="false">O44</f>
        <v>53</v>
      </c>
      <c r="I73" s="16" t="n">
        <f aca="false">P44</f>
        <v>71</v>
      </c>
      <c r="J73" s="14" t="n">
        <f aca="false">Q44</f>
        <v>1</v>
      </c>
      <c r="K73" s="14" t="n">
        <f aca="false">IF(D73&lt;=2,1-J73,IF(D73=3,IF(AND(U73=0,H73&gt;=W_min,F73-D_dip&gt;=Floor_q),1,0),IF(AND(H73&gt;=W_min,F73&gt;=Pre_A),1,0)))</f>
        <v>0</v>
      </c>
      <c r="L73" s="14" t="n">
        <f aca="false">E73*K73</f>
        <v>0</v>
      </c>
      <c r="M73" s="19" t="n">
        <f aca="false">CHOOSE(D73,F73+Proc_S,F73+Proc_Sk,F73+D_dL,F73-Cost_A)</f>
        <v>916</v>
      </c>
      <c r="N73" s="19" t="n">
        <f aca="false">CHOOSE(D73,(1-Tech_share)*G73,(1-Tech_share)*G73,G73+D_dT,G73)</f>
        <v>29.889</v>
      </c>
      <c r="O73" s="14" t="n">
        <f aca="false">CHOOSE(D73,H73-W_lost,H73,H73,H73+W_gain)</f>
        <v>53</v>
      </c>
      <c r="P73" s="16" t="n">
        <f aca="false">CHOOSE(D73,I73,I73,I73+D_dE,I73+Close_A*(Ceil_E-I73))</f>
        <v>71</v>
      </c>
      <c r="Q73" s="14" t="n">
        <f aca="false">CHOOSE(D73,1,1,J73,J73)</f>
        <v>1</v>
      </c>
      <c r="R73" s="14" t="n">
        <f aca="false">IF(L73=1,IF(SUMPRODUCT(($L$35:$L$72=1)*(ABS($M$35:$M$72-M73)&lt;0.000001)*(ABS($N$35:$N$72-N73)&lt;0.000001)*($O$35:$O$72=O73)*(ABS($P$35:$P$72-P73)&lt;0.000001)*($Q$35:$Q$72=Q73)*($V$35:$V$72=V73))=0,1,0),0)</f>
        <v>0</v>
      </c>
      <c r="S73" s="14" t="n">
        <f aca="false">IF(AND(L73=1,N73&gt;=$B$4-0.000000001,P73&gt;=$B$6-0.000000001,M73&gt;=Floor_q+$B$5-0.000000001),1,0)</f>
        <v>0</v>
      </c>
      <c r="U73" s="14" t="n">
        <f aca="false">V44</f>
        <v>0</v>
      </c>
      <c r="V73" s="14" t="n">
        <f aca="false">CHOOSE(D73,U73,U73,1,U73)</f>
        <v>0</v>
      </c>
    </row>
    <row r="74" customFormat="false" ht="15" hidden="false" customHeight="true" outlineLevel="0" collapsed="false">
      <c r="A74" s="3" t="s">
        <v>312</v>
      </c>
      <c r="B74" s="14" t="n">
        <v>3</v>
      </c>
      <c r="C74" s="14" t="n">
        <v>44</v>
      </c>
      <c r="D74" s="14" t="n">
        <v>3</v>
      </c>
      <c r="E74" s="14" t="n">
        <f aca="false">L44</f>
        <v>0</v>
      </c>
      <c r="F74" s="19" t="n">
        <f aca="false">M44</f>
        <v>824</v>
      </c>
      <c r="G74" s="19" t="n">
        <f aca="false">N44</f>
        <v>33.21</v>
      </c>
      <c r="H74" s="14" t="n">
        <f aca="false">O44</f>
        <v>53</v>
      </c>
      <c r="I74" s="16" t="n">
        <f aca="false">P44</f>
        <v>71</v>
      </c>
      <c r="J74" s="14" t="n">
        <f aca="false">Q44</f>
        <v>1</v>
      </c>
      <c r="K74" s="14" t="n">
        <f aca="false">IF(D74&lt;=2,1-J74,IF(D74=3,IF(AND(U74=0,H74&gt;=W_min,F74-D_dip&gt;=Floor_q),1,0),IF(AND(H74&gt;=W_min,F74&gt;=Pre_A),1,0)))</f>
        <v>0</v>
      </c>
      <c r="L74" s="14" t="n">
        <f aca="false">E74*K74</f>
        <v>0</v>
      </c>
      <c r="M74" s="19" t="n">
        <f aca="false">CHOOSE(D74,F74+Proc_S,F74+Proc_Sk,F74+D_dL,F74-Cost_A)</f>
        <v>788.632729102868</v>
      </c>
      <c r="N74" s="19" t="n">
        <f aca="false">CHOOSE(D74,(1-Tech_share)*G74,(1-Tech_share)*G74,G74+D_dT,G74)</f>
        <v>67.8446691353518</v>
      </c>
      <c r="O74" s="14" t="n">
        <f aca="false">CHOOSE(D74,H74-W_lost,H74,H74,H74+W_gain)</f>
        <v>53</v>
      </c>
      <c r="P74" s="16" t="n">
        <f aca="false">CHOOSE(D74,I74,I74,I74+D_dE,I74+Close_A*(Ceil_E-I74))</f>
        <v>73.5983309723245</v>
      </c>
      <c r="Q74" s="14" t="n">
        <f aca="false">CHOOSE(D74,1,1,J74,J74)</f>
        <v>1</v>
      </c>
      <c r="R74" s="14" t="n">
        <f aca="false">IF(L74=1,IF(SUMPRODUCT(($L$35:$L$73=1)*(ABS($M$35:$M$73-M74)&lt;0.000001)*(ABS($N$35:$N$73-N74)&lt;0.000001)*($O$35:$O$73=O74)*(ABS($P$35:$P$73-P74)&lt;0.000001)*($Q$35:$Q$73=Q74)*($V$35:$V$73=V74))=0,1,0),0)</f>
        <v>0</v>
      </c>
      <c r="S74" s="14" t="n">
        <f aca="false">IF(AND(L74=1,N74&gt;=$B$4-0.000000001,P74&gt;=$B$6-0.000000001,M74&gt;=Floor_q+$B$5-0.000000001),1,0)</f>
        <v>0</v>
      </c>
      <c r="U74" s="14" t="n">
        <f aca="false">V44</f>
        <v>0</v>
      </c>
      <c r="V74" s="14" t="n">
        <f aca="false">CHOOSE(D74,U74,U74,1,U74)</f>
        <v>1</v>
      </c>
    </row>
    <row r="75" customFormat="false" ht="15" hidden="false" customHeight="true" outlineLevel="0" collapsed="false">
      <c r="A75" s="3" t="s">
        <v>313</v>
      </c>
      <c r="B75" s="14" t="n">
        <v>3</v>
      </c>
      <c r="C75" s="14" t="n">
        <v>44</v>
      </c>
      <c r="D75" s="14" t="n">
        <v>4</v>
      </c>
      <c r="E75" s="14" t="n">
        <f aca="false">L44</f>
        <v>0</v>
      </c>
      <c r="F75" s="19" t="n">
        <f aca="false">M44</f>
        <v>824</v>
      </c>
      <c r="G75" s="19" t="n">
        <f aca="false">N44</f>
        <v>33.21</v>
      </c>
      <c r="H75" s="14" t="n">
        <f aca="false">O44</f>
        <v>53</v>
      </c>
      <c r="I75" s="16" t="n">
        <f aca="false">P44</f>
        <v>71</v>
      </c>
      <c r="J75" s="14" t="n">
        <f aca="false">Q44</f>
        <v>1</v>
      </c>
      <c r="K75" s="14" t="n">
        <f aca="false">IF(D75&lt;=2,1-J75,IF(D75=3,IF(AND(U75=0,H75&gt;=W_min,F75-D_dip&gt;=Floor_q),1,0),IF(AND(H75&gt;=W_min,F75&gt;=Pre_A),1,0)))</f>
        <v>0</v>
      </c>
      <c r="L75" s="14" t="n">
        <f aca="false">E75*K75</f>
        <v>0</v>
      </c>
      <c r="M75" s="19" t="n">
        <f aca="false">CHOOSE(D75,F75+Proc_S,F75+Proc_Sk,F75+D_dL,F75-Cost_A)</f>
        <v>704</v>
      </c>
      <c r="N75" s="19" t="n">
        <f aca="false">CHOOSE(D75,(1-Tech_share)*G75,(1-Tech_share)*G75,G75+D_dT,G75)</f>
        <v>33.21</v>
      </c>
      <c r="O75" s="14" t="n">
        <f aca="false">CHOOSE(D75,H75-W_lost,H75,H75,H75+W_gain)</f>
        <v>54</v>
      </c>
      <c r="P75" s="16" t="n">
        <f aca="false">CHOOSE(D75,I75,I75,I75+D_dE,I75+Close_A*(Ceil_E-I75))</f>
        <v>78</v>
      </c>
      <c r="Q75" s="14" t="n">
        <f aca="false">CHOOSE(D75,1,1,J75,J75)</f>
        <v>1</v>
      </c>
      <c r="R75" s="14" t="n">
        <f aca="false">IF(L75=1,IF(SUMPRODUCT(($L$35:$L$74=1)*(ABS($M$35:$M$74-M75)&lt;0.000001)*(ABS($N$35:$N$74-N75)&lt;0.000001)*($O$35:$O$74=O75)*(ABS($P$35:$P$74-P75)&lt;0.000001)*($Q$35:$Q$74=Q75)*($V$35:$V$74=V75))=0,1,0),0)</f>
        <v>0</v>
      </c>
      <c r="S75" s="14" t="n">
        <f aca="false">IF(AND(L75=1,N75&gt;=$B$4-0.000000001,P75&gt;=$B$6-0.000000001,M75&gt;=Floor_q+$B$5-0.000000001),1,0)</f>
        <v>0</v>
      </c>
      <c r="U75" s="14" t="n">
        <f aca="false">V44</f>
        <v>0</v>
      </c>
      <c r="V75" s="14" t="n">
        <f aca="false">CHOOSE(D75,U75,U75,1,U75)</f>
        <v>0</v>
      </c>
    </row>
    <row r="76" customFormat="false" ht="15" hidden="false" customHeight="true" outlineLevel="0" collapsed="false">
      <c r="A76" s="3" t="s">
        <v>314</v>
      </c>
      <c r="B76" s="14" t="n">
        <v>3</v>
      </c>
      <c r="C76" s="14" t="n">
        <v>45</v>
      </c>
      <c r="D76" s="14" t="n">
        <v>1</v>
      </c>
      <c r="E76" s="14" t="n">
        <f aca="false">L45</f>
        <v>0</v>
      </c>
      <c r="F76" s="19" t="n">
        <f aca="false">M45</f>
        <v>804</v>
      </c>
      <c r="G76" s="19" t="n">
        <f aca="false">N45</f>
        <v>33.21</v>
      </c>
      <c r="H76" s="14" t="n">
        <f aca="false">O45</f>
        <v>58</v>
      </c>
      <c r="I76" s="16" t="n">
        <f aca="false">P45</f>
        <v>71</v>
      </c>
      <c r="J76" s="14" t="n">
        <f aca="false">Q45</f>
        <v>1</v>
      </c>
      <c r="K76" s="14" t="n">
        <f aca="false">IF(D76&lt;=2,1-J76,IF(D76=3,IF(AND(U76=0,H76&gt;=W_min,F76-D_dip&gt;=Floor_q),1,0),IF(AND(H76&gt;=W_min,F76&gt;=Pre_A),1,0)))</f>
        <v>0</v>
      </c>
      <c r="L76" s="14" t="n">
        <f aca="false">E76*K76</f>
        <v>0</v>
      </c>
      <c r="M76" s="19" t="n">
        <f aca="false">CHOOSE(D76,F76+Proc_S,F76+Proc_Sk,F76+D_dL,F76-Cost_A)</f>
        <v>916</v>
      </c>
      <c r="N76" s="19" t="n">
        <f aca="false">CHOOSE(D76,(1-Tech_share)*G76,(1-Tech_share)*G76,G76+D_dT,G76)</f>
        <v>29.889</v>
      </c>
      <c r="O76" s="14" t="n">
        <f aca="false">CHOOSE(D76,H76-W_lost,H76,H76,H76+W_gain)</f>
        <v>53</v>
      </c>
      <c r="P76" s="16" t="n">
        <f aca="false">CHOOSE(D76,I76,I76,I76+D_dE,I76+Close_A*(Ceil_E-I76))</f>
        <v>71</v>
      </c>
      <c r="Q76" s="14" t="n">
        <f aca="false">CHOOSE(D76,1,1,J76,J76)</f>
        <v>1</v>
      </c>
      <c r="R76" s="14" t="n">
        <f aca="false">IF(L76=1,IF(SUMPRODUCT(($L$35:$L$75=1)*(ABS($M$35:$M$75-M76)&lt;0.000001)*(ABS($N$35:$N$75-N76)&lt;0.000001)*($O$35:$O$75=O76)*(ABS($P$35:$P$75-P76)&lt;0.000001)*($Q$35:$Q$75=Q76)*($V$35:$V$75=V76))=0,1,0),0)</f>
        <v>0</v>
      </c>
      <c r="S76" s="14" t="n">
        <f aca="false">IF(AND(L76=1,N76&gt;=$B$4-0.000000001,P76&gt;=$B$6-0.000000001,M76&gt;=Floor_q+$B$5-0.000000001),1,0)</f>
        <v>0</v>
      </c>
      <c r="U76" s="14" t="n">
        <f aca="false">V45</f>
        <v>0</v>
      </c>
      <c r="V76" s="14" t="n">
        <f aca="false">CHOOSE(D76,U76,U76,1,U76)</f>
        <v>0</v>
      </c>
    </row>
    <row r="77" customFormat="false" ht="15" hidden="false" customHeight="true" outlineLevel="0" collapsed="false">
      <c r="A77" s="3" t="s">
        <v>315</v>
      </c>
      <c r="B77" s="14" t="n">
        <v>3</v>
      </c>
      <c r="C77" s="14" t="n">
        <v>45</v>
      </c>
      <c r="D77" s="14" t="n">
        <v>2</v>
      </c>
      <c r="E77" s="14" t="n">
        <f aca="false">L45</f>
        <v>0</v>
      </c>
      <c r="F77" s="19" t="n">
        <f aca="false">M45</f>
        <v>804</v>
      </c>
      <c r="G77" s="19" t="n">
        <f aca="false">N45</f>
        <v>33.21</v>
      </c>
      <c r="H77" s="14" t="n">
        <f aca="false">O45</f>
        <v>58</v>
      </c>
      <c r="I77" s="16" t="n">
        <f aca="false">P45</f>
        <v>71</v>
      </c>
      <c r="J77" s="14" t="n">
        <f aca="false">Q45</f>
        <v>1</v>
      </c>
      <c r="K77" s="14" t="n">
        <f aca="false">IF(D77&lt;=2,1-J77,IF(D77=3,IF(AND(U77=0,H77&gt;=W_min,F77-D_dip&gt;=Floor_q),1,0),IF(AND(H77&gt;=W_min,F77&gt;=Pre_A),1,0)))</f>
        <v>0</v>
      </c>
      <c r="L77" s="14" t="n">
        <f aca="false">E77*K77</f>
        <v>0</v>
      </c>
      <c r="M77" s="19" t="n">
        <f aca="false">CHOOSE(D77,F77+Proc_S,F77+Proc_Sk,F77+D_dL,F77-Cost_A)</f>
        <v>896</v>
      </c>
      <c r="N77" s="19" t="n">
        <f aca="false">CHOOSE(D77,(1-Tech_share)*G77,(1-Tech_share)*G77,G77+D_dT,G77)</f>
        <v>29.889</v>
      </c>
      <c r="O77" s="14" t="n">
        <f aca="false">CHOOSE(D77,H77-W_lost,H77,H77,H77+W_gain)</f>
        <v>58</v>
      </c>
      <c r="P77" s="16" t="n">
        <f aca="false">CHOOSE(D77,I77,I77,I77+D_dE,I77+Close_A*(Ceil_E-I77))</f>
        <v>71</v>
      </c>
      <c r="Q77" s="14" t="n">
        <f aca="false">CHOOSE(D77,1,1,J77,J77)</f>
        <v>1</v>
      </c>
      <c r="R77" s="14" t="n">
        <f aca="false">IF(L77=1,IF(SUMPRODUCT(($L$35:$L$76=1)*(ABS($M$35:$M$76-M77)&lt;0.000001)*(ABS($N$35:$N$76-N77)&lt;0.000001)*($O$35:$O$76=O77)*(ABS($P$35:$P$76-P77)&lt;0.000001)*($Q$35:$Q$76=Q77)*($V$35:$V$76=V77))=0,1,0),0)</f>
        <v>0</v>
      </c>
      <c r="S77" s="14" t="n">
        <f aca="false">IF(AND(L77=1,N77&gt;=$B$4-0.000000001,P77&gt;=$B$6-0.000000001,M77&gt;=Floor_q+$B$5-0.000000001),1,0)</f>
        <v>0</v>
      </c>
      <c r="U77" s="14" t="n">
        <f aca="false">V45</f>
        <v>0</v>
      </c>
      <c r="V77" s="14" t="n">
        <f aca="false">CHOOSE(D77,U77,U77,1,U77)</f>
        <v>0</v>
      </c>
    </row>
    <row r="78" customFormat="false" ht="15" hidden="false" customHeight="true" outlineLevel="0" collapsed="false">
      <c r="A78" s="3" t="s">
        <v>316</v>
      </c>
      <c r="B78" s="14" t="n">
        <v>3</v>
      </c>
      <c r="C78" s="14" t="n">
        <v>45</v>
      </c>
      <c r="D78" s="14" t="n">
        <v>3</v>
      </c>
      <c r="E78" s="14" t="n">
        <f aca="false">L45</f>
        <v>0</v>
      </c>
      <c r="F78" s="19" t="n">
        <f aca="false">M45</f>
        <v>804</v>
      </c>
      <c r="G78" s="19" t="n">
        <f aca="false">N45</f>
        <v>33.21</v>
      </c>
      <c r="H78" s="14" t="n">
        <f aca="false">O45</f>
        <v>58</v>
      </c>
      <c r="I78" s="16" t="n">
        <f aca="false">P45</f>
        <v>71</v>
      </c>
      <c r="J78" s="14" t="n">
        <f aca="false">Q45</f>
        <v>1</v>
      </c>
      <c r="K78" s="14" t="n">
        <f aca="false">IF(D78&lt;=2,1-J78,IF(D78=3,IF(AND(U78=0,H78&gt;=W_min,F78-D_dip&gt;=Floor_q),1,0),IF(AND(H78&gt;=W_min,F78&gt;=Pre_A),1,0)))</f>
        <v>1</v>
      </c>
      <c r="L78" s="14" t="n">
        <f aca="false">E78*K78</f>
        <v>0</v>
      </c>
      <c r="M78" s="19" t="n">
        <f aca="false">CHOOSE(D78,F78+Proc_S,F78+Proc_Sk,F78+D_dL,F78-Cost_A)</f>
        <v>768.632729102868</v>
      </c>
      <c r="N78" s="19" t="n">
        <f aca="false">CHOOSE(D78,(1-Tech_share)*G78,(1-Tech_share)*G78,G78+D_dT,G78)</f>
        <v>67.8446691353518</v>
      </c>
      <c r="O78" s="14" t="n">
        <f aca="false">CHOOSE(D78,H78-W_lost,H78,H78,H78+W_gain)</f>
        <v>58</v>
      </c>
      <c r="P78" s="16" t="n">
        <f aca="false">CHOOSE(D78,I78,I78,I78+D_dE,I78+Close_A*(Ceil_E-I78))</f>
        <v>73.5983309723245</v>
      </c>
      <c r="Q78" s="14" t="n">
        <f aca="false">CHOOSE(D78,1,1,J78,J78)</f>
        <v>1</v>
      </c>
      <c r="R78" s="14" t="n">
        <f aca="false">IF(L78=1,IF(SUMPRODUCT(($L$35:$L$77=1)*(ABS($M$35:$M$77-M78)&lt;0.000001)*(ABS($N$35:$N$77-N78)&lt;0.000001)*($O$35:$O$77=O78)*(ABS($P$35:$P$77-P78)&lt;0.000001)*($Q$35:$Q$77=Q78)*($V$35:$V$77=V78))=0,1,0),0)</f>
        <v>0</v>
      </c>
      <c r="S78" s="14" t="n">
        <f aca="false">IF(AND(L78=1,N78&gt;=$B$4-0.000000001,P78&gt;=$B$6-0.000000001,M78&gt;=Floor_q+$B$5-0.000000001),1,0)</f>
        <v>0</v>
      </c>
      <c r="U78" s="14" t="n">
        <f aca="false">V45</f>
        <v>0</v>
      </c>
      <c r="V78" s="14" t="n">
        <f aca="false">CHOOSE(D78,U78,U78,1,U78)</f>
        <v>1</v>
      </c>
    </row>
    <row r="79" customFormat="false" ht="15" hidden="false" customHeight="true" outlineLevel="0" collapsed="false">
      <c r="A79" s="3" t="s">
        <v>317</v>
      </c>
      <c r="B79" s="14" t="n">
        <v>3</v>
      </c>
      <c r="C79" s="14" t="n">
        <v>45</v>
      </c>
      <c r="D79" s="14" t="n">
        <v>4</v>
      </c>
      <c r="E79" s="14" t="n">
        <f aca="false">L45</f>
        <v>0</v>
      </c>
      <c r="F79" s="19" t="n">
        <f aca="false">M45</f>
        <v>804</v>
      </c>
      <c r="G79" s="19" t="n">
        <f aca="false">N45</f>
        <v>33.21</v>
      </c>
      <c r="H79" s="14" t="n">
        <f aca="false">O45</f>
        <v>58</v>
      </c>
      <c r="I79" s="16" t="n">
        <f aca="false">P45</f>
        <v>71</v>
      </c>
      <c r="J79" s="14" t="n">
        <f aca="false">Q45</f>
        <v>1</v>
      </c>
      <c r="K79" s="14" t="n">
        <f aca="false">IF(D79&lt;=2,1-J79,IF(D79=3,IF(AND(U79=0,H79&gt;=W_min,F79-D_dip&gt;=Floor_q),1,0),IF(AND(H79&gt;=W_min,F79&gt;=Pre_A),1,0)))</f>
        <v>1</v>
      </c>
      <c r="L79" s="14" t="n">
        <f aca="false">E79*K79</f>
        <v>0</v>
      </c>
      <c r="M79" s="19" t="n">
        <f aca="false">CHOOSE(D79,F79+Proc_S,F79+Proc_Sk,F79+D_dL,F79-Cost_A)</f>
        <v>684</v>
      </c>
      <c r="N79" s="19" t="n">
        <f aca="false">CHOOSE(D79,(1-Tech_share)*G79,(1-Tech_share)*G79,G79+D_dT,G79)</f>
        <v>33.21</v>
      </c>
      <c r="O79" s="14" t="n">
        <f aca="false">CHOOSE(D79,H79-W_lost,H79,H79,H79+W_gain)</f>
        <v>59</v>
      </c>
      <c r="P79" s="16" t="n">
        <f aca="false">CHOOSE(D79,I79,I79,I79+D_dE,I79+Close_A*(Ceil_E-I79))</f>
        <v>78</v>
      </c>
      <c r="Q79" s="14" t="n">
        <f aca="false">CHOOSE(D79,1,1,J79,J79)</f>
        <v>1</v>
      </c>
      <c r="R79" s="14" t="n">
        <f aca="false">IF(L79=1,IF(SUMPRODUCT(($L$35:$L$78=1)*(ABS($M$35:$M$78-M79)&lt;0.000001)*(ABS($N$35:$N$78-N79)&lt;0.000001)*($O$35:$O$78=O79)*(ABS($P$35:$P$78-P79)&lt;0.000001)*($Q$35:$Q$78=Q79)*($V$35:$V$78=V79))=0,1,0),0)</f>
        <v>0</v>
      </c>
      <c r="S79" s="14" t="n">
        <f aca="false">IF(AND(L79=1,N79&gt;=$B$4-0.000000001,P79&gt;=$B$6-0.000000001,M79&gt;=Floor_q+$B$5-0.000000001),1,0)</f>
        <v>0</v>
      </c>
      <c r="U79" s="14" t="n">
        <f aca="false">V45</f>
        <v>0</v>
      </c>
      <c r="V79" s="14" t="n">
        <f aca="false">CHOOSE(D79,U79,U79,1,U79)</f>
        <v>0</v>
      </c>
    </row>
    <row r="80" customFormat="false" ht="15" hidden="false" customHeight="true" outlineLevel="0" collapsed="false">
      <c r="A80" s="3" t="s">
        <v>318</v>
      </c>
      <c r="B80" s="14" t="n">
        <v>3</v>
      </c>
      <c r="C80" s="14" t="n">
        <v>46</v>
      </c>
      <c r="D80" s="14" t="n">
        <v>1</v>
      </c>
      <c r="E80" s="14" t="n">
        <f aca="false">L46</f>
        <v>1</v>
      </c>
      <c r="F80" s="19" t="n">
        <f aca="false">M46</f>
        <v>676.632729102868</v>
      </c>
      <c r="G80" s="19" t="n">
        <f aca="false">N46</f>
        <v>71.5346691353518</v>
      </c>
      <c r="H80" s="14" t="n">
        <f aca="false">O46</f>
        <v>58</v>
      </c>
      <c r="I80" s="16" t="n">
        <f aca="false">P46</f>
        <v>73.5983309723245</v>
      </c>
      <c r="J80" s="14" t="n">
        <f aca="false">Q46</f>
        <v>1</v>
      </c>
      <c r="K80" s="14" t="n">
        <f aca="false">IF(D80&lt;=2,1-J80,IF(D80=3,IF(AND(U80=0,H80&gt;=W_min,F80-D_dip&gt;=Floor_q),1,0),IF(AND(H80&gt;=W_min,F80&gt;=Pre_A),1,0)))</f>
        <v>0</v>
      </c>
      <c r="L80" s="14" t="n">
        <f aca="false">E80*K80</f>
        <v>0</v>
      </c>
      <c r="M80" s="19" t="n">
        <f aca="false">CHOOSE(D80,F80+Proc_S,F80+Proc_Sk,F80+D_dL,F80-Cost_A)</f>
        <v>788.632729102868</v>
      </c>
      <c r="N80" s="19" t="n">
        <f aca="false">CHOOSE(D80,(1-Tech_share)*G80,(1-Tech_share)*G80,G80+D_dT,G80)</f>
        <v>64.3812022218166</v>
      </c>
      <c r="O80" s="14" t="n">
        <f aca="false">CHOOSE(D80,H80-W_lost,H80,H80,H80+W_gain)</f>
        <v>53</v>
      </c>
      <c r="P80" s="16" t="n">
        <f aca="false">CHOOSE(D80,I80,I80,I80+D_dE,I80+Close_A*(Ceil_E-I80))</f>
        <v>73.5983309723245</v>
      </c>
      <c r="Q80" s="14" t="n">
        <f aca="false">CHOOSE(D80,1,1,J80,J80)</f>
        <v>1</v>
      </c>
      <c r="R80" s="14" t="n">
        <f aca="false">IF(L80=1,IF(SUMPRODUCT(($L$35:$L$79=1)*(ABS($M$35:$M$79-M80)&lt;0.000001)*(ABS($N$35:$N$79-N80)&lt;0.000001)*($O$35:$O$79=O80)*(ABS($P$35:$P$79-P80)&lt;0.000001)*($Q$35:$Q$79=Q80)*($V$35:$V$79=V80))=0,1,0),0)</f>
        <v>0</v>
      </c>
      <c r="S80" s="14" t="n">
        <f aca="false">IF(AND(L80=1,N80&gt;=$B$4-0.000000001,P80&gt;=$B$6-0.000000001,M80&gt;=Floor_q+$B$5-0.000000001),1,0)</f>
        <v>0</v>
      </c>
      <c r="U80" s="14" t="n">
        <f aca="false">V46</f>
        <v>1</v>
      </c>
      <c r="V80" s="14" t="n">
        <f aca="false">CHOOSE(D80,U80,U80,1,U80)</f>
        <v>1</v>
      </c>
    </row>
    <row r="81" customFormat="false" ht="15" hidden="false" customHeight="true" outlineLevel="0" collapsed="false">
      <c r="A81" s="3" t="s">
        <v>319</v>
      </c>
      <c r="B81" s="14" t="n">
        <v>3</v>
      </c>
      <c r="C81" s="14" t="n">
        <v>46</v>
      </c>
      <c r="D81" s="14" t="n">
        <v>2</v>
      </c>
      <c r="E81" s="14" t="n">
        <f aca="false">L46</f>
        <v>1</v>
      </c>
      <c r="F81" s="19" t="n">
        <f aca="false">M46</f>
        <v>676.632729102868</v>
      </c>
      <c r="G81" s="19" t="n">
        <f aca="false">N46</f>
        <v>71.5346691353518</v>
      </c>
      <c r="H81" s="14" t="n">
        <f aca="false">O46</f>
        <v>58</v>
      </c>
      <c r="I81" s="16" t="n">
        <f aca="false">P46</f>
        <v>73.5983309723245</v>
      </c>
      <c r="J81" s="14" t="n">
        <f aca="false">Q46</f>
        <v>1</v>
      </c>
      <c r="K81" s="14" t="n">
        <f aca="false">IF(D81&lt;=2,1-J81,IF(D81=3,IF(AND(U81=0,H81&gt;=W_min,F81-D_dip&gt;=Floor_q),1,0),IF(AND(H81&gt;=W_min,F81&gt;=Pre_A),1,0)))</f>
        <v>0</v>
      </c>
      <c r="L81" s="14" t="n">
        <f aca="false">E81*K81</f>
        <v>0</v>
      </c>
      <c r="M81" s="19" t="n">
        <f aca="false">CHOOSE(D81,F81+Proc_S,F81+Proc_Sk,F81+D_dL,F81-Cost_A)</f>
        <v>768.632729102868</v>
      </c>
      <c r="N81" s="19" t="n">
        <f aca="false">CHOOSE(D81,(1-Tech_share)*G81,(1-Tech_share)*G81,G81+D_dT,G81)</f>
        <v>64.3812022218166</v>
      </c>
      <c r="O81" s="14" t="n">
        <f aca="false">CHOOSE(D81,H81-W_lost,H81,H81,H81+W_gain)</f>
        <v>58</v>
      </c>
      <c r="P81" s="16" t="n">
        <f aca="false">CHOOSE(D81,I81,I81,I81+D_dE,I81+Close_A*(Ceil_E-I81))</f>
        <v>73.5983309723245</v>
      </c>
      <c r="Q81" s="14" t="n">
        <f aca="false">CHOOSE(D81,1,1,J81,J81)</f>
        <v>1</v>
      </c>
      <c r="R81" s="14" t="n">
        <f aca="false">IF(L81=1,IF(SUMPRODUCT(($L$35:$L$80=1)*(ABS($M$35:$M$80-M81)&lt;0.000001)*(ABS($N$35:$N$80-N81)&lt;0.000001)*($O$35:$O$80=O81)*(ABS($P$35:$P$80-P81)&lt;0.000001)*($Q$35:$Q$80=Q81)*($V$35:$V$80=V81))=0,1,0),0)</f>
        <v>0</v>
      </c>
      <c r="S81" s="14" t="n">
        <f aca="false">IF(AND(L81=1,N81&gt;=$B$4-0.000000001,P81&gt;=$B$6-0.000000001,M81&gt;=Floor_q+$B$5-0.000000001),1,0)</f>
        <v>0</v>
      </c>
      <c r="U81" s="14" t="n">
        <f aca="false">V46</f>
        <v>1</v>
      </c>
      <c r="V81" s="14" t="n">
        <f aca="false">CHOOSE(D81,U81,U81,1,U81)</f>
        <v>1</v>
      </c>
    </row>
    <row r="82" customFormat="false" ht="15" hidden="false" customHeight="true" outlineLevel="0" collapsed="false">
      <c r="A82" s="3" t="s">
        <v>320</v>
      </c>
      <c r="B82" s="14" t="n">
        <v>3</v>
      </c>
      <c r="C82" s="14" t="n">
        <v>46</v>
      </c>
      <c r="D82" s="14" t="n">
        <v>3</v>
      </c>
      <c r="E82" s="14" t="n">
        <f aca="false">L46</f>
        <v>1</v>
      </c>
      <c r="F82" s="19" t="n">
        <f aca="false">M46</f>
        <v>676.632729102868</v>
      </c>
      <c r="G82" s="19" t="n">
        <f aca="false">N46</f>
        <v>71.5346691353518</v>
      </c>
      <c r="H82" s="14" t="n">
        <f aca="false">O46</f>
        <v>58</v>
      </c>
      <c r="I82" s="16" t="n">
        <f aca="false">P46</f>
        <v>73.5983309723245</v>
      </c>
      <c r="J82" s="14" t="n">
        <f aca="false">Q46</f>
        <v>1</v>
      </c>
      <c r="K82" s="14" t="n">
        <f aca="false">IF(D82&lt;=2,1-J82,IF(D82=3,IF(AND(U82=0,H82&gt;=W_min,F82-D_dip&gt;=Floor_q),1,0),IF(AND(H82&gt;=W_min,F82&gt;=Pre_A),1,0)))</f>
        <v>0</v>
      </c>
      <c r="L82" s="14" t="n">
        <f aca="false">E82*K82</f>
        <v>0</v>
      </c>
      <c r="M82" s="19" t="n">
        <f aca="false">CHOOSE(D82,F82+Proc_S,F82+Proc_Sk,F82+D_dL,F82-Cost_A)</f>
        <v>641.265458205737</v>
      </c>
      <c r="N82" s="19" t="n">
        <f aca="false">CHOOSE(D82,(1-Tech_share)*G82,(1-Tech_share)*G82,G82+D_dT,G82)</f>
        <v>106.169338270704</v>
      </c>
      <c r="O82" s="14" t="n">
        <f aca="false">CHOOSE(D82,H82-W_lost,H82,H82,H82+W_gain)</f>
        <v>58</v>
      </c>
      <c r="P82" s="16" t="n">
        <f aca="false">CHOOSE(D82,I82,I82,I82+D_dE,I82+Close_A*(Ceil_E-I82))</f>
        <v>76.1966619446489</v>
      </c>
      <c r="Q82" s="14" t="n">
        <f aca="false">CHOOSE(D82,1,1,J82,J82)</f>
        <v>1</v>
      </c>
      <c r="R82" s="14" t="n">
        <f aca="false">IF(L82=1,IF(SUMPRODUCT(($L$35:$L$81=1)*(ABS($M$35:$M$81-M82)&lt;0.000001)*(ABS($N$35:$N$81-N82)&lt;0.000001)*($O$35:$O$81=O82)*(ABS($P$35:$P$81-P82)&lt;0.000001)*($Q$35:$Q$81=Q82)*($V$35:$V$81=V82))=0,1,0),0)</f>
        <v>0</v>
      </c>
      <c r="S82" s="14" t="n">
        <f aca="false">IF(AND(L82=1,N82&gt;=$B$4-0.000000001,P82&gt;=$B$6-0.000000001,M82&gt;=Floor_q+$B$5-0.000000001),1,0)</f>
        <v>0</v>
      </c>
      <c r="U82" s="14" t="n">
        <f aca="false">V46</f>
        <v>1</v>
      </c>
      <c r="V82" s="14" t="n">
        <f aca="false">CHOOSE(D82,U82,U82,1,U82)</f>
        <v>1</v>
      </c>
    </row>
    <row r="83" customFormat="false" ht="15" hidden="false" customHeight="true" outlineLevel="0" collapsed="false">
      <c r="A83" s="3" t="s">
        <v>321</v>
      </c>
      <c r="B83" s="14" t="n">
        <v>3</v>
      </c>
      <c r="C83" s="14" t="n">
        <v>46</v>
      </c>
      <c r="D83" s="14" t="n">
        <v>4</v>
      </c>
      <c r="E83" s="14" t="n">
        <f aca="false">L46</f>
        <v>1</v>
      </c>
      <c r="F83" s="19" t="n">
        <f aca="false">M46</f>
        <v>676.632729102868</v>
      </c>
      <c r="G83" s="19" t="n">
        <f aca="false">N46</f>
        <v>71.5346691353518</v>
      </c>
      <c r="H83" s="14" t="n">
        <f aca="false">O46</f>
        <v>58</v>
      </c>
      <c r="I83" s="16" t="n">
        <f aca="false">P46</f>
        <v>73.5983309723245</v>
      </c>
      <c r="J83" s="14" t="n">
        <f aca="false">Q46</f>
        <v>1</v>
      </c>
      <c r="K83" s="14" t="n">
        <f aca="false">IF(D83&lt;=2,1-J83,IF(D83=3,IF(AND(U83=0,H83&gt;=W_min,F83-D_dip&gt;=Floor_q),1,0),IF(AND(H83&gt;=W_min,F83&gt;=Pre_A),1,0)))</f>
        <v>1</v>
      </c>
      <c r="L83" s="14" t="n">
        <f aca="false">E83*K83</f>
        <v>1</v>
      </c>
      <c r="M83" s="19" t="n">
        <f aca="false">CHOOSE(D83,F83+Proc_S,F83+Proc_Sk,F83+D_dL,F83-Cost_A)</f>
        <v>556.632729102868</v>
      </c>
      <c r="N83" s="19" t="n">
        <f aca="false">CHOOSE(D83,(1-Tech_share)*G83,(1-Tech_share)*G83,G83+D_dT,G83)</f>
        <v>71.5346691353518</v>
      </c>
      <c r="O83" s="14" t="n">
        <f aca="false">CHOOSE(D83,H83-W_lost,H83,H83,H83+W_gain)</f>
        <v>59</v>
      </c>
      <c r="P83" s="16" t="n">
        <f aca="false">CHOOSE(D83,I83,I83,I83+D_dE,I83+Close_A*(Ceil_E-I83))</f>
        <v>79.2991654861622</v>
      </c>
      <c r="Q83" s="14" t="n">
        <f aca="false">CHOOSE(D83,1,1,J83,J83)</f>
        <v>1</v>
      </c>
      <c r="R83" s="14" t="n">
        <f aca="false">IF(L83=1,IF(SUMPRODUCT(($L$35:$L$82=1)*(ABS($M$35:$M$82-M83)&lt;0.000001)*(ABS($N$35:$N$82-N83)&lt;0.000001)*($O$35:$O$82=O83)*(ABS($P$35:$P$82-P83)&lt;0.000001)*($Q$35:$Q$82=Q83)*($V$35:$V$82=V83))=0,1,0),0)</f>
        <v>1</v>
      </c>
      <c r="S83" s="14" t="n">
        <f aca="false">IF(AND(L83=1,N83&gt;=$B$4-0.000000001,P83&gt;=$B$6-0.000000001,M83&gt;=Floor_q+$B$5-0.000000001),1,0)</f>
        <v>0</v>
      </c>
      <c r="U83" s="14" t="n">
        <f aca="false">V46</f>
        <v>1</v>
      </c>
      <c r="V83" s="14" t="n">
        <f aca="false">CHOOSE(D83,U83,U83,1,U83)</f>
        <v>1</v>
      </c>
    </row>
    <row r="84" customFormat="false" ht="15" hidden="false" customHeight="true" outlineLevel="0" collapsed="false">
      <c r="A84" s="3" t="s">
        <v>322</v>
      </c>
      <c r="B84" s="14" t="n">
        <v>3</v>
      </c>
      <c r="C84" s="14" t="n">
        <v>47</v>
      </c>
      <c r="D84" s="14" t="n">
        <v>1</v>
      </c>
      <c r="E84" s="14" t="n">
        <f aca="false">L47</f>
        <v>1</v>
      </c>
      <c r="F84" s="19" t="n">
        <f aca="false">M47</f>
        <v>592</v>
      </c>
      <c r="G84" s="19" t="n">
        <f aca="false">N47</f>
        <v>36.9</v>
      </c>
      <c r="H84" s="14" t="n">
        <f aca="false">O47</f>
        <v>59</v>
      </c>
      <c r="I84" s="16" t="n">
        <f aca="false">P47</f>
        <v>78</v>
      </c>
      <c r="J84" s="14" t="n">
        <f aca="false">Q47</f>
        <v>1</v>
      </c>
      <c r="K84" s="14" t="n">
        <f aca="false">IF(D84&lt;=2,1-J84,IF(D84=3,IF(AND(U84=0,H84&gt;=W_min,F84-D_dip&gt;=Floor_q),1,0),IF(AND(H84&gt;=W_min,F84&gt;=Pre_A),1,0)))</f>
        <v>0</v>
      </c>
      <c r="L84" s="14" t="n">
        <f aca="false">E84*K84</f>
        <v>0</v>
      </c>
      <c r="M84" s="19" t="n">
        <f aca="false">CHOOSE(D84,F84+Proc_S,F84+Proc_Sk,F84+D_dL,F84-Cost_A)</f>
        <v>704</v>
      </c>
      <c r="N84" s="19" t="n">
        <f aca="false">CHOOSE(D84,(1-Tech_share)*G84,(1-Tech_share)*G84,G84+D_dT,G84)</f>
        <v>33.21</v>
      </c>
      <c r="O84" s="14" t="n">
        <f aca="false">CHOOSE(D84,H84-W_lost,H84,H84,H84+W_gain)</f>
        <v>54</v>
      </c>
      <c r="P84" s="16" t="n">
        <f aca="false">CHOOSE(D84,I84,I84,I84+D_dE,I84+Close_A*(Ceil_E-I84))</f>
        <v>78</v>
      </c>
      <c r="Q84" s="14" t="n">
        <f aca="false">CHOOSE(D84,1,1,J84,J84)</f>
        <v>1</v>
      </c>
      <c r="R84" s="14" t="n">
        <f aca="false">IF(L84=1,IF(SUMPRODUCT(($L$35:$L$83=1)*(ABS($M$35:$M$83-M84)&lt;0.000001)*(ABS($N$35:$N$83-N84)&lt;0.000001)*($O$35:$O$83=O84)*(ABS($P$35:$P$83-P84)&lt;0.000001)*($Q$35:$Q$83=Q84)*($V$35:$V$83=V84))=0,1,0),0)</f>
        <v>0</v>
      </c>
      <c r="S84" s="14" t="n">
        <f aca="false">IF(AND(L84=1,N84&gt;=$B$4-0.000000001,P84&gt;=$B$6-0.000000001,M84&gt;=Floor_q+$B$5-0.000000001),1,0)</f>
        <v>0</v>
      </c>
      <c r="U84" s="14" t="n">
        <f aca="false">V47</f>
        <v>0</v>
      </c>
      <c r="V84" s="14" t="n">
        <f aca="false">CHOOSE(D84,U84,U84,1,U84)</f>
        <v>0</v>
      </c>
    </row>
    <row r="85" customFormat="false" ht="15" hidden="false" customHeight="true" outlineLevel="0" collapsed="false">
      <c r="A85" s="3" t="s">
        <v>323</v>
      </c>
      <c r="B85" s="14" t="n">
        <v>3</v>
      </c>
      <c r="C85" s="14" t="n">
        <v>47</v>
      </c>
      <c r="D85" s="14" t="n">
        <v>2</v>
      </c>
      <c r="E85" s="14" t="n">
        <f aca="false">L47</f>
        <v>1</v>
      </c>
      <c r="F85" s="19" t="n">
        <f aca="false">M47</f>
        <v>592</v>
      </c>
      <c r="G85" s="19" t="n">
        <f aca="false">N47</f>
        <v>36.9</v>
      </c>
      <c r="H85" s="14" t="n">
        <f aca="false">O47</f>
        <v>59</v>
      </c>
      <c r="I85" s="16" t="n">
        <f aca="false">P47</f>
        <v>78</v>
      </c>
      <c r="J85" s="14" t="n">
        <f aca="false">Q47</f>
        <v>1</v>
      </c>
      <c r="K85" s="14" t="n">
        <f aca="false">IF(D85&lt;=2,1-J85,IF(D85=3,IF(AND(U85=0,H85&gt;=W_min,F85-D_dip&gt;=Floor_q),1,0),IF(AND(H85&gt;=W_min,F85&gt;=Pre_A),1,0)))</f>
        <v>0</v>
      </c>
      <c r="L85" s="14" t="n">
        <f aca="false">E85*K85</f>
        <v>0</v>
      </c>
      <c r="M85" s="19" t="n">
        <f aca="false">CHOOSE(D85,F85+Proc_S,F85+Proc_Sk,F85+D_dL,F85-Cost_A)</f>
        <v>684</v>
      </c>
      <c r="N85" s="19" t="n">
        <f aca="false">CHOOSE(D85,(1-Tech_share)*G85,(1-Tech_share)*G85,G85+D_dT,G85)</f>
        <v>33.21</v>
      </c>
      <c r="O85" s="14" t="n">
        <f aca="false">CHOOSE(D85,H85-W_lost,H85,H85,H85+W_gain)</f>
        <v>59</v>
      </c>
      <c r="P85" s="16" t="n">
        <f aca="false">CHOOSE(D85,I85,I85,I85+D_dE,I85+Close_A*(Ceil_E-I85))</f>
        <v>78</v>
      </c>
      <c r="Q85" s="14" t="n">
        <f aca="false">CHOOSE(D85,1,1,J85,J85)</f>
        <v>1</v>
      </c>
      <c r="R85" s="14" t="n">
        <f aca="false">IF(L85=1,IF(SUMPRODUCT(($L$35:$L$84=1)*(ABS($M$35:$M$84-M85)&lt;0.000001)*(ABS($N$35:$N$84-N85)&lt;0.000001)*($O$35:$O$84=O85)*(ABS($P$35:$P$84-P85)&lt;0.000001)*($Q$35:$Q$84=Q85)*($V$35:$V$84=V85))=0,1,0),0)</f>
        <v>0</v>
      </c>
      <c r="S85" s="14" t="n">
        <f aca="false">IF(AND(L85=1,N85&gt;=$B$4-0.000000001,P85&gt;=$B$6-0.000000001,M85&gt;=Floor_q+$B$5-0.000000001),1,0)</f>
        <v>0</v>
      </c>
      <c r="U85" s="14" t="n">
        <f aca="false">V47</f>
        <v>0</v>
      </c>
      <c r="V85" s="14" t="n">
        <f aca="false">CHOOSE(D85,U85,U85,1,U85)</f>
        <v>0</v>
      </c>
    </row>
    <row r="86" customFormat="false" ht="15" hidden="false" customHeight="true" outlineLevel="0" collapsed="false">
      <c r="A86" s="3" t="s">
        <v>324</v>
      </c>
      <c r="B86" s="14" t="n">
        <v>3</v>
      </c>
      <c r="C86" s="14" t="n">
        <v>47</v>
      </c>
      <c r="D86" s="14" t="n">
        <v>3</v>
      </c>
      <c r="E86" s="14" t="n">
        <f aca="false">L47</f>
        <v>1</v>
      </c>
      <c r="F86" s="19" t="n">
        <f aca="false">M47</f>
        <v>592</v>
      </c>
      <c r="G86" s="19" t="n">
        <f aca="false">N47</f>
        <v>36.9</v>
      </c>
      <c r="H86" s="14" t="n">
        <f aca="false">O47</f>
        <v>59</v>
      </c>
      <c r="I86" s="16" t="n">
        <f aca="false">P47</f>
        <v>78</v>
      </c>
      <c r="J86" s="14" t="n">
        <f aca="false">Q47</f>
        <v>1</v>
      </c>
      <c r="K86" s="14" t="n">
        <f aca="false">IF(D86&lt;=2,1-J86,IF(D86=3,IF(AND(U86=0,H86&gt;=W_min,F86-D_dip&gt;=Floor_q),1,0),IF(AND(H86&gt;=W_min,F86&gt;=Pre_A),1,0)))</f>
        <v>1</v>
      </c>
      <c r="L86" s="14" t="n">
        <f aca="false">E86*K86</f>
        <v>1</v>
      </c>
      <c r="M86" s="19" t="n">
        <f aca="false">CHOOSE(D86,F86+Proc_S,F86+Proc_Sk,F86+D_dL,F86-Cost_A)</f>
        <v>556.632729102868</v>
      </c>
      <c r="N86" s="19" t="n">
        <f aca="false">CHOOSE(D86,(1-Tech_share)*G86,(1-Tech_share)*G86,G86+D_dT,G86)</f>
        <v>71.5346691353518</v>
      </c>
      <c r="O86" s="14" t="n">
        <f aca="false">CHOOSE(D86,H86-W_lost,H86,H86,H86+W_gain)</f>
        <v>59</v>
      </c>
      <c r="P86" s="16" t="n">
        <f aca="false">CHOOSE(D86,I86,I86,I86+D_dE,I86+Close_A*(Ceil_E-I86))</f>
        <v>80.5983309723245</v>
      </c>
      <c r="Q86" s="14" t="n">
        <f aca="false">CHOOSE(D86,1,1,J86,J86)</f>
        <v>1</v>
      </c>
      <c r="R86" s="14" t="n">
        <f aca="false">IF(L86=1,IF(SUMPRODUCT(($L$35:$L$85=1)*(ABS($M$35:$M$85-M86)&lt;0.000001)*(ABS($N$35:$N$85-N86)&lt;0.000001)*($O$35:$O$85=O86)*(ABS($P$35:$P$85-P86)&lt;0.000001)*($Q$35:$Q$85=Q86)*($V$35:$V$85=V86))=0,1,0),0)</f>
        <v>1</v>
      </c>
      <c r="S86" s="14" t="n">
        <f aca="false">IF(AND(L86=1,N86&gt;=$B$4-0.000000001,P86&gt;=$B$6-0.000000001,M86&gt;=Floor_q+$B$5-0.000000001),1,0)</f>
        <v>1</v>
      </c>
      <c r="U86" s="14" t="n">
        <f aca="false">V47</f>
        <v>0</v>
      </c>
      <c r="V86" s="14" t="n">
        <f aca="false">CHOOSE(D86,U86,U86,1,U86)</f>
        <v>1</v>
      </c>
    </row>
    <row r="87" customFormat="false" ht="15" hidden="false" customHeight="true" outlineLevel="0" collapsed="false">
      <c r="A87" s="3" t="s">
        <v>325</v>
      </c>
      <c r="B87" s="14" t="n">
        <v>3</v>
      </c>
      <c r="C87" s="14" t="n">
        <v>47</v>
      </c>
      <c r="D87" s="14" t="n">
        <v>4</v>
      </c>
      <c r="E87" s="14" t="n">
        <f aca="false">L47</f>
        <v>1</v>
      </c>
      <c r="F87" s="19" t="n">
        <f aca="false">M47</f>
        <v>592</v>
      </c>
      <c r="G87" s="19" t="n">
        <f aca="false">N47</f>
        <v>36.9</v>
      </c>
      <c r="H87" s="14" t="n">
        <f aca="false">O47</f>
        <v>59</v>
      </c>
      <c r="I87" s="16" t="n">
        <f aca="false">P47</f>
        <v>78</v>
      </c>
      <c r="J87" s="14" t="n">
        <f aca="false">Q47</f>
        <v>1</v>
      </c>
      <c r="K87" s="14" t="n">
        <f aca="false">IF(D87&lt;=2,1-J87,IF(D87=3,IF(AND(U87=0,H87&gt;=W_min,F87-D_dip&gt;=Floor_q),1,0),IF(AND(H87&gt;=W_min,F87&gt;=Pre_A),1,0)))</f>
        <v>1</v>
      </c>
      <c r="L87" s="14" t="n">
        <f aca="false">E87*K87</f>
        <v>1</v>
      </c>
      <c r="M87" s="19" t="n">
        <f aca="false">CHOOSE(D87,F87+Proc_S,F87+Proc_Sk,F87+D_dL,F87-Cost_A)</f>
        <v>472</v>
      </c>
      <c r="N87" s="19" t="n">
        <f aca="false">CHOOSE(D87,(1-Tech_share)*G87,(1-Tech_share)*G87,G87+D_dT,G87)</f>
        <v>36.9</v>
      </c>
      <c r="O87" s="14" t="n">
        <f aca="false">CHOOSE(D87,H87-W_lost,H87,H87,H87+W_gain)</f>
        <v>60</v>
      </c>
      <c r="P87" s="16" t="n">
        <f aca="false">CHOOSE(D87,I87,I87,I87+D_dE,I87+Close_A*(Ceil_E-I87))</f>
        <v>81.5</v>
      </c>
      <c r="Q87" s="14" t="n">
        <f aca="false">CHOOSE(D87,1,1,J87,J87)</f>
        <v>1</v>
      </c>
      <c r="R87" s="14" t="n">
        <f aca="false">IF(L87=1,IF(SUMPRODUCT(($L$35:$L$86=1)*(ABS($M$35:$M$86-M87)&lt;0.000001)*(ABS($N$35:$N$86-N87)&lt;0.000001)*($O$35:$O$86=O87)*(ABS($P$35:$P$86-P87)&lt;0.000001)*($Q$35:$Q$86=Q87)*($V$35:$V$86=V87))=0,1,0),0)</f>
        <v>1</v>
      </c>
      <c r="S87" s="14" t="n">
        <f aca="false">IF(AND(L87=1,N87&gt;=$B$4-0.000000001,P87&gt;=$B$6-0.000000001,M87&gt;=Floor_q+$B$5-0.000000001),1,0)</f>
        <v>0</v>
      </c>
      <c r="U87" s="14" t="n">
        <f aca="false">V47</f>
        <v>0</v>
      </c>
      <c r="V87" s="14" t="n">
        <f aca="false">CHOOSE(D87,U87,U87,1,U87)</f>
        <v>0</v>
      </c>
    </row>
    <row r="88" customFormat="false" ht="15" hidden="false" customHeight="true" outlineLevel="0" collapsed="false">
      <c r="A88" s="3" t="s">
        <v>326</v>
      </c>
      <c r="B88" s="14" t="n">
        <v>3</v>
      </c>
      <c r="C88" s="14" t="n">
        <v>48</v>
      </c>
      <c r="D88" s="14" t="n">
        <v>1</v>
      </c>
      <c r="E88" s="14" t="n">
        <f aca="false">L48</f>
        <v>1</v>
      </c>
      <c r="F88" s="19" t="n">
        <f aca="false">M48</f>
        <v>696.632729102868</v>
      </c>
      <c r="G88" s="19" t="n">
        <f aca="false">N48</f>
        <v>68.0712022218166</v>
      </c>
      <c r="H88" s="14" t="n">
        <f aca="false">O48</f>
        <v>53</v>
      </c>
      <c r="I88" s="16" t="n">
        <f aca="false">P48</f>
        <v>73.5983309723245</v>
      </c>
      <c r="J88" s="14" t="n">
        <f aca="false">Q48</f>
        <v>1</v>
      </c>
      <c r="K88" s="14" t="n">
        <f aca="false">IF(D88&lt;=2,1-J88,IF(D88=3,IF(AND(U88=0,H88&gt;=W_min,F88-D_dip&gt;=Floor_q),1,0),IF(AND(H88&gt;=W_min,F88&gt;=Pre_A),1,0)))</f>
        <v>0</v>
      </c>
      <c r="L88" s="14" t="n">
        <f aca="false">E88*K88</f>
        <v>0</v>
      </c>
      <c r="M88" s="19" t="n">
        <f aca="false">CHOOSE(D88,F88+Proc_S,F88+Proc_Sk,F88+D_dL,F88-Cost_A)</f>
        <v>808.632729102868</v>
      </c>
      <c r="N88" s="19" t="n">
        <f aca="false">CHOOSE(D88,(1-Tech_share)*G88,(1-Tech_share)*G88,G88+D_dT,G88)</f>
        <v>61.264081999635</v>
      </c>
      <c r="O88" s="14" t="n">
        <f aca="false">CHOOSE(D88,H88-W_lost,H88,H88,H88+W_gain)</f>
        <v>48</v>
      </c>
      <c r="P88" s="16" t="n">
        <f aca="false">CHOOSE(D88,I88,I88,I88+D_dE,I88+Close_A*(Ceil_E-I88))</f>
        <v>73.5983309723245</v>
      </c>
      <c r="Q88" s="14" t="n">
        <f aca="false">CHOOSE(D88,1,1,J88,J88)</f>
        <v>1</v>
      </c>
      <c r="R88" s="14" t="n">
        <f aca="false">IF(L88=1,IF(SUMPRODUCT(($L$35:$L$87=1)*(ABS($M$35:$M$87-M88)&lt;0.000001)*(ABS($N$35:$N$87-N88)&lt;0.000001)*($O$35:$O$87=O88)*(ABS($P$35:$P$87-P88)&lt;0.000001)*($Q$35:$Q$87=Q88)*($V$35:$V$87=V88))=0,1,0),0)</f>
        <v>0</v>
      </c>
      <c r="S88" s="14" t="n">
        <f aca="false">IF(AND(L88=1,N88&gt;=$B$4-0.000000001,P88&gt;=$B$6-0.000000001,M88&gt;=Floor_q+$B$5-0.000000001),1,0)</f>
        <v>0</v>
      </c>
      <c r="U88" s="14" t="n">
        <f aca="false">V48</f>
        <v>1</v>
      </c>
      <c r="V88" s="14" t="n">
        <f aca="false">CHOOSE(D88,U88,U88,1,U88)</f>
        <v>1</v>
      </c>
    </row>
    <row r="89" customFormat="false" ht="15" hidden="false" customHeight="true" outlineLevel="0" collapsed="false">
      <c r="A89" s="3" t="s">
        <v>327</v>
      </c>
      <c r="B89" s="14" t="n">
        <v>3</v>
      </c>
      <c r="C89" s="14" t="n">
        <v>48</v>
      </c>
      <c r="D89" s="14" t="n">
        <v>2</v>
      </c>
      <c r="E89" s="14" t="n">
        <f aca="false">L48</f>
        <v>1</v>
      </c>
      <c r="F89" s="19" t="n">
        <f aca="false">M48</f>
        <v>696.632729102868</v>
      </c>
      <c r="G89" s="19" t="n">
        <f aca="false">N48</f>
        <v>68.0712022218166</v>
      </c>
      <c r="H89" s="14" t="n">
        <f aca="false">O48</f>
        <v>53</v>
      </c>
      <c r="I89" s="16" t="n">
        <f aca="false">P48</f>
        <v>73.5983309723245</v>
      </c>
      <c r="J89" s="14" t="n">
        <f aca="false">Q48</f>
        <v>1</v>
      </c>
      <c r="K89" s="14" t="n">
        <f aca="false">IF(D89&lt;=2,1-J89,IF(D89=3,IF(AND(U89=0,H89&gt;=W_min,F89-D_dip&gt;=Floor_q),1,0),IF(AND(H89&gt;=W_min,F89&gt;=Pre_A),1,0)))</f>
        <v>0</v>
      </c>
      <c r="L89" s="14" t="n">
        <f aca="false">E89*K89</f>
        <v>0</v>
      </c>
      <c r="M89" s="19" t="n">
        <f aca="false">CHOOSE(D89,F89+Proc_S,F89+Proc_Sk,F89+D_dL,F89-Cost_A)</f>
        <v>788.632729102868</v>
      </c>
      <c r="N89" s="19" t="n">
        <f aca="false">CHOOSE(D89,(1-Tech_share)*G89,(1-Tech_share)*G89,G89+D_dT,G89)</f>
        <v>61.264081999635</v>
      </c>
      <c r="O89" s="14" t="n">
        <f aca="false">CHOOSE(D89,H89-W_lost,H89,H89,H89+W_gain)</f>
        <v>53</v>
      </c>
      <c r="P89" s="16" t="n">
        <f aca="false">CHOOSE(D89,I89,I89,I89+D_dE,I89+Close_A*(Ceil_E-I89))</f>
        <v>73.5983309723245</v>
      </c>
      <c r="Q89" s="14" t="n">
        <f aca="false">CHOOSE(D89,1,1,J89,J89)</f>
        <v>1</v>
      </c>
      <c r="R89" s="14" t="n">
        <f aca="false">IF(L89=1,IF(SUMPRODUCT(($L$35:$L$88=1)*(ABS($M$35:$M$88-M89)&lt;0.000001)*(ABS($N$35:$N$88-N89)&lt;0.000001)*($O$35:$O$88=O89)*(ABS($P$35:$P$88-P89)&lt;0.000001)*($Q$35:$Q$88=Q89)*($V$35:$V$88=V89))=0,1,0),0)</f>
        <v>0</v>
      </c>
      <c r="S89" s="14" t="n">
        <f aca="false">IF(AND(L89=1,N89&gt;=$B$4-0.000000001,P89&gt;=$B$6-0.000000001,M89&gt;=Floor_q+$B$5-0.000000001),1,0)</f>
        <v>0</v>
      </c>
      <c r="U89" s="14" t="n">
        <f aca="false">V48</f>
        <v>1</v>
      </c>
      <c r="V89" s="14" t="n">
        <f aca="false">CHOOSE(D89,U89,U89,1,U89)</f>
        <v>1</v>
      </c>
    </row>
    <row r="90" customFormat="false" ht="15" hidden="false" customHeight="true" outlineLevel="0" collapsed="false">
      <c r="A90" s="3" t="s">
        <v>328</v>
      </c>
      <c r="B90" s="14" t="n">
        <v>3</v>
      </c>
      <c r="C90" s="14" t="n">
        <v>48</v>
      </c>
      <c r="D90" s="14" t="n">
        <v>3</v>
      </c>
      <c r="E90" s="14" t="n">
        <f aca="false">L48</f>
        <v>1</v>
      </c>
      <c r="F90" s="19" t="n">
        <f aca="false">M48</f>
        <v>696.632729102868</v>
      </c>
      <c r="G90" s="19" t="n">
        <f aca="false">N48</f>
        <v>68.0712022218166</v>
      </c>
      <c r="H90" s="14" t="n">
        <f aca="false">O48</f>
        <v>53</v>
      </c>
      <c r="I90" s="16" t="n">
        <f aca="false">P48</f>
        <v>73.5983309723245</v>
      </c>
      <c r="J90" s="14" t="n">
        <f aca="false">Q48</f>
        <v>1</v>
      </c>
      <c r="K90" s="14" t="n">
        <f aca="false">IF(D90&lt;=2,1-J90,IF(D90=3,IF(AND(U90=0,H90&gt;=W_min,F90-D_dip&gt;=Floor_q),1,0),IF(AND(H90&gt;=W_min,F90&gt;=Pre_A),1,0)))</f>
        <v>0</v>
      </c>
      <c r="L90" s="14" t="n">
        <f aca="false">E90*K90</f>
        <v>0</v>
      </c>
      <c r="M90" s="19" t="n">
        <f aca="false">CHOOSE(D90,F90+Proc_S,F90+Proc_Sk,F90+D_dL,F90-Cost_A)</f>
        <v>661.265458205737</v>
      </c>
      <c r="N90" s="19" t="n">
        <f aca="false">CHOOSE(D90,(1-Tech_share)*G90,(1-Tech_share)*G90,G90+D_dT,G90)</f>
        <v>102.705871357168</v>
      </c>
      <c r="O90" s="14" t="n">
        <f aca="false">CHOOSE(D90,H90-W_lost,H90,H90,H90+W_gain)</f>
        <v>53</v>
      </c>
      <c r="P90" s="16" t="n">
        <f aca="false">CHOOSE(D90,I90,I90,I90+D_dE,I90+Close_A*(Ceil_E-I90))</f>
        <v>76.1966619446489</v>
      </c>
      <c r="Q90" s="14" t="n">
        <f aca="false">CHOOSE(D90,1,1,J90,J90)</f>
        <v>1</v>
      </c>
      <c r="R90" s="14" t="n">
        <f aca="false">IF(L90=1,IF(SUMPRODUCT(($L$35:$L$89=1)*(ABS($M$35:$M$89-M90)&lt;0.000001)*(ABS($N$35:$N$89-N90)&lt;0.000001)*($O$35:$O$89=O90)*(ABS($P$35:$P$89-P90)&lt;0.000001)*($Q$35:$Q$89=Q90)*($V$35:$V$89=V90))=0,1,0),0)</f>
        <v>0</v>
      </c>
      <c r="S90" s="14" t="n">
        <f aca="false">IF(AND(L90=1,N90&gt;=$B$4-0.000000001,P90&gt;=$B$6-0.000000001,M90&gt;=Floor_q+$B$5-0.000000001),1,0)</f>
        <v>0</v>
      </c>
      <c r="U90" s="14" t="n">
        <f aca="false">V48</f>
        <v>1</v>
      </c>
      <c r="V90" s="14" t="n">
        <f aca="false">CHOOSE(D90,U90,U90,1,U90)</f>
        <v>1</v>
      </c>
    </row>
    <row r="91" customFormat="false" ht="15" hidden="false" customHeight="true" outlineLevel="0" collapsed="false">
      <c r="A91" s="3" t="s">
        <v>329</v>
      </c>
      <c r="B91" s="14" t="n">
        <v>3</v>
      </c>
      <c r="C91" s="14" t="n">
        <v>48</v>
      </c>
      <c r="D91" s="14" t="n">
        <v>4</v>
      </c>
      <c r="E91" s="14" t="n">
        <f aca="false">L48</f>
        <v>1</v>
      </c>
      <c r="F91" s="19" t="n">
        <f aca="false">M48</f>
        <v>696.632729102868</v>
      </c>
      <c r="G91" s="19" t="n">
        <f aca="false">N48</f>
        <v>68.0712022218166</v>
      </c>
      <c r="H91" s="14" t="n">
        <f aca="false">O48</f>
        <v>53</v>
      </c>
      <c r="I91" s="16" t="n">
        <f aca="false">P48</f>
        <v>73.5983309723245</v>
      </c>
      <c r="J91" s="14" t="n">
        <f aca="false">Q48</f>
        <v>1</v>
      </c>
      <c r="K91" s="14" t="n">
        <f aca="false">IF(D91&lt;=2,1-J91,IF(D91=3,IF(AND(U91=0,H91&gt;=W_min,F91-D_dip&gt;=Floor_q),1,0),IF(AND(H91&gt;=W_min,F91&gt;=Pre_A),1,0)))</f>
        <v>0</v>
      </c>
      <c r="L91" s="14" t="n">
        <f aca="false">E91*K91</f>
        <v>0</v>
      </c>
      <c r="M91" s="19" t="n">
        <f aca="false">CHOOSE(D91,F91+Proc_S,F91+Proc_Sk,F91+D_dL,F91-Cost_A)</f>
        <v>576.632729102868</v>
      </c>
      <c r="N91" s="19" t="n">
        <f aca="false">CHOOSE(D91,(1-Tech_share)*G91,(1-Tech_share)*G91,G91+D_dT,G91)</f>
        <v>68.0712022218166</v>
      </c>
      <c r="O91" s="14" t="n">
        <f aca="false">CHOOSE(D91,H91-W_lost,H91,H91,H91+W_gain)</f>
        <v>54</v>
      </c>
      <c r="P91" s="16" t="n">
        <f aca="false">CHOOSE(D91,I91,I91,I91+D_dE,I91+Close_A*(Ceil_E-I91))</f>
        <v>79.2991654861622</v>
      </c>
      <c r="Q91" s="14" t="n">
        <f aca="false">CHOOSE(D91,1,1,J91,J91)</f>
        <v>1</v>
      </c>
      <c r="R91" s="14" t="n">
        <f aca="false">IF(L91=1,IF(SUMPRODUCT(($L$35:$L$90=1)*(ABS($M$35:$M$90-M91)&lt;0.000001)*(ABS($N$35:$N$90-N91)&lt;0.000001)*($O$35:$O$90=O91)*(ABS($P$35:$P$90-P91)&lt;0.000001)*($Q$35:$Q$90=Q91)*($V$35:$V$90=V91))=0,1,0),0)</f>
        <v>0</v>
      </c>
      <c r="S91" s="14" t="n">
        <f aca="false">IF(AND(L91=1,N91&gt;=$B$4-0.000000001,P91&gt;=$B$6-0.000000001,M91&gt;=Floor_q+$B$5-0.000000001),1,0)</f>
        <v>0</v>
      </c>
      <c r="U91" s="14" t="n">
        <f aca="false">V48</f>
        <v>1</v>
      </c>
      <c r="V91" s="14" t="n">
        <f aca="false">CHOOSE(D91,U91,U91,1,U91)</f>
        <v>1</v>
      </c>
    </row>
    <row r="92" customFormat="false" ht="15" hidden="false" customHeight="true" outlineLevel="0" collapsed="false">
      <c r="A92" s="3" t="s">
        <v>330</v>
      </c>
      <c r="B92" s="14" t="n">
        <v>3</v>
      </c>
      <c r="C92" s="14" t="n">
        <v>49</v>
      </c>
      <c r="D92" s="14" t="n">
        <v>1</v>
      </c>
      <c r="E92" s="14" t="n">
        <f aca="false">L49</f>
        <v>1</v>
      </c>
      <c r="F92" s="19" t="n">
        <f aca="false">M49</f>
        <v>676.632729102868</v>
      </c>
      <c r="G92" s="19" t="n">
        <f aca="false">N49</f>
        <v>68.0712022218166</v>
      </c>
      <c r="H92" s="14" t="n">
        <f aca="false">O49</f>
        <v>58</v>
      </c>
      <c r="I92" s="16" t="n">
        <f aca="false">P49</f>
        <v>73.5983309723245</v>
      </c>
      <c r="J92" s="14" t="n">
        <f aca="false">Q49</f>
        <v>1</v>
      </c>
      <c r="K92" s="14" t="n">
        <f aca="false">IF(D92&lt;=2,1-J92,IF(D92=3,IF(AND(U92=0,H92&gt;=W_min,F92-D_dip&gt;=Floor_q),1,0),IF(AND(H92&gt;=W_min,F92&gt;=Pre_A),1,0)))</f>
        <v>0</v>
      </c>
      <c r="L92" s="14" t="n">
        <f aca="false">E92*K92</f>
        <v>0</v>
      </c>
      <c r="M92" s="19" t="n">
        <f aca="false">CHOOSE(D92,F92+Proc_S,F92+Proc_Sk,F92+D_dL,F92-Cost_A)</f>
        <v>788.632729102868</v>
      </c>
      <c r="N92" s="19" t="n">
        <f aca="false">CHOOSE(D92,(1-Tech_share)*G92,(1-Tech_share)*G92,G92+D_dT,G92)</f>
        <v>61.264081999635</v>
      </c>
      <c r="O92" s="14" t="n">
        <f aca="false">CHOOSE(D92,H92-W_lost,H92,H92,H92+W_gain)</f>
        <v>53</v>
      </c>
      <c r="P92" s="16" t="n">
        <f aca="false">CHOOSE(D92,I92,I92,I92+D_dE,I92+Close_A*(Ceil_E-I92))</f>
        <v>73.5983309723245</v>
      </c>
      <c r="Q92" s="14" t="n">
        <f aca="false">CHOOSE(D92,1,1,J92,J92)</f>
        <v>1</v>
      </c>
      <c r="R92" s="14" t="n">
        <f aca="false">IF(L92=1,IF(SUMPRODUCT(($L$35:$L$91=1)*(ABS($M$35:$M$91-M92)&lt;0.000001)*(ABS($N$35:$N$91-N92)&lt;0.000001)*($O$35:$O$91=O92)*(ABS($P$35:$P$91-P92)&lt;0.000001)*($Q$35:$Q$91=Q92)*($V$35:$V$91=V92))=0,1,0),0)</f>
        <v>0</v>
      </c>
      <c r="S92" s="14" t="n">
        <f aca="false">IF(AND(L92=1,N92&gt;=$B$4-0.000000001,P92&gt;=$B$6-0.000000001,M92&gt;=Floor_q+$B$5-0.000000001),1,0)</f>
        <v>0</v>
      </c>
      <c r="U92" s="14" t="n">
        <f aca="false">V49</f>
        <v>1</v>
      </c>
      <c r="V92" s="14" t="n">
        <f aca="false">CHOOSE(D92,U92,U92,1,U92)</f>
        <v>1</v>
      </c>
    </row>
    <row r="93" customFormat="false" ht="15" hidden="false" customHeight="true" outlineLevel="0" collapsed="false">
      <c r="A93" s="3" t="s">
        <v>331</v>
      </c>
      <c r="B93" s="14" t="n">
        <v>3</v>
      </c>
      <c r="C93" s="14" t="n">
        <v>49</v>
      </c>
      <c r="D93" s="14" t="n">
        <v>2</v>
      </c>
      <c r="E93" s="14" t="n">
        <f aca="false">L49</f>
        <v>1</v>
      </c>
      <c r="F93" s="19" t="n">
        <f aca="false">M49</f>
        <v>676.632729102868</v>
      </c>
      <c r="G93" s="19" t="n">
        <f aca="false">N49</f>
        <v>68.0712022218166</v>
      </c>
      <c r="H93" s="14" t="n">
        <f aca="false">O49</f>
        <v>58</v>
      </c>
      <c r="I93" s="16" t="n">
        <f aca="false">P49</f>
        <v>73.5983309723245</v>
      </c>
      <c r="J93" s="14" t="n">
        <f aca="false">Q49</f>
        <v>1</v>
      </c>
      <c r="K93" s="14" t="n">
        <f aca="false">IF(D93&lt;=2,1-J93,IF(D93=3,IF(AND(U93=0,H93&gt;=W_min,F93-D_dip&gt;=Floor_q),1,0),IF(AND(H93&gt;=W_min,F93&gt;=Pre_A),1,0)))</f>
        <v>0</v>
      </c>
      <c r="L93" s="14" t="n">
        <f aca="false">E93*K93</f>
        <v>0</v>
      </c>
      <c r="M93" s="19" t="n">
        <f aca="false">CHOOSE(D93,F93+Proc_S,F93+Proc_Sk,F93+D_dL,F93-Cost_A)</f>
        <v>768.632729102868</v>
      </c>
      <c r="N93" s="19" t="n">
        <f aca="false">CHOOSE(D93,(1-Tech_share)*G93,(1-Tech_share)*G93,G93+D_dT,G93)</f>
        <v>61.264081999635</v>
      </c>
      <c r="O93" s="14" t="n">
        <f aca="false">CHOOSE(D93,H93-W_lost,H93,H93,H93+W_gain)</f>
        <v>58</v>
      </c>
      <c r="P93" s="16" t="n">
        <f aca="false">CHOOSE(D93,I93,I93,I93+D_dE,I93+Close_A*(Ceil_E-I93))</f>
        <v>73.5983309723245</v>
      </c>
      <c r="Q93" s="14" t="n">
        <f aca="false">CHOOSE(D93,1,1,J93,J93)</f>
        <v>1</v>
      </c>
      <c r="R93" s="14" t="n">
        <f aca="false">IF(L93=1,IF(SUMPRODUCT(($L$35:$L$92=1)*(ABS($M$35:$M$92-M93)&lt;0.000001)*(ABS($N$35:$N$92-N93)&lt;0.000001)*($O$35:$O$92=O93)*(ABS($P$35:$P$92-P93)&lt;0.000001)*($Q$35:$Q$92=Q93)*($V$35:$V$92=V93))=0,1,0),0)</f>
        <v>0</v>
      </c>
      <c r="S93" s="14" t="n">
        <f aca="false">IF(AND(L93=1,N93&gt;=$B$4-0.000000001,P93&gt;=$B$6-0.000000001,M93&gt;=Floor_q+$B$5-0.000000001),1,0)</f>
        <v>0</v>
      </c>
      <c r="U93" s="14" t="n">
        <f aca="false">V49</f>
        <v>1</v>
      </c>
      <c r="V93" s="14" t="n">
        <f aca="false">CHOOSE(D93,U93,U93,1,U93)</f>
        <v>1</v>
      </c>
    </row>
    <row r="94" customFormat="false" ht="15" hidden="false" customHeight="true" outlineLevel="0" collapsed="false">
      <c r="A94" s="3" t="s">
        <v>332</v>
      </c>
      <c r="B94" s="14" t="n">
        <v>3</v>
      </c>
      <c r="C94" s="14" t="n">
        <v>49</v>
      </c>
      <c r="D94" s="14" t="n">
        <v>3</v>
      </c>
      <c r="E94" s="14" t="n">
        <f aca="false">L49</f>
        <v>1</v>
      </c>
      <c r="F94" s="19" t="n">
        <f aca="false">M49</f>
        <v>676.632729102868</v>
      </c>
      <c r="G94" s="19" t="n">
        <f aca="false">N49</f>
        <v>68.0712022218166</v>
      </c>
      <c r="H94" s="14" t="n">
        <f aca="false">O49</f>
        <v>58</v>
      </c>
      <c r="I94" s="16" t="n">
        <f aca="false">P49</f>
        <v>73.5983309723245</v>
      </c>
      <c r="J94" s="14" t="n">
        <f aca="false">Q49</f>
        <v>1</v>
      </c>
      <c r="K94" s="14" t="n">
        <f aca="false">IF(D94&lt;=2,1-J94,IF(D94=3,IF(AND(U94=0,H94&gt;=W_min,F94-D_dip&gt;=Floor_q),1,0),IF(AND(H94&gt;=W_min,F94&gt;=Pre_A),1,0)))</f>
        <v>0</v>
      </c>
      <c r="L94" s="14" t="n">
        <f aca="false">E94*K94</f>
        <v>0</v>
      </c>
      <c r="M94" s="19" t="n">
        <f aca="false">CHOOSE(D94,F94+Proc_S,F94+Proc_Sk,F94+D_dL,F94-Cost_A)</f>
        <v>641.265458205737</v>
      </c>
      <c r="N94" s="19" t="n">
        <f aca="false">CHOOSE(D94,(1-Tech_share)*G94,(1-Tech_share)*G94,G94+D_dT,G94)</f>
        <v>102.705871357168</v>
      </c>
      <c r="O94" s="14" t="n">
        <f aca="false">CHOOSE(D94,H94-W_lost,H94,H94,H94+W_gain)</f>
        <v>58</v>
      </c>
      <c r="P94" s="16" t="n">
        <f aca="false">CHOOSE(D94,I94,I94,I94+D_dE,I94+Close_A*(Ceil_E-I94))</f>
        <v>76.1966619446489</v>
      </c>
      <c r="Q94" s="14" t="n">
        <f aca="false">CHOOSE(D94,1,1,J94,J94)</f>
        <v>1</v>
      </c>
      <c r="R94" s="14" t="n">
        <f aca="false">IF(L94=1,IF(SUMPRODUCT(($L$35:$L$93=1)*(ABS($M$35:$M$93-M94)&lt;0.000001)*(ABS($N$35:$N$93-N94)&lt;0.000001)*($O$35:$O$93=O94)*(ABS($P$35:$P$93-P94)&lt;0.000001)*($Q$35:$Q$93=Q94)*($V$35:$V$93=V94))=0,1,0),0)</f>
        <v>0</v>
      </c>
      <c r="S94" s="14" t="n">
        <f aca="false">IF(AND(L94=1,N94&gt;=$B$4-0.000000001,P94&gt;=$B$6-0.000000001,M94&gt;=Floor_q+$B$5-0.000000001),1,0)</f>
        <v>0</v>
      </c>
      <c r="U94" s="14" t="n">
        <f aca="false">V49</f>
        <v>1</v>
      </c>
      <c r="V94" s="14" t="n">
        <f aca="false">CHOOSE(D94,U94,U94,1,U94)</f>
        <v>1</v>
      </c>
    </row>
    <row r="95" customFormat="false" ht="15" hidden="false" customHeight="true" outlineLevel="0" collapsed="false">
      <c r="A95" s="3" t="s">
        <v>333</v>
      </c>
      <c r="B95" s="14" t="n">
        <v>3</v>
      </c>
      <c r="C95" s="14" t="n">
        <v>49</v>
      </c>
      <c r="D95" s="14" t="n">
        <v>4</v>
      </c>
      <c r="E95" s="14" t="n">
        <f aca="false">L49</f>
        <v>1</v>
      </c>
      <c r="F95" s="19" t="n">
        <f aca="false">M49</f>
        <v>676.632729102868</v>
      </c>
      <c r="G95" s="19" t="n">
        <f aca="false">N49</f>
        <v>68.0712022218166</v>
      </c>
      <c r="H95" s="14" t="n">
        <f aca="false">O49</f>
        <v>58</v>
      </c>
      <c r="I95" s="16" t="n">
        <f aca="false">P49</f>
        <v>73.5983309723245</v>
      </c>
      <c r="J95" s="14" t="n">
        <f aca="false">Q49</f>
        <v>1</v>
      </c>
      <c r="K95" s="14" t="n">
        <f aca="false">IF(D95&lt;=2,1-J95,IF(D95=3,IF(AND(U95=0,H95&gt;=W_min,F95-D_dip&gt;=Floor_q),1,0),IF(AND(H95&gt;=W_min,F95&gt;=Pre_A),1,0)))</f>
        <v>1</v>
      </c>
      <c r="L95" s="14" t="n">
        <f aca="false">E95*K95</f>
        <v>1</v>
      </c>
      <c r="M95" s="19" t="n">
        <f aca="false">CHOOSE(D95,F95+Proc_S,F95+Proc_Sk,F95+D_dL,F95-Cost_A)</f>
        <v>556.632729102868</v>
      </c>
      <c r="N95" s="19" t="n">
        <f aca="false">CHOOSE(D95,(1-Tech_share)*G95,(1-Tech_share)*G95,G95+D_dT,G95)</f>
        <v>68.0712022218166</v>
      </c>
      <c r="O95" s="14" t="n">
        <f aca="false">CHOOSE(D95,H95-W_lost,H95,H95,H95+W_gain)</f>
        <v>59</v>
      </c>
      <c r="P95" s="16" t="n">
        <f aca="false">CHOOSE(D95,I95,I95,I95+D_dE,I95+Close_A*(Ceil_E-I95))</f>
        <v>79.2991654861622</v>
      </c>
      <c r="Q95" s="14" t="n">
        <f aca="false">CHOOSE(D95,1,1,J95,J95)</f>
        <v>1</v>
      </c>
      <c r="R95" s="14" t="n">
        <f aca="false">IF(L95=1,IF(SUMPRODUCT(($L$35:$L$94=1)*(ABS($M$35:$M$94-M95)&lt;0.000001)*(ABS($N$35:$N$94-N95)&lt;0.000001)*($O$35:$O$94=O95)*(ABS($P$35:$P$94-P95)&lt;0.000001)*($Q$35:$Q$94=Q95)*($V$35:$V$94=V95))=0,1,0),0)</f>
        <v>1</v>
      </c>
      <c r="S95" s="14" t="n">
        <f aca="false">IF(AND(L95=1,N95&gt;=$B$4-0.000000001,P95&gt;=$B$6-0.000000001,M95&gt;=Floor_q+$B$5-0.000000001),1,0)</f>
        <v>0</v>
      </c>
      <c r="U95" s="14" t="n">
        <f aca="false">V49</f>
        <v>1</v>
      </c>
      <c r="V95" s="14" t="n">
        <f aca="false">CHOOSE(D95,U95,U95,1,U95)</f>
        <v>1</v>
      </c>
    </row>
    <row r="96" customFormat="false" ht="15" hidden="false" customHeight="true" outlineLevel="0" collapsed="false">
      <c r="A96" s="3" t="s">
        <v>334</v>
      </c>
      <c r="B96" s="14" t="n">
        <v>3</v>
      </c>
      <c r="C96" s="14" t="n">
        <v>50</v>
      </c>
      <c r="D96" s="14" t="n">
        <v>1</v>
      </c>
      <c r="E96" s="14" t="n">
        <f aca="false">L50</f>
        <v>0</v>
      </c>
      <c r="F96" s="19" t="n">
        <f aca="false">M50</f>
        <v>549.265458205737</v>
      </c>
      <c r="G96" s="19" t="n">
        <f aca="false">N50</f>
        <v>110.269338270704</v>
      </c>
      <c r="H96" s="14" t="n">
        <f aca="false">O50</f>
        <v>58</v>
      </c>
      <c r="I96" s="16" t="n">
        <f aca="false">P50</f>
        <v>76.1966619446489</v>
      </c>
      <c r="J96" s="14" t="n">
        <f aca="false">Q50</f>
        <v>0</v>
      </c>
      <c r="K96" s="14" t="n">
        <f aca="false">IF(D96&lt;=2,1-J96,IF(D96=3,IF(AND(U96=0,H96&gt;=W_min,F96-D_dip&gt;=Floor_q),1,0),IF(AND(H96&gt;=W_min,F96&gt;=Pre_A),1,0)))</f>
        <v>1</v>
      </c>
      <c r="L96" s="14" t="n">
        <f aca="false">E96*K96</f>
        <v>0</v>
      </c>
      <c r="M96" s="19" t="n">
        <f aca="false">CHOOSE(D96,F96+Proc_S,F96+Proc_Sk,F96+D_dL,F96-Cost_A)</f>
        <v>661.265458205737</v>
      </c>
      <c r="N96" s="19" t="n">
        <f aca="false">CHOOSE(D96,(1-Tech_share)*G96,(1-Tech_share)*G96,G96+D_dT,G96)</f>
        <v>99.2424044436333</v>
      </c>
      <c r="O96" s="14" t="n">
        <f aca="false">CHOOSE(D96,H96-W_lost,H96,H96,H96+W_gain)</f>
        <v>53</v>
      </c>
      <c r="P96" s="16" t="n">
        <f aca="false">CHOOSE(D96,I96,I96,I96+D_dE,I96+Close_A*(Ceil_E-I96))</f>
        <v>76.1966619446489</v>
      </c>
      <c r="Q96" s="14" t="n">
        <f aca="false">CHOOSE(D96,1,1,J96,J96)</f>
        <v>1</v>
      </c>
      <c r="R96" s="14" t="n">
        <f aca="false">IF(L96=1,IF(SUMPRODUCT(($L$35:$L$95=1)*(ABS($M$35:$M$95-M96)&lt;0.000001)*(ABS($N$35:$N$95-N96)&lt;0.000001)*($O$35:$O$95=O96)*(ABS($P$35:$P$95-P96)&lt;0.000001)*($Q$35:$Q$95=Q96)*($V$35:$V$95=V96))=0,1,0),0)</f>
        <v>0</v>
      </c>
      <c r="S96" s="14" t="n">
        <f aca="false">IF(AND(L96=1,N96&gt;=$B$4-0.000000001,P96&gt;=$B$6-0.000000001,M96&gt;=Floor_q+$B$5-0.000000001),1,0)</f>
        <v>0</v>
      </c>
      <c r="U96" s="14" t="n">
        <f aca="false">V50</f>
        <v>1</v>
      </c>
      <c r="V96" s="14" t="n">
        <f aca="false">CHOOSE(D96,U96,U96,1,U96)</f>
        <v>1</v>
      </c>
    </row>
    <row r="97" customFormat="false" ht="15" hidden="false" customHeight="true" outlineLevel="0" collapsed="false">
      <c r="A97" s="3" t="s">
        <v>335</v>
      </c>
      <c r="B97" s="14" t="n">
        <v>3</v>
      </c>
      <c r="C97" s="14" t="n">
        <v>50</v>
      </c>
      <c r="D97" s="14" t="n">
        <v>2</v>
      </c>
      <c r="E97" s="14" t="n">
        <f aca="false">L50</f>
        <v>0</v>
      </c>
      <c r="F97" s="19" t="n">
        <f aca="false">M50</f>
        <v>549.265458205737</v>
      </c>
      <c r="G97" s="19" t="n">
        <f aca="false">N50</f>
        <v>110.269338270704</v>
      </c>
      <c r="H97" s="14" t="n">
        <f aca="false">O50</f>
        <v>58</v>
      </c>
      <c r="I97" s="16" t="n">
        <f aca="false">P50</f>
        <v>76.1966619446489</v>
      </c>
      <c r="J97" s="14" t="n">
        <f aca="false">Q50</f>
        <v>0</v>
      </c>
      <c r="K97" s="14" t="n">
        <f aca="false">IF(D97&lt;=2,1-J97,IF(D97=3,IF(AND(U97=0,H97&gt;=W_min,F97-D_dip&gt;=Floor_q),1,0),IF(AND(H97&gt;=W_min,F97&gt;=Pre_A),1,0)))</f>
        <v>1</v>
      </c>
      <c r="L97" s="14" t="n">
        <f aca="false">E97*K97</f>
        <v>0</v>
      </c>
      <c r="M97" s="19" t="n">
        <f aca="false">CHOOSE(D97,F97+Proc_S,F97+Proc_Sk,F97+D_dL,F97-Cost_A)</f>
        <v>641.265458205737</v>
      </c>
      <c r="N97" s="19" t="n">
        <f aca="false">CHOOSE(D97,(1-Tech_share)*G97,(1-Tech_share)*G97,G97+D_dT,G97)</f>
        <v>99.2424044436333</v>
      </c>
      <c r="O97" s="14" t="n">
        <f aca="false">CHOOSE(D97,H97-W_lost,H97,H97,H97+W_gain)</f>
        <v>58</v>
      </c>
      <c r="P97" s="16" t="n">
        <f aca="false">CHOOSE(D97,I97,I97,I97+D_dE,I97+Close_A*(Ceil_E-I97))</f>
        <v>76.1966619446489</v>
      </c>
      <c r="Q97" s="14" t="n">
        <f aca="false">CHOOSE(D97,1,1,J97,J97)</f>
        <v>1</v>
      </c>
      <c r="R97" s="14" t="n">
        <f aca="false">IF(L97=1,IF(SUMPRODUCT(($L$35:$L$96=1)*(ABS($M$35:$M$96-M97)&lt;0.000001)*(ABS($N$35:$N$96-N97)&lt;0.000001)*($O$35:$O$96=O97)*(ABS($P$35:$P$96-P97)&lt;0.000001)*($Q$35:$Q$96=Q97)*($V$35:$V$96=V97))=0,1,0),0)</f>
        <v>0</v>
      </c>
      <c r="S97" s="14" t="n">
        <f aca="false">IF(AND(L97=1,N97&gt;=$B$4-0.000000001,P97&gt;=$B$6-0.000000001,M97&gt;=Floor_q+$B$5-0.000000001),1,0)</f>
        <v>0</v>
      </c>
      <c r="U97" s="14" t="n">
        <f aca="false">V50</f>
        <v>1</v>
      </c>
      <c r="V97" s="14" t="n">
        <f aca="false">CHOOSE(D97,U97,U97,1,U97)</f>
        <v>1</v>
      </c>
    </row>
    <row r="98" customFormat="false" ht="15" hidden="false" customHeight="true" outlineLevel="0" collapsed="false">
      <c r="A98" s="3" t="s">
        <v>336</v>
      </c>
      <c r="B98" s="14" t="n">
        <v>3</v>
      </c>
      <c r="C98" s="14" t="n">
        <v>50</v>
      </c>
      <c r="D98" s="14" t="n">
        <v>3</v>
      </c>
      <c r="E98" s="14" t="n">
        <f aca="false">L50</f>
        <v>0</v>
      </c>
      <c r="F98" s="19" t="n">
        <f aca="false">M50</f>
        <v>549.265458205737</v>
      </c>
      <c r="G98" s="19" t="n">
        <f aca="false">N50</f>
        <v>110.269338270704</v>
      </c>
      <c r="H98" s="14" t="n">
        <f aca="false">O50</f>
        <v>58</v>
      </c>
      <c r="I98" s="16" t="n">
        <f aca="false">P50</f>
        <v>76.1966619446489</v>
      </c>
      <c r="J98" s="14" t="n">
        <f aca="false">Q50</f>
        <v>0</v>
      </c>
      <c r="K98" s="14" t="n">
        <f aca="false">IF(D98&lt;=2,1-J98,IF(D98=3,IF(AND(U98=0,H98&gt;=W_min,F98-D_dip&gt;=Floor_q),1,0),IF(AND(H98&gt;=W_min,F98&gt;=Pre_A),1,0)))</f>
        <v>0</v>
      </c>
      <c r="L98" s="14" t="n">
        <f aca="false">E98*K98</f>
        <v>0</v>
      </c>
      <c r="M98" s="19" t="n">
        <f aca="false">CHOOSE(D98,F98+Proc_S,F98+Proc_Sk,F98+D_dL,F98-Cost_A)</f>
        <v>513.898187308605</v>
      </c>
      <c r="N98" s="19" t="n">
        <f aca="false">CHOOSE(D98,(1-Tech_share)*G98,(1-Tech_share)*G98,G98+D_dT,G98)</f>
        <v>144.904007406055</v>
      </c>
      <c r="O98" s="14" t="n">
        <f aca="false">CHOOSE(D98,H98-W_lost,H98,H98,H98+W_gain)</f>
        <v>58</v>
      </c>
      <c r="P98" s="16" t="n">
        <f aca="false">CHOOSE(D98,I98,I98,I98+D_dE,I98+Close_A*(Ceil_E-I98))</f>
        <v>78.7949929169734</v>
      </c>
      <c r="Q98" s="14" t="n">
        <f aca="false">CHOOSE(D98,1,1,J98,J98)</f>
        <v>0</v>
      </c>
      <c r="R98" s="14" t="n">
        <f aca="false">IF(L98=1,IF(SUMPRODUCT(($L$35:$L$97=1)*(ABS($M$35:$M$97-M98)&lt;0.000001)*(ABS($N$35:$N$97-N98)&lt;0.000001)*($O$35:$O$97=O98)*(ABS($P$35:$P$97-P98)&lt;0.000001)*($Q$35:$Q$97=Q98)*($V$35:$V$97=V98))=0,1,0),0)</f>
        <v>0</v>
      </c>
      <c r="S98" s="14" t="n">
        <f aca="false">IF(AND(L98=1,N98&gt;=$B$4-0.000000001,P98&gt;=$B$6-0.000000001,M98&gt;=Floor_q+$B$5-0.000000001),1,0)</f>
        <v>0</v>
      </c>
      <c r="U98" s="14" t="n">
        <f aca="false">V50</f>
        <v>1</v>
      </c>
      <c r="V98" s="14" t="n">
        <f aca="false">CHOOSE(D98,U98,U98,1,U98)</f>
        <v>1</v>
      </c>
    </row>
    <row r="99" customFormat="false" ht="15" hidden="false" customHeight="true" outlineLevel="0" collapsed="false">
      <c r="A99" s="3" t="s">
        <v>337</v>
      </c>
      <c r="B99" s="14" t="n">
        <v>3</v>
      </c>
      <c r="C99" s="14" t="n">
        <v>50</v>
      </c>
      <c r="D99" s="14" t="n">
        <v>4</v>
      </c>
      <c r="E99" s="14" t="n">
        <f aca="false">L50</f>
        <v>0</v>
      </c>
      <c r="F99" s="19" t="n">
        <f aca="false">M50</f>
        <v>549.265458205737</v>
      </c>
      <c r="G99" s="19" t="n">
        <f aca="false">N50</f>
        <v>110.269338270704</v>
      </c>
      <c r="H99" s="14" t="n">
        <f aca="false">O50</f>
        <v>58</v>
      </c>
      <c r="I99" s="16" t="n">
        <f aca="false">P50</f>
        <v>76.1966619446489</v>
      </c>
      <c r="J99" s="14" t="n">
        <f aca="false">Q50</f>
        <v>0</v>
      </c>
      <c r="K99" s="14" t="n">
        <f aca="false">IF(D99&lt;=2,1-J99,IF(D99=3,IF(AND(U99=0,H99&gt;=W_min,F99-D_dip&gt;=Floor_q),1,0),IF(AND(H99&gt;=W_min,F99&gt;=Pre_A),1,0)))</f>
        <v>1</v>
      </c>
      <c r="L99" s="14" t="n">
        <f aca="false">E99*K99</f>
        <v>0</v>
      </c>
      <c r="M99" s="19" t="n">
        <f aca="false">CHOOSE(D99,F99+Proc_S,F99+Proc_Sk,F99+D_dL,F99-Cost_A)</f>
        <v>429.265458205737</v>
      </c>
      <c r="N99" s="19" t="n">
        <f aca="false">CHOOSE(D99,(1-Tech_share)*G99,(1-Tech_share)*G99,G99+D_dT,G99)</f>
        <v>110.269338270704</v>
      </c>
      <c r="O99" s="14" t="n">
        <f aca="false">CHOOSE(D99,H99-W_lost,H99,H99,H99+W_gain)</f>
        <v>59</v>
      </c>
      <c r="P99" s="16" t="n">
        <f aca="false">CHOOSE(D99,I99,I99,I99+D_dE,I99+Close_A*(Ceil_E-I99))</f>
        <v>80.5983309723245</v>
      </c>
      <c r="Q99" s="14" t="n">
        <f aca="false">CHOOSE(D99,1,1,J99,J99)</f>
        <v>0</v>
      </c>
      <c r="R99" s="14" t="n">
        <f aca="false">IF(L99=1,IF(SUMPRODUCT(($L$35:$L$98=1)*(ABS($M$35:$M$98-M99)&lt;0.000001)*(ABS($N$35:$N$98-N99)&lt;0.000001)*($O$35:$O$98=O99)*(ABS($P$35:$P$98-P99)&lt;0.000001)*($Q$35:$Q$98=Q99)*($V$35:$V$98=V99))=0,1,0),0)</f>
        <v>0</v>
      </c>
      <c r="S99" s="14" t="n">
        <f aca="false">IF(AND(L99=1,N99&gt;=$B$4-0.000000001,P99&gt;=$B$6-0.000000001,M99&gt;=Floor_q+$B$5-0.000000001),1,0)</f>
        <v>0</v>
      </c>
      <c r="U99" s="14" t="n">
        <f aca="false">V50</f>
        <v>1</v>
      </c>
      <c r="V99" s="14" t="n">
        <f aca="false">CHOOSE(D99,U99,U99,1,U99)</f>
        <v>1</v>
      </c>
    </row>
    <row r="100" customFormat="false" ht="15" hidden="false" customHeight="true" outlineLevel="0" collapsed="false">
      <c r="A100" s="3" t="s">
        <v>338</v>
      </c>
      <c r="B100" s="14" t="n">
        <v>3</v>
      </c>
      <c r="C100" s="14" t="n">
        <v>51</v>
      </c>
      <c r="D100" s="14" t="n">
        <v>1</v>
      </c>
      <c r="E100" s="14" t="n">
        <f aca="false">L51</f>
        <v>1</v>
      </c>
      <c r="F100" s="19" t="n">
        <f aca="false">M51</f>
        <v>464.632729102868</v>
      </c>
      <c r="G100" s="19" t="n">
        <f aca="false">N51</f>
        <v>75.6346691353518</v>
      </c>
      <c r="H100" s="14" t="n">
        <f aca="false">O51</f>
        <v>59</v>
      </c>
      <c r="I100" s="16" t="n">
        <f aca="false">P51</f>
        <v>79.2991654861622</v>
      </c>
      <c r="J100" s="14" t="n">
        <f aca="false">Q51</f>
        <v>0</v>
      </c>
      <c r="K100" s="14" t="n">
        <f aca="false">IF(D100&lt;=2,1-J100,IF(D100=3,IF(AND(U100=0,H100&gt;=W_min,F100-D_dip&gt;=Floor_q),1,0),IF(AND(H100&gt;=W_min,F100&gt;=Pre_A),1,0)))</f>
        <v>1</v>
      </c>
      <c r="L100" s="14" t="n">
        <f aca="false">E100*K100</f>
        <v>1</v>
      </c>
      <c r="M100" s="19" t="n">
        <f aca="false">CHOOSE(D100,F100+Proc_S,F100+Proc_Sk,F100+D_dL,F100-Cost_A)</f>
        <v>576.632729102868</v>
      </c>
      <c r="N100" s="19" t="n">
        <f aca="false">CHOOSE(D100,(1-Tech_share)*G100,(1-Tech_share)*G100,G100+D_dT,G100)</f>
        <v>68.0712022218166</v>
      </c>
      <c r="O100" s="14" t="n">
        <f aca="false">CHOOSE(D100,H100-W_lost,H100,H100,H100+W_gain)</f>
        <v>54</v>
      </c>
      <c r="P100" s="16" t="n">
        <f aca="false">CHOOSE(D100,I100,I100,I100+D_dE,I100+Close_A*(Ceil_E-I100))</f>
        <v>79.2991654861622</v>
      </c>
      <c r="Q100" s="14" t="n">
        <f aca="false">CHOOSE(D100,1,1,J100,J100)</f>
        <v>1</v>
      </c>
      <c r="R100" s="14" t="n">
        <f aca="false">IF(L100=1,IF(SUMPRODUCT(($L$35:$L$99=1)*(ABS($M$35:$M$99-M100)&lt;0.000001)*(ABS($N$35:$N$99-N100)&lt;0.000001)*($O$35:$O$99=O100)*(ABS($P$35:$P$99-P100)&lt;0.000001)*($Q$35:$Q$99=Q100)*($V$35:$V$99=V100))=0,1,0),0)</f>
        <v>1</v>
      </c>
      <c r="S100" s="14" t="n">
        <f aca="false">IF(AND(L100=1,N100&gt;=$B$4-0.000000001,P100&gt;=$B$6-0.000000001,M100&gt;=Floor_q+$B$5-0.000000001),1,0)</f>
        <v>0</v>
      </c>
      <c r="U100" s="14" t="n">
        <f aca="false">V51</f>
        <v>1</v>
      </c>
      <c r="V100" s="14" t="n">
        <f aca="false">CHOOSE(D100,U100,U100,1,U100)</f>
        <v>1</v>
      </c>
    </row>
    <row r="101" customFormat="false" ht="15" hidden="false" customHeight="true" outlineLevel="0" collapsed="false">
      <c r="A101" s="3" t="s">
        <v>339</v>
      </c>
      <c r="B101" s="14" t="n">
        <v>3</v>
      </c>
      <c r="C101" s="14" t="n">
        <v>51</v>
      </c>
      <c r="D101" s="14" t="n">
        <v>2</v>
      </c>
      <c r="E101" s="14" t="n">
        <f aca="false">L51</f>
        <v>1</v>
      </c>
      <c r="F101" s="19" t="n">
        <f aca="false">M51</f>
        <v>464.632729102868</v>
      </c>
      <c r="G101" s="19" t="n">
        <f aca="false">N51</f>
        <v>75.6346691353518</v>
      </c>
      <c r="H101" s="14" t="n">
        <f aca="false">O51</f>
        <v>59</v>
      </c>
      <c r="I101" s="16" t="n">
        <f aca="false">P51</f>
        <v>79.2991654861622</v>
      </c>
      <c r="J101" s="14" t="n">
        <f aca="false">Q51</f>
        <v>0</v>
      </c>
      <c r="K101" s="14" t="n">
        <f aca="false">IF(D101&lt;=2,1-J101,IF(D101=3,IF(AND(U101=0,H101&gt;=W_min,F101-D_dip&gt;=Floor_q),1,0),IF(AND(H101&gt;=W_min,F101&gt;=Pre_A),1,0)))</f>
        <v>1</v>
      </c>
      <c r="L101" s="14" t="n">
        <f aca="false">E101*K101</f>
        <v>1</v>
      </c>
      <c r="M101" s="19" t="n">
        <f aca="false">CHOOSE(D101,F101+Proc_S,F101+Proc_Sk,F101+D_dL,F101-Cost_A)</f>
        <v>556.632729102868</v>
      </c>
      <c r="N101" s="19" t="n">
        <f aca="false">CHOOSE(D101,(1-Tech_share)*G101,(1-Tech_share)*G101,G101+D_dT,G101)</f>
        <v>68.0712022218166</v>
      </c>
      <c r="O101" s="14" t="n">
        <f aca="false">CHOOSE(D101,H101-W_lost,H101,H101,H101+W_gain)</f>
        <v>59</v>
      </c>
      <c r="P101" s="16" t="n">
        <f aca="false">CHOOSE(D101,I101,I101,I101+D_dE,I101+Close_A*(Ceil_E-I101))</f>
        <v>79.2991654861622</v>
      </c>
      <c r="Q101" s="14" t="n">
        <f aca="false">CHOOSE(D101,1,1,J101,J101)</f>
        <v>1</v>
      </c>
      <c r="R101" s="14" t="n">
        <f aca="false">IF(L101=1,IF(SUMPRODUCT(($L$35:$L$100=1)*(ABS($M$35:$M$100-M101)&lt;0.000001)*(ABS($N$35:$N$100-N101)&lt;0.000001)*($O$35:$O$100=O101)*(ABS($P$35:$P$100-P101)&lt;0.000001)*($Q$35:$Q$100=Q101)*($V$35:$V$100=V101))=0,1,0),0)</f>
        <v>0</v>
      </c>
      <c r="S101" s="14" t="n">
        <f aca="false">IF(AND(L101=1,N101&gt;=$B$4-0.000000001,P101&gt;=$B$6-0.000000001,M101&gt;=Floor_q+$B$5-0.000000001),1,0)</f>
        <v>0</v>
      </c>
      <c r="U101" s="14" t="n">
        <f aca="false">V51</f>
        <v>1</v>
      </c>
      <c r="V101" s="14" t="n">
        <f aca="false">CHOOSE(D101,U101,U101,1,U101)</f>
        <v>1</v>
      </c>
    </row>
    <row r="102" customFormat="false" ht="15" hidden="false" customHeight="true" outlineLevel="0" collapsed="false">
      <c r="A102" s="3" t="s">
        <v>340</v>
      </c>
      <c r="B102" s="14" t="n">
        <v>3</v>
      </c>
      <c r="C102" s="14" t="n">
        <v>51</v>
      </c>
      <c r="D102" s="14" t="n">
        <v>3</v>
      </c>
      <c r="E102" s="14" t="n">
        <f aca="false">L51</f>
        <v>1</v>
      </c>
      <c r="F102" s="19" t="n">
        <f aca="false">M51</f>
        <v>464.632729102868</v>
      </c>
      <c r="G102" s="19" t="n">
        <f aca="false">N51</f>
        <v>75.6346691353518</v>
      </c>
      <c r="H102" s="14" t="n">
        <f aca="false">O51</f>
        <v>59</v>
      </c>
      <c r="I102" s="16" t="n">
        <f aca="false">P51</f>
        <v>79.2991654861622</v>
      </c>
      <c r="J102" s="14" t="n">
        <f aca="false">Q51</f>
        <v>0</v>
      </c>
      <c r="K102" s="14" t="n">
        <f aca="false">IF(D102&lt;=2,1-J102,IF(D102=3,IF(AND(U102=0,H102&gt;=W_min,F102-D_dip&gt;=Floor_q),1,0),IF(AND(H102&gt;=W_min,F102&gt;=Pre_A),1,0)))</f>
        <v>0</v>
      </c>
      <c r="L102" s="14" t="n">
        <f aca="false">E102*K102</f>
        <v>0</v>
      </c>
      <c r="M102" s="19" t="n">
        <f aca="false">CHOOSE(D102,F102+Proc_S,F102+Proc_Sk,F102+D_dL,F102-Cost_A)</f>
        <v>429.265458205737</v>
      </c>
      <c r="N102" s="19" t="n">
        <f aca="false">CHOOSE(D102,(1-Tech_share)*G102,(1-Tech_share)*G102,G102+D_dT,G102)</f>
        <v>110.269338270704</v>
      </c>
      <c r="O102" s="14" t="n">
        <f aca="false">CHOOSE(D102,H102-W_lost,H102,H102,H102+W_gain)</f>
        <v>59</v>
      </c>
      <c r="P102" s="16" t="n">
        <f aca="false">CHOOSE(D102,I102,I102,I102+D_dE,I102+Close_A*(Ceil_E-I102))</f>
        <v>81.8974964584867</v>
      </c>
      <c r="Q102" s="14" t="n">
        <f aca="false">CHOOSE(D102,1,1,J102,J102)</f>
        <v>0</v>
      </c>
      <c r="R102" s="14" t="n">
        <f aca="false">IF(L102=1,IF(SUMPRODUCT(($L$35:$L$101=1)*(ABS($M$35:$M$101-M102)&lt;0.000001)*(ABS($N$35:$N$101-N102)&lt;0.000001)*($O$35:$O$101=O102)*(ABS($P$35:$P$101-P102)&lt;0.000001)*($Q$35:$Q$101=Q102)*($V$35:$V$101=V102))=0,1,0),0)</f>
        <v>0</v>
      </c>
      <c r="S102" s="14" t="n">
        <f aca="false">IF(AND(L102=1,N102&gt;=$B$4-0.000000001,P102&gt;=$B$6-0.000000001,M102&gt;=Floor_q+$B$5-0.000000001),1,0)</f>
        <v>0</v>
      </c>
      <c r="U102" s="14" t="n">
        <f aca="false">V51</f>
        <v>1</v>
      </c>
      <c r="V102" s="14" t="n">
        <f aca="false">CHOOSE(D102,U102,U102,1,U102)</f>
        <v>1</v>
      </c>
    </row>
    <row r="103" customFormat="false" ht="15" hidden="false" customHeight="true" outlineLevel="0" collapsed="false">
      <c r="A103" s="3" t="s">
        <v>341</v>
      </c>
      <c r="B103" s="14" t="n">
        <v>3</v>
      </c>
      <c r="C103" s="14" t="n">
        <v>51</v>
      </c>
      <c r="D103" s="14" t="n">
        <v>4</v>
      </c>
      <c r="E103" s="14" t="n">
        <f aca="false">L51</f>
        <v>1</v>
      </c>
      <c r="F103" s="19" t="n">
        <f aca="false">M51</f>
        <v>464.632729102868</v>
      </c>
      <c r="G103" s="19" t="n">
        <f aca="false">N51</f>
        <v>75.6346691353518</v>
      </c>
      <c r="H103" s="14" t="n">
        <f aca="false">O51</f>
        <v>59</v>
      </c>
      <c r="I103" s="16" t="n">
        <f aca="false">P51</f>
        <v>79.2991654861622</v>
      </c>
      <c r="J103" s="14" t="n">
        <f aca="false">Q51</f>
        <v>0</v>
      </c>
      <c r="K103" s="14" t="n">
        <f aca="false">IF(D103&lt;=2,1-J103,IF(D103=3,IF(AND(U103=0,H103&gt;=W_min,F103-D_dip&gt;=Floor_q),1,0),IF(AND(H103&gt;=W_min,F103&gt;=Pre_A),1,0)))</f>
        <v>0</v>
      </c>
      <c r="L103" s="14" t="n">
        <f aca="false">E103*K103</f>
        <v>0</v>
      </c>
      <c r="M103" s="19" t="n">
        <f aca="false">CHOOSE(D103,F103+Proc_S,F103+Proc_Sk,F103+D_dL,F103-Cost_A)</f>
        <v>344.632729102868</v>
      </c>
      <c r="N103" s="19" t="n">
        <f aca="false">CHOOSE(D103,(1-Tech_share)*G103,(1-Tech_share)*G103,G103+D_dT,G103)</f>
        <v>75.6346691353518</v>
      </c>
      <c r="O103" s="14" t="n">
        <f aca="false">CHOOSE(D103,H103-W_lost,H103,H103,H103+W_gain)</f>
        <v>60</v>
      </c>
      <c r="P103" s="16" t="n">
        <f aca="false">CHOOSE(D103,I103,I103,I103+D_dE,I103+Close_A*(Ceil_E-I103))</f>
        <v>82.1495827430811</v>
      </c>
      <c r="Q103" s="14" t="n">
        <f aca="false">CHOOSE(D103,1,1,J103,J103)</f>
        <v>0</v>
      </c>
      <c r="R103" s="14" t="n">
        <f aca="false">IF(L103=1,IF(SUMPRODUCT(($L$35:$L$102=1)*(ABS($M$35:$M$102-M103)&lt;0.000001)*(ABS($N$35:$N$102-N103)&lt;0.000001)*($O$35:$O$102=O103)*(ABS($P$35:$P$102-P103)&lt;0.000001)*($Q$35:$Q$102=Q103)*($V$35:$V$102=V103))=0,1,0),0)</f>
        <v>0</v>
      </c>
      <c r="S103" s="14" t="n">
        <f aca="false">IF(AND(L103=1,N103&gt;=$B$4-0.000000001,P103&gt;=$B$6-0.000000001,M103&gt;=Floor_q+$B$5-0.000000001),1,0)</f>
        <v>0</v>
      </c>
      <c r="U103" s="14" t="n">
        <f aca="false">V51</f>
        <v>1</v>
      </c>
      <c r="V103" s="14" t="n">
        <f aca="false">CHOOSE(D103,U103,U103,1,U103)</f>
        <v>1</v>
      </c>
    </row>
    <row r="104" customFormat="false" ht="15" hidden="false" customHeight="true" outlineLevel="0" collapsed="false">
      <c r="A104" s="3" t="s">
        <v>342</v>
      </c>
      <c r="B104" s="14" t="n">
        <v>3</v>
      </c>
      <c r="C104" s="14" t="n">
        <v>52</v>
      </c>
      <c r="D104" s="14" t="n">
        <v>1</v>
      </c>
      <c r="E104" s="14" t="n">
        <f aca="false">L52</f>
        <v>1</v>
      </c>
      <c r="F104" s="19" t="n">
        <f aca="false">M52</f>
        <v>612</v>
      </c>
      <c r="G104" s="19" t="n">
        <f aca="false">N52</f>
        <v>36.9</v>
      </c>
      <c r="H104" s="14" t="n">
        <f aca="false">O52</f>
        <v>54</v>
      </c>
      <c r="I104" s="16" t="n">
        <f aca="false">P52</f>
        <v>78</v>
      </c>
      <c r="J104" s="14" t="n">
        <f aca="false">Q52</f>
        <v>1</v>
      </c>
      <c r="K104" s="14" t="n">
        <f aca="false">IF(D104&lt;=2,1-J104,IF(D104=3,IF(AND(U104=0,H104&gt;=W_min,F104-D_dip&gt;=Floor_q),1,0),IF(AND(H104&gt;=W_min,F104&gt;=Pre_A),1,0)))</f>
        <v>0</v>
      </c>
      <c r="L104" s="14" t="n">
        <f aca="false">E104*K104</f>
        <v>0</v>
      </c>
      <c r="M104" s="19" t="n">
        <f aca="false">CHOOSE(D104,F104+Proc_S,F104+Proc_Sk,F104+D_dL,F104-Cost_A)</f>
        <v>724</v>
      </c>
      <c r="N104" s="19" t="n">
        <f aca="false">CHOOSE(D104,(1-Tech_share)*G104,(1-Tech_share)*G104,G104+D_dT,G104)</f>
        <v>33.21</v>
      </c>
      <c r="O104" s="14" t="n">
        <f aca="false">CHOOSE(D104,H104-W_lost,H104,H104,H104+W_gain)</f>
        <v>49</v>
      </c>
      <c r="P104" s="16" t="n">
        <f aca="false">CHOOSE(D104,I104,I104,I104+D_dE,I104+Close_A*(Ceil_E-I104))</f>
        <v>78</v>
      </c>
      <c r="Q104" s="14" t="n">
        <f aca="false">CHOOSE(D104,1,1,J104,J104)</f>
        <v>1</v>
      </c>
      <c r="R104" s="14" t="n">
        <f aca="false">IF(L104=1,IF(SUMPRODUCT(($L$35:$L$103=1)*(ABS($M$35:$M$103-M104)&lt;0.000001)*(ABS($N$35:$N$103-N104)&lt;0.000001)*($O$35:$O$103=O104)*(ABS($P$35:$P$103-P104)&lt;0.000001)*($Q$35:$Q$103=Q104)*($V$35:$V$103=V104))=0,1,0),0)</f>
        <v>0</v>
      </c>
      <c r="S104" s="14" t="n">
        <f aca="false">IF(AND(L104=1,N104&gt;=$B$4-0.000000001,P104&gt;=$B$6-0.000000001,M104&gt;=Floor_q+$B$5-0.000000001),1,0)</f>
        <v>0</v>
      </c>
      <c r="U104" s="14" t="n">
        <f aca="false">V52</f>
        <v>0</v>
      </c>
      <c r="V104" s="14" t="n">
        <f aca="false">CHOOSE(D104,U104,U104,1,U104)</f>
        <v>0</v>
      </c>
    </row>
    <row r="105" customFormat="false" ht="15" hidden="false" customHeight="true" outlineLevel="0" collapsed="false">
      <c r="A105" s="3" t="s">
        <v>343</v>
      </c>
      <c r="B105" s="14" t="n">
        <v>3</v>
      </c>
      <c r="C105" s="14" t="n">
        <v>52</v>
      </c>
      <c r="D105" s="14" t="n">
        <v>2</v>
      </c>
      <c r="E105" s="14" t="n">
        <f aca="false">L52</f>
        <v>1</v>
      </c>
      <c r="F105" s="19" t="n">
        <f aca="false">M52</f>
        <v>612</v>
      </c>
      <c r="G105" s="19" t="n">
        <f aca="false">N52</f>
        <v>36.9</v>
      </c>
      <c r="H105" s="14" t="n">
        <f aca="false">O52</f>
        <v>54</v>
      </c>
      <c r="I105" s="16" t="n">
        <f aca="false">P52</f>
        <v>78</v>
      </c>
      <c r="J105" s="14" t="n">
        <f aca="false">Q52</f>
        <v>1</v>
      </c>
      <c r="K105" s="14" t="n">
        <f aca="false">IF(D105&lt;=2,1-J105,IF(D105=3,IF(AND(U105=0,H105&gt;=W_min,F105-D_dip&gt;=Floor_q),1,0),IF(AND(H105&gt;=W_min,F105&gt;=Pre_A),1,0)))</f>
        <v>0</v>
      </c>
      <c r="L105" s="14" t="n">
        <f aca="false">E105*K105</f>
        <v>0</v>
      </c>
      <c r="M105" s="19" t="n">
        <f aca="false">CHOOSE(D105,F105+Proc_S,F105+Proc_Sk,F105+D_dL,F105-Cost_A)</f>
        <v>704</v>
      </c>
      <c r="N105" s="19" t="n">
        <f aca="false">CHOOSE(D105,(1-Tech_share)*G105,(1-Tech_share)*G105,G105+D_dT,G105)</f>
        <v>33.21</v>
      </c>
      <c r="O105" s="14" t="n">
        <f aca="false">CHOOSE(D105,H105-W_lost,H105,H105,H105+W_gain)</f>
        <v>54</v>
      </c>
      <c r="P105" s="16" t="n">
        <f aca="false">CHOOSE(D105,I105,I105,I105+D_dE,I105+Close_A*(Ceil_E-I105))</f>
        <v>78</v>
      </c>
      <c r="Q105" s="14" t="n">
        <f aca="false">CHOOSE(D105,1,1,J105,J105)</f>
        <v>1</v>
      </c>
      <c r="R105" s="14" t="n">
        <f aca="false">IF(L105=1,IF(SUMPRODUCT(($L$35:$L$104=1)*(ABS($M$35:$M$104-M105)&lt;0.000001)*(ABS($N$35:$N$104-N105)&lt;0.000001)*($O$35:$O$104=O105)*(ABS($P$35:$P$104-P105)&lt;0.000001)*($Q$35:$Q$104=Q105)*($V$35:$V$104=V105))=0,1,0),0)</f>
        <v>0</v>
      </c>
      <c r="S105" s="14" t="n">
        <f aca="false">IF(AND(L105=1,N105&gt;=$B$4-0.000000001,P105&gt;=$B$6-0.000000001,M105&gt;=Floor_q+$B$5-0.000000001),1,0)</f>
        <v>0</v>
      </c>
      <c r="U105" s="14" t="n">
        <f aca="false">V52</f>
        <v>0</v>
      </c>
      <c r="V105" s="14" t="n">
        <f aca="false">CHOOSE(D105,U105,U105,1,U105)</f>
        <v>0</v>
      </c>
    </row>
    <row r="106" customFormat="false" ht="15" hidden="false" customHeight="true" outlineLevel="0" collapsed="false">
      <c r="A106" s="3" t="s">
        <v>344</v>
      </c>
      <c r="B106" s="14" t="n">
        <v>3</v>
      </c>
      <c r="C106" s="14" t="n">
        <v>52</v>
      </c>
      <c r="D106" s="14" t="n">
        <v>3</v>
      </c>
      <c r="E106" s="14" t="n">
        <f aca="false">L52</f>
        <v>1</v>
      </c>
      <c r="F106" s="19" t="n">
        <f aca="false">M52</f>
        <v>612</v>
      </c>
      <c r="G106" s="19" t="n">
        <f aca="false">N52</f>
        <v>36.9</v>
      </c>
      <c r="H106" s="14" t="n">
        <f aca="false">O52</f>
        <v>54</v>
      </c>
      <c r="I106" s="16" t="n">
        <f aca="false">P52</f>
        <v>78</v>
      </c>
      <c r="J106" s="14" t="n">
        <f aca="false">Q52</f>
        <v>1</v>
      </c>
      <c r="K106" s="14" t="n">
        <f aca="false">IF(D106&lt;=2,1-J106,IF(D106=3,IF(AND(U106=0,H106&gt;=W_min,F106-D_dip&gt;=Floor_q),1,0),IF(AND(H106&gt;=W_min,F106&gt;=Pre_A),1,0)))</f>
        <v>0</v>
      </c>
      <c r="L106" s="14" t="n">
        <f aca="false">E106*K106</f>
        <v>0</v>
      </c>
      <c r="M106" s="19" t="n">
        <f aca="false">CHOOSE(D106,F106+Proc_S,F106+Proc_Sk,F106+D_dL,F106-Cost_A)</f>
        <v>576.632729102868</v>
      </c>
      <c r="N106" s="19" t="n">
        <f aca="false">CHOOSE(D106,(1-Tech_share)*G106,(1-Tech_share)*G106,G106+D_dT,G106)</f>
        <v>71.5346691353518</v>
      </c>
      <c r="O106" s="14" t="n">
        <f aca="false">CHOOSE(D106,H106-W_lost,H106,H106,H106+W_gain)</f>
        <v>54</v>
      </c>
      <c r="P106" s="16" t="n">
        <f aca="false">CHOOSE(D106,I106,I106,I106+D_dE,I106+Close_A*(Ceil_E-I106))</f>
        <v>80.5983309723245</v>
      </c>
      <c r="Q106" s="14" t="n">
        <f aca="false">CHOOSE(D106,1,1,J106,J106)</f>
        <v>1</v>
      </c>
      <c r="R106" s="14" t="n">
        <f aca="false">IF(L106=1,IF(SUMPRODUCT(($L$35:$L$105=1)*(ABS($M$35:$M$105-M106)&lt;0.000001)*(ABS($N$35:$N$105-N106)&lt;0.000001)*($O$35:$O$105=O106)*(ABS($P$35:$P$105-P106)&lt;0.000001)*($Q$35:$Q$105=Q106)*($V$35:$V$105=V106))=0,1,0),0)</f>
        <v>0</v>
      </c>
      <c r="S106" s="14" t="n">
        <f aca="false">IF(AND(L106=1,N106&gt;=$B$4-0.000000001,P106&gt;=$B$6-0.000000001,M106&gt;=Floor_q+$B$5-0.000000001),1,0)</f>
        <v>0</v>
      </c>
      <c r="U106" s="14" t="n">
        <f aca="false">V52</f>
        <v>0</v>
      </c>
      <c r="V106" s="14" t="n">
        <f aca="false">CHOOSE(D106,U106,U106,1,U106)</f>
        <v>1</v>
      </c>
    </row>
    <row r="107" customFormat="false" ht="15" hidden="false" customHeight="true" outlineLevel="0" collapsed="false">
      <c r="A107" s="3" t="s">
        <v>345</v>
      </c>
      <c r="B107" s="14" t="n">
        <v>3</v>
      </c>
      <c r="C107" s="14" t="n">
        <v>52</v>
      </c>
      <c r="D107" s="14" t="n">
        <v>4</v>
      </c>
      <c r="E107" s="14" t="n">
        <f aca="false">L52</f>
        <v>1</v>
      </c>
      <c r="F107" s="19" t="n">
        <f aca="false">M52</f>
        <v>612</v>
      </c>
      <c r="G107" s="19" t="n">
        <f aca="false">N52</f>
        <v>36.9</v>
      </c>
      <c r="H107" s="14" t="n">
        <f aca="false">O52</f>
        <v>54</v>
      </c>
      <c r="I107" s="16" t="n">
        <f aca="false">P52</f>
        <v>78</v>
      </c>
      <c r="J107" s="14" t="n">
        <f aca="false">Q52</f>
        <v>1</v>
      </c>
      <c r="K107" s="14" t="n">
        <f aca="false">IF(D107&lt;=2,1-J107,IF(D107=3,IF(AND(U107=0,H107&gt;=W_min,F107-D_dip&gt;=Floor_q),1,0),IF(AND(H107&gt;=W_min,F107&gt;=Pre_A),1,0)))</f>
        <v>0</v>
      </c>
      <c r="L107" s="14" t="n">
        <f aca="false">E107*K107</f>
        <v>0</v>
      </c>
      <c r="M107" s="19" t="n">
        <f aca="false">CHOOSE(D107,F107+Proc_S,F107+Proc_Sk,F107+D_dL,F107-Cost_A)</f>
        <v>492</v>
      </c>
      <c r="N107" s="19" t="n">
        <f aca="false">CHOOSE(D107,(1-Tech_share)*G107,(1-Tech_share)*G107,G107+D_dT,G107)</f>
        <v>36.9</v>
      </c>
      <c r="O107" s="14" t="n">
        <f aca="false">CHOOSE(D107,H107-W_lost,H107,H107,H107+W_gain)</f>
        <v>55</v>
      </c>
      <c r="P107" s="16" t="n">
        <f aca="false">CHOOSE(D107,I107,I107,I107+D_dE,I107+Close_A*(Ceil_E-I107))</f>
        <v>81.5</v>
      </c>
      <c r="Q107" s="14" t="n">
        <f aca="false">CHOOSE(D107,1,1,J107,J107)</f>
        <v>1</v>
      </c>
      <c r="R107" s="14" t="n">
        <f aca="false">IF(L107=1,IF(SUMPRODUCT(($L$35:$L$106=1)*(ABS($M$35:$M$106-M107)&lt;0.000001)*(ABS($N$35:$N$106-N107)&lt;0.000001)*($O$35:$O$106=O107)*(ABS($P$35:$P$106-P107)&lt;0.000001)*($Q$35:$Q$106=Q107)*($V$35:$V$106=V107))=0,1,0),0)</f>
        <v>0</v>
      </c>
      <c r="S107" s="14" t="n">
        <f aca="false">IF(AND(L107=1,N107&gt;=$B$4-0.000000001,P107&gt;=$B$6-0.000000001,M107&gt;=Floor_q+$B$5-0.000000001),1,0)</f>
        <v>0</v>
      </c>
      <c r="U107" s="14" t="n">
        <f aca="false">V52</f>
        <v>0</v>
      </c>
      <c r="V107" s="14" t="n">
        <f aca="false">CHOOSE(D107,U107,U107,1,U107)</f>
        <v>0</v>
      </c>
    </row>
    <row r="108" customFormat="false" ht="15" hidden="false" customHeight="true" outlineLevel="0" collapsed="false">
      <c r="A108" s="3" t="s">
        <v>346</v>
      </c>
      <c r="B108" s="14" t="n">
        <v>3</v>
      </c>
      <c r="C108" s="14" t="n">
        <v>53</v>
      </c>
      <c r="D108" s="14" t="n">
        <v>1</v>
      </c>
      <c r="E108" s="14" t="n">
        <f aca="false">L53</f>
        <v>1</v>
      </c>
      <c r="F108" s="19" t="n">
        <f aca="false">M53</f>
        <v>592</v>
      </c>
      <c r="G108" s="19" t="n">
        <f aca="false">N53</f>
        <v>36.9</v>
      </c>
      <c r="H108" s="14" t="n">
        <f aca="false">O53</f>
        <v>59</v>
      </c>
      <c r="I108" s="16" t="n">
        <f aca="false">P53</f>
        <v>78</v>
      </c>
      <c r="J108" s="14" t="n">
        <f aca="false">Q53</f>
        <v>1</v>
      </c>
      <c r="K108" s="14" t="n">
        <f aca="false">IF(D108&lt;=2,1-J108,IF(D108=3,IF(AND(U108=0,H108&gt;=W_min,F108-D_dip&gt;=Floor_q),1,0),IF(AND(H108&gt;=W_min,F108&gt;=Pre_A),1,0)))</f>
        <v>0</v>
      </c>
      <c r="L108" s="14" t="n">
        <f aca="false">E108*K108</f>
        <v>0</v>
      </c>
      <c r="M108" s="19" t="n">
        <f aca="false">CHOOSE(D108,F108+Proc_S,F108+Proc_Sk,F108+D_dL,F108-Cost_A)</f>
        <v>704</v>
      </c>
      <c r="N108" s="19" t="n">
        <f aca="false">CHOOSE(D108,(1-Tech_share)*G108,(1-Tech_share)*G108,G108+D_dT,G108)</f>
        <v>33.21</v>
      </c>
      <c r="O108" s="14" t="n">
        <f aca="false">CHOOSE(D108,H108-W_lost,H108,H108,H108+W_gain)</f>
        <v>54</v>
      </c>
      <c r="P108" s="16" t="n">
        <f aca="false">CHOOSE(D108,I108,I108,I108+D_dE,I108+Close_A*(Ceil_E-I108))</f>
        <v>78</v>
      </c>
      <c r="Q108" s="14" t="n">
        <f aca="false">CHOOSE(D108,1,1,J108,J108)</f>
        <v>1</v>
      </c>
      <c r="R108" s="14" t="n">
        <f aca="false">IF(L108=1,IF(SUMPRODUCT(($L$35:$L$107=1)*(ABS($M$35:$M$107-M108)&lt;0.000001)*(ABS($N$35:$N$107-N108)&lt;0.000001)*($O$35:$O$107=O108)*(ABS($P$35:$P$107-P108)&lt;0.000001)*($Q$35:$Q$107=Q108)*($V$35:$V$107=V108))=0,1,0),0)</f>
        <v>0</v>
      </c>
      <c r="S108" s="14" t="n">
        <f aca="false">IF(AND(L108=1,N108&gt;=$B$4-0.000000001,P108&gt;=$B$6-0.000000001,M108&gt;=Floor_q+$B$5-0.000000001),1,0)</f>
        <v>0</v>
      </c>
      <c r="U108" s="14" t="n">
        <f aca="false">V53</f>
        <v>0</v>
      </c>
      <c r="V108" s="14" t="n">
        <f aca="false">CHOOSE(D108,U108,U108,1,U108)</f>
        <v>0</v>
      </c>
    </row>
    <row r="109" customFormat="false" ht="15" hidden="false" customHeight="true" outlineLevel="0" collapsed="false">
      <c r="A109" s="3" t="s">
        <v>347</v>
      </c>
      <c r="B109" s="14" t="n">
        <v>3</v>
      </c>
      <c r="C109" s="14" t="n">
        <v>53</v>
      </c>
      <c r="D109" s="14" t="n">
        <v>2</v>
      </c>
      <c r="E109" s="14" t="n">
        <f aca="false">L53</f>
        <v>1</v>
      </c>
      <c r="F109" s="19" t="n">
        <f aca="false">M53</f>
        <v>592</v>
      </c>
      <c r="G109" s="19" t="n">
        <f aca="false">N53</f>
        <v>36.9</v>
      </c>
      <c r="H109" s="14" t="n">
        <f aca="false">O53</f>
        <v>59</v>
      </c>
      <c r="I109" s="16" t="n">
        <f aca="false">P53</f>
        <v>78</v>
      </c>
      <c r="J109" s="14" t="n">
        <f aca="false">Q53</f>
        <v>1</v>
      </c>
      <c r="K109" s="14" t="n">
        <f aca="false">IF(D109&lt;=2,1-J109,IF(D109=3,IF(AND(U109=0,H109&gt;=W_min,F109-D_dip&gt;=Floor_q),1,0),IF(AND(H109&gt;=W_min,F109&gt;=Pre_A),1,0)))</f>
        <v>0</v>
      </c>
      <c r="L109" s="14" t="n">
        <f aca="false">E109*K109</f>
        <v>0</v>
      </c>
      <c r="M109" s="19" t="n">
        <f aca="false">CHOOSE(D109,F109+Proc_S,F109+Proc_Sk,F109+D_dL,F109-Cost_A)</f>
        <v>684</v>
      </c>
      <c r="N109" s="19" t="n">
        <f aca="false">CHOOSE(D109,(1-Tech_share)*G109,(1-Tech_share)*G109,G109+D_dT,G109)</f>
        <v>33.21</v>
      </c>
      <c r="O109" s="14" t="n">
        <f aca="false">CHOOSE(D109,H109-W_lost,H109,H109,H109+W_gain)</f>
        <v>59</v>
      </c>
      <c r="P109" s="16" t="n">
        <f aca="false">CHOOSE(D109,I109,I109,I109+D_dE,I109+Close_A*(Ceil_E-I109))</f>
        <v>78</v>
      </c>
      <c r="Q109" s="14" t="n">
        <f aca="false">CHOOSE(D109,1,1,J109,J109)</f>
        <v>1</v>
      </c>
      <c r="R109" s="14" t="n">
        <f aca="false">IF(L109=1,IF(SUMPRODUCT(($L$35:$L$108=1)*(ABS($M$35:$M$108-M109)&lt;0.000001)*(ABS($N$35:$N$108-N109)&lt;0.000001)*($O$35:$O$108=O109)*(ABS($P$35:$P$108-P109)&lt;0.000001)*($Q$35:$Q$108=Q109)*($V$35:$V$108=V109))=0,1,0),0)</f>
        <v>0</v>
      </c>
      <c r="S109" s="14" t="n">
        <f aca="false">IF(AND(L109=1,N109&gt;=$B$4-0.000000001,P109&gt;=$B$6-0.000000001,M109&gt;=Floor_q+$B$5-0.000000001),1,0)</f>
        <v>0</v>
      </c>
      <c r="U109" s="14" t="n">
        <f aca="false">V53</f>
        <v>0</v>
      </c>
      <c r="V109" s="14" t="n">
        <f aca="false">CHOOSE(D109,U109,U109,1,U109)</f>
        <v>0</v>
      </c>
    </row>
    <row r="110" customFormat="false" ht="15" hidden="false" customHeight="true" outlineLevel="0" collapsed="false">
      <c r="A110" s="3" t="s">
        <v>348</v>
      </c>
      <c r="B110" s="14" t="n">
        <v>3</v>
      </c>
      <c r="C110" s="14" t="n">
        <v>53</v>
      </c>
      <c r="D110" s="14" t="n">
        <v>3</v>
      </c>
      <c r="E110" s="14" t="n">
        <f aca="false">L53</f>
        <v>1</v>
      </c>
      <c r="F110" s="19" t="n">
        <f aca="false">M53</f>
        <v>592</v>
      </c>
      <c r="G110" s="19" t="n">
        <f aca="false">N53</f>
        <v>36.9</v>
      </c>
      <c r="H110" s="14" t="n">
        <f aca="false">O53</f>
        <v>59</v>
      </c>
      <c r="I110" s="16" t="n">
        <f aca="false">P53</f>
        <v>78</v>
      </c>
      <c r="J110" s="14" t="n">
        <f aca="false">Q53</f>
        <v>1</v>
      </c>
      <c r="K110" s="14" t="n">
        <f aca="false">IF(D110&lt;=2,1-J110,IF(D110=3,IF(AND(U110=0,H110&gt;=W_min,F110-D_dip&gt;=Floor_q),1,0),IF(AND(H110&gt;=W_min,F110&gt;=Pre_A),1,0)))</f>
        <v>1</v>
      </c>
      <c r="L110" s="14" t="n">
        <f aca="false">E110*K110</f>
        <v>1</v>
      </c>
      <c r="M110" s="19" t="n">
        <f aca="false">CHOOSE(D110,F110+Proc_S,F110+Proc_Sk,F110+D_dL,F110-Cost_A)</f>
        <v>556.632729102868</v>
      </c>
      <c r="N110" s="19" t="n">
        <f aca="false">CHOOSE(D110,(1-Tech_share)*G110,(1-Tech_share)*G110,G110+D_dT,G110)</f>
        <v>71.5346691353518</v>
      </c>
      <c r="O110" s="14" t="n">
        <f aca="false">CHOOSE(D110,H110-W_lost,H110,H110,H110+W_gain)</f>
        <v>59</v>
      </c>
      <c r="P110" s="16" t="n">
        <f aca="false">CHOOSE(D110,I110,I110,I110+D_dE,I110+Close_A*(Ceil_E-I110))</f>
        <v>80.5983309723245</v>
      </c>
      <c r="Q110" s="14" t="n">
        <f aca="false">CHOOSE(D110,1,1,J110,J110)</f>
        <v>1</v>
      </c>
      <c r="R110" s="14" t="n">
        <f aca="false">IF(L110=1,IF(SUMPRODUCT(($L$35:$L$109=1)*(ABS($M$35:$M$109-M110)&lt;0.000001)*(ABS($N$35:$N$109-N110)&lt;0.000001)*($O$35:$O$109=O110)*(ABS($P$35:$P$109-P110)&lt;0.000001)*($Q$35:$Q$109=Q110)*($V$35:$V$109=V110))=0,1,0),0)</f>
        <v>0</v>
      </c>
      <c r="S110" s="14" t="n">
        <f aca="false">IF(AND(L110=1,N110&gt;=$B$4-0.000000001,P110&gt;=$B$6-0.000000001,M110&gt;=Floor_q+$B$5-0.000000001),1,0)</f>
        <v>1</v>
      </c>
      <c r="U110" s="14" t="n">
        <f aca="false">V53</f>
        <v>0</v>
      </c>
      <c r="V110" s="14" t="n">
        <f aca="false">CHOOSE(D110,U110,U110,1,U110)</f>
        <v>1</v>
      </c>
    </row>
    <row r="111" customFormat="false" ht="15" hidden="false" customHeight="true" outlineLevel="0" collapsed="false">
      <c r="A111" s="3" t="s">
        <v>349</v>
      </c>
      <c r="B111" s="14" t="n">
        <v>3</v>
      </c>
      <c r="C111" s="14" t="n">
        <v>53</v>
      </c>
      <c r="D111" s="14" t="n">
        <v>4</v>
      </c>
      <c r="E111" s="14" t="n">
        <f aca="false">L53</f>
        <v>1</v>
      </c>
      <c r="F111" s="19" t="n">
        <f aca="false">M53</f>
        <v>592</v>
      </c>
      <c r="G111" s="19" t="n">
        <f aca="false">N53</f>
        <v>36.9</v>
      </c>
      <c r="H111" s="14" t="n">
        <f aca="false">O53</f>
        <v>59</v>
      </c>
      <c r="I111" s="16" t="n">
        <f aca="false">P53</f>
        <v>78</v>
      </c>
      <c r="J111" s="14" t="n">
        <f aca="false">Q53</f>
        <v>1</v>
      </c>
      <c r="K111" s="14" t="n">
        <f aca="false">IF(D111&lt;=2,1-J111,IF(D111=3,IF(AND(U111=0,H111&gt;=W_min,F111-D_dip&gt;=Floor_q),1,0),IF(AND(H111&gt;=W_min,F111&gt;=Pre_A),1,0)))</f>
        <v>1</v>
      </c>
      <c r="L111" s="14" t="n">
        <f aca="false">E111*K111</f>
        <v>1</v>
      </c>
      <c r="M111" s="19" t="n">
        <f aca="false">CHOOSE(D111,F111+Proc_S,F111+Proc_Sk,F111+D_dL,F111-Cost_A)</f>
        <v>472</v>
      </c>
      <c r="N111" s="19" t="n">
        <f aca="false">CHOOSE(D111,(1-Tech_share)*G111,(1-Tech_share)*G111,G111+D_dT,G111)</f>
        <v>36.9</v>
      </c>
      <c r="O111" s="14" t="n">
        <f aca="false">CHOOSE(D111,H111-W_lost,H111,H111,H111+W_gain)</f>
        <v>60</v>
      </c>
      <c r="P111" s="16" t="n">
        <f aca="false">CHOOSE(D111,I111,I111,I111+D_dE,I111+Close_A*(Ceil_E-I111))</f>
        <v>81.5</v>
      </c>
      <c r="Q111" s="14" t="n">
        <f aca="false">CHOOSE(D111,1,1,J111,J111)</f>
        <v>1</v>
      </c>
      <c r="R111" s="14" t="n">
        <f aca="false">IF(L111=1,IF(SUMPRODUCT(($L$35:$L$110=1)*(ABS($M$35:$M$110-M111)&lt;0.000001)*(ABS($N$35:$N$110-N111)&lt;0.000001)*($O$35:$O$110=O111)*(ABS($P$35:$P$110-P111)&lt;0.000001)*($Q$35:$Q$110=Q111)*($V$35:$V$110=V111))=0,1,0),0)</f>
        <v>0</v>
      </c>
      <c r="S111" s="14" t="n">
        <f aca="false">IF(AND(L111=1,N111&gt;=$B$4-0.000000001,P111&gt;=$B$6-0.000000001,M111&gt;=Floor_q+$B$5-0.000000001),1,0)</f>
        <v>0</v>
      </c>
      <c r="U111" s="14" t="n">
        <f aca="false">V53</f>
        <v>0</v>
      </c>
      <c r="V111" s="14" t="n">
        <f aca="false">CHOOSE(D111,U111,U111,1,U111)</f>
        <v>0</v>
      </c>
    </row>
    <row r="112" customFormat="false" ht="15" hidden="false" customHeight="true" outlineLevel="0" collapsed="false">
      <c r="A112" s="3" t="s">
        <v>350</v>
      </c>
      <c r="B112" s="14" t="n">
        <v>3</v>
      </c>
      <c r="C112" s="14" t="n">
        <v>54</v>
      </c>
      <c r="D112" s="14" t="n">
        <v>1</v>
      </c>
      <c r="E112" s="14" t="n">
        <f aca="false">L54</f>
        <v>1</v>
      </c>
      <c r="F112" s="19" t="n">
        <f aca="false">M54</f>
        <v>464.632729102868</v>
      </c>
      <c r="G112" s="19" t="n">
        <f aca="false">N54</f>
        <v>75.6346691353518</v>
      </c>
      <c r="H112" s="14" t="n">
        <f aca="false">O54</f>
        <v>59</v>
      </c>
      <c r="I112" s="16" t="n">
        <f aca="false">P54</f>
        <v>80.5983309723245</v>
      </c>
      <c r="J112" s="14" t="n">
        <f aca="false">Q54</f>
        <v>0</v>
      </c>
      <c r="K112" s="14" t="n">
        <f aca="false">IF(D112&lt;=2,1-J112,IF(D112=3,IF(AND(U112=0,H112&gt;=W_min,F112-D_dip&gt;=Floor_q),1,0),IF(AND(H112&gt;=W_min,F112&gt;=Pre_A),1,0)))</f>
        <v>1</v>
      </c>
      <c r="L112" s="14" t="n">
        <f aca="false">E112*K112</f>
        <v>1</v>
      </c>
      <c r="M112" s="19" t="n">
        <f aca="false">CHOOSE(D112,F112+Proc_S,F112+Proc_Sk,F112+D_dL,F112-Cost_A)</f>
        <v>576.632729102868</v>
      </c>
      <c r="N112" s="19" t="n">
        <f aca="false">CHOOSE(D112,(1-Tech_share)*G112,(1-Tech_share)*G112,G112+D_dT,G112)</f>
        <v>68.0712022218166</v>
      </c>
      <c r="O112" s="14" t="n">
        <f aca="false">CHOOSE(D112,H112-W_lost,H112,H112,H112+W_gain)</f>
        <v>54</v>
      </c>
      <c r="P112" s="16" t="n">
        <f aca="false">CHOOSE(D112,I112,I112,I112+D_dE,I112+Close_A*(Ceil_E-I112))</f>
        <v>80.5983309723245</v>
      </c>
      <c r="Q112" s="14" t="n">
        <f aca="false">CHOOSE(D112,1,1,J112,J112)</f>
        <v>1</v>
      </c>
      <c r="R112" s="14" t="n">
        <f aca="false">IF(L112=1,IF(SUMPRODUCT(($L$35:$L$111=1)*(ABS($M$35:$M$111-M112)&lt;0.000001)*(ABS($N$35:$N$111-N112)&lt;0.000001)*($O$35:$O$111=O112)*(ABS($P$35:$P$111-P112)&lt;0.000001)*($Q$35:$Q$111=Q112)*($V$35:$V$111=V112))=0,1,0),0)</f>
        <v>1</v>
      </c>
      <c r="S112" s="14" t="n">
        <f aca="false">IF(AND(L112=1,N112&gt;=$B$4-0.000000001,P112&gt;=$B$6-0.000000001,M112&gt;=Floor_q+$B$5-0.000000001),1,0)</f>
        <v>0</v>
      </c>
      <c r="U112" s="14" t="n">
        <f aca="false">V54</f>
        <v>1</v>
      </c>
      <c r="V112" s="14" t="n">
        <f aca="false">CHOOSE(D112,U112,U112,1,U112)</f>
        <v>1</v>
      </c>
    </row>
    <row r="113" customFormat="false" ht="15" hidden="false" customHeight="true" outlineLevel="0" collapsed="false">
      <c r="A113" s="3" t="s">
        <v>351</v>
      </c>
      <c r="B113" s="14" t="n">
        <v>3</v>
      </c>
      <c r="C113" s="14" t="n">
        <v>54</v>
      </c>
      <c r="D113" s="14" t="n">
        <v>2</v>
      </c>
      <c r="E113" s="14" t="n">
        <f aca="false">L54</f>
        <v>1</v>
      </c>
      <c r="F113" s="19" t="n">
        <f aca="false">M54</f>
        <v>464.632729102868</v>
      </c>
      <c r="G113" s="19" t="n">
        <f aca="false">N54</f>
        <v>75.6346691353518</v>
      </c>
      <c r="H113" s="14" t="n">
        <f aca="false">O54</f>
        <v>59</v>
      </c>
      <c r="I113" s="16" t="n">
        <f aca="false">P54</f>
        <v>80.5983309723245</v>
      </c>
      <c r="J113" s="14" t="n">
        <f aca="false">Q54</f>
        <v>0</v>
      </c>
      <c r="K113" s="14" t="n">
        <f aca="false">IF(D113&lt;=2,1-J113,IF(D113=3,IF(AND(U113=0,H113&gt;=W_min,F113-D_dip&gt;=Floor_q),1,0),IF(AND(H113&gt;=W_min,F113&gt;=Pre_A),1,0)))</f>
        <v>1</v>
      </c>
      <c r="L113" s="14" t="n">
        <f aca="false">E113*K113</f>
        <v>1</v>
      </c>
      <c r="M113" s="19" t="n">
        <f aca="false">CHOOSE(D113,F113+Proc_S,F113+Proc_Sk,F113+D_dL,F113-Cost_A)</f>
        <v>556.632729102868</v>
      </c>
      <c r="N113" s="19" t="n">
        <f aca="false">CHOOSE(D113,(1-Tech_share)*G113,(1-Tech_share)*G113,G113+D_dT,G113)</f>
        <v>68.0712022218166</v>
      </c>
      <c r="O113" s="14" t="n">
        <f aca="false">CHOOSE(D113,H113-W_lost,H113,H113,H113+W_gain)</f>
        <v>59</v>
      </c>
      <c r="P113" s="16" t="n">
        <f aca="false">CHOOSE(D113,I113,I113,I113+D_dE,I113+Close_A*(Ceil_E-I113))</f>
        <v>80.5983309723245</v>
      </c>
      <c r="Q113" s="14" t="n">
        <f aca="false">CHOOSE(D113,1,1,J113,J113)</f>
        <v>1</v>
      </c>
      <c r="R113" s="14" t="n">
        <f aca="false">IF(L113=1,IF(SUMPRODUCT(($L$35:$L$112=1)*(ABS($M$35:$M$112-M113)&lt;0.000001)*(ABS($N$35:$N$112-N113)&lt;0.000001)*($O$35:$O$112=O113)*(ABS($P$35:$P$112-P113)&lt;0.000001)*($Q$35:$Q$112=Q113)*($V$35:$V$112=V113))=0,1,0),0)</f>
        <v>1</v>
      </c>
      <c r="S113" s="14" t="n">
        <f aca="false">IF(AND(L113=1,N113&gt;=$B$4-0.000000001,P113&gt;=$B$6-0.000000001,M113&gt;=Floor_q+$B$5-0.000000001),1,0)</f>
        <v>0</v>
      </c>
      <c r="U113" s="14" t="n">
        <f aca="false">V54</f>
        <v>1</v>
      </c>
      <c r="V113" s="14" t="n">
        <f aca="false">CHOOSE(D113,U113,U113,1,U113)</f>
        <v>1</v>
      </c>
    </row>
    <row r="114" customFormat="false" ht="15" hidden="false" customHeight="true" outlineLevel="0" collapsed="false">
      <c r="A114" s="3" t="s">
        <v>352</v>
      </c>
      <c r="B114" s="14" t="n">
        <v>3</v>
      </c>
      <c r="C114" s="14" t="n">
        <v>54</v>
      </c>
      <c r="D114" s="14" t="n">
        <v>3</v>
      </c>
      <c r="E114" s="14" t="n">
        <f aca="false">L54</f>
        <v>1</v>
      </c>
      <c r="F114" s="19" t="n">
        <f aca="false">M54</f>
        <v>464.632729102868</v>
      </c>
      <c r="G114" s="19" t="n">
        <f aca="false">N54</f>
        <v>75.6346691353518</v>
      </c>
      <c r="H114" s="14" t="n">
        <f aca="false">O54</f>
        <v>59</v>
      </c>
      <c r="I114" s="16" t="n">
        <f aca="false">P54</f>
        <v>80.5983309723245</v>
      </c>
      <c r="J114" s="14" t="n">
        <f aca="false">Q54</f>
        <v>0</v>
      </c>
      <c r="K114" s="14" t="n">
        <f aca="false">IF(D114&lt;=2,1-J114,IF(D114=3,IF(AND(U114=0,H114&gt;=W_min,F114-D_dip&gt;=Floor_q),1,0),IF(AND(H114&gt;=W_min,F114&gt;=Pre_A),1,0)))</f>
        <v>0</v>
      </c>
      <c r="L114" s="14" t="n">
        <f aca="false">E114*K114</f>
        <v>0</v>
      </c>
      <c r="M114" s="19" t="n">
        <f aca="false">CHOOSE(D114,F114+Proc_S,F114+Proc_Sk,F114+D_dL,F114-Cost_A)</f>
        <v>429.265458205737</v>
      </c>
      <c r="N114" s="19" t="n">
        <f aca="false">CHOOSE(D114,(1-Tech_share)*G114,(1-Tech_share)*G114,G114+D_dT,G114)</f>
        <v>110.269338270704</v>
      </c>
      <c r="O114" s="14" t="n">
        <f aca="false">CHOOSE(D114,H114-W_lost,H114,H114,H114+W_gain)</f>
        <v>59</v>
      </c>
      <c r="P114" s="16" t="n">
        <f aca="false">CHOOSE(D114,I114,I114,I114+D_dE,I114+Close_A*(Ceil_E-I114))</f>
        <v>83.1966619446489</v>
      </c>
      <c r="Q114" s="14" t="n">
        <f aca="false">CHOOSE(D114,1,1,J114,J114)</f>
        <v>0</v>
      </c>
      <c r="R114" s="14" t="n">
        <f aca="false">IF(L114=1,IF(SUMPRODUCT(($L$35:$L$113=1)*(ABS($M$35:$M$113-M114)&lt;0.000001)*(ABS($N$35:$N$113-N114)&lt;0.000001)*($O$35:$O$113=O114)*(ABS($P$35:$P$113-P114)&lt;0.000001)*($Q$35:$Q$113=Q114)*($V$35:$V$113=V114))=0,1,0),0)</f>
        <v>0</v>
      </c>
      <c r="S114" s="14" t="n">
        <f aca="false">IF(AND(L114=1,N114&gt;=$B$4-0.000000001,P114&gt;=$B$6-0.000000001,M114&gt;=Floor_q+$B$5-0.000000001),1,0)</f>
        <v>0</v>
      </c>
      <c r="U114" s="14" t="n">
        <f aca="false">V54</f>
        <v>1</v>
      </c>
      <c r="V114" s="14" t="n">
        <f aca="false">CHOOSE(D114,U114,U114,1,U114)</f>
        <v>1</v>
      </c>
    </row>
    <row r="115" customFormat="false" ht="15" hidden="false" customHeight="true" outlineLevel="0" collapsed="false">
      <c r="A115" s="3" t="s">
        <v>353</v>
      </c>
      <c r="B115" s="14" t="n">
        <v>3</v>
      </c>
      <c r="C115" s="14" t="n">
        <v>54</v>
      </c>
      <c r="D115" s="14" t="n">
        <v>4</v>
      </c>
      <c r="E115" s="14" t="n">
        <f aca="false">L54</f>
        <v>1</v>
      </c>
      <c r="F115" s="19" t="n">
        <f aca="false">M54</f>
        <v>464.632729102868</v>
      </c>
      <c r="G115" s="19" t="n">
        <f aca="false">N54</f>
        <v>75.6346691353518</v>
      </c>
      <c r="H115" s="14" t="n">
        <f aca="false">O54</f>
        <v>59</v>
      </c>
      <c r="I115" s="16" t="n">
        <f aca="false">P54</f>
        <v>80.5983309723245</v>
      </c>
      <c r="J115" s="14" t="n">
        <f aca="false">Q54</f>
        <v>0</v>
      </c>
      <c r="K115" s="14" t="n">
        <f aca="false">IF(D115&lt;=2,1-J115,IF(D115=3,IF(AND(U115=0,H115&gt;=W_min,F115-D_dip&gt;=Floor_q),1,0),IF(AND(H115&gt;=W_min,F115&gt;=Pre_A),1,0)))</f>
        <v>0</v>
      </c>
      <c r="L115" s="14" t="n">
        <f aca="false">E115*K115</f>
        <v>0</v>
      </c>
      <c r="M115" s="19" t="n">
        <f aca="false">CHOOSE(D115,F115+Proc_S,F115+Proc_Sk,F115+D_dL,F115-Cost_A)</f>
        <v>344.632729102868</v>
      </c>
      <c r="N115" s="19" t="n">
        <f aca="false">CHOOSE(D115,(1-Tech_share)*G115,(1-Tech_share)*G115,G115+D_dT,G115)</f>
        <v>75.6346691353518</v>
      </c>
      <c r="O115" s="14" t="n">
        <f aca="false">CHOOSE(D115,H115-W_lost,H115,H115,H115+W_gain)</f>
        <v>60</v>
      </c>
      <c r="P115" s="16" t="n">
        <f aca="false">CHOOSE(D115,I115,I115,I115+D_dE,I115+Close_A*(Ceil_E-I115))</f>
        <v>82.7991654861622</v>
      </c>
      <c r="Q115" s="14" t="n">
        <f aca="false">CHOOSE(D115,1,1,J115,J115)</f>
        <v>0</v>
      </c>
      <c r="R115" s="14" t="n">
        <f aca="false">IF(L115=1,IF(SUMPRODUCT(($L$35:$L$114=1)*(ABS($M$35:$M$114-M115)&lt;0.000001)*(ABS($N$35:$N$114-N115)&lt;0.000001)*($O$35:$O$114=O115)*(ABS($P$35:$P$114-P115)&lt;0.000001)*($Q$35:$Q$114=Q115)*($V$35:$V$114=V115))=0,1,0),0)</f>
        <v>0</v>
      </c>
      <c r="S115" s="14" t="n">
        <f aca="false">IF(AND(L115=1,N115&gt;=$B$4-0.000000001,P115&gt;=$B$6-0.000000001,M115&gt;=Floor_q+$B$5-0.000000001),1,0)</f>
        <v>0</v>
      </c>
      <c r="U115" s="14" t="n">
        <f aca="false">V54</f>
        <v>1</v>
      </c>
      <c r="V115" s="14" t="n">
        <f aca="false">CHOOSE(D115,U115,U115,1,U115)</f>
        <v>1</v>
      </c>
    </row>
    <row r="116" customFormat="false" ht="15" hidden="false" customHeight="true" outlineLevel="0" collapsed="false">
      <c r="A116" s="3" t="s">
        <v>354</v>
      </c>
      <c r="B116" s="14" t="n">
        <v>3</v>
      </c>
      <c r="C116" s="14" t="n">
        <v>55</v>
      </c>
      <c r="D116" s="14" t="n">
        <v>1</v>
      </c>
      <c r="E116" s="14" t="n">
        <f aca="false">L55</f>
        <v>1</v>
      </c>
      <c r="F116" s="19" t="n">
        <f aca="false">M55</f>
        <v>380</v>
      </c>
      <c r="G116" s="19" t="n">
        <f aca="false">N55</f>
        <v>41</v>
      </c>
      <c r="H116" s="14" t="n">
        <f aca="false">O55</f>
        <v>60</v>
      </c>
      <c r="I116" s="16" t="n">
        <f aca="false">P55</f>
        <v>81.5</v>
      </c>
      <c r="J116" s="14" t="n">
        <f aca="false">Q55</f>
        <v>0</v>
      </c>
      <c r="K116" s="14" t="n">
        <f aca="false">IF(D116&lt;=2,1-J116,IF(D116=3,IF(AND(U116=0,H116&gt;=W_min,F116-D_dip&gt;=Floor_q),1,0),IF(AND(H116&gt;=W_min,F116&gt;=Pre_A),1,0)))</f>
        <v>1</v>
      </c>
      <c r="L116" s="14" t="n">
        <f aca="false">E116*K116</f>
        <v>1</v>
      </c>
      <c r="M116" s="19" t="n">
        <f aca="false">CHOOSE(D116,F116+Proc_S,F116+Proc_Sk,F116+D_dL,F116-Cost_A)</f>
        <v>492</v>
      </c>
      <c r="N116" s="19" t="n">
        <f aca="false">CHOOSE(D116,(1-Tech_share)*G116,(1-Tech_share)*G116,G116+D_dT,G116)</f>
        <v>36.9</v>
      </c>
      <c r="O116" s="14" t="n">
        <f aca="false">CHOOSE(D116,H116-W_lost,H116,H116,H116+W_gain)</f>
        <v>55</v>
      </c>
      <c r="P116" s="16" t="n">
        <f aca="false">CHOOSE(D116,I116,I116,I116+D_dE,I116+Close_A*(Ceil_E-I116))</f>
        <v>81.5</v>
      </c>
      <c r="Q116" s="14" t="n">
        <f aca="false">CHOOSE(D116,1,1,J116,J116)</f>
        <v>1</v>
      </c>
      <c r="R116" s="14" t="n">
        <f aca="false">IF(L116=1,IF(SUMPRODUCT(($L$35:$L$115=1)*(ABS($M$35:$M$115-M116)&lt;0.000001)*(ABS($N$35:$N$115-N116)&lt;0.000001)*($O$35:$O$115=O116)*(ABS($P$35:$P$115-P116)&lt;0.000001)*($Q$35:$Q$115=Q116)*($V$35:$V$115=V116))=0,1,0),0)</f>
        <v>1</v>
      </c>
      <c r="S116" s="14" t="n">
        <f aca="false">IF(AND(L116=1,N116&gt;=$B$4-0.000000001,P116&gt;=$B$6-0.000000001,M116&gt;=Floor_q+$B$5-0.000000001),1,0)</f>
        <v>0</v>
      </c>
      <c r="U116" s="14" t="n">
        <f aca="false">V55</f>
        <v>0</v>
      </c>
      <c r="V116" s="14" t="n">
        <f aca="false">CHOOSE(D116,U116,U116,1,U116)</f>
        <v>0</v>
      </c>
    </row>
    <row r="117" customFormat="false" ht="15" hidden="false" customHeight="true" outlineLevel="0" collapsed="false">
      <c r="A117" s="3" t="s">
        <v>355</v>
      </c>
      <c r="B117" s="14" t="n">
        <v>3</v>
      </c>
      <c r="C117" s="14" t="n">
        <v>55</v>
      </c>
      <c r="D117" s="14" t="n">
        <v>2</v>
      </c>
      <c r="E117" s="14" t="n">
        <f aca="false">L55</f>
        <v>1</v>
      </c>
      <c r="F117" s="19" t="n">
        <f aca="false">M55</f>
        <v>380</v>
      </c>
      <c r="G117" s="19" t="n">
        <f aca="false">N55</f>
        <v>41</v>
      </c>
      <c r="H117" s="14" t="n">
        <f aca="false">O55</f>
        <v>60</v>
      </c>
      <c r="I117" s="16" t="n">
        <f aca="false">P55</f>
        <v>81.5</v>
      </c>
      <c r="J117" s="14" t="n">
        <f aca="false">Q55</f>
        <v>0</v>
      </c>
      <c r="K117" s="14" t="n">
        <f aca="false">IF(D117&lt;=2,1-J117,IF(D117=3,IF(AND(U117=0,H117&gt;=W_min,F117-D_dip&gt;=Floor_q),1,0),IF(AND(H117&gt;=W_min,F117&gt;=Pre_A),1,0)))</f>
        <v>1</v>
      </c>
      <c r="L117" s="14" t="n">
        <f aca="false">E117*K117</f>
        <v>1</v>
      </c>
      <c r="M117" s="19" t="n">
        <f aca="false">CHOOSE(D117,F117+Proc_S,F117+Proc_Sk,F117+D_dL,F117-Cost_A)</f>
        <v>472</v>
      </c>
      <c r="N117" s="19" t="n">
        <f aca="false">CHOOSE(D117,(1-Tech_share)*G117,(1-Tech_share)*G117,G117+D_dT,G117)</f>
        <v>36.9</v>
      </c>
      <c r="O117" s="14" t="n">
        <f aca="false">CHOOSE(D117,H117-W_lost,H117,H117,H117+W_gain)</f>
        <v>60</v>
      </c>
      <c r="P117" s="16" t="n">
        <f aca="false">CHOOSE(D117,I117,I117,I117+D_dE,I117+Close_A*(Ceil_E-I117))</f>
        <v>81.5</v>
      </c>
      <c r="Q117" s="14" t="n">
        <f aca="false">CHOOSE(D117,1,1,J117,J117)</f>
        <v>1</v>
      </c>
      <c r="R117" s="14" t="n">
        <f aca="false">IF(L117=1,IF(SUMPRODUCT(($L$35:$L$116=1)*(ABS($M$35:$M$116-M117)&lt;0.000001)*(ABS($N$35:$N$116-N117)&lt;0.000001)*($O$35:$O$116=O117)*(ABS($P$35:$P$116-P117)&lt;0.000001)*($Q$35:$Q$116=Q117)*($V$35:$V$116=V117))=0,1,0),0)</f>
        <v>0</v>
      </c>
      <c r="S117" s="14" t="n">
        <f aca="false">IF(AND(L117=1,N117&gt;=$B$4-0.000000001,P117&gt;=$B$6-0.000000001,M117&gt;=Floor_q+$B$5-0.000000001),1,0)</f>
        <v>0</v>
      </c>
      <c r="U117" s="14" t="n">
        <f aca="false">V55</f>
        <v>0</v>
      </c>
      <c r="V117" s="14" t="n">
        <f aca="false">CHOOSE(D117,U117,U117,1,U117)</f>
        <v>0</v>
      </c>
    </row>
    <row r="118" customFormat="false" ht="15" hidden="false" customHeight="true" outlineLevel="0" collapsed="false">
      <c r="A118" s="3" t="s">
        <v>356</v>
      </c>
      <c r="B118" s="14" t="n">
        <v>3</v>
      </c>
      <c r="C118" s="14" t="n">
        <v>55</v>
      </c>
      <c r="D118" s="14" t="n">
        <v>3</v>
      </c>
      <c r="E118" s="14" t="n">
        <f aca="false">L55</f>
        <v>1</v>
      </c>
      <c r="F118" s="19" t="n">
        <f aca="false">M55</f>
        <v>380</v>
      </c>
      <c r="G118" s="19" t="n">
        <f aca="false">N55</f>
        <v>41</v>
      </c>
      <c r="H118" s="14" t="n">
        <f aca="false">O55</f>
        <v>60</v>
      </c>
      <c r="I118" s="16" t="n">
        <f aca="false">P55</f>
        <v>81.5</v>
      </c>
      <c r="J118" s="14" t="n">
        <f aca="false">Q55</f>
        <v>0</v>
      </c>
      <c r="K118" s="14" t="n">
        <f aca="false">IF(D118&lt;=2,1-J118,IF(D118=3,IF(AND(U118=0,H118&gt;=W_min,F118-D_dip&gt;=Floor_q),1,0),IF(AND(H118&gt;=W_min,F118&gt;=Pre_A),1,0)))</f>
        <v>0</v>
      </c>
      <c r="L118" s="14" t="n">
        <f aca="false">E118*K118</f>
        <v>0</v>
      </c>
      <c r="M118" s="19" t="n">
        <f aca="false">CHOOSE(D118,F118+Proc_S,F118+Proc_Sk,F118+D_dL,F118-Cost_A)</f>
        <v>344.632729102868</v>
      </c>
      <c r="N118" s="19" t="n">
        <f aca="false">CHOOSE(D118,(1-Tech_share)*G118,(1-Tech_share)*G118,G118+D_dT,G118)</f>
        <v>75.6346691353518</v>
      </c>
      <c r="O118" s="14" t="n">
        <f aca="false">CHOOSE(D118,H118-W_lost,H118,H118,H118+W_gain)</f>
        <v>60</v>
      </c>
      <c r="P118" s="16" t="n">
        <f aca="false">CHOOSE(D118,I118,I118,I118+D_dE,I118+Close_A*(Ceil_E-I118))</f>
        <v>84.0983309723245</v>
      </c>
      <c r="Q118" s="14" t="n">
        <f aca="false">CHOOSE(D118,1,1,J118,J118)</f>
        <v>0</v>
      </c>
      <c r="R118" s="14" t="n">
        <f aca="false">IF(L118=1,IF(SUMPRODUCT(($L$35:$L$117=1)*(ABS($M$35:$M$117-M118)&lt;0.000001)*(ABS($N$35:$N$117-N118)&lt;0.000001)*($O$35:$O$117=O118)*(ABS($P$35:$P$117-P118)&lt;0.000001)*($Q$35:$Q$117=Q118)*($V$35:$V$117=V118))=0,1,0),0)</f>
        <v>0</v>
      </c>
      <c r="S118" s="14" t="n">
        <f aca="false">IF(AND(L118=1,N118&gt;=$B$4-0.000000001,P118&gt;=$B$6-0.000000001,M118&gt;=Floor_q+$B$5-0.000000001),1,0)</f>
        <v>0</v>
      </c>
      <c r="U118" s="14" t="n">
        <f aca="false">V55</f>
        <v>0</v>
      </c>
      <c r="V118" s="14" t="n">
        <f aca="false">CHOOSE(D118,U118,U118,1,U118)</f>
        <v>1</v>
      </c>
    </row>
    <row r="119" customFormat="false" ht="15" hidden="false" customHeight="true" outlineLevel="0" collapsed="false">
      <c r="A119" s="3" t="s">
        <v>357</v>
      </c>
      <c r="B119" s="14" t="n">
        <v>3</v>
      </c>
      <c r="C119" s="14" t="n">
        <v>55</v>
      </c>
      <c r="D119" s="14" t="n">
        <v>4</v>
      </c>
      <c r="E119" s="14" t="n">
        <f aca="false">L55</f>
        <v>1</v>
      </c>
      <c r="F119" s="19" t="n">
        <f aca="false">M55</f>
        <v>380</v>
      </c>
      <c r="G119" s="19" t="n">
        <f aca="false">N55</f>
        <v>41</v>
      </c>
      <c r="H119" s="14" t="n">
        <f aca="false">O55</f>
        <v>60</v>
      </c>
      <c r="I119" s="16" t="n">
        <f aca="false">P55</f>
        <v>81.5</v>
      </c>
      <c r="J119" s="14" t="n">
        <f aca="false">Q55</f>
        <v>0</v>
      </c>
      <c r="K119" s="14" t="n">
        <f aca="false">IF(D119&lt;=2,1-J119,IF(D119=3,IF(AND(U119=0,H119&gt;=W_min,F119-D_dip&gt;=Floor_q),1,0),IF(AND(H119&gt;=W_min,F119&gt;=Pre_A),1,0)))</f>
        <v>0</v>
      </c>
      <c r="L119" s="14" t="n">
        <f aca="false">E119*K119</f>
        <v>0</v>
      </c>
      <c r="M119" s="19" t="n">
        <f aca="false">CHOOSE(D119,F119+Proc_S,F119+Proc_Sk,F119+D_dL,F119-Cost_A)</f>
        <v>260</v>
      </c>
      <c r="N119" s="19" t="n">
        <f aca="false">CHOOSE(D119,(1-Tech_share)*G119,(1-Tech_share)*G119,G119+D_dT,G119)</f>
        <v>41</v>
      </c>
      <c r="O119" s="14" t="n">
        <f aca="false">CHOOSE(D119,H119-W_lost,H119,H119,H119+W_gain)</f>
        <v>61</v>
      </c>
      <c r="P119" s="16" t="n">
        <f aca="false">CHOOSE(D119,I119,I119,I119+D_dE,I119+Close_A*(Ceil_E-I119))</f>
        <v>83.25</v>
      </c>
      <c r="Q119" s="14" t="n">
        <f aca="false">CHOOSE(D119,1,1,J119,J119)</f>
        <v>0</v>
      </c>
      <c r="R119" s="14" t="n">
        <f aca="false">IF(L119=1,IF(SUMPRODUCT(($L$35:$L$118=1)*(ABS($M$35:$M$118-M119)&lt;0.000001)*(ABS($N$35:$N$118-N119)&lt;0.000001)*($O$35:$O$118=O119)*(ABS($P$35:$P$118-P119)&lt;0.000001)*($Q$35:$Q$118=Q119)*($V$35:$V$118=V119))=0,1,0),0)</f>
        <v>0</v>
      </c>
      <c r="S119" s="14" t="n">
        <f aca="false">IF(AND(L119=1,N119&gt;=$B$4-0.000000001,P119&gt;=$B$6-0.000000001,M119&gt;=Floor_q+$B$5-0.000000001),1,0)</f>
        <v>0</v>
      </c>
      <c r="U119" s="14" t="n">
        <f aca="false">V55</f>
        <v>0</v>
      </c>
      <c r="V119" s="14" t="n">
        <f aca="false">CHOOSE(D119,U119,U119,1,U119)</f>
        <v>0</v>
      </c>
    </row>
    <row r="120" customFormat="false" ht="15" hidden="false" customHeight="true" outlineLevel="0" collapsed="false">
      <c r="A120" s="3" t="s">
        <v>358</v>
      </c>
      <c r="B120" s="14" t="n">
        <v>4</v>
      </c>
      <c r="C120" s="14" t="n">
        <v>56</v>
      </c>
      <c r="D120" s="14" t="n">
        <v>1</v>
      </c>
      <c r="E120" s="14" t="n">
        <f aca="false">L56</f>
        <v>0</v>
      </c>
      <c r="F120" s="19" t="n">
        <f aca="false">M56</f>
        <v>956</v>
      </c>
      <c r="G120" s="19" t="n">
        <f aca="false">N56</f>
        <v>29.889</v>
      </c>
      <c r="H120" s="14" t="n">
        <f aca="false">O56</f>
        <v>43</v>
      </c>
      <c r="I120" s="16" t="n">
        <f aca="false">P56</f>
        <v>71</v>
      </c>
      <c r="J120" s="14" t="n">
        <f aca="false">Q56</f>
        <v>1</v>
      </c>
      <c r="K120" s="14" t="n">
        <f aca="false">IF(D120&lt;=2,1-J120,IF(D120=3,IF(AND(U120=0,H120&gt;=W_min,F120-D_dip&gt;=Floor_q),1,0),IF(AND(H120&gt;=W_min,F120&gt;=Pre_A),1,0)))</f>
        <v>0</v>
      </c>
      <c r="L120" s="14" t="n">
        <f aca="false">E120*K120</f>
        <v>0</v>
      </c>
      <c r="M120" s="19" t="n">
        <f aca="false">CHOOSE(D120,F120+Proc_S,F120+Proc_Sk,F120+D_dL,F120-Cost_A)</f>
        <v>1068</v>
      </c>
      <c r="N120" s="19" t="n">
        <f aca="false">CHOOSE(D120,(1-Tech_share)*G120,(1-Tech_share)*G120,G120+D_dT,G120)</f>
        <v>26.9001</v>
      </c>
      <c r="O120" s="14" t="n">
        <f aca="false">CHOOSE(D120,H120-W_lost,H120,H120,H120+W_gain)</f>
        <v>38</v>
      </c>
      <c r="P120" s="16" t="n">
        <f aca="false">CHOOSE(D120,I120,I120,I120+D_dE,I120+Close_A*(Ceil_E-I120))</f>
        <v>71</v>
      </c>
      <c r="Q120" s="14" t="n">
        <f aca="false">CHOOSE(D120,1,1,J120,J120)</f>
        <v>1</v>
      </c>
      <c r="R120" s="14" t="n">
        <f aca="false">IF(L120=1,IF(SUMPRODUCT(($L$35:$L$119=1)*(ABS($M$35:$M$119-M120)&lt;0.000001)*(ABS($N$35:$N$119-N120)&lt;0.000001)*($O$35:$O$119=O120)*(ABS($P$35:$P$119-P120)&lt;0.000001)*($Q$35:$Q$119=Q120)*($V$35:$V$119=V120))=0,1,0),0)</f>
        <v>0</v>
      </c>
      <c r="S120" s="14" t="n">
        <f aca="false">IF(AND(L120=1,N120&gt;=$B$4-0.000000001,P120&gt;=$B$6-0.000000001,M120&gt;=Floor_q+$B$5-0.000000001),1,0)</f>
        <v>0</v>
      </c>
      <c r="T120" s="14" t="n">
        <f aca="false">L120*(IF(1&lt;=2,1-Q120,IF(1=3,IF(AND(V120=0,O120&gt;=W_min,M120-D_dip&gt;=Floor_q),1,0),IF(AND(O120&gt;=W_min,M120&gt;=Pre_A),1,0)))+IF(2&lt;=2,1-Q120,IF(2=3,IF(AND(V120=0,O120&gt;=W_min,M120-D_dip&gt;=Floor_q),1,0),IF(AND(O120&gt;=W_min,M120&gt;=Pre_A),1,0)))+IF(3&lt;=2,1-Q120,IF(3=3,IF(AND(V120=0,O120&gt;=W_min,M120-D_dip&gt;=Floor_q),1,0),IF(AND(O120&gt;=W_min,M120&gt;=Pre_A),1,0)))+IF(4&lt;=2,1-Q120,IF(4=3,IF(AND(V120=0,O120&gt;=W_min,M120-D_dip&gt;=Floor_q),1,0),IF(AND(O120&gt;=W_min,M120&gt;=Pre_A),1,0))))</f>
        <v>0</v>
      </c>
      <c r="U120" s="14" t="n">
        <f aca="false">V56</f>
        <v>0</v>
      </c>
      <c r="V120" s="14" t="n">
        <f aca="false">CHOOSE(D120,U120,U120,1,U120)</f>
        <v>0</v>
      </c>
    </row>
    <row r="121" customFormat="false" ht="15" hidden="false" customHeight="true" outlineLevel="0" collapsed="false">
      <c r="A121" s="3" t="s">
        <v>359</v>
      </c>
      <c r="B121" s="14" t="n">
        <v>4</v>
      </c>
      <c r="C121" s="14" t="n">
        <v>56</v>
      </c>
      <c r="D121" s="14" t="n">
        <v>2</v>
      </c>
      <c r="E121" s="14" t="n">
        <f aca="false">L56</f>
        <v>0</v>
      </c>
      <c r="F121" s="19" t="n">
        <f aca="false">M56</f>
        <v>956</v>
      </c>
      <c r="G121" s="19" t="n">
        <f aca="false">N56</f>
        <v>29.889</v>
      </c>
      <c r="H121" s="14" t="n">
        <f aca="false">O56</f>
        <v>43</v>
      </c>
      <c r="I121" s="16" t="n">
        <f aca="false">P56</f>
        <v>71</v>
      </c>
      <c r="J121" s="14" t="n">
        <f aca="false">Q56</f>
        <v>1</v>
      </c>
      <c r="K121" s="14" t="n">
        <f aca="false">IF(D121&lt;=2,1-J121,IF(D121=3,IF(AND(U121=0,H121&gt;=W_min,F121-D_dip&gt;=Floor_q),1,0),IF(AND(H121&gt;=W_min,F121&gt;=Pre_A),1,0)))</f>
        <v>0</v>
      </c>
      <c r="L121" s="14" t="n">
        <f aca="false">E121*K121</f>
        <v>0</v>
      </c>
      <c r="M121" s="19" t="n">
        <f aca="false">CHOOSE(D121,F121+Proc_S,F121+Proc_Sk,F121+D_dL,F121-Cost_A)</f>
        <v>1048</v>
      </c>
      <c r="N121" s="19" t="n">
        <f aca="false">CHOOSE(D121,(1-Tech_share)*G121,(1-Tech_share)*G121,G121+D_dT,G121)</f>
        <v>26.9001</v>
      </c>
      <c r="O121" s="14" t="n">
        <f aca="false">CHOOSE(D121,H121-W_lost,H121,H121,H121+W_gain)</f>
        <v>43</v>
      </c>
      <c r="P121" s="16" t="n">
        <f aca="false">CHOOSE(D121,I121,I121,I121+D_dE,I121+Close_A*(Ceil_E-I121))</f>
        <v>71</v>
      </c>
      <c r="Q121" s="14" t="n">
        <f aca="false">CHOOSE(D121,1,1,J121,J121)</f>
        <v>1</v>
      </c>
      <c r="R121" s="14" t="n">
        <f aca="false">IF(L121=1,IF(SUMPRODUCT(($L$35:$L$120=1)*(ABS($M$35:$M$120-M121)&lt;0.000001)*(ABS($N$35:$N$120-N121)&lt;0.000001)*($O$35:$O$120=O121)*(ABS($P$35:$P$120-P121)&lt;0.000001)*($Q$35:$Q$120=Q121)*($V$35:$V$120=V121))=0,1,0),0)</f>
        <v>0</v>
      </c>
      <c r="S121" s="14" t="n">
        <f aca="false">IF(AND(L121=1,N121&gt;=$B$4-0.000000001,P121&gt;=$B$6-0.000000001,M121&gt;=Floor_q+$B$5-0.000000001),1,0)</f>
        <v>0</v>
      </c>
      <c r="T121" s="14" t="n">
        <f aca="false">L121*(IF(1&lt;=2,1-Q121,IF(1=3,IF(AND(V121=0,O121&gt;=W_min,M121-D_dip&gt;=Floor_q),1,0),IF(AND(O121&gt;=W_min,M121&gt;=Pre_A),1,0)))+IF(2&lt;=2,1-Q121,IF(2=3,IF(AND(V121=0,O121&gt;=W_min,M121-D_dip&gt;=Floor_q),1,0),IF(AND(O121&gt;=W_min,M121&gt;=Pre_A),1,0)))+IF(3&lt;=2,1-Q121,IF(3=3,IF(AND(V121=0,O121&gt;=W_min,M121-D_dip&gt;=Floor_q),1,0),IF(AND(O121&gt;=W_min,M121&gt;=Pre_A),1,0)))+IF(4&lt;=2,1-Q121,IF(4=3,IF(AND(V121=0,O121&gt;=W_min,M121-D_dip&gt;=Floor_q),1,0),IF(AND(O121&gt;=W_min,M121&gt;=Pre_A),1,0))))</f>
        <v>0</v>
      </c>
      <c r="U121" s="14" t="n">
        <f aca="false">V56</f>
        <v>0</v>
      </c>
      <c r="V121" s="14" t="n">
        <f aca="false">CHOOSE(D121,U121,U121,1,U121)</f>
        <v>0</v>
      </c>
    </row>
    <row r="122" customFormat="false" ht="15" hidden="false" customHeight="true" outlineLevel="0" collapsed="false">
      <c r="A122" s="3" t="s">
        <v>360</v>
      </c>
      <c r="B122" s="14" t="n">
        <v>4</v>
      </c>
      <c r="C122" s="14" t="n">
        <v>56</v>
      </c>
      <c r="D122" s="14" t="n">
        <v>3</v>
      </c>
      <c r="E122" s="14" t="n">
        <f aca="false">L56</f>
        <v>0</v>
      </c>
      <c r="F122" s="19" t="n">
        <f aca="false">M56</f>
        <v>956</v>
      </c>
      <c r="G122" s="19" t="n">
        <f aca="false">N56</f>
        <v>29.889</v>
      </c>
      <c r="H122" s="14" t="n">
        <f aca="false">O56</f>
        <v>43</v>
      </c>
      <c r="I122" s="16" t="n">
        <f aca="false">P56</f>
        <v>71</v>
      </c>
      <c r="J122" s="14" t="n">
        <f aca="false">Q56</f>
        <v>1</v>
      </c>
      <c r="K122" s="14" t="n">
        <f aca="false">IF(D122&lt;=2,1-J122,IF(D122=3,IF(AND(U122=0,H122&gt;=W_min,F122-D_dip&gt;=Floor_q),1,0),IF(AND(H122&gt;=W_min,F122&gt;=Pre_A),1,0)))</f>
        <v>0</v>
      </c>
      <c r="L122" s="14" t="n">
        <f aca="false">E122*K122</f>
        <v>0</v>
      </c>
      <c r="M122" s="19" t="n">
        <f aca="false">CHOOSE(D122,F122+Proc_S,F122+Proc_Sk,F122+D_dL,F122-Cost_A)</f>
        <v>920.632729102868</v>
      </c>
      <c r="N122" s="19" t="n">
        <f aca="false">CHOOSE(D122,(1-Tech_share)*G122,(1-Tech_share)*G122,G122+D_dT,G122)</f>
        <v>64.5236691353518</v>
      </c>
      <c r="O122" s="14" t="n">
        <f aca="false">CHOOSE(D122,H122-W_lost,H122,H122,H122+W_gain)</f>
        <v>43</v>
      </c>
      <c r="P122" s="16" t="n">
        <f aca="false">CHOOSE(D122,I122,I122,I122+D_dE,I122+Close_A*(Ceil_E-I122))</f>
        <v>73.5983309723245</v>
      </c>
      <c r="Q122" s="14" t="n">
        <f aca="false">CHOOSE(D122,1,1,J122,J122)</f>
        <v>1</v>
      </c>
      <c r="R122" s="14" t="n">
        <f aca="false">IF(L122=1,IF(SUMPRODUCT(($L$35:$L$121=1)*(ABS($M$35:$M$121-M122)&lt;0.000001)*(ABS($N$35:$N$121-N122)&lt;0.000001)*($O$35:$O$121=O122)*(ABS($P$35:$P$121-P122)&lt;0.000001)*($Q$35:$Q$121=Q122)*($V$35:$V$121=V122))=0,1,0),0)</f>
        <v>0</v>
      </c>
      <c r="S122" s="14" t="n">
        <f aca="false">IF(AND(L122=1,N122&gt;=$B$4-0.000000001,P122&gt;=$B$6-0.000000001,M122&gt;=Floor_q+$B$5-0.000000001),1,0)</f>
        <v>0</v>
      </c>
      <c r="T122" s="14" t="n">
        <f aca="false">L122*(IF(1&lt;=2,1-Q122,IF(1=3,IF(AND(V122=0,O122&gt;=W_min,M122-D_dip&gt;=Floor_q),1,0),IF(AND(O122&gt;=W_min,M122&gt;=Pre_A),1,0)))+IF(2&lt;=2,1-Q122,IF(2=3,IF(AND(V122=0,O122&gt;=W_min,M122-D_dip&gt;=Floor_q),1,0),IF(AND(O122&gt;=W_min,M122&gt;=Pre_A),1,0)))+IF(3&lt;=2,1-Q122,IF(3=3,IF(AND(V122=0,O122&gt;=W_min,M122-D_dip&gt;=Floor_q),1,0),IF(AND(O122&gt;=W_min,M122&gt;=Pre_A),1,0)))+IF(4&lt;=2,1-Q122,IF(4=3,IF(AND(V122=0,O122&gt;=W_min,M122-D_dip&gt;=Floor_q),1,0),IF(AND(O122&gt;=W_min,M122&gt;=Pre_A),1,0))))</f>
        <v>0</v>
      </c>
      <c r="U122" s="14" t="n">
        <f aca="false">V56</f>
        <v>0</v>
      </c>
      <c r="V122" s="14" t="n">
        <f aca="false">CHOOSE(D122,U122,U122,1,U122)</f>
        <v>1</v>
      </c>
    </row>
    <row r="123" customFormat="false" ht="15" hidden="false" customHeight="true" outlineLevel="0" collapsed="false">
      <c r="A123" s="3" t="s">
        <v>361</v>
      </c>
      <c r="B123" s="14" t="n">
        <v>4</v>
      </c>
      <c r="C123" s="14" t="n">
        <v>56</v>
      </c>
      <c r="D123" s="14" t="n">
        <v>4</v>
      </c>
      <c r="E123" s="14" t="n">
        <f aca="false">L56</f>
        <v>0</v>
      </c>
      <c r="F123" s="19" t="n">
        <f aca="false">M56</f>
        <v>956</v>
      </c>
      <c r="G123" s="19" t="n">
        <f aca="false">N56</f>
        <v>29.889</v>
      </c>
      <c r="H123" s="14" t="n">
        <f aca="false">O56</f>
        <v>43</v>
      </c>
      <c r="I123" s="16" t="n">
        <f aca="false">P56</f>
        <v>71</v>
      </c>
      <c r="J123" s="14" t="n">
        <f aca="false">Q56</f>
        <v>1</v>
      </c>
      <c r="K123" s="14" t="n">
        <f aca="false">IF(D123&lt;=2,1-J123,IF(D123=3,IF(AND(U123=0,H123&gt;=W_min,F123-D_dip&gt;=Floor_q),1,0),IF(AND(H123&gt;=W_min,F123&gt;=Pre_A),1,0)))</f>
        <v>0</v>
      </c>
      <c r="L123" s="14" t="n">
        <f aca="false">E123*K123</f>
        <v>0</v>
      </c>
      <c r="M123" s="19" t="n">
        <f aca="false">CHOOSE(D123,F123+Proc_S,F123+Proc_Sk,F123+D_dL,F123-Cost_A)</f>
        <v>836</v>
      </c>
      <c r="N123" s="19" t="n">
        <f aca="false">CHOOSE(D123,(1-Tech_share)*G123,(1-Tech_share)*G123,G123+D_dT,G123)</f>
        <v>29.889</v>
      </c>
      <c r="O123" s="14" t="n">
        <f aca="false">CHOOSE(D123,H123-W_lost,H123,H123,H123+W_gain)</f>
        <v>44</v>
      </c>
      <c r="P123" s="16" t="n">
        <f aca="false">CHOOSE(D123,I123,I123,I123+D_dE,I123+Close_A*(Ceil_E-I123))</f>
        <v>78</v>
      </c>
      <c r="Q123" s="14" t="n">
        <f aca="false">CHOOSE(D123,1,1,J123,J123)</f>
        <v>1</v>
      </c>
      <c r="R123" s="14" t="n">
        <f aca="false">IF(L123=1,IF(SUMPRODUCT(($L$35:$L$122=1)*(ABS($M$35:$M$122-M123)&lt;0.000001)*(ABS($N$35:$N$122-N123)&lt;0.000001)*($O$35:$O$122=O123)*(ABS($P$35:$P$122-P123)&lt;0.000001)*($Q$35:$Q$122=Q123)*($V$35:$V$122=V123))=0,1,0),0)</f>
        <v>0</v>
      </c>
      <c r="S123" s="14" t="n">
        <f aca="false">IF(AND(L123=1,N123&gt;=$B$4-0.000000001,P123&gt;=$B$6-0.000000001,M123&gt;=Floor_q+$B$5-0.000000001),1,0)</f>
        <v>0</v>
      </c>
      <c r="T123" s="14" t="n">
        <f aca="false">L123*(IF(1&lt;=2,1-Q123,IF(1=3,IF(AND(V123=0,O123&gt;=W_min,M123-D_dip&gt;=Floor_q),1,0),IF(AND(O123&gt;=W_min,M123&gt;=Pre_A),1,0)))+IF(2&lt;=2,1-Q123,IF(2=3,IF(AND(V123=0,O123&gt;=W_min,M123-D_dip&gt;=Floor_q),1,0),IF(AND(O123&gt;=W_min,M123&gt;=Pre_A),1,0)))+IF(3&lt;=2,1-Q123,IF(3=3,IF(AND(V123=0,O123&gt;=W_min,M123-D_dip&gt;=Floor_q),1,0),IF(AND(O123&gt;=W_min,M123&gt;=Pre_A),1,0)))+IF(4&lt;=2,1-Q123,IF(4=3,IF(AND(V123=0,O123&gt;=W_min,M123-D_dip&gt;=Floor_q),1,0),IF(AND(O123&gt;=W_min,M123&gt;=Pre_A),1,0))))</f>
        <v>0</v>
      </c>
      <c r="U123" s="14" t="n">
        <f aca="false">V56</f>
        <v>0</v>
      </c>
      <c r="V123" s="14" t="n">
        <f aca="false">CHOOSE(D123,U123,U123,1,U123)</f>
        <v>0</v>
      </c>
    </row>
    <row r="124" customFormat="false" ht="15" hidden="false" customHeight="true" outlineLevel="0" collapsed="false">
      <c r="A124" s="3" t="s">
        <v>362</v>
      </c>
      <c r="B124" s="14" t="n">
        <v>4</v>
      </c>
      <c r="C124" s="14" t="n">
        <v>57</v>
      </c>
      <c r="D124" s="14" t="n">
        <v>1</v>
      </c>
      <c r="E124" s="14" t="n">
        <f aca="false">L57</f>
        <v>0</v>
      </c>
      <c r="F124" s="19" t="n">
        <f aca="false">M57</f>
        <v>936</v>
      </c>
      <c r="G124" s="19" t="n">
        <f aca="false">N57</f>
        <v>29.889</v>
      </c>
      <c r="H124" s="14" t="n">
        <f aca="false">O57</f>
        <v>48</v>
      </c>
      <c r="I124" s="16" t="n">
        <f aca="false">P57</f>
        <v>71</v>
      </c>
      <c r="J124" s="14" t="n">
        <f aca="false">Q57</f>
        <v>1</v>
      </c>
      <c r="K124" s="14" t="n">
        <f aca="false">IF(D124&lt;=2,1-J124,IF(D124=3,IF(AND(U124=0,H124&gt;=W_min,F124-D_dip&gt;=Floor_q),1,0),IF(AND(H124&gt;=W_min,F124&gt;=Pre_A),1,0)))</f>
        <v>0</v>
      </c>
      <c r="L124" s="14" t="n">
        <f aca="false">E124*K124</f>
        <v>0</v>
      </c>
      <c r="M124" s="19" t="n">
        <f aca="false">CHOOSE(D124,F124+Proc_S,F124+Proc_Sk,F124+D_dL,F124-Cost_A)</f>
        <v>1048</v>
      </c>
      <c r="N124" s="19" t="n">
        <f aca="false">CHOOSE(D124,(1-Tech_share)*G124,(1-Tech_share)*G124,G124+D_dT,G124)</f>
        <v>26.9001</v>
      </c>
      <c r="O124" s="14" t="n">
        <f aca="false">CHOOSE(D124,H124-W_lost,H124,H124,H124+W_gain)</f>
        <v>43</v>
      </c>
      <c r="P124" s="16" t="n">
        <f aca="false">CHOOSE(D124,I124,I124,I124+D_dE,I124+Close_A*(Ceil_E-I124))</f>
        <v>71</v>
      </c>
      <c r="Q124" s="14" t="n">
        <f aca="false">CHOOSE(D124,1,1,J124,J124)</f>
        <v>1</v>
      </c>
      <c r="R124" s="14" t="n">
        <f aca="false">IF(L124=1,IF(SUMPRODUCT(($L$35:$L$123=1)*(ABS($M$35:$M$123-M124)&lt;0.000001)*(ABS($N$35:$N$123-N124)&lt;0.000001)*($O$35:$O$123=O124)*(ABS($P$35:$P$123-P124)&lt;0.000001)*($Q$35:$Q$123=Q124)*($V$35:$V$123=V124))=0,1,0),0)</f>
        <v>0</v>
      </c>
      <c r="S124" s="14" t="n">
        <f aca="false">IF(AND(L124=1,N124&gt;=$B$4-0.000000001,P124&gt;=$B$6-0.000000001,M124&gt;=Floor_q+$B$5-0.000000001),1,0)</f>
        <v>0</v>
      </c>
      <c r="T124" s="14" t="n">
        <f aca="false">L124*(IF(1&lt;=2,1-Q124,IF(1=3,IF(AND(V124=0,O124&gt;=W_min,M124-D_dip&gt;=Floor_q),1,0),IF(AND(O124&gt;=W_min,M124&gt;=Pre_A),1,0)))+IF(2&lt;=2,1-Q124,IF(2=3,IF(AND(V124=0,O124&gt;=W_min,M124-D_dip&gt;=Floor_q),1,0),IF(AND(O124&gt;=W_min,M124&gt;=Pre_A),1,0)))+IF(3&lt;=2,1-Q124,IF(3=3,IF(AND(V124=0,O124&gt;=W_min,M124-D_dip&gt;=Floor_q),1,0),IF(AND(O124&gt;=W_min,M124&gt;=Pre_A),1,0)))+IF(4&lt;=2,1-Q124,IF(4=3,IF(AND(V124=0,O124&gt;=W_min,M124-D_dip&gt;=Floor_q),1,0),IF(AND(O124&gt;=W_min,M124&gt;=Pre_A),1,0))))</f>
        <v>0</v>
      </c>
      <c r="U124" s="14" t="n">
        <f aca="false">V57</f>
        <v>0</v>
      </c>
      <c r="V124" s="14" t="n">
        <f aca="false">CHOOSE(D124,U124,U124,1,U124)</f>
        <v>0</v>
      </c>
    </row>
    <row r="125" customFormat="false" ht="15" hidden="false" customHeight="true" outlineLevel="0" collapsed="false">
      <c r="A125" s="3" t="s">
        <v>363</v>
      </c>
      <c r="B125" s="14" t="n">
        <v>4</v>
      </c>
      <c r="C125" s="14" t="n">
        <v>57</v>
      </c>
      <c r="D125" s="14" t="n">
        <v>2</v>
      </c>
      <c r="E125" s="14" t="n">
        <f aca="false">L57</f>
        <v>0</v>
      </c>
      <c r="F125" s="19" t="n">
        <f aca="false">M57</f>
        <v>936</v>
      </c>
      <c r="G125" s="19" t="n">
        <f aca="false">N57</f>
        <v>29.889</v>
      </c>
      <c r="H125" s="14" t="n">
        <f aca="false">O57</f>
        <v>48</v>
      </c>
      <c r="I125" s="16" t="n">
        <f aca="false">P57</f>
        <v>71</v>
      </c>
      <c r="J125" s="14" t="n">
        <f aca="false">Q57</f>
        <v>1</v>
      </c>
      <c r="K125" s="14" t="n">
        <f aca="false">IF(D125&lt;=2,1-J125,IF(D125=3,IF(AND(U125=0,H125&gt;=W_min,F125-D_dip&gt;=Floor_q),1,0),IF(AND(H125&gt;=W_min,F125&gt;=Pre_A),1,0)))</f>
        <v>0</v>
      </c>
      <c r="L125" s="14" t="n">
        <f aca="false">E125*K125</f>
        <v>0</v>
      </c>
      <c r="M125" s="19" t="n">
        <f aca="false">CHOOSE(D125,F125+Proc_S,F125+Proc_Sk,F125+D_dL,F125-Cost_A)</f>
        <v>1028</v>
      </c>
      <c r="N125" s="19" t="n">
        <f aca="false">CHOOSE(D125,(1-Tech_share)*G125,(1-Tech_share)*G125,G125+D_dT,G125)</f>
        <v>26.9001</v>
      </c>
      <c r="O125" s="14" t="n">
        <f aca="false">CHOOSE(D125,H125-W_lost,H125,H125,H125+W_gain)</f>
        <v>48</v>
      </c>
      <c r="P125" s="16" t="n">
        <f aca="false">CHOOSE(D125,I125,I125,I125+D_dE,I125+Close_A*(Ceil_E-I125))</f>
        <v>71</v>
      </c>
      <c r="Q125" s="14" t="n">
        <f aca="false">CHOOSE(D125,1,1,J125,J125)</f>
        <v>1</v>
      </c>
      <c r="R125" s="14" t="n">
        <f aca="false">IF(L125=1,IF(SUMPRODUCT(($L$35:$L$124=1)*(ABS($M$35:$M$124-M125)&lt;0.000001)*(ABS($N$35:$N$124-N125)&lt;0.000001)*($O$35:$O$124=O125)*(ABS($P$35:$P$124-P125)&lt;0.000001)*($Q$35:$Q$124=Q125)*($V$35:$V$124=V125))=0,1,0),0)</f>
        <v>0</v>
      </c>
      <c r="S125" s="14" t="n">
        <f aca="false">IF(AND(L125=1,N125&gt;=$B$4-0.000000001,P125&gt;=$B$6-0.000000001,M125&gt;=Floor_q+$B$5-0.000000001),1,0)</f>
        <v>0</v>
      </c>
      <c r="T125" s="14" t="n">
        <f aca="false">L125*(IF(1&lt;=2,1-Q125,IF(1=3,IF(AND(V125=0,O125&gt;=W_min,M125-D_dip&gt;=Floor_q),1,0),IF(AND(O125&gt;=W_min,M125&gt;=Pre_A),1,0)))+IF(2&lt;=2,1-Q125,IF(2=3,IF(AND(V125=0,O125&gt;=W_min,M125-D_dip&gt;=Floor_q),1,0),IF(AND(O125&gt;=W_min,M125&gt;=Pre_A),1,0)))+IF(3&lt;=2,1-Q125,IF(3=3,IF(AND(V125=0,O125&gt;=W_min,M125-D_dip&gt;=Floor_q),1,0),IF(AND(O125&gt;=W_min,M125&gt;=Pre_A),1,0)))+IF(4&lt;=2,1-Q125,IF(4=3,IF(AND(V125=0,O125&gt;=W_min,M125-D_dip&gt;=Floor_q),1,0),IF(AND(O125&gt;=W_min,M125&gt;=Pre_A),1,0))))</f>
        <v>0</v>
      </c>
      <c r="U125" s="14" t="n">
        <f aca="false">V57</f>
        <v>0</v>
      </c>
      <c r="V125" s="14" t="n">
        <f aca="false">CHOOSE(D125,U125,U125,1,U125)</f>
        <v>0</v>
      </c>
    </row>
    <row r="126" customFormat="false" ht="15" hidden="false" customHeight="true" outlineLevel="0" collapsed="false">
      <c r="A126" s="3" t="s">
        <v>364</v>
      </c>
      <c r="B126" s="14" t="n">
        <v>4</v>
      </c>
      <c r="C126" s="14" t="n">
        <v>57</v>
      </c>
      <c r="D126" s="14" t="n">
        <v>3</v>
      </c>
      <c r="E126" s="14" t="n">
        <f aca="false">L57</f>
        <v>0</v>
      </c>
      <c r="F126" s="19" t="n">
        <f aca="false">M57</f>
        <v>936</v>
      </c>
      <c r="G126" s="19" t="n">
        <f aca="false">N57</f>
        <v>29.889</v>
      </c>
      <c r="H126" s="14" t="n">
        <f aca="false">O57</f>
        <v>48</v>
      </c>
      <c r="I126" s="16" t="n">
        <f aca="false">P57</f>
        <v>71</v>
      </c>
      <c r="J126" s="14" t="n">
        <f aca="false">Q57</f>
        <v>1</v>
      </c>
      <c r="K126" s="14" t="n">
        <f aca="false">IF(D126&lt;=2,1-J126,IF(D126=3,IF(AND(U126=0,H126&gt;=W_min,F126-D_dip&gt;=Floor_q),1,0),IF(AND(H126&gt;=W_min,F126&gt;=Pre_A),1,0)))</f>
        <v>0</v>
      </c>
      <c r="L126" s="14" t="n">
        <f aca="false">E126*K126</f>
        <v>0</v>
      </c>
      <c r="M126" s="19" t="n">
        <f aca="false">CHOOSE(D126,F126+Proc_S,F126+Proc_Sk,F126+D_dL,F126-Cost_A)</f>
        <v>900.632729102868</v>
      </c>
      <c r="N126" s="19" t="n">
        <f aca="false">CHOOSE(D126,(1-Tech_share)*G126,(1-Tech_share)*G126,G126+D_dT,G126)</f>
        <v>64.5236691353518</v>
      </c>
      <c r="O126" s="14" t="n">
        <f aca="false">CHOOSE(D126,H126-W_lost,H126,H126,H126+W_gain)</f>
        <v>48</v>
      </c>
      <c r="P126" s="16" t="n">
        <f aca="false">CHOOSE(D126,I126,I126,I126+D_dE,I126+Close_A*(Ceil_E-I126))</f>
        <v>73.5983309723245</v>
      </c>
      <c r="Q126" s="14" t="n">
        <f aca="false">CHOOSE(D126,1,1,J126,J126)</f>
        <v>1</v>
      </c>
      <c r="R126" s="14" t="n">
        <f aca="false">IF(L126=1,IF(SUMPRODUCT(($L$35:$L$125=1)*(ABS($M$35:$M$125-M126)&lt;0.000001)*(ABS($N$35:$N$125-N126)&lt;0.000001)*($O$35:$O$125=O126)*(ABS($P$35:$P$125-P126)&lt;0.000001)*($Q$35:$Q$125=Q126)*($V$35:$V$125=V126))=0,1,0),0)</f>
        <v>0</v>
      </c>
      <c r="S126" s="14" t="n">
        <f aca="false">IF(AND(L126=1,N126&gt;=$B$4-0.000000001,P126&gt;=$B$6-0.000000001,M126&gt;=Floor_q+$B$5-0.000000001),1,0)</f>
        <v>0</v>
      </c>
      <c r="T126" s="14" t="n">
        <f aca="false">L126*(IF(1&lt;=2,1-Q126,IF(1=3,IF(AND(V126=0,O126&gt;=W_min,M126-D_dip&gt;=Floor_q),1,0),IF(AND(O126&gt;=W_min,M126&gt;=Pre_A),1,0)))+IF(2&lt;=2,1-Q126,IF(2=3,IF(AND(V126=0,O126&gt;=W_min,M126-D_dip&gt;=Floor_q),1,0),IF(AND(O126&gt;=W_min,M126&gt;=Pre_A),1,0)))+IF(3&lt;=2,1-Q126,IF(3=3,IF(AND(V126=0,O126&gt;=W_min,M126-D_dip&gt;=Floor_q),1,0),IF(AND(O126&gt;=W_min,M126&gt;=Pre_A),1,0)))+IF(4&lt;=2,1-Q126,IF(4=3,IF(AND(V126=0,O126&gt;=W_min,M126-D_dip&gt;=Floor_q),1,0),IF(AND(O126&gt;=W_min,M126&gt;=Pre_A),1,0))))</f>
        <v>0</v>
      </c>
      <c r="U126" s="14" t="n">
        <f aca="false">V57</f>
        <v>0</v>
      </c>
      <c r="V126" s="14" t="n">
        <f aca="false">CHOOSE(D126,U126,U126,1,U126)</f>
        <v>1</v>
      </c>
    </row>
    <row r="127" customFormat="false" ht="15" hidden="false" customHeight="true" outlineLevel="0" collapsed="false">
      <c r="A127" s="3" t="s">
        <v>365</v>
      </c>
      <c r="B127" s="14" t="n">
        <v>4</v>
      </c>
      <c r="C127" s="14" t="n">
        <v>57</v>
      </c>
      <c r="D127" s="14" t="n">
        <v>4</v>
      </c>
      <c r="E127" s="14" t="n">
        <f aca="false">L57</f>
        <v>0</v>
      </c>
      <c r="F127" s="19" t="n">
        <f aca="false">M57</f>
        <v>936</v>
      </c>
      <c r="G127" s="19" t="n">
        <f aca="false">N57</f>
        <v>29.889</v>
      </c>
      <c r="H127" s="14" t="n">
        <f aca="false">O57</f>
        <v>48</v>
      </c>
      <c r="I127" s="16" t="n">
        <f aca="false">P57</f>
        <v>71</v>
      </c>
      <c r="J127" s="14" t="n">
        <f aca="false">Q57</f>
        <v>1</v>
      </c>
      <c r="K127" s="14" t="n">
        <f aca="false">IF(D127&lt;=2,1-J127,IF(D127=3,IF(AND(U127=0,H127&gt;=W_min,F127-D_dip&gt;=Floor_q),1,0),IF(AND(H127&gt;=W_min,F127&gt;=Pre_A),1,0)))</f>
        <v>0</v>
      </c>
      <c r="L127" s="14" t="n">
        <f aca="false">E127*K127</f>
        <v>0</v>
      </c>
      <c r="M127" s="19" t="n">
        <f aca="false">CHOOSE(D127,F127+Proc_S,F127+Proc_Sk,F127+D_dL,F127-Cost_A)</f>
        <v>816</v>
      </c>
      <c r="N127" s="19" t="n">
        <f aca="false">CHOOSE(D127,(1-Tech_share)*G127,(1-Tech_share)*G127,G127+D_dT,G127)</f>
        <v>29.889</v>
      </c>
      <c r="O127" s="14" t="n">
        <f aca="false">CHOOSE(D127,H127-W_lost,H127,H127,H127+W_gain)</f>
        <v>49</v>
      </c>
      <c r="P127" s="16" t="n">
        <f aca="false">CHOOSE(D127,I127,I127,I127+D_dE,I127+Close_A*(Ceil_E-I127))</f>
        <v>78</v>
      </c>
      <c r="Q127" s="14" t="n">
        <f aca="false">CHOOSE(D127,1,1,J127,J127)</f>
        <v>1</v>
      </c>
      <c r="R127" s="14" t="n">
        <f aca="false">IF(L127=1,IF(SUMPRODUCT(($L$35:$L$126=1)*(ABS($M$35:$M$126-M127)&lt;0.000001)*(ABS($N$35:$N$126-N127)&lt;0.000001)*($O$35:$O$126=O127)*(ABS($P$35:$P$126-P127)&lt;0.000001)*($Q$35:$Q$126=Q127)*($V$35:$V$126=V127))=0,1,0),0)</f>
        <v>0</v>
      </c>
      <c r="S127" s="14" t="n">
        <f aca="false">IF(AND(L127=1,N127&gt;=$B$4-0.000000001,P127&gt;=$B$6-0.000000001,M127&gt;=Floor_q+$B$5-0.000000001),1,0)</f>
        <v>0</v>
      </c>
      <c r="T127" s="14" t="n">
        <f aca="false">L127*(IF(1&lt;=2,1-Q127,IF(1=3,IF(AND(V127=0,O127&gt;=W_min,M127-D_dip&gt;=Floor_q),1,0),IF(AND(O127&gt;=W_min,M127&gt;=Pre_A),1,0)))+IF(2&lt;=2,1-Q127,IF(2=3,IF(AND(V127=0,O127&gt;=W_min,M127-D_dip&gt;=Floor_q),1,0),IF(AND(O127&gt;=W_min,M127&gt;=Pre_A),1,0)))+IF(3&lt;=2,1-Q127,IF(3=3,IF(AND(V127=0,O127&gt;=W_min,M127-D_dip&gt;=Floor_q),1,0),IF(AND(O127&gt;=W_min,M127&gt;=Pre_A),1,0)))+IF(4&lt;=2,1-Q127,IF(4=3,IF(AND(V127=0,O127&gt;=W_min,M127-D_dip&gt;=Floor_q),1,0),IF(AND(O127&gt;=W_min,M127&gt;=Pre_A),1,0))))</f>
        <v>0</v>
      </c>
      <c r="U127" s="14" t="n">
        <f aca="false">V57</f>
        <v>0</v>
      </c>
      <c r="V127" s="14" t="n">
        <f aca="false">CHOOSE(D127,U127,U127,1,U127)</f>
        <v>0</v>
      </c>
    </row>
    <row r="128" customFormat="false" ht="15" hidden="false" customHeight="true" outlineLevel="0" collapsed="false">
      <c r="A128" s="3" t="s">
        <v>366</v>
      </c>
      <c r="B128" s="14" t="n">
        <v>4</v>
      </c>
      <c r="C128" s="14" t="n">
        <v>58</v>
      </c>
      <c r="D128" s="14" t="n">
        <v>1</v>
      </c>
      <c r="E128" s="14" t="n">
        <f aca="false">L58</f>
        <v>0</v>
      </c>
      <c r="F128" s="19" t="n">
        <f aca="false">M58</f>
        <v>808.632729102868</v>
      </c>
      <c r="G128" s="19" t="n">
        <f aca="false">N58</f>
        <v>67.8446691353518</v>
      </c>
      <c r="H128" s="14" t="n">
        <f aca="false">O58</f>
        <v>48</v>
      </c>
      <c r="I128" s="16" t="n">
        <f aca="false">P58</f>
        <v>73.5983309723245</v>
      </c>
      <c r="J128" s="14" t="n">
        <f aca="false">Q58</f>
        <v>1</v>
      </c>
      <c r="K128" s="14" t="n">
        <f aca="false">IF(D128&lt;=2,1-J128,IF(D128=3,IF(AND(U128=0,H128&gt;=W_min,F128-D_dip&gt;=Floor_q),1,0),IF(AND(H128&gt;=W_min,F128&gt;=Pre_A),1,0)))</f>
        <v>0</v>
      </c>
      <c r="L128" s="14" t="n">
        <f aca="false">E128*K128</f>
        <v>0</v>
      </c>
      <c r="M128" s="19" t="n">
        <f aca="false">CHOOSE(D128,F128+Proc_S,F128+Proc_Sk,F128+D_dL,F128-Cost_A)</f>
        <v>920.632729102868</v>
      </c>
      <c r="N128" s="19" t="n">
        <f aca="false">CHOOSE(D128,(1-Tech_share)*G128,(1-Tech_share)*G128,G128+D_dT,G128)</f>
        <v>61.0602022218166</v>
      </c>
      <c r="O128" s="14" t="n">
        <f aca="false">CHOOSE(D128,H128-W_lost,H128,H128,H128+W_gain)</f>
        <v>43</v>
      </c>
      <c r="P128" s="16" t="n">
        <f aca="false">CHOOSE(D128,I128,I128,I128+D_dE,I128+Close_A*(Ceil_E-I128))</f>
        <v>73.5983309723245</v>
      </c>
      <c r="Q128" s="14" t="n">
        <f aca="false">CHOOSE(D128,1,1,J128,J128)</f>
        <v>1</v>
      </c>
      <c r="R128" s="14" t="n">
        <f aca="false">IF(L128=1,IF(SUMPRODUCT(($L$35:$L$127=1)*(ABS($M$35:$M$127-M128)&lt;0.000001)*(ABS($N$35:$N$127-N128)&lt;0.000001)*($O$35:$O$127=O128)*(ABS($P$35:$P$127-P128)&lt;0.000001)*($Q$35:$Q$127=Q128)*($V$35:$V$127=V128))=0,1,0),0)</f>
        <v>0</v>
      </c>
      <c r="S128" s="14" t="n">
        <f aca="false">IF(AND(L128=1,N128&gt;=$B$4-0.000000001,P128&gt;=$B$6-0.000000001,M128&gt;=Floor_q+$B$5-0.000000001),1,0)</f>
        <v>0</v>
      </c>
      <c r="T128" s="14" t="n">
        <f aca="false">L128*(IF(1&lt;=2,1-Q128,IF(1=3,IF(AND(V128=0,O128&gt;=W_min,M128-D_dip&gt;=Floor_q),1,0),IF(AND(O128&gt;=W_min,M128&gt;=Pre_A),1,0)))+IF(2&lt;=2,1-Q128,IF(2=3,IF(AND(V128=0,O128&gt;=W_min,M128-D_dip&gt;=Floor_q),1,0),IF(AND(O128&gt;=W_min,M128&gt;=Pre_A),1,0)))+IF(3&lt;=2,1-Q128,IF(3=3,IF(AND(V128=0,O128&gt;=W_min,M128-D_dip&gt;=Floor_q),1,0),IF(AND(O128&gt;=W_min,M128&gt;=Pre_A),1,0)))+IF(4&lt;=2,1-Q128,IF(4=3,IF(AND(V128=0,O128&gt;=W_min,M128-D_dip&gt;=Floor_q),1,0),IF(AND(O128&gt;=W_min,M128&gt;=Pre_A),1,0))))</f>
        <v>0</v>
      </c>
      <c r="U128" s="14" t="n">
        <f aca="false">V58</f>
        <v>1</v>
      </c>
      <c r="V128" s="14" t="n">
        <f aca="false">CHOOSE(D128,U128,U128,1,U128)</f>
        <v>1</v>
      </c>
    </row>
    <row r="129" customFormat="false" ht="15" hidden="false" customHeight="true" outlineLevel="0" collapsed="false">
      <c r="A129" s="3" t="s">
        <v>367</v>
      </c>
      <c r="B129" s="14" t="n">
        <v>4</v>
      </c>
      <c r="C129" s="14" t="n">
        <v>58</v>
      </c>
      <c r="D129" s="14" t="n">
        <v>2</v>
      </c>
      <c r="E129" s="14" t="n">
        <f aca="false">L58</f>
        <v>0</v>
      </c>
      <c r="F129" s="19" t="n">
        <f aca="false">M58</f>
        <v>808.632729102868</v>
      </c>
      <c r="G129" s="19" t="n">
        <f aca="false">N58</f>
        <v>67.8446691353518</v>
      </c>
      <c r="H129" s="14" t="n">
        <f aca="false">O58</f>
        <v>48</v>
      </c>
      <c r="I129" s="16" t="n">
        <f aca="false">P58</f>
        <v>73.5983309723245</v>
      </c>
      <c r="J129" s="14" t="n">
        <f aca="false">Q58</f>
        <v>1</v>
      </c>
      <c r="K129" s="14" t="n">
        <f aca="false">IF(D129&lt;=2,1-J129,IF(D129=3,IF(AND(U129=0,H129&gt;=W_min,F129-D_dip&gt;=Floor_q),1,0),IF(AND(H129&gt;=W_min,F129&gt;=Pre_A),1,0)))</f>
        <v>0</v>
      </c>
      <c r="L129" s="14" t="n">
        <f aca="false">E129*K129</f>
        <v>0</v>
      </c>
      <c r="M129" s="19" t="n">
        <f aca="false">CHOOSE(D129,F129+Proc_S,F129+Proc_Sk,F129+D_dL,F129-Cost_A)</f>
        <v>900.632729102868</v>
      </c>
      <c r="N129" s="19" t="n">
        <f aca="false">CHOOSE(D129,(1-Tech_share)*G129,(1-Tech_share)*G129,G129+D_dT,G129)</f>
        <v>61.0602022218166</v>
      </c>
      <c r="O129" s="14" t="n">
        <f aca="false">CHOOSE(D129,H129-W_lost,H129,H129,H129+W_gain)</f>
        <v>48</v>
      </c>
      <c r="P129" s="16" t="n">
        <f aca="false">CHOOSE(D129,I129,I129,I129+D_dE,I129+Close_A*(Ceil_E-I129))</f>
        <v>73.5983309723245</v>
      </c>
      <c r="Q129" s="14" t="n">
        <f aca="false">CHOOSE(D129,1,1,J129,J129)</f>
        <v>1</v>
      </c>
      <c r="R129" s="14" t="n">
        <f aca="false">IF(L129=1,IF(SUMPRODUCT(($L$35:$L$128=1)*(ABS($M$35:$M$128-M129)&lt;0.000001)*(ABS($N$35:$N$128-N129)&lt;0.000001)*($O$35:$O$128=O129)*(ABS($P$35:$P$128-P129)&lt;0.000001)*($Q$35:$Q$128=Q129)*($V$35:$V$128=V129))=0,1,0),0)</f>
        <v>0</v>
      </c>
      <c r="S129" s="14" t="n">
        <f aca="false">IF(AND(L129=1,N129&gt;=$B$4-0.000000001,P129&gt;=$B$6-0.000000001,M129&gt;=Floor_q+$B$5-0.000000001),1,0)</f>
        <v>0</v>
      </c>
      <c r="T129" s="14" t="n">
        <f aca="false">L129*(IF(1&lt;=2,1-Q129,IF(1=3,IF(AND(V129=0,O129&gt;=W_min,M129-D_dip&gt;=Floor_q),1,0),IF(AND(O129&gt;=W_min,M129&gt;=Pre_A),1,0)))+IF(2&lt;=2,1-Q129,IF(2=3,IF(AND(V129=0,O129&gt;=W_min,M129-D_dip&gt;=Floor_q),1,0),IF(AND(O129&gt;=W_min,M129&gt;=Pre_A),1,0)))+IF(3&lt;=2,1-Q129,IF(3=3,IF(AND(V129=0,O129&gt;=W_min,M129-D_dip&gt;=Floor_q),1,0),IF(AND(O129&gt;=W_min,M129&gt;=Pre_A),1,0)))+IF(4&lt;=2,1-Q129,IF(4=3,IF(AND(V129=0,O129&gt;=W_min,M129-D_dip&gt;=Floor_q),1,0),IF(AND(O129&gt;=W_min,M129&gt;=Pre_A),1,0))))</f>
        <v>0</v>
      </c>
      <c r="U129" s="14" t="n">
        <f aca="false">V58</f>
        <v>1</v>
      </c>
      <c r="V129" s="14" t="n">
        <f aca="false">CHOOSE(D129,U129,U129,1,U129)</f>
        <v>1</v>
      </c>
    </row>
    <row r="130" customFormat="false" ht="15" hidden="false" customHeight="true" outlineLevel="0" collapsed="false">
      <c r="A130" s="3" t="s">
        <v>368</v>
      </c>
      <c r="B130" s="14" t="n">
        <v>4</v>
      </c>
      <c r="C130" s="14" t="n">
        <v>58</v>
      </c>
      <c r="D130" s="14" t="n">
        <v>3</v>
      </c>
      <c r="E130" s="14" t="n">
        <f aca="false">L58</f>
        <v>0</v>
      </c>
      <c r="F130" s="19" t="n">
        <f aca="false">M58</f>
        <v>808.632729102868</v>
      </c>
      <c r="G130" s="19" t="n">
        <f aca="false">N58</f>
        <v>67.8446691353518</v>
      </c>
      <c r="H130" s="14" t="n">
        <f aca="false">O58</f>
        <v>48</v>
      </c>
      <c r="I130" s="16" t="n">
        <f aca="false">P58</f>
        <v>73.5983309723245</v>
      </c>
      <c r="J130" s="14" t="n">
        <f aca="false">Q58</f>
        <v>1</v>
      </c>
      <c r="K130" s="14" t="n">
        <f aca="false">IF(D130&lt;=2,1-J130,IF(D130=3,IF(AND(U130=0,H130&gt;=W_min,F130-D_dip&gt;=Floor_q),1,0),IF(AND(H130&gt;=W_min,F130&gt;=Pre_A),1,0)))</f>
        <v>0</v>
      </c>
      <c r="L130" s="14" t="n">
        <f aca="false">E130*K130</f>
        <v>0</v>
      </c>
      <c r="M130" s="19" t="n">
        <f aca="false">CHOOSE(D130,F130+Proc_S,F130+Proc_Sk,F130+D_dL,F130-Cost_A)</f>
        <v>773.265458205737</v>
      </c>
      <c r="N130" s="19" t="n">
        <f aca="false">CHOOSE(D130,(1-Tech_share)*G130,(1-Tech_share)*G130,G130+D_dT,G130)</f>
        <v>102.479338270704</v>
      </c>
      <c r="O130" s="14" t="n">
        <f aca="false">CHOOSE(D130,H130-W_lost,H130,H130,H130+W_gain)</f>
        <v>48</v>
      </c>
      <c r="P130" s="16" t="n">
        <f aca="false">CHOOSE(D130,I130,I130,I130+D_dE,I130+Close_A*(Ceil_E-I130))</f>
        <v>76.1966619446489</v>
      </c>
      <c r="Q130" s="14" t="n">
        <f aca="false">CHOOSE(D130,1,1,J130,J130)</f>
        <v>1</v>
      </c>
      <c r="R130" s="14" t="n">
        <f aca="false">IF(L130=1,IF(SUMPRODUCT(($L$35:$L$129=1)*(ABS($M$35:$M$129-M130)&lt;0.000001)*(ABS($N$35:$N$129-N130)&lt;0.000001)*($O$35:$O$129=O130)*(ABS($P$35:$P$129-P130)&lt;0.000001)*($Q$35:$Q$129=Q130)*($V$35:$V$129=V130))=0,1,0),0)</f>
        <v>0</v>
      </c>
      <c r="S130" s="14" t="n">
        <f aca="false">IF(AND(L130=1,N130&gt;=$B$4-0.000000001,P130&gt;=$B$6-0.000000001,M130&gt;=Floor_q+$B$5-0.000000001),1,0)</f>
        <v>0</v>
      </c>
      <c r="T130" s="14" t="n">
        <f aca="false">L130*(IF(1&lt;=2,1-Q130,IF(1=3,IF(AND(V130=0,O130&gt;=W_min,M130-D_dip&gt;=Floor_q),1,0),IF(AND(O130&gt;=W_min,M130&gt;=Pre_A),1,0)))+IF(2&lt;=2,1-Q130,IF(2=3,IF(AND(V130=0,O130&gt;=W_min,M130-D_dip&gt;=Floor_q),1,0),IF(AND(O130&gt;=W_min,M130&gt;=Pre_A),1,0)))+IF(3&lt;=2,1-Q130,IF(3=3,IF(AND(V130=0,O130&gt;=W_min,M130-D_dip&gt;=Floor_q),1,0),IF(AND(O130&gt;=W_min,M130&gt;=Pre_A),1,0)))+IF(4&lt;=2,1-Q130,IF(4=3,IF(AND(V130=0,O130&gt;=W_min,M130-D_dip&gt;=Floor_q),1,0),IF(AND(O130&gt;=W_min,M130&gt;=Pre_A),1,0))))</f>
        <v>0</v>
      </c>
      <c r="U130" s="14" t="n">
        <f aca="false">V58</f>
        <v>1</v>
      </c>
      <c r="V130" s="14" t="n">
        <f aca="false">CHOOSE(D130,U130,U130,1,U130)</f>
        <v>1</v>
      </c>
    </row>
    <row r="131" customFormat="false" ht="15" hidden="false" customHeight="true" outlineLevel="0" collapsed="false">
      <c r="A131" s="3" t="s">
        <v>369</v>
      </c>
      <c r="B131" s="14" t="n">
        <v>4</v>
      </c>
      <c r="C131" s="14" t="n">
        <v>58</v>
      </c>
      <c r="D131" s="14" t="n">
        <v>4</v>
      </c>
      <c r="E131" s="14" t="n">
        <f aca="false">L58</f>
        <v>0</v>
      </c>
      <c r="F131" s="19" t="n">
        <f aca="false">M58</f>
        <v>808.632729102868</v>
      </c>
      <c r="G131" s="19" t="n">
        <f aca="false">N58</f>
        <v>67.8446691353518</v>
      </c>
      <c r="H131" s="14" t="n">
        <f aca="false">O58</f>
        <v>48</v>
      </c>
      <c r="I131" s="16" t="n">
        <f aca="false">P58</f>
        <v>73.5983309723245</v>
      </c>
      <c r="J131" s="14" t="n">
        <f aca="false">Q58</f>
        <v>1</v>
      </c>
      <c r="K131" s="14" t="n">
        <f aca="false">IF(D131&lt;=2,1-J131,IF(D131=3,IF(AND(U131=0,H131&gt;=W_min,F131-D_dip&gt;=Floor_q),1,0),IF(AND(H131&gt;=W_min,F131&gt;=Pre_A),1,0)))</f>
        <v>0</v>
      </c>
      <c r="L131" s="14" t="n">
        <f aca="false">E131*K131</f>
        <v>0</v>
      </c>
      <c r="M131" s="19" t="n">
        <f aca="false">CHOOSE(D131,F131+Proc_S,F131+Proc_Sk,F131+D_dL,F131-Cost_A)</f>
        <v>688.632729102868</v>
      </c>
      <c r="N131" s="19" t="n">
        <f aca="false">CHOOSE(D131,(1-Tech_share)*G131,(1-Tech_share)*G131,G131+D_dT,G131)</f>
        <v>67.8446691353518</v>
      </c>
      <c r="O131" s="14" t="n">
        <f aca="false">CHOOSE(D131,H131-W_lost,H131,H131,H131+W_gain)</f>
        <v>49</v>
      </c>
      <c r="P131" s="16" t="n">
        <f aca="false">CHOOSE(D131,I131,I131,I131+D_dE,I131+Close_A*(Ceil_E-I131))</f>
        <v>79.2991654861622</v>
      </c>
      <c r="Q131" s="14" t="n">
        <f aca="false">CHOOSE(D131,1,1,J131,J131)</f>
        <v>1</v>
      </c>
      <c r="R131" s="14" t="n">
        <f aca="false">IF(L131=1,IF(SUMPRODUCT(($L$35:$L$130=1)*(ABS($M$35:$M$130-M131)&lt;0.000001)*(ABS($N$35:$N$130-N131)&lt;0.000001)*($O$35:$O$130=O131)*(ABS($P$35:$P$130-P131)&lt;0.000001)*($Q$35:$Q$130=Q131)*($V$35:$V$130=V131))=0,1,0),0)</f>
        <v>0</v>
      </c>
      <c r="S131" s="14" t="n">
        <f aca="false">IF(AND(L131=1,N131&gt;=$B$4-0.000000001,P131&gt;=$B$6-0.000000001,M131&gt;=Floor_q+$B$5-0.000000001),1,0)</f>
        <v>0</v>
      </c>
      <c r="T131" s="14" t="n">
        <f aca="false">L131*(IF(1&lt;=2,1-Q131,IF(1=3,IF(AND(V131=0,O131&gt;=W_min,M131-D_dip&gt;=Floor_q),1,0),IF(AND(O131&gt;=W_min,M131&gt;=Pre_A),1,0)))+IF(2&lt;=2,1-Q131,IF(2=3,IF(AND(V131=0,O131&gt;=W_min,M131-D_dip&gt;=Floor_q),1,0),IF(AND(O131&gt;=W_min,M131&gt;=Pre_A),1,0)))+IF(3&lt;=2,1-Q131,IF(3=3,IF(AND(V131=0,O131&gt;=W_min,M131-D_dip&gt;=Floor_q),1,0),IF(AND(O131&gt;=W_min,M131&gt;=Pre_A),1,0)))+IF(4&lt;=2,1-Q131,IF(4=3,IF(AND(V131=0,O131&gt;=W_min,M131-D_dip&gt;=Floor_q),1,0),IF(AND(O131&gt;=W_min,M131&gt;=Pre_A),1,0))))</f>
        <v>0</v>
      </c>
      <c r="U131" s="14" t="n">
        <f aca="false">V58</f>
        <v>1</v>
      </c>
      <c r="V131" s="14" t="n">
        <f aca="false">CHOOSE(D131,U131,U131,1,U131)</f>
        <v>1</v>
      </c>
    </row>
    <row r="132" customFormat="false" ht="15" hidden="false" customHeight="true" outlineLevel="0" collapsed="false">
      <c r="A132" s="3" t="s">
        <v>370</v>
      </c>
      <c r="B132" s="14" t="n">
        <v>4</v>
      </c>
      <c r="C132" s="14" t="n">
        <v>59</v>
      </c>
      <c r="D132" s="14" t="n">
        <v>1</v>
      </c>
      <c r="E132" s="14" t="n">
        <f aca="false">L59</f>
        <v>0</v>
      </c>
      <c r="F132" s="19" t="n">
        <f aca="false">M59</f>
        <v>724</v>
      </c>
      <c r="G132" s="19" t="n">
        <f aca="false">N59</f>
        <v>33.21</v>
      </c>
      <c r="H132" s="14" t="n">
        <f aca="false">O59</f>
        <v>49</v>
      </c>
      <c r="I132" s="16" t="n">
        <f aca="false">P59</f>
        <v>78</v>
      </c>
      <c r="J132" s="14" t="n">
        <f aca="false">Q59</f>
        <v>1</v>
      </c>
      <c r="K132" s="14" t="n">
        <f aca="false">IF(D132&lt;=2,1-J132,IF(D132=3,IF(AND(U132=0,H132&gt;=W_min,F132-D_dip&gt;=Floor_q),1,0),IF(AND(H132&gt;=W_min,F132&gt;=Pre_A),1,0)))</f>
        <v>0</v>
      </c>
      <c r="L132" s="14" t="n">
        <f aca="false">E132*K132</f>
        <v>0</v>
      </c>
      <c r="M132" s="19" t="n">
        <f aca="false">CHOOSE(D132,F132+Proc_S,F132+Proc_Sk,F132+D_dL,F132-Cost_A)</f>
        <v>836</v>
      </c>
      <c r="N132" s="19" t="n">
        <f aca="false">CHOOSE(D132,(1-Tech_share)*G132,(1-Tech_share)*G132,G132+D_dT,G132)</f>
        <v>29.889</v>
      </c>
      <c r="O132" s="14" t="n">
        <f aca="false">CHOOSE(D132,H132-W_lost,H132,H132,H132+W_gain)</f>
        <v>44</v>
      </c>
      <c r="P132" s="16" t="n">
        <f aca="false">CHOOSE(D132,I132,I132,I132+D_dE,I132+Close_A*(Ceil_E-I132))</f>
        <v>78</v>
      </c>
      <c r="Q132" s="14" t="n">
        <f aca="false">CHOOSE(D132,1,1,J132,J132)</f>
        <v>1</v>
      </c>
      <c r="R132" s="14" t="n">
        <f aca="false">IF(L132=1,IF(SUMPRODUCT(($L$35:$L$131=1)*(ABS($M$35:$M$131-M132)&lt;0.000001)*(ABS($N$35:$N$131-N132)&lt;0.000001)*($O$35:$O$131=O132)*(ABS($P$35:$P$131-P132)&lt;0.000001)*($Q$35:$Q$131=Q132)*($V$35:$V$131=V132))=0,1,0),0)</f>
        <v>0</v>
      </c>
      <c r="S132" s="14" t="n">
        <f aca="false">IF(AND(L132=1,N132&gt;=$B$4-0.000000001,P132&gt;=$B$6-0.000000001,M132&gt;=Floor_q+$B$5-0.000000001),1,0)</f>
        <v>0</v>
      </c>
      <c r="T132" s="14" t="n">
        <f aca="false">L132*(IF(1&lt;=2,1-Q132,IF(1=3,IF(AND(V132=0,O132&gt;=W_min,M132-D_dip&gt;=Floor_q),1,0),IF(AND(O132&gt;=W_min,M132&gt;=Pre_A),1,0)))+IF(2&lt;=2,1-Q132,IF(2=3,IF(AND(V132=0,O132&gt;=W_min,M132-D_dip&gt;=Floor_q),1,0),IF(AND(O132&gt;=W_min,M132&gt;=Pre_A),1,0)))+IF(3&lt;=2,1-Q132,IF(3=3,IF(AND(V132=0,O132&gt;=W_min,M132-D_dip&gt;=Floor_q),1,0),IF(AND(O132&gt;=W_min,M132&gt;=Pre_A),1,0)))+IF(4&lt;=2,1-Q132,IF(4=3,IF(AND(V132=0,O132&gt;=W_min,M132-D_dip&gt;=Floor_q),1,0),IF(AND(O132&gt;=W_min,M132&gt;=Pre_A),1,0))))</f>
        <v>0</v>
      </c>
      <c r="U132" s="14" t="n">
        <f aca="false">V59</f>
        <v>0</v>
      </c>
      <c r="V132" s="14" t="n">
        <f aca="false">CHOOSE(D132,U132,U132,1,U132)</f>
        <v>0</v>
      </c>
    </row>
    <row r="133" customFormat="false" ht="15" hidden="false" customHeight="true" outlineLevel="0" collapsed="false">
      <c r="A133" s="3" t="s">
        <v>371</v>
      </c>
      <c r="B133" s="14" t="n">
        <v>4</v>
      </c>
      <c r="C133" s="14" t="n">
        <v>59</v>
      </c>
      <c r="D133" s="14" t="n">
        <v>2</v>
      </c>
      <c r="E133" s="14" t="n">
        <f aca="false">L59</f>
        <v>0</v>
      </c>
      <c r="F133" s="19" t="n">
        <f aca="false">M59</f>
        <v>724</v>
      </c>
      <c r="G133" s="19" t="n">
        <f aca="false">N59</f>
        <v>33.21</v>
      </c>
      <c r="H133" s="14" t="n">
        <f aca="false">O59</f>
        <v>49</v>
      </c>
      <c r="I133" s="16" t="n">
        <f aca="false">P59</f>
        <v>78</v>
      </c>
      <c r="J133" s="14" t="n">
        <f aca="false">Q59</f>
        <v>1</v>
      </c>
      <c r="K133" s="14" t="n">
        <f aca="false">IF(D133&lt;=2,1-J133,IF(D133=3,IF(AND(U133=0,H133&gt;=W_min,F133-D_dip&gt;=Floor_q),1,0),IF(AND(H133&gt;=W_min,F133&gt;=Pre_A),1,0)))</f>
        <v>0</v>
      </c>
      <c r="L133" s="14" t="n">
        <f aca="false">E133*K133</f>
        <v>0</v>
      </c>
      <c r="M133" s="19" t="n">
        <f aca="false">CHOOSE(D133,F133+Proc_S,F133+Proc_Sk,F133+D_dL,F133-Cost_A)</f>
        <v>816</v>
      </c>
      <c r="N133" s="19" t="n">
        <f aca="false">CHOOSE(D133,(1-Tech_share)*G133,(1-Tech_share)*G133,G133+D_dT,G133)</f>
        <v>29.889</v>
      </c>
      <c r="O133" s="14" t="n">
        <f aca="false">CHOOSE(D133,H133-W_lost,H133,H133,H133+W_gain)</f>
        <v>49</v>
      </c>
      <c r="P133" s="16" t="n">
        <f aca="false">CHOOSE(D133,I133,I133,I133+D_dE,I133+Close_A*(Ceil_E-I133))</f>
        <v>78</v>
      </c>
      <c r="Q133" s="14" t="n">
        <f aca="false">CHOOSE(D133,1,1,J133,J133)</f>
        <v>1</v>
      </c>
      <c r="R133" s="14" t="n">
        <f aca="false">IF(L133=1,IF(SUMPRODUCT(($L$35:$L$132=1)*(ABS($M$35:$M$132-M133)&lt;0.000001)*(ABS($N$35:$N$132-N133)&lt;0.000001)*($O$35:$O$132=O133)*(ABS($P$35:$P$132-P133)&lt;0.000001)*($Q$35:$Q$132=Q133)*($V$35:$V$132=V133))=0,1,0),0)</f>
        <v>0</v>
      </c>
      <c r="S133" s="14" t="n">
        <f aca="false">IF(AND(L133=1,N133&gt;=$B$4-0.000000001,P133&gt;=$B$6-0.000000001,M133&gt;=Floor_q+$B$5-0.000000001),1,0)</f>
        <v>0</v>
      </c>
      <c r="T133" s="14" t="n">
        <f aca="false">L133*(IF(1&lt;=2,1-Q133,IF(1=3,IF(AND(V133=0,O133&gt;=W_min,M133-D_dip&gt;=Floor_q),1,0),IF(AND(O133&gt;=W_min,M133&gt;=Pre_A),1,0)))+IF(2&lt;=2,1-Q133,IF(2=3,IF(AND(V133=0,O133&gt;=W_min,M133-D_dip&gt;=Floor_q),1,0),IF(AND(O133&gt;=W_min,M133&gt;=Pre_A),1,0)))+IF(3&lt;=2,1-Q133,IF(3=3,IF(AND(V133=0,O133&gt;=W_min,M133-D_dip&gt;=Floor_q),1,0),IF(AND(O133&gt;=W_min,M133&gt;=Pre_A),1,0)))+IF(4&lt;=2,1-Q133,IF(4=3,IF(AND(V133=0,O133&gt;=W_min,M133-D_dip&gt;=Floor_q),1,0),IF(AND(O133&gt;=W_min,M133&gt;=Pre_A),1,0))))</f>
        <v>0</v>
      </c>
      <c r="U133" s="14" t="n">
        <f aca="false">V59</f>
        <v>0</v>
      </c>
      <c r="V133" s="14" t="n">
        <f aca="false">CHOOSE(D133,U133,U133,1,U133)</f>
        <v>0</v>
      </c>
    </row>
    <row r="134" customFormat="false" ht="15" hidden="false" customHeight="true" outlineLevel="0" collapsed="false">
      <c r="A134" s="3" t="s">
        <v>372</v>
      </c>
      <c r="B134" s="14" t="n">
        <v>4</v>
      </c>
      <c r="C134" s="14" t="n">
        <v>59</v>
      </c>
      <c r="D134" s="14" t="n">
        <v>3</v>
      </c>
      <c r="E134" s="14" t="n">
        <f aca="false">L59</f>
        <v>0</v>
      </c>
      <c r="F134" s="19" t="n">
        <f aca="false">M59</f>
        <v>724</v>
      </c>
      <c r="G134" s="19" t="n">
        <f aca="false">N59</f>
        <v>33.21</v>
      </c>
      <c r="H134" s="14" t="n">
        <f aca="false">O59</f>
        <v>49</v>
      </c>
      <c r="I134" s="16" t="n">
        <f aca="false">P59</f>
        <v>78</v>
      </c>
      <c r="J134" s="14" t="n">
        <f aca="false">Q59</f>
        <v>1</v>
      </c>
      <c r="K134" s="14" t="n">
        <f aca="false">IF(D134&lt;=2,1-J134,IF(D134=3,IF(AND(U134=0,H134&gt;=W_min,F134-D_dip&gt;=Floor_q),1,0),IF(AND(H134&gt;=W_min,F134&gt;=Pre_A),1,0)))</f>
        <v>0</v>
      </c>
      <c r="L134" s="14" t="n">
        <f aca="false">E134*K134</f>
        <v>0</v>
      </c>
      <c r="M134" s="19" t="n">
        <f aca="false">CHOOSE(D134,F134+Proc_S,F134+Proc_Sk,F134+D_dL,F134-Cost_A)</f>
        <v>688.632729102868</v>
      </c>
      <c r="N134" s="19" t="n">
        <f aca="false">CHOOSE(D134,(1-Tech_share)*G134,(1-Tech_share)*G134,G134+D_dT,G134)</f>
        <v>67.8446691353518</v>
      </c>
      <c r="O134" s="14" t="n">
        <f aca="false">CHOOSE(D134,H134-W_lost,H134,H134,H134+W_gain)</f>
        <v>49</v>
      </c>
      <c r="P134" s="16" t="n">
        <f aca="false">CHOOSE(D134,I134,I134,I134+D_dE,I134+Close_A*(Ceil_E-I134))</f>
        <v>80.5983309723245</v>
      </c>
      <c r="Q134" s="14" t="n">
        <f aca="false">CHOOSE(D134,1,1,J134,J134)</f>
        <v>1</v>
      </c>
      <c r="R134" s="14" t="n">
        <f aca="false">IF(L134=1,IF(SUMPRODUCT(($L$35:$L$133=1)*(ABS($M$35:$M$133-M134)&lt;0.000001)*(ABS($N$35:$N$133-N134)&lt;0.000001)*($O$35:$O$133=O134)*(ABS($P$35:$P$133-P134)&lt;0.000001)*($Q$35:$Q$133=Q134)*($V$35:$V$133=V134))=0,1,0),0)</f>
        <v>0</v>
      </c>
      <c r="S134" s="14" t="n">
        <f aca="false">IF(AND(L134=1,N134&gt;=$B$4-0.000000001,P134&gt;=$B$6-0.000000001,M134&gt;=Floor_q+$B$5-0.000000001),1,0)</f>
        <v>0</v>
      </c>
      <c r="T134" s="14" t="n">
        <f aca="false">L134*(IF(1&lt;=2,1-Q134,IF(1=3,IF(AND(V134=0,O134&gt;=W_min,M134-D_dip&gt;=Floor_q),1,0),IF(AND(O134&gt;=W_min,M134&gt;=Pre_A),1,0)))+IF(2&lt;=2,1-Q134,IF(2=3,IF(AND(V134=0,O134&gt;=W_min,M134-D_dip&gt;=Floor_q),1,0),IF(AND(O134&gt;=W_min,M134&gt;=Pre_A),1,0)))+IF(3&lt;=2,1-Q134,IF(3=3,IF(AND(V134=0,O134&gt;=W_min,M134-D_dip&gt;=Floor_q),1,0),IF(AND(O134&gt;=W_min,M134&gt;=Pre_A),1,0)))+IF(4&lt;=2,1-Q134,IF(4=3,IF(AND(V134=0,O134&gt;=W_min,M134-D_dip&gt;=Floor_q),1,0),IF(AND(O134&gt;=W_min,M134&gt;=Pre_A),1,0))))</f>
        <v>0</v>
      </c>
      <c r="U134" s="14" t="n">
        <f aca="false">V59</f>
        <v>0</v>
      </c>
      <c r="V134" s="14" t="n">
        <f aca="false">CHOOSE(D134,U134,U134,1,U134)</f>
        <v>1</v>
      </c>
    </row>
    <row r="135" customFormat="false" ht="15" hidden="false" customHeight="true" outlineLevel="0" collapsed="false">
      <c r="A135" s="3" t="s">
        <v>373</v>
      </c>
      <c r="B135" s="14" t="n">
        <v>4</v>
      </c>
      <c r="C135" s="14" t="n">
        <v>59</v>
      </c>
      <c r="D135" s="14" t="n">
        <v>4</v>
      </c>
      <c r="E135" s="14" t="n">
        <f aca="false">L59</f>
        <v>0</v>
      </c>
      <c r="F135" s="19" t="n">
        <f aca="false">M59</f>
        <v>724</v>
      </c>
      <c r="G135" s="19" t="n">
        <f aca="false">N59</f>
        <v>33.21</v>
      </c>
      <c r="H135" s="14" t="n">
        <f aca="false">O59</f>
        <v>49</v>
      </c>
      <c r="I135" s="16" t="n">
        <f aca="false">P59</f>
        <v>78</v>
      </c>
      <c r="J135" s="14" t="n">
        <f aca="false">Q59</f>
        <v>1</v>
      </c>
      <c r="K135" s="14" t="n">
        <f aca="false">IF(D135&lt;=2,1-J135,IF(D135=3,IF(AND(U135=0,H135&gt;=W_min,F135-D_dip&gt;=Floor_q),1,0),IF(AND(H135&gt;=W_min,F135&gt;=Pre_A),1,0)))</f>
        <v>0</v>
      </c>
      <c r="L135" s="14" t="n">
        <f aca="false">E135*K135</f>
        <v>0</v>
      </c>
      <c r="M135" s="19" t="n">
        <f aca="false">CHOOSE(D135,F135+Proc_S,F135+Proc_Sk,F135+D_dL,F135-Cost_A)</f>
        <v>604</v>
      </c>
      <c r="N135" s="19" t="n">
        <f aca="false">CHOOSE(D135,(1-Tech_share)*G135,(1-Tech_share)*G135,G135+D_dT,G135)</f>
        <v>33.21</v>
      </c>
      <c r="O135" s="14" t="n">
        <f aca="false">CHOOSE(D135,H135-W_lost,H135,H135,H135+W_gain)</f>
        <v>50</v>
      </c>
      <c r="P135" s="16" t="n">
        <f aca="false">CHOOSE(D135,I135,I135,I135+D_dE,I135+Close_A*(Ceil_E-I135))</f>
        <v>81.5</v>
      </c>
      <c r="Q135" s="14" t="n">
        <f aca="false">CHOOSE(D135,1,1,J135,J135)</f>
        <v>1</v>
      </c>
      <c r="R135" s="14" t="n">
        <f aca="false">IF(L135=1,IF(SUMPRODUCT(($L$35:$L$134=1)*(ABS($M$35:$M$134-M135)&lt;0.000001)*(ABS($N$35:$N$134-N135)&lt;0.000001)*($O$35:$O$134=O135)*(ABS($P$35:$P$134-P135)&lt;0.000001)*($Q$35:$Q$134=Q135)*($V$35:$V$134=V135))=0,1,0),0)</f>
        <v>0</v>
      </c>
      <c r="S135" s="14" t="n">
        <f aca="false">IF(AND(L135=1,N135&gt;=$B$4-0.000000001,P135&gt;=$B$6-0.000000001,M135&gt;=Floor_q+$B$5-0.000000001),1,0)</f>
        <v>0</v>
      </c>
      <c r="T135" s="14" t="n">
        <f aca="false">L135*(IF(1&lt;=2,1-Q135,IF(1=3,IF(AND(V135=0,O135&gt;=W_min,M135-D_dip&gt;=Floor_q),1,0),IF(AND(O135&gt;=W_min,M135&gt;=Pre_A),1,0)))+IF(2&lt;=2,1-Q135,IF(2=3,IF(AND(V135=0,O135&gt;=W_min,M135-D_dip&gt;=Floor_q),1,0),IF(AND(O135&gt;=W_min,M135&gt;=Pre_A),1,0)))+IF(3&lt;=2,1-Q135,IF(3=3,IF(AND(V135=0,O135&gt;=W_min,M135-D_dip&gt;=Floor_q),1,0),IF(AND(O135&gt;=W_min,M135&gt;=Pre_A),1,0)))+IF(4&lt;=2,1-Q135,IF(4=3,IF(AND(V135=0,O135&gt;=W_min,M135-D_dip&gt;=Floor_q),1,0),IF(AND(O135&gt;=W_min,M135&gt;=Pre_A),1,0))))</f>
        <v>0</v>
      </c>
      <c r="U135" s="14" t="n">
        <f aca="false">V59</f>
        <v>0</v>
      </c>
      <c r="V135" s="14" t="n">
        <f aca="false">CHOOSE(D135,U135,U135,1,U135)</f>
        <v>0</v>
      </c>
    </row>
    <row r="136" customFormat="false" ht="15" hidden="false" customHeight="true" outlineLevel="0" collapsed="false">
      <c r="A136" s="3" t="s">
        <v>374</v>
      </c>
      <c r="B136" s="14" t="n">
        <v>4</v>
      </c>
      <c r="C136" s="14" t="n">
        <v>60</v>
      </c>
      <c r="D136" s="14" t="n">
        <v>1</v>
      </c>
      <c r="E136" s="14" t="n">
        <f aca="false">L60</f>
        <v>0</v>
      </c>
      <c r="F136" s="19" t="n">
        <f aca="false">M60</f>
        <v>936</v>
      </c>
      <c r="G136" s="19" t="n">
        <f aca="false">N60</f>
        <v>29.889</v>
      </c>
      <c r="H136" s="14" t="n">
        <f aca="false">O60</f>
        <v>48</v>
      </c>
      <c r="I136" s="16" t="n">
        <f aca="false">P60</f>
        <v>71</v>
      </c>
      <c r="J136" s="14" t="n">
        <f aca="false">Q60</f>
        <v>1</v>
      </c>
      <c r="K136" s="14" t="n">
        <f aca="false">IF(D136&lt;=2,1-J136,IF(D136=3,IF(AND(U136=0,H136&gt;=W_min,F136-D_dip&gt;=Floor_q),1,0),IF(AND(H136&gt;=W_min,F136&gt;=Pre_A),1,0)))</f>
        <v>0</v>
      </c>
      <c r="L136" s="14" t="n">
        <f aca="false">E136*K136</f>
        <v>0</v>
      </c>
      <c r="M136" s="19" t="n">
        <f aca="false">CHOOSE(D136,F136+Proc_S,F136+Proc_Sk,F136+D_dL,F136-Cost_A)</f>
        <v>1048</v>
      </c>
      <c r="N136" s="19" t="n">
        <f aca="false">CHOOSE(D136,(1-Tech_share)*G136,(1-Tech_share)*G136,G136+D_dT,G136)</f>
        <v>26.9001</v>
      </c>
      <c r="O136" s="14" t="n">
        <f aca="false">CHOOSE(D136,H136-W_lost,H136,H136,H136+W_gain)</f>
        <v>43</v>
      </c>
      <c r="P136" s="16" t="n">
        <f aca="false">CHOOSE(D136,I136,I136,I136+D_dE,I136+Close_A*(Ceil_E-I136))</f>
        <v>71</v>
      </c>
      <c r="Q136" s="14" t="n">
        <f aca="false">CHOOSE(D136,1,1,J136,J136)</f>
        <v>1</v>
      </c>
      <c r="R136" s="14" t="n">
        <f aca="false">IF(L136=1,IF(SUMPRODUCT(($L$35:$L$135=1)*(ABS($M$35:$M$135-M136)&lt;0.000001)*(ABS($N$35:$N$135-N136)&lt;0.000001)*($O$35:$O$135=O136)*(ABS($P$35:$P$135-P136)&lt;0.000001)*($Q$35:$Q$135=Q136)*($V$35:$V$135=V136))=0,1,0),0)</f>
        <v>0</v>
      </c>
      <c r="S136" s="14" t="n">
        <f aca="false">IF(AND(L136=1,N136&gt;=$B$4-0.000000001,P136&gt;=$B$6-0.000000001,M136&gt;=Floor_q+$B$5-0.000000001),1,0)</f>
        <v>0</v>
      </c>
      <c r="T136" s="14" t="n">
        <f aca="false">L136*(IF(1&lt;=2,1-Q136,IF(1=3,IF(AND(V136=0,O136&gt;=W_min,M136-D_dip&gt;=Floor_q),1,0),IF(AND(O136&gt;=W_min,M136&gt;=Pre_A),1,0)))+IF(2&lt;=2,1-Q136,IF(2=3,IF(AND(V136=0,O136&gt;=W_min,M136-D_dip&gt;=Floor_q),1,0),IF(AND(O136&gt;=W_min,M136&gt;=Pre_A),1,0)))+IF(3&lt;=2,1-Q136,IF(3=3,IF(AND(V136=0,O136&gt;=W_min,M136-D_dip&gt;=Floor_q),1,0),IF(AND(O136&gt;=W_min,M136&gt;=Pre_A),1,0)))+IF(4&lt;=2,1-Q136,IF(4=3,IF(AND(V136=0,O136&gt;=W_min,M136-D_dip&gt;=Floor_q),1,0),IF(AND(O136&gt;=W_min,M136&gt;=Pre_A),1,0))))</f>
        <v>0</v>
      </c>
      <c r="U136" s="14" t="n">
        <f aca="false">V60</f>
        <v>0</v>
      </c>
      <c r="V136" s="14" t="n">
        <f aca="false">CHOOSE(D136,U136,U136,1,U136)</f>
        <v>0</v>
      </c>
    </row>
    <row r="137" customFormat="false" ht="15" hidden="false" customHeight="true" outlineLevel="0" collapsed="false">
      <c r="A137" s="3" t="s">
        <v>375</v>
      </c>
      <c r="B137" s="14" t="n">
        <v>4</v>
      </c>
      <c r="C137" s="14" t="n">
        <v>60</v>
      </c>
      <c r="D137" s="14" t="n">
        <v>2</v>
      </c>
      <c r="E137" s="14" t="n">
        <f aca="false">L60</f>
        <v>0</v>
      </c>
      <c r="F137" s="19" t="n">
        <f aca="false">M60</f>
        <v>936</v>
      </c>
      <c r="G137" s="19" t="n">
        <f aca="false">N60</f>
        <v>29.889</v>
      </c>
      <c r="H137" s="14" t="n">
        <f aca="false">O60</f>
        <v>48</v>
      </c>
      <c r="I137" s="16" t="n">
        <f aca="false">P60</f>
        <v>71</v>
      </c>
      <c r="J137" s="14" t="n">
        <f aca="false">Q60</f>
        <v>1</v>
      </c>
      <c r="K137" s="14" t="n">
        <f aca="false">IF(D137&lt;=2,1-J137,IF(D137=3,IF(AND(U137=0,H137&gt;=W_min,F137-D_dip&gt;=Floor_q),1,0),IF(AND(H137&gt;=W_min,F137&gt;=Pre_A),1,0)))</f>
        <v>0</v>
      </c>
      <c r="L137" s="14" t="n">
        <f aca="false">E137*K137</f>
        <v>0</v>
      </c>
      <c r="M137" s="19" t="n">
        <f aca="false">CHOOSE(D137,F137+Proc_S,F137+Proc_Sk,F137+D_dL,F137-Cost_A)</f>
        <v>1028</v>
      </c>
      <c r="N137" s="19" t="n">
        <f aca="false">CHOOSE(D137,(1-Tech_share)*G137,(1-Tech_share)*G137,G137+D_dT,G137)</f>
        <v>26.9001</v>
      </c>
      <c r="O137" s="14" t="n">
        <f aca="false">CHOOSE(D137,H137-W_lost,H137,H137,H137+W_gain)</f>
        <v>48</v>
      </c>
      <c r="P137" s="16" t="n">
        <f aca="false">CHOOSE(D137,I137,I137,I137+D_dE,I137+Close_A*(Ceil_E-I137))</f>
        <v>71</v>
      </c>
      <c r="Q137" s="14" t="n">
        <f aca="false">CHOOSE(D137,1,1,J137,J137)</f>
        <v>1</v>
      </c>
      <c r="R137" s="14" t="n">
        <f aca="false">IF(L137=1,IF(SUMPRODUCT(($L$35:$L$136=1)*(ABS($M$35:$M$136-M137)&lt;0.000001)*(ABS($N$35:$N$136-N137)&lt;0.000001)*($O$35:$O$136=O137)*(ABS($P$35:$P$136-P137)&lt;0.000001)*($Q$35:$Q$136=Q137)*($V$35:$V$136=V137))=0,1,0),0)</f>
        <v>0</v>
      </c>
      <c r="S137" s="14" t="n">
        <f aca="false">IF(AND(L137=1,N137&gt;=$B$4-0.000000001,P137&gt;=$B$6-0.000000001,M137&gt;=Floor_q+$B$5-0.000000001),1,0)</f>
        <v>0</v>
      </c>
      <c r="T137" s="14" t="n">
        <f aca="false">L137*(IF(1&lt;=2,1-Q137,IF(1=3,IF(AND(V137=0,O137&gt;=W_min,M137-D_dip&gt;=Floor_q),1,0),IF(AND(O137&gt;=W_min,M137&gt;=Pre_A),1,0)))+IF(2&lt;=2,1-Q137,IF(2=3,IF(AND(V137=0,O137&gt;=W_min,M137-D_dip&gt;=Floor_q),1,0),IF(AND(O137&gt;=W_min,M137&gt;=Pre_A),1,0)))+IF(3&lt;=2,1-Q137,IF(3=3,IF(AND(V137=0,O137&gt;=W_min,M137-D_dip&gt;=Floor_q),1,0),IF(AND(O137&gt;=W_min,M137&gt;=Pre_A),1,0)))+IF(4&lt;=2,1-Q137,IF(4=3,IF(AND(V137=0,O137&gt;=W_min,M137-D_dip&gt;=Floor_q),1,0),IF(AND(O137&gt;=W_min,M137&gt;=Pre_A),1,0))))</f>
        <v>0</v>
      </c>
      <c r="U137" s="14" t="n">
        <f aca="false">V60</f>
        <v>0</v>
      </c>
      <c r="V137" s="14" t="n">
        <f aca="false">CHOOSE(D137,U137,U137,1,U137)</f>
        <v>0</v>
      </c>
    </row>
    <row r="138" customFormat="false" ht="15" hidden="false" customHeight="true" outlineLevel="0" collapsed="false">
      <c r="A138" s="3" t="s">
        <v>376</v>
      </c>
      <c r="B138" s="14" t="n">
        <v>4</v>
      </c>
      <c r="C138" s="14" t="n">
        <v>60</v>
      </c>
      <c r="D138" s="14" t="n">
        <v>3</v>
      </c>
      <c r="E138" s="14" t="n">
        <f aca="false">L60</f>
        <v>0</v>
      </c>
      <c r="F138" s="19" t="n">
        <f aca="false">M60</f>
        <v>936</v>
      </c>
      <c r="G138" s="19" t="n">
        <f aca="false">N60</f>
        <v>29.889</v>
      </c>
      <c r="H138" s="14" t="n">
        <f aca="false">O60</f>
        <v>48</v>
      </c>
      <c r="I138" s="16" t="n">
        <f aca="false">P60</f>
        <v>71</v>
      </c>
      <c r="J138" s="14" t="n">
        <f aca="false">Q60</f>
        <v>1</v>
      </c>
      <c r="K138" s="14" t="n">
        <f aca="false">IF(D138&lt;=2,1-J138,IF(D138=3,IF(AND(U138=0,H138&gt;=W_min,F138-D_dip&gt;=Floor_q),1,0),IF(AND(H138&gt;=W_min,F138&gt;=Pre_A),1,0)))</f>
        <v>0</v>
      </c>
      <c r="L138" s="14" t="n">
        <f aca="false">E138*K138</f>
        <v>0</v>
      </c>
      <c r="M138" s="19" t="n">
        <f aca="false">CHOOSE(D138,F138+Proc_S,F138+Proc_Sk,F138+D_dL,F138-Cost_A)</f>
        <v>900.632729102868</v>
      </c>
      <c r="N138" s="19" t="n">
        <f aca="false">CHOOSE(D138,(1-Tech_share)*G138,(1-Tech_share)*G138,G138+D_dT,G138)</f>
        <v>64.5236691353518</v>
      </c>
      <c r="O138" s="14" t="n">
        <f aca="false">CHOOSE(D138,H138-W_lost,H138,H138,H138+W_gain)</f>
        <v>48</v>
      </c>
      <c r="P138" s="16" t="n">
        <f aca="false">CHOOSE(D138,I138,I138,I138+D_dE,I138+Close_A*(Ceil_E-I138))</f>
        <v>73.5983309723245</v>
      </c>
      <c r="Q138" s="14" t="n">
        <f aca="false">CHOOSE(D138,1,1,J138,J138)</f>
        <v>1</v>
      </c>
      <c r="R138" s="14" t="n">
        <f aca="false">IF(L138=1,IF(SUMPRODUCT(($L$35:$L$137=1)*(ABS($M$35:$M$137-M138)&lt;0.000001)*(ABS($N$35:$N$137-N138)&lt;0.000001)*($O$35:$O$137=O138)*(ABS($P$35:$P$137-P138)&lt;0.000001)*($Q$35:$Q$137=Q138)*($V$35:$V$137=V138))=0,1,0),0)</f>
        <v>0</v>
      </c>
      <c r="S138" s="14" t="n">
        <f aca="false">IF(AND(L138=1,N138&gt;=$B$4-0.000000001,P138&gt;=$B$6-0.000000001,M138&gt;=Floor_q+$B$5-0.000000001),1,0)</f>
        <v>0</v>
      </c>
      <c r="T138" s="14" t="n">
        <f aca="false">L138*(IF(1&lt;=2,1-Q138,IF(1=3,IF(AND(V138=0,O138&gt;=W_min,M138-D_dip&gt;=Floor_q),1,0),IF(AND(O138&gt;=W_min,M138&gt;=Pre_A),1,0)))+IF(2&lt;=2,1-Q138,IF(2=3,IF(AND(V138=0,O138&gt;=W_min,M138-D_dip&gt;=Floor_q),1,0),IF(AND(O138&gt;=W_min,M138&gt;=Pre_A),1,0)))+IF(3&lt;=2,1-Q138,IF(3=3,IF(AND(V138=0,O138&gt;=W_min,M138-D_dip&gt;=Floor_q),1,0),IF(AND(O138&gt;=W_min,M138&gt;=Pre_A),1,0)))+IF(4&lt;=2,1-Q138,IF(4=3,IF(AND(V138=0,O138&gt;=W_min,M138-D_dip&gt;=Floor_q),1,0),IF(AND(O138&gt;=W_min,M138&gt;=Pre_A),1,0))))</f>
        <v>0</v>
      </c>
      <c r="U138" s="14" t="n">
        <f aca="false">V60</f>
        <v>0</v>
      </c>
      <c r="V138" s="14" t="n">
        <f aca="false">CHOOSE(D138,U138,U138,1,U138)</f>
        <v>1</v>
      </c>
    </row>
    <row r="139" customFormat="false" ht="15" hidden="false" customHeight="true" outlineLevel="0" collapsed="false">
      <c r="A139" s="3" t="s">
        <v>377</v>
      </c>
      <c r="B139" s="14" t="n">
        <v>4</v>
      </c>
      <c r="C139" s="14" t="n">
        <v>60</v>
      </c>
      <c r="D139" s="14" t="n">
        <v>4</v>
      </c>
      <c r="E139" s="14" t="n">
        <f aca="false">L60</f>
        <v>0</v>
      </c>
      <c r="F139" s="19" t="n">
        <f aca="false">M60</f>
        <v>936</v>
      </c>
      <c r="G139" s="19" t="n">
        <f aca="false">N60</f>
        <v>29.889</v>
      </c>
      <c r="H139" s="14" t="n">
        <f aca="false">O60</f>
        <v>48</v>
      </c>
      <c r="I139" s="16" t="n">
        <f aca="false">P60</f>
        <v>71</v>
      </c>
      <c r="J139" s="14" t="n">
        <f aca="false">Q60</f>
        <v>1</v>
      </c>
      <c r="K139" s="14" t="n">
        <f aca="false">IF(D139&lt;=2,1-J139,IF(D139=3,IF(AND(U139=0,H139&gt;=W_min,F139-D_dip&gt;=Floor_q),1,0),IF(AND(H139&gt;=W_min,F139&gt;=Pre_A),1,0)))</f>
        <v>0</v>
      </c>
      <c r="L139" s="14" t="n">
        <f aca="false">E139*K139</f>
        <v>0</v>
      </c>
      <c r="M139" s="19" t="n">
        <f aca="false">CHOOSE(D139,F139+Proc_S,F139+Proc_Sk,F139+D_dL,F139-Cost_A)</f>
        <v>816</v>
      </c>
      <c r="N139" s="19" t="n">
        <f aca="false">CHOOSE(D139,(1-Tech_share)*G139,(1-Tech_share)*G139,G139+D_dT,G139)</f>
        <v>29.889</v>
      </c>
      <c r="O139" s="14" t="n">
        <f aca="false">CHOOSE(D139,H139-W_lost,H139,H139,H139+W_gain)</f>
        <v>49</v>
      </c>
      <c r="P139" s="16" t="n">
        <f aca="false">CHOOSE(D139,I139,I139,I139+D_dE,I139+Close_A*(Ceil_E-I139))</f>
        <v>78</v>
      </c>
      <c r="Q139" s="14" t="n">
        <f aca="false">CHOOSE(D139,1,1,J139,J139)</f>
        <v>1</v>
      </c>
      <c r="R139" s="14" t="n">
        <f aca="false">IF(L139=1,IF(SUMPRODUCT(($L$35:$L$138=1)*(ABS($M$35:$M$138-M139)&lt;0.000001)*(ABS($N$35:$N$138-N139)&lt;0.000001)*($O$35:$O$138=O139)*(ABS($P$35:$P$138-P139)&lt;0.000001)*($Q$35:$Q$138=Q139)*($V$35:$V$138=V139))=0,1,0),0)</f>
        <v>0</v>
      </c>
      <c r="S139" s="14" t="n">
        <f aca="false">IF(AND(L139=1,N139&gt;=$B$4-0.000000001,P139&gt;=$B$6-0.000000001,M139&gt;=Floor_q+$B$5-0.000000001),1,0)</f>
        <v>0</v>
      </c>
      <c r="T139" s="14" t="n">
        <f aca="false">L139*(IF(1&lt;=2,1-Q139,IF(1=3,IF(AND(V139=0,O139&gt;=W_min,M139-D_dip&gt;=Floor_q),1,0),IF(AND(O139&gt;=W_min,M139&gt;=Pre_A),1,0)))+IF(2&lt;=2,1-Q139,IF(2=3,IF(AND(V139=0,O139&gt;=W_min,M139-D_dip&gt;=Floor_q),1,0),IF(AND(O139&gt;=W_min,M139&gt;=Pre_A),1,0)))+IF(3&lt;=2,1-Q139,IF(3=3,IF(AND(V139=0,O139&gt;=W_min,M139-D_dip&gt;=Floor_q),1,0),IF(AND(O139&gt;=W_min,M139&gt;=Pre_A),1,0)))+IF(4&lt;=2,1-Q139,IF(4=3,IF(AND(V139=0,O139&gt;=W_min,M139-D_dip&gt;=Floor_q),1,0),IF(AND(O139&gt;=W_min,M139&gt;=Pre_A),1,0))))</f>
        <v>0</v>
      </c>
      <c r="U139" s="14" t="n">
        <f aca="false">V60</f>
        <v>0</v>
      </c>
      <c r="V139" s="14" t="n">
        <f aca="false">CHOOSE(D139,U139,U139,1,U139)</f>
        <v>0</v>
      </c>
    </row>
    <row r="140" customFormat="false" ht="15" hidden="false" customHeight="true" outlineLevel="0" collapsed="false">
      <c r="A140" s="3" t="s">
        <v>378</v>
      </c>
      <c r="B140" s="14" t="n">
        <v>4</v>
      </c>
      <c r="C140" s="14" t="n">
        <v>61</v>
      </c>
      <c r="D140" s="14" t="n">
        <v>1</v>
      </c>
      <c r="E140" s="14" t="n">
        <f aca="false">L61</f>
        <v>0</v>
      </c>
      <c r="F140" s="19" t="n">
        <f aca="false">M61</f>
        <v>916</v>
      </c>
      <c r="G140" s="19" t="n">
        <f aca="false">N61</f>
        <v>29.889</v>
      </c>
      <c r="H140" s="14" t="n">
        <f aca="false">O61</f>
        <v>53</v>
      </c>
      <c r="I140" s="16" t="n">
        <f aca="false">P61</f>
        <v>71</v>
      </c>
      <c r="J140" s="14" t="n">
        <f aca="false">Q61</f>
        <v>1</v>
      </c>
      <c r="K140" s="14" t="n">
        <f aca="false">IF(D140&lt;=2,1-J140,IF(D140=3,IF(AND(U140=0,H140&gt;=W_min,F140-D_dip&gt;=Floor_q),1,0),IF(AND(H140&gt;=W_min,F140&gt;=Pre_A),1,0)))</f>
        <v>0</v>
      </c>
      <c r="L140" s="14" t="n">
        <f aca="false">E140*K140</f>
        <v>0</v>
      </c>
      <c r="M140" s="19" t="n">
        <f aca="false">CHOOSE(D140,F140+Proc_S,F140+Proc_Sk,F140+D_dL,F140-Cost_A)</f>
        <v>1028</v>
      </c>
      <c r="N140" s="19" t="n">
        <f aca="false">CHOOSE(D140,(1-Tech_share)*G140,(1-Tech_share)*G140,G140+D_dT,G140)</f>
        <v>26.9001</v>
      </c>
      <c r="O140" s="14" t="n">
        <f aca="false">CHOOSE(D140,H140-W_lost,H140,H140,H140+W_gain)</f>
        <v>48</v>
      </c>
      <c r="P140" s="16" t="n">
        <f aca="false">CHOOSE(D140,I140,I140,I140+D_dE,I140+Close_A*(Ceil_E-I140))</f>
        <v>71</v>
      </c>
      <c r="Q140" s="14" t="n">
        <f aca="false">CHOOSE(D140,1,1,J140,J140)</f>
        <v>1</v>
      </c>
      <c r="R140" s="14" t="n">
        <f aca="false">IF(L140=1,IF(SUMPRODUCT(($L$35:$L$139=1)*(ABS($M$35:$M$139-M140)&lt;0.000001)*(ABS($N$35:$N$139-N140)&lt;0.000001)*($O$35:$O$139=O140)*(ABS($P$35:$P$139-P140)&lt;0.000001)*($Q$35:$Q$139=Q140)*($V$35:$V$139=V140))=0,1,0),0)</f>
        <v>0</v>
      </c>
      <c r="S140" s="14" t="n">
        <f aca="false">IF(AND(L140=1,N140&gt;=$B$4-0.000000001,P140&gt;=$B$6-0.000000001,M140&gt;=Floor_q+$B$5-0.000000001),1,0)</f>
        <v>0</v>
      </c>
      <c r="T140" s="14" t="n">
        <f aca="false">L140*(IF(1&lt;=2,1-Q140,IF(1=3,IF(AND(V140=0,O140&gt;=W_min,M140-D_dip&gt;=Floor_q),1,0),IF(AND(O140&gt;=W_min,M140&gt;=Pre_A),1,0)))+IF(2&lt;=2,1-Q140,IF(2=3,IF(AND(V140=0,O140&gt;=W_min,M140-D_dip&gt;=Floor_q),1,0),IF(AND(O140&gt;=W_min,M140&gt;=Pre_A),1,0)))+IF(3&lt;=2,1-Q140,IF(3=3,IF(AND(V140=0,O140&gt;=W_min,M140-D_dip&gt;=Floor_q),1,0),IF(AND(O140&gt;=W_min,M140&gt;=Pre_A),1,0)))+IF(4&lt;=2,1-Q140,IF(4=3,IF(AND(V140=0,O140&gt;=W_min,M140-D_dip&gt;=Floor_q),1,0),IF(AND(O140&gt;=W_min,M140&gt;=Pre_A),1,0))))</f>
        <v>0</v>
      </c>
      <c r="U140" s="14" t="n">
        <f aca="false">V61</f>
        <v>0</v>
      </c>
      <c r="V140" s="14" t="n">
        <f aca="false">CHOOSE(D140,U140,U140,1,U140)</f>
        <v>0</v>
      </c>
    </row>
    <row r="141" customFormat="false" ht="15" hidden="false" customHeight="true" outlineLevel="0" collapsed="false">
      <c r="A141" s="3" t="s">
        <v>379</v>
      </c>
      <c r="B141" s="14" t="n">
        <v>4</v>
      </c>
      <c r="C141" s="14" t="n">
        <v>61</v>
      </c>
      <c r="D141" s="14" t="n">
        <v>2</v>
      </c>
      <c r="E141" s="14" t="n">
        <f aca="false">L61</f>
        <v>0</v>
      </c>
      <c r="F141" s="19" t="n">
        <f aca="false">M61</f>
        <v>916</v>
      </c>
      <c r="G141" s="19" t="n">
        <f aca="false">N61</f>
        <v>29.889</v>
      </c>
      <c r="H141" s="14" t="n">
        <f aca="false">O61</f>
        <v>53</v>
      </c>
      <c r="I141" s="16" t="n">
        <f aca="false">P61</f>
        <v>71</v>
      </c>
      <c r="J141" s="14" t="n">
        <f aca="false">Q61</f>
        <v>1</v>
      </c>
      <c r="K141" s="14" t="n">
        <f aca="false">IF(D141&lt;=2,1-J141,IF(D141=3,IF(AND(U141=0,H141&gt;=W_min,F141-D_dip&gt;=Floor_q),1,0),IF(AND(H141&gt;=W_min,F141&gt;=Pre_A),1,0)))</f>
        <v>0</v>
      </c>
      <c r="L141" s="14" t="n">
        <f aca="false">E141*K141</f>
        <v>0</v>
      </c>
      <c r="M141" s="19" t="n">
        <f aca="false">CHOOSE(D141,F141+Proc_S,F141+Proc_Sk,F141+D_dL,F141-Cost_A)</f>
        <v>1008</v>
      </c>
      <c r="N141" s="19" t="n">
        <f aca="false">CHOOSE(D141,(1-Tech_share)*G141,(1-Tech_share)*G141,G141+D_dT,G141)</f>
        <v>26.9001</v>
      </c>
      <c r="O141" s="14" t="n">
        <f aca="false">CHOOSE(D141,H141-W_lost,H141,H141,H141+W_gain)</f>
        <v>53</v>
      </c>
      <c r="P141" s="16" t="n">
        <f aca="false">CHOOSE(D141,I141,I141,I141+D_dE,I141+Close_A*(Ceil_E-I141))</f>
        <v>71</v>
      </c>
      <c r="Q141" s="14" t="n">
        <f aca="false">CHOOSE(D141,1,1,J141,J141)</f>
        <v>1</v>
      </c>
      <c r="R141" s="14" t="n">
        <f aca="false">IF(L141=1,IF(SUMPRODUCT(($L$35:$L$140=1)*(ABS($M$35:$M$140-M141)&lt;0.000001)*(ABS($N$35:$N$140-N141)&lt;0.000001)*($O$35:$O$140=O141)*(ABS($P$35:$P$140-P141)&lt;0.000001)*($Q$35:$Q$140=Q141)*($V$35:$V$140=V141))=0,1,0),0)</f>
        <v>0</v>
      </c>
      <c r="S141" s="14" t="n">
        <f aca="false">IF(AND(L141=1,N141&gt;=$B$4-0.000000001,P141&gt;=$B$6-0.000000001,M141&gt;=Floor_q+$B$5-0.000000001),1,0)</f>
        <v>0</v>
      </c>
      <c r="T141" s="14" t="n">
        <f aca="false">L141*(IF(1&lt;=2,1-Q141,IF(1=3,IF(AND(V141=0,O141&gt;=W_min,M141-D_dip&gt;=Floor_q),1,0),IF(AND(O141&gt;=W_min,M141&gt;=Pre_A),1,0)))+IF(2&lt;=2,1-Q141,IF(2=3,IF(AND(V141=0,O141&gt;=W_min,M141-D_dip&gt;=Floor_q),1,0),IF(AND(O141&gt;=W_min,M141&gt;=Pre_A),1,0)))+IF(3&lt;=2,1-Q141,IF(3=3,IF(AND(V141=0,O141&gt;=W_min,M141-D_dip&gt;=Floor_q),1,0),IF(AND(O141&gt;=W_min,M141&gt;=Pre_A),1,0)))+IF(4&lt;=2,1-Q141,IF(4=3,IF(AND(V141=0,O141&gt;=W_min,M141-D_dip&gt;=Floor_q),1,0),IF(AND(O141&gt;=W_min,M141&gt;=Pre_A),1,0))))</f>
        <v>0</v>
      </c>
      <c r="U141" s="14" t="n">
        <f aca="false">V61</f>
        <v>0</v>
      </c>
      <c r="V141" s="14" t="n">
        <f aca="false">CHOOSE(D141,U141,U141,1,U141)</f>
        <v>0</v>
      </c>
    </row>
    <row r="142" customFormat="false" ht="15" hidden="false" customHeight="true" outlineLevel="0" collapsed="false">
      <c r="A142" s="3" t="s">
        <v>380</v>
      </c>
      <c r="B142" s="14" t="n">
        <v>4</v>
      </c>
      <c r="C142" s="14" t="n">
        <v>61</v>
      </c>
      <c r="D142" s="14" t="n">
        <v>3</v>
      </c>
      <c r="E142" s="14" t="n">
        <f aca="false">L61</f>
        <v>0</v>
      </c>
      <c r="F142" s="19" t="n">
        <f aca="false">M61</f>
        <v>916</v>
      </c>
      <c r="G142" s="19" t="n">
        <f aca="false">N61</f>
        <v>29.889</v>
      </c>
      <c r="H142" s="14" t="n">
        <f aca="false">O61</f>
        <v>53</v>
      </c>
      <c r="I142" s="16" t="n">
        <f aca="false">P61</f>
        <v>71</v>
      </c>
      <c r="J142" s="14" t="n">
        <f aca="false">Q61</f>
        <v>1</v>
      </c>
      <c r="K142" s="14" t="n">
        <f aca="false">IF(D142&lt;=2,1-J142,IF(D142=3,IF(AND(U142=0,H142&gt;=W_min,F142-D_dip&gt;=Floor_q),1,0),IF(AND(H142&gt;=W_min,F142&gt;=Pre_A),1,0)))</f>
        <v>0</v>
      </c>
      <c r="L142" s="14" t="n">
        <f aca="false">E142*K142</f>
        <v>0</v>
      </c>
      <c r="M142" s="19" t="n">
        <f aca="false">CHOOSE(D142,F142+Proc_S,F142+Proc_Sk,F142+D_dL,F142-Cost_A)</f>
        <v>880.632729102868</v>
      </c>
      <c r="N142" s="19" t="n">
        <f aca="false">CHOOSE(D142,(1-Tech_share)*G142,(1-Tech_share)*G142,G142+D_dT,G142)</f>
        <v>64.5236691353518</v>
      </c>
      <c r="O142" s="14" t="n">
        <f aca="false">CHOOSE(D142,H142-W_lost,H142,H142,H142+W_gain)</f>
        <v>53</v>
      </c>
      <c r="P142" s="16" t="n">
        <f aca="false">CHOOSE(D142,I142,I142,I142+D_dE,I142+Close_A*(Ceil_E-I142))</f>
        <v>73.5983309723245</v>
      </c>
      <c r="Q142" s="14" t="n">
        <f aca="false">CHOOSE(D142,1,1,J142,J142)</f>
        <v>1</v>
      </c>
      <c r="R142" s="14" t="n">
        <f aca="false">IF(L142=1,IF(SUMPRODUCT(($L$35:$L$141=1)*(ABS($M$35:$M$141-M142)&lt;0.000001)*(ABS($N$35:$N$141-N142)&lt;0.000001)*($O$35:$O$141=O142)*(ABS($P$35:$P$141-P142)&lt;0.000001)*($Q$35:$Q$141=Q142)*($V$35:$V$141=V142))=0,1,0),0)</f>
        <v>0</v>
      </c>
      <c r="S142" s="14" t="n">
        <f aca="false">IF(AND(L142=1,N142&gt;=$B$4-0.000000001,P142&gt;=$B$6-0.000000001,M142&gt;=Floor_q+$B$5-0.000000001),1,0)</f>
        <v>0</v>
      </c>
      <c r="T142" s="14" t="n">
        <f aca="false">L142*(IF(1&lt;=2,1-Q142,IF(1=3,IF(AND(V142=0,O142&gt;=W_min,M142-D_dip&gt;=Floor_q),1,0),IF(AND(O142&gt;=W_min,M142&gt;=Pre_A),1,0)))+IF(2&lt;=2,1-Q142,IF(2=3,IF(AND(V142=0,O142&gt;=W_min,M142-D_dip&gt;=Floor_q),1,0),IF(AND(O142&gt;=W_min,M142&gt;=Pre_A),1,0)))+IF(3&lt;=2,1-Q142,IF(3=3,IF(AND(V142=0,O142&gt;=W_min,M142-D_dip&gt;=Floor_q),1,0),IF(AND(O142&gt;=W_min,M142&gt;=Pre_A),1,0)))+IF(4&lt;=2,1-Q142,IF(4=3,IF(AND(V142=0,O142&gt;=W_min,M142-D_dip&gt;=Floor_q),1,0),IF(AND(O142&gt;=W_min,M142&gt;=Pre_A),1,0))))</f>
        <v>0</v>
      </c>
      <c r="U142" s="14" t="n">
        <f aca="false">V61</f>
        <v>0</v>
      </c>
      <c r="V142" s="14" t="n">
        <f aca="false">CHOOSE(D142,U142,U142,1,U142)</f>
        <v>1</v>
      </c>
    </row>
    <row r="143" customFormat="false" ht="15" hidden="false" customHeight="true" outlineLevel="0" collapsed="false">
      <c r="A143" s="3" t="s">
        <v>381</v>
      </c>
      <c r="B143" s="14" t="n">
        <v>4</v>
      </c>
      <c r="C143" s="14" t="n">
        <v>61</v>
      </c>
      <c r="D143" s="14" t="n">
        <v>4</v>
      </c>
      <c r="E143" s="14" t="n">
        <f aca="false">L61</f>
        <v>0</v>
      </c>
      <c r="F143" s="19" t="n">
        <f aca="false">M61</f>
        <v>916</v>
      </c>
      <c r="G143" s="19" t="n">
        <f aca="false">N61</f>
        <v>29.889</v>
      </c>
      <c r="H143" s="14" t="n">
        <f aca="false">O61</f>
        <v>53</v>
      </c>
      <c r="I143" s="16" t="n">
        <f aca="false">P61</f>
        <v>71</v>
      </c>
      <c r="J143" s="14" t="n">
        <f aca="false">Q61</f>
        <v>1</v>
      </c>
      <c r="K143" s="14" t="n">
        <f aca="false">IF(D143&lt;=2,1-J143,IF(D143=3,IF(AND(U143=0,H143&gt;=W_min,F143-D_dip&gt;=Floor_q),1,0),IF(AND(H143&gt;=W_min,F143&gt;=Pre_A),1,0)))</f>
        <v>0</v>
      </c>
      <c r="L143" s="14" t="n">
        <f aca="false">E143*K143</f>
        <v>0</v>
      </c>
      <c r="M143" s="19" t="n">
        <f aca="false">CHOOSE(D143,F143+Proc_S,F143+Proc_Sk,F143+D_dL,F143-Cost_A)</f>
        <v>796</v>
      </c>
      <c r="N143" s="19" t="n">
        <f aca="false">CHOOSE(D143,(1-Tech_share)*G143,(1-Tech_share)*G143,G143+D_dT,G143)</f>
        <v>29.889</v>
      </c>
      <c r="O143" s="14" t="n">
        <f aca="false">CHOOSE(D143,H143-W_lost,H143,H143,H143+W_gain)</f>
        <v>54</v>
      </c>
      <c r="P143" s="16" t="n">
        <f aca="false">CHOOSE(D143,I143,I143,I143+D_dE,I143+Close_A*(Ceil_E-I143))</f>
        <v>78</v>
      </c>
      <c r="Q143" s="14" t="n">
        <f aca="false">CHOOSE(D143,1,1,J143,J143)</f>
        <v>1</v>
      </c>
      <c r="R143" s="14" t="n">
        <f aca="false">IF(L143=1,IF(SUMPRODUCT(($L$35:$L$142=1)*(ABS($M$35:$M$142-M143)&lt;0.000001)*(ABS($N$35:$N$142-N143)&lt;0.000001)*($O$35:$O$142=O143)*(ABS($P$35:$P$142-P143)&lt;0.000001)*($Q$35:$Q$142=Q143)*($V$35:$V$142=V143))=0,1,0),0)</f>
        <v>0</v>
      </c>
      <c r="S143" s="14" t="n">
        <f aca="false">IF(AND(L143=1,N143&gt;=$B$4-0.000000001,P143&gt;=$B$6-0.000000001,M143&gt;=Floor_q+$B$5-0.000000001),1,0)</f>
        <v>0</v>
      </c>
      <c r="T143" s="14" t="n">
        <f aca="false">L143*(IF(1&lt;=2,1-Q143,IF(1=3,IF(AND(V143=0,O143&gt;=W_min,M143-D_dip&gt;=Floor_q),1,0),IF(AND(O143&gt;=W_min,M143&gt;=Pre_A),1,0)))+IF(2&lt;=2,1-Q143,IF(2=3,IF(AND(V143=0,O143&gt;=W_min,M143-D_dip&gt;=Floor_q),1,0),IF(AND(O143&gt;=W_min,M143&gt;=Pre_A),1,0)))+IF(3&lt;=2,1-Q143,IF(3=3,IF(AND(V143=0,O143&gt;=W_min,M143-D_dip&gt;=Floor_q),1,0),IF(AND(O143&gt;=W_min,M143&gt;=Pre_A),1,0)))+IF(4&lt;=2,1-Q143,IF(4=3,IF(AND(V143=0,O143&gt;=W_min,M143-D_dip&gt;=Floor_q),1,0),IF(AND(O143&gt;=W_min,M143&gt;=Pre_A),1,0))))</f>
        <v>0</v>
      </c>
      <c r="U143" s="14" t="n">
        <f aca="false">V61</f>
        <v>0</v>
      </c>
      <c r="V143" s="14" t="n">
        <f aca="false">CHOOSE(D143,U143,U143,1,U143)</f>
        <v>0</v>
      </c>
    </row>
    <row r="144" customFormat="false" ht="15" hidden="false" customHeight="true" outlineLevel="0" collapsed="false">
      <c r="A144" s="3" t="s">
        <v>382</v>
      </c>
      <c r="B144" s="14" t="n">
        <v>4</v>
      </c>
      <c r="C144" s="14" t="n">
        <v>62</v>
      </c>
      <c r="D144" s="14" t="n">
        <v>1</v>
      </c>
      <c r="E144" s="14" t="n">
        <f aca="false">L62</f>
        <v>0</v>
      </c>
      <c r="F144" s="19" t="n">
        <f aca="false">M62</f>
        <v>788.632729102868</v>
      </c>
      <c r="G144" s="19" t="n">
        <f aca="false">N62</f>
        <v>67.8446691353518</v>
      </c>
      <c r="H144" s="14" t="n">
        <f aca="false">O62</f>
        <v>53</v>
      </c>
      <c r="I144" s="16" t="n">
        <f aca="false">P62</f>
        <v>73.5983309723245</v>
      </c>
      <c r="J144" s="14" t="n">
        <f aca="false">Q62</f>
        <v>1</v>
      </c>
      <c r="K144" s="14" t="n">
        <f aca="false">IF(D144&lt;=2,1-J144,IF(D144=3,IF(AND(U144=0,H144&gt;=W_min,F144-D_dip&gt;=Floor_q),1,0),IF(AND(H144&gt;=W_min,F144&gt;=Pre_A),1,0)))</f>
        <v>0</v>
      </c>
      <c r="L144" s="14" t="n">
        <f aca="false">E144*K144</f>
        <v>0</v>
      </c>
      <c r="M144" s="19" t="n">
        <f aca="false">CHOOSE(D144,F144+Proc_S,F144+Proc_Sk,F144+D_dL,F144-Cost_A)</f>
        <v>900.632729102868</v>
      </c>
      <c r="N144" s="19" t="n">
        <f aca="false">CHOOSE(D144,(1-Tech_share)*G144,(1-Tech_share)*G144,G144+D_dT,G144)</f>
        <v>61.0602022218166</v>
      </c>
      <c r="O144" s="14" t="n">
        <f aca="false">CHOOSE(D144,H144-W_lost,H144,H144,H144+W_gain)</f>
        <v>48</v>
      </c>
      <c r="P144" s="16" t="n">
        <f aca="false">CHOOSE(D144,I144,I144,I144+D_dE,I144+Close_A*(Ceil_E-I144))</f>
        <v>73.5983309723245</v>
      </c>
      <c r="Q144" s="14" t="n">
        <f aca="false">CHOOSE(D144,1,1,J144,J144)</f>
        <v>1</v>
      </c>
      <c r="R144" s="14" t="n">
        <f aca="false">IF(L144=1,IF(SUMPRODUCT(($L$35:$L$143=1)*(ABS($M$35:$M$143-M144)&lt;0.000001)*(ABS($N$35:$N$143-N144)&lt;0.000001)*($O$35:$O$143=O144)*(ABS($P$35:$P$143-P144)&lt;0.000001)*($Q$35:$Q$143=Q144)*($V$35:$V$143=V144))=0,1,0),0)</f>
        <v>0</v>
      </c>
      <c r="S144" s="14" t="n">
        <f aca="false">IF(AND(L144=1,N144&gt;=$B$4-0.000000001,P144&gt;=$B$6-0.000000001,M144&gt;=Floor_q+$B$5-0.000000001),1,0)</f>
        <v>0</v>
      </c>
      <c r="T144" s="14" t="n">
        <f aca="false">L144*(IF(1&lt;=2,1-Q144,IF(1=3,IF(AND(V144=0,O144&gt;=W_min,M144-D_dip&gt;=Floor_q),1,0),IF(AND(O144&gt;=W_min,M144&gt;=Pre_A),1,0)))+IF(2&lt;=2,1-Q144,IF(2=3,IF(AND(V144=0,O144&gt;=W_min,M144-D_dip&gt;=Floor_q),1,0),IF(AND(O144&gt;=W_min,M144&gt;=Pre_A),1,0)))+IF(3&lt;=2,1-Q144,IF(3=3,IF(AND(V144=0,O144&gt;=W_min,M144-D_dip&gt;=Floor_q),1,0),IF(AND(O144&gt;=W_min,M144&gt;=Pre_A),1,0)))+IF(4&lt;=2,1-Q144,IF(4=3,IF(AND(V144=0,O144&gt;=W_min,M144-D_dip&gt;=Floor_q),1,0),IF(AND(O144&gt;=W_min,M144&gt;=Pre_A),1,0))))</f>
        <v>0</v>
      </c>
      <c r="U144" s="14" t="n">
        <f aca="false">V62</f>
        <v>1</v>
      </c>
      <c r="V144" s="14" t="n">
        <f aca="false">CHOOSE(D144,U144,U144,1,U144)</f>
        <v>1</v>
      </c>
    </row>
    <row r="145" customFormat="false" ht="15" hidden="false" customHeight="true" outlineLevel="0" collapsed="false">
      <c r="A145" s="3" t="s">
        <v>383</v>
      </c>
      <c r="B145" s="14" t="n">
        <v>4</v>
      </c>
      <c r="C145" s="14" t="n">
        <v>62</v>
      </c>
      <c r="D145" s="14" t="n">
        <v>2</v>
      </c>
      <c r="E145" s="14" t="n">
        <f aca="false">L62</f>
        <v>0</v>
      </c>
      <c r="F145" s="19" t="n">
        <f aca="false">M62</f>
        <v>788.632729102868</v>
      </c>
      <c r="G145" s="19" t="n">
        <f aca="false">N62</f>
        <v>67.8446691353518</v>
      </c>
      <c r="H145" s="14" t="n">
        <f aca="false">O62</f>
        <v>53</v>
      </c>
      <c r="I145" s="16" t="n">
        <f aca="false">P62</f>
        <v>73.5983309723245</v>
      </c>
      <c r="J145" s="14" t="n">
        <f aca="false">Q62</f>
        <v>1</v>
      </c>
      <c r="K145" s="14" t="n">
        <f aca="false">IF(D145&lt;=2,1-J145,IF(D145=3,IF(AND(U145=0,H145&gt;=W_min,F145-D_dip&gt;=Floor_q),1,0),IF(AND(H145&gt;=W_min,F145&gt;=Pre_A),1,0)))</f>
        <v>0</v>
      </c>
      <c r="L145" s="14" t="n">
        <f aca="false">E145*K145</f>
        <v>0</v>
      </c>
      <c r="M145" s="19" t="n">
        <f aca="false">CHOOSE(D145,F145+Proc_S,F145+Proc_Sk,F145+D_dL,F145-Cost_A)</f>
        <v>880.632729102868</v>
      </c>
      <c r="N145" s="19" t="n">
        <f aca="false">CHOOSE(D145,(1-Tech_share)*G145,(1-Tech_share)*G145,G145+D_dT,G145)</f>
        <v>61.0602022218166</v>
      </c>
      <c r="O145" s="14" t="n">
        <f aca="false">CHOOSE(D145,H145-W_lost,H145,H145,H145+W_gain)</f>
        <v>53</v>
      </c>
      <c r="P145" s="16" t="n">
        <f aca="false">CHOOSE(D145,I145,I145,I145+D_dE,I145+Close_A*(Ceil_E-I145))</f>
        <v>73.5983309723245</v>
      </c>
      <c r="Q145" s="14" t="n">
        <f aca="false">CHOOSE(D145,1,1,J145,J145)</f>
        <v>1</v>
      </c>
      <c r="R145" s="14" t="n">
        <f aca="false">IF(L145=1,IF(SUMPRODUCT(($L$35:$L$144=1)*(ABS($M$35:$M$144-M145)&lt;0.000001)*(ABS($N$35:$N$144-N145)&lt;0.000001)*($O$35:$O$144=O145)*(ABS($P$35:$P$144-P145)&lt;0.000001)*($Q$35:$Q$144=Q145)*($V$35:$V$144=V145))=0,1,0),0)</f>
        <v>0</v>
      </c>
      <c r="S145" s="14" t="n">
        <f aca="false">IF(AND(L145=1,N145&gt;=$B$4-0.000000001,P145&gt;=$B$6-0.000000001,M145&gt;=Floor_q+$B$5-0.000000001),1,0)</f>
        <v>0</v>
      </c>
      <c r="T145" s="14" t="n">
        <f aca="false">L145*(IF(1&lt;=2,1-Q145,IF(1=3,IF(AND(V145=0,O145&gt;=W_min,M145-D_dip&gt;=Floor_q),1,0),IF(AND(O145&gt;=W_min,M145&gt;=Pre_A),1,0)))+IF(2&lt;=2,1-Q145,IF(2=3,IF(AND(V145=0,O145&gt;=W_min,M145-D_dip&gt;=Floor_q),1,0),IF(AND(O145&gt;=W_min,M145&gt;=Pre_A),1,0)))+IF(3&lt;=2,1-Q145,IF(3=3,IF(AND(V145=0,O145&gt;=W_min,M145-D_dip&gt;=Floor_q),1,0),IF(AND(O145&gt;=W_min,M145&gt;=Pre_A),1,0)))+IF(4&lt;=2,1-Q145,IF(4=3,IF(AND(V145=0,O145&gt;=W_min,M145-D_dip&gt;=Floor_q),1,0),IF(AND(O145&gt;=W_min,M145&gt;=Pre_A),1,0))))</f>
        <v>0</v>
      </c>
      <c r="U145" s="14" t="n">
        <f aca="false">V62</f>
        <v>1</v>
      </c>
      <c r="V145" s="14" t="n">
        <f aca="false">CHOOSE(D145,U145,U145,1,U145)</f>
        <v>1</v>
      </c>
    </row>
    <row r="146" customFormat="false" ht="15" hidden="false" customHeight="true" outlineLevel="0" collapsed="false">
      <c r="A146" s="3" t="s">
        <v>384</v>
      </c>
      <c r="B146" s="14" t="n">
        <v>4</v>
      </c>
      <c r="C146" s="14" t="n">
        <v>62</v>
      </c>
      <c r="D146" s="14" t="n">
        <v>3</v>
      </c>
      <c r="E146" s="14" t="n">
        <f aca="false">L62</f>
        <v>0</v>
      </c>
      <c r="F146" s="19" t="n">
        <f aca="false">M62</f>
        <v>788.632729102868</v>
      </c>
      <c r="G146" s="19" t="n">
        <f aca="false">N62</f>
        <v>67.8446691353518</v>
      </c>
      <c r="H146" s="14" t="n">
        <f aca="false">O62</f>
        <v>53</v>
      </c>
      <c r="I146" s="16" t="n">
        <f aca="false">P62</f>
        <v>73.5983309723245</v>
      </c>
      <c r="J146" s="14" t="n">
        <f aca="false">Q62</f>
        <v>1</v>
      </c>
      <c r="K146" s="14" t="n">
        <f aca="false">IF(D146&lt;=2,1-J146,IF(D146=3,IF(AND(U146=0,H146&gt;=W_min,F146-D_dip&gt;=Floor_q),1,0),IF(AND(H146&gt;=W_min,F146&gt;=Pre_A),1,0)))</f>
        <v>0</v>
      </c>
      <c r="L146" s="14" t="n">
        <f aca="false">E146*K146</f>
        <v>0</v>
      </c>
      <c r="M146" s="19" t="n">
        <f aca="false">CHOOSE(D146,F146+Proc_S,F146+Proc_Sk,F146+D_dL,F146-Cost_A)</f>
        <v>753.265458205737</v>
      </c>
      <c r="N146" s="19" t="n">
        <f aca="false">CHOOSE(D146,(1-Tech_share)*G146,(1-Tech_share)*G146,G146+D_dT,G146)</f>
        <v>102.479338270704</v>
      </c>
      <c r="O146" s="14" t="n">
        <f aca="false">CHOOSE(D146,H146-W_lost,H146,H146,H146+W_gain)</f>
        <v>53</v>
      </c>
      <c r="P146" s="16" t="n">
        <f aca="false">CHOOSE(D146,I146,I146,I146+D_dE,I146+Close_A*(Ceil_E-I146))</f>
        <v>76.1966619446489</v>
      </c>
      <c r="Q146" s="14" t="n">
        <f aca="false">CHOOSE(D146,1,1,J146,J146)</f>
        <v>1</v>
      </c>
      <c r="R146" s="14" t="n">
        <f aca="false">IF(L146=1,IF(SUMPRODUCT(($L$35:$L$145=1)*(ABS($M$35:$M$145-M146)&lt;0.000001)*(ABS($N$35:$N$145-N146)&lt;0.000001)*($O$35:$O$145=O146)*(ABS($P$35:$P$145-P146)&lt;0.000001)*($Q$35:$Q$145=Q146)*($V$35:$V$145=V146))=0,1,0),0)</f>
        <v>0</v>
      </c>
      <c r="S146" s="14" t="n">
        <f aca="false">IF(AND(L146=1,N146&gt;=$B$4-0.000000001,P146&gt;=$B$6-0.000000001,M146&gt;=Floor_q+$B$5-0.000000001),1,0)</f>
        <v>0</v>
      </c>
      <c r="T146" s="14" t="n">
        <f aca="false">L146*(IF(1&lt;=2,1-Q146,IF(1=3,IF(AND(V146=0,O146&gt;=W_min,M146-D_dip&gt;=Floor_q),1,0),IF(AND(O146&gt;=W_min,M146&gt;=Pre_A),1,0)))+IF(2&lt;=2,1-Q146,IF(2=3,IF(AND(V146=0,O146&gt;=W_min,M146-D_dip&gt;=Floor_q),1,0),IF(AND(O146&gt;=W_min,M146&gt;=Pre_A),1,0)))+IF(3&lt;=2,1-Q146,IF(3=3,IF(AND(V146=0,O146&gt;=W_min,M146-D_dip&gt;=Floor_q),1,0),IF(AND(O146&gt;=W_min,M146&gt;=Pre_A),1,0)))+IF(4&lt;=2,1-Q146,IF(4=3,IF(AND(V146=0,O146&gt;=W_min,M146-D_dip&gt;=Floor_q),1,0),IF(AND(O146&gt;=W_min,M146&gt;=Pre_A),1,0))))</f>
        <v>0</v>
      </c>
      <c r="U146" s="14" t="n">
        <f aca="false">V62</f>
        <v>1</v>
      </c>
      <c r="V146" s="14" t="n">
        <f aca="false">CHOOSE(D146,U146,U146,1,U146)</f>
        <v>1</v>
      </c>
    </row>
    <row r="147" customFormat="false" ht="15" hidden="false" customHeight="true" outlineLevel="0" collapsed="false">
      <c r="A147" s="3" t="s">
        <v>385</v>
      </c>
      <c r="B147" s="14" t="n">
        <v>4</v>
      </c>
      <c r="C147" s="14" t="n">
        <v>62</v>
      </c>
      <c r="D147" s="14" t="n">
        <v>4</v>
      </c>
      <c r="E147" s="14" t="n">
        <f aca="false">L62</f>
        <v>0</v>
      </c>
      <c r="F147" s="19" t="n">
        <f aca="false">M62</f>
        <v>788.632729102868</v>
      </c>
      <c r="G147" s="19" t="n">
        <f aca="false">N62</f>
        <v>67.8446691353518</v>
      </c>
      <c r="H147" s="14" t="n">
        <f aca="false">O62</f>
        <v>53</v>
      </c>
      <c r="I147" s="16" t="n">
        <f aca="false">P62</f>
        <v>73.5983309723245</v>
      </c>
      <c r="J147" s="14" t="n">
        <f aca="false">Q62</f>
        <v>1</v>
      </c>
      <c r="K147" s="14" t="n">
        <f aca="false">IF(D147&lt;=2,1-J147,IF(D147=3,IF(AND(U147=0,H147&gt;=W_min,F147-D_dip&gt;=Floor_q),1,0),IF(AND(H147&gt;=W_min,F147&gt;=Pre_A),1,0)))</f>
        <v>0</v>
      </c>
      <c r="L147" s="14" t="n">
        <f aca="false">E147*K147</f>
        <v>0</v>
      </c>
      <c r="M147" s="19" t="n">
        <f aca="false">CHOOSE(D147,F147+Proc_S,F147+Proc_Sk,F147+D_dL,F147-Cost_A)</f>
        <v>668.632729102868</v>
      </c>
      <c r="N147" s="19" t="n">
        <f aca="false">CHOOSE(D147,(1-Tech_share)*G147,(1-Tech_share)*G147,G147+D_dT,G147)</f>
        <v>67.8446691353518</v>
      </c>
      <c r="O147" s="14" t="n">
        <f aca="false">CHOOSE(D147,H147-W_lost,H147,H147,H147+W_gain)</f>
        <v>54</v>
      </c>
      <c r="P147" s="16" t="n">
        <f aca="false">CHOOSE(D147,I147,I147,I147+D_dE,I147+Close_A*(Ceil_E-I147))</f>
        <v>79.2991654861622</v>
      </c>
      <c r="Q147" s="14" t="n">
        <f aca="false">CHOOSE(D147,1,1,J147,J147)</f>
        <v>1</v>
      </c>
      <c r="R147" s="14" t="n">
        <f aca="false">IF(L147=1,IF(SUMPRODUCT(($L$35:$L$146=1)*(ABS($M$35:$M$146-M147)&lt;0.000001)*(ABS($N$35:$N$146-N147)&lt;0.000001)*($O$35:$O$146=O147)*(ABS($P$35:$P$146-P147)&lt;0.000001)*($Q$35:$Q$146=Q147)*($V$35:$V$146=V147))=0,1,0),0)</f>
        <v>0</v>
      </c>
      <c r="S147" s="14" t="n">
        <f aca="false">IF(AND(L147=1,N147&gt;=$B$4-0.000000001,P147&gt;=$B$6-0.000000001,M147&gt;=Floor_q+$B$5-0.000000001),1,0)</f>
        <v>0</v>
      </c>
      <c r="T147" s="14" t="n">
        <f aca="false">L147*(IF(1&lt;=2,1-Q147,IF(1=3,IF(AND(V147=0,O147&gt;=W_min,M147-D_dip&gt;=Floor_q),1,0),IF(AND(O147&gt;=W_min,M147&gt;=Pre_A),1,0)))+IF(2&lt;=2,1-Q147,IF(2=3,IF(AND(V147=0,O147&gt;=W_min,M147-D_dip&gt;=Floor_q),1,0),IF(AND(O147&gt;=W_min,M147&gt;=Pre_A),1,0)))+IF(3&lt;=2,1-Q147,IF(3=3,IF(AND(V147=0,O147&gt;=W_min,M147-D_dip&gt;=Floor_q),1,0),IF(AND(O147&gt;=W_min,M147&gt;=Pre_A),1,0)))+IF(4&lt;=2,1-Q147,IF(4=3,IF(AND(V147=0,O147&gt;=W_min,M147-D_dip&gt;=Floor_q),1,0),IF(AND(O147&gt;=W_min,M147&gt;=Pre_A),1,0))))</f>
        <v>0</v>
      </c>
      <c r="U147" s="14" t="n">
        <f aca="false">V62</f>
        <v>1</v>
      </c>
      <c r="V147" s="14" t="n">
        <f aca="false">CHOOSE(D147,U147,U147,1,U147)</f>
        <v>1</v>
      </c>
    </row>
    <row r="148" customFormat="false" ht="15" hidden="false" customHeight="true" outlineLevel="0" collapsed="false">
      <c r="A148" s="3" t="s">
        <v>386</v>
      </c>
      <c r="B148" s="14" t="n">
        <v>4</v>
      </c>
      <c r="C148" s="14" t="n">
        <v>63</v>
      </c>
      <c r="D148" s="14" t="n">
        <v>1</v>
      </c>
      <c r="E148" s="14" t="n">
        <f aca="false">L63</f>
        <v>0</v>
      </c>
      <c r="F148" s="19" t="n">
        <f aca="false">M63</f>
        <v>704</v>
      </c>
      <c r="G148" s="19" t="n">
        <f aca="false">N63</f>
        <v>33.21</v>
      </c>
      <c r="H148" s="14" t="n">
        <f aca="false">O63</f>
        <v>54</v>
      </c>
      <c r="I148" s="16" t="n">
        <f aca="false">P63</f>
        <v>78</v>
      </c>
      <c r="J148" s="14" t="n">
        <f aca="false">Q63</f>
        <v>1</v>
      </c>
      <c r="K148" s="14" t="n">
        <f aca="false">IF(D148&lt;=2,1-J148,IF(D148=3,IF(AND(U148=0,H148&gt;=W_min,F148-D_dip&gt;=Floor_q),1,0),IF(AND(H148&gt;=W_min,F148&gt;=Pre_A),1,0)))</f>
        <v>0</v>
      </c>
      <c r="L148" s="14" t="n">
        <f aca="false">E148*K148</f>
        <v>0</v>
      </c>
      <c r="M148" s="19" t="n">
        <f aca="false">CHOOSE(D148,F148+Proc_S,F148+Proc_Sk,F148+D_dL,F148-Cost_A)</f>
        <v>816</v>
      </c>
      <c r="N148" s="19" t="n">
        <f aca="false">CHOOSE(D148,(1-Tech_share)*G148,(1-Tech_share)*G148,G148+D_dT,G148)</f>
        <v>29.889</v>
      </c>
      <c r="O148" s="14" t="n">
        <f aca="false">CHOOSE(D148,H148-W_lost,H148,H148,H148+W_gain)</f>
        <v>49</v>
      </c>
      <c r="P148" s="16" t="n">
        <f aca="false">CHOOSE(D148,I148,I148,I148+D_dE,I148+Close_A*(Ceil_E-I148))</f>
        <v>78</v>
      </c>
      <c r="Q148" s="14" t="n">
        <f aca="false">CHOOSE(D148,1,1,J148,J148)</f>
        <v>1</v>
      </c>
      <c r="R148" s="14" t="n">
        <f aca="false">IF(L148=1,IF(SUMPRODUCT(($L$35:$L$147=1)*(ABS($M$35:$M$147-M148)&lt;0.000001)*(ABS($N$35:$N$147-N148)&lt;0.000001)*($O$35:$O$147=O148)*(ABS($P$35:$P$147-P148)&lt;0.000001)*($Q$35:$Q$147=Q148)*($V$35:$V$147=V148))=0,1,0),0)</f>
        <v>0</v>
      </c>
      <c r="S148" s="14" t="n">
        <f aca="false">IF(AND(L148=1,N148&gt;=$B$4-0.000000001,P148&gt;=$B$6-0.000000001,M148&gt;=Floor_q+$B$5-0.000000001),1,0)</f>
        <v>0</v>
      </c>
      <c r="T148" s="14" t="n">
        <f aca="false">L148*(IF(1&lt;=2,1-Q148,IF(1=3,IF(AND(V148=0,O148&gt;=W_min,M148-D_dip&gt;=Floor_q),1,0),IF(AND(O148&gt;=W_min,M148&gt;=Pre_A),1,0)))+IF(2&lt;=2,1-Q148,IF(2=3,IF(AND(V148=0,O148&gt;=W_min,M148-D_dip&gt;=Floor_q),1,0),IF(AND(O148&gt;=W_min,M148&gt;=Pre_A),1,0)))+IF(3&lt;=2,1-Q148,IF(3=3,IF(AND(V148=0,O148&gt;=W_min,M148-D_dip&gt;=Floor_q),1,0),IF(AND(O148&gt;=W_min,M148&gt;=Pre_A),1,0)))+IF(4&lt;=2,1-Q148,IF(4=3,IF(AND(V148=0,O148&gt;=W_min,M148-D_dip&gt;=Floor_q),1,0),IF(AND(O148&gt;=W_min,M148&gt;=Pre_A),1,0))))</f>
        <v>0</v>
      </c>
      <c r="U148" s="14" t="n">
        <f aca="false">V63</f>
        <v>0</v>
      </c>
      <c r="V148" s="14" t="n">
        <f aca="false">CHOOSE(D148,U148,U148,1,U148)</f>
        <v>0</v>
      </c>
    </row>
    <row r="149" customFormat="false" ht="15" hidden="false" customHeight="true" outlineLevel="0" collapsed="false">
      <c r="A149" s="3" t="s">
        <v>387</v>
      </c>
      <c r="B149" s="14" t="n">
        <v>4</v>
      </c>
      <c r="C149" s="14" t="n">
        <v>63</v>
      </c>
      <c r="D149" s="14" t="n">
        <v>2</v>
      </c>
      <c r="E149" s="14" t="n">
        <f aca="false">L63</f>
        <v>0</v>
      </c>
      <c r="F149" s="19" t="n">
        <f aca="false">M63</f>
        <v>704</v>
      </c>
      <c r="G149" s="19" t="n">
        <f aca="false">N63</f>
        <v>33.21</v>
      </c>
      <c r="H149" s="14" t="n">
        <f aca="false">O63</f>
        <v>54</v>
      </c>
      <c r="I149" s="16" t="n">
        <f aca="false">P63</f>
        <v>78</v>
      </c>
      <c r="J149" s="14" t="n">
        <f aca="false">Q63</f>
        <v>1</v>
      </c>
      <c r="K149" s="14" t="n">
        <f aca="false">IF(D149&lt;=2,1-J149,IF(D149=3,IF(AND(U149=0,H149&gt;=W_min,F149-D_dip&gt;=Floor_q),1,0),IF(AND(H149&gt;=W_min,F149&gt;=Pre_A),1,0)))</f>
        <v>0</v>
      </c>
      <c r="L149" s="14" t="n">
        <f aca="false">E149*K149</f>
        <v>0</v>
      </c>
      <c r="M149" s="19" t="n">
        <f aca="false">CHOOSE(D149,F149+Proc_S,F149+Proc_Sk,F149+D_dL,F149-Cost_A)</f>
        <v>796</v>
      </c>
      <c r="N149" s="19" t="n">
        <f aca="false">CHOOSE(D149,(1-Tech_share)*G149,(1-Tech_share)*G149,G149+D_dT,G149)</f>
        <v>29.889</v>
      </c>
      <c r="O149" s="14" t="n">
        <f aca="false">CHOOSE(D149,H149-W_lost,H149,H149,H149+W_gain)</f>
        <v>54</v>
      </c>
      <c r="P149" s="16" t="n">
        <f aca="false">CHOOSE(D149,I149,I149,I149+D_dE,I149+Close_A*(Ceil_E-I149))</f>
        <v>78</v>
      </c>
      <c r="Q149" s="14" t="n">
        <f aca="false">CHOOSE(D149,1,1,J149,J149)</f>
        <v>1</v>
      </c>
      <c r="R149" s="14" t="n">
        <f aca="false">IF(L149=1,IF(SUMPRODUCT(($L$35:$L$148=1)*(ABS($M$35:$M$148-M149)&lt;0.000001)*(ABS($N$35:$N$148-N149)&lt;0.000001)*($O$35:$O$148=O149)*(ABS($P$35:$P$148-P149)&lt;0.000001)*($Q$35:$Q$148=Q149)*($V$35:$V$148=V149))=0,1,0),0)</f>
        <v>0</v>
      </c>
      <c r="S149" s="14" t="n">
        <f aca="false">IF(AND(L149=1,N149&gt;=$B$4-0.000000001,P149&gt;=$B$6-0.000000001,M149&gt;=Floor_q+$B$5-0.000000001),1,0)</f>
        <v>0</v>
      </c>
      <c r="T149" s="14" t="n">
        <f aca="false">L149*(IF(1&lt;=2,1-Q149,IF(1=3,IF(AND(V149=0,O149&gt;=W_min,M149-D_dip&gt;=Floor_q),1,0),IF(AND(O149&gt;=W_min,M149&gt;=Pre_A),1,0)))+IF(2&lt;=2,1-Q149,IF(2=3,IF(AND(V149=0,O149&gt;=W_min,M149-D_dip&gt;=Floor_q),1,0),IF(AND(O149&gt;=W_min,M149&gt;=Pre_A),1,0)))+IF(3&lt;=2,1-Q149,IF(3=3,IF(AND(V149=0,O149&gt;=W_min,M149-D_dip&gt;=Floor_q),1,0),IF(AND(O149&gt;=W_min,M149&gt;=Pre_A),1,0)))+IF(4&lt;=2,1-Q149,IF(4=3,IF(AND(V149=0,O149&gt;=W_min,M149-D_dip&gt;=Floor_q),1,0),IF(AND(O149&gt;=W_min,M149&gt;=Pre_A),1,0))))</f>
        <v>0</v>
      </c>
      <c r="U149" s="14" t="n">
        <f aca="false">V63</f>
        <v>0</v>
      </c>
      <c r="V149" s="14" t="n">
        <f aca="false">CHOOSE(D149,U149,U149,1,U149)</f>
        <v>0</v>
      </c>
    </row>
    <row r="150" customFormat="false" ht="15" hidden="false" customHeight="true" outlineLevel="0" collapsed="false">
      <c r="A150" s="3" t="s">
        <v>388</v>
      </c>
      <c r="B150" s="14" t="n">
        <v>4</v>
      </c>
      <c r="C150" s="14" t="n">
        <v>63</v>
      </c>
      <c r="D150" s="14" t="n">
        <v>3</v>
      </c>
      <c r="E150" s="14" t="n">
        <f aca="false">L63</f>
        <v>0</v>
      </c>
      <c r="F150" s="19" t="n">
        <f aca="false">M63</f>
        <v>704</v>
      </c>
      <c r="G150" s="19" t="n">
        <f aca="false">N63</f>
        <v>33.21</v>
      </c>
      <c r="H150" s="14" t="n">
        <f aca="false">O63</f>
        <v>54</v>
      </c>
      <c r="I150" s="16" t="n">
        <f aca="false">P63</f>
        <v>78</v>
      </c>
      <c r="J150" s="14" t="n">
        <f aca="false">Q63</f>
        <v>1</v>
      </c>
      <c r="K150" s="14" t="n">
        <f aca="false">IF(D150&lt;=2,1-J150,IF(D150=3,IF(AND(U150=0,H150&gt;=W_min,F150-D_dip&gt;=Floor_q),1,0),IF(AND(H150&gt;=W_min,F150&gt;=Pre_A),1,0)))</f>
        <v>0</v>
      </c>
      <c r="L150" s="14" t="n">
        <f aca="false">E150*K150</f>
        <v>0</v>
      </c>
      <c r="M150" s="19" t="n">
        <f aca="false">CHOOSE(D150,F150+Proc_S,F150+Proc_Sk,F150+D_dL,F150-Cost_A)</f>
        <v>668.632729102868</v>
      </c>
      <c r="N150" s="19" t="n">
        <f aca="false">CHOOSE(D150,(1-Tech_share)*G150,(1-Tech_share)*G150,G150+D_dT,G150)</f>
        <v>67.8446691353518</v>
      </c>
      <c r="O150" s="14" t="n">
        <f aca="false">CHOOSE(D150,H150-W_lost,H150,H150,H150+W_gain)</f>
        <v>54</v>
      </c>
      <c r="P150" s="16" t="n">
        <f aca="false">CHOOSE(D150,I150,I150,I150+D_dE,I150+Close_A*(Ceil_E-I150))</f>
        <v>80.5983309723245</v>
      </c>
      <c r="Q150" s="14" t="n">
        <f aca="false">CHOOSE(D150,1,1,J150,J150)</f>
        <v>1</v>
      </c>
      <c r="R150" s="14" t="n">
        <f aca="false">IF(L150=1,IF(SUMPRODUCT(($L$35:$L$149=1)*(ABS($M$35:$M$149-M150)&lt;0.000001)*(ABS($N$35:$N$149-N150)&lt;0.000001)*($O$35:$O$149=O150)*(ABS($P$35:$P$149-P150)&lt;0.000001)*($Q$35:$Q$149=Q150)*($V$35:$V$149=V150))=0,1,0),0)</f>
        <v>0</v>
      </c>
      <c r="S150" s="14" t="n">
        <f aca="false">IF(AND(L150=1,N150&gt;=$B$4-0.000000001,P150&gt;=$B$6-0.000000001,M150&gt;=Floor_q+$B$5-0.000000001),1,0)</f>
        <v>0</v>
      </c>
      <c r="T150" s="14" t="n">
        <f aca="false">L150*(IF(1&lt;=2,1-Q150,IF(1=3,IF(AND(V150=0,O150&gt;=W_min,M150-D_dip&gt;=Floor_q),1,0),IF(AND(O150&gt;=W_min,M150&gt;=Pre_A),1,0)))+IF(2&lt;=2,1-Q150,IF(2=3,IF(AND(V150=0,O150&gt;=W_min,M150-D_dip&gt;=Floor_q),1,0),IF(AND(O150&gt;=W_min,M150&gt;=Pre_A),1,0)))+IF(3&lt;=2,1-Q150,IF(3=3,IF(AND(V150=0,O150&gt;=W_min,M150-D_dip&gt;=Floor_q),1,0),IF(AND(O150&gt;=W_min,M150&gt;=Pre_A),1,0)))+IF(4&lt;=2,1-Q150,IF(4=3,IF(AND(V150=0,O150&gt;=W_min,M150-D_dip&gt;=Floor_q),1,0),IF(AND(O150&gt;=W_min,M150&gt;=Pre_A),1,0))))</f>
        <v>0</v>
      </c>
      <c r="U150" s="14" t="n">
        <f aca="false">V63</f>
        <v>0</v>
      </c>
      <c r="V150" s="14" t="n">
        <f aca="false">CHOOSE(D150,U150,U150,1,U150)</f>
        <v>1</v>
      </c>
    </row>
    <row r="151" customFormat="false" ht="15" hidden="false" customHeight="true" outlineLevel="0" collapsed="false">
      <c r="A151" s="3" t="s">
        <v>389</v>
      </c>
      <c r="B151" s="14" t="n">
        <v>4</v>
      </c>
      <c r="C151" s="14" t="n">
        <v>63</v>
      </c>
      <c r="D151" s="14" t="n">
        <v>4</v>
      </c>
      <c r="E151" s="14" t="n">
        <f aca="false">L63</f>
        <v>0</v>
      </c>
      <c r="F151" s="19" t="n">
        <f aca="false">M63</f>
        <v>704</v>
      </c>
      <c r="G151" s="19" t="n">
        <f aca="false">N63</f>
        <v>33.21</v>
      </c>
      <c r="H151" s="14" t="n">
        <f aca="false">O63</f>
        <v>54</v>
      </c>
      <c r="I151" s="16" t="n">
        <f aca="false">P63</f>
        <v>78</v>
      </c>
      <c r="J151" s="14" t="n">
        <f aca="false">Q63</f>
        <v>1</v>
      </c>
      <c r="K151" s="14" t="n">
        <f aca="false">IF(D151&lt;=2,1-J151,IF(D151=3,IF(AND(U151=0,H151&gt;=W_min,F151-D_dip&gt;=Floor_q),1,0),IF(AND(H151&gt;=W_min,F151&gt;=Pre_A),1,0)))</f>
        <v>0</v>
      </c>
      <c r="L151" s="14" t="n">
        <f aca="false">E151*K151</f>
        <v>0</v>
      </c>
      <c r="M151" s="19" t="n">
        <f aca="false">CHOOSE(D151,F151+Proc_S,F151+Proc_Sk,F151+D_dL,F151-Cost_A)</f>
        <v>584</v>
      </c>
      <c r="N151" s="19" t="n">
        <f aca="false">CHOOSE(D151,(1-Tech_share)*G151,(1-Tech_share)*G151,G151+D_dT,G151)</f>
        <v>33.21</v>
      </c>
      <c r="O151" s="14" t="n">
        <f aca="false">CHOOSE(D151,H151-W_lost,H151,H151,H151+W_gain)</f>
        <v>55</v>
      </c>
      <c r="P151" s="16" t="n">
        <f aca="false">CHOOSE(D151,I151,I151,I151+D_dE,I151+Close_A*(Ceil_E-I151))</f>
        <v>81.5</v>
      </c>
      <c r="Q151" s="14" t="n">
        <f aca="false">CHOOSE(D151,1,1,J151,J151)</f>
        <v>1</v>
      </c>
      <c r="R151" s="14" t="n">
        <f aca="false">IF(L151=1,IF(SUMPRODUCT(($L$35:$L$150=1)*(ABS($M$35:$M$150-M151)&lt;0.000001)*(ABS($N$35:$N$150-N151)&lt;0.000001)*($O$35:$O$150=O151)*(ABS($P$35:$P$150-P151)&lt;0.000001)*($Q$35:$Q$150=Q151)*($V$35:$V$150=V151))=0,1,0),0)</f>
        <v>0</v>
      </c>
      <c r="S151" s="14" t="n">
        <f aca="false">IF(AND(L151=1,N151&gt;=$B$4-0.000000001,P151&gt;=$B$6-0.000000001,M151&gt;=Floor_q+$B$5-0.000000001),1,0)</f>
        <v>0</v>
      </c>
      <c r="T151" s="14" t="n">
        <f aca="false">L151*(IF(1&lt;=2,1-Q151,IF(1=3,IF(AND(V151=0,O151&gt;=W_min,M151-D_dip&gt;=Floor_q),1,0),IF(AND(O151&gt;=W_min,M151&gt;=Pre_A),1,0)))+IF(2&lt;=2,1-Q151,IF(2=3,IF(AND(V151=0,O151&gt;=W_min,M151-D_dip&gt;=Floor_q),1,0),IF(AND(O151&gt;=W_min,M151&gt;=Pre_A),1,0)))+IF(3&lt;=2,1-Q151,IF(3=3,IF(AND(V151=0,O151&gt;=W_min,M151-D_dip&gt;=Floor_q),1,0),IF(AND(O151&gt;=W_min,M151&gt;=Pre_A),1,0)))+IF(4&lt;=2,1-Q151,IF(4=3,IF(AND(V151=0,O151&gt;=W_min,M151-D_dip&gt;=Floor_q),1,0),IF(AND(O151&gt;=W_min,M151&gt;=Pre_A),1,0))))</f>
        <v>0</v>
      </c>
      <c r="U151" s="14" t="n">
        <f aca="false">V63</f>
        <v>0</v>
      </c>
      <c r="V151" s="14" t="n">
        <f aca="false">CHOOSE(D151,U151,U151,1,U151)</f>
        <v>0</v>
      </c>
    </row>
    <row r="152" customFormat="false" ht="15" hidden="false" customHeight="true" outlineLevel="0" collapsed="false">
      <c r="A152" s="3" t="s">
        <v>390</v>
      </c>
      <c r="B152" s="14" t="n">
        <v>4</v>
      </c>
      <c r="C152" s="14" t="n">
        <v>64</v>
      </c>
      <c r="D152" s="14" t="n">
        <v>1</v>
      </c>
      <c r="E152" s="14" t="n">
        <f aca="false">L64</f>
        <v>0</v>
      </c>
      <c r="F152" s="19" t="n">
        <f aca="false">M64</f>
        <v>808.632729102868</v>
      </c>
      <c r="G152" s="19" t="n">
        <f aca="false">N64</f>
        <v>64.3812022218166</v>
      </c>
      <c r="H152" s="14" t="n">
        <f aca="false">O64</f>
        <v>48</v>
      </c>
      <c r="I152" s="16" t="n">
        <f aca="false">P64</f>
        <v>73.5983309723245</v>
      </c>
      <c r="J152" s="14" t="n">
        <f aca="false">Q64</f>
        <v>1</v>
      </c>
      <c r="K152" s="14" t="n">
        <f aca="false">IF(D152&lt;=2,1-J152,IF(D152=3,IF(AND(U152=0,H152&gt;=W_min,F152-D_dip&gt;=Floor_q),1,0),IF(AND(H152&gt;=W_min,F152&gt;=Pre_A),1,0)))</f>
        <v>0</v>
      </c>
      <c r="L152" s="14" t="n">
        <f aca="false">E152*K152</f>
        <v>0</v>
      </c>
      <c r="M152" s="19" t="n">
        <f aca="false">CHOOSE(D152,F152+Proc_S,F152+Proc_Sk,F152+D_dL,F152-Cost_A)</f>
        <v>920.632729102868</v>
      </c>
      <c r="N152" s="19" t="n">
        <f aca="false">CHOOSE(D152,(1-Tech_share)*G152,(1-Tech_share)*G152,G152+D_dT,G152)</f>
        <v>57.943081999635</v>
      </c>
      <c r="O152" s="14" t="n">
        <f aca="false">CHOOSE(D152,H152-W_lost,H152,H152,H152+W_gain)</f>
        <v>43</v>
      </c>
      <c r="P152" s="16" t="n">
        <f aca="false">CHOOSE(D152,I152,I152,I152+D_dE,I152+Close_A*(Ceil_E-I152))</f>
        <v>73.5983309723245</v>
      </c>
      <c r="Q152" s="14" t="n">
        <f aca="false">CHOOSE(D152,1,1,J152,J152)</f>
        <v>1</v>
      </c>
      <c r="R152" s="14" t="n">
        <f aca="false">IF(L152=1,IF(SUMPRODUCT(($L$35:$L$151=1)*(ABS($M$35:$M$151-M152)&lt;0.000001)*(ABS($N$35:$N$151-N152)&lt;0.000001)*($O$35:$O$151=O152)*(ABS($P$35:$P$151-P152)&lt;0.000001)*($Q$35:$Q$151=Q152)*($V$35:$V$151=V152))=0,1,0),0)</f>
        <v>0</v>
      </c>
      <c r="S152" s="14" t="n">
        <f aca="false">IF(AND(L152=1,N152&gt;=$B$4-0.000000001,P152&gt;=$B$6-0.000000001,M152&gt;=Floor_q+$B$5-0.000000001),1,0)</f>
        <v>0</v>
      </c>
      <c r="T152" s="14" t="n">
        <f aca="false">L152*(IF(1&lt;=2,1-Q152,IF(1=3,IF(AND(V152=0,O152&gt;=W_min,M152-D_dip&gt;=Floor_q),1,0),IF(AND(O152&gt;=W_min,M152&gt;=Pre_A),1,0)))+IF(2&lt;=2,1-Q152,IF(2=3,IF(AND(V152=0,O152&gt;=W_min,M152-D_dip&gt;=Floor_q),1,0),IF(AND(O152&gt;=W_min,M152&gt;=Pre_A),1,0)))+IF(3&lt;=2,1-Q152,IF(3=3,IF(AND(V152=0,O152&gt;=W_min,M152-D_dip&gt;=Floor_q),1,0),IF(AND(O152&gt;=W_min,M152&gt;=Pre_A),1,0)))+IF(4&lt;=2,1-Q152,IF(4=3,IF(AND(V152=0,O152&gt;=W_min,M152-D_dip&gt;=Floor_q),1,0),IF(AND(O152&gt;=W_min,M152&gt;=Pre_A),1,0))))</f>
        <v>0</v>
      </c>
      <c r="U152" s="14" t="n">
        <f aca="false">V64</f>
        <v>1</v>
      </c>
      <c r="V152" s="14" t="n">
        <f aca="false">CHOOSE(D152,U152,U152,1,U152)</f>
        <v>1</v>
      </c>
    </row>
    <row r="153" customFormat="false" ht="15" hidden="false" customHeight="true" outlineLevel="0" collapsed="false">
      <c r="A153" s="3" t="s">
        <v>391</v>
      </c>
      <c r="B153" s="14" t="n">
        <v>4</v>
      </c>
      <c r="C153" s="14" t="n">
        <v>64</v>
      </c>
      <c r="D153" s="14" t="n">
        <v>2</v>
      </c>
      <c r="E153" s="14" t="n">
        <f aca="false">L64</f>
        <v>0</v>
      </c>
      <c r="F153" s="19" t="n">
        <f aca="false">M64</f>
        <v>808.632729102868</v>
      </c>
      <c r="G153" s="19" t="n">
        <f aca="false">N64</f>
        <v>64.3812022218166</v>
      </c>
      <c r="H153" s="14" t="n">
        <f aca="false">O64</f>
        <v>48</v>
      </c>
      <c r="I153" s="16" t="n">
        <f aca="false">P64</f>
        <v>73.5983309723245</v>
      </c>
      <c r="J153" s="14" t="n">
        <f aca="false">Q64</f>
        <v>1</v>
      </c>
      <c r="K153" s="14" t="n">
        <f aca="false">IF(D153&lt;=2,1-J153,IF(D153=3,IF(AND(U153=0,H153&gt;=W_min,F153-D_dip&gt;=Floor_q),1,0),IF(AND(H153&gt;=W_min,F153&gt;=Pre_A),1,0)))</f>
        <v>0</v>
      </c>
      <c r="L153" s="14" t="n">
        <f aca="false">E153*K153</f>
        <v>0</v>
      </c>
      <c r="M153" s="19" t="n">
        <f aca="false">CHOOSE(D153,F153+Proc_S,F153+Proc_Sk,F153+D_dL,F153-Cost_A)</f>
        <v>900.632729102868</v>
      </c>
      <c r="N153" s="19" t="n">
        <f aca="false">CHOOSE(D153,(1-Tech_share)*G153,(1-Tech_share)*G153,G153+D_dT,G153)</f>
        <v>57.943081999635</v>
      </c>
      <c r="O153" s="14" t="n">
        <f aca="false">CHOOSE(D153,H153-W_lost,H153,H153,H153+W_gain)</f>
        <v>48</v>
      </c>
      <c r="P153" s="16" t="n">
        <f aca="false">CHOOSE(D153,I153,I153,I153+D_dE,I153+Close_A*(Ceil_E-I153))</f>
        <v>73.5983309723245</v>
      </c>
      <c r="Q153" s="14" t="n">
        <f aca="false">CHOOSE(D153,1,1,J153,J153)</f>
        <v>1</v>
      </c>
      <c r="R153" s="14" t="n">
        <f aca="false">IF(L153=1,IF(SUMPRODUCT(($L$35:$L$152=1)*(ABS($M$35:$M$152-M153)&lt;0.000001)*(ABS($N$35:$N$152-N153)&lt;0.000001)*($O$35:$O$152=O153)*(ABS($P$35:$P$152-P153)&lt;0.000001)*($Q$35:$Q$152=Q153)*($V$35:$V$152=V153))=0,1,0),0)</f>
        <v>0</v>
      </c>
      <c r="S153" s="14" t="n">
        <f aca="false">IF(AND(L153=1,N153&gt;=$B$4-0.000000001,P153&gt;=$B$6-0.000000001,M153&gt;=Floor_q+$B$5-0.000000001),1,0)</f>
        <v>0</v>
      </c>
      <c r="T153" s="14" t="n">
        <f aca="false">L153*(IF(1&lt;=2,1-Q153,IF(1=3,IF(AND(V153=0,O153&gt;=W_min,M153-D_dip&gt;=Floor_q),1,0),IF(AND(O153&gt;=W_min,M153&gt;=Pre_A),1,0)))+IF(2&lt;=2,1-Q153,IF(2=3,IF(AND(V153=0,O153&gt;=W_min,M153-D_dip&gt;=Floor_q),1,0),IF(AND(O153&gt;=W_min,M153&gt;=Pre_A),1,0)))+IF(3&lt;=2,1-Q153,IF(3=3,IF(AND(V153=0,O153&gt;=W_min,M153-D_dip&gt;=Floor_q),1,0),IF(AND(O153&gt;=W_min,M153&gt;=Pre_A),1,0)))+IF(4&lt;=2,1-Q153,IF(4=3,IF(AND(V153=0,O153&gt;=W_min,M153-D_dip&gt;=Floor_q),1,0),IF(AND(O153&gt;=W_min,M153&gt;=Pre_A),1,0))))</f>
        <v>0</v>
      </c>
      <c r="U153" s="14" t="n">
        <f aca="false">V64</f>
        <v>1</v>
      </c>
      <c r="V153" s="14" t="n">
        <f aca="false">CHOOSE(D153,U153,U153,1,U153)</f>
        <v>1</v>
      </c>
    </row>
    <row r="154" customFormat="false" ht="15" hidden="false" customHeight="true" outlineLevel="0" collapsed="false">
      <c r="A154" s="3" t="s">
        <v>392</v>
      </c>
      <c r="B154" s="14" t="n">
        <v>4</v>
      </c>
      <c r="C154" s="14" t="n">
        <v>64</v>
      </c>
      <c r="D154" s="14" t="n">
        <v>3</v>
      </c>
      <c r="E154" s="14" t="n">
        <f aca="false">L64</f>
        <v>0</v>
      </c>
      <c r="F154" s="19" t="n">
        <f aca="false">M64</f>
        <v>808.632729102868</v>
      </c>
      <c r="G154" s="19" t="n">
        <f aca="false">N64</f>
        <v>64.3812022218166</v>
      </c>
      <c r="H154" s="14" t="n">
        <f aca="false">O64</f>
        <v>48</v>
      </c>
      <c r="I154" s="16" t="n">
        <f aca="false">P64</f>
        <v>73.5983309723245</v>
      </c>
      <c r="J154" s="14" t="n">
        <f aca="false">Q64</f>
        <v>1</v>
      </c>
      <c r="K154" s="14" t="n">
        <f aca="false">IF(D154&lt;=2,1-J154,IF(D154=3,IF(AND(U154=0,H154&gt;=W_min,F154-D_dip&gt;=Floor_q),1,0),IF(AND(H154&gt;=W_min,F154&gt;=Pre_A),1,0)))</f>
        <v>0</v>
      </c>
      <c r="L154" s="14" t="n">
        <f aca="false">E154*K154</f>
        <v>0</v>
      </c>
      <c r="M154" s="19" t="n">
        <f aca="false">CHOOSE(D154,F154+Proc_S,F154+Proc_Sk,F154+D_dL,F154-Cost_A)</f>
        <v>773.265458205737</v>
      </c>
      <c r="N154" s="19" t="n">
        <f aca="false">CHOOSE(D154,(1-Tech_share)*G154,(1-Tech_share)*G154,G154+D_dT,G154)</f>
        <v>99.0158713571684</v>
      </c>
      <c r="O154" s="14" t="n">
        <f aca="false">CHOOSE(D154,H154-W_lost,H154,H154,H154+W_gain)</f>
        <v>48</v>
      </c>
      <c r="P154" s="16" t="n">
        <f aca="false">CHOOSE(D154,I154,I154,I154+D_dE,I154+Close_A*(Ceil_E-I154))</f>
        <v>76.1966619446489</v>
      </c>
      <c r="Q154" s="14" t="n">
        <f aca="false">CHOOSE(D154,1,1,J154,J154)</f>
        <v>1</v>
      </c>
      <c r="R154" s="14" t="n">
        <f aca="false">IF(L154=1,IF(SUMPRODUCT(($L$35:$L$153=1)*(ABS($M$35:$M$153-M154)&lt;0.000001)*(ABS($N$35:$N$153-N154)&lt;0.000001)*($O$35:$O$153=O154)*(ABS($P$35:$P$153-P154)&lt;0.000001)*($Q$35:$Q$153=Q154)*($V$35:$V$153=V154))=0,1,0),0)</f>
        <v>0</v>
      </c>
      <c r="S154" s="14" t="n">
        <f aca="false">IF(AND(L154=1,N154&gt;=$B$4-0.000000001,P154&gt;=$B$6-0.000000001,M154&gt;=Floor_q+$B$5-0.000000001),1,0)</f>
        <v>0</v>
      </c>
      <c r="T154" s="14" t="n">
        <f aca="false">L154*(IF(1&lt;=2,1-Q154,IF(1=3,IF(AND(V154=0,O154&gt;=W_min,M154-D_dip&gt;=Floor_q),1,0),IF(AND(O154&gt;=W_min,M154&gt;=Pre_A),1,0)))+IF(2&lt;=2,1-Q154,IF(2=3,IF(AND(V154=0,O154&gt;=W_min,M154-D_dip&gt;=Floor_q),1,0),IF(AND(O154&gt;=W_min,M154&gt;=Pre_A),1,0)))+IF(3&lt;=2,1-Q154,IF(3=3,IF(AND(V154=0,O154&gt;=W_min,M154-D_dip&gt;=Floor_q),1,0),IF(AND(O154&gt;=W_min,M154&gt;=Pre_A),1,0)))+IF(4&lt;=2,1-Q154,IF(4=3,IF(AND(V154=0,O154&gt;=W_min,M154-D_dip&gt;=Floor_q),1,0),IF(AND(O154&gt;=W_min,M154&gt;=Pre_A),1,0))))</f>
        <v>0</v>
      </c>
      <c r="U154" s="14" t="n">
        <f aca="false">V64</f>
        <v>1</v>
      </c>
      <c r="V154" s="14" t="n">
        <f aca="false">CHOOSE(D154,U154,U154,1,U154)</f>
        <v>1</v>
      </c>
    </row>
    <row r="155" customFormat="false" ht="15" hidden="false" customHeight="true" outlineLevel="0" collapsed="false">
      <c r="A155" s="3" t="s">
        <v>393</v>
      </c>
      <c r="B155" s="14" t="n">
        <v>4</v>
      </c>
      <c r="C155" s="14" t="n">
        <v>64</v>
      </c>
      <c r="D155" s="14" t="n">
        <v>4</v>
      </c>
      <c r="E155" s="14" t="n">
        <f aca="false">L64</f>
        <v>0</v>
      </c>
      <c r="F155" s="19" t="n">
        <f aca="false">M64</f>
        <v>808.632729102868</v>
      </c>
      <c r="G155" s="19" t="n">
        <f aca="false">N64</f>
        <v>64.3812022218166</v>
      </c>
      <c r="H155" s="14" t="n">
        <f aca="false">O64</f>
        <v>48</v>
      </c>
      <c r="I155" s="16" t="n">
        <f aca="false">P64</f>
        <v>73.5983309723245</v>
      </c>
      <c r="J155" s="14" t="n">
        <f aca="false">Q64</f>
        <v>1</v>
      </c>
      <c r="K155" s="14" t="n">
        <f aca="false">IF(D155&lt;=2,1-J155,IF(D155=3,IF(AND(U155=0,H155&gt;=W_min,F155-D_dip&gt;=Floor_q),1,0),IF(AND(H155&gt;=W_min,F155&gt;=Pre_A),1,0)))</f>
        <v>0</v>
      </c>
      <c r="L155" s="14" t="n">
        <f aca="false">E155*K155</f>
        <v>0</v>
      </c>
      <c r="M155" s="19" t="n">
        <f aca="false">CHOOSE(D155,F155+Proc_S,F155+Proc_Sk,F155+D_dL,F155-Cost_A)</f>
        <v>688.632729102868</v>
      </c>
      <c r="N155" s="19" t="n">
        <f aca="false">CHOOSE(D155,(1-Tech_share)*G155,(1-Tech_share)*G155,G155+D_dT,G155)</f>
        <v>64.3812022218166</v>
      </c>
      <c r="O155" s="14" t="n">
        <f aca="false">CHOOSE(D155,H155-W_lost,H155,H155,H155+W_gain)</f>
        <v>49</v>
      </c>
      <c r="P155" s="16" t="n">
        <f aca="false">CHOOSE(D155,I155,I155,I155+D_dE,I155+Close_A*(Ceil_E-I155))</f>
        <v>79.2991654861622</v>
      </c>
      <c r="Q155" s="14" t="n">
        <f aca="false">CHOOSE(D155,1,1,J155,J155)</f>
        <v>1</v>
      </c>
      <c r="R155" s="14" t="n">
        <f aca="false">IF(L155=1,IF(SUMPRODUCT(($L$35:$L$154=1)*(ABS($M$35:$M$154-M155)&lt;0.000001)*(ABS($N$35:$N$154-N155)&lt;0.000001)*($O$35:$O$154=O155)*(ABS($P$35:$P$154-P155)&lt;0.000001)*($Q$35:$Q$154=Q155)*($V$35:$V$154=V155))=0,1,0),0)</f>
        <v>0</v>
      </c>
      <c r="S155" s="14" t="n">
        <f aca="false">IF(AND(L155=1,N155&gt;=$B$4-0.000000001,P155&gt;=$B$6-0.000000001,M155&gt;=Floor_q+$B$5-0.000000001),1,0)</f>
        <v>0</v>
      </c>
      <c r="T155" s="14" t="n">
        <f aca="false">L155*(IF(1&lt;=2,1-Q155,IF(1=3,IF(AND(V155=0,O155&gt;=W_min,M155-D_dip&gt;=Floor_q),1,0),IF(AND(O155&gt;=W_min,M155&gt;=Pre_A),1,0)))+IF(2&lt;=2,1-Q155,IF(2=3,IF(AND(V155=0,O155&gt;=W_min,M155-D_dip&gt;=Floor_q),1,0),IF(AND(O155&gt;=W_min,M155&gt;=Pre_A),1,0)))+IF(3&lt;=2,1-Q155,IF(3=3,IF(AND(V155=0,O155&gt;=W_min,M155-D_dip&gt;=Floor_q),1,0),IF(AND(O155&gt;=W_min,M155&gt;=Pre_A),1,0)))+IF(4&lt;=2,1-Q155,IF(4=3,IF(AND(V155=0,O155&gt;=W_min,M155-D_dip&gt;=Floor_q),1,0),IF(AND(O155&gt;=W_min,M155&gt;=Pre_A),1,0))))</f>
        <v>0</v>
      </c>
      <c r="U155" s="14" t="n">
        <f aca="false">V64</f>
        <v>1</v>
      </c>
      <c r="V155" s="14" t="n">
        <f aca="false">CHOOSE(D155,U155,U155,1,U155)</f>
        <v>1</v>
      </c>
    </row>
    <row r="156" customFormat="false" ht="15" hidden="false" customHeight="true" outlineLevel="0" collapsed="false">
      <c r="A156" s="3" t="s">
        <v>394</v>
      </c>
      <c r="B156" s="14" t="n">
        <v>4</v>
      </c>
      <c r="C156" s="14" t="n">
        <v>65</v>
      </c>
      <c r="D156" s="14" t="n">
        <v>1</v>
      </c>
      <c r="E156" s="14" t="n">
        <f aca="false">L65</f>
        <v>0</v>
      </c>
      <c r="F156" s="19" t="n">
        <f aca="false">M65</f>
        <v>788.632729102868</v>
      </c>
      <c r="G156" s="19" t="n">
        <f aca="false">N65</f>
        <v>64.3812022218166</v>
      </c>
      <c r="H156" s="14" t="n">
        <f aca="false">O65</f>
        <v>53</v>
      </c>
      <c r="I156" s="16" t="n">
        <f aca="false">P65</f>
        <v>73.5983309723245</v>
      </c>
      <c r="J156" s="14" t="n">
        <f aca="false">Q65</f>
        <v>1</v>
      </c>
      <c r="K156" s="14" t="n">
        <f aca="false">IF(D156&lt;=2,1-J156,IF(D156=3,IF(AND(U156=0,H156&gt;=W_min,F156-D_dip&gt;=Floor_q),1,0),IF(AND(H156&gt;=W_min,F156&gt;=Pre_A),1,0)))</f>
        <v>0</v>
      </c>
      <c r="L156" s="14" t="n">
        <f aca="false">E156*K156</f>
        <v>0</v>
      </c>
      <c r="M156" s="19" t="n">
        <f aca="false">CHOOSE(D156,F156+Proc_S,F156+Proc_Sk,F156+D_dL,F156-Cost_A)</f>
        <v>900.632729102868</v>
      </c>
      <c r="N156" s="19" t="n">
        <f aca="false">CHOOSE(D156,(1-Tech_share)*G156,(1-Tech_share)*G156,G156+D_dT,G156)</f>
        <v>57.943081999635</v>
      </c>
      <c r="O156" s="14" t="n">
        <f aca="false">CHOOSE(D156,H156-W_lost,H156,H156,H156+W_gain)</f>
        <v>48</v>
      </c>
      <c r="P156" s="16" t="n">
        <f aca="false">CHOOSE(D156,I156,I156,I156+D_dE,I156+Close_A*(Ceil_E-I156))</f>
        <v>73.5983309723245</v>
      </c>
      <c r="Q156" s="14" t="n">
        <f aca="false">CHOOSE(D156,1,1,J156,J156)</f>
        <v>1</v>
      </c>
      <c r="R156" s="14" t="n">
        <f aca="false">IF(L156=1,IF(SUMPRODUCT(($L$35:$L$155=1)*(ABS($M$35:$M$155-M156)&lt;0.000001)*(ABS($N$35:$N$155-N156)&lt;0.000001)*($O$35:$O$155=O156)*(ABS($P$35:$P$155-P156)&lt;0.000001)*($Q$35:$Q$155=Q156)*($V$35:$V$155=V156))=0,1,0),0)</f>
        <v>0</v>
      </c>
      <c r="S156" s="14" t="n">
        <f aca="false">IF(AND(L156=1,N156&gt;=$B$4-0.000000001,P156&gt;=$B$6-0.000000001,M156&gt;=Floor_q+$B$5-0.000000001),1,0)</f>
        <v>0</v>
      </c>
      <c r="T156" s="14" t="n">
        <f aca="false">L156*(IF(1&lt;=2,1-Q156,IF(1=3,IF(AND(V156=0,O156&gt;=W_min,M156-D_dip&gt;=Floor_q),1,0),IF(AND(O156&gt;=W_min,M156&gt;=Pre_A),1,0)))+IF(2&lt;=2,1-Q156,IF(2=3,IF(AND(V156=0,O156&gt;=W_min,M156-D_dip&gt;=Floor_q),1,0),IF(AND(O156&gt;=W_min,M156&gt;=Pre_A),1,0)))+IF(3&lt;=2,1-Q156,IF(3=3,IF(AND(V156=0,O156&gt;=W_min,M156-D_dip&gt;=Floor_q),1,0),IF(AND(O156&gt;=W_min,M156&gt;=Pre_A),1,0)))+IF(4&lt;=2,1-Q156,IF(4=3,IF(AND(V156=0,O156&gt;=W_min,M156-D_dip&gt;=Floor_q),1,0),IF(AND(O156&gt;=W_min,M156&gt;=Pre_A),1,0))))</f>
        <v>0</v>
      </c>
      <c r="U156" s="14" t="n">
        <f aca="false">V65</f>
        <v>1</v>
      </c>
      <c r="V156" s="14" t="n">
        <f aca="false">CHOOSE(D156,U156,U156,1,U156)</f>
        <v>1</v>
      </c>
    </row>
    <row r="157" customFormat="false" ht="15" hidden="false" customHeight="true" outlineLevel="0" collapsed="false">
      <c r="A157" s="3" t="s">
        <v>395</v>
      </c>
      <c r="B157" s="14" t="n">
        <v>4</v>
      </c>
      <c r="C157" s="14" t="n">
        <v>65</v>
      </c>
      <c r="D157" s="14" t="n">
        <v>2</v>
      </c>
      <c r="E157" s="14" t="n">
        <f aca="false">L65</f>
        <v>0</v>
      </c>
      <c r="F157" s="19" t="n">
        <f aca="false">M65</f>
        <v>788.632729102868</v>
      </c>
      <c r="G157" s="19" t="n">
        <f aca="false">N65</f>
        <v>64.3812022218166</v>
      </c>
      <c r="H157" s="14" t="n">
        <f aca="false">O65</f>
        <v>53</v>
      </c>
      <c r="I157" s="16" t="n">
        <f aca="false">P65</f>
        <v>73.5983309723245</v>
      </c>
      <c r="J157" s="14" t="n">
        <f aca="false">Q65</f>
        <v>1</v>
      </c>
      <c r="K157" s="14" t="n">
        <f aca="false">IF(D157&lt;=2,1-J157,IF(D157=3,IF(AND(U157=0,H157&gt;=W_min,F157-D_dip&gt;=Floor_q),1,0),IF(AND(H157&gt;=W_min,F157&gt;=Pre_A),1,0)))</f>
        <v>0</v>
      </c>
      <c r="L157" s="14" t="n">
        <f aca="false">E157*K157</f>
        <v>0</v>
      </c>
      <c r="M157" s="19" t="n">
        <f aca="false">CHOOSE(D157,F157+Proc_S,F157+Proc_Sk,F157+D_dL,F157-Cost_A)</f>
        <v>880.632729102868</v>
      </c>
      <c r="N157" s="19" t="n">
        <f aca="false">CHOOSE(D157,(1-Tech_share)*G157,(1-Tech_share)*G157,G157+D_dT,G157)</f>
        <v>57.943081999635</v>
      </c>
      <c r="O157" s="14" t="n">
        <f aca="false">CHOOSE(D157,H157-W_lost,H157,H157,H157+W_gain)</f>
        <v>53</v>
      </c>
      <c r="P157" s="16" t="n">
        <f aca="false">CHOOSE(D157,I157,I157,I157+D_dE,I157+Close_A*(Ceil_E-I157))</f>
        <v>73.5983309723245</v>
      </c>
      <c r="Q157" s="14" t="n">
        <f aca="false">CHOOSE(D157,1,1,J157,J157)</f>
        <v>1</v>
      </c>
      <c r="R157" s="14" t="n">
        <f aca="false">IF(L157=1,IF(SUMPRODUCT(($L$35:$L$156=1)*(ABS($M$35:$M$156-M157)&lt;0.000001)*(ABS($N$35:$N$156-N157)&lt;0.000001)*($O$35:$O$156=O157)*(ABS($P$35:$P$156-P157)&lt;0.000001)*($Q$35:$Q$156=Q157)*($V$35:$V$156=V157))=0,1,0),0)</f>
        <v>0</v>
      </c>
      <c r="S157" s="14" t="n">
        <f aca="false">IF(AND(L157=1,N157&gt;=$B$4-0.000000001,P157&gt;=$B$6-0.000000001,M157&gt;=Floor_q+$B$5-0.000000001),1,0)</f>
        <v>0</v>
      </c>
      <c r="T157" s="14" t="n">
        <f aca="false">L157*(IF(1&lt;=2,1-Q157,IF(1=3,IF(AND(V157=0,O157&gt;=W_min,M157-D_dip&gt;=Floor_q),1,0),IF(AND(O157&gt;=W_min,M157&gt;=Pre_A),1,0)))+IF(2&lt;=2,1-Q157,IF(2=3,IF(AND(V157=0,O157&gt;=W_min,M157-D_dip&gt;=Floor_q),1,0),IF(AND(O157&gt;=W_min,M157&gt;=Pre_A),1,0)))+IF(3&lt;=2,1-Q157,IF(3=3,IF(AND(V157=0,O157&gt;=W_min,M157-D_dip&gt;=Floor_q),1,0),IF(AND(O157&gt;=W_min,M157&gt;=Pre_A),1,0)))+IF(4&lt;=2,1-Q157,IF(4=3,IF(AND(V157=0,O157&gt;=W_min,M157-D_dip&gt;=Floor_q),1,0),IF(AND(O157&gt;=W_min,M157&gt;=Pre_A),1,0))))</f>
        <v>0</v>
      </c>
      <c r="U157" s="14" t="n">
        <f aca="false">V65</f>
        <v>1</v>
      </c>
      <c r="V157" s="14" t="n">
        <f aca="false">CHOOSE(D157,U157,U157,1,U157)</f>
        <v>1</v>
      </c>
    </row>
    <row r="158" customFormat="false" ht="15" hidden="false" customHeight="true" outlineLevel="0" collapsed="false">
      <c r="A158" s="3" t="s">
        <v>396</v>
      </c>
      <c r="B158" s="14" t="n">
        <v>4</v>
      </c>
      <c r="C158" s="14" t="n">
        <v>65</v>
      </c>
      <c r="D158" s="14" t="n">
        <v>3</v>
      </c>
      <c r="E158" s="14" t="n">
        <f aca="false">L65</f>
        <v>0</v>
      </c>
      <c r="F158" s="19" t="n">
        <f aca="false">M65</f>
        <v>788.632729102868</v>
      </c>
      <c r="G158" s="19" t="n">
        <f aca="false">N65</f>
        <v>64.3812022218166</v>
      </c>
      <c r="H158" s="14" t="n">
        <f aca="false">O65</f>
        <v>53</v>
      </c>
      <c r="I158" s="16" t="n">
        <f aca="false">P65</f>
        <v>73.5983309723245</v>
      </c>
      <c r="J158" s="14" t="n">
        <f aca="false">Q65</f>
        <v>1</v>
      </c>
      <c r="K158" s="14" t="n">
        <f aca="false">IF(D158&lt;=2,1-J158,IF(D158=3,IF(AND(U158=0,H158&gt;=W_min,F158-D_dip&gt;=Floor_q),1,0),IF(AND(H158&gt;=W_min,F158&gt;=Pre_A),1,0)))</f>
        <v>0</v>
      </c>
      <c r="L158" s="14" t="n">
        <f aca="false">E158*K158</f>
        <v>0</v>
      </c>
      <c r="M158" s="19" t="n">
        <f aca="false">CHOOSE(D158,F158+Proc_S,F158+Proc_Sk,F158+D_dL,F158-Cost_A)</f>
        <v>753.265458205737</v>
      </c>
      <c r="N158" s="19" t="n">
        <f aca="false">CHOOSE(D158,(1-Tech_share)*G158,(1-Tech_share)*G158,G158+D_dT,G158)</f>
        <v>99.0158713571684</v>
      </c>
      <c r="O158" s="14" t="n">
        <f aca="false">CHOOSE(D158,H158-W_lost,H158,H158,H158+W_gain)</f>
        <v>53</v>
      </c>
      <c r="P158" s="16" t="n">
        <f aca="false">CHOOSE(D158,I158,I158,I158+D_dE,I158+Close_A*(Ceil_E-I158))</f>
        <v>76.1966619446489</v>
      </c>
      <c r="Q158" s="14" t="n">
        <f aca="false">CHOOSE(D158,1,1,J158,J158)</f>
        <v>1</v>
      </c>
      <c r="R158" s="14" t="n">
        <f aca="false">IF(L158=1,IF(SUMPRODUCT(($L$35:$L$157=1)*(ABS($M$35:$M$157-M158)&lt;0.000001)*(ABS($N$35:$N$157-N158)&lt;0.000001)*($O$35:$O$157=O158)*(ABS($P$35:$P$157-P158)&lt;0.000001)*($Q$35:$Q$157=Q158)*($V$35:$V$157=V158))=0,1,0),0)</f>
        <v>0</v>
      </c>
      <c r="S158" s="14" t="n">
        <f aca="false">IF(AND(L158=1,N158&gt;=$B$4-0.000000001,P158&gt;=$B$6-0.000000001,M158&gt;=Floor_q+$B$5-0.000000001),1,0)</f>
        <v>0</v>
      </c>
      <c r="T158" s="14" t="n">
        <f aca="false">L158*(IF(1&lt;=2,1-Q158,IF(1=3,IF(AND(V158=0,O158&gt;=W_min,M158-D_dip&gt;=Floor_q),1,0),IF(AND(O158&gt;=W_min,M158&gt;=Pre_A),1,0)))+IF(2&lt;=2,1-Q158,IF(2=3,IF(AND(V158=0,O158&gt;=W_min,M158-D_dip&gt;=Floor_q),1,0),IF(AND(O158&gt;=W_min,M158&gt;=Pre_A),1,0)))+IF(3&lt;=2,1-Q158,IF(3=3,IF(AND(V158=0,O158&gt;=W_min,M158-D_dip&gt;=Floor_q),1,0),IF(AND(O158&gt;=W_min,M158&gt;=Pre_A),1,0)))+IF(4&lt;=2,1-Q158,IF(4=3,IF(AND(V158=0,O158&gt;=W_min,M158-D_dip&gt;=Floor_q),1,0),IF(AND(O158&gt;=W_min,M158&gt;=Pre_A),1,0))))</f>
        <v>0</v>
      </c>
      <c r="U158" s="14" t="n">
        <f aca="false">V65</f>
        <v>1</v>
      </c>
      <c r="V158" s="14" t="n">
        <f aca="false">CHOOSE(D158,U158,U158,1,U158)</f>
        <v>1</v>
      </c>
    </row>
    <row r="159" customFormat="false" ht="15" hidden="false" customHeight="true" outlineLevel="0" collapsed="false">
      <c r="A159" s="3" t="s">
        <v>397</v>
      </c>
      <c r="B159" s="14" t="n">
        <v>4</v>
      </c>
      <c r="C159" s="14" t="n">
        <v>65</v>
      </c>
      <c r="D159" s="14" t="n">
        <v>4</v>
      </c>
      <c r="E159" s="14" t="n">
        <f aca="false">L65</f>
        <v>0</v>
      </c>
      <c r="F159" s="19" t="n">
        <f aca="false">M65</f>
        <v>788.632729102868</v>
      </c>
      <c r="G159" s="19" t="n">
        <f aca="false">N65</f>
        <v>64.3812022218166</v>
      </c>
      <c r="H159" s="14" t="n">
        <f aca="false">O65</f>
        <v>53</v>
      </c>
      <c r="I159" s="16" t="n">
        <f aca="false">P65</f>
        <v>73.5983309723245</v>
      </c>
      <c r="J159" s="14" t="n">
        <f aca="false">Q65</f>
        <v>1</v>
      </c>
      <c r="K159" s="14" t="n">
        <f aca="false">IF(D159&lt;=2,1-J159,IF(D159=3,IF(AND(U159=0,H159&gt;=W_min,F159-D_dip&gt;=Floor_q),1,0),IF(AND(H159&gt;=W_min,F159&gt;=Pre_A),1,0)))</f>
        <v>0</v>
      </c>
      <c r="L159" s="14" t="n">
        <f aca="false">E159*K159</f>
        <v>0</v>
      </c>
      <c r="M159" s="19" t="n">
        <f aca="false">CHOOSE(D159,F159+Proc_S,F159+Proc_Sk,F159+D_dL,F159-Cost_A)</f>
        <v>668.632729102868</v>
      </c>
      <c r="N159" s="19" t="n">
        <f aca="false">CHOOSE(D159,(1-Tech_share)*G159,(1-Tech_share)*G159,G159+D_dT,G159)</f>
        <v>64.3812022218166</v>
      </c>
      <c r="O159" s="14" t="n">
        <f aca="false">CHOOSE(D159,H159-W_lost,H159,H159,H159+W_gain)</f>
        <v>54</v>
      </c>
      <c r="P159" s="16" t="n">
        <f aca="false">CHOOSE(D159,I159,I159,I159+D_dE,I159+Close_A*(Ceil_E-I159))</f>
        <v>79.2991654861622</v>
      </c>
      <c r="Q159" s="14" t="n">
        <f aca="false">CHOOSE(D159,1,1,J159,J159)</f>
        <v>1</v>
      </c>
      <c r="R159" s="14" t="n">
        <f aca="false">IF(L159=1,IF(SUMPRODUCT(($L$35:$L$158=1)*(ABS($M$35:$M$158-M159)&lt;0.000001)*(ABS($N$35:$N$158-N159)&lt;0.000001)*($O$35:$O$158=O159)*(ABS($P$35:$P$158-P159)&lt;0.000001)*($Q$35:$Q$158=Q159)*($V$35:$V$158=V159))=0,1,0),0)</f>
        <v>0</v>
      </c>
      <c r="S159" s="14" t="n">
        <f aca="false">IF(AND(L159=1,N159&gt;=$B$4-0.000000001,P159&gt;=$B$6-0.000000001,M159&gt;=Floor_q+$B$5-0.000000001),1,0)</f>
        <v>0</v>
      </c>
      <c r="T159" s="14" t="n">
        <f aca="false">L159*(IF(1&lt;=2,1-Q159,IF(1=3,IF(AND(V159=0,O159&gt;=W_min,M159-D_dip&gt;=Floor_q),1,0),IF(AND(O159&gt;=W_min,M159&gt;=Pre_A),1,0)))+IF(2&lt;=2,1-Q159,IF(2=3,IF(AND(V159=0,O159&gt;=W_min,M159-D_dip&gt;=Floor_q),1,0),IF(AND(O159&gt;=W_min,M159&gt;=Pre_A),1,0)))+IF(3&lt;=2,1-Q159,IF(3=3,IF(AND(V159=0,O159&gt;=W_min,M159-D_dip&gt;=Floor_q),1,0),IF(AND(O159&gt;=W_min,M159&gt;=Pre_A),1,0)))+IF(4&lt;=2,1-Q159,IF(4=3,IF(AND(V159=0,O159&gt;=W_min,M159-D_dip&gt;=Floor_q),1,0),IF(AND(O159&gt;=W_min,M159&gt;=Pre_A),1,0))))</f>
        <v>0</v>
      </c>
      <c r="U159" s="14" t="n">
        <f aca="false">V65</f>
        <v>1</v>
      </c>
      <c r="V159" s="14" t="n">
        <f aca="false">CHOOSE(D159,U159,U159,1,U159)</f>
        <v>1</v>
      </c>
    </row>
    <row r="160" customFormat="false" ht="15" hidden="false" customHeight="true" outlineLevel="0" collapsed="false">
      <c r="A160" s="3" t="s">
        <v>398</v>
      </c>
      <c r="B160" s="14" t="n">
        <v>4</v>
      </c>
      <c r="C160" s="14" t="n">
        <v>66</v>
      </c>
      <c r="D160" s="14" t="n">
        <v>1</v>
      </c>
      <c r="E160" s="14" t="n">
        <f aca="false">L66</f>
        <v>0</v>
      </c>
      <c r="F160" s="19" t="n">
        <f aca="false">M66</f>
        <v>661.265458205737</v>
      </c>
      <c r="G160" s="19" t="n">
        <f aca="false">N66</f>
        <v>106.169338270704</v>
      </c>
      <c r="H160" s="14" t="n">
        <f aca="false">O66</f>
        <v>53</v>
      </c>
      <c r="I160" s="16" t="n">
        <f aca="false">P66</f>
        <v>76.1966619446489</v>
      </c>
      <c r="J160" s="14" t="n">
        <f aca="false">Q66</f>
        <v>1</v>
      </c>
      <c r="K160" s="14" t="n">
        <f aca="false">IF(D160&lt;=2,1-J160,IF(D160=3,IF(AND(U160=0,H160&gt;=W_min,F160-D_dip&gt;=Floor_q),1,0),IF(AND(H160&gt;=W_min,F160&gt;=Pre_A),1,0)))</f>
        <v>0</v>
      </c>
      <c r="L160" s="14" t="n">
        <f aca="false">E160*K160</f>
        <v>0</v>
      </c>
      <c r="M160" s="19" t="n">
        <f aca="false">CHOOSE(D160,F160+Proc_S,F160+Proc_Sk,F160+D_dL,F160-Cost_A)</f>
        <v>773.265458205737</v>
      </c>
      <c r="N160" s="19" t="n">
        <f aca="false">CHOOSE(D160,(1-Tech_share)*G160,(1-Tech_share)*G160,G160+D_dT,G160)</f>
        <v>95.5524044436333</v>
      </c>
      <c r="O160" s="14" t="n">
        <f aca="false">CHOOSE(D160,H160-W_lost,H160,H160,H160+W_gain)</f>
        <v>48</v>
      </c>
      <c r="P160" s="16" t="n">
        <f aca="false">CHOOSE(D160,I160,I160,I160+D_dE,I160+Close_A*(Ceil_E-I160))</f>
        <v>76.1966619446489</v>
      </c>
      <c r="Q160" s="14" t="n">
        <f aca="false">CHOOSE(D160,1,1,J160,J160)</f>
        <v>1</v>
      </c>
      <c r="R160" s="14" t="n">
        <f aca="false">IF(L160=1,IF(SUMPRODUCT(($L$35:$L$159=1)*(ABS($M$35:$M$159-M160)&lt;0.000001)*(ABS($N$35:$N$159-N160)&lt;0.000001)*($O$35:$O$159=O160)*(ABS($P$35:$P$159-P160)&lt;0.000001)*($Q$35:$Q$159=Q160)*($V$35:$V$159=V160))=0,1,0),0)</f>
        <v>0</v>
      </c>
      <c r="S160" s="14" t="n">
        <f aca="false">IF(AND(L160=1,N160&gt;=$B$4-0.000000001,P160&gt;=$B$6-0.000000001,M160&gt;=Floor_q+$B$5-0.000000001),1,0)</f>
        <v>0</v>
      </c>
      <c r="T160" s="14" t="n">
        <f aca="false">L160*(IF(1&lt;=2,1-Q160,IF(1=3,IF(AND(V160=0,O160&gt;=W_min,M160-D_dip&gt;=Floor_q),1,0),IF(AND(O160&gt;=W_min,M160&gt;=Pre_A),1,0)))+IF(2&lt;=2,1-Q160,IF(2=3,IF(AND(V160=0,O160&gt;=W_min,M160-D_dip&gt;=Floor_q),1,0),IF(AND(O160&gt;=W_min,M160&gt;=Pre_A),1,0)))+IF(3&lt;=2,1-Q160,IF(3=3,IF(AND(V160=0,O160&gt;=W_min,M160-D_dip&gt;=Floor_q),1,0),IF(AND(O160&gt;=W_min,M160&gt;=Pre_A),1,0)))+IF(4&lt;=2,1-Q160,IF(4=3,IF(AND(V160=0,O160&gt;=W_min,M160-D_dip&gt;=Floor_q),1,0),IF(AND(O160&gt;=W_min,M160&gt;=Pre_A),1,0))))</f>
        <v>0</v>
      </c>
      <c r="U160" s="14" t="n">
        <f aca="false">V66</f>
        <v>1</v>
      </c>
      <c r="V160" s="14" t="n">
        <f aca="false">CHOOSE(D160,U160,U160,1,U160)</f>
        <v>1</v>
      </c>
    </row>
    <row r="161" customFormat="false" ht="15" hidden="false" customHeight="true" outlineLevel="0" collapsed="false">
      <c r="A161" s="3" t="s">
        <v>399</v>
      </c>
      <c r="B161" s="14" t="n">
        <v>4</v>
      </c>
      <c r="C161" s="14" t="n">
        <v>66</v>
      </c>
      <c r="D161" s="14" t="n">
        <v>2</v>
      </c>
      <c r="E161" s="14" t="n">
        <f aca="false">L66</f>
        <v>0</v>
      </c>
      <c r="F161" s="19" t="n">
        <f aca="false">M66</f>
        <v>661.265458205737</v>
      </c>
      <c r="G161" s="19" t="n">
        <f aca="false">N66</f>
        <v>106.169338270704</v>
      </c>
      <c r="H161" s="14" t="n">
        <f aca="false">O66</f>
        <v>53</v>
      </c>
      <c r="I161" s="16" t="n">
        <f aca="false">P66</f>
        <v>76.1966619446489</v>
      </c>
      <c r="J161" s="14" t="n">
        <f aca="false">Q66</f>
        <v>1</v>
      </c>
      <c r="K161" s="14" t="n">
        <f aca="false">IF(D161&lt;=2,1-J161,IF(D161=3,IF(AND(U161=0,H161&gt;=W_min,F161-D_dip&gt;=Floor_q),1,0),IF(AND(H161&gt;=W_min,F161&gt;=Pre_A),1,0)))</f>
        <v>0</v>
      </c>
      <c r="L161" s="14" t="n">
        <f aca="false">E161*K161</f>
        <v>0</v>
      </c>
      <c r="M161" s="19" t="n">
        <f aca="false">CHOOSE(D161,F161+Proc_S,F161+Proc_Sk,F161+D_dL,F161-Cost_A)</f>
        <v>753.265458205737</v>
      </c>
      <c r="N161" s="19" t="n">
        <f aca="false">CHOOSE(D161,(1-Tech_share)*G161,(1-Tech_share)*G161,G161+D_dT,G161)</f>
        <v>95.5524044436333</v>
      </c>
      <c r="O161" s="14" t="n">
        <f aca="false">CHOOSE(D161,H161-W_lost,H161,H161,H161+W_gain)</f>
        <v>53</v>
      </c>
      <c r="P161" s="16" t="n">
        <f aca="false">CHOOSE(D161,I161,I161,I161+D_dE,I161+Close_A*(Ceil_E-I161))</f>
        <v>76.1966619446489</v>
      </c>
      <c r="Q161" s="14" t="n">
        <f aca="false">CHOOSE(D161,1,1,J161,J161)</f>
        <v>1</v>
      </c>
      <c r="R161" s="14" t="n">
        <f aca="false">IF(L161=1,IF(SUMPRODUCT(($L$35:$L$160=1)*(ABS($M$35:$M$160-M161)&lt;0.000001)*(ABS($N$35:$N$160-N161)&lt;0.000001)*($O$35:$O$160=O161)*(ABS($P$35:$P$160-P161)&lt;0.000001)*($Q$35:$Q$160=Q161)*($V$35:$V$160=V161))=0,1,0),0)</f>
        <v>0</v>
      </c>
      <c r="S161" s="14" t="n">
        <f aca="false">IF(AND(L161=1,N161&gt;=$B$4-0.000000001,P161&gt;=$B$6-0.000000001,M161&gt;=Floor_q+$B$5-0.000000001),1,0)</f>
        <v>0</v>
      </c>
      <c r="T161" s="14" t="n">
        <f aca="false">L161*(IF(1&lt;=2,1-Q161,IF(1=3,IF(AND(V161=0,O161&gt;=W_min,M161-D_dip&gt;=Floor_q),1,0),IF(AND(O161&gt;=W_min,M161&gt;=Pre_A),1,0)))+IF(2&lt;=2,1-Q161,IF(2=3,IF(AND(V161=0,O161&gt;=W_min,M161-D_dip&gt;=Floor_q),1,0),IF(AND(O161&gt;=W_min,M161&gt;=Pre_A),1,0)))+IF(3&lt;=2,1-Q161,IF(3=3,IF(AND(V161=0,O161&gt;=W_min,M161-D_dip&gt;=Floor_q),1,0),IF(AND(O161&gt;=W_min,M161&gt;=Pre_A),1,0)))+IF(4&lt;=2,1-Q161,IF(4=3,IF(AND(V161=0,O161&gt;=W_min,M161-D_dip&gt;=Floor_q),1,0),IF(AND(O161&gt;=W_min,M161&gt;=Pre_A),1,0))))</f>
        <v>0</v>
      </c>
      <c r="U161" s="14" t="n">
        <f aca="false">V66</f>
        <v>1</v>
      </c>
      <c r="V161" s="14" t="n">
        <f aca="false">CHOOSE(D161,U161,U161,1,U161)</f>
        <v>1</v>
      </c>
    </row>
    <row r="162" customFormat="false" ht="15" hidden="false" customHeight="true" outlineLevel="0" collapsed="false">
      <c r="A162" s="3" t="s">
        <v>400</v>
      </c>
      <c r="B162" s="14" t="n">
        <v>4</v>
      </c>
      <c r="C162" s="14" t="n">
        <v>66</v>
      </c>
      <c r="D162" s="14" t="n">
        <v>3</v>
      </c>
      <c r="E162" s="14" t="n">
        <f aca="false">L66</f>
        <v>0</v>
      </c>
      <c r="F162" s="19" t="n">
        <f aca="false">M66</f>
        <v>661.265458205737</v>
      </c>
      <c r="G162" s="19" t="n">
        <f aca="false">N66</f>
        <v>106.169338270704</v>
      </c>
      <c r="H162" s="14" t="n">
        <f aca="false">O66</f>
        <v>53</v>
      </c>
      <c r="I162" s="16" t="n">
        <f aca="false">P66</f>
        <v>76.1966619446489</v>
      </c>
      <c r="J162" s="14" t="n">
        <f aca="false">Q66</f>
        <v>1</v>
      </c>
      <c r="K162" s="14" t="n">
        <f aca="false">IF(D162&lt;=2,1-J162,IF(D162=3,IF(AND(U162=0,H162&gt;=W_min,F162-D_dip&gt;=Floor_q),1,0),IF(AND(H162&gt;=W_min,F162&gt;=Pre_A),1,0)))</f>
        <v>0</v>
      </c>
      <c r="L162" s="14" t="n">
        <f aca="false">E162*K162</f>
        <v>0</v>
      </c>
      <c r="M162" s="19" t="n">
        <f aca="false">CHOOSE(D162,F162+Proc_S,F162+Proc_Sk,F162+D_dL,F162-Cost_A)</f>
        <v>625.898187308605</v>
      </c>
      <c r="N162" s="19" t="n">
        <f aca="false">CHOOSE(D162,(1-Tech_share)*G162,(1-Tech_share)*G162,G162+D_dT,G162)</f>
        <v>140.804007406055</v>
      </c>
      <c r="O162" s="14" t="n">
        <f aca="false">CHOOSE(D162,H162-W_lost,H162,H162,H162+W_gain)</f>
        <v>53</v>
      </c>
      <c r="P162" s="16" t="n">
        <f aca="false">CHOOSE(D162,I162,I162,I162+D_dE,I162+Close_A*(Ceil_E-I162))</f>
        <v>78.7949929169734</v>
      </c>
      <c r="Q162" s="14" t="n">
        <f aca="false">CHOOSE(D162,1,1,J162,J162)</f>
        <v>1</v>
      </c>
      <c r="R162" s="14" t="n">
        <f aca="false">IF(L162=1,IF(SUMPRODUCT(($L$35:$L$161=1)*(ABS($M$35:$M$161-M162)&lt;0.000001)*(ABS($N$35:$N$161-N162)&lt;0.000001)*($O$35:$O$161=O162)*(ABS($P$35:$P$161-P162)&lt;0.000001)*($Q$35:$Q$161=Q162)*($V$35:$V$161=V162))=0,1,0),0)</f>
        <v>0</v>
      </c>
      <c r="S162" s="14" t="n">
        <f aca="false">IF(AND(L162=1,N162&gt;=$B$4-0.000000001,P162&gt;=$B$6-0.000000001,M162&gt;=Floor_q+$B$5-0.000000001),1,0)</f>
        <v>0</v>
      </c>
      <c r="T162" s="14" t="n">
        <f aca="false">L162*(IF(1&lt;=2,1-Q162,IF(1=3,IF(AND(V162=0,O162&gt;=W_min,M162-D_dip&gt;=Floor_q),1,0),IF(AND(O162&gt;=W_min,M162&gt;=Pre_A),1,0)))+IF(2&lt;=2,1-Q162,IF(2=3,IF(AND(V162=0,O162&gt;=W_min,M162-D_dip&gt;=Floor_q),1,0),IF(AND(O162&gt;=W_min,M162&gt;=Pre_A),1,0)))+IF(3&lt;=2,1-Q162,IF(3=3,IF(AND(V162=0,O162&gt;=W_min,M162-D_dip&gt;=Floor_q),1,0),IF(AND(O162&gt;=W_min,M162&gt;=Pre_A),1,0)))+IF(4&lt;=2,1-Q162,IF(4=3,IF(AND(V162=0,O162&gt;=W_min,M162-D_dip&gt;=Floor_q),1,0),IF(AND(O162&gt;=W_min,M162&gt;=Pre_A),1,0))))</f>
        <v>0</v>
      </c>
      <c r="U162" s="14" t="n">
        <f aca="false">V66</f>
        <v>1</v>
      </c>
      <c r="V162" s="14" t="n">
        <f aca="false">CHOOSE(D162,U162,U162,1,U162)</f>
        <v>1</v>
      </c>
    </row>
    <row r="163" customFormat="false" ht="15" hidden="false" customHeight="true" outlineLevel="0" collapsed="false">
      <c r="A163" s="3" t="s">
        <v>401</v>
      </c>
      <c r="B163" s="14" t="n">
        <v>4</v>
      </c>
      <c r="C163" s="14" t="n">
        <v>66</v>
      </c>
      <c r="D163" s="14" t="n">
        <v>4</v>
      </c>
      <c r="E163" s="14" t="n">
        <f aca="false">L66</f>
        <v>0</v>
      </c>
      <c r="F163" s="19" t="n">
        <f aca="false">M66</f>
        <v>661.265458205737</v>
      </c>
      <c r="G163" s="19" t="n">
        <f aca="false">N66</f>
        <v>106.169338270704</v>
      </c>
      <c r="H163" s="14" t="n">
        <f aca="false">O66</f>
        <v>53</v>
      </c>
      <c r="I163" s="16" t="n">
        <f aca="false">P66</f>
        <v>76.1966619446489</v>
      </c>
      <c r="J163" s="14" t="n">
        <f aca="false">Q66</f>
        <v>1</v>
      </c>
      <c r="K163" s="14" t="n">
        <f aca="false">IF(D163&lt;=2,1-J163,IF(D163=3,IF(AND(U163=0,H163&gt;=W_min,F163-D_dip&gt;=Floor_q),1,0),IF(AND(H163&gt;=W_min,F163&gt;=Pre_A),1,0)))</f>
        <v>0</v>
      </c>
      <c r="L163" s="14" t="n">
        <f aca="false">E163*K163</f>
        <v>0</v>
      </c>
      <c r="M163" s="19" t="n">
        <f aca="false">CHOOSE(D163,F163+Proc_S,F163+Proc_Sk,F163+D_dL,F163-Cost_A)</f>
        <v>541.265458205737</v>
      </c>
      <c r="N163" s="19" t="n">
        <f aca="false">CHOOSE(D163,(1-Tech_share)*G163,(1-Tech_share)*G163,G163+D_dT,G163)</f>
        <v>106.169338270704</v>
      </c>
      <c r="O163" s="14" t="n">
        <f aca="false">CHOOSE(D163,H163-W_lost,H163,H163,H163+W_gain)</f>
        <v>54</v>
      </c>
      <c r="P163" s="16" t="n">
        <f aca="false">CHOOSE(D163,I163,I163,I163+D_dE,I163+Close_A*(Ceil_E-I163))</f>
        <v>80.5983309723245</v>
      </c>
      <c r="Q163" s="14" t="n">
        <f aca="false">CHOOSE(D163,1,1,J163,J163)</f>
        <v>1</v>
      </c>
      <c r="R163" s="14" t="n">
        <f aca="false">IF(L163=1,IF(SUMPRODUCT(($L$35:$L$162=1)*(ABS($M$35:$M$162-M163)&lt;0.000001)*(ABS($N$35:$N$162-N163)&lt;0.000001)*($O$35:$O$162=O163)*(ABS($P$35:$P$162-P163)&lt;0.000001)*($Q$35:$Q$162=Q163)*($V$35:$V$162=V163))=0,1,0),0)</f>
        <v>0</v>
      </c>
      <c r="S163" s="14" t="n">
        <f aca="false">IF(AND(L163=1,N163&gt;=$B$4-0.000000001,P163&gt;=$B$6-0.000000001,M163&gt;=Floor_q+$B$5-0.000000001),1,0)</f>
        <v>0</v>
      </c>
      <c r="T163" s="14" t="n">
        <f aca="false">L163*(IF(1&lt;=2,1-Q163,IF(1=3,IF(AND(V163=0,O163&gt;=W_min,M163-D_dip&gt;=Floor_q),1,0),IF(AND(O163&gt;=W_min,M163&gt;=Pre_A),1,0)))+IF(2&lt;=2,1-Q163,IF(2=3,IF(AND(V163=0,O163&gt;=W_min,M163-D_dip&gt;=Floor_q),1,0),IF(AND(O163&gt;=W_min,M163&gt;=Pre_A),1,0)))+IF(3&lt;=2,1-Q163,IF(3=3,IF(AND(V163=0,O163&gt;=W_min,M163-D_dip&gt;=Floor_q),1,0),IF(AND(O163&gt;=W_min,M163&gt;=Pre_A),1,0)))+IF(4&lt;=2,1-Q163,IF(4=3,IF(AND(V163=0,O163&gt;=W_min,M163-D_dip&gt;=Floor_q),1,0),IF(AND(O163&gt;=W_min,M163&gt;=Pre_A),1,0))))</f>
        <v>0</v>
      </c>
      <c r="U163" s="14" t="n">
        <f aca="false">V66</f>
        <v>1</v>
      </c>
      <c r="V163" s="14" t="n">
        <f aca="false">CHOOSE(D163,U163,U163,1,U163)</f>
        <v>1</v>
      </c>
    </row>
    <row r="164" customFormat="false" ht="15" hidden="false" customHeight="true" outlineLevel="0" collapsed="false">
      <c r="A164" s="3" t="s">
        <v>402</v>
      </c>
      <c r="B164" s="14" t="n">
        <v>4</v>
      </c>
      <c r="C164" s="14" t="n">
        <v>67</v>
      </c>
      <c r="D164" s="14" t="n">
        <v>1</v>
      </c>
      <c r="E164" s="14" t="n">
        <f aca="false">L67</f>
        <v>0</v>
      </c>
      <c r="F164" s="19" t="n">
        <f aca="false">M67</f>
        <v>576.632729102868</v>
      </c>
      <c r="G164" s="19" t="n">
        <f aca="false">N67</f>
        <v>71.5346691353518</v>
      </c>
      <c r="H164" s="14" t="n">
        <f aca="false">O67</f>
        <v>54</v>
      </c>
      <c r="I164" s="16" t="n">
        <f aca="false">P67</f>
        <v>79.2991654861622</v>
      </c>
      <c r="J164" s="14" t="n">
        <f aca="false">Q67</f>
        <v>1</v>
      </c>
      <c r="K164" s="14" t="n">
        <f aca="false">IF(D164&lt;=2,1-J164,IF(D164=3,IF(AND(U164=0,H164&gt;=W_min,F164-D_dip&gt;=Floor_q),1,0),IF(AND(H164&gt;=W_min,F164&gt;=Pre_A),1,0)))</f>
        <v>0</v>
      </c>
      <c r="L164" s="14" t="n">
        <f aca="false">E164*K164</f>
        <v>0</v>
      </c>
      <c r="M164" s="19" t="n">
        <f aca="false">CHOOSE(D164,F164+Proc_S,F164+Proc_Sk,F164+D_dL,F164-Cost_A)</f>
        <v>688.632729102868</v>
      </c>
      <c r="N164" s="19" t="n">
        <f aca="false">CHOOSE(D164,(1-Tech_share)*G164,(1-Tech_share)*G164,G164+D_dT,G164)</f>
        <v>64.3812022218166</v>
      </c>
      <c r="O164" s="14" t="n">
        <f aca="false">CHOOSE(D164,H164-W_lost,H164,H164,H164+W_gain)</f>
        <v>49</v>
      </c>
      <c r="P164" s="16" t="n">
        <f aca="false">CHOOSE(D164,I164,I164,I164+D_dE,I164+Close_A*(Ceil_E-I164))</f>
        <v>79.2991654861622</v>
      </c>
      <c r="Q164" s="14" t="n">
        <f aca="false">CHOOSE(D164,1,1,J164,J164)</f>
        <v>1</v>
      </c>
      <c r="R164" s="14" t="n">
        <f aca="false">IF(L164=1,IF(SUMPRODUCT(($L$35:$L$163=1)*(ABS($M$35:$M$163-M164)&lt;0.000001)*(ABS($N$35:$N$163-N164)&lt;0.000001)*($O$35:$O$163=O164)*(ABS($P$35:$P$163-P164)&lt;0.000001)*($Q$35:$Q$163=Q164)*($V$35:$V$163=V164))=0,1,0),0)</f>
        <v>0</v>
      </c>
      <c r="S164" s="14" t="n">
        <f aca="false">IF(AND(L164=1,N164&gt;=$B$4-0.000000001,P164&gt;=$B$6-0.000000001,M164&gt;=Floor_q+$B$5-0.000000001),1,0)</f>
        <v>0</v>
      </c>
      <c r="T164" s="14" t="n">
        <f aca="false">L164*(IF(1&lt;=2,1-Q164,IF(1=3,IF(AND(V164=0,O164&gt;=W_min,M164-D_dip&gt;=Floor_q),1,0),IF(AND(O164&gt;=W_min,M164&gt;=Pre_A),1,0)))+IF(2&lt;=2,1-Q164,IF(2=3,IF(AND(V164=0,O164&gt;=W_min,M164-D_dip&gt;=Floor_q),1,0),IF(AND(O164&gt;=W_min,M164&gt;=Pre_A),1,0)))+IF(3&lt;=2,1-Q164,IF(3=3,IF(AND(V164=0,O164&gt;=W_min,M164-D_dip&gt;=Floor_q),1,0),IF(AND(O164&gt;=W_min,M164&gt;=Pre_A),1,0)))+IF(4&lt;=2,1-Q164,IF(4=3,IF(AND(V164=0,O164&gt;=W_min,M164-D_dip&gt;=Floor_q),1,0),IF(AND(O164&gt;=W_min,M164&gt;=Pre_A),1,0))))</f>
        <v>0</v>
      </c>
      <c r="U164" s="14" t="n">
        <f aca="false">V67</f>
        <v>1</v>
      </c>
      <c r="V164" s="14" t="n">
        <f aca="false">CHOOSE(D164,U164,U164,1,U164)</f>
        <v>1</v>
      </c>
    </row>
    <row r="165" customFormat="false" ht="15" hidden="false" customHeight="true" outlineLevel="0" collapsed="false">
      <c r="A165" s="3" t="s">
        <v>403</v>
      </c>
      <c r="B165" s="14" t="n">
        <v>4</v>
      </c>
      <c r="C165" s="14" t="n">
        <v>67</v>
      </c>
      <c r="D165" s="14" t="n">
        <v>2</v>
      </c>
      <c r="E165" s="14" t="n">
        <f aca="false">L67</f>
        <v>0</v>
      </c>
      <c r="F165" s="19" t="n">
        <f aca="false">M67</f>
        <v>576.632729102868</v>
      </c>
      <c r="G165" s="19" t="n">
        <f aca="false">N67</f>
        <v>71.5346691353518</v>
      </c>
      <c r="H165" s="14" t="n">
        <f aca="false">O67</f>
        <v>54</v>
      </c>
      <c r="I165" s="16" t="n">
        <f aca="false">P67</f>
        <v>79.2991654861622</v>
      </c>
      <c r="J165" s="14" t="n">
        <f aca="false">Q67</f>
        <v>1</v>
      </c>
      <c r="K165" s="14" t="n">
        <f aca="false">IF(D165&lt;=2,1-J165,IF(D165=3,IF(AND(U165=0,H165&gt;=W_min,F165-D_dip&gt;=Floor_q),1,0),IF(AND(H165&gt;=W_min,F165&gt;=Pre_A),1,0)))</f>
        <v>0</v>
      </c>
      <c r="L165" s="14" t="n">
        <f aca="false">E165*K165</f>
        <v>0</v>
      </c>
      <c r="M165" s="19" t="n">
        <f aca="false">CHOOSE(D165,F165+Proc_S,F165+Proc_Sk,F165+D_dL,F165-Cost_A)</f>
        <v>668.632729102868</v>
      </c>
      <c r="N165" s="19" t="n">
        <f aca="false">CHOOSE(D165,(1-Tech_share)*G165,(1-Tech_share)*G165,G165+D_dT,G165)</f>
        <v>64.3812022218166</v>
      </c>
      <c r="O165" s="14" t="n">
        <f aca="false">CHOOSE(D165,H165-W_lost,H165,H165,H165+W_gain)</f>
        <v>54</v>
      </c>
      <c r="P165" s="16" t="n">
        <f aca="false">CHOOSE(D165,I165,I165,I165+D_dE,I165+Close_A*(Ceil_E-I165))</f>
        <v>79.2991654861622</v>
      </c>
      <c r="Q165" s="14" t="n">
        <f aca="false">CHOOSE(D165,1,1,J165,J165)</f>
        <v>1</v>
      </c>
      <c r="R165" s="14" t="n">
        <f aca="false">IF(L165=1,IF(SUMPRODUCT(($L$35:$L$164=1)*(ABS($M$35:$M$164-M165)&lt;0.000001)*(ABS($N$35:$N$164-N165)&lt;0.000001)*($O$35:$O$164=O165)*(ABS($P$35:$P$164-P165)&lt;0.000001)*($Q$35:$Q$164=Q165)*($V$35:$V$164=V165))=0,1,0),0)</f>
        <v>0</v>
      </c>
      <c r="S165" s="14" t="n">
        <f aca="false">IF(AND(L165=1,N165&gt;=$B$4-0.000000001,P165&gt;=$B$6-0.000000001,M165&gt;=Floor_q+$B$5-0.000000001),1,0)</f>
        <v>0</v>
      </c>
      <c r="T165" s="14" t="n">
        <f aca="false">L165*(IF(1&lt;=2,1-Q165,IF(1=3,IF(AND(V165=0,O165&gt;=W_min,M165-D_dip&gt;=Floor_q),1,0),IF(AND(O165&gt;=W_min,M165&gt;=Pre_A),1,0)))+IF(2&lt;=2,1-Q165,IF(2=3,IF(AND(V165=0,O165&gt;=W_min,M165-D_dip&gt;=Floor_q),1,0),IF(AND(O165&gt;=W_min,M165&gt;=Pre_A),1,0)))+IF(3&lt;=2,1-Q165,IF(3=3,IF(AND(V165=0,O165&gt;=W_min,M165-D_dip&gt;=Floor_q),1,0),IF(AND(O165&gt;=W_min,M165&gt;=Pre_A),1,0)))+IF(4&lt;=2,1-Q165,IF(4=3,IF(AND(V165=0,O165&gt;=W_min,M165-D_dip&gt;=Floor_q),1,0),IF(AND(O165&gt;=W_min,M165&gt;=Pre_A),1,0))))</f>
        <v>0</v>
      </c>
      <c r="U165" s="14" t="n">
        <f aca="false">V67</f>
        <v>1</v>
      </c>
      <c r="V165" s="14" t="n">
        <f aca="false">CHOOSE(D165,U165,U165,1,U165)</f>
        <v>1</v>
      </c>
    </row>
    <row r="166" customFormat="false" ht="15" hidden="false" customHeight="true" outlineLevel="0" collapsed="false">
      <c r="A166" s="3" t="s">
        <v>404</v>
      </c>
      <c r="B166" s="14" t="n">
        <v>4</v>
      </c>
      <c r="C166" s="14" t="n">
        <v>67</v>
      </c>
      <c r="D166" s="14" t="n">
        <v>3</v>
      </c>
      <c r="E166" s="14" t="n">
        <f aca="false">L67</f>
        <v>0</v>
      </c>
      <c r="F166" s="19" t="n">
        <f aca="false">M67</f>
        <v>576.632729102868</v>
      </c>
      <c r="G166" s="19" t="n">
        <f aca="false">N67</f>
        <v>71.5346691353518</v>
      </c>
      <c r="H166" s="14" t="n">
        <f aca="false">O67</f>
        <v>54</v>
      </c>
      <c r="I166" s="16" t="n">
        <f aca="false">P67</f>
        <v>79.2991654861622</v>
      </c>
      <c r="J166" s="14" t="n">
        <f aca="false">Q67</f>
        <v>1</v>
      </c>
      <c r="K166" s="14" t="n">
        <f aca="false">IF(D166&lt;=2,1-J166,IF(D166=3,IF(AND(U166=0,H166&gt;=W_min,F166-D_dip&gt;=Floor_q),1,0),IF(AND(H166&gt;=W_min,F166&gt;=Pre_A),1,0)))</f>
        <v>0</v>
      </c>
      <c r="L166" s="14" t="n">
        <f aca="false">E166*K166</f>
        <v>0</v>
      </c>
      <c r="M166" s="19" t="n">
        <f aca="false">CHOOSE(D166,F166+Proc_S,F166+Proc_Sk,F166+D_dL,F166-Cost_A)</f>
        <v>541.265458205737</v>
      </c>
      <c r="N166" s="19" t="n">
        <f aca="false">CHOOSE(D166,(1-Tech_share)*G166,(1-Tech_share)*G166,G166+D_dT,G166)</f>
        <v>106.169338270704</v>
      </c>
      <c r="O166" s="14" t="n">
        <f aca="false">CHOOSE(D166,H166-W_lost,H166,H166,H166+W_gain)</f>
        <v>54</v>
      </c>
      <c r="P166" s="16" t="n">
        <f aca="false">CHOOSE(D166,I166,I166,I166+D_dE,I166+Close_A*(Ceil_E-I166))</f>
        <v>81.8974964584867</v>
      </c>
      <c r="Q166" s="14" t="n">
        <f aca="false">CHOOSE(D166,1,1,J166,J166)</f>
        <v>1</v>
      </c>
      <c r="R166" s="14" t="n">
        <f aca="false">IF(L166=1,IF(SUMPRODUCT(($L$35:$L$165=1)*(ABS($M$35:$M$165-M166)&lt;0.000001)*(ABS($N$35:$N$165-N166)&lt;0.000001)*($O$35:$O$165=O166)*(ABS($P$35:$P$165-P166)&lt;0.000001)*($Q$35:$Q$165=Q166)*($V$35:$V$165=V166))=0,1,0),0)</f>
        <v>0</v>
      </c>
      <c r="S166" s="14" t="n">
        <f aca="false">IF(AND(L166=1,N166&gt;=$B$4-0.000000001,P166&gt;=$B$6-0.000000001,M166&gt;=Floor_q+$B$5-0.000000001),1,0)</f>
        <v>0</v>
      </c>
      <c r="T166" s="14" t="n">
        <f aca="false">L166*(IF(1&lt;=2,1-Q166,IF(1=3,IF(AND(V166=0,O166&gt;=W_min,M166-D_dip&gt;=Floor_q),1,0),IF(AND(O166&gt;=W_min,M166&gt;=Pre_A),1,0)))+IF(2&lt;=2,1-Q166,IF(2=3,IF(AND(V166=0,O166&gt;=W_min,M166-D_dip&gt;=Floor_q),1,0),IF(AND(O166&gt;=W_min,M166&gt;=Pre_A),1,0)))+IF(3&lt;=2,1-Q166,IF(3=3,IF(AND(V166=0,O166&gt;=W_min,M166-D_dip&gt;=Floor_q),1,0),IF(AND(O166&gt;=W_min,M166&gt;=Pre_A),1,0)))+IF(4&lt;=2,1-Q166,IF(4=3,IF(AND(V166=0,O166&gt;=W_min,M166-D_dip&gt;=Floor_q),1,0),IF(AND(O166&gt;=W_min,M166&gt;=Pre_A),1,0))))</f>
        <v>0</v>
      </c>
      <c r="U166" s="14" t="n">
        <f aca="false">V67</f>
        <v>1</v>
      </c>
      <c r="V166" s="14" t="n">
        <f aca="false">CHOOSE(D166,U166,U166,1,U166)</f>
        <v>1</v>
      </c>
    </row>
    <row r="167" customFormat="false" ht="15" hidden="false" customHeight="true" outlineLevel="0" collapsed="false">
      <c r="A167" s="3" t="s">
        <v>405</v>
      </c>
      <c r="B167" s="14" t="n">
        <v>4</v>
      </c>
      <c r="C167" s="14" t="n">
        <v>67</v>
      </c>
      <c r="D167" s="14" t="n">
        <v>4</v>
      </c>
      <c r="E167" s="14" t="n">
        <f aca="false">L67</f>
        <v>0</v>
      </c>
      <c r="F167" s="19" t="n">
        <f aca="false">M67</f>
        <v>576.632729102868</v>
      </c>
      <c r="G167" s="19" t="n">
        <f aca="false">N67</f>
        <v>71.5346691353518</v>
      </c>
      <c r="H167" s="14" t="n">
        <f aca="false">O67</f>
        <v>54</v>
      </c>
      <c r="I167" s="16" t="n">
        <f aca="false">P67</f>
        <v>79.2991654861622</v>
      </c>
      <c r="J167" s="14" t="n">
        <f aca="false">Q67</f>
        <v>1</v>
      </c>
      <c r="K167" s="14" t="n">
        <f aca="false">IF(D167&lt;=2,1-J167,IF(D167=3,IF(AND(U167=0,H167&gt;=W_min,F167-D_dip&gt;=Floor_q),1,0),IF(AND(H167&gt;=W_min,F167&gt;=Pre_A),1,0)))</f>
        <v>0</v>
      </c>
      <c r="L167" s="14" t="n">
        <f aca="false">E167*K167</f>
        <v>0</v>
      </c>
      <c r="M167" s="19" t="n">
        <f aca="false">CHOOSE(D167,F167+Proc_S,F167+Proc_Sk,F167+D_dL,F167-Cost_A)</f>
        <v>456.632729102868</v>
      </c>
      <c r="N167" s="19" t="n">
        <f aca="false">CHOOSE(D167,(1-Tech_share)*G167,(1-Tech_share)*G167,G167+D_dT,G167)</f>
        <v>71.5346691353518</v>
      </c>
      <c r="O167" s="14" t="n">
        <f aca="false">CHOOSE(D167,H167-W_lost,H167,H167,H167+W_gain)</f>
        <v>55</v>
      </c>
      <c r="P167" s="16" t="n">
        <f aca="false">CHOOSE(D167,I167,I167,I167+D_dE,I167+Close_A*(Ceil_E-I167))</f>
        <v>82.1495827430811</v>
      </c>
      <c r="Q167" s="14" t="n">
        <f aca="false">CHOOSE(D167,1,1,J167,J167)</f>
        <v>1</v>
      </c>
      <c r="R167" s="14" t="n">
        <f aca="false">IF(L167=1,IF(SUMPRODUCT(($L$35:$L$166=1)*(ABS($M$35:$M$166-M167)&lt;0.000001)*(ABS($N$35:$N$166-N167)&lt;0.000001)*($O$35:$O$166=O167)*(ABS($P$35:$P$166-P167)&lt;0.000001)*($Q$35:$Q$166=Q167)*($V$35:$V$166=V167))=0,1,0),0)</f>
        <v>0</v>
      </c>
      <c r="S167" s="14" t="n">
        <f aca="false">IF(AND(L167=1,N167&gt;=$B$4-0.000000001,P167&gt;=$B$6-0.000000001,M167&gt;=Floor_q+$B$5-0.000000001),1,0)</f>
        <v>0</v>
      </c>
      <c r="T167" s="14" t="n">
        <f aca="false">L167*(IF(1&lt;=2,1-Q167,IF(1=3,IF(AND(V167=0,O167&gt;=W_min,M167-D_dip&gt;=Floor_q),1,0),IF(AND(O167&gt;=W_min,M167&gt;=Pre_A),1,0)))+IF(2&lt;=2,1-Q167,IF(2=3,IF(AND(V167=0,O167&gt;=W_min,M167-D_dip&gt;=Floor_q),1,0),IF(AND(O167&gt;=W_min,M167&gt;=Pre_A),1,0)))+IF(3&lt;=2,1-Q167,IF(3=3,IF(AND(V167=0,O167&gt;=W_min,M167-D_dip&gt;=Floor_q),1,0),IF(AND(O167&gt;=W_min,M167&gt;=Pre_A),1,0)))+IF(4&lt;=2,1-Q167,IF(4=3,IF(AND(V167=0,O167&gt;=W_min,M167-D_dip&gt;=Floor_q),1,0),IF(AND(O167&gt;=W_min,M167&gt;=Pre_A),1,0))))</f>
        <v>0</v>
      </c>
      <c r="U167" s="14" t="n">
        <f aca="false">V67</f>
        <v>1</v>
      </c>
      <c r="V167" s="14" t="n">
        <f aca="false">CHOOSE(D167,U167,U167,1,U167)</f>
        <v>1</v>
      </c>
    </row>
    <row r="168" customFormat="false" ht="15" hidden="false" customHeight="true" outlineLevel="0" collapsed="false">
      <c r="A168" s="3" t="s">
        <v>406</v>
      </c>
      <c r="B168" s="14" t="n">
        <v>4</v>
      </c>
      <c r="C168" s="14" t="n">
        <v>68</v>
      </c>
      <c r="D168" s="14" t="n">
        <v>1</v>
      </c>
      <c r="E168" s="14" t="n">
        <f aca="false">L68</f>
        <v>0</v>
      </c>
      <c r="F168" s="19" t="n">
        <f aca="false">M68</f>
        <v>724</v>
      </c>
      <c r="G168" s="19" t="n">
        <f aca="false">N68</f>
        <v>33.21</v>
      </c>
      <c r="H168" s="14" t="n">
        <f aca="false">O68</f>
        <v>49</v>
      </c>
      <c r="I168" s="16" t="n">
        <f aca="false">P68</f>
        <v>78</v>
      </c>
      <c r="J168" s="14" t="n">
        <f aca="false">Q68</f>
        <v>1</v>
      </c>
      <c r="K168" s="14" t="n">
        <f aca="false">IF(D168&lt;=2,1-J168,IF(D168=3,IF(AND(U168=0,H168&gt;=W_min,F168-D_dip&gt;=Floor_q),1,0),IF(AND(H168&gt;=W_min,F168&gt;=Pre_A),1,0)))</f>
        <v>0</v>
      </c>
      <c r="L168" s="14" t="n">
        <f aca="false">E168*K168</f>
        <v>0</v>
      </c>
      <c r="M168" s="19" t="n">
        <f aca="false">CHOOSE(D168,F168+Proc_S,F168+Proc_Sk,F168+D_dL,F168-Cost_A)</f>
        <v>836</v>
      </c>
      <c r="N168" s="19" t="n">
        <f aca="false">CHOOSE(D168,(1-Tech_share)*G168,(1-Tech_share)*G168,G168+D_dT,G168)</f>
        <v>29.889</v>
      </c>
      <c r="O168" s="14" t="n">
        <f aca="false">CHOOSE(D168,H168-W_lost,H168,H168,H168+W_gain)</f>
        <v>44</v>
      </c>
      <c r="P168" s="16" t="n">
        <f aca="false">CHOOSE(D168,I168,I168,I168+D_dE,I168+Close_A*(Ceil_E-I168))</f>
        <v>78</v>
      </c>
      <c r="Q168" s="14" t="n">
        <f aca="false">CHOOSE(D168,1,1,J168,J168)</f>
        <v>1</v>
      </c>
      <c r="R168" s="14" t="n">
        <f aca="false">IF(L168=1,IF(SUMPRODUCT(($L$35:$L$167=1)*(ABS($M$35:$M$167-M168)&lt;0.000001)*(ABS($N$35:$N$167-N168)&lt;0.000001)*($O$35:$O$167=O168)*(ABS($P$35:$P$167-P168)&lt;0.000001)*($Q$35:$Q$167=Q168)*($V$35:$V$167=V168))=0,1,0),0)</f>
        <v>0</v>
      </c>
      <c r="S168" s="14" t="n">
        <f aca="false">IF(AND(L168=1,N168&gt;=$B$4-0.000000001,P168&gt;=$B$6-0.000000001,M168&gt;=Floor_q+$B$5-0.000000001),1,0)</f>
        <v>0</v>
      </c>
      <c r="T168" s="14" t="n">
        <f aca="false">L168*(IF(1&lt;=2,1-Q168,IF(1=3,IF(AND(V168=0,O168&gt;=W_min,M168-D_dip&gt;=Floor_q),1,0),IF(AND(O168&gt;=W_min,M168&gt;=Pre_A),1,0)))+IF(2&lt;=2,1-Q168,IF(2=3,IF(AND(V168=0,O168&gt;=W_min,M168-D_dip&gt;=Floor_q),1,0),IF(AND(O168&gt;=W_min,M168&gt;=Pre_A),1,0)))+IF(3&lt;=2,1-Q168,IF(3=3,IF(AND(V168=0,O168&gt;=W_min,M168-D_dip&gt;=Floor_q),1,0),IF(AND(O168&gt;=W_min,M168&gt;=Pre_A),1,0)))+IF(4&lt;=2,1-Q168,IF(4=3,IF(AND(V168=0,O168&gt;=W_min,M168-D_dip&gt;=Floor_q),1,0),IF(AND(O168&gt;=W_min,M168&gt;=Pre_A),1,0))))</f>
        <v>0</v>
      </c>
      <c r="U168" s="14" t="n">
        <f aca="false">V68</f>
        <v>0</v>
      </c>
      <c r="V168" s="14" t="n">
        <f aca="false">CHOOSE(D168,U168,U168,1,U168)</f>
        <v>0</v>
      </c>
    </row>
    <row r="169" customFormat="false" ht="15" hidden="false" customHeight="true" outlineLevel="0" collapsed="false">
      <c r="A169" s="3" t="s">
        <v>407</v>
      </c>
      <c r="B169" s="14" t="n">
        <v>4</v>
      </c>
      <c r="C169" s="14" t="n">
        <v>68</v>
      </c>
      <c r="D169" s="14" t="n">
        <v>2</v>
      </c>
      <c r="E169" s="14" t="n">
        <f aca="false">L68</f>
        <v>0</v>
      </c>
      <c r="F169" s="19" t="n">
        <f aca="false">M68</f>
        <v>724</v>
      </c>
      <c r="G169" s="19" t="n">
        <f aca="false">N68</f>
        <v>33.21</v>
      </c>
      <c r="H169" s="14" t="n">
        <f aca="false">O68</f>
        <v>49</v>
      </c>
      <c r="I169" s="16" t="n">
        <f aca="false">P68</f>
        <v>78</v>
      </c>
      <c r="J169" s="14" t="n">
        <f aca="false">Q68</f>
        <v>1</v>
      </c>
      <c r="K169" s="14" t="n">
        <f aca="false">IF(D169&lt;=2,1-J169,IF(D169=3,IF(AND(U169=0,H169&gt;=W_min,F169-D_dip&gt;=Floor_q),1,0),IF(AND(H169&gt;=W_min,F169&gt;=Pre_A),1,0)))</f>
        <v>0</v>
      </c>
      <c r="L169" s="14" t="n">
        <f aca="false">E169*K169</f>
        <v>0</v>
      </c>
      <c r="M169" s="19" t="n">
        <f aca="false">CHOOSE(D169,F169+Proc_S,F169+Proc_Sk,F169+D_dL,F169-Cost_A)</f>
        <v>816</v>
      </c>
      <c r="N169" s="19" t="n">
        <f aca="false">CHOOSE(D169,(1-Tech_share)*G169,(1-Tech_share)*G169,G169+D_dT,G169)</f>
        <v>29.889</v>
      </c>
      <c r="O169" s="14" t="n">
        <f aca="false">CHOOSE(D169,H169-W_lost,H169,H169,H169+W_gain)</f>
        <v>49</v>
      </c>
      <c r="P169" s="16" t="n">
        <f aca="false">CHOOSE(D169,I169,I169,I169+D_dE,I169+Close_A*(Ceil_E-I169))</f>
        <v>78</v>
      </c>
      <c r="Q169" s="14" t="n">
        <f aca="false">CHOOSE(D169,1,1,J169,J169)</f>
        <v>1</v>
      </c>
      <c r="R169" s="14" t="n">
        <f aca="false">IF(L169=1,IF(SUMPRODUCT(($L$35:$L$168=1)*(ABS($M$35:$M$168-M169)&lt;0.000001)*(ABS($N$35:$N$168-N169)&lt;0.000001)*($O$35:$O$168=O169)*(ABS($P$35:$P$168-P169)&lt;0.000001)*($Q$35:$Q$168=Q169)*($V$35:$V$168=V169))=0,1,0),0)</f>
        <v>0</v>
      </c>
      <c r="S169" s="14" t="n">
        <f aca="false">IF(AND(L169=1,N169&gt;=$B$4-0.000000001,P169&gt;=$B$6-0.000000001,M169&gt;=Floor_q+$B$5-0.000000001),1,0)</f>
        <v>0</v>
      </c>
      <c r="T169" s="14" t="n">
        <f aca="false">L169*(IF(1&lt;=2,1-Q169,IF(1=3,IF(AND(V169=0,O169&gt;=W_min,M169-D_dip&gt;=Floor_q),1,0),IF(AND(O169&gt;=W_min,M169&gt;=Pre_A),1,0)))+IF(2&lt;=2,1-Q169,IF(2=3,IF(AND(V169=0,O169&gt;=W_min,M169-D_dip&gt;=Floor_q),1,0),IF(AND(O169&gt;=W_min,M169&gt;=Pre_A),1,0)))+IF(3&lt;=2,1-Q169,IF(3=3,IF(AND(V169=0,O169&gt;=W_min,M169-D_dip&gt;=Floor_q),1,0),IF(AND(O169&gt;=W_min,M169&gt;=Pre_A),1,0)))+IF(4&lt;=2,1-Q169,IF(4=3,IF(AND(V169=0,O169&gt;=W_min,M169-D_dip&gt;=Floor_q),1,0),IF(AND(O169&gt;=W_min,M169&gt;=Pre_A),1,0))))</f>
        <v>0</v>
      </c>
      <c r="U169" s="14" t="n">
        <f aca="false">V68</f>
        <v>0</v>
      </c>
      <c r="V169" s="14" t="n">
        <f aca="false">CHOOSE(D169,U169,U169,1,U169)</f>
        <v>0</v>
      </c>
    </row>
    <row r="170" customFormat="false" ht="15" hidden="false" customHeight="true" outlineLevel="0" collapsed="false">
      <c r="A170" s="3" t="s">
        <v>408</v>
      </c>
      <c r="B170" s="14" t="n">
        <v>4</v>
      </c>
      <c r="C170" s="14" t="n">
        <v>68</v>
      </c>
      <c r="D170" s="14" t="n">
        <v>3</v>
      </c>
      <c r="E170" s="14" t="n">
        <f aca="false">L68</f>
        <v>0</v>
      </c>
      <c r="F170" s="19" t="n">
        <f aca="false">M68</f>
        <v>724</v>
      </c>
      <c r="G170" s="19" t="n">
        <f aca="false">N68</f>
        <v>33.21</v>
      </c>
      <c r="H170" s="14" t="n">
        <f aca="false">O68</f>
        <v>49</v>
      </c>
      <c r="I170" s="16" t="n">
        <f aca="false">P68</f>
        <v>78</v>
      </c>
      <c r="J170" s="14" t="n">
        <f aca="false">Q68</f>
        <v>1</v>
      </c>
      <c r="K170" s="14" t="n">
        <f aca="false">IF(D170&lt;=2,1-J170,IF(D170=3,IF(AND(U170=0,H170&gt;=W_min,F170-D_dip&gt;=Floor_q),1,0),IF(AND(H170&gt;=W_min,F170&gt;=Pre_A),1,0)))</f>
        <v>0</v>
      </c>
      <c r="L170" s="14" t="n">
        <f aca="false">E170*K170</f>
        <v>0</v>
      </c>
      <c r="M170" s="19" t="n">
        <f aca="false">CHOOSE(D170,F170+Proc_S,F170+Proc_Sk,F170+D_dL,F170-Cost_A)</f>
        <v>688.632729102868</v>
      </c>
      <c r="N170" s="19" t="n">
        <f aca="false">CHOOSE(D170,(1-Tech_share)*G170,(1-Tech_share)*G170,G170+D_dT,G170)</f>
        <v>67.8446691353518</v>
      </c>
      <c r="O170" s="14" t="n">
        <f aca="false">CHOOSE(D170,H170-W_lost,H170,H170,H170+W_gain)</f>
        <v>49</v>
      </c>
      <c r="P170" s="16" t="n">
        <f aca="false">CHOOSE(D170,I170,I170,I170+D_dE,I170+Close_A*(Ceil_E-I170))</f>
        <v>80.5983309723245</v>
      </c>
      <c r="Q170" s="14" t="n">
        <f aca="false">CHOOSE(D170,1,1,J170,J170)</f>
        <v>1</v>
      </c>
      <c r="R170" s="14" t="n">
        <f aca="false">IF(L170=1,IF(SUMPRODUCT(($L$35:$L$169=1)*(ABS($M$35:$M$169-M170)&lt;0.000001)*(ABS($N$35:$N$169-N170)&lt;0.000001)*($O$35:$O$169=O170)*(ABS($P$35:$P$169-P170)&lt;0.000001)*($Q$35:$Q$169=Q170)*($V$35:$V$169=V170))=0,1,0),0)</f>
        <v>0</v>
      </c>
      <c r="S170" s="14" t="n">
        <f aca="false">IF(AND(L170=1,N170&gt;=$B$4-0.000000001,P170&gt;=$B$6-0.000000001,M170&gt;=Floor_q+$B$5-0.000000001),1,0)</f>
        <v>0</v>
      </c>
      <c r="T170" s="14" t="n">
        <f aca="false">L170*(IF(1&lt;=2,1-Q170,IF(1=3,IF(AND(V170=0,O170&gt;=W_min,M170-D_dip&gt;=Floor_q),1,0),IF(AND(O170&gt;=W_min,M170&gt;=Pre_A),1,0)))+IF(2&lt;=2,1-Q170,IF(2=3,IF(AND(V170=0,O170&gt;=W_min,M170-D_dip&gt;=Floor_q),1,0),IF(AND(O170&gt;=W_min,M170&gt;=Pre_A),1,0)))+IF(3&lt;=2,1-Q170,IF(3=3,IF(AND(V170=0,O170&gt;=W_min,M170-D_dip&gt;=Floor_q),1,0),IF(AND(O170&gt;=W_min,M170&gt;=Pre_A),1,0)))+IF(4&lt;=2,1-Q170,IF(4=3,IF(AND(V170=0,O170&gt;=W_min,M170-D_dip&gt;=Floor_q),1,0),IF(AND(O170&gt;=W_min,M170&gt;=Pre_A),1,0))))</f>
        <v>0</v>
      </c>
      <c r="U170" s="14" t="n">
        <f aca="false">V68</f>
        <v>0</v>
      </c>
      <c r="V170" s="14" t="n">
        <f aca="false">CHOOSE(D170,U170,U170,1,U170)</f>
        <v>1</v>
      </c>
    </row>
    <row r="171" customFormat="false" ht="15" hidden="false" customHeight="true" outlineLevel="0" collapsed="false">
      <c r="A171" s="3" t="s">
        <v>409</v>
      </c>
      <c r="B171" s="14" t="n">
        <v>4</v>
      </c>
      <c r="C171" s="14" t="n">
        <v>68</v>
      </c>
      <c r="D171" s="14" t="n">
        <v>4</v>
      </c>
      <c r="E171" s="14" t="n">
        <f aca="false">L68</f>
        <v>0</v>
      </c>
      <c r="F171" s="19" t="n">
        <f aca="false">M68</f>
        <v>724</v>
      </c>
      <c r="G171" s="19" t="n">
        <f aca="false">N68</f>
        <v>33.21</v>
      </c>
      <c r="H171" s="14" t="n">
        <f aca="false">O68</f>
        <v>49</v>
      </c>
      <c r="I171" s="16" t="n">
        <f aca="false">P68</f>
        <v>78</v>
      </c>
      <c r="J171" s="14" t="n">
        <f aca="false">Q68</f>
        <v>1</v>
      </c>
      <c r="K171" s="14" t="n">
        <f aca="false">IF(D171&lt;=2,1-J171,IF(D171=3,IF(AND(U171=0,H171&gt;=W_min,F171-D_dip&gt;=Floor_q),1,0),IF(AND(H171&gt;=W_min,F171&gt;=Pre_A),1,0)))</f>
        <v>0</v>
      </c>
      <c r="L171" s="14" t="n">
        <f aca="false">E171*K171</f>
        <v>0</v>
      </c>
      <c r="M171" s="19" t="n">
        <f aca="false">CHOOSE(D171,F171+Proc_S,F171+Proc_Sk,F171+D_dL,F171-Cost_A)</f>
        <v>604</v>
      </c>
      <c r="N171" s="19" t="n">
        <f aca="false">CHOOSE(D171,(1-Tech_share)*G171,(1-Tech_share)*G171,G171+D_dT,G171)</f>
        <v>33.21</v>
      </c>
      <c r="O171" s="14" t="n">
        <f aca="false">CHOOSE(D171,H171-W_lost,H171,H171,H171+W_gain)</f>
        <v>50</v>
      </c>
      <c r="P171" s="16" t="n">
        <f aca="false">CHOOSE(D171,I171,I171,I171+D_dE,I171+Close_A*(Ceil_E-I171))</f>
        <v>81.5</v>
      </c>
      <c r="Q171" s="14" t="n">
        <f aca="false">CHOOSE(D171,1,1,J171,J171)</f>
        <v>1</v>
      </c>
      <c r="R171" s="14" t="n">
        <f aca="false">IF(L171=1,IF(SUMPRODUCT(($L$35:$L$170=1)*(ABS($M$35:$M$170-M171)&lt;0.000001)*(ABS($N$35:$N$170-N171)&lt;0.000001)*($O$35:$O$170=O171)*(ABS($P$35:$P$170-P171)&lt;0.000001)*($Q$35:$Q$170=Q171)*($V$35:$V$170=V171))=0,1,0),0)</f>
        <v>0</v>
      </c>
      <c r="S171" s="14" t="n">
        <f aca="false">IF(AND(L171=1,N171&gt;=$B$4-0.000000001,P171&gt;=$B$6-0.000000001,M171&gt;=Floor_q+$B$5-0.000000001),1,0)</f>
        <v>0</v>
      </c>
      <c r="T171" s="14" t="n">
        <f aca="false">L171*(IF(1&lt;=2,1-Q171,IF(1=3,IF(AND(V171=0,O171&gt;=W_min,M171-D_dip&gt;=Floor_q),1,0),IF(AND(O171&gt;=W_min,M171&gt;=Pre_A),1,0)))+IF(2&lt;=2,1-Q171,IF(2=3,IF(AND(V171=0,O171&gt;=W_min,M171-D_dip&gt;=Floor_q),1,0),IF(AND(O171&gt;=W_min,M171&gt;=Pre_A),1,0)))+IF(3&lt;=2,1-Q171,IF(3=3,IF(AND(V171=0,O171&gt;=W_min,M171-D_dip&gt;=Floor_q),1,0),IF(AND(O171&gt;=W_min,M171&gt;=Pre_A),1,0)))+IF(4&lt;=2,1-Q171,IF(4=3,IF(AND(V171=0,O171&gt;=W_min,M171-D_dip&gt;=Floor_q),1,0),IF(AND(O171&gt;=W_min,M171&gt;=Pre_A),1,0))))</f>
        <v>0</v>
      </c>
      <c r="U171" s="14" t="n">
        <f aca="false">V68</f>
        <v>0</v>
      </c>
      <c r="V171" s="14" t="n">
        <f aca="false">CHOOSE(D171,U171,U171,1,U171)</f>
        <v>0</v>
      </c>
    </row>
    <row r="172" customFormat="false" ht="15" hidden="false" customHeight="true" outlineLevel="0" collapsed="false">
      <c r="A172" s="3" t="s">
        <v>410</v>
      </c>
      <c r="B172" s="14" t="n">
        <v>4</v>
      </c>
      <c r="C172" s="14" t="n">
        <v>69</v>
      </c>
      <c r="D172" s="14" t="n">
        <v>1</v>
      </c>
      <c r="E172" s="14" t="n">
        <f aca="false">L69</f>
        <v>0</v>
      </c>
      <c r="F172" s="19" t="n">
        <f aca="false">M69</f>
        <v>704</v>
      </c>
      <c r="G172" s="19" t="n">
        <f aca="false">N69</f>
        <v>33.21</v>
      </c>
      <c r="H172" s="14" t="n">
        <f aca="false">O69</f>
        <v>54</v>
      </c>
      <c r="I172" s="16" t="n">
        <f aca="false">P69</f>
        <v>78</v>
      </c>
      <c r="J172" s="14" t="n">
        <f aca="false">Q69</f>
        <v>1</v>
      </c>
      <c r="K172" s="14" t="n">
        <f aca="false">IF(D172&lt;=2,1-J172,IF(D172=3,IF(AND(U172=0,H172&gt;=W_min,F172-D_dip&gt;=Floor_q),1,0),IF(AND(H172&gt;=W_min,F172&gt;=Pre_A),1,0)))</f>
        <v>0</v>
      </c>
      <c r="L172" s="14" t="n">
        <f aca="false">E172*K172</f>
        <v>0</v>
      </c>
      <c r="M172" s="19" t="n">
        <f aca="false">CHOOSE(D172,F172+Proc_S,F172+Proc_Sk,F172+D_dL,F172-Cost_A)</f>
        <v>816</v>
      </c>
      <c r="N172" s="19" t="n">
        <f aca="false">CHOOSE(D172,(1-Tech_share)*G172,(1-Tech_share)*G172,G172+D_dT,G172)</f>
        <v>29.889</v>
      </c>
      <c r="O172" s="14" t="n">
        <f aca="false">CHOOSE(D172,H172-W_lost,H172,H172,H172+W_gain)</f>
        <v>49</v>
      </c>
      <c r="P172" s="16" t="n">
        <f aca="false">CHOOSE(D172,I172,I172,I172+D_dE,I172+Close_A*(Ceil_E-I172))</f>
        <v>78</v>
      </c>
      <c r="Q172" s="14" t="n">
        <f aca="false">CHOOSE(D172,1,1,J172,J172)</f>
        <v>1</v>
      </c>
      <c r="R172" s="14" t="n">
        <f aca="false">IF(L172=1,IF(SUMPRODUCT(($L$35:$L$171=1)*(ABS($M$35:$M$171-M172)&lt;0.000001)*(ABS($N$35:$N$171-N172)&lt;0.000001)*($O$35:$O$171=O172)*(ABS($P$35:$P$171-P172)&lt;0.000001)*($Q$35:$Q$171=Q172)*($V$35:$V$171=V172))=0,1,0),0)</f>
        <v>0</v>
      </c>
      <c r="S172" s="14" t="n">
        <f aca="false">IF(AND(L172=1,N172&gt;=$B$4-0.000000001,P172&gt;=$B$6-0.000000001,M172&gt;=Floor_q+$B$5-0.000000001),1,0)</f>
        <v>0</v>
      </c>
      <c r="T172" s="14" t="n">
        <f aca="false">L172*(IF(1&lt;=2,1-Q172,IF(1=3,IF(AND(V172=0,O172&gt;=W_min,M172-D_dip&gt;=Floor_q),1,0),IF(AND(O172&gt;=W_min,M172&gt;=Pre_A),1,0)))+IF(2&lt;=2,1-Q172,IF(2=3,IF(AND(V172=0,O172&gt;=W_min,M172-D_dip&gt;=Floor_q),1,0),IF(AND(O172&gt;=W_min,M172&gt;=Pre_A),1,0)))+IF(3&lt;=2,1-Q172,IF(3=3,IF(AND(V172=0,O172&gt;=W_min,M172-D_dip&gt;=Floor_q),1,0),IF(AND(O172&gt;=W_min,M172&gt;=Pre_A),1,0)))+IF(4&lt;=2,1-Q172,IF(4=3,IF(AND(V172=0,O172&gt;=W_min,M172-D_dip&gt;=Floor_q),1,0),IF(AND(O172&gt;=W_min,M172&gt;=Pre_A),1,0))))</f>
        <v>0</v>
      </c>
      <c r="U172" s="14" t="n">
        <f aca="false">V69</f>
        <v>0</v>
      </c>
      <c r="V172" s="14" t="n">
        <f aca="false">CHOOSE(D172,U172,U172,1,U172)</f>
        <v>0</v>
      </c>
    </row>
    <row r="173" customFormat="false" ht="15" hidden="false" customHeight="true" outlineLevel="0" collapsed="false">
      <c r="A173" s="3" t="s">
        <v>411</v>
      </c>
      <c r="B173" s="14" t="n">
        <v>4</v>
      </c>
      <c r="C173" s="14" t="n">
        <v>69</v>
      </c>
      <c r="D173" s="14" t="n">
        <v>2</v>
      </c>
      <c r="E173" s="14" t="n">
        <f aca="false">L69</f>
        <v>0</v>
      </c>
      <c r="F173" s="19" t="n">
        <f aca="false">M69</f>
        <v>704</v>
      </c>
      <c r="G173" s="19" t="n">
        <f aca="false">N69</f>
        <v>33.21</v>
      </c>
      <c r="H173" s="14" t="n">
        <f aca="false">O69</f>
        <v>54</v>
      </c>
      <c r="I173" s="16" t="n">
        <f aca="false">P69</f>
        <v>78</v>
      </c>
      <c r="J173" s="14" t="n">
        <f aca="false">Q69</f>
        <v>1</v>
      </c>
      <c r="K173" s="14" t="n">
        <f aca="false">IF(D173&lt;=2,1-J173,IF(D173=3,IF(AND(U173=0,H173&gt;=W_min,F173-D_dip&gt;=Floor_q),1,0),IF(AND(H173&gt;=W_min,F173&gt;=Pre_A),1,0)))</f>
        <v>0</v>
      </c>
      <c r="L173" s="14" t="n">
        <f aca="false">E173*K173</f>
        <v>0</v>
      </c>
      <c r="M173" s="19" t="n">
        <f aca="false">CHOOSE(D173,F173+Proc_S,F173+Proc_Sk,F173+D_dL,F173-Cost_A)</f>
        <v>796</v>
      </c>
      <c r="N173" s="19" t="n">
        <f aca="false">CHOOSE(D173,(1-Tech_share)*G173,(1-Tech_share)*G173,G173+D_dT,G173)</f>
        <v>29.889</v>
      </c>
      <c r="O173" s="14" t="n">
        <f aca="false">CHOOSE(D173,H173-W_lost,H173,H173,H173+W_gain)</f>
        <v>54</v>
      </c>
      <c r="P173" s="16" t="n">
        <f aca="false">CHOOSE(D173,I173,I173,I173+D_dE,I173+Close_A*(Ceil_E-I173))</f>
        <v>78</v>
      </c>
      <c r="Q173" s="14" t="n">
        <f aca="false">CHOOSE(D173,1,1,J173,J173)</f>
        <v>1</v>
      </c>
      <c r="R173" s="14" t="n">
        <f aca="false">IF(L173=1,IF(SUMPRODUCT(($L$35:$L$172=1)*(ABS($M$35:$M$172-M173)&lt;0.000001)*(ABS($N$35:$N$172-N173)&lt;0.000001)*($O$35:$O$172=O173)*(ABS($P$35:$P$172-P173)&lt;0.000001)*($Q$35:$Q$172=Q173)*($V$35:$V$172=V173))=0,1,0),0)</f>
        <v>0</v>
      </c>
      <c r="S173" s="14" t="n">
        <f aca="false">IF(AND(L173=1,N173&gt;=$B$4-0.000000001,P173&gt;=$B$6-0.000000001,M173&gt;=Floor_q+$B$5-0.000000001),1,0)</f>
        <v>0</v>
      </c>
      <c r="T173" s="14" t="n">
        <f aca="false">L173*(IF(1&lt;=2,1-Q173,IF(1=3,IF(AND(V173=0,O173&gt;=W_min,M173-D_dip&gt;=Floor_q),1,0),IF(AND(O173&gt;=W_min,M173&gt;=Pre_A),1,0)))+IF(2&lt;=2,1-Q173,IF(2=3,IF(AND(V173=0,O173&gt;=W_min,M173-D_dip&gt;=Floor_q),1,0),IF(AND(O173&gt;=W_min,M173&gt;=Pre_A),1,0)))+IF(3&lt;=2,1-Q173,IF(3=3,IF(AND(V173=0,O173&gt;=W_min,M173-D_dip&gt;=Floor_q),1,0),IF(AND(O173&gt;=W_min,M173&gt;=Pre_A),1,0)))+IF(4&lt;=2,1-Q173,IF(4=3,IF(AND(V173=0,O173&gt;=W_min,M173-D_dip&gt;=Floor_q),1,0),IF(AND(O173&gt;=W_min,M173&gt;=Pre_A),1,0))))</f>
        <v>0</v>
      </c>
      <c r="U173" s="14" t="n">
        <f aca="false">V69</f>
        <v>0</v>
      </c>
      <c r="V173" s="14" t="n">
        <f aca="false">CHOOSE(D173,U173,U173,1,U173)</f>
        <v>0</v>
      </c>
    </row>
    <row r="174" customFormat="false" ht="15" hidden="false" customHeight="true" outlineLevel="0" collapsed="false">
      <c r="A174" s="3" t="s">
        <v>412</v>
      </c>
      <c r="B174" s="14" t="n">
        <v>4</v>
      </c>
      <c r="C174" s="14" t="n">
        <v>69</v>
      </c>
      <c r="D174" s="14" t="n">
        <v>3</v>
      </c>
      <c r="E174" s="14" t="n">
        <f aca="false">L69</f>
        <v>0</v>
      </c>
      <c r="F174" s="19" t="n">
        <f aca="false">M69</f>
        <v>704</v>
      </c>
      <c r="G174" s="19" t="n">
        <f aca="false">N69</f>
        <v>33.21</v>
      </c>
      <c r="H174" s="14" t="n">
        <f aca="false">O69</f>
        <v>54</v>
      </c>
      <c r="I174" s="16" t="n">
        <f aca="false">P69</f>
        <v>78</v>
      </c>
      <c r="J174" s="14" t="n">
        <f aca="false">Q69</f>
        <v>1</v>
      </c>
      <c r="K174" s="14" t="n">
        <f aca="false">IF(D174&lt;=2,1-J174,IF(D174=3,IF(AND(U174=0,H174&gt;=W_min,F174-D_dip&gt;=Floor_q),1,0),IF(AND(H174&gt;=W_min,F174&gt;=Pre_A),1,0)))</f>
        <v>0</v>
      </c>
      <c r="L174" s="14" t="n">
        <f aca="false">E174*K174</f>
        <v>0</v>
      </c>
      <c r="M174" s="19" t="n">
        <f aca="false">CHOOSE(D174,F174+Proc_S,F174+Proc_Sk,F174+D_dL,F174-Cost_A)</f>
        <v>668.632729102868</v>
      </c>
      <c r="N174" s="19" t="n">
        <f aca="false">CHOOSE(D174,(1-Tech_share)*G174,(1-Tech_share)*G174,G174+D_dT,G174)</f>
        <v>67.8446691353518</v>
      </c>
      <c r="O174" s="14" t="n">
        <f aca="false">CHOOSE(D174,H174-W_lost,H174,H174,H174+W_gain)</f>
        <v>54</v>
      </c>
      <c r="P174" s="16" t="n">
        <f aca="false">CHOOSE(D174,I174,I174,I174+D_dE,I174+Close_A*(Ceil_E-I174))</f>
        <v>80.5983309723245</v>
      </c>
      <c r="Q174" s="14" t="n">
        <f aca="false">CHOOSE(D174,1,1,J174,J174)</f>
        <v>1</v>
      </c>
      <c r="R174" s="14" t="n">
        <f aca="false">IF(L174=1,IF(SUMPRODUCT(($L$35:$L$173=1)*(ABS($M$35:$M$173-M174)&lt;0.000001)*(ABS($N$35:$N$173-N174)&lt;0.000001)*($O$35:$O$173=O174)*(ABS($P$35:$P$173-P174)&lt;0.000001)*($Q$35:$Q$173=Q174)*($V$35:$V$173=V174))=0,1,0),0)</f>
        <v>0</v>
      </c>
      <c r="S174" s="14" t="n">
        <f aca="false">IF(AND(L174=1,N174&gt;=$B$4-0.000000001,P174&gt;=$B$6-0.000000001,M174&gt;=Floor_q+$B$5-0.000000001),1,0)</f>
        <v>0</v>
      </c>
      <c r="T174" s="14" t="n">
        <f aca="false">L174*(IF(1&lt;=2,1-Q174,IF(1=3,IF(AND(V174=0,O174&gt;=W_min,M174-D_dip&gt;=Floor_q),1,0),IF(AND(O174&gt;=W_min,M174&gt;=Pre_A),1,0)))+IF(2&lt;=2,1-Q174,IF(2=3,IF(AND(V174=0,O174&gt;=W_min,M174-D_dip&gt;=Floor_q),1,0),IF(AND(O174&gt;=W_min,M174&gt;=Pre_A),1,0)))+IF(3&lt;=2,1-Q174,IF(3=3,IF(AND(V174=0,O174&gt;=W_min,M174-D_dip&gt;=Floor_q),1,0),IF(AND(O174&gt;=W_min,M174&gt;=Pre_A),1,0)))+IF(4&lt;=2,1-Q174,IF(4=3,IF(AND(V174=0,O174&gt;=W_min,M174-D_dip&gt;=Floor_q),1,0),IF(AND(O174&gt;=W_min,M174&gt;=Pre_A),1,0))))</f>
        <v>0</v>
      </c>
      <c r="U174" s="14" t="n">
        <f aca="false">V69</f>
        <v>0</v>
      </c>
      <c r="V174" s="14" t="n">
        <f aca="false">CHOOSE(D174,U174,U174,1,U174)</f>
        <v>1</v>
      </c>
    </row>
    <row r="175" customFormat="false" ht="15" hidden="false" customHeight="true" outlineLevel="0" collapsed="false">
      <c r="A175" s="3" t="s">
        <v>413</v>
      </c>
      <c r="B175" s="14" t="n">
        <v>4</v>
      </c>
      <c r="C175" s="14" t="n">
        <v>69</v>
      </c>
      <c r="D175" s="14" t="n">
        <v>4</v>
      </c>
      <c r="E175" s="14" t="n">
        <f aca="false">L69</f>
        <v>0</v>
      </c>
      <c r="F175" s="19" t="n">
        <f aca="false">M69</f>
        <v>704</v>
      </c>
      <c r="G175" s="19" t="n">
        <f aca="false">N69</f>
        <v>33.21</v>
      </c>
      <c r="H175" s="14" t="n">
        <f aca="false">O69</f>
        <v>54</v>
      </c>
      <c r="I175" s="16" t="n">
        <f aca="false">P69</f>
        <v>78</v>
      </c>
      <c r="J175" s="14" t="n">
        <f aca="false">Q69</f>
        <v>1</v>
      </c>
      <c r="K175" s="14" t="n">
        <f aca="false">IF(D175&lt;=2,1-J175,IF(D175=3,IF(AND(U175=0,H175&gt;=W_min,F175-D_dip&gt;=Floor_q),1,0),IF(AND(H175&gt;=W_min,F175&gt;=Pre_A),1,0)))</f>
        <v>0</v>
      </c>
      <c r="L175" s="14" t="n">
        <f aca="false">E175*K175</f>
        <v>0</v>
      </c>
      <c r="M175" s="19" t="n">
        <f aca="false">CHOOSE(D175,F175+Proc_S,F175+Proc_Sk,F175+D_dL,F175-Cost_A)</f>
        <v>584</v>
      </c>
      <c r="N175" s="19" t="n">
        <f aca="false">CHOOSE(D175,(1-Tech_share)*G175,(1-Tech_share)*G175,G175+D_dT,G175)</f>
        <v>33.21</v>
      </c>
      <c r="O175" s="14" t="n">
        <f aca="false">CHOOSE(D175,H175-W_lost,H175,H175,H175+W_gain)</f>
        <v>55</v>
      </c>
      <c r="P175" s="16" t="n">
        <f aca="false">CHOOSE(D175,I175,I175,I175+D_dE,I175+Close_A*(Ceil_E-I175))</f>
        <v>81.5</v>
      </c>
      <c r="Q175" s="14" t="n">
        <f aca="false">CHOOSE(D175,1,1,J175,J175)</f>
        <v>1</v>
      </c>
      <c r="R175" s="14" t="n">
        <f aca="false">IF(L175=1,IF(SUMPRODUCT(($L$35:$L$174=1)*(ABS($M$35:$M$174-M175)&lt;0.000001)*(ABS($N$35:$N$174-N175)&lt;0.000001)*($O$35:$O$174=O175)*(ABS($P$35:$P$174-P175)&lt;0.000001)*($Q$35:$Q$174=Q175)*($V$35:$V$174=V175))=0,1,0),0)</f>
        <v>0</v>
      </c>
      <c r="S175" s="14" t="n">
        <f aca="false">IF(AND(L175=1,N175&gt;=$B$4-0.000000001,P175&gt;=$B$6-0.000000001,M175&gt;=Floor_q+$B$5-0.000000001),1,0)</f>
        <v>0</v>
      </c>
      <c r="T175" s="14" t="n">
        <f aca="false">L175*(IF(1&lt;=2,1-Q175,IF(1=3,IF(AND(V175=0,O175&gt;=W_min,M175-D_dip&gt;=Floor_q),1,0),IF(AND(O175&gt;=W_min,M175&gt;=Pre_A),1,0)))+IF(2&lt;=2,1-Q175,IF(2=3,IF(AND(V175=0,O175&gt;=W_min,M175-D_dip&gt;=Floor_q),1,0),IF(AND(O175&gt;=W_min,M175&gt;=Pre_A),1,0)))+IF(3&lt;=2,1-Q175,IF(3=3,IF(AND(V175=0,O175&gt;=W_min,M175-D_dip&gt;=Floor_q),1,0),IF(AND(O175&gt;=W_min,M175&gt;=Pre_A),1,0)))+IF(4&lt;=2,1-Q175,IF(4=3,IF(AND(V175=0,O175&gt;=W_min,M175-D_dip&gt;=Floor_q),1,0),IF(AND(O175&gt;=W_min,M175&gt;=Pre_A),1,0))))</f>
        <v>0</v>
      </c>
      <c r="U175" s="14" t="n">
        <f aca="false">V69</f>
        <v>0</v>
      </c>
      <c r="V175" s="14" t="n">
        <f aca="false">CHOOSE(D175,U175,U175,1,U175)</f>
        <v>0</v>
      </c>
    </row>
    <row r="176" customFormat="false" ht="15" hidden="false" customHeight="true" outlineLevel="0" collapsed="false">
      <c r="A176" s="3" t="s">
        <v>414</v>
      </c>
      <c r="B176" s="14" t="n">
        <v>4</v>
      </c>
      <c r="C176" s="14" t="n">
        <v>70</v>
      </c>
      <c r="D176" s="14" t="n">
        <v>1</v>
      </c>
      <c r="E176" s="14" t="n">
        <f aca="false">L70</f>
        <v>0</v>
      </c>
      <c r="F176" s="19" t="n">
        <f aca="false">M70</f>
        <v>576.632729102868</v>
      </c>
      <c r="G176" s="19" t="n">
        <f aca="false">N70</f>
        <v>71.5346691353518</v>
      </c>
      <c r="H176" s="14" t="n">
        <f aca="false">O70</f>
        <v>54</v>
      </c>
      <c r="I176" s="16" t="n">
        <f aca="false">P70</f>
        <v>80.5983309723245</v>
      </c>
      <c r="J176" s="14" t="n">
        <f aca="false">Q70</f>
        <v>1</v>
      </c>
      <c r="K176" s="14" t="n">
        <f aca="false">IF(D176&lt;=2,1-J176,IF(D176=3,IF(AND(U176=0,H176&gt;=W_min,F176-D_dip&gt;=Floor_q),1,0),IF(AND(H176&gt;=W_min,F176&gt;=Pre_A),1,0)))</f>
        <v>0</v>
      </c>
      <c r="L176" s="14" t="n">
        <f aca="false">E176*K176</f>
        <v>0</v>
      </c>
      <c r="M176" s="19" t="n">
        <f aca="false">CHOOSE(D176,F176+Proc_S,F176+Proc_Sk,F176+D_dL,F176-Cost_A)</f>
        <v>688.632729102868</v>
      </c>
      <c r="N176" s="19" t="n">
        <f aca="false">CHOOSE(D176,(1-Tech_share)*G176,(1-Tech_share)*G176,G176+D_dT,G176)</f>
        <v>64.3812022218166</v>
      </c>
      <c r="O176" s="14" t="n">
        <f aca="false">CHOOSE(D176,H176-W_lost,H176,H176,H176+W_gain)</f>
        <v>49</v>
      </c>
      <c r="P176" s="16" t="n">
        <f aca="false">CHOOSE(D176,I176,I176,I176+D_dE,I176+Close_A*(Ceil_E-I176))</f>
        <v>80.5983309723245</v>
      </c>
      <c r="Q176" s="14" t="n">
        <f aca="false">CHOOSE(D176,1,1,J176,J176)</f>
        <v>1</v>
      </c>
      <c r="R176" s="14" t="n">
        <f aca="false">IF(L176=1,IF(SUMPRODUCT(($L$35:$L$175=1)*(ABS($M$35:$M$175-M176)&lt;0.000001)*(ABS($N$35:$N$175-N176)&lt;0.000001)*($O$35:$O$175=O176)*(ABS($P$35:$P$175-P176)&lt;0.000001)*($Q$35:$Q$175=Q176)*($V$35:$V$175=V176))=0,1,0),0)</f>
        <v>0</v>
      </c>
      <c r="S176" s="14" t="n">
        <f aca="false">IF(AND(L176=1,N176&gt;=$B$4-0.000000001,P176&gt;=$B$6-0.000000001,M176&gt;=Floor_q+$B$5-0.000000001),1,0)</f>
        <v>0</v>
      </c>
      <c r="T176" s="14" t="n">
        <f aca="false">L176*(IF(1&lt;=2,1-Q176,IF(1=3,IF(AND(V176=0,O176&gt;=W_min,M176-D_dip&gt;=Floor_q),1,0),IF(AND(O176&gt;=W_min,M176&gt;=Pre_A),1,0)))+IF(2&lt;=2,1-Q176,IF(2=3,IF(AND(V176=0,O176&gt;=W_min,M176-D_dip&gt;=Floor_q),1,0),IF(AND(O176&gt;=W_min,M176&gt;=Pre_A),1,0)))+IF(3&lt;=2,1-Q176,IF(3=3,IF(AND(V176=0,O176&gt;=W_min,M176-D_dip&gt;=Floor_q),1,0),IF(AND(O176&gt;=W_min,M176&gt;=Pre_A),1,0)))+IF(4&lt;=2,1-Q176,IF(4=3,IF(AND(V176=0,O176&gt;=W_min,M176-D_dip&gt;=Floor_q),1,0),IF(AND(O176&gt;=W_min,M176&gt;=Pre_A),1,0))))</f>
        <v>0</v>
      </c>
      <c r="U176" s="14" t="n">
        <f aca="false">V70</f>
        <v>1</v>
      </c>
      <c r="V176" s="14" t="n">
        <f aca="false">CHOOSE(D176,U176,U176,1,U176)</f>
        <v>1</v>
      </c>
    </row>
    <row r="177" customFormat="false" ht="15" hidden="false" customHeight="true" outlineLevel="0" collapsed="false">
      <c r="A177" s="3" t="s">
        <v>415</v>
      </c>
      <c r="B177" s="14" t="n">
        <v>4</v>
      </c>
      <c r="C177" s="14" t="n">
        <v>70</v>
      </c>
      <c r="D177" s="14" t="n">
        <v>2</v>
      </c>
      <c r="E177" s="14" t="n">
        <f aca="false">L70</f>
        <v>0</v>
      </c>
      <c r="F177" s="19" t="n">
        <f aca="false">M70</f>
        <v>576.632729102868</v>
      </c>
      <c r="G177" s="19" t="n">
        <f aca="false">N70</f>
        <v>71.5346691353518</v>
      </c>
      <c r="H177" s="14" t="n">
        <f aca="false">O70</f>
        <v>54</v>
      </c>
      <c r="I177" s="16" t="n">
        <f aca="false">P70</f>
        <v>80.5983309723245</v>
      </c>
      <c r="J177" s="14" t="n">
        <f aca="false">Q70</f>
        <v>1</v>
      </c>
      <c r="K177" s="14" t="n">
        <f aca="false">IF(D177&lt;=2,1-J177,IF(D177=3,IF(AND(U177=0,H177&gt;=W_min,F177-D_dip&gt;=Floor_q),1,0),IF(AND(H177&gt;=W_min,F177&gt;=Pre_A),1,0)))</f>
        <v>0</v>
      </c>
      <c r="L177" s="14" t="n">
        <f aca="false">E177*K177</f>
        <v>0</v>
      </c>
      <c r="M177" s="19" t="n">
        <f aca="false">CHOOSE(D177,F177+Proc_S,F177+Proc_Sk,F177+D_dL,F177-Cost_A)</f>
        <v>668.632729102868</v>
      </c>
      <c r="N177" s="19" t="n">
        <f aca="false">CHOOSE(D177,(1-Tech_share)*G177,(1-Tech_share)*G177,G177+D_dT,G177)</f>
        <v>64.3812022218166</v>
      </c>
      <c r="O177" s="14" t="n">
        <f aca="false">CHOOSE(D177,H177-W_lost,H177,H177,H177+W_gain)</f>
        <v>54</v>
      </c>
      <c r="P177" s="16" t="n">
        <f aca="false">CHOOSE(D177,I177,I177,I177+D_dE,I177+Close_A*(Ceil_E-I177))</f>
        <v>80.5983309723245</v>
      </c>
      <c r="Q177" s="14" t="n">
        <f aca="false">CHOOSE(D177,1,1,J177,J177)</f>
        <v>1</v>
      </c>
      <c r="R177" s="14" t="n">
        <f aca="false">IF(L177=1,IF(SUMPRODUCT(($L$35:$L$176=1)*(ABS($M$35:$M$176-M177)&lt;0.000001)*(ABS($N$35:$N$176-N177)&lt;0.000001)*($O$35:$O$176=O177)*(ABS($P$35:$P$176-P177)&lt;0.000001)*($Q$35:$Q$176=Q177)*($V$35:$V$176=V177))=0,1,0),0)</f>
        <v>0</v>
      </c>
      <c r="S177" s="14" t="n">
        <f aca="false">IF(AND(L177=1,N177&gt;=$B$4-0.000000001,P177&gt;=$B$6-0.000000001,M177&gt;=Floor_q+$B$5-0.000000001),1,0)</f>
        <v>0</v>
      </c>
      <c r="T177" s="14" t="n">
        <f aca="false">L177*(IF(1&lt;=2,1-Q177,IF(1=3,IF(AND(V177=0,O177&gt;=W_min,M177-D_dip&gt;=Floor_q),1,0),IF(AND(O177&gt;=W_min,M177&gt;=Pre_A),1,0)))+IF(2&lt;=2,1-Q177,IF(2=3,IF(AND(V177=0,O177&gt;=W_min,M177-D_dip&gt;=Floor_q),1,0),IF(AND(O177&gt;=W_min,M177&gt;=Pre_A),1,0)))+IF(3&lt;=2,1-Q177,IF(3=3,IF(AND(V177=0,O177&gt;=W_min,M177-D_dip&gt;=Floor_q),1,0),IF(AND(O177&gt;=W_min,M177&gt;=Pre_A),1,0)))+IF(4&lt;=2,1-Q177,IF(4=3,IF(AND(V177=0,O177&gt;=W_min,M177-D_dip&gt;=Floor_q),1,0),IF(AND(O177&gt;=W_min,M177&gt;=Pre_A),1,0))))</f>
        <v>0</v>
      </c>
      <c r="U177" s="14" t="n">
        <f aca="false">V70</f>
        <v>1</v>
      </c>
      <c r="V177" s="14" t="n">
        <f aca="false">CHOOSE(D177,U177,U177,1,U177)</f>
        <v>1</v>
      </c>
    </row>
    <row r="178" customFormat="false" ht="15" hidden="false" customHeight="true" outlineLevel="0" collapsed="false">
      <c r="A178" s="3" t="s">
        <v>416</v>
      </c>
      <c r="B178" s="14" t="n">
        <v>4</v>
      </c>
      <c r="C178" s="14" t="n">
        <v>70</v>
      </c>
      <c r="D178" s="14" t="n">
        <v>3</v>
      </c>
      <c r="E178" s="14" t="n">
        <f aca="false">L70</f>
        <v>0</v>
      </c>
      <c r="F178" s="19" t="n">
        <f aca="false">M70</f>
        <v>576.632729102868</v>
      </c>
      <c r="G178" s="19" t="n">
        <f aca="false">N70</f>
        <v>71.5346691353518</v>
      </c>
      <c r="H178" s="14" t="n">
        <f aca="false">O70</f>
        <v>54</v>
      </c>
      <c r="I178" s="16" t="n">
        <f aca="false">P70</f>
        <v>80.5983309723245</v>
      </c>
      <c r="J178" s="14" t="n">
        <f aca="false">Q70</f>
        <v>1</v>
      </c>
      <c r="K178" s="14" t="n">
        <f aca="false">IF(D178&lt;=2,1-J178,IF(D178=3,IF(AND(U178=0,H178&gt;=W_min,F178-D_dip&gt;=Floor_q),1,0),IF(AND(H178&gt;=W_min,F178&gt;=Pre_A),1,0)))</f>
        <v>0</v>
      </c>
      <c r="L178" s="14" t="n">
        <f aca="false">E178*K178</f>
        <v>0</v>
      </c>
      <c r="M178" s="19" t="n">
        <f aca="false">CHOOSE(D178,F178+Proc_S,F178+Proc_Sk,F178+D_dL,F178-Cost_A)</f>
        <v>541.265458205737</v>
      </c>
      <c r="N178" s="19" t="n">
        <f aca="false">CHOOSE(D178,(1-Tech_share)*G178,(1-Tech_share)*G178,G178+D_dT,G178)</f>
        <v>106.169338270704</v>
      </c>
      <c r="O178" s="14" t="n">
        <f aca="false">CHOOSE(D178,H178-W_lost,H178,H178,H178+W_gain)</f>
        <v>54</v>
      </c>
      <c r="P178" s="16" t="n">
        <f aca="false">CHOOSE(D178,I178,I178,I178+D_dE,I178+Close_A*(Ceil_E-I178))</f>
        <v>83.1966619446489</v>
      </c>
      <c r="Q178" s="14" t="n">
        <f aca="false">CHOOSE(D178,1,1,J178,J178)</f>
        <v>1</v>
      </c>
      <c r="R178" s="14" t="n">
        <f aca="false">IF(L178=1,IF(SUMPRODUCT(($L$35:$L$177=1)*(ABS($M$35:$M$177-M178)&lt;0.000001)*(ABS($N$35:$N$177-N178)&lt;0.000001)*($O$35:$O$177=O178)*(ABS($P$35:$P$177-P178)&lt;0.000001)*($Q$35:$Q$177=Q178)*($V$35:$V$177=V178))=0,1,0),0)</f>
        <v>0</v>
      </c>
      <c r="S178" s="14" t="n">
        <f aca="false">IF(AND(L178=1,N178&gt;=$B$4-0.000000001,P178&gt;=$B$6-0.000000001,M178&gt;=Floor_q+$B$5-0.000000001),1,0)</f>
        <v>0</v>
      </c>
      <c r="T178" s="14" t="n">
        <f aca="false">L178*(IF(1&lt;=2,1-Q178,IF(1=3,IF(AND(V178=0,O178&gt;=W_min,M178-D_dip&gt;=Floor_q),1,0),IF(AND(O178&gt;=W_min,M178&gt;=Pre_A),1,0)))+IF(2&lt;=2,1-Q178,IF(2=3,IF(AND(V178=0,O178&gt;=W_min,M178-D_dip&gt;=Floor_q),1,0),IF(AND(O178&gt;=W_min,M178&gt;=Pre_A),1,0)))+IF(3&lt;=2,1-Q178,IF(3=3,IF(AND(V178=0,O178&gt;=W_min,M178-D_dip&gt;=Floor_q),1,0),IF(AND(O178&gt;=W_min,M178&gt;=Pre_A),1,0)))+IF(4&lt;=2,1-Q178,IF(4=3,IF(AND(V178=0,O178&gt;=W_min,M178-D_dip&gt;=Floor_q),1,0),IF(AND(O178&gt;=W_min,M178&gt;=Pre_A),1,0))))</f>
        <v>0</v>
      </c>
      <c r="U178" s="14" t="n">
        <f aca="false">V70</f>
        <v>1</v>
      </c>
      <c r="V178" s="14" t="n">
        <f aca="false">CHOOSE(D178,U178,U178,1,U178)</f>
        <v>1</v>
      </c>
    </row>
    <row r="179" customFormat="false" ht="15" hidden="false" customHeight="true" outlineLevel="0" collapsed="false">
      <c r="A179" s="3" t="s">
        <v>417</v>
      </c>
      <c r="B179" s="14" t="n">
        <v>4</v>
      </c>
      <c r="C179" s="14" t="n">
        <v>70</v>
      </c>
      <c r="D179" s="14" t="n">
        <v>4</v>
      </c>
      <c r="E179" s="14" t="n">
        <f aca="false">L70</f>
        <v>0</v>
      </c>
      <c r="F179" s="19" t="n">
        <f aca="false">M70</f>
        <v>576.632729102868</v>
      </c>
      <c r="G179" s="19" t="n">
        <f aca="false">N70</f>
        <v>71.5346691353518</v>
      </c>
      <c r="H179" s="14" t="n">
        <f aca="false">O70</f>
        <v>54</v>
      </c>
      <c r="I179" s="16" t="n">
        <f aca="false">P70</f>
        <v>80.5983309723245</v>
      </c>
      <c r="J179" s="14" t="n">
        <f aca="false">Q70</f>
        <v>1</v>
      </c>
      <c r="K179" s="14" t="n">
        <f aca="false">IF(D179&lt;=2,1-J179,IF(D179=3,IF(AND(U179=0,H179&gt;=W_min,F179-D_dip&gt;=Floor_q),1,0),IF(AND(H179&gt;=W_min,F179&gt;=Pre_A),1,0)))</f>
        <v>0</v>
      </c>
      <c r="L179" s="14" t="n">
        <f aca="false">E179*K179</f>
        <v>0</v>
      </c>
      <c r="M179" s="19" t="n">
        <f aca="false">CHOOSE(D179,F179+Proc_S,F179+Proc_Sk,F179+D_dL,F179-Cost_A)</f>
        <v>456.632729102868</v>
      </c>
      <c r="N179" s="19" t="n">
        <f aca="false">CHOOSE(D179,(1-Tech_share)*G179,(1-Tech_share)*G179,G179+D_dT,G179)</f>
        <v>71.5346691353518</v>
      </c>
      <c r="O179" s="14" t="n">
        <f aca="false">CHOOSE(D179,H179-W_lost,H179,H179,H179+W_gain)</f>
        <v>55</v>
      </c>
      <c r="P179" s="16" t="n">
        <f aca="false">CHOOSE(D179,I179,I179,I179+D_dE,I179+Close_A*(Ceil_E-I179))</f>
        <v>82.7991654861622</v>
      </c>
      <c r="Q179" s="14" t="n">
        <f aca="false">CHOOSE(D179,1,1,J179,J179)</f>
        <v>1</v>
      </c>
      <c r="R179" s="14" t="n">
        <f aca="false">IF(L179=1,IF(SUMPRODUCT(($L$35:$L$178=1)*(ABS($M$35:$M$178-M179)&lt;0.000001)*(ABS($N$35:$N$178-N179)&lt;0.000001)*($O$35:$O$178=O179)*(ABS($P$35:$P$178-P179)&lt;0.000001)*($Q$35:$Q$178=Q179)*($V$35:$V$178=V179))=0,1,0),0)</f>
        <v>0</v>
      </c>
      <c r="S179" s="14" t="n">
        <f aca="false">IF(AND(L179=1,N179&gt;=$B$4-0.000000001,P179&gt;=$B$6-0.000000001,M179&gt;=Floor_q+$B$5-0.000000001),1,0)</f>
        <v>0</v>
      </c>
      <c r="T179" s="14" t="n">
        <f aca="false">L179*(IF(1&lt;=2,1-Q179,IF(1=3,IF(AND(V179=0,O179&gt;=W_min,M179-D_dip&gt;=Floor_q),1,0),IF(AND(O179&gt;=W_min,M179&gt;=Pre_A),1,0)))+IF(2&lt;=2,1-Q179,IF(2=3,IF(AND(V179=0,O179&gt;=W_min,M179-D_dip&gt;=Floor_q),1,0),IF(AND(O179&gt;=W_min,M179&gt;=Pre_A),1,0)))+IF(3&lt;=2,1-Q179,IF(3=3,IF(AND(V179=0,O179&gt;=W_min,M179-D_dip&gt;=Floor_q),1,0),IF(AND(O179&gt;=W_min,M179&gt;=Pre_A),1,0)))+IF(4&lt;=2,1-Q179,IF(4=3,IF(AND(V179=0,O179&gt;=W_min,M179-D_dip&gt;=Floor_q),1,0),IF(AND(O179&gt;=W_min,M179&gt;=Pre_A),1,0))))</f>
        <v>0</v>
      </c>
      <c r="U179" s="14" t="n">
        <f aca="false">V70</f>
        <v>1</v>
      </c>
      <c r="V179" s="14" t="n">
        <f aca="false">CHOOSE(D179,U179,U179,1,U179)</f>
        <v>1</v>
      </c>
    </row>
    <row r="180" customFormat="false" ht="15" hidden="false" customHeight="true" outlineLevel="0" collapsed="false">
      <c r="A180" s="3" t="s">
        <v>418</v>
      </c>
      <c r="B180" s="14" t="n">
        <v>4</v>
      </c>
      <c r="C180" s="14" t="n">
        <v>71</v>
      </c>
      <c r="D180" s="14" t="n">
        <v>1</v>
      </c>
      <c r="E180" s="14" t="n">
        <f aca="false">L71</f>
        <v>0</v>
      </c>
      <c r="F180" s="19" t="n">
        <f aca="false">M71</f>
        <v>492</v>
      </c>
      <c r="G180" s="19" t="n">
        <f aca="false">N71</f>
        <v>36.9</v>
      </c>
      <c r="H180" s="14" t="n">
        <f aca="false">O71</f>
        <v>55</v>
      </c>
      <c r="I180" s="16" t="n">
        <f aca="false">P71</f>
        <v>81.5</v>
      </c>
      <c r="J180" s="14" t="n">
        <f aca="false">Q71</f>
        <v>1</v>
      </c>
      <c r="K180" s="14" t="n">
        <f aca="false">IF(D180&lt;=2,1-J180,IF(D180=3,IF(AND(U180=0,H180&gt;=W_min,F180-D_dip&gt;=Floor_q),1,0),IF(AND(H180&gt;=W_min,F180&gt;=Pre_A),1,0)))</f>
        <v>0</v>
      </c>
      <c r="L180" s="14" t="n">
        <f aca="false">E180*K180</f>
        <v>0</v>
      </c>
      <c r="M180" s="19" t="n">
        <f aca="false">CHOOSE(D180,F180+Proc_S,F180+Proc_Sk,F180+D_dL,F180-Cost_A)</f>
        <v>604</v>
      </c>
      <c r="N180" s="19" t="n">
        <f aca="false">CHOOSE(D180,(1-Tech_share)*G180,(1-Tech_share)*G180,G180+D_dT,G180)</f>
        <v>33.21</v>
      </c>
      <c r="O180" s="14" t="n">
        <f aca="false">CHOOSE(D180,H180-W_lost,H180,H180,H180+W_gain)</f>
        <v>50</v>
      </c>
      <c r="P180" s="16" t="n">
        <f aca="false">CHOOSE(D180,I180,I180,I180+D_dE,I180+Close_A*(Ceil_E-I180))</f>
        <v>81.5</v>
      </c>
      <c r="Q180" s="14" t="n">
        <f aca="false">CHOOSE(D180,1,1,J180,J180)</f>
        <v>1</v>
      </c>
      <c r="R180" s="14" t="n">
        <f aca="false">IF(L180=1,IF(SUMPRODUCT(($L$35:$L$179=1)*(ABS($M$35:$M$179-M180)&lt;0.000001)*(ABS($N$35:$N$179-N180)&lt;0.000001)*($O$35:$O$179=O180)*(ABS($P$35:$P$179-P180)&lt;0.000001)*($Q$35:$Q$179=Q180)*($V$35:$V$179=V180))=0,1,0),0)</f>
        <v>0</v>
      </c>
      <c r="S180" s="14" t="n">
        <f aca="false">IF(AND(L180=1,N180&gt;=$B$4-0.000000001,P180&gt;=$B$6-0.000000001,M180&gt;=Floor_q+$B$5-0.000000001),1,0)</f>
        <v>0</v>
      </c>
      <c r="T180" s="14" t="n">
        <f aca="false">L180*(IF(1&lt;=2,1-Q180,IF(1=3,IF(AND(V180=0,O180&gt;=W_min,M180-D_dip&gt;=Floor_q),1,0),IF(AND(O180&gt;=W_min,M180&gt;=Pre_A),1,0)))+IF(2&lt;=2,1-Q180,IF(2=3,IF(AND(V180=0,O180&gt;=W_min,M180-D_dip&gt;=Floor_q),1,0),IF(AND(O180&gt;=W_min,M180&gt;=Pre_A),1,0)))+IF(3&lt;=2,1-Q180,IF(3=3,IF(AND(V180=0,O180&gt;=W_min,M180-D_dip&gt;=Floor_q),1,0),IF(AND(O180&gt;=W_min,M180&gt;=Pre_A),1,0)))+IF(4&lt;=2,1-Q180,IF(4=3,IF(AND(V180=0,O180&gt;=W_min,M180-D_dip&gt;=Floor_q),1,0),IF(AND(O180&gt;=W_min,M180&gt;=Pre_A),1,0))))</f>
        <v>0</v>
      </c>
      <c r="U180" s="14" t="n">
        <f aca="false">V71</f>
        <v>0</v>
      </c>
      <c r="V180" s="14" t="n">
        <f aca="false">CHOOSE(D180,U180,U180,1,U180)</f>
        <v>0</v>
      </c>
    </row>
    <row r="181" customFormat="false" ht="15" hidden="false" customHeight="true" outlineLevel="0" collapsed="false">
      <c r="A181" s="3" t="s">
        <v>419</v>
      </c>
      <c r="B181" s="14" t="n">
        <v>4</v>
      </c>
      <c r="C181" s="14" t="n">
        <v>71</v>
      </c>
      <c r="D181" s="14" t="n">
        <v>2</v>
      </c>
      <c r="E181" s="14" t="n">
        <f aca="false">L71</f>
        <v>0</v>
      </c>
      <c r="F181" s="19" t="n">
        <f aca="false">M71</f>
        <v>492</v>
      </c>
      <c r="G181" s="19" t="n">
        <f aca="false">N71</f>
        <v>36.9</v>
      </c>
      <c r="H181" s="14" t="n">
        <f aca="false">O71</f>
        <v>55</v>
      </c>
      <c r="I181" s="16" t="n">
        <f aca="false">P71</f>
        <v>81.5</v>
      </c>
      <c r="J181" s="14" t="n">
        <f aca="false">Q71</f>
        <v>1</v>
      </c>
      <c r="K181" s="14" t="n">
        <f aca="false">IF(D181&lt;=2,1-J181,IF(D181=3,IF(AND(U181=0,H181&gt;=W_min,F181-D_dip&gt;=Floor_q),1,0),IF(AND(H181&gt;=W_min,F181&gt;=Pre_A),1,0)))</f>
        <v>0</v>
      </c>
      <c r="L181" s="14" t="n">
        <f aca="false">E181*K181</f>
        <v>0</v>
      </c>
      <c r="M181" s="19" t="n">
        <f aca="false">CHOOSE(D181,F181+Proc_S,F181+Proc_Sk,F181+D_dL,F181-Cost_A)</f>
        <v>584</v>
      </c>
      <c r="N181" s="19" t="n">
        <f aca="false">CHOOSE(D181,(1-Tech_share)*G181,(1-Tech_share)*G181,G181+D_dT,G181)</f>
        <v>33.21</v>
      </c>
      <c r="O181" s="14" t="n">
        <f aca="false">CHOOSE(D181,H181-W_lost,H181,H181,H181+W_gain)</f>
        <v>55</v>
      </c>
      <c r="P181" s="16" t="n">
        <f aca="false">CHOOSE(D181,I181,I181,I181+D_dE,I181+Close_A*(Ceil_E-I181))</f>
        <v>81.5</v>
      </c>
      <c r="Q181" s="14" t="n">
        <f aca="false">CHOOSE(D181,1,1,J181,J181)</f>
        <v>1</v>
      </c>
      <c r="R181" s="14" t="n">
        <f aca="false">IF(L181=1,IF(SUMPRODUCT(($L$35:$L$180=1)*(ABS($M$35:$M$180-M181)&lt;0.000001)*(ABS($N$35:$N$180-N181)&lt;0.000001)*($O$35:$O$180=O181)*(ABS($P$35:$P$180-P181)&lt;0.000001)*($Q$35:$Q$180=Q181)*($V$35:$V$180=V181))=0,1,0),0)</f>
        <v>0</v>
      </c>
      <c r="S181" s="14" t="n">
        <f aca="false">IF(AND(L181=1,N181&gt;=$B$4-0.000000001,P181&gt;=$B$6-0.000000001,M181&gt;=Floor_q+$B$5-0.000000001),1,0)</f>
        <v>0</v>
      </c>
      <c r="T181" s="14" t="n">
        <f aca="false">L181*(IF(1&lt;=2,1-Q181,IF(1=3,IF(AND(V181=0,O181&gt;=W_min,M181-D_dip&gt;=Floor_q),1,0),IF(AND(O181&gt;=W_min,M181&gt;=Pre_A),1,0)))+IF(2&lt;=2,1-Q181,IF(2=3,IF(AND(V181=0,O181&gt;=W_min,M181-D_dip&gt;=Floor_q),1,0),IF(AND(O181&gt;=W_min,M181&gt;=Pre_A),1,0)))+IF(3&lt;=2,1-Q181,IF(3=3,IF(AND(V181=0,O181&gt;=W_min,M181-D_dip&gt;=Floor_q),1,0),IF(AND(O181&gt;=W_min,M181&gt;=Pre_A),1,0)))+IF(4&lt;=2,1-Q181,IF(4=3,IF(AND(V181=0,O181&gt;=W_min,M181-D_dip&gt;=Floor_q),1,0),IF(AND(O181&gt;=W_min,M181&gt;=Pre_A),1,0))))</f>
        <v>0</v>
      </c>
      <c r="U181" s="14" t="n">
        <f aca="false">V71</f>
        <v>0</v>
      </c>
      <c r="V181" s="14" t="n">
        <f aca="false">CHOOSE(D181,U181,U181,1,U181)</f>
        <v>0</v>
      </c>
    </row>
    <row r="182" customFormat="false" ht="15" hidden="false" customHeight="true" outlineLevel="0" collapsed="false">
      <c r="A182" s="3" t="s">
        <v>420</v>
      </c>
      <c r="B182" s="14" t="n">
        <v>4</v>
      </c>
      <c r="C182" s="14" t="n">
        <v>71</v>
      </c>
      <c r="D182" s="14" t="n">
        <v>3</v>
      </c>
      <c r="E182" s="14" t="n">
        <f aca="false">L71</f>
        <v>0</v>
      </c>
      <c r="F182" s="19" t="n">
        <f aca="false">M71</f>
        <v>492</v>
      </c>
      <c r="G182" s="19" t="n">
        <f aca="false">N71</f>
        <v>36.9</v>
      </c>
      <c r="H182" s="14" t="n">
        <f aca="false">O71</f>
        <v>55</v>
      </c>
      <c r="I182" s="16" t="n">
        <f aca="false">P71</f>
        <v>81.5</v>
      </c>
      <c r="J182" s="14" t="n">
        <f aca="false">Q71</f>
        <v>1</v>
      </c>
      <c r="K182" s="14" t="n">
        <f aca="false">IF(D182&lt;=2,1-J182,IF(D182=3,IF(AND(U182=0,H182&gt;=W_min,F182-D_dip&gt;=Floor_q),1,0),IF(AND(H182&gt;=W_min,F182&gt;=Pre_A),1,0)))</f>
        <v>1</v>
      </c>
      <c r="L182" s="14" t="n">
        <f aca="false">E182*K182</f>
        <v>0</v>
      </c>
      <c r="M182" s="19" t="n">
        <f aca="false">CHOOSE(D182,F182+Proc_S,F182+Proc_Sk,F182+D_dL,F182-Cost_A)</f>
        <v>456.632729102868</v>
      </c>
      <c r="N182" s="19" t="n">
        <f aca="false">CHOOSE(D182,(1-Tech_share)*G182,(1-Tech_share)*G182,G182+D_dT,G182)</f>
        <v>71.5346691353518</v>
      </c>
      <c r="O182" s="14" t="n">
        <f aca="false">CHOOSE(D182,H182-W_lost,H182,H182,H182+W_gain)</f>
        <v>55</v>
      </c>
      <c r="P182" s="16" t="n">
        <f aca="false">CHOOSE(D182,I182,I182,I182+D_dE,I182+Close_A*(Ceil_E-I182))</f>
        <v>84.0983309723245</v>
      </c>
      <c r="Q182" s="14" t="n">
        <f aca="false">CHOOSE(D182,1,1,J182,J182)</f>
        <v>1</v>
      </c>
      <c r="R182" s="14" t="n">
        <f aca="false">IF(L182=1,IF(SUMPRODUCT(($L$35:$L$181=1)*(ABS($M$35:$M$181-M182)&lt;0.000001)*(ABS($N$35:$N$181-N182)&lt;0.000001)*($O$35:$O$181=O182)*(ABS($P$35:$P$181-P182)&lt;0.000001)*($Q$35:$Q$181=Q182)*($V$35:$V$181=V182))=0,1,0),0)</f>
        <v>0</v>
      </c>
      <c r="S182" s="14" t="n">
        <f aca="false">IF(AND(L182=1,N182&gt;=$B$4-0.000000001,P182&gt;=$B$6-0.000000001,M182&gt;=Floor_q+$B$5-0.000000001),1,0)</f>
        <v>0</v>
      </c>
      <c r="T182" s="14" t="n">
        <f aca="false">L182*(IF(1&lt;=2,1-Q182,IF(1=3,IF(AND(V182=0,O182&gt;=W_min,M182-D_dip&gt;=Floor_q),1,0),IF(AND(O182&gt;=W_min,M182&gt;=Pre_A),1,0)))+IF(2&lt;=2,1-Q182,IF(2=3,IF(AND(V182=0,O182&gt;=W_min,M182-D_dip&gt;=Floor_q),1,0),IF(AND(O182&gt;=W_min,M182&gt;=Pre_A),1,0)))+IF(3&lt;=2,1-Q182,IF(3=3,IF(AND(V182=0,O182&gt;=W_min,M182-D_dip&gt;=Floor_q),1,0),IF(AND(O182&gt;=W_min,M182&gt;=Pre_A),1,0)))+IF(4&lt;=2,1-Q182,IF(4=3,IF(AND(V182=0,O182&gt;=W_min,M182-D_dip&gt;=Floor_q),1,0),IF(AND(O182&gt;=W_min,M182&gt;=Pre_A),1,0))))</f>
        <v>0</v>
      </c>
      <c r="U182" s="14" t="n">
        <f aca="false">V71</f>
        <v>0</v>
      </c>
      <c r="V182" s="14" t="n">
        <f aca="false">CHOOSE(D182,U182,U182,1,U182)</f>
        <v>1</v>
      </c>
    </row>
    <row r="183" customFormat="false" ht="15" hidden="false" customHeight="true" outlineLevel="0" collapsed="false">
      <c r="A183" s="3" t="s">
        <v>421</v>
      </c>
      <c r="B183" s="14" t="n">
        <v>4</v>
      </c>
      <c r="C183" s="14" t="n">
        <v>71</v>
      </c>
      <c r="D183" s="14" t="n">
        <v>4</v>
      </c>
      <c r="E183" s="14" t="n">
        <f aca="false">L71</f>
        <v>0</v>
      </c>
      <c r="F183" s="19" t="n">
        <f aca="false">M71</f>
        <v>492</v>
      </c>
      <c r="G183" s="19" t="n">
        <f aca="false">N71</f>
        <v>36.9</v>
      </c>
      <c r="H183" s="14" t="n">
        <f aca="false">O71</f>
        <v>55</v>
      </c>
      <c r="I183" s="16" t="n">
        <f aca="false">P71</f>
        <v>81.5</v>
      </c>
      <c r="J183" s="14" t="n">
        <f aca="false">Q71</f>
        <v>1</v>
      </c>
      <c r="K183" s="14" t="n">
        <f aca="false">IF(D183&lt;=2,1-J183,IF(D183=3,IF(AND(U183=0,H183&gt;=W_min,F183-D_dip&gt;=Floor_q),1,0),IF(AND(H183&gt;=W_min,F183&gt;=Pre_A),1,0)))</f>
        <v>1</v>
      </c>
      <c r="L183" s="14" t="n">
        <f aca="false">E183*K183</f>
        <v>0</v>
      </c>
      <c r="M183" s="19" t="n">
        <f aca="false">CHOOSE(D183,F183+Proc_S,F183+Proc_Sk,F183+D_dL,F183-Cost_A)</f>
        <v>372</v>
      </c>
      <c r="N183" s="19" t="n">
        <f aca="false">CHOOSE(D183,(1-Tech_share)*G183,(1-Tech_share)*G183,G183+D_dT,G183)</f>
        <v>36.9</v>
      </c>
      <c r="O183" s="14" t="n">
        <f aca="false">CHOOSE(D183,H183-W_lost,H183,H183,H183+W_gain)</f>
        <v>56</v>
      </c>
      <c r="P183" s="16" t="n">
        <f aca="false">CHOOSE(D183,I183,I183,I183+D_dE,I183+Close_A*(Ceil_E-I183))</f>
        <v>83.25</v>
      </c>
      <c r="Q183" s="14" t="n">
        <f aca="false">CHOOSE(D183,1,1,J183,J183)</f>
        <v>1</v>
      </c>
      <c r="R183" s="14" t="n">
        <f aca="false">IF(L183=1,IF(SUMPRODUCT(($L$35:$L$182=1)*(ABS($M$35:$M$182-M183)&lt;0.000001)*(ABS($N$35:$N$182-N183)&lt;0.000001)*($O$35:$O$182=O183)*(ABS($P$35:$P$182-P183)&lt;0.000001)*($Q$35:$Q$182=Q183)*($V$35:$V$182=V183))=0,1,0),0)</f>
        <v>0</v>
      </c>
      <c r="S183" s="14" t="n">
        <f aca="false">IF(AND(L183=1,N183&gt;=$B$4-0.000000001,P183&gt;=$B$6-0.000000001,M183&gt;=Floor_q+$B$5-0.000000001),1,0)</f>
        <v>0</v>
      </c>
      <c r="T183" s="14" t="n">
        <f aca="false">L183*(IF(1&lt;=2,1-Q183,IF(1=3,IF(AND(V183=0,O183&gt;=W_min,M183-D_dip&gt;=Floor_q),1,0),IF(AND(O183&gt;=W_min,M183&gt;=Pre_A),1,0)))+IF(2&lt;=2,1-Q183,IF(2=3,IF(AND(V183=0,O183&gt;=W_min,M183-D_dip&gt;=Floor_q),1,0),IF(AND(O183&gt;=W_min,M183&gt;=Pre_A),1,0)))+IF(3&lt;=2,1-Q183,IF(3=3,IF(AND(V183=0,O183&gt;=W_min,M183-D_dip&gt;=Floor_q),1,0),IF(AND(O183&gt;=W_min,M183&gt;=Pre_A),1,0)))+IF(4&lt;=2,1-Q183,IF(4=3,IF(AND(V183=0,O183&gt;=W_min,M183-D_dip&gt;=Floor_q),1,0),IF(AND(O183&gt;=W_min,M183&gt;=Pre_A),1,0))))</f>
        <v>0</v>
      </c>
      <c r="U183" s="14" t="n">
        <f aca="false">V71</f>
        <v>0</v>
      </c>
      <c r="V183" s="14" t="n">
        <f aca="false">CHOOSE(D183,U183,U183,1,U183)</f>
        <v>0</v>
      </c>
    </row>
    <row r="184" customFormat="false" ht="15" hidden="false" customHeight="true" outlineLevel="0" collapsed="false">
      <c r="A184" s="3" t="s">
        <v>422</v>
      </c>
      <c r="B184" s="14" t="n">
        <v>4</v>
      </c>
      <c r="C184" s="14" t="n">
        <v>72</v>
      </c>
      <c r="D184" s="14" t="n">
        <v>1</v>
      </c>
      <c r="E184" s="14" t="n">
        <f aca="false">L72</f>
        <v>0</v>
      </c>
      <c r="F184" s="19" t="n">
        <f aca="false">M72</f>
        <v>936</v>
      </c>
      <c r="G184" s="19" t="n">
        <f aca="false">N72</f>
        <v>29.889</v>
      </c>
      <c r="H184" s="14" t="n">
        <f aca="false">O72</f>
        <v>48</v>
      </c>
      <c r="I184" s="16" t="n">
        <f aca="false">P72</f>
        <v>71</v>
      </c>
      <c r="J184" s="14" t="n">
        <f aca="false">Q72</f>
        <v>1</v>
      </c>
      <c r="K184" s="14" t="n">
        <f aca="false">IF(D184&lt;=2,1-J184,IF(D184=3,IF(AND(U184=0,H184&gt;=W_min,F184-D_dip&gt;=Floor_q),1,0),IF(AND(H184&gt;=W_min,F184&gt;=Pre_A),1,0)))</f>
        <v>0</v>
      </c>
      <c r="L184" s="14" t="n">
        <f aca="false">E184*K184</f>
        <v>0</v>
      </c>
      <c r="M184" s="19" t="n">
        <f aca="false">CHOOSE(D184,F184+Proc_S,F184+Proc_Sk,F184+D_dL,F184-Cost_A)</f>
        <v>1048</v>
      </c>
      <c r="N184" s="19" t="n">
        <f aca="false">CHOOSE(D184,(1-Tech_share)*G184,(1-Tech_share)*G184,G184+D_dT,G184)</f>
        <v>26.9001</v>
      </c>
      <c r="O184" s="14" t="n">
        <f aca="false">CHOOSE(D184,H184-W_lost,H184,H184,H184+W_gain)</f>
        <v>43</v>
      </c>
      <c r="P184" s="16" t="n">
        <f aca="false">CHOOSE(D184,I184,I184,I184+D_dE,I184+Close_A*(Ceil_E-I184))</f>
        <v>71</v>
      </c>
      <c r="Q184" s="14" t="n">
        <f aca="false">CHOOSE(D184,1,1,J184,J184)</f>
        <v>1</v>
      </c>
      <c r="R184" s="14" t="n">
        <f aca="false">IF(L184=1,IF(SUMPRODUCT(($L$35:$L$183=1)*(ABS($M$35:$M$183-M184)&lt;0.000001)*(ABS($N$35:$N$183-N184)&lt;0.000001)*($O$35:$O$183=O184)*(ABS($P$35:$P$183-P184)&lt;0.000001)*($Q$35:$Q$183=Q184)*($V$35:$V$183=V184))=0,1,0),0)</f>
        <v>0</v>
      </c>
      <c r="S184" s="14" t="n">
        <f aca="false">IF(AND(L184=1,N184&gt;=$B$4-0.000000001,P184&gt;=$B$6-0.000000001,M184&gt;=Floor_q+$B$5-0.000000001),1,0)</f>
        <v>0</v>
      </c>
      <c r="T184" s="14" t="n">
        <f aca="false">L184*(IF(1&lt;=2,1-Q184,IF(1=3,IF(AND(V184=0,O184&gt;=W_min,M184-D_dip&gt;=Floor_q),1,0),IF(AND(O184&gt;=W_min,M184&gt;=Pre_A),1,0)))+IF(2&lt;=2,1-Q184,IF(2=3,IF(AND(V184=0,O184&gt;=W_min,M184-D_dip&gt;=Floor_q),1,0),IF(AND(O184&gt;=W_min,M184&gt;=Pre_A),1,0)))+IF(3&lt;=2,1-Q184,IF(3=3,IF(AND(V184=0,O184&gt;=W_min,M184-D_dip&gt;=Floor_q),1,0),IF(AND(O184&gt;=W_min,M184&gt;=Pre_A),1,0)))+IF(4&lt;=2,1-Q184,IF(4=3,IF(AND(V184=0,O184&gt;=W_min,M184-D_dip&gt;=Floor_q),1,0),IF(AND(O184&gt;=W_min,M184&gt;=Pre_A),1,0))))</f>
        <v>0</v>
      </c>
      <c r="U184" s="14" t="n">
        <f aca="false">V72</f>
        <v>0</v>
      </c>
      <c r="V184" s="14" t="n">
        <f aca="false">CHOOSE(D184,U184,U184,1,U184)</f>
        <v>0</v>
      </c>
    </row>
    <row r="185" customFormat="false" ht="15" hidden="false" customHeight="true" outlineLevel="0" collapsed="false">
      <c r="A185" s="3" t="s">
        <v>423</v>
      </c>
      <c r="B185" s="14" t="n">
        <v>4</v>
      </c>
      <c r="C185" s="14" t="n">
        <v>72</v>
      </c>
      <c r="D185" s="14" t="n">
        <v>2</v>
      </c>
      <c r="E185" s="14" t="n">
        <f aca="false">L72</f>
        <v>0</v>
      </c>
      <c r="F185" s="19" t="n">
        <f aca="false">M72</f>
        <v>936</v>
      </c>
      <c r="G185" s="19" t="n">
        <f aca="false">N72</f>
        <v>29.889</v>
      </c>
      <c r="H185" s="14" t="n">
        <f aca="false">O72</f>
        <v>48</v>
      </c>
      <c r="I185" s="16" t="n">
        <f aca="false">P72</f>
        <v>71</v>
      </c>
      <c r="J185" s="14" t="n">
        <f aca="false">Q72</f>
        <v>1</v>
      </c>
      <c r="K185" s="14" t="n">
        <f aca="false">IF(D185&lt;=2,1-J185,IF(D185=3,IF(AND(U185=0,H185&gt;=W_min,F185-D_dip&gt;=Floor_q),1,0),IF(AND(H185&gt;=W_min,F185&gt;=Pre_A),1,0)))</f>
        <v>0</v>
      </c>
      <c r="L185" s="14" t="n">
        <f aca="false">E185*K185</f>
        <v>0</v>
      </c>
      <c r="M185" s="19" t="n">
        <f aca="false">CHOOSE(D185,F185+Proc_S,F185+Proc_Sk,F185+D_dL,F185-Cost_A)</f>
        <v>1028</v>
      </c>
      <c r="N185" s="19" t="n">
        <f aca="false">CHOOSE(D185,(1-Tech_share)*G185,(1-Tech_share)*G185,G185+D_dT,G185)</f>
        <v>26.9001</v>
      </c>
      <c r="O185" s="14" t="n">
        <f aca="false">CHOOSE(D185,H185-W_lost,H185,H185,H185+W_gain)</f>
        <v>48</v>
      </c>
      <c r="P185" s="16" t="n">
        <f aca="false">CHOOSE(D185,I185,I185,I185+D_dE,I185+Close_A*(Ceil_E-I185))</f>
        <v>71</v>
      </c>
      <c r="Q185" s="14" t="n">
        <f aca="false">CHOOSE(D185,1,1,J185,J185)</f>
        <v>1</v>
      </c>
      <c r="R185" s="14" t="n">
        <f aca="false">IF(L185=1,IF(SUMPRODUCT(($L$35:$L$184=1)*(ABS($M$35:$M$184-M185)&lt;0.000001)*(ABS($N$35:$N$184-N185)&lt;0.000001)*($O$35:$O$184=O185)*(ABS($P$35:$P$184-P185)&lt;0.000001)*($Q$35:$Q$184=Q185)*($V$35:$V$184=V185))=0,1,0),0)</f>
        <v>0</v>
      </c>
      <c r="S185" s="14" t="n">
        <f aca="false">IF(AND(L185=1,N185&gt;=$B$4-0.000000001,P185&gt;=$B$6-0.000000001,M185&gt;=Floor_q+$B$5-0.000000001),1,0)</f>
        <v>0</v>
      </c>
      <c r="T185" s="14" t="n">
        <f aca="false">L185*(IF(1&lt;=2,1-Q185,IF(1=3,IF(AND(V185=0,O185&gt;=W_min,M185-D_dip&gt;=Floor_q),1,0),IF(AND(O185&gt;=W_min,M185&gt;=Pre_A),1,0)))+IF(2&lt;=2,1-Q185,IF(2=3,IF(AND(V185=0,O185&gt;=W_min,M185-D_dip&gt;=Floor_q),1,0),IF(AND(O185&gt;=W_min,M185&gt;=Pre_A),1,0)))+IF(3&lt;=2,1-Q185,IF(3=3,IF(AND(V185=0,O185&gt;=W_min,M185-D_dip&gt;=Floor_q),1,0),IF(AND(O185&gt;=W_min,M185&gt;=Pre_A),1,0)))+IF(4&lt;=2,1-Q185,IF(4=3,IF(AND(V185=0,O185&gt;=W_min,M185-D_dip&gt;=Floor_q),1,0),IF(AND(O185&gt;=W_min,M185&gt;=Pre_A),1,0))))</f>
        <v>0</v>
      </c>
      <c r="U185" s="14" t="n">
        <f aca="false">V72</f>
        <v>0</v>
      </c>
      <c r="V185" s="14" t="n">
        <f aca="false">CHOOSE(D185,U185,U185,1,U185)</f>
        <v>0</v>
      </c>
    </row>
    <row r="186" customFormat="false" ht="15" hidden="false" customHeight="true" outlineLevel="0" collapsed="false">
      <c r="A186" s="3" t="s">
        <v>424</v>
      </c>
      <c r="B186" s="14" t="n">
        <v>4</v>
      </c>
      <c r="C186" s="14" t="n">
        <v>72</v>
      </c>
      <c r="D186" s="14" t="n">
        <v>3</v>
      </c>
      <c r="E186" s="14" t="n">
        <f aca="false">L72</f>
        <v>0</v>
      </c>
      <c r="F186" s="19" t="n">
        <f aca="false">M72</f>
        <v>936</v>
      </c>
      <c r="G186" s="19" t="n">
        <f aca="false">N72</f>
        <v>29.889</v>
      </c>
      <c r="H186" s="14" t="n">
        <f aca="false">O72</f>
        <v>48</v>
      </c>
      <c r="I186" s="16" t="n">
        <f aca="false">P72</f>
        <v>71</v>
      </c>
      <c r="J186" s="14" t="n">
        <f aca="false">Q72</f>
        <v>1</v>
      </c>
      <c r="K186" s="14" t="n">
        <f aca="false">IF(D186&lt;=2,1-J186,IF(D186=3,IF(AND(U186=0,H186&gt;=W_min,F186-D_dip&gt;=Floor_q),1,0),IF(AND(H186&gt;=W_min,F186&gt;=Pre_A),1,0)))</f>
        <v>0</v>
      </c>
      <c r="L186" s="14" t="n">
        <f aca="false">E186*K186</f>
        <v>0</v>
      </c>
      <c r="M186" s="19" t="n">
        <f aca="false">CHOOSE(D186,F186+Proc_S,F186+Proc_Sk,F186+D_dL,F186-Cost_A)</f>
        <v>900.632729102868</v>
      </c>
      <c r="N186" s="19" t="n">
        <f aca="false">CHOOSE(D186,(1-Tech_share)*G186,(1-Tech_share)*G186,G186+D_dT,G186)</f>
        <v>64.5236691353518</v>
      </c>
      <c r="O186" s="14" t="n">
        <f aca="false">CHOOSE(D186,H186-W_lost,H186,H186,H186+W_gain)</f>
        <v>48</v>
      </c>
      <c r="P186" s="16" t="n">
        <f aca="false">CHOOSE(D186,I186,I186,I186+D_dE,I186+Close_A*(Ceil_E-I186))</f>
        <v>73.5983309723245</v>
      </c>
      <c r="Q186" s="14" t="n">
        <f aca="false">CHOOSE(D186,1,1,J186,J186)</f>
        <v>1</v>
      </c>
      <c r="R186" s="14" t="n">
        <f aca="false">IF(L186=1,IF(SUMPRODUCT(($L$35:$L$185=1)*(ABS($M$35:$M$185-M186)&lt;0.000001)*(ABS($N$35:$N$185-N186)&lt;0.000001)*($O$35:$O$185=O186)*(ABS($P$35:$P$185-P186)&lt;0.000001)*($Q$35:$Q$185=Q186)*($V$35:$V$185=V186))=0,1,0),0)</f>
        <v>0</v>
      </c>
      <c r="S186" s="14" t="n">
        <f aca="false">IF(AND(L186=1,N186&gt;=$B$4-0.000000001,P186&gt;=$B$6-0.000000001,M186&gt;=Floor_q+$B$5-0.000000001),1,0)</f>
        <v>0</v>
      </c>
      <c r="T186" s="14" t="n">
        <f aca="false">L186*(IF(1&lt;=2,1-Q186,IF(1=3,IF(AND(V186=0,O186&gt;=W_min,M186-D_dip&gt;=Floor_q),1,0),IF(AND(O186&gt;=W_min,M186&gt;=Pre_A),1,0)))+IF(2&lt;=2,1-Q186,IF(2=3,IF(AND(V186=0,O186&gt;=W_min,M186-D_dip&gt;=Floor_q),1,0),IF(AND(O186&gt;=W_min,M186&gt;=Pre_A),1,0)))+IF(3&lt;=2,1-Q186,IF(3=3,IF(AND(V186=0,O186&gt;=W_min,M186-D_dip&gt;=Floor_q),1,0),IF(AND(O186&gt;=W_min,M186&gt;=Pre_A),1,0)))+IF(4&lt;=2,1-Q186,IF(4=3,IF(AND(V186=0,O186&gt;=W_min,M186-D_dip&gt;=Floor_q),1,0),IF(AND(O186&gt;=W_min,M186&gt;=Pre_A),1,0))))</f>
        <v>0</v>
      </c>
      <c r="U186" s="14" t="n">
        <f aca="false">V72</f>
        <v>0</v>
      </c>
      <c r="V186" s="14" t="n">
        <f aca="false">CHOOSE(D186,U186,U186,1,U186)</f>
        <v>1</v>
      </c>
    </row>
    <row r="187" customFormat="false" ht="15" hidden="false" customHeight="true" outlineLevel="0" collapsed="false">
      <c r="A187" s="3" t="s">
        <v>425</v>
      </c>
      <c r="B187" s="14" t="n">
        <v>4</v>
      </c>
      <c r="C187" s="14" t="n">
        <v>72</v>
      </c>
      <c r="D187" s="14" t="n">
        <v>4</v>
      </c>
      <c r="E187" s="14" t="n">
        <f aca="false">L72</f>
        <v>0</v>
      </c>
      <c r="F187" s="19" t="n">
        <f aca="false">M72</f>
        <v>936</v>
      </c>
      <c r="G187" s="19" t="n">
        <f aca="false">N72</f>
        <v>29.889</v>
      </c>
      <c r="H187" s="14" t="n">
        <f aca="false">O72</f>
        <v>48</v>
      </c>
      <c r="I187" s="16" t="n">
        <f aca="false">P72</f>
        <v>71</v>
      </c>
      <c r="J187" s="14" t="n">
        <f aca="false">Q72</f>
        <v>1</v>
      </c>
      <c r="K187" s="14" t="n">
        <f aca="false">IF(D187&lt;=2,1-J187,IF(D187=3,IF(AND(U187=0,H187&gt;=W_min,F187-D_dip&gt;=Floor_q),1,0),IF(AND(H187&gt;=W_min,F187&gt;=Pre_A),1,0)))</f>
        <v>0</v>
      </c>
      <c r="L187" s="14" t="n">
        <f aca="false">E187*K187</f>
        <v>0</v>
      </c>
      <c r="M187" s="19" t="n">
        <f aca="false">CHOOSE(D187,F187+Proc_S,F187+Proc_Sk,F187+D_dL,F187-Cost_A)</f>
        <v>816</v>
      </c>
      <c r="N187" s="19" t="n">
        <f aca="false">CHOOSE(D187,(1-Tech_share)*G187,(1-Tech_share)*G187,G187+D_dT,G187)</f>
        <v>29.889</v>
      </c>
      <c r="O187" s="14" t="n">
        <f aca="false">CHOOSE(D187,H187-W_lost,H187,H187,H187+W_gain)</f>
        <v>49</v>
      </c>
      <c r="P187" s="16" t="n">
        <f aca="false">CHOOSE(D187,I187,I187,I187+D_dE,I187+Close_A*(Ceil_E-I187))</f>
        <v>78</v>
      </c>
      <c r="Q187" s="14" t="n">
        <f aca="false">CHOOSE(D187,1,1,J187,J187)</f>
        <v>1</v>
      </c>
      <c r="R187" s="14" t="n">
        <f aca="false">IF(L187=1,IF(SUMPRODUCT(($L$35:$L$186=1)*(ABS($M$35:$M$186-M187)&lt;0.000001)*(ABS($N$35:$N$186-N187)&lt;0.000001)*($O$35:$O$186=O187)*(ABS($P$35:$P$186-P187)&lt;0.000001)*($Q$35:$Q$186=Q187)*($V$35:$V$186=V187))=0,1,0),0)</f>
        <v>0</v>
      </c>
      <c r="S187" s="14" t="n">
        <f aca="false">IF(AND(L187=1,N187&gt;=$B$4-0.000000001,P187&gt;=$B$6-0.000000001,M187&gt;=Floor_q+$B$5-0.000000001),1,0)</f>
        <v>0</v>
      </c>
      <c r="T187" s="14" t="n">
        <f aca="false">L187*(IF(1&lt;=2,1-Q187,IF(1=3,IF(AND(V187=0,O187&gt;=W_min,M187-D_dip&gt;=Floor_q),1,0),IF(AND(O187&gt;=W_min,M187&gt;=Pre_A),1,0)))+IF(2&lt;=2,1-Q187,IF(2=3,IF(AND(V187=0,O187&gt;=W_min,M187-D_dip&gt;=Floor_q),1,0),IF(AND(O187&gt;=W_min,M187&gt;=Pre_A),1,0)))+IF(3&lt;=2,1-Q187,IF(3=3,IF(AND(V187=0,O187&gt;=W_min,M187-D_dip&gt;=Floor_q),1,0),IF(AND(O187&gt;=W_min,M187&gt;=Pre_A),1,0)))+IF(4&lt;=2,1-Q187,IF(4=3,IF(AND(V187=0,O187&gt;=W_min,M187-D_dip&gt;=Floor_q),1,0),IF(AND(O187&gt;=W_min,M187&gt;=Pre_A),1,0))))</f>
        <v>0</v>
      </c>
      <c r="U187" s="14" t="n">
        <f aca="false">V72</f>
        <v>0</v>
      </c>
      <c r="V187" s="14" t="n">
        <f aca="false">CHOOSE(D187,U187,U187,1,U187)</f>
        <v>0</v>
      </c>
    </row>
    <row r="188" customFormat="false" ht="15" hidden="false" customHeight="true" outlineLevel="0" collapsed="false">
      <c r="A188" s="3" t="s">
        <v>426</v>
      </c>
      <c r="B188" s="14" t="n">
        <v>4</v>
      </c>
      <c r="C188" s="14" t="n">
        <v>73</v>
      </c>
      <c r="D188" s="14" t="n">
        <v>1</v>
      </c>
      <c r="E188" s="14" t="n">
        <f aca="false">L73</f>
        <v>0</v>
      </c>
      <c r="F188" s="19" t="n">
        <f aca="false">M73</f>
        <v>916</v>
      </c>
      <c r="G188" s="19" t="n">
        <f aca="false">N73</f>
        <v>29.889</v>
      </c>
      <c r="H188" s="14" t="n">
        <f aca="false">O73</f>
        <v>53</v>
      </c>
      <c r="I188" s="16" t="n">
        <f aca="false">P73</f>
        <v>71</v>
      </c>
      <c r="J188" s="14" t="n">
        <f aca="false">Q73</f>
        <v>1</v>
      </c>
      <c r="K188" s="14" t="n">
        <f aca="false">IF(D188&lt;=2,1-J188,IF(D188=3,IF(AND(U188=0,H188&gt;=W_min,F188-D_dip&gt;=Floor_q),1,0),IF(AND(H188&gt;=W_min,F188&gt;=Pre_A),1,0)))</f>
        <v>0</v>
      </c>
      <c r="L188" s="14" t="n">
        <f aca="false">E188*K188</f>
        <v>0</v>
      </c>
      <c r="M188" s="19" t="n">
        <f aca="false">CHOOSE(D188,F188+Proc_S,F188+Proc_Sk,F188+D_dL,F188-Cost_A)</f>
        <v>1028</v>
      </c>
      <c r="N188" s="19" t="n">
        <f aca="false">CHOOSE(D188,(1-Tech_share)*G188,(1-Tech_share)*G188,G188+D_dT,G188)</f>
        <v>26.9001</v>
      </c>
      <c r="O188" s="14" t="n">
        <f aca="false">CHOOSE(D188,H188-W_lost,H188,H188,H188+W_gain)</f>
        <v>48</v>
      </c>
      <c r="P188" s="16" t="n">
        <f aca="false">CHOOSE(D188,I188,I188,I188+D_dE,I188+Close_A*(Ceil_E-I188))</f>
        <v>71</v>
      </c>
      <c r="Q188" s="14" t="n">
        <f aca="false">CHOOSE(D188,1,1,J188,J188)</f>
        <v>1</v>
      </c>
      <c r="R188" s="14" t="n">
        <f aca="false">IF(L188=1,IF(SUMPRODUCT(($L$35:$L$187=1)*(ABS($M$35:$M$187-M188)&lt;0.000001)*(ABS($N$35:$N$187-N188)&lt;0.000001)*($O$35:$O$187=O188)*(ABS($P$35:$P$187-P188)&lt;0.000001)*($Q$35:$Q$187=Q188)*($V$35:$V$187=V188))=0,1,0),0)</f>
        <v>0</v>
      </c>
      <c r="S188" s="14" t="n">
        <f aca="false">IF(AND(L188=1,N188&gt;=$B$4-0.000000001,P188&gt;=$B$6-0.000000001,M188&gt;=Floor_q+$B$5-0.000000001),1,0)</f>
        <v>0</v>
      </c>
      <c r="T188" s="14" t="n">
        <f aca="false">L188*(IF(1&lt;=2,1-Q188,IF(1=3,IF(AND(V188=0,O188&gt;=W_min,M188-D_dip&gt;=Floor_q),1,0),IF(AND(O188&gt;=W_min,M188&gt;=Pre_A),1,0)))+IF(2&lt;=2,1-Q188,IF(2=3,IF(AND(V188=0,O188&gt;=W_min,M188-D_dip&gt;=Floor_q),1,0),IF(AND(O188&gt;=W_min,M188&gt;=Pre_A),1,0)))+IF(3&lt;=2,1-Q188,IF(3=3,IF(AND(V188=0,O188&gt;=W_min,M188-D_dip&gt;=Floor_q),1,0),IF(AND(O188&gt;=W_min,M188&gt;=Pre_A),1,0)))+IF(4&lt;=2,1-Q188,IF(4=3,IF(AND(V188=0,O188&gt;=W_min,M188-D_dip&gt;=Floor_q),1,0),IF(AND(O188&gt;=W_min,M188&gt;=Pre_A),1,0))))</f>
        <v>0</v>
      </c>
      <c r="U188" s="14" t="n">
        <f aca="false">V73</f>
        <v>0</v>
      </c>
      <c r="V188" s="14" t="n">
        <f aca="false">CHOOSE(D188,U188,U188,1,U188)</f>
        <v>0</v>
      </c>
    </row>
    <row r="189" customFormat="false" ht="15" hidden="false" customHeight="true" outlineLevel="0" collapsed="false">
      <c r="A189" s="3" t="s">
        <v>427</v>
      </c>
      <c r="B189" s="14" t="n">
        <v>4</v>
      </c>
      <c r="C189" s="14" t="n">
        <v>73</v>
      </c>
      <c r="D189" s="14" t="n">
        <v>2</v>
      </c>
      <c r="E189" s="14" t="n">
        <f aca="false">L73</f>
        <v>0</v>
      </c>
      <c r="F189" s="19" t="n">
        <f aca="false">M73</f>
        <v>916</v>
      </c>
      <c r="G189" s="19" t="n">
        <f aca="false">N73</f>
        <v>29.889</v>
      </c>
      <c r="H189" s="14" t="n">
        <f aca="false">O73</f>
        <v>53</v>
      </c>
      <c r="I189" s="16" t="n">
        <f aca="false">P73</f>
        <v>71</v>
      </c>
      <c r="J189" s="14" t="n">
        <f aca="false">Q73</f>
        <v>1</v>
      </c>
      <c r="K189" s="14" t="n">
        <f aca="false">IF(D189&lt;=2,1-J189,IF(D189=3,IF(AND(U189=0,H189&gt;=W_min,F189-D_dip&gt;=Floor_q),1,0),IF(AND(H189&gt;=W_min,F189&gt;=Pre_A),1,0)))</f>
        <v>0</v>
      </c>
      <c r="L189" s="14" t="n">
        <f aca="false">E189*K189</f>
        <v>0</v>
      </c>
      <c r="M189" s="19" t="n">
        <f aca="false">CHOOSE(D189,F189+Proc_S,F189+Proc_Sk,F189+D_dL,F189-Cost_A)</f>
        <v>1008</v>
      </c>
      <c r="N189" s="19" t="n">
        <f aca="false">CHOOSE(D189,(1-Tech_share)*G189,(1-Tech_share)*G189,G189+D_dT,G189)</f>
        <v>26.9001</v>
      </c>
      <c r="O189" s="14" t="n">
        <f aca="false">CHOOSE(D189,H189-W_lost,H189,H189,H189+W_gain)</f>
        <v>53</v>
      </c>
      <c r="P189" s="16" t="n">
        <f aca="false">CHOOSE(D189,I189,I189,I189+D_dE,I189+Close_A*(Ceil_E-I189))</f>
        <v>71</v>
      </c>
      <c r="Q189" s="14" t="n">
        <f aca="false">CHOOSE(D189,1,1,J189,J189)</f>
        <v>1</v>
      </c>
      <c r="R189" s="14" t="n">
        <f aca="false">IF(L189=1,IF(SUMPRODUCT(($L$35:$L$188=1)*(ABS($M$35:$M$188-M189)&lt;0.000001)*(ABS($N$35:$N$188-N189)&lt;0.000001)*($O$35:$O$188=O189)*(ABS($P$35:$P$188-P189)&lt;0.000001)*($Q$35:$Q$188=Q189)*($V$35:$V$188=V189))=0,1,0),0)</f>
        <v>0</v>
      </c>
      <c r="S189" s="14" t="n">
        <f aca="false">IF(AND(L189=1,N189&gt;=$B$4-0.000000001,P189&gt;=$B$6-0.000000001,M189&gt;=Floor_q+$B$5-0.000000001),1,0)</f>
        <v>0</v>
      </c>
      <c r="T189" s="14" t="n">
        <f aca="false">L189*(IF(1&lt;=2,1-Q189,IF(1=3,IF(AND(V189=0,O189&gt;=W_min,M189-D_dip&gt;=Floor_q),1,0),IF(AND(O189&gt;=W_min,M189&gt;=Pre_A),1,0)))+IF(2&lt;=2,1-Q189,IF(2=3,IF(AND(V189=0,O189&gt;=W_min,M189-D_dip&gt;=Floor_q),1,0),IF(AND(O189&gt;=W_min,M189&gt;=Pre_A),1,0)))+IF(3&lt;=2,1-Q189,IF(3=3,IF(AND(V189=0,O189&gt;=W_min,M189-D_dip&gt;=Floor_q),1,0),IF(AND(O189&gt;=W_min,M189&gt;=Pre_A),1,0)))+IF(4&lt;=2,1-Q189,IF(4=3,IF(AND(V189=0,O189&gt;=W_min,M189-D_dip&gt;=Floor_q),1,0),IF(AND(O189&gt;=W_min,M189&gt;=Pre_A),1,0))))</f>
        <v>0</v>
      </c>
      <c r="U189" s="14" t="n">
        <f aca="false">V73</f>
        <v>0</v>
      </c>
      <c r="V189" s="14" t="n">
        <f aca="false">CHOOSE(D189,U189,U189,1,U189)</f>
        <v>0</v>
      </c>
    </row>
    <row r="190" customFormat="false" ht="15" hidden="false" customHeight="true" outlineLevel="0" collapsed="false">
      <c r="A190" s="3" t="s">
        <v>428</v>
      </c>
      <c r="B190" s="14" t="n">
        <v>4</v>
      </c>
      <c r="C190" s="14" t="n">
        <v>73</v>
      </c>
      <c r="D190" s="14" t="n">
        <v>3</v>
      </c>
      <c r="E190" s="14" t="n">
        <f aca="false">L73</f>
        <v>0</v>
      </c>
      <c r="F190" s="19" t="n">
        <f aca="false">M73</f>
        <v>916</v>
      </c>
      <c r="G190" s="19" t="n">
        <f aca="false">N73</f>
        <v>29.889</v>
      </c>
      <c r="H190" s="14" t="n">
        <f aca="false">O73</f>
        <v>53</v>
      </c>
      <c r="I190" s="16" t="n">
        <f aca="false">P73</f>
        <v>71</v>
      </c>
      <c r="J190" s="14" t="n">
        <f aca="false">Q73</f>
        <v>1</v>
      </c>
      <c r="K190" s="14" t="n">
        <f aca="false">IF(D190&lt;=2,1-J190,IF(D190=3,IF(AND(U190=0,H190&gt;=W_min,F190-D_dip&gt;=Floor_q),1,0),IF(AND(H190&gt;=W_min,F190&gt;=Pre_A),1,0)))</f>
        <v>0</v>
      </c>
      <c r="L190" s="14" t="n">
        <f aca="false">E190*K190</f>
        <v>0</v>
      </c>
      <c r="M190" s="19" t="n">
        <f aca="false">CHOOSE(D190,F190+Proc_S,F190+Proc_Sk,F190+D_dL,F190-Cost_A)</f>
        <v>880.632729102868</v>
      </c>
      <c r="N190" s="19" t="n">
        <f aca="false">CHOOSE(D190,(1-Tech_share)*G190,(1-Tech_share)*G190,G190+D_dT,G190)</f>
        <v>64.5236691353518</v>
      </c>
      <c r="O190" s="14" t="n">
        <f aca="false">CHOOSE(D190,H190-W_lost,H190,H190,H190+W_gain)</f>
        <v>53</v>
      </c>
      <c r="P190" s="16" t="n">
        <f aca="false">CHOOSE(D190,I190,I190,I190+D_dE,I190+Close_A*(Ceil_E-I190))</f>
        <v>73.5983309723245</v>
      </c>
      <c r="Q190" s="14" t="n">
        <f aca="false">CHOOSE(D190,1,1,J190,J190)</f>
        <v>1</v>
      </c>
      <c r="R190" s="14" t="n">
        <f aca="false">IF(L190=1,IF(SUMPRODUCT(($L$35:$L$189=1)*(ABS($M$35:$M$189-M190)&lt;0.000001)*(ABS($N$35:$N$189-N190)&lt;0.000001)*($O$35:$O$189=O190)*(ABS($P$35:$P$189-P190)&lt;0.000001)*($Q$35:$Q$189=Q190)*($V$35:$V$189=V190))=0,1,0),0)</f>
        <v>0</v>
      </c>
      <c r="S190" s="14" t="n">
        <f aca="false">IF(AND(L190=1,N190&gt;=$B$4-0.000000001,P190&gt;=$B$6-0.000000001,M190&gt;=Floor_q+$B$5-0.000000001),1,0)</f>
        <v>0</v>
      </c>
      <c r="T190" s="14" t="n">
        <f aca="false">L190*(IF(1&lt;=2,1-Q190,IF(1=3,IF(AND(V190=0,O190&gt;=W_min,M190-D_dip&gt;=Floor_q),1,0),IF(AND(O190&gt;=W_min,M190&gt;=Pre_A),1,0)))+IF(2&lt;=2,1-Q190,IF(2=3,IF(AND(V190=0,O190&gt;=W_min,M190-D_dip&gt;=Floor_q),1,0),IF(AND(O190&gt;=W_min,M190&gt;=Pre_A),1,0)))+IF(3&lt;=2,1-Q190,IF(3=3,IF(AND(V190=0,O190&gt;=W_min,M190-D_dip&gt;=Floor_q),1,0),IF(AND(O190&gt;=W_min,M190&gt;=Pre_A),1,0)))+IF(4&lt;=2,1-Q190,IF(4=3,IF(AND(V190=0,O190&gt;=W_min,M190-D_dip&gt;=Floor_q),1,0),IF(AND(O190&gt;=W_min,M190&gt;=Pre_A),1,0))))</f>
        <v>0</v>
      </c>
      <c r="U190" s="14" t="n">
        <f aca="false">V73</f>
        <v>0</v>
      </c>
      <c r="V190" s="14" t="n">
        <f aca="false">CHOOSE(D190,U190,U190,1,U190)</f>
        <v>1</v>
      </c>
    </row>
    <row r="191" customFormat="false" ht="15" hidden="false" customHeight="true" outlineLevel="0" collapsed="false">
      <c r="A191" s="3" t="s">
        <v>429</v>
      </c>
      <c r="B191" s="14" t="n">
        <v>4</v>
      </c>
      <c r="C191" s="14" t="n">
        <v>73</v>
      </c>
      <c r="D191" s="14" t="n">
        <v>4</v>
      </c>
      <c r="E191" s="14" t="n">
        <f aca="false">L73</f>
        <v>0</v>
      </c>
      <c r="F191" s="19" t="n">
        <f aca="false">M73</f>
        <v>916</v>
      </c>
      <c r="G191" s="19" t="n">
        <f aca="false">N73</f>
        <v>29.889</v>
      </c>
      <c r="H191" s="14" t="n">
        <f aca="false">O73</f>
        <v>53</v>
      </c>
      <c r="I191" s="16" t="n">
        <f aca="false">P73</f>
        <v>71</v>
      </c>
      <c r="J191" s="14" t="n">
        <f aca="false">Q73</f>
        <v>1</v>
      </c>
      <c r="K191" s="14" t="n">
        <f aca="false">IF(D191&lt;=2,1-J191,IF(D191=3,IF(AND(U191=0,H191&gt;=W_min,F191-D_dip&gt;=Floor_q),1,0),IF(AND(H191&gt;=W_min,F191&gt;=Pre_A),1,0)))</f>
        <v>0</v>
      </c>
      <c r="L191" s="14" t="n">
        <f aca="false">E191*K191</f>
        <v>0</v>
      </c>
      <c r="M191" s="19" t="n">
        <f aca="false">CHOOSE(D191,F191+Proc_S,F191+Proc_Sk,F191+D_dL,F191-Cost_A)</f>
        <v>796</v>
      </c>
      <c r="N191" s="19" t="n">
        <f aca="false">CHOOSE(D191,(1-Tech_share)*G191,(1-Tech_share)*G191,G191+D_dT,G191)</f>
        <v>29.889</v>
      </c>
      <c r="O191" s="14" t="n">
        <f aca="false">CHOOSE(D191,H191-W_lost,H191,H191,H191+W_gain)</f>
        <v>54</v>
      </c>
      <c r="P191" s="16" t="n">
        <f aca="false">CHOOSE(D191,I191,I191,I191+D_dE,I191+Close_A*(Ceil_E-I191))</f>
        <v>78</v>
      </c>
      <c r="Q191" s="14" t="n">
        <f aca="false">CHOOSE(D191,1,1,J191,J191)</f>
        <v>1</v>
      </c>
      <c r="R191" s="14" t="n">
        <f aca="false">IF(L191=1,IF(SUMPRODUCT(($L$35:$L$190=1)*(ABS($M$35:$M$190-M191)&lt;0.000001)*(ABS($N$35:$N$190-N191)&lt;0.000001)*($O$35:$O$190=O191)*(ABS($P$35:$P$190-P191)&lt;0.000001)*($Q$35:$Q$190=Q191)*($V$35:$V$190=V191))=0,1,0),0)</f>
        <v>0</v>
      </c>
      <c r="S191" s="14" t="n">
        <f aca="false">IF(AND(L191=1,N191&gt;=$B$4-0.000000001,P191&gt;=$B$6-0.000000001,M191&gt;=Floor_q+$B$5-0.000000001),1,0)</f>
        <v>0</v>
      </c>
      <c r="T191" s="14" t="n">
        <f aca="false">L191*(IF(1&lt;=2,1-Q191,IF(1=3,IF(AND(V191=0,O191&gt;=W_min,M191-D_dip&gt;=Floor_q),1,0),IF(AND(O191&gt;=W_min,M191&gt;=Pre_A),1,0)))+IF(2&lt;=2,1-Q191,IF(2=3,IF(AND(V191=0,O191&gt;=W_min,M191-D_dip&gt;=Floor_q),1,0),IF(AND(O191&gt;=W_min,M191&gt;=Pre_A),1,0)))+IF(3&lt;=2,1-Q191,IF(3=3,IF(AND(V191=0,O191&gt;=W_min,M191-D_dip&gt;=Floor_q),1,0),IF(AND(O191&gt;=W_min,M191&gt;=Pre_A),1,0)))+IF(4&lt;=2,1-Q191,IF(4=3,IF(AND(V191=0,O191&gt;=W_min,M191-D_dip&gt;=Floor_q),1,0),IF(AND(O191&gt;=W_min,M191&gt;=Pre_A),1,0))))</f>
        <v>0</v>
      </c>
      <c r="U191" s="14" t="n">
        <f aca="false">V73</f>
        <v>0</v>
      </c>
      <c r="V191" s="14" t="n">
        <f aca="false">CHOOSE(D191,U191,U191,1,U191)</f>
        <v>0</v>
      </c>
    </row>
    <row r="192" customFormat="false" ht="15" hidden="false" customHeight="true" outlineLevel="0" collapsed="false">
      <c r="A192" s="3" t="s">
        <v>430</v>
      </c>
      <c r="B192" s="14" t="n">
        <v>4</v>
      </c>
      <c r="C192" s="14" t="n">
        <v>74</v>
      </c>
      <c r="D192" s="14" t="n">
        <v>1</v>
      </c>
      <c r="E192" s="14" t="n">
        <f aca="false">L74</f>
        <v>0</v>
      </c>
      <c r="F192" s="19" t="n">
        <f aca="false">M74</f>
        <v>788.632729102868</v>
      </c>
      <c r="G192" s="19" t="n">
        <f aca="false">N74</f>
        <v>67.8446691353518</v>
      </c>
      <c r="H192" s="14" t="n">
        <f aca="false">O74</f>
        <v>53</v>
      </c>
      <c r="I192" s="16" t="n">
        <f aca="false">P74</f>
        <v>73.5983309723245</v>
      </c>
      <c r="J192" s="14" t="n">
        <f aca="false">Q74</f>
        <v>1</v>
      </c>
      <c r="K192" s="14" t="n">
        <f aca="false">IF(D192&lt;=2,1-J192,IF(D192=3,IF(AND(U192=0,H192&gt;=W_min,F192-D_dip&gt;=Floor_q),1,0),IF(AND(H192&gt;=W_min,F192&gt;=Pre_A),1,0)))</f>
        <v>0</v>
      </c>
      <c r="L192" s="14" t="n">
        <f aca="false">E192*K192</f>
        <v>0</v>
      </c>
      <c r="M192" s="19" t="n">
        <f aca="false">CHOOSE(D192,F192+Proc_S,F192+Proc_Sk,F192+D_dL,F192-Cost_A)</f>
        <v>900.632729102868</v>
      </c>
      <c r="N192" s="19" t="n">
        <f aca="false">CHOOSE(D192,(1-Tech_share)*G192,(1-Tech_share)*G192,G192+D_dT,G192)</f>
        <v>61.0602022218166</v>
      </c>
      <c r="O192" s="14" t="n">
        <f aca="false">CHOOSE(D192,H192-W_lost,H192,H192,H192+W_gain)</f>
        <v>48</v>
      </c>
      <c r="P192" s="16" t="n">
        <f aca="false">CHOOSE(D192,I192,I192,I192+D_dE,I192+Close_A*(Ceil_E-I192))</f>
        <v>73.5983309723245</v>
      </c>
      <c r="Q192" s="14" t="n">
        <f aca="false">CHOOSE(D192,1,1,J192,J192)</f>
        <v>1</v>
      </c>
      <c r="R192" s="14" t="n">
        <f aca="false">IF(L192=1,IF(SUMPRODUCT(($L$35:$L$191=1)*(ABS($M$35:$M$191-M192)&lt;0.000001)*(ABS($N$35:$N$191-N192)&lt;0.000001)*($O$35:$O$191=O192)*(ABS($P$35:$P$191-P192)&lt;0.000001)*($Q$35:$Q$191=Q192)*($V$35:$V$191=V192))=0,1,0),0)</f>
        <v>0</v>
      </c>
      <c r="S192" s="14" t="n">
        <f aca="false">IF(AND(L192=1,N192&gt;=$B$4-0.000000001,P192&gt;=$B$6-0.000000001,M192&gt;=Floor_q+$B$5-0.000000001),1,0)</f>
        <v>0</v>
      </c>
      <c r="T192" s="14" t="n">
        <f aca="false">L192*(IF(1&lt;=2,1-Q192,IF(1=3,IF(AND(V192=0,O192&gt;=W_min,M192-D_dip&gt;=Floor_q),1,0),IF(AND(O192&gt;=W_min,M192&gt;=Pre_A),1,0)))+IF(2&lt;=2,1-Q192,IF(2=3,IF(AND(V192=0,O192&gt;=W_min,M192-D_dip&gt;=Floor_q),1,0),IF(AND(O192&gt;=W_min,M192&gt;=Pre_A),1,0)))+IF(3&lt;=2,1-Q192,IF(3=3,IF(AND(V192=0,O192&gt;=W_min,M192-D_dip&gt;=Floor_q),1,0),IF(AND(O192&gt;=W_min,M192&gt;=Pre_A),1,0)))+IF(4&lt;=2,1-Q192,IF(4=3,IF(AND(V192=0,O192&gt;=W_min,M192-D_dip&gt;=Floor_q),1,0),IF(AND(O192&gt;=W_min,M192&gt;=Pre_A),1,0))))</f>
        <v>0</v>
      </c>
      <c r="U192" s="14" t="n">
        <f aca="false">V74</f>
        <v>1</v>
      </c>
      <c r="V192" s="14" t="n">
        <f aca="false">CHOOSE(D192,U192,U192,1,U192)</f>
        <v>1</v>
      </c>
    </row>
    <row r="193" customFormat="false" ht="15" hidden="false" customHeight="true" outlineLevel="0" collapsed="false">
      <c r="A193" s="3" t="s">
        <v>431</v>
      </c>
      <c r="B193" s="14" t="n">
        <v>4</v>
      </c>
      <c r="C193" s="14" t="n">
        <v>74</v>
      </c>
      <c r="D193" s="14" t="n">
        <v>2</v>
      </c>
      <c r="E193" s="14" t="n">
        <f aca="false">L74</f>
        <v>0</v>
      </c>
      <c r="F193" s="19" t="n">
        <f aca="false">M74</f>
        <v>788.632729102868</v>
      </c>
      <c r="G193" s="19" t="n">
        <f aca="false">N74</f>
        <v>67.8446691353518</v>
      </c>
      <c r="H193" s="14" t="n">
        <f aca="false">O74</f>
        <v>53</v>
      </c>
      <c r="I193" s="16" t="n">
        <f aca="false">P74</f>
        <v>73.5983309723245</v>
      </c>
      <c r="J193" s="14" t="n">
        <f aca="false">Q74</f>
        <v>1</v>
      </c>
      <c r="K193" s="14" t="n">
        <f aca="false">IF(D193&lt;=2,1-J193,IF(D193=3,IF(AND(U193=0,H193&gt;=W_min,F193-D_dip&gt;=Floor_q),1,0),IF(AND(H193&gt;=W_min,F193&gt;=Pre_A),1,0)))</f>
        <v>0</v>
      </c>
      <c r="L193" s="14" t="n">
        <f aca="false">E193*K193</f>
        <v>0</v>
      </c>
      <c r="M193" s="19" t="n">
        <f aca="false">CHOOSE(D193,F193+Proc_S,F193+Proc_Sk,F193+D_dL,F193-Cost_A)</f>
        <v>880.632729102868</v>
      </c>
      <c r="N193" s="19" t="n">
        <f aca="false">CHOOSE(D193,(1-Tech_share)*G193,(1-Tech_share)*G193,G193+D_dT,G193)</f>
        <v>61.0602022218166</v>
      </c>
      <c r="O193" s="14" t="n">
        <f aca="false">CHOOSE(D193,H193-W_lost,H193,H193,H193+W_gain)</f>
        <v>53</v>
      </c>
      <c r="P193" s="16" t="n">
        <f aca="false">CHOOSE(D193,I193,I193,I193+D_dE,I193+Close_A*(Ceil_E-I193))</f>
        <v>73.5983309723245</v>
      </c>
      <c r="Q193" s="14" t="n">
        <f aca="false">CHOOSE(D193,1,1,J193,J193)</f>
        <v>1</v>
      </c>
      <c r="R193" s="14" t="n">
        <f aca="false">IF(L193=1,IF(SUMPRODUCT(($L$35:$L$192=1)*(ABS($M$35:$M$192-M193)&lt;0.000001)*(ABS($N$35:$N$192-N193)&lt;0.000001)*($O$35:$O$192=O193)*(ABS($P$35:$P$192-P193)&lt;0.000001)*($Q$35:$Q$192=Q193)*($V$35:$V$192=V193))=0,1,0),0)</f>
        <v>0</v>
      </c>
      <c r="S193" s="14" t="n">
        <f aca="false">IF(AND(L193=1,N193&gt;=$B$4-0.000000001,P193&gt;=$B$6-0.000000001,M193&gt;=Floor_q+$B$5-0.000000001),1,0)</f>
        <v>0</v>
      </c>
      <c r="T193" s="14" t="n">
        <f aca="false">L193*(IF(1&lt;=2,1-Q193,IF(1=3,IF(AND(V193=0,O193&gt;=W_min,M193-D_dip&gt;=Floor_q),1,0),IF(AND(O193&gt;=W_min,M193&gt;=Pre_A),1,0)))+IF(2&lt;=2,1-Q193,IF(2=3,IF(AND(V193=0,O193&gt;=W_min,M193-D_dip&gt;=Floor_q),1,0),IF(AND(O193&gt;=W_min,M193&gt;=Pre_A),1,0)))+IF(3&lt;=2,1-Q193,IF(3=3,IF(AND(V193=0,O193&gt;=W_min,M193-D_dip&gt;=Floor_q),1,0),IF(AND(O193&gt;=W_min,M193&gt;=Pre_A),1,0)))+IF(4&lt;=2,1-Q193,IF(4=3,IF(AND(V193=0,O193&gt;=W_min,M193-D_dip&gt;=Floor_q),1,0),IF(AND(O193&gt;=W_min,M193&gt;=Pre_A),1,0))))</f>
        <v>0</v>
      </c>
      <c r="U193" s="14" t="n">
        <f aca="false">V74</f>
        <v>1</v>
      </c>
      <c r="V193" s="14" t="n">
        <f aca="false">CHOOSE(D193,U193,U193,1,U193)</f>
        <v>1</v>
      </c>
    </row>
    <row r="194" customFormat="false" ht="15" hidden="false" customHeight="true" outlineLevel="0" collapsed="false">
      <c r="A194" s="3" t="s">
        <v>432</v>
      </c>
      <c r="B194" s="14" t="n">
        <v>4</v>
      </c>
      <c r="C194" s="14" t="n">
        <v>74</v>
      </c>
      <c r="D194" s="14" t="n">
        <v>3</v>
      </c>
      <c r="E194" s="14" t="n">
        <f aca="false">L74</f>
        <v>0</v>
      </c>
      <c r="F194" s="19" t="n">
        <f aca="false">M74</f>
        <v>788.632729102868</v>
      </c>
      <c r="G194" s="19" t="n">
        <f aca="false">N74</f>
        <v>67.8446691353518</v>
      </c>
      <c r="H194" s="14" t="n">
        <f aca="false">O74</f>
        <v>53</v>
      </c>
      <c r="I194" s="16" t="n">
        <f aca="false">P74</f>
        <v>73.5983309723245</v>
      </c>
      <c r="J194" s="14" t="n">
        <f aca="false">Q74</f>
        <v>1</v>
      </c>
      <c r="K194" s="14" t="n">
        <f aca="false">IF(D194&lt;=2,1-J194,IF(D194=3,IF(AND(U194=0,H194&gt;=W_min,F194-D_dip&gt;=Floor_q),1,0),IF(AND(H194&gt;=W_min,F194&gt;=Pre_A),1,0)))</f>
        <v>0</v>
      </c>
      <c r="L194" s="14" t="n">
        <f aca="false">E194*K194</f>
        <v>0</v>
      </c>
      <c r="M194" s="19" t="n">
        <f aca="false">CHOOSE(D194,F194+Proc_S,F194+Proc_Sk,F194+D_dL,F194-Cost_A)</f>
        <v>753.265458205737</v>
      </c>
      <c r="N194" s="19" t="n">
        <f aca="false">CHOOSE(D194,(1-Tech_share)*G194,(1-Tech_share)*G194,G194+D_dT,G194)</f>
        <v>102.479338270704</v>
      </c>
      <c r="O194" s="14" t="n">
        <f aca="false">CHOOSE(D194,H194-W_lost,H194,H194,H194+W_gain)</f>
        <v>53</v>
      </c>
      <c r="P194" s="16" t="n">
        <f aca="false">CHOOSE(D194,I194,I194,I194+D_dE,I194+Close_A*(Ceil_E-I194))</f>
        <v>76.1966619446489</v>
      </c>
      <c r="Q194" s="14" t="n">
        <f aca="false">CHOOSE(D194,1,1,J194,J194)</f>
        <v>1</v>
      </c>
      <c r="R194" s="14" t="n">
        <f aca="false">IF(L194=1,IF(SUMPRODUCT(($L$35:$L$193=1)*(ABS($M$35:$M$193-M194)&lt;0.000001)*(ABS($N$35:$N$193-N194)&lt;0.000001)*($O$35:$O$193=O194)*(ABS($P$35:$P$193-P194)&lt;0.000001)*($Q$35:$Q$193=Q194)*($V$35:$V$193=V194))=0,1,0),0)</f>
        <v>0</v>
      </c>
      <c r="S194" s="14" t="n">
        <f aca="false">IF(AND(L194=1,N194&gt;=$B$4-0.000000001,P194&gt;=$B$6-0.000000001,M194&gt;=Floor_q+$B$5-0.000000001),1,0)</f>
        <v>0</v>
      </c>
      <c r="T194" s="14" t="n">
        <f aca="false">L194*(IF(1&lt;=2,1-Q194,IF(1=3,IF(AND(V194=0,O194&gt;=W_min,M194-D_dip&gt;=Floor_q),1,0),IF(AND(O194&gt;=W_min,M194&gt;=Pre_A),1,0)))+IF(2&lt;=2,1-Q194,IF(2=3,IF(AND(V194=0,O194&gt;=W_min,M194-D_dip&gt;=Floor_q),1,0),IF(AND(O194&gt;=W_min,M194&gt;=Pre_A),1,0)))+IF(3&lt;=2,1-Q194,IF(3=3,IF(AND(V194=0,O194&gt;=W_min,M194-D_dip&gt;=Floor_q),1,0),IF(AND(O194&gt;=W_min,M194&gt;=Pre_A),1,0)))+IF(4&lt;=2,1-Q194,IF(4=3,IF(AND(V194=0,O194&gt;=W_min,M194-D_dip&gt;=Floor_q),1,0),IF(AND(O194&gt;=W_min,M194&gt;=Pre_A),1,0))))</f>
        <v>0</v>
      </c>
      <c r="U194" s="14" t="n">
        <f aca="false">V74</f>
        <v>1</v>
      </c>
      <c r="V194" s="14" t="n">
        <f aca="false">CHOOSE(D194,U194,U194,1,U194)</f>
        <v>1</v>
      </c>
    </row>
    <row r="195" customFormat="false" ht="15" hidden="false" customHeight="true" outlineLevel="0" collapsed="false">
      <c r="A195" s="3" t="s">
        <v>433</v>
      </c>
      <c r="B195" s="14" t="n">
        <v>4</v>
      </c>
      <c r="C195" s="14" t="n">
        <v>74</v>
      </c>
      <c r="D195" s="14" t="n">
        <v>4</v>
      </c>
      <c r="E195" s="14" t="n">
        <f aca="false">L74</f>
        <v>0</v>
      </c>
      <c r="F195" s="19" t="n">
        <f aca="false">M74</f>
        <v>788.632729102868</v>
      </c>
      <c r="G195" s="19" t="n">
        <f aca="false">N74</f>
        <v>67.8446691353518</v>
      </c>
      <c r="H195" s="14" t="n">
        <f aca="false">O74</f>
        <v>53</v>
      </c>
      <c r="I195" s="16" t="n">
        <f aca="false">P74</f>
        <v>73.5983309723245</v>
      </c>
      <c r="J195" s="14" t="n">
        <f aca="false">Q74</f>
        <v>1</v>
      </c>
      <c r="K195" s="14" t="n">
        <f aca="false">IF(D195&lt;=2,1-J195,IF(D195=3,IF(AND(U195=0,H195&gt;=W_min,F195-D_dip&gt;=Floor_q),1,0),IF(AND(H195&gt;=W_min,F195&gt;=Pre_A),1,0)))</f>
        <v>0</v>
      </c>
      <c r="L195" s="14" t="n">
        <f aca="false">E195*K195</f>
        <v>0</v>
      </c>
      <c r="M195" s="19" t="n">
        <f aca="false">CHOOSE(D195,F195+Proc_S,F195+Proc_Sk,F195+D_dL,F195-Cost_A)</f>
        <v>668.632729102868</v>
      </c>
      <c r="N195" s="19" t="n">
        <f aca="false">CHOOSE(D195,(1-Tech_share)*G195,(1-Tech_share)*G195,G195+D_dT,G195)</f>
        <v>67.8446691353518</v>
      </c>
      <c r="O195" s="14" t="n">
        <f aca="false">CHOOSE(D195,H195-W_lost,H195,H195,H195+W_gain)</f>
        <v>54</v>
      </c>
      <c r="P195" s="16" t="n">
        <f aca="false">CHOOSE(D195,I195,I195,I195+D_dE,I195+Close_A*(Ceil_E-I195))</f>
        <v>79.2991654861622</v>
      </c>
      <c r="Q195" s="14" t="n">
        <f aca="false">CHOOSE(D195,1,1,J195,J195)</f>
        <v>1</v>
      </c>
      <c r="R195" s="14" t="n">
        <f aca="false">IF(L195=1,IF(SUMPRODUCT(($L$35:$L$194=1)*(ABS($M$35:$M$194-M195)&lt;0.000001)*(ABS($N$35:$N$194-N195)&lt;0.000001)*($O$35:$O$194=O195)*(ABS($P$35:$P$194-P195)&lt;0.000001)*($Q$35:$Q$194=Q195)*($V$35:$V$194=V195))=0,1,0),0)</f>
        <v>0</v>
      </c>
      <c r="S195" s="14" t="n">
        <f aca="false">IF(AND(L195=1,N195&gt;=$B$4-0.000000001,P195&gt;=$B$6-0.000000001,M195&gt;=Floor_q+$B$5-0.000000001),1,0)</f>
        <v>0</v>
      </c>
      <c r="T195" s="14" t="n">
        <f aca="false">L195*(IF(1&lt;=2,1-Q195,IF(1=3,IF(AND(V195=0,O195&gt;=W_min,M195-D_dip&gt;=Floor_q),1,0),IF(AND(O195&gt;=W_min,M195&gt;=Pre_A),1,0)))+IF(2&lt;=2,1-Q195,IF(2=3,IF(AND(V195=0,O195&gt;=W_min,M195-D_dip&gt;=Floor_q),1,0),IF(AND(O195&gt;=W_min,M195&gt;=Pre_A),1,0)))+IF(3&lt;=2,1-Q195,IF(3=3,IF(AND(V195=0,O195&gt;=W_min,M195-D_dip&gt;=Floor_q),1,0),IF(AND(O195&gt;=W_min,M195&gt;=Pre_A),1,0)))+IF(4&lt;=2,1-Q195,IF(4=3,IF(AND(V195=0,O195&gt;=W_min,M195-D_dip&gt;=Floor_q),1,0),IF(AND(O195&gt;=W_min,M195&gt;=Pre_A),1,0))))</f>
        <v>0</v>
      </c>
      <c r="U195" s="14" t="n">
        <f aca="false">V74</f>
        <v>1</v>
      </c>
      <c r="V195" s="14" t="n">
        <f aca="false">CHOOSE(D195,U195,U195,1,U195)</f>
        <v>1</v>
      </c>
    </row>
    <row r="196" customFormat="false" ht="15" hidden="false" customHeight="true" outlineLevel="0" collapsed="false">
      <c r="A196" s="3" t="s">
        <v>434</v>
      </c>
      <c r="B196" s="14" t="n">
        <v>4</v>
      </c>
      <c r="C196" s="14" t="n">
        <v>75</v>
      </c>
      <c r="D196" s="14" t="n">
        <v>1</v>
      </c>
      <c r="E196" s="14" t="n">
        <f aca="false">L75</f>
        <v>0</v>
      </c>
      <c r="F196" s="19" t="n">
        <f aca="false">M75</f>
        <v>704</v>
      </c>
      <c r="G196" s="19" t="n">
        <f aca="false">N75</f>
        <v>33.21</v>
      </c>
      <c r="H196" s="14" t="n">
        <f aca="false">O75</f>
        <v>54</v>
      </c>
      <c r="I196" s="16" t="n">
        <f aca="false">P75</f>
        <v>78</v>
      </c>
      <c r="J196" s="14" t="n">
        <f aca="false">Q75</f>
        <v>1</v>
      </c>
      <c r="K196" s="14" t="n">
        <f aca="false">IF(D196&lt;=2,1-J196,IF(D196=3,IF(AND(U196=0,H196&gt;=W_min,F196-D_dip&gt;=Floor_q),1,0),IF(AND(H196&gt;=W_min,F196&gt;=Pre_A),1,0)))</f>
        <v>0</v>
      </c>
      <c r="L196" s="14" t="n">
        <f aca="false">E196*K196</f>
        <v>0</v>
      </c>
      <c r="M196" s="19" t="n">
        <f aca="false">CHOOSE(D196,F196+Proc_S,F196+Proc_Sk,F196+D_dL,F196-Cost_A)</f>
        <v>816</v>
      </c>
      <c r="N196" s="19" t="n">
        <f aca="false">CHOOSE(D196,(1-Tech_share)*G196,(1-Tech_share)*G196,G196+D_dT,G196)</f>
        <v>29.889</v>
      </c>
      <c r="O196" s="14" t="n">
        <f aca="false">CHOOSE(D196,H196-W_lost,H196,H196,H196+W_gain)</f>
        <v>49</v>
      </c>
      <c r="P196" s="16" t="n">
        <f aca="false">CHOOSE(D196,I196,I196,I196+D_dE,I196+Close_A*(Ceil_E-I196))</f>
        <v>78</v>
      </c>
      <c r="Q196" s="14" t="n">
        <f aca="false">CHOOSE(D196,1,1,J196,J196)</f>
        <v>1</v>
      </c>
      <c r="R196" s="14" t="n">
        <f aca="false">IF(L196=1,IF(SUMPRODUCT(($L$35:$L$195=1)*(ABS($M$35:$M$195-M196)&lt;0.000001)*(ABS($N$35:$N$195-N196)&lt;0.000001)*($O$35:$O$195=O196)*(ABS($P$35:$P$195-P196)&lt;0.000001)*($Q$35:$Q$195=Q196)*($V$35:$V$195=V196))=0,1,0),0)</f>
        <v>0</v>
      </c>
      <c r="S196" s="14" t="n">
        <f aca="false">IF(AND(L196=1,N196&gt;=$B$4-0.000000001,P196&gt;=$B$6-0.000000001,M196&gt;=Floor_q+$B$5-0.000000001),1,0)</f>
        <v>0</v>
      </c>
      <c r="T196" s="14" t="n">
        <f aca="false">L196*(IF(1&lt;=2,1-Q196,IF(1=3,IF(AND(V196=0,O196&gt;=W_min,M196-D_dip&gt;=Floor_q),1,0),IF(AND(O196&gt;=W_min,M196&gt;=Pre_A),1,0)))+IF(2&lt;=2,1-Q196,IF(2=3,IF(AND(V196=0,O196&gt;=W_min,M196-D_dip&gt;=Floor_q),1,0),IF(AND(O196&gt;=W_min,M196&gt;=Pre_A),1,0)))+IF(3&lt;=2,1-Q196,IF(3=3,IF(AND(V196=0,O196&gt;=W_min,M196-D_dip&gt;=Floor_q),1,0),IF(AND(O196&gt;=W_min,M196&gt;=Pre_A),1,0)))+IF(4&lt;=2,1-Q196,IF(4=3,IF(AND(V196=0,O196&gt;=W_min,M196-D_dip&gt;=Floor_q),1,0),IF(AND(O196&gt;=W_min,M196&gt;=Pre_A),1,0))))</f>
        <v>0</v>
      </c>
      <c r="U196" s="14" t="n">
        <f aca="false">V75</f>
        <v>0</v>
      </c>
      <c r="V196" s="14" t="n">
        <f aca="false">CHOOSE(D196,U196,U196,1,U196)</f>
        <v>0</v>
      </c>
    </row>
    <row r="197" customFormat="false" ht="15" hidden="false" customHeight="true" outlineLevel="0" collapsed="false">
      <c r="A197" s="3" t="s">
        <v>435</v>
      </c>
      <c r="B197" s="14" t="n">
        <v>4</v>
      </c>
      <c r="C197" s="14" t="n">
        <v>75</v>
      </c>
      <c r="D197" s="14" t="n">
        <v>2</v>
      </c>
      <c r="E197" s="14" t="n">
        <f aca="false">L75</f>
        <v>0</v>
      </c>
      <c r="F197" s="19" t="n">
        <f aca="false">M75</f>
        <v>704</v>
      </c>
      <c r="G197" s="19" t="n">
        <f aca="false">N75</f>
        <v>33.21</v>
      </c>
      <c r="H197" s="14" t="n">
        <f aca="false">O75</f>
        <v>54</v>
      </c>
      <c r="I197" s="16" t="n">
        <f aca="false">P75</f>
        <v>78</v>
      </c>
      <c r="J197" s="14" t="n">
        <f aca="false">Q75</f>
        <v>1</v>
      </c>
      <c r="K197" s="14" t="n">
        <f aca="false">IF(D197&lt;=2,1-J197,IF(D197=3,IF(AND(U197=0,H197&gt;=W_min,F197-D_dip&gt;=Floor_q),1,0),IF(AND(H197&gt;=W_min,F197&gt;=Pre_A),1,0)))</f>
        <v>0</v>
      </c>
      <c r="L197" s="14" t="n">
        <f aca="false">E197*K197</f>
        <v>0</v>
      </c>
      <c r="M197" s="19" t="n">
        <f aca="false">CHOOSE(D197,F197+Proc_S,F197+Proc_Sk,F197+D_dL,F197-Cost_A)</f>
        <v>796</v>
      </c>
      <c r="N197" s="19" t="n">
        <f aca="false">CHOOSE(D197,(1-Tech_share)*G197,(1-Tech_share)*G197,G197+D_dT,G197)</f>
        <v>29.889</v>
      </c>
      <c r="O197" s="14" t="n">
        <f aca="false">CHOOSE(D197,H197-W_lost,H197,H197,H197+W_gain)</f>
        <v>54</v>
      </c>
      <c r="P197" s="16" t="n">
        <f aca="false">CHOOSE(D197,I197,I197,I197+D_dE,I197+Close_A*(Ceil_E-I197))</f>
        <v>78</v>
      </c>
      <c r="Q197" s="14" t="n">
        <f aca="false">CHOOSE(D197,1,1,J197,J197)</f>
        <v>1</v>
      </c>
      <c r="R197" s="14" t="n">
        <f aca="false">IF(L197=1,IF(SUMPRODUCT(($L$35:$L$196=1)*(ABS($M$35:$M$196-M197)&lt;0.000001)*(ABS($N$35:$N$196-N197)&lt;0.000001)*($O$35:$O$196=O197)*(ABS($P$35:$P$196-P197)&lt;0.000001)*($Q$35:$Q$196=Q197)*($V$35:$V$196=V197))=0,1,0),0)</f>
        <v>0</v>
      </c>
      <c r="S197" s="14" t="n">
        <f aca="false">IF(AND(L197=1,N197&gt;=$B$4-0.000000001,P197&gt;=$B$6-0.000000001,M197&gt;=Floor_q+$B$5-0.000000001),1,0)</f>
        <v>0</v>
      </c>
      <c r="T197" s="14" t="n">
        <f aca="false">L197*(IF(1&lt;=2,1-Q197,IF(1=3,IF(AND(V197=0,O197&gt;=W_min,M197-D_dip&gt;=Floor_q),1,0),IF(AND(O197&gt;=W_min,M197&gt;=Pre_A),1,0)))+IF(2&lt;=2,1-Q197,IF(2=3,IF(AND(V197=0,O197&gt;=W_min,M197-D_dip&gt;=Floor_q),1,0),IF(AND(O197&gt;=W_min,M197&gt;=Pre_A),1,0)))+IF(3&lt;=2,1-Q197,IF(3=3,IF(AND(V197=0,O197&gt;=W_min,M197-D_dip&gt;=Floor_q),1,0),IF(AND(O197&gt;=W_min,M197&gt;=Pre_A),1,0)))+IF(4&lt;=2,1-Q197,IF(4=3,IF(AND(V197=0,O197&gt;=W_min,M197-D_dip&gt;=Floor_q),1,0),IF(AND(O197&gt;=W_min,M197&gt;=Pre_A),1,0))))</f>
        <v>0</v>
      </c>
      <c r="U197" s="14" t="n">
        <f aca="false">V75</f>
        <v>0</v>
      </c>
      <c r="V197" s="14" t="n">
        <f aca="false">CHOOSE(D197,U197,U197,1,U197)</f>
        <v>0</v>
      </c>
    </row>
    <row r="198" customFormat="false" ht="15" hidden="false" customHeight="true" outlineLevel="0" collapsed="false">
      <c r="A198" s="3" t="s">
        <v>436</v>
      </c>
      <c r="B198" s="14" t="n">
        <v>4</v>
      </c>
      <c r="C198" s="14" t="n">
        <v>75</v>
      </c>
      <c r="D198" s="14" t="n">
        <v>3</v>
      </c>
      <c r="E198" s="14" t="n">
        <f aca="false">L75</f>
        <v>0</v>
      </c>
      <c r="F198" s="19" t="n">
        <f aca="false">M75</f>
        <v>704</v>
      </c>
      <c r="G198" s="19" t="n">
        <f aca="false">N75</f>
        <v>33.21</v>
      </c>
      <c r="H198" s="14" t="n">
        <f aca="false">O75</f>
        <v>54</v>
      </c>
      <c r="I198" s="16" t="n">
        <f aca="false">P75</f>
        <v>78</v>
      </c>
      <c r="J198" s="14" t="n">
        <f aca="false">Q75</f>
        <v>1</v>
      </c>
      <c r="K198" s="14" t="n">
        <f aca="false">IF(D198&lt;=2,1-J198,IF(D198=3,IF(AND(U198=0,H198&gt;=W_min,F198-D_dip&gt;=Floor_q),1,0),IF(AND(H198&gt;=W_min,F198&gt;=Pre_A),1,0)))</f>
        <v>0</v>
      </c>
      <c r="L198" s="14" t="n">
        <f aca="false">E198*K198</f>
        <v>0</v>
      </c>
      <c r="M198" s="19" t="n">
        <f aca="false">CHOOSE(D198,F198+Proc_S,F198+Proc_Sk,F198+D_dL,F198-Cost_A)</f>
        <v>668.632729102868</v>
      </c>
      <c r="N198" s="19" t="n">
        <f aca="false">CHOOSE(D198,(1-Tech_share)*G198,(1-Tech_share)*G198,G198+D_dT,G198)</f>
        <v>67.8446691353518</v>
      </c>
      <c r="O198" s="14" t="n">
        <f aca="false">CHOOSE(D198,H198-W_lost,H198,H198,H198+W_gain)</f>
        <v>54</v>
      </c>
      <c r="P198" s="16" t="n">
        <f aca="false">CHOOSE(D198,I198,I198,I198+D_dE,I198+Close_A*(Ceil_E-I198))</f>
        <v>80.5983309723245</v>
      </c>
      <c r="Q198" s="14" t="n">
        <f aca="false">CHOOSE(D198,1,1,J198,J198)</f>
        <v>1</v>
      </c>
      <c r="R198" s="14" t="n">
        <f aca="false">IF(L198=1,IF(SUMPRODUCT(($L$35:$L$197=1)*(ABS($M$35:$M$197-M198)&lt;0.000001)*(ABS($N$35:$N$197-N198)&lt;0.000001)*($O$35:$O$197=O198)*(ABS($P$35:$P$197-P198)&lt;0.000001)*($Q$35:$Q$197=Q198)*($V$35:$V$197=V198))=0,1,0),0)</f>
        <v>0</v>
      </c>
      <c r="S198" s="14" t="n">
        <f aca="false">IF(AND(L198=1,N198&gt;=$B$4-0.000000001,P198&gt;=$B$6-0.000000001,M198&gt;=Floor_q+$B$5-0.000000001),1,0)</f>
        <v>0</v>
      </c>
      <c r="T198" s="14" t="n">
        <f aca="false">L198*(IF(1&lt;=2,1-Q198,IF(1=3,IF(AND(V198=0,O198&gt;=W_min,M198-D_dip&gt;=Floor_q),1,0),IF(AND(O198&gt;=W_min,M198&gt;=Pre_A),1,0)))+IF(2&lt;=2,1-Q198,IF(2=3,IF(AND(V198=0,O198&gt;=W_min,M198-D_dip&gt;=Floor_q),1,0),IF(AND(O198&gt;=W_min,M198&gt;=Pre_A),1,0)))+IF(3&lt;=2,1-Q198,IF(3=3,IF(AND(V198=0,O198&gt;=W_min,M198-D_dip&gt;=Floor_q),1,0),IF(AND(O198&gt;=W_min,M198&gt;=Pre_A),1,0)))+IF(4&lt;=2,1-Q198,IF(4=3,IF(AND(V198=0,O198&gt;=W_min,M198-D_dip&gt;=Floor_q),1,0),IF(AND(O198&gt;=W_min,M198&gt;=Pre_A),1,0))))</f>
        <v>0</v>
      </c>
      <c r="U198" s="14" t="n">
        <f aca="false">V75</f>
        <v>0</v>
      </c>
      <c r="V198" s="14" t="n">
        <f aca="false">CHOOSE(D198,U198,U198,1,U198)</f>
        <v>1</v>
      </c>
    </row>
    <row r="199" customFormat="false" ht="15" hidden="false" customHeight="true" outlineLevel="0" collapsed="false">
      <c r="A199" s="3" t="s">
        <v>437</v>
      </c>
      <c r="B199" s="14" t="n">
        <v>4</v>
      </c>
      <c r="C199" s="14" t="n">
        <v>75</v>
      </c>
      <c r="D199" s="14" t="n">
        <v>4</v>
      </c>
      <c r="E199" s="14" t="n">
        <f aca="false">L75</f>
        <v>0</v>
      </c>
      <c r="F199" s="19" t="n">
        <f aca="false">M75</f>
        <v>704</v>
      </c>
      <c r="G199" s="19" t="n">
        <f aca="false">N75</f>
        <v>33.21</v>
      </c>
      <c r="H199" s="14" t="n">
        <f aca="false">O75</f>
        <v>54</v>
      </c>
      <c r="I199" s="16" t="n">
        <f aca="false">P75</f>
        <v>78</v>
      </c>
      <c r="J199" s="14" t="n">
        <f aca="false">Q75</f>
        <v>1</v>
      </c>
      <c r="K199" s="14" t="n">
        <f aca="false">IF(D199&lt;=2,1-J199,IF(D199=3,IF(AND(U199=0,H199&gt;=W_min,F199-D_dip&gt;=Floor_q),1,0),IF(AND(H199&gt;=W_min,F199&gt;=Pre_A),1,0)))</f>
        <v>0</v>
      </c>
      <c r="L199" s="14" t="n">
        <f aca="false">E199*K199</f>
        <v>0</v>
      </c>
      <c r="M199" s="19" t="n">
        <f aca="false">CHOOSE(D199,F199+Proc_S,F199+Proc_Sk,F199+D_dL,F199-Cost_A)</f>
        <v>584</v>
      </c>
      <c r="N199" s="19" t="n">
        <f aca="false">CHOOSE(D199,(1-Tech_share)*G199,(1-Tech_share)*G199,G199+D_dT,G199)</f>
        <v>33.21</v>
      </c>
      <c r="O199" s="14" t="n">
        <f aca="false">CHOOSE(D199,H199-W_lost,H199,H199,H199+W_gain)</f>
        <v>55</v>
      </c>
      <c r="P199" s="16" t="n">
        <f aca="false">CHOOSE(D199,I199,I199,I199+D_dE,I199+Close_A*(Ceil_E-I199))</f>
        <v>81.5</v>
      </c>
      <c r="Q199" s="14" t="n">
        <f aca="false">CHOOSE(D199,1,1,J199,J199)</f>
        <v>1</v>
      </c>
      <c r="R199" s="14" t="n">
        <f aca="false">IF(L199=1,IF(SUMPRODUCT(($L$35:$L$198=1)*(ABS($M$35:$M$198-M199)&lt;0.000001)*(ABS($N$35:$N$198-N199)&lt;0.000001)*($O$35:$O$198=O199)*(ABS($P$35:$P$198-P199)&lt;0.000001)*($Q$35:$Q$198=Q199)*($V$35:$V$198=V199))=0,1,0),0)</f>
        <v>0</v>
      </c>
      <c r="S199" s="14" t="n">
        <f aca="false">IF(AND(L199=1,N199&gt;=$B$4-0.000000001,P199&gt;=$B$6-0.000000001,M199&gt;=Floor_q+$B$5-0.000000001),1,0)</f>
        <v>0</v>
      </c>
      <c r="T199" s="14" t="n">
        <f aca="false">L199*(IF(1&lt;=2,1-Q199,IF(1=3,IF(AND(V199=0,O199&gt;=W_min,M199-D_dip&gt;=Floor_q),1,0),IF(AND(O199&gt;=W_min,M199&gt;=Pre_A),1,0)))+IF(2&lt;=2,1-Q199,IF(2=3,IF(AND(V199=0,O199&gt;=W_min,M199-D_dip&gt;=Floor_q),1,0),IF(AND(O199&gt;=W_min,M199&gt;=Pre_A),1,0)))+IF(3&lt;=2,1-Q199,IF(3=3,IF(AND(V199=0,O199&gt;=W_min,M199-D_dip&gt;=Floor_q),1,0),IF(AND(O199&gt;=W_min,M199&gt;=Pre_A),1,0)))+IF(4&lt;=2,1-Q199,IF(4=3,IF(AND(V199=0,O199&gt;=W_min,M199-D_dip&gt;=Floor_q),1,0),IF(AND(O199&gt;=W_min,M199&gt;=Pre_A),1,0))))</f>
        <v>0</v>
      </c>
      <c r="U199" s="14" t="n">
        <f aca="false">V75</f>
        <v>0</v>
      </c>
      <c r="V199" s="14" t="n">
        <f aca="false">CHOOSE(D199,U199,U199,1,U199)</f>
        <v>0</v>
      </c>
    </row>
    <row r="200" customFormat="false" ht="15" hidden="false" customHeight="true" outlineLevel="0" collapsed="false">
      <c r="A200" s="3" t="s">
        <v>438</v>
      </c>
      <c r="B200" s="14" t="n">
        <v>4</v>
      </c>
      <c r="C200" s="14" t="n">
        <v>76</v>
      </c>
      <c r="D200" s="14" t="n">
        <v>1</v>
      </c>
      <c r="E200" s="14" t="n">
        <f aca="false">L76</f>
        <v>0</v>
      </c>
      <c r="F200" s="19" t="n">
        <f aca="false">M76</f>
        <v>916</v>
      </c>
      <c r="G200" s="19" t="n">
        <f aca="false">N76</f>
        <v>29.889</v>
      </c>
      <c r="H200" s="14" t="n">
        <f aca="false">O76</f>
        <v>53</v>
      </c>
      <c r="I200" s="16" t="n">
        <f aca="false">P76</f>
        <v>71</v>
      </c>
      <c r="J200" s="14" t="n">
        <f aca="false">Q76</f>
        <v>1</v>
      </c>
      <c r="K200" s="14" t="n">
        <f aca="false">IF(D200&lt;=2,1-J200,IF(D200=3,IF(AND(U200=0,H200&gt;=W_min,F200-D_dip&gt;=Floor_q),1,0),IF(AND(H200&gt;=W_min,F200&gt;=Pre_A),1,0)))</f>
        <v>0</v>
      </c>
      <c r="L200" s="14" t="n">
        <f aca="false">E200*K200</f>
        <v>0</v>
      </c>
      <c r="M200" s="19" t="n">
        <f aca="false">CHOOSE(D200,F200+Proc_S,F200+Proc_Sk,F200+D_dL,F200-Cost_A)</f>
        <v>1028</v>
      </c>
      <c r="N200" s="19" t="n">
        <f aca="false">CHOOSE(D200,(1-Tech_share)*G200,(1-Tech_share)*G200,G200+D_dT,G200)</f>
        <v>26.9001</v>
      </c>
      <c r="O200" s="14" t="n">
        <f aca="false">CHOOSE(D200,H200-W_lost,H200,H200,H200+W_gain)</f>
        <v>48</v>
      </c>
      <c r="P200" s="16" t="n">
        <f aca="false">CHOOSE(D200,I200,I200,I200+D_dE,I200+Close_A*(Ceil_E-I200))</f>
        <v>71</v>
      </c>
      <c r="Q200" s="14" t="n">
        <f aca="false">CHOOSE(D200,1,1,J200,J200)</f>
        <v>1</v>
      </c>
      <c r="R200" s="14" t="n">
        <f aca="false">IF(L200=1,IF(SUMPRODUCT(($L$35:$L$199=1)*(ABS($M$35:$M$199-M200)&lt;0.000001)*(ABS($N$35:$N$199-N200)&lt;0.000001)*($O$35:$O$199=O200)*(ABS($P$35:$P$199-P200)&lt;0.000001)*($Q$35:$Q$199=Q200)*($V$35:$V$199=V200))=0,1,0),0)</f>
        <v>0</v>
      </c>
      <c r="S200" s="14" t="n">
        <f aca="false">IF(AND(L200=1,N200&gt;=$B$4-0.000000001,P200&gt;=$B$6-0.000000001,M200&gt;=Floor_q+$B$5-0.000000001),1,0)</f>
        <v>0</v>
      </c>
      <c r="T200" s="14" t="n">
        <f aca="false">L200*(IF(1&lt;=2,1-Q200,IF(1=3,IF(AND(V200=0,O200&gt;=W_min,M200-D_dip&gt;=Floor_q),1,0),IF(AND(O200&gt;=W_min,M200&gt;=Pre_A),1,0)))+IF(2&lt;=2,1-Q200,IF(2=3,IF(AND(V200=0,O200&gt;=W_min,M200-D_dip&gt;=Floor_q),1,0),IF(AND(O200&gt;=W_min,M200&gt;=Pre_A),1,0)))+IF(3&lt;=2,1-Q200,IF(3=3,IF(AND(V200=0,O200&gt;=W_min,M200-D_dip&gt;=Floor_q),1,0),IF(AND(O200&gt;=W_min,M200&gt;=Pre_A),1,0)))+IF(4&lt;=2,1-Q200,IF(4=3,IF(AND(V200=0,O200&gt;=W_min,M200-D_dip&gt;=Floor_q),1,0),IF(AND(O200&gt;=W_min,M200&gt;=Pre_A),1,0))))</f>
        <v>0</v>
      </c>
      <c r="U200" s="14" t="n">
        <f aca="false">V76</f>
        <v>0</v>
      </c>
      <c r="V200" s="14" t="n">
        <f aca="false">CHOOSE(D200,U200,U200,1,U200)</f>
        <v>0</v>
      </c>
    </row>
    <row r="201" customFormat="false" ht="15" hidden="false" customHeight="true" outlineLevel="0" collapsed="false">
      <c r="A201" s="3" t="s">
        <v>439</v>
      </c>
      <c r="B201" s="14" t="n">
        <v>4</v>
      </c>
      <c r="C201" s="14" t="n">
        <v>76</v>
      </c>
      <c r="D201" s="14" t="n">
        <v>2</v>
      </c>
      <c r="E201" s="14" t="n">
        <f aca="false">L76</f>
        <v>0</v>
      </c>
      <c r="F201" s="19" t="n">
        <f aca="false">M76</f>
        <v>916</v>
      </c>
      <c r="G201" s="19" t="n">
        <f aca="false">N76</f>
        <v>29.889</v>
      </c>
      <c r="H201" s="14" t="n">
        <f aca="false">O76</f>
        <v>53</v>
      </c>
      <c r="I201" s="16" t="n">
        <f aca="false">P76</f>
        <v>71</v>
      </c>
      <c r="J201" s="14" t="n">
        <f aca="false">Q76</f>
        <v>1</v>
      </c>
      <c r="K201" s="14" t="n">
        <f aca="false">IF(D201&lt;=2,1-J201,IF(D201=3,IF(AND(U201=0,H201&gt;=W_min,F201-D_dip&gt;=Floor_q),1,0),IF(AND(H201&gt;=W_min,F201&gt;=Pre_A),1,0)))</f>
        <v>0</v>
      </c>
      <c r="L201" s="14" t="n">
        <f aca="false">E201*K201</f>
        <v>0</v>
      </c>
      <c r="M201" s="19" t="n">
        <f aca="false">CHOOSE(D201,F201+Proc_S,F201+Proc_Sk,F201+D_dL,F201-Cost_A)</f>
        <v>1008</v>
      </c>
      <c r="N201" s="19" t="n">
        <f aca="false">CHOOSE(D201,(1-Tech_share)*G201,(1-Tech_share)*G201,G201+D_dT,G201)</f>
        <v>26.9001</v>
      </c>
      <c r="O201" s="14" t="n">
        <f aca="false">CHOOSE(D201,H201-W_lost,H201,H201,H201+W_gain)</f>
        <v>53</v>
      </c>
      <c r="P201" s="16" t="n">
        <f aca="false">CHOOSE(D201,I201,I201,I201+D_dE,I201+Close_A*(Ceil_E-I201))</f>
        <v>71</v>
      </c>
      <c r="Q201" s="14" t="n">
        <f aca="false">CHOOSE(D201,1,1,J201,J201)</f>
        <v>1</v>
      </c>
      <c r="R201" s="14" t="n">
        <f aca="false">IF(L201=1,IF(SUMPRODUCT(($L$35:$L$200=1)*(ABS($M$35:$M$200-M201)&lt;0.000001)*(ABS($N$35:$N$200-N201)&lt;0.000001)*($O$35:$O$200=O201)*(ABS($P$35:$P$200-P201)&lt;0.000001)*($Q$35:$Q$200=Q201)*($V$35:$V$200=V201))=0,1,0),0)</f>
        <v>0</v>
      </c>
      <c r="S201" s="14" t="n">
        <f aca="false">IF(AND(L201=1,N201&gt;=$B$4-0.000000001,P201&gt;=$B$6-0.000000001,M201&gt;=Floor_q+$B$5-0.000000001),1,0)</f>
        <v>0</v>
      </c>
      <c r="T201" s="14" t="n">
        <f aca="false">L201*(IF(1&lt;=2,1-Q201,IF(1=3,IF(AND(V201=0,O201&gt;=W_min,M201-D_dip&gt;=Floor_q),1,0),IF(AND(O201&gt;=W_min,M201&gt;=Pre_A),1,0)))+IF(2&lt;=2,1-Q201,IF(2=3,IF(AND(V201=0,O201&gt;=W_min,M201-D_dip&gt;=Floor_q),1,0),IF(AND(O201&gt;=W_min,M201&gt;=Pre_A),1,0)))+IF(3&lt;=2,1-Q201,IF(3=3,IF(AND(V201=0,O201&gt;=W_min,M201-D_dip&gt;=Floor_q),1,0),IF(AND(O201&gt;=W_min,M201&gt;=Pre_A),1,0)))+IF(4&lt;=2,1-Q201,IF(4=3,IF(AND(V201=0,O201&gt;=W_min,M201-D_dip&gt;=Floor_q),1,0),IF(AND(O201&gt;=W_min,M201&gt;=Pre_A),1,0))))</f>
        <v>0</v>
      </c>
      <c r="U201" s="14" t="n">
        <f aca="false">V76</f>
        <v>0</v>
      </c>
      <c r="V201" s="14" t="n">
        <f aca="false">CHOOSE(D201,U201,U201,1,U201)</f>
        <v>0</v>
      </c>
    </row>
    <row r="202" customFormat="false" ht="15" hidden="false" customHeight="true" outlineLevel="0" collapsed="false">
      <c r="A202" s="3" t="s">
        <v>440</v>
      </c>
      <c r="B202" s="14" t="n">
        <v>4</v>
      </c>
      <c r="C202" s="14" t="n">
        <v>76</v>
      </c>
      <c r="D202" s="14" t="n">
        <v>3</v>
      </c>
      <c r="E202" s="14" t="n">
        <f aca="false">L76</f>
        <v>0</v>
      </c>
      <c r="F202" s="19" t="n">
        <f aca="false">M76</f>
        <v>916</v>
      </c>
      <c r="G202" s="19" t="n">
        <f aca="false">N76</f>
        <v>29.889</v>
      </c>
      <c r="H202" s="14" t="n">
        <f aca="false">O76</f>
        <v>53</v>
      </c>
      <c r="I202" s="16" t="n">
        <f aca="false">P76</f>
        <v>71</v>
      </c>
      <c r="J202" s="14" t="n">
        <f aca="false">Q76</f>
        <v>1</v>
      </c>
      <c r="K202" s="14" t="n">
        <f aca="false">IF(D202&lt;=2,1-J202,IF(D202=3,IF(AND(U202=0,H202&gt;=W_min,F202-D_dip&gt;=Floor_q),1,0),IF(AND(H202&gt;=W_min,F202&gt;=Pre_A),1,0)))</f>
        <v>0</v>
      </c>
      <c r="L202" s="14" t="n">
        <f aca="false">E202*K202</f>
        <v>0</v>
      </c>
      <c r="M202" s="19" t="n">
        <f aca="false">CHOOSE(D202,F202+Proc_S,F202+Proc_Sk,F202+D_dL,F202-Cost_A)</f>
        <v>880.632729102868</v>
      </c>
      <c r="N202" s="19" t="n">
        <f aca="false">CHOOSE(D202,(1-Tech_share)*G202,(1-Tech_share)*G202,G202+D_dT,G202)</f>
        <v>64.5236691353518</v>
      </c>
      <c r="O202" s="14" t="n">
        <f aca="false">CHOOSE(D202,H202-W_lost,H202,H202,H202+W_gain)</f>
        <v>53</v>
      </c>
      <c r="P202" s="16" t="n">
        <f aca="false">CHOOSE(D202,I202,I202,I202+D_dE,I202+Close_A*(Ceil_E-I202))</f>
        <v>73.5983309723245</v>
      </c>
      <c r="Q202" s="14" t="n">
        <f aca="false">CHOOSE(D202,1,1,J202,J202)</f>
        <v>1</v>
      </c>
      <c r="R202" s="14" t="n">
        <f aca="false">IF(L202=1,IF(SUMPRODUCT(($L$35:$L$201=1)*(ABS($M$35:$M$201-M202)&lt;0.000001)*(ABS($N$35:$N$201-N202)&lt;0.000001)*($O$35:$O$201=O202)*(ABS($P$35:$P$201-P202)&lt;0.000001)*($Q$35:$Q$201=Q202)*($V$35:$V$201=V202))=0,1,0),0)</f>
        <v>0</v>
      </c>
      <c r="S202" s="14" t="n">
        <f aca="false">IF(AND(L202=1,N202&gt;=$B$4-0.000000001,P202&gt;=$B$6-0.000000001,M202&gt;=Floor_q+$B$5-0.000000001),1,0)</f>
        <v>0</v>
      </c>
      <c r="T202" s="14" t="n">
        <f aca="false">L202*(IF(1&lt;=2,1-Q202,IF(1=3,IF(AND(V202=0,O202&gt;=W_min,M202-D_dip&gt;=Floor_q),1,0),IF(AND(O202&gt;=W_min,M202&gt;=Pre_A),1,0)))+IF(2&lt;=2,1-Q202,IF(2=3,IF(AND(V202=0,O202&gt;=W_min,M202-D_dip&gt;=Floor_q),1,0),IF(AND(O202&gt;=W_min,M202&gt;=Pre_A),1,0)))+IF(3&lt;=2,1-Q202,IF(3=3,IF(AND(V202=0,O202&gt;=W_min,M202-D_dip&gt;=Floor_q),1,0),IF(AND(O202&gt;=W_min,M202&gt;=Pre_A),1,0)))+IF(4&lt;=2,1-Q202,IF(4=3,IF(AND(V202=0,O202&gt;=W_min,M202-D_dip&gt;=Floor_q),1,0),IF(AND(O202&gt;=W_min,M202&gt;=Pre_A),1,0))))</f>
        <v>0</v>
      </c>
      <c r="U202" s="14" t="n">
        <f aca="false">V76</f>
        <v>0</v>
      </c>
      <c r="V202" s="14" t="n">
        <f aca="false">CHOOSE(D202,U202,U202,1,U202)</f>
        <v>1</v>
      </c>
    </row>
    <row r="203" customFormat="false" ht="15" hidden="false" customHeight="true" outlineLevel="0" collapsed="false">
      <c r="A203" s="3" t="s">
        <v>441</v>
      </c>
      <c r="B203" s="14" t="n">
        <v>4</v>
      </c>
      <c r="C203" s="14" t="n">
        <v>76</v>
      </c>
      <c r="D203" s="14" t="n">
        <v>4</v>
      </c>
      <c r="E203" s="14" t="n">
        <f aca="false">L76</f>
        <v>0</v>
      </c>
      <c r="F203" s="19" t="n">
        <f aca="false">M76</f>
        <v>916</v>
      </c>
      <c r="G203" s="19" t="n">
        <f aca="false">N76</f>
        <v>29.889</v>
      </c>
      <c r="H203" s="14" t="n">
        <f aca="false">O76</f>
        <v>53</v>
      </c>
      <c r="I203" s="16" t="n">
        <f aca="false">P76</f>
        <v>71</v>
      </c>
      <c r="J203" s="14" t="n">
        <f aca="false">Q76</f>
        <v>1</v>
      </c>
      <c r="K203" s="14" t="n">
        <f aca="false">IF(D203&lt;=2,1-J203,IF(D203=3,IF(AND(U203=0,H203&gt;=W_min,F203-D_dip&gt;=Floor_q),1,0),IF(AND(H203&gt;=W_min,F203&gt;=Pre_A),1,0)))</f>
        <v>0</v>
      </c>
      <c r="L203" s="14" t="n">
        <f aca="false">E203*K203</f>
        <v>0</v>
      </c>
      <c r="M203" s="19" t="n">
        <f aca="false">CHOOSE(D203,F203+Proc_S,F203+Proc_Sk,F203+D_dL,F203-Cost_A)</f>
        <v>796</v>
      </c>
      <c r="N203" s="19" t="n">
        <f aca="false">CHOOSE(D203,(1-Tech_share)*G203,(1-Tech_share)*G203,G203+D_dT,G203)</f>
        <v>29.889</v>
      </c>
      <c r="O203" s="14" t="n">
        <f aca="false">CHOOSE(D203,H203-W_lost,H203,H203,H203+W_gain)</f>
        <v>54</v>
      </c>
      <c r="P203" s="16" t="n">
        <f aca="false">CHOOSE(D203,I203,I203,I203+D_dE,I203+Close_A*(Ceil_E-I203))</f>
        <v>78</v>
      </c>
      <c r="Q203" s="14" t="n">
        <f aca="false">CHOOSE(D203,1,1,J203,J203)</f>
        <v>1</v>
      </c>
      <c r="R203" s="14" t="n">
        <f aca="false">IF(L203=1,IF(SUMPRODUCT(($L$35:$L$202=1)*(ABS($M$35:$M$202-M203)&lt;0.000001)*(ABS($N$35:$N$202-N203)&lt;0.000001)*($O$35:$O$202=O203)*(ABS($P$35:$P$202-P203)&lt;0.000001)*($Q$35:$Q$202=Q203)*($V$35:$V$202=V203))=0,1,0),0)</f>
        <v>0</v>
      </c>
      <c r="S203" s="14" t="n">
        <f aca="false">IF(AND(L203=1,N203&gt;=$B$4-0.000000001,P203&gt;=$B$6-0.000000001,M203&gt;=Floor_q+$B$5-0.000000001),1,0)</f>
        <v>0</v>
      </c>
      <c r="T203" s="14" t="n">
        <f aca="false">L203*(IF(1&lt;=2,1-Q203,IF(1=3,IF(AND(V203=0,O203&gt;=W_min,M203-D_dip&gt;=Floor_q),1,0),IF(AND(O203&gt;=W_min,M203&gt;=Pre_A),1,0)))+IF(2&lt;=2,1-Q203,IF(2=3,IF(AND(V203=0,O203&gt;=W_min,M203-D_dip&gt;=Floor_q),1,0),IF(AND(O203&gt;=W_min,M203&gt;=Pre_A),1,0)))+IF(3&lt;=2,1-Q203,IF(3=3,IF(AND(V203=0,O203&gt;=W_min,M203-D_dip&gt;=Floor_q),1,0),IF(AND(O203&gt;=W_min,M203&gt;=Pre_A),1,0)))+IF(4&lt;=2,1-Q203,IF(4=3,IF(AND(V203=0,O203&gt;=W_min,M203-D_dip&gt;=Floor_q),1,0),IF(AND(O203&gt;=W_min,M203&gt;=Pre_A),1,0))))</f>
        <v>0</v>
      </c>
      <c r="U203" s="14" t="n">
        <f aca="false">V76</f>
        <v>0</v>
      </c>
      <c r="V203" s="14" t="n">
        <f aca="false">CHOOSE(D203,U203,U203,1,U203)</f>
        <v>0</v>
      </c>
    </row>
    <row r="204" customFormat="false" ht="15" hidden="false" customHeight="true" outlineLevel="0" collapsed="false">
      <c r="A204" s="3" t="s">
        <v>442</v>
      </c>
      <c r="B204" s="14" t="n">
        <v>4</v>
      </c>
      <c r="C204" s="14" t="n">
        <v>77</v>
      </c>
      <c r="D204" s="14" t="n">
        <v>1</v>
      </c>
      <c r="E204" s="14" t="n">
        <f aca="false">L77</f>
        <v>0</v>
      </c>
      <c r="F204" s="19" t="n">
        <f aca="false">M77</f>
        <v>896</v>
      </c>
      <c r="G204" s="19" t="n">
        <f aca="false">N77</f>
        <v>29.889</v>
      </c>
      <c r="H204" s="14" t="n">
        <f aca="false">O77</f>
        <v>58</v>
      </c>
      <c r="I204" s="16" t="n">
        <f aca="false">P77</f>
        <v>71</v>
      </c>
      <c r="J204" s="14" t="n">
        <f aca="false">Q77</f>
        <v>1</v>
      </c>
      <c r="K204" s="14" t="n">
        <f aca="false">IF(D204&lt;=2,1-J204,IF(D204=3,IF(AND(U204=0,H204&gt;=W_min,F204-D_dip&gt;=Floor_q),1,0),IF(AND(H204&gt;=W_min,F204&gt;=Pre_A),1,0)))</f>
        <v>0</v>
      </c>
      <c r="L204" s="14" t="n">
        <f aca="false">E204*K204</f>
        <v>0</v>
      </c>
      <c r="M204" s="19" t="n">
        <f aca="false">CHOOSE(D204,F204+Proc_S,F204+Proc_Sk,F204+D_dL,F204-Cost_A)</f>
        <v>1008</v>
      </c>
      <c r="N204" s="19" t="n">
        <f aca="false">CHOOSE(D204,(1-Tech_share)*G204,(1-Tech_share)*G204,G204+D_dT,G204)</f>
        <v>26.9001</v>
      </c>
      <c r="O204" s="14" t="n">
        <f aca="false">CHOOSE(D204,H204-W_lost,H204,H204,H204+W_gain)</f>
        <v>53</v>
      </c>
      <c r="P204" s="16" t="n">
        <f aca="false">CHOOSE(D204,I204,I204,I204+D_dE,I204+Close_A*(Ceil_E-I204))</f>
        <v>71</v>
      </c>
      <c r="Q204" s="14" t="n">
        <f aca="false">CHOOSE(D204,1,1,J204,J204)</f>
        <v>1</v>
      </c>
      <c r="R204" s="14" t="n">
        <f aca="false">IF(L204=1,IF(SUMPRODUCT(($L$35:$L$203=1)*(ABS($M$35:$M$203-M204)&lt;0.000001)*(ABS($N$35:$N$203-N204)&lt;0.000001)*($O$35:$O$203=O204)*(ABS($P$35:$P$203-P204)&lt;0.000001)*($Q$35:$Q$203=Q204)*($V$35:$V$203=V204))=0,1,0),0)</f>
        <v>0</v>
      </c>
      <c r="S204" s="14" t="n">
        <f aca="false">IF(AND(L204=1,N204&gt;=$B$4-0.000000001,P204&gt;=$B$6-0.000000001,M204&gt;=Floor_q+$B$5-0.000000001),1,0)</f>
        <v>0</v>
      </c>
      <c r="T204" s="14" t="n">
        <f aca="false">L204*(IF(1&lt;=2,1-Q204,IF(1=3,IF(AND(V204=0,O204&gt;=W_min,M204-D_dip&gt;=Floor_q),1,0),IF(AND(O204&gt;=W_min,M204&gt;=Pre_A),1,0)))+IF(2&lt;=2,1-Q204,IF(2=3,IF(AND(V204=0,O204&gt;=W_min,M204-D_dip&gt;=Floor_q),1,0),IF(AND(O204&gt;=W_min,M204&gt;=Pre_A),1,0)))+IF(3&lt;=2,1-Q204,IF(3=3,IF(AND(V204=0,O204&gt;=W_min,M204-D_dip&gt;=Floor_q),1,0),IF(AND(O204&gt;=W_min,M204&gt;=Pre_A),1,0)))+IF(4&lt;=2,1-Q204,IF(4=3,IF(AND(V204=0,O204&gt;=W_min,M204-D_dip&gt;=Floor_q),1,0),IF(AND(O204&gt;=W_min,M204&gt;=Pre_A),1,0))))</f>
        <v>0</v>
      </c>
      <c r="U204" s="14" t="n">
        <f aca="false">V77</f>
        <v>0</v>
      </c>
      <c r="V204" s="14" t="n">
        <f aca="false">CHOOSE(D204,U204,U204,1,U204)</f>
        <v>0</v>
      </c>
    </row>
    <row r="205" customFormat="false" ht="15" hidden="false" customHeight="true" outlineLevel="0" collapsed="false">
      <c r="A205" s="3" t="s">
        <v>443</v>
      </c>
      <c r="B205" s="14" t="n">
        <v>4</v>
      </c>
      <c r="C205" s="14" t="n">
        <v>77</v>
      </c>
      <c r="D205" s="14" t="n">
        <v>2</v>
      </c>
      <c r="E205" s="14" t="n">
        <f aca="false">L77</f>
        <v>0</v>
      </c>
      <c r="F205" s="19" t="n">
        <f aca="false">M77</f>
        <v>896</v>
      </c>
      <c r="G205" s="19" t="n">
        <f aca="false">N77</f>
        <v>29.889</v>
      </c>
      <c r="H205" s="14" t="n">
        <f aca="false">O77</f>
        <v>58</v>
      </c>
      <c r="I205" s="16" t="n">
        <f aca="false">P77</f>
        <v>71</v>
      </c>
      <c r="J205" s="14" t="n">
        <f aca="false">Q77</f>
        <v>1</v>
      </c>
      <c r="K205" s="14" t="n">
        <f aca="false">IF(D205&lt;=2,1-J205,IF(D205=3,IF(AND(U205=0,H205&gt;=W_min,F205-D_dip&gt;=Floor_q),1,0),IF(AND(H205&gt;=W_min,F205&gt;=Pre_A),1,0)))</f>
        <v>0</v>
      </c>
      <c r="L205" s="14" t="n">
        <f aca="false">E205*K205</f>
        <v>0</v>
      </c>
      <c r="M205" s="19" t="n">
        <f aca="false">CHOOSE(D205,F205+Proc_S,F205+Proc_Sk,F205+D_dL,F205-Cost_A)</f>
        <v>988</v>
      </c>
      <c r="N205" s="19" t="n">
        <f aca="false">CHOOSE(D205,(1-Tech_share)*G205,(1-Tech_share)*G205,G205+D_dT,G205)</f>
        <v>26.9001</v>
      </c>
      <c r="O205" s="14" t="n">
        <f aca="false">CHOOSE(D205,H205-W_lost,H205,H205,H205+W_gain)</f>
        <v>58</v>
      </c>
      <c r="P205" s="16" t="n">
        <f aca="false">CHOOSE(D205,I205,I205,I205+D_dE,I205+Close_A*(Ceil_E-I205))</f>
        <v>71</v>
      </c>
      <c r="Q205" s="14" t="n">
        <f aca="false">CHOOSE(D205,1,1,J205,J205)</f>
        <v>1</v>
      </c>
      <c r="R205" s="14" t="n">
        <f aca="false">IF(L205=1,IF(SUMPRODUCT(($L$35:$L$204=1)*(ABS($M$35:$M$204-M205)&lt;0.000001)*(ABS($N$35:$N$204-N205)&lt;0.000001)*($O$35:$O$204=O205)*(ABS($P$35:$P$204-P205)&lt;0.000001)*($Q$35:$Q$204=Q205)*($V$35:$V$204=V205))=0,1,0),0)</f>
        <v>0</v>
      </c>
      <c r="S205" s="14" t="n">
        <f aca="false">IF(AND(L205=1,N205&gt;=$B$4-0.000000001,P205&gt;=$B$6-0.000000001,M205&gt;=Floor_q+$B$5-0.000000001),1,0)</f>
        <v>0</v>
      </c>
      <c r="T205" s="14" t="n">
        <f aca="false">L205*(IF(1&lt;=2,1-Q205,IF(1=3,IF(AND(V205=0,O205&gt;=W_min,M205-D_dip&gt;=Floor_q),1,0),IF(AND(O205&gt;=W_min,M205&gt;=Pre_A),1,0)))+IF(2&lt;=2,1-Q205,IF(2=3,IF(AND(V205=0,O205&gt;=W_min,M205-D_dip&gt;=Floor_q),1,0),IF(AND(O205&gt;=W_min,M205&gt;=Pre_A),1,0)))+IF(3&lt;=2,1-Q205,IF(3=3,IF(AND(V205=0,O205&gt;=W_min,M205-D_dip&gt;=Floor_q),1,0),IF(AND(O205&gt;=W_min,M205&gt;=Pre_A),1,0)))+IF(4&lt;=2,1-Q205,IF(4=3,IF(AND(V205=0,O205&gt;=W_min,M205-D_dip&gt;=Floor_q),1,0),IF(AND(O205&gt;=W_min,M205&gt;=Pre_A),1,0))))</f>
        <v>0</v>
      </c>
      <c r="U205" s="14" t="n">
        <f aca="false">V77</f>
        <v>0</v>
      </c>
      <c r="V205" s="14" t="n">
        <f aca="false">CHOOSE(D205,U205,U205,1,U205)</f>
        <v>0</v>
      </c>
    </row>
    <row r="206" customFormat="false" ht="15" hidden="false" customHeight="true" outlineLevel="0" collapsed="false">
      <c r="A206" s="3" t="s">
        <v>444</v>
      </c>
      <c r="B206" s="14" t="n">
        <v>4</v>
      </c>
      <c r="C206" s="14" t="n">
        <v>77</v>
      </c>
      <c r="D206" s="14" t="n">
        <v>3</v>
      </c>
      <c r="E206" s="14" t="n">
        <f aca="false">L77</f>
        <v>0</v>
      </c>
      <c r="F206" s="19" t="n">
        <f aca="false">M77</f>
        <v>896</v>
      </c>
      <c r="G206" s="19" t="n">
        <f aca="false">N77</f>
        <v>29.889</v>
      </c>
      <c r="H206" s="14" t="n">
        <f aca="false">O77</f>
        <v>58</v>
      </c>
      <c r="I206" s="16" t="n">
        <f aca="false">P77</f>
        <v>71</v>
      </c>
      <c r="J206" s="14" t="n">
        <f aca="false">Q77</f>
        <v>1</v>
      </c>
      <c r="K206" s="14" t="n">
        <f aca="false">IF(D206&lt;=2,1-J206,IF(D206=3,IF(AND(U206=0,H206&gt;=W_min,F206-D_dip&gt;=Floor_q),1,0),IF(AND(H206&gt;=W_min,F206&gt;=Pre_A),1,0)))</f>
        <v>1</v>
      </c>
      <c r="L206" s="14" t="n">
        <f aca="false">E206*K206</f>
        <v>0</v>
      </c>
      <c r="M206" s="19" t="n">
        <f aca="false">CHOOSE(D206,F206+Proc_S,F206+Proc_Sk,F206+D_dL,F206-Cost_A)</f>
        <v>860.632729102868</v>
      </c>
      <c r="N206" s="19" t="n">
        <f aca="false">CHOOSE(D206,(1-Tech_share)*G206,(1-Tech_share)*G206,G206+D_dT,G206)</f>
        <v>64.5236691353518</v>
      </c>
      <c r="O206" s="14" t="n">
        <f aca="false">CHOOSE(D206,H206-W_lost,H206,H206,H206+W_gain)</f>
        <v>58</v>
      </c>
      <c r="P206" s="16" t="n">
        <f aca="false">CHOOSE(D206,I206,I206,I206+D_dE,I206+Close_A*(Ceil_E-I206))</f>
        <v>73.5983309723245</v>
      </c>
      <c r="Q206" s="14" t="n">
        <f aca="false">CHOOSE(D206,1,1,J206,J206)</f>
        <v>1</v>
      </c>
      <c r="R206" s="14" t="n">
        <f aca="false">IF(L206=1,IF(SUMPRODUCT(($L$35:$L$205=1)*(ABS($M$35:$M$205-M206)&lt;0.000001)*(ABS($N$35:$N$205-N206)&lt;0.000001)*($O$35:$O$205=O206)*(ABS($P$35:$P$205-P206)&lt;0.000001)*($Q$35:$Q$205=Q206)*($V$35:$V$205=V206))=0,1,0),0)</f>
        <v>0</v>
      </c>
      <c r="S206" s="14" t="n">
        <f aca="false">IF(AND(L206=1,N206&gt;=$B$4-0.000000001,P206&gt;=$B$6-0.000000001,M206&gt;=Floor_q+$B$5-0.000000001),1,0)</f>
        <v>0</v>
      </c>
      <c r="T206" s="14" t="n">
        <f aca="false">L206*(IF(1&lt;=2,1-Q206,IF(1=3,IF(AND(V206=0,O206&gt;=W_min,M206-D_dip&gt;=Floor_q),1,0),IF(AND(O206&gt;=W_min,M206&gt;=Pre_A),1,0)))+IF(2&lt;=2,1-Q206,IF(2=3,IF(AND(V206=0,O206&gt;=W_min,M206-D_dip&gt;=Floor_q),1,0),IF(AND(O206&gt;=W_min,M206&gt;=Pre_A),1,0)))+IF(3&lt;=2,1-Q206,IF(3=3,IF(AND(V206=0,O206&gt;=W_min,M206-D_dip&gt;=Floor_q),1,0),IF(AND(O206&gt;=W_min,M206&gt;=Pre_A),1,0)))+IF(4&lt;=2,1-Q206,IF(4=3,IF(AND(V206=0,O206&gt;=W_min,M206-D_dip&gt;=Floor_q),1,0),IF(AND(O206&gt;=W_min,M206&gt;=Pre_A),1,0))))</f>
        <v>0</v>
      </c>
      <c r="U206" s="14" t="n">
        <f aca="false">V77</f>
        <v>0</v>
      </c>
      <c r="V206" s="14" t="n">
        <f aca="false">CHOOSE(D206,U206,U206,1,U206)</f>
        <v>1</v>
      </c>
    </row>
    <row r="207" customFormat="false" ht="15" hidden="false" customHeight="true" outlineLevel="0" collapsed="false">
      <c r="A207" s="3" t="s">
        <v>445</v>
      </c>
      <c r="B207" s="14" t="n">
        <v>4</v>
      </c>
      <c r="C207" s="14" t="n">
        <v>77</v>
      </c>
      <c r="D207" s="14" t="n">
        <v>4</v>
      </c>
      <c r="E207" s="14" t="n">
        <f aca="false">L77</f>
        <v>0</v>
      </c>
      <c r="F207" s="19" t="n">
        <f aca="false">M77</f>
        <v>896</v>
      </c>
      <c r="G207" s="19" t="n">
        <f aca="false">N77</f>
        <v>29.889</v>
      </c>
      <c r="H207" s="14" t="n">
        <f aca="false">O77</f>
        <v>58</v>
      </c>
      <c r="I207" s="16" t="n">
        <f aca="false">P77</f>
        <v>71</v>
      </c>
      <c r="J207" s="14" t="n">
        <f aca="false">Q77</f>
        <v>1</v>
      </c>
      <c r="K207" s="14" t="n">
        <f aca="false">IF(D207&lt;=2,1-J207,IF(D207=3,IF(AND(U207=0,H207&gt;=W_min,F207-D_dip&gt;=Floor_q),1,0),IF(AND(H207&gt;=W_min,F207&gt;=Pre_A),1,0)))</f>
        <v>1</v>
      </c>
      <c r="L207" s="14" t="n">
        <f aca="false">E207*K207</f>
        <v>0</v>
      </c>
      <c r="M207" s="19" t="n">
        <f aca="false">CHOOSE(D207,F207+Proc_S,F207+Proc_Sk,F207+D_dL,F207-Cost_A)</f>
        <v>776</v>
      </c>
      <c r="N207" s="19" t="n">
        <f aca="false">CHOOSE(D207,(1-Tech_share)*G207,(1-Tech_share)*G207,G207+D_dT,G207)</f>
        <v>29.889</v>
      </c>
      <c r="O207" s="14" t="n">
        <f aca="false">CHOOSE(D207,H207-W_lost,H207,H207,H207+W_gain)</f>
        <v>59</v>
      </c>
      <c r="P207" s="16" t="n">
        <f aca="false">CHOOSE(D207,I207,I207,I207+D_dE,I207+Close_A*(Ceil_E-I207))</f>
        <v>78</v>
      </c>
      <c r="Q207" s="14" t="n">
        <f aca="false">CHOOSE(D207,1,1,J207,J207)</f>
        <v>1</v>
      </c>
      <c r="R207" s="14" t="n">
        <f aca="false">IF(L207=1,IF(SUMPRODUCT(($L$35:$L$206=1)*(ABS($M$35:$M$206-M207)&lt;0.000001)*(ABS($N$35:$N$206-N207)&lt;0.000001)*($O$35:$O$206=O207)*(ABS($P$35:$P$206-P207)&lt;0.000001)*($Q$35:$Q$206=Q207)*($V$35:$V$206=V207))=0,1,0),0)</f>
        <v>0</v>
      </c>
      <c r="S207" s="14" t="n">
        <f aca="false">IF(AND(L207=1,N207&gt;=$B$4-0.000000001,P207&gt;=$B$6-0.000000001,M207&gt;=Floor_q+$B$5-0.000000001),1,0)</f>
        <v>0</v>
      </c>
      <c r="T207" s="14" t="n">
        <f aca="false">L207*(IF(1&lt;=2,1-Q207,IF(1=3,IF(AND(V207=0,O207&gt;=W_min,M207-D_dip&gt;=Floor_q),1,0),IF(AND(O207&gt;=W_min,M207&gt;=Pre_A),1,0)))+IF(2&lt;=2,1-Q207,IF(2=3,IF(AND(V207=0,O207&gt;=W_min,M207-D_dip&gt;=Floor_q),1,0),IF(AND(O207&gt;=W_min,M207&gt;=Pre_A),1,0)))+IF(3&lt;=2,1-Q207,IF(3=3,IF(AND(V207=0,O207&gt;=W_min,M207-D_dip&gt;=Floor_q),1,0),IF(AND(O207&gt;=W_min,M207&gt;=Pre_A),1,0)))+IF(4&lt;=2,1-Q207,IF(4=3,IF(AND(V207=0,O207&gt;=W_min,M207-D_dip&gt;=Floor_q),1,0),IF(AND(O207&gt;=W_min,M207&gt;=Pre_A),1,0))))</f>
        <v>0</v>
      </c>
      <c r="U207" s="14" t="n">
        <f aca="false">V77</f>
        <v>0</v>
      </c>
      <c r="V207" s="14" t="n">
        <f aca="false">CHOOSE(D207,U207,U207,1,U207)</f>
        <v>0</v>
      </c>
    </row>
    <row r="208" customFormat="false" ht="15" hidden="false" customHeight="true" outlineLevel="0" collapsed="false">
      <c r="A208" s="3" t="s">
        <v>446</v>
      </c>
      <c r="B208" s="14" t="n">
        <v>4</v>
      </c>
      <c r="C208" s="14" t="n">
        <v>78</v>
      </c>
      <c r="D208" s="14" t="n">
        <v>1</v>
      </c>
      <c r="E208" s="14" t="n">
        <f aca="false">L78</f>
        <v>0</v>
      </c>
      <c r="F208" s="19" t="n">
        <f aca="false">M78</f>
        <v>768.632729102868</v>
      </c>
      <c r="G208" s="19" t="n">
        <f aca="false">N78</f>
        <v>67.8446691353518</v>
      </c>
      <c r="H208" s="14" t="n">
        <f aca="false">O78</f>
        <v>58</v>
      </c>
      <c r="I208" s="16" t="n">
        <f aca="false">P78</f>
        <v>73.5983309723245</v>
      </c>
      <c r="J208" s="14" t="n">
        <f aca="false">Q78</f>
        <v>1</v>
      </c>
      <c r="K208" s="14" t="n">
        <f aca="false">IF(D208&lt;=2,1-J208,IF(D208=3,IF(AND(U208=0,H208&gt;=W_min,F208-D_dip&gt;=Floor_q),1,0),IF(AND(H208&gt;=W_min,F208&gt;=Pre_A),1,0)))</f>
        <v>0</v>
      </c>
      <c r="L208" s="14" t="n">
        <f aca="false">E208*K208</f>
        <v>0</v>
      </c>
      <c r="M208" s="19" t="n">
        <f aca="false">CHOOSE(D208,F208+Proc_S,F208+Proc_Sk,F208+D_dL,F208-Cost_A)</f>
        <v>880.632729102868</v>
      </c>
      <c r="N208" s="19" t="n">
        <f aca="false">CHOOSE(D208,(1-Tech_share)*G208,(1-Tech_share)*G208,G208+D_dT,G208)</f>
        <v>61.0602022218166</v>
      </c>
      <c r="O208" s="14" t="n">
        <f aca="false">CHOOSE(D208,H208-W_lost,H208,H208,H208+W_gain)</f>
        <v>53</v>
      </c>
      <c r="P208" s="16" t="n">
        <f aca="false">CHOOSE(D208,I208,I208,I208+D_dE,I208+Close_A*(Ceil_E-I208))</f>
        <v>73.5983309723245</v>
      </c>
      <c r="Q208" s="14" t="n">
        <f aca="false">CHOOSE(D208,1,1,J208,J208)</f>
        <v>1</v>
      </c>
      <c r="R208" s="14" t="n">
        <f aca="false">IF(L208=1,IF(SUMPRODUCT(($L$35:$L$207=1)*(ABS($M$35:$M$207-M208)&lt;0.000001)*(ABS($N$35:$N$207-N208)&lt;0.000001)*($O$35:$O$207=O208)*(ABS($P$35:$P$207-P208)&lt;0.000001)*($Q$35:$Q$207=Q208)*($V$35:$V$207=V208))=0,1,0),0)</f>
        <v>0</v>
      </c>
      <c r="S208" s="14" t="n">
        <f aca="false">IF(AND(L208=1,N208&gt;=$B$4-0.000000001,P208&gt;=$B$6-0.000000001,M208&gt;=Floor_q+$B$5-0.000000001),1,0)</f>
        <v>0</v>
      </c>
      <c r="T208" s="14" t="n">
        <f aca="false">L208*(IF(1&lt;=2,1-Q208,IF(1=3,IF(AND(V208=0,O208&gt;=W_min,M208-D_dip&gt;=Floor_q),1,0),IF(AND(O208&gt;=W_min,M208&gt;=Pre_A),1,0)))+IF(2&lt;=2,1-Q208,IF(2=3,IF(AND(V208=0,O208&gt;=W_min,M208-D_dip&gt;=Floor_q),1,0),IF(AND(O208&gt;=W_min,M208&gt;=Pre_A),1,0)))+IF(3&lt;=2,1-Q208,IF(3=3,IF(AND(V208=0,O208&gt;=W_min,M208-D_dip&gt;=Floor_q),1,0),IF(AND(O208&gt;=W_min,M208&gt;=Pre_A),1,0)))+IF(4&lt;=2,1-Q208,IF(4=3,IF(AND(V208=0,O208&gt;=W_min,M208-D_dip&gt;=Floor_q),1,0),IF(AND(O208&gt;=W_min,M208&gt;=Pre_A),1,0))))</f>
        <v>0</v>
      </c>
      <c r="U208" s="14" t="n">
        <f aca="false">V78</f>
        <v>1</v>
      </c>
      <c r="V208" s="14" t="n">
        <f aca="false">CHOOSE(D208,U208,U208,1,U208)</f>
        <v>1</v>
      </c>
    </row>
    <row r="209" customFormat="false" ht="15" hidden="false" customHeight="true" outlineLevel="0" collapsed="false">
      <c r="A209" s="3" t="s">
        <v>447</v>
      </c>
      <c r="B209" s="14" t="n">
        <v>4</v>
      </c>
      <c r="C209" s="14" t="n">
        <v>78</v>
      </c>
      <c r="D209" s="14" t="n">
        <v>2</v>
      </c>
      <c r="E209" s="14" t="n">
        <f aca="false">L78</f>
        <v>0</v>
      </c>
      <c r="F209" s="19" t="n">
        <f aca="false">M78</f>
        <v>768.632729102868</v>
      </c>
      <c r="G209" s="19" t="n">
        <f aca="false">N78</f>
        <v>67.8446691353518</v>
      </c>
      <c r="H209" s="14" t="n">
        <f aca="false">O78</f>
        <v>58</v>
      </c>
      <c r="I209" s="16" t="n">
        <f aca="false">P78</f>
        <v>73.5983309723245</v>
      </c>
      <c r="J209" s="14" t="n">
        <f aca="false">Q78</f>
        <v>1</v>
      </c>
      <c r="K209" s="14" t="n">
        <f aca="false">IF(D209&lt;=2,1-J209,IF(D209=3,IF(AND(U209=0,H209&gt;=W_min,F209-D_dip&gt;=Floor_q),1,0),IF(AND(H209&gt;=W_min,F209&gt;=Pre_A),1,0)))</f>
        <v>0</v>
      </c>
      <c r="L209" s="14" t="n">
        <f aca="false">E209*K209</f>
        <v>0</v>
      </c>
      <c r="M209" s="19" t="n">
        <f aca="false">CHOOSE(D209,F209+Proc_S,F209+Proc_Sk,F209+D_dL,F209-Cost_A)</f>
        <v>860.632729102868</v>
      </c>
      <c r="N209" s="19" t="n">
        <f aca="false">CHOOSE(D209,(1-Tech_share)*G209,(1-Tech_share)*G209,G209+D_dT,G209)</f>
        <v>61.0602022218166</v>
      </c>
      <c r="O209" s="14" t="n">
        <f aca="false">CHOOSE(D209,H209-W_lost,H209,H209,H209+W_gain)</f>
        <v>58</v>
      </c>
      <c r="P209" s="16" t="n">
        <f aca="false">CHOOSE(D209,I209,I209,I209+D_dE,I209+Close_A*(Ceil_E-I209))</f>
        <v>73.5983309723245</v>
      </c>
      <c r="Q209" s="14" t="n">
        <f aca="false">CHOOSE(D209,1,1,J209,J209)</f>
        <v>1</v>
      </c>
      <c r="R209" s="14" t="n">
        <f aca="false">IF(L209=1,IF(SUMPRODUCT(($L$35:$L$208=1)*(ABS($M$35:$M$208-M209)&lt;0.000001)*(ABS($N$35:$N$208-N209)&lt;0.000001)*($O$35:$O$208=O209)*(ABS($P$35:$P$208-P209)&lt;0.000001)*($Q$35:$Q$208=Q209)*($V$35:$V$208=V209))=0,1,0),0)</f>
        <v>0</v>
      </c>
      <c r="S209" s="14" t="n">
        <f aca="false">IF(AND(L209=1,N209&gt;=$B$4-0.000000001,P209&gt;=$B$6-0.000000001,M209&gt;=Floor_q+$B$5-0.000000001),1,0)</f>
        <v>0</v>
      </c>
      <c r="T209" s="14" t="n">
        <f aca="false">L209*(IF(1&lt;=2,1-Q209,IF(1=3,IF(AND(V209=0,O209&gt;=W_min,M209-D_dip&gt;=Floor_q),1,0),IF(AND(O209&gt;=W_min,M209&gt;=Pre_A),1,0)))+IF(2&lt;=2,1-Q209,IF(2=3,IF(AND(V209=0,O209&gt;=W_min,M209-D_dip&gt;=Floor_q),1,0),IF(AND(O209&gt;=W_min,M209&gt;=Pre_A),1,0)))+IF(3&lt;=2,1-Q209,IF(3=3,IF(AND(V209=0,O209&gt;=W_min,M209-D_dip&gt;=Floor_q),1,0),IF(AND(O209&gt;=W_min,M209&gt;=Pre_A),1,0)))+IF(4&lt;=2,1-Q209,IF(4=3,IF(AND(V209=0,O209&gt;=W_min,M209-D_dip&gt;=Floor_q),1,0),IF(AND(O209&gt;=W_min,M209&gt;=Pre_A),1,0))))</f>
        <v>0</v>
      </c>
      <c r="U209" s="14" t="n">
        <f aca="false">V78</f>
        <v>1</v>
      </c>
      <c r="V209" s="14" t="n">
        <f aca="false">CHOOSE(D209,U209,U209,1,U209)</f>
        <v>1</v>
      </c>
    </row>
    <row r="210" customFormat="false" ht="15" hidden="false" customHeight="true" outlineLevel="0" collapsed="false">
      <c r="A210" s="3" t="s">
        <v>448</v>
      </c>
      <c r="B210" s="14" t="n">
        <v>4</v>
      </c>
      <c r="C210" s="14" t="n">
        <v>78</v>
      </c>
      <c r="D210" s="14" t="n">
        <v>3</v>
      </c>
      <c r="E210" s="14" t="n">
        <f aca="false">L78</f>
        <v>0</v>
      </c>
      <c r="F210" s="19" t="n">
        <f aca="false">M78</f>
        <v>768.632729102868</v>
      </c>
      <c r="G210" s="19" t="n">
        <f aca="false">N78</f>
        <v>67.8446691353518</v>
      </c>
      <c r="H210" s="14" t="n">
        <f aca="false">O78</f>
        <v>58</v>
      </c>
      <c r="I210" s="16" t="n">
        <f aca="false">P78</f>
        <v>73.5983309723245</v>
      </c>
      <c r="J210" s="14" t="n">
        <f aca="false">Q78</f>
        <v>1</v>
      </c>
      <c r="K210" s="14" t="n">
        <f aca="false">IF(D210&lt;=2,1-J210,IF(D210=3,IF(AND(U210=0,H210&gt;=W_min,F210-D_dip&gt;=Floor_q),1,0),IF(AND(H210&gt;=W_min,F210&gt;=Pre_A),1,0)))</f>
        <v>0</v>
      </c>
      <c r="L210" s="14" t="n">
        <f aca="false">E210*K210</f>
        <v>0</v>
      </c>
      <c r="M210" s="19" t="n">
        <f aca="false">CHOOSE(D210,F210+Proc_S,F210+Proc_Sk,F210+D_dL,F210-Cost_A)</f>
        <v>733.265458205737</v>
      </c>
      <c r="N210" s="19" t="n">
        <f aca="false">CHOOSE(D210,(1-Tech_share)*G210,(1-Tech_share)*G210,G210+D_dT,G210)</f>
        <v>102.479338270704</v>
      </c>
      <c r="O210" s="14" t="n">
        <f aca="false">CHOOSE(D210,H210-W_lost,H210,H210,H210+W_gain)</f>
        <v>58</v>
      </c>
      <c r="P210" s="16" t="n">
        <f aca="false">CHOOSE(D210,I210,I210,I210+D_dE,I210+Close_A*(Ceil_E-I210))</f>
        <v>76.1966619446489</v>
      </c>
      <c r="Q210" s="14" t="n">
        <f aca="false">CHOOSE(D210,1,1,J210,J210)</f>
        <v>1</v>
      </c>
      <c r="R210" s="14" t="n">
        <f aca="false">IF(L210=1,IF(SUMPRODUCT(($L$35:$L$209=1)*(ABS($M$35:$M$209-M210)&lt;0.000001)*(ABS($N$35:$N$209-N210)&lt;0.000001)*($O$35:$O$209=O210)*(ABS($P$35:$P$209-P210)&lt;0.000001)*($Q$35:$Q$209=Q210)*($V$35:$V$209=V210))=0,1,0),0)</f>
        <v>0</v>
      </c>
      <c r="S210" s="14" t="n">
        <f aca="false">IF(AND(L210=1,N210&gt;=$B$4-0.000000001,P210&gt;=$B$6-0.000000001,M210&gt;=Floor_q+$B$5-0.000000001),1,0)</f>
        <v>0</v>
      </c>
      <c r="T210" s="14" t="n">
        <f aca="false">L210*(IF(1&lt;=2,1-Q210,IF(1=3,IF(AND(V210=0,O210&gt;=W_min,M210-D_dip&gt;=Floor_q),1,0),IF(AND(O210&gt;=W_min,M210&gt;=Pre_A),1,0)))+IF(2&lt;=2,1-Q210,IF(2=3,IF(AND(V210=0,O210&gt;=W_min,M210-D_dip&gt;=Floor_q),1,0),IF(AND(O210&gt;=W_min,M210&gt;=Pre_A),1,0)))+IF(3&lt;=2,1-Q210,IF(3=3,IF(AND(V210=0,O210&gt;=W_min,M210-D_dip&gt;=Floor_q),1,0),IF(AND(O210&gt;=W_min,M210&gt;=Pre_A),1,0)))+IF(4&lt;=2,1-Q210,IF(4=3,IF(AND(V210=0,O210&gt;=W_min,M210-D_dip&gt;=Floor_q),1,0),IF(AND(O210&gt;=W_min,M210&gt;=Pre_A),1,0))))</f>
        <v>0</v>
      </c>
      <c r="U210" s="14" t="n">
        <f aca="false">V78</f>
        <v>1</v>
      </c>
      <c r="V210" s="14" t="n">
        <f aca="false">CHOOSE(D210,U210,U210,1,U210)</f>
        <v>1</v>
      </c>
    </row>
    <row r="211" customFormat="false" ht="15" hidden="false" customHeight="true" outlineLevel="0" collapsed="false">
      <c r="A211" s="3" t="s">
        <v>449</v>
      </c>
      <c r="B211" s="14" t="n">
        <v>4</v>
      </c>
      <c r="C211" s="14" t="n">
        <v>78</v>
      </c>
      <c r="D211" s="14" t="n">
        <v>4</v>
      </c>
      <c r="E211" s="14" t="n">
        <f aca="false">L78</f>
        <v>0</v>
      </c>
      <c r="F211" s="19" t="n">
        <f aca="false">M78</f>
        <v>768.632729102868</v>
      </c>
      <c r="G211" s="19" t="n">
        <f aca="false">N78</f>
        <v>67.8446691353518</v>
      </c>
      <c r="H211" s="14" t="n">
        <f aca="false">O78</f>
        <v>58</v>
      </c>
      <c r="I211" s="16" t="n">
        <f aca="false">P78</f>
        <v>73.5983309723245</v>
      </c>
      <c r="J211" s="14" t="n">
        <f aca="false">Q78</f>
        <v>1</v>
      </c>
      <c r="K211" s="14" t="n">
        <f aca="false">IF(D211&lt;=2,1-J211,IF(D211=3,IF(AND(U211=0,H211&gt;=W_min,F211-D_dip&gt;=Floor_q),1,0),IF(AND(H211&gt;=W_min,F211&gt;=Pre_A),1,0)))</f>
        <v>1</v>
      </c>
      <c r="L211" s="14" t="n">
        <f aca="false">E211*K211</f>
        <v>0</v>
      </c>
      <c r="M211" s="19" t="n">
        <f aca="false">CHOOSE(D211,F211+Proc_S,F211+Proc_Sk,F211+D_dL,F211-Cost_A)</f>
        <v>648.632729102868</v>
      </c>
      <c r="N211" s="19" t="n">
        <f aca="false">CHOOSE(D211,(1-Tech_share)*G211,(1-Tech_share)*G211,G211+D_dT,G211)</f>
        <v>67.8446691353518</v>
      </c>
      <c r="O211" s="14" t="n">
        <f aca="false">CHOOSE(D211,H211-W_lost,H211,H211,H211+W_gain)</f>
        <v>59</v>
      </c>
      <c r="P211" s="16" t="n">
        <f aca="false">CHOOSE(D211,I211,I211,I211+D_dE,I211+Close_A*(Ceil_E-I211))</f>
        <v>79.2991654861622</v>
      </c>
      <c r="Q211" s="14" t="n">
        <f aca="false">CHOOSE(D211,1,1,J211,J211)</f>
        <v>1</v>
      </c>
      <c r="R211" s="14" t="n">
        <f aca="false">IF(L211=1,IF(SUMPRODUCT(($L$35:$L$210=1)*(ABS($M$35:$M$210-M211)&lt;0.000001)*(ABS($N$35:$N$210-N211)&lt;0.000001)*($O$35:$O$210=O211)*(ABS($P$35:$P$210-P211)&lt;0.000001)*($Q$35:$Q$210=Q211)*($V$35:$V$210=V211))=0,1,0),0)</f>
        <v>0</v>
      </c>
      <c r="S211" s="14" t="n">
        <f aca="false">IF(AND(L211=1,N211&gt;=$B$4-0.000000001,P211&gt;=$B$6-0.000000001,M211&gt;=Floor_q+$B$5-0.000000001),1,0)</f>
        <v>0</v>
      </c>
      <c r="T211" s="14" t="n">
        <f aca="false">L211*(IF(1&lt;=2,1-Q211,IF(1=3,IF(AND(V211=0,O211&gt;=W_min,M211-D_dip&gt;=Floor_q),1,0),IF(AND(O211&gt;=W_min,M211&gt;=Pre_A),1,0)))+IF(2&lt;=2,1-Q211,IF(2=3,IF(AND(V211=0,O211&gt;=W_min,M211-D_dip&gt;=Floor_q),1,0),IF(AND(O211&gt;=W_min,M211&gt;=Pre_A),1,0)))+IF(3&lt;=2,1-Q211,IF(3=3,IF(AND(V211=0,O211&gt;=W_min,M211-D_dip&gt;=Floor_q),1,0),IF(AND(O211&gt;=W_min,M211&gt;=Pre_A),1,0)))+IF(4&lt;=2,1-Q211,IF(4=3,IF(AND(V211=0,O211&gt;=W_min,M211-D_dip&gt;=Floor_q),1,0),IF(AND(O211&gt;=W_min,M211&gt;=Pre_A),1,0))))</f>
        <v>0</v>
      </c>
      <c r="U211" s="14" t="n">
        <f aca="false">V78</f>
        <v>1</v>
      </c>
      <c r="V211" s="14" t="n">
        <f aca="false">CHOOSE(D211,U211,U211,1,U211)</f>
        <v>1</v>
      </c>
    </row>
    <row r="212" customFormat="false" ht="15" hidden="false" customHeight="true" outlineLevel="0" collapsed="false">
      <c r="A212" s="3" t="s">
        <v>450</v>
      </c>
      <c r="B212" s="14" t="n">
        <v>4</v>
      </c>
      <c r="C212" s="14" t="n">
        <v>79</v>
      </c>
      <c r="D212" s="14" t="n">
        <v>1</v>
      </c>
      <c r="E212" s="14" t="n">
        <f aca="false">L79</f>
        <v>0</v>
      </c>
      <c r="F212" s="19" t="n">
        <f aca="false">M79</f>
        <v>684</v>
      </c>
      <c r="G212" s="19" t="n">
        <f aca="false">N79</f>
        <v>33.21</v>
      </c>
      <c r="H212" s="14" t="n">
        <f aca="false">O79</f>
        <v>59</v>
      </c>
      <c r="I212" s="16" t="n">
        <f aca="false">P79</f>
        <v>78</v>
      </c>
      <c r="J212" s="14" t="n">
        <f aca="false">Q79</f>
        <v>1</v>
      </c>
      <c r="K212" s="14" t="n">
        <f aca="false">IF(D212&lt;=2,1-J212,IF(D212=3,IF(AND(U212=0,H212&gt;=W_min,F212-D_dip&gt;=Floor_q),1,0),IF(AND(H212&gt;=W_min,F212&gt;=Pre_A),1,0)))</f>
        <v>0</v>
      </c>
      <c r="L212" s="14" t="n">
        <f aca="false">E212*K212</f>
        <v>0</v>
      </c>
      <c r="M212" s="19" t="n">
        <f aca="false">CHOOSE(D212,F212+Proc_S,F212+Proc_Sk,F212+D_dL,F212-Cost_A)</f>
        <v>796</v>
      </c>
      <c r="N212" s="19" t="n">
        <f aca="false">CHOOSE(D212,(1-Tech_share)*G212,(1-Tech_share)*G212,G212+D_dT,G212)</f>
        <v>29.889</v>
      </c>
      <c r="O212" s="14" t="n">
        <f aca="false">CHOOSE(D212,H212-W_lost,H212,H212,H212+W_gain)</f>
        <v>54</v>
      </c>
      <c r="P212" s="16" t="n">
        <f aca="false">CHOOSE(D212,I212,I212,I212+D_dE,I212+Close_A*(Ceil_E-I212))</f>
        <v>78</v>
      </c>
      <c r="Q212" s="14" t="n">
        <f aca="false">CHOOSE(D212,1,1,J212,J212)</f>
        <v>1</v>
      </c>
      <c r="R212" s="14" t="n">
        <f aca="false">IF(L212=1,IF(SUMPRODUCT(($L$35:$L$211=1)*(ABS($M$35:$M$211-M212)&lt;0.000001)*(ABS($N$35:$N$211-N212)&lt;0.000001)*($O$35:$O$211=O212)*(ABS($P$35:$P$211-P212)&lt;0.000001)*($Q$35:$Q$211=Q212)*($V$35:$V$211=V212))=0,1,0),0)</f>
        <v>0</v>
      </c>
      <c r="S212" s="14" t="n">
        <f aca="false">IF(AND(L212=1,N212&gt;=$B$4-0.000000001,P212&gt;=$B$6-0.000000001,M212&gt;=Floor_q+$B$5-0.000000001),1,0)</f>
        <v>0</v>
      </c>
      <c r="T212" s="14" t="n">
        <f aca="false">L212*(IF(1&lt;=2,1-Q212,IF(1=3,IF(AND(V212=0,O212&gt;=W_min,M212-D_dip&gt;=Floor_q),1,0),IF(AND(O212&gt;=W_min,M212&gt;=Pre_A),1,0)))+IF(2&lt;=2,1-Q212,IF(2=3,IF(AND(V212=0,O212&gt;=W_min,M212-D_dip&gt;=Floor_q),1,0),IF(AND(O212&gt;=W_min,M212&gt;=Pre_A),1,0)))+IF(3&lt;=2,1-Q212,IF(3=3,IF(AND(V212=0,O212&gt;=W_min,M212-D_dip&gt;=Floor_q),1,0),IF(AND(O212&gt;=W_min,M212&gt;=Pre_A),1,0)))+IF(4&lt;=2,1-Q212,IF(4=3,IF(AND(V212=0,O212&gt;=W_min,M212-D_dip&gt;=Floor_q),1,0),IF(AND(O212&gt;=W_min,M212&gt;=Pre_A),1,0))))</f>
        <v>0</v>
      </c>
      <c r="U212" s="14" t="n">
        <f aca="false">V79</f>
        <v>0</v>
      </c>
      <c r="V212" s="14" t="n">
        <f aca="false">CHOOSE(D212,U212,U212,1,U212)</f>
        <v>0</v>
      </c>
    </row>
    <row r="213" customFormat="false" ht="15" hidden="false" customHeight="true" outlineLevel="0" collapsed="false">
      <c r="A213" s="3" t="s">
        <v>451</v>
      </c>
      <c r="B213" s="14" t="n">
        <v>4</v>
      </c>
      <c r="C213" s="14" t="n">
        <v>79</v>
      </c>
      <c r="D213" s="14" t="n">
        <v>2</v>
      </c>
      <c r="E213" s="14" t="n">
        <f aca="false">L79</f>
        <v>0</v>
      </c>
      <c r="F213" s="19" t="n">
        <f aca="false">M79</f>
        <v>684</v>
      </c>
      <c r="G213" s="19" t="n">
        <f aca="false">N79</f>
        <v>33.21</v>
      </c>
      <c r="H213" s="14" t="n">
        <f aca="false">O79</f>
        <v>59</v>
      </c>
      <c r="I213" s="16" t="n">
        <f aca="false">P79</f>
        <v>78</v>
      </c>
      <c r="J213" s="14" t="n">
        <f aca="false">Q79</f>
        <v>1</v>
      </c>
      <c r="K213" s="14" t="n">
        <f aca="false">IF(D213&lt;=2,1-J213,IF(D213=3,IF(AND(U213=0,H213&gt;=W_min,F213-D_dip&gt;=Floor_q),1,0),IF(AND(H213&gt;=W_min,F213&gt;=Pre_A),1,0)))</f>
        <v>0</v>
      </c>
      <c r="L213" s="14" t="n">
        <f aca="false">E213*K213</f>
        <v>0</v>
      </c>
      <c r="M213" s="19" t="n">
        <f aca="false">CHOOSE(D213,F213+Proc_S,F213+Proc_Sk,F213+D_dL,F213-Cost_A)</f>
        <v>776</v>
      </c>
      <c r="N213" s="19" t="n">
        <f aca="false">CHOOSE(D213,(1-Tech_share)*G213,(1-Tech_share)*G213,G213+D_dT,G213)</f>
        <v>29.889</v>
      </c>
      <c r="O213" s="14" t="n">
        <f aca="false">CHOOSE(D213,H213-W_lost,H213,H213,H213+W_gain)</f>
        <v>59</v>
      </c>
      <c r="P213" s="16" t="n">
        <f aca="false">CHOOSE(D213,I213,I213,I213+D_dE,I213+Close_A*(Ceil_E-I213))</f>
        <v>78</v>
      </c>
      <c r="Q213" s="14" t="n">
        <f aca="false">CHOOSE(D213,1,1,J213,J213)</f>
        <v>1</v>
      </c>
      <c r="R213" s="14" t="n">
        <f aca="false">IF(L213=1,IF(SUMPRODUCT(($L$35:$L$212=1)*(ABS($M$35:$M$212-M213)&lt;0.000001)*(ABS($N$35:$N$212-N213)&lt;0.000001)*($O$35:$O$212=O213)*(ABS($P$35:$P$212-P213)&lt;0.000001)*($Q$35:$Q$212=Q213)*($V$35:$V$212=V213))=0,1,0),0)</f>
        <v>0</v>
      </c>
      <c r="S213" s="14" t="n">
        <f aca="false">IF(AND(L213=1,N213&gt;=$B$4-0.000000001,P213&gt;=$B$6-0.000000001,M213&gt;=Floor_q+$B$5-0.000000001),1,0)</f>
        <v>0</v>
      </c>
      <c r="T213" s="14" t="n">
        <f aca="false">L213*(IF(1&lt;=2,1-Q213,IF(1=3,IF(AND(V213=0,O213&gt;=W_min,M213-D_dip&gt;=Floor_q),1,0),IF(AND(O213&gt;=W_min,M213&gt;=Pre_A),1,0)))+IF(2&lt;=2,1-Q213,IF(2=3,IF(AND(V213=0,O213&gt;=W_min,M213-D_dip&gt;=Floor_q),1,0),IF(AND(O213&gt;=W_min,M213&gt;=Pre_A),1,0)))+IF(3&lt;=2,1-Q213,IF(3=3,IF(AND(V213=0,O213&gt;=W_min,M213-D_dip&gt;=Floor_q),1,0),IF(AND(O213&gt;=W_min,M213&gt;=Pre_A),1,0)))+IF(4&lt;=2,1-Q213,IF(4=3,IF(AND(V213=0,O213&gt;=W_min,M213-D_dip&gt;=Floor_q),1,0),IF(AND(O213&gt;=W_min,M213&gt;=Pre_A),1,0))))</f>
        <v>0</v>
      </c>
      <c r="U213" s="14" t="n">
        <f aca="false">V79</f>
        <v>0</v>
      </c>
      <c r="V213" s="14" t="n">
        <f aca="false">CHOOSE(D213,U213,U213,1,U213)</f>
        <v>0</v>
      </c>
    </row>
    <row r="214" customFormat="false" ht="15" hidden="false" customHeight="true" outlineLevel="0" collapsed="false">
      <c r="A214" s="3" t="s">
        <v>452</v>
      </c>
      <c r="B214" s="14" t="n">
        <v>4</v>
      </c>
      <c r="C214" s="14" t="n">
        <v>79</v>
      </c>
      <c r="D214" s="14" t="n">
        <v>3</v>
      </c>
      <c r="E214" s="14" t="n">
        <f aca="false">L79</f>
        <v>0</v>
      </c>
      <c r="F214" s="19" t="n">
        <f aca="false">M79</f>
        <v>684</v>
      </c>
      <c r="G214" s="19" t="n">
        <f aca="false">N79</f>
        <v>33.21</v>
      </c>
      <c r="H214" s="14" t="n">
        <f aca="false">O79</f>
        <v>59</v>
      </c>
      <c r="I214" s="16" t="n">
        <f aca="false">P79</f>
        <v>78</v>
      </c>
      <c r="J214" s="14" t="n">
        <f aca="false">Q79</f>
        <v>1</v>
      </c>
      <c r="K214" s="14" t="n">
        <f aca="false">IF(D214&lt;=2,1-J214,IF(D214=3,IF(AND(U214=0,H214&gt;=W_min,F214-D_dip&gt;=Floor_q),1,0),IF(AND(H214&gt;=W_min,F214&gt;=Pre_A),1,0)))</f>
        <v>1</v>
      </c>
      <c r="L214" s="14" t="n">
        <f aca="false">E214*K214</f>
        <v>0</v>
      </c>
      <c r="M214" s="19" t="n">
        <f aca="false">CHOOSE(D214,F214+Proc_S,F214+Proc_Sk,F214+D_dL,F214-Cost_A)</f>
        <v>648.632729102868</v>
      </c>
      <c r="N214" s="19" t="n">
        <f aca="false">CHOOSE(D214,(1-Tech_share)*G214,(1-Tech_share)*G214,G214+D_dT,G214)</f>
        <v>67.8446691353518</v>
      </c>
      <c r="O214" s="14" t="n">
        <f aca="false">CHOOSE(D214,H214-W_lost,H214,H214,H214+W_gain)</f>
        <v>59</v>
      </c>
      <c r="P214" s="16" t="n">
        <f aca="false">CHOOSE(D214,I214,I214,I214+D_dE,I214+Close_A*(Ceil_E-I214))</f>
        <v>80.5983309723245</v>
      </c>
      <c r="Q214" s="14" t="n">
        <f aca="false">CHOOSE(D214,1,1,J214,J214)</f>
        <v>1</v>
      </c>
      <c r="R214" s="14" t="n">
        <f aca="false">IF(L214=1,IF(SUMPRODUCT(($L$35:$L$213=1)*(ABS($M$35:$M$213-M214)&lt;0.000001)*(ABS($N$35:$N$213-N214)&lt;0.000001)*($O$35:$O$213=O214)*(ABS($P$35:$P$213-P214)&lt;0.000001)*($Q$35:$Q$213=Q214)*($V$35:$V$213=V214))=0,1,0),0)</f>
        <v>0</v>
      </c>
      <c r="S214" s="14" t="n">
        <f aca="false">IF(AND(L214=1,N214&gt;=$B$4-0.000000001,P214&gt;=$B$6-0.000000001,M214&gt;=Floor_q+$B$5-0.000000001),1,0)</f>
        <v>0</v>
      </c>
      <c r="T214" s="14" t="n">
        <f aca="false">L214*(IF(1&lt;=2,1-Q214,IF(1=3,IF(AND(V214=0,O214&gt;=W_min,M214-D_dip&gt;=Floor_q),1,0),IF(AND(O214&gt;=W_min,M214&gt;=Pre_A),1,0)))+IF(2&lt;=2,1-Q214,IF(2=3,IF(AND(V214=0,O214&gt;=W_min,M214-D_dip&gt;=Floor_q),1,0),IF(AND(O214&gt;=W_min,M214&gt;=Pre_A),1,0)))+IF(3&lt;=2,1-Q214,IF(3=3,IF(AND(V214=0,O214&gt;=W_min,M214-D_dip&gt;=Floor_q),1,0),IF(AND(O214&gt;=W_min,M214&gt;=Pre_A),1,0)))+IF(4&lt;=2,1-Q214,IF(4=3,IF(AND(V214=0,O214&gt;=W_min,M214-D_dip&gt;=Floor_q),1,0),IF(AND(O214&gt;=W_min,M214&gt;=Pre_A),1,0))))</f>
        <v>0</v>
      </c>
      <c r="U214" s="14" t="n">
        <f aca="false">V79</f>
        <v>0</v>
      </c>
      <c r="V214" s="14" t="n">
        <f aca="false">CHOOSE(D214,U214,U214,1,U214)</f>
        <v>1</v>
      </c>
    </row>
    <row r="215" customFormat="false" ht="15" hidden="false" customHeight="true" outlineLevel="0" collapsed="false">
      <c r="A215" s="3" t="s">
        <v>453</v>
      </c>
      <c r="B215" s="14" t="n">
        <v>4</v>
      </c>
      <c r="C215" s="14" t="n">
        <v>79</v>
      </c>
      <c r="D215" s="14" t="n">
        <v>4</v>
      </c>
      <c r="E215" s="14" t="n">
        <f aca="false">L79</f>
        <v>0</v>
      </c>
      <c r="F215" s="19" t="n">
        <f aca="false">M79</f>
        <v>684</v>
      </c>
      <c r="G215" s="19" t="n">
        <f aca="false">N79</f>
        <v>33.21</v>
      </c>
      <c r="H215" s="14" t="n">
        <f aca="false">O79</f>
        <v>59</v>
      </c>
      <c r="I215" s="16" t="n">
        <f aca="false">P79</f>
        <v>78</v>
      </c>
      <c r="J215" s="14" t="n">
        <f aca="false">Q79</f>
        <v>1</v>
      </c>
      <c r="K215" s="14" t="n">
        <f aca="false">IF(D215&lt;=2,1-J215,IF(D215=3,IF(AND(U215=0,H215&gt;=W_min,F215-D_dip&gt;=Floor_q),1,0),IF(AND(H215&gt;=W_min,F215&gt;=Pre_A),1,0)))</f>
        <v>1</v>
      </c>
      <c r="L215" s="14" t="n">
        <f aca="false">E215*K215</f>
        <v>0</v>
      </c>
      <c r="M215" s="19" t="n">
        <f aca="false">CHOOSE(D215,F215+Proc_S,F215+Proc_Sk,F215+D_dL,F215-Cost_A)</f>
        <v>564</v>
      </c>
      <c r="N215" s="19" t="n">
        <f aca="false">CHOOSE(D215,(1-Tech_share)*G215,(1-Tech_share)*G215,G215+D_dT,G215)</f>
        <v>33.21</v>
      </c>
      <c r="O215" s="14" t="n">
        <f aca="false">CHOOSE(D215,H215-W_lost,H215,H215,H215+W_gain)</f>
        <v>60</v>
      </c>
      <c r="P215" s="16" t="n">
        <f aca="false">CHOOSE(D215,I215,I215,I215+D_dE,I215+Close_A*(Ceil_E-I215))</f>
        <v>81.5</v>
      </c>
      <c r="Q215" s="14" t="n">
        <f aca="false">CHOOSE(D215,1,1,J215,J215)</f>
        <v>1</v>
      </c>
      <c r="R215" s="14" t="n">
        <f aca="false">IF(L215=1,IF(SUMPRODUCT(($L$35:$L$214=1)*(ABS($M$35:$M$214-M215)&lt;0.000001)*(ABS($N$35:$N$214-N215)&lt;0.000001)*($O$35:$O$214=O215)*(ABS($P$35:$P$214-P215)&lt;0.000001)*($Q$35:$Q$214=Q215)*($V$35:$V$214=V215))=0,1,0),0)</f>
        <v>0</v>
      </c>
      <c r="S215" s="14" t="n">
        <f aca="false">IF(AND(L215=1,N215&gt;=$B$4-0.000000001,P215&gt;=$B$6-0.000000001,M215&gt;=Floor_q+$B$5-0.000000001),1,0)</f>
        <v>0</v>
      </c>
      <c r="T215" s="14" t="n">
        <f aca="false">L215*(IF(1&lt;=2,1-Q215,IF(1=3,IF(AND(V215=0,O215&gt;=W_min,M215-D_dip&gt;=Floor_q),1,0),IF(AND(O215&gt;=W_min,M215&gt;=Pre_A),1,0)))+IF(2&lt;=2,1-Q215,IF(2=3,IF(AND(V215=0,O215&gt;=W_min,M215-D_dip&gt;=Floor_q),1,0),IF(AND(O215&gt;=W_min,M215&gt;=Pre_A),1,0)))+IF(3&lt;=2,1-Q215,IF(3=3,IF(AND(V215=0,O215&gt;=W_min,M215-D_dip&gt;=Floor_q),1,0),IF(AND(O215&gt;=W_min,M215&gt;=Pre_A),1,0)))+IF(4&lt;=2,1-Q215,IF(4=3,IF(AND(V215=0,O215&gt;=W_min,M215-D_dip&gt;=Floor_q),1,0),IF(AND(O215&gt;=W_min,M215&gt;=Pre_A),1,0))))</f>
        <v>0</v>
      </c>
      <c r="U215" s="14" t="n">
        <f aca="false">V79</f>
        <v>0</v>
      </c>
      <c r="V215" s="14" t="n">
        <f aca="false">CHOOSE(D215,U215,U215,1,U215)</f>
        <v>0</v>
      </c>
    </row>
    <row r="216" customFormat="false" ht="15" hidden="false" customHeight="true" outlineLevel="0" collapsed="false">
      <c r="A216" s="3" t="s">
        <v>454</v>
      </c>
      <c r="B216" s="14" t="n">
        <v>4</v>
      </c>
      <c r="C216" s="14" t="n">
        <v>80</v>
      </c>
      <c r="D216" s="14" t="n">
        <v>1</v>
      </c>
      <c r="E216" s="14" t="n">
        <f aca="false">L80</f>
        <v>0</v>
      </c>
      <c r="F216" s="19" t="n">
        <f aca="false">M80</f>
        <v>788.632729102868</v>
      </c>
      <c r="G216" s="19" t="n">
        <f aca="false">N80</f>
        <v>64.3812022218166</v>
      </c>
      <c r="H216" s="14" t="n">
        <f aca="false">O80</f>
        <v>53</v>
      </c>
      <c r="I216" s="16" t="n">
        <f aca="false">P80</f>
        <v>73.5983309723245</v>
      </c>
      <c r="J216" s="14" t="n">
        <f aca="false">Q80</f>
        <v>1</v>
      </c>
      <c r="K216" s="14" t="n">
        <f aca="false">IF(D216&lt;=2,1-J216,IF(D216=3,IF(AND(U216=0,H216&gt;=W_min,F216-D_dip&gt;=Floor_q),1,0),IF(AND(H216&gt;=W_min,F216&gt;=Pre_A),1,0)))</f>
        <v>0</v>
      </c>
      <c r="L216" s="14" t="n">
        <f aca="false">E216*K216</f>
        <v>0</v>
      </c>
      <c r="M216" s="19" t="n">
        <f aca="false">CHOOSE(D216,F216+Proc_S,F216+Proc_Sk,F216+D_dL,F216-Cost_A)</f>
        <v>900.632729102868</v>
      </c>
      <c r="N216" s="19" t="n">
        <f aca="false">CHOOSE(D216,(1-Tech_share)*G216,(1-Tech_share)*G216,G216+D_dT,G216)</f>
        <v>57.943081999635</v>
      </c>
      <c r="O216" s="14" t="n">
        <f aca="false">CHOOSE(D216,H216-W_lost,H216,H216,H216+W_gain)</f>
        <v>48</v>
      </c>
      <c r="P216" s="16" t="n">
        <f aca="false">CHOOSE(D216,I216,I216,I216+D_dE,I216+Close_A*(Ceil_E-I216))</f>
        <v>73.5983309723245</v>
      </c>
      <c r="Q216" s="14" t="n">
        <f aca="false">CHOOSE(D216,1,1,J216,J216)</f>
        <v>1</v>
      </c>
      <c r="R216" s="14" t="n">
        <f aca="false">IF(L216=1,IF(SUMPRODUCT(($L$35:$L$215=1)*(ABS($M$35:$M$215-M216)&lt;0.000001)*(ABS($N$35:$N$215-N216)&lt;0.000001)*($O$35:$O$215=O216)*(ABS($P$35:$P$215-P216)&lt;0.000001)*($Q$35:$Q$215=Q216)*($V$35:$V$215=V216))=0,1,0),0)</f>
        <v>0</v>
      </c>
      <c r="S216" s="14" t="n">
        <f aca="false">IF(AND(L216=1,N216&gt;=$B$4-0.000000001,P216&gt;=$B$6-0.000000001,M216&gt;=Floor_q+$B$5-0.000000001),1,0)</f>
        <v>0</v>
      </c>
      <c r="T216" s="14" t="n">
        <f aca="false">L216*(IF(1&lt;=2,1-Q216,IF(1=3,IF(AND(V216=0,O216&gt;=W_min,M216-D_dip&gt;=Floor_q),1,0),IF(AND(O216&gt;=W_min,M216&gt;=Pre_A),1,0)))+IF(2&lt;=2,1-Q216,IF(2=3,IF(AND(V216=0,O216&gt;=W_min,M216-D_dip&gt;=Floor_q),1,0),IF(AND(O216&gt;=W_min,M216&gt;=Pre_A),1,0)))+IF(3&lt;=2,1-Q216,IF(3=3,IF(AND(V216=0,O216&gt;=W_min,M216-D_dip&gt;=Floor_q),1,0),IF(AND(O216&gt;=W_min,M216&gt;=Pre_A),1,0)))+IF(4&lt;=2,1-Q216,IF(4=3,IF(AND(V216=0,O216&gt;=W_min,M216-D_dip&gt;=Floor_q),1,0),IF(AND(O216&gt;=W_min,M216&gt;=Pre_A),1,0))))</f>
        <v>0</v>
      </c>
      <c r="U216" s="14" t="n">
        <f aca="false">V80</f>
        <v>1</v>
      </c>
      <c r="V216" s="14" t="n">
        <f aca="false">CHOOSE(D216,U216,U216,1,U216)</f>
        <v>1</v>
      </c>
    </row>
    <row r="217" customFormat="false" ht="15" hidden="false" customHeight="true" outlineLevel="0" collapsed="false">
      <c r="A217" s="3" t="s">
        <v>455</v>
      </c>
      <c r="B217" s="14" t="n">
        <v>4</v>
      </c>
      <c r="C217" s="14" t="n">
        <v>80</v>
      </c>
      <c r="D217" s="14" t="n">
        <v>2</v>
      </c>
      <c r="E217" s="14" t="n">
        <f aca="false">L80</f>
        <v>0</v>
      </c>
      <c r="F217" s="19" t="n">
        <f aca="false">M80</f>
        <v>788.632729102868</v>
      </c>
      <c r="G217" s="19" t="n">
        <f aca="false">N80</f>
        <v>64.3812022218166</v>
      </c>
      <c r="H217" s="14" t="n">
        <f aca="false">O80</f>
        <v>53</v>
      </c>
      <c r="I217" s="16" t="n">
        <f aca="false">P80</f>
        <v>73.5983309723245</v>
      </c>
      <c r="J217" s="14" t="n">
        <f aca="false">Q80</f>
        <v>1</v>
      </c>
      <c r="K217" s="14" t="n">
        <f aca="false">IF(D217&lt;=2,1-J217,IF(D217=3,IF(AND(U217=0,H217&gt;=W_min,F217-D_dip&gt;=Floor_q),1,0),IF(AND(H217&gt;=W_min,F217&gt;=Pre_A),1,0)))</f>
        <v>0</v>
      </c>
      <c r="L217" s="14" t="n">
        <f aca="false">E217*K217</f>
        <v>0</v>
      </c>
      <c r="M217" s="19" t="n">
        <f aca="false">CHOOSE(D217,F217+Proc_S,F217+Proc_Sk,F217+D_dL,F217-Cost_A)</f>
        <v>880.632729102868</v>
      </c>
      <c r="N217" s="19" t="n">
        <f aca="false">CHOOSE(D217,(1-Tech_share)*G217,(1-Tech_share)*G217,G217+D_dT,G217)</f>
        <v>57.943081999635</v>
      </c>
      <c r="O217" s="14" t="n">
        <f aca="false">CHOOSE(D217,H217-W_lost,H217,H217,H217+W_gain)</f>
        <v>53</v>
      </c>
      <c r="P217" s="16" t="n">
        <f aca="false">CHOOSE(D217,I217,I217,I217+D_dE,I217+Close_A*(Ceil_E-I217))</f>
        <v>73.5983309723245</v>
      </c>
      <c r="Q217" s="14" t="n">
        <f aca="false">CHOOSE(D217,1,1,J217,J217)</f>
        <v>1</v>
      </c>
      <c r="R217" s="14" t="n">
        <f aca="false">IF(L217=1,IF(SUMPRODUCT(($L$35:$L$216=1)*(ABS($M$35:$M$216-M217)&lt;0.000001)*(ABS($N$35:$N$216-N217)&lt;0.000001)*($O$35:$O$216=O217)*(ABS($P$35:$P$216-P217)&lt;0.000001)*($Q$35:$Q$216=Q217)*($V$35:$V$216=V217))=0,1,0),0)</f>
        <v>0</v>
      </c>
      <c r="S217" s="14" t="n">
        <f aca="false">IF(AND(L217=1,N217&gt;=$B$4-0.000000001,P217&gt;=$B$6-0.000000001,M217&gt;=Floor_q+$B$5-0.000000001),1,0)</f>
        <v>0</v>
      </c>
      <c r="T217" s="14" t="n">
        <f aca="false">L217*(IF(1&lt;=2,1-Q217,IF(1=3,IF(AND(V217=0,O217&gt;=W_min,M217-D_dip&gt;=Floor_q),1,0),IF(AND(O217&gt;=W_min,M217&gt;=Pre_A),1,0)))+IF(2&lt;=2,1-Q217,IF(2=3,IF(AND(V217=0,O217&gt;=W_min,M217-D_dip&gt;=Floor_q),1,0),IF(AND(O217&gt;=W_min,M217&gt;=Pre_A),1,0)))+IF(3&lt;=2,1-Q217,IF(3=3,IF(AND(V217=0,O217&gt;=W_min,M217-D_dip&gt;=Floor_q),1,0),IF(AND(O217&gt;=W_min,M217&gt;=Pre_A),1,0)))+IF(4&lt;=2,1-Q217,IF(4=3,IF(AND(V217=0,O217&gt;=W_min,M217-D_dip&gt;=Floor_q),1,0),IF(AND(O217&gt;=W_min,M217&gt;=Pre_A),1,0))))</f>
        <v>0</v>
      </c>
      <c r="U217" s="14" t="n">
        <f aca="false">V80</f>
        <v>1</v>
      </c>
      <c r="V217" s="14" t="n">
        <f aca="false">CHOOSE(D217,U217,U217,1,U217)</f>
        <v>1</v>
      </c>
    </row>
    <row r="218" customFormat="false" ht="15" hidden="false" customHeight="true" outlineLevel="0" collapsed="false">
      <c r="A218" s="3" t="s">
        <v>456</v>
      </c>
      <c r="B218" s="14" t="n">
        <v>4</v>
      </c>
      <c r="C218" s="14" t="n">
        <v>80</v>
      </c>
      <c r="D218" s="14" t="n">
        <v>3</v>
      </c>
      <c r="E218" s="14" t="n">
        <f aca="false">L80</f>
        <v>0</v>
      </c>
      <c r="F218" s="19" t="n">
        <f aca="false">M80</f>
        <v>788.632729102868</v>
      </c>
      <c r="G218" s="19" t="n">
        <f aca="false">N80</f>
        <v>64.3812022218166</v>
      </c>
      <c r="H218" s="14" t="n">
        <f aca="false">O80</f>
        <v>53</v>
      </c>
      <c r="I218" s="16" t="n">
        <f aca="false">P80</f>
        <v>73.5983309723245</v>
      </c>
      <c r="J218" s="14" t="n">
        <f aca="false">Q80</f>
        <v>1</v>
      </c>
      <c r="K218" s="14" t="n">
        <f aca="false">IF(D218&lt;=2,1-J218,IF(D218=3,IF(AND(U218=0,H218&gt;=W_min,F218-D_dip&gt;=Floor_q),1,0),IF(AND(H218&gt;=W_min,F218&gt;=Pre_A),1,0)))</f>
        <v>0</v>
      </c>
      <c r="L218" s="14" t="n">
        <f aca="false">E218*K218</f>
        <v>0</v>
      </c>
      <c r="M218" s="19" t="n">
        <f aca="false">CHOOSE(D218,F218+Proc_S,F218+Proc_Sk,F218+D_dL,F218-Cost_A)</f>
        <v>753.265458205737</v>
      </c>
      <c r="N218" s="19" t="n">
        <f aca="false">CHOOSE(D218,(1-Tech_share)*G218,(1-Tech_share)*G218,G218+D_dT,G218)</f>
        <v>99.0158713571684</v>
      </c>
      <c r="O218" s="14" t="n">
        <f aca="false">CHOOSE(D218,H218-W_lost,H218,H218,H218+W_gain)</f>
        <v>53</v>
      </c>
      <c r="P218" s="16" t="n">
        <f aca="false">CHOOSE(D218,I218,I218,I218+D_dE,I218+Close_A*(Ceil_E-I218))</f>
        <v>76.1966619446489</v>
      </c>
      <c r="Q218" s="14" t="n">
        <f aca="false">CHOOSE(D218,1,1,J218,J218)</f>
        <v>1</v>
      </c>
      <c r="R218" s="14" t="n">
        <f aca="false">IF(L218=1,IF(SUMPRODUCT(($L$35:$L$217=1)*(ABS($M$35:$M$217-M218)&lt;0.000001)*(ABS($N$35:$N$217-N218)&lt;0.000001)*($O$35:$O$217=O218)*(ABS($P$35:$P$217-P218)&lt;0.000001)*($Q$35:$Q$217=Q218)*($V$35:$V$217=V218))=0,1,0),0)</f>
        <v>0</v>
      </c>
      <c r="S218" s="14" t="n">
        <f aca="false">IF(AND(L218=1,N218&gt;=$B$4-0.000000001,P218&gt;=$B$6-0.000000001,M218&gt;=Floor_q+$B$5-0.000000001),1,0)</f>
        <v>0</v>
      </c>
      <c r="T218" s="14" t="n">
        <f aca="false">L218*(IF(1&lt;=2,1-Q218,IF(1=3,IF(AND(V218=0,O218&gt;=W_min,M218-D_dip&gt;=Floor_q),1,0),IF(AND(O218&gt;=W_min,M218&gt;=Pre_A),1,0)))+IF(2&lt;=2,1-Q218,IF(2=3,IF(AND(V218=0,O218&gt;=W_min,M218-D_dip&gt;=Floor_q),1,0),IF(AND(O218&gt;=W_min,M218&gt;=Pre_A),1,0)))+IF(3&lt;=2,1-Q218,IF(3=3,IF(AND(V218=0,O218&gt;=W_min,M218-D_dip&gt;=Floor_q),1,0),IF(AND(O218&gt;=W_min,M218&gt;=Pre_A),1,0)))+IF(4&lt;=2,1-Q218,IF(4=3,IF(AND(V218=0,O218&gt;=W_min,M218-D_dip&gt;=Floor_q),1,0),IF(AND(O218&gt;=W_min,M218&gt;=Pre_A),1,0))))</f>
        <v>0</v>
      </c>
      <c r="U218" s="14" t="n">
        <f aca="false">V80</f>
        <v>1</v>
      </c>
      <c r="V218" s="14" t="n">
        <f aca="false">CHOOSE(D218,U218,U218,1,U218)</f>
        <v>1</v>
      </c>
    </row>
    <row r="219" customFormat="false" ht="15" hidden="false" customHeight="true" outlineLevel="0" collapsed="false">
      <c r="A219" s="3" t="s">
        <v>457</v>
      </c>
      <c r="B219" s="14" t="n">
        <v>4</v>
      </c>
      <c r="C219" s="14" t="n">
        <v>80</v>
      </c>
      <c r="D219" s="14" t="n">
        <v>4</v>
      </c>
      <c r="E219" s="14" t="n">
        <f aca="false">L80</f>
        <v>0</v>
      </c>
      <c r="F219" s="19" t="n">
        <f aca="false">M80</f>
        <v>788.632729102868</v>
      </c>
      <c r="G219" s="19" t="n">
        <f aca="false">N80</f>
        <v>64.3812022218166</v>
      </c>
      <c r="H219" s="14" t="n">
        <f aca="false">O80</f>
        <v>53</v>
      </c>
      <c r="I219" s="16" t="n">
        <f aca="false">P80</f>
        <v>73.5983309723245</v>
      </c>
      <c r="J219" s="14" t="n">
        <f aca="false">Q80</f>
        <v>1</v>
      </c>
      <c r="K219" s="14" t="n">
        <f aca="false">IF(D219&lt;=2,1-J219,IF(D219=3,IF(AND(U219=0,H219&gt;=W_min,F219-D_dip&gt;=Floor_q),1,0),IF(AND(H219&gt;=W_min,F219&gt;=Pre_A),1,0)))</f>
        <v>0</v>
      </c>
      <c r="L219" s="14" t="n">
        <f aca="false">E219*K219</f>
        <v>0</v>
      </c>
      <c r="M219" s="19" t="n">
        <f aca="false">CHOOSE(D219,F219+Proc_S,F219+Proc_Sk,F219+D_dL,F219-Cost_A)</f>
        <v>668.632729102868</v>
      </c>
      <c r="N219" s="19" t="n">
        <f aca="false">CHOOSE(D219,(1-Tech_share)*G219,(1-Tech_share)*G219,G219+D_dT,G219)</f>
        <v>64.3812022218166</v>
      </c>
      <c r="O219" s="14" t="n">
        <f aca="false">CHOOSE(D219,H219-W_lost,H219,H219,H219+W_gain)</f>
        <v>54</v>
      </c>
      <c r="P219" s="16" t="n">
        <f aca="false">CHOOSE(D219,I219,I219,I219+D_dE,I219+Close_A*(Ceil_E-I219))</f>
        <v>79.2991654861622</v>
      </c>
      <c r="Q219" s="14" t="n">
        <f aca="false">CHOOSE(D219,1,1,J219,J219)</f>
        <v>1</v>
      </c>
      <c r="R219" s="14" t="n">
        <f aca="false">IF(L219=1,IF(SUMPRODUCT(($L$35:$L$218=1)*(ABS($M$35:$M$218-M219)&lt;0.000001)*(ABS($N$35:$N$218-N219)&lt;0.000001)*($O$35:$O$218=O219)*(ABS($P$35:$P$218-P219)&lt;0.000001)*($Q$35:$Q$218=Q219)*($V$35:$V$218=V219))=0,1,0),0)</f>
        <v>0</v>
      </c>
      <c r="S219" s="14" t="n">
        <f aca="false">IF(AND(L219=1,N219&gt;=$B$4-0.000000001,P219&gt;=$B$6-0.000000001,M219&gt;=Floor_q+$B$5-0.000000001),1,0)</f>
        <v>0</v>
      </c>
      <c r="T219" s="14" t="n">
        <f aca="false">L219*(IF(1&lt;=2,1-Q219,IF(1=3,IF(AND(V219=0,O219&gt;=W_min,M219-D_dip&gt;=Floor_q),1,0),IF(AND(O219&gt;=W_min,M219&gt;=Pre_A),1,0)))+IF(2&lt;=2,1-Q219,IF(2=3,IF(AND(V219=0,O219&gt;=W_min,M219-D_dip&gt;=Floor_q),1,0),IF(AND(O219&gt;=W_min,M219&gt;=Pre_A),1,0)))+IF(3&lt;=2,1-Q219,IF(3=3,IF(AND(V219=0,O219&gt;=W_min,M219-D_dip&gt;=Floor_q),1,0),IF(AND(O219&gt;=W_min,M219&gt;=Pre_A),1,0)))+IF(4&lt;=2,1-Q219,IF(4=3,IF(AND(V219=0,O219&gt;=W_min,M219-D_dip&gt;=Floor_q),1,0),IF(AND(O219&gt;=W_min,M219&gt;=Pre_A),1,0))))</f>
        <v>0</v>
      </c>
      <c r="U219" s="14" t="n">
        <f aca="false">V80</f>
        <v>1</v>
      </c>
      <c r="V219" s="14" t="n">
        <f aca="false">CHOOSE(D219,U219,U219,1,U219)</f>
        <v>1</v>
      </c>
    </row>
    <row r="220" customFormat="false" ht="15" hidden="false" customHeight="true" outlineLevel="0" collapsed="false">
      <c r="A220" s="3" t="s">
        <v>458</v>
      </c>
      <c r="B220" s="14" t="n">
        <v>4</v>
      </c>
      <c r="C220" s="14" t="n">
        <v>81</v>
      </c>
      <c r="D220" s="14" t="n">
        <v>1</v>
      </c>
      <c r="E220" s="14" t="n">
        <f aca="false">L81</f>
        <v>0</v>
      </c>
      <c r="F220" s="19" t="n">
        <f aca="false">M81</f>
        <v>768.632729102868</v>
      </c>
      <c r="G220" s="19" t="n">
        <f aca="false">N81</f>
        <v>64.3812022218166</v>
      </c>
      <c r="H220" s="14" t="n">
        <f aca="false">O81</f>
        <v>58</v>
      </c>
      <c r="I220" s="16" t="n">
        <f aca="false">P81</f>
        <v>73.5983309723245</v>
      </c>
      <c r="J220" s="14" t="n">
        <f aca="false">Q81</f>
        <v>1</v>
      </c>
      <c r="K220" s="14" t="n">
        <f aca="false">IF(D220&lt;=2,1-J220,IF(D220=3,IF(AND(U220=0,H220&gt;=W_min,F220-D_dip&gt;=Floor_q),1,0),IF(AND(H220&gt;=W_min,F220&gt;=Pre_A),1,0)))</f>
        <v>0</v>
      </c>
      <c r="L220" s="14" t="n">
        <f aca="false">E220*K220</f>
        <v>0</v>
      </c>
      <c r="M220" s="19" t="n">
        <f aca="false">CHOOSE(D220,F220+Proc_S,F220+Proc_Sk,F220+D_dL,F220-Cost_A)</f>
        <v>880.632729102868</v>
      </c>
      <c r="N220" s="19" t="n">
        <f aca="false">CHOOSE(D220,(1-Tech_share)*G220,(1-Tech_share)*G220,G220+D_dT,G220)</f>
        <v>57.943081999635</v>
      </c>
      <c r="O220" s="14" t="n">
        <f aca="false">CHOOSE(D220,H220-W_lost,H220,H220,H220+W_gain)</f>
        <v>53</v>
      </c>
      <c r="P220" s="16" t="n">
        <f aca="false">CHOOSE(D220,I220,I220,I220+D_dE,I220+Close_A*(Ceil_E-I220))</f>
        <v>73.5983309723245</v>
      </c>
      <c r="Q220" s="14" t="n">
        <f aca="false">CHOOSE(D220,1,1,J220,J220)</f>
        <v>1</v>
      </c>
      <c r="R220" s="14" t="n">
        <f aca="false">IF(L220=1,IF(SUMPRODUCT(($L$35:$L$219=1)*(ABS($M$35:$M$219-M220)&lt;0.000001)*(ABS($N$35:$N$219-N220)&lt;0.000001)*($O$35:$O$219=O220)*(ABS($P$35:$P$219-P220)&lt;0.000001)*($Q$35:$Q$219=Q220)*($V$35:$V$219=V220))=0,1,0),0)</f>
        <v>0</v>
      </c>
      <c r="S220" s="14" t="n">
        <f aca="false">IF(AND(L220=1,N220&gt;=$B$4-0.000000001,P220&gt;=$B$6-0.000000001,M220&gt;=Floor_q+$B$5-0.000000001),1,0)</f>
        <v>0</v>
      </c>
      <c r="T220" s="14" t="n">
        <f aca="false">L220*(IF(1&lt;=2,1-Q220,IF(1=3,IF(AND(V220=0,O220&gt;=W_min,M220-D_dip&gt;=Floor_q),1,0),IF(AND(O220&gt;=W_min,M220&gt;=Pre_A),1,0)))+IF(2&lt;=2,1-Q220,IF(2=3,IF(AND(V220=0,O220&gt;=W_min,M220-D_dip&gt;=Floor_q),1,0),IF(AND(O220&gt;=W_min,M220&gt;=Pre_A),1,0)))+IF(3&lt;=2,1-Q220,IF(3=3,IF(AND(V220=0,O220&gt;=W_min,M220-D_dip&gt;=Floor_q),1,0),IF(AND(O220&gt;=W_min,M220&gt;=Pre_A),1,0)))+IF(4&lt;=2,1-Q220,IF(4=3,IF(AND(V220=0,O220&gt;=W_min,M220-D_dip&gt;=Floor_q),1,0),IF(AND(O220&gt;=W_min,M220&gt;=Pre_A),1,0))))</f>
        <v>0</v>
      </c>
      <c r="U220" s="14" t="n">
        <f aca="false">V81</f>
        <v>1</v>
      </c>
      <c r="V220" s="14" t="n">
        <f aca="false">CHOOSE(D220,U220,U220,1,U220)</f>
        <v>1</v>
      </c>
    </row>
    <row r="221" customFormat="false" ht="15" hidden="false" customHeight="true" outlineLevel="0" collapsed="false">
      <c r="A221" s="3" t="s">
        <v>459</v>
      </c>
      <c r="B221" s="14" t="n">
        <v>4</v>
      </c>
      <c r="C221" s="14" t="n">
        <v>81</v>
      </c>
      <c r="D221" s="14" t="n">
        <v>2</v>
      </c>
      <c r="E221" s="14" t="n">
        <f aca="false">L81</f>
        <v>0</v>
      </c>
      <c r="F221" s="19" t="n">
        <f aca="false">M81</f>
        <v>768.632729102868</v>
      </c>
      <c r="G221" s="19" t="n">
        <f aca="false">N81</f>
        <v>64.3812022218166</v>
      </c>
      <c r="H221" s="14" t="n">
        <f aca="false">O81</f>
        <v>58</v>
      </c>
      <c r="I221" s="16" t="n">
        <f aca="false">P81</f>
        <v>73.5983309723245</v>
      </c>
      <c r="J221" s="14" t="n">
        <f aca="false">Q81</f>
        <v>1</v>
      </c>
      <c r="K221" s="14" t="n">
        <f aca="false">IF(D221&lt;=2,1-J221,IF(D221=3,IF(AND(U221=0,H221&gt;=W_min,F221-D_dip&gt;=Floor_q),1,0),IF(AND(H221&gt;=W_min,F221&gt;=Pre_A),1,0)))</f>
        <v>0</v>
      </c>
      <c r="L221" s="14" t="n">
        <f aca="false">E221*K221</f>
        <v>0</v>
      </c>
      <c r="M221" s="19" t="n">
        <f aca="false">CHOOSE(D221,F221+Proc_S,F221+Proc_Sk,F221+D_dL,F221-Cost_A)</f>
        <v>860.632729102868</v>
      </c>
      <c r="N221" s="19" t="n">
        <f aca="false">CHOOSE(D221,(1-Tech_share)*G221,(1-Tech_share)*G221,G221+D_dT,G221)</f>
        <v>57.943081999635</v>
      </c>
      <c r="O221" s="14" t="n">
        <f aca="false">CHOOSE(D221,H221-W_lost,H221,H221,H221+W_gain)</f>
        <v>58</v>
      </c>
      <c r="P221" s="16" t="n">
        <f aca="false">CHOOSE(D221,I221,I221,I221+D_dE,I221+Close_A*(Ceil_E-I221))</f>
        <v>73.5983309723245</v>
      </c>
      <c r="Q221" s="14" t="n">
        <f aca="false">CHOOSE(D221,1,1,J221,J221)</f>
        <v>1</v>
      </c>
      <c r="R221" s="14" t="n">
        <f aca="false">IF(L221=1,IF(SUMPRODUCT(($L$35:$L$220=1)*(ABS($M$35:$M$220-M221)&lt;0.000001)*(ABS($N$35:$N$220-N221)&lt;0.000001)*($O$35:$O$220=O221)*(ABS($P$35:$P$220-P221)&lt;0.000001)*($Q$35:$Q$220=Q221)*($V$35:$V$220=V221))=0,1,0),0)</f>
        <v>0</v>
      </c>
      <c r="S221" s="14" t="n">
        <f aca="false">IF(AND(L221=1,N221&gt;=$B$4-0.000000001,P221&gt;=$B$6-0.000000001,M221&gt;=Floor_q+$B$5-0.000000001),1,0)</f>
        <v>0</v>
      </c>
      <c r="T221" s="14" t="n">
        <f aca="false">L221*(IF(1&lt;=2,1-Q221,IF(1=3,IF(AND(V221=0,O221&gt;=W_min,M221-D_dip&gt;=Floor_q),1,0),IF(AND(O221&gt;=W_min,M221&gt;=Pre_A),1,0)))+IF(2&lt;=2,1-Q221,IF(2=3,IF(AND(V221=0,O221&gt;=W_min,M221-D_dip&gt;=Floor_q),1,0),IF(AND(O221&gt;=W_min,M221&gt;=Pre_A),1,0)))+IF(3&lt;=2,1-Q221,IF(3=3,IF(AND(V221=0,O221&gt;=W_min,M221-D_dip&gt;=Floor_q),1,0),IF(AND(O221&gt;=W_min,M221&gt;=Pre_A),1,0)))+IF(4&lt;=2,1-Q221,IF(4=3,IF(AND(V221=0,O221&gt;=W_min,M221-D_dip&gt;=Floor_q),1,0),IF(AND(O221&gt;=W_min,M221&gt;=Pre_A),1,0))))</f>
        <v>0</v>
      </c>
      <c r="U221" s="14" t="n">
        <f aca="false">V81</f>
        <v>1</v>
      </c>
      <c r="V221" s="14" t="n">
        <f aca="false">CHOOSE(D221,U221,U221,1,U221)</f>
        <v>1</v>
      </c>
    </row>
    <row r="222" customFormat="false" ht="15" hidden="false" customHeight="true" outlineLevel="0" collapsed="false">
      <c r="A222" s="3" t="s">
        <v>460</v>
      </c>
      <c r="B222" s="14" t="n">
        <v>4</v>
      </c>
      <c r="C222" s="14" t="n">
        <v>81</v>
      </c>
      <c r="D222" s="14" t="n">
        <v>3</v>
      </c>
      <c r="E222" s="14" t="n">
        <f aca="false">L81</f>
        <v>0</v>
      </c>
      <c r="F222" s="19" t="n">
        <f aca="false">M81</f>
        <v>768.632729102868</v>
      </c>
      <c r="G222" s="19" t="n">
        <f aca="false">N81</f>
        <v>64.3812022218166</v>
      </c>
      <c r="H222" s="14" t="n">
        <f aca="false">O81</f>
        <v>58</v>
      </c>
      <c r="I222" s="16" t="n">
        <f aca="false">P81</f>
        <v>73.5983309723245</v>
      </c>
      <c r="J222" s="14" t="n">
        <f aca="false">Q81</f>
        <v>1</v>
      </c>
      <c r="K222" s="14" t="n">
        <f aca="false">IF(D222&lt;=2,1-J222,IF(D222=3,IF(AND(U222=0,H222&gt;=W_min,F222-D_dip&gt;=Floor_q),1,0),IF(AND(H222&gt;=W_min,F222&gt;=Pre_A),1,0)))</f>
        <v>0</v>
      </c>
      <c r="L222" s="14" t="n">
        <f aca="false">E222*K222</f>
        <v>0</v>
      </c>
      <c r="M222" s="19" t="n">
        <f aca="false">CHOOSE(D222,F222+Proc_S,F222+Proc_Sk,F222+D_dL,F222-Cost_A)</f>
        <v>733.265458205737</v>
      </c>
      <c r="N222" s="19" t="n">
        <f aca="false">CHOOSE(D222,(1-Tech_share)*G222,(1-Tech_share)*G222,G222+D_dT,G222)</f>
        <v>99.0158713571684</v>
      </c>
      <c r="O222" s="14" t="n">
        <f aca="false">CHOOSE(D222,H222-W_lost,H222,H222,H222+W_gain)</f>
        <v>58</v>
      </c>
      <c r="P222" s="16" t="n">
        <f aca="false">CHOOSE(D222,I222,I222,I222+D_dE,I222+Close_A*(Ceil_E-I222))</f>
        <v>76.1966619446489</v>
      </c>
      <c r="Q222" s="14" t="n">
        <f aca="false">CHOOSE(D222,1,1,J222,J222)</f>
        <v>1</v>
      </c>
      <c r="R222" s="14" t="n">
        <f aca="false">IF(L222=1,IF(SUMPRODUCT(($L$35:$L$221=1)*(ABS($M$35:$M$221-M222)&lt;0.000001)*(ABS($N$35:$N$221-N222)&lt;0.000001)*($O$35:$O$221=O222)*(ABS($P$35:$P$221-P222)&lt;0.000001)*($Q$35:$Q$221=Q222)*($V$35:$V$221=V222))=0,1,0),0)</f>
        <v>0</v>
      </c>
      <c r="S222" s="14" t="n">
        <f aca="false">IF(AND(L222=1,N222&gt;=$B$4-0.000000001,P222&gt;=$B$6-0.000000001,M222&gt;=Floor_q+$B$5-0.000000001),1,0)</f>
        <v>0</v>
      </c>
      <c r="T222" s="14" t="n">
        <f aca="false">L222*(IF(1&lt;=2,1-Q222,IF(1=3,IF(AND(V222=0,O222&gt;=W_min,M222-D_dip&gt;=Floor_q),1,0),IF(AND(O222&gt;=W_min,M222&gt;=Pre_A),1,0)))+IF(2&lt;=2,1-Q222,IF(2=3,IF(AND(V222=0,O222&gt;=W_min,M222-D_dip&gt;=Floor_q),1,0),IF(AND(O222&gt;=W_min,M222&gt;=Pre_A),1,0)))+IF(3&lt;=2,1-Q222,IF(3=3,IF(AND(V222=0,O222&gt;=W_min,M222-D_dip&gt;=Floor_q),1,0),IF(AND(O222&gt;=W_min,M222&gt;=Pre_A),1,0)))+IF(4&lt;=2,1-Q222,IF(4=3,IF(AND(V222=0,O222&gt;=W_min,M222-D_dip&gt;=Floor_q),1,0),IF(AND(O222&gt;=W_min,M222&gt;=Pre_A),1,0))))</f>
        <v>0</v>
      </c>
      <c r="U222" s="14" t="n">
        <f aca="false">V81</f>
        <v>1</v>
      </c>
      <c r="V222" s="14" t="n">
        <f aca="false">CHOOSE(D222,U222,U222,1,U222)</f>
        <v>1</v>
      </c>
    </row>
    <row r="223" customFormat="false" ht="15" hidden="false" customHeight="true" outlineLevel="0" collapsed="false">
      <c r="A223" s="3" t="s">
        <v>461</v>
      </c>
      <c r="B223" s="14" t="n">
        <v>4</v>
      </c>
      <c r="C223" s="14" t="n">
        <v>81</v>
      </c>
      <c r="D223" s="14" t="n">
        <v>4</v>
      </c>
      <c r="E223" s="14" t="n">
        <f aca="false">L81</f>
        <v>0</v>
      </c>
      <c r="F223" s="19" t="n">
        <f aca="false">M81</f>
        <v>768.632729102868</v>
      </c>
      <c r="G223" s="19" t="n">
        <f aca="false">N81</f>
        <v>64.3812022218166</v>
      </c>
      <c r="H223" s="14" t="n">
        <f aca="false">O81</f>
        <v>58</v>
      </c>
      <c r="I223" s="16" t="n">
        <f aca="false">P81</f>
        <v>73.5983309723245</v>
      </c>
      <c r="J223" s="14" t="n">
        <f aca="false">Q81</f>
        <v>1</v>
      </c>
      <c r="K223" s="14" t="n">
        <f aca="false">IF(D223&lt;=2,1-J223,IF(D223=3,IF(AND(U223=0,H223&gt;=W_min,F223-D_dip&gt;=Floor_q),1,0),IF(AND(H223&gt;=W_min,F223&gt;=Pre_A),1,0)))</f>
        <v>1</v>
      </c>
      <c r="L223" s="14" t="n">
        <f aca="false">E223*K223</f>
        <v>0</v>
      </c>
      <c r="M223" s="19" t="n">
        <f aca="false">CHOOSE(D223,F223+Proc_S,F223+Proc_Sk,F223+D_dL,F223-Cost_A)</f>
        <v>648.632729102868</v>
      </c>
      <c r="N223" s="19" t="n">
        <f aca="false">CHOOSE(D223,(1-Tech_share)*G223,(1-Tech_share)*G223,G223+D_dT,G223)</f>
        <v>64.3812022218166</v>
      </c>
      <c r="O223" s="14" t="n">
        <f aca="false">CHOOSE(D223,H223-W_lost,H223,H223,H223+W_gain)</f>
        <v>59</v>
      </c>
      <c r="P223" s="16" t="n">
        <f aca="false">CHOOSE(D223,I223,I223,I223+D_dE,I223+Close_A*(Ceil_E-I223))</f>
        <v>79.2991654861622</v>
      </c>
      <c r="Q223" s="14" t="n">
        <f aca="false">CHOOSE(D223,1,1,J223,J223)</f>
        <v>1</v>
      </c>
      <c r="R223" s="14" t="n">
        <f aca="false">IF(L223=1,IF(SUMPRODUCT(($L$35:$L$222=1)*(ABS($M$35:$M$222-M223)&lt;0.000001)*(ABS($N$35:$N$222-N223)&lt;0.000001)*($O$35:$O$222=O223)*(ABS($P$35:$P$222-P223)&lt;0.000001)*($Q$35:$Q$222=Q223)*($V$35:$V$222=V223))=0,1,0),0)</f>
        <v>0</v>
      </c>
      <c r="S223" s="14" t="n">
        <f aca="false">IF(AND(L223=1,N223&gt;=$B$4-0.000000001,P223&gt;=$B$6-0.000000001,M223&gt;=Floor_q+$B$5-0.000000001),1,0)</f>
        <v>0</v>
      </c>
      <c r="T223" s="14" t="n">
        <f aca="false">L223*(IF(1&lt;=2,1-Q223,IF(1=3,IF(AND(V223=0,O223&gt;=W_min,M223-D_dip&gt;=Floor_q),1,0),IF(AND(O223&gt;=W_min,M223&gt;=Pre_A),1,0)))+IF(2&lt;=2,1-Q223,IF(2=3,IF(AND(V223=0,O223&gt;=W_min,M223-D_dip&gt;=Floor_q),1,0),IF(AND(O223&gt;=W_min,M223&gt;=Pre_A),1,0)))+IF(3&lt;=2,1-Q223,IF(3=3,IF(AND(V223=0,O223&gt;=W_min,M223-D_dip&gt;=Floor_q),1,0),IF(AND(O223&gt;=W_min,M223&gt;=Pre_A),1,0)))+IF(4&lt;=2,1-Q223,IF(4=3,IF(AND(V223=0,O223&gt;=W_min,M223-D_dip&gt;=Floor_q),1,0),IF(AND(O223&gt;=W_min,M223&gt;=Pre_A),1,0))))</f>
        <v>0</v>
      </c>
      <c r="U223" s="14" t="n">
        <f aca="false">V81</f>
        <v>1</v>
      </c>
      <c r="V223" s="14" t="n">
        <f aca="false">CHOOSE(D223,U223,U223,1,U223)</f>
        <v>1</v>
      </c>
    </row>
    <row r="224" customFormat="false" ht="15" hidden="false" customHeight="true" outlineLevel="0" collapsed="false">
      <c r="A224" s="3" t="s">
        <v>462</v>
      </c>
      <c r="B224" s="14" t="n">
        <v>4</v>
      </c>
      <c r="C224" s="14" t="n">
        <v>82</v>
      </c>
      <c r="D224" s="14" t="n">
        <v>1</v>
      </c>
      <c r="E224" s="14" t="n">
        <f aca="false">L82</f>
        <v>0</v>
      </c>
      <c r="F224" s="19" t="n">
        <f aca="false">M82</f>
        <v>641.265458205737</v>
      </c>
      <c r="G224" s="19" t="n">
        <f aca="false">N82</f>
        <v>106.169338270704</v>
      </c>
      <c r="H224" s="14" t="n">
        <f aca="false">O82</f>
        <v>58</v>
      </c>
      <c r="I224" s="16" t="n">
        <f aca="false">P82</f>
        <v>76.1966619446489</v>
      </c>
      <c r="J224" s="14" t="n">
        <f aca="false">Q82</f>
        <v>1</v>
      </c>
      <c r="K224" s="14" t="n">
        <f aca="false">IF(D224&lt;=2,1-J224,IF(D224=3,IF(AND(U224=0,H224&gt;=W_min,F224-D_dip&gt;=Floor_q),1,0),IF(AND(H224&gt;=W_min,F224&gt;=Pre_A),1,0)))</f>
        <v>0</v>
      </c>
      <c r="L224" s="14" t="n">
        <f aca="false">E224*K224</f>
        <v>0</v>
      </c>
      <c r="M224" s="19" t="n">
        <f aca="false">CHOOSE(D224,F224+Proc_S,F224+Proc_Sk,F224+D_dL,F224-Cost_A)</f>
        <v>753.265458205737</v>
      </c>
      <c r="N224" s="19" t="n">
        <f aca="false">CHOOSE(D224,(1-Tech_share)*G224,(1-Tech_share)*G224,G224+D_dT,G224)</f>
        <v>95.5524044436333</v>
      </c>
      <c r="O224" s="14" t="n">
        <f aca="false">CHOOSE(D224,H224-W_lost,H224,H224,H224+W_gain)</f>
        <v>53</v>
      </c>
      <c r="P224" s="16" t="n">
        <f aca="false">CHOOSE(D224,I224,I224,I224+D_dE,I224+Close_A*(Ceil_E-I224))</f>
        <v>76.1966619446489</v>
      </c>
      <c r="Q224" s="14" t="n">
        <f aca="false">CHOOSE(D224,1,1,J224,J224)</f>
        <v>1</v>
      </c>
      <c r="R224" s="14" t="n">
        <f aca="false">IF(L224=1,IF(SUMPRODUCT(($L$35:$L$223=1)*(ABS($M$35:$M$223-M224)&lt;0.000001)*(ABS($N$35:$N$223-N224)&lt;0.000001)*($O$35:$O$223=O224)*(ABS($P$35:$P$223-P224)&lt;0.000001)*($Q$35:$Q$223=Q224)*($V$35:$V$223=V224))=0,1,0),0)</f>
        <v>0</v>
      </c>
      <c r="S224" s="14" t="n">
        <f aca="false">IF(AND(L224=1,N224&gt;=$B$4-0.000000001,P224&gt;=$B$6-0.000000001,M224&gt;=Floor_q+$B$5-0.000000001),1,0)</f>
        <v>0</v>
      </c>
      <c r="T224" s="14" t="n">
        <f aca="false">L224*(IF(1&lt;=2,1-Q224,IF(1=3,IF(AND(V224=0,O224&gt;=W_min,M224-D_dip&gt;=Floor_q),1,0),IF(AND(O224&gt;=W_min,M224&gt;=Pre_A),1,0)))+IF(2&lt;=2,1-Q224,IF(2=3,IF(AND(V224=0,O224&gt;=W_min,M224-D_dip&gt;=Floor_q),1,0),IF(AND(O224&gt;=W_min,M224&gt;=Pre_A),1,0)))+IF(3&lt;=2,1-Q224,IF(3=3,IF(AND(V224=0,O224&gt;=W_min,M224-D_dip&gt;=Floor_q),1,0),IF(AND(O224&gt;=W_min,M224&gt;=Pre_A),1,0)))+IF(4&lt;=2,1-Q224,IF(4=3,IF(AND(V224=0,O224&gt;=W_min,M224-D_dip&gt;=Floor_q),1,0),IF(AND(O224&gt;=W_min,M224&gt;=Pre_A),1,0))))</f>
        <v>0</v>
      </c>
      <c r="U224" s="14" t="n">
        <f aca="false">V82</f>
        <v>1</v>
      </c>
      <c r="V224" s="14" t="n">
        <f aca="false">CHOOSE(D224,U224,U224,1,U224)</f>
        <v>1</v>
      </c>
    </row>
    <row r="225" customFormat="false" ht="15" hidden="false" customHeight="true" outlineLevel="0" collapsed="false">
      <c r="A225" s="3" t="s">
        <v>463</v>
      </c>
      <c r="B225" s="14" t="n">
        <v>4</v>
      </c>
      <c r="C225" s="14" t="n">
        <v>82</v>
      </c>
      <c r="D225" s="14" t="n">
        <v>2</v>
      </c>
      <c r="E225" s="14" t="n">
        <f aca="false">L82</f>
        <v>0</v>
      </c>
      <c r="F225" s="19" t="n">
        <f aca="false">M82</f>
        <v>641.265458205737</v>
      </c>
      <c r="G225" s="19" t="n">
        <f aca="false">N82</f>
        <v>106.169338270704</v>
      </c>
      <c r="H225" s="14" t="n">
        <f aca="false">O82</f>
        <v>58</v>
      </c>
      <c r="I225" s="16" t="n">
        <f aca="false">P82</f>
        <v>76.1966619446489</v>
      </c>
      <c r="J225" s="14" t="n">
        <f aca="false">Q82</f>
        <v>1</v>
      </c>
      <c r="K225" s="14" t="n">
        <f aca="false">IF(D225&lt;=2,1-J225,IF(D225=3,IF(AND(U225=0,H225&gt;=W_min,F225-D_dip&gt;=Floor_q),1,0),IF(AND(H225&gt;=W_min,F225&gt;=Pre_A),1,0)))</f>
        <v>0</v>
      </c>
      <c r="L225" s="14" t="n">
        <f aca="false">E225*K225</f>
        <v>0</v>
      </c>
      <c r="M225" s="19" t="n">
        <f aca="false">CHOOSE(D225,F225+Proc_S,F225+Proc_Sk,F225+D_dL,F225-Cost_A)</f>
        <v>733.265458205737</v>
      </c>
      <c r="N225" s="19" t="n">
        <f aca="false">CHOOSE(D225,(1-Tech_share)*G225,(1-Tech_share)*G225,G225+D_dT,G225)</f>
        <v>95.5524044436333</v>
      </c>
      <c r="O225" s="14" t="n">
        <f aca="false">CHOOSE(D225,H225-W_lost,H225,H225,H225+W_gain)</f>
        <v>58</v>
      </c>
      <c r="P225" s="16" t="n">
        <f aca="false">CHOOSE(D225,I225,I225,I225+D_dE,I225+Close_A*(Ceil_E-I225))</f>
        <v>76.1966619446489</v>
      </c>
      <c r="Q225" s="14" t="n">
        <f aca="false">CHOOSE(D225,1,1,J225,J225)</f>
        <v>1</v>
      </c>
      <c r="R225" s="14" t="n">
        <f aca="false">IF(L225=1,IF(SUMPRODUCT(($L$35:$L$224=1)*(ABS($M$35:$M$224-M225)&lt;0.000001)*(ABS($N$35:$N$224-N225)&lt;0.000001)*($O$35:$O$224=O225)*(ABS($P$35:$P$224-P225)&lt;0.000001)*($Q$35:$Q$224=Q225)*($V$35:$V$224=V225))=0,1,0),0)</f>
        <v>0</v>
      </c>
      <c r="S225" s="14" t="n">
        <f aca="false">IF(AND(L225=1,N225&gt;=$B$4-0.000000001,P225&gt;=$B$6-0.000000001,M225&gt;=Floor_q+$B$5-0.000000001),1,0)</f>
        <v>0</v>
      </c>
      <c r="T225" s="14" t="n">
        <f aca="false">L225*(IF(1&lt;=2,1-Q225,IF(1=3,IF(AND(V225=0,O225&gt;=W_min,M225-D_dip&gt;=Floor_q),1,0),IF(AND(O225&gt;=W_min,M225&gt;=Pre_A),1,0)))+IF(2&lt;=2,1-Q225,IF(2=3,IF(AND(V225=0,O225&gt;=W_min,M225-D_dip&gt;=Floor_q),1,0),IF(AND(O225&gt;=W_min,M225&gt;=Pre_A),1,0)))+IF(3&lt;=2,1-Q225,IF(3=3,IF(AND(V225=0,O225&gt;=W_min,M225-D_dip&gt;=Floor_q),1,0),IF(AND(O225&gt;=W_min,M225&gt;=Pre_A),1,0)))+IF(4&lt;=2,1-Q225,IF(4=3,IF(AND(V225=0,O225&gt;=W_min,M225-D_dip&gt;=Floor_q),1,0),IF(AND(O225&gt;=W_min,M225&gt;=Pre_A),1,0))))</f>
        <v>0</v>
      </c>
      <c r="U225" s="14" t="n">
        <f aca="false">V82</f>
        <v>1</v>
      </c>
      <c r="V225" s="14" t="n">
        <f aca="false">CHOOSE(D225,U225,U225,1,U225)</f>
        <v>1</v>
      </c>
    </row>
    <row r="226" customFormat="false" ht="15" hidden="false" customHeight="true" outlineLevel="0" collapsed="false">
      <c r="A226" s="3" t="s">
        <v>464</v>
      </c>
      <c r="B226" s="14" t="n">
        <v>4</v>
      </c>
      <c r="C226" s="14" t="n">
        <v>82</v>
      </c>
      <c r="D226" s="14" t="n">
        <v>3</v>
      </c>
      <c r="E226" s="14" t="n">
        <f aca="false">L82</f>
        <v>0</v>
      </c>
      <c r="F226" s="19" t="n">
        <f aca="false">M82</f>
        <v>641.265458205737</v>
      </c>
      <c r="G226" s="19" t="n">
        <f aca="false">N82</f>
        <v>106.169338270704</v>
      </c>
      <c r="H226" s="14" t="n">
        <f aca="false">O82</f>
        <v>58</v>
      </c>
      <c r="I226" s="16" t="n">
        <f aca="false">P82</f>
        <v>76.1966619446489</v>
      </c>
      <c r="J226" s="14" t="n">
        <f aca="false">Q82</f>
        <v>1</v>
      </c>
      <c r="K226" s="14" t="n">
        <f aca="false">IF(D226&lt;=2,1-J226,IF(D226=3,IF(AND(U226=0,H226&gt;=W_min,F226-D_dip&gt;=Floor_q),1,0),IF(AND(H226&gt;=W_min,F226&gt;=Pre_A),1,0)))</f>
        <v>0</v>
      </c>
      <c r="L226" s="14" t="n">
        <f aca="false">E226*K226</f>
        <v>0</v>
      </c>
      <c r="M226" s="19" t="n">
        <f aca="false">CHOOSE(D226,F226+Proc_S,F226+Proc_Sk,F226+D_dL,F226-Cost_A)</f>
        <v>605.898187308605</v>
      </c>
      <c r="N226" s="19" t="n">
        <f aca="false">CHOOSE(D226,(1-Tech_share)*G226,(1-Tech_share)*G226,G226+D_dT,G226)</f>
        <v>140.804007406055</v>
      </c>
      <c r="O226" s="14" t="n">
        <f aca="false">CHOOSE(D226,H226-W_lost,H226,H226,H226+W_gain)</f>
        <v>58</v>
      </c>
      <c r="P226" s="16" t="n">
        <f aca="false">CHOOSE(D226,I226,I226,I226+D_dE,I226+Close_A*(Ceil_E-I226))</f>
        <v>78.7949929169734</v>
      </c>
      <c r="Q226" s="14" t="n">
        <f aca="false">CHOOSE(D226,1,1,J226,J226)</f>
        <v>1</v>
      </c>
      <c r="R226" s="14" t="n">
        <f aca="false">IF(L226=1,IF(SUMPRODUCT(($L$35:$L$225=1)*(ABS($M$35:$M$225-M226)&lt;0.000001)*(ABS($N$35:$N$225-N226)&lt;0.000001)*($O$35:$O$225=O226)*(ABS($P$35:$P$225-P226)&lt;0.000001)*($Q$35:$Q$225=Q226)*($V$35:$V$225=V226))=0,1,0),0)</f>
        <v>0</v>
      </c>
      <c r="S226" s="14" t="n">
        <f aca="false">IF(AND(L226=1,N226&gt;=$B$4-0.000000001,P226&gt;=$B$6-0.000000001,M226&gt;=Floor_q+$B$5-0.000000001),1,0)</f>
        <v>0</v>
      </c>
      <c r="T226" s="14" t="n">
        <f aca="false">L226*(IF(1&lt;=2,1-Q226,IF(1=3,IF(AND(V226=0,O226&gt;=W_min,M226-D_dip&gt;=Floor_q),1,0),IF(AND(O226&gt;=W_min,M226&gt;=Pre_A),1,0)))+IF(2&lt;=2,1-Q226,IF(2=3,IF(AND(V226=0,O226&gt;=W_min,M226-D_dip&gt;=Floor_q),1,0),IF(AND(O226&gt;=W_min,M226&gt;=Pre_A),1,0)))+IF(3&lt;=2,1-Q226,IF(3=3,IF(AND(V226=0,O226&gt;=W_min,M226-D_dip&gt;=Floor_q),1,0),IF(AND(O226&gt;=W_min,M226&gt;=Pre_A),1,0)))+IF(4&lt;=2,1-Q226,IF(4=3,IF(AND(V226=0,O226&gt;=W_min,M226-D_dip&gt;=Floor_q),1,0),IF(AND(O226&gt;=W_min,M226&gt;=Pre_A),1,0))))</f>
        <v>0</v>
      </c>
      <c r="U226" s="14" t="n">
        <f aca="false">V82</f>
        <v>1</v>
      </c>
      <c r="V226" s="14" t="n">
        <f aca="false">CHOOSE(D226,U226,U226,1,U226)</f>
        <v>1</v>
      </c>
    </row>
    <row r="227" customFormat="false" ht="15" hidden="false" customHeight="true" outlineLevel="0" collapsed="false">
      <c r="A227" s="3" t="s">
        <v>465</v>
      </c>
      <c r="B227" s="14" t="n">
        <v>4</v>
      </c>
      <c r="C227" s="14" t="n">
        <v>82</v>
      </c>
      <c r="D227" s="14" t="n">
        <v>4</v>
      </c>
      <c r="E227" s="14" t="n">
        <f aca="false">L82</f>
        <v>0</v>
      </c>
      <c r="F227" s="19" t="n">
        <f aca="false">M82</f>
        <v>641.265458205737</v>
      </c>
      <c r="G227" s="19" t="n">
        <f aca="false">N82</f>
        <v>106.169338270704</v>
      </c>
      <c r="H227" s="14" t="n">
        <f aca="false">O82</f>
        <v>58</v>
      </c>
      <c r="I227" s="16" t="n">
        <f aca="false">P82</f>
        <v>76.1966619446489</v>
      </c>
      <c r="J227" s="14" t="n">
        <f aca="false">Q82</f>
        <v>1</v>
      </c>
      <c r="K227" s="14" t="n">
        <f aca="false">IF(D227&lt;=2,1-J227,IF(D227=3,IF(AND(U227=0,H227&gt;=W_min,F227-D_dip&gt;=Floor_q),1,0),IF(AND(H227&gt;=W_min,F227&gt;=Pre_A),1,0)))</f>
        <v>1</v>
      </c>
      <c r="L227" s="14" t="n">
        <f aca="false">E227*K227</f>
        <v>0</v>
      </c>
      <c r="M227" s="19" t="n">
        <f aca="false">CHOOSE(D227,F227+Proc_S,F227+Proc_Sk,F227+D_dL,F227-Cost_A)</f>
        <v>521.265458205737</v>
      </c>
      <c r="N227" s="19" t="n">
        <f aca="false">CHOOSE(D227,(1-Tech_share)*G227,(1-Tech_share)*G227,G227+D_dT,G227)</f>
        <v>106.169338270704</v>
      </c>
      <c r="O227" s="14" t="n">
        <f aca="false">CHOOSE(D227,H227-W_lost,H227,H227,H227+W_gain)</f>
        <v>59</v>
      </c>
      <c r="P227" s="16" t="n">
        <f aca="false">CHOOSE(D227,I227,I227,I227+D_dE,I227+Close_A*(Ceil_E-I227))</f>
        <v>80.5983309723245</v>
      </c>
      <c r="Q227" s="14" t="n">
        <f aca="false">CHOOSE(D227,1,1,J227,J227)</f>
        <v>1</v>
      </c>
      <c r="R227" s="14" t="n">
        <f aca="false">IF(L227=1,IF(SUMPRODUCT(($L$35:$L$226=1)*(ABS($M$35:$M$226-M227)&lt;0.000001)*(ABS($N$35:$N$226-N227)&lt;0.000001)*($O$35:$O$226=O227)*(ABS($P$35:$P$226-P227)&lt;0.000001)*($Q$35:$Q$226=Q227)*($V$35:$V$226=V227))=0,1,0),0)</f>
        <v>0</v>
      </c>
      <c r="S227" s="14" t="n">
        <f aca="false">IF(AND(L227=1,N227&gt;=$B$4-0.000000001,P227&gt;=$B$6-0.000000001,M227&gt;=Floor_q+$B$5-0.000000001),1,0)</f>
        <v>0</v>
      </c>
      <c r="T227" s="14" t="n">
        <f aca="false">L227*(IF(1&lt;=2,1-Q227,IF(1=3,IF(AND(V227=0,O227&gt;=W_min,M227-D_dip&gt;=Floor_q),1,0),IF(AND(O227&gt;=W_min,M227&gt;=Pre_A),1,0)))+IF(2&lt;=2,1-Q227,IF(2=3,IF(AND(V227=0,O227&gt;=W_min,M227-D_dip&gt;=Floor_q),1,0),IF(AND(O227&gt;=W_min,M227&gt;=Pre_A),1,0)))+IF(3&lt;=2,1-Q227,IF(3=3,IF(AND(V227=0,O227&gt;=W_min,M227-D_dip&gt;=Floor_q),1,0),IF(AND(O227&gt;=W_min,M227&gt;=Pre_A),1,0)))+IF(4&lt;=2,1-Q227,IF(4=3,IF(AND(V227=0,O227&gt;=W_min,M227-D_dip&gt;=Floor_q),1,0),IF(AND(O227&gt;=W_min,M227&gt;=Pre_A),1,0))))</f>
        <v>0</v>
      </c>
      <c r="U227" s="14" t="n">
        <f aca="false">V82</f>
        <v>1</v>
      </c>
      <c r="V227" s="14" t="n">
        <f aca="false">CHOOSE(D227,U227,U227,1,U227)</f>
        <v>1</v>
      </c>
    </row>
    <row r="228" customFormat="false" ht="15" hidden="false" customHeight="true" outlineLevel="0" collapsed="false">
      <c r="A228" s="3" t="s">
        <v>466</v>
      </c>
      <c r="B228" s="14" t="n">
        <v>4</v>
      </c>
      <c r="C228" s="14" t="n">
        <v>83</v>
      </c>
      <c r="D228" s="14" t="n">
        <v>1</v>
      </c>
      <c r="E228" s="14" t="n">
        <f aca="false">L83</f>
        <v>1</v>
      </c>
      <c r="F228" s="19" t="n">
        <f aca="false">M83</f>
        <v>556.632729102868</v>
      </c>
      <c r="G228" s="19" t="n">
        <f aca="false">N83</f>
        <v>71.5346691353518</v>
      </c>
      <c r="H228" s="14" t="n">
        <f aca="false">O83</f>
        <v>59</v>
      </c>
      <c r="I228" s="16" t="n">
        <f aca="false">P83</f>
        <v>79.2991654861622</v>
      </c>
      <c r="J228" s="14" t="n">
        <f aca="false">Q83</f>
        <v>1</v>
      </c>
      <c r="K228" s="14" t="n">
        <f aca="false">IF(D228&lt;=2,1-J228,IF(D228=3,IF(AND(U228=0,H228&gt;=W_min,F228-D_dip&gt;=Floor_q),1,0),IF(AND(H228&gt;=W_min,F228&gt;=Pre_A),1,0)))</f>
        <v>0</v>
      </c>
      <c r="L228" s="14" t="n">
        <f aca="false">E228*K228</f>
        <v>0</v>
      </c>
      <c r="M228" s="19" t="n">
        <f aca="false">CHOOSE(D228,F228+Proc_S,F228+Proc_Sk,F228+D_dL,F228-Cost_A)</f>
        <v>668.632729102868</v>
      </c>
      <c r="N228" s="19" t="n">
        <f aca="false">CHOOSE(D228,(1-Tech_share)*G228,(1-Tech_share)*G228,G228+D_dT,G228)</f>
        <v>64.3812022218166</v>
      </c>
      <c r="O228" s="14" t="n">
        <f aca="false">CHOOSE(D228,H228-W_lost,H228,H228,H228+W_gain)</f>
        <v>54</v>
      </c>
      <c r="P228" s="16" t="n">
        <f aca="false">CHOOSE(D228,I228,I228,I228+D_dE,I228+Close_A*(Ceil_E-I228))</f>
        <v>79.2991654861622</v>
      </c>
      <c r="Q228" s="14" t="n">
        <f aca="false">CHOOSE(D228,1,1,J228,J228)</f>
        <v>1</v>
      </c>
      <c r="R228" s="14" t="n">
        <f aca="false">IF(L228=1,IF(SUMPRODUCT(($L$35:$L$227=1)*(ABS($M$35:$M$227-M228)&lt;0.000001)*(ABS($N$35:$N$227-N228)&lt;0.000001)*($O$35:$O$227=O228)*(ABS($P$35:$P$227-P228)&lt;0.000001)*($Q$35:$Q$227=Q228)*($V$35:$V$227=V228))=0,1,0),0)</f>
        <v>0</v>
      </c>
      <c r="S228" s="14" t="n">
        <f aca="false">IF(AND(L228=1,N228&gt;=$B$4-0.000000001,P228&gt;=$B$6-0.000000001,M228&gt;=Floor_q+$B$5-0.000000001),1,0)</f>
        <v>0</v>
      </c>
      <c r="T228" s="14" t="n">
        <f aca="false">L228*(IF(1&lt;=2,1-Q228,IF(1=3,IF(AND(V228=0,O228&gt;=W_min,M228-D_dip&gt;=Floor_q),1,0),IF(AND(O228&gt;=W_min,M228&gt;=Pre_A),1,0)))+IF(2&lt;=2,1-Q228,IF(2=3,IF(AND(V228=0,O228&gt;=W_min,M228-D_dip&gt;=Floor_q),1,0),IF(AND(O228&gt;=W_min,M228&gt;=Pre_A),1,0)))+IF(3&lt;=2,1-Q228,IF(3=3,IF(AND(V228=0,O228&gt;=W_min,M228-D_dip&gt;=Floor_q),1,0),IF(AND(O228&gt;=W_min,M228&gt;=Pre_A),1,0)))+IF(4&lt;=2,1-Q228,IF(4=3,IF(AND(V228=0,O228&gt;=W_min,M228-D_dip&gt;=Floor_q),1,0),IF(AND(O228&gt;=W_min,M228&gt;=Pre_A),1,0))))</f>
        <v>0</v>
      </c>
      <c r="U228" s="14" t="n">
        <f aca="false">V83</f>
        <v>1</v>
      </c>
      <c r="V228" s="14" t="n">
        <f aca="false">CHOOSE(D228,U228,U228,1,U228)</f>
        <v>1</v>
      </c>
    </row>
    <row r="229" customFormat="false" ht="15" hidden="false" customHeight="true" outlineLevel="0" collapsed="false">
      <c r="A229" s="3" t="s">
        <v>467</v>
      </c>
      <c r="B229" s="14" t="n">
        <v>4</v>
      </c>
      <c r="C229" s="14" t="n">
        <v>83</v>
      </c>
      <c r="D229" s="14" t="n">
        <v>2</v>
      </c>
      <c r="E229" s="14" t="n">
        <f aca="false">L83</f>
        <v>1</v>
      </c>
      <c r="F229" s="19" t="n">
        <f aca="false">M83</f>
        <v>556.632729102868</v>
      </c>
      <c r="G229" s="19" t="n">
        <f aca="false">N83</f>
        <v>71.5346691353518</v>
      </c>
      <c r="H229" s="14" t="n">
        <f aca="false">O83</f>
        <v>59</v>
      </c>
      <c r="I229" s="16" t="n">
        <f aca="false">P83</f>
        <v>79.2991654861622</v>
      </c>
      <c r="J229" s="14" t="n">
        <f aca="false">Q83</f>
        <v>1</v>
      </c>
      <c r="K229" s="14" t="n">
        <f aca="false">IF(D229&lt;=2,1-J229,IF(D229=3,IF(AND(U229=0,H229&gt;=W_min,F229-D_dip&gt;=Floor_q),1,0),IF(AND(H229&gt;=W_min,F229&gt;=Pre_A),1,0)))</f>
        <v>0</v>
      </c>
      <c r="L229" s="14" t="n">
        <f aca="false">E229*K229</f>
        <v>0</v>
      </c>
      <c r="M229" s="19" t="n">
        <f aca="false">CHOOSE(D229,F229+Proc_S,F229+Proc_Sk,F229+D_dL,F229-Cost_A)</f>
        <v>648.632729102868</v>
      </c>
      <c r="N229" s="19" t="n">
        <f aca="false">CHOOSE(D229,(1-Tech_share)*G229,(1-Tech_share)*G229,G229+D_dT,G229)</f>
        <v>64.3812022218166</v>
      </c>
      <c r="O229" s="14" t="n">
        <f aca="false">CHOOSE(D229,H229-W_lost,H229,H229,H229+W_gain)</f>
        <v>59</v>
      </c>
      <c r="P229" s="16" t="n">
        <f aca="false">CHOOSE(D229,I229,I229,I229+D_dE,I229+Close_A*(Ceil_E-I229))</f>
        <v>79.2991654861622</v>
      </c>
      <c r="Q229" s="14" t="n">
        <f aca="false">CHOOSE(D229,1,1,J229,J229)</f>
        <v>1</v>
      </c>
      <c r="R229" s="14" t="n">
        <f aca="false">IF(L229=1,IF(SUMPRODUCT(($L$35:$L$228=1)*(ABS($M$35:$M$228-M229)&lt;0.000001)*(ABS($N$35:$N$228-N229)&lt;0.000001)*($O$35:$O$228=O229)*(ABS($P$35:$P$228-P229)&lt;0.000001)*($Q$35:$Q$228=Q229)*($V$35:$V$228=V229))=0,1,0),0)</f>
        <v>0</v>
      </c>
      <c r="S229" s="14" t="n">
        <f aca="false">IF(AND(L229=1,N229&gt;=$B$4-0.000000001,P229&gt;=$B$6-0.000000001,M229&gt;=Floor_q+$B$5-0.000000001),1,0)</f>
        <v>0</v>
      </c>
      <c r="T229" s="14" t="n">
        <f aca="false">L229*(IF(1&lt;=2,1-Q229,IF(1=3,IF(AND(V229=0,O229&gt;=W_min,M229-D_dip&gt;=Floor_q),1,0),IF(AND(O229&gt;=W_min,M229&gt;=Pre_A),1,0)))+IF(2&lt;=2,1-Q229,IF(2=3,IF(AND(V229=0,O229&gt;=W_min,M229-D_dip&gt;=Floor_q),1,0),IF(AND(O229&gt;=W_min,M229&gt;=Pre_A),1,0)))+IF(3&lt;=2,1-Q229,IF(3=3,IF(AND(V229=0,O229&gt;=W_min,M229-D_dip&gt;=Floor_q),1,0),IF(AND(O229&gt;=W_min,M229&gt;=Pre_A),1,0)))+IF(4&lt;=2,1-Q229,IF(4=3,IF(AND(V229=0,O229&gt;=W_min,M229-D_dip&gt;=Floor_q),1,0),IF(AND(O229&gt;=W_min,M229&gt;=Pre_A),1,0))))</f>
        <v>0</v>
      </c>
      <c r="U229" s="14" t="n">
        <f aca="false">V83</f>
        <v>1</v>
      </c>
      <c r="V229" s="14" t="n">
        <f aca="false">CHOOSE(D229,U229,U229,1,U229)</f>
        <v>1</v>
      </c>
    </row>
    <row r="230" customFormat="false" ht="15" hidden="false" customHeight="true" outlineLevel="0" collapsed="false">
      <c r="A230" s="3" t="s">
        <v>468</v>
      </c>
      <c r="B230" s="14" t="n">
        <v>4</v>
      </c>
      <c r="C230" s="14" t="n">
        <v>83</v>
      </c>
      <c r="D230" s="14" t="n">
        <v>3</v>
      </c>
      <c r="E230" s="14" t="n">
        <f aca="false">L83</f>
        <v>1</v>
      </c>
      <c r="F230" s="19" t="n">
        <f aca="false">M83</f>
        <v>556.632729102868</v>
      </c>
      <c r="G230" s="19" t="n">
        <f aca="false">N83</f>
        <v>71.5346691353518</v>
      </c>
      <c r="H230" s="14" t="n">
        <f aca="false">O83</f>
        <v>59</v>
      </c>
      <c r="I230" s="16" t="n">
        <f aca="false">P83</f>
        <v>79.2991654861622</v>
      </c>
      <c r="J230" s="14" t="n">
        <f aca="false">Q83</f>
        <v>1</v>
      </c>
      <c r="K230" s="14" t="n">
        <f aca="false">IF(D230&lt;=2,1-J230,IF(D230=3,IF(AND(U230=0,H230&gt;=W_min,F230-D_dip&gt;=Floor_q),1,0),IF(AND(H230&gt;=W_min,F230&gt;=Pre_A),1,0)))</f>
        <v>0</v>
      </c>
      <c r="L230" s="14" t="n">
        <f aca="false">E230*K230</f>
        <v>0</v>
      </c>
      <c r="M230" s="19" t="n">
        <f aca="false">CHOOSE(D230,F230+Proc_S,F230+Proc_Sk,F230+D_dL,F230-Cost_A)</f>
        <v>521.265458205737</v>
      </c>
      <c r="N230" s="19" t="n">
        <f aca="false">CHOOSE(D230,(1-Tech_share)*G230,(1-Tech_share)*G230,G230+D_dT,G230)</f>
        <v>106.169338270704</v>
      </c>
      <c r="O230" s="14" t="n">
        <f aca="false">CHOOSE(D230,H230-W_lost,H230,H230,H230+W_gain)</f>
        <v>59</v>
      </c>
      <c r="P230" s="16" t="n">
        <f aca="false">CHOOSE(D230,I230,I230,I230+D_dE,I230+Close_A*(Ceil_E-I230))</f>
        <v>81.8974964584867</v>
      </c>
      <c r="Q230" s="14" t="n">
        <f aca="false">CHOOSE(D230,1,1,J230,J230)</f>
        <v>1</v>
      </c>
      <c r="R230" s="14" t="n">
        <f aca="false">IF(L230=1,IF(SUMPRODUCT(($L$35:$L$229=1)*(ABS($M$35:$M$229-M230)&lt;0.000001)*(ABS($N$35:$N$229-N230)&lt;0.000001)*($O$35:$O$229=O230)*(ABS($P$35:$P$229-P230)&lt;0.000001)*($Q$35:$Q$229=Q230)*($V$35:$V$229=V230))=0,1,0),0)</f>
        <v>0</v>
      </c>
      <c r="S230" s="14" t="n">
        <f aca="false">IF(AND(L230=1,N230&gt;=$B$4-0.000000001,P230&gt;=$B$6-0.000000001,M230&gt;=Floor_q+$B$5-0.000000001),1,0)</f>
        <v>0</v>
      </c>
      <c r="T230" s="14" t="n">
        <f aca="false">L230*(IF(1&lt;=2,1-Q230,IF(1=3,IF(AND(V230=0,O230&gt;=W_min,M230-D_dip&gt;=Floor_q),1,0),IF(AND(O230&gt;=W_min,M230&gt;=Pre_A),1,0)))+IF(2&lt;=2,1-Q230,IF(2=3,IF(AND(V230=0,O230&gt;=W_min,M230-D_dip&gt;=Floor_q),1,0),IF(AND(O230&gt;=W_min,M230&gt;=Pre_A),1,0)))+IF(3&lt;=2,1-Q230,IF(3=3,IF(AND(V230=0,O230&gt;=W_min,M230-D_dip&gt;=Floor_q),1,0),IF(AND(O230&gt;=W_min,M230&gt;=Pre_A),1,0)))+IF(4&lt;=2,1-Q230,IF(4=3,IF(AND(V230=0,O230&gt;=W_min,M230-D_dip&gt;=Floor_q),1,0),IF(AND(O230&gt;=W_min,M230&gt;=Pre_A),1,0))))</f>
        <v>0</v>
      </c>
      <c r="U230" s="14" t="n">
        <f aca="false">V83</f>
        <v>1</v>
      </c>
      <c r="V230" s="14" t="n">
        <f aca="false">CHOOSE(D230,U230,U230,1,U230)</f>
        <v>1</v>
      </c>
    </row>
    <row r="231" customFormat="false" ht="15" hidden="false" customHeight="true" outlineLevel="0" collapsed="false">
      <c r="A231" s="3" t="s">
        <v>469</v>
      </c>
      <c r="B231" s="14" t="n">
        <v>4</v>
      </c>
      <c r="C231" s="14" t="n">
        <v>83</v>
      </c>
      <c r="D231" s="14" t="n">
        <v>4</v>
      </c>
      <c r="E231" s="14" t="n">
        <f aca="false">L83</f>
        <v>1</v>
      </c>
      <c r="F231" s="19" t="n">
        <f aca="false">M83</f>
        <v>556.632729102868</v>
      </c>
      <c r="G231" s="19" t="n">
        <f aca="false">N83</f>
        <v>71.5346691353518</v>
      </c>
      <c r="H231" s="14" t="n">
        <f aca="false">O83</f>
        <v>59</v>
      </c>
      <c r="I231" s="16" t="n">
        <f aca="false">P83</f>
        <v>79.2991654861622</v>
      </c>
      <c r="J231" s="14" t="n">
        <f aca="false">Q83</f>
        <v>1</v>
      </c>
      <c r="K231" s="14" t="n">
        <f aca="false">IF(D231&lt;=2,1-J231,IF(D231=3,IF(AND(U231=0,H231&gt;=W_min,F231-D_dip&gt;=Floor_q),1,0),IF(AND(H231&gt;=W_min,F231&gt;=Pre_A),1,0)))</f>
        <v>1</v>
      </c>
      <c r="L231" s="14" t="n">
        <f aca="false">E231*K231</f>
        <v>1</v>
      </c>
      <c r="M231" s="19" t="n">
        <f aca="false">CHOOSE(D231,F231+Proc_S,F231+Proc_Sk,F231+D_dL,F231-Cost_A)</f>
        <v>436.632729102868</v>
      </c>
      <c r="N231" s="19" t="n">
        <f aca="false">CHOOSE(D231,(1-Tech_share)*G231,(1-Tech_share)*G231,G231+D_dT,G231)</f>
        <v>71.5346691353518</v>
      </c>
      <c r="O231" s="14" t="n">
        <f aca="false">CHOOSE(D231,H231-W_lost,H231,H231,H231+W_gain)</f>
        <v>60</v>
      </c>
      <c r="P231" s="16" t="n">
        <f aca="false">CHOOSE(D231,I231,I231,I231+D_dE,I231+Close_A*(Ceil_E-I231))</f>
        <v>82.1495827430811</v>
      </c>
      <c r="Q231" s="14" t="n">
        <f aca="false">CHOOSE(D231,1,1,J231,J231)</f>
        <v>1</v>
      </c>
      <c r="R231" s="14" t="n">
        <f aca="false">IF(L231=1,IF(SUMPRODUCT(($L$35:$L$230=1)*(ABS($M$35:$M$230-M231)&lt;0.000001)*(ABS($N$35:$N$230-N231)&lt;0.000001)*($O$35:$O$230=O231)*(ABS($P$35:$P$230-P231)&lt;0.000001)*($Q$35:$Q$230=Q231)*($V$35:$V$230=V231))=0,1,0),0)</f>
        <v>1</v>
      </c>
      <c r="S231" s="14" t="n">
        <f aca="false">IF(AND(L231=1,N231&gt;=$B$4-0.000000001,P231&gt;=$B$6-0.000000001,M231&gt;=Floor_q+$B$5-0.000000001),1,0)</f>
        <v>1</v>
      </c>
      <c r="T231" s="14" t="n">
        <f aca="false">L231*(IF(1&lt;=2,1-Q231,IF(1=3,IF(AND(V231=0,O231&gt;=W_min,M231-D_dip&gt;=Floor_q),1,0),IF(AND(O231&gt;=W_min,M231&gt;=Pre_A),1,0)))+IF(2&lt;=2,1-Q231,IF(2=3,IF(AND(V231=0,O231&gt;=W_min,M231-D_dip&gt;=Floor_q),1,0),IF(AND(O231&gt;=W_min,M231&gt;=Pre_A),1,0)))+IF(3&lt;=2,1-Q231,IF(3=3,IF(AND(V231=0,O231&gt;=W_min,M231-D_dip&gt;=Floor_q),1,0),IF(AND(O231&gt;=W_min,M231&gt;=Pre_A),1,0)))+IF(4&lt;=2,1-Q231,IF(4=3,IF(AND(V231=0,O231&gt;=W_min,M231-D_dip&gt;=Floor_q),1,0),IF(AND(O231&gt;=W_min,M231&gt;=Pre_A),1,0))))</f>
        <v>0</v>
      </c>
      <c r="U231" s="14" t="n">
        <f aca="false">V83</f>
        <v>1</v>
      </c>
      <c r="V231" s="14" t="n">
        <f aca="false">CHOOSE(D231,U231,U231,1,U231)</f>
        <v>1</v>
      </c>
    </row>
    <row r="232" customFormat="false" ht="15" hidden="false" customHeight="true" outlineLevel="0" collapsed="false">
      <c r="A232" s="3" t="s">
        <v>470</v>
      </c>
      <c r="B232" s="14" t="n">
        <v>4</v>
      </c>
      <c r="C232" s="14" t="n">
        <v>84</v>
      </c>
      <c r="D232" s="14" t="n">
        <v>1</v>
      </c>
      <c r="E232" s="14" t="n">
        <f aca="false">L84</f>
        <v>0</v>
      </c>
      <c r="F232" s="19" t="n">
        <f aca="false">M84</f>
        <v>704</v>
      </c>
      <c r="G232" s="19" t="n">
        <f aca="false">N84</f>
        <v>33.21</v>
      </c>
      <c r="H232" s="14" t="n">
        <f aca="false">O84</f>
        <v>54</v>
      </c>
      <c r="I232" s="16" t="n">
        <f aca="false">P84</f>
        <v>78</v>
      </c>
      <c r="J232" s="14" t="n">
        <f aca="false">Q84</f>
        <v>1</v>
      </c>
      <c r="K232" s="14" t="n">
        <f aca="false">IF(D232&lt;=2,1-J232,IF(D232=3,IF(AND(U232=0,H232&gt;=W_min,F232-D_dip&gt;=Floor_q),1,0),IF(AND(H232&gt;=W_min,F232&gt;=Pre_A),1,0)))</f>
        <v>0</v>
      </c>
      <c r="L232" s="14" t="n">
        <f aca="false">E232*K232</f>
        <v>0</v>
      </c>
      <c r="M232" s="19" t="n">
        <f aca="false">CHOOSE(D232,F232+Proc_S,F232+Proc_Sk,F232+D_dL,F232-Cost_A)</f>
        <v>816</v>
      </c>
      <c r="N232" s="19" t="n">
        <f aca="false">CHOOSE(D232,(1-Tech_share)*G232,(1-Tech_share)*G232,G232+D_dT,G232)</f>
        <v>29.889</v>
      </c>
      <c r="O232" s="14" t="n">
        <f aca="false">CHOOSE(D232,H232-W_lost,H232,H232,H232+W_gain)</f>
        <v>49</v>
      </c>
      <c r="P232" s="16" t="n">
        <f aca="false">CHOOSE(D232,I232,I232,I232+D_dE,I232+Close_A*(Ceil_E-I232))</f>
        <v>78</v>
      </c>
      <c r="Q232" s="14" t="n">
        <f aca="false">CHOOSE(D232,1,1,J232,J232)</f>
        <v>1</v>
      </c>
      <c r="R232" s="14" t="n">
        <f aca="false">IF(L232=1,IF(SUMPRODUCT(($L$35:$L$231=1)*(ABS($M$35:$M$231-M232)&lt;0.000001)*(ABS($N$35:$N$231-N232)&lt;0.000001)*($O$35:$O$231=O232)*(ABS($P$35:$P$231-P232)&lt;0.000001)*($Q$35:$Q$231=Q232)*($V$35:$V$231=V232))=0,1,0),0)</f>
        <v>0</v>
      </c>
      <c r="S232" s="14" t="n">
        <f aca="false">IF(AND(L232=1,N232&gt;=$B$4-0.000000001,P232&gt;=$B$6-0.000000001,M232&gt;=Floor_q+$B$5-0.000000001),1,0)</f>
        <v>0</v>
      </c>
      <c r="T232" s="14" t="n">
        <f aca="false">L232*(IF(1&lt;=2,1-Q232,IF(1=3,IF(AND(V232=0,O232&gt;=W_min,M232-D_dip&gt;=Floor_q),1,0),IF(AND(O232&gt;=W_min,M232&gt;=Pre_A),1,0)))+IF(2&lt;=2,1-Q232,IF(2=3,IF(AND(V232=0,O232&gt;=W_min,M232-D_dip&gt;=Floor_q),1,0),IF(AND(O232&gt;=W_min,M232&gt;=Pre_A),1,0)))+IF(3&lt;=2,1-Q232,IF(3=3,IF(AND(V232=0,O232&gt;=W_min,M232-D_dip&gt;=Floor_q),1,0),IF(AND(O232&gt;=W_min,M232&gt;=Pre_A),1,0)))+IF(4&lt;=2,1-Q232,IF(4=3,IF(AND(V232=0,O232&gt;=W_min,M232-D_dip&gt;=Floor_q),1,0),IF(AND(O232&gt;=W_min,M232&gt;=Pre_A),1,0))))</f>
        <v>0</v>
      </c>
      <c r="U232" s="14" t="n">
        <f aca="false">V84</f>
        <v>0</v>
      </c>
      <c r="V232" s="14" t="n">
        <f aca="false">CHOOSE(D232,U232,U232,1,U232)</f>
        <v>0</v>
      </c>
    </row>
    <row r="233" customFormat="false" ht="15" hidden="false" customHeight="true" outlineLevel="0" collapsed="false">
      <c r="A233" s="3" t="s">
        <v>471</v>
      </c>
      <c r="B233" s="14" t="n">
        <v>4</v>
      </c>
      <c r="C233" s="14" t="n">
        <v>84</v>
      </c>
      <c r="D233" s="14" t="n">
        <v>2</v>
      </c>
      <c r="E233" s="14" t="n">
        <f aca="false">L84</f>
        <v>0</v>
      </c>
      <c r="F233" s="19" t="n">
        <f aca="false">M84</f>
        <v>704</v>
      </c>
      <c r="G233" s="19" t="n">
        <f aca="false">N84</f>
        <v>33.21</v>
      </c>
      <c r="H233" s="14" t="n">
        <f aca="false">O84</f>
        <v>54</v>
      </c>
      <c r="I233" s="16" t="n">
        <f aca="false">P84</f>
        <v>78</v>
      </c>
      <c r="J233" s="14" t="n">
        <f aca="false">Q84</f>
        <v>1</v>
      </c>
      <c r="K233" s="14" t="n">
        <f aca="false">IF(D233&lt;=2,1-J233,IF(D233=3,IF(AND(U233=0,H233&gt;=W_min,F233-D_dip&gt;=Floor_q),1,0),IF(AND(H233&gt;=W_min,F233&gt;=Pre_A),1,0)))</f>
        <v>0</v>
      </c>
      <c r="L233" s="14" t="n">
        <f aca="false">E233*K233</f>
        <v>0</v>
      </c>
      <c r="M233" s="19" t="n">
        <f aca="false">CHOOSE(D233,F233+Proc_S,F233+Proc_Sk,F233+D_dL,F233-Cost_A)</f>
        <v>796</v>
      </c>
      <c r="N233" s="19" t="n">
        <f aca="false">CHOOSE(D233,(1-Tech_share)*G233,(1-Tech_share)*G233,G233+D_dT,G233)</f>
        <v>29.889</v>
      </c>
      <c r="O233" s="14" t="n">
        <f aca="false">CHOOSE(D233,H233-W_lost,H233,H233,H233+W_gain)</f>
        <v>54</v>
      </c>
      <c r="P233" s="16" t="n">
        <f aca="false">CHOOSE(D233,I233,I233,I233+D_dE,I233+Close_A*(Ceil_E-I233))</f>
        <v>78</v>
      </c>
      <c r="Q233" s="14" t="n">
        <f aca="false">CHOOSE(D233,1,1,J233,J233)</f>
        <v>1</v>
      </c>
      <c r="R233" s="14" t="n">
        <f aca="false">IF(L233=1,IF(SUMPRODUCT(($L$35:$L$232=1)*(ABS($M$35:$M$232-M233)&lt;0.000001)*(ABS($N$35:$N$232-N233)&lt;0.000001)*($O$35:$O$232=O233)*(ABS($P$35:$P$232-P233)&lt;0.000001)*($Q$35:$Q$232=Q233)*($V$35:$V$232=V233))=0,1,0),0)</f>
        <v>0</v>
      </c>
      <c r="S233" s="14" t="n">
        <f aca="false">IF(AND(L233=1,N233&gt;=$B$4-0.000000001,P233&gt;=$B$6-0.000000001,M233&gt;=Floor_q+$B$5-0.000000001),1,0)</f>
        <v>0</v>
      </c>
      <c r="T233" s="14" t="n">
        <f aca="false">L233*(IF(1&lt;=2,1-Q233,IF(1=3,IF(AND(V233=0,O233&gt;=W_min,M233-D_dip&gt;=Floor_q),1,0),IF(AND(O233&gt;=W_min,M233&gt;=Pre_A),1,0)))+IF(2&lt;=2,1-Q233,IF(2=3,IF(AND(V233=0,O233&gt;=W_min,M233-D_dip&gt;=Floor_q),1,0),IF(AND(O233&gt;=W_min,M233&gt;=Pre_A),1,0)))+IF(3&lt;=2,1-Q233,IF(3=3,IF(AND(V233=0,O233&gt;=W_min,M233-D_dip&gt;=Floor_q),1,0),IF(AND(O233&gt;=W_min,M233&gt;=Pre_A),1,0)))+IF(4&lt;=2,1-Q233,IF(4=3,IF(AND(V233=0,O233&gt;=W_min,M233-D_dip&gt;=Floor_q),1,0),IF(AND(O233&gt;=W_min,M233&gt;=Pre_A),1,0))))</f>
        <v>0</v>
      </c>
      <c r="U233" s="14" t="n">
        <f aca="false">V84</f>
        <v>0</v>
      </c>
      <c r="V233" s="14" t="n">
        <f aca="false">CHOOSE(D233,U233,U233,1,U233)</f>
        <v>0</v>
      </c>
    </row>
    <row r="234" customFormat="false" ht="15" hidden="false" customHeight="true" outlineLevel="0" collapsed="false">
      <c r="A234" s="3" t="s">
        <v>472</v>
      </c>
      <c r="B234" s="14" t="n">
        <v>4</v>
      </c>
      <c r="C234" s="14" t="n">
        <v>84</v>
      </c>
      <c r="D234" s="14" t="n">
        <v>3</v>
      </c>
      <c r="E234" s="14" t="n">
        <f aca="false">L84</f>
        <v>0</v>
      </c>
      <c r="F234" s="19" t="n">
        <f aca="false">M84</f>
        <v>704</v>
      </c>
      <c r="G234" s="19" t="n">
        <f aca="false">N84</f>
        <v>33.21</v>
      </c>
      <c r="H234" s="14" t="n">
        <f aca="false">O84</f>
        <v>54</v>
      </c>
      <c r="I234" s="16" t="n">
        <f aca="false">P84</f>
        <v>78</v>
      </c>
      <c r="J234" s="14" t="n">
        <f aca="false">Q84</f>
        <v>1</v>
      </c>
      <c r="K234" s="14" t="n">
        <f aca="false">IF(D234&lt;=2,1-J234,IF(D234=3,IF(AND(U234=0,H234&gt;=W_min,F234-D_dip&gt;=Floor_q),1,0),IF(AND(H234&gt;=W_min,F234&gt;=Pre_A),1,0)))</f>
        <v>0</v>
      </c>
      <c r="L234" s="14" t="n">
        <f aca="false">E234*K234</f>
        <v>0</v>
      </c>
      <c r="M234" s="19" t="n">
        <f aca="false">CHOOSE(D234,F234+Proc_S,F234+Proc_Sk,F234+D_dL,F234-Cost_A)</f>
        <v>668.632729102868</v>
      </c>
      <c r="N234" s="19" t="n">
        <f aca="false">CHOOSE(D234,(1-Tech_share)*G234,(1-Tech_share)*G234,G234+D_dT,G234)</f>
        <v>67.8446691353518</v>
      </c>
      <c r="O234" s="14" t="n">
        <f aca="false">CHOOSE(D234,H234-W_lost,H234,H234,H234+W_gain)</f>
        <v>54</v>
      </c>
      <c r="P234" s="16" t="n">
        <f aca="false">CHOOSE(D234,I234,I234,I234+D_dE,I234+Close_A*(Ceil_E-I234))</f>
        <v>80.5983309723245</v>
      </c>
      <c r="Q234" s="14" t="n">
        <f aca="false">CHOOSE(D234,1,1,J234,J234)</f>
        <v>1</v>
      </c>
      <c r="R234" s="14" t="n">
        <f aca="false">IF(L234=1,IF(SUMPRODUCT(($L$35:$L$233=1)*(ABS($M$35:$M$233-M234)&lt;0.000001)*(ABS($N$35:$N$233-N234)&lt;0.000001)*($O$35:$O$233=O234)*(ABS($P$35:$P$233-P234)&lt;0.000001)*($Q$35:$Q$233=Q234)*($V$35:$V$233=V234))=0,1,0),0)</f>
        <v>0</v>
      </c>
      <c r="S234" s="14" t="n">
        <f aca="false">IF(AND(L234=1,N234&gt;=$B$4-0.000000001,P234&gt;=$B$6-0.000000001,M234&gt;=Floor_q+$B$5-0.000000001),1,0)</f>
        <v>0</v>
      </c>
      <c r="T234" s="14" t="n">
        <f aca="false">L234*(IF(1&lt;=2,1-Q234,IF(1=3,IF(AND(V234=0,O234&gt;=W_min,M234-D_dip&gt;=Floor_q),1,0),IF(AND(O234&gt;=W_min,M234&gt;=Pre_A),1,0)))+IF(2&lt;=2,1-Q234,IF(2=3,IF(AND(V234=0,O234&gt;=W_min,M234-D_dip&gt;=Floor_q),1,0),IF(AND(O234&gt;=W_min,M234&gt;=Pre_A),1,0)))+IF(3&lt;=2,1-Q234,IF(3=3,IF(AND(V234=0,O234&gt;=W_min,M234-D_dip&gt;=Floor_q),1,0),IF(AND(O234&gt;=W_min,M234&gt;=Pre_A),1,0)))+IF(4&lt;=2,1-Q234,IF(4=3,IF(AND(V234=0,O234&gt;=W_min,M234-D_dip&gt;=Floor_q),1,0),IF(AND(O234&gt;=W_min,M234&gt;=Pre_A),1,0))))</f>
        <v>0</v>
      </c>
      <c r="U234" s="14" t="n">
        <f aca="false">V84</f>
        <v>0</v>
      </c>
      <c r="V234" s="14" t="n">
        <f aca="false">CHOOSE(D234,U234,U234,1,U234)</f>
        <v>1</v>
      </c>
    </row>
    <row r="235" customFormat="false" ht="15" hidden="false" customHeight="true" outlineLevel="0" collapsed="false">
      <c r="A235" s="3" t="s">
        <v>473</v>
      </c>
      <c r="B235" s="14" t="n">
        <v>4</v>
      </c>
      <c r="C235" s="14" t="n">
        <v>84</v>
      </c>
      <c r="D235" s="14" t="n">
        <v>4</v>
      </c>
      <c r="E235" s="14" t="n">
        <f aca="false">L84</f>
        <v>0</v>
      </c>
      <c r="F235" s="19" t="n">
        <f aca="false">M84</f>
        <v>704</v>
      </c>
      <c r="G235" s="19" t="n">
        <f aca="false">N84</f>
        <v>33.21</v>
      </c>
      <c r="H235" s="14" t="n">
        <f aca="false">O84</f>
        <v>54</v>
      </c>
      <c r="I235" s="16" t="n">
        <f aca="false">P84</f>
        <v>78</v>
      </c>
      <c r="J235" s="14" t="n">
        <f aca="false">Q84</f>
        <v>1</v>
      </c>
      <c r="K235" s="14" t="n">
        <f aca="false">IF(D235&lt;=2,1-J235,IF(D235=3,IF(AND(U235=0,H235&gt;=W_min,F235-D_dip&gt;=Floor_q),1,0),IF(AND(H235&gt;=W_min,F235&gt;=Pre_A),1,0)))</f>
        <v>0</v>
      </c>
      <c r="L235" s="14" t="n">
        <f aca="false">E235*K235</f>
        <v>0</v>
      </c>
      <c r="M235" s="19" t="n">
        <f aca="false">CHOOSE(D235,F235+Proc_S,F235+Proc_Sk,F235+D_dL,F235-Cost_A)</f>
        <v>584</v>
      </c>
      <c r="N235" s="19" t="n">
        <f aca="false">CHOOSE(D235,(1-Tech_share)*G235,(1-Tech_share)*G235,G235+D_dT,G235)</f>
        <v>33.21</v>
      </c>
      <c r="O235" s="14" t="n">
        <f aca="false">CHOOSE(D235,H235-W_lost,H235,H235,H235+W_gain)</f>
        <v>55</v>
      </c>
      <c r="P235" s="16" t="n">
        <f aca="false">CHOOSE(D235,I235,I235,I235+D_dE,I235+Close_A*(Ceil_E-I235))</f>
        <v>81.5</v>
      </c>
      <c r="Q235" s="14" t="n">
        <f aca="false">CHOOSE(D235,1,1,J235,J235)</f>
        <v>1</v>
      </c>
      <c r="R235" s="14" t="n">
        <f aca="false">IF(L235=1,IF(SUMPRODUCT(($L$35:$L$234=1)*(ABS($M$35:$M$234-M235)&lt;0.000001)*(ABS($N$35:$N$234-N235)&lt;0.000001)*($O$35:$O$234=O235)*(ABS($P$35:$P$234-P235)&lt;0.000001)*($Q$35:$Q$234=Q235)*($V$35:$V$234=V235))=0,1,0),0)</f>
        <v>0</v>
      </c>
      <c r="S235" s="14" t="n">
        <f aca="false">IF(AND(L235=1,N235&gt;=$B$4-0.000000001,P235&gt;=$B$6-0.000000001,M235&gt;=Floor_q+$B$5-0.000000001),1,0)</f>
        <v>0</v>
      </c>
      <c r="T235" s="14" t="n">
        <f aca="false">L235*(IF(1&lt;=2,1-Q235,IF(1=3,IF(AND(V235=0,O235&gt;=W_min,M235-D_dip&gt;=Floor_q),1,0),IF(AND(O235&gt;=W_min,M235&gt;=Pre_A),1,0)))+IF(2&lt;=2,1-Q235,IF(2=3,IF(AND(V235=0,O235&gt;=W_min,M235-D_dip&gt;=Floor_q),1,0),IF(AND(O235&gt;=W_min,M235&gt;=Pre_A),1,0)))+IF(3&lt;=2,1-Q235,IF(3=3,IF(AND(V235=0,O235&gt;=W_min,M235-D_dip&gt;=Floor_q),1,0),IF(AND(O235&gt;=W_min,M235&gt;=Pre_A),1,0)))+IF(4&lt;=2,1-Q235,IF(4=3,IF(AND(V235=0,O235&gt;=W_min,M235-D_dip&gt;=Floor_q),1,0),IF(AND(O235&gt;=W_min,M235&gt;=Pre_A),1,0))))</f>
        <v>0</v>
      </c>
      <c r="U235" s="14" t="n">
        <f aca="false">V84</f>
        <v>0</v>
      </c>
      <c r="V235" s="14" t="n">
        <f aca="false">CHOOSE(D235,U235,U235,1,U235)</f>
        <v>0</v>
      </c>
    </row>
    <row r="236" customFormat="false" ht="15" hidden="false" customHeight="true" outlineLevel="0" collapsed="false">
      <c r="A236" s="3" t="s">
        <v>474</v>
      </c>
      <c r="B236" s="14" t="n">
        <v>4</v>
      </c>
      <c r="C236" s="14" t="n">
        <v>85</v>
      </c>
      <c r="D236" s="14" t="n">
        <v>1</v>
      </c>
      <c r="E236" s="14" t="n">
        <f aca="false">L85</f>
        <v>0</v>
      </c>
      <c r="F236" s="19" t="n">
        <f aca="false">M85</f>
        <v>684</v>
      </c>
      <c r="G236" s="19" t="n">
        <f aca="false">N85</f>
        <v>33.21</v>
      </c>
      <c r="H236" s="14" t="n">
        <f aca="false">O85</f>
        <v>59</v>
      </c>
      <c r="I236" s="16" t="n">
        <f aca="false">P85</f>
        <v>78</v>
      </c>
      <c r="J236" s="14" t="n">
        <f aca="false">Q85</f>
        <v>1</v>
      </c>
      <c r="K236" s="14" t="n">
        <f aca="false">IF(D236&lt;=2,1-J236,IF(D236=3,IF(AND(U236=0,H236&gt;=W_min,F236-D_dip&gt;=Floor_q),1,0),IF(AND(H236&gt;=W_min,F236&gt;=Pre_A),1,0)))</f>
        <v>0</v>
      </c>
      <c r="L236" s="14" t="n">
        <f aca="false">E236*K236</f>
        <v>0</v>
      </c>
      <c r="M236" s="19" t="n">
        <f aca="false">CHOOSE(D236,F236+Proc_S,F236+Proc_Sk,F236+D_dL,F236-Cost_A)</f>
        <v>796</v>
      </c>
      <c r="N236" s="19" t="n">
        <f aca="false">CHOOSE(D236,(1-Tech_share)*G236,(1-Tech_share)*G236,G236+D_dT,G236)</f>
        <v>29.889</v>
      </c>
      <c r="O236" s="14" t="n">
        <f aca="false">CHOOSE(D236,H236-W_lost,H236,H236,H236+W_gain)</f>
        <v>54</v>
      </c>
      <c r="P236" s="16" t="n">
        <f aca="false">CHOOSE(D236,I236,I236,I236+D_dE,I236+Close_A*(Ceil_E-I236))</f>
        <v>78</v>
      </c>
      <c r="Q236" s="14" t="n">
        <f aca="false">CHOOSE(D236,1,1,J236,J236)</f>
        <v>1</v>
      </c>
      <c r="R236" s="14" t="n">
        <f aca="false">IF(L236=1,IF(SUMPRODUCT(($L$35:$L$235=1)*(ABS($M$35:$M$235-M236)&lt;0.000001)*(ABS($N$35:$N$235-N236)&lt;0.000001)*($O$35:$O$235=O236)*(ABS($P$35:$P$235-P236)&lt;0.000001)*($Q$35:$Q$235=Q236)*($V$35:$V$235=V236))=0,1,0),0)</f>
        <v>0</v>
      </c>
      <c r="S236" s="14" t="n">
        <f aca="false">IF(AND(L236=1,N236&gt;=$B$4-0.000000001,P236&gt;=$B$6-0.000000001,M236&gt;=Floor_q+$B$5-0.000000001),1,0)</f>
        <v>0</v>
      </c>
      <c r="T236" s="14" t="n">
        <f aca="false">L236*(IF(1&lt;=2,1-Q236,IF(1=3,IF(AND(V236=0,O236&gt;=W_min,M236-D_dip&gt;=Floor_q),1,0),IF(AND(O236&gt;=W_min,M236&gt;=Pre_A),1,0)))+IF(2&lt;=2,1-Q236,IF(2=3,IF(AND(V236=0,O236&gt;=W_min,M236-D_dip&gt;=Floor_q),1,0),IF(AND(O236&gt;=W_min,M236&gt;=Pre_A),1,0)))+IF(3&lt;=2,1-Q236,IF(3=3,IF(AND(V236=0,O236&gt;=W_min,M236-D_dip&gt;=Floor_q),1,0),IF(AND(O236&gt;=W_min,M236&gt;=Pre_A),1,0)))+IF(4&lt;=2,1-Q236,IF(4=3,IF(AND(V236=0,O236&gt;=W_min,M236-D_dip&gt;=Floor_q),1,0),IF(AND(O236&gt;=W_min,M236&gt;=Pre_A),1,0))))</f>
        <v>0</v>
      </c>
      <c r="U236" s="14" t="n">
        <f aca="false">V85</f>
        <v>0</v>
      </c>
      <c r="V236" s="14" t="n">
        <f aca="false">CHOOSE(D236,U236,U236,1,U236)</f>
        <v>0</v>
      </c>
    </row>
    <row r="237" customFormat="false" ht="15" hidden="false" customHeight="true" outlineLevel="0" collapsed="false">
      <c r="A237" s="3" t="s">
        <v>475</v>
      </c>
      <c r="B237" s="14" t="n">
        <v>4</v>
      </c>
      <c r="C237" s="14" t="n">
        <v>85</v>
      </c>
      <c r="D237" s="14" t="n">
        <v>2</v>
      </c>
      <c r="E237" s="14" t="n">
        <f aca="false">L85</f>
        <v>0</v>
      </c>
      <c r="F237" s="19" t="n">
        <f aca="false">M85</f>
        <v>684</v>
      </c>
      <c r="G237" s="19" t="n">
        <f aca="false">N85</f>
        <v>33.21</v>
      </c>
      <c r="H237" s="14" t="n">
        <f aca="false">O85</f>
        <v>59</v>
      </c>
      <c r="I237" s="16" t="n">
        <f aca="false">P85</f>
        <v>78</v>
      </c>
      <c r="J237" s="14" t="n">
        <f aca="false">Q85</f>
        <v>1</v>
      </c>
      <c r="K237" s="14" t="n">
        <f aca="false">IF(D237&lt;=2,1-J237,IF(D237=3,IF(AND(U237=0,H237&gt;=W_min,F237-D_dip&gt;=Floor_q),1,0),IF(AND(H237&gt;=W_min,F237&gt;=Pre_A),1,0)))</f>
        <v>0</v>
      </c>
      <c r="L237" s="14" t="n">
        <f aca="false">E237*K237</f>
        <v>0</v>
      </c>
      <c r="M237" s="19" t="n">
        <f aca="false">CHOOSE(D237,F237+Proc_S,F237+Proc_Sk,F237+D_dL,F237-Cost_A)</f>
        <v>776</v>
      </c>
      <c r="N237" s="19" t="n">
        <f aca="false">CHOOSE(D237,(1-Tech_share)*G237,(1-Tech_share)*G237,G237+D_dT,G237)</f>
        <v>29.889</v>
      </c>
      <c r="O237" s="14" t="n">
        <f aca="false">CHOOSE(D237,H237-W_lost,H237,H237,H237+W_gain)</f>
        <v>59</v>
      </c>
      <c r="P237" s="16" t="n">
        <f aca="false">CHOOSE(D237,I237,I237,I237+D_dE,I237+Close_A*(Ceil_E-I237))</f>
        <v>78</v>
      </c>
      <c r="Q237" s="14" t="n">
        <f aca="false">CHOOSE(D237,1,1,J237,J237)</f>
        <v>1</v>
      </c>
      <c r="R237" s="14" t="n">
        <f aca="false">IF(L237=1,IF(SUMPRODUCT(($L$35:$L$236=1)*(ABS($M$35:$M$236-M237)&lt;0.000001)*(ABS($N$35:$N$236-N237)&lt;0.000001)*($O$35:$O$236=O237)*(ABS($P$35:$P$236-P237)&lt;0.000001)*($Q$35:$Q$236=Q237)*($V$35:$V$236=V237))=0,1,0),0)</f>
        <v>0</v>
      </c>
      <c r="S237" s="14" t="n">
        <f aca="false">IF(AND(L237=1,N237&gt;=$B$4-0.000000001,P237&gt;=$B$6-0.000000001,M237&gt;=Floor_q+$B$5-0.000000001),1,0)</f>
        <v>0</v>
      </c>
      <c r="T237" s="14" t="n">
        <f aca="false">L237*(IF(1&lt;=2,1-Q237,IF(1=3,IF(AND(V237=0,O237&gt;=W_min,M237-D_dip&gt;=Floor_q),1,0),IF(AND(O237&gt;=W_min,M237&gt;=Pre_A),1,0)))+IF(2&lt;=2,1-Q237,IF(2=3,IF(AND(V237=0,O237&gt;=W_min,M237-D_dip&gt;=Floor_q),1,0),IF(AND(O237&gt;=W_min,M237&gt;=Pre_A),1,0)))+IF(3&lt;=2,1-Q237,IF(3=3,IF(AND(V237=0,O237&gt;=W_min,M237-D_dip&gt;=Floor_q),1,0),IF(AND(O237&gt;=W_min,M237&gt;=Pre_A),1,0)))+IF(4&lt;=2,1-Q237,IF(4=3,IF(AND(V237=0,O237&gt;=W_min,M237-D_dip&gt;=Floor_q),1,0),IF(AND(O237&gt;=W_min,M237&gt;=Pre_A),1,0))))</f>
        <v>0</v>
      </c>
      <c r="U237" s="14" t="n">
        <f aca="false">V85</f>
        <v>0</v>
      </c>
      <c r="V237" s="14" t="n">
        <f aca="false">CHOOSE(D237,U237,U237,1,U237)</f>
        <v>0</v>
      </c>
    </row>
    <row r="238" customFormat="false" ht="15" hidden="false" customHeight="true" outlineLevel="0" collapsed="false">
      <c r="A238" s="3" t="s">
        <v>476</v>
      </c>
      <c r="B238" s="14" t="n">
        <v>4</v>
      </c>
      <c r="C238" s="14" t="n">
        <v>85</v>
      </c>
      <c r="D238" s="14" t="n">
        <v>3</v>
      </c>
      <c r="E238" s="14" t="n">
        <f aca="false">L85</f>
        <v>0</v>
      </c>
      <c r="F238" s="19" t="n">
        <f aca="false">M85</f>
        <v>684</v>
      </c>
      <c r="G238" s="19" t="n">
        <f aca="false">N85</f>
        <v>33.21</v>
      </c>
      <c r="H238" s="14" t="n">
        <f aca="false">O85</f>
        <v>59</v>
      </c>
      <c r="I238" s="16" t="n">
        <f aca="false">P85</f>
        <v>78</v>
      </c>
      <c r="J238" s="14" t="n">
        <f aca="false">Q85</f>
        <v>1</v>
      </c>
      <c r="K238" s="14" t="n">
        <f aca="false">IF(D238&lt;=2,1-J238,IF(D238=3,IF(AND(U238=0,H238&gt;=W_min,F238-D_dip&gt;=Floor_q),1,0),IF(AND(H238&gt;=W_min,F238&gt;=Pre_A),1,0)))</f>
        <v>1</v>
      </c>
      <c r="L238" s="14" t="n">
        <f aca="false">E238*K238</f>
        <v>0</v>
      </c>
      <c r="M238" s="19" t="n">
        <f aca="false">CHOOSE(D238,F238+Proc_S,F238+Proc_Sk,F238+D_dL,F238-Cost_A)</f>
        <v>648.632729102868</v>
      </c>
      <c r="N238" s="19" t="n">
        <f aca="false">CHOOSE(D238,(1-Tech_share)*G238,(1-Tech_share)*G238,G238+D_dT,G238)</f>
        <v>67.8446691353518</v>
      </c>
      <c r="O238" s="14" t="n">
        <f aca="false">CHOOSE(D238,H238-W_lost,H238,H238,H238+W_gain)</f>
        <v>59</v>
      </c>
      <c r="P238" s="16" t="n">
        <f aca="false">CHOOSE(D238,I238,I238,I238+D_dE,I238+Close_A*(Ceil_E-I238))</f>
        <v>80.5983309723245</v>
      </c>
      <c r="Q238" s="14" t="n">
        <f aca="false">CHOOSE(D238,1,1,J238,J238)</f>
        <v>1</v>
      </c>
      <c r="R238" s="14" t="n">
        <f aca="false">IF(L238=1,IF(SUMPRODUCT(($L$35:$L$237=1)*(ABS($M$35:$M$237-M238)&lt;0.000001)*(ABS($N$35:$N$237-N238)&lt;0.000001)*($O$35:$O$237=O238)*(ABS($P$35:$P$237-P238)&lt;0.000001)*($Q$35:$Q$237=Q238)*($V$35:$V$237=V238))=0,1,0),0)</f>
        <v>0</v>
      </c>
      <c r="S238" s="14" t="n">
        <f aca="false">IF(AND(L238=1,N238&gt;=$B$4-0.000000001,P238&gt;=$B$6-0.000000001,M238&gt;=Floor_q+$B$5-0.000000001),1,0)</f>
        <v>0</v>
      </c>
      <c r="T238" s="14" t="n">
        <f aca="false">L238*(IF(1&lt;=2,1-Q238,IF(1=3,IF(AND(V238=0,O238&gt;=W_min,M238-D_dip&gt;=Floor_q),1,0),IF(AND(O238&gt;=W_min,M238&gt;=Pre_A),1,0)))+IF(2&lt;=2,1-Q238,IF(2=3,IF(AND(V238=0,O238&gt;=W_min,M238-D_dip&gt;=Floor_q),1,0),IF(AND(O238&gt;=W_min,M238&gt;=Pre_A),1,0)))+IF(3&lt;=2,1-Q238,IF(3=3,IF(AND(V238=0,O238&gt;=W_min,M238-D_dip&gt;=Floor_q),1,0),IF(AND(O238&gt;=W_min,M238&gt;=Pre_A),1,0)))+IF(4&lt;=2,1-Q238,IF(4=3,IF(AND(V238=0,O238&gt;=W_min,M238-D_dip&gt;=Floor_q),1,0),IF(AND(O238&gt;=W_min,M238&gt;=Pre_A),1,0))))</f>
        <v>0</v>
      </c>
      <c r="U238" s="14" t="n">
        <f aca="false">V85</f>
        <v>0</v>
      </c>
      <c r="V238" s="14" t="n">
        <f aca="false">CHOOSE(D238,U238,U238,1,U238)</f>
        <v>1</v>
      </c>
    </row>
    <row r="239" customFormat="false" ht="15" hidden="false" customHeight="true" outlineLevel="0" collapsed="false">
      <c r="A239" s="3" t="s">
        <v>477</v>
      </c>
      <c r="B239" s="14" t="n">
        <v>4</v>
      </c>
      <c r="C239" s="14" t="n">
        <v>85</v>
      </c>
      <c r="D239" s="14" t="n">
        <v>4</v>
      </c>
      <c r="E239" s="14" t="n">
        <f aca="false">L85</f>
        <v>0</v>
      </c>
      <c r="F239" s="19" t="n">
        <f aca="false">M85</f>
        <v>684</v>
      </c>
      <c r="G239" s="19" t="n">
        <f aca="false">N85</f>
        <v>33.21</v>
      </c>
      <c r="H239" s="14" t="n">
        <f aca="false">O85</f>
        <v>59</v>
      </c>
      <c r="I239" s="16" t="n">
        <f aca="false">P85</f>
        <v>78</v>
      </c>
      <c r="J239" s="14" t="n">
        <f aca="false">Q85</f>
        <v>1</v>
      </c>
      <c r="K239" s="14" t="n">
        <f aca="false">IF(D239&lt;=2,1-J239,IF(D239=3,IF(AND(U239=0,H239&gt;=W_min,F239-D_dip&gt;=Floor_q),1,0),IF(AND(H239&gt;=W_min,F239&gt;=Pre_A),1,0)))</f>
        <v>1</v>
      </c>
      <c r="L239" s="14" t="n">
        <f aca="false">E239*K239</f>
        <v>0</v>
      </c>
      <c r="M239" s="19" t="n">
        <f aca="false">CHOOSE(D239,F239+Proc_S,F239+Proc_Sk,F239+D_dL,F239-Cost_A)</f>
        <v>564</v>
      </c>
      <c r="N239" s="19" t="n">
        <f aca="false">CHOOSE(D239,(1-Tech_share)*G239,(1-Tech_share)*G239,G239+D_dT,G239)</f>
        <v>33.21</v>
      </c>
      <c r="O239" s="14" t="n">
        <f aca="false">CHOOSE(D239,H239-W_lost,H239,H239,H239+W_gain)</f>
        <v>60</v>
      </c>
      <c r="P239" s="16" t="n">
        <f aca="false">CHOOSE(D239,I239,I239,I239+D_dE,I239+Close_A*(Ceil_E-I239))</f>
        <v>81.5</v>
      </c>
      <c r="Q239" s="14" t="n">
        <f aca="false">CHOOSE(D239,1,1,J239,J239)</f>
        <v>1</v>
      </c>
      <c r="R239" s="14" t="n">
        <f aca="false">IF(L239=1,IF(SUMPRODUCT(($L$35:$L$238=1)*(ABS($M$35:$M$238-M239)&lt;0.000001)*(ABS($N$35:$N$238-N239)&lt;0.000001)*($O$35:$O$238=O239)*(ABS($P$35:$P$238-P239)&lt;0.000001)*($Q$35:$Q$238=Q239)*($V$35:$V$238=V239))=0,1,0),0)</f>
        <v>0</v>
      </c>
      <c r="S239" s="14" t="n">
        <f aca="false">IF(AND(L239=1,N239&gt;=$B$4-0.000000001,P239&gt;=$B$6-0.000000001,M239&gt;=Floor_q+$B$5-0.000000001),1,0)</f>
        <v>0</v>
      </c>
      <c r="T239" s="14" t="n">
        <f aca="false">L239*(IF(1&lt;=2,1-Q239,IF(1=3,IF(AND(V239=0,O239&gt;=W_min,M239-D_dip&gt;=Floor_q),1,0),IF(AND(O239&gt;=W_min,M239&gt;=Pre_A),1,0)))+IF(2&lt;=2,1-Q239,IF(2=3,IF(AND(V239=0,O239&gt;=W_min,M239-D_dip&gt;=Floor_q),1,0),IF(AND(O239&gt;=W_min,M239&gt;=Pre_A),1,0)))+IF(3&lt;=2,1-Q239,IF(3=3,IF(AND(V239=0,O239&gt;=W_min,M239-D_dip&gt;=Floor_q),1,0),IF(AND(O239&gt;=W_min,M239&gt;=Pre_A),1,0)))+IF(4&lt;=2,1-Q239,IF(4=3,IF(AND(V239=0,O239&gt;=W_min,M239-D_dip&gt;=Floor_q),1,0),IF(AND(O239&gt;=W_min,M239&gt;=Pre_A),1,0))))</f>
        <v>0</v>
      </c>
      <c r="U239" s="14" t="n">
        <f aca="false">V85</f>
        <v>0</v>
      </c>
      <c r="V239" s="14" t="n">
        <f aca="false">CHOOSE(D239,U239,U239,1,U239)</f>
        <v>0</v>
      </c>
    </row>
    <row r="240" customFormat="false" ht="15" hidden="false" customHeight="true" outlineLevel="0" collapsed="false">
      <c r="A240" s="3" t="s">
        <v>478</v>
      </c>
      <c r="B240" s="14" t="n">
        <v>4</v>
      </c>
      <c r="C240" s="14" t="n">
        <v>86</v>
      </c>
      <c r="D240" s="14" t="n">
        <v>1</v>
      </c>
      <c r="E240" s="14" t="n">
        <f aca="false">L86</f>
        <v>1</v>
      </c>
      <c r="F240" s="19" t="n">
        <f aca="false">M86</f>
        <v>556.632729102868</v>
      </c>
      <c r="G240" s="19" t="n">
        <f aca="false">N86</f>
        <v>71.5346691353518</v>
      </c>
      <c r="H240" s="14" t="n">
        <f aca="false">O86</f>
        <v>59</v>
      </c>
      <c r="I240" s="16" t="n">
        <f aca="false">P86</f>
        <v>80.5983309723245</v>
      </c>
      <c r="J240" s="14" t="n">
        <f aca="false">Q86</f>
        <v>1</v>
      </c>
      <c r="K240" s="14" t="n">
        <f aca="false">IF(D240&lt;=2,1-J240,IF(D240=3,IF(AND(U240=0,H240&gt;=W_min,F240-D_dip&gt;=Floor_q),1,0),IF(AND(H240&gt;=W_min,F240&gt;=Pre_A),1,0)))</f>
        <v>0</v>
      </c>
      <c r="L240" s="14" t="n">
        <f aca="false">E240*K240</f>
        <v>0</v>
      </c>
      <c r="M240" s="19" t="n">
        <f aca="false">CHOOSE(D240,F240+Proc_S,F240+Proc_Sk,F240+D_dL,F240-Cost_A)</f>
        <v>668.632729102868</v>
      </c>
      <c r="N240" s="19" t="n">
        <f aca="false">CHOOSE(D240,(1-Tech_share)*G240,(1-Tech_share)*G240,G240+D_dT,G240)</f>
        <v>64.3812022218166</v>
      </c>
      <c r="O240" s="14" t="n">
        <f aca="false">CHOOSE(D240,H240-W_lost,H240,H240,H240+W_gain)</f>
        <v>54</v>
      </c>
      <c r="P240" s="16" t="n">
        <f aca="false">CHOOSE(D240,I240,I240,I240+D_dE,I240+Close_A*(Ceil_E-I240))</f>
        <v>80.5983309723245</v>
      </c>
      <c r="Q240" s="14" t="n">
        <f aca="false">CHOOSE(D240,1,1,J240,J240)</f>
        <v>1</v>
      </c>
      <c r="R240" s="14" t="n">
        <f aca="false">IF(L240=1,IF(SUMPRODUCT(($L$35:$L$239=1)*(ABS($M$35:$M$239-M240)&lt;0.000001)*(ABS($N$35:$N$239-N240)&lt;0.000001)*($O$35:$O$239=O240)*(ABS($P$35:$P$239-P240)&lt;0.000001)*($Q$35:$Q$239=Q240)*($V$35:$V$239=V240))=0,1,0),0)</f>
        <v>0</v>
      </c>
      <c r="S240" s="14" t="n">
        <f aca="false">IF(AND(L240=1,N240&gt;=$B$4-0.000000001,P240&gt;=$B$6-0.000000001,M240&gt;=Floor_q+$B$5-0.000000001),1,0)</f>
        <v>0</v>
      </c>
      <c r="T240" s="14" t="n">
        <f aca="false">L240*(IF(1&lt;=2,1-Q240,IF(1=3,IF(AND(V240=0,O240&gt;=W_min,M240-D_dip&gt;=Floor_q),1,0),IF(AND(O240&gt;=W_min,M240&gt;=Pre_A),1,0)))+IF(2&lt;=2,1-Q240,IF(2=3,IF(AND(V240=0,O240&gt;=W_min,M240-D_dip&gt;=Floor_q),1,0),IF(AND(O240&gt;=W_min,M240&gt;=Pre_A),1,0)))+IF(3&lt;=2,1-Q240,IF(3=3,IF(AND(V240=0,O240&gt;=W_min,M240-D_dip&gt;=Floor_q),1,0),IF(AND(O240&gt;=W_min,M240&gt;=Pre_A),1,0)))+IF(4&lt;=2,1-Q240,IF(4=3,IF(AND(V240=0,O240&gt;=W_min,M240-D_dip&gt;=Floor_q),1,0),IF(AND(O240&gt;=W_min,M240&gt;=Pre_A),1,0))))</f>
        <v>0</v>
      </c>
      <c r="U240" s="14" t="n">
        <f aca="false">V86</f>
        <v>1</v>
      </c>
      <c r="V240" s="14" t="n">
        <f aca="false">CHOOSE(D240,U240,U240,1,U240)</f>
        <v>1</v>
      </c>
    </row>
    <row r="241" customFormat="false" ht="15" hidden="false" customHeight="true" outlineLevel="0" collapsed="false">
      <c r="A241" s="3" t="s">
        <v>479</v>
      </c>
      <c r="B241" s="14" t="n">
        <v>4</v>
      </c>
      <c r="C241" s="14" t="n">
        <v>86</v>
      </c>
      <c r="D241" s="14" t="n">
        <v>2</v>
      </c>
      <c r="E241" s="14" t="n">
        <f aca="false">L86</f>
        <v>1</v>
      </c>
      <c r="F241" s="19" t="n">
        <f aca="false">M86</f>
        <v>556.632729102868</v>
      </c>
      <c r="G241" s="19" t="n">
        <f aca="false">N86</f>
        <v>71.5346691353518</v>
      </c>
      <c r="H241" s="14" t="n">
        <f aca="false">O86</f>
        <v>59</v>
      </c>
      <c r="I241" s="16" t="n">
        <f aca="false">P86</f>
        <v>80.5983309723245</v>
      </c>
      <c r="J241" s="14" t="n">
        <f aca="false">Q86</f>
        <v>1</v>
      </c>
      <c r="K241" s="14" t="n">
        <f aca="false">IF(D241&lt;=2,1-J241,IF(D241=3,IF(AND(U241=0,H241&gt;=W_min,F241-D_dip&gt;=Floor_q),1,0),IF(AND(H241&gt;=W_min,F241&gt;=Pre_A),1,0)))</f>
        <v>0</v>
      </c>
      <c r="L241" s="14" t="n">
        <f aca="false">E241*K241</f>
        <v>0</v>
      </c>
      <c r="M241" s="19" t="n">
        <f aca="false">CHOOSE(D241,F241+Proc_S,F241+Proc_Sk,F241+D_dL,F241-Cost_A)</f>
        <v>648.632729102868</v>
      </c>
      <c r="N241" s="19" t="n">
        <f aca="false">CHOOSE(D241,(1-Tech_share)*G241,(1-Tech_share)*G241,G241+D_dT,G241)</f>
        <v>64.3812022218166</v>
      </c>
      <c r="O241" s="14" t="n">
        <f aca="false">CHOOSE(D241,H241-W_lost,H241,H241,H241+W_gain)</f>
        <v>59</v>
      </c>
      <c r="P241" s="16" t="n">
        <f aca="false">CHOOSE(D241,I241,I241,I241+D_dE,I241+Close_A*(Ceil_E-I241))</f>
        <v>80.5983309723245</v>
      </c>
      <c r="Q241" s="14" t="n">
        <f aca="false">CHOOSE(D241,1,1,J241,J241)</f>
        <v>1</v>
      </c>
      <c r="R241" s="14" t="n">
        <f aca="false">IF(L241=1,IF(SUMPRODUCT(($L$35:$L$240=1)*(ABS($M$35:$M$240-M241)&lt;0.000001)*(ABS($N$35:$N$240-N241)&lt;0.000001)*($O$35:$O$240=O241)*(ABS($P$35:$P$240-P241)&lt;0.000001)*($Q$35:$Q$240=Q241)*($V$35:$V$240=V241))=0,1,0),0)</f>
        <v>0</v>
      </c>
      <c r="S241" s="14" t="n">
        <f aca="false">IF(AND(L241=1,N241&gt;=$B$4-0.000000001,P241&gt;=$B$6-0.000000001,M241&gt;=Floor_q+$B$5-0.000000001),1,0)</f>
        <v>0</v>
      </c>
      <c r="T241" s="14" t="n">
        <f aca="false">L241*(IF(1&lt;=2,1-Q241,IF(1=3,IF(AND(V241=0,O241&gt;=W_min,M241-D_dip&gt;=Floor_q),1,0),IF(AND(O241&gt;=W_min,M241&gt;=Pre_A),1,0)))+IF(2&lt;=2,1-Q241,IF(2=3,IF(AND(V241=0,O241&gt;=W_min,M241-D_dip&gt;=Floor_q),1,0),IF(AND(O241&gt;=W_min,M241&gt;=Pre_A),1,0)))+IF(3&lt;=2,1-Q241,IF(3=3,IF(AND(V241=0,O241&gt;=W_min,M241-D_dip&gt;=Floor_q),1,0),IF(AND(O241&gt;=W_min,M241&gt;=Pre_A),1,0)))+IF(4&lt;=2,1-Q241,IF(4=3,IF(AND(V241=0,O241&gt;=W_min,M241-D_dip&gt;=Floor_q),1,0),IF(AND(O241&gt;=W_min,M241&gt;=Pre_A),1,0))))</f>
        <v>0</v>
      </c>
      <c r="U241" s="14" t="n">
        <f aca="false">V86</f>
        <v>1</v>
      </c>
      <c r="V241" s="14" t="n">
        <f aca="false">CHOOSE(D241,U241,U241,1,U241)</f>
        <v>1</v>
      </c>
    </row>
    <row r="242" customFormat="false" ht="15" hidden="false" customHeight="true" outlineLevel="0" collapsed="false">
      <c r="A242" s="3" t="s">
        <v>480</v>
      </c>
      <c r="B242" s="14" t="n">
        <v>4</v>
      </c>
      <c r="C242" s="14" t="n">
        <v>86</v>
      </c>
      <c r="D242" s="14" t="n">
        <v>3</v>
      </c>
      <c r="E242" s="14" t="n">
        <f aca="false">L86</f>
        <v>1</v>
      </c>
      <c r="F242" s="19" t="n">
        <f aca="false">M86</f>
        <v>556.632729102868</v>
      </c>
      <c r="G242" s="19" t="n">
        <f aca="false">N86</f>
        <v>71.5346691353518</v>
      </c>
      <c r="H242" s="14" t="n">
        <f aca="false">O86</f>
        <v>59</v>
      </c>
      <c r="I242" s="16" t="n">
        <f aca="false">P86</f>
        <v>80.5983309723245</v>
      </c>
      <c r="J242" s="14" t="n">
        <f aca="false">Q86</f>
        <v>1</v>
      </c>
      <c r="K242" s="14" t="n">
        <f aca="false">IF(D242&lt;=2,1-J242,IF(D242=3,IF(AND(U242=0,H242&gt;=W_min,F242-D_dip&gt;=Floor_q),1,0),IF(AND(H242&gt;=W_min,F242&gt;=Pre_A),1,0)))</f>
        <v>0</v>
      </c>
      <c r="L242" s="14" t="n">
        <f aca="false">E242*K242</f>
        <v>0</v>
      </c>
      <c r="M242" s="19" t="n">
        <f aca="false">CHOOSE(D242,F242+Proc_S,F242+Proc_Sk,F242+D_dL,F242-Cost_A)</f>
        <v>521.265458205737</v>
      </c>
      <c r="N242" s="19" t="n">
        <f aca="false">CHOOSE(D242,(1-Tech_share)*G242,(1-Tech_share)*G242,G242+D_dT,G242)</f>
        <v>106.169338270704</v>
      </c>
      <c r="O242" s="14" t="n">
        <f aca="false">CHOOSE(D242,H242-W_lost,H242,H242,H242+W_gain)</f>
        <v>59</v>
      </c>
      <c r="P242" s="16" t="n">
        <f aca="false">CHOOSE(D242,I242,I242,I242+D_dE,I242+Close_A*(Ceil_E-I242))</f>
        <v>83.1966619446489</v>
      </c>
      <c r="Q242" s="14" t="n">
        <f aca="false">CHOOSE(D242,1,1,J242,J242)</f>
        <v>1</v>
      </c>
      <c r="R242" s="14" t="n">
        <f aca="false">IF(L242=1,IF(SUMPRODUCT(($L$35:$L$241=1)*(ABS($M$35:$M$241-M242)&lt;0.000001)*(ABS($N$35:$N$241-N242)&lt;0.000001)*($O$35:$O$241=O242)*(ABS($P$35:$P$241-P242)&lt;0.000001)*($Q$35:$Q$241=Q242)*($V$35:$V$241=V242))=0,1,0),0)</f>
        <v>0</v>
      </c>
      <c r="S242" s="14" t="n">
        <f aca="false">IF(AND(L242=1,N242&gt;=$B$4-0.000000001,P242&gt;=$B$6-0.000000001,M242&gt;=Floor_q+$B$5-0.000000001),1,0)</f>
        <v>0</v>
      </c>
      <c r="T242" s="14" t="n">
        <f aca="false">L242*(IF(1&lt;=2,1-Q242,IF(1=3,IF(AND(V242=0,O242&gt;=W_min,M242-D_dip&gt;=Floor_q),1,0),IF(AND(O242&gt;=W_min,M242&gt;=Pre_A),1,0)))+IF(2&lt;=2,1-Q242,IF(2=3,IF(AND(V242=0,O242&gt;=W_min,M242-D_dip&gt;=Floor_q),1,0),IF(AND(O242&gt;=W_min,M242&gt;=Pre_A),1,0)))+IF(3&lt;=2,1-Q242,IF(3=3,IF(AND(V242=0,O242&gt;=W_min,M242-D_dip&gt;=Floor_q),1,0),IF(AND(O242&gt;=W_min,M242&gt;=Pre_A),1,0)))+IF(4&lt;=2,1-Q242,IF(4=3,IF(AND(V242=0,O242&gt;=W_min,M242-D_dip&gt;=Floor_q),1,0),IF(AND(O242&gt;=W_min,M242&gt;=Pre_A),1,0))))</f>
        <v>0</v>
      </c>
      <c r="U242" s="14" t="n">
        <f aca="false">V86</f>
        <v>1</v>
      </c>
      <c r="V242" s="14" t="n">
        <f aca="false">CHOOSE(D242,U242,U242,1,U242)</f>
        <v>1</v>
      </c>
    </row>
    <row r="243" customFormat="false" ht="15" hidden="false" customHeight="true" outlineLevel="0" collapsed="false">
      <c r="A243" s="3" t="s">
        <v>481</v>
      </c>
      <c r="B243" s="14" t="n">
        <v>4</v>
      </c>
      <c r="C243" s="14" t="n">
        <v>86</v>
      </c>
      <c r="D243" s="14" t="n">
        <v>4</v>
      </c>
      <c r="E243" s="14" t="n">
        <f aca="false">L86</f>
        <v>1</v>
      </c>
      <c r="F243" s="19" t="n">
        <f aca="false">M86</f>
        <v>556.632729102868</v>
      </c>
      <c r="G243" s="19" t="n">
        <f aca="false">N86</f>
        <v>71.5346691353518</v>
      </c>
      <c r="H243" s="14" t="n">
        <f aca="false">O86</f>
        <v>59</v>
      </c>
      <c r="I243" s="16" t="n">
        <f aca="false">P86</f>
        <v>80.5983309723245</v>
      </c>
      <c r="J243" s="14" t="n">
        <f aca="false">Q86</f>
        <v>1</v>
      </c>
      <c r="K243" s="14" t="n">
        <f aca="false">IF(D243&lt;=2,1-J243,IF(D243=3,IF(AND(U243=0,H243&gt;=W_min,F243-D_dip&gt;=Floor_q),1,0),IF(AND(H243&gt;=W_min,F243&gt;=Pre_A),1,0)))</f>
        <v>1</v>
      </c>
      <c r="L243" s="14" t="n">
        <f aca="false">E243*K243</f>
        <v>1</v>
      </c>
      <c r="M243" s="19" t="n">
        <f aca="false">CHOOSE(D243,F243+Proc_S,F243+Proc_Sk,F243+D_dL,F243-Cost_A)</f>
        <v>436.632729102868</v>
      </c>
      <c r="N243" s="19" t="n">
        <f aca="false">CHOOSE(D243,(1-Tech_share)*G243,(1-Tech_share)*G243,G243+D_dT,G243)</f>
        <v>71.5346691353518</v>
      </c>
      <c r="O243" s="14" t="n">
        <f aca="false">CHOOSE(D243,H243-W_lost,H243,H243,H243+W_gain)</f>
        <v>60</v>
      </c>
      <c r="P243" s="16" t="n">
        <f aca="false">CHOOSE(D243,I243,I243,I243+D_dE,I243+Close_A*(Ceil_E-I243))</f>
        <v>82.7991654861622</v>
      </c>
      <c r="Q243" s="14" t="n">
        <f aca="false">CHOOSE(D243,1,1,J243,J243)</f>
        <v>1</v>
      </c>
      <c r="R243" s="14" t="n">
        <f aca="false">IF(L243=1,IF(SUMPRODUCT(($L$35:$L$242=1)*(ABS($M$35:$M$242-M243)&lt;0.000001)*(ABS($N$35:$N$242-N243)&lt;0.000001)*($O$35:$O$242=O243)*(ABS($P$35:$P$242-P243)&lt;0.000001)*($Q$35:$Q$242=Q243)*($V$35:$V$242=V243))=0,1,0),0)</f>
        <v>1</v>
      </c>
      <c r="S243" s="14" t="n">
        <f aca="false">IF(AND(L243=1,N243&gt;=$B$4-0.000000001,P243&gt;=$B$6-0.000000001,M243&gt;=Floor_q+$B$5-0.000000001),1,0)</f>
        <v>1</v>
      </c>
      <c r="T243" s="14" t="n">
        <f aca="false">L243*(IF(1&lt;=2,1-Q243,IF(1=3,IF(AND(V243=0,O243&gt;=W_min,M243-D_dip&gt;=Floor_q),1,0),IF(AND(O243&gt;=W_min,M243&gt;=Pre_A),1,0)))+IF(2&lt;=2,1-Q243,IF(2=3,IF(AND(V243=0,O243&gt;=W_min,M243-D_dip&gt;=Floor_q),1,0),IF(AND(O243&gt;=W_min,M243&gt;=Pre_A),1,0)))+IF(3&lt;=2,1-Q243,IF(3=3,IF(AND(V243=0,O243&gt;=W_min,M243-D_dip&gt;=Floor_q),1,0),IF(AND(O243&gt;=W_min,M243&gt;=Pre_A),1,0)))+IF(4&lt;=2,1-Q243,IF(4=3,IF(AND(V243=0,O243&gt;=W_min,M243-D_dip&gt;=Floor_q),1,0),IF(AND(O243&gt;=W_min,M243&gt;=Pre_A),1,0))))</f>
        <v>0</v>
      </c>
      <c r="U243" s="14" t="n">
        <f aca="false">V86</f>
        <v>1</v>
      </c>
      <c r="V243" s="14" t="n">
        <f aca="false">CHOOSE(D243,U243,U243,1,U243)</f>
        <v>1</v>
      </c>
    </row>
    <row r="244" customFormat="false" ht="15" hidden="false" customHeight="true" outlineLevel="0" collapsed="false">
      <c r="A244" s="3" t="s">
        <v>482</v>
      </c>
      <c r="B244" s="14" t="n">
        <v>4</v>
      </c>
      <c r="C244" s="14" t="n">
        <v>87</v>
      </c>
      <c r="D244" s="14" t="n">
        <v>1</v>
      </c>
      <c r="E244" s="14" t="n">
        <f aca="false">L87</f>
        <v>1</v>
      </c>
      <c r="F244" s="19" t="n">
        <f aca="false">M87</f>
        <v>472</v>
      </c>
      <c r="G244" s="19" t="n">
        <f aca="false">N87</f>
        <v>36.9</v>
      </c>
      <c r="H244" s="14" t="n">
        <f aca="false">O87</f>
        <v>60</v>
      </c>
      <c r="I244" s="16" t="n">
        <f aca="false">P87</f>
        <v>81.5</v>
      </c>
      <c r="J244" s="14" t="n">
        <f aca="false">Q87</f>
        <v>1</v>
      </c>
      <c r="K244" s="14" t="n">
        <f aca="false">IF(D244&lt;=2,1-J244,IF(D244=3,IF(AND(U244=0,H244&gt;=W_min,F244-D_dip&gt;=Floor_q),1,0),IF(AND(H244&gt;=W_min,F244&gt;=Pre_A),1,0)))</f>
        <v>0</v>
      </c>
      <c r="L244" s="14" t="n">
        <f aca="false">E244*K244</f>
        <v>0</v>
      </c>
      <c r="M244" s="19" t="n">
        <f aca="false">CHOOSE(D244,F244+Proc_S,F244+Proc_Sk,F244+D_dL,F244-Cost_A)</f>
        <v>584</v>
      </c>
      <c r="N244" s="19" t="n">
        <f aca="false">CHOOSE(D244,(1-Tech_share)*G244,(1-Tech_share)*G244,G244+D_dT,G244)</f>
        <v>33.21</v>
      </c>
      <c r="O244" s="14" t="n">
        <f aca="false">CHOOSE(D244,H244-W_lost,H244,H244,H244+W_gain)</f>
        <v>55</v>
      </c>
      <c r="P244" s="16" t="n">
        <f aca="false">CHOOSE(D244,I244,I244,I244+D_dE,I244+Close_A*(Ceil_E-I244))</f>
        <v>81.5</v>
      </c>
      <c r="Q244" s="14" t="n">
        <f aca="false">CHOOSE(D244,1,1,J244,J244)</f>
        <v>1</v>
      </c>
      <c r="R244" s="14" t="n">
        <f aca="false">IF(L244=1,IF(SUMPRODUCT(($L$35:$L$243=1)*(ABS($M$35:$M$243-M244)&lt;0.000001)*(ABS($N$35:$N$243-N244)&lt;0.000001)*($O$35:$O$243=O244)*(ABS($P$35:$P$243-P244)&lt;0.000001)*($Q$35:$Q$243=Q244)*($V$35:$V$243=V244))=0,1,0),0)</f>
        <v>0</v>
      </c>
      <c r="S244" s="14" t="n">
        <f aca="false">IF(AND(L244=1,N244&gt;=$B$4-0.000000001,P244&gt;=$B$6-0.000000001,M244&gt;=Floor_q+$B$5-0.000000001),1,0)</f>
        <v>0</v>
      </c>
      <c r="T244" s="14" t="n">
        <f aca="false">L244*(IF(1&lt;=2,1-Q244,IF(1=3,IF(AND(V244=0,O244&gt;=W_min,M244-D_dip&gt;=Floor_q),1,0),IF(AND(O244&gt;=W_min,M244&gt;=Pre_A),1,0)))+IF(2&lt;=2,1-Q244,IF(2=3,IF(AND(V244=0,O244&gt;=W_min,M244-D_dip&gt;=Floor_q),1,0),IF(AND(O244&gt;=W_min,M244&gt;=Pre_A),1,0)))+IF(3&lt;=2,1-Q244,IF(3=3,IF(AND(V244=0,O244&gt;=W_min,M244-D_dip&gt;=Floor_q),1,0),IF(AND(O244&gt;=W_min,M244&gt;=Pre_A),1,0)))+IF(4&lt;=2,1-Q244,IF(4=3,IF(AND(V244=0,O244&gt;=W_min,M244-D_dip&gt;=Floor_q),1,0),IF(AND(O244&gt;=W_min,M244&gt;=Pre_A),1,0))))</f>
        <v>0</v>
      </c>
      <c r="U244" s="14" t="n">
        <f aca="false">V87</f>
        <v>0</v>
      </c>
      <c r="V244" s="14" t="n">
        <f aca="false">CHOOSE(D244,U244,U244,1,U244)</f>
        <v>0</v>
      </c>
    </row>
    <row r="245" customFormat="false" ht="15" hidden="false" customHeight="true" outlineLevel="0" collapsed="false">
      <c r="A245" s="3" t="s">
        <v>483</v>
      </c>
      <c r="B245" s="14" t="n">
        <v>4</v>
      </c>
      <c r="C245" s="14" t="n">
        <v>87</v>
      </c>
      <c r="D245" s="14" t="n">
        <v>2</v>
      </c>
      <c r="E245" s="14" t="n">
        <f aca="false">L87</f>
        <v>1</v>
      </c>
      <c r="F245" s="19" t="n">
        <f aca="false">M87</f>
        <v>472</v>
      </c>
      <c r="G245" s="19" t="n">
        <f aca="false">N87</f>
        <v>36.9</v>
      </c>
      <c r="H245" s="14" t="n">
        <f aca="false">O87</f>
        <v>60</v>
      </c>
      <c r="I245" s="16" t="n">
        <f aca="false">P87</f>
        <v>81.5</v>
      </c>
      <c r="J245" s="14" t="n">
        <f aca="false">Q87</f>
        <v>1</v>
      </c>
      <c r="K245" s="14" t="n">
        <f aca="false">IF(D245&lt;=2,1-J245,IF(D245=3,IF(AND(U245=0,H245&gt;=W_min,F245-D_dip&gt;=Floor_q),1,0),IF(AND(H245&gt;=W_min,F245&gt;=Pre_A),1,0)))</f>
        <v>0</v>
      </c>
      <c r="L245" s="14" t="n">
        <f aca="false">E245*K245</f>
        <v>0</v>
      </c>
      <c r="M245" s="19" t="n">
        <f aca="false">CHOOSE(D245,F245+Proc_S,F245+Proc_Sk,F245+D_dL,F245-Cost_A)</f>
        <v>564</v>
      </c>
      <c r="N245" s="19" t="n">
        <f aca="false">CHOOSE(D245,(1-Tech_share)*G245,(1-Tech_share)*G245,G245+D_dT,G245)</f>
        <v>33.21</v>
      </c>
      <c r="O245" s="14" t="n">
        <f aca="false">CHOOSE(D245,H245-W_lost,H245,H245,H245+W_gain)</f>
        <v>60</v>
      </c>
      <c r="P245" s="16" t="n">
        <f aca="false">CHOOSE(D245,I245,I245,I245+D_dE,I245+Close_A*(Ceil_E-I245))</f>
        <v>81.5</v>
      </c>
      <c r="Q245" s="14" t="n">
        <f aca="false">CHOOSE(D245,1,1,J245,J245)</f>
        <v>1</v>
      </c>
      <c r="R245" s="14" t="n">
        <f aca="false">IF(L245=1,IF(SUMPRODUCT(($L$35:$L$244=1)*(ABS($M$35:$M$244-M245)&lt;0.000001)*(ABS($N$35:$N$244-N245)&lt;0.000001)*($O$35:$O$244=O245)*(ABS($P$35:$P$244-P245)&lt;0.000001)*($Q$35:$Q$244=Q245)*($V$35:$V$244=V245))=0,1,0),0)</f>
        <v>0</v>
      </c>
      <c r="S245" s="14" t="n">
        <f aca="false">IF(AND(L245=1,N245&gt;=$B$4-0.000000001,P245&gt;=$B$6-0.000000001,M245&gt;=Floor_q+$B$5-0.000000001),1,0)</f>
        <v>0</v>
      </c>
      <c r="T245" s="14" t="n">
        <f aca="false">L245*(IF(1&lt;=2,1-Q245,IF(1=3,IF(AND(V245=0,O245&gt;=W_min,M245-D_dip&gt;=Floor_q),1,0),IF(AND(O245&gt;=W_min,M245&gt;=Pre_A),1,0)))+IF(2&lt;=2,1-Q245,IF(2=3,IF(AND(V245=0,O245&gt;=W_min,M245-D_dip&gt;=Floor_q),1,0),IF(AND(O245&gt;=W_min,M245&gt;=Pre_A),1,0)))+IF(3&lt;=2,1-Q245,IF(3=3,IF(AND(V245=0,O245&gt;=W_min,M245-D_dip&gt;=Floor_q),1,0),IF(AND(O245&gt;=W_min,M245&gt;=Pre_A),1,0)))+IF(4&lt;=2,1-Q245,IF(4=3,IF(AND(V245=0,O245&gt;=W_min,M245-D_dip&gt;=Floor_q),1,0),IF(AND(O245&gt;=W_min,M245&gt;=Pre_A),1,0))))</f>
        <v>0</v>
      </c>
      <c r="U245" s="14" t="n">
        <f aca="false">V87</f>
        <v>0</v>
      </c>
      <c r="V245" s="14" t="n">
        <f aca="false">CHOOSE(D245,U245,U245,1,U245)</f>
        <v>0</v>
      </c>
    </row>
    <row r="246" customFormat="false" ht="15" hidden="false" customHeight="true" outlineLevel="0" collapsed="false">
      <c r="A246" s="3" t="s">
        <v>484</v>
      </c>
      <c r="B246" s="14" t="n">
        <v>4</v>
      </c>
      <c r="C246" s="14" t="n">
        <v>87</v>
      </c>
      <c r="D246" s="14" t="n">
        <v>3</v>
      </c>
      <c r="E246" s="14" t="n">
        <f aca="false">L87</f>
        <v>1</v>
      </c>
      <c r="F246" s="19" t="n">
        <f aca="false">M87</f>
        <v>472</v>
      </c>
      <c r="G246" s="19" t="n">
        <f aca="false">N87</f>
        <v>36.9</v>
      </c>
      <c r="H246" s="14" t="n">
        <f aca="false">O87</f>
        <v>60</v>
      </c>
      <c r="I246" s="16" t="n">
        <f aca="false">P87</f>
        <v>81.5</v>
      </c>
      <c r="J246" s="14" t="n">
        <f aca="false">Q87</f>
        <v>1</v>
      </c>
      <c r="K246" s="14" t="n">
        <f aca="false">IF(D246&lt;=2,1-J246,IF(D246=3,IF(AND(U246=0,H246&gt;=W_min,F246-D_dip&gt;=Floor_q),1,0),IF(AND(H246&gt;=W_min,F246&gt;=Pre_A),1,0)))</f>
        <v>0</v>
      </c>
      <c r="L246" s="14" t="n">
        <f aca="false">E246*K246</f>
        <v>0</v>
      </c>
      <c r="M246" s="19" t="n">
        <f aca="false">CHOOSE(D246,F246+Proc_S,F246+Proc_Sk,F246+D_dL,F246-Cost_A)</f>
        <v>436.632729102868</v>
      </c>
      <c r="N246" s="19" t="n">
        <f aca="false">CHOOSE(D246,(1-Tech_share)*G246,(1-Tech_share)*G246,G246+D_dT,G246)</f>
        <v>71.5346691353518</v>
      </c>
      <c r="O246" s="14" t="n">
        <f aca="false">CHOOSE(D246,H246-W_lost,H246,H246,H246+W_gain)</f>
        <v>60</v>
      </c>
      <c r="P246" s="16" t="n">
        <f aca="false">CHOOSE(D246,I246,I246,I246+D_dE,I246+Close_A*(Ceil_E-I246))</f>
        <v>84.0983309723245</v>
      </c>
      <c r="Q246" s="14" t="n">
        <f aca="false">CHOOSE(D246,1,1,J246,J246)</f>
        <v>1</v>
      </c>
      <c r="R246" s="14" t="n">
        <f aca="false">IF(L246=1,IF(SUMPRODUCT(($L$35:$L$245=1)*(ABS($M$35:$M$245-M246)&lt;0.000001)*(ABS($N$35:$N$245-N246)&lt;0.000001)*($O$35:$O$245=O246)*(ABS($P$35:$P$245-P246)&lt;0.000001)*($Q$35:$Q$245=Q246)*($V$35:$V$245=V246))=0,1,0),0)</f>
        <v>0</v>
      </c>
      <c r="S246" s="14" t="n">
        <f aca="false">IF(AND(L246=1,N246&gt;=$B$4-0.000000001,P246&gt;=$B$6-0.000000001,M246&gt;=Floor_q+$B$5-0.000000001),1,0)</f>
        <v>0</v>
      </c>
      <c r="T246" s="14" t="n">
        <f aca="false">L246*(IF(1&lt;=2,1-Q246,IF(1=3,IF(AND(V246=0,O246&gt;=W_min,M246-D_dip&gt;=Floor_q),1,0),IF(AND(O246&gt;=W_min,M246&gt;=Pre_A),1,0)))+IF(2&lt;=2,1-Q246,IF(2=3,IF(AND(V246=0,O246&gt;=W_min,M246-D_dip&gt;=Floor_q),1,0),IF(AND(O246&gt;=W_min,M246&gt;=Pre_A),1,0)))+IF(3&lt;=2,1-Q246,IF(3=3,IF(AND(V246=0,O246&gt;=W_min,M246-D_dip&gt;=Floor_q),1,0),IF(AND(O246&gt;=W_min,M246&gt;=Pre_A),1,0)))+IF(4&lt;=2,1-Q246,IF(4=3,IF(AND(V246=0,O246&gt;=W_min,M246-D_dip&gt;=Floor_q),1,0),IF(AND(O246&gt;=W_min,M246&gt;=Pre_A),1,0))))</f>
        <v>0</v>
      </c>
      <c r="U246" s="14" t="n">
        <f aca="false">V87</f>
        <v>0</v>
      </c>
      <c r="V246" s="14" t="n">
        <f aca="false">CHOOSE(D246,U246,U246,1,U246)</f>
        <v>1</v>
      </c>
    </row>
    <row r="247" customFormat="false" ht="15" hidden="false" customHeight="true" outlineLevel="0" collapsed="false">
      <c r="A247" s="3" t="s">
        <v>485</v>
      </c>
      <c r="B247" s="14" t="n">
        <v>4</v>
      </c>
      <c r="C247" s="14" t="n">
        <v>87</v>
      </c>
      <c r="D247" s="14" t="n">
        <v>4</v>
      </c>
      <c r="E247" s="14" t="n">
        <f aca="false">L87</f>
        <v>1</v>
      </c>
      <c r="F247" s="19" t="n">
        <f aca="false">M87</f>
        <v>472</v>
      </c>
      <c r="G247" s="19" t="n">
        <f aca="false">N87</f>
        <v>36.9</v>
      </c>
      <c r="H247" s="14" t="n">
        <f aca="false">O87</f>
        <v>60</v>
      </c>
      <c r="I247" s="16" t="n">
        <f aca="false">P87</f>
        <v>81.5</v>
      </c>
      <c r="J247" s="14" t="n">
        <f aca="false">Q87</f>
        <v>1</v>
      </c>
      <c r="K247" s="14" t="n">
        <f aca="false">IF(D247&lt;=2,1-J247,IF(D247=3,IF(AND(U247=0,H247&gt;=W_min,F247-D_dip&gt;=Floor_q),1,0),IF(AND(H247&gt;=W_min,F247&gt;=Pre_A),1,0)))</f>
        <v>1</v>
      </c>
      <c r="L247" s="14" t="n">
        <f aca="false">E247*K247</f>
        <v>1</v>
      </c>
      <c r="M247" s="19" t="n">
        <f aca="false">CHOOSE(D247,F247+Proc_S,F247+Proc_Sk,F247+D_dL,F247-Cost_A)</f>
        <v>352</v>
      </c>
      <c r="N247" s="19" t="n">
        <f aca="false">CHOOSE(D247,(1-Tech_share)*G247,(1-Tech_share)*G247,G247+D_dT,G247)</f>
        <v>36.9</v>
      </c>
      <c r="O247" s="14" t="n">
        <f aca="false">CHOOSE(D247,H247-W_lost,H247,H247,H247+W_gain)</f>
        <v>61</v>
      </c>
      <c r="P247" s="16" t="n">
        <f aca="false">CHOOSE(D247,I247,I247,I247+D_dE,I247+Close_A*(Ceil_E-I247))</f>
        <v>83.25</v>
      </c>
      <c r="Q247" s="14" t="n">
        <f aca="false">CHOOSE(D247,1,1,J247,J247)</f>
        <v>1</v>
      </c>
      <c r="R247" s="14" t="n">
        <f aca="false">IF(L247=1,IF(SUMPRODUCT(($L$35:$L$246=1)*(ABS($M$35:$M$246-M247)&lt;0.000001)*(ABS($N$35:$N$246-N247)&lt;0.000001)*($O$35:$O$246=O247)*(ABS($P$35:$P$246-P247)&lt;0.000001)*($Q$35:$Q$246=Q247)*($V$35:$V$246=V247))=0,1,0),0)</f>
        <v>1</v>
      </c>
      <c r="S247" s="14" t="n">
        <f aca="false">IF(AND(L247=1,N247&gt;=$B$4-0.000000001,P247&gt;=$B$6-0.000000001,M247&gt;=Floor_q+$B$5-0.000000001),1,0)</f>
        <v>0</v>
      </c>
      <c r="T247" s="14" t="n">
        <f aca="false">L247*(IF(1&lt;=2,1-Q247,IF(1=3,IF(AND(V247=0,O247&gt;=W_min,M247-D_dip&gt;=Floor_q),1,0),IF(AND(O247&gt;=W_min,M247&gt;=Pre_A),1,0)))+IF(2&lt;=2,1-Q247,IF(2=3,IF(AND(V247=0,O247&gt;=W_min,M247-D_dip&gt;=Floor_q),1,0),IF(AND(O247&gt;=W_min,M247&gt;=Pre_A),1,0)))+IF(3&lt;=2,1-Q247,IF(3=3,IF(AND(V247=0,O247&gt;=W_min,M247-D_dip&gt;=Floor_q),1,0),IF(AND(O247&gt;=W_min,M247&gt;=Pre_A),1,0)))+IF(4&lt;=2,1-Q247,IF(4=3,IF(AND(V247=0,O247&gt;=W_min,M247-D_dip&gt;=Floor_q),1,0),IF(AND(O247&gt;=W_min,M247&gt;=Pre_A),1,0))))</f>
        <v>0</v>
      </c>
      <c r="U247" s="14" t="n">
        <f aca="false">V87</f>
        <v>0</v>
      </c>
      <c r="V247" s="14" t="n">
        <f aca="false">CHOOSE(D247,U247,U247,1,U247)</f>
        <v>0</v>
      </c>
    </row>
    <row r="248" customFormat="false" ht="15" hidden="false" customHeight="true" outlineLevel="0" collapsed="false">
      <c r="A248" s="3" t="s">
        <v>486</v>
      </c>
      <c r="B248" s="14" t="n">
        <v>4</v>
      </c>
      <c r="C248" s="14" t="n">
        <v>88</v>
      </c>
      <c r="D248" s="14" t="n">
        <v>1</v>
      </c>
      <c r="E248" s="14" t="n">
        <f aca="false">L88</f>
        <v>0</v>
      </c>
      <c r="F248" s="19" t="n">
        <f aca="false">M88</f>
        <v>808.632729102868</v>
      </c>
      <c r="G248" s="19" t="n">
        <f aca="false">N88</f>
        <v>61.264081999635</v>
      </c>
      <c r="H248" s="14" t="n">
        <f aca="false">O88</f>
        <v>48</v>
      </c>
      <c r="I248" s="16" t="n">
        <f aca="false">P88</f>
        <v>73.5983309723245</v>
      </c>
      <c r="J248" s="14" t="n">
        <f aca="false">Q88</f>
        <v>1</v>
      </c>
      <c r="K248" s="14" t="n">
        <f aca="false">IF(D248&lt;=2,1-J248,IF(D248=3,IF(AND(U248=0,H248&gt;=W_min,F248-D_dip&gt;=Floor_q),1,0),IF(AND(H248&gt;=W_min,F248&gt;=Pre_A),1,0)))</f>
        <v>0</v>
      </c>
      <c r="L248" s="14" t="n">
        <f aca="false">E248*K248</f>
        <v>0</v>
      </c>
      <c r="M248" s="19" t="n">
        <f aca="false">CHOOSE(D248,F248+Proc_S,F248+Proc_Sk,F248+D_dL,F248-Cost_A)</f>
        <v>920.632729102868</v>
      </c>
      <c r="N248" s="19" t="n">
        <f aca="false">CHOOSE(D248,(1-Tech_share)*G248,(1-Tech_share)*G248,G248+D_dT,G248)</f>
        <v>55.1376737996715</v>
      </c>
      <c r="O248" s="14" t="n">
        <f aca="false">CHOOSE(D248,H248-W_lost,H248,H248,H248+W_gain)</f>
        <v>43</v>
      </c>
      <c r="P248" s="16" t="n">
        <f aca="false">CHOOSE(D248,I248,I248,I248+D_dE,I248+Close_A*(Ceil_E-I248))</f>
        <v>73.5983309723245</v>
      </c>
      <c r="Q248" s="14" t="n">
        <f aca="false">CHOOSE(D248,1,1,J248,J248)</f>
        <v>1</v>
      </c>
      <c r="R248" s="14" t="n">
        <f aca="false">IF(L248=1,IF(SUMPRODUCT(($L$35:$L$247=1)*(ABS($M$35:$M$247-M248)&lt;0.000001)*(ABS($N$35:$N$247-N248)&lt;0.000001)*($O$35:$O$247=O248)*(ABS($P$35:$P$247-P248)&lt;0.000001)*($Q$35:$Q$247=Q248)*($V$35:$V$247=V248))=0,1,0),0)</f>
        <v>0</v>
      </c>
      <c r="S248" s="14" t="n">
        <f aca="false">IF(AND(L248=1,N248&gt;=$B$4-0.000000001,P248&gt;=$B$6-0.000000001,M248&gt;=Floor_q+$B$5-0.000000001),1,0)</f>
        <v>0</v>
      </c>
      <c r="T248" s="14" t="n">
        <f aca="false">L248*(IF(1&lt;=2,1-Q248,IF(1=3,IF(AND(V248=0,O248&gt;=W_min,M248-D_dip&gt;=Floor_q),1,0),IF(AND(O248&gt;=W_min,M248&gt;=Pre_A),1,0)))+IF(2&lt;=2,1-Q248,IF(2=3,IF(AND(V248=0,O248&gt;=W_min,M248-D_dip&gt;=Floor_q),1,0),IF(AND(O248&gt;=W_min,M248&gt;=Pre_A),1,0)))+IF(3&lt;=2,1-Q248,IF(3=3,IF(AND(V248=0,O248&gt;=W_min,M248-D_dip&gt;=Floor_q),1,0),IF(AND(O248&gt;=W_min,M248&gt;=Pre_A),1,0)))+IF(4&lt;=2,1-Q248,IF(4=3,IF(AND(V248=0,O248&gt;=W_min,M248-D_dip&gt;=Floor_q),1,0),IF(AND(O248&gt;=W_min,M248&gt;=Pre_A),1,0))))</f>
        <v>0</v>
      </c>
      <c r="U248" s="14" t="n">
        <f aca="false">V88</f>
        <v>1</v>
      </c>
      <c r="V248" s="14" t="n">
        <f aca="false">CHOOSE(D248,U248,U248,1,U248)</f>
        <v>1</v>
      </c>
    </row>
    <row r="249" customFormat="false" ht="15" hidden="false" customHeight="true" outlineLevel="0" collapsed="false">
      <c r="A249" s="3" t="s">
        <v>487</v>
      </c>
      <c r="B249" s="14" t="n">
        <v>4</v>
      </c>
      <c r="C249" s="14" t="n">
        <v>88</v>
      </c>
      <c r="D249" s="14" t="n">
        <v>2</v>
      </c>
      <c r="E249" s="14" t="n">
        <f aca="false">L88</f>
        <v>0</v>
      </c>
      <c r="F249" s="19" t="n">
        <f aca="false">M88</f>
        <v>808.632729102868</v>
      </c>
      <c r="G249" s="19" t="n">
        <f aca="false">N88</f>
        <v>61.264081999635</v>
      </c>
      <c r="H249" s="14" t="n">
        <f aca="false">O88</f>
        <v>48</v>
      </c>
      <c r="I249" s="16" t="n">
        <f aca="false">P88</f>
        <v>73.5983309723245</v>
      </c>
      <c r="J249" s="14" t="n">
        <f aca="false">Q88</f>
        <v>1</v>
      </c>
      <c r="K249" s="14" t="n">
        <f aca="false">IF(D249&lt;=2,1-J249,IF(D249=3,IF(AND(U249=0,H249&gt;=W_min,F249-D_dip&gt;=Floor_q),1,0),IF(AND(H249&gt;=W_min,F249&gt;=Pre_A),1,0)))</f>
        <v>0</v>
      </c>
      <c r="L249" s="14" t="n">
        <f aca="false">E249*K249</f>
        <v>0</v>
      </c>
      <c r="M249" s="19" t="n">
        <f aca="false">CHOOSE(D249,F249+Proc_S,F249+Proc_Sk,F249+D_dL,F249-Cost_A)</f>
        <v>900.632729102868</v>
      </c>
      <c r="N249" s="19" t="n">
        <f aca="false">CHOOSE(D249,(1-Tech_share)*G249,(1-Tech_share)*G249,G249+D_dT,G249)</f>
        <v>55.1376737996715</v>
      </c>
      <c r="O249" s="14" t="n">
        <f aca="false">CHOOSE(D249,H249-W_lost,H249,H249,H249+W_gain)</f>
        <v>48</v>
      </c>
      <c r="P249" s="16" t="n">
        <f aca="false">CHOOSE(D249,I249,I249,I249+D_dE,I249+Close_A*(Ceil_E-I249))</f>
        <v>73.5983309723245</v>
      </c>
      <c r="Q249" s="14" t="n">
        <f aca="false">CHOOSE(D249,1,1,J249,J249)</f>
        <v>1</v>
      </c>
      <c r="R249" s="14" t="n">
        <f aca="false">IF(L249=1,IF(SUMPRODUCT(($L$35:$L$248=1)*(ABS($M$35:$M$248-M249)&lt;0.000001)*(ABS($N$35:$N$248-N249)&lt;0.000001)*($O$35:$O$248=O249)*(ABS($P$35:$P$248-P249)&lt;0.000001)*($Q$35:$Q$248=Q249)*($V$35:$V$248=V249))=0,1,0),0)</f>
        <v>0</v>
      </c>
      <c r="S249" s="14" t="n">
        <f aca="false">IF(AND(L249=1,N249&gt;=$B$4-0.000000001,P249&gt;=$B$6-0.000000001,M249&gt;=Floor_q+$B$5-0.000000001),1,0)</f>
        <v>0</v>
      </c>
      <c r="T249" s="14" t="n">
        <f aca="false">L249*(IF(1&lt;=2,1-Q249,IF(1=3,IF(AND(V249=0,O249&gt;=W_min,M249-D_dip&gt;=Floor_q),1,0),IF(AND(O249&gt;=W_min,M249&gt;=Pre_A),1,0)))+IF(2&lt;=2,1-Q249,IF(2=3,IF(AND(V249=0,O249&gt;=W_min,M249-D_dip&gt;=Floor_q),1,0),IF(AND(O249&gt;=W_min,M249&gt;=Pre_A),1,0)))+IF(3&lt;=2,1-Q249,IF(3=3,IF(AND(V249=0,O249&gt;=W_min,M249-D_dip&gt;=Floor_q),1,0),IF(AND(O249&gt;=W_min,M249&gt;=Pre_A),1,0)))+IF(4&lt;=2,1-Q249,IF(4=3,IF(AND(V249=0,O249&gt;=W_min,M249-D_dip&gt;=Floor_q),1,0),IF(AND(O249&gt;=W_min,M249&gt;=Pre_A),1,0))))</f>
        <v>0</v>
      </c>
      <c r="U249" s="14" t="n">
        <f aca="false">V88</f>
        <v>1</v>
      </c>
      <c r="V249" s="14" t="n">
        <f aca="false">CHOOSE(D249,U249,U249,1,U249)</f>
        <v>1</v>
      </c>
    </row>
    <row r="250" customFormat="false" ht="15" hidden="false" customHeight="true" outlineLevel="0" collapsed="false">
      <c r="A250" s="3" t="s">
        <v>488</v>
      </c>
      <c r="B250" s="14" t="n">
        <v>4</v>
      </c>
      <c r="C250" s="14" t="n">
        <v>88</v>
      </c>
      <c r="D250" s="14" t="n">
        <v>3</v>
      </c>
      <c r="E250" s="14" t="n">
        <f aca="false">L88</f>
        <v>0</v>
      </c>
      <c r="F250" s="19" t="n">
        <f aca="false">M88</f>
        <v>808.632729102868</v>
      </c>
      <c r="G250" s="19" t="n">
        <f aca="false">N88</f>
        <v>61.264081999635</v>
      </c>
      <c r="H250" s="14" t="n">
        <f aca="false">O88</f>
        <v>48</v>
      </c>
      <c r="I250" s="16" t="n">
        <f aca="false">P88</f>
        <v>73.5983309723245</v>
      </c>
      <c r="J250" s="14" t="n">
        <f aca="false">Q88</f>
        <v>1</v>
      </c>
      <c r="K250" s="14" t="n">
        <f aca="false">IF(D250&lt;=2,1-J250,IF(D250=3,IF(AND(U250=0,H250&gt;=W_min,F250-D_dip&gt;=Floor_q),1,0),IF(AND(H250&gt;=W_min,F250&gt;=Pre_A),1,0)))</f>
        <v>0</v>
      </c>
      <c r="L250" s="14" t="n">
        <f aca="false">E250*K250</f>
        <v>0</v>
      </c>
      <c r="M250" s="19" t="n">
        <f aca="false">CHOOSE(D250,F250+Proc_S,F250+Proc_Sk,F250+D_dL,F250-Cost_A)</f>
        <v>773.265458205737</v>
      </c>
      <c r="N250" s="19" t="n">
        <f aca="false">CHOOSE(D250,(1-Tech_share)*G250,(1-Tech_share)*G250,G250+D_dT,G250)</f>
        <v>95.8987511349868</v>
      </c>
      <c r="O250" s="14" t="n">
        <f aca="false">CHOOSE(D250,H250-W_lost,H250,H250,H250+W_gain)</f>
        <v>48</v>
      </c>
      <c r="P250" s="16" t="n">
        <f aca="false">CHOOSE(D250,I250,I250,I250+D_dE,I250+Close_A*(Ceil_E-I250))</f>
        <v>76.1966619446489</v>
      </c>
      <c r="Q250" s="14" t="n">
        <f aca="false">CHOOSE(D250,1,1,J250,J250)</f>
        <v>1</v>
      </c>
      <c r="R250" s="14" t="n">
        <f aca="false">IF(L250=1,IF(SUMPRODUCT(($L$35:$L$249=1)*(ABS($M$35:$M$249-M250)&lt;0.000001)*(ABS($N$35:$N$249-N250)&lt;0.000001)*($O$35:$O$249=O250)*(ABS($P$35:$P$249-P250)&lt;0.000001)*($Q$35:$Q$249=Q250)*($V$35:$V$249=V250))=0,1,0),0)</f>
        <v>0</v>
      </c>
      <c r="S250" s="14" t="n">
        <f aca="false">IF(AND(L250=1,N250&gt;=$B$4-0.000000001,P250&gt;=$B$6-0.000000001,M250&gt;=Floor_q+$B$5-0.000000001),1,0)</f>
        <v>0</v>
      </c>
      <c r="T250" s="14" t="n">
        <f aca="false">L250*(IF(1&lt;=2,1-Q250,IF(1=3,IF(AND(V250=0,O250&gt;=W_min,M250-D_dip&gt;=Floor_q),1,0),IF(AND(O250&gt;=W_min,M250&gt;=Pre_A),1,0)))+IF(2&lt;=2,1-Q250,IF(2=3,IF(AND(V250=0,O250&gt;=W_min,M250-D_dip&gt;=Floor_q),1,0),IF(AND(O250&gt;=W_min,M250&gt;=Pre_A),1,0)))+IF(3&lt;=2,1-Q250,IF(3=3,IF(AND(V250=0,O250&gt;=W_min,M250-D_dip&gt;=Floor_q),1,0),IF(AND(O250&gt;=W_min,M250&gt;=Pre_A),1,0)))+IF(4&lt;=2,1-Q250,IF(4=3,IF(AND(V250=0,O250&gt;=W_min,M250-D_dip&gt;=Floor_q),1,0),IF(AND(O250&gt;=W_min,M250&gt;=Pre_A),1,0))))</f>
        <v>0</v>
      </c>
      <c r="U250" s="14" t="n">
        <f aca="false">V88</f>
        <v>1</v>
      </c>
      <c r="V250" s="14" t="n">
        <f aca="false">CHOOSE(D250,U250,U250,1,U250)</f>
        <v>1</v>
      </c>
    </row>
    <row r="251" customFormat="false" ht="15" hidden="false" customHeight="true" outlineLevel="0" collapsed="false">
      <c r="A251" s="3" t="s">
        <v>489</v>
      </c>
      <c r="B251" s="14" t="n">
        <v>4</v>
      </c>
      <c r="C251" s="14" t="n">
        <v>88</v>
      </c>
      <c r="D251" s="14" t="n">
        <v>4</v>
      </c>
      <c r="E251" s="14" t="n">
        <f aca="false">L88</f>
        <v>0</v>
      </c>
      <c r="F251" s="19" t="n">
        <f aca="false">M88</f>
        <v>808.632729102868</v>
      </c>
      <c r="G251" s="19" t="n">
        <f aca="false">N88</f>
        <v>61.264081999635</v>
      </c>
      <c r="H251" s="14" t="n">
        <f aca="false">O88</f>
        <v>48</v>
      </c>
      <c r="I251" s="16" t="n">
        <f aca="false">P88</f>
        <v>73.5983309723245</v>
      </c>
      <c r="J251" s="14" t="n">
        <f aca="false">Q88</f>
        <v>1</v>
      </c>
      <c r="K251" s="14" t="n">
        <f aca="false">IF(D251&lt;=2,1-J251,IF(D251=3,IF(AND(U251=0,H251&gt;=W_min,F251-D_dip&gt;=Floor_q),1,0),IF(AND(H251&gt;=W_min,F251&gt;=Pre_A),1,0)))</f>
        <v>0</v>
      </c>
      <c r="L251" s="14" t="n">
        <f aca="false">E251*K251</f>
        <v>0</v>
      </c>
      <c r="M251" s="19" t="n">
        <f aca="false">CHOOSE(D251,F251+Proc_S,F251+Proc_Sk,F251+D_dL,F251-Cost_A)</f>
        <v>688.632729102868</v>
      </c>
      <c r="N251" s="19" t="n">
        <f aca="false">CHOOSE(D251,(1-Tech_share)*G251,(1-Tech_share)*G251,G251+D_dT,G251)</f>
        <v>61.264081999635</v>
      </c>
      <c r="O251" s="14" t="n">
        <f aca="false">CHOOSE(D251,H251-W_lost,H251,H251,H251+W_gain)</f>
        <v>49</v>
      </c>
      <c r="P251" s="16" t="n">
        <f aca="false">CHOOSE(D251,I251,I251,I251+D_dE,I251+Close_A*(Ceil_E-I251))</f>
        <v>79.2991654861622</v>
      </c>
      <c r="Q251" s="14" t="n">
        <f aca="false">CHOOSE(D251,1,1,J251,J251)</f>
        <v>1</v>
      </c>
      <c r="R251" s="14" t="n">
        <f aca="false">IF(L251=1,IF(SUMPRODUCT(($L$35:$L$250=1)*(ABS($M$35:$M$250-M251)&lt;0.000001)*(ABS($N$35:$N$250-N251)&lt;0.000001)*($O$35:$O$250=O251)*(ABS($P$35:$P$250-P251)&lt;0.000001)*($Q$35:$Q$250=Q251)*($V$35:$V$250=V251))=0,1,0),0)</f>
        <v>0</v>
      </c>
      <c r="S251" s="14" t="n">
        <f aca="false">IF(AND(L251=1,N251&gt;=$B$4-0.000000001,P251&gt;=$B$6-0.000000001,M251&gt;=Floor_q+$B$5-0.000000001),1,0)</f>
        <v>0</v>
      </c>
      <c r="T251" s="14" t="n">
        <f aca="false">L251*(IF(1&lt;=2,1-Q251,IF(1=3,IF(AND(V251=0,O251&gt;=W_min,M251-D_dip&gt;=Floor_q),1,0),IF(AND(O251&gt;=W_min,M251&gt;=Pre_A),1,0)))+IF(2&lt;=2,1-Q251,IF(2=3,IF(AND(V251=0,O251&gt;=W_min,M251-D_dip&gt;=Floor_q),1,0),IF(AND(O251&gt;=W_min,M251&gt;=Pre_A),1,0)))+IF(3&lt;=2,1-Q251,IF(3=3,IF(AND(V251=0,O251&gt;=W_min,M251-D_dip&gt;=Floor_q),1,0),IF(AND(O251&gt;=W_min,M251&gt;=Pre_A),1,0)))+IF(4&lt;=2,1-Q251,IF(4=3,IF(AND(V251=0,O251&gt;=W_min,M251-D_dip&gt;=Floor_q),1,0),IF(AND(O251&gt;=W_min,M251&gt;=Pre_A),1,0))))</f>
        <v>0</v>
      </c>
      <c r="U251" s="14" t="n">
        <f aca="false">V88</f>
        <v>1</v>
      </c>
      <c r="V251" s="14" t="n">
        <f aca="false">CHOOSE(D251,U251,U251,1,U251)</f>
        <v>1</v>
      </c>
    </row>
    <row r="252" customFormat="false" ht="15" hidden="false" customHeight="true" outlineLevel="0" collapsed="false">
      <c r="A252" s="3" t="s">
        <v>490</v>
      </c>
      <c r="B252" s="14" t="n">
        <v>4</v>
      </c>
      <c r="C252" s="14" t="n">
        <v>89</v>
      </c>
      <c r="D252" s="14" t="n">
        <v>1</v>
      </c>
      <c r="E252" s="14" t="n">
        <f aca="false">L89</f>
        <v>0</v>
      </c>
      <c r="F252" s="19" t="n">
        <f aca="false">M89</f>
        <v>788.632729102868</v>
      </c>
      <c r="G252" s="19" t="n">
        <f aca="false">N89</f>
        <v>61.264081999635</v>
      </c>
      <c r="H252" s="14" t="n">
        <f aca="false">O89</f>
        <v>53</v>
      </c>
      <c r="I252" s="16" t="n">
        <f aca="false">P89</f>
        <v>73.5983309723245</v>
      </c>
      <c r="J252" s="14" t="n">
        <f aca="false">Q89</f>
        <v>1</v>
      </c>
      <c r="K252" s="14" t="n">
        <f aca="false">IF(D252&lt;=2,1-J252,IF(D252=3,IF(AND(U252=0,H252&gt;=W_min,F252-D_dip&gt;=Floor_q),1,0),IF(AND(H252&gt;=W_min,F252&gt;=Pre_A),1,0)))</f>
        <v>0</v>
      </c>
      <c r="L252" s="14" t="n">
        <f aca="false">E252*K252</f>
        <v>0</v>
      </c>
      <c r="M252" s="19" t="n">
        <f aca="false">CHOOSE(D252,F252+Proc_S,F252+Proc_Sk,F252+D_dL,F252-Cost_A)</f>
        <v>900.632729102868</v>
      </c>
      <c r="N252" s="19" t="n">
        <f aca="false">CHOOSE(D252,(1-Tech_share)*G252,(1-Tech_share)*G252,G252+D_dT,G252)</f>
        <v>55.1376737996715</v>
      </c>
      <c r="O252" s="14" t="n">
        <f aca="false">CHOOSE(D252,H252-W_lost,H252,H252,H252+W_gain)</f>
        <v>48</v>
      </c>
      <c r="P252" s="16" t="n">
        <f aca="false">CHOOSE(D252,I252,I252,I252+D_dE,I252+Close_A*(Ceil_E-I252))</f>
        <v>73.5983309723245</v>
      </c>
      <c r="Q252" s="14" t="n">
        <f aca="false">CHOOSE(D252,1,1,J252,J252)</f>
        <v>1</v>
      </c>
      <c r="R252" s="14" t="n">
        <f aca="false">IF(L252=1,IF(SUMPRODUCT(($L$35:$L$251=1)*(ABS($M$35:$M$251-M252)&lt;0.000001)*(ABS($N$35:$N$251-N252)&lt;0.000001)*($O$35:$O$251=O252)*(ABS($P$35:$P$251-P252)&lt;0.000001)*($Q$35:$Q$251=Q252)*($V$35:$V$251=V252))=0,1,0),0)</f>
        <v>0</v>
      </c>
      <c r="S252" s="14" t="n">
        <f aca="false">IF(AND(L252=1,N252&gt;=$B$4-0.000000001,P252&gt;=$B$6-0.000000001,M252&gt;=Floor_q+$B$5-0.000000001),1,0)</f>
        <v>0</v>
      </c>
      <c r="T252" s="14" t="n">
        <f aca="false">L252*(IF(1&lt;=2,1-Q252,IF(1=3,IF(AND(V252=0,O252&gt;=W_min,M252-D_dip&gt;=Floor_q),1,0),IF(AND(O252&gt;=W_min,M252&gt;=Pre_A),1,0)))+IF(2&lt;=2,1-Q252,IF(2=3,IF(AND(V252=0,O252&gt;=W_min,M252-D_dip&gt;=Floor_q),1,0),IF(AND(O252&gt;=W_min,M252&gt;=Pre_A),1,0)))+IF(3&lt;=2,1-Q252,IF(3=3,IF(AND(V252=0,O252&gt;=W_min,M252-D_dip&gt;=Floor_q),1,0),IF(AND(O252&gt;=W_min,M252&gt;=Pre_A),1,0)))+IF(4&lt;=2,1-Q252,IF(4=3,IF(AND(V252=0,O252&gt;=W_min,M252-D_dip&gt;=Floor_q),1,0),IF(AND(O252&gt;=W_min,M252&gt;=Pre_A),1,0))))</f>
        <v>0</v>
      </c>
      <c r="U252" s="14" t="n">
        <f aca="false">V89</f>
        <v>1</v>
      </c>
      <c r="V252" s="14" t="n">
        <f aca="false">CHOOSE(D252,U252,U252,1,U252)</f>
        <v>1</v>
      </c>
    </row>
    <row r="253" customFormat="false" ht="15" hidden="false" customHeight="true" outlineLevel="0" collapsed="false">
      <c r="A253" s="3" t="s">
        <v>491</v>
      </c>
      <c r="B253" s="14" t="n">
        <v>4</v>
      </c>
      <c r="C253" s="14" t="n">
        <v>89</v>
      </c>
      <c r="D253" s="14" t="n">
        <v>2</v>
      </c>
      <c r="E253" s="14" t="n">
        <f aca="false">L89</f>
        <v>0</v>
      </c>
      <c r="F253" s="19" t="n">
        <f aca="false">M89</f>
        <v>788.632729102868</v>
      </c>
      <c r="G253" s="19" t="n">
        <f aca="false">N89</f>
        <v>61.264081999635</v>
      </c>
      <c r="H253" s="14" t="n">
        <f aca="false">O89</f>
        <v>53</v>
      </c>
      <c r="I253" s="16" t="n">
        <f aca="false">P89</f>
        <v>73.5983309723245</v>
      </c>
      <c r="J253" s="14" t="n">
        <f aca="false">Q89</f>
        <v>1</v>
      </c>
      <c r="K253" s="14" t="n">
        <f aca="false">IF(D253&lt;=2,1-J253,IF(D253=3,IF(AND(U253=0,H253&gt;=W_min,F253-D_dip&gt;=Floor_q),1,0),IF(AND(H253&gt;=W_min,F253&gt;=Pre_A),1,0)))</f>
        <v>0</v>
      </c>
      <c r="L253" s="14" t="n">
        <f aca="false">E253*K253</f>
        <v>0</v>
      </c>
      <c r="M253" s="19" t="n">
        <f aca="false">CHOOSE(D253,F253+Proc_S,F253+Proc_Sk,F253+D_dL,F253-Cost_A)</f>
        <v>880.632729102868</v>
      </c>
      <c r="N253" s="19" t="n">
        <f aca="false">CHOOSE(D253,(1-Tech_share)*G253,(1-Tech_share)*G253,G253+D_dT,G253)</f>
        <v>55.1376737996715</v>
      </c>
      <c r="O253" s="14" t="n">
        <f aca="false">CHOOSE(D253,H253-W_lost,H253,H253,H253+W_gain)</f>
        <v>53</v>
      </c>
      <c r="P253" s="16" t="n">
        <f aca="false">CHOOSE(D253,I253,I253,I253+D_dE,I253+Close_A*(Ceil_E-I253))</f>
        <v>73.5983309723245</v>
      </c>
      <c r="Q253" s="14" t="n">
        <f aca="false">CHOOSE(D253,1,1,J253,J253)</f>
        <v>1</v>
      </c>
      <c r="R253" s="14" t="n">
        <f aca="false">IF(L253=1,IF(SUMPRODUCT(($L$35:$L$252=1)*(ABS($M$35:$M$252-M253)&lt;0.000001)*(ABS($N$35:$N$252-N253)&lt;0.000001)*($O$35:$O$252=O253)*(ABS($P$35:$P$252-P253)&lt;0.000001)*($Q$35:$Q$252=Q253)*($V$35:$V$252=V253))=0,1,0),0)</f>
        <v>0</v>
      </c>
      <c r="S253" s="14" t="n">
        <f aca="false">IF(AND(L253=1,N253&gt;=$B$4-0.000000001,P253&gt;=$B$6-0.000000001,M253&gt;=Floor_q+$B$5-0.000000001),1,0)</f>
        <v>0</v>
      </c>
      <c r="T253" s="14" t="n">
        <f aca="false">L253*(IF(1&lt;=2,1-Q253,IF(1=3,IF(AND(V253=0,O253&gt;=W_min,M253-D_dip&gt;=Floor_q),1,0),IF(AND(O253&gt;=W_min,M253&gt;=Pre_A),1,0)))+IF(2&lt;=2,1-Q253,IF(2=3,IF(AND(V253=0,O253&gt;=W_min,M253-D_dip&gt;=Floor_q),1,0),IF(AND(O253&gt;=W_min,M253&gt;=Pre_A),1,0)))+IF(3&lt;=2,1-Q253,IF(3=3,IF(AND(V253=0,O253&gt;=W_min,M253-D_dip&gt;=Floor_q),1,0),IF(AND(O253&gt;=W_min,M253&gt;=Pre_A),1,0)))+IF(4&lt;=2,1-Q253,IF(4=3,IF(AND(V253=0,O253&gt;=W_min,M253-D_dip&gt;=Floor_q),1,0),IF(AND(O253&gt;=W_min,M253&gt;=Pre_A),1,0))))</f>
        <v>0</v>
      </c>
      <c r="U253" s="14" t="n">
        <f aca="false">V89</f>
        <v>1</v>
      </c>
      <c r="V253" s="14" t="n">
        <f aca="false">CHOOSE(D253,U253,U253,1,U253)</f>
        <v>1</v>
      </c>
    </row>
    <row r="254" customFormat="false" ht="15" hidden="false" customHeight="true" outlineLevel="0" collapsed="false">
      <c r="A254" s="3" t="s">
        <v>492</v>
      </c>
      <c r="B254" s="14" t="n">
        <v>4</v>
      </c>
      <c r="C254" s="14" t="n">
        <v>89</v>
      </c>
      <c r="D254" s="14" t="n">
        <v>3</v>
      </c>
      <c r="E254" s="14" t="n">
        <f aca="false">L89</f>
        <v>0</v>
      </c>
      <c r="F254" s="19" t="n">
        <f aca="false">M89</f>
        <v>788.632729102868</v>
      </c>
      <c r="G254" s="19" t="n">
        <f aca="false">N89</f>
        <v>61.264081999635</v>
      </c>
      <c r="H254" s="14" t="n">
        <f aca="false">O89</f>
        <v>53</v>
      </c>
      <c r="I254" s="16" t="n">
        <f aca="false">P89</f>
        <v>73.5983309723245</v>
      </c>
      <c r="J254" s="14" t="n">
        <f aca="false">Q89</f>
        <v>1</v>
      </c>
      <c r="K254" s="14" t="n">
        <f aca="false">IF(D254&lt;=2,1-J254,IF(D254=3,IF(AND(U254=0,H254&gt;=W_min,F254-D_dip&gt;=Floor_q),1,0),IF(AND(H254&gt;=W_min,F254&gt;=Pre_A),1,0)))</f>
        <v>0</v>
      </c>
      <c r="L254" s="14" t="n">
        <f aca="false">E254*K254</f>
        <v>0</v>
      </c>
      <c r="M254" s="19" t="n">
        <f aca="false">CHOOSE(D254,F254+Proc_S,F254+Proc_Sk,F254+D_dL,F254-Cost_A)</f>
        <v>753.265458205737</v>
      </c>
      <c r="N254" s="19" t="n">
        <f aca="false">CHOOSE(D254,(1-Tech_share)*G254,(1-Tech_share)*G254,G254+D_dT,G254)</f>
        <v>95.8987511349868</v>
      </c>
      <c r="O254" s="14" t="n">
        <f aca="false">CHOOSE(D254,H254-W_lost,H254,H254,H254+W_gain)</f>
        <v>53</v>
      </c>
      <c r="P254" s="16" t="n">
        <f aca="false">CHOOSE(D254,I254,I254,I254+D_dE,I254+Close_A*(Ceil_E-I254))</f>
        <v>76.1966619446489</v>
      </c>
      <c r="Q254" s="14" t="n">
        <f aca="false">CHOOSE(D254,1,1,J254,J254)</f>
        <v>1</v>
      </c>
      <c r="R254" s="14" t="n">
        <f aca="false">IF(L254=1,IF(SUMPRODUCT(($L$35:$L$253=1)*(ABS($M$35:$M$253-M254)&lt;0.000001)*(ABS($N$35:$N$253-N254)&lt;0.000001)*($O$35:$O$253=O254)*(ABS($P$35:$P$253-P254)&lt;0.000001)*($Q$35:$Q$253=Q254)*($V$35:$V$253=V254))=0,1,0),0)</f>
        <v>0</v>
      </c>
      <c r="S254" s="14" t="n">
        <f aca="false">IF(AND(L254=1,N254&gt;=$B$4-0.000000001,P254&gt;=$B$6-0.000000001,M254&gt;=Floor_q+$B$5-0.000000001),1,0)</f>
        <v>0</v>
      </c>
      <c r="T254" s="14" t="n">
        <f aca="false">L254*(IF(1&lt;=2,1-Q254,IF(1=3,IF(AND(V254=0,O254&gt;=W_min,M254-D_dip&gt;=Floor_q),1,0),IF(AND(O254&gt;=W_min,M254&gt;=Pre_A),1,0)))+IF(2&lt;=2,1-Q254,IF(2=3,IF(AND(V254=0,O254&gt;=W_min,M254-D_dip&gt;=Floor_q),1,0),IF(AND(O254&gt;=W_min,M254&gt;=Pre_A),1,0)))+IF(3&lt;=2,1-Q254,IF(3=3,IF(AND(V254=0,O254&gt;=W_min,M254-D_dip&gt;=Floor_q),1,0),IF(AND(O254&gt;=W_min,M254&gt;=Pre_A),1,0)))+IF(4&lt;=2,1-Q254,IF(4=3,IF(AND(V254=0,O254&gt;=W_min,M254-D_dip&gt;=Floor_q),1,0),IF(AND(O254&gt;=W_min,M254&gt;=Pre_A),1,0))))</f>
        <v>0</v>
      </c>
      <c r="U254" s="14" t="n">
        <f aca="false">V89</f>
        <v>1</v>
      </c>
      <c r="V254" s="14" t="n">
        <f aca="false">CHOOSE(D254,U254,U254,1,U254)</f>
        <v>1</v>
      </c>
    </row>
    <row r="255" customFormat="false" ht="15" hidden="false" customHeight="true" outlineLevel="0" collapsed="false">
      <c r="A255" s="3" t="s">
        <v>493</v>
      </c>
      <c r="B255" s="14" t="n">
        <v>4</v>
      </c>
      <c r="C255" s="14" t="n">
        <v>89</v>
      </c>
      <c r="D255" s="14" t="n">
        <v>4</v>
      </c>
      <c r="E255" s="14" t="n">
        <f aca="false">L89</f>
        <v>0</v>
      </c>
      <c r="F255" s="19" t="n">
        <f aca="false">M89</f>
        <v>788.632729102868</v>
      </c>
      <c r="G255" s="19" t="n">
        <f aca="false">N89</f>
        <v>61.264081999635</v>
      </c>
      <c r="H255" s="14" t="n">
        <f aca="false">O89</f>
        <v>53</v>
      </c>
      <c r="I255" s="16" t="n">
        <f aca="false">P89</f>
        <v>73.5983309723245</v>
      </c>
      <c r="J255" s="14" t="n">
        <f aca="false">Q89</f>
        <v>1</v>
      </c>
      <c r="K255" s="14" t="n">
        <f aca="false">IF(D255&lt;=2,1-J255,IF(D255=3,IF(AND(U255=0,H255&gt;=W_min,F255-D_dip&gt;=Floor_q),1,0),IF(AND(H255&gt;=W_min,F255&gt;=Pre_A),1,0)))</f>
        <v>0</v>
      </c>
      <c r="L255" s="14" t="n">
        <f aca="false">E255*K255</f>
        <v>0</v>
      </c>
      <c r="M255" s="19" t="n">
        <f aca="false">CHOOSE(D255,F255+Proc_S,F255+Proc_Sk,F255+D_dL,F255-Cost_A)</f>
        <v>668.632729102868</v>
      </c>
      <c r="N255" s="19" t="n">
        <f aca="false">CHOOSE(D255,(1-Tech_share)*G255,(1-Tech_share)*G255,G255+D_dT,G255)</f>
        <v>61.264081999635</v>
      </c>
      <c r="O255" s="14" t="n">
        <f aca="false">CHOOSE(D255,H255-W_lost,H255,H255,H255+W_gain)</f>
        <v>54</v>
      </c>
      <c r="P255" s="16" t="n">
        <f aca="false">CHOOSE(D255,I255,I255,I255+D_dE,I255+Close_A*(Ceil_E-I255))</f>
        <v>79.2991654861622</v>
      </c>
      <c r="Q255" s="14" t="n">
        <f aca="false">CHOOSE(D255,1,1,J255,J255)</f>
        <v>1</v>
      </c>
      <c r="R255" s="14" t="n">
        <f aca="false">IF(L255=1,IF(SUMPRODUCT(($L$35:$L$254=1)*(ABS($M$35:$M$254-M255)&lt;0.000001)*(ABS($N$35:$N$254-N255)&lt;0.000001)*($O$35:$O$254=O255)*(ABS($P$35:$P$254-P255)&lt;0.000001)*($Q$35:$Q$254=Q255)*($V$35:$V$254=V255))=0,1,0),0)</f>
        <v>0</v>
      </c>
      <c r="S255" s="14" t="n">
        <f aca="false">IF(AND(L255=1,N255&gt;=$B$4-0.000000001,P255&gt;=$B$6-0.000000001,M255&gt;=Floor_q+$B$5-0.000000001),1,0)</f>
        <v>0</v>
      </c>
      <c r="T255" s="14" t="n">
        <f aca="false">L255*(IF(1&lt;=2,1-Q255,IF(1=3,IF(AND(V255=0,O255&gt;=W_min,M255-D_dip&gt;=Floor_q),1,0),IF(AND(O255&gt;=W_min,M255&gt;=Pre_A),1,0)))+IF(2&lt;=2,1-Q255,IF(2=3,IF(AND(V255=0,O255&gt;=W_min,M255-D_dip&gt;=Floor_q),1,0),IF(AND(O255&gt;=W_min,M255&gt;=Pre_A),1,0)))+IF(3&lt;=2,1-Q255,IF(3=3,IF(AND(V255=0,O255&gt;=W_min,M255-D_dip&gt;=Floor_q),1,0),IF(AND(O255&gt;=W_min,M255&gt;=Pre_A),1,0)))+IF(4&lt;=2,1-Q255,IF(4=3,IF(AND(V255=0,O255&gt;=W_min,M255-D_dip&gt;=Floor_q),1,0),IF(AND(O255&gt;=W_min,M255&gt;=Pre_A),1,0))))</f>
        <v>0</v>
      </c>
      <c r="U255" s="14" t="n">
        <f aca="false">V89</f>
        <v>1</v>
      </c>
      <c r="V255" s="14" t="n">
        <f aca="false">CHOOSE(D255,U255,U255,1,U255)</f>
        <v>1</v>
      </c>
    </row>
    <row r="256" customFormat="false" ht="15" hidden="false" customHeight="true" outlineLevel="0" collapsed="false">
      <c r="A256" s="3" t="s">
        <v>494</v>
      </c>
      <c r="B256" s="14" t="n">
        <v>4</v>
      </c>
      <c r="C256" s="14" t="n">
        <v>90</v>
      </c>
      <c r="D256" s="14" t="n">
        <v>1</v>
      </c>
      <c r="E256" s="14" t="n">
        <f aca="false">L90</f>
        <v>0</v>
      </c>
      <c r="F256" s="19" t="n">
        <f aca="false">M90</f>
        <v>661.265458205737</v>
      </c>
      <c r="G256" s="19" t="n">
        <f aca="false">N90</f>
        <v>102.705871357168</v>
      </c>
      <c r="H256" s="14" t="n">
        <f aca="false">O90</f>
        <v>53</v>
      </c>
      <c r="I256" s="16" t="n">
        <f aca="false">P90</f>
        <v>76.1966619446489</v>
      </c>
      <c r="J256" s="14" t="n">
        <f aca="false">Q90</f>
        <v>1</v>
      </c>
      <c r="K256" s="14" t="n">
        <f aca="false">IF(D256&lt;=2,1-J256,IF(D256=3,IF(AND(U256=0,H256&gt;=W_min,F256-D_dip&gt;=Floor_q),1,0),IF(AND(H256&gt;=W_min,F256&gt;=Pre_A),1,0)))</f>
        <v>0</v>
      </c>
      <c r="L256" s="14" t="n">
        <f aca="false">E256*K256</f>
        <v>0</v>
      </c>
      <c r="M256" s="19" t="n">
        <f aca="false">CHOOSE(D256,F256+Proc_S,F256+Proc_Sk,F256+D_dL,F256-Cost_A)</f>
        <v>773.265458205737</v>
      </c>
      <c r="N256" s="19" t="n">
        <f aca="false">CHOOSE(D256,(1-Tech_share)*G256,(1-Tech_share)*G256,G256+D_dT,G256)</f>
        <v>92.4352842214516</v>
      </c>
      <c r="O256" s="14" t="n">
        <f aca="false">CHOOSE(D256,H256-W_lost,H256,H256,H256+W_gain)</f>
        <v>48</v>
      </c>
      <c r="P256" s="16" t="n">
        <f aca="false">CHOOSE(D256,I256,I256,I256+D_dE,I256+Close_A*(Ceil_E-I256))</f>
        <v>76.1966619446489</v>
      </c>
      <c r="Q256" s="14" t="n">
        <f aca="false">CHOOSE(D256,1,1,J256,J256)</f>
        <v>1</v>
      </c>
      <c r="R256" s="14" t="n">
        <f aca="false">IF(L256=1,IF(SUMPRODUCT(($L$35:$L$255=1)*(ABS($M$35:$M$255-M256)&lt;0.000001)*(ABS($N$35:$N$255-N256)&lt;0.000001)*($O$35:$O$255=O256)*(ABS($P$35:$P$255-P256)&lt;0.000001)*($Q$35:$Q$255=Q256)*($V$35:$V$255=V256))=0,1,0),0)</f>
        <v>0</v>
      </c>
      <c r="S256" s="14" t="n">
        <f aca="false">IF(AND(L256=1,N256&gt;=$B$4-0.000000001,P256&gt;=$B$6-0.000000001,M256&gt;=Floor_q+$B$5-0.000000001),1,0)</f>
        <v>0</v>
      </c>
      <c r="T256" s="14" t="n">
        <f aca="false">L256*(IF(1&lt;=2,1-Q256,IF(1=3,IF(AND(V256=0,O256&gt;=W_min,M256-D_dip&gt;=Floor_q),1,0),IF(AND(O256&gt;=W_min,M256&gt;=Pre_A),1,0)))+IF(2&lt;=2,1-Q256,IF(2=3,IF(AND(V256=0,O256&gt;=W_min,M256-D_dip&gt;=Floor_q),1,0),IF(AND(O256&gt;=W_min,M256&gt;=Pre_A),1,0)))+IF(3&lt;=2,1-Q256,IF(3=3,IF(AND(V256=0,O256&gt;=W_min,M256-D_dip&gt;=Floor_q),1,0),IF(AND(O256&gt;=W_min,M256&gt;=Pre_A),1,0)))+IF(4&lt;=2,1-Q256,IF(4=3,IF(AND(V256=0,O256&gt;=W_min,M256-D_dip&gt;=Floor_q),1,0),IF(AND(O256&gt;=W_min,M256&gt;=Pre_A),1,0))))</f>
        <v>0</v>
      </c>
      <c r="U256" s="14" t="n">
        <f aca="false">V90</f>
        <v>1</v>
      </c>
      <c r="V256" s="14" t="n">
        <f aca="false">CHOOSE(D256,U256,U256,1,U256)</f>
        <v>1</v>
      </c>
    </row>
    <row r="257" customFormat="false" ht="15" hidden="false" customHeight="true" outlineLevel="0" collapsed="false">
      <c r="A257" s="3" t="s">
        <v>495</v>
      </c>
      <c r="B257" s="14" t="n">
        <v>4</v>
      </c>
      <c r="C257" s="14" t="n">
        <v>90</v>
      </c>
      <c r="D257" s="14" t="n">
        <v>2</v>
      </c>
      <c r="E257" s="14" t="n">
        <f aca="false">L90</f>
        <v>0</v>
      </c>
      <c r="F257" s="19" t="n">
        <f aca="false">M90</f>
        <v>661.265458205737</v>
      </c>
      <c r="G257" s="19" t="n">
        <f aca="false">N90</f>
        <v>102.705871357168</v>
      </c>
      <c r="H257" s="14" t="n">
        <f aca="false">O90</f>
        <v>53</v>
      </c>
      <c r="I257" s="16" t="n">
        <f aca="false">P90</f>
        <v>76.1966619446489</v>
      </c>
      <c r="J257" s="14" t="n">
        <f aca="false">Q90</f>
        <v>1</v>
      </c>
      <c r="K257" s="14" t="n">
        <f aca="false">IF(D257&lt;=2,1-J257,IF(D257=3,IF(AND(U257=0,H257&gt;=W_min,F257-D_dip&gt;=Floor_q),1,0),IF(AND(H257&gt;=W_min,F257&gt;=Pre_A),1,0)))</f>
        <v>0</v>
      </c>
      <c r="L257" s="14" t="n">
        <f aca="false">E257*K257</f>
        <v>0</v>
      </c>
      <c r="M257" s="19" t="n">
        <f aca="false">CHOOSE(D257,F257+Proc_S,F257+Proc_Sk,F257+D_dL,F257-Cost_A)</f>
        <v>753.265458205737</v>
      </c>
      <c r="N257" s="19" t="n">
        <f aca="false">CHOOSE(D257,(1-Tech_share)*G257,(1-Tech_share)*G257,G257+D_dT,G257)</f>
        <v>92.4352842214516</v>
      </c>
      <c r="O257" s="14" t="n">
        <f aca="false">CHOOSE(D257,H257-W_lost,H257,H257,H257+W_gain)</f>
        <v>53</v>
      </c>
      <c r="P257" s="16" t="n">
        <f aca="false">CHOOSE(D257,I257,I257,I257+D_dE,I257+Close_A*(Ceil_E-I257))</f>
        <v>76.1966619446489</v>
      </c>
      <c r="Q257" s="14" t="n">
        <f aca="false">CHOOSE(D257,1,1,J257,J257)</f>
        <v>1</v>
      </c>
      <c r="R257" s="14" t="n">
        <f aca="false">IF(L257=1,IF(SUMPRODUCT(($L$35:$L$256=1)*(ABS($M$35:$M$256-M257)&lt;0.000001)*(ABS($N$35:$N$256-N257)&lt;0.000001)*($O$35:$O$256=O257)*(ABS($P$35:$P$256-P257)&lt;0.000001)*($Q$35:$Q$256=Q257)*($V$35:$V$256=V257))=0,1,0),0)</f>
        <v>0</v>
      </c>
      <c r="S257" s="14" t="n">
        <f aca="false">IF(AND(L257=1,N257&gt;=$B$4-0.000000001,P257&gt;=$B$6-0.000000001,M257&gt;=Floor_q+$B$5-0.000000001),1,0)</f>
        <v>0</v>
      </c>
      <c r="T257" s="14" t="n">
        <f aca="false">L257*(IF(1&lt;=2,1-Q257,IF(1=3,IF(AND(V257=0,O257&gt;=W_min,M257-D_dip&gt;=Floor_q),1,0),IF(AND(O257&gt;=W_min,M257&gt;=Pre_A),1,0)))+IF(2&lt;=2,1-Q257,IF(2=3,IF(AND(V257=0,O257&gt;=W_min,M257-D_dip&gt;=Floor_q),1,0),IF(AND(O257&gt;=W_min,M257&gt;=Pre_A),1,0)))+IF(3&lt;=2,1-Q257,IF(3=3,IF(AND(V257=0,O257&gt;=W_min,M257-D_dip&gt;=Floor_q),1,0),IF(AND(O257&gt;=W_min,M257&gt;=Pre_A),1,0)))+IF(4&lt;=2,1-Q257,IF(4=3,IF(AND(V257=0,O257&gt;=W_min,M257-D_dip&gt;=Floor_q),1,0),IF(AND(O257&gt;=W_min,M257&gt;=Pre_A),1,0))))</f>
        <v>0</v>
      </c>
      <c r="U257" s="14" t="n">
        <f aca="false">V90</f>
        <v>1</v>
      </c>
      <c r="V257" s="14" t="n">
        <f aca="false">CHOOSE(D257,U257,U257,1,U257)</f>
        <v>1</v>
      </c>
    </row>
    <row r="258" customFormat="false" ht="15" hidden="false" customHeight="true" outlineLevel="0" collapsed="false">
      <c r="A258" s="3" t="s">
        <v>496</v>
      </c>
      <c r="B258" s="14" t="n">
        <v>4</v>
      </c>
      <c r="C258" s="14" t="n">
        <v>90</v>
      </c>
      <c r="D258" s="14" t="n">
        <v>3</v>
      </c>
      <c r="E258" s="14" t="n">
        <f aca="false">L90</f>
        <v>0</v>
      </c>
      <c r="F258" s="19" t="n">
        <f aca="false">M90</f>
        <v>661.265458205737</v>
      </c>
      <c r="G258" s="19" t="n">
        <f aca="false">N90</f>
        <v>102.705871357168</v>
      </c>
      <c r="H258" s="14" t="n">
        <f aca="false">O90</f>
        <v>53</v>
      </c>
      <c r="I258" s="16" t="n">
        <f aca="false">P90</f>
        <v>76.1966619446489</v>
      </c>
      <c r="J258" s="14" t="n">
        <f aca="false">Q90</f>
        <v>1</v>
      </c>
      <c r="K258" s="14" t="n">
        <f aca="false">IF(D258&lt;=2,1-J258,IF(D258=3,IF(AND(U258=0,H258&gt;=W_min,F258-D_dip&gt;=Floor_q),1,0),IF(AND(H258&gt;=W_min,F258&gt;=Pre_A),1,0)))</f>
        <v>0</v>
      </c>
      <c r="L258" s="14" t="n">
        <f aca="false">E258*K258</f>
        <v>0</v>
      </c>
      <c r="M258" s="19" t="n">
        <f aca="false">CHOOSE(D258,F258+Proc_S,F258+Proc_Sk,F258+D_dL,F258-Cost_A)</f>
        <v>625.898187308605</v>
      </c>
      <c r="N258" s="19" t="n">
        <f aca="false">CHOOSE(D258,(1-Tech_share)*G258,(1-Tech_share)*G258,G258+D_dT,G258)</f>
        <v>137.34054049252</v>
      </c>
      <c r="O258" s="14" t="n">
        <f aca="false">CHOOSE(D258,H258-W_lost,H258,H258,H258+W_gain)</f>
        <v>53</v>
      </c>
      <c r="P258" s="16" t="n">
        <f aca="false">CHOOSE(D258,I258,I258,I258+D_dE,I258+Close_A*(Ceil_E-I258))</f>
        <v>78.7949929169734</v>
      </c>
      <c r="Q258" s="14" t="n">
        <f aca="false">CHOOSE(D258,1,1,J258,J258)</f>
        <v>1</v>
      </c>
      <c r="R258" s="14" t="n">
        <f aca="false">IF(L258=1,IF(SUMPRODUCT(($L$35:$L$257=1)*(ABS($M$35:$M$257-M258)&lt;0.000001)*(ABS($N$35:$N$257-N258)&lt;0.000001)*($O$35:$O$257=O258)*(ABS($P$35:$P$257-P258)&lt;0.000001)*($Q$35:$Q$257=Q258)*($V$35:$V$257=V258))=0,1,0),0)</f>
        <v>0</v>
      </c>
      <c r="S258" s="14" t="n">
        <f aca="false">IF(AND(L258=1,N258&gt;=$B$4-0.000000001,P258&gt;=$B$6-0.000000001,M258&gt;=Floor_q+$B$5-0.000000001),1,0)</f>
        <v>0</v>
      </c>
      <c r="T258" s="14" t="n">
        <f aca="false">L258*(IF(1&lt;=2,1-Q258,IF(1=3,IF(AND(V258=0,O258&gt;=W_min,M258-D_dip&gt;=Floor_q),1,0),IF(AND(O258&gt;=W_min,M258&gt;=Pre_A),1,0)))+IF(2&lt;=2,1-Q258,IF(2=3,IF(AND(V258=0,O258&gt;=W_min,M258-D_dip&gt;=Floor_q),1,0),IF(AND(O258&gt;=W_min,M258&gt;=Pre_A),1,0)))+IF(3&lt;=2,1-Q258,IF(3=3,IF(AND(V258=0,O258&gt;=W_min,M258-D_dip&gt;=Floor_q),1,0),IF(AND(O258&gt;=W_min,M258&gt;=Pre_A),1,0)))+IF(4&lt;=2,1-Q258,IF(4=3,IF(AND(V258=0,O258&gt;=W_min,M258-D_dip&gt;=Floor_q),1,0),IF(AND(O258&gt;=W_min,M258&gt;=Pre_A),1,0))))</f>
        <v>0</v>
      </c>
      <c r="U258" s="14" t="n">
        <f aca="false">V90</f>
        <v>1</v>
      </c>
      <c r="V258" s="14" t="n">
        <f aca="false">CHOOSE(D258,U258,U258,1,U258)</f>
        <v>1</v>
      </c>
    </row>
    <row r="259" customFormat="false" ht="15" hidden="false" customHeight="true" outlineLevel="0" collapsed="false">
      <c r="A259" s="3" t="s">
        <v>497</v>
      </c>
      <c r="B259" s="14" t="n">
        <v>4</v>
      </c>
      <c r="C259" s="14" t="n">
        <v>90</v>
      </c>
      <c r="D259" s="14" t="n">
        <v>4</v>
      </c>
      <c r="E259" s="14" t="n">
        <f aca="false">L90</f>
        <v>0</v>
      </c>
      <c r="F259" s="19" t="n">
        <f aca="false">M90</f>
        <v>661.265458205737</v>
      </c>
      <c r="G259" s="19" t="n">
        <f aca="false">N90</f>
        <v>102.705871357168</v>
      </c>
      <c r="H259" s="14" t="n">
        <f aca="false">O90</f>
        <v>53</v>
      </c>
      <c r="I259" s="16" t="n">
        <f aca="false">P90</f>
        <v>76.1966619446489</v>
      </c>
      <c r="J259" s="14" t="n">
        <f aca="false">Q90</f>
        <v>1</v>
      </c>
      <c r="K259" s="14" t="n">
        <f aca="false">IF(D259&lt;=2,1-J259,IF(D259=3,IF(AND(U259=0,H259&gt;=W_min,F259-D_dip&gt;=Floor_q),1,0),IF(AND(H259&gt;=W_min,F259&gt;=Pre_A),1,0)))</f>
        <v>0</v>
      </c>
      <c r="L259" s="14" t="n">
        <f aca="false">E259*K259</f>
        <v>0</v>
      </c>
      <c r="M259" s="19" t="n">
        <f aca="false">CHOOSE(D259,F259+Proc_S,F259+Proc_Sk,F259+D_dL,F259-Cost_A)</f>
        <v>541.265458205737</v>
      </c>
      <c r="N259" s="19" t="n">
        <f aca="false">CHOOSE(D259,(1-Tech_share)*G259,(1-Tech_share)*G259,G259+D_dT,G259)</f>
        <v>102.705871357168</v>
      </c>
      <c r="O259" s="14" t="n">
        <f aca="false">CHOOSE(D259,H259-W_lost,H259,H259,H259+W_gain)</f>
        <v>54</v>
      </c>
      <c r="P259" s="16" t="n">
        <f aca="false">CHOOSE(D259,I259,I259,I259+D_dE,I259+Close_A*(Ceil_E-I259))</f>
        <v>80.5983309723245</v>
      </c>
      <c r="Q259" s="14" t="n">
        <f aca="false">CHOOSE(D259,1,1,J259,J259)</f>
        <v>1</v>
      </c>
      <c r="R259" s="14" t="n">
        <f aca="false">IF(L259=1,IF(SUMPRODUCT(($L$35:$L$258=1)*(ABS($M$35:$M$258-M259)&lt;0.000001)*(ABS($N$35:$N$258-N259)&lt;0.000001)*($O$35:$O$258=O259)*(ABS($P$35:$P$258-P259)&lt;0.000001)*($Q$35:$Q$258=Q259)*($V$35:$V$258=V259))=0,1,0),0)</f>
        <v>0</v>
      </c>
      <c r="S259" s="14" t="n">
        <f aca="false">IF(AND(L259=1,N259&gt;=$B$4-0.000000001,P259&gt;=$B$6-0.000000001,M259&gt;=Floor_q+$B$5-0.000000001),1,0)</f>
        <v>0</v>
      </c>
      <c r="T259" s="14" t="n">
        <f aca="false">L259*(IF(1&lt;=2,1-Q259,IF(1=3,IF(AND(V259=0,O259&gt;=W_min,M259-D_dip&gt;=Floor_q),1,0),IF(AND(O259&gt;=W_min,M259&gt;=Pre_A),1,0)))+IF(2&lt;=2,1-Q259,IF(2=3,IF(AND(V259=0,O259&gt;=W_min,M259-D_dip&gt;=Floor_q),1,0),IF(AND(O259&gt;=W_min,M259&gt;=Pre_A),1,0)))+IF(3&lt;=2,1-Q259,IF(3=3,IF(AND(V259=0,O259&gt;=W_min,M259-D_dip&gt;=Floor_q),1,0),IF(AND(O259&gt;=W_min,M259&gt;=Pre_A),1,0)))+IF(4&lt;=2,1-Q259,IF(4=3,IF(AND(V259=0,O259&gt;=W_min,M259-D_dip&gt;=Floor_q),1,0),IF(AND(O259&gt;=W_min,M259&gt;=Pre_A),1,0))))</f>
        <v>0</v>
      </c>
      <c r="U259" s="14" t="n">
        <f aca="false">V90</f>
        <v>1</v>
      </c>
      <c r="V259" s="14" t="n">
        <f aca="false">CHOOSE(D259,U259,U259,1,U259)</f>
        <v>1</v>
      </c>
    </row>
    <row r="260" customFormat="false" ht="15" hidden="false" customHeight="true" outlineLevel="0" collapsed="false">
      <c r="A260" s="3" t="s">
        <v>498</v>
      </c>
      <c r="B260" s="14" t="n">
        <v>4</v>
      </c>
      <c r="C260" s="14" t="n">
        <v>91</v>
      </c>
      <c r="D260" s="14" t="n">
        <v>1</v>
      </c>
      <c r="E260" s="14" t="n">
        <f aca="false">L91</f>
        <v>0</v>
      </c>
      <c r="F260" s="19" t="n">
        <f aca="false">M91</f>
        <v>576.632729102868</v>
      </c>
      <c r="G260" s="19" t="n">
        <f aca="false">N91</f>
        <v>68.0712022218166</v>
      </c>
      <c r="H260" s="14" t="n">
        <f aca="false">O91</f>
        <v>54</v>
      </c>
      <c r="I260" s="16" t="n">
        <f aca="false">P91</f>
        <v>79.2991654861622</v>
      </c>
      <c r="J260" s="14" t="n">
        <f aca="false">Q91</f>
        <v>1</v>
      </c>
      <c r="K260" s="14" t="n">
        <f aca="false">IF(D260&lt;=2,1-J260,IF(D260=3,IF(AND(U260=0,H260&gt;=W_min,F260-D_dip&gt;=Floor_q),1,0),IF(AND(H260&gt;=W_min,F260&gt;=Pre_A),1,0)))</f>
        <v>0</v>
      </c>
      <c r="L260" s="14" t="n">
        <f aca="false">E260*K260</f>
        <v>0</v>
      </c>
      <c r="M260" s="19" t="n">
        <f aca="false">CHOOSE(D260,F260+Proc_S,F260+Proc_Sk,F260+D_dL,F260-Cost_A)</f>
        <v>688.632729102868</v>
      </c>
      <c r="N260" s="19" t="n">
        <f aca="false">CHOOSE(D260,(1-Tech_share)*G260,(1-Tech_share)*G260,G260+D_dT,G260)</f>
        <v>61.264081999635</v>
      </c>
      <c r="O260" s="14" t="n">
        <f aca="false">CHOOSE(D260,H260-W_lost,H260,H260,H260+W_gain)</f>
        <v>49</v>
      </c>
      <c r="P260" s="16" t="n">
        <f aca="false">CHOOSE(D260,I260,I260,I260+D_dE,I260+Close_A*(Ceil_E-I260))</f>
        <v>79.2991654861622</v>
      </c>
      <c r="Q260" s="14" t="n">
        <f aca="false">CHOOSE(D260,1,1,J260,J260)</f>
        <v>1</v>
      </c>
      <c r="R260" s="14" t="n">
        <f aca="false">IF(L260=1,IF(SUMPRODUCT(($L$35:$L$259=1)*(ABS($M$35:$M$259-M260)&lt;0.000001)*(ABS($N$35:$N$259-N260)&lt;0.000001)*($O$35:$O$259=O260)*(ABS($P$35:$P$259-P260)&lt;0.000001)*($Q$35:$Q$259=Q260)*($V$35:$V$259=V260))=0,1,0),0)</f>
        <v>0</v>
      </c>
      <c r="S260" s="14" t="n">
        <f aca="false">IF(AND(L260=1,N260&gt;=$B$4-0.000000001,P260&gt;=$B$6-0.000000001,M260&gt;=Floor_q+$B$5-0.000000001),1,0)</f>
        <v>0</v>
      </c>
      <c r="T260" s="14" t="n">
        <f aca="false">L260*(IF(1&lt;=2,1-Q260,IF(1=3,IF(AND(V260=0,O260&gt;=W_min,M260-D_dip&gt;=Floor_q),1,0),IF(AND(O260&gt;=W_min,M260&gt;=Pre_A),1,0)))+IF(2&lt;=2,1-Q260,IF(2=3,IF(AND(V260=0,O260&gt;=W_min,M260-D_dip&gt;=Floor_q),1,0),IF(AND(O260&gt;=W_min,M260&gt;=Pre_A),1,0)))+IF(3&lt;=2,1-Q260,IF(3=3,IF(AND(V260=0,O260&gt;=W_min,M260-D_dip&gt;=Floor_q),1,0),IF(AND(O260&gt;=W_min,M260&gt;=Pre_A),1,0)))+IF(4&lt;=2,1-Q260,IF(4=3,IF(AND(V260=0,O260&gt;=W_min,M260-D_dip&gt;=Floor_q),1,0),IF(AND(O260&gt;=W_min,M260&gt;=Pre_A),1,0))))</f>
        <v>0</v>
      </c>
      <c r="U260" s="14" t="n">
        <f aca="false">V91</f>
        <v>1</v>
      </c>
      <c r="V260" s="14" t="n">
        <f aca="false">CHOOSE(D260,U260,U260,1,U260)</f>
        <v>1</v>
      </c>
    </row>
    <row r="261" customFormat="false" ht="15" hidden="false" customHeight="true" outlineLevel="0" collapsed="false">
      <c r="A261" s="3" t="s">
        <v>499</v>
      </c>
      <c r="B261" s="14" t="n">
        <v>4</v>
      </c>
      <c r="C261" s="14" t="n">
        <v>91</v>
      </c>
      <c r="D261" s="14" t="n">
        <v>2</v>
      </c>
      <c r="E261" s="14" t="n">
        <f aca="false">L91</f>
        <v>0</v>
      </c>
      <c r="F261" s="19" t="n">
        <f aca="false">M91</f>
        <v>576.632729102868</v>
      </c>
      <c r="G261" s="19" t="n">
        <f aca="false">N91</f>
        <v>68.0712022218166</v>
      </c>
      <c r="H261" s="14" t="n">
        <f aca="false">O91</f>
        <v>54</v>
      </c>
      <c r="I261" s="16" t="n">
        <f aca="false">P91</f>
        <v>79.2991654861622</v>
      </c>
      <c r="J261" s="14" t="n">
        <f aca="false">Q91</f>
        <v>1</v>
      </c>
      <c r="K261" s="14" t="n">
        <f aca="false">IF(D261&lt;=2,1-J261,IF(D261=3,IF(AND(U261=0,H261&gt;=W_min,F261-D_dip&gt;=Floor_q),1,0),IF(AND(H261&gt;=W_min,F261&gt;=Pre_A),1,0)))</f>
        <v>0</v>
      </c>
      <c r="L261" s="14" t="n">
        <f aca="false">E261*K261</f>
        <v>0</v>
      </c>
      <c r="M261" s="19" t="n">
        <f aca="false">CHOOSE(D261,F261+Proc_S,F261+Proc_Sk,F261+D_dL,F261-Cost_A)</f>
        <v>668.632729102868</v>
      </c>
      <c r="N261" s="19" t="n">
        <f aca="false">CHOOSE(D261,(1-Tech_share)*G261,(1-Tech_share)*G261,G261+D_dT,G261)</f>
        <v>61.264081999635</v>
      </c>
      <c r="O261" s="14" t="n">
        <f aca="false">CHOOSE(D261,H261-W_lost,H261,H261,H261+W_gain)</f>
        <v>54</v>
      </c>
      <c r="P261" s="16" t="n">
        <f aca="false">CHOOSE(D261,I261,I261,I261+D_dE,I261+Close_A*(Ceil_E-I261))</f>
        <v>79.2991654861622</v>
      </c>
      <c r="Q261" s="14" t="n">
        <f aca="false">CHOOSE(D261,1,1,J261,J261)</f>
        <v>1</v>
      </c>
      <c r="R261" s="14" t="n">
        <f aca="false">IF(L261=1,IF(SUMPRODUCT(($L$35:$L$260=1)*(ABS($M$35:$M$260-M261)&lt;0.000001)*(ABS($N$35:$N$260-N261)&lt;0.000001)*($O$35:$O$260=O261)*(ABS($P$35:$P$260-P261)&lt;0.000001)*($Q$35:$Q$260=Q261)*($V$35:$V$260=V261))=0,1,0),0)</f>
        <v>0</v>
      </c>
      <c r="S261" s="14" t="n">
        <f aca="false">IF(AND(L261=1,N261&gt;=$B$4-0.000000001,P261&gt;=$B$6-0.000000001,M261&gt;=Floor_q+$B$5-0.000000001),1,0)</f>
        <v>0</v>
      </c>
      <c r="T261" s="14" t="n">
        <f aca="false">L261*(IF(1&lt;=2,1-Q261,IF(1=3,IF(AND(V261=0,O261&gt;=W_min,M261-D_dip&gt;=Floor_q),1,0),IF(AND(O261&gt;=W_min,M261&gt;=Pre_A),1,0)))+IF(2&lt;=2,1-Q261,IF(2=3,IF(AND(V261=0,O261&gt;=W_min,M261-D_dip&gt;=Floor_q),1,0),IF(AND(O261&gt;=W_min,M261&gt;=Pre_A),1,0)))+IF(3&lt;=2,1-Q261,IF(3=3,IF(AND(V261=0,O261&gt;=W_min,M261-D_dip&gt;=Floor_q),1,0),IF(AND(O261&gt;=W_min,M261&gt;=Pre_A),1,0)))+IF(4&lt;=2,1-Q261,IF(4=3,IF(AND(V261=0,O261&gt;=W_min,M261-D_dip&gt;=Floor_q),1,0),IF(AND(O261&gt;=W_min,M261&gt;=Pre_A),1,0))))</f>
        <v>0</v>
      </c>
      <c r="U261" s="14" t="n">
        <f aca="false">V91</f>
        <v>1</v>
      </c>
      <c r="V261" s="14" t="n">
        <f aca="false">CHOOSE(D261,U261,U261,1,U261)</f>
        <v>1</v>
      </c>
    </row>
    <row r="262" customFormat="false" ht="15" hidden="false" customHeight="true" outlineLevel="0" collapsed="false">
      <c r="A262" s="3" t="s">
        <v>500</v>
      </c>
      <c r="B262" s="14" t="n">
        <v>4</v>
      </c>
      <c r="C262" s="14" t="n">
        <v>91</v>
      </c>
      <c r="D262" s="14" t="n">
        <v>3</v>
      </c>
      <c r="E262" s="14" t="n">
        <f aca="false">L91</f>
        <v>0</v>
      </c>
      <c r="F262" s="19" t="n">
        <f aca="false">M91</f>
        <v>576.632729102868</v>
      </c>
      <c r="G262" s="19" t="n">
        <f aca="false">N91</f>
        <v>68.0712022218166</v>
      </c>
      <c r="H262" s="14" t="n">
        <f aca="false">O91</f>
        <v>54</v>
      </c>
      <c r="I262" s="16" t="n">
        <f aca="false">P91</f>
        <v>79.2991654861622</v>
      </c>
      <c r="J262" s="14" t="n">
        <f aca="false">Q91</f>
        <v>1</v>
      </c>
      <c r="K262" s="14" t="n">
        <f aca="false">IF(D262&lt;=2,1-J262,IF(D262=3,IF(AND(U262=0,H262&gt;=W_min,F262-D_dip&gt;=Floor_q),1,0),IF(AND(H262&gt;=W_min,F262&gt;=Pre_A),1,0)))</f>
        <v>0</v>
      </c>
      <c r="L262" s="14" t="n">
        <f aca="false">E262*K262</f>
        <v>0</v>
      </c>
      <c r="M262" s="19" t="n">
        <f aca="false">CHOOSE(D262,F262+Proc_S,F262+Proc_Sk,F262+D_dL,F262-Cost_A)</f>
        <v>541.265458205737</v>
      </c>
      <c r="N262" s="19" t="n">
        <f aca="false">CHOOSE(D262,(1-Tech_share)*G262,(1-Tech_share)*G262,G262+D_dT,G262)</f>
        <v>102.705871357168</v>
      </c>
      <c r="O262" s="14" t="n">
        <f aca="false">CHOOSE(D262,H262-W_lost,H262,H262,H262+W_gain)</f>
        <v>54</v>
      </c>
      <c r="P262" s="16" t="n">
        <f aca="false">CHOOSE(D262,I262,I262,I262+D_dE,I262+Close_A*(Ceil_E-I262))</f>
        <v>81.8974964584867</v>
      </c>
      <c r="Q262" s="14" t="n">
        <f aca="false">CHOOSE(D262,1,1,J262,J262)</f>
        <v>1</v>
      </c>
      <c r="R262" s="14" t="n">
        <f aca="false">IF(L262=1,IF(SUMPRODUCT(($L$35:$L$261=1)*(ABS($M$35:$M$261-M262)&lt;0.000001)*(ABS($N$35:$N$261-N262)&lt;0.000001)*($O$35:$O$261=O262)*(ABS($P$35:$P$261-P262)&lt;0.000001)*($Q$35:$Q$261=Q262)*($V$35:$V$261=V262))=0,1,0),0)</f>
        <v>0</v>
      </c>
      <c r="S262" s="14" t="n">
        <f aca="false">IF(AND(L262=1,N262&gt;=$B$4-0.000000001,P262&gt;=$B$6-0.000000001,M262&gt;=Floor_q+$B$5-0.000000001),1,0)</f>
        <v>0</v>
      </c>
      <c r="T262" s="14" t="n">
        <f aca="false">L262*(IF(1&lt;=2,1-Q262,IF(1=3,IF(AND(V262=0,O262&gt;=W_min,M262-D_dip&gt;=Floor_q),1,0),IF(AND(O262&gt;=W_min,M262&gt;=Pre_A),1,0)))+IF(2&lt;=2,1-Q262,IF(2=3,IF(AND(V262=0,O262&gt;=W_min,M262-D_dip&gt;=Floor_q),1,0),IF(AND(O262&gt;=W_min,M262&gt;=Pre_A),1,0)))+IF(3&lt;=2,1-Q262,IF(3=3,IF(AND(V262=0,O262&gt;=W_min,M262-D_dip&gt;=Floor_q),1,0),IF(AND(O262&gt;=W_min,M262&gt;=Pre_A),1,0)))+IF(4&lt;=2,1-Q262,IF(4=3,IF(AND(V262=0,O262&gt;=W_min,M262-D_dip&gt;=Floor_q),1,0),IF(AND(O262&gt;=W_min,M262&gt;=Pre_A),1,0))))</f>
        <v>0</v>
      </c>
      <c r="U262" s="14" t="n">
        <f aca="false">V91</f>
        <v>1</v>
      </c>
      <c r="V262" s="14" t="n">
        <f aca="false">CHOOSE(D262,U262,U262,1,U262)</f>
        <v>1</v>
      </c>
    </row>
    <row r="263" customFormat="false" ht="15" hidden="false" customHeight="true" outlineLevel="0" collapsed="false">
      <c r="A263" s="3" t="s">
        <v>501</v>
      </c>
      <c r="B263" s="14" t="n">
        <v>4</v>
      </c>
      <c r="C263" s="14" t="n">
        <v>91</v>
      </c>
      <c r="D263" s="14" t="n">
        <v>4</v>
      </c>
      <c r="E263" s="14" t="n">
        <f aca="false">L91</f>
        <v>0</v>
      </c>
      <c r="F263" s="19" t="n">
        <f aca="false">M91</f>
        <v>576.632729102868</v>
      </c>
      <c r="G263" s="19" t="n">
        <f aca="false">N91</f>
        <v>68.0712022218166</v>
      </c>
      <c r="H263" s="14" t="n">
        <f aca="false">O91</f>
        <v>54</v>
      </c>
      <c r="I263" s="16" t="n">
        <f aca="false">P91</f>
        <v>79.2991654861622</v>
      </c>
      <c r="J263" s="14" t="n">
        <f aca="false">Q91</f>
        <v>1</v>
      </c>
      <c r="K263" s="14" t="n">
        <f aca="false">IF(D263&lt;=2,1-J263,IF(D263=3,IF(AND(U263=0,H263&gt;=W_min,F263-D_dip&gt;=Floor_q),1,0),IF(AND(H263&gt;=W_min,F263&gt;=Pre_A),1,0)))</f>
        <v>0</v>
      </c>
      <c r="L263" s="14" t="n">
        <f aca="false">E263*K263</f>
        <v>0</v>
      </c>
      <c r="M263" s="19" t="n">
        <f aca="false">CHOOSE(D263,F263+Proc_S,F263+Proc_Sk,F263+D_dL,F263-Cost_A)</f>
        <v>456.632729102868</v>
      </c>
      <c r="N263" s="19" t="n">
        <f aca="false">CHOOSE(D263,(1-Tech_share)*G263,(1-Tech_share)*G263,G263+D_dT,G263)</f>
        <v>68.0712022218166</v>
      </c>
      <c r="O263" s="14" t="n">
        <f aca="false">CHOOSE(D263,H263-W_lost,H263,H263,H263+W_gain)</f>
        <v>55</v>
      </c>
      <c r="P263" s="16" t="n">
        <f aca="false">CHOOSE(D263,I263,I263,I263+D_dE,I263+Close_A*(Ceil_E-I263))</f>
        <v>82.1495827430811</v>
      </c>
      <c r="Q263" s="14" t="n">
        <f aca="false">CHOOSE(D263,1,1,J263,J263)</f>
        <v>1</v>
      </c>
      <c r="R263" s="14" t="n">
        <f aca="false">IF(L263=1,IF(SUMPRODUCT(($L$35:$L$262=1)*(ABS($M$35:$M$262-M263)&lt;0.000001)*(ABS($N$35:$N$262-N263)&lt;0.000001)*($O$35:$O$262=O263)*(ABS($P$35:$P$262-P263)&lt;0.000001)*($Q$35:$Q$262=Q263)*($V$35:$V$262=V263))=0,1,0),0)</f>
        <v>0</v>
      </c>
      <c r="S263" s="14" t="n">
        <f aca="false">IF(AND(L263=1,N263&gt;=$B$4-0.000000001,P263&gt;=$B$6-0.000000001,M263&gt;=Floor_q+$B$5-0.000000001),1,0)</f>
        <v>0</v>
      </c>
      <c r="T263" s="14" t="n">
        <f aca="false">L263*(IF(1&lt;=2,1-Q263,IF(1=3,IF(AND(V263=0,O263&gt;=W_min,M263-D_dip&gt;=Floor_q),1,0),IF(AND(O263&gt;=W_min,M263&gt;=Pre_A),1,0)))+IF(2&lt;=2,1-Q263,IF(2=3,IF(AND(V263=0,O263&gt;=W_min,M263-D_dip&gt;=Floor_q),1,0),IF(AND(O263&gt;=W_min,M263&gt;=Pre_A),1,0)))+IF(3&lt;=2,1-Q263,IF(3=3,IF(AND(V263=0,O263&gt;=W_min,M263-D_dip&gt;=Floor_q),1,0),IF(AND(O263&gt;=W_min,M263&gt;=Pre_A),1,0)))+IF(4&lt;=2,1-Q263,IF(4=3,IF(AND(V263=0,O263&gt;=W_min,M263-D_dip&gt;=Floor_q),1,0),IF(AND(O263&gt;=W_min,M263&gt;=Pre_A),1,0))))</f>
        <v>0</v>
      </c>
      <c r="U263" s="14" t="n">
        <f aca="false">V91</f>
        <v>1</v>
      </c>
      <c r="V263" s="14" t="n">
        <f aca="false">CHOOSE(D263,U263,U263,1,U263)</f>
        <v>1</v>
      </c>
    </row>
    <row r="264" customFormat="false" ht="15" hidden="false" customHeight="true" outlineLevel="0" collapsed="false">
      <c r="A264" s="3" t="s">
        <v>502</v>
      </c>
      <c r="B264" s="14" t="n">
        <v>4</v>
      </c>
      <c r="C264" s="14" t="n">
        <v>92</v>
      </c>
      <c r="D264" s="14" t="n">
        <v>1</v>
      </c>
      <c r="E264" s="14" t="n">
        <f aca="false">L92</f>
        <v>0</v>
      </c>
      <c r="F264" s="19" t="n">
        <f aca="false">M92</f>
        <v>788.632729102868</v>
      </c>
      <c r="G264" s="19" t="n">
        <f aca="false">N92</f>
        <v>61.264081999635</v>
      </c>
      <c r="H264" s="14" t="n">
        <f aca="false">O92</f>
        <v>53</v>
      </c>
      <c r="I264" s="16" t="n">
        <f aca="false">P92</f>
        <v>73.5983309723245</v>
      </c>
      <c r="J264" s="14" t="n">
        <f aca="false">Q92</f>
        <v>1</v>
      </c>
      <c r="K264" s="14" t="n">
        <f aca="false">IF(D264&lt;=2,1-J264,IF(D264=3,IF(AND(U264=0,H264&gt;=W_min,F264-D_dip&gt;=Floor_q),1,0),IF(AND(H264&gt;=W_min,F264&gt;=Pre_A),1,0)))</f>
        <v>0</v>
      </c>
      <c r="L264" s="14" t="n">
        <f aca="false">E264*K264</f>
        <v>0</v>
      </c>
      <c r="M264" s="19" t="n">
        <f aca="false">CHOOSE(D264,F264+Proc_S,F264+Proc_Sk,F264+D_dL,F264-Cost_A)</f>
        <v>900.632729102868</v>
      </c>
      <c r="N264" s="19" t="n">
        <f aca="false">CHOOSE(D264,(1-Tech_share)*G264,(1-Tech_share)*G264,G264+D_dT,G264)</f>
        <v>55.1376737996715</v>
      </c>
      <c r="O264" s="14" t="n">
        <f aca="false">CHOOSE(D264,H264-W_lost,H264,H264,H264+W_gain)</f>
        <v>48</v>
      </c>
      <c r="P264" s="16" t="n">
        <f aca="false">CHOOSE(D264,I264,I264,I264+D_dE,I264+Close_A*(Ceil_E-I264))</f>
        <v>73.5983309723245</v>
      </c>
      <c r="Q264" s="14" t="n">
        <f aca="false">CHOOSE(D264,1,1,J264,J264)</f>
        <v>1</v>
      </c>
      <c r="R264" s="14" t="n">
        <f aca="false">IF(L264=1,IF(SUMPRODUCT(($L$35:$L$263=1)*(ABS($M$35:$M$263-M264)&lt;0.000001)*(ABS($N$35:$N$263-N264)&lt;0.000001)*($O$35:$O$263=O264)*(ABS($P$35:$P$263-P264)&lt;0.000001)*($Q$35:$Q$263=Q264)*($V$35:$V$263=V264))=0,1,0),0)</f>
        <v>0</v>
      </c>
      <c r="S264" s="14" t="n">
        <f aca="false">IF(AND(L264=1,N264&gt;=$B$4-0.000000001,P264&gt;=$B$6-0.000000001,M264&gt;=Floor_q+$B$5-0.000000001),1,0)</f>
        <v>0</v>
      </c>
      <c r="T264" s="14" t="n">
        <f aca="false">L264*(IF(1&lt;=2,1-Q264,IF(1=3,IF(AND(V264=0,O264&gt;=W_min,M264-D_dip&gt;=Floor_q),1,0),IF(AND(O264&gt;=W_min,M264&gt;=Pre_A),1,0)))+IF(2&lt;=2,1-Q264,IF(2=3,IF(AND(V264=0,O264&gt;=W_min,M264-D_dip&gt;=Floor_q),1,0),IF(AND(O264&gt;=W_min,M264&gt;=Pre_A),1,0)))+IF(3&lt;=2,1-Q264,IF(3=3,IF(AND(V264=0,O264&gt;=W_min,M264-D_dip&gt;=Floor_q),1,0),IF(AND(O264&gt;=W_min,M264&gt;=Pre_A),1,0)))+IF(4&lt;=2,1-Q264,IF(4=3,IF(AND(V264=0,O264&gt;=W_min,M264-D_dip&gt;=Floor_q),1,0),IF(AND(O264&gt;=W_min,M264&gt;=Pre_A),1,0))))</f>
        <v>0</v>
      </c>
      <c r="U264" s="14" t="n">
        <f aca="false">V92</f>
        <v>1</v>
      </c>
      <c r="V264" s="14" t="n">
        <f aca="false">CHOOSE(D264,U264,U264,1,U264)</f>
        <v>1</v>
      </c>
    </row>
    <row r="265" customFormat="false" ht="15" hidden="false" customHeight="true" outlineLevel="0" collapsed="false">
      <c r="A265" s="3" t="s">
        <v>503</v>
      </c>
      <c r="B265" s="14" t="n">
        <v>4</v>
      </c>
      <c r="C265" s="14" t="n">
        <v>92</v>
      </c>
      <c r="D265" s="14" t="n">
        <v>2</v>
      </c>
      <c r="E265" s="14" t="n">
        <f aca="false">L92</f>
        <v>0</v>
      </c>
      <c r="F265" s="19" t="n">
        <f aca="false">M92</f>
        <v>788.632729102868</v>
      </c>
      <c r="G265" s="19" t="n">
        <f aca="false">N92</f>
        <v>61.264081999635</v>
      </c>
      <c r="H265" s="14" t="n">
        <f aca="false">O92</f>
        <v>53</v>
      </c>
      <c r="I265" s="16" t="n">
        <f aca="false">P92</f>
        <v>73.5983309723245</v>
      </c>
      <c r="J265" s="14" t="n">
        <f aca="false">Q92</f>
        <v>1</v>
      </c>
      <c r="K265" s="14" t="n">
        <f aca="false">IF(D265&lt;=2,1-J265,IF(D265=3,IF(AND(U265=0,H265&gt;=W_min,F265-D_dip&gt;=Floor_q),1,0),IF(AND(H265&gt;=W_min,F265&gt;=Pre_A),1,0)))</f>
        <v>0</v>
      </c>
      <c r="L265" s="14" t="n">
        <f aca="false">E265*K265</f>
        <v>0</v>
      </c>
      <c r="M265" s="19" t="n">
        <f aca="false">CHOOSE(D265,F265+Proc_S,F265+Proc_Sk,F265+D_dL,F265-Cost_A)</f>
        <v>880.632729102868</v>
      </c>
      <c r="N265" s="19" t="n">
        <f aca="false">CHOOSE(D265,(1-Tech_share)*G265,(1-Tech_share)*G265,G265+D_dT,G265)</f>
        <v>55.1376737996715</v>
      </c>
      <c r="O265" s="14" t="n">
        <f aca="false">CHOOSE(D265,H265-W_lost,H265,H265,H265+W_gain)</f>
        <v>53</v>
      </c>
      <c r="P265" s="16" t="n">
        <f aca="false">CHOOSE(D265,I265,I265,I265+D_dE,I265+Close_A*(Ceil_E-I265))</f>
        <v>73.5983309723245</v>
      </c>
      <c r="Q265" s="14" t="n">
        <f aca="false">CHOOSE(D265,1,1,J265,J265)</f>
        <v>1</v>
      </c>
      <c r="R265" s="14" t="n">
        <f aca="false">IF(L265=1,IF(SUMPRODUCT(($L$35:$L$264=1)*(ABS($M$35:$M$264-M265)&lt;0.000001)*(ABS($N$35:$N$264-N265)&lt;0.000001)*($O$35:$O$264=O265)*(ABS($P$35:$P$264-P265)&lt;0.000001)*($Q$35:$Q$264=Q265)*($V$35:$V$264=V265))=0,1,0),0)</f>
        <v>0</v>
      </c>
      <c r="S265" s="14" t="n">
        <f aca="false">IF(AND(L265=1,N265&gt;=$B$4-0.000000001,P265&gt;=$B$6-0.000000001,M265&gt;=Floor_q+$B$5-0.000000001),1,0)</f>
        <v>0</v>
      </c>
      <c r="T265" s="14" t="n">
        <f aca="false">L265*(IF(1&lt;=2,1-Q265,IF(1=3,IF(AND(V265=0,O265&gt;=W_min,M265-D_dip&gt;=Floor_q),1,0),IF(AND(O265&gt;=W_min,M265&gt;=Pre_A),1,0)))+IF(2&lt;=2,1-Q265,IF(2=3,IF(AND(V265=0,O265&gt;=W_min,M265-D_dip&gt;=Floor_q),1,0),IF(AND(O265&gt;=W_min,M265&gt;=Pre_A),1,0)))+IF(3&lt;=2,1-Q265,IF(3=3,IF(AND(V265=0,O265&gt;=W_min,M265-D_dip&gt;=Floor_q),1,0),IF(AND(O265&gt;=W_min,M265&gt;=Pre_A),1,0)))+IF(4&lt;=2,1-Q265,IF(4=3,IF(AND(V265=0,O265&gt;=W_min,M265-D_dip&gt;=Floor_q),1,0),IF(AND(O265&gt;=W_min,M265&gt;=Pre_A),1,0))))</f>
        <v>0</v>
      </c>
      <c r="U265" s="14" t="n">
        <f aca="false">V92</f>
        <v>1</v>
      </c>
      <c r="V265" s="14" t="n">
        <f aca="false">CHOOSE(D265,U265,U265,1,U265)</f>
        <v>1</v>
      </c>
    </row>
    <row r="266" customFormat="false" ht="15" hidden="false" customHeight="true" outlineLevel="0" collapsed="false">
      <c r="A266" s="3" t="s">
        <v>504</v>
      </c>
      <c r="B266" s="14" t="n">
        <v>4</v>
      </c>
      <c r="C266" s="14" t="n">
        <v>92</v>
      </c>
      <c r="D266" s="14" t="n">
        <v>3</v>
      </c>
      <c r="E266" s="14" t="n">
        <f aca="false">L92</f>
        <v>0</v>
      </c>
      <c r="F266" s="19" t="n">
        <f aca="false">M92</f>
        <v>788.632729102868</v>
      </c>
      <c r="G266" s="19" t="n">
        <f aca="false">N92</f>
        <v>61.264081999635</v>
      </c>
      <c r="H266" s="14" t="n">
        <f aca="false">O92</f>
        <v>53</v>
      </c>
      <c r="I266" s="16" t="n">
        <f aca="false">P92</f>
        <v>73.5983309723245</v>
      </c>
      <c r="J266" s="14" t="n">
        <f aca="false">Q92</f>
        <v>1</v>
      </c>
      <c r="K266" s="14" t="n">
        <f aca="false">IF(D266&lt;=2,1-J266,IF(D266=3,IF(AND(U266=0,H266&gt;=W_min,F266-D_dip&gt;=Floor_q),1,0),IF(AND(H266&gt;=W_min,F266&gt;=Pre_A),1,0)))</f>
        <v>0</v>
      </c>
      <c r="L266" s="14" t="n">
        <f aca="false">E266*K266</f>
        <v>0</v>
      </c>
      <c r="M266" s="19" t="n">
        <f aca="false">CHOOSE(D266,F266+Proc_S,F266+Proc_Sk,F266+D_dL,F266-Cost_A)</f>
        <v>753.265458205737</v>
      </c>
      <c r="N266" s="19" t="n">
        <f aca="false">CHOOSE(D266,(1-Tech_share)*G266,(1-Tech_share)*G266,G266+D_dT,G266)</f>
        <v>95.8987511349868</v>
      </c>
      <c r="O266" s="14" t="n">
        <f aca="false">CHOOSE(D266,H266-W_lost,H266,H266,H266+W_gain)</f>
        <v>53</v>
      </c>
      <c r="P266" s="16" t="n">
        <f aca="false">CHOOSE(D266,I266,I266,I266+D_dE,I266+Close_A*(Ceil_E-I266))</f>
        <v>76.1966619446489</v>
      </c>
      <c r="Q266" s="14" t="n">
        <f aca="false">CHOOSE(D266,1,1,J266,J266)</f>
        <v>1</v>
      </c>
      <c r="R266" s="14" t="n">
        <f aca="false">IF(L266=1,IF(SUMPRODUCT(($L$35:$L$265=1)*(ABS($M$35:$M$265-M266)&lt;0.000001)*(ABS($N$35:$N$265-N266)&lt;0.000001)*($O$35:$O$265=O266)*(ABS($P$35:$P$265-P266)&lt;0.000001)*($Q$35:$Q$265=Q266)*($V$35:$V$265=V266))=0,1,0),0)</f>
        <v>0</v>
      </c>
      <c r="S266" s="14" t="n">
        <f aca="false">IF(AND(L266=1,N266&gt;=$B$4-0.000000001,P266&gt;=$B$6-0.000000001,M266&gt;=Floor_q+$B$5-0.000000001),1,0)</f>
        <v>0</v>
      </c>
      <c r="T266" s="14" t="n">
        <f aca="false">L266*(IF(1&lt;=2,1-Q266,IF(1=3,IF(AND(V266=0,O266&gt;=W_min,M266-D_dip&gt;=Floor_q),1,0),IF(AND(O266&gt;=W_min,M266&gt;=Pre_A),1,0)))+IF(2&lt;=2,1-Q266,IF(2=3,IF(AND(V266=0,O266&gt;=W_min,M266-D_dip&gt;=Floor_q),1,0),IF(AND(O266&gt;=W_min,M266&gt;=Pre_A),1,0)))+IF(3&lt;=2,1-Q266,IF(3=3,IF(AND(V266=0,O266&gt;=W_min,M266-D_dip&gt;=Floor_q),1,0),IF(AND(O266&gt;=W_min,M266&gt;=Pre_A),1,0)))+IF(4&lt;=2,1-Q266,IF(4=3,IF(AND(V266=0,O266&gt;=W_min,M266-D_dip&gt;=Floor_q),1,0),IF(AND(O266&gt;=W_min,M266&gt;=Pre_A),1,0))))</f>
        <v>0</v>
      </c>
      <c r="U266" s="14" t="n">
        <f aca="false">V92</f>
        <v>1</v>
      </c>
      <c r="V266" s="14" t="n">
        <f aca="false">CHOOSE(D266,U266,U266,1,U266)</f>
        <v>1</v>
      </c>
    </row>
    <row r="267" customFormat="false" ht="15" hidden="false" customHeight="true" outlineLevel="0" collapsed="false">
      <c r="A267" s="3" t="s">
        <v>505</v>
      </c>
      <c r="B267" s="14" t="n">
        <v>4</v>
      </c>
      <c r="C267" s="14" t="n">
        <v>92</v>
      </c>
      <c r="D267" s="14" t="n">
        <v>4</v>
      </c>
      <c r="E267" s="14" t="n">
        <f aca="false">L92</f>
        <v>0</v>
      </c>
      <c r="F267" s="19" t="n">
        <f aca="false">M92</f>
        <v>788.632729102868</v>
      </c>
      <c r="G267" s="19" t="n">
        <f aca="false">N92</f>
        <v>61.264081999635</v>
      </c>
      <c r="H267" s="14" t="n">
        <f aca="false">O92</f>
        <v>53</v>
      </c>
      <c r="I267" s="16" t="n">
        <f aca="false">P92</f>
        <v>73.5983309723245</v>
      </c>
      <c r="J267" s="14" t="n">
        <f aca="false">Q92</f>
        <v>1</v>
      </c>
      <c r="K267" s="14" t="n">
        <f aca="false">IF(D267&lt;=2,1-J267,IF(D267=3,IF(AND(U267=0,H267&gt;=W_min,F267-D_dip&gt;=Floor_q),1,0),IF(AND(H267&gt;=W_min,F267&gt;=Pre_A),1,0)))</f>
        <v>0</v>
      </c>
      <c r="L267" s="14" t="n">
        <f aca="false">E267*K267</f>
        <v>0</v>
      </c>
      <c r="M267" s="19" t="n">
        <f aca="false">CHOOSE(D267,F267+Proc_S,F267+Proc_Sk,F267+D_dL,F267-Cost_A)</f>
        <v>668.632729102868</v>
      </c>
      <c r="N267" s="19" t="n">
        <f aca="false">CHOOSE(D267,(1-Tech_share)*G267,(1-Tech_share)*G267,G267+D_dT,G267)</f>
        <v>61.264081999635</v>
      </c>
      <c r="O267" s="14" t="n">
        <f aca="false">CHOOSE(D267,H267-W_lost,H267,H267,H267+W_gain)</f>
        <v>54</v>
      </c>
      <c r="P267" s="16" t="n">
        <f aca="false">CHOOSE(D267,I267,I267,I267+D_dE,I267+Close_A*(Ceil_E-I267))</f>
        <v>79.2991654861622</v>
      </c>
      <c r="Q267" s="14" t="n">
        <f aca="false">CHOOSE(D267,1,1,J267,J267)</f>
        <v>1</v>
      </c>
      <c r="R267" s="14" t="n">
        <f aca="false">IF(L267=1,IF(SUMPRODUCT(($L$35:$L$266=1)*(ABS($M$35:$M$266-M267)&lt;0.000001)*(ABS($N$35:$N$266-N267)&lt;0.000001)*($O$35:$O$266=O267)*(ABS($P$35:$P$266-P267)&lt;0.000001)*($Q$35:$Q$266=Q267)*($V$35:$V$266=V267))=0,1,0),0)</f>
        <v>0</v>
      </c>
      <c r="S267" s="14" t="n">
        <f aca="false">IF(AND(L267=1,N267&gt;=$B$4-0.000000001,P267&gt;=$B$6-0.000000001,M267&gt;=Floor_q+$B$5-0.000000001),1,0)</f>
        <v>0</v>
      </c>
      <c r="T267" s="14" t="n">
        <f aca="false">L267*(IF(1&lt;=2,1-Q267,IF(1=3,IF(AND(V267=0,O267&gt;=W_min,M267-D_dip&gt;=Floor_q),1,0),IF(AND(O267&gt;=W_min,M267&gt;=Pre_A),1,0)))+IF(2&lt;=2,1-Q267,IF(2=3,IF(AND(V267=0,O267&gt;=W_min,M267-D_dip&gt;=Floor_q),1,0),IF(AND(O267&gt;=W_min,M267&gt;=Pre_A),1,0)))+IF(3&lt;=2,1-Q267,IF(3=3,IF(AND(V267=0,O267&gt;=W_min,M267-D_dip&gt;=Floor_q),1,0),IF(AND(O267&gt;=W_min,M267&gt;=Pre_A),1,0)))+IF(4&lt;=2,1-Q267,IF(4=3,IF(AND(V267=0,O267&gt;=W_min,M267-D_dip&gt;=Floor_q),1,0),IF(AND(O267&gt;=W_min,M267&gt;=Pre_A),1,0))))</f>
        <v>0</v>
      </c>
      <c r="U267" s="14" t="n">
        <f aca="false">V92</f>
        <v>1</v>
      </c>
      <c r="V267" s="14" t="n">
        <f aca="false">CHOOSE(D267,U267,U267,1,U267)</f>
        <v>1</v>
      </c>
    </row>
    <row r="268" customFormat="false" ht="15" hidden="false" customHeight="true" outlineLevel="0" collapsed="false">
      <c r="A268" s="3" t="s">
        <v>506</v>
      </c>
      <c r="B268" s="14" t="n">
        <v>4</v>
      </c>
      <c r="C268" s="14" t="n">
        <v>93</v>
      </c>
      <c r="D268" s="14" t="n">
        <v>1</v>
      </c>
      <c r="E268" s="14" t="n">
        <f aca="false">L93</f>
        <v>0</v>
      </c>
      <c r="F268" s="19" t="n">
        <f aca="false">M93</f>
        <v>768.632729102868</v>
      </c>
      <c r="G268" s="19" t="n">
        <f aca="false">N93</f>
        <v>61.264081999635</v>
      </c>
      <c r="H268" s="14" t="n">
        <f aca="false">O93</f>
        <v>58</v>
      </c>
      <c r="I268" s="16" t="n">
        <f aca="false">P93</f>
        <v>73.5983309723245</v>
      </c>
      <c r="J268" s="14" t="n">
        <f aca="false">Q93</f>
        <v>1</v>
      </c>
      <c r="K268" s="14" t="n">
        <f aca="false">IF(D268&lt;=2,1-J268,IF(D268=3,IF(AND(U268=0,H268&gt;=W_min,F268-D_dip&gt;=Floor_q),1,0),IF(AND(H268&gt;=W_min,F268&gt;=Pre_A),1,0)))</f>
        <v>0</v>
      </c>
      <c r="L268" s="14" t="n">
        <f aca="false">E268*K268</f>
        <v>0</v>
      </c>
      <c r="M268" s="19" t="n">
        <f aca="false">CHOOSE(D268,F268+Proc_S,F268+Proc_Sk,F268+D_dL,F268-Cost_A)</f>
        <v>880.632729102868</v>
      </c>
      <c r="N268" s="19" t="n">
        <f aca="false">CHOOSE(D268,(1-Tech_share)*G268,(1-Tech_share)*G268,G268+D_dT,G268)</f>
        <v>55.1376737996715</v>
      </c>
      <c r="O268" s="14" t="n">
        <f aca="false">CHOOSE(D268,H268-W_lost,H268,H268,H268+W_gain)</f>
        <v>53</v>
      </c>
      <c r="P268" s="16" t="n">
        <f aca="false">CHOOSE(D268,I268,I268,I268+D_dE,I268+Close_A*(Ceil_E-I268))</f>
        <v>73.5983309723245</v>
      </c>
      <c r="Q268" s="14" t="n">
        <f aca="false">CHOOSE(D268,1,1,J268,J268)</f>
        <v>1</v>
      </c>
      <c r="R268" s="14" t="n">
        <f aca="false">IF(L268=1,IF(SUMPRODUCT(($L$35:$L$267=1)*(ABS($M$35:$M$267-M268)&lt;0.000001)*(ABS($N$35:$N$267-N268)&lt;0.000001)*($O$35:$O$267=O268)*(ABS($P$35:$P$267-P268)&lt;0.000001)*($Q$35:$Q$267=Q268)*($V$35:$V$267=V268))=0,1,0),0)</f>
        <v>0</v>
      </c>
      <c r="S268" s="14" t="n">
        <f aca="false">IF(AND(L268=1,N268&gt;=$B$4-0.000000001,P268&gt;=$B$6-0.000000001,M268&gt;=Floor_q+$B$5-0.000000001),1,0)</f>
        <v>0</v>
      </c>
      <c r="T268" s="14" t="n">
        <f aca="false">L268*(IF(1&lt;=2,1-Q268,IF(1=3,IF(AND(V268=0,O268&gt;=W_min,M268-D_dip&gt;=Floor_q),1,0),IF(AND(O268&gt;=W_min,M268&gt;=Pre_A),1,0)))+IF(2&lt;=2,1-Q268,IF(2=3,IF(AND(V268=0,O268&gt;=W_min,M268-D_dip&gt;=Floor_q),1,0),IF(AND(O268&gt;=W_min,M268&gt;=Pre_A),1,0)))+IF(3&lt;=2,1-Q268,IF(3=3,IF(AND(V268=0,O268&gt;=W_min,M268-D_dip&gt;=Floor_q),1,0),IF(AND(O268&gt;=W_min,M268&gt;=Pre_A),1,0)))+IF(4&lt;=2,1-Q268,IF(4=3,IF(AND(V268=0,O268&gt;=W_min,M268-D_dip&gt;=Floor_q),1,0),IF(AND(O268&gt;=W_min,M268&gt;=Pre_A),1,0))))</f>
        <v>0</v>
      </c>
      <c r="U268" s="14" t="n">
        <f aca="false">V93</f>
        <v>1</v>
      </c>
      <c r="V268" s="14" t="n">
        <f aca="false">CHOOSE(D268,U268,U268,1,U268)</f>
        <v>1</v>
      </c>
    </row>
    <row r="269" customFormat="false" ht="15" hidden="false" customHeight="true" outlineLevel="0" collapsed="false">
      <c r="A269" s="3" t="s">
        <v>507</v>
      </c>
      <c r="B269" s="14" t="n">
        <v>4</v>
      </c>
      <c r="C269" s="14" t="n">
        <v>93</v>
      </c>
      <c r="D269" s="14" t="n">
        <v>2</v>
      </c>
      <c r="E269" s="14" t="n">
        <f aca="false">L93</f>
        <v>0</v>
      </c>
      <c r="F269" s="19" t="n">
        <f aca="false">M93</f>
        <v>768.632729102868</v>
      </c>
      <c r="G269" s="19" t="n">
        <f aca="false">N93</f>
        <v>61.264081999635</v>
      </c>
      <c r="H269" s="14" t="n">
        <f aca="false">O93</f>
        <v>58</v>
      </c>
      <c r="I269" s="16" t="n">
        <f aca="false">P93</f>
        <v>73.5983309723245</v>
      </c>
      <c r="J269" s="14" t="n">
        <f aca="false">Q93</f>
        <v>1</v>
      </c>
      <c r="K269" s="14" t="n">
        <f aca="false">IF(D269&lt;=2,1-J269,IF(D269=3,IF(AND(U269=0,H269&gt;=W_min,F269-D_dip&gt;=Floor_q),1,0),IF(AND(H269&gt;=W_min,F269&gt;=Pre_A),1,0)))</f>
        <v>0</v>
      </c>
      <c r="L269" s="14" t="n">
        <f aca="false">E269*K269</f>
        <v>0</v>
      </c>
      <c r="M269" s="19" t="n">
        <f aca="false">CHOOSE(D269,F269+Proc_S,F269+Proc_Sk,F269+D_dL,F269-Cost_A)</f>
        <v>860.632729102868</v>
      </c>
      <c r="N269" s="19" t="n">
        <f aca="false">CHOOSE(D269,(1-Tech_share)*G269,(1-Tech_share)*G269,G269+D_dT,G269)</f>
        <v>55.1376737996715</v>
      </c>
      <c r="O269" s="14" t="n">
        <f aca="false">CHOOSE(D269,H269-W_lost,H269,H269,H269+W_gain)</f>
        <v>58</v>
      </c>
      <c r="P269" s="16" t="n">
        <f aca="false">CHOOSE(D269,I269,I269,I269+D_dE,I269+Close_A*(Ceil_E-I269))</f>
        <v>73.5983309723245</v>
      </c>
      <c r="Q269" s="14" t="n">
        <f aca="false">CHOOSE(D269,1,1,J269,J269)</f>
        <v>1</v>
      </c>
      <c r="R269" s="14" t="n">
        <f aca="false">IF(L269=1,IF(SUMPRODUCT(($L$35:$L$268=1)*(ABS($M$35:$M$268-M269)&lt;0.000001)*(ABS($N$35:$N$268-N269)&lt;0.000001)*($O$35:$O$268=O269)*(ABS($P$35:$P$268-P269)&lt;0.000001)*($Q$35:$Q$268=Q269)*($V$35:$V$268=V269))=0,1,0),0)</f>
        <v>0</v>
      </c>
      <c r="S269" s="14" t="n">
        <f aca="false">IF(AND(L269=1,N269&gt;=$B$4-0.000000001,P269&gt;=$B$6-0.000000001,M269&gt;=Floor_q+$B$5-0.000000001),1,0)</f>
        <v>0</v>
      </c>
      <c r="T269" s="14" t="n">
        <f aca="false">L269*(IF(1&lt;=2,1-Q269,IF(1=3,IF(AND(V269=0,O269&gt;=W_min,M269-D_dip&gt;=Floor_q),1,0),IF(AND(O269&gt;=W_min,M269&gt;=Pre_A),1,0)))+IF(2&lt;=2,1-Q269,IF(2=3,IF(AND(V269=0,O269&gt;=W_min,M269-D_dip&gt;=Floor_q),1,0),IF(AND(O269&gt;=W_min,M269&gt;=Pre_A),1,0)))+IF(3&lt;=2,1-Q269,IF(3=3,IF(AND(V269=0,O269&gt;=W_min,M269-D_dip&gt;=Floor_q),1,0),IF(AND(O269&gt;=W_min,M269&gt;=Pre_A),1,0)))+IF(4&lt;=2,1-Q269,IF(4=3,IF(AND(V269=0,O269&gt;=W_min,M269-D_dip&gt;=Floor_q),1,0),IF(AND(O269&gt;=W_min,M269&gt;=Pre_A),1,0))))</f>
        <v>0</v>
      </c>
      <c r="U269" s="14" t="n">
        <f aca="false">V93</f>
        <v>1</v>
      </c>
      <c r="V269" s="14" t="n">
        <f aca="false">CHOOSE(D269,U269,U269,1,U269)</f>
        <v>1</v>
      </c>
    </row>
    <row r="270" customFormat="false" ht="15" hidden="false" customHeight="true" outlineLevel="0" collapsed="false">
      <c r="A270" s="3" t="s">
        <v>508</v>
      </c>
      <c r="B270" s="14" t="n">
        <v>4</v>
      </c>
      <c r="C270" s="14" t="n">
        <v>93</v>
      </c>
      <c r="D270" s="14" t="n">
        <v>3</v>
      </c>
      <c r="E270" s="14" t="n">
        <f aca="false">L93</f>
        <v>0</v>
      </c>
      <c r="F270" s="19" t="n">
        <f aca="false">M93</f>
        <v>768.632729102868</v>
      </c>
      <c r="G270" s="19" t="n">
        <f aca="false">N93</f>
        <v>61.264081999635</v>
      </c>
      <c r="H270" s="14" t="n">
        <f aca="false">O93</f>
        <v>58</v>
      </c>
      <c r="I270" s="16" t="n">
        <f aca="false">P93</f>
        <v>73.5983309723245</v>
      </c>
      <c r="J270" s="14" t="n">
        <f aca="false">Q93</f>
        <v>1</v>
      </c>
      <c r="K270" s="14" t="n">
        <f aca="false">IF(D270&lt;=2,1-J270,IF(D270=3,IF(AND(U270=0,H270&gt;=W_min,F270-D_dip&gt;=Floor_q),1,0),IF(AND(H270&gt;=W_min,F270&gt;=Pre_A),1,0)))</f>
        <v>0</v>
      </c>
      <c r="L270" s="14" t="n">
        <f aca="false">E270*K270</f>
        <v>0</v>
      </c>
      <c r="M270" s="19" t="n">
        <f aca="false">CHOOSE(D270,F270+Proc_S,F270+Proc_Sk,F270+D_dL,F270-Cost_A)</f>
        <v>733.265458205737</v>
      </c>
      <c r="N270" s="19" t="n">
        <f aca="false">CHOOSE(D270,(1-Tech_share)*G270,(1-Tech_share)*G270,G270+D_dT,G270)</f>
        <v>95.8987511349868</v>
      </c>
      <c r="O270" s="14" t="n">
        <f aca="false">CHOOSE(D270,H270-W_lost,H270,H270,H270+W_gain)</f>
        <v>58</v>
      </c>
      <c r="P270" s="16" t="n">
        <f aca="false">CHOOSE(D270,I270,I270,I270+D_dE,I270+Close_A*(Ceil_E-I270))</f>
        <v>76.1966619446489</v>
      </c>
      <c r="Q270" s="14" t="n">
        <f aca="false">CHOOSE(D270,1,1,J270,J270)</f>
        <v>1</v>
      </c>
      <c r="R270" s="14" t="n">
        <f aca="false">IF(L270=1,IF(SUMPRODUCT(($L$35:$L$269=1)*(ABS($M$35:$M$269-M270)&lt;0.000001)*(ABS($N$35:$N$269-N270)&lt;0.000001)*($O$35:$O$269=O270)*(ABS($P$35:$P$269-P270)&lt;0.000001)*($Q$35:$Q$269=Q270)*($V$35:$V$269=V270))=0,1,0),0)</f>
        <v>0</v>
      </c>
      <c r="S270" s="14" t="n">
        <f aca="false">IF(AND(L270=1,N270&gt;=$B$4-0.000000001,P270&gt;=$B$6-0.000000001,M270&gt;=Floor_q+$B$5-0.000000001),1,0)</f>
        <v>0</v>
      </c>
      <c r="T270" s="14" t="n">
        <f aca="false">L270*(IF(1&lt;=2,1-Q270,IF(1=3,IF(AND(V270=0,O270&gt;=W_min,M270-D_dip&gt;=Floor_q),1,0),IF(AND(O270&gt;=W_min,M270&gt;=Pre_A),1,0)))+IF(2&lt;=2,1-Q270,IF(2=3,IF(AND(V270=0,O270&gt;=W_min,M270-D_dip&gt;=Floor_q),1,0),IF(AND(O270&gt;=W_min,M270&gt;=Pre_A),1,0)))+IF(3&lt;=2,1-Q270,IF(3=3,IF(AND(V270=0,O270&gt;=W_min,M270-D_dip&gt;=Floor_q),1,0),IF(AND(O270&gt;=W_min,M270&gt;=Pre_A),1,0)))+IF(4&lt;=2,1-Q270,IF(4=3,IF(AND(V270=0,O270&gt;=W_min,M270-D_dip&gt;=Floor_q),1,0),IF(AND(O270&gt;=W_min,M270&gt;=Pre_A),1,0))))</f>
        <v>0</v>
      </c>
      <c r="U270" s="14" t="n">
        <f aca="false">V93</f>
        <v>1</v>
      </c>
      <c r="V270" s="14" t="n">
        <f aca="false">CHOOSE(D270,U270,U270,1,U270)</f>
        <v>1</v>
      </c>
    </row>
    <row r="271" customFormat="false" ht="15" hidden="false" customHeight="true" outlineLevel="0" collapsed="false">
      <c r="A271" s="3" t="s">
        <v>509</v>
      </c>
      <c r="B271" s="14" t="n">
        <v>4</v>
      </c>
      <c r="C271" s="14" t="n">
        <v>93</v>
      </c>
      <c r="D271" s="14" t="n">
        <v>4</v>
      </c>
      <c r="E271" s="14" t="n">
        <f aca="false">L93</f>
        <v>0</v>
      </c>
      <c r="F271" s="19" t="n">
        <f aca="false">M93</f>
        <v>768.632729102868</v>
      </c>
      <c r="G271" s="19" t="n">
        <f aca="false">N93</f>
        <v>61.264081999635</v>
      </c>
      <c r="H271" s="14" t="n">
        <f aca="false">O93</f>
        <v>58</v>
      </c>
      <c r="I271" s="16" t="n">
        <f aca="false">P93</f>
        <v>73.5983309723245</v>
      </c>
      <c r="J271" s="14" t="n">
        <f aca="false">Q93</f>
        <v>1</v>
      </c>
      <c r="K271" s="14" t="n">
        <f aca="false">IF(D271&lt;=2,1-J271,IF(D271=3,IF(AND(U271=0,H271&gt;=W_min,F271-D_dip&gt;=Floor_q),1,0),IF(AND(H271&gt;=W_min,F271&gt;=Pre_A),1,0)))</f>
        <v>1</v>
      </c>
      <c r="L271" s="14" t="n">
        <f aca="false">E271*K271</f>
        <v>0</v>
      </c>
      <c r="M271" s="19" t="n">
        <f aca="false">CHOOSE(D271,F271+Proc_S,F271+Proc_Sk,F271+D_dL,F271-Cost_A)</f>
        <v>648.632729102868</v>
      </c>
      <c r="N271" s="19" t="n">
        <f aca="false">CHOOSE(D271,(1-Tech_share)*G271,(1-Tech_share)*G271,G271+D_dT,G271)</f>
        <v>61.264081999635</v>
      </c>
      <c r="O271" s="14" t="n">
        <f aca="false">CHOOSE(D271,H271-W_lost,H271,H271,H271+W_gain)</f>
        <v>59</v>
      </c>
      <c r="P271" s="16" t="n">
        <f aca="false">CHOOSE(D271,I271,I271,I271+D_dE,I271+Close_A*(Ceil_E-I271))</f>
        <v>79.2991654861622</v>
      </c>
      <c r="Q271" s="14" t="n">
        <f aca="false">CHOOSE(D271,1,1,J271,J271)</f>
        <v>1</v>
      </c>
      <c r="R271" s="14" t="n">
        <f aca="false">IF(L271=1,IF(SUMPRODUCT(($L$35:$L$270=1)*(ABS($M$35:$M$270-M271)&lt;0.000001)*(ABS($N$35:$N$270-N271)&lt;0.000001)*($O$35:$O$270=O271)*(ABS($P$35:$P$270-P271)&lt;0.000001)*($Q$35:$Q$270=Q271)*($V$35:$V$270=V271))=0,1,0),0)</f>
        <v>0</v>
      </c>
      <c r="S271" s="14" t="n">
        <f aca="false">IF(AND(L271=1,N271&gt;=$B$4-0.000000001,P271&gt;=$B$6-0.000000001,M271&gt;=Floor_q+$B$5-0.000000001),1,0)</f>
        <v>0</v>
      </c>
      <c r="T271" s="14" t="n">
        <f aca="false">L271*(IF(1&lt;=2,1-Q271,IF(1=3,IF(AND(V271=0,O271&gt;=W_min,M271-D_dip&gt;=Floor_q),1,0),IF(AND(O271&gt;=W_min,M271&gt;=Pre_A),1,0)))+IF(2&lt;=2,1-Q271,IF(2=3,IF(AND(V271=0,O271&gt;=W_min,M271-D_dip&gt;=Floor_q),1,0),IF(AND(O271&gt;=W_min,M271&gt;=Pre_A),1,0)))+IF(3&lt;=2,1-Q271,IF(3=3,IF(AND(V271=0,O271&gt;=W_min,M271-D_dip&gt;=Floor_q),1,0),IF(AND(O271&gt;=W_min,M271&gt;=Pre_A),1,0)))+IF(4&lt;=2,1-Q271,IF(4=3,IF(AND(V271=0,O271&gt;=W_min,M271-D_dip&gt;=Floor_q),1,0),IF(AND(O271&gt;=W_min,M271&gt;=Pre_A),1,0))))</f>
        <v>0</v>
      </c>
      <c r="U271" s="14" t="n">
        <f aca="false">V93</f>
        <v>1</v>
      </c>
      <c r="V271" s="14" t="n">
        <f aca="false">CHOOSE(D271,U271,U271,1,U271)</f>
        <v>1</v>
      </c>
    </row>
    <row r="272" customFormat="false" ht="15" hidden="false" customHeight="true" outlineLevel="0" collapsed="false">
      <c r="A272" s="3" t="s">
        <v>510</v>
      </c>
      <c r="B272" s="14" t="n">
        <v>4</v>
      </c>
      <c r="C272" s="14" t="n">
        <v>94</v>
      </c>
      <c r="D272" s="14" t="n">
        <v>1</v>
      </c>
      <c r="E272" s="14" t="n">
        <f aca="false">L94</f>
        <v>0</v>
      </c>
      <c r="F272" s="19" t="n">
        <f aca="false">M94</f>
        <v>641.265458205737</v>
      </c>
      <c r="G272" s="19" t="n">
        <f aca="false">N94</f>
        <v>102.705871357168</v>
      </c>
      <c r="H272" s="14" t="n">
        <f aca="false">O94</f>
        <v>58</v>
      </c>
      <c r="I272" s="16" t="n">
        <f aca="false">P94</f>
        <v>76.1966619446489</v>
      </c>
      <c r="J272" s="14" t="n">
        <f aca="false">Q94</f>
        <v>1</v>
      </c>
      <c r="K272" s="14" t="n">
        <f aca="false">IF(D272&lt;=2,1-J272,IF(D272=3,IF(AND(U272=0,H272&gt;=W_min,F272-D_dip&gt;=Floor_q),1,0),IF(AND(H272&gt;=W_min,F272&gt;=Pre_A),1,0)))</f>
        <v>0</v>
      </c>
      <c r="L272" s="14" t="n">
        <f aca="false">E272*K272</f>
        <v>0</v>
      </c>
      <c r="M272" s="19" t="n">
        <f aca="false">CHOOSE(D272,F272+Proc_S,F272+Proc_Sk,F272+D_dL,F272-Cost_A)</f>
        <v>753.265458205737</v>
      </c>
      <c r="N272" s="19" t="n">
        <f aca="false">CHOOSE(D272,(1-Tech_share)*G272,(1-Tech_share)*G272,G272+D_dT,G272)</f>
        <v>92.4352842214516</v>
      </c>
      <c r="O272" s="14" t="n">
        <f aca="false">CHOOSE(D272,H272-W_lost,H272,H272,H272+W_gain)</f>
        <v>53</v>
      </c>
      <c r="P272" s="16" t="n">
        <f aca="false">CHOOSE(D272,I272,I272,I272+D_dE,I272+Close_A*(Ceil_E-I272))</f>
        <v>76.1966619446489</v>
      </c>
      <c r="Q272" s="14" t="n">
        <f aca="false">CHOOSE(D272,1,1,J272,J272)</f>
        <v>1</v>
      </c>
      <c r="R272" s="14" t="n">
        <f aca="false">IF(L272=1,IF(SUMPRODUCT(($L$35:$L$271=1)*(ABS($M$35:$M$271-M272)&lt;0.000001)*(ABS($N$35:$N$271-N272)&lt;0.000001)*($O$35:$O$271=O272)*(ABS($P$35:$P$271-P272)&lt;0.000001)*($Q$35:$Q$271=Q272)*($V$35:$V$271=V272))=0,1,0),0)</f>
        <v>0</v>
      </c>
      <c r="S272" s="14" t="n">
        <f aca="false">IF(AND(L272=1,N272&gt;=$B$4-0.000000001,P272&gt;=$B$6-0.000000001,M272&gt;=Floor_q+$B$5-0.000000001),1,0)</f>
        <v>0</v>
      </c>
      <c r="T272" s="14" t="n">
        <f aca="false">L272*(IF(1&lt;=2,1-Q272,IF(1=3,IF(AND(V272=0,O272&gt;=W_min,M272-D_dip&gt;=Floor_q),1,0),IF(AND(O272&gt;=W_min,M272&gt;=Pre_A),1,0)))+IF(2&lt;=2,1-Q272,IF(2=3,IF(AND(V272=0,O272&gt;=W_min,M272-D_dip&gt;=Floor_q),1,0),IF(AND(O272&gt;=W_min,M272&gt;=Pre_A),1,0)))+IF(3&lt;=2,1-Q272,IF(3=3,IF(AND(V272=0,O272&gt;=W_min,M272-D_dip&gt;=Floor_q),1,0),IF(AND(O272&gt;=W_min,M272&gt;=Pre_A),1,0)))+IF(4&lt;=2,1-Q272,IF(4=3,IF(AND(V272=0,O272&gt;=W_min,M272-D_dip&gt;=Floor_q),1,0),IF(AND(O272&gt;=W_min,M272&gt;=Pre_A),1,0))))</f>
        <v>0</v>
      </c>
      <c r="U272" s="14" t="n">
        <f aca="false">V94</f>
        <v>1</v>
      </c>
      <c r="V272" s="14" t="n">
        <f aca="false">CHOOSE(D272,U272,U272,1,U272)</f>
        <v>1</v>
      </c>
    </row>
    <row r="273" customFormat="false" ht="15" hidden="false" customHeight="true" outlineLevel="0" collapsed="false">
      <c r="A273" s="3" t="s">
        <v>511</v>
      </c>
      <c r="B273" s="14" t="n">
        <v>4</v>
      </c>
      <c r="C273" s="14" t="n">
        <v>94</v>
      </c>
      <c r="D273" s="14" t="n">
        <v>2</v>
      </c>
      <c r="E273" s="14" t="n">
        <f aca="false">L94</f>
        <v>0</v>
      </c>
      <c r="F273" s="19" t="n">
        <f aca="false">M94</f>
        <v>641.265458205737</v>
      </c>
      <c r="G273" s="19" t="n">
        <f aca="false">N94</f>
        <v>102.705871357168</v>
      </c>
      <c r="H273" s="14" t="n">
        <f aca="false">O94</f>
        <v>58</v>
      </c>
      <c r="I273" s="16" t="n">
        <f aca="false">P94</f>
        <v>76.1966619446489</v>
      </c>
      <c r="J273" s="14" t="n">
        <f aca="false">Q94</f>
        <v>1</v>
      </c>
      <c r="K273" s="14" t="n">
        <f aca="false">IF(D273&lt;=2,1-J273,IF(D273=3,IF(AND(U273=0,H273&gt;=W_min,F273-D_dip&gt;=Floor_q),1,0),IF(AND(H273&gt;=W_min,F273&gt;=Pre_A),1,0)))</f>
        <v>0</v>
      </c>
      <c r="L273" s="14" t="n">
        <f aca="false">E273*K273</f>
        <v>0</v>
      </c>
      <c r="M273" s="19" t="n">
        <f aca="false">CHOOSE(D273,F273+Proc_S,F273+Proc_Sk,F273+D_dL,F273-Cost_A)</f>
        <v>733.265458205737</v>
      </c>
      <c r="N273" s="19" t="n">
        <f aca="false">CHOOSE(D273,(1-Tech_share)*G273,(1-Tech_share)*G273,G273+D_dT,G273)</f>
        <v>92.4352842214516</v>
      </c>
      <c r="O273" s="14" t="n">
        <f aca="false">CHOOSE(D273,H273-W_lost,H273,H273,H273+W_gain)</f>
        <v>58</v>
      </c>
      <c r="P273" s="16" t="n">
        <f aca="false">CHOOSE(D273,I273,I273,I273+D_dE,I273+Close_A*(Ceil_E-I273))</f>
        <v>76.1966619446489</v>
      </c>
      <c r="Q273" s="14" t="n">
        <f aca="false">CHOOSE(D273,1,1,J273,J273)</f>
        <v>1</v>
      </c>
      <c r="R273" s="14" t="n">
        <f aca="false">IF(L273=1,IF(SUMPRODUCT(($L$35:$L$272=1)*(ABS($M$35:$M$272-M273)&lt;0.000001)*(ABS($N$35:$N$272-N273)&lt;0.000001)*($O$35:$O$272=O273)*(ABS($P$35:$P$272-P273)&lt;0.000001)*($Q$35:$Q$272=Q273)*($V$35:$V$272=V273))=0,1,0),0)</f>
        <v>0</v>
      </c>
      <c r="S273" s="14" t="n">
        <f aca="false">IF(AND(L273=1,N273&gt;=$B$4-0.000000001,P273&gt;=$B$6-0.000000001,M273&gt;=Floor_q+$B$5-0.000000001),1,0)</f>
        <v>0</v>
      </c>
      <c r="T273" s="14" t="n">
        <f aca="false">L273*(IF(1&lt;=2,1-Q273,IF(1=3,IF(AND(V273=0,O273&gt;=W_min,M273-D_dip&gt;=Floor_q),1,0),IF(AND(O273&gt;=W_min,M273&gt;=Pre_A),1,0)))+IF(2&lt;=2,1-Q273,IF(2=3,IF(AND(V273=0,O273&gt;=W_min,M273-D_dip&gt;=Floor_q),1,0),IF(AND(O273&gt;=W_min,M273&gt;=Pre_A),1,0)))+IF(3&lt;=2,1-Q273,IF(3=3,IF(AND(V273=0,O273&gt;=W_min,M273-D_dip&gt;=Floor_q),1,0),IF(AND(O273&gt;=W_min,M273&gt;=Pre_A),1,0)))+IF(4&lt;=2,1-Q273,IF(4=3,IF(AND(V273=0,O273&gt;=W_min,M273-D_dip&gt;=Floor_q),1,0),IF(AND(O273&gt;=W_min,M273&gt;=Pre_A),1,0))))</f>
        <v>0</v>
      </c>
      <c r="U273" s="14" t="n">
        <f aca="false">V94</f>
        <v>1</v>
      </c>
      <c r="V273" s="14" t="n">
        <f aca="false">CHOOSE(D273,U273,U273,1,U273)</f>
        <v>1</v>
      </c>
    </row>
    <row r="274" customFormat="false" ht="15" hidden="false" customHeight="true" outlineLevel="0" collapsed="false">
      <c r="A274" s="3" t="s">
        <v>512</v>
      </c>
      <c r="B274" s="14" t="n">
        <v>4</v>
      </c>
      <c r="C274" s="14" t="n">
        <v>94</v>
      </c>
      <c r="D274" s="14" t="n">
        <v>3</v>
      </c>
      <c r="E274" s="14" t="n">
        <f aca="false">L94</f>
        <v>0</v>
      </c>
      <c r="F274" s="19" t="n">
        <f aca="false">M94</f>
        <v>641.265458205737</v>
      </c>
      <c r="G274" s="19" t="n">
        <f aca="false">N94</f>
        <v>102.705871357168</v>
      </c>
      <c r="H274" s="14" t="n">
        <f aca="false">O94</f>
        <v>58</v>
      </c>
      <c r="I274" s="16" t="n">
        <f aca="false">P94</f>
        <v>76.1966619446489</v>
      </c>
      <c r="J274" s="14" t="n">
        <f aca="false">Q94</f>
        <v>1</v>
      </c>
      <c r="K274" s="14" t="n">
        <f aca="false">IF(D274&lt;=2,1-J274,IF(D274=3,IF(AND(U274=0,H274&gt;=W_min,F274-D_dip&gt;=Floor_q),1,0),IF(AND(H274&gt;=W_min,F274&gt;=Pre_A),1,0)))</f>
        <v>0</v>
      </c>
      <c r="L274" s="14" t="n">
        <f aca="false">E274*K274</f>
        <v>0</v>
      </c>
      <c r="M274" s="19" t="n">
        <f aca="false">CHOOSE(D274,F274+Proc_S,F274+Proc_Sk,F274+D_dL,F274-Cost_A)</f>
        <v>605.898187308605</v>
      </c>
      <c r="N274" s="19" t="n">
        <f aca="false">CHOOSE(D274,(1-Tech_share)*G274,(1-Tech_share)*G274,G274+D_dT,G274)</f>
        <v>137.34054049252</v>
      </c>
      <c r="O274" s="14" t="n">
        <f aca="false">CHOOSE(D274,H274-W_lost,H274,H274,H274+W_gain)</f>
        <v>58</v>
      </c>
      <c r="P274" s="16" t="n">
        <f aca="false">CHOOSE(D274,I274,I274,I274+D_dE,I274+Close_A*(Ceil_E-I274))</f>
        <v>78.7949929169734</v>
      </c>
      <c r="Q274" s="14" t="n">
        <f aca="false">CHOOSE(D274,1,1,J274,J274)</f>
        <v>1</v>
      </c>
      <c r="R274" s="14" t="n">
        <f aca="false">IF(L274=1,IF(SUMPRODUCT(($L$35:$L$273=1)*(ABS($M$35:$M$273-M274)&lt;0.000001)*(ABS($N$35:$N$273-N274)&lt;0.000001)*($O$35:$O$273=O274)*(ABS($P$35:$P$273-P274)&lt;0.000001)*($Q$35:$Q$273=Q274)*($V$35:$V$273=V274))=0,1,0),0)</f>
        <v>0</v>
      </c>
      <c r="S274" s="14" t="n">
        <f aca="false">IF(AND(L274=1,N274&gt;=$B$4-0.000000001,P274&gt;=$B$6-0.000000001,M274&gt;=Floor_q+$B$5-0.000000001),1,0)</f>
        <v>0</v>
      </c>
      <c r="T274" s="14" t="n">
        <f aca="false">L274*(IF(1&lt;=2,1-Q274,IF(1=3,IF(AND(V274=0,O274&gt;=W_min,M274-D_dip&gt;=Floor_q),1,0),IF(AND(O274&gt;=W_min,M274&gt;=Pre_A),1,0)))+IF(2&lt;=2,1-Q274,IF(2=3,IF(AND(V274=0,O274&gt;=W_min,M274-D_dip&gt;=Floor_q),1,0),IF(AND(O274&gt;=W_min,M274&gt;=Pre_A),1,0)))+IF(3&lt;=2,1-Q274,IF(3=3,IF(AND(V274=0,O274&gt;=W_min,M274-D_dip&gt;=Floor_q),1,0),IF(AND(O274&gt;=W_min,M274&gt;=Pre_A),1,0)))+IF(4&lt;=2,1-Q274,IF(4=3,IF(AND(V274=0,O274&gt;=W_min,M274-D_dip&gt;=Floor_q),1,0),IF(AND(O274&gt;=W_min,M274&gt;=Pre_A),1,0))))</f>
        <v>0</v>
      </c>
      <c r="U274" s="14" t="n">
        <f aca="false">V94</f>
        <v>1</v>
      </c>
      <c r="V274" s="14" t="n">
        <f aca="false">CHOOSE(D274,U274,U274,1,U274)</f>
        <v>1</v>
      </c>
    </row>
    <row r="275" customFormat="false" ht="15" hidden="false" customHeight="true" outlineLevel="0" collapsed="false">
      <c r="A275" s="3" t="s">
        <v>513</v>
      </c>
      <c r="B275" s="14" t="n">
        <v>4</v>
      </c>
      <c r="C275" s="14" t="n">
        <v>94</v>
      </c>
      <c r="D275" s="14" t="n">
        <v>4</v>
      </c>
      <c r="E275" s="14" t="n">
        <f aca="false">L94</f>
        <v>0</v>
      </c>
      <c r="F275" s="19" t="n">
        <f aca="false">M94</f>
        <v>641.265458205737</v>
      </c>
      <c r="G275" s="19" t="n">
        <f aca="false">N94</f>
        <v>102.705871357168</v>
      </c>
      <c r="H275" s="14" t="n">
        <f aca="false">O94</f>
        <v>58</v>
      </c>
      <c r="I275" s="16" t="n">
        <f aca="false">P94</f>
        <v>76.1966619446489</v>
      </c>
      <c r="J275" s="14" t="n">
        <f aca="false">Q94</f>
        <v>1</v>
      </c>
      <c r="K275" s="14" t="n">
        <f aca="false">IF(D275&lt;=2,1-J275,IF(D275=3,IF(AND(U275=0,H275&gt;=W_min,F275-D_dip&gt;=Floor_q),1,0),IF(AND(H275&gt;=W_min,F275&gt;=Pre_A),1,0)))</f>
        <v>1</v>
      </c>
      <c r="L275" s="14" t="n">
        <f aca="false">E275*K275</f>
        <v>0</v>
      </c>
      <c r="M275" s="19" t="n">
        <f aca="false">CHOOSE(D275,F275+Proc_S,F275+Proc_Sk,F275+D_dL,F275-Cost_A)</f>
        <v>521.265458205737</v>
      </c>
      <c r="N275" s="19" t="n">
        <f aca="false">CHOOSE(D275,(1-Tech_share)*G275,(1-Tech_share)*G275,G275+D_dT,G275)</f>
        <v>102.705871357168</v>
      </c>
      <c r="O275" s="14" t="n">
        <f aca="false">CHOOSE(D275,H275-W_lost,H275,H275,H275+W_gain)</f>
        <v>59</v>
      </c>
      <c r="P275" s="16" t="n">
        <f aca="false">CHOOSE(D275,I275,I275,I275+D_dE,I275+Close_A*(Ceil_E-I275))</f>
        <v>80.5983309723245</v>
      </c>
      <c r="Q275" s="14" t="n">
        <f aca="false">CHOOSE(D275,1,1,J275,J275)</f>
        <v>1</v>
      </c>
      <c r="R275" s="14" t="n">
        <f aca="false">IF(L275=1,IF(SUMPRODUCT(($L$35:$L$274=1)*(ABS($M$35:$M$274-M275)&lt;0.000001)*(ABS($N$35:$N$274-N275)&lt;0.000001)*($O$35:$O$274=O275)*(ABS($P$35:$P$274-P275)&lt;0.000001)*($Q$35:$Q$274=Q275)*($V$35:$V$274=V275))=0,1,0),0)</f>
        <v>0</v>
      </c>
      <c r="S275" s="14" t="n">
        <f aca="false">IF(AND(L275=1,N275&gt;=$B$4-0.000000001,P275&gt;=$B$6-0.000000001,M275&gt;=Floor_q+$B$5-0.000000001),1,0)</f>
        <v>0</v>
      </c>
      <c r="T275" s="14" t="n">
        <f aca="false">L275*(IF(1&lt;=2,1-Q275,IF(1=3,IF(AND(V275=0,O275&gt;=W_min,M275-D_dip&gt;=Floor_q),1,0),IF(AND(O275&gt;=W_min,M275&gt;=Pre_A),1,0)))+IF(2&lt;=2,1-Q275,IF(2=3,IF(AND(V275=0,O275&gt;=W_min,M275-D_dip&gt;=Floor_q),1,0),IF(AND(O275&gt;=W_min,M275&gt;=Pre_A),1,0)))+IF(3&lt;=2,1-Q275,IF(3=3,IF(AND(V275=0,O275&gt;=W_min,M275-D_dip&gt;=Floor_q),1,0),IF(AND(O275&gt;=W_min,M275&gt;=Pre_A),1,0)))+IF(4&lt;=2,1-Q275,IF(4=3,IF(AND(V275=0,O275&gt;=W_min,M275-D_dip&gt;=Floor_q),1,0),IF(AND(O275&gt;=W_min,M275&gt;=Pre_A),1,0))))</f>
        <v>0</v>
      </c>
      <c r="U275" s="14" t="n">
        <f aca="false">V94</f>
        <v>1</v>
      </c>
      <c r="V275" s="14" t="n">
        <f aca="false">CHOOSE(D275,U275,U275,1,U275)</f>
        <v>1</v>
      </c>
    </row>
    <row r="276" customFormat="false" ht="15" hidden="false" customHeight="true" outlineLevel="0" collapsed="false">
      <c r="A276" s="3" t="s">
        <v>514</v>
      </c>
      <c r="B276" s="14" t="n">
        <v>4</v>
      </c>
      <c r="C276" s="14" t="n">
        <v>95</v>
      </c>
      <c r="D276" s="14" t="n">
        <v>1</v>
      </c>
      <c r="E276" s="14" t="n">
        <f aca="false">L95</f>
        <v>1</v>
      </c>
      <c r="F276" s="19" t="n">
        <f aca="false">M95</f>
        <v>556.632729102868</v>
      </c>
      <c r="G276" s="19" t="n">
        <f aca="false">N95</f>
        <v>68.0712022218166</v>
      </c>
      <c r="H276" s="14" t="n">
        <f aca="false">O95</f>
        <v>59</v>
      </c>
      <c r="I276" s="16" t="n">
        <f aca="false">P95</f>
        <v>79.2991654861622</v>
      </c>
      <c r="J276" s="14" t="n">
        <f aca="false">Q95</f>
        <v>1</v>
      </c>
      <c r="K276" s="14" t="n">
        <f aca="false">IF(D276&lt;=2,1-J276,IF(D276=3,IF(AND(U276=0,H276&gt;=W_min,F276-D_dip&gt;=Floor_q),1,0),IF(AND(H276&gt;=W_min,F276&gt;=Pre_A),1,0)))</f>
        <v>0</v>
      </c>
      <c r="L276" s="14" t="n">
        <f aca="false">E276*K276</f>
        <v>0</v>
      </c>
      <c r="M276" s="19" t="n">
        <f aca="false">CHOOSE(D276,F276+Proc_S,F276+Proc_Sk,F276+D_dL,F276-Cost_A)</f>
        <v>668.632729102868</v>
      </c>
      <c r="N276" s="19" t="n">
        <f aca="false">CHOOSE(D276,(1-Tech_share)*G276,(1-Tech_share)*G276,G276+D_dT,G276)</f>
        <v>61.264081999635</v>
      </c>
      <c r="O276" s="14" t="n">
        <f aca="false">CHOOSE(D276,H276-W_lost,H276,H276,H276+W_gain)</f>
        <v>54</v>
      </c>
      <c r="P276" s="16" t="n">
        <f aca="false">CHOOSE(D276,I276,I276,I276+D_dE,I276+Close_A*(Ceil_E-I276))</f>
        <v>79.2991654861622</v>
      </c>
      <c r="Q276" s="14" t="n">
        <f aca="false">CHOOSE(D276,1,1,J276,J276)</f>
        <v>1</v>
      </c>
      <c r="R276" s="14" t="n">
        <f aca="false">IF(L276=1,IF(SUMPRODUCT(($L$35:$L$275=1)*(ABS($M$35:$M$275-M276)&lt;0.000001)*(ABS($N$35:$N$275-N276)&lt;0.000001)*($O$35:$O$275=O276)*(ABS($P$35:$P$275-P276)&lt;0.000001)*($Q$35:$Q$275=Q276)*($V$35:$V$275=V276))=0,1,0),0)</f>
        <v>0</v>
      </c>
      <c r="S276" s="14" t="n">
        <f aca="false">IF(AND(L276=1,N276&gt;=$B$4-0.000000001,P276&gt;=$B$6-0.000000001,M276&gt;=Floor_q+$B$5-0.000000001),1,0)</f>
        <v>0</v>
      </c>
      <c r="T276" s="14" t="n">
        <f aca="false">L276*(IF(1&lt;=2,1-Q276,IF(1=3,IF(AND(V276=0,O276&gt;=W_min,M276-D_dip&gt;=Floor_q),1,0),IF(AND(O276&gt;=W_min,M276&gt;=Pre_A),1,0)))+IF(2&lt;=2,1-Q276,IF(2=3,IF(AND(V276=0,O276&gt;=W_min,M276-D_dip&gt;=Floor_q),1,0),IF(AND(O276&gt;=W_min,M276&gt;=Pre_A),1,0)))+IF(3&lt;=2,1-Q276,IF(3=3,IF(AND(V276=0,O276&gt;=W_min,M276-D_dip&gt;=Floor_q),1,0),IF(AND(O276&gt;=W_min,M276&gt;=Pre_A),1,0)))+IF(4&lt;=2,1-Q276,IF(4=3,IF(AND(V276=0,O276&gt;=W_min,M276-D_dip&gt;=Floor_q),1,0),IF(AND(O276&gt;=W_min,M276&gt;=Pre_A),1,0))))</f>
        <v>0</v>
      </c>
      <c r="U276" s="14" t="n">
        <f aca="false">V95</f>
        <v>1</v>
      </c>
      <c r="V276" s="14" t="n">
        <f aca="false">CHOOSE(D276,U276,U276,1,U276)</f>
        <v>1</v>
      </c>
    </row>
    <row r="277" customFormat="false" ht="15" hidden="false" customHeight="true" outlineLevel="0" collapsed="false">
      <c r="A277" s="3" t="s">
        <v>515</v>
      </c>
      <c r="B277" s="14" t="n">
        <v>4</v>
      </c>
      <c r="C277" s="14" t="n">
        <v>95</v>
      </c>
      <c r="D277" s="14" t="n">
        <v>2</v>
      </c>
      <c r="E277" s="14" t="n">
        <f aca="false">L95</f>
        <v>1</v>
      </c>
      <c r="F277" s="19" t="n">
        <f aca="false">M95</f>
        <v>556.632729102868</v>
      </c>
      <c r="G277" s="19" t="n">
        <f aca="false">N95</f>
        <v>68.0712022218166</v>
      </c>
      <c r="H277" s="14" t="n">
        <f aca="false">O95</f>
        <v>59</v>
      </c>
      <c r="I277" s="16" t="n">
        <f aca="false">P95</f>
        <v>79.2991654861622</v>
      </c>
      <c r="J277" s="14" t="n">
        <f aca="false">Q95</f>
        <v>1</v>
      </c>
      <c r="K277" s="14" t="n">
        <f aca="false">IF(D277&lt;=2,1-J277,IF(D277=3,IF(AND(U277=0,H277&gt;=W_min,F277-D_dip&gt;=Floor_q),1,0),IF(AND(H277&gt;=W_min,F277&gt;=Pre_A),1,0)))</f>
        <v>0</v>
      </c>
      <c r="L277" s="14" t="n">
        <f aca="false">E277*K277</f>
        <v>0</v>
      </c>
      <c r="M277" s="19" t="n">
        <f aca="false">CHOOSE(D277,F277+Proc_S,F277+Proc_Sk,F277+D_dL,F277-Cost_A)</f>
        <v>648.632729102868</v>
      </c>
      <c r="N277" s="19" t="n">
        <f aca="false">CHOOSE(D277,(1-Tech_share)*G277,(1-Tech_share)*G277,G277+D_dT,G277)</f>
        <v>61.264081999635</v>
      </c>
      <c r="O277" s="14" t="n">
        <f aca="false">CHOOSE(D277,H277-W_lost,H277,H277,H277+W_gain)</f>
        <v>59</v>
      </c>
      <c r="P277" s="16" t="n">
        <f aca="false">CHOOSE(D277,I277,I277,I277+D_dE,I277+Close_A*(Ceil_E-I277))</f>
        <v>79.2991654861622</v>
      </c>
      <c r="Q277" s="14" t="n">
        <f aca="false">CHOOSE(D277,1,1,J277,J277)</f>
        <v>1</v>
      </c>
      <c r="R277" s="14" t="n">
        <f aca="false">IF(L277=1,IF(SUMPRODUCT(($L$35:$L$276=1)*(ABS($M$35:$M$276-M277)&lt;0.000001)*(ABS($N$35:$N$276-N277)&lt;0.000001)*($O$35:$O$276=O277)*(ABS($P$35:$P$276-P277)&lt;0.000001)*($Q$35:$Q$276=Q277)*($V$35:$V$276=V277))=0,1,0),0)</f>
        <v>0</v>
      </c>
      <c r="S277" s="14" t="n">
        <f aca="false">IF(AND(L277=1,N277&gt;=$B$4-0.000000001,P277&gt;=$B$6-0.000000001,M277&gt;=Floor_q+$B$5-0.000000001),1,0)</f>
        <v>0</v>
      </c>
      <c r="T277" s="14" t="n">
        <f aca="false">L277*(IF(1&lt;=2,1-Q277,IF(1=3,IF(AND(V277=0,O277&gt;=W_min,M277-D_dip&gt;=Floor_q),1,0),IF(AND(O277&gt;=W_min,M277&gt;=Pre_A),1,0)))+IF(2&lt;=2,1-Q277,IF(2=3,IF(AND(V277=0,O277&gt;=W_min,M277-D_dip&gt;=Floor_q),1,0),IF(AND(O277&gt;=W_min,M277&gt;=Pre_A),1,0)))+IF(3&lt;=2,1-Q277,IF(3=3,IF(AND(V277=0,O277&gt;=W_min,M277-D_dip&gt;=Floor_q),1,0),IF(AND(O277&gt;=W_min,M277&gt;=Pre_A),1,0)))+IF(4&lt;=2,1-Q277,IF(4=3,IF(AND(V277=0,O277&gt;=W_min,M277-D_dip&gt;=Floor_q),1,0),IF(AND(O277&gt;=W_min,M277&gt;=Pre_A),1,0))))</f>
        <v>0</v>
      </c>
      <c r="U277" s="14" t="n">
        <f aca="false">V95</f>
        <v>1</v>
      </c>
      <c r="V277" s="14" t="n">
        <f aca="false">CHOOSE(D277,U277,U277,1,U277)</f>
        <v>1</v>
      </c>
    </row>
    <row r="278" customFormat="false" ht="15" hidden="false" customHeight="true" outlineLevel="0" collapsed="false">
      <c r="A278" s="3" t="s">
        <v>516</v>
      </c>
      <c r="B278" s="14" t="n">
        <v>4</v>
      </c>
      <c r="C278" s="14" t="n">
        <v>95</v>
      </c>
      <c r="D278" s="14" t="n">
        <v>3</v>
      </c>
      <c r="E278" s="14" t="n">
        <f aca="false">L95</f>
        <v>1</v>
      </c>
      <c r="F278" s="19" t="n">
        <f aca="false">M95</f>
        <v>556.632729102868</v>
      </c>
      <c r="G278" s="19" t="n">
        <f aca="false">N95</f>
        <v>68.0712022218166</v>
      </c>
      <c r="H278" s="14" t="n">
        <f aca="false">O95</f>
        <v>59</v>
      </c>
      <c r="I278" s="16" t="n">
        <f aca="false">P95</f>
        <v>79.2991654861622</v>
      </c>
      <c r="J278" s="14" t="n">
        <f aca="false">Q95</f>
        <v>1</v>
      </c>
      <c r="K278" s="14" t="n">
        <f aca="false">IF(D278&lt;=2,1-J278,IF(D278=3,IF(AND(U278=0,H278&gt;=W_min,F278-D_dip&gt;=Floor_q),1,0),IF(AND(H278&gt;=W_min,F278&gt;=Pre_A),1,0)))</f>
        <v>0</v>
      </c>
      <c r="L278" s="14" t="n">
        <f aca="false">E278*K278</f>
        <v>0</v>
      </c>
      <c r="M278" s="19" t="n">
        <f aca="false">CHOOSE(D278,F278+Proc_S,F278+Proc_Sk,F278+D_dL,F278-Cost_A)</f>
        <v>521.265458205737</v>
      </c>
      <c r="N278" s="19" t="n">
        <f aca="false">CHOOSE(D278,(1-Tech_share)*G278,(1-Tech_share)*G278,G278+D_dT,G278)</f>
        <v>102.705871357168</v>
      </c>
      <c r="O278" s="14" t="n">
        <f aca="false">CHOOSE(D278,H278-W_lost,H278,H278,H278+W_gain)</f>
        <v>59</v>
      </c>
      <c r="P278" s="16" t="n">
        <f aca="false">CHOOSE(D278,I278,I278,I278+D_dE,I278+Close_A*(Ceil_E-I278))</f>
        <v>81.8974964584867</v>
      </c>
      <c r="Q278" s="14" t="n">
        <f aca="false">CHOOSE(D278,1,1,J278,J278)</f>
        <v>1</v>
      </c>
      <c r="R278" s="14" t="n">
        <f aca="false">IF(L278=1,IF(SUMPRODUCT(($L$35:$L$277=1)*(ABS($M$35:$M$277-M278)&lt;0.000001)*(ABS($N$35:$N$277-N278)&lt;0.000001)*($O$35:$O$277=O278)*(ABS($P$35:$P$277-P278)&lt;0.000001)*($Q$35:$Q$277=Q278)*($V$35:$V$277=V278))=0,1,0),0)</f>
        <v>0</v>
      </c>
      <c r="S278" s="14" t="n">
        <f aca="false">IF(AND(L278=1,N278&gt;=$B$4-0.000000001,P278&gt;=$B$6-0.000000001,M278&gt;=Floor_q+$B$5-0.000000001),1,0)</f>
        <v>0</v>
      </c>
      <c r="T278" s="14" t="n">
        <f aca="false">L278*(IF(1&lt;=2,1-Q278,IF(1=3,IF(AND(V278=0,O278&gt;=W_min,M278-D_dip&gt;=Floor_q),1,0),IF(AND(O278&gt;=W_min,M278&gt;=Pre_A),1,0)))+IF(2&lt;=2,1-Q278,IF(2=3,IF(AND(V278=0,O278&gt;=W_min,M278-D_dip&gt;=Floor_q),1,0),IF(AND(O278&gt;=W_min,M278&gt;=Pre_A),1,0)))+IF(3&lt;=2,1-Q278,IF(3=3,IF(AND(V278=0,O278&gt;=W_min,M278-D_dip&gt;=Floor_q),1,0),IF(AND(O278&gt;=W_min,M278&gt;=Pre_A),1,0)))+IF(4&lt;=2,1-Q278,IF(4=3,IF(AND(V278=0,O278&gt;=W_min,M278-D_dip&gt;=Floor_q),1,0),IF(AND(O278&gt;=W_min,M278&gt;=Pre_A),1,0))))</f>
        <v>0</v>
      </c>
      <c r="U278" s="14" t="n">
        <f aca="false">V95</f>
        <v>1</v>
      </c>
      <c r="V278" s="14" t="n">
        <f aca="false">CHOOSE(D278,U278,U278,1,U278)</f>
        <v>1</v>
      </c>
    </row>
    <row r="279" customFormat="false" ht="15" hidden="false" customHeight="true" outlineLevel="0" collapsed="false">
      <c r="A279" s="3" t="s">
        <v>517</v>
      </c>
      <c r="B279" s="14" t="n">
        <v>4</v>
      </c>
      <c r="C279" s="14" t="n">
        <v>95</v>
      </c>
      <c r="D279" s="14" t="n">
        <v>4</v>
      </c>
      <c r="E279" s="14" t="n">
        <f aca="false">L95</f>
        <v>1</v>
      </c>
      <c r="F279" s="19" t="n">
        <f aca="false">M95</f>
        <v>556.632729102868</v>
      </c>
      <c r="G279" s="19" t="n">
        <f aca="false">N95</f>
        <v>68.0712022218166</v>
      </c>
      <c r="H279" s="14" t="n">
        <f aca="false">O95</f>
        <v>59</v>
      </c>
      <c r="I279" s="16" t="n">
        <f aca="false">P95</f>
        <v>79.2991654861622</v>
      </c>
      <c r="J279" s="14" t="n">
        <f aca="false">Q95</f>
        <v>1</v>
      </c>
      <c r="K279" s="14" t="n">
        <f aca="false">IF(D279&lt;=2,1-J279,IF(D279=3,IF(AND(U279=0,H279&gt;=W_min,F279-D_dip&gt;=Floor_q),1,0),IF(AND(H279&gt;=W_min,F279&gt;=Pre_A),1,0)))</f>
        <v>1</v>
      </c>
      <c r="L279" s="14" t="n">
        <f aca="false">E279*K279</f>
        <v>1</v>
      </c>
      <c r="M279" s="19" t="n">
        <f aca="false">CHOOSE(D279,F279+Proc_S,F279+Proc_Sk,F279+D_dL,F279-Cost_A)</f>
        <v>436.632729102868</v>
      </c>
      <c r="N279" s="19" t="n">
        <f aca="false">CHOOSE(D279,(1-Tech_share)*G279,(1-Tech_share)*G279,G279+D_dT,G279)</f>
        <v>68.0712022218166</v>
      </c>
      <c r="O279" s="14" t="n">
        <f aca="false">CHOOSE(D279,H279-W_lost,H279,H279,H279+W_gain)</f>
        <v>60</v>
      </c>
      <c r="P279" s="16" t="n">
        <f aca="false">CHOOSE(D279,I279,I279,I279+D_dE,I279+Close_A*(Ceil_E-I279))</f>
        <v>82.1495827430811</v>
      </c>
      <c r="Q279" s="14" t="n">
        <f aca="false">CHOOSE(D279,1,1,J279,J279)</f>
        <v>1</v>
      </c>
      <c r="R279" s="14" t="n">
        <f aca="false">IF(L279=1,IF(SUMPRODUCT(($L$35:$L$278=1)*(ABS($M$35:$M$278-M279)&lt;0.000001)*(ABS($N$35:$N$278-N279)&lt;0.000001)*($O$35:$O$278=O279)*(ABS($P$35:$P$278-P279)&lt;0.000001)*($Q$35:$Q$278=Q279)*($V$35:$V$278=V279))=0,1,0),0)</f>
        <v>1</v>
      </c>
      <c r="S279" s="14" t="n">
        <f aca="false">IF(AND(L279=1,N279&gt;=$B$4-0.000000001,P279&gt;=$B$6-0.000000001,M279&gt;=Floor_q+$B$5-0.000000001),1,0)</f>
        <v>0</v>
      </c>
      <c r="T279" s="14" t="n">
        <f aca="false">L279*(IF(1&lt;=2,1-Q279,IF(1=3,IF(AND(V279=0,O279&gt;=W_min,M279-D_dip&gt;=Floor_q),1,0),IF(AND(O279&gt;=W_min,M279&gt;=Pre_A),1,0)))+IF(2&lt;=2,1-Q279,IF(2=3,IF(AND(V279=0,O279&gt;=W_min,M279-D_dip&gt;=Floor_q),1,0),IF(AND(O279&gt;=W_min,M279&gt;=Pre_A),1,0)))+IF(3&lt;=2,1-Q279,IF(3=3,IF(AND(V279=0,O279&gt;=W_min,M279-D_dip&gt;=Floor_q),1,0),IF(AND(O279&gt;=W_min,M279&gt;=Pre_A),1,0)))+IF(4&lt;=2,1-Q279,IF(4=3,IF(AND(V279=0,O279&gt;=W_min,M279-D_dip&gt;=Floor_q),1,0),IF(AND(O279&gt;=W_min,M279&gt;=Pre_A),1,0))))</f>
        <v>0</v>
      </c>
      <c r="U279" s="14" t="n">
        <f aca="false">V95</f>
        <v>1</v>
      </c>
      <c r="V279" s="14" t="n">
        <f aca="false">CHOOSE(D279,U279,U279,1,U279)</f>
        <v>1</v>
      </c>
    </row>
    <row r="280" customFormat="false" ht="15" hidden="false" customHeight="true" outlineLevel="0" collapsed="false">
      <c r="A280" s="3" t="s">
        <v>518</v>
      </c>
      <c r="B280" s="14" t="n">
        <v>4</v>
      </c>
      <c r="C280" s="14" t="n">
        <v>96</v>
      </c>
      <c r="D280" s="14" t="n">
        <v>1</v>
      </c>
      <c r="E280" s="14" t="n">
        <f aca="false">L96</f>
        <v>0</v>
      </c>
      <c r="F280" s="19" t="n">
        <f aca="false">M96</f>
        <v>661.265458205737</v>
      </c>
      <c r="G280" s="19" t="n">
        <f aca="false">N96</f>
        <v>99.2424044436333</v>
      </c>
      <c r="H280" s="14" t="n">
        <f aca="false">O96</f>
        <v>53</v>
      </c>
      <c r="I280" s="16" t="n">
        <f aca="false">P96</f>
        <v>76.1966619446489</v>
      </c>
      <c r="J280" s="14" t="n">
        <f aca="false">Q96</f>
        <v>1</v>
      </c>
      <c r="K280" s="14" t="n">
        <f aca="false">IF(D280&lt;=2,1-J280,IF(D280=3,IF(AND(U280=0,H280&gt;=W_min,F280-D_dip&gt;=Floor_q),1,0),IF(AND(H280&gt;=W_min,F280&gt;=Pre_A),1,0)))</f>
        <v>0</v>
      </c>
      <c r="L280" s="14" t="n">
        <f aca="false">E280*K280</f>
        <v>0</v>
      </c>
      <c r="M280" s="19" t="n">
        <f aca="false">CHOOSE(D280,F280+Proc_S,F280+Proc_Sk,F280+D_dL,F280-Cost_A)</f>
        <v>773.265458205737</v>
      </c>
      <c r="N280" s="19" t="n">
        <f aca="false">CHOOSE(D280,(1-Tech_share)*G280,(1-Tech_share)*G280,G280+D_dT,G280)</f>
        <v>89.3181639992699</v>
      </c>
      <c r="O280" s="14" t="n">
        <f aca="false">CHOOSE(D280,H280-W_lost,H280,H280,H280+W_gain)</f>
        <v>48</v>
      </c>
      <c r="P280" s="16" t="n">
        <f aca="false">CHOOSE(D280,I280,I280,I280+D_dE,I280+Close_A*(Ceil_E-I280))</f>
        <v>76.1966619446489</v>
      </c>
      <c r="Q280" s="14" t="n">
        <f aca="false">CHOOSE(D280,1,1,J280,J280)</f>
        <v>1</v>
      </c>
      <c r="R280" s="14" t="n">
        <f aca="false">IF(L280=1,IF(SUMPRODUCT(($L$35:$L$279=1)*(ABS($M$35:$M$279-M280)&lt;0.000001)*(ABS($N$35:$N$279-N280)&lt;0.000001)*($O$35:$O$279=O280)*(ABS($P$35:$P$279-P280)&lt;0.000001)*($Q$35:$Q$279=Q280)*($V$35:$V$279=V280))=0,1,0),0)</f>
        <v>0</v>
      </c>
      <c r="S280" s="14" t="n">
        <f aca="false">IF(AND(L280=1,N280&gt;=$B$4-0.000000001,P280&gt;=$B$6-0.000000001,M280&gt;=Floor_q+$B$5-0.000000001),1,0)</f>
        <v>0</v>
      </c>
      <c r="T280" s="14" t="n">
        <f aca="false">L280*(IF(1&lt;=2,1-Q280,IF(1=3,IF(AND(V280=0,O280&gt;=W_min,M280-D_dip&gt;=Floor_q),1,0),IF(AND(O280&gt;=W_min,M280&gt;=Pre_A),1,0)))+IF(2&lt;=2,1-Q280,IF(2=3,IF(AND(V280=0,O280&gt;=W_min,M280-D_dip&gt;=Floor_q),1,0),IF(AND(O280&gt;=W_min,M280&gt;=Pre_A),1,0)))+IF(3&lt;=2,1-Q280,IF(3=3,IF(AND(V280=0,O280&gt;=W_min,M280-D_dip&gt;=Floor_q),1,0),IF(AND(O280&gt;=W_min,M280&gt;=Pre_A),1,0)))+IF(4&lt;=2,1-Q280,IF(4=3,IF(AND(V280=0,O280&gt;=W_min,M280-D_dip&gt;=Floor_q),1,0),IF(AND(O280&gt;=W_min,M280&gt;=Pre_A),1,0))))</f>
        <v>0</v>
      </c>
      <c r="U280" s="14" t="n">
        <f aca="false">V96</f>
        <v>1</v>
      </c>
      <c r="V280" s="14" t="n">
        <f aca="false">CHOOSE(D280,U280,U280,1,U280)</f>
        <v>1</v>
      </c>
    </row>
    <row r="281" customFormat="false" ht="15" hidden="false" customHeight="true" outlineLevel="0" collapsed="false">
      <c r="A281" s="3" t="s">
        <v>519</v>
      </c>
      <c r="B281" s="14" t="n">
        <v>4</v>
      </c>
      <c r="C281" s="14" t="n">
        <v>96</v>
      </c>
      <c r="D281" s="14" t="n">
        <v>2</v>
      </c>
      <c r="E281" s="14" t="n">
        <f aca="false">L96</f>
        <v>0</v>
      </c>
      <c r="F281" s="19" t="n">
        <f aca="false">M96</f>
        <v>661.265458205737</v>
      </c>
      <c r="G281" s="19" t="n">
        <f aca="false">N96</f>
        <v>99.2424044436333</v>
      </c>
      <c r="H281" s="14" t="n">
        <f aca="false">O96</f>
        <v>53</v>
      </c>
      <c r="I281" s="16" t="n">
        <f aca="false">P96</f>
        <v>76.1966619446489</v>
      </c>
      <c r="J281" s="14" t="n">
        <f aca="false">Q96</f>
        <v>1</v>
      </c>
      <c r="K281" s="14" t="n">
        <f aca="false">IF(D281&lt;=2,1-J281,IF(D281=3,IF(AND(U281=0,H281&gt;=W_min,F281-D_dip&gt;=Floor_q),1,0),IF(AND(H281&gt;=W_min,F281&gt;=Pre_A),1,0)))</f>
        <v>0</v>
      </c>
      <c r="L281" s="14" t="n">
        <f aca="false">E281*K281</f>
        <v>0</v>
      </c>
      <c r="M281" s="19" t="n">
        <f aca="false">CHOOSE(D281,F281+Proc_S,F281+Proc_Sk,F281+D_dL,F281-Cost_A)</f>
        <v>753.265458205737</v>
      </c>
      <c r="N281" s="19" t="n">
        <f aca="false">CHOOSE(D281,(1-Tech_share)*G281,(1-Tech_share)*G281,G281+D_dT,G281)</f>
        <v>89.3181639992699</v>
      </c>
      <c r="O281" s="14" t="n">
        <f aca="false">CHOOSE(D281,H281-W_lost,H281,H281,H281+W_gain)</f>
        <v>53</v>
      </c>
      <c r="P281" s="16" t="n">
        <f aca="false">CHOOSE(D281,I281,I281,I281+D_dE,I281+Close_A*(Ceil_E-I281))</f>
        <v>76.1966619446489</v>
      </c>
      <c r="Q281" s="14" t="n">
        <f aca="false">CHOOSE(D281,1,1,J281,J281)</f>
        <v>1</v>
      </c>
      <c r="R281" s="14" t="n">
        <f aca="false">IF(L281=1,IF(SUMPRODUCT(($L$35:$L$280=1)*(ABS($M$35:$M$280-M281)&lt;0.000001)*(ABS($N$35:$N$280-N281)&lt;0.000001)*($O$35:$O$280=O281)*(ABS($P$35:$P$280-P281)&lt;0.000001)*($Q$35:$Q$280=Q281)*($V$35:$V$280=V281))=0,1,0),0)</f>
        <v>0</v>
      </c>
      <c r="S281" s="14" t="n">
        <f aca="false">IF(AND(L281=1,N281&gt;=$B$4-0.000000001,P281&gt;=$B$6-0.000000001,M281&gt;=Floor_q+$B$5-0.000000001),1,0)</f>
        <v>0</v>
      </c>
      <c r="T281" s="14" t="n">
        <f aca="false">L281*(IF(1&lt;=2,1-Q281,IF(1=3,IF(AND(V281=0,O281&gt;=W_min,M281-D_dip&gt;=Floor_q),1,0),IF(AND(O281&gt;=W_min,M281&gt;=Pre_A),1,0)))+IF(2&lt;=2,1-Q281,IF(2=3,IF(AND(V281=0,O281&gt;=W_min,M281-D_dip&gt;=Floor_q),1,0),IF(AND(O281&gt;=W_min,M281&gt;=Pre_A),1,0)))+IF(3&lt;=2,1-Q281,IF(3=3,IF(AND(V281=0,O281&gt;=W_min,M281-D_dip&gt;=Floor_q),1,0),IF(AND(O281&gt;=W_min,M281&gt;=Pre_A),1,0)))+IF(4&lt;=2,1-Q281,IF(4=3,IF(AND(V281=0,O281&gt;=W_min,M281-D_dip&gt;=Floor_q),1,0),IF(AND(O281&gt;=W_min,M281&gt;=Pre_A),1,0))))</f>
        <v>0</v>
      </c>
      <c r="U281" s="14" t="n">
        <f aca="false">V96</f>
        <v>1</v>
      </c>
      <c r="V281" s="14" t="n">
        <f aca="false">CHOOSE(D281,U281,U281,1,U281)</f>
        <v>1</v>
      </c>
    </row>
    <row r="282" customFormat="false" ht="15" hidden="false" customHeight="true" outlineLevel="0" collapsed="false">
      <c r="A282" s="3" t="s">
        <v>520</v>
      </c>
      <c r="B282" s="14" t="n">
        <v>4</v>
      </c>
      <c r="C282" s="14" t="n">
        <v>96</v>
      </c>
      <c r="D282" s="14" t="n">
        <v>3</v>
      </c>
      <c r="E282" s="14" t="n">
        <f aca="false">L96</f>
        <v>0</v>
      </c>
      <c r="F282" s="19" t="n">
        <f aca="false">M96</f>
        <v>661.265458205737</v>
      </c>
      <c r="G282" s="19" t="n">
        <f aca="false">N96</f>
        <v>99.2424044436333</v>
      </c>
      <c r="H282" s="14" t="n">
        <f aca="false">O96</f>
        <v>53</v>
      </c>
      <c r="I282" s="16" t="n">
        <f aca="false">P96</f>
        <v>76.1966619446489</v>
      </c>
      <c r="J282" s="14" t="n">
        <f aca="false">Q96</f>
        <v>1</v>
      </c>
      <c r="K282" s="14" t="n">
        <f aca="false">IF(D282&lt;=2,1-J282,IF(D282=3,IF(AND(U282=0,H282&gt;=W_min,F282-D_dip&gt;=Floor_q),1,0),IF(AND(H282&gt;=W_min,F282&gt;=Pre_A),1,0)))</f>
        <v>0</v>
      </c>
      <c r="L282" s="14" t="n">
        <f aca="false">E282*K282</f>
        <v>0</v>
      </c>
      <c r="M282" s="19" t="n">
        <f aca="false">CHOOSE(D282,F282+Proc_S,F282+Proc_Sk,F282+D_dL,F282-Cost_A)</f>
        <v>625.898187308605</v>
      </c>
      <c r="N282" s="19" t="n">
        <f aca="false">CHOOSE(D282,(1-Tech_share)*G282,(1-Tech_share)*G282,G282+D_dT,G282)</f>
        <v>133.877073578985</v>
      </c>
      <c r="O282" s="14" t="n">
        <f aca="false">CHOOSE(D282,H282-W_lost,H282,H282,H282+W_gain)</f>
        <v>53</v>
      </c>
      <c r="P282" s="16" t="n">
        <f aca="false">CHOOSE(D282,I282,I282,I282+D_dE,I282+Close_A*(Ceil_E-I282))</f>
        <v>78.7949929169734</v>
      </c>
      <c r="Q282" s="14" t="n">
        <f aca="false">CHOOSE(D282,1,1,J282,J282)</f>
        <v>1</v>
      </c>
      <c r="R282" s="14" t="n">
        <f aca="false">IF(L282=1,IF(SUMPRODUCT(($L$35:$L$281=1)*(ABS($M$35:$M$281-M282)&lt;0.000001)*(ABS($N$35:$N$281-N282)&lt;0.000001)*($O$35:$O$281=O282)*(ABS($P$35:$P$281-P282)&lt;0.000001)*($Q$35:$Q$281=Q282)*($V$35:$V$281=V282))=0,1,0),0)</f>
        <v>0</v>
      </c>
      <c r="S282" s="14" t="n">
        <f aca="false">IF(AND(L282=1,N282&gt;=$B$4-0.000000001,P282&gt;=$B$6-0.000000001,M282&gt;=Floor_q+$B$5-0.000000001),1,0)</f>
        <v>0</v>
      </c>
      <c r="T282" s="14" t="n">
        <f aca="false">L282*(IF(1&lt;=2,1-Q282,IF(1=3,IF(AND(V282=0,O282&gt;=W_min,M282-D_dip&gt;=Floor_q),1,0),IF(AND(O282&gt;=W_min,M282&gt;=Pre_A),1,0)))+IF(2&lt;=2,1-Q282,IF(2=3,IF(AND(V282=0,O282&gt;=W_min,M282-D_dip&gt;=Floor_q),1,0),IF(AND(O282&gt;=W_min,M282&gt;=Pre_A),1,0)))+IF(3&lt;=2,1-Q282,IF(3=3,IF(AND(V282=0,O282&gt;=W_min,M282-D_dip&gt;=Floor_q),1,0),IF(AND(O282&gt;=W_min,M282&gt;=Pre_A),1,0)))+IF(4&lt;=2,1-Q282,IF(4=3,IF(AND(V282=0,O282&gt;=W_min,M282-D_dip&gt;=Floor_q),1,0),IF(AND(O282&gt;=W_min,M282&gt;=Pre_A),1,0))))</f>
        <v>0</v>
      </c>
      <c r="U282" s="14" t="n">
        <f aca="false">V96</f>
        <v>1</v>
      </c>
      <c r="V282" s="14" t="n">
        <f aca="false">CHOOSE(D282,U282,U282,1,U282)</f>
        <v>1</v>
      </c>
    </row>
    <row r="283" customFormat="false" ht="15" hidden="false" customHeight="true" outlineLevel="0" collapsed="false">
      <c r="A283" s="3" t="s">
        <v>521</v>
      </c>
      <c r="B283" s="14" t="n">
        <v>4</v>
      </c>
      <c r="C283" s="14" t="n">
        <v>96</v>
      </c>
      <c r="D283" s="14" t="n">
        <v>4</v>
      </c>
      <c r="E283" s="14" t="n">
        <f aca="false">L96</f>
        <v>0</v>
      </c>
      <c r="F283" s="19" t="n">
        <f aca="false">M96</f>
        <v>661.265458205737</v>
      </c>
      <c r="G283" s="19" t="n">
        <f aca="false">N96</f>
        <v>99.2424044436333</v>
      </c>
      <c r="H283" s="14" t="n">
        <f aca="false">O96</f>
        <v>53</v>
      </c>
      <c r="I283" s="16" t="n">
        <f aca="false">P96</f>
        <v>76.1966619446489</v>
      </c>
      <c r="J283" s="14" t="n">
        <f aca="false">Q96</f>
        <v>1</v>
      </c>
      <c r="K283" s="14" t="n">
        <f aca="false">IF(D283&lt;=2,1-J283,IF(D283=3,IF(AND(U283=0,H283&gt;=W_min,F283-D_dip&gt;=Floor_q),1,0),IF(AND(H283&gt;=W_min,F283&gt;=Pre_A),1,0)))</f>
        <v>0</v>
      </c>
      <c r="L283" s="14" t="n">
        <f aca="false">E283*K283</f>
        <v>0</v>
      </c>
      <c r="M283" s="19" t="n">
        <f aca="false">CHOOSE(D283,F283+Proc_S,F283+Proc_Sk,F283+D_dL,F283-Cost_A)</f>
        <v>541.265458205737</v>
      </c>
      <c r="N283" s="19" t="n">
        <f aca="false">CHOOSE(D283,(1-Tech_share)*G283,(1-Tech_share)*G283,G283+D_dT,G283)</f>
        <v>99.2424044436333</v>
      </c>
      <c r="O283" s="14" t="n">
        <f aca="false">CHOOSE(D283,H283-W_lost,H283,H283,H283+W_gain)</f>
        <v>54</v>
      </c>
      <c r="P283" s="16" t="n">
        <f aca="false">CHOOSE(D283,I283,I283,I283+D_dE,I283+Close_A*(Ceil_E-I283))</f>
        <v>80.5983309723245</v>
      </c>
      <c r="Q283" s="14" t="n">
        <f aca="false">CHOOSE(D283,1,1,J283,J283)</f>
        <v>1</v>
      </c>
      <c r="R283" s="14" t="n">
        <f aca="false">IF(L283=1,IF(SUMPRODUCT(($L$35:$L$282=1)*(ABS($M$35:$M$282-M283)&lt;0.000001)*(ABS($N$35:$N$282-N283)&lt;0.000001)*($O$35:$O$282=O283)*(ABS($P$35:$P$282-P283)&lt;0.000001)*($Q$35:$Q$282=Q283)*($V$35:$V$282=V283))=0,1,0),0)</f>
        <v>0</v>
      </c>
      <c r="S283" s="14" t="n">
        <f aca="false">IF(AND(L283=1,N283&gt;=$B$4-0.000000001,P283&gt;=$B$6-0.000000001,M283&gt;=Floor_q+$B$5-0.000000001),1,0)</f>
        <v>0</v>
      </c>
      <c r="T283" s="14" t="n">
        <f aca="false">L283*(IF(1&lt;=2,1-Q283,IF(1=3,IF(AND(V283=0,O283&gt;=W_min,M283-D_dip&gt;=Floor_q),1,0),IF(AND(O283&gt;=W_min,M283&gt;=Pre_A),1,0)))+IF(2&lt;=2,1-Q283,IF(2=3,IF(AND(V283=0,O283&gt;=W_min,M283-D_dip&gt;=Floor_q),1,0),IF(AND(O283&gt;=W_min,M283&gt;=Pre_A),1,0)))+IF(3&lt;=2,1-Q283,IF(3=3,IF(AND(V283=0,O283&gt;=W_min,M283-D_dip&gt;=Floor_q),1,0),IF(AND(O283&gt;=W_min,M283&gt;=Pre_A),1,0)))+IF(4&lt;=2,1-Q283,IF(4=3,IF(AND(V283=0,O283&gt;=W_min,M283-D_dip&gt;=Floor_q),1,0),IF(AND(O283&gt;=W_min,M283&gt;=Pre_A),1,0))))</f>
        <v>0</v>
      </c>
      <c r="U283" s="14" t="n">
        <f aca="false">V96</f>
        <v>1</v>
      </c>
      <c r="V283" s="14" t="n">
        <f aca="false">CHOOSE(D283,U283,U283,1,U283)</f>
        <v>1</v>
      </c>
    </row>
    <row r="284" customFormat="false" ht="15" hidden="false" customHeight="true" outlineLevel="0" collapsed="false">
      <c r="A284" s="3" t="s">
        <v>522</v>
      </c>
      <c r="B284" s="14" t="n">
        <v>4</v>
      </c>
      <c r="C284" s="14" t="n">
        <v>97</v>
      </c>
      <c r="D284" s="14" t="n">
        <v>1</v>
      </c>
      <c r="E284" s="14" t="n">
        <f aca="false">L97</f>
        <v>0</v>
      </c>
      <c r="F284" s="19" t="n">
        <f aca="false">M97</f>
        <v>641.265458205737</v>
      </c>
      <c r="G284" s="19" t="n">
        <f aca="false">N97</f>
        <v>99.2424044436333</v>
      </c>
      <c r="H284" s="14" t="n">
        <f aca="false">O97</f>
        <v>58</v>
      </c>
      <c r="I284" s="16" t="n">
        <f aca="false">P97</f>
        <v>76.1966619446489</v>
      </c>
      <c r="J284" s="14" t="n">
        <f aca="false">Q97</f>
        <v>1</v>
      </c>
      <c r="K284" s="14" t="n">
        <f aca="false">IF(D284&lt;=2,1-J284,IF(D284=3,IF(AND(U284=0,H284&gt;=W_min,F284-D_dip&gt;=Floor_q),1,0),IF(AND(H284&gt;=W_min,F284&gt;=Pre_A),1,0)))</f>
        <v>0</v>
      </c>
      <c r="L284" s="14" t="n">
        <f aca="false">E284*K284</f>
        <v>0</v>
      </c>
      <c r="M284" s="19" t="n">
        <f aca="false">CHOOSE(D284,F284+Proc_S,F284+Proc_Sk,F284+D_dL,F284-Cost_A)</f>
        <v>753.265458205737</v>
      </c>
      <c r="N284" s="19" t="n">
        <f aca="false">CHOOSE(D284,(1-Tech_share)*G284,(1-Tech_share)*G284,G284+D_dT,G284)</f>
        <v>89.3181639992699</v>
      </c>
      <c r="O284" s="14" t="n">
        <f aca="false">CHOOSE(D284,H284-W_lost,H284,H284,H284+W_gain)</f>
        <v>53</v>
      </c>
      <c r="P284" s="16" t="n">
        <f aca="false">CHOOSE(D284,I284,I284,I284+D_dE,I284+Close_A*(Ceil_E-I284))</f>
        <v>76.1966619446489</v>
      </c>
      <c r="Q284" s="14" t="n">
        <f aca="false">CHOOSE(D284,1,1,J284,J284)</f>
        <v>1</v>
      </c>
      <c r="R284" s="14" t="n">
        <f aca="false">IF(L284=1,IF(SUMPRODUCT(($L$35:$L$283=1)*(ABS($M$35:$M$283-M284)&lt;0.000001)*(ABS($N$35:$N$283-N284)&lt;0.000001)*($O$35:$O$283=O284)*(ABS($P$35:$P$283-P284)&lt;0.000001)*($Q$35:$Q$283=Q284)*($V$35:$V$283=V284))=0,1,0),0)</f>
        <v>0</v>
      </c>
      <c r="S284" s="14" t="n">
        <f aca="false">IF(AND(L284=1,N284&gt;=$B$4-0.000000001,P284&gt;=$B$6-0.000000001,M284&gt;=Floor_q+$B$5-0.000000001),1,0)</f>
        <v>0</v>
      </c>
      <c r="T284" s="14" t="n">
        <f aca="false">L284*(IF(1&lt;=2,1-Q284,IF(1=3,IF(AND(V284=0,O284&gt;=W_min,M284-D_dip&gt;=Floor_q),1,0),IF(AND(O284&gt;=W_min,M284&gt;=Pre_A),1,0)))+IF(2&lt;=2,1-Q284,IF(2=3,IF(AND(V284=0,O284&gt;=W_min,M284-D_dip&gt;=Floor_q),1,0),IF(AND(O284&gt;=W_min,M284&gt;=Pre_A),1,0)))+IF(3&lt;=2,1-Q284,IF(3=3,IF(AND(V284=0,O284&gt;=W_min,M284-D_dip&gt;=Floor_q),1,0),IF(AND(O284&gt;=W_min,M284&gt;=Pre_A),1,0)))+IF(4&lt;=2,1-Q284,IF(4=3,IF(AND(V284=0,O284&gt;=W_min,M284-D_dip&gt;=Floor_q),1,0),IF(AND(O284&gt;=W_min,M284&gt;=Pre_A),1,0))))</f>
        <v>0</v>
      </c>
      <c r="U284" s="14" t="n">
        <f aca="false">V97</f>
        <v>1</v>
      </c>
      <c r="V284" s="14" t="n">
        <f aca="false">CHOOSE(D284,U284,U284,1,U284)</f>
        <v>1</v>
      </c>
    </row>
    <row r="285" customFormat="false" ht="15" hidden="false" customHeight="true" outlineLevel="0" collapsed="false">
      <c r="A285" s="3" t="s">
        <v>523</v>
      </c>
      <c r="B285" s="14" t="n">
        <v>4</v>
      </c>
      <c r="C285" s="14" t="n">
        <v>97</v>
      </c>
      <c r="D285" s="14" t="n">
        <v>2</v>
      </c>
      <c r="E285" s="14" t="n">
        <f aca="false">L97</f>
        <v>0</v>
      </c>
      <c r="F285" s="19" t="n">
        <f aca="false">M97</f>
        <v>641.265458205737</v>
      </c>
      <c r="G285" s="19" t="n">
        <f aca="false">N97</f>
        <v>99.2424044436333</v>
      </c>
      <c r="H285" s="14" t="n">
        <f aca="false">O97</f>
        <v>58</v>
      </c>
      <c r="I285" s="16" t="n">
        <f aca="false">P97</f>
        <v>76.1966619446489</v>
      </c>
      <c r="J285" s="14" t="n">
        <f aca="false">Q97</f>
        <v>1</v>
      </c>
      <c r="K285" s="14" t="n">
        <f aca="false">IF(D285&lt;=2,1-J285,IF(D285=3,IF(AND(U285=0,H285&gt;=W_min,F285-D_dip&gt;=Floor_q),1,0),IF(AND(H285&gt;=W_min,F285&gt;=Pre_A),1,0)))</f>
        <v>0</v>
      </c>
      <c r="L285" s="14" t="n">
        <f aca="false">E285*K285</f>
        <v>0</v>
      </c>
      <c r="M285" s="19" t="n">
        <f aca="false">CHOOSE(D285,F285+Proc_S,F285+Proc_Sk,F285+D_dL,F285-Cost_A)</f>
        <v>733.265458205737</v>
      </c>
      <c r="N285" s="19" t="n">
        <f aca="false">CHOOSE(D285,(1-Tech_share)*G285,(1-Tech_share)*G285,G285+D_dT,G285)</f>
        <v>89.3181639992699</v>
      </c>
      <c r="O285" s="14" t="n">
        <f aca="false">CHOOSE(D285,H285-W_lost,H285,H285,H285+W_gain)</f>
        <v>58</v>
      </c>
      <c r="P285" s="16" t="n">
        <f aca="false">CHOOSE(D285,I285,I285,I285+D_dE,I285+Close_A*(Ceil_E-I285))</f>
        <v>76.1966619446489</v>
      </c>
      <c r="Q285" s="14" t="n">
        <f aca="false">CHOOSE(D285,1,1,J285,J285)</f>
        <v>1</v>
      </c>
      <c r="R285" s="14" t="n">
        <f aca="false">IF(L285=1,IF(SUMPRODUCT(($L$35:$L$284=1)*(ABS($M$35:$M$284-M285)&lt;0.000001)*(ABS($N$35:$N$284-N285)&lt;0.000001)*($O$35:$O$284=O285)*(ABS($P$35:$P$284-P285)&lt;0.000001)*($Q$35:$Q$284=Q285)*($V$35:$V$284=V285))=0,1,0),0)</f>
        <v>0</v>
      </c>
      <c r="S285" s="14" t="n">
        <f aca="false">IF(AND(L285=1,N285&gt;=$B$4-0.000000001,P285&gt;=$B$6-0.000000001,M285&gt;=Floor_q+$B$5-0.000000001),1,0)</f>
        <v>0</v>
      </c>
      <c r="T285" s="14" t="n">
        <f aca="false">L285*(IF(1&lt;=2,1-Q285,IF(1=3,IF(AND(V285=0,O285&gt;=W_min,M285-D_dip&gt;=Floor_q),1,0),IF(AND(O285&gt;=W_min,M285&gt;=Pre_A),1,0)))+IF(2&lt;=2,1-Q285,IF(2=3,IF(AND(V285=0,O285&gt;=W_min,M285-D_dip&gt;=Floor_q),1,0),IF(AND(O285&gt;=W_min,M285&gt;=Pre_A),1,0)))+IF(3&lt;=2,1-Q285,IF(3=3,IF(AND(V285=0,O285&gt;=W_min,M285-D_dip&gt;=Floor_q),1,0),IF(AND(O285&gt;=W_min,M285&gt;=Pre_A),1,0)))+IF(4&lt;=2,1-Q285,IF(4=3,IF(AND(V285=0,O285&gt;=W_min,M285-D_dip&gt;=Floor_q),1,0),IF(AND(O285&gt;=W_min,M285&gt;=Pre_A),1,0))))</f>
        <v>0</v>
      </c>
      <c r="U285" s="14" t="n">
        <f aca="false">V97</f>
        <v>1</v>
      </c>
      <c r="V285" s="14" t="n">
        <f aca="false">CHOOSE(D285,U285,U285,1,U285)</f>
        <v>1</v>
      </c>
    </row>
    <row r="286" customFormat="false" ht="15" hidden="false" customHeight="true" outlineLevel="0" collapsed="false">
      <c r="A286" s="3" t="s">
        <v>524</v>
      </c>
      <c r="B286" s="14" t="n">
        <v>4</v>
      </c>
      <c r="C286" s="14" t="n">
        <v>97</v>
      </c>
      <c r="D286" s="14" t="n">
        <v>3</v>
      </c>
      <c r="E286" s="14" t="n">
        <f aca="false">L97</f>
        <v>0</v>
      </c>
      <c r="F286" s="19" t="n">
        <f aca="false">M97</f>
        <v>641.265458205737</v>
      </c>
      <c r="G286" s="19" t="n">
        <f aca="false">N97</f>
        <v>99.2424044436333</v>
      </c>
      <c r="H286" s="14" t="n">
        <f aca="false">O97</f>
        <v>58</v>
      </c>
      <c r="I286" s="16" t="n">
        <f aca="false">P97</f>
        <v>76.1966619446489</v>
      </c>
      <c r="J286" s="14" t="n">
        <f aca="false">Q97</f>
        <v>1</v>
      </c>
      <c r="K286" s="14" t="n">
        <f aca="false">IF(D286&lt;=2,1-J286,IF(D286=3,IF(AND(U286=0,H286&gt;=W_min,F286-D_dip&gt;=Floor_q),1,0),IF(AND(H286&gt;=W_min,F286&gt;=Pre_A),1,0)))</f>
        <v>0</v>
      </c>
      <c r="L286" s="14" t="n">
        <f aca="false">E286*K286</f>
        <v>0</v>
      </c>
      <c r="M286" s="19" t="n">
        <f aca="false">CHOOSE(D286,F286+Proc_S,F286+Proc_Sk,F286+D_dL,F286-Cost_A)</f>
        <v>605.898187308605</v>
      </c>
      <c r="N286" s="19" t="n">
        <f aca="false">CHOOSE(D286,(1-Tech_share)*G286,(1-Tech_share)*G286,G286+D_dT,G286)</f>
        <v>133.877073578985</v>
      </c>
      <c r="O286" s="14" t="n">
        <f aca="false">CHOOSE(D286,H286-W_lost,H286,H286,H286+W_gain)</f>
        <v>58</v>
      </c>
      <c r="P286" s="16" t="n">
        <f aca="false">CHOOSE(D286,I286,I286,I286+D_dE,I286+Close_A*(Ceil_E-I286))</f>
        <v>78.7949929169734</v>
      </c>
      <c r="Q286" s="14" t="n">
        <f aca="false">CHOOSE(D286,1,1,J286,J286)</f>
        <v>1</v>
      </c>
      <c r="R286" s="14" t="n">
        <f aca="false">IF(L286=1,IF(SUMPRODUCT(($L$35:$L$285=1)*(ABS($M$35:$M$285-M286)&lt;0.000001)*(ABS($N$35:$N$285-N286)&lt;0.000001)*($O$35:$O$285=O286)*(ABS($P$35:$P$285-P286)&lt;0.000001)*($Q$35:$Q$285=Q286)*($V$35:$V$285=V286))=0,1,0),0)</f>
        <v>0</v>
      </c>
      <c r="S286" s="14" t="n">
        <f aca="false">IF(AND(L286=1,N286&gt;=$B$4-0.000000001,P286&gt;=$B$6-0.000000001,M286&gt;=Floor_q+$B$5-0.000000001),1,0)</f>
        <v>0</v>
      </c>
      <c r="T286" s="14" t="n">
        <f aca="false">L286*(IF(1&lt;=2,1-Q286,IF(1=3,IF(AND(V286=0,O286&gt;=W_min,M286-D_dip&gt;=Floor_q),1,0),IF(AND(O286&gt;=W_min,M286&gt;=Pre_A),1,0)))+IF(2&lt;=2,1-Q286,IF(2=3,IF(AND(V286=0,O286&gt;=W_min,M286-D_dip&gt;=Floor_q),1,0),IF(AND(O286&gt;=W_min,M286&gt;=Pre_A),1,0)))+IF(3&lt;=2,1-Q286,IF(3=3,IF(AND(V286=0,O286&gt;=W_min,M286-D_dip&gt;=Floor_q),1,0),IF(AND(O286&gt;=W_min,M286&gt;=Pre_A),1,0)))+IF(4&lt;=2,1-Q286,IF(4=3,IF(AND(V286=0,O286&gt;=W_min,M286-D_dip&gt;=Floor_q),1,0),IF(AND(O286&gt;=W_min,M286&gt;=Pre_A),1,0))))</f>
        <v>0</v>
      </c>
      <c r="U286" s="14" t="n">
        <f aca="false">V97</f>
        <v>1</v>
      </c>
      <c r="V286" s="14" t="n">
        <f aca="false">CHOOSE(D286,U286,U286,1,U286)</f>
        <v>1</v>
      </c>
    </row>
    <row r="287" customFormat="false" ht="15" hidden="false" customHeight="true" outlineLevel="0" collapsed="false">
      <c r="A287" s="3" t="s">
        <v>525</v>
      </c>
      <c r="B287" s="14" t="n">
        <v>4</v>
      </c>
      <c r="C287" s="14" t="n">
        <v>97</v>
      </c>
      <c r="D287" s="14" t="n">
        <v>4</v>
      </c>
      <c r="E287" s="14" t="n">
        <f aca="false">L97</f>
        <v>0</v>
      </c>
      <c r="F287" s="19" t="n">
        <f aca="false">M97</f>
        <v>641.265458205737</v>
      </c>
      <c r="G287" s="19" t="n">
        <f aca="false">N97</f>
        <v>99.2424044436333</v>
      </c>
      <c r="H287" s="14" t="n">
        <f aca="false">O97</f>
        <v>58</v>
      </c>
      <c r="I287" s="16" t="n">
        <f aca="false">P97</f>
        <v>76.1966619446489</v>
      </c>
      <c r="J287" s="14" t="n">
        <f aca="false">Q97</f>
        <v>1</v>
      </c>
      <c r="K287" s="14" t="n">
        <f aca="false">IF(D287&lt;=2,1-J287,IF(D287=3,IF(AND(U287=0,H287&gt;=W_min,F287-D_dip&gt;=Floor_q),1,0),IF(AND(H287&gt;=W_min,F287&gt;=Pre_A),1,0)))</f>
        <v>1</v>
      </c>
      <c r="L287" s="14" t="n">
        <f aca="false">E287*K287</f>
        <v>0</v>
      </c>
      <c r="M287" s="19" t="n">
        <f aca="false">CHOOSE(D287,F287+Proc_S,F287+Proc_Sk,F287+D_dL,F287-Cost_A)</f>
        <v>521.265458205737</v>
      </c>
      <c r="N287" s="19" t="n">
        <f aca="false">CHOOSE(D287,(1-Tech_share)*G287,(1-Tech_share)*G287,G287+D_dT,G287)</f>
        <v>99.2424044436333</v>
      </c>
      <c r="O287" s="14" t="n">
        <f aca="false">CHOOSE(D287,H287-W_lost,H287,H287,H287+W_gain)</f>
        <v>59</v>
      </c>
      <c r="P287" s="16" t="n">
        <f aca="false">CHOOSE(D287,I287,I287,I287+D_dE,I287+Close_A*(Ceil_E-I287))</f>
        <v>80.5983309723245</v>
      </c>
      <c r="Q287" s="14" t="n">
        <f aca="false">CHOOSE(D287,1,1,J287,J287)</f>
        <v>1</v>
      </c>
      <c r="R287" s="14" t="n">
        <f aca="false">IF(L287=1,IF(SUMPRODUCT(($L$35:$L$286=1)*(ABS($M$35:$M$286-M287)&lt;0.000001)*(ABS($N$35:$N$286-N287)&lt;0.000001)*($O$35:$O$286=O287)*(ABS($P$35:$P$286-P287)&lt;0.000001)*($Q$35:$Q$286=Q287)*($V$35:$V$286=V287))=0,1,0),0)</f>
        <v>0</v>
      </c>
      <c r="S287" s="14" t="n">
        <f aca="false">IF(AND(L287=1,N287&gt;=$B$4-0.000000001,P287&gt;=$B$6-0.000000001,M287&gt;=Floor_q+$B$5-0.000000001),1,0)</f>
        <v>0</v>
      </c>
      <c r="T287" s="14" t="n">
        <f aca="false">L287*(IF(1&lt;=2,1-Q287,IF(1=3,IF(AND(V287=0,O287&gt;=W_min,M287-D_dip&gt;=Floor_q),1,0),IF(AND(O287&gt;=W_min,M287&gt;=Pre_A),1,0)))+IF(2&lt;=2,1-Q287,IF(2=3,IF(AND(V287=0,O287&gt;=W_min,M287-D_dip&gt;=Floor_q),1,0),IF(AND(O287&gt;=W_min,M287&gt;=Pre_A),1,0)))+IF(3&lt;=2,1-Q287,IF(3=3,IF(AND(V287=0,O287&gt;=W_min,M287-D_dip&gt;=Floor_q),1,0),IF(AND(O287&gt;=W_min,M287&gt;=Pre_A),1,0)))+IF(4&lt;=2,1-Q287,IF(4=3,IF(AND(V287=0,O287&gt;=W_min,M287-D_dip&gt;=Floor_q),1,0),IF(AND(O287&gt;=W_min,M287&gt;=Pre_A),1,0))))</f>
        <v>0</v>
      </c>
      <c r="U287" s="14" t="n">
        <f aca="false">V97</f>
        <v>1</v>
      </c>
      <c r="V287" s="14" t="n">
        <f aca="false">CHOOSE(D287,U287,U287,1,U287)</f>
        <v>1</v>
      </c>
    </row>
    <row r="288" customFormat="false" ht="15" hidden="false" customHeight="true" outlineLevel="0" collapsed="false">
      <c r="A288" s="3" t="s">
        <v>526</v>
      </c>
      <c r="B288" s="14" t="n">
        <v>4</v>
      </c>
      <c r="C288" s="14" t="n">
        <v>98</v>
      </c>
      <c r="D288" s="14" t="n">
        <v>1</v>
      </c>
      <c r="E288" s="14" t="n">
        <f aca="false">L98</f>
        <v>0</v>
      </c>
      <c r="F288" s="19" t="n">
        <f aca="false">M98</f>
        <v>513.898187308605</v>
      </c>
      <c r="G288" s="19" t="n">
        <f aca="false">N98</f>
        <v>144.904007406055</v>
      </c>
      <c r="H288" s="14" t="n">
        <f aca="false">O98</f>
        <v>58</v>
      </c>
      <c r="I288" s="16" t="n">
        <f aca="false">P98</f>
        <v>78.7949929169734</v>
      </c>
      <c r="J288" s="14" t="n">
        <f aca="false">Q98</f>
        <v>0</v>
      </c>
      <c r="K288" s="14" t="n">
        <f aca="false">IF(D288&lt;=2,1-J288,IF(D288=3,IF(AND(U288=0,H288&gt;=W_min,F288-D_dip&gt;=Floor_q),1,0),IF(AND(H288&gt;=W_min,F288&gt;=Pre_A),1,0)))</f>
        <v>1</v>
      </c>
      <c r="L288" s="14" t="n">
        <f aca="false">E288*K288</f>
        <v>0</v>
      </c>
      <c r="M288" s="19" t="n">
        <f aca="false">CHOOSE(D288,F288+Proc_S,F288+Proc_Sk,F288+D_dL,F288-Cost_A)</f>
        <v>625.898187308605</v>
      </c>
      <c r="N288" s="19" t="n">
        <f aca="false">CHOOSE(D288,(1-Tech_share)*G288,(1-Tech_share)*G288,G288+D_dT,G288)</f>
        <v>130.41360666545</v>
      </c>
      <c r="O288" s="14" t="n">
        <f aca="false">CHOOSE(D288,H288-W_lost,H288,H288,H288+W_gain)</f>
        <v>53</v>
      </c>
      <c r="P288" s="16" t="n">
        <f aca="false">CHOOSE(D288,I288,I288,I288+D_dE,I288+Close_A*(Ceil_E-I288))</f>
        <v>78.7949929169734</v>
      </c>
      <c r="Q288" s="14" t="n">
        <f aca="false">CHOOSE(D288,1,1,J288,J288)</f>
        <v>1</v>
      </c>
      <c r="R288" s="14" t="n">
        <f aca="false">IF(L288=1,IF(SUMPRODUCT(($L$35:$L$287=1)*(ABS($M$35:$M$287-M288)&lt;0.000001)*(ABS($N$35:$N$287-N288)&lt;0.000001)*($O$35:$O$287=O288)*(ABS($P$35:$P$287-P288)&lt;0.000001)*($Q$35:$Q$287=Q288)*($V$35:$V$287=V288))=0,1,0),0)</f>
        <v>0</v>
      </c>
      <c r="S288" s="14" t="n">
        <f aca="false">IF(AND(L288=1,N288&gt;=$B$4-0.000000001,P288&gt;=$B$6-0.000000001,M288&gt;=Floor_q+$B$5-0.000000001),1,0)</f>
        <v>0</v>
      </c>
      <c r="T288" s="14" t="n">
        <f aca="false">L288*(IF(1&lt;=2,1-Q288,IF(1=3,IF(AND(V288=0,O288&gt;=W_min,M288-D_dip&gt;=Floor_q),1,0),IF(AND(O288&gt;=W_min,M288&gt;=Pre_A),1,0)))+IF(2&lt;=2,1-Q288,IF(2=3,IF(AND(V288=0,O288&gt;=W_min,M288-D_dip&gt;=Floor_q),1,0),IF(AND(O288&gt;=W_min,M288&gt;=Pre_A),1,0)))+IF(3&lt;=2,1-Q288,IF(3=3,IF(AND(V288=0,O288&gt;=W_min,M288-D_dip&gt;=Floor_q),1,0),IF(AND(O288&gt;=W_min,M288&gt;=Pre_A),1,0)))+IF(4&lt;=2,1-Q288,IF(4=3,IF(AND(V288=0,O288&gt;=W_min,M288-D_dip&gt;=Floor_q),1,0),IF(AND(O288&gt;=W_min,M288&gt;=Pre_A),1,0))))</f>
        <v>0</v>
      </c>
      <c r="U288" s="14" t="n">
        <f aca="false">V98</f>
        <v>1</v>
      </c>
      <c r="V288" s="14" t="n">
        <f aca="false">CHOOSE(D288,U288,U288,1,U288)</f>
        <v>1</v>
      </c>
    </row>
    <row r="289" customFormat="false" ht="15" hidden="false" customHeight="true" outlineLevel="0" collapsed="false">
      <c r="A289" s="3" t="s">
        <v>527</v>
      </c>
      <c r="B289" s="14" t="n">
        <v>4</v>
      </c>
      <c r="C289" s="14" t="n">
        <v>98</v>
      </c>
      <c r="D289" s="14" t="n">
        <v>2</v>
      </c>
      <c r="E289" s="14" t="n">
        <f aca="false">L98</f>
        <v>0</v>
      </c>
      <c r="F289" s="19" t="n">
        <f aca="false">M98</f>
        <v>513.898187308605</v>
      </c>
      <c r="G289" s="19" t="n">
        <f aca="false">N98</f>
        <v>144.904007406055</v>
      </c>
      <c r="H289" s="14" t="n">
        <f aca="false">O98</f>
        <v>58</v>
      </c>
      <c r="I289" s="16" t="n">
        <f aca="false">P98</f>
        <v>78.7949929169734</v>
      </c>
      <c r="J289" s="14" t="n">
        <f aca="false">Q98</f>
        <v>0</v>
      </c>
      <c r="K289" s="14" t="n">
        <f aca="false">IF(D289&lt;=2,1-J289,IF(D289=3,IF(AND(U289=0,H289&gt;=W_min,F289-D_dip&gt;=Floor_q),1,0),IF(AND(H289&gt;=W_min,F289&gt;=Pre_A),1,0)))</f>
        <v>1</v>
      </c>
      <c r="L289" s="14" t="n">
        <f aca="false">E289*K289</f>
        <v>0</v>
      </c>
      <c r="M289" s="19" t="n">
        <f aca="false">CHOOSE(D289,F289+Proc_S,F289+Proc_Sk,F289+D_dL,F289-Cost_A)</f>
        <v>605.898187308605</v>
      </c>
      <c r="N289" s="19" t="n">
        <f aca="false">CHOOSE(D289,(1-Tech_share)*G289,(1-Tech_share)*G289,G289+D_dT,G289)</f>
        <v>130.41360666545</v>
      </c>
      <c r="O289" s="14" t="n">
        <f aca="false">CHOOSE(D289,H289-W_lost,H289,H289,H289+W_gain)</f>
        <v>58</v>
      </c>
      <c r="P289" s="16" t="n">
        <f aca="false">CHOOSE(D289,I289,I289,I289+D_dE,I289+Close_A*(Ceil_E-I289))</f>
        <v>78.7949929169734</v>
      </c>
      <c r="Q289" s="14" t="n">
        <f aca="false">CHOOSE(D289,1,1,J289,J289)</f>
        <v>1</v>
      </c>
      <c r="R289" s="14" t="n">
        <f aca="false">IF(L289=1,IF(SUMPRODUCT(($L$35:$L$288=1)*(ABS($M$35:$M$288-M289)&lt;0.000001)*(ABS($N$35:$N$288-N289)&lt;0.000001)*($O$35:$O$288=O289)*(ABS($P$35:$P$288-P289)&lt;0.000001)*($Q$35:$Q$288=Q289)*($V$35:$V$288=V289))=0,1,0),0)</f>
        <v>0</v>
      </c>
      <c r="S289" s="14" t="n">
        <f aca="false">IF(AND(L289=1,N289&gt;=$B$4-0.000000001,P289&gt;=$B$6-0.000000001,M289&gt;=Floor_q+$B$5-0.000000001),1,0)</f>
        <v>0</v>
      </c>
      <c r="T289" s="14" t="n">
        <f aca="false">L289*(IF(1&lt;=2,1-Q289,IF(1=3,IF(AND(V289=0,O289&gt;=W_min,M289-D_dip&gt;=Floor_q),1,0),IF(AND(O289&gt;=W_min,M289&gt;=Pre_A),1,0)))+IF(2&lt;=2,1-Q289,IF(2=3,IF(AND(V289=0,O289&gt;=W_min,M289-D_dip&gt;=Floor_q),1,0),IF(AND(O289&gt;=W_min,M289&gt;=Pre_A),1,0)))+IF(3&lt;=2,1-Q289,IF(3=3,IF(AND(V289=0,O289&gt;=W_min,M289-D_dip&gt;=Floor_q),1,0),IF(AND(O289&gt;=W_min,M289&gt;=Pre_A),1,0)))+IF(4&lt;=2,1-Q289,IF(4=3,IF(AND(V289=0,O289&gt;=W_min,M289-D_dip&gt;=Floor_q),1,0),IF(AND(O289&gt;=W_min,M289&gt;=Pre_A),1,0))))</f>
        <v>0</v>
      </c>
      <c r="U289" s="14" t="n">
        <f aca="false">V98</f>
        <v>1</v>
      </c>
      <c r="V289" s="14" t="n">
        <f aca="false">CHOOSE(D289,U289,U289,1,U289)</f>
        <v>1</v>
      </c>
    </row>
    <row r="290" customFormat="false" ht="15" hidden="false" customHeight="true" outlineLevel="0" collapsed="false">
      <c r="A290" s="3" t="s">
        <v>528</v>
      </c>
      <c r="B290" s="14" t="n">
        <v>4</v>
      </c>
      <c r="C290" s="14" t="n">
        <v>98</v>
      </c>
      <c r="D290" s="14" t="n">
        <v>3</v>
      </c>
      <c r="E290" s="14" t="n">
        <f aca="false">L98</f>
        <v>0</v>
      </c>
      <c r="F290" s="19" t="n">
        <f aca="false">M98</f>
        <v>513.898187308605</v>
      </c>
      <c r="G290" s="19" t="n">
        <f aca="false">N98</f>
        <v>144.904007406055</v>
      </c>
      <c r="H290" s="14" t="n">
        <f aca="false">O98</f>
        <v>58</v>
      </c>
      <c r="I290" s="16" t="n">
        <f aca="false">P98</f>
        <v>78.7949929169734</v>
      </c>
      <c r="J290" s="14" t="n">
        <f aca="false">Q98</f>
        <v>0</v>
      </c>
      <c r="K290" s="14" t="n">
        <f aca="false">IF(D290&lt;=2,1-J290,IF(D290=3,IF(AND(U290=0,H290&gt;=W_min,F290-D_dip&gt;=Floor_q),1,0),IF(AND(H290&gt;=W_min,F290&gt;=Pre_A),1,0)))</f>
        <v>0</v>
      </c>
      <c r="L290" s="14" t="n">
        <f aca="false">E290*K290</f>
        <v>0</v>
      </c>
      <c r="M290" s="19" t="n">
        <f aca="false">CHOOSE(D290,F290+Proc_S,F290+Proc_Sk,F290+D_dL,F290-Cost_A)</f>
        <v>478.530916411473</v>
      </c>
      <c r="N290" s="19" t="n">
        <f aca="false">CHOOSE(D290,(1-Tech_share)*G290,(1-Tech_share)*G290,G290+D_dT,G290)</f>
        <v>179.538676541407</v>
      </c>
      <c r="O290" s="14" t="n">
        <f aca="false">CHOOSE(D290,H290-W_lost,H290,H290,H290+W_gain)</f>
        <v>58</v>
      </c>
      <c r="P290" s="16" t="n">
        <f aca="false">CHOOSE(D290,I290,I290,I290+D_dE,I290+Close_A*(Ceil_E-I290))</f>
        <v>81.3933238892979</v>
      </c>
      <c r="Q290" s="14" t="n">
        <f aca="false">CHOOSE(D290,1,1,J290,J290)</f>
        <v>0</v>
      </c>
      <c r="R290" s="14" t="n">
        <f aca="false">IF(L290=1,IF(SUMPRODUCT(($L$35:$L$289=1)*(ABS($M$35:$M$289-M290)&lt;0.000001)*(ABS($N$35:$N$289-N290)&lt;0.000001)*($O$35:$O$289=O290)*(ABS($P$35:$P$289-P290)&lt;0.000001)*($Q$35:$Q$289=Q290)*($V$35:$V$289=V290))=0,1,0),0)</f>
        <v>0</v>
      </c>
      <c r="S290" s="14" t="n">
        <f aca="false">IF(AND(L290=1,N290&gt;=$B$4-0.000000001,P290&gt;=$B$6-0.000000001,M290&gt;=Floor_q+$B$5-0.000000001),1,0)</f>
        <v>0</v>
      </c>
      <c r="T290" s="14" t="n">
        <f aca="false">L290*(IF(1&lt;=2,1-Q290,IF(1=3,IF(AND(V290=0,O290&gt;=W_min,M290-D_dip&gt;=Floor_q),1,0),IF(AND(O290&gt;=W_min,M290&gt;=Pre_A),1,0)))+IF(2&lt;=2,1-Q290,IF(2=3,IF(AND(V290=0,O290&gt;=W_min,M290-D_dip&gt;=Floor_q),1,0),IF(AND(O290&gt;=W_min,M290&gt;=Pre_A),1,0)))+IF(3&lt;=2,1-Q290,IF(3=3,IF(AND(V290=0,O290&gt;=W_min,M290-D_dip&gt;=Floor_q),1,0),IF(AND(O290&gt;=W_min,M290&gt;=Pre_A),1,0)))+IF(4&lt;=2,1-Q290,IF(4=3,IF(AND(V290=0,O290&gt;=W_min,M290-D_dip&gt;=Floor_q),1,0),IF(AND(O290&gt;=W_min,M290&gt;=Pre_A),1,0))))</f>
        <v>0</v>
      </c>
      <c r="U290" s="14" t="n">
        <f aca="false">V98</f>
        <v>1</v>
      </c>
      <c r="V290" s="14" t="n">
        <f aca="false">CHOOSE(D290,U290,U290,1,U290)</f>
        <v>1</v>
      </c>
    </row>
    <row r="291" customFormat="false" ht="15" hidden="false" customHeight="true" outlineLevel="0" collapsed="false">
      <c r="A291" s="3" t="s">
        <v>529</v>
      </c>
      <c r="B291" s="14" t="n">
        <v>4</v>
      </c>
      <c r="C291" s="14" t="n">
        <v>98</v>
      </c>
      <c r="D291" s="14" t="n">
        <v>4</v>
      </c>
      <c r="E291" s="14" t="n">
        <f aca="false">L98</f>
        <v>0</v>
      </c>
      <c r="F291" s="19" t="n">
        <f aca="false">M98</f>
        <v>513.898187308605</v>
      </c>
      <c r="G291" s="19" t="n">
        <f aca="false">N98</f>
        <v>144.904007406055</v>
      </c>
      <c r="H291" s="14" t="n">
        <f aca="false">O98</f>
        <v>58</v>
      </c>
      <c r="I291" s="16" t="n">
        <f aca="false">P98</f>
        <v>78.7949929169734</v>
      </c>
      <c r="J291" s="14" t="n">
        <f aca="false">Q98</f>
        <v>0</v>
      </c>
      <c r="K291" s="14" t="n">
        <f aca="false">IF(D291&lt;=2,1-J291,IF(D291=3,IF(AND(U291=0,H291&gt;=W_min,F291-D_dip&gt;=Floor_q),1,0),IF(AND(H291&gt;=W_min,F291&gt;=Pre_A),1,0)))</f>
        <v>1</v>
      </c>
      <c r="L291" s="14" t="n">
        <f aca="false">E291*K291</f>
        <v>0</v>
      </c>
      <c r="M291" s="19" t="n">
        <f aca="false">CHOOSE(D291,F291+Proc_S,F291+Proc_Sk,F291+D_dL,F291-Cost_A)</f>
        <v>393.898187308605</v>
      </c>
      <c r="N291" s="19" t="n">
        <f aca="false">CHOOSE(D291,(1-Tech_share)*G291,(1-Tech_share)*G291,G291+D_dT,G291)</f>
        <v>144.904007406055</v>
      </c>
      <c r="O291" s="14" t="n">
        <f aca="false">CHOOSE(D291,H291-W_lost,H291,H291,H291+W_gain)</f>
        <v>59</v>
      </c>
      <c r="P291" s="16" t="n">
        <f aca="false">CHOOSE(D291,I291,I291,I291+D_dE,I291+Close_A*(Ceil_E-I291))</f>
        <v>81.8974964584867</v>
      </c>
      <c r="Q291" s="14" t="n">
        <f aca="false">CHOOSE(D291,1,1,J291,J291)</f>
        <v>0</v>
      </c>
      <c r="R291" s="14" t="n">
        <f aca="false">IF(L291=1,IF(SUMPRODUCT(($L$35:$L$290=1)*(ABS($M$35:$M$290-M291)&lt;0.000001)*(ABS($N$35:$N$290-N291)&lt;0.000001)*($O$35:$O$290=O291)*(ABS($P$35:$P$290-P291)&lt;0.000001)*($Q$35:$Q$290=Q291)*($V$35:$V$290=V291))=0,1,0),0)</f>
        <v>0</v>
      </c>
      <c r="S291" s="14" t="n">
        <f aca="false">IF(AND(L291=1,N291&gt;=$B$4-0.000000001,P291&gt;=$B$6-0.000000001,M291&gt;=Floor_q+$B$5-0.000000001),1,0)</f>
        <v>0</v>
      </c>
      <c r="T291" s="14" t="n">
        <f aca="false">L291*(IF(1&lt;=2,1-Q291,IF(1=3,IF(AND(V291=0,O291&gt;=W_min,M291-D_dip&gt;=Floor_q),1,0),IF(AND(O291&gt;=W_min,M291&gt;=Pre_A),1,0)))+IF(2&lt;=2,1-Q291,IF(2=3,IF(AND(V291=0,O291&gt;=W_min,M291-D_dip&gt;=Floor_q),1,0),IF(AND(O291&gt;=W_min,M291&gt;=Pre_A),1,0)))+IF(3&lt;=2,1-Q291,IF(3=3,IF(AND(V291=0,O291&gt;=W_min,M291-D_dip&gt;=Floor_q),1,0),IF(AND(O291&gt;=W_min,M291&gt;=Pre_A),1,0)))+IF(4&lt;=2,1-Q291,IF(4=3,IF(AND(V291=0,O291&gt;=W_min,M291-D_dip&gt;=Floor_q),1,0),IF(AND(O291&gt;=W_min,M291&gt;=Pre_A),1,0))))</f>
        <v>0</v>
      </c>
      <c r="U291" s="14" t="n">
        <f aca="false">V98</f>
        <v>1</v>
      </c>
      <c r="V291" s="14" t="n">
        <f aca="false">CHOOSE(D291,U291,U291,1,U291)</f>
        <v>1</v>
      </c>
    </row>
    <row r="292" customFormat="false" ht="15" hidden="false" customHeight="true" outlineLevel="0" collapsed="false">
      <c r="A292" s="3" t="s">
        <v>530</v>
      </c>
      <c r="B292" s="14" t="n">
        <v>4</v>
      </c>
      <c r="C292" s="14" t="n">
        <v>99</v>
      </c>
      <c r="D292" s="14" t="n">
        <v>1</v>
      </c>
      <c r="E292" s="14" t="n">
        <f aca="false">L99</f>
        <v>0</v>
      </c>
      <c r="F292" s="19" t="n">
        <f aca="false">M99</f>
        <v>429.265458205737</v>
      </c>
      <c r="G292" s="19" t="n">
        <f aca="false">N99</f>
        <v>110.269338270704</v>
      </c>
      <c r="H292" s="14" t="n">
        <f aca="false">O99</f>
        <v>59</v>
      </c>
      <c r="I292" s="16" t="n">
        <f aca="false">P99</f>
        <v>80.5983309723245</v>
      </c>
      <c r="J292" s="14" t="n">
        <f aca="false">Q99</f>
        <v>0</v>
      </c>
      <c r="K292" s="14" t="n">
        <f aca="false">IF(D292&lt;=2,1-J292,IF(D292=3,IF(AND(U292=0,H292&gt;=W_min,F292-D_dip&gt;=Floor_q),1,0),IF(AND(H292&gt;=W_min,F292&gt;=Pre_A),1,0)))</f>
        <v>1</v>
      </c>
      <c r="L292" s="14" t="n">
        <f aca="false">E292*K292</f>
        <v>0</v>
      </c>
      <c r="M292" s="19" t="n">
        <f aca="false">CHOOSE(D292,F292+Proc_S,F292+Proc_Sk,F292+D_dL,F292-Cost_A)</f>
        <v>541.265458205737</v>
      </c>
      <c r="N292" s="19" t="n">
        <f aca="false">CHOOSE(D292,(1-Tech_share)*G292,(1-Tech_share)*G292,G292+D_dT,G292)</f>
        <v>99.2424044436333</v>
      </c>
      <c r="O292" s="14" t="n">
        <f aca="false">CHOOSE(D292,H292-W_lost,H292,H292,H292+W_gain)</f>
        <v>54</v>
      </c>
      <c r="P292" s="16" t="n">
        <f aca="false">CHOOSE(D292,I292,I292,I292+D_dE,I292+Close_A*(Ceil_E-I292))</f>
        <v>80.5983309723245</v>
      </c>
      <c r="Q292" s="14" t="n">
        <f aca="false">CHOOSE(D292,1,1,J292,J292)</f>
        <v>1</v>
      </c>
      <c r="R292" s="14" t="n">
        <f aca="false">IF(L292=1,IF(SUMPRODUCT(($L$35:$L$291=1)*(ABS($M$35:$M$291-M292)&lt;0.000001)*(ABS($N$35:$N$291-N292)&lt;0.000001)*($O$35:$O$291=O292)*(ABS($P$35:$P$291-P292)&lt;0.000001)*($Q$35:$Q$291=Q292)*($V$35:$V$291=V292))=0,1,0),0)</f>
        <v>0</v>
      </c>
      <c r="S292" s="14" t="n">
        <f aca="false">IF(AND(L292=1,N292&gt;=$B$4-0.000000001,P292&gt;=$B$6-0.000000001,M292&gt;=Floor_q+$B$5-0.000000001),1,0)</f>
        <v>0</v>
      </c>
      <c r="T292" s="14" t="n">
        <f aca="false">L292*(IF(1&lt;=2,1-Q292,IF(1=3,IF(AND(V292=0,O292&gt;=W_min,M292-D_dip&gt;=Floor_q),1,0),IF(AND(O292&gt;=W_min,M292&gt;=Pre_A),1,0)))+IF(2&lt;=2,1-Q292,IF(2=3,IF(AND(V292=0,O292&gt;=W_min,M292-D_dip&gt;=Floor_q),1,0),IF(AND(O292&gt;=W_min,M292&gt;=Pre_A),1,0)))+IF(3&lt;=2,1-Q292,IF(3=3,IF(AND(V292=0,O292&gt;=W_min,M292-D_dip&gt;=Floor_q),1,0),IF(AND(O292&gt;=W_min,M292&gt;=Pre_A),1,0)))+IF(4&lt;=2,1-Q292,IF(4=3,IF(AND(V292=0,O292&gt;=W_min,M292-D_dip&gt;=Floor_q),1,0),IF(AND(O292&gt;=W_min,M292&gt;=Pre_A),1,0))))</f>
        <v>0</v>
      </c>
      <c r="U292" s="14" t="n">
        <f aca="false">V99</f>
        <v>1</v>
      </c>
      <c r="V292" s="14" t="n">
        <f aca="false">CHOOSE(D292,U292,U292,1,U292)</f>
        <v>1</v>
      </c>
    </row>
    <row r="293" customFormat="false" ht="15" hidden="false" customHeight="true" outlineLevel="0" collapsed="false">
      <c r="A293" s="3" t="s">
        <v>531</v>
      </c>
      <c r="B293" s="14" t="n">
        <v>4</v>
      </c>
      <c r="C293" s="14" t="n">
        <v>99</v>
      </c>
      <c r="D293" s="14" t="n">
        <v>2</v>
      </c>
      <c r="E293" s="14" t="n">
        <f aca="false">L99</f>
        <v>0</v>
      </c>
      <c r="F293" s="19" t="n">
        <f aca="false">M99</f>
        <v>429.265458205737</v>
      </c>
      <c r="G293" s="19" t="n">
        <f aca="false">N99</f>
        <v>110.269338270704</v>
      </c>
      <c r="H293" s="14" t="n">
        <f aca="false">O99</f>
        <v>59</v>
      </c>
      <c r="I293" s="16" t="n">
        <f aca="false">P99</f>
        <v>80.5983309723245</v>
      </c>
      <c r="J293" s="14" t="n">
        <f aca="false">Q99</f>
        <v>0</v>
      </c>
      <c r="K293" s="14" t="n">
        <f aca="false">IF(D293&lt;=2,1-J293,IF(D293=3,IF(AND(U293=0,H293&gt;=W_min,F293-D_dip&gt;=Floor_q),1,0),IF(AND(H293&gt;=W_min,F293&gt;=Pre_A),1,0)))</f>
        <v>1</v>
      </c>
      <c r="L293" s="14" t="n">
        <f aca="false">E293*K293</f>
        <v>0</v>
      </c>
      <c r="M293" s="19" t="n">
        <f aca="false">CHOOSE(D293,F293+Proc_S,F293+Proc_Sk,F293+D_dL,F293-Cost_A)</f>
        <v>521.265458205737</v>
      </c>
      <c r="N293" s="19" t="n">
        <f aca="false">CHOOSE(D293,(1-Tech_share)*G293,(1-Tech_share)*G293,G293+D_dT,G293)</f>
        <v>99.2424044436333</v>
      </c>
      <c r="O293" s="14" t="n">
        <f aca="false">CHOOSE(D293,H293-W_lost,H293,H293,H293+W_gain)</f>
        <v>59</v>
      </c>
      <c r="P293" s="16" t="n">
        <f aca="false">CHOOSE(D293,I293,I293,I293+D_dE,I293+Close_A*(Ceil_E-I293))</f>
        <v>80.5983309723245</v>
      </c>
      <c r="Q293" s="14" t="n">
        <f aca="false">CHOOSE(D293,1,1,J293,J293)</f>
        <v>1</v>
      </c>
      <c r="R293" s="14" t="n">
        <f aca="false">IF(L293=1,IF(SUMPRODUCT(($L$35:$L$292=1)*(ABS($M$35:$M$292-M293)&lt;0.000001)*(ABS($N$35:$N$292-N293)&lt;0.000001)*($O$35:$O$292=O293)*(ABS($P$35:$P$292-P293)&lt;0.000001)*($Q$35:$Q$292=Q293)*($V$35:$V$292=V293))=0,1,0),0)</f>
        <v>0</v>
      </c>
      <c r="S293" s="14" t="n">
        <f aca="false">IF(AND(L293=1,N293&gt;=$B$4-0.000000001,P293&gt;=$B$6-0.000000001,M293&gt;=Floor_q+$B$5-0.000000001),1,0)</f>
        <v>0</v>
      </c>
      <c r="T293" s="14" t="n">
        <f aca="false">L293*(IF(1&lt;=2,1-Q293,IF(1=3,IF(AND(V293=0,O293&gt;=W_min,M293-D_dip&gt;=Floor_q),1,0),IF(AND(O293&gt;=W_min,M293&gt;=Pre_A),1,0)))+IF(2&lt;=2,1-Q293,IF(2=3,IF(AND(V293=0,O293&gt;=W_min,M293-D_dip&gt;=Floor_q),1,0),IF(AND(O293&gt;=W_min,M293&gt;=Pre_A),1,0)))+IF(3&lt;=2,1-Q293,IF(3=3,IF(AND(V293=0,O293&gt;=W_min,M293-D_dip&gt;=Floor_q),1,0),IF(AND(O293&gt;=W_min,M293&gt;=Pre_A),1,0)))+IF(4&lt;=2,1-Q293,IF(4=3,IF(AND(V293=0,O293&gt;=W_min,M293-D_dip&gt;=Floor_q),1,0),IF(AND(O293&gt;=W_min,M293&gt;=Pre_A),1,0))))</f>
        <v>0</v>
      </c>
      <c r="U293" s="14" t="n">
        <f aca="false">V99</f>
        <v>1</v>
      </c>
      <c r="V293" s="14" t="n">
        <f aca="false">CHOOSE(D293,U293,U293,1,U293)</f>
        <v>1</v>
      </c>
    </row>
    <row r="294" customFormat="false" ht="15" hidden="false" customHeight="true" outlineLevel="0" collapsed="false">
      <c r="A294" s="3" t="s">
        <v>532</v>
      </c>
      <c r="B294" s="14" t="n">
        <v>4</v>
      </c>
      <c r="C294" s="14" t="n">
        <v>99</v>
      </c>
      <c r="D294" s="14" t="n">
        <v>3</v>
      </c>
      <c r="E294" s="14" t="n">
        <f aca="false">L99</f>
        <v>0</v>
      </c>
      <c r="F294" s="19" t="n">
        <f aca="false">M99</f>
        <v>429.265458205737</v>
      </c>
      <c r="G294" s="19" t="n">
        <f aca="false">N99</f>
        <v>110.269338270704</v>
      </c>
      <c r="H294" s="14" t="n">
        <f aca="false">O99</f>
        <v>59</v>
      </c>
      <c r="I294" s="16" t="n">
        <f aca="false">P99</f>
        <v>80.5983309723245</v>
      </c>
      <c r="J294" s="14" t="n">
        <f aca="false">Q99</f>
        <v>0</v>
      </c>
      <c r="K294" s="14" t="n">
        <f aca="false">IF(D294&lt;=2,1-J294,IF(D294=3,IF(AND(U294=0,H294&gt;=W_min,F294-D_dip&gt;=Floor_q),1,0),IF(AND(H294&gt;=W_min,F294&gt;=Pre_A),1,0)))</f>
        <v>0</v>
      </c>
      <c r="L294" s="14" t="n">
        <f aca="false">E294*K294</f>
        <v>0</v>
      </c>
      <c r="M294" s="19" t="n">
        <f aca="false">CHOOSE(D294,F294+Proc_S,F294+Proc_Sk,F294+D_dL,F294-Cost_A)</f>
        <v>393.898187308605</v>
      </c>
      <c r="N294" s="19" t="n">
        <f aca="false">CHOOSE(D294,(1-Tech_share)*G294,(1-Tech_share)*G294,G294+D_dT,G294)</f>
        <v>144.904007406055</v>
      </c>
      <c r="O294" s="14" t="n">
        <f aca="false">CHOOSE(D294,H294-W_lost,H294,H294,H294+W_gain)</f>
        <v>59</v>
      </c>
      <c r="P294" s="16" t="n">
        <f aca="false">CHOOSE(D294,I294,I294,I294+D_dE,I294+Close_A*(Ceil_E-I294))</f>
        <v>83.1966619446489</v>
      </c>
      <c r="Q294" s="14" t="n">
        <f aca="false">CHOOSE(D294,1,1,J294,J294)</f>
        <v>0</v>
      </c>
      <c r="R294" s="14" t="n">
        <f aca="false">IF(L294=1,IF(SUMPRODUCT(($L$35:$L$293=1)*(ABS($M$35:$M$293-M294)&lt;0.000001)*(ABS($N$35:$N$293-N294)&lt;0.000001)*($O$35:$O$293=O294)*(ABS($P$35:$P$293-P294)&lt;0.000001)*($Q$35:$Q$293=Q294)*($V$35:$V$293=V294))=0,1,0),0)</f>
        <v>0</v>
      </c>
      <c r="S294" s="14" t="n">
        <f aca="false">IF(AND(L294=1,N294&gt;=$B$4-0.000000001,P294&gt;=$B$6-0.000000001,M294&gt;=Floor_q+$B$5-0.000000001),1,0)</f>
        <v>0</v>
      </c>
      <c r="T294" s="14" t="n">
        <f aca="false">L294*(IF(1&lt;=2,1-Q294,IF(1=3,IF(AND(V294=0,O294&gt;=W_min,M294-D_dip&gt;=Floor_q),1,0),IF(AND(O294&gt;=W_min,M294&gt;=Pre_A),1,0)))+IF(2&lt;=2,1-Q294,IF(2=3,IF(AND(V294=0,O294&gt;=W_min,M294-D_dip&gt;=Floor_q),1,0),IF(AND(O294&gt;=W_min,M294&gt;=Pre_A),1,0)))+IF(3&lt;=2,1-Q294,IF(3=3,IF(AND(V294=0,O294&gt;=W_min,M294-D_dip&gt;=Floor_q),1,0),IF(AND(O294&gt;=W_min,M294&gt;=Pre_A),1,0)))+IF(4&lt;=2,1-Q294,IF(4=3,IF(AND(V294=0,O294&gt;=W_min,M294-D_dip&gt;=Floor_q),1,0),IF(AND(O294&gt;=W_min,M294&gt;=Pre_A),1,0))))</f>
        <v>0</v>
      </c>
      <c r="U294" s="14" t="n">
        <f aca="false">V99</f>
        <v>1</v>
      </c>
      <c r="V294" s="14" t="n">
        <f aca="false">CHOOSE(D294,U294,U294,1,U294)</f>
        <v>1</v>
      </c>
    </row>
    <row r="295" customFormat="false" ht="15" hidden="false" customHeight="true" outlineLevel="0" collapsed="false">
      <c r="A295" s="3" t="s">
        <v>533</v>
      </c>
      <c r="B295" s="14" t="n">
        <v>4</v>
      </c>
      <c r="C295" s="14" t="n">
        <v>99</v>
      </c>
      <c r="D295" s="14" t="n">
        <v>4</v>
      </c>
      <c r="E295" s="14" t="n">
        <f aca="false">L99</f>
        <v>0</v>
      </c>
      <c r="F295" s="19" t="n">
        <f aca="false">M99</f>
        <v>429.265458205737</v>
      </c>
      <c r="G295" s="19" t="n">
        <f aca="false">N99</f>
        <v>110.269338270704</v>
      </c>
      <c r="H295" s="14" t="n">
        <f aca="false">O99</f>
        <v>59</v>
      </c>
      <c r="I295" s="16" t="n">
        <f aca="false">P99</f>
        <v>80.5983309723245</v>
      </c>
      <c r="J295" s="14" t="n">
        <f aca="false">Q99</f>
        <v>0</v>
      </c>
      <c r="K295" s="14" t="n">
        <f aca="false">IF(D295&lt;=2,1-J295,IF(D295=3,IF(AND(U295=0,H295&gt;=W_min,F295-D_dip&gt;=Floor_q),1,0),IF(AND(H295&gt;=W_min,F295&gt;=Pre_A),1,0)))</f>
        <v>0</v>
      </c>
      <c r="L295" s="14" t="n">
        <f aca="false">E295*K295</f>
        <v>0</v>
      </c>
      <c r="M295" s="19" t="n">
        <f aca="false">CHOOSE(D295,F295+Proc_S,F295+Proc_Sk,F295+D_dL,F295-Cost_A)</f>
        <v>309.265458205737</v>
      </c>
      <c r="N295" s="19" t="n">
        <f aca="false">CHOOSE(D295,(1-Tech_share)*G295,(1-Tech_share)*G295,G295+D_dT,G295)</f>
        <v>110.269338270704</v>
      </c>
      <c r="O295" s="14" t="n">
        <f aca="false">CHOOSE(D295,H295-W_lost,H295,H295,H295+W_gain)</f>
        <v>60</v>
      </c>
      <c r="P295" s="16" t="n">
        <f aca="false">CHOOSE(D295,I295,I295,I295+D_dE,I295+Close_A*(Ceil_E-I295))</f>
        <v>82.7991654861622</v>
      </c>
      <c r="Q295" s="14" t="n">
        <f aca="false">CHOOSE(D295,1,1,J295,J295)</f>
        <v>0</v>
      </c>
      <c r="R295" s="14" t="n">
        <f aca="false">IF(L295=1,IF(SUMPRODUCT(($L$35:$L$294=1)*(ABS($M$35:$M$294-M295)&lt;0.000001)*(ABS($N$35:$N$294-N295)&lt;0.000001)*($O$35:$O$294=O295)*(ABS($P$35:$P$294-P295)&lt;0.000001)*($Q$35:$Q$294=Q295)*($V$35:$V$294=V295))=0,1,0),0)</f>
        <v>0</v>
      </c>
      <c r="S295" s="14" t="n">
        <f aca="false">IF(AND(L295=1,N295&gt;=$B$4-0.000000001,P295&gt;=$B$6-0.000000001,M295&gt;=Floor_q+$B$5-0.000000001),1,0)</f>
        <v>0</v>
      </c>
      <c r="T295" s="14" t="n">
        <f aca="false">L295*(IF(1&lt;=2,1-Q295,IF(1=3,IF(AND(V295=0,O295&gt;=W_min,M295-D_dip&gt;=Floor_q),1,0),IF(AND(O295&gt;=W_min,M295&gt;=Pre_A),1,0)))+IF(2&lt;=2,1-Q295,IF(2=3,IF(AND(V295=0,O295&gt;=W_min,M295-D_dip&gt;=Floor_q),1,0),IF(AND(O295&gt;=W_min,M295&gt;=Pre_A),1,0)))+IF(3&lt;=2,1-Q295,IF(3=3,IF(AND(V295=0,O295&gt;=W_min,M295-D_dip&gt;=Floor_q),1,0),IF(AND(O295&gt;=W_min,M295&gt;=Pre_A),1,0)))+IF(4&lt;=2,1-Q295,IF(4=3,IF(AND(V295=0,O295&gt;=W_min,M295-D_dip&gt;=Floor_q),1,0),IF(AND(O295&gt;=W_min,M295&gt;=Pre_A),1,0))))</f>
        <v>0</v>
      </c>
      <c r="U295" s="14" t="n">
        <f aca="false">V99</f>
        <v>1</v>
      </c>
      <c r="V295" s="14" t="n">
        <f aca="false">CHOOSE(D295,U295,U295,1,U295)</f>
        <v>1</v>
      </c>
    </row>
    <row r="296" customFormat="false" ht="15" hidden="false" customHeight="true" outlineLevel="0" collapsed="false">
      <c r="A296" s="3" t="s">
        <v>534</v>
      </c>
      <c r="B296" s="14" t="n">
        <v>4</v>
      </c>
      <c r="C296" s="14" t="n">
        <v>100</v>
      </c>
      <c r="D296" s="14" t="n">
        <v>1</v>
      </c>
      <c r="E296" s="14" t="n">
        <f aca="false">L100</f>
        <v>1</v>
      </c>
      <c r="F296" s="19" t="n">
        <f aca="false">M100</f>
        <v>576.632729102868</v>
      </c>
      <c r="G296" s="19" t="n">
        <f aca="false">N100</f>
        <v>68.0712022218166</v>
      </c>
      <c r="H296" s="14" t="n">
        <f aca="false">O100</f>
        <v>54</v>
      </c>
      <c r="I296" s="16" t="n">
        <f aca="false">P100</f>
        <v>79.2991654861622</v>
      </c>
      <c r="J296" s="14" t="n">
        <f aca="false">Q100</f>
        <v>1</v>
      </c>
      <c r="K296" s="14" t="n">
        <f aca="false">IF(D296&lt;=2,1-J296,IF(D296=3,IF(AND(U296=0,H296&gt;=W_min,F296-D_dip&gt;=Floor_q),1,0),IF(AND(H296&gt;=W_min,F296&gt;=Pre_A),1,0)))</f>
        <v>0</v>
      </c>
      <c r="L296" s="14" t="n">
        <f aca="false">E296*K296</f>
        <v>0</v>
      </c>
      <c r="M296" s="19" t="n">
        <f aca="false">CHOOSE(D296,F296+Proc_S,F296+Proc_Sk,F296+D_dL,F296-Cost_A)</f>
        <v>688.632729102868</v>
      </c>
      <c r="N296" s="19" t="n">
        <f aca="false">CHOOSE(D296,(1-Tech_share)*G296,(1-Tech_share)*G296,G296+D_dT,G296)</f>
        <v>61.264081999635</v>
      </c>
      <c r="O296" s="14" t="n">
        <f aca="false">CHOOSE(D296,H296-W_lost,H296,H296,H296+W_gain)</f>
        <v>49</v>
      </c>
      <c r="P296" s="16" t="n">
        <f aca="false">CHOOSE(D296,I296,I296,I296+D_dE,I296+Close_A*(Ceil_E-I296))</f>
        <v>79.2991654861622</v>
      </c>
      <c r="Q296" s="14" t="n">
        <f aca="false">CHOOSE(D296,1,1,J296,J296)</f>
        <v>1</v>
      </c>
      <c r="R296" s="14" t="n">
        <f aca="false">IF(L296=1,IF(SUMPRODUCT(($L$35:$L$295=1)*(ABS($M$35:$M$295-M296)&lt;0.000001)*(ABS($N$35:$N$295-N296)&lt;0.000001)*($O$35:$O$295=O296)*(ABS($P$35:$P$295-P296)&lt;0.000001)*($Q$35:$Q$295=Q296)*($V$35:$V$295=V296))=0,1,0),0)</f>
        <v>0</v>
      </c>
      <c r="S296" s="14" t="n">
        <f aca="false">IF(AND(L296=1,N296&gt;=$B$4-0.000000001,P296&gt;=$B$6-0.000000001,M296&gt;=Floor_q+$B$5-0.000000001),1,0)</f>
        <v>0</v>
      </c>
      <c r="T296" s="14" t="n">
        <f aca="false">L296*(IF(1&lt;=2,1-Q296,IF(1=3,IF(AND(V296=0,O296&gt;=W_min,M296-D_dip&gt;=Floor_q),1,0),IF(AND(O296&gt;=W_min,M296&gt;=Pre_A),1,0)))+IF(2&lt;=2,1-Q296,IF(2=3,IF(AND(V296=0,O296&gt;=W_min,M296-D_dip&gt;=Floor_q),1,0),IF(AND(O296&gt;=W_min,M296&gt;=Pre_A),1,0)))+IF(3&lt;=2,1-Q296,IF(3=3,IF(AND(V296=0,O296&gt;=W_min,M296-D_dip&gt;=Floor_q),1,0),IF(AND(O296&gt;=W_min,M296&gt;=Pre_A),1,0)))+IF(4&lt;=2,1-Q296,IF(4=3,IF(AND(V296=0,O296&gt;=W_min,M296-D_dip&gt;=Floor_q),1,0),IF(AND(O296&gt;=W_min,M296&gt;=Pre_A),1,0))))</f>
        <v>0</v>
      </c>
      <c r="U296" s="14" t="n">
        <f aca="false">V100</f>
        <v>1</v>
      </c>
      <c r="V296" s="14" t="n">
        <f aca="false">CHOOSE(D296,U296,U296,1,U296)</f>
        <v>1</v>
      </c>
    </row>
    <row r="297" customFormat="false" ht="15" hidden="false" customHeight="true" outlineLevel="0" collapsed="false">
      <c r="A297" s="3" t="s">
        <v>535</v>
      </c>
      <c r="B297" s="14" t="n">
        <v>4</v>
      </c>
      <c r="C297" s="14" t="n">
        <v>100</v>
      </c>
      <c r="D297" s="14" t="n">
        <v>2</v>
      </c>
      <c r="E297" s="14" t="n">
        <f aca="false">L100</f>
        <v>1</v>
      </c>
      <c r="F297" s="19" t="n">
        <f aca="false">M100</f>
        <v>576.632729102868</v>
      </c>
      <c r="G297" s="19" t="n">
        <f aca="false">N100</f>
        <v>68.0712022218166</v>
      </c>
      <c r="H297" s="14" t="n">
        <f aca="false">O100</f>
        <v>54</v>
      </c>
      <c r="I297" s="16" t="n">
        <f aca="false">P100</f>
        <v>79.2991654861622</v>
      </c>
      <c r="J297" s="14" t="n">
        <f aca="false">Q100</f>
        <v>1</v>
      </c>
      <c r="K297" s="14" t="n">
        <f aca="false">IF(D297&lt;=2,1-J297,IF(D297=3,IF(AND(U297=0,H297&gt;=W_min,F297-D_dip&gt;=Floor_q),1,0),IF(AND(H297&gt;=W_min,F297&gt;=Pre_A),1,0)))</f>
        <v>0</v>
      </c>
      <c r="L297" s="14" t="n">
        <f aca="false">E297*K297</f>
        <v>0</v>
      </c>
      <c r="M297" s="19" t="n">
        <f aca="false">CHOOSE(D297,F297+Proc_S,F297+Proc_Sk,F297+D_dL,F297-Cost_A)</f>
        <v>668.632729102868</v>
      </c>
      <c r="N297" s="19" t="n">
        <f aca="false">CHOOSE(D297,(1-Tech_share)*G297,(1-Tech_share)*G297,G297+D_dT,G297)</f>
        <v>61.264081999635</v>
      </c>
      <c r="O297" s="14" t="n">
        <f aca="false">CHOOSE(D297,H297-W_lost,H297,H297,H297+W_gain)</f>
        <v>54</v>
      </c>
      <c r="P297" s="16" t="n">
        <f aca="false">CHOOSE(D297,I297,I297,I297+D_dE,I297+Close_A*(Ceil_E-I297))</f>
        <v>79.2991654861622</v>
      </c>
      <c r="Q297" s="14" t="n">
        <f aca="false">CHOOSE(D297,1,1,J297,J297)</f>
        <v>1</v>
      </c>
      <c r="R297" s="14" t="n">
        <f aca="false">IF(L297=1,IF(SUMPRODUCT(($L$35:$L$296=1)*(ABS($M$35:$M$296-M297)&lt;0.000001)*(ABS($N$35:$N$296-N297)&lt;0.000001)*($O$35:$O$296=O297)*(ABS($P$35:$P$296-P297)&lt;0.000001)*($Q$35:$Q$296=Q297)*($V$35:$V$296=V297))=0,1,0),0)</f>
        <v>0</v>
      </c>
      <c r="S297" s="14" t="n">
        <f aca="false">IF(AND(L297=1,N297&gt;=$B$4-0.000000001,P297&gt;=$B$6-0.000000001,M297&gt;=Floor_q+$B$5-0.000000001),1,0)</f>
        <v>0</v>
      </c>
      <c r="T297" s="14" t="n">
        <f aca="false">L297*(IF(1&lt;=2,1-Q297,IF(1=3,IF(AND(V297=0,O297&gt;=W_min,M297-D_dip&gt;=Floor_q),1,0),IF(AND(O297&gt;=W_min,M297&gt;=Pre_A),1,0)))+IF(2&lt;=2,1-Q297,IF(2=3,IF(AND(V297=0,O297&gt;=W_min,M297-D_dip&gt;=Floor_q),1,0),IF(AND(O297&gt;=W_min,M297&gt;=Pre_A),1,0)))+IF(3&lt;=2,1-Q297,IF(3=3,IF(AND(V297=0,O297&gt;=W_min,M297-D_dip&gt;=Floor_q),1,0),IF(AND(O297&gt;=W_min,M297&gt;=Pre_A),1,0)))+IF(4&lt;=2,1-Q297,IF(4=3,IF(AND(V297=0,O297&gt;=W_min,M297-D_dip&gt;=Floor_q),1,0),IF(AND(O297&gt;=W_min,M297&gt;=Pre_A),1,0))))</f>
        <v>0</v>
      </c>
      <c r="U297" s="14" t="n">
        <f aca="false">V100</f>
        <v>1</v>
      </c>
      <c r="V297" s="14" t="n">
        <f aca="false">CHOOSE(D297,U297,U297,1,U297)</f>
        <v>1</v>
      </c>
    </row>
    <row r="298" customFormat="false" ht="15" hidden="false" customHeight="true" outlineLevel="0" collapsed="false">
      <c r="A298" s="3" t="s">
        <v>536</v>
      </c>
      <c r="B298" s="14" t="n">
        <v>4</v>
      </c>
      <c r="C298" s="14" t="n">
        <v>100</v>
      </c>
      <c r="D298" s="14" t="n">
        <v>3</v>
      </c>
      <c r="E298" s="14" t="n">
        <f aca="false">L100</f>
        <v>1</v>
      </c>
      <c r="F298" s="19" t="n">
        <f aca="false">M100</f>
        <v>576.632729102868</v>
      </c>
      <c r="G298" s="19" t="n">
        <f aca="false">N100</f>
        <v>68.0712022218166</v>
      </c>
      <c r="H298" s="14" t="n">
        <f aca="false">O100</f>
        <v>54</v>
      </c>
      <c r="I298" s="16" t="n">
        <f aca="false">P100</f>
        <v>79.2991654861622</v>
      </c>
      <c r="J298" s="14" t="n">
        <f aca="false">Q100</f>
        <v>1</v>
      </c>
      <c r="K298" s="14" t="n">
        <f aca="false">IF(D298&lt;=2,1-J298,IF(D298=3,IF(AND(U298=0,H298&gt;=W_min,F298-D_dip&gt;=Floor_q),1,0),IF(AND(H298&gt;=W_min,F298&gt;=Pre_A),1,0)))</f>
        <v>0</v>
      </c>
      <c r="L298" s="14" t="n">
        <f aca="false">E298*K298</f>
        <v>0</v>
      </c>
      <c r="M298" s="19" t="n">
        <f aca="false">CHOOSE(D298,F298+Proc_S,F298+Proc_Sk,F298+D_dL,F298-Cost_A)</f>
        <v>541.265458205737</v>
      </c>
      <c r="N298" s="19" t="n">
        <f aca="false">CHOOSE(D298,(1-Tech_share)*G298,(1-Tech_share)*G298,G298+D_dT,G298)</f>
        <v>102.705871357168</v>
      </c>
      <c r="O298" s="14" t="n">
        <f aca="false">CHOOSE(D298,H298-W_lost,H298,H298,H298+W_gain)</f>
        <v>54</v>
      </c>
      <c r="P298" s="16" t="n">
        <f aca="false">CHOOSE(D298,I298,I298,I298+D_dE,I298+Close_A*(Ceil_E-I298))</f>
        <v>81.8974964584867</v>
      </c>
      <c r="Q298" s="14" t="n">
        <f aca="false">CHOOSE(D298,1,1,J298,J298)</f>
        <v>1</v>
      </c>
      <c r="R298" s="14" t="n">
        <f aca="false">IF(L298=1,IF(SUMPRODUCT(($L$35:$L$297=1)*(ABS($M$35:$M$297-M298)&lt;0.000001)*(ABS($N$35:$N$297-N298)&lt;0.000001)*($O$35:$O$297=O298)*(ABS($P$35:$P$297-P298)&lt;0.000001)*($Q$35:$Q$297=Q298)*($V$35:$V$297=V298))=0,1,0),0)</f>
        <v>0</v>
      </c>
      <c r="S298" s="14" t="n">
        <f aca="false">IF(AND(L298=1,N298&gt;=$B$4-0.000000001,P298&gt;=$B$6-0.000000001,M298&gt;=Floor_q+$B$5-0.000000001),1,0)</f>
        <v>0</v>
      </c>
      <c r="T298" s="14" t="n">
        <f aca="false">L298*(IF(1&lt;=2,1-Q298,IF(1=3,IF(AND(V298=0,O298&gt;=W_min,M298-D_dip&gt;=Floor_q),1,0),IF(AND(O298&gt;=W_min,M298&gt;=Pre_A),1,0)))+IF(2&lt;=2,1-Q298,IF(2=3,IF(AND(V298=0,O298&gt;=W_min,M298-D_dip&gt;=Floor_q),1,0),IF(AND(O298&gt;=W_min,M298&gt;=Pre_A),1,0)))+IF(3&lt;=2,1-Q298,IF(3=3,IF(AND(V298=0,O298&gt;=W_min,M298-D_dip&gt;=Floor_q),1,0),IF(AND(O298&gt;=W_min,M298&gt;=Pre_A),1,0)))+IF(4&lt;=2,1-Q298,IF(4=3,IF(AND(V298=0,O298&gt;=W_min,M298-D_dip&gt;=Floor_q),1,0),IF(AND(O298&gt;=W_min,M298&gt;=Pre_A),1,0))))</f>
        <v>0</v>
      </c>
      <c r="U298" s="14" t="n">
        <f aca="false">V100</f>
        <v>1</v>
      </c>
      <c r="V298" s="14" t="n">
        <f aca="false">CHOOSE(D298,U298,U298,1,U298)</f>
        <v>1</v>
      </c>
    </row>
    <row r="299" customFormat="false" ht="15" hidden="false" customHeight="true" outlineLevel="0" collapsed="false">
      <c r="A299" s="3" t="s">
        <v>537</v>
      </c>
      <c r="B299" s="14" t="n">
        <v>4</v>
      </c>
      <c r="C299" s="14" t="n">
        <v>100</v>
      </c>
      <c r="D299" s="14" t="n">
        <v>4</v>
      </c>
      <c r="E299" s="14" t="n">
        <f aca="false">L100</f>
        <v>1</v>
      </c>
      <c r="F299" s="19" t="n">
        <f aca="false">M100</f>
        <v>576.632729102868</v>
      </c>
      <c r="G299" s="19" t="n">
        <f aca="false">N100</f>
        <v>68.0712022218166</v>
      </c>
      <c r="H299" s="14" t="n">
        <f aca="false">O100</f>
        <v>54</v>
      </c>
      <c r="I299" s="16" t="n">
        <f aca="false">P100</f>
        <v>79.2991654861622</v>
      </c>
      <c r="J299" s="14" t="n">
        <f aca="false">Q100</f>
        <v>1</v>
      </c>
      <c r="K299" s="14" t="n">
        <f aca="false">IF(D299&lt;=2,1-J299,IF(D299=3,IF(AND(U299=0,H299&gt;=W_min,F299-D_dip&gt;=Floor_q),1,0),IF(AND(H299&gt;=W_min,F299&gt;=Pre_A),1,0)))</f>
        <v>0</v>
      </c>
      <c r="L299" s="14" t="n">
        <f aca="false">E299*K299</f>
        <v>0</v>
      </c>
      <c r="M299" s="19" t="n">
        <f aca="false">CHOOSE(D299,F299+Proc_S,F299+Proc_Sk,F299+D_dL,F299-Cost_A)</f>
        <v>456.632729102868</v>
      </c>
      <c r="N299" s="19" t="n">
        <f aca="false">CHOOSE(D299,(1-Tech_share)*G299,(1-Tech_share)*G299,G299+D_dT,G299)</f>
        <v>68.0712022218166</v>
      </c>
      <c r="O299" s="14" t="n">
        <f aca="false">CHOOSE(D299,H299-W_lost,H299,H299,H299+W_gain)</f>
        <v>55</v>
      </c>
      <c r="P299" s="16" t="n">
        <f aca="false">CHOOSE(D299,I299,I299,I299+D_dE,I299+Close_A*(Ceil_E-I299))</f>
        <v>82.1495827430811</v>
      </c>
      <c r="Q299" s="14" t="n">
        <f aca="false">CHOOSE(D299,1,1,J299,J299)</f>
        <v>1</v>
      </c>
      <c r="R299" s="14" t="n">
        <f aca="false">IF(L299=1,IF(SUMPRODUCT(($L$35:$L$298=1)*(ABS($M$35:$M$298-M299)&lt;0.000001)*(ABS($N$35:$N$298-N299)&lt;0.000001)*($O$35:$O$298=O299)*(ABS($P$35:$P$298-P299)&lt;0.000001)*($Q$35:$Q$298=Q299)*($V$35:$V$298=V299))=0,1,0),0)</f>
        <v>0</v>
      </c>
      <c r="S299" s="14" t="n">
        <f aca="false">IF(AND(L299=1,N299&gt;=$B$4-0.000000001,P299&gt;=$B$6-0.000000001,M299&gt;=Floor_q+$B$5-0.000000001),1,0)</f>
        <v>0</v>
      </c>
      <c r="T299" s="14" t="n">
        <f aca="false">L299*(IF(1&lt;=2,1-Q299,IF(1=3,IF(AND(V299=0,O299&gt;=W_min,M299-D_dip&gt;=Floor_q),1,0),IF(AND(O299&gt;=W_min,M299&gt;=Pre_A),1,0)))+IF(2&lt;=2,1-Q299,IF(2=3,IF(AND(V299=0,O299&gt;=W_min,M299-D_dip&gt;=Floor_q),1,0),IF(AND(O299&gt;=W_min,M299&gt;=Pre_A),1,0)))+IF(3&lt;=2,1-Q299,IF(3=3,IF(AND(V299=0,O299&gt;=W_min,M299-D_dip&gt;=Floor_q),1,0),IF(AND(O299&gt;=W_min,M299&gt;=Pre_A),1,0)))+IF(4&lt;=2,1-Q299,IF(4=3,IF(AND(V299=0,O299&gt;=W_min,M299-D_dip&gt;=Floor_q),1,0),IF(AND(O299&gt;=W_min,M299&gt;=Pre_A),1,0))))</f>
        <v>0</v>
      </c>
      <c r="U299" s="14" t="n">
        <f aca="false">V100</f>
        <v>1</v>
      </c>
      <c r="V299" s="14" t="n">
        <f aca="false">CHOOSE(D299,U299,U299,1,U299)</f>
        <v>1</v>
      </c>
    </row>
    <row r="300" customFormat="false" ht="15" hidden="false" customHeight="true" outlineLevel="0" collapsed="false">
      <c r="A300" s="3" t="s">
        <v>538</v>
      </c>
      <c r="B300" s="14" t="n">
        <v>4</v>
      </c>
      <c r="C300" s="14" t="n">
        <v>101</v>
      </c>
      <c r="D300" s="14" t="n">
        <v>1</v>
      </c>
      <c r="E300" s="14" t="n">
        <f aca="false">L101</f>
        <v>1</v>
      </c>
      <c r="F300" s="19" t="n">
        <f aca="false">M101</f>
        <v>556.632729102868</v>
      </c>
      <c r="G300" s="19" t="n">
        <f aca="false">N101</f>
        <v>68.0712022218166</v>
      </c>
      <c r="H300" s="14" t="n">
        <f aca="false">O101</f>
        <v>59</v>
      </c>
      <c r="I300" s="16" t="n">
        <f aca="false">P101</f>
        <v>79.2991654861622</v>
      </c>
      <c r="J300" s="14" t="n">
        <f aca="false">Q101</f>
        <v>1</v>
      </c>
      <c r="K300" s="14" t="n">
        <f aca="false">IF(D300&lt;=2,1-J300,IF(D300=3,IF(AND(U300=0,H300&gt;=W_min,F300-D_dip&gt;=Floor_q),1,0),IF(AND(H300&gt;=W_min,F300&gt;=Pre_A),1,0)))</f>
        <v>0</v>
      </c>
      <c r="L300" s="14" t="n">
        <f aca="false">E300*K300</f>
        <v>0</v>
      </c>
      <c r="M300" s="19" t="n">
        <f aca="false">CHOOSE(D300,F300+Proc_S,F300+Proc_Sk,F300+D_dL,F300-Cost_A)</f>
        <v>668.632729102868</v>
      </c>
      <c r="N300" s="19" t="n">
        <f aca="false">CHOOSE(D300,(1-Tech_share)*G300,(1-Tech_share)*G300,G300+D_dT,G300)</f>
        <v>61.264081999635</v>
      </c>
      <c r="O300" s="14" t="n">
        <f aca="false">CHOOSE(D300,H300-W_lost,H300,H300,H300+W_gain)</f>
        <v>54</v>
      </c>
      <c r="P300" s="16" t="n">
        <f aca="false">CHOOSE(D300,I300,I300,I300+D_dE,I300+Close_A*(Ceil_E-I300))</f>
        <v>79.2991654861622</v>
      </c>
      <c r="Q300" s="14" t="n">
        <f aca="false">CHOOSE(D300,1,1,J300,J300)</f>
        <v>1</v>
      </c>
      <c r="R300" s="14" t="n">
        <f aca="false">IF(L300=1,IF(SUMPRODUCT(($L$35:$L$299=1)*(ABS($M$35:$M$299-M300)&lt;0.000001)*(ABS($N$35:$N$299-N300)&lt;0.000001)*($O$35:$O$299=O300)*(ABS($P$35:$P$299-P300)&lt;0.000001)*($Q$35:$Q$299=Q300)*($V$35:$V$299=V300))=0,1,0),0)</f>
        <v>0</v>
      </c>
      <c r="S300" s="14" t="n">
        <f aca="false">IF(AND(L300=1,N300&gt;=$B$4-0.000000001,P300&gt;=$B$6-0.000000001,M300&gt;=Floor_q+$B$5-0.000000001),1,0)</f>
        <v>0</v>
      </c>
      <c r="T300" s="14" t="n">
        <f aca="false">L300*(IF(1&lt;=2,1-Q300,IF(1=3,IF(AND(V300=0,O300&gt;=W_min,M300-D_dip&gt;=Floor_q),1,0),IF(AND(O300&gt;=W_min,M300&gt;=Pre_A),1,0)))+IF(2&lt;=2,1-Q300,IF(2=3,IF(AND(V300=0,O300&gt;=W_min,M300-D_dip&gt;=Floor_q),1,0),IF(AND(O300&gt;=W_min,M300&gt;=Pre_A),1,0)))+IF(3&lt;=2,1-Q300,IF(3=3,IF(AND(V300=0,O300&gt;=W_min,M300-D_dip&gt;=Floor_q),1,0),IF(AND(O300&gt;=W_min,M300&gt;=Pre_A),1,0)))+IF(4&lt;=2,1-Q300,IF(4=3,IF(AND(V300=0,O300&gt;=W_min,M300-D_dip&gt;=Floor_q),1,0),IF(AND(O300&gt;=W_min,M300&gt;=Pre_A),1,0))))</f>
        <v>0</v>
      </c>
      <c r="U300" s="14" t="n">
        <f aca="false">V101</f>
        <v>1</v>
      </c>
      <c r="V300" s="14" t="n">
        <f aca="false">CHOOSE(D300,U300,U300,1,U300)</f>
        <v>1</v>
      </c>
    </row>
    <row r="301" customFormat="false" ht="15" hidden="false" customHeight="true" outlineLevel="0" collapsed="false">
      <c r="A301" s="3" t="s">
        <v>539</v>
      </c>
      <c r="B301" s="14" t="n">
        <v>4</v>
      </c>
      <c r="C301" s="14" t="n">
        <v>101</v>
      </c>
      <c r="D301" s="14" t="n">
        <v>2</v>
      </c>
      <c r="E301" s="14" t="n">
        <f aca="false">L101</f>
        <v>1</v>
      </c>
      <c r="F301" s="19" t="n">
        <f aca="false">M101</f>
        <v>556.632729102868</v>
      </c>
      <c r="G301" s="19" t="n">
        <f aca="false">N101</f>
        <v>68.0712022218166</v>
      </c>
      <c r="H301" s="14" t="n">
        <f aca="false">O101</f>
        <v>59</v>
      </c>
      <c r="I301" s="16" t="n">
        <f aca="false">P101</f>
        <v>79.2991654861622</v>
      </c>
      <c r="J301" s="14" t="n">
        <f aca="false">Q101</f>
        <v>1</v>
      </c>
      <c r="K301" s="14" t="n">
        <f aca="false">IF(D301&lt;=2,1-J301,IF(D301=3,IF(AND(U301=0,H301&gt;=W_min,F301-D_dip&gt;=Floor_q),1,0),IF(AND(H301&gt;=W_min,F301&gt;=Pre_A),1,0)))</f>
        <v>0</v>
      </c>
      <c r="L301" s="14" t="n">
        <f aca="false">E301*K301</f>
        <v>0</v>
      </c>
      <c r="M301" s="19" t="n">
        <f aca="false">CHOOSE(D301,F301+Proc_S,F301+Proc_Sk,F301+D_dL,F301-Cost_A)</f>
        <v>648.632729102868</v>
      </c>
      <c r="N301" s="19" t="n">
        <f aca="false">CHOOSE(D301,(1-Tech_share)*G301,(1-Tech_share)*G301,G301+D_dT,G301)</f>
        <v>61.264081999635</v>
      </c>
      <c r="O301" s="14" t="n">
        <f aca="false">CHOOSE(D301,H301-W_lost,H301,H301,H301+W_gain)</f>
        <v>59</v>
      </c>
      <c r="P301" s="16" t="n">
        <f aca="false">CHOOSE(D301,I301,I301,I301+D_dE,I301+Close_A*(Ceil_E-I301))</f>
        <v>79.2991654861622</v>
      </c>
      <c r="Q301" s="14" t="n">
        <f aca="false">CHOOSE(D301,1,1,J301,J301)</f>
        <v>1</v>
      </c>
      <c r="R301" s="14" t="n">
        <f aca="false">IF(L301=1,IF(SUMPRODUCT(($L$35:$L$300=1)*(ABS($M$35:$M$300-M301)&lt;0.000001)*(ABS($N$35:$N$300-N301)&lt;0.000001)*($O$35:$O$300=O301)*(ABS($P$35:$P$300-P301)&lt;0.000001)*($Q$35:$Q$300=Q301)*($V$35:$V$300=V301))=0,1,0),0)</f>
        <v>0</v>
      </c>
      <c r="S301" s="14" t="n">
        <f aca="false">IF(AND(L301=1,N301&gt;=$B$4-0.000000001,P301&gt;=$B$6-0.000000001,M301&gt;=Floor_q+$B$5-0.000000001),1,0)</f>
        <v>0</v>
      </c>
      <c r="T301" s="14" t="n">
        <f aca="false">L301*(IF(1&lt;=2,1-Q301,IF(1=3,IF(AND(V301=0,O301&gt;=W_min,M301-D_dip&gt;=Floor_q),1,0),IF(AND(O301&gt;=W_min,M301&gt;=Pre_A),1,0)))+IF(2&lt;=2,1-Q301,IF(2=3,IF(AND(V301=0,O301&gt;=W_min,M301-D_dip&gt;=Floor_q),1,0),IF(AND(O301&gt;=W_min,M301&gt;=Pre_A),1,0)))+IF(3&lt;=2,1-Q301,IF(3=3,IF(AND(V301=0,O301&gt;=W_min,M301-D_dip&gt;=Floor_q),1,0),IF(AND(O301&gt;=W_min,M301&gt;=Pre_A),1,0)))+IF(4&lt;=2,1-Q301,IF(4=3,IF(AND(V301=0,O301&gt;=W_min,M301-D_dip&gt;=Floor_q),1,0),IF(AND(O301&gt;=W_min,M301&gt;=Pre_A),1,0))))</f>
        <v>0</v>
      </c>
      <c r="U301" s="14" t="n">
        <f aca="false">V101</f>
        <v>1</v>
      </c>
      <c r="V301" s="14" t="n">
        <f aca="false">CHOOSE(D301,U301,U301,1,U301)</f>
        <v>1</v>
      </c>
    </row>
    <row r="302" customFormat="false" ht="15" hidden="false" customHeight="true" outlineLevel="0" collapsed="false">
      <c r="A302" s="3" t="s">
        <v>540</v>
      </c>
      <c r="B302" s="14" t="n">
        <v>4</v>
      </c>
      <c r="C302" s="14" t="n">
        <v>101</v>
      </c>
      <c r="D302" s="14" t="n">
        <v>3</v>
      </c>
      <c r="E302" s="14" t="n">
        <f aca="false">L101</f>
        <v>1</v>
      </c>
      <c r="F302" s="19" t="n">
        <f aca="false">M101</f>
        <v>556.632729102868</v>
      </c>
      <c r="G302" s="19" t="n">
        <f aca="false">N101</f>
        <v>68.0712022218166</v>
      </c>
      <c r="H302" s="14" t="n">
        <f aca="false">O101</f>
        <v>59</v>
      </c>
      <c r="I302" s="16" t="n">
        <f aca="false">P101</f>
        <v>79.2991654861622</v>
      </c>
      <c r="J302" s="14" t="n">
        <f aca="false">Q101</f>
        <v>1</v>
      </c>
      <c r="K302" s="14" t="n">
        <f aca="false">IF(D302&lt;=2,1-J302,IF(D302=3,IF(AND(U302=0,H302&gt;=W_min,F302-D_dip&gt;=Floor_q),1,0),IF(AND(H302&gt;=W_min,F302&gt;=Pre_A),1,0)))</f>
        <v>0</v>
      </c>
      <c r="L302" s="14" t="n">
        <f aca="false">E302*K302</f>
        <v>0</v>
      </c>
      <c r="M302" s="19" t="n">
        <f aca="false">CHOOSE(D302,F302+Proc_S,F302+Proc_Sk,F302+D_dL,F302-Cost_A)</f>
        <v>521.265458205737</v>
      </c>
      <c r="N302" s="19" t="n">
        <f aca="false">CHOOSE(D302,(1-Tech_share)*G302,(1-Tech_share)*G302,G302+D_dT,G302)</f>
        <v>102.705871357168</v>
      </c>
      <c r="O302" s="14" t="n">
        <f aca="false">CHOOSE(D302,H302-W_lost,H302,H302,H302+W_gain)</f>
        <v>59</v>
      </c>
      <c r="P302" s="16" t="n">
        <f aca="false">CHOOSE(D302,I302,I302,I302+D_dE,I302+Close_A*(Ceil_E-I302))</f>
        <v>81.8974964584867</v>
      </c>
      <c r="Q302" s="14" t="n">
        <f aca="false">CHOOSE(D302,1,1,J302,J302)</f>
        <v>1</v>
      </c>
      <c r="R302" s="14" t="n">
        <f aca="false">IF(L302=1,IF(SUMPRODUCT(($L$35:$L$301=1)*(ABS($M$35:$M$301-M302)&lt;0.000001)*(ABS($N$35:$N$301-N302)&lt;0.000001)*($O$35:$O$301=O302)*(ABS($P$35:$P$301-P302)&lt;0.000001)*($Q$35:$Q$301=Q302)*($V$35:$V$301=V302))=0,1,0),0)</f>
        <v>0</v>
      </c>
      <c r="S302" s="14" t="n">
        <f aca="false">IF(AND(L302=1,N302&gt;=$B$4-0.000000001,P302&gt;=$B$6-0.000000001,M302&gt;=Floor_q+$B$5-0.000000001),1,0)</f>
        <v>0</v>
      </c>
      <c r="T302" s="14" t="n">
        <f aca="false">L302*(IF(1&lt;=2,1-Q302,IF(1=3,IF(AND(V302=0,O302&gt;=W_min,M302-D_dip&gt;=Floor_q),1,0),IF(AND(O302&gt;=W_min,M302&gt;=Pre_A),1,0)))+IF(2&lt;=2,1-Q302,IF(2=3,IF(AND(V302=0,O302&gt;=W_min,M302-D_dip&gt;=Floor_q),1,0),IF(AND(O302&gt;=W_min,M302&gt;=Pre_A),1,0)))+IF(3&lt;=2,1-Q302,IF(3=3,IF(AND(V302=0,O302&gt;=W_min,M302-D_dip&gt;=Floor_q),1,0),IF(AND(O302&gt;=W_min,M302&gt;=Pre_A),1,0)))+IF(4&lt;=2,1-Q302,IF(4=3,IF(AND(V302=0,O302&gt;=W_min,M302-D_dip&gt;=Floor_q),1,0),IF(AND(O302&gt;=W_min,M302&gt;=Pre_A),1,0))))</f>
        <v>0</v>
      </c>
      <c r="U302" s="14" t="n">
        <f aca="false">V101</f>
        <v>1</v>
      </c>
      <c r="V302" s="14" t="n">
        <f aca="false">CHOOSE(D302,U302,U302,1,U302)</f>
        <v>1</v>
      </c>
    </row>
    <row r="303" customFormat="false" ht="15" hidden="false" customHeight="true" outlineLevel="0" collapsed="false">
      <c r="A303" s="3" t="s">
        <v>541</v>
      </c>
      <c r="B303" s="14" t="n">
        <v>4</v>
      </c>
      <c r="C303" s="14" t="n">
        <v>101</v>
      </c>
      <c r="D303" s="14" t="n">
        <v>4</v>
      </c>
      <c r="E303" s="14" t="n">
        <f aca="false">L101</f>
        <v>1</v>
      </c>
      <c r="F303" s="19" t="n">
        <f aca="false">M101</f>
        <v>556.632729102868</v>
      </c>
      <c r="G303" s="19" t="n">
        <f aca="false">N101</f>
        <v>68.0712022218166</v>
      </c>
      <c r="H303" s="14" t="n">
        <f aca="false">O101</f>
        <v>59</v>
      </c>
      <c r="I303" s="16" t="n">
        <f aca="false">P101</f>
        <v>79.2991654861622</v>
      </c>
      <c r="J303" s="14" t="n">
        <f aca="false">Q101</f>
        <v>1</v>
      </c>
      <c r="K303" s="14" t="n">
        <f aca="false">IF(D303&lt;=2,1-J303,IF(D303=3,IF(AND(U303=0,H303&gt;=W_min,F303-D_dip&gt;=Floor_q),1,0),IF(AND(H303&gt;=W_min,F303&gt;=Pre_A),1,0)))</f>
        <v>1</v>
      </c>
      <c r="L303" s="14" t="n">
        <f aca="false">E303*K303</f>
        <v>1</v>
      </c>
      <c r="M303" s="19" t="n">
        <f aca="false">CHOOSE(D303,F303+Proc_S,F303+Proc_Sk,F303+D_dL,F303-Cost_A)</f>
        <v>436.632729102868</v>
      </c>
      <c r="N303" s="19" t="n">
        <f aca="false">CHOOSE(D303,(1-Tech_share)*G303,(1-Tech_share)*G303,G303+D_dT,G303)</f>
        <v>68.0712022218166</v>
      </c>
      <c r="O303" s="14" t="n">
        <f aca="false">CHOOSE(D303,H303-W_lost,H303,H303,H303+W_gain)</f>
        <v>60</v>
      </c>
      <c r="P303" s="16" t="n">
        <f aca="false">CHOOSE(D303,I303,I303,I303+D_dE,I303+Close_A*(Ceil_E-I303))</f>
        <v>82.1495827430811</v>
      </c>
      <c r="Q303" s="14" t="n">
        <f aca="false">CHOOSE(D303,1,1,J303,J303)</f>
        <v>1</v>
      </c>
      <c r="R303" s="14" t="n">
        <f aca="false">IF(L303=1,IF(SUMPRODUCT(($L$35:$L$302=1)*(ABS($M$35:$M$302-M303)&lt;0.000001)*(ABS($N$35:$N$302-N303)&lt;0.000001)*($O$35:$O$302=O303)*(ABS($P$35:$P$302-P303)&lt;0.000001)*($Q$35:$Q$302=Q303)*($V$35:$V$302=V303))=0,1,0),0)</f>
        <v>0</v>
      </c>
      <c r="S303" s="14" t="n">
        <f aca="false">IF(AND(L303=1,N303&gt;=$B$4-0.000000001,P303&gt;=$B$6-0.000000001,M303&gt;=Floor_q+$B$5-0.000000001),1,0)</f>
        <v>0</v>
      </c>
      <c r="T303" s="14" t="n">
        <f aca="false">L303*(IF(1&lt;=2,1-Q303,IF(1=3,IF(AND(V303=0,O303&gt;=W_min,M303-D_dip&gt;=Floor_q),1,0),IF(AND(O303&gt;=W_min,M303&gt;=Pre_A),1,0)))+IF(2&lt;=2,1-Q303,IF(2=3,IF(AND(V303=0,O303&gt;=W_min,M303-D_dip&gt;=Floor_q),1,0),IF(AND(O303&gt;=W_min,M303&gt;=Pre_A),1,0)))+IF(3&lt;=2,1-Q303,IF(3=3,IF(AND(V303=0,O303&gt;=W_min,M303-D_dip&gt;=Floor_q),1,0),IF(AND(O303&gt;=W_min,M303&gt;=Pre_A),1,0)))+IF(4&lt;=2,1-Q303,IF(4=3,IF(AND(V303=0,O303&gt;=W_min,M303-D_dip&gt;=Floor_q),1,0),IF(AND(O303&gt;=W_min,M303&gt;=Pre_A),1,0))))</f>
        <v>0</v>
      </c>
      <c r="U303" s="14" t="n">
        <f aca="false">V101</f>
        <v>1</v>
      </c>
      <c r="V303" s="14" t="n">
        <f aca="false">CHOOSE(D303,U303,U303,1,U303)</f>
        <v>1</v>
      </c>
    </row>
    <row r="304" customFormat="false" ht="15" hidden="false" customHeight="true" outlineLevel="0" collapsed="false">
      <c r="A304" s="3" t="s">
        <v>542</v>
      </c>
      <c r="B304" s="14" t="n">
        <v>4</v>
      </c>
      <c r="C304" s="14" t="n">
        <v>102</v>
      </c>
      <c r="D304" s="14" t="n">
        <v>1</v>
      </c>
      <c r="E304" s="14" t="n">
        <f aca="false">L102</f>
        <v>0</v>
      </c>
      <c r="F304" s="19" t="n">
        <f aca="false">M102</f>
        <v>429.265458205737</v>
      </c>
      <c r="G304" s="19" t="n">
        <f aca="false">N102</f>
        <v>110.269338270704</v>
      </c>
      <c r="H304" s="14" t="n">
        <f aca="false">O102</f>
        <v>59</v>
      </c>
      <c r="I304" s="16" t="n">
        <f aca="false">P102</f>
        <v>81.8974964584867</v>
      </c>
      <c r="J304" s="14" t="n">
        <f aca="false">Q102</f>
        <v>0</v>
      </c>
      <c r="K304" s="14" t="n">
        <f aca="false">IF(D304&lt;=2,1-J304,IF(D304=3,IF(AND(U304=0,H304&gt;=W_min,F304-D_dip&gt;=Floor_q),1,0),IF(AND(H304&gt;=W_min,F304&gt;=Pre_A),1,0)))</f>
        <v>1</v>
      </c>
      <c r="L304" s="14" t="n">
        <f aca="false">E304*K304</f>
        <v>0</v>
      </c>
      <c r="M304" s="19" t="n">
        <f aca="false">CHOOSE(D304,F304+Proc_S,F304+Proc_Sk,F304+D_dL,F304-Cost_A)</f>
        <v>541.265458205737</v>
      </c>
      <c r="N304" s="19" t="n">
        <f aca="false">CHOOSE(D304,(1-Tech_share)*G304,(1-Tech_share)*G304,G304+D_dT,G304)</f>
        <v>99.2424044436333</v>
      </c>
      <c r="O304" s="14" t="n">
        <f aca="false">CHOOSE(D304,H304-W_lost,H304,H304,H304+W_gain)</f>
        <v>54</v>
      </c>
      <c r="P304" s="16" t="n">
        <f aca="false">CHOOSE(D304,I304,I304,I304+D_dE,I304+Close_A*(Ceil_E-I304))</f>
        <v>81.8974964584867</v>
      </c>
      <c r="Q304" s="14" t="n">
        <f aca="false">CHOOSE(D304,1,1,J304,J304)</f>
        <v>1</v>
      </c>
      <c r="R304" s="14" t="n">
        <f aca="false">IF(L304=1,IF(SUMPRODUCT(($L$35:$L$303=1)*(ABS($M$35:$M$303-M304)&lt;0.000001)*(ABS($N$35:$N$303-N304)&lt;0.000001)*($O$35:$O$303=O304)*(ABS($P$35:$P$303-P304)&lt;0.000001)*($Q$35:$Q$303=Q304)*($V$35:$V$303=V304))=0,1,0),0)</f>
        <v>0</v>
      </c>
      <c r="S304" s="14" t="n">
        <f aca="false">IF(AND(L304=1,N304&gt;=$B$4-0.000000001,P304&gt;=$B$6-0.000000001,M304&gt;=Floor_q+$B$5-0.000000001),1,0)</f>
        <v>0</v>
      </c>
      <c r="T304" s="14" t="n">
        <f aca="false">L304*(IF(1&lt;=2,1-Q304,IF(1=3,IF(AND(V304=0,O304&gt;=W_min,M304-D_dip&gt;=Floor_q),1,0),IF(AND(O304&gt;=W_min,M304&gt;=Pre_A),1,0)))+IF(2&lt;=2,1-Q304,IF(2=3,IF(AND(V304=0,O304&gt;=W_min,M304-D_dip&gt;=Floor_q),1,0),IF(AND(O304&gt;=W_min,M304&gt;=Pre_A),1,0)))+IF(3&lt;=2,1-Q304,IF(3=3,IF(AND(V304=0,O304&gt;=W_min,M304-D_dip&gt;=Floor_q),1,0),IF(AND(O304&gt;=W_min,M304&gt;=Pre_A),1,0)))+IF(4&lt;=2,1-Q304,IF(4=3,IF(AND(V304=0,O304&gt;=W_min,M304-D_dip&gt;=Floor_q),1,0),IF(AND(O304&gt;=W_min,M304&gt;=Pre_A),1,0))))</f>
        <v>0</v>
      </c>
      <c r="U304" s="14" t="n">
        <f aca="false">V102</f>
        <v>1</v>
      </c>
      <c r="V304" s="14" t="n">
        <f aca="false">CHOOSE(D304,U304,U304,1,U304)</f>
        <v>1</v>
      </c>
    </row>
    <row r="305" customFormat="false" ht="15" hidden="false" customHeight="true" outlineLevel="0" collapsed="false">
      <c r="A305" s="3" t="s">
        <v>543</v>
      </c>
      <c r="B305" s="14" t="n">
        <v>4</v>
      </c>
      <c r="C305" s="14" t="n">
        <v>102</v>
      </c>
      <c r="D305" s="14" t="n">
        <v>2</v>
      </c>
      <c r="E305" s="14" t="n">
        <f aca="false">L102</f>
        <v>0</v>
      </c>
      <c r="F305" s="19" t="n">
        <f aca="false">M102</f>
        <v>429.265458205737</v>
      </c>
      <c r="G305" s="19" t="n">
        <f aca="false">N102</f>
        <v>110.269338270704</v>
      </c>
      <c r="H305" s="14" t="n">
        <f aca="false">O102</f>
        <v>59</v>
      </c>
      <c r="I305" s="16" t="n">
        <f aca="false">P102</f>
        <v>81.8974964584867</v>
      </c>
      <c r="J305" s="14" t="n">
        <f aca="false">Q102</f>
        <v>0</v>
      </c>
      <c r="K305" s="14" t="n">
        <f aca="false">IF(D305&lt;=2,1-J305,IF(D305=3,IF(AND(U305=0,H305&gt;=W_min,F305-D_dip&gt;=Floor_q),1,0),IF(AND(H305&gt;=W_min,F305&gt;=Pre_A),1,0)))</f>
        <v>1</v>
      </c>
      <c r="L305" s="14" t="n">
        <f aca="false">E305*K305</f>
        <v>0</v>
      </c>
      <c r="M305" s="19" t="n">
        <f aca="false">CHOOSE(D305,F305+Proc_S,F305+Proc_Sk,F305+D_dL,F305-Cost_A)</f>
        <v>521.265458205737</v>
      </c>
      <c r="N305" s="19" t="n">
        <f aca="false">CHOOSE(D305,(1-Tech_share)*G305,(1-Tech_share)*G305,G305+D_dT,G305)</f>
        <v>99.2424044436333</v>
      </c>
      <c r="O305" s="14" t="n">
        <f aca="false">CHOOSE(D305,H305-W_lost,H305,H305,H305+W_gain)</f>
        <v>59</v>
      </c>
      <c r="P305" s="16" t="n">
        <f aca="false">CHOOSE(D305,I305,I305,I305+D_dE,I305+Close_A*(Ceil_E-I305))</f>
        <v>81.8974964584867</v>
      </c>
      <c r="Q305" s="14" t="n">
        <f aca="false">CHOOSE(D305,1,1,J305,J305)</f>
        <v>1</v>
      </c>
      <c r="R305" s="14" t="n">
        <f aca="false">IF(L305=1,IF(SUMPRODUCT(($L$35:$L$304=1)*(ABS($M$35:$M$304-M305)&lt;0.000001)*(ABS($N$35:$N$304-N305)&lt;0.000001)*($O$35:$O$304=O305)*(ABS($P$35:$P$304-P305)&lt;0.000001)*($Q$35:$Q$304=Q305)*($V$35:$V$304=V305))=0,1,0),0)</f>
        <v>0</v>
      </c>
      <c r="S305" s="14" t="n">
        <f aca="false">IF(AND(L305=1,N305&gt;=$B$4-0.000000001,P305&gt;=$B$6-0.000000001,M305&gt;=Floor_q+$B$5-0.000000001),1,0)</f>
        <v>0</v>
      </c>
      <c r="T305" s="14" t="n">
        <f aca="false">L305*(IF(1&lt;=2,1-Q305,IF(1=3,IF(AND(V305=0,O305&gt;=W_min,M305-D_dip&gt;=Floor_q),1,0),IF(AND(O305&gt;=W_min,M305&gt;=Pre_A),1,0)))+IF(2&lt;=2,1-Q305,IF(2=3,IF(AND(V305=0,O305&gt;=W_min,M305-D_dip&gt;=Floor_q),1,0),IF(AND(O305&gt;=W_min,M305&gt;=Pre_A),1,0)))+IF(3&lt;=2,1-Q305,IF(3=3,IF(AND(V305=0,O305&gt;=W_min,M305-D_dip&gt;=Floor_q),1,0),IF(AND(O305&gt;=W_min,M305&gt;=Pre_A),1,0)))+IF(4&lt;=2,1-Q305,IF(4=3,IF(AND(V305=0,O305&gt;=W_min,M305-D_dip&gt;=Floor_q),1,0),IF(AND(O305&gt;=W_min,M305&gt;=Pre_A),1,0))))</f>
        <v>0</v>
      </c>
      <c r="U305" s="14" t="n">
        <f aca="false">V102</f>
        <v>1</v>
      </c>
      <c r="V305" s="14" t="n">
        <f aca="false">CHOOSE(D305,U305,U305,1,U305)</f>
        <v>1</v>
      </c>
    </row>
    <row r="306" customFormat="false" ht="15" hidden="false" customHeight="true" outlineLevel="0" collapsed="false">
      <c r="A306" s="3" t="s">
        <v>544</v>
      </c>
      <c r="B306" s="14" t="n">
        <v>4</v>
      </c>
      <c r="C306" s="14" t="n">
        <v>102</v>
      </c>
      <c r="D306" s="14" t="n">
        <v>3</v>
      </c>
      <c r="E306" s="14" t="n">
        <f aca="false">L102</f>
        <v>0</v>
      </c>
      <c r="F306" s="19" t="n">
        <f aca="false">M102</f>
        <v>429.265458205737</v>
      </c>
      <c r="G306" s="19" t="n">
        <f aca="false">N102</f>
        <v>110.269338270704</v>
      </c>
      <c r="H306" s="14" t="n">
        <f aca="false">O102</f>
        <v>59</v>
      </c>
      <c r="I306" s="16" t="n">
        <f aca="false">P102</f>
        <v>81.8974964584867</v>
      </c>
      <c r="J306" s="14" t="n">
        <f aca="false">Q102</f>
        <v>0</v>
      </c>
      <c r="K306" s="14" t="n">
        <f aca="false">IF(D306&lt;=2,1-J306,IF(D306=3,IF(AND(U306=0,H306&gt;=W_min,F306-D_dip&gt;=Floor_q),1,0),IF(AND(H306&gt;=W_min,F306&gt;=Pre_A),1,0)))</f>
        <v>0</v>
      </c>
      <c r="L306" s="14" t="n">
        <f aca="false">E306*K306</f>
        <v>0</v>
      </c>
      <c r="M306" s="19" t="n">
        <f aca="false">CHOOSE(D306,F306+Proc_S,F306+Proc_Sk,F306+D_dL,F306-Cost_A)</f>
        <v>393.898187308605</v>
      </c>
      <c r="N306" s="19" t="n">
        <f aca="false">CHOOSE(D306,(1-Tech_share)*G306,(1-Tech_share)*G306,G306+D_dT,G306)</f>
        <v>144.904007406055</v>
      </c>
      <c r="O306" s="14" t="n">
        <f aca="false">CHOOSE(D306,H306-W_lost,H306,H306,H306+W_gain)</f>
        <v>59</v>
      </c>
      <c r="P306" s="16" t="n">
        <f aca="false">CHOOSE(D306,I306,I306,I306+D_dE,I306+Close_A*(Ceil_E-I306))</f>
        <v>84.4958274308112</v>
      </c>
      <c r="Q306" s="14" t="n">
        <f aca="false">CHOOSE(D306,1,1,J306,J306)</f>
        <v>0</v>
      </c>
      <c r="R306" s="14" t="n">
        <f aca="false">IF(L306=1,IF(SUMPRODUCT(($L$35:$L$305=1)*(ABS($M$35:$M$305-M306)&lt;0.000001)*(ABS($N$35:$N$305-N306)&lt;0.000001)*($O$35:$O$305=O306)*(ABS($P$35:$P$305-P306)&lt;0.000001)*($Q$35:$Q$305=Q306)*($V$35:$V$305=V306))=0,1,0),0)</f>
        <v>0</v>
      </c>
      <c r="S306" s="14" t="n">
        <f aca="false">IF(AND(L306=1,N306&gt;=$B$4-0.000000001,P306&gt;=$B$6-0.000000001,M306&gt;=Floor_q+$B$5-0.000000001),1,0)</f>
        <v>0</v>
      </c>
      <c r="T306" s="14" t="n">
        <f aca="false">L306*(IF(1&lt;=2,1-Q306,IF(1=3,IF(AND(V306=0,O306&gt;=W_min,M306-D_dip&gt;=Floor_q),1,0),IF(AND(O306&gt;=W_min,M306&gt;=Pre_A),1,0)))+IF(2&lt;=2,1-Q306,IF(2=3,IF(AND(V306=0,O306&gt;=W_min,M306-D_dip&gt;=Floor_q),1,0),IF(AND(O306&gt;=W_min,M306&gt;=Pre_A),1,0)))+IF(3&lt;=2,1-Q306,IF(3=3,IF(AND(V306=0,O306&gt;=W_min,M306-D_dip&gt;=Floor_q),1,0),IF(AND(O306&gt;=W_min,M306&gt;=Pre_A),1,0)))+IF(4&lt;=2,1-Q306,IF(4=3,IF(AND(V306=0,O306&gt;=W_min,M306-D_dip&gt;=Floor_q),1,0),IF(AND(O306&gt;=W_min,M306&gt;=Pre_A),1,0))))</f>
        <v>0</v>
      </c>
      <c r="U306" s="14" t="n">
        <f aca="false">V102</f>
        <v>1</v>
      </c>
      <c r="V306" s="14" t="n">
        <f aca="false">CHOOSE(D306,U306,U306,1,U306)</f>
        <v>1</v>
      </c>
    </row>
    <row r="307" customFormat="false" ht="15" hidden="false" customHeight="true" outlineLevel="0" collapsed="false">
      <c r="A307" s="3" t="s">
        <v>545</v>
      </c>
      <c r="B307" s="14" t="n">
        <v>4</v>
      </c>
      <c r="C307" s="14" t="n">
        <v>102</v>
      </c>
      <c r="D307" s="14" t="n">
        <v>4</v>
      </c>
      <c r="E307" s="14" t="n">
        <f aca="false">L102</f>
        <v>0</v>
      </c>
      <c r="F307" s="19" t="n">
        <f aca="false">M102</f>
        <v>429.265458205737</v>
      </c>
      <c r="G307" s="19" t="n">
        <f aca="false">N102</f>
        <v>110.269338270704</v>
      </c>
      <c r="H307" s="14" t="n">
        <f aca="false">O102</f>
        <v>59</v>
      </c>
      <c r="I307" s="16" t="n">
        <f aca="false">P102</f>
        <v>81.8974964584867</v>
      </c>
      <c r="J307" s="14" t="n">
        <f aca="false">Q102</f>
        <v>0</v>
      </c>
      <c r="K307" s="14" t="n">
        <f aca="false">IF(D307&lt;=2,1-J307,IF(D307=3,IF(AND(U307=0,H307&gt;=W_min,F307-D_dip&gt;=Floor_q),1,0),IF(AND(H307&gt;=W_min,F307&gt;=Pre_A),1,0)))</f>
        <v>0</v>
      </c>
      <c r="L307" s="14" t="n">
        <f aca="false">E307*K307</f>
        <v>0</v>
      </c>
      <c r="M307" s="19" t="n">
        <f aca="false">CHOOSE(D307,F307+Proc_S,F307+Proc_Sk,F307+D_dL,F307-Cost_A)</f>
        <v>309.265458205737</v>
      </c>
      <c r="N307" s="19" t="n">
        <f aca="false">CHOOSE(D307,(1-Tech_share)*G307,(1-Tech_share)*G307,G307+D_dT,G307)</f>
        <v>110.269338270704</v>
      </c>
      <c r="O307" s="14" t="n">
        <f aca="false">CHOOSE(D307,H307-W_lost,H307,H307,H307+W_gain)</f>
        <v>60</v>
      </c>
      <c r="P307" s="16" t="n">
        <f aca="false">CHOOSE(D307,I307,I307,I307+D_dE,I307+Close_A*(Ceil_E-I307))</f>
        <v>83.4487482292433</v>
      </c>
      <c r="Q307" s="14" t="n">
        <f aca="false">CHOOSE(D307,1,1,J307,J307)</f>
        <v>0</v>
      </c>
      <c r="R307" s="14" t="n">
        <f aca="false">IF(L307=1,IF(SUMPRODUCT(($L$35:$L$306=1)*(ABS($M$35:$M$306-M307)&lt;0.000001)*(ABS($N$35:$N$306-N307)&lt;0.000001)*($O$35:$O$306=O307)*(ABS($P$35:$P$306-P307)&lt;0.000001)*($Q$35:$Q$306=Q307)*($V$35:$V$306=V307))=0,1,0),0)</f>
        <v>0</v>
      </c>
      <c r="S307" s="14" t="n">
        <f aca="false">IF(AND(L307=1,N307&gt;=$B$4-0.000000001,P307&gt;=$B$6-0.000000001,M307&gt;=Floor_q+$B$5-0.000000001),1,0)</f>
        <v>0</v>
      </c>
      <c r="T307" s="14" t="n">
        <f aca="false">L307*(IF(1&lt;=2,1-Q307,IF(1=3,IF(AND(V307=0,O307&gt;=W_min,M307-D_dip&gt;=Floor_q),1,0),IF(AND(O307&gt;=W_min,M307&gt;=Pre_A),1,0)))+IF(2&lt;=2,1-Q307,IF(2=3,IF(AND(V307=0,O307&gt;=W_min,M307-D_dip&gt;=Floor_q),1,0),IF(AND(O307&gt;=W_min,M307&gt;=Pre_A),1,0)))+IF(3&lt;=2,1-Q307,IF(3=3,IF(AND(V307=0,O307&gt;=W_min,M307-D_dip&gt;=Floor_q),1,0),IF(AND(O307&gt;=W_min,M307&gt;=Pre_A),1,0)))+IF(4&lt;=2,1-Q307,IF(4=3,IF(AND(V307=0,O307&gt;=W_min,M307-D_dip&gt;=Floor_q),1,0),IF(AND(O307&gt;=W_min,M307&gt;=Pre_A),1,0))))</f>
        <v>0</v>
      </c>
      <c r="U307" s="14" t="n">
        <f aca="false">V102</f>
        <v>1</v>
      </c>
      <c r="V307" s="14" t="n">
        <f aca="false">CHOOSE(D307,U307,U307,1,U307)</f>
        <v>1</v>
      </c>
    </row>
    <row r="308" customFormat="false" ht="15" hidden="false" customHeight="true" outlineLevel="0" collapsed="false">
      <c r="A308" s="3" t="s">
        <v>546</v>
      </c>
      <c r="B308" s="14" t="n">
        <v>4</v>
      </c>
      <c r="C308" s="14" t="n">
        <v>103</v>
      </c>
      <c r="D308" s="14" t="n">
        <v>1</v>
      </c>
      <c r="E308" s="14" t="n">
        <f aca="false">L103</f>
        <v>0</v>
      </c>
      <c r="F308" s="19" t="n">
        <f aca="false">M103</f>
        <v>344.632729102868</v>
      </c>
      <c r="G308" s="19" t="n">
        <f aca="false">N103</f>
        <v>75.6346691353518</v>
      </c>
      <c r="H308" s="14" t="n">
        <f aca="false">O103</f>
        <v>60</v>
      </c>
      <c r="I308" s="16" t="n">
        <f aca="false">P103</f>
        <v>82.1495827430811</v>
      </c>
      <c r="J308" s="14" t="n">
        <f aca="false">Q103</f>
        <v>0</v>
      </c>
      <c r="K308" s="14" t="n">
        <f aca="false">IF(D308&lt;=2,1-J308,IF(D308=3,IF(AND(U308=0,H308&gt;=W_min,F308-D_dip&gt;=Floor_q),1,0),IF(AND(H308&gt;=W_min,F308&gt;=Pre_A),1,0)))</f>
        <v>1</v>
      </c>
      <c r="L308" s="14" t="n">
        <f aca="false">E308*K308</f>
        <v>0</v>
      </c>
      <c r="M308" s="19" t="n">
        <f aca="false">CHOOSE(D308,F308+Proc_S,F308+Proc_Sk,F308+D_dL,F308-Cost_A)</f>
        <v>456.632729102868</v>
      </c>
      <c r="N308" s="19" t="n">
        <f aca="false">CHOOSE(D308,(1-Tech_share)*G308,(1-Tech_share)*G308,G308+D_dT,G308)</f>
        <v>68.0712022218166</v>
      </c>
      <c r="O308" s="14" t="n">
        <f aca="false">CHOOSE(D308,H308-W_lost,H308,H308,H308+W_gain)</f>
        <v>55</v>
      </c>
      <c r="P308" s="16" t="n">
        <f aca="false">CHOOSE(D308,I308,I308,I308+D_dE,I308+Close_A*(Ceil_E-I308))</f>
        <v>82.1495827430811</v>
      </c>
      <c r="Q308" s="14" t="n">
        <f aca="false">CHOOSE(D308,1,1,J308,J308)</f>
        <v>1</v>
      </c>
      <c r="R308" s="14" t="n">
        <f aca="false">IF(L308=1,IF(SUMPRODUCT(($L$35:$L$307=1)*(ABS($M$35:$M$307-M308)&lt;0.000001)*(ABS($N$35:$N$307-N308)&lt;0.000001)*($O$35:$O$307=O308)*(ABS($P$35:$P$307-P308)&lt;0.000001)*($Q$35:$Q$307=Q308)*($V$35:$V$307=V308))=0,1,0),0)</f>
        <v>0</v>
      </c>
      <c r="S308" s="14" t="n">
        <f aca="false">IF(AND(L308=1,N308&gt;=$B$4-0.000000001,P308&gt;=$B$6-0.000000001,M308&gt;=Floor_q+$B$5-0.000000001),1,0)</f>
        <v>0</v>
      </c>
      <c r="T308" s="14" t="n">
        <f aca="false">L308*(IF(1&lt;=2,1-Q308,IF(1=3,IF(AND(V308=0,O308&gt;=W_min,M308-D_dip&gt;=Floor_q),1,0),IF(AND(O308&gt;=W_min,M308&gt;=Pre_A),1,0)))+IF(2&lt;=2,1-Q308,IF(2=3,IF(AND(V308=0,O308&gt;=W_min,M308-D_dip&gt;=Floor_q),1,0),IF(AND(O308&gt;=W_min,M308&gt;=Pre_A),1,0)))+IF(3&lt;=2,1-Q308,IF(3=3,IF(AND(V308=0,O308&gt;=W_min,M308-D_dip&gt;=Floor_q),1,0),IF(AND(O308&gt;=W_min,M308&gt;=Pre_A),1,0)))+IF(4&lt;=2,1-Q308,IF(4=3,IF(AND(V308=0,O308&gt;=W_min,M308-D_dip&gt;=Floor_q),1,0),IF(AND(O308&gt;=W_min,M308&gt;=Pre_A),1,0))))</f>
        <v>0</v>
      </c>
      <c r="U308" s="14" t="n">
        <f aca="false">V103</f>
        <v>1</v>
      </c>
      <c r="V308" s="14" t="n">
        <f aca="false">CHOOSE(D308,U308,U308,1,U308)</f>
        <v>1</v>
      </c>
    </row>
    <row r="309" customFormat="false" ht="15" hidden="false" customHeight="true" outlineLevel="0" collapsed="false">
      <c r="A309" s="3" t="s">
        <v>547</v>
      </c>
      <c r="B309" s="14" t="n">
        <v>4</v>
      </c>
      <c r="C309" s="14" t="n">
        <v>103</v>
      </c>
      <c r="D309" s="14" t="n">
        <v>2</v>
      </c>
      <c r="E309" s="14" t="n">
        <f aca="false">L103</f>
        <v>0</v>
      </c>
      <c r="F309" s="19" t="n">
        <f aca="false">M103</f>
        <v>344.632729102868</v>
      </c>
      <c r="G309" s="19" t="n">
        <f aca="false">N103</f>
        <v>75.6346691353518</v>
      </c>
      <c r="H309" s="14" t="n">
        <f aca="false">O103</f>
        <v>60</v>
      </c>
      <c r="I309" s="16" t="n">
        <f aca="false">P103</f>
        <v>82.1495827430811</v>
      </c>
      <c r="J309" s="14" t="n">
        <f aca="false">Q103</f>
        <v>0</v>
      </c>
      <c r="K309" s="14" t="n">
        <f aca="false">IF(D309&lt;=2,1-J309,IF(D309=3,IF(AND(U309=0,H309&gt;=W_min,F309-D_dip&gt;=Floor_q),1,0),IF(AND(H309&gt;=W_min,F309&gt;=Pre_A),1,0)))</f>
        <v>1</v>
      </c>
      <c r="L309" s="14" t="n">
        <f aca="false">E309*K309</f>
        <v>0</v>
      </c>
      <c r="M309" s="19" t="n">
        <f aca="false">CHOOSE(D309,F309+Proc_S,F309+Proc_Sk,F309+D_dL,F309-Cost_A)</f>
        <v>436.632729102868</v>
      </c>
      <c r="N309" s="19" t="n">
        <f aca="false">CHOOSE(D309,(1-Tech_share)*G309,(1-Tech_share)*G309,G309+D_dT,G309)</f>
        <v>68.0712022218166</v>
      </c>
      <c r="O309" s="14" t="n">
        <f aca="false">CHOOSE(D309,H309-W_lost,H309,H309,H309+W_gain)</f>
        <v>60</v>
      </c>
      <c r="P309" s="16" t="n">
        <f aca="false">CHOOSE(D309,I309,I309,I309+D_dE,I309+Close_A*(Ceil_E-I309))</f>
        <v>82.1495827430811</v>
      </c>
      <c r="Q309" s="14" t="n">
        <f aca="false">CHOOSE(D309,1,1,J309,J309)</f>
        <v>1</v>
      </c>
      <c r="R309" s="14" t="n">
        <f aca="false">IF(L309=1,IF(SUMPRODUCT(($L$35:$L$308=1)*(ABS($M$35:$M$308-M309)&lt;0.000001)*(ABS($N$35:$N$308-N309)&lt;0.000001)*($O$35:$O$308=O309)*(ABS($P$35:$P$308-P309)&lt;0.000001)*($Q$35:$Q$308=Q309)*($V$35:$V$308=V309))=0,1,0),0)</f>
        <v>0</v>
      </c>
      <c r="S309" s="14" t="n">
        <f aca="false">IF(AND(L309=1,N309&gt;=$B$4-0.000000001,P309&gt;=$B$6-0.000000001,M309&gt;=Floor_q+$B$5-0.000000001),1,0)</f>
        <v>0</v>
      </c>
      <c r="T309" s="14" t="n">
        <f aca="false">L309*(IF(1&lt;=2,1-Q309,IF(1=3,IF(AND(V309=0,O309&gt;=W_min,M309-D_dip&gt;=Floor_q),1,0),IF(AND(O309&gt;=W_min,M309&gt;=Pre_A),1,0)))+IF(2&lt;=2,1-Q309,IF(2=3,IF(AND(V309=0,O309&gt;=W_min,M309-D_dip&gt;=Floor_q),1,0),IF(AND(O309&gt;=W_min,M309&gt;=Pre_A),1,0)))+IF(3&lt;=2,1-Q309,IF(3=3,IF(AND(V309=0,O309&gt;=W_min,M309-D_dip&gt;=Floor_q),1,0),IF(AND(O309&gt;=W_min,M309&gt;=Pre_A),1,0)))+IF(4&lt;=2,1-Q309,IF(4=3,IF(AND(V309=0,O309&gt;=W_min,M309-D_dip&gt;=Floor_q),1,0),IF(AND(O309&gt;=W_min,M309&gt;=Pre_A),1,0))))</f>
        <v>0</v>
      </c>
      <c r="U309" s="14" t="n">
        <f aca="false">V103</f>
        <v>1</v>
      </c>
      <c r="V309" s="14" t="n">
        <f aca="false">CHOOSE(D309,U309,U309,1,U309)</f>
        <v>1</v>
      </c>
    </row>
    <row r="310" customFormat="false" ht="15" hidden="false" customHeight="true" outlineLevel="0" collapsed="false">
      <c r="A310" s="3" t="s">
        <v>548</v>
      </c>
      <c r="B310" s="14" t="n">
        <v>4</v>
      </c>
      <c r="C310" s="14" t="n">
        <v>103</v>
      </c>
      <c r="D310" s="14" t="n">
        <v>3</v>
      </c>
      <c r="E310" s="14" t="n">
        <f aca="false">L103</f>
        <v>0</v>
      </c>
      <c r="F310" s="19" t="n">
        <f aca="false">M103</f>
        <v>344.632729102868</v>
      </c>
      <c r="G310" s="19" t="n">
        <f aca="false">N103</f>
        <v>75.6346691353518</v>
      </c>
      <c r="H310" s="14" t="n">
        <f aca="false">O103</f>
        <v>60</v>
      </c>
      <c r="I310" s="16" t="n">
        <f aca="false">P103</f>
        <v>82.1495827430811</v>
      </c>
      <c r="J310" s="14" t="n">
        <f aca="false">Q103</f>
        <v>0</v>
      </c>
      <c r="K310" s="14" t="n">
        <f aca="false">IF(D310&lt;=2,1-J310,IF(D310=3,IF(AND(U310=0,H310&gt;=W_min,F310-D_dip&gt;=Floor_q),1,0),IF(AND(H310&gt;=W_min,F310&gt;=Pre_A),1,0)))</f>
        <v>0</v>
      </c>
      <c r="L310" s="14" t="n">
        <f aca="false">E310*K310</f>
        <v>0</v>
      </c>
      <c r="M310" s="19" t="n">
        <f aca="false">CHOOSE(D310,F310+Proc_S,F310+Proc_Sk,F310+D_dL,F310-Cost_A)</f>
        <v>309.265458205737</v>
      </c>
      <c r="N310" s="19" t="n">
        <f aca="false">CHOOSE(D310,(1-Tech_share)*G310,(1-Tech_share)*G310,G310+D_dT,G310)</f>
        <v>110.269338270704</v>
      </c>
      <c r="O310" s="14" t="n">
        <f aca="false">CHOOSE(D310,H310-W_lost,H310,H310,H310+W_gain)</f>
        <v>60</v>
      </c>
      <c r="P310" s="16" t="n">
        <f aca="false">CHOOSE(D310,I310,I310,I310+D_dE,I310+Close_A*(Ceil_E-I310))</f>
        <v>84.7479137154056</v>
      </c>
      <c r="Q310" s="14" t="n">
        <f aca="false">CHOOSE(D310,1,1,J310,J310)</f>
        <v>0</v>
      </c>
      <c r="R310" s="14" t="n">
        <f aca="false">IF(L310=1,IF(SUMPRODUCT(($L$35:$L$309=1)*(ABS($M$35:$M$309-M310)&lt;0.000001)*(ABS($N$35:$N$309-N310)&lt;0.000001)*($O$35:$O$309=O310)*(ABS($P$35:$P$309-P310)&lt;0.000001)*($Q$35:$Q$309=Q310)*($V$35:$V$309=V310))=0,1,0),0)</f>
        <v>0</v>
      </c>
      <c r="S310" s="14" t="n">
        <f aca="false">IF(AND(L310=1,N310&gt;=$B$4-0.000000001,P310&gt;=$B$6-0.000000001,M310&gt;=Floor_q+$B$5-0.000000001),1,0)</f>
        <v>0</v>
      </c>
      <c r="T310" s="14" t="n">
        <f aca="false">L310*(IF(1&lt;=2,1-Q310,IF(1=3,IF(AND(V310=0,O310&gt;=W_min,M310-D_dip&gt;=Floor_q),1,0),IF(AND(O310&gt;=W_min,M310&gt;=Pre_A),1,0)))+IF(2&lt;=2,1-Q310,IF(2=3,IF(AND(V310=0,O310&gt;=W_min,M310-D_dip&gt;=Floor_q),1,0),IF(AND(O310&gt;=W_min,M310&gt;=Pre_A),1,0)))+IF(3&lt;=2,1-Q310,IF(3=3,IF(AND(V310=0,O310&gt;=W_min,M310-D_dip&gt;=Floor_q),1,0),IF(AND(O310&gt;=W_min,M310&gt;=Pre_A),1,0)))+IF(4&lt;=2,1-Q310,IF(4=3,IF(AND(V310=0,O310&gt;=W_min,M310-D_dip&gt;=Floor_q),1,0),IF(AND(O310&gt;=W_min,M310&gt;=Pre_A),1,0))))</f>
        <v>0</v>
      </c>
      <c r="U310" s="14" t="n">
        <f aca="false">V103</f>
        <v>1</v>
      </c>
      <c r="V310" s="14" t="n">
        <f aca="false">CHOOSE(D310,U310,U310,1,U310)</f>
        <v>1</v>
      </c>
    </row>
    <row r="311" customFormat="false" ht="15" hidden="false" customHeight="true" outlineLevel="0" collapsed="false">
      <c r="A311" s="3" t="s">
        <v>549</v>
      </c>
      <c r="B311" s="14" t="n">
        <v>4</v>
      </c>
      <c r="C311" s="14" t="n">
        <v>103</v>
      </c>
      <c r="D311" s="14" t="n">
        <v>4</v>
      </c>
      <c r="E311" s="14" t="n">
        <f aca="false">L103</f>
        <v>0</v>
      </c>
      <c r="F311" s="19" t="n">
        <f aca="false">M103</f>
        <v>344.632729102868</v>
      </c>
      <c r="G311" s="19" t="n">
        <f aca="false">N103</f>
        <v>75.6346691353518</v>
      </c>
      <c r="H311" s="14" t="n">
        <f aca="false">O103</f>
        <v>60</v>
      </c>
      <c r="I311" s="16" t="n">
        <f aca="false">P103</f>
        <v>82.1495827430811</v>
      </c>
      <c r="J311" s="14" t="n">
        <f aca="false">Q103</f>
        <v>0</v>
      </c>
      <c r="K311" s="14" t="n">
        <f aca="false">IF(D311&lt;=2,1-J311,IF(D311=3,IF(AND(U311=0,H311&gt;=W_min,F311-D_dip&gt;=Floor_q),1,0),IF(AND(H311&gt;=W_min,F311&gt;=Pre_A),1,0)))</f>
        <v>0</v>
      </c>
      <c r="L311" s="14" t="n">
        <f aca="false">E311*K311</f>
        <v>0</v>
      </c>
      <c r="M311" s="19" t="n">
        <f aca="false">CHOOSE(D311,F311+Proc_S,F311+Proc_Sk,F311+D_dL,F311-Cost_A)</f>
        <v>224.632729102868</v>
      </c>
      <c r="N311" s="19" t="n">
        <f aca="false">CHOOSE(D311,(1-Tech_share)*G311,(1-Tech_share)*G311,G311+D_dT,G311)</f>
        <v>75.6346691353518</v>
      </c>
      <c r="O311" s="14" t="n">
        <f aca="false">CHOOSE(D311,H311-W_lost,H311,H311,H311+W_gain)</f>
        <v>61</v>
      </c>
      <c r="P311" s="16" t="n">
        <f aca="false">CHOOSE(D311,I311,I311,I311+D_dE,I311+Close_A*(Ceil_E-I311))</f>
        <v>83.5747913715406</v>
      </c>
      <c r="Q311" s="14" t="n">
        <f aca="false">CHOOSE(D311,1,1,J311,J311)</f>
        <v>0</v>
      </c>
      <c r="R311" s="14" t="n">
        <f aca="false">IF(L311=1,IF(SUMPRODUCT(($L$35:$L$310=1)*(ABS($M$35:$M$310-M311)&lt;0.000001)*(ABS($N$35:$N$310-N311)&lt;0.000001)*($O$35:$O$310=O311)*(ABS($P$35:$P$310-P311)&lt;0.000001)*($Q$35:$Q$310=Q311)*($V$35:$V$310=V311))=0,1,0),0)</f>
        <v>0</v>
      </c>
      <c r="S311" s="14" t="n">
        <f aca="false">IF(AND(L311=1,N311&gt;=$B$4-0.000000001,P311&gt;=$B$6-0.000000001,M311&gt;=Floor_q+$B$5-0.000000001),1,0)</f>
        <v>0</v>
      </c>
      <c r="T311" s="14" t="n">
        <f aca="false">L311*(IF(1&lt;=2,1-Q311,IF(1=3,IF(AND(V311=0,O311&gt;=W_min,M311-D_dip&gt;=Floor_q),1,0),IF(AND(O311&gt;=W_min,M311&gt;=Pre_A),1,0)))+IF(2&lt;=2,1-Q311,IF(2=3,IF(AND(V311=0,O311&gt;=W_min,M311-D_dip&gt;=Floor_q),1,0),IF(AND(O311&gt;=W_min,M311&gt;=Pre_A),1,0)))+IF(3&lt;=2,1-Q311,IF(3=3,IF(AND(V311=0,O311&gt;=W_min,M311-D_dip&gt;=Floor_q),1,0),IF(AND(O311&gt;=W_min,M311&gt;=Pre_A),1,0)))+IF(4&lt;=2,1-Q311,IF(4=3,IF(AND(V311=0,O311&gt;=W_min,M311-D_dip&gt;=Floor_q),1,0),IF(AND(O311&gt;=W_min,M311&gt;=Pre_A),1,0))))</f>
        <v>0</v>
      </c>
      <c r="U311" s="14" t="n">
        <f aca="false">V103</f>
        <v>1</v>
      </c>
      <c r="V311" s="14" t="n">
        <f aca="false">CHOOSE(D311,U311,U311,1,U311)</f>
        <v>1</v>
      </c>
    </row>
    <row r="312" customFormat="false" ht="15" hidden="false" customHeight="true" outlineLevel="0" collapsed="false">
      <c r="A312" s="3" t="s">
        <v>550</v>
      </c>
      <c r="B312" s="14" t="n">
        <v>4</v>
      </c>
      <c r="C312" s="14" t="n">
        <v>104</v>
      </c>
      <c r="D312" s="14" t="n">
        <v>1</v>
      </c>
      <c r="E312" s="14" t="n">
        <f aca="false">L104</f>
        <v>0</v>
      </c>
      <c r="F312" s="19" t="n">
        <f aca="false">M104</f>
        <v>724</v>
      </c>
      <c r="G312" s="19" t="n">
        <f aca="false">N104</f>
        <v>33.21</v>
      </c>
      <c r="H312" s="14" t="n">
        <f aca="false">O104</f>
        <v>49</v>
      </c>
      <c r="I312" s="16" t="n">
        <f aca="false">P104</f>
        <v>78</v>
      </c>
      <c r="J312" s="14" t="n">
        <f aca="false">Q104</f>
        <v>1</v>
      </c>
      <c r="K312" s="14" t="n">
        <f aca="false">IF(D312&lt;=2,1-J312,IF(D312=3,IF(AND(U312=0,H312&gt;=W_min,F312-D_dip&gt;=Floor_q),1,0),IF(AND(H312&gt;=W_min,F312&gt;=Pre_A),1,0)))</f>
        <v>0</v>
      </c>
      <c r="L312" s="14" t="n">
        <f aca="false">E312*K312</f>
        <v>0</v>
      </c>
      <c r="M312" s="19" t="n">
        <f aca="false">CHOOSE(D312,F312+Proc_S,F312+Proc_Sk,F312+D_dL,F312-Cost_A)</f>
        <v>836</v>
      </c>
      <c r="N312" s="19" t="n">
        <f aca="false">CHOOSE(D312,(1-Tech_share)*G312,(1-Tech_share)*G312,G312+D_dT,G312)</f>
        <v>29.889</v>
      </c>
      <c r="O312" s="14" t="n">
        <f aca="false">CHOOSE(D312,H312-W_lost,H312,H312,H312+W_gain)</f>
        <v>44</v>
      </c>
      <c r="P312" s="16" t="n">
        <f aca="false">CHOOSE(D312,I312,I312,I312+D_dE,I312+Close_A*(Ceil_E-I312))</f>
        <v>78</v>
      </c>
      <c r="Q312" s="14" t="n">
        <f aca="false">CHOOSE(D312,1,1,J312,J312)</f>
        <v>1</v>
      </c>
      <c r="R312" s="14" t="n">
        <f aca="false">IF(L312=1,IF(SUMPRODUCT(($L$35:$L$311=1)*(ABS($M$35:$M$311-M312)&lt;0.000001)*(ABS($N$35:$N$311-N312)&lt;0.000001)*($O$35:$O$311=O312)*(ABS($P$35:$P$311-P312)&lt;0.000001)*($Q$35:$Q$311=Q312)*($V$35:$V$311=V312))=0,1,0),0)</f>
        <v>0</v>
      </c>
      <c r="S312" s="14" t="n">
        <f aca="false">IF(AND(L312=1,N312&gt;=$B$4-0.000000001,P312&gt;=$B$6-0.000000001,M312&gt;=Floor_q+$B$5-0.000000001),1,0)</f>
        <v>0</v>
      </c>
      <c r="T312" s="14" t="n">
        <f aca="false">L312*(IF(1&lt;=2,1-Q312,IF(1=3,IF(AND(V312=0,O312&gt;=W_min,M312-D_dip&gt;=Floor_q),1,0),IF(AND(O312&gt;=W_min,M312&gt;=Pre_A),1,0)))+IF(2&lt;=2,1-Q312,IF(2=3,IF(AND(V312=0,O312&gt;=W_min,M312-D_dip&gt;=Floor_q),1,0),IF(AND(O312&gt;=W_min,M312&gt;=Pre_A),1,0)))+IF(3&lt;=2,1-Q312,IF(3=3,IF(AND(V312=0,O312&gt;=W_min,M312-D_dip&gt;=Floor_q),1,0),IF(AND(O312&gt;=W_min,M312&gt;=Pre_A),1,0)))+IF(4&lt;=2,1-Q312,IF(4=3,IF(AND(V312=0,O312&gt;=W_min,M312-D_dip&gt;=Floor_q),1,0),IF(AND(O312&gt;=W_min,M312&gt;=Pre_A),1,0))))</f>
        <v>0</v>
      </c>
      <c r="U312" s="14" t="n">
        <f aca="false">V104</f>
        <v>0</v>
      </c>
      <c r="V312" s="14" t="n">
        <f aca="false">CHOOSE(D312,U312,U312,1,U312)</f>
        <v>0</v>
      </c>
    </row>
    <row r="313" customFormat="false" ht="15" hidden="false" customHeight="true" outlineLevel="0" collapsed="false">
      <c r="A313" s="3" t="s">
        <v>551</v>
      </c>
      <c r="B313" s="14" t="n">
        <v>4</v>
      </c>
      <c r="C313" s="14" t="n">
        <v>104</v>
      </c>
      <c r="D313" s="14" t="n">
        <v>2</v>
      </c>
      <c r="E313" s="14" t="n">
        <f aca="false">L104</f>
        <v>0</v>
      </c>
      <c r="F313" s="19" t="n">
        <f aca="false">M104</f>
        <v>724</v>
      </c>
      <c r="G313" s="19" t="n">
        <f aca="false">N104</f>
        <v>33.21</v>
      </c>
      <c r="H313" s="14" t="n">
        <f aca="false">O104</f>
        <v>49</v>
      </c>
      <c r="I313" s="16" t="n">
        <f aca="false">P104</f>
        <v>78</v>
      </c>
      <c r="J313" s="14" t="n">
        <f aca="false">Q104</f>
        <v>1</v>
      </c>
      <c r="K313" s="14" t="n">
        <f aca="false">IF(D313&lt;=2,1-J313,IF(D313=3,IF(AND(U313=0,H313&gt;=W_min,F313-D_dip&gt;=Floor_q),1,0),IF(AND(H313&gt;=W_min,F313&gt;=Pre_A),1,0)))</f>
        <v>0</v>
      </c>
      <c r="L313" s="14" t="n">
        <f aca="false">E313*K313</f>
        <v>0</v>
      </c>
      <c r="M313" s="19" t="n">
        <f aca="false">CHOOSE(D313,F313+Proc_S,F313+Proc_Sk,F313+D_dL,F313-Cost_A)</f>
        <v>816</v>
      </c>
      <c r="N313" s="19" t="n">
        <f aca="false">CHOOSE(D313,(1-Tech_share)*G313,(1-Tech_share)*G313,G313+D_dT,G313)</f>
        <v>29.889</v>
      </c>
      <c r="O313" s="14" t="n">
        <f aca="false">CHOOSE(D313,H313-W_lost,H313,H313,H313+W_gain)</f>
        <v>49</v>
      </c>
      <c r="P313" s="16" t="n">
        <f aca="false">CHOOSE(D313,I313,I313,I313+D_dE,I313+Close_A*(Ceil_E-I313))</f>
        <v>78</v>
      </c>
      <c r="Q313" s="14" t="n">
        <f aca="false">CHOOSE(D313,1,1,J313,J313)</f>
        <v>1</v>
      </c>
      <c r="R313" s="14" t="n">
        <f aca="false">IF(L313=1,IF(SUMPRODUCT(($L$35:$L$312=1)*(ABS($M$35:$M$312-M313)&lt;0.000001)*(ABS($N$35:$N$312-N313)&lt;0.000001)*($O$35:$O$312=O313)*(ABS($P$35:$P$312-P313)&lt;0.000001)*($Q$35:$Q$312=Q313)*($V$35:$V$312=V313))=0,1,0),0)</f>
        <v>0</v>
      </c>
      <c r="S313" s="14" t="n">
        <f aca="false">IF(AND(L313=1,N313&gt;=$B$4-0.000000001,P313&gt;=$B$6-0.000000001,M313&gt;=Floor_q+$B$5-0.000000001),1,0)</f>
        <v>0</v>
      </c>
      <c r="T313" s="14" t="n">
        <f aca="false">L313*(IF(1&lt;=2,1-Q313,IF(1=3,IF(AND(V313=0,O313&gt;=W_min,M313-D_dip&gt;=Floor_q),1,0),IF(AND(O313&gt;=W_min,M313&gt;=Pre_A),1,0)))+IF(2&lt;=2,1-Q313,IF(2=3,IF(AND(V313=0,O313&gt;=W_min,M313-D_dip&gt;=Floor_q),1,0),IF(AND(O313&gt;=W_min,M313&gt;=Pre_A),1,0)))+IF(3&lt;=2,1-Q313,IF(3=3,IF(AND(V313=0,O313&gt;=W_min,M313-D_dip&gt;=Floor_q),1,0),IF(AND(O313&gt;=W_min,M313&gt;=Pre_A),1,0)))+IF(4&lt;=2,1-Q313,IF(4=3,IF(AND(V313=0,O313&gt;=W_min,M313-D_dip&gt;=Floor_q),1,0),IF(AND(O313&gt;=W_min,M313&gt;=Pre_A),1,0))))</f>
        <v>0</v>
      </c>
      <c r="U313" s="14" t="n">
        <f aca="false">V104</f>
        <v>0</v>
      </c>
      <c r="V313" s="14" t="n">
        <f aca="false">CHOOSE(D313,U313,U313,1,U313)</f>
        <v>0</v>
      </c>
    </row>
    <row r="314" customFormat="false" ht="15" hidden="false" customHeight="true" outlineLevel="0" collapsed="false">
      <c r="A314" s="3" t="s">
        <v>552</v>
      </c>
      <c r="B314" s="14" t="n">
        <v>4</v>
      </c>
      <c r="C314" s="14" t="n">
        <v>104</v>
      </c>
      <c r="D314" s="14" t="n">
        <v>3</v>
      </c>
      <c r="E314" s="14" t="n">
        <f aca="false">L104</f>
        <v>0</v>
      </c>
      <c r="F314" s="19" t="n">
        <f aca="false">M104</f>
        <v>724</v>
      </c>
      <c r="G314" s="19" t="n">
        <f aca="false">N104</f>
        <v>33.21</v>
      </c>
      <c r="H314" s="14" t="n">
        <f aca="false">O104</f>
        <v>49</v>
      </c>
      <c r="I314" s="16" t="n">
        <f aca="false">P104</f>
        <v>78</v>
      </c>
      <c r="J314" s="14" t="n">
        <f aca="false">Q104</f>
        <v>1</v>
      </c>
      <c r="K314" s="14" t="n">
        <f aca="false">IF(D314&lt;=2,1-J314,IF(D314=3,IF(AND(U314=0,H314&gt;=W_min,F314-D_dip&gt;=Floor_q),1,0),IF(AND(H314&gt;=W_min,F314&gt;=Pre_A),1,0)))</f>
        <v>0</v>
      </c>
      <c r="L314" s="14" t="n">
        <f aca="false">E314*K314</f>
        <v>0</v>
      </c>
      <c r="M314" s="19" t="n">
        <f aca="false">CHOOSE(D314,F314+Proc_S,F314+Proc_Sk,F314+D_dL,F314-Cost_A)</f>
        <v>688.632729102868</v>
      </c>
      <c r="N314" s="19" t="n">
        <f aca="false">CHOOSE(D314,(1-Tech_share)*G314,(1-Tech_share)*G314,G314+D_dT,G314)</f>
        <v>67.8446691353518</v>
      </c>
      <c r="O314" s="14" t="n">
        <f aca="false">CHOOSE(D314,H314-W_lost,H314,H314,H314+W_gain)</f>
        <v>49</v>
      </c>
      <c r="P314" s="16" t="n">
        <f aca="false">CHOOSE(D314,I314,I314,I314+D_dE,I314+Close_A*(Ceil_E-I314))</f>
        <v>80.5983309723245</v>
      </c>
      <c r="Q314" s="14" t="n">
        <f aca="false">CHOOSE(D314,1,1,J314,J314)</f>
        <v>1</v>
      </c>
      <c r="R314" s="14" t="n">
        <f aca="false">IF(L314=1,IF(SUMPRODUCT(($L$35:$L$313=1)*(ABS($M$35:$M$313-M314)&lt;0.000001)*(ABS($N$35:$N$313-N314)&lt;0.000001)*($O$35:$O$313=O314)*(ABS($P$35:$P$313-P314)&lt;0.000001)*($Q$35:$Q$313=Q314)*($V$35:$V$313=V314))=0,1,0),0)</f>
        <v>0</v>
      </c>
      <c r="S314" s="14" t="n">
        <f aca="false">IF(AND(L314=1,N314&gt;=$B$4-0.000000001,P314&gt;=$B$6-0.000000001,M314&gt;=Floor_q+$B$5-0.000000001),1,0)</f>
        <v>0</v>
      </c>
      <c r="T314" s="14" t="n">
        <f aca="false">L314*(IF(1&lt;=2,1-Q314,IF(1=3,IF(AND(V314=0,O314&gt;=W_min,M314-D_dip&gt;=Floor_q),1,0),IF(AND(O314&gt;=W_min,M314&gt;=Pre_A),1,0)))+IF(2&lt;=2,1-Q314,IF(2=3,IF(AND(V314=0,O314&gt;=W_min,M314-D_dip&gt;=Floor_q),1,0),IF(AND(O314&gt;=W_min,M314&gt;=Pre_A),1,0)))+IF(3&lt;=2,1-Q314,IF(3=3,IF(AND(V314=0,O314&gt;=W_min,M314-D_dip&gt;=Floor_q),1,0),IF(AND(O314&gt;=W_min,M314&gt;=Pre_A),1,0)))+IF(4&lt;=2,1-Q314,IF(4=3,IF(AND(V314=0,O314&gt;=W_min,M314-D_dip&gt;=Floor_q),1,0),IF(AND(O314&gt;=W_min,M314&gt;=Pre_A),1,0))))</f>
        <v>0</v>
      </c>
      <c r="U314" s="14" t="n">
        <f aca="false">V104</f>
        <v>0</v>
      </c>
      <c r="V314" s="14" t="n">
        <f aca="false">CHOOSE(D314,U314,U314,1,U314)</f>
        <v>1</v>
      </c>
    </row>
    <row r="315" customFormat="false" ht="15" hidden="false" customHeight="true" outlineLevel="0" collapsed="false">
      <c r="A315" s="3" t="s">
        <v>553</v>
      </c>
      <c r="B315" s="14" t="n">
        <v>4</v>
      </c>
      <c r="C315" s="14" t="n">
        <v>104</v>
      </c>
      <c r="D315" s="14" t="n">
        <v>4</v>
      </c>
      <c r="E315" s="14" t="n">
        <f aca="false">L104</f>
        <v>0</v>
      </c>
      <c r="F315" s="19" t="n">
        <f aca="false">M104</f>
        <v>724</v>
      </c>
      <c r="G315" s="19" t="n">
        <f aca="false">N104</f>
        <v>33.21</v>
      </c>
      <c r="H315" s="14" t="n">
        <f aca="false">O104</f>
        <v>49</v>
      </c>
      <c r="I315" s="16" t="n">
        <f aca="false">P104</f>
        <v>78</v>
      </c>
      <c r="J315" s="14" t="n">
        <f aca="false">Q104</f>
        <v>1</v>
      </c>
      <c r="K315" s="14" t="n">
        <f aca="false">IF(D315&lt;=2,1-J315,IF(D315=3,IF(AND(U315=0,H315&gt;=W_min,F315-D_dip&gt;=Floor_q),1,0),IF(AND(H315&gt;=W_min,F315&gt;=Pre_A),1,0)))</f>
        <v>0</v>
      </c>
      <c r="L315" s="14" t="n">
        <f aca="false">E315*K315</f>
        <v>0</v>
      </c>
      <c r="M315" s="19" t="n">
        <f aca="false">CHOOSE(D315,F315+Proc_S,F315+Proc_Sk,F315+D_dL,F315-Cost_A)</f>
        <v>604</v>
      </c>
      <c r="N315" s="19" t="n">
        <f aca="false">CHOOSE(D315,(1-Tech_share)*G315,(1-Tech_share)*G315,G315+D_dT,G315)</f>
        <v>33.21</v>
      </c>
      <c r="O315" s="14" t="n">
        <f aca="false">CHOOSE(D315,H315-W_lost,H315,H315,H315+W_gain)</f>
        <v>50</v>
      </c>
      <c r="P315" s="16" t="n">
        <f aca="false">CHOOSE(D315,I315,I315,I315+D_dE,I315+Close_A*(Ceil_E-I315))</f>
        <v>81.5</v>
      </c>
      <c r="Q315" s="14" t="n">
        <f aca="false">CHOOSE(D315,1,1,J315,J315)</f>
        <v>1</v>
      </c>
      <c r="R315" s="14" t="n">
        <f aca="false">IF(L315=1,IF(SUMPRODUCT(($L$35:$L$314=1)*(ABS($M$35:$M$314-M315)&lt;0.000001)*(ABS($N$35:$N$314-N315)&lt;0.000001)*($O$35:$O$314=O315)*(ABS($P$35:$P$314-P315)&lt;0.000001)*($Q$35:$Q$314=Q315)*($V$35:$V$314=V315))=0,1,0),0)</f>
        <v>0</v>
      </c>
      <c r="S315" s="14" t="n">
        <f aca="false">IF(AND(L315=1,N315&gt;=$B$4-0.000000001,P315&gt;=$B$6-0.000000001,M315&gt;=Floor_q+$B$5-0.000000001),1,0)</f>
        <v>0</v>
      </c>
      <c r="T315" s="14" t="n">
        <f aca="false">L315*(IF(1&lt;=2,1-Q315,IF(1=3,IF(AND(V315=0,O315&gt;=W_min,M315-D_dip&gt;=Floor_q),1,0),IF(AND(O315&gt;=W_min,M315&gt;=Pre_A),1,0)))+IF(2&lt;=2,1-Q315,IF(2=3,IF(AND(V315=0,O315&gt;=W_min,M315-D_dip&gt;=Floor_q),1,0),IF(AND(O315&gt;=W_min,M315&gt;=Pre_A),1,0)))+IF(3&lt;=2,1-Q315,IF(3=3,IF(AND(V315=0,O315&gt;=W_min,M315-D_dip&gt;=Floor_q),1,0),IF(AND(O315&gt;=W_min,M315&gt;=Pre_A),1,0)))+IF(4&lt;=2,1-Q315,IF(4=3,IF(AND(V315=0,O315&gt;=W_min,M315-D_dip&gt;=Floor_q),1,0),IF(AND(O315&gt;=W_min,M315&gt;=Pre_A),1,0))))</f>
        <v>0</v>
      </c>
      <c r="U315" s="14" t="n">
        <f aca="false">V104</f>
        <v>0</v>
      </c>
      <c r="V315" s="14" t="n">
        <f aca="false">CHOOSE(D315,U315,U315,1,U315)</f>
        <v>0</v>
      </c>
    </row>
    <row r="316" customFormat="false" ht="15" hidden="false" customHeight="true" outlineLevel="0" collapsed="false">
      <c r="A316" s="3" t="s">
        <v>554</v>
      </c>
      <c r="B316" s="14" t="n">
        <v>4</v>
      </c>
      <c r="C316" s="14" t="n">
        <v>105</v>
      </c>
      <c r="D316" s="14" t="n">
        <v>1</v>
      </c>
      <c r="E316" s="14" t="n">
        <f aca="false">L105</f>
        <v>0</v>
      </c>
      <c r="F316" s="19" t="n">
        <f aca="false">M105</f>
        <v>704</v>
      </c>
      <c r="G316" s="19" t="n">
        <f aca="false">N105</f>
        <v>33.21</v>
      </c>
      <c r="H316" s="14" t="n">
        <f aca="false">O105</f>
        <v>54</v>
      </c>
      <c r="I316" s="16" t="n">
        <f aca="false">P105</f>
        <v>78</v>
      </c>
      <c r="J316" s="14" t="n">
        <f aca="false">Q105</f>
        <v>1</v>
      </c>
      <c r="K316" s="14" t="n">
        <f aca="false">IF(D316&lt;=2,1-J316,IF(D316=3,IF(AND(U316=0,H316&gt;=W_min,F316-D_dip&gt;=Floor_q),1,0),IF(AND(H316&gt;=W_min,F316&gt;=Pre_A),1,0)))</f>
        <v>0</v>
      </c>
      <c r="L316" s="14" t="n">
        <f aca="false">E316*K316</f>
        <v>0</v>
      </c>
      <c r="M316" s="19" t="n">
        <f aca="false">CHOOSE(D316,F316+Proc_S,F316+Proc_Sk,F316+D_dL,F316-Cost_A)</f>
        <v>816</v>
      </c>
      <c r="N316" s="19" t="n">
        <f aca="false">CHOOSE(D316,(1-Tech_share)*G316,(1-Tech_share)*G316,G316+D_dT,G316)</f>
        <v>29.889</v>
      </c>
      <c r="O316" s="14" t="n">
        <f aca="false">CHOOSE(D316,H316-W_lost,H316,H316,H316+W_gain)</f>
        <v>49</v>
      </c>
      <c r="P316" s="16" t="n">
        <f aca="false">CHOOSE(D316,I316,I316,I316+D_dE,I316+Close_A*(Ceil_E-I316))</f>
        <v>78</v>
      </c>
      <c r="Q316" s="14" t="n">
        <f aca="false">CHOOSE(D316,1,1,J316,J316)</f>
        <v>1</v>
      </c>
      <c r="R316" s="14" t="n">
        <f aca="false">IF(L316=1,IF(SUMPRODUCT(($L$35:$L$315=1)*(ABS($M$35:$M$315-M316)&lt;0.000001)*(ABS($N$35:$N$315-N316)&lt;0.000001)*($O$35:$O$315=O316)*(ABS($P$35:$P$315-P316)&lt;0.000001)*($Q$35:$Q$315=Q316)*($V$35:$V$315=V316))=0,1,0),0)</f>
        <v>0</v>
      </c>
      <c r="S316" s="14" t="n">
        <f aca="false">IF(AND(L316=1,N316&gt;=$B$4-0.000000001,P316&gt;=$B$6-0.000000001,M316&gt;=Floor_q+$B$5-0.000000001),1,0)</f>
        <v>0</v>
      </c>
      <c r="T316" s="14" t="n">
        <f aca="false">L316*(IF(1&lt;=2,1-Q316,IF(1=3,IF(AND(V316=0,O316&gt;=W_min,M316-D_dip&gt;=Floor_q),1,0),IF(AND(O316&gt;=W_min,M316&gt;=Pre_A),1,0)))+IF(2&lt;=2,1-Q316,IF(2=3,IF(AND(V316=0,O316&gt;=W_min,M316-D_dip&gt;=Floor_q),1,0),IF(AND(O316&gt;=W_min,M316&gt;=Pre_A),1,0)))+IF(3&lt;=2,1-Q316,IF(3=3,IF(AND(V316=0,O316&gt;=W_min,M316-D_dip&gt;=Floor_q),1,0),IF(AND(O316&gt;=W_min,M316&gt;=Pre_A),1,0)))+IF(4&lt;=2,1-Q316,IF(4=3,IF(AND(V316=0,O316&gt;=W_min,M316-D_dip&gt;=Floor_q),1,0),IF(AND(O316&gt;=W_min,M316&gt;=Pre_A),1,0))))</f>
        <v>0</v>
      </c>
      <c r="U316" s="14" t="n">
        <f aca="false">V105</f>
        <v>0</v>
      </c>
      <c r="V316" s="14" t="n">
        <f aca="false">CHOOSE(D316,U316,U316,1,U316)</f>
        <v>0</v>
      </c>
    </row>
    <row r="317" customFormat="false" ht="15" hidden="false" customHeight="true" outlineLevel="0" collapsed="false">
      <c r="A317" s="3" t="s">
        <v>555</v>
      </c>
      <c r="B317" s="14" t="n">
        <v>4</v>
      </c>
      <c r="C317" s="14" t="n">
        <v>105</v>
      </c>
      <c r="D317" s="14" t="n">
        <v>2</v>
      </c>
      <c r="E317" s="14" t="n">
        <f aca="false">L105</f>
        <v>0</v>
      </c>
      <c r="F317" s="19" t="n">
        <f aca="false">M105</f>
        <v>704</v>
      </c>
      <c r="G317" s="19" t="n">
        <f aca="false">N105</f>
        <v>33.21</v>
      </c>
      <c r="H317" s="14" t="n">
        <f aca="false">O105</f>
        <v>54</v>
      </c>
      <c r="I317" s="16" t="n">
        <f aca="false">P105</f>
        <v>78</v>
      </c>
      <c r="J317" s="14" t="n">
        <f aca="false">Q105</f>
        <v>1</v>
      </c>
      <c r="K317" s="14" t="n">
        <f aca="false">IF(D317&lt;=2,1-J317,IF(D317=3,IF(AND(U317=0,H317&gt;=W_min,F317-D_dip&gt;=Floor_q),1,0),IF(AND(H317&gt;=W_min,F317&gt;=Pre_A),1,0)))</f>
        <v>0</v>
      </c>
      <c r="L317" s="14" t="n">
        <f aca="false">E317*K317</f>
        <v>0</v>
      </c>
      <c r="M317" s="19" t="n">
        <f aca="false">CHOOSE(D317,F317+Proc_S,F317+Proc_Sk,F317+D_dL,F317-Cost_A)</f>
        <v>796</v>
      </c>
      <c r="N317" s="19" t="n">
        <f aca="false">CHOOSE(D317,(1-Tech_share)*G317,(1-Tech_share)*G317,G317+D_dT,G317)</f>
        <v>29.889</v>
      </c>
      <c r="O317" s="14" t="n">
        <f aca="false">CHOOSE(D317,H317-W_lost,H317,H317,H317+W_gain)</f>
        <v>54</v>
      </c>
      <c r="P317" s="16" t="n">
        <f aca="false">CHOOSE(D317,I317,I317,I317+D_dE,I317+Close_A*(Ceil_E-I317))</f>
        <v>78</v>
      </c>
      <c r="Q317" s="14" t="n">
        <f aca="false">CHOOSE(D317,1,1,J317,J317)</f>
        <v>1</v>
      </c>
      <c r="R317" s="14" t="n">
        <f aca="false">IF(L317=1,IF(SUMPRODUCT(($L$35:$L$316=1)*(ABS($M$35:$M$316-M317)&lt;0.000001)*(ABS($N$35:$N$316-N317)&lt;0.000001)*($O$35:$O$316=O317)*(ABS($P$35:$P$316-P317)&lt;0.000001)*($Q$35:$Q$316=Q317)*($V$35:$V$316=V317))=0,1,0),0)</f>
        <v>0</v>
      </c>
      <c r="S317" s="14" t="n">
        <f aca="false">IF(AND(L317=1,N317&gt;=$B$4-0.000000001,P317&gt;=$B$6-0.000000001,M317&gt;=Floor_q+$B$5-0.000000001),1,0)</f>
        <v>0</v>
      </c>
      <c r="T317" s="14" t="n">
        <f aca="false">L317*(IF(1&lt;=2,1-Q317,IF(1=3,IF(AND(V317=0,O317&gt;=W_min,M317-D_dip&gt;=Floor_q),1,0),IF(AND(O317&gt;=W_min,M317&gt;=Pre_A),1,0)))+IF(2&lt;=2,1-Q317,IF(2=3,IF(AND(V317=0,O317&gt;=W_min,M317-D_dip&gt;=Floor_q),1,0),IF(AND(O317&gt;=W_min,M317&gt;=Pre_A),1,0)))+IF(3&lt;=2,1-Q317,IF(3=3,IF(AND(V317=0,O317&gt;=W_min,M317-D_dip&gt;=Floor_q),1,0),IF(AND(O317&gt;=W_min,M317&gt;=Pre_A),1,0)))+IF(4&lt;=2,1-Q317,IF(4=3,IF(AND(V317=0,O317&gt;=W_min,M317-D_dip&gt;=Floor_q),1,0),IF(AND(O317&gt;=W_min,M317&gt;=Pre_A),1,0))))</f>
        <v>0</v>
      </c>
      <c r="U317" s="14" t="n">
        <f aca="false">V105</f>
        <v>0</v>
      </c>
      <c r="V317" s="14" t="n">
        <f aca="false">CHOOSE(D317,U317,U317,1,U317)</f>
        <v>0</v>
      </c>
    </row>
    <row r="318" customFormat="false" ht="15" hidden="false" customHeight="true" outlineLevel="0" collapsed="false">
      <c r="A318" s="3" t="s">
        <v>556</v>
      </c>
      <c r="B318" s="14" t="n">
        <v>4</v>
      </c>
      <c r="C318" s="14" t="n">
        <v>105</v>
      </c>
      <c r="D318" s="14" t="n">
        <v>3</v>
      </c>
      <c r="E318" s="14" t="n">
        <f aca="false">L105</f>
        <v>0</v>
      </c>
      <c r="F318" s="19" t="n">
        <f aca="false">M105</f>
        <v>704</v>
      </c>
      <c r="G318" s="19" t="n">
        <f aca="false">N105</f>
        <v>33.21</v>
      </c>
      <c r="H318" s="14" t="n">
        <f aca="false">O105</f>
        <v>54</v>
      </c>
      <c r="I318" s="16" t="n">
        <f aca="false">P105</f>
        <v>78</v>
      </c>
      <c r="J318" s="14" t="n">
        <f aca="false">Q105</f>
        <v>1</v>
      </c>
      <c r="K318" s="14" t="n">
        <f aca="false">IF(D318&lt;=2,1-J318,IF(D318=3,IF(AND(U318=0,H318&gt;=W_min,F318-D_dip&gt;=Floor_q),1,0),IF(AND(H318&gt;=W_min,F318&gt;=Pre_A),1,0)))</f>
        <v>0</v>
      </c>
      <c r="L318" s="14" t="n">
        <f aca="false">E318*K318</f>
        <v>0</v>
      </c>
      <c r="M318" s="19" t="n">
        <f aca="false">CHOOSE(D318,F318+Proc_S,F318+Proc_Sk,F318+D_dL,F318-Cost_A)</f>
        <v>668.632729102868</v>
      </c>
      <c r="N318" s="19" t="n">
        <f aca="false">CHOOSE(D318,(1-Tech_share)*G318,(1-Tech_share)*G318,G318+D_dT,G318)</f>
        <v>67.8446691353518</v>
      </c>
      <c r="O318" s="14" t="n">
        <f aca="false">CHOOSE(D318,H318-W_lost,H318,H318,H318+W_gain)</f>
        <v>54</v>
      </c>
      <c r="P318" s="16" t="n">
        <f aca="false">CHOOSE(D318,I318,I318,I318+D_dE,I318+Close_A*(Ceil_E-I318))</f>
        <v>80.5983309723245</v>
      </c>
      <c r="Q318" s="14" t="n">
        <f aca="false">CHOOSE(D318,1,1,J318,J318)</f>
        <v>1</v>
      </c>
      <c r="R318" s="14" t="n">
        <f aca="false">IF(L318=1,IF(SUMPRODUCT(($L$35:$L$317=1)*(ABS($M$35:$M$317-M318)&lt;0.000001)*(ABS($N$35:$N$317-N318)&lt;0.000001)*($O$35:$O$317=O318)*(ABS($P$35:$P$317-P318)&lt;0.000001)*($Q$35:$Q$317=Q318)*($V$35:$V$317=V318))=0,1,0),0)</f>
        <v>0</v>
      </c>
      <c r="S318" s="14" t="n">
        <f aca="false">IF(AND(L318=1,N318&gt;=$B$4-0.000000001,P318&gt;=$B$6-0.000000001,M318&gt;=Floor_q+$B$5-0.000000001),1,0)</f>
        <v>0</v>
      </c>
      <c r="T318" s="14" t="n">
        <f aca="false">L318*(IF(1&lt;=2,1-Q318,IF(1=3,IF(AND(V318=0,O318&gt;=W_min,M318-D_dip&gt;=Floor_q),1,0),IF(AND(O318&gt;=W_min,M318&gt;=Pre_A),1,0)))+IF(2&lt;=2,1-Q318,IF(2=3,IF(AND(V318=0,O318&gt;=W_min,M318-D_dip&gt;=Floor_q),1,0),IF(AND(O318&gt;=W_min,M318&gt;=Pre_A),1,0)))+IF(3&lt;=2,1-Q318,IF(3=3,IF(AND(V318=0,O318&gt;=W_min,M318-D_dip&gt;=Floor_q),1,0),IF(AND(O318&gt;=W_min,M318&gt;=Pre_A),1,0)))+IF(4&lt;=2,1-Q318,IF(4=3,IF(AND(V318=0,O318&gt;=W_min,M318-D_dip&gt;=Floor_q),1,0),IF(AND(O318&gt;=W_min,M318&gt;=Pre_A),1,0))))</f>
        <v>0</v>
      </c>
      <c r="U318" s="14" t="n">
        <f aca="false">V105</f>
        <v>0</v>
      </c>
      <c r="V318" s="14" t="n">
        <f aca="false">CHOOSE(D318,U318,U318,1,U318)</f>
        <v>1</v>
      </c>
    </row>
    <row r="319" customFormat="false" ht="15" hidden="false" customHeight="true" outlineLevel="0" collapsed="false">
      <c r="A319" s="3" t="s">
        <v>557</v>
      </c>
      <c r="B319" s="14" t="n">
        <v>4</v>
      </c>
      <c r="C319" s="14" t="n">
        <v>105</v>
      </c>
      <c r="D319" s="14" t="n">
        <v>4</v>
      </c>
      <c r="E319" s="14" t="n">
        <f aca="false">L105</f>
        <v>0</v>
      </c>
      <c r="F319" s="19" t="n">
        <f aca="false">M105</f>
        <v>704</v>
      </c>
      <c r="G319" s="19" t="n">
        <f aca="false">N105</f>
        <v>33.21</v>
      </c>
      <c r="H319" s="14" t="n">
        <f aca="false">O105</f>
        <v>54</v>
      </c>
      <c r="I319" s="16" t="n">
        <f aca="false">P105</f>
        <v>78</v>
      </c>
      <c r="J319" s="14" t="n">
        <f aca="false">Q105</f>
        <v>1</v>
      </c>
      <c r="K319" s="14" t="n">
        <f aca="false">IF(D319&lt;=2,1-J319,IF(D319=3,IF(AND(U319=0,H319&gt;=W_min,F319-D_dip&gt;=Floor_q),1,0),IF(AND(H319&gt;=W_min,F319&gt;=Pre_A),1,0)))</f>
        <v>0</v>
      </c>
      <c r="L319" s="14" t="n">
        <f aca="false">E319*K319</f>
        <v>0</v>
      </c>
      <c r="M319" s="19" t="n">
        <f aca="false">CHOOSE(D319,F319+Proc_S,F319+Proc_Sk,F319+D_dL,F319-Cost_A)</f>
        <v>584</v>
      </c>
      <c r="N319" s="19" t="n">
        <f aca="false">CHOOSE(D319,(1-Tech_share)*G319,(1-Tech_share)*G319,G319+D_dT,G319)</f>
        <v>33.21</v>
      </c>
      <c r="O319" s="14" t="n">
        <f aca="false">CHOOSE(D319,H319-W_lost,H319,H319,H319+W_gain)</f>
        <v>55</v>
      </c>
      <c r="P319" s="16" t="n">
        <f aca="false">CHOOSE(D319,I319,I319,I319+D_dE,I319+Close_A*(Ceil_E-I319))</f>
        <v>81.5</v>
      </c>
      <c r="Q319" s="14" t="n">
        <f aca="false">CHOOSE(D319,1,1,J319,J319)</f>
        <v>1</v>
      </c>
      <c r="R319" s="14" t="n">
        <f aca="false">IF(L319=1,IF(SUMPRODUCT(($L$35:$L$318=1)*(ABS($M$35:$M$318-M319)&lt;0.000001)*(ABS($N$35:$N$318-N319)&lt;0.000001)*($O$35:$O$318=O319)*(ABS($P$35:$P$318-P319)&lt;0.000001)*($Q$35:$Q$318=Q319)*($V$35:$V$318=V319))=0,1,0),0)</f>
        <v>0</v>
      </c>
      <c r="S319" s="14" t="n">
        <f aca="false">IF(AND(L319=1,N319&gt;=$B$4-0.000000001,P319&gt;=$B$6-0.000000001,M319&gt;=Floor_q+$B$5-0.000000001),1,0)</f>
        <v>0</v>
      </c>
      <c r="T319" s="14" t="n">
        <f aca="false">L319*(IF(1&lt;=2,1-Q319,IF(1=3,IF(AND(V319=0,O319&gt;=W_min,M319-D_dip&gt;=Floor_q),1,0),IF(AND(O319&gt;=W_min,M319&gt;=Pre_A),1,0)))+IF(2&lt;=2,1-Q319,IF(2=3,IF(AND(V319=0,O319&gt;=W_min,M319-D_dip&gt;=Floor_q),1,0),IF(AND(O319&gt;=W_min,M319&gt;=Pre_A),1,0)))+IF(3&lt;=2,1-Q319,IF(3=3,IF(AND(V319=0,O319&gt;=W_min,M319-D_dip&gt;=Floor_q),1,0),IF(AND(O319&gt;=W_min,M319&gt;=Pre_A),1,0)))+IF(4&lt;=2,1-Q319,IF(4=3,IF(AND(V319=0,O319&gt;=W_min,M319-D_dip&gt;=Floor_q),1,0),IF(AND(O319&gt;=W_min,M319&gt;=Pre_A),1,0))))</f>
        <v>0</v>
      </c>
      <c r="U319" s="14" t="n">
        <f aca="false">V105</f>
        <v>0</v>
      </c>
      <c r="V319" s="14" t="n">
        <f aca="false">CHOOSE(D319,U319,U319,1,U319)</f>
        <v>0</v>
      </c>
    </row>
    <row r="320" customFormat="false" ht="15" hidden="false" customHeight="true" outlineLevel="0" collapsed="false">
      <c r="A320" s="3" t="s">
        <v>558</v>
      </c>
      <c r="B320" s="14" t="n">
        <v>4</v>
      </c>
      <c r="C320" s="14" t="n">
        <v>106</v>
      </c>
      <c r="D320" s="14" t="n">
        <v>1</v>
      </c>
      <c r="E320" s="14" t="n">
        <f aca="false">L106</f>
        <v>0</v>
      </c>
      <c r="F320" s="19" t="n">
        <f aca="false">M106</f>
        <v>576.632729102868</v>
      </c>
      <c r="G320" s="19" t="n">
        <f aca="false">N106</f>
        <v>71.5346691353518</v>
      </c>
      <c r="H320" s="14" t="n">
        <f aca="false">O106</f>
        <v>54</v>
      </c>
      <c r="I320" s="16" t="n">
        <f aca="false">P106</f>
        <v>80.5983309723245</v>
      </c>
      <c r="J320" s="14" t="n">
        <f aca="false">Q106</f>
        <v>1</v>
      </c>
      <c r="K320" s="14" t="n">
        <f aca="false">IF(D320&lt;=2,1-J320,IF(D320=3,IF(AND(U320=0,H320&gt;=W_min,F320-D_dip&gt;=Floor_q),1,0),IF(AND(H320&gt;=W_min,F320&gt;=Pre_A),1,0)))</f>
        <v>0</v>
      </c>
      <c r="L320" s="14" t="n">
        <f aca="false">E320*K320</f>
        <v>0</v>
      </c>
      <c r="M320" s="19" t="n">
        <f aca="false">CHOOSE(D320,F320+Proc_S,F320+Proc_Sk,F320+D_dL,F320-Cost_A)</f>
        <v>688.632729102868</v>
      </c>
      <c r="N320" s="19" t="n">
        <f aca="false">CHOOSE(D320,(1-Tech_share)*G320,(1-Tech_share)*G320,G320+D_dT,G320)</f>
        <v>64.3812022218166</v>
      </c>
      <c r="O320" s="14" t="n">
        <f aca="false">CHOOSE(D320,H320-W_lost,H320,H320,H320+W_gain)</f>
        <v>49</v>
      </c>
      <c r="P320" s="16" t="n">
        <f aca="false">CHOOSE(D320,I320,I320,I320+D_dE,I320+Close_A*(Ceil_E-I320))</f>
        <v>80.5983309723245</v>
      </c>
      <c r="Q320" s="14" t="n">
        <f aca="false">CHOOSE(D320,1,1,J320,J320)</f>
        <v>1</v>
      </c>
      <c r="R320" s="14" t="n">
        <f aca="false">IF(L320=1,IF(SUMPRODUCT(($L$35:$L$319=1)*(ABS($M$35:$M$319-M320)&lt;0.000001)*(ABS($N$35:$N$319-N320)&lt;0.000001)*($O$35:$O$319=O320)*(ABS($P$35:$P$319-P320)&lt;0.000001)*($Q$35:$Q$319=Q320)*($V$35:$V$319=V320))=0,1,0),0)</f>
        <v>0</v>
      </c>
      <c r="S320" s="14" t="n">
        <f aca="false">IF(AND(L320=1,N320&gt;=$B$4-0.000000001,P320&gt;=$B$6-0.000000001,M320&gt;=Floor_q+$B$5-0.000000001),1,0)</f>
        <v>0</v>
      </c>
      <c r="T320" s="14" t="n">
        <f aca="false">L320*(IF(1&lt;=2,1-Q320,IF(1=3,IF(AND(V320=0,O320&gt;=W_min,M320-D_dip&gt;=Floor_q),1,0),IF(AND(O320&gt;=W_min,M320&gt;=Pre_A),1,0)))+IF(2&lt;=2,1-Q320,IF(2=3,IF(AND(V320=0,O320&gt;=W_min,M320-D_dip&gt;=Floor_q),1,0),IF(AND(O320&gt;=W_min,M320&gt;=Pre_A),1,0)))+IF(3&lt;=2,1-Q320,IF(3=3,IF(AND(V320=0,O320&gt;=W_min,M320-D_dip&gt;=Floor_q),1,0),IF(AND(O320&gt;=W_min,M320&gt;=Pre_A),1,0)))+IF(4&lt;=2,1-Q320,IF(4=3,IF(AND(V320=0,O320&gt;=W_min,M320-D_dip&gt;=Floor_q),1,0),IF(AND(O320&gt;=W_min,M320&gt;=Pre_A),1,0))))</f>
        <v>0</v>
      </c>
      <c r="U320" s="14" t="n">
        <f aca="false">V106</f>
        <v>1</v>
      </c>
      <c r="V320" s="14" t="n">
        <f aca="false">CHOOSE(D320,U320,U320,1,U320)</f>
        <v>1</v>
      </c>
    </row>
    <row r="321" customFormat="false" ht="15" hidden="false" customHeight="true" outlineLevel="0" collapsed="false">
      <c r="A321" s="3" t="s">
        <v>559</v>
      </c>
      <c r="B321" s="14" t="n">
        <v>4</v>
      </c>
      <c r="C321" s="14" t="n">
        <v>106</v>
      </c>
      <c r="D321" s="14" t="n">
        <v>2</v>
      </c>
      <c r="E321" s="14" t="n">
        <f aca="false">L106</f>
        <v>0</v>
      </c>
      <c r="F321" s="19" t="n">
        <f aca="false">M106</f>
        <v>576.632729102868</v>
      </c>
      <c r="G321" s="19" t="n">
        <f aca="false">N106</f>
        <v>71.5346691353518</v>
      </c>
      <c r="H321" s="14" t="n">
        <f aca="false">O106</f>
        <v>54</v>
      </c>
      <c r="I321" s="16" t="n">
        <f aca="false">P106</f>
        <v>80.5983309723245</v>
      </c>
      <c r="J321" s="14" t="n">
        <f aca="false">Q106</f>
        <v>1</v>
      </c>
      <c r="K321" s="14" t="n">
        <f aca="false">IF(D321&lt;=2,1-J321,IF(D321=3,IF(AND(U321=0,H321&gt;=W_min,F321-D_dip&gt;=Floor_q),1,0),IF(AND(H321&gt;=W_min,F321&gt;=Pre_A),1,0)))</f>
        <v>0</v>
      </c>
      <c r="L321" s="14" t="n">
        <f aca="false">E321*K321</f>
        <v>0</v>
      </c>
      <c r="M321" s="19" t="n">
        <f aca="false">CHOOSE(D321,F321+Proc_S,F321+Proc_Sk,F321+D_dL,F321-Cost_A)</f>
        <v>668.632729102868</v>
      </c>
      <c r="N321" s="19" t="n">
        <f aca="false">CHOOSE(D321,(1-Tech_share)*G321,(1-Tech_share)*G321,G321+D_dT,G321)</f>
        <v>64.3812022218166</v>
      </c>
      <c r="O321" s="14" t="n">
        <f aca="false">CHOOSE(D321,H321-W_lost,H321,H321,H321+W_gain)</f>
        <v>54</v>
      </c>
      <c r="P321" s="16" t="n">
        <f aca="false">CHOOSE(D321,I321,I321,I321+D_dE,I321+Close_A*(Ceil_E-I321))</f>
        <v>80.5983309723245</v>
      </c>
      <c r="Q321" s="14" t="n">
        <f aca="false">CHOOSE(D321,1,1,J321,J321)</f>
        <v>1</v>
      </c>
      <c r="R321" s="14" t="n">
        <f aca="false">IF(L321=1,IF(SUMPRODUCT(($L$35:$L$320=1)*(ABS($M$35:$M$320-M321)&lt;0.000001)*(ABS($N$35:$N$320-N321)&lt;0.000001)*($O$35:$O$320=O321)*(ABS($P$35:$P$320-P321)&lt;0.000001)*($Q$35:$Q$320=Q321)*($V$35:$V$320=V321))=0,1,0),0)</f>
        <v>0</v>
      </c>
      <c r="S321" s="14" t="n">
        <f aca="false">IF(AND(L321=1,N321&gt;=$B$4-0.000000001,P321&gt;=$B$6-0.000000001,M321&gt;=Floor_q+$B$5-0.000000001),1,0)</f>
        <v>0</v>
      </c>
      <c r="T321" s="14" t="n">
        <f aca="false">L321*(IF(1&lt;=2,1-Q321,IF(1=3,IF(AND(V321=0,O321&gt;=W_min,M321-D_dip&gt;=Floor_q),1,0),IF(AND(O321&gt;=W_min,M321&gt;=Pre_A),1,0)))+IF(2&lt;=2,1-Q321,IF(2=3,IF(AND(V321=0,O321&gt;=W_min,M321-D_dip&gt;=Floor_q),1,0),IF(AND(O321&gt;=W_min,M321&gt;=Pre_A),1,0)))+IF(3&lt;=2,1-Q321,IF(3=3,IF(AND(V321=0,O321&gt;=W_min,M321-D_dip&gt;=Floor_q),1,0),IF(AND(O321&gt;=W_min,M321&gt;=Pre_A),1,0)))+IF(4&lt;=2,1-Q321,IF(4=3,IF(AND(V321=0,O321&gt;=W_min,M321-D_dip&gt;=Floor_q),1,0),IF(AND(O321&gt;=W_min,M321&gt;=Pre_A),1,0))))</f>
        <v>0</v>
      </c>
      <c r="U321" s="14" t="n">
        <f aca="false">V106</f>
        <v>1</v>
      </c>
      <c r="V321" s="14" t="n">
        <f aca="false">CHOOSE(D321,U321,U321,1,U321)</f>
        <v>1</v>
      </c>
    </row>
    <row r="322" customFormat="false" ht="15" hidden="false" customHeight="true" outlineLevel="0" collapsed="false">
      <c r="A322" s="3" t="s">
        <v>560</v>
      </c>
      <c r="B322" s="14" t="n">
        <v>4</v>
      </c>
      <c r="C322" s="14" t="n">
        <v>106</v>
      </c>
      <c r="D322" s="14" t="n">
        <v>3</v>
      </c>
      <c r="E322" s="14" t="n">
        <f aca="false">L106</f>
        <v>0</v>
      </c>
      <c r="F322" s="19" t="n">
        <f aca="false">M106</f>
        <v>576.632729102868</v>
      </c>
      <c r="G322" s="19" t="n">
        <f aca="false">N106</f>
        <v>71.5346691353518</v>
      </c>
      <c r="H322" s="14" t="n">
        <f aca="false">O106</f>
        <v>54</v>
      </c>
      <c r="I322" s="16" t="n">
        <f aca="false">P106</f>
        <v>80.5983309723245</v>
      </c>
      <c r="J322" s="14" t="n">
        <f aca="false">Q106</f>
        <v>1</v>
      </c>
      <c r="K322" s="14" t="n">
        <f aca="false">IF(D322&lt;=2,1-J322,IF(D322=3,IF(AND(U322=0,H322&gt;=W_min,F322-D_dip&gt;=Floor_q),1,0),IF(AND(H322&gt;=W_min,F322&gt;=Pre_A),1,0)))</f>
        <v>0</v>
      </c>
      <c r="L322" s="14" t="n">
        <f aca="false">E322*K322</f>
        <v>0</v>
      </c>
      <c r="M322" s="19" t="n">
        <f aca="false">CHOOSE(D322,F322+Proc_S,F322+Proc_Sk,F322+D_dL,F322-Cost_A)</f>
        <v>541.265458205737</v>
      </c>
      <c r="N322" s="19" t="n">
        <f aca="false">CHOOSE(D322,(1-Tech_share)*G322,(1-Tech_share)*G322,G322+D_dT,G322)</f>
        <v>106.169338270704</v>
      </c>
      <c r="O322" s="14" t="n">
        <f aca="false">CHOOSE(D322,H322-W_lost,H322,H322,H322+W_gain)</f>
        <v>54</v>
      </c>
      <c r="P322" s="16" t="n">
        <f aca="false">CHOOSE(D322,I322,I322,I322+D_dE,I322+Close_A*(Ceil_E-I322))</f>
        <v>83.1966619446489</v>
      </c>
      <c r="Q322" s="14" t="n">
        <f aca="false">CHOOSE(D322,1,1,J322,J322)</f>
        <v>1</v>
      </c>
      <c r="R322" s="14" t="n">
        <f aca="false">IF(L322=1,IF(SUMPRODUCT(($L$35:$L$321=1)*(ABS($M$35:$M$321-M322)&lt;0.000001)*(ABS($N$35:$N$321-N322)&lt;0.000001)*($O$35:$O$321=O322)*(ABS($P$35:$P$321-P322)&lt;0.000001)*($Q$35:$Q$321=Q322)*($V$35:$V$321=V322))=0,1,0),0)</f>
        <v>0</v>
      </c>
      <c r="S322" s="14" t="n">
        <f aca="false">IF(AND(L322=1,N322&gt;=$B$4-0.000000001,P322&gt;=$B$6-0.000000001,M322&gt;=Floor_q+$B$5-0.000000001),1,0)</f>
        <v>0</v>
      </c>
      <c r="T322" s="14" t="n">
        <f aca="false">L322*(IF(1&lt;=2,1-Q322,IF(1=3,IF(AND(V322=0,O322&gt;=W_min,M322-D_dip&gt;=Floor_q),1,0),IF(AND(O322&gt;=W_min,M322&gt;=Pre_A),1,0)))+IF(2&lt;=2,1-Q322,IF(2=3,IF(AND(V322=0,O322&gt;=W_min,M322-D_dip&gt;=Floor_q),1,0),IF(AND(O322&gt;=W_min,M322&gt;=Pre_A),1,0)))+IF(3&lt;=2,1-Q322,IF(3=3,IF(AND(V322=0,O322&gt;=W_min,M322-D_dip&gt;=Floor_q),1,0),IF(AND(O322&gt;=W_min,M322&gt;=Pre_A),1,0)))+IF(4&lt;=2,1-Q322,IF(4=3,IF(AND(V322=0,O322&gt;=W_min,M322-D_dip&gt;=Floor_q),1,0),IF(AND(O322&gt;=W_min,M322&gt;=Pre_A),1,0))))</f>
        <v>0</v>
      </c>
      <c r="U322" s="14" t="n">
        <f aca="false">V106</f>
        <v>1</v>
      </c>
      <c r="V322" s="14" t="n">
        <f aca="false">CHOOSE(D322,U322,U322,1,U322)</f>
        <v>1</v>
      </c>
    </row>
    <row r="323" customFormat="false" ht="15" hidden="false" customHeight="true" outlineLevel="0" collapsed="false">
      <c r="A323" s="3" t="s">
        <v>561</v>
      </c>
      <c r="B323" s="14" t="n">
        <v>4</v>
      </c>
      <c r="C323" s="14" t="n">
        <v>106</v>
      </c>
      <c r="D323" s="14" t="n">
        <v>4</v>
      </c>
      <c r="E323" s="14" t="n">
        <f aca="false">L106</f>
        <v>0</v>
      </c>
      <c r="F323" s="19" t="n">
        <f aca="false">M106</f>
        <v>576.632729102868</v>
      </c>
      <c r="G323" s="19" t="n">
        <f aca="false">N106</f>
        <v>71.5346691353518</v>
      </c>
      <c r="H323" s="14" t="n">
        <f aca="false">O106</f>
        <v>54</v>
      </c>
      <c r="I323" s="16" t="n">
        <f aca="false">P106</f>
        <v>80.5983309723245</v>
      </c>
      <c r="J323" s="14" t="n">
        <f aca="false">Q106</f>
        <v>1</v>
      </c>
      <c r="K323" s="14" t="n">
        <f aca="false">IF(D323&lt;=2,1-J323,IF(D323=3,IF(AND(U323=0,H323&gt;=W_min,F323-D_dip&gt;=Floor_q),1,0),IF(AND(H323&gt;=W_min,F323&gt;=Pre_A),1,0)))</f>
        <v>0</v>
      </c>
      <c r="L323" s="14" t="n">
        <f aca="false">E323*K323</f>
        <v>0</v>
      </c>
      <c r="M323" s="19" t="n">
        <f aca="false">CHOOSE(D323,F323+Proc_S,F323+Proc_Sk,F323+D_dL,F323-Cost_A)</f>
        <v>456.632729102868</v>
      </c>
      <c r="N323" s="19" t="n">
        <f aca="false">CHOOSE(D323,(1-Tech_share)*G323,(1-Tech_share)*G323,G323+D_dT,G323)</f>
        <v>71.5346691353518</v>
      </c>
      <c r="O323" s="14" t="n">
        <f aca="false">CHOOSE(D323,H323-W_lost,H323,H323,H323+W_gain)</f>
        <v>55</v>
      </c>
      <c r="P323" s="16" t="n">
        <f aca="false">CHOOSE(D323,I323,I323,I323+D_dE,I323+Close_A*(Ceil_E-I323))</f>
        <v>82.7991654861622</v>
      </c>
      <c r="Q323" s="14" t="n">
        <f aca="false">CHOOSE(D323,1,1,J323,J323)</f>
        <v>1</v>
      </c>
      <c r="R323" s="14" t="n">
        <f aca="false">IF(L323=1,IF(SUMPRODUCT(($L$35:$L$322=1)*(ABS($M$35:$M$322-M323)&lt;0.000001)*(ABS($N$35:$N$322-N323)&lt;0.000001)*($O$35:$O$322=O323)*(ABS($P$35:$P$322-P323)&lt;0.000001)*($Q$35:$Q$322=Q323)*($V$35:$V$322=V323))=0,1,0),0)</f>
        <v>0</v>
      </c>
      <c r="S323" s="14" t="n">
        <f aca="false">IF(AND(L323=1,N323&gt;=$B$4-0.000000001,P323&gt;=$B$6-0.000000001,M323&gt;=Floor_q+$B$5-0.000000001),1,0)</f>
        <v>0</v>
      </c>
      <c r="T323" s="14" t="n">
        <f aca="false">L323*(IF(1&lt;=2,1-Q323,IF(1=3,IF(AND(V323=0,O323&gt;=W_min,M323-D_dip&gt;=Floor_q),1,0),IF(AND(O323&gt;=W_min,M323&gt;=Pre_A),1,0)))+IF(2&lt;=2,1-Q323,IF(2=3,IF(AND(V323=0,O323&gt;=W_min,M323-D_dip&gt;=Floor_q),1,0),IF(AND(O323&gt;=W_min,M323&gt;=Pre_A),1,0)))+IF(3&lt;=2,1-Q323,IF(3=3,IF(AND(V323=0,O323&gt;=W_min,M323-D_dip&gt;=Floor_q),1,0),IF(AND(O323&gt;=W_min,M323&gt;=Pre_A),1,0)))+IF(4&lt;=2,1-Q323,IF(4=3,IF(AND(V323=0,O323&gt;=W_min,M323-D_dip&gt;=Floor_q),1,0),IF(AND(O323&gt;=W_min,M323&gt;=Pre_A),1,0))))</f>
        <v>0</v>
      </c>
      <c r="U323" s="14" t="n">
        <f aca="false">V106</f>
        <v>1</v>
      </c>
      <c r="V323" s="14" t="n">
        <f aca="false">CHOOSE(D323,U323,U323,1,U323)</f>
        <v>1</v>
      </c>
    </row>
    <row r="324" customFormat="false" ht="15" hidden="false" customHeight="true" outlineLevel="0" collapsed="false">
      <c r="A324" s="3" t="s">
        <v>562</v>
      </c>
      <c r="B324" s="14" t="n">
        <v>4</v>
      </c>
      <c r="C324" s="14" t="n">
        <v>107</v>
      </c>
      <c r="D324" s="14" t="n">
        <v>1</v>
      </c>
      <c r="E324" s="14" t="n">
        <f aca="false">L107</f>
        <v>0</v>
      </c>
      <c r="F324" s="19" t="n">
        <f aca="false">M107</f>
        <v>492</v>
      </c>
      <c r="G324" s="19" t="n">
        <f aca="false">N107</f>
        <v>36.9</v>
      </c>
      <c r="H324" s="14" t="n">
        <f aca="false">O107</f>
        <v>55</v>
      </c>
      <c r="I324" s="16" t="n">
        <f aca="false">P107</f>
        <v>81.5</v>
      </c>
      <c r="J324" s="14" t="n">
        <f aca="false">Q107</f>
        <v>1</v>
      </c>
      <c r="K324" s="14" t="n">
        <f aca="false">IF(D324&lt;=2,1-J324,IF(D324=3,IF(AND(U324=0,H324&gt;=W_min,F324-D_dip&gt;=Floor_q),1,0),IF(AND(H324&gt;=W_min,F324&gt;=Pre_A),1,0)))</f>
        <v>0</v>
      </c>
      <c r="L324" s="14" t="n">
        <f aca="false">E324*K324</f>
        <v>0</v>
      </c>
      <c r="M324" s="19" t="n">
        <f aca="false">CHOOSE(D324,F324+Proc_S,F324+Proc_Sk,F324+D_dL,F324-Cost_A)</f>
        <v>604</v>
      </c>
      <c r="N324" s="19" t="n">
        <f aca="false">CHOOSE(D324,(1-Tech_share)*G324,(1-Tech_share)*G324,G324+D_dT,G324)</f>
        <v>33.21</v>
      </c>
      <c r="O324" s="14" t="n">
        <f aca="false">CHOOSE(D324,H324-W_lost,H324,H324,H324+W_gain)</f>
        <v>50</v>
      </c>
      <c r="P324" s="16" t="n">
        <f aca="false">CHOOSE(D324,I324,I324,I324+D_dE,I324+Close_A*(Ceil_E-I324))</f>
        <v>81.5</v>
      </c>
      <c r="Q324" s="14" t="n">
        <f aca="false">CHOOSE(D324,1,1,J324,J324)</f>
        <v>1</v>
      </c>
      <c r="R324" s="14" t="n">
        <f aca="false">IF(L324=1,IF(SUMPRODUCT(($L$35:$L$323=1)*(ABS($M$35:$M$323-M324)&lt;0.000001)*(ABS($N$35:$N$323-N324)&lt;0.000001)*($O$35:$O$323=O324)*(ABS($P$35:$P$323-P324)&lt;0.000001)*($Q$35:$Q$323=Q324)*($V$35:$V$323=V324))=0,1,0),0)</f>
        <v>0</v>
      </c>
      <c r="S324" s="14" t="n">
        <f aca="false">IF(AND(L324=1,N324&gt;=$B$4-0.000000001,P324&gt;=$B$6-0.000000001,M324&gt;=Floor_q+$B$5-0.000000001),1,0)</f>
        <v>0</v>
      </c>
      <c r="T324" s="14" t="n">
        <f aca="false">L324*(IF(1&lt;=2,1-Q324,IF(1=3,IF(AND(V324=0,O324&gt;=W_min,M324-D_dip&gt;=Floor_q),1,0),IF(AND(O324&gt;=W_min,M324&gt;=Pre_A),1,0)))+IF(2&lt;=2,1-Q324,IF(2=3,IF(AND(V324=0,O324&gt;=W_min,M324-D_dip&gt;=Floor_q),1,0),IF(AND(O324&gt;=W_min,M324&gt;=Pre_A),1,0)))+IF(3&lt;=2,1-Q324,IF(3=3,IF(AND(V324=0,O324&gt;=W_min,M324-D_dip&gt;=Floor_q),1,0),IF(AND(O324&gt;=W_min,M324&gt;=Pre_A),1,0)))+IF(4&lt;=2,1-Q324,IF(4=3,IF(AND(V324=0,O324&gt;=W_min,M324-D_dip&gt;=Floor_q),1,0),IF(AND(O324&gt;=W_min,M324&gt;=Pre_A),1,0))))</f>
        <v>0</v>
      </c>
      <c r="U324" s="14" t="n">
        <f aca="false">V107</f>
        <v>0</v>
      </c>
      <c r="V324" s="14" t="n">
        <f aca="false">CHOOSE(D324,U324,U324,1,U324)</f>
        <v>0</v>
      </c>
    </row>
    <row r="325" customFormat="false" ht="15" hidden="false" customHeight="true" outlineLevel="0" collapsed="false">
      <c r="A325" s="3" t="s">
        <v>563</v>
      </c>
      <c r="B325" s="14" t="n">
        <v>4</v>
      </c>
      <c r="C325" s="14" t="n">
        <v>107</v>
      </c>
      <c r="D325" s="14" t="n">
        <v>2</v>
      </c>
      <c r="E325" s="14" t="n">
        <f aca="false">L107</f>
        <v>0</v>
      </c>
      <c r="F325" s="19" t="n">
        <f aca="false">M107</f>
        <v>492</v>
      </c>
      <c r="G325" s="19" t="n">
        <f aca="false">N107</f>
        <v>36.9</v>
      </c>
      <c r="H325" s="14" t="n">
        <f aca="false">O107</f>
        <v>55</v>
      </c>
      <c r="I325" s="16" t="n">
        <f aca="false">P107</f>
        <v>81.5</v>
      </c>
      <c r="J325" s="14" t="n">
        <f aca="false">Q107</f>
        <v>1</v>
      </c>
      <c r="K325" s="14" t="n">
        <f aca="false">IF(D325&lt;=2,1-J325,IF(D325=3,IF(AND(U325=0,H325&gt;=W_min,F325-D_dip&gt;=Floor_q),1,0),IF(AND(H325&gt;=W_min,F325&gt;=Pre_A),1,0)))</f>
        <v>0</v>
      </c>
      <c r="L325" s="14" t="n">
        <f aca="false">E325*K325</f>
        <v>0</v>
      </c>
      <c r="M325" s="19" t="n">
        <f aca="false">CHOOSE(D325,F325+Proc_S,F325+Proc_Sk,F325+D_dL,F325-Cost_A)</f>
        <v>584</v>
      </c>
      <c r="N325" s="19" t="n">
        <f aca="false">CHOOSE(D325,(1-Tech_share)*G325,(1-Tech_share)*G325,G325+D_dT,G325)</f>
        <v>33.21</v>
      </c>
      <c r="O325" s="14" t="n">
        <f aca="false">CHOOSE(D325,H325-W_lost,H325,H325,H325+W_gain)</f>
        <v>55</v>
      </c>
      <c r="P325" s="16" t="n">
        <f aca="false">CHOOSE(D325,I325,I325,I325+D_dE,I325+Close_A*(Ceil_E-I325))</f>
        <v>81.5</v>
      </c>
      <c r="Q325" s="14" t="n">
        <f aca="false">CHOOSE(D325,1,1,J325,J325)</f>
        <v>1</v>
      </c>
      <c r="R325" s="14" t="n">
        <f aca="false">IF(L325=1,IF(SUMPRODUCT(($L$35:$L$324=1)*(ABS($M$35:$M$324-M325)&lt;0.000001)*(ABS($N$35:$N$324-N325)&lt;0.000001)*($O$35:$O$324=O325)*(ABS($P$35:$P$324-P325)&lt;0.000001)*($Q$35:$Q$324=Q325)*($V$35:$V$324=V325))=0,1,0),0)</f>
        <v>0</v>
      </c>
      <c r="S325" s="14" t="n">
        <f aca="false">IF(AND(L325=1,N325&gt;=$B$4-0.000000001,P325&gt;=$B$6-0.000000001,M325&gt;=Floor_q+$B$5-0.000000001),1,0)</f>
        <v>0</v>
      </c>
      <c r="T325" s="14" t="n">
        <f aca="false">L325*(IF(1&lt;=2,1-Q325,IF(1=3,IF(AND(V325=0,O325&gt;=W_min,M325-D_dip&gt;=Floor_q),1,0),IF(AND(O325&gt;=W_min,M325&gt;=Pre_A),1,0)))+IF(2&lt;=2,1-Q325,IF(2=3,IF(AND(V325=0,O325&gt;=W_min,M325-D_dip&gt;=Floor_q),1,0),IF(AND(O325&gt;=W_min,M325&gt;=Pre_A),1,0)))+IF(3&lt;=2,1-Q325,IF(3=3,IF(AND(V325=0,O325&gt;=W_min,M325-D_dip&gt;=Floor_q),1,0),IF(AND(O325&gt;=W_min,M325&gt;=Pre_A),1,0)))+IF(4&lt;=2,1-Q325,IF(4=3,IF(AND(V325=0,O325&gt;=W_min,M325-D_dip&gt;=Floor_q),1,0),IF(AND(O325&gt;=W_min,M325&gt;=Pre_A),1,0))))</f>
        <v>0</v>
      </c>
      <c r="U325" s="14" t="n">
        <f aca="false">V107</f>
        <v>0</v>
      </c>
      <c r="V325" s="14" t="n">
        <f aca="false">CHOOSE(D325,U325,U325,1,U325)</f>
        <v>0</v>
      </c>
    </row>
    <row r="326" customFormat="false" ht="15" hidden="false" customHeight="true" outlineLevel="0" collapsed="false">
      <c r="A326" s="3" t="s">
        <v>564</v>
      </c>
      <c r="B326" s="14" t="n">
        <v>4</v>
      </c>
      <c r="C326" s="14" t="n">
        <v>107</v>
      </c>
      <c r="D326" s="14" t="n">
        <v>3</v>
      </c>
      <c r="E326" s="14" t="n">
        <f aca="false">L107</f>
        <v>0</v>
      </c>
      <c r="F326" s="19" t="n">
        <f aca="false">M107</f>
        <v>492</v>
      </c>
      <c r="G326" s="19" t="n">
        <f aca="false">N107</f>
        <v>36.9</v>
      </c>
      <c r="H326" s="14" t="n">
        <f aca="false">O107</f>
        <v>55</v>
      </c>
      <c r="I326" s="16" t="n">
        <f aca="false">P107</f>
        <v>81.5</v>
      </c>
      <c r="J326" s="14" t="n">
        <f aca="false">Q107</f>
        <v>1</v>
      </c>
      <c r="K326" s="14" t="n">
        <f aca="false">IF(D326&lt;=2,1-J326,IF(D326=3,IF(AND(U326=0,H326&gt;=W_min,F326-D_dip&gt;=Floor_q),1,0),IF(AND(H326&gt;=W_min,F326&gt;=Pre_A),1,0)))</f>
        <v>1</v>
      </c>
      <c r="L326" s="14" t="n">
        <f aca="false">E326*K326</f>
        <v>0</v>
      </c>
      <c r="M326" s="19" t="n">
        <f aca="false">CHOOSE(D326,F326+Proc_S,F326+Proc_Sk,F326+D_dL,F326-Cost_A)</f>
        <v>456.632729102868</v>
      </c>
      <c r="N326" s="19" t="n">
        <f aca="false">CHOOSE(D326,(1-Tech_share)*G326,(1-Tech_share)*G326,G326+D_dT,G326)</f>
        <v>71.5346691353518</v>
      </c>
      <c r="O326" s="14" t="n">
        <f aca="false">CHOOSE(D326,H326-W_lost,H326,H326,H326+W_gain)</f>
        <v>55</v>
      </c>
      <c r="P326" s="16" t="n">
        <f aca="false">CHOOSE(D326,I326,I326,I326+D_dE,I326+Close_A*(Ceil_E-I326))</f>
        <v>84.0983309723245</v>
      </c>
      <c r="Q326" s="14" t="n">
        <f aca="false">CHOOSE(D326,1,1,J326,J326)</f>
        <v>1</v>
      </c>
      <c r="R326" s="14" t="n">
        <f aca="false">IF(L326=1,IF(SUMPRODUCT(($L$35:$L$325=1)*(ABS($M$35:$M$325-M326)&lt;0.000001)*(ABS($N$35:$N$325-N326)&lt;0.000001)*($O$35:$O$325=O326)*(ABS($P$35:$P$325-P326)&lt;0.000001)*($Q$35:$Q$325=Q326)*($V$35:$V$325=V326))=0,1,0),0)</f>
        <v>0</v>
      </c>
      <c r="S326" s="14" t="n">
        <f aca="false">IF(AND(L326=1,N326&gt;=$B$4-0.000000001,P326&gt;=$B$6-0.000000001,M326&gt;=Floor_q+$B$5-0.000000001),1,0)</f>
        <v>0</v>
      </c>
      <c r="T326" s="14" t="n">
        <f aca="false">L326*(IF(1&lt;=2,1-Q326,IF(1=3,IF(AND(V326=0,O326&gt;=W_min,M326-D_dip&gt;=Floor_q),1,0),IF(AND(O326&gt;=W_min,M326&gt;=Pre_A),1,0)))+IF(2&lt;=2,1-Q326,IF(2=3,IF(AND(V326=0,O326&gt;=W_min,M326-D_dip&gt;=Floor_q),1,0),IF(AND(O326&gt;=W_min,M326&gt;=Pre_A),1,0)))+IF(3&lt;=2,1-Q326,IF(3=3,IF(AND(V326=0,O326&gt;=W_min,M326-D_dip&gt;=Floor_q),1,0),IF(AND(O326&gt;=W_min,M326&gt;=Pre_A),1,0)))+IF(4&lt;=2,1-Q326,IF(4=3,IF(AND(V326=0,O326&gt;=W_min,M326-D_dip&gt;=Floor_q),1,0),IF(AND(O326&gt;=W_min,M326&gt;=Pre_A),1,0))))</f>
        <v>0</v>
      </c>
      <c r="U326" s="14" t="n">
        <f aca="false">V107</f>
        <v>0</v>
      </c>
      <c r="V326" s="14" t="n">
        <f aca="false">CHOOSE(D326,U326,U326,1,U326)</f>
        <v>1</v>
      </c>
    </row>
    <row r="327" customFormat="false" ht="15" hidden="false" customHeight="true" outlineLevel="0" collapsed="false">
      <c r="A327" s="3" t="s">
        <v>565</v>
      </c>
      <c r="B327" s="14" t="n">
        <v>4</v>
      </c>
      <c r="C327" s="14" t="n">
        <v>107</v>
      </c>
      <c r="D327" s="14" t="n">
        <v>4</v>
      </c>
      <c r="E327" s="14" t="n">
        <f aca="false">L107</f>
        <v>0</v>
      </c>
      <c r="F327" s="19" t="n">
        <f aca="false">M107</f>
        <v>492</v>
      </c>
      <c r="G327" s="19" t="n">
        <f aca="false">N107</f>
        <v>36.9</v>
      </c>
      <c r="H327" s="14" t="n">
        <f aca="false">O107</f>
        <v>55</v>
      </c>
      <c r="I327" s="16" t="n">
        <f aca="false">P107</f>
        <v>81.5</v>
      </c>
      <c r="J327" s="14" t="n">
        <f aca="false">Q107</f>
        <v>1</v>
      </c>
      <c r="K327" s="14" t="n">
        <f aca="false">IF(D327&lt;=2,1-J327,IF(D327=3,IF(AND(U327=0,H327&gt;=W_min,F327-D_dip&gt;=Floor_q),1,0),IF(AND(H327&gt;=W_min,F327&gt;=Pre_A),1,0)))</f>
        <v>1</v>
      </c>
      <c r="L327" s="14" t="n">
        <f aca="false">E327*K327</f>
        <v>0</v>
      </c>
      <c r="M327" s="19" t="n">
        <f aca="false">CHOOSE(D327,F327+Proc_S,F327+Proc_Sk,F327+D_dL,F327-Cost_A)</f>
        <v>372</v>
      </c>
      <c r="N327" s="19" t="n">
        <f aca="false">CHOOSE(D327,(1-Tech_share)*G327,(1-Tech_share)*G327,G327+D_dT,G327)</f>
        <v>36.9</v>
      </c>
      <c r="O327" s="14" t="n">
        <f aca="false">CHOOSE(D327,H327-W_lost,H327,H327,H327+W_gain)</f>
        <v>56</v>
      </c>
      <c r="P327" s="16" t="n">
        <f aca="false">CHOOSE(D327,I327,I327,I327+D_dE,I327+Close_A*(Ceil_E-I327))</f>
        <v>83.25</v>
      </c>
      <c r="Q327" s="14" t="n">
        <f aca="false">CHOOSE(D327,1,1,J327,J327)</f>
        <v>1</v>
      </c>
      <c r="R327" s="14" t="n">
        <f aca="false">IF(L327=1,IF(SUMPRODUCT(($L$35:$L$326=1)*(ABS($M$35:$M$326-M327)&lt;0.000001)*(ABS($N$35:$N$326-N327)&lt;0.000001)*($O$35:$O$326=O327)*(ABS($P$35:$P$326-P327)&lt;0.000001)*($Q$35:$Q$326=Q327)*($V$35:$V$326=V327))=0,1,0),0)</f>
        <v>0</v>
      </c>
      <c r="S327" s="14" t="n">
        <f aca="false">IF(AND(L327=1,N327&gt;=$B$4-0.000000001,P327&gt;=$B$6-0.000000001,M327&gt;=Floor_q+$B$5-0.000000001),1,0)</f>
        <v>0</v>
      </c>
      <c r="T327" s="14" t="n">
        <f aca="false">L327*(IF(1&lt;=2,1-Q327,IF(1=3,IF(AND(V327=0,O327&gt;=W_min,M327-D_dip&gt;=Floor_q),1,0),IF(AND(O327&gt;=W_min,M327&gt;=Pre_A),1,0)))+IF(2&lt;=2,1-Q327,IF(2=3,IF(AND(V327=0,O327&gt;=W_min,M327-D_dip&gt;=Floor_q),1,0),IF(AND(O327&gt;=W_min,M327&gt;=Pre_A),1,0)))+IF(3&lt;=2,1-Q327,IF(3=3,IF(AND(V327=0,O327&gt;=W_min,M327-D_dip&gt;=Floor_q),1,0),IF(AND(O327&gt;=W_min,M327&gt;=Pre_A),1,0)))+IF(4&lt;=2,1-Q327,IF(4=3,IF(AND(V327=0,O327&gt;=W_min,M327-D_dip&gt;=Floor_q),1,0),IF(AND(O327&gt;=W_min,M327&gt;=Pre_A),1,0))))</f>
        <v>0</v>
      </c>
      <c r="U327" s="14" t="n">
        <f aca="false">V107</f>
        <v>0</v>
      </c>
      <c r="V327" s="14" t="n">
        <f aca="false">CHOOSE(D327,U327,U327,1,U327)</f>
        <v>0</v>
      </c>
    </row>
    <row r="328" customFormat="false" ht="15" hidden="false" customHeight="true" outlineLevel="0" collapsed="false">
      <c r="A328" s="3" t="s">
        <v>566</v>
      </c>
      <c r="B328" s="14" t="n">
        <v>4</v>
      </c>
      <c r="C328" s="14" t="n">
        <v>108</v>
      </c>
      <c r="D328" s="14" t="n">
        <v>1</v>
      </c>
      <c r="E328" s="14" t="n">
        <f aca="false">L108</f>
        <v>0</v>
      </c>
      <c r="F328" s="19" t="n">
        <f aca="false">M108</f>
        <v>704</v>
      </c>
      <c r="G328" s="19" t="n">
        <f aca="false">N108</f>
        <v>33.21</v>
      </c>
      <c r="H328" s="14" t="n">
        <f aca="false">O108</f>
        <v>54</v>
      </c>
      <c r="I328" s="16" t="n">
        <f aca="false">P108</f>
        <v>78</v>
      </c>
      <c r="J328" s="14" t="n">
        <f aca="false">Q108</f>
        <v>1</v>
      </c>
      <c r="K328" s="14" t="n">
        <f aca="false">IF(D328&lt;=2,1-J328,IF(D328=3,IF(AND(U328=0,H328&gt;=W_min,F328-D_dip&gt;=Floor_q),1,0),IF(AND(H328&gt;=W_min,F328&gt;=Pre_A),1,0)))</f>
        <v>0</v>
      </c>
      <c r="L328" s="14" t="n">
        <f aca="false">E328*K328</f>
        <v>0</v>
      </c>
      <c r="M328" s="19" t="n">
        <f aca="false">CHOOSE(D328,F328+Proc_S,F328+Proc_Sk,F328+D_dL,F328-Cost_A)</f>
        <v>816</v>
      </c>
      <c r="N328" s="19" t="n">
        <f aca="false">CHOOSE(D328,(1-Tech_share)*G328,(1-Tech_share)*G328,G328+D_dT,G328)</f>
        <v>29.889</v>
      </c>
      <c r="O328" s="14" t="n">
        <f aca="false">CHOOSE(D328,H328-W_lost,H328,H328,H328+W_gain)</f>
        <v>49</v>
      </c>
      <c r="P328" s="16" t="n">
        <f aca="false">CHOOSE(D328,I328,I328,I328+D_dE,I328+Close_A*(Ceil_E-I328))</f>
        <v>78</v>
      </c>
      <c r="Q328" s="14" t="n">
        <f aca="false">CHOOSE(D328,1,1,J328,J328)</f>
        <v>1</v>
      </c>
      <c r="R328" s="14" t="n">
        <f aca="false">IF(L328=1,IF(SUMPRODUCT(($L$35:$L$327=1)*(ABS($M$35:$M$327-M328)&lt;0.000001)*(ABS($N$35:$N$327-N328)&lt;0.000001)*($O$35:$O$327=O328)*(ABS($P$35:$P$327-P328)&lt;0.000001)*($Q$35:$Q$327=Q328)*($V$35:$V$327=V328))=0,1,0),0)</f>
        <v>0</v>
      </c>
      <c r="S328" s="14" t="n">
        <f aca="false">IF(AND(L328=1,N328&gt;=$B$4-0.000000001,P328&gt;=$B$6-0.000000001,M328&gt;=Floor_q+$B$5-0.000000001),1,0)</f>
        <v>0</v>
      </c>
      <c r="T328" s="14" t="n">
        <f aca="false">L328*(IF(1&lt;=2,1-Q328,IF(1=3,IF(AND(V328=0,O328&gt;=W_min,M328-D_dip&gt;=Floor_q),1,0),IF(AND(O328&gt;=W_min,M328&gt;=Pre_A),1,0)))+IF(2&lt;=2,1-Q328,IF(2=3,IF(AND(V328=0,O328&gt;=W_min,M328-D_dip&gt;=Floor_q),1,0),IF(AND(O328&gt;=W_min,M328&gt;=Pre_A),1,0)))+IF(3&lt;=2,1-Q328,IF(3=3,IF(AND(V328=0,O328&gt;=W_min,M328-D_dip&gt;=Floor_q),1,0),IF(AND(O328&gt;=W_min,M328&gt;=Pre_A),1,0)))+IF(4&lt;=2,1-Q328,IF(4=3,IF(AND(V328=0,O328&gt;=W_min,M328-D_dip&gt;=Floor_q),1,0),IF(AND(O328&gt;=W_min,M328&gt;=Pre_A),1,0))))</f>
        <v>0</v>
      </c>
      <c r="U328" s="14" t="n">
        <f aca="false">V108</f>
        <v>0</v>
      </c>
      <c r="V328" s="14" t="n">
        <f aca="false">CHOOSE(D328,U328,U328,1,U328)</f>
        <v>0</v>
      </c>
    </row>
    <row r="329" customFormat="false" ht="15" hidden="false" customHeight="true" outlineLevel="0" collapsed="false">
      <c r="A329" s="3" t="s">
        <v>567</v>
      </c>
      <c r="B329" s="14" t="n">
        <v>4</v>
      </c>
      <c r="C329" s="14" t="n">
        <v>108</v>
      </c>
      <c r="D329" s="14" t="n">
        <v>2</v>
      </c>
      <c r="E329" s="14" t="n">
        <f aca="false">L108</f>
        <v>0</v>
      </c>
      <c r="F329" s="19" t="n">
        <f aca="false">M108</f>
        <v>704</v>
      </c>
      <c r="G329" s="19" t="n">
        <f aca="false">N108</f>
        <v>33.21</v>
      </c>
      <c r="H329" s="14" t="n">
        <f aca="false">O108</f>
        <v>54</v>
      </c>
      <c r="I329" s="16" t="n">
        <f aca="false">P108</f>
        <v>78</v>
      </c>
      <c r="J329" s="14" t="n">
        <f aca="false">Q108</f>
        <v>1</v>
      </c>
      <c r="K329" s="14" t="n">
        <f aca="false">IF(D329&lt;=2,1-J329,IF(D329=3,IF(AND(U329=0,H329&gt;=W_min,F329-D_dip&gt;=Floor_q),1,0),IF(AND(H329&gt;=W_min,F329&gt;=Pre_A),1,0)))</f>
        <v>0</v>
      </c>
      <c r="L329" s="14" t="n">
        <f aca="false">E329*K329</f>
        <v>0</v>
      </c>
      <c r="M329" s="19" t="n">
        <f aca="false">CHOOSE(D329,F329+Proc_S,F329+Proc_Sk,F329+D_dL,F329-Cost_A)</f>
        <v>796</v>
      </c>
      <c r="N329" s="19" t="n">
        <f aca="false">CHOOSE(D329,(1-Tech_share)*G329,(1-Tech_share)*G329,G329+D_dT,G329)</f>
        <v>29.889</v>
      </c>
      <c r="O329" s="14" t="n">
        <f aca="false">CHOOSE(D329,H329-W_lost,H329,H329,H329+W_gain)</f>
        <v>54</v>
      </c>
      <c r="P329" s="16" t="n">
        <f aca="false">CHOOSE(D329,I329,I329,I329+D_dE,I329+Close_A*(Ceil_E-I329))</f>
        <v>78</v>
      </c>
      <c r="Q329" s="14" t="n">
        <f aca="false">CHOOSE(D329,1,1,J329,J329)</f>
        <v>1</v>
      </c>
      <c r="R329" s="14" t="n">
        <f aca="false">IF(L329=1,IF(SUMPRODUCT(($L$35:$L$328=1)*(ABS($M$35:$M$328-M329)&lt;0.000001)*(ABS($N$35:$N$328-N329)&lt;0.000001)*($O$35:$O$328=O329)*(ABS($P$35:$P$328-P329)&lt;0.000001)*($Q$35:$Q$328=Q329)*($V$35:$V$328=V329))=0,1,0),0)</f>
        <v>0</v>
      </c>
      <c r="S329" s="14" t="n">
        <f aca="false">IF(AND(L329=1,N329&gt;=$B$4-0.000000001,P329&gt;=$B$6-0.000000001,M329&gt;=Floor_q+$B$5-0.000000001),1,0)</f>
        <v>0</v>
      </c>
      <c r="T329" s="14" t="n">
        <f aca="false">L329*(IF(1&lt;=2,1-Q329,IF(1=3,IF(AND(V329=0,O329&gt;=W_min,M329-D_dip&gt;=Floor_q),1,0),IF(AND(O329&gt;=W_min,M329&gt;=Pre_A),1,0)))+IF(2&lt;=2,1-Q329,IF(2=3,IF(AND(V329=0,O329&gt;=W_min,M329-D_dip&gt;=Floor_q),1,0),IF(AND(O329&gt;=W_min,M329&gt;=Pre_A),1,0)))+IF(3&lt;=2,1-Q329,IF(3=3,IF(AND(V329=0,O329&gt;=W_min,M329-D_dip&gt;=Floor_q),1,0),IF(AND(O329&gt;=W_min,M329&gt;=Pre_A),1,0)))+IF(4&lt;=2,1-Q329,IF(4=3,IF(AND(V329=0,O329&gt;=W_min,M329-D_dip&gt;=Floor_q),1,0),IF(AND(O329&gt;=W_min,M329&gt;=Pre_A),1,0))))</f>
        <v>0</v>
      </c>
      <c r="U329" s="14" t="n">
        <f aca="false">V108</f>
        <v>0</v>
      </c>
      <c r="V329" s="14" t="n">
        <f aca="false">CHOOSE(D329,U329,U329,1,U329)</f>
        <v>0</v>
      </c>
    </row>
    <row r="330" customFormat="false" ht="15" hidden="false" customHeight="true" outlineLevel="0" collapsed="false">
      <c r="A330" s="3" t="s">
        <v>568</v>
      </c>
      <c r="B330" s="14" t="n">
        <v>4</v>
      </c>
      <c r="C330" s="14" t="n">
        <v>108</v>
      </c>
      <c r="D330" s="14" t="n">
        <v>3</v>
      </c>
      <c r="E330" s="14" t="n">
        <f aca="false">L108</f>
        <v>0</v>
      </c>
      <c r="F330" s="19" t="n">
        <f aca="false">M108</f>
        <v>704</v>
      </c>
      <c r="G330" s="19" t="n">
        <f aca="false">N108</f>
        <v>33.21</v>
      </c>
      <c r="H330" s="14" t="n">
        <f aca="false">O108</f>
        <v>54</v>
      </c>
      <c r="I330" s="16" t="n">
        <f aca="false">P108</f>
        <v>78</v>
      </c>
      <c r="J330" s="14" t="n">
        <f aca="false">Q108</f>
        <v>1</v>
      </c>
      <c r="K330" s="14" t="n">
        <f aca="false">IF(D330&lt;=2,1-J330,IF(D330=3,IF(AND(U330=0,H330&gt;=W_min,F330-D_dip&gt;=Floor_q),1,0),IF(AND(H330&gt;=W_min,F330&gt;=Pre_A),1,0)))</f>
        <v>0</v>
      </c>
      <c r="L330" s="14" t="n">
        <f aca="false">E330*K330</f>
        <v>0</v>
      </c>
      <c r="M330" s="19" t="n">
        <f aca="false">CHOOSE(D330,F330+Proc_S,F330+Proc_Sk,F330+D_dL,F330-Cost_A)</f>
        <v>668.632729102868</v>
      </c>
      <c r="N330" s="19" t="n">
        <f aca="false">CHOOSE(D330,(1-Tech_share)*G330,(1-Tech_share)*G330,G330+D_dT,G330)</f>
        <v>67.8446691353518</v>
      </c>
      <c r="O330" s="14" t="n">
        <f aca="false">CHOOSE(D330,H330-W_lost,H330,H330,H330+W_gain)</f>
        <v>54</v>
      </c>
      <c r="P330" s="16" t="n">
        <f aca="false">CHOOSE(D330,I330,I330,I330+D_dE,I330+Close_A*(Ceil_E-I330))</f>
        <v>80.5983309723245</v>
      </c>
      <c r="Q330" s="14" t="n">
        <f aca="false">CHOOSE(D330,1,1,J330,J330)</f>
        <v>1</v>
      </c>
      <c r="R330" s="14" t="n">
        <f aca="false">IF(L330=1,IF(SUMPRODUCT(($L$35:$L$329=1)*(ABS($M$35:$M$329-M330)&lt;0.000001)*(ABS($N$35:$N$329-N330)&lt;0.000001)*($O$35:$O$329=O330)*(ABS($P$35:$P$329-P330)&lt;0.000001)*($Q$35:$Q$329=Q330)*($V$35:$V$329=V330))=0,1,0),0)</f>
        <v>0</v>
      </c>
      <c r="S330" s="14" t="n">
        <f aca="false">IF(AND(L330=1,N330&gt;=$B$4-0.000000001,P330&gt;=$B$6-0.000000001,M330&gt;=Floor_q+$B$5-0.000000001),1,0)</f>
        <v>0</v>
      </c>
      <c r="T330" s="14" t="n">
        <f aca="false">L330*(IF(1&lt;=2,1-Q330,IF(1=3,IF(AND(V330=0,O330&gt;=W_min,M330-D_dip&gt;=Floor_q),1,0),IF(AND(O330&gt;=W_min,M330&gt;=Pre_A),1,0)))+IF(2&lt;=2,1-Q330,IF(2=3,IF(AND(V330=0,O330&gt;=W_min,M330-D_dip&gt;=Floor_q),1,0),IF(AND(O330&gt;=W_min,M330&gt;=Pre_A),1,0)))+IF(3&lt;=2,1-Q330,IF(3=3,IF(AND(V330=0,O330&gt;=W_min,M330-D_dip&gt;=Floor_q),1,0),IF(AND(O330&gt;=W_min,M330&gt;=Pre_A),1,0)))+IF(4&lt;=2,1-Q330,IF(4=3,IF(AND(V330=0,O330&gt;=W_min,M330-D_dip&gt;=Floor_q),1,0),IF(AND(O330&gt;=W_min,M330&gt;=Pre_A),1,0))))</f>
        <v>0</v>
      </c>
      <c r="U330" s="14" t="n">
        <f aca="false">V108</f>
        <v>0</v>
      </c>
      <c r="V330" s="14" t="n">
        <f aca="false">CHOOSE(D330,U330,U330,1,U330)</f>
        <v>1</v>
      </c>
    </row>
    <row r="331" customFormat="false" ht="15" hidden="false" customHeight="true" outlineLevel="0" collapsed="false">
      <c r="A331" s="3" t="s">
        <v>569</v>
      </c>
      <c r="B331" s="14" t="n">
        <v>4</v>
      </c>
      <c r="C331" s="14" t="n">
        <v>108</v>
      </c>
      <c r="D331" s="14" t="n">
        <v>4</v>
      </c>
      <c r="E331" s="14" t="n">
        <f aca="false">L108</f>
        <v>0</v>
      </c>
      <c r="F331" s="19" t="n">
        <f aca="false">M108</f>
        <v>704</v>
      </c>
      <c r="G331" s="19" t="n">
        <f aca="false">N108</f>
        <v>33.21</v>
      </c>
      <c r="H331" s="14" t="n">
        <f aca="false">O108</f>
        <v>54</v>
      </c>
      <c r="I331" s="16" t="n">
        <f aca="false">P108</f>
        <v>78</v>
      </c>
      <c r="J331" s="14" t="n">
        <f aca="false">Q108</f>
        <v>1</v>
      </c>
      <c r="K331" s="14" t="n">
        <f aca="false">IF(D331&lt;=2,1-J331,IF(D331=3,IF(AND(U331=0,H331&gt;=W_min,F331-D_dip&gt;=Floor_q),1,0),IF(AND(H331&gt;=W_min,F331&gt;=Pre_A),1,0)))</f>
        <v>0</v>
      </c>
      <c r="L331" s="14" t="n">
        <f aca="false">E331*K331</f>
        <v>0</v>
      </c>
      <c r="M331" s="19" t="n">
        <f aca="false">CHOOSE(D331,F331+Proc_S,F331+Proc_Sk,F331+D_dL,F331-Cost_A)</f>
        <v>584</v>
      </c>
      <c r="N331" s="19" t="n">
        <f aca="false">CHOOSE(D331,(1-Tech_share)*G331,(1-Tech_share)*G331,G331+D_dT,G331)</f>
        <v>33.21</v>
      </c>
      <c r="O331" s="14" t="n">
        <f aca="false">CHOOSE(D331,H331-W_lost,H331,H331,H331+W_gain)</f>
        <v>55</v>
      </c>
      <c r="P331" s="16" t="n">
        <f aca="false">CHOOSE(D331,I331,I331,I331+D_dE,I331+Close_A*(Ceil_E-I331))</f>
        <v>81.5</v>
      </c>
      <c r="Q331" s="14" t="n">
        <f aca="false">CHOOSE(D331,1,1,J331,J331)</f>
        <v>1</v>
      </c>
      <c r="R331" s="14" t="n">
        <f aca="false">IF(L331=1,IF(SUMPRODUCT(($L$35:$L$330=1)*(ABS($M$35:$M$330-M331)&lt;0.000001)*(ABS($N$35:$N$330-N331)&lt;0.000001)*($O$35:$O$330=O331)*(ABS($P$35:$P$330-P331)&lt;0.000001)*($Q$35:$Q$330=Q331)*($V$35:$V$330=V331))=0,1,0),0)</f>
        <v>0</v>
      </c>
      <c r="S331" s="14" t="n">
        <f aca="false">IF(AND(L331=1,N331&gt;=$B$4-0.000000001,P331&gt;=$B$6-0.000000001,M331&gt;=Floor_q+$B$5-0.000000001),1,0)</f>
        <v>0</v>
      </c>
      <c r="T331" s="14" t="n">
        <f aca="false">L331*(IF(1&lt;=2,1-Q331,IF(1=3,IF(AND(V331=0,O331&gt;=W_min,M331-D_dip&gt;=Floor_q),1,0),IF(AND(O331&gt;=W_min,M331&gt;=Pre_A),1,0)))+IF(2&lt;=2,1-Q331,IF(2=3,IF(AND(V331=0,O331&gt;=W_min,M331-D_dip&gt;=Floor_q),1,0),IF(AND(O331&gt;=W_min,M331&gt;=Pre_A),1,0)))+IF(3&lt;=2,1-Q331,IF(3=3,IF(AND(V331=0,O331&gt;=W_min,M331-D_dip&gt;=Floor_q),1,0),IF(AND(O331&gt;=W_min,M331&gt;=Pre_A),1,0)))+IF(4&lt;=2,1-Q331,IF(4=3,IF(AND(V331=0,O331&gt;=W_min,M331-D_dip&gt;=Floor_q),1,0),IF(AND(O331&gt;=W_min,M331&gt;=Pre_A),1,0))))</f>
        <v>0</v>
      </c>
      <c r="U331" s="14" t="n">
        <f aca="false">V108</f>
        <v>0</v>
      </c>
      <c r="V331" s="14" t="n">
        <f aca="false">CHOOSE(D331,U331,U331,1,U331)</f>
        <v>0</v>
      </c>
    </row>
    <row r="332" customFormat="false" ht="15" hidden="false" customHeight="true" outlineLevel="0" collapsed="false">
      <c r="A332" s="3" t="s">
        <v>570</v>
      </c>
      <c r="B332" s="14" t="n">
        <v>4</v>
      </c>
      <c r="C332" s="14" t="n">
        <v>109</v>
      </c>
      <c r="D332" s="14" t="n">
        <v>1</v>
      </c>
      <c r="E332" s="14" t="n">
        <f aca="false">L109</f>
        <v>0</v>
      </c>
      <c r="F332" s="19" t="n">
        <f aca="false">M109</f>
        <v>684</v>
      </c>
      <c r="G332" s="19" t="n">
        <f aca="false">N109</f>
        <v>33.21</v>
      </c>
      <c r="H332" s="14" t="n">
        <f aca="false">O109</f>
        <v>59</v>
      </c>
      <c r="I332" s="16" t="n">
        <f aca="false">P109</f>
        <v>78</v>
      </c>
      <c r="J332" s="14" t="n">
        <f aca="false">Q109</f>
        <v>1</v>
      </c>
      <c r="K332" s="14" t="n">
        <f aca="false">IF(D332&lt;=2,1-J332,IF(D332=3,IF(AND(U332=0,H332&gt;=W_min,F332-D_dip&gt;=Floor_q),1,0),IF(AND(H332&gt;=W_min,F332&gt;=Pre_A),1,0)))</f>
        <v>0</v>
      </c>
      <c r="L332" s="14" t="n">
        <f aca="false">E332*K332</f>
        <v>0</v>
      </c>
      <c r="M332" s="19" t="n">
        <f aca="false">CHOOSE(D332,F332+Proc_S,F332+Proc_Sk,F332+D_dL,F332-Cost_A)</f>
        <v>796</v>
      </c>
      <c r="N332" s="19" t="n">
        <f aca="false">CHOOSE(D332,(1-Tech_share)*G332,(1-Tech_share)*G332,G332+D_dT,G332)</f>
        <v>29.889</v>
      </c>
      <c r="O332" s="14" t="n">
        <f aca="false">CHOOSE(D332,H332-W_lost,H332,H332,H332+W_gain)</f>
        <v>54</v>
      </c>
      <c r="P332" s="16" t="n">
        <f aca="false">CHOOSE(D332,I332,I332,I332+D_dE,I332+Close_A*(Ceil_E-I332))</f>
        <v>78</v>
      </c>
      <c r="Q332" s="14" t="n">
        <f aca="false">CHOOSE(D332,1,1,J332,J332)</f>
        <v>1</v>
      </c>
      <c r="R332" s="14" t="n">
        <f aca="false">IF(L332=1,IF(SUMPRODUCT(($L$35:$L$331=1)*(ABS($M$35:$M$331-M332)&lt;0.000001)*(ABS($N$35:$N$331-N332)&lt;0.000001)*($O$35:$O$331=O332)*(ABS($P$35:$P$331-P332)&lt;0.000001)*($Q$35:$Q$331=Q332)*($V$35:$V$331=V332))=0,1,0),0)</f>
        <v>0</v>
      </c>
      <c r="S332" s="14" t="n">
        <f aca="false">IF(AND(L332=1,N332&gt;=$B$4-0.000000001,P332&gt;=$B$6-0.000000001,M332&gt;=Floor_q+$B$5-0.000000001),1,0)</f>
        <v>0</v>
      </c>
      <c r="T332" s="14" t="n">
        <f aca="false">L332*(IF(1&lt;=2,1-Q332,IF(1=3,IF(AND(V332=0,O332&gt;=W_min,M332-D_dip&gt;=Floor_q),1,0),IF(AND(O332&gt;=W_min,M332&gt;=Pre_A),1,0)))+IF(2&lt;=2,1-Q332,IF(2=3,IF(AND(V332=0,O332&gt;=W_min,M332-D_dip&gt;=Floor_q),1,0),IF(AND(O332&gt;=W_min,M332&gt;=Pre_A),1,0)))+IF(3&lt;=2,1-Q332,IF(3=3,IF(AND(V332=0,O332&gt;=W_min,M332-D_dip&gt;=Floor_q),1,0),IF(AND(O332&gt;=W_min,M332&gt;=Pre_A),1,0)))+IF(4&lt;=2,1-Q332,IF(4=3,IF(AND(V332=0,O332&gt;=W_min,M332-D_dip&gt;=Floor_q),1,0),IF(AND(O332&gt;=W_min,M332&gt;=Pre_A),1,0))))</f>
        <v>0</v>
      </c>
      <c r="U332" s="14" t="n">
        <f aca="false">V109</f>
        <v>0</v>
      </c>
      <c r="V332" s="14" t="n">
        <f aca="false">CHOOSE(D332,U332,U332,1,U332)</f>
        <v>0</v>
      </c>
    </row>
    <row r="333" customFormat="false" ht="15" hidden="false" customHeight="true" outlineLevel="0" collapsed="false">
      <c r="A333" s="3" t="s">
        <v>571</v>
      </c>
      <c r="B333" s="14" t="n">
        <v>4</v>
      </c>
      <c r="C333" s="14" t="n">
        <v>109</v>
      </c>
      <c r="D333" s="14" t="n">
        <v>2</v>
      </c>
      <c r="E333" s="14" t="n">
        <f aca="false">L109</f>
        <v>0</v>
      </c>
      <c r="F333" s="19" t="n">
        <f aca="false">M109</f>
        <v>684</v>
      </c>
      <c r="G333" s="19" t="n">
        <f aca="false">N109</f>
        <v>33.21</v>
      </c>
      <c r="H333" s="14" t="n">
        <f aca="false">O109</f>
        <v>59</v>
      </c>
      <c r="I333" s="16" t="n">
        <f aca="false">P109</f>
        <v>78</v>
      </c>
      <c r="J333" s="14" t="n">
        <f aca="false">Q109</f>
        <v>1</v>
      </c>
      <c r="K333" s="14" t="n">
        <f aca="false">IF(D333&lt;=2,1-J333,IF(D333=3,IF(AND(U333=0,H333&gt;=W_min,F333-D_dip&gt;=Floor_q),1,0),IF(AND(H333&gt;=W_min,F333&gt;=Pre_A),1,0)))</f>
        <v>0</v>
      </c>
      <c r="L333" s="14" t="n">
        <f aca="false">E333*K333</f>
        <v>0</v>
      </c>
      <c r="M333" s="19" t="n">
        <f aca="false">CHOOSE(D333,F333+Proc_S,F333+Proc_Sk,F333+D_dL,F333-Cost_A)</f>
        <v>776</v>
      </c>
      <c r="N333" s="19" t="n">
        <f aca="false">CHOOSE(D333,(1-Tech_share)*G333,(1-Tech_share)*G333,G333+D_dT,G333)</f>
        <v>29.889</v>
      </c>
      <c r="O333" s="14" t="n">
        <f aca="false">CHOOSE(D333,H333-W_lost,H333,H333,H333+W_gain)</f>
        <v>59</v>
      </c>
      <c r="P333" s="16" t="n">
        <f aca="false">CHOOSE(D333,I333,I333,I333+D_dE,I333+Close_A*(Ceil_E-I333))</f>
        <v>78</v>
      </c>
      <c r="Q333" s="14" t="n">
        <f aca="false">CHOOSE(D333,1,1,J333,J333)</f>
        <v>1</v>
      </c>
      <c r="R333" s="14" t="n">
        <f aca="false">IF(L333=1,IF(SUMPRODUCT(($L$35:$L$332=1)*(ABS($M$35:$M$332-M333)&lt;0.000001)*(ABS($N$35:$N$332-N333)&lt;0.000001)*($O$35:$O$332=O333)*(ABS($P$35:$P$332-P333)&lt;0.000001)*($Q$35:$Q$332=Q333)*($V$35:$V$332=V333))=0,1,0),0)</f>
        <v>0</v>
      </c>
      <c r="S333" s="14" t="n">
        <f aca="false">IF(AND(L333=1,N333&gt;=$B$4-0.000000001,P333&gt;=$B$6-0.000000001,M333&gt;=Floor_q+$B$5-0.000000001),1,0)</f>
        <v>0</v>
      </c>
      <c r="T333" s="14" t="n">
        <f aca="false">L333*(IF(1&lt;=2,1-Q333,IF(1=3,IF(AND(V333=0,O333&gt;=W_min,M333-D_dip&gt;=Floor_q),1,0),IF(AND(O333&gt;=W_min,M333&gt;=Pre_A),1,0)))+IF(2&lt;=2,1-Q333,IF(2=3,IF(AND(V333=0,O333&gt;=W_min,M333-D_dip&gt;=Floor_q),1,0),IF(AND(O333&gt;=W_min,M333&gt;=Pre_A),1,0)))+IF(3&lt;=2,1-Q333,IF(3=3,IF(AND(V333=0,O333&gt;=W_min,M333-D_dip&gt;=Floor_q),1,0),IF(AND(O333&gt;=W_min,M333&gt;=Pre_A),1,0)))+IF(4&lt;=2,1-Q333,IF(4=3,IF(AND(V333=0,O333&gt;=W_min,M333-D_dip&gt;=Floor_q),1,0),IF(AND(O333&gt;=W_min,M333&gt;=Pre_A),1,0))))</f>
        <v>0</v>
      </c>
      <c r="U333" s="14" t="n">
        <f aca="false">V109</f>
        <v>0</v>
      </c>
      <c r="V333" s="14" t="n">
        <f aca="false">CHOOSE(D333,U333,U333,1,U333)</f>
        <v>0</v>
      </c>
    </row>
    <row r="334" customFormat="false" ht="15" hidden="false" customHeight="true" outlineLevel="0" collapsed="false">
      <c r="A334" s="3" t="s">
        <v>572</v>
      </c>
      <c r="B334" s="14" t="n">
        <v>4</v>
      </c>
      <c r="C334" s="14" t="n">
        <v>109</v>
      </c>
      <c r="D334" s="14" t="n">
        <v>3</v>
      </c>
      <c r="E334" s="14" t="n">
        <f aca="false">L109</f>
        <v>0</v>
      </c>
      <c r="F334" s="19" t="n">
        <f aca="false">M109</f>
        <v>684</v>
      </c>
      <c r="G334" s="19" t="n">
        <f aca="false">N109</f>
        <v>33.21</v>
      </c>
      <c r="H334" s="14" t="n">
        <f aca="false">O109</f>
        <v>59</v>
      </c>
      <c r="I334" s="16" t="n">
        <f aca="false">P109</f>
        <v>78</v>
      </c>
      <c r="J334" s="14" t="n">
        <f aca="false">Q109</f>
        <v>1</v>
      </c>
      <c r="K334" s="14" t="n">
        <f aca="false">IF(D334&lt;=2,1-J334,IF(D334=3,IF(AND(U334=0,H334&gt;=W_min,F334-D_dip&gt;=Floor_q),1,0),IF(AND(H334&gt;=W_min,F334&gt;=Pre_A),1,0)))</f>
        <v>1</v>
      </c>
      <c r="L334" s="14" t="n">
        <f aca="false">E334*K334</f>
        <v>0</v>
      </c>
      <c r="M334" s="19" t="n">
        <f aca="false">CHOOSE(D334,F334+Proc_S,F334+Proc_Sk,F334+D_dL,F334-Cost_A)</f>
        <v>648.632729102868</v>
      </c>
      <c r="N334" s="19" t="n">
        <f aca="false">CHOOSE(D334,(1-Tech_share)*G334,(1-Tech_share)*G334,G334+D_dT,G334)</f>
        <v>67.8446691353518</v>
      </c>
      <c r="O334" s="14" t="n">
        <f aca="false">CHOOSE(D334,H334-W_lost,H334,H334,H334+W_gain)</f>
        <v>59</v>
      </c>
      <c r="P334" s="16" t="n">
        <f aca="false">CHOOSE(D334,I334,I334,I334+D_dE,I334+Close_A*(Ceil_E-I334))</f>
        <v>80.5983309723245</v>
      </c>
      <c r="Q334" s="14" t="n">
        <f aca="false">CHOOSE(D334,1,1,J334,J334)</f>
        <v>1</v>
      </c>
      <c r="R334" s="14" t="n">
        <f aca="false">IF(L334=1,IF(SUMPRODUCT(($L$35:$L$333=1)*(ABS($M$35:$M$333-M334)&lt;0.000001)*(ABS($N$35:$N$333-N334)&lt;0.000001)*($O$35:$O$333=O334)*(ABS($P$35:$P$333-P334)&lt;0.000001)*($Q$35:$Q$333=Q334)*($V$35:$V$333=V334))=0,1,0),0)</f>
        <v>0</v>
      </c>
      <c r="S334" s="14" t="n">
        <f aca="false">IF(AND(L334=1,N334&gt;=$B$4-0.000000001,P334&gt;=$B$6-0.000000001,M334&gt;=Floor_q+$B$5-0.000000001),1,0)</f>
        <v>0</v>
      </c>
      <c r="T334" s="14" t="n">
        <f aca="false">L334*(IF(1&lt;=2,1-Q334,IF(1=3,IF(AND(V334=0,O334&gt;=W_min,M334-D_dip&gt;=Floor_q),1,0),IF(AND(O334&gt;=W_min,M334&gt;=Pre_A),1,0)))+IF(2&lt;=2,1-Q334,IF(2=3,IF(AND(V334=0,O334&gt;=W_min,M334-D_dip&gt;=Floor_q),1,0),IF(AND(O334&gt;=W_min,M334&gt;=Pre_A),1,0)))+IF(3&lt;=2,1-Q334,IF(3=3,IF(AND(V334=0,O334&gt;=W_min,M334-D_dip&gt;=Floor_q),1,0),IF(AND(O334&gt;=W_min,M334&gt;=Pre_A),1,0)))+IF(4&lt;=2,1-Q334,IF(4=3,IF(AND(V334=0,O334&gt;=W_min,M334-D_dip&gt;=Floor_q),1,0),IF(AND(O334&gt;=W_min,M334&gt;=Pre_A),1,0))))</f>
        <v>0</v>
      </c>
      <c r="U334" s="14" t="n">
        <f aca="false">V109</f>
        <v>0</v>
      </c>
      <c r="V334" s="14" t="n">
        <f aca="false">CHOOSE(D334,U334,U334,1,U334)</f>
        <v>1</v>
      </c>
    </row>
    <row r="335" customFormat="false" ht="15" hidden="false" customHeight="true" outlineLevel="0" collapsed="false">
      <c r="A335" s="3" t="s">
        <v>573</v>
      </c>
      <c r="B335" s="14" t="n">
        <v>4</v>
      </c>
      <c r="C335" s="14" t="n">
        <v>109</v>
      </c>
      <c r="D335" s="14" t="n">
        <v>4</v>
      </c>
      <c r="E335" s="14" t="n">
        <f aca="false">L109</f>
        <v>0</v>
      </c>
      <c r="F335" s="19" t="n">
        <f aca="false">M109</f>
        <v>684</v>
      </c>
      <c r="G335" s="19" t="n">
        <f aca="false">N109</f>
        <v>33.21</v>
      </c>
      <c r="H335" s="14" t="n">
        <f aca="false">O109</f>
        <v>59</v>
      </c>
      <c r="I335" s="16" t="n">
        <f aca="false">P109</f>
        <v>78</v>
      </c>
      <c r="J335" s="14" t="n">
        <f aca="false">Q109</f>
        <v>1</v>
      </c>
      <c r="K335" s="14" t="n">
        <f aca="false">IF(D335&lt;=2,1-J335,IF(D335=3,IF(AND(U335=0,H335&gt;=W_min,F335-D_dip&gt;=Floor_q),1,0),IF(AND(H335&gt;=W_min,F335&gt;=Pre_A),1,0)))</f>
        <v>1</v>
      </c>
      <c r="L335" s="14" t="n">
        <f aca="false">E335*K335</f>
        <v>0</v>
      </c>
      <c r="M335" s="19" t="n">
        <f aca="false">CHOOSE(D335,F335+Proc_S,F335+Proc_Sk,F335+D_dL,F335-Cost_A)</f>
        <v>564</v>
      </c>
      <c r="N335" s="19" t="n">
        <f aca="false">CHOOSE(D335,(1-Tech_share)*G335,(1-Tech_share)*G335,G335+D_dT,G335)</f>
        <v>33.21</v>
      </c>
      <c r="O335" s="14" t="n">
        <f aca="false">CHOOSE(D335,H335-W_lost,H335,H335,H335+W_gain)</f>
        <v>60</v>
      </c>
      <c r="P335" s="16" t="n">
        <f aca="false">CHOOSE(D335,I335,I335,I335+D_dE,I335+Close_A*(Ceil_E-I335))</f>
        <v>81.5</v>
      </c>
      <c r="Q335" s="14" t="n">
        <f aca="false">CHOOSE(D335,1,1,J335,J335)</f>
        <v>1</v>
      </c>
      <c r="R335" s="14" t="n">
        <f aca="false">IF(L335=1,IF(SUMPRODUCT(($L$35:$L$334=1)*(ABS($M$35:$M$334-M335)&lt;0.000001)*(ABS($N$35:$N$334-N335)&lt;0.000001)*($O$35:$O$334=O335)*(ABS($P$35:$P$334-P335)&lt;0.000001)*($Q$35:$Q$334=Q335)*($V$35:$V$334=V335))=0,1,0),0)</f>
        <v>0</v>
      </c>
      <c r="S335" s="14" t="n">
        <f aca="false">IF(AND(L335=1,N335&gt;=$B$4-0.000000001,P335&gt;=$B$6-0.000000001,M335&gt;=Floor_q+$B$5-0.000000001),1,0)</f>
        <v>0</v>
      </c>
      <c r="T335" s="14" t="n">
        <f aca="false">L335*(IF(1&lt;=2,1-Q335,IF(1=3,IF(AND(V335=0,O335&gt;=W_min,M335-D_dip&gt;=Floor_q),1,0),IF(AND(O335&gt;=W_min,M335&gt;=Pre_A),1,0)))+IF(2&lt;=2,1-Q335,IF(2=3,IF(AND(V335=0,O335&gt;=W_min,M335-D_dip&gt;=Floor_q),1,0),IF(AND(O335&gt;=W_min,M335&gt;=Pre_A),1,0)))+IF(3&lt;=2,1-Q335,IF(3=3,IF(AND(V335=0,O335&gt;=W_min,M335-D_dip&gt;=Floor_q),1,0),IF(AND(O335&gt;=W_min,M335&gt;=Pre_A),1,0)))+IF(4&lt;=2,1-Q335,IF(4=3,IF(AND(V335=0,O335&gt;=W_min,M335-D_dip&gt;=Floor_q),1,0),IF(AND(O335&gt;=W_min,M335&gt;=Pre_A),1,0))))</f>
        <v>0</v>
      </c>
      <c r="U335" s="14" t="n">
        <f aca="false">V109</f>
        <v>0</v>
      </c>
      <c r="V335" s="14" t="n">
        <f aca="false">CHOOSE(D335,U335,U335,1,U335)</f>
        <v>0</v>
      </c>
    </row>
    <row r="336" customFormat="false" ht="15" hidden="false" customHeight="true" outlineLevel="0" collapsed="false">
      <c r="A336" s="3" t="s">
        <v>574</v>
      </c>
      <c r="B336" s="14" t="n">
        <v>4</v>
      </c>
      <c r="C336" s="14" t="n">
        <v>110</v>
      </c>
      <c r="D336" s="14" t="n">
        <v>1</v>
      </c>
      <c r="E336" s="14" t="n">
        <f aca="false">L110</f>
        <v>1</v>
      </c>
      <c r="F336" s="19" t="n">
        <f aca="false">M110</f>
        <v>556.632729102868</v>
      </c>
      <c r="G336" s="19" t="n">
        <f aca="false">N110</f>
        <v>71.5346691353518</v>
      </c>
      <c r="H336" s="14" t="n">
        <f aca="false">O110</f>
        <v>59</v>
      </c>
      <c r="I336" s="16" t="n">
        <f aca="false">P110</f>
        <v>80.5983309723245</v>
      </c>
      <c r="J336" s="14" t="n">
        <f aca="false">Q110</f>
        <v>1</v>
      </c>
      <c r="K336" s="14" t="n">
        <f aca="false">IF(D336&lt;=2,1-J336,IF(D336=3,IF(AND(U336=0,H336&gt;=W_min,F336-D_dip&gt;=Floor_q),1,0),IF(AND(H336&gt;=W_min,F336&gt;=Pre_A),1,0)))</f>
        <v>0</v>
      </c>
      <c r="L336" s="14" t="n">
        <f aca="false">E336*K336</f>
        <v>0</v>
      </c>
      <c r="M336" s="19" t="n">
        <f aca="false">CHOOSE(D336,F336+Proc_S,F336+Proc_Sk,F336+D_dL,F336-Cost_A)</f>
        <v>668.632729102868</v>
      </c>
      <c r="N336" s="19" t="n">
        <f aca="false">CHOOSE(D336,(1-Tech_share)*G336,(1-Tech_share)*G336,G336+D_dT,G336)</f>
        <v>64.3812022218166</v>
      </c>
      <c r="O336" s="14" t="n">
        <f aca="false">CHOOSE(D336,H336-W_lost,H336,H336,H336+W_gain)</f>
        <v>54</v>
      </c>
      <c r="P336" s="16" t="n">
        <f aca="false">CHOOSE(D336,I336,I336,I336+D_dE,I336+Close_A*(Ceil_E-I336))</f>
        <v>80.5983309723245</v>
      </c>
      <c r="Q336" s="14" t="n">
        <f aca="false">CHOOSE(D336,1,1,J336,J336)</f>
        <v>1</v>
      </c>
      <c r="R336" s="14" t="n">
        <f aca="false">IF(L336=1,IF(SUMPRODUCT(($L$35:$L$335=1)*(ABS($M$35:$M$335-M336)&lt;0.000001)*(ABS($N$35:$N$335-N336)&lt;0.000001)*($O$35:$O$335=O336)*(ABS($P$35:$P$335-P336)&lt;0.000001)*($Q$35:$Q$335=Q336)*($V$35:$V$335=V336))=0,1,0),0)</f>
        <v>0</v>
      </c>
      <c r="S336" s="14" t="n">
        <f aca="false">IF(AND(L336=1,N336&gt;=$B$4-0.000000001,P336&gt;=$B$6-0.000000001,M336&gt;=Floor_q+$B$5-0.000000001),1,0)</f>
        <v>0</v>
      </c>
      <c r="T336" s="14" t="n">
        <f aca="false">L336*(IF(1&lt;=2,1-Q336,IF(1=3,IF(AND(V336=0,O336&gt;=W_min,M336-D_dip&gt;=Floor_q),1,0),IF(AND(O336&gt;=W_min,M336&gt;=Pre_A),1,0)))+IF(2&lt;=2,1-Q336,IF(2=3,IF(AND(V336=0,O336&gt;=W_min,M336-D_dip&gt;=Floor_q),1,0),IF(AND(O336&gt;=W_min,M336&gt;=Pre_A),1,0)))+IF(3&lt;=2,1-Q336,IF(3=3,IF(AND(V336=0,O336&gt;=W_min,M336-D_dip&gt;=Floor_q),1,0),IF(AND(O336&gt;=W_min,M336&gt;=Pre_A),1,0)))+IF(4&lt;=2,1-Q336,IF(4=3,IF(AND(V336=0,O336&gt;=W_min,M336-D_dip&gt;=Floor_q),1,0),IF(AND(O336&gt;=W_min,M336&gt;=Pre_A),1,0))))</f>
        <v>0</v>
      </c>
      <c r="U336" s="14" t="n">
        <f aca="false">V110</f>
        <v>1</v>
      </c>
      <c r="V336" s="14" t="n">
        <f aca="false">CHOOSE(D336,U336,U336,1,U336)</f>
        <v>1</v>
      </c>
    </row>
    <row r="337" customFormat="false" ht="15" hidden="false" customHeight="true" outlineLevel="0" collapsed="false">
      <c r="A337" s="3" t="s">
        <v>575</v>
      </c>
      <c r="B337" s="14" t="n">
        <v>4</v>
      </c>
      <c r="C337" s="14" t="n">
        <v>110</v>
      </c>
      <c r="D337" s="14" t="n">
        <v>2</v>
      </c>
      <c r="E337" s="14" t="n">
        <f aca="false">L110</f>
        <v>1</v>
      </c>
      <c r="F337" s="19" t="n">
        <f aca="false">M110</f>
        <v>556.632729102868</v>
      </c>
      <c r="G337" s="19" t="n">
        <f aca="false">N110</f>
        <v>71.5346691353518</v>
      </c>
      <c r="H337" s="14" t="n">
        <f aca="false">O110</f>
        <v>59</v>
      </c>
      <c r="I337" s="16" t="n">
        <f aca="false">P110</f>
        <v>80.5983309723245</v>
      </c>
      <c r="J337" s="14" t="n">
        <f aca="false">Q110</f>
        <v>1</v>
      </c>
      <c r="K337" s="14" t="n">
        <f aca="false">IF(D337&lt;=2,1-J337,IF(D337=3,IF(AND(U337=0,H337&gt;=W_min,F337-D_dip&gt;=Floor_q),1,0),IF(AND(H337&gt;=W_min,F337&gt;=Pre_A),1,0)))</f>
        <v>0</v>
      </c>
      <c r="L337" s="14" t="n">
        <f aca="false">E337*K337</f>
        <v>0</v>
      </c>
      <c r="M337" s="19" t="n">
        <f aca="false">CHOOSE(D337,F337+Proc_S,F337+Proc_Sk,F337+D_dL,F337-Cost_A)</f>
        <v>648.632729102868</v>
      </c>
      <c r="N337" s="19" t="n">
        <f aca="false">CHOOSE(D337,(1-Tech_share)*G337,(1-Tech_share)*G337,G337+D_dT,G337)</f>
        <v>64.3812022218166</v>
      </c>
      <c r="O337" s="14" t="n">
        <f aca="false">CHOOSE(D337,H337-W_lost,H337,H337,H337+W_gain)</f>
        <v>59</v>
      </c>
      <c r="P337" s="16" t="n">
        <f aca="false">CHOOSE(D337,I337,I337,I337+D_dE,I337+Close_A*(Ceil_E-I337))</f>
        <v>80.5983309723245</v>
      </c>
      <c r="Q337" s="14" t="n">
        <f aca="false">CHOOSE(D337,1,1,J337,J337)</f>
        <v>1</v>
      </c>
      <c r="R337" s="14" t="n">
        <f aca="false">IF(L337=1,IF(SUMPRODUCT(($L$35:$L$336=1)*(ABS($M$35:$M$336-M337)&lt;0.000001)*(ABS($N$35:$N$336-N337)&lt;0.000001)*($O$35:$O$336=O337)*(ABS($P$35:$P$336-P337)&lt;0.000001)*($Q$35:$Q$336=Q337)*($V$35:$V$336=V337))=0,1,0),0)</f>
        <v>0</v>
      </c>
      <c r="S337" s="14" t="n">
        <f aca="false">IF(AND(L337=1,N337&gt;=$B$4-0.000000001,P337&gt;=$B$6-0.000000001,M337&gt;=Floor_q+$B$5-0.000000001),1,0)</f>
        <v>0</v>
      </c>
      <c r="T337" s="14" t="n">
        <f aca="false">L337*(IF(1&lt;=2,1-Q337,IF(1=3,IF(AND(V337=0,O337&gt;=W_min,M337-D_dip&gt;=Floor_q),1,0),IF(AND(O337&gt;=W_min,M337&gt;=Pre_A),1,0)))+IF(2&lt;=2,1-Q337,IF(2=3,IF(AND(V337=0,O337&gt;=W_min,M337-D_dip&gt;=Floor_q),1,0),IF(AND(O337&gt;=W_min,M337&gt;=Pre_A),1,0)))+IF(3&lt;=2,1-Q337,IF(3=3,IF(AND(V337=0,O337&gt;=W_min,M337-D_dip&gt;=Floor_q),1,0),IF(AND(O337&gt;=W_min,M337&gt;=Pre_A),1,0)))+IF(4&lt;=2,1-Q337,IF(4=3,IF(AND(V337=0,O337&gt;=W_min,M337-D_dip&gt;=Floor_q),1,0),IF(AND(O337&gt;=W_min,M337&gt;=Pre_A),1,0))))</f>
        <v>0</v>
      </c>
      <c r="U337" s="14" t="n">
        <f aca="false">V110</f>
        <v>1</v>
      </c>
      <c r="V337" s="14" t="n">
        <f aca="false">CHOOSE(D337,U337,U337,1,U337)</f>
        <v>1</v>
      </c>
    </row>
    <row r="338" customFormat="false" ht="15" hidden="false" customHeight="true" outlineLevel="0" collapsed="false">
      <c r="A338" s="3" t="s">
        <v>576</v>
      </c>
      <c r="B338" s="14" t="n">
        <v>4</v>
      </c>
      <c r="C338" s="14" t="n">
        <v>110</v>
      </c>
      <c r="D338" s="14" t="n">
        <v>3</v>
      </c>
      <c r="E338" s="14" t="n">
        <f aca="false">L110</f>
        <v>1</v>
      </c>
      <c r="F338" s="19" t="n">
        <f aca="false">M110</f>
        <v>556.632729102868</v>
      </c>
      <c r="G338" s="19" t="n">
        <f aca="false">N110</f>
        <v>71.5346691353518</v>
      </c>
      <c r="H338" s="14" t="n">
        <f aca="false">O110</f>
        <v>59</v>
      </c>
      <c r="I338" s="16" t="n">
        <f aca="false">P110</f>
        <v>80.5983309723245</v>
      </c>
      <c r="J338" s="14" t="n">
        <f aca="false">Q110</f>
        <v>1</v>
      </c>
      <c r="K338" s="14" t="n">
        <f aca="false">IF(D338&lt;=2,1-J338,IF(D338=3,IF(AND(U338=0,H338&gt;=W_min,F338-D_dip&gt;=Floor_q),1,0),IF(AND(H338&gt;=W_min,F338&gt;=Pre_A),1,0)))</f>
        <v>0</v>
      </c>
      <c r="L338" s="14" t="n">
        <f aca="false">E338*K338</f>
        <v>0</v>
      </c>
      <c r="M338" s="19" t="n">
        <f aca="false">CHOOSE(D338,F338+Proc_S,F338+Proc_Sk,F338+D_dL,F338-Cost_A)</f>
        <v>521.265458205737</v>
      </c>
      <c r="N338" s="19" t="n">
        <f aca="false">CHOOSE(D338,(1-Tech_share)*G338,(1-Tech_share)*G338,G338+D_dT,G338)</f>
        <v>106.169338270704</v>
      </c>
      <c r="O338" s="14" t="n">
        <f aca="false">CHOOSE(D338,H338-W_lost,H338,H338,H338+W_gain)</f>
        <v>59</v>
      </c>
      <c r="P338" s="16" t="n">
        <f aca="false">CHOOSE(D338,I338,I338,I338+D_dE,I338+Close_A*(Ceil_E-I338))</f>
        <v>83.1966619446489</v>
      </c>
      <c r="Q338" s="14" t="n">
        <f aca="false">CHOOSE(D338,1,1,J338,J338)</f>
        <v>1</v>
      </c>
      <c r="R338" s="14" t="n">
        <f aca="false">IF(L338=1,IF(SUMPRODUCT(($L$35:$L$337=1)*(ABS($M$35:$M$337-M338)&lt;0.000001)*(ABS($N$35:$N$337-N338)&lt;0.000001)*($O$35:$O$337=O338)*(ABS($P$35:$P$337-P338)&lt;0.000001)*($Q$35:$Q$337=Q338)*($V$35:$V$337=V338))=0,1,0),0)</f>
        <v>0</v>
      </c>
      <c r="S338" s="14" t="n">
        <f aca="false">IF(AND(L338=1,N338&gt;=$B$4-0.000000001,P338&gt;=$B$6-0.000000001,M338&gt;=Floor_q+$B$5-0.000000001),1,0)</f>
        <v>0</v>
      </c>
      <c r="T338" s="14" t="n">
        <f aca="false">L338*(IF(1&lt;=2,1-Q338,IF(1=3,IF(AND(V338=0,O338&gt;=W_min,M338-D_dip&gt;=Floor_q),1,0),IF(AND(O338&gt;=W_min,M338&gt;=Pre_A),1,0)))+IF(2&lt;=2,1-Q338,IF(2=3,IF(AND(V338=0,O338&gt;=W_min,M338-D_dip&gt;=Floor_q),1,0),IF(AND(O338&gt;=W_min,M338&gt;=Pre_A),1,0)))+IF(3&lt;=2,1-Q338,IF(3=3,IF(AND(V338=0,O338&gt;=W_min,M338-D_dip&gt;=Floor_q),1,0),IF(AND(O338&gt;=W_min,M338&gt;=Pre_A),1,0)))+IF(4&lt;=2,1-Q338,IF(4=3,IF(AND(V338=0,O338&gt;=W_min,M338-D_dip&gt;=Floor_q),1,0),IF(AND(O338&gt;=W_min,M338&gt;=Pre_A),1,0))))</f>
        <v>0</v>
      </c>
      <c r="U338" s="14" t="n">
        <f aca="false">V110</f>
        <v>1</v>
      </c>
      <c r="V338" s="14" t="n">
        <f aca="false">CHOOSE(D338,U338,U338,1,U338)</f>
        <v>1</v>
      </c>
    </row>
    <row r="339" customFormat="false" ht="15" hidden="false" customHeight="true" outlineLevel="0" collapsed="false">
      <c r="A339" s="3" t="s">
        <v>577</v>
      </c>
      <c r="B339" s="14" t="n">
        <v>4</v>
      </c>
      <c r="C339" s="14" t="n">
        <v>110</v>
      </c>
      <c r="D339" s="14" t="n">
        <v>4</v>
      </c>
      <c r="E339" s="14" t="n">
        <f aca="false">L110</f>
        <v>1</v>
      </c>
      <c r="F339" s="19" t="n">
        <f aca="false">M110</f>
        <v>556.632729102868</v>
      </c>
      <c r="G339" s="19" t="n">
        <f aca="false">N110</f>
        <v>71.5346691353518</v>
      </c>
      <c r="H339" s="14" t="n">
        <f aca="false">O110</f>
        <v>59</v>
      </c>
      <c r="I339" s="16" t="n">
        <f aca="false">P110</f>
        <v>80.5983309723245</v>
      </c>
      <c r="J339" s="14" t="n">
        <f aca="false">Q110</f>
        <v>1</v>
      </c>
      <c r="K339" s="14" t="n">
        <f aca="false">IF(D339&lt;=2,1-J339,IF(D339=3,IF(AND(U339=0,H339&gt;=W_min,F339-D_dip&gt;=Floor_q),1,0),IF(AND(H339&gt;=W_min,F339&gt;=Pre_A),1,0)))</f>
        <v>1</v>
      </c>
      <c r="L339" s="14" t="n">
        <f aca="false">E339*K339</f>
        <v>1</v>
      </c>
      <c r="M339" s="19" t="n">
        <f aca="false">CHOOSE(D339,F339+Proc_S,F339+Proc_Sk,F339+D_dL,F339-Cost_A)</f>
        <v>436.632729102868</v>
      </c>
      <c r="N339" s="19" t="n">
        <f aca="false">CHOOSE(D339,(1-Tech_share)*G339,(1-Tech_share)*G339,G339+D_dT,G339)</f>
        <v>71.5346691353518</v>
      </c>
      <c r="O339" s="14" t="n">
        <f aca="false">CHOOSE(D339,H339-W_lost,H339,H339,H339+W_gain)</f>
        <v>60</v>
      </c>
      <c r="P339" s="16" t="n">
        <f aca="false">CHOOSE(D339,I339,I339,I339+D_dE,I339+Close_A*(Ceil_E-I339))</f>
        <v>82.7991654861622</v>
      </c>
      <c r="Q339" s="14" t="n">
        <f aca="false">CHOOSE(D339,1,1,J339,J339)</f>
        <v>1</v>
      </c>
      <c r="R339" s="14" t="n">
        <f aca="false">IF(L339=1,IF(SUMPRODUCT(($L$35:$L$338=1)*(ABS($M$35:$M$338-M339)&lt;0.000001)*(ABS($N$35:$N$338-N339)&lt;0.000001)*($O$35:$O$338=O339)*(ABS($P$35:$P$338-P339)&lt;0.000001)*($Q$35:$Q$338=Q339)*($V$35:$V$338=V339))=0,1,0),0)</f>
        <v>0</v>
      </c>
      <c r="S339" s="14" t="n">
        <f aca="false">IF(AND(L339=1,N339&gt;=$B$4-0.000000001,P339&gt;=$B$6-0.000000001,M339&gt;=Floor_q+$B$5-0.000000001),1,0)</f>
        <v>1</v>
      </c>
      <c r="T339" s="14" t="n">
        <f aca="false">L339*(IF(1&lt;=2,1-Q339,IF(1=3,IF(AND(V339=0,O339&gt;=W_min,M339-D_dip&gt;=Floor_q),1,0),IF(AND(O339&gt;=W_min,M339&gt;=Pre_A),1,0)))+IF(2&lt;=2,1-Q339,IF(2=3,IF(AND(V339=0,O339&gt;=W_min,M339-D_dip&gt;=Floor_q),1,0),IF(AND(O339&gt;=W_min,M339&gt;=Pre_A),1,0)))+IF(3&lt;=2,1-Q339,IF(3=3,IF(AND(V339=0,O339&gt;=W_min,M339-D_dip&gt;=Floor_q),1,0),IF(AND(O339&gt;=W_min,M339&gt;=Pre_A),1,0)))+IF(4&lt;=2,1-Q339,IF(4=3,IF(AND(V339=0,O339&gt;=W_min,M339-D_dip&gt;=Floor_q),1,0),IF(AND(O339&gt;=W_min,M339&gt;=Pre_A),1,0))))</f>
        <v>0</v>
      </c>
      <c r="U339" s="14" t="n">
        <f aca="false">V110</f>
        <v>1</v>
      </c>
      <c r="V339" s="14" t="n">
        <f aca="false">CHOOSE(D339,U339,U339,1,U339)</f>
        <v>1</v>
      </c>
    </row>
    <row r="340" customFormat="false" ht="15" hidden="false" customHeight="true" outlineLevel="0" collapsed="false">
      <c r="A340" s="3" t="s">
        <v>578</v>
      </c>
      <c r="B340" s="14" t="n">
        <v>4</v>
      </c>
      <c r="C340" s="14" t="n">
        <v>111</v>
      </c>
      <c r="D340" s="14" t="n">
        <v>1</v>
      </c>
      <c r="E340" s="14" t="n">
        <f aca="false">L111</f>
        <v>1</v>
      </c>
      <c r="F340" s="19" t="n">
        <f aca="false">M111</f>
        <v>472</v>
      </c>
      <c r="G340" s="19" t="n">
        <f aca="false">N111</f>
        <v>36.9</v>
      </c>
      <c r="H340" s="14" t="n">
        <f aca="false">O111</f>
        <v>60</v>
      </c>
      <c r="I340" s="16" t="n">
        <f aca="false">P111</f>
        <v>81.5</v>
      </c>
      <c r="J340" s="14" t="n">
        <f aca="false">Q111</f>
        <v>1</v>
      </c>
      <c r="K340" s="14" t="n">
        <f aca="false">IF(D340&lt;=2,1-J340,IF(D340=3,IF(AND(U340=0,H340&gt;=W_min,F340-D_dip&gt;=Floor_q),1,0),IF(AND(H340&gt;=W_min,F340&gt;=Pre_A),1,0)))</f>
        <v>0</v>
      </c>
      <c r="L340" s="14" t="n">
        <f aca="false">E340*K340</f>
        <v>0</v>
      </c>
      <c r="M340" s="19" t="n">
        <f aca="false">CHOOSE(D340,F340+Proc_S,F340+Proc_Sk,F340+D_dL,F340-Cost_A)</f>
        <v>584</v>
      </c>
      <c r="N340" s="19" t="n">
        <f aca="false">CHOOSE(D340,(1-Tech_share)*G340,(1-Tech_share)*G340,G340+D_dT,G340)</f>
        <v>33.21</v>
      </c>
      <c r="O340" s="14" t="n">
        <f aca="false">CHOOSE(D340,H340-W_lost,H340,H340,H340+W_gain)</f>
        <v>55</v>
      </c>
      <c r="P340" s="16" t="n">
        <f aca="false">CHOOSE(D340,I340,I340,I340+D_dE,I340+Close_A*(Ceil_E-I340))</f>
        <v>81.5</v>
      </c>
      <c r="Q340" s="14" t="n">
        <f aca="false">CHOOSE(D340,1,1,J340,J340)</f>
        <v>1</v>
      </c>
      <c r="R340" s="14" t="n">
        <f aca="false">IF(L340=1,IF(SUMPRODUCT(($L$35:$L$339=1)*(ABS($M$35:$M$339-M340)&lt;0.000001)*(ABS($N$35:$N$339-N340)&lt;0.000001)*($O$35:$O$339=O340)*(ABS($P$35:$P$339-P340)&lt;0.000001)*($Q$35:$Q$339=Q340)*($V$35:$V$339=V340))=0,1,0),0)</f>
        <v>0</v>
      </c>
      <c r="S340" s="14" t="n">
        <f aca="false">IF(AND(L340=1,N340&gt;=$B$4-0.000000001,P340&gt;=$B$6-0.000000001,M340&gt;=Floor_q+$B$5-0.000000001),1,0)</f>
        <v>0</v>
      </c>
      <c r="T340" s="14" t="n">
        <f aca="false">L340*(IF(1&lt;=2,1-Q340,IF(1=3,IF(AND(V340=0,O340&gt;=W_min,M340-D_dip&gt;=Floor_q),1,0),IF(AND(O340&gt;=W_min,M340&gt;=Pre_A),1,0)))+IF(2&lt;=2,1-Q340,IF(2=3,IF(AND(V340=0,O340&gt;=W_min,M340-D_dip&gt;=Floor_q),1,0),IF(AND(O340&gt;=W_min,M340&gt;=Pre_A),1,0)))+IF(3&lt;=2,1-Q340,IF(3=3,IF(AND(V340=0,O340&gt;=W_min,M340-D_dip&gt;=Floor_q),1,0),IF(AND(O340&gt;=W_min,M340&gt;=Pre_A),1,0)))+IF(4&lt;=2,1-Q340,IF(4=3,IF(AND(V340=0,O340&gt;=W_min,M340-D_dip&gt;=Floor_q),1,0),IF(AND(O340&gt;=W_min,M340&gt;=Pre_A),1,0))))</f>
        <v>0</v>
      </c>
      <c r="U340" s="14" t="n">
        <f aca="false">V111</f>
        <v>0</v>
      </c>
      <c r="V340" s="14" t="n">
        <f aca="false">CHOOSE(D340,U340,U340,1,U340)</f>
        <v>0</v>
      </c>
    </row>
    <row r="341" customFormat="false" ht="15" hidden="false" customHeight="true" outlineLevel="0" collapsed="false">
      <c r="A341" s="3" t="s">
        <v>579</v>
      </c>
      <c r="B341" s="14" t="n">
        <v>4</v>
      </c>
      <c r="C341" s="14" t="n">
        <v>111</v>
      </c>
      <c r="D341" s="14" t="n">
        <v>2</v>
      </c>
      <c r="E341" s="14" t="n">
        <f aca="false">L111</f>
        <v>1</v>
      </c>
      <c r="F341" s="19" t="n">
        <f aca="false">M111</f>
        <v>472</v>
      </c>
      <c r="G341" s="19" t="n">
        <f aca="false">N111</f>
        <v>36.9</v>
      </c>
      <c r="H341" s="14" t="n">
        <f aca="false">O111</f>
        <v>60</v>
      </c>
      <c r="I341" s="16" t="n">
        <f aca="false">P111</f>
        <v>81.5</v>
      </c>
      <c r="J341" s="14" t="n">
        <f aca="false">Q111</f>
        <v>1</v>
      </c>
      <c r="K341" s="14" t="n">
        <f aca="false">IF(D341&lt;=2,1-J341,IF(D341=3,IF(AND(U341=0,H341&gt;=W_min,F341-D_dip&gt;=Floor_q),1,0),IF(AND(H341&gt;=W_min,F341&gt;=Pre_A),1,0)))</f>
        <v>0</v>
      </c>
      <c r="L341" s="14" t="n">
        <f aca="false">E341*K341</f>
        <v>0</v>
      </c>
      <c r="M341" s="19" t="n">
        <f aca="false">CHOOSE(D341,F341+Proc_S,F341+Proc_Sk,F341+D_dL,F341-Cost_A)</f>
        <v>564</v>
      </c>
      <c r="N341" s="19" t="n">
        <f aca="false">CHOOSE(D341,(1-Tech_share)*G341,(1-Tech_share)*G341,G341+D_dT,G341)</f>
        <v>33.21</v>
      </c>
      <c r="O341" s="14" t="n">
        <f aca="false">CHOOSE(D341,H341-W_lost,H341,H341,H341+W_gain)</f>
        <v>60</v>
      </c>
      <c r="P341" s="16" t="n">
        <f aca="false">CHOOSE(D341,I341,I341,I341+D_dE,I341+Close_A*(Ceil_E-I341))</f>
        <v>81.5</v>
      </c>
      <c r="Q341" s="14" t="n">
        <f aca="false">CHOOSE(D341,1,1,J341,J341)</f>
        <v>1</v>
      </c>
      <c r="R341" s="14" t="n">
        <f aca="false">IF(L341=1,IF(SUMPRODUCT(($L$35:$L$340=1)*(ABS($M$35:$M$340-M341)&lt;0.000001)*(ABS($N$35:$N$340-N341)&lt;0.000001)*($O$35:$O$340=O341)*(ABS($P$35:$P$340-P341)&lt;0.000001)*($Q$35:$Q$340=Q341)*($V$35:$V$340=V341))=0,1,0),0)</f>
        <v>0</v>
      </c>
      <c r="S341" s="14" t="n">
        <f aca="false">IF(AND(L341=1,N341&gt;=$B$4-0.000000001,P341&gt;=$B$6-0.000000001,M341&gt;=Floor_q+$B$5-0.000000001),1,0)</f>
        <v>0</v>
      </c>
      <c r="T341" s="14" t="n">
        <f aca="false">L341*(IF(1&lt;=2,1-Q341,IF(1=3,IF(AND(V341=0,O341&gt;=W_min,M341-D_dip&gt;=Floor_q),1,0),IF(AND(O341&gt;=W_min,M341&gt;=Pre_A),1,0)))+IF(2&lt;=2,1-Q341,IF(2=3,IF(AND(V341=0,O341&gt;=W_min,M341-D_dip&gt;=Floor_q),1,0),IF(AND(O341&gt;=W_min,M341&gt;=Pre_A),1,0)))+IF(3&lt;=2,1-Q341,IF(3=3,IF(AND(V341=0,O341&gt;=W_min,M341-D_dip&gt;=Floor_q),1,0),IF(AND(O341&gt;=W_min,M341&gt;=Pre_A),1,0)))+IF(4&lt;=2,1-Q341,IF(4=3,IF(AND(V341=0,O341&gt;=W_min,M341-D_dip&gt;=Floor_q),1,0),IF(AND(O341&gt;=W_min,M341&gt;=Pre_A),1,0))))</f>
        <v>0</v>
      </c>
      <c r="U341" s="14" t="n">
        <f aca="false">V111</f>
        <v>0</v>
      </c>
      <c r="V341" s="14" t="n">
        <f aca="false">CHOOSE(D341,U341,U341,1,U341)</f>
        <v>0</v>
      </c>
    </row>
    <row r="342" customFormat="false" ht="15" hidden="false" customHeight="true" outlineLevel="0" collapsed="false">
      <c r="A342" s="3" t="s">
        <v>580</v>
      </c>
      <c r="B342" s="14" t="n">
        <v>4</v>
      </c>
      <c r="C342" s="14" t="n">
        <v>111</v>
      </c>
      <c r="D342" s="14" t="n">
        <v>3</v>
      </c>
      <c r="E342" s="14" t="n">
        <f aca="false">L111</f>
        <v>1</v>
      </c>
      <c r="F342" s="19" t="n">
        <f aca="false">M111</f>
        <v>472</v>
      </c>
      <c r="G342" s="19" t="n">
        <f aca="false">N111</f>
        <v>36.9</v>
      </c>
      <c r="H342" s="14" t="n">
        <f aca="false">O111</f>
        <v>60</v>
      </c>
      <c r="I342" s="16" t="n">
        <f aca="false">P111</f>
        <v>81.5</v>
      </c>
      <c r="J342" s="14" t="n">
        <f aca="false">Q111</f>
        <v>1</v>
      </c>
      <c r="K342" s="14" t="n">
        <f aca="false">IF(D342&lt;=2,1-J342,IF(D342=3,IF(AND(U342=0,H342&gt;=W_min,F342-D_dip&gt;=Floor_q),1,0),IF(AND(H342&gt;=W_min,F342&gt;=Pre_A),1,0)))</f>
        <v>0</v>
      </c>
      <c r="L342" s="14" t="n">
        <f aca="false">E342*K342</f>
        <v>0</v>
      </c>
      <c r="M342" s="19" t="n">
        <f aca="false">CHOOSE(D342,F342+Proc_S,F342+Proc_Sk,F342+D_dL,F342-Cost_A)</f>
        <v>436.632729102868</v>
      </c>
      <c r="N342" s="19" t="n">
        <f aca="false">CHOOSE(D342,(1-Tech_share)*G342,(1-Tech_share)*G342,G342+D_dT,G342)</f>
        <v>71.5346691353518</v>
      </c>
      <c r="O342" s="14" t="n">
        <f aca="false">CHOOSE(D342,H342-W_lost,H342,H342,H342+W_gain)</f>
        <v>60</v>
      </c>
      <c r="P342" s="16" t="n">
        <f aca="false">CHOOSE(D342,I342,I342,I342+D_dE,I342+Close_A*(Ceil_E-I342))</f>
        <v>84.0983309723245</v>
      </c>
      <c r="Q342" s="14" t="n">
        <f aca="false">CHOOSE(D342,1,1,J342,J342)</f>
        <v>1</v>
      </c>
      <c r="R342" s="14" t="n">
        <f aca="false">IF(L342=1,IF(SUMPRODUCT(($L$35:$L$341=1)*(ABS($M$35:$M$341-M342)&lt;0.000001)*(ABS($N$35:$N$341-N342)&lt;0.000001)*($O$35:$O$341=O342)*(ABS($P$35:$P$341-P342)&lt;0.000001)*($Q$35:$Q$341=Q342)*($V$35:$V$341=V342))=0,1,0),0)</f>
        <v>0</v>
      </c>
      <c r="S342" s="14" t="n">
        <f aca="false">IF(AND(L342=1,N342&gt;=$B$4-0.000000001,P342&gt;=$B$6-0.000000001,M342&gt;=Floor_q+$B$5-0.000000001),1,0)</f>
        <v>0</v>
      </c>
      <c r="T342" s="14" t="n">
        <f aca="false">L342*(IF(1&lt;=2,1-Q342,IF(1=3,IF(AND(V342=0,O342&gt;=W_min,M342-D_dip&gt;=Floor_q),1,0),IF(AND(O342&gt;=W_min,M342&gt;=Pre_A),1,0)))+IF(2&lt;=2,1-Q342,IF(2=3,IF(AND(V342=0,O342&gt;=W_min,M342-D_dip&gt;=Floor_q),1,0),IF(AND(O342&gt;=W_min,M342&gt;=Pre_A),1,0)))+IF(3&lt;=2,1-Q342,IF(3=3,IF(AND(V342=0,O342&gt;=W_min,M342-D_dip&gt;=Floor_q),1,0),IF(AND(O342&gt;=W_min,M342&gt;=Pre_A),1,0)))+IF(4&lt;=2,1-Q342,IF(4=3,IF(AND(V342=0,O342&gt;=W_min,M342-D_dip&gt;=Floor_q),1,0),IF(AND(O342&gt;=W_min,M342&gt;=Pre_A),1,0))))</f>
        <v>0</v>
      </c>
      <c r="U342" s="14" t="n">
        <f aca="false">V111</f>
        <v>0</v>
      </c>
      <c r="V342" s="14" t="n">
        <f aca="false">CHOOSE(D342,U342,U342,1,U342)</f>
        <v>1</v>
      </c>
    </row>
    <row r="343" customFormat="false" ht="15" hidden="false" customHeight="true" outlineLevel="0" collapsed="false">
      <c r="A343" s="3" t="s">
        <v>581</v>
      </c>
      <c r="B343" s="14" t="n">
        <v>4</v>
      </c>
      <c r="C343" s="14" t="n">
        <v>111</v>
      </c>
      <c r="D343" s="14" t="n">
        <v>4</v>
      </c>
      <c r="E343" s="14" t="n">
        <f aca="false">L111</f>
        <v>1</v>
      </c>
      <c r="F343" s="19" t="n">
        <f aca="false">M111</f>
        <v>472</v>
      </c>
      <c r="G343" s="19" t="n">
        <f aca="false">N111</f>
        <v>36.9</v>
      </c>
      <c r="H343" s="14" t="n">
        <f aca="false">O111</f>
        <v>60</v>
      </c>
      <c r="I343" s="16" t="n">
        <f aca="false">P111</f>
        <v>81.5</v>
      </c>
      <c r="J343" s="14" t="n">
        <f aca="false">Q111</f>
        <v>1</v>
      </c>
      <c r="K343" s="14" t="n">
        <f aca="false">IF(D343&lt;=2,1-J343,IF(D343=3,IF(AND(U343=0,H343&gt;=W_min,F343-D_dip&gt;=Floor_q),1,0),IF(AND(H343&gt;=W_min,F343&gt;=Pre_A),1,0)))</f>
        <v>1</v>
      </c>
      <c r="L343" s="14" t="n">
        <f aca="false">E343*K343</f>
        <v>1</v>
      </c>
      <c r="M343" s="19" t="n">
        <f aca="false">CHOOSE(D343,F343+Proc_S,F343+Proc_Sk,F343+D_dL,F343-Cost_A)</f>
        <v>352</v>
      </c>
      <c r="N343" s="19" t="n">
        <f aca="false">CHOOSE(D343,(1-Tech_share)*G343,(1-Tech_share)*G343,G343+D_dT,G343)</f>
        <v>36.9</v>
      </c>
      <c r="O343" s="14" t="n">
        <f aca="false">CHOOSE(D343,H343-W_lost,H343,H343,H343+W_gain)</f>
        <v>61</v>
      </c>
      <c r="P343" s="16" t="n">
        <f aca="false">CHOOSE(D343,I343,I343,I343+D_dE,I343+Close_A*(Ceil_E-I343))</f>
        <v>83.25</v>
      </c>
      <c r="Q343" s="14" t="n">
        <f aca="false">CHOOSE(D343,1,1,J343,J343)</f>
        <v>1</v>
      </c>
      <c r="R343" s="14" t="n">
        <f aca="false">IF(L343=1,IF(SUMPRODUCT(($L$35:$L$342=1)*(ABS($M$35:$M$342-M343)&lt;0.000001)*(ABS($N$35:$N$342-N343)&lt;0.000001)*($O$35:$O$342=O343)*(ABS($P$35:$P$342-P343)&lt;0.000001)*($Q$35:$Q$342=Q343)*($V$35:$V$342=V343))=0,1,0),0)</f>
        <v>0</v>
      </c>
      <c r="S343" s="14" t="n">
        <f aca="false">IF(AND(L343=1,N343&gt;=$B$4-0.000000001,P343&gt;=$B$6-0.000000001,M343&gt;=Floor_q+$B$5-0.000000001),1,0)</f>
        <v>0</v>
      </c>
      <c r="T343" s="14" t="n">
        <f aca="false">L343*(IF(1&lt;=2,1-Q343,IF(1=3,IF(AND(V343=0,O343&gt;=W_min,M343-D_dip&gt;=Floor_q),1,0),IF(AND(O343&gt;=W_min,M343&gt;=Pre_A),1,0)))+IF(2&lt;=2,1-Q343,IF(2=3,IF(AND(V343=0,O343&gt;=W_min,M343-D_dip&gt;=Floor_q),1,0),IF(AND(O343&gt;=W_min,M343&gt;=Pre_A),1,0)))+IF(3&lt;=2,1-Q343,IF(3=3,IF(AND(V343=0,O343&gt;=W_min,M343-D_dip&gt;=Floor_q),1,0),IF(AND(O343&gt;=W_min,M343&gt;=Pre_A),1,0)))+IF(4&lt;=2,1-Q343,IF(4=3,IF(AND(V343=0,O343&gt;=W_min,M343-D_dip&gt;=Floor_q),1,0),IF(AND(O343&gt;=W_min,M343&gt;=Pre_A),1,0))))</f>
        <v>0</v>
      </c>
      <c r="U343" s="14" t="n">
        <f aca="false">V111</f>
        <v>0</v>
      </c>
      <c r="V343" s="14" t="n">
        <f aca="false">CHOOSE(D343,U343,U343,1,U343)</f>
        <v>0</v>
      </c>
    </row>
    <row r="344" customFormat="false" ht="15" hidden="false" customHeight="true" outlineLevel="0" collapsed="false">
      <c r="A344" s="3" t="s">
        <v>582</v>
      </c>
      <c r="B344" s="14" t="n">
        <v>4</v>
      </c>
      <c r="C344" s="14" t="n">
        <v>112</v>
      </c>
      <c r="D344" s="14" t="n">
        <v>1</v>
      </c>
      <c r="E344" s="14" t="n">
        <f aca="false">L112</f>
        <v>1</v>
      </c>
      <c r="F344" s="19" t="n">
        <f aca="false">M112</f>
        <v>576.632729102868</v>
      </c>
      <c r="G344" s="19" t="n">
        <f aca="false">N112</f>
        <v>68.0712022218166</v>
      </c>
      <c r="H344" s="14" t="n">
        <f aca="false">O112</f>
        <v>54</v>
      </c>
      <c r="I344" s="16" t="n">
        <f aca="false">P112</f>
        <v>80.5983309723245</v>
      </c>
      <c r="J344" s="14" t="n">
        <f aca="false">Q112</f>
        <v>1</v>
      </c>
      <c r="K344" s="14" t="n">
        <f aca="false">IF(D344&lt;=2,1-J344,IF(D344=3,IF(AND(U344=0,H344&gt;=W_min,F344-D_dip&gt;=Floor_q),1,0),IF(AND(H344&gt;=W_min,F344&gt;=Pre_A),1,0)))</f>
        <v>0</v>
      </c>
      <c r="L344" s="14" t="n">
        <f aca="false">E344*K344</f>
        <v>0</v>
      </c>
      <c r="M344" s="19" t="n">
        <f aca="false">CHOOSE(D344,F344+Proc_S,F344+Proc_Sk,F344+D_dL,F344-Cost_A)</f>
        <v>688.632729102868</v>
      </c>
      <c r="N344" s="19" t="n">
        <f aca="false">CHOOSE(D344,(1-Tech_share)*G344,(1-Tech_share)*G344,G344+D_dT,G344)</f>
        <v>61.264081999635</v>
      </c>
      <c r="O344" s="14" t="n">
        <f aca="false">CHOOSE(D344,H344-W_lost,H344,H344,H344+W_gain)</f>
        <v>49</v>
      </c>
      <c r="P344" s="16" t="n">
        <f aca="false">CHOOSE(D344,I344,I344,I344+D_dE,I344+Close_A*(Ceil_E-I344))</f>
        <v>80.5983309723245</v>
      </c>
      <c r="Q344" s="14" t="n">
        <f aca="false">CHOOSE(D344,1,1,J344,J344)</f>
        <v>1</v>
      </c>
      <c r="R344" s="14" t="n">
        <f aca="false">IF(L344=1,IF(SUMPRODUCT(($L$35:$L$343=1)*(ABS($M$35:$M$343-M344)&lt;0.000001)*(ABS($N$35:$N$343-N344)&lt;0.000001)*($O$35:$O$343=O344)*(ABS($P$35:$P$343-P344)&lt;0.000001)*($Q$35:$Q$343=Q344)*($V$35:$V$343=V344))=0,1,0),0)</f>
        <v>0</v>
      </c>
      <c r="S344" s="14" t="n">
        <f aca="false">IF(AND(L344=1,N344&gt;=$B$4-0.000000001,P344&gt;=$B$6-0.000000001,M344&gt;=Floor_q+$B$5-0.000000001),1,0)</f>
        <v>0</v>
      </c>
      <c r="T344" s="14" t="n">
        <f aca="false">L344*(IF(1&lt;=2,1-Q344,IF(1=3,IF(AND(V344=0,O344&gt;=W_min,M344-D_dip&gt;=Floor_q),1,0),IF(AND(O344&gt;=W_min,M344&gt;=Pre_A),1,0)))+IF(2&lt;=2,1-Q344,IF(2=3,IF(AND(V344=0,O344&gt;=W_min,M344-D_dip&gt;=Floor_q),1,0),IF(AND(O344&gt;=W_min,M344&gt;=Pre_A),1,0)))+IF(3&lt;=2,1-Q344,IF(3=3,IF(AND(V344=0,O344&gt;=W_min,M344-D_dip&gt;=Floor_q),1,0),IF(AND(O344&gt;=W_min,M344&gt;=Pre_A),1,0)))+IF(4&lt;=2,1-Q344,IF(4=3,IF(AND(V344=0,O344&gt;=W_min,M344-D_dip&gt;=Floor_q),1,0),IF(AND(O344&gt;=W_min,M344&gt;=Pre_A),1,0))))</f>
        <v>0</v>
      </c>
      <c r="U344" s="14" t="n">
        <f aca="false">V112</f>
        <v>1</v>
      </c>
      <c r="V344" s="14" t="n">
        <f aca="false">CHOOSE(D344,U344,U344,1,U344)</f>
        <v>1</v>
      </c>
    </row>
    <row r="345" customFormat="false" ht="15" hidden="false" customHeight="true" outlineLevel="0" collapsed="false">
      <c r="A345" s="3" t="s">
        <v>583</v>
      </c>
      <c r="B345" s="14" t="n">
        <v>4</v>
      </c>
      <c r="C345" s="14" t="n">
        <v>112</v>
      </c>
      <c r="D345" s="14" t="n">
        <v>2</v>
      </c>
      <c r="E345" s="14" t="n">
        <f aca="false">L112</f>
        <v>1</v>
      </c>
      <c r="F345" s="19" t="n">
        <f aca="false">M112</f>
        <v>576.632729102868</v>
      </c>
      <c r="G345" s="19" t="n">
        <f aca="false">N112</f>
        <v>68.0712022218166</v>
      </c>
      <c r="H345" s="14" t="n">
        <f aca="false">O112</f>
        <v>54</v>
      </c>
      <c r="I345" s="16" t="n">
        <f aca="false">P112</f>
        <v>80.5983309723245</v>
      </c>
      <c r="J345" s="14" t="n">
        <f aca="false">Q112</f>
        <v>1</v>
      </c>
      <c r="K345" s="14" t="n">
        <f aca="false">IF(D345&lt;=2,1-J345,IF(D345=3,IF(AND(U345=0,H345&gt;=W_min,F345-D_dip&gt;=Floor_q),1,0),IF(AND(H345&gt;=W_min,F345&gt;=Pre_A),1,0)))</f>
        <v>0</v>
      </c>
      <c r="L345" s="14" t="n">
        <f aca="false">E345*K345</f>
        <v>0</v>
      </c>
      <c r="M345" s="19" t="n">
        <f aca="false">CHOOSE(D345,F345+Proc_S,F345+Proc_Sk,F345+D_dL,F345-Cost_A)</f>
        <v>668.632729102868</v>
      </c>
      <c r="N345" s="19" t="n">
        <f aca="false">CHOOSE(D345,(1-Tech_share)*G345,(1-Tech_share)*G345,G345+D_dT,G345)</f>
        <v>61.264081999635</v>
      </c>
      <c r="O345" s="14" t="n">
        <f aca="false">CHOOSE(D345,H345-W_lost,H345,H345,H345+W_gain)</f>
        <v>54</v>
      </c>
      <c r="P345" s="16" t="n">
        <f aca="false">CHOOSE(D345,I345,I345,I345+D_dE,I345+Close_A*(Ceil_E-I345))</f>
        <v>80.5983309723245</v>
      </c>
      <c r="Q345" s="14" t="n">
        <f aca="false">CHOOSE(D345,1,1,J345,J345)</f>
        <v>1</v>
      </c>
      <c r="R345" s="14" t="n">
        <f aca="false">IF(L345=1,IF(SUMPRODUCT(($L$35:$L$344=1)*(ABS($M$35:$M$344-M345)&lt;0.000001)*(ABS($N$35:$N$344-N345)&lt;0.000001)*($O$35:$O$344=O345)*(ABS($P$35:$P$344-P345)&lt;0.000001)*($Q$35:$Q$344=Q345)*($V$35:$V$344=V345))=0,1,0),0)</f>
        <v>0</v>
      </c>
      <c r="S345" s="14" t="n">
        <f aca="false">IF(AND(L345=1,N345&gt;=$B$4-0.000000001,P345&gt;=$B$6-0.000000001,M345&gt;=Floor_q+$B$5-0.000000001),1,0)</f>
        <v>0</v>
      </c>
      <c r="T345" s="14" t="n">
        <f aca="false">L345*(IF(1&lt;=2,1-Q345,IF(1=3,IF(AND(V345=0,O345&gt;=W_min,M345-D_dip&gt;=Floor_q),1,0),IF(AND(O345&gt;=W_min,M345&gt;=Pre_A),1,0)))+IF(2&lt;=2,1-Q345,IF(2=3,IF(AND(V345=0,O345&gt;=W_min,M345-D_dip&gt;=Floor_q),1,0),IF(AND(O345&gt;=W_min,M345&gt;=Pre_A),1,0)))+IF(3&lt;=2,1-Q345,IF(3=3,IF(AND(V345=0,O345&gt;=W_min,M345-D_dip&gt;=Floor_q),1,0),IF(AND(O345&gt;=W_min,M345&gt;=Pre_A),1,0)))+IF(4&lt;=2,1-Q345,IF(4=3,IF(AND(V345=0,O345&gt;=W_min,M345-D_dip&gt;=Floor_q),1,0),IF(AND(O345&gt;=W_min,M345&gt;=Pre_A),1,0))))</f>
        <v>0</v>
      </c>
      <c r="U345" s="14" t="n">
        <f aca="false">V112</f>
        <v>1</v>
      </c>
      <c r="V345" s="14" t="n">
        <f aca="false">CHOOSE(D345,U345,U345,1,U345)</f>
        <v>1</v>
      </c>
    </row>
    <row r="346" customFormat="false" ht="15" hidden="false" customHeight="true" outlineLevel="0" collapsed="false">
      <c r="A346" s="3" t="s">
        <v>584</v>
      </c>
      <c r="B346" s="14" t="n">
        <v>4</v>
      </c>
      <c r="C346" s="14" t="n">
        <v>112</v>
      </c>
      <c r="D346" s="14" t="n">
        <v>3</v>
      </c>
      <c r="E346" s="14" t="n">
        <f aca="false">L112</f>
        <v>1</v>
      </c>
      <c r="F346" s="19" t="n">
        <f aca="false">M112</f>
        <v>576.632729102868</v>
      </c>
      <c r="G346" s="19" t="n">
        <f aca="false">N112</f>
        <v>68.0712022218166</v>
      </c>
      <c r="H346" s="14" t="n">
        <f aca="false">O112</f>
        <v>54</v>
      </c>
      <c r="I346" s="16" t="n">
        <f aca="false">P112</f>
        <v>80.5983309723245</v>
      </c>
      <c r="J346" s="14" t="n">
        <f aca="false">Q112</f>
        <v>1</v>
      </c>
      <c r="K346" s="14" t="n">
        <f aca="false">IF(D346&lt;=2,1-J346,IF(D346=3,IF(AND(U346=0,H346&gt;=W_min,F346-D_dip&gt;=Floor_q),1,0),IF(AND(H346&gt;=W_min,F346&gt;=Pre_A),1,0)))</f>
        <v>0</v>
      </c>
      <c r="L346" s="14" t="n">
        <f aca="false">E346*K346</f>
        <v>0</v>
      </c>
      <c r="M346" s="19" t="n">
        <f aca="false">CHOOSE(D346,F346+Proc_S,F346+Proc_Sk,F346+D_dL,F346-Cost_A)</f>
        <v>541.265458205737</v>
      </c>
      <c r="N346" s="19" t="n">
        <f aca="false">CHOOSE(D346,(1-Tech_share)*G346,(1-Tech_share)*G346,G346+D_dT,G346)</f>
        <v>102.705871357168</v>
      </c>
      <c r="O346" s="14" t="n">
        <f aca="false">CHOOSE(D346,H346-W_lost,H346,H346,H346+W_gain)</f>
        <v>54</v>
      </c>
      <c r="P346" s="16" t="n">
        <f aca="false">CHOOSE(D346,I346,I346,I346+D_dE,I346+Close_A*(Ceil_E-I346))</f>
        <v>83.1966619446489</v>
      </c>
      <c r="Q346" s="14" t="n">
        <f aca="false">CHOOSE(D346,1,1,J346,J346)</f>
        <v>1</v>
      </c>
      <c r="R346" s="14" t="n">
        <f aca="false">IF(L346=1,IF(SUMPRODUCT(($L$35:$L$345=1)*(ABS($M$35:$M$345-M346)&lt;0.000001)*(ABS($N$35:$N$345-N346)&lt;0.000001)*($O$35:$O$345=O346)*(ABS($P$35:$P$345-P346)&lt;0.000001)*($Q$35:$Q$345=Q346)*($V$35:$V$345=V346))=0,1,0),0)</f>
        <v>0</v>
      </c>
      <c r="S346" s="14" t="n">
        <f aca="false">IF(AND(L346=1,N346&gt;=$B$4-0.000000001,P346&gt;=$B$6-0.000000001,M346&gt;=Floor_q+$B$5-0.000000001),1,0)</f>
        <v>0</v>
      </c>
      <c r="T346" s="14" t="n">
        <f aca="false">L346*(IF(1&lt;=2,1-Q346,IF(1=3,IF(AND(V346=0,O346&gt;=W_min,M346-D_dip&gt;=Floor_q),1,0),IF(AND(O346&gt;=W_min,M346&gt;=Pre_A),1,0)))+IF(2&lt;=2,1-Q346,IF(2=3,IF(AND(V346=0,O346&gt;=W_min,M346-D_dip&gt;=Floor_q),1,0),IF(AND(O346&gt;=W_min,M346&gt;=Pre_A),1,0)))+IF(3&lt;=2,1-Q346,IF(3=3,IF(AND(V346=0,O346&gt;=W_min,M346-D_dip&gt;=Floor_q),1,0),IF(AND(O346&gt;=W_min,M346&gt;=Pre_A),1,0)))+IF(4&lt;=2,1-Q346,IF(4=3,IF(AND(V346=0,O346&gt;=W_min,M346-D_dip&gt;=Floor_q),1,0),IF(AND(O346&gt;=W_min,M346&gt;=Pre_A),1,0))))</f>
        <v>0</v>
      </c>
      <c r="U346" s="14" t="n">
        <f aca="false">V112</f>
        <v>1</v>
      </c>
      <c r="V346" s="14" t="n">
        <f aca="false">CHOOSE(D346,U346,U346,1,U346)</f>
        <v>1</v>
      </c>
    </row>
    <row r="347" customFormat="false" ht="15" hidden="false" customHeight="true" outlineLevel="0" collapsed="false">
      <c r="A347" s="3" t="s">
        <v>585</v>
      </c>
      <c r="B347" s="14" t="n">
        <v>4</v>
      </c>
      <c r="C347" s="14" t="n">
        <v>112</v>
      </c>
      <c r="D347" s="14" t="n">
        <v>4</v>
      </c>
      <c r="E347" s="14" t="n">
        <f aca="false">L112</f>
        <v>1</v>
      </c>
      <c r="F347" s="19" t="n">
        <f aca="false">M112</f>
        <v>576.632729102868</v>
      </c>
      <c r="G347" s="19" t="n">
        <f aca="false">N112</f>
        <v>68.0712022218166</v>
      </c>
      <c r="H347" s="14" t="n">
        <f aca="false">O112</f>
        <v>54</v>
      </c>
      <c r="I347" s="16" t="n">
        <f aca="false">P112</f>
        <v>80.5983309723245</v>
      </c>
      <c r="J347" s="14" t="n">
        <f aca="false">Q112</f>
        <v>1</v>
      </c>
      <c r="K347" s="14" t="n">
        <f aca="false">IF(D347&lt;=2,1-J347,IF(D347=3,IF(AND(U347=0,H347&gt;=W_min,F347-D_dip&gt;=Floor_q),1,0),IF(AND(H347&gt;=W_min,F347&gt;=Pre_A),1,0)))</f>
        <v>0</v>
      </c>
      <c r="L347" s="14" t="n">
        <f aca="false">E347*K347</f>
        <v>0</v>
      </c>
      <c r="M347" s="19" t="n">
        <f aca="false">CHOOSE(D347,F347+Proc_S,F347+Proc_Sk,F347+D_dL,F347-Cost_A)</f>
        <v>456.632729102868</v>
      </c>
      <c r="N347" s="19" t="n">
        <f aca="false">CHOOSE(D347,(1-Tech_share)*G347,(1-Tech_share)*G347,G347+D_dT,G347)</f>
        <v>68.0712022218166</v>
      </c>
      <c r="O347" s="14" t="n">
        <f aca="false">CHOOSE(D347,H347-W_lost,H347,H347,H347+W_gain)</f>
        <v>55</v>
      </c>
      <c r="P347" s="16" t="n">
        <f aca="false">CHOOSE(D347,I347,I347,I347+D_dE,I347+Close_A*(Ceil_E-I347))</f>
        <v>82.7991654861622</v>
      </c>
      <c r="Q347" s="14" t="n">
        <f aca="false">CHOOSE(D347,1,1,J347,J347)</f>
        <v>1</v>
      </c>
      <c r="R347" s="14" t="n">
        <f aca="false">IF(L347=1,IF(SUMPRODUCT(($L$35:$L$346=1)*(ABS($M$35:$M$346-M347)&lt;0.000001)*(ABS($N$35:$N$346-N347)&lt;0.000001)*($O$35:$O$346=O347)*(ABS($P$35:$P$346-P347)&lt;0.000001)*($Q$35:$Q$346=Q347)*($V$35:$V$346=V347))=0,1,0),0)</f>
        <v>0</v>
      </c>
      <c r="S347" s="14" t="n">
        <f aca="false">IF(AND(L347=1,N347&gt;=$B$4-0.000000001,P347&gt;=$B$6-0.000000001,M347&gt;=Floor_q+$B$5-0.000000001),1,0)</f>
        <v>0</v>
      </c>
      <c r="T347" s="14" t="n">
        <f aca="false">L347*(IF(1&lt;=2,1-Q347,IF(1=3,IF(AND(V347=0,O347&gt;=W_min,M347-D_dip&gt;=Floor_q),1,0),IF(AND(O347&gt;=W_min,M347&gt;=Pre_A),1,0)))+IF(2&lt;=2,1-Q347,IF(2=3,IF(AND(V347=0,O347&gt;=W_min,M347-D_dip&gt;=Floor_q),1,0),IF(AND(O347&gt;=W_min,M347&gt;=Pre_A),1,0)))+IF(3&lt;=2,1-Q347,IF(3=3,IF(AND(V347=0,O347&gt;=W_min,M347-D_dip&gt;=Floor_q),1,0),IF(AND(O347&gt;=W_min,M347&gt;=Pre_A),1,0)))+IF(4&lt;=2,1-Q347,IF(4=3,IF(AND(V347=0,O347&gt;=W_min,M347-D_dip&gt;=Floor_q),1,0),IF(AND(O347&gt;=W_min,M347&gt;=Pre_A),1,0))))</f>
        <v>0</v>
      </c>
      <c r="U347" s="14" t="n">
        <f aca="false">V112</f>
        <v>1</v>
      </c>
      <c r="V347" s="14" t="n">
        <f aca="false">CHOOSE(D347,U347,U347,1,U347)</f>
        <v>1</v>
      </c>
    </row>
    <row r="348" customFormat="false" ht="15" hidden="false" customHeight="true" outlineLevel="0" collapsed="false">
      <c r="A348" s="3" t="s">
        <v>586</v>
      </c>
      <c r="B348" s="14" t="n">
        <v>4</v>
      </c>
      <c r="C348" s="14" t="n">
        <v>113</v>
      </c>
      <c r="D348" s="14" t="n">
        <v>1</v>
      </c>
      <c r="E348" s="14" t="n">
        <f aca="false">L113</f>
        <v>1</v>
      </c>
      <c r="F348" s="19" t="n">
        <f aca="false">M113</f>
        <v>556.632729102868</v>
      </c>
      <c r="G348" s="19" t="n">
        <f aca="false">N113</f>
        <v>68.0712022218166</v>
      </c>
      <c r="H348" s="14" t="n">
        <f aca="false">O113</f>
        <v>59</v>
      </c>
      <c r="I348" s="16" t="n">
        <f aca="false">P113</f>
        <v>80.5983309723245</v>
      </c>
      <c r="J348" s="14" t="n">
        <f aca="false">Q113</f>
        <v>1</v>
      </c>
      <c r="K348" s="14" t="n">
        <f aca="false">IF(D348&lt;=2,1-J348,IF(D348=3,IF(AND(U348=0,H348&gt;=W_min,F348-D_dip&gt;=Floor_q),1,0),IF(AND(H348&gt;=W_min,F348&gt;=Pre_A),1,0)))</f>
        <v>0</v>
      </c>
      <c r="L348" s="14" t="n">
        <f aca="false">E348*K348</f>
        <v>0</v>
      </c>
      <c r="M348" s="19" t="n">
        <f aca="false">CHOOSE(D348,F348+Proc_S,F348+Proc_Sk,F348+D_dL,F348-Cost_A)</f>
        <v>668.632729102868</v>
      </c>
      <c r="N348" s="19" t="n">
        <f aca="false">CHOOSE(D348,(1-Tech_share)*G348,(1-Tech_share)*G348,G348+D_dT,G348)</f>
        <v>61.264081999635</v>
      </c>
      <c r="O348" s="14" t="n">
        <f aca="false">CHOOSE(D348,H348-W_lost,H348,H348,H348+W_gain)</f>
        <v>54</v>
      </c>
      <c r="P348" s="16" t="n">
        <f aca="false">CHOOSE(D348,I348,I348,I348+D_dE,I348+Close_A*(Ceil_E-I348))</f>
        <v>80.5983309723245</v>
      </c>
      <c r="Q348" s="14" t="n">
        <f aca="false">CHOOSE(D348,1,1,J348,J348)</f>
        <v>1</v>
      </c>
      <c r="R348" s="14" t="n">
        <f aca="false">IF(L348=1,IF(SUMPRODUCT(($L$35:$L$347=1)*(ABS($M$35:$M$347-M348)&lt;0.000001)*(ABS($N$35:$N$347-N348)&lt;0.000001)*($O$35:$O$347=O348)*(ABS($P$35:$P$347-P348)&lt;0.000001)*($Q$35:$Q$347=Q348)*($V$35:$V$347=V348))=0,1,0),0)</f>
        <v>0</v>
      </c>
      <c r="S348" s="14" t="n">
        <f aca="false">IF(AND(L348=1,N348&gt;=$B$4-0.000000001,P348&gt;=$B$6-0.000000001,M348&gt;=Floor_q+$B$5-0.000000001),1,0)</f>
        <v>0</v>
      </c>
      <c r="T348" s="14" t="n">
        <f aca="false">L348*(IF(1&lt;=2,1-Q348,IF(1=3,IF(AND(V348=0,O348&gt;=W_min,M348-D_dip&gt;=Floor_q),1,0),IF(AND(O348&gt;=W_min,M348&gt;=Pre_A),1,0)))+IF(2&lt;=2,1-Q348,IF(2=3,IF(AND(V348=0,O348&gt;=W_min,M348-D_dip&gt;=Floor_q),1,0),IF(AND(O348&gt;=W_min,M348&gt;=Pre_A),1,0)))+IF(3&lt;=2,1-Q348,IF(3=3,IF(AND(V348=0,O348&gt;=W_min,M348-D_dip&gt;=Floor_q),1,0),IF(AND(O348&gt;=W_min,M348&gt;=Pre_A),1,0)))+IF(4&lt;=2,1-Q348,IF(4=3,IF(AND(V348=0,O348&gt;=W_min,M348-D_dip&gt;=Floor_q),1,0),IF(AND(O348&gt;=W_min,M348&gt;=Pre_A),1,0))))</f>
        <v>0</v>
      </c>
      <c r="U348" s="14" t="n">
        <f aca="false">V113</f>
        <v>1</v>
      </c>
      <c r="V348" s="14" t="n">
        <f aca="false">CHOOSE(D348,U348,U348,1,U348)</f>
        <v>1</v>
      </c>
    </row>
    <row r="349" customFormat="false" ht="15" hidden="false" customHeight="true" outlineLevel="0" collapsed="false">
      <c r="A349" s="3" t="s">
        <v>587</v>
      </c>
      <c r="B349" s="14" t="n">
        <v>4</v>
      </c>
      <c r="C349" s="14" t="n">
        <v>113</v>
      </c>
      <c r="D349" s="14" t="n">
        <v>2</v>
      </c>
      <c r="E349" s="14" t="n">
        <f aca="false">L113</f>
        <v>1</v>
      </c>
      <c r="F349" s="19" t="n">
        <f aca="false">M113</f>
        <v>556.632729102868</v>
      </c>
      <c r="G349" s="19" t="n">
        <f aca="false">N113</f>
        <v>68.0712022218166</v>
      </c>
      <c r="H349" s="14" t="n">
        <f aca="false">O113</f>
        <v>59</v>
      </c>
      <c r="I349" s="16" t="n">
        <f aca="false">P113</f>
        <v>80.5983309723245</v>
      </c>
      <c r="J349" s="14" t="n">
        <f aca="false">Q113</f>
        <v>1</v>
      </c>
      <c r="K349" s="14" t="n">
        <f aca="false">IF(D349&lt;=2,1-J349,IF(D349=3,IF(AND(U349=0,H349&gt;=W_min,F349-D_dip&gt;=Floor_q),1,0),IF(AND(H349&gt;=W_min,F349&gt;=Pre_A),1,0)))</f>
        <v>0</v>
      </c>
      <c r="L349" s="14" t="n">
        <f aca="false">E349*K349</f>
        <v>0</v>
      </c>
      <c r="M349" s="19" t="n">
        <f aca="false">CHOOSE(D349,F349+Proc_S,F349+Proc_Sk,F349+D_dL,F349-Cost_A)</f>
        <v>648.632729102868</v>
      </c>
      <c r="N349" s="19" t="n">
        <f aca="false">CHOOSE(D349,(1-Tech_share)*G349,(1-Tech_share)*G349,G349+D_dT,G349)</f>
        <v>61.264081999635</v>
      </c>
      <c r="O349" s="14" t="n">
        <f aca="false">CHOOSE(D349,H349-W_lost,H349,H349,H349+W_gain)</f>
        <v>59</v>
      </c>
      <c r="P349" s="16" t="n">
        <f aca="false">CHOOSE(D349,I349,I349,I349+D_dE,I349+Close_A*(Ceil_E-I349))</f>
        <v>80.5983309723245</v>
      </c>
      <c r="Q349" s="14" t="n">
        <f aca="false">CHOOSE(D349,1,1,J349,J349)</f>
        <v>1</v>
      </c>
      <c r="R349" s="14" t="n">
        <f aca="false">IF(L349=1,IF(SUMPRODUCT(($L$35:$L$348=1)*(ABS($M$35:$M$348-M349)&lt;0.000001)*(ABS($N$35:$N$348-N349)&lt;0.000001)*($O$35:$O$348=O349)*(ABS($P$35:$P$348-P349)&lt;0.000001)*($Q$35:$Q$348=Q349)*($V$35:$V$348=V349))=0,1,0),0)</f>
        <v>0</v>
      </c>
      <c r="S349" s="14" t="n">
        <f aca="false">IF(AND(L349=1,N349&gt;=$B$4-0.000000001,P349&gt;=$B$6-0.000000001,M349&gt;=Floor_q+$B$5-0.000000001),1,0)</f>
        <v>0</v>
      </c>
      <c r="T349" s="14" t="n">
        <f aca="false">L349*(IF(1&lt;=2,1-Q349,IF(1=3,IF(AND(V349=0,O349&gt;=W_min,M349-D_dip&gt;=Floor_q),1,0),IF(AND(O349&gt;=W_min,M349&gt;=Pre_A),1,0)))+IF(2&lt;=2,1-Q349,IF(2=3,IF(AND(V349=0,O349&gt;=W_min,M349-D_dip&gt;=Floor_q),1,0),IF(AND(O349&gt;=W_min,M349&gt;=Pre_A),1,0)))+IF(3&lt;=2,1-Q349,IF(3=3,IF(AND(V349=0,O349&gt;=W_min,M349-D_dip&gt;=Floor_q),1,0),IF(AND(O349&gt;=W_min,M349&gt;=Pre_A),1,0)))+IF(4&lt;=2,1-Q349,IF(4=3,IF(AND(V349=0,O349&gt;=W_min,M349-D_dip&gt;=Floor_q),1,0),IF(AND(O349&gt;=W_min,M349&gt;=Pre_A),1,0))))</f>
        <v>0</v>
      </c>
      <c r="U349" s="14" t="n">
        <f aca="false">V113</f>
        <v>1</v>
      </c>
      <c r="V349" s="14" t="n">
        <f aca="false">CHOOSE(D349,U349,U349,1,U349)</f>
        <v>1</v>
      </c>
    </row>
    <row r="350" customFormat="false" ht="15" hidden="false" customHeight="true" outlineLevel="0" collapsed="false">
      <c r="A350" s="3" t="s">
        <v>588</v>
      </c>
      <c r="B350" s="14" t="n">
        <v>4</v>
      </c>
      <c r="C350" s="14" t="n">
        <v>113</v>
      </c>
      <c r="D350" s="14" t="n">
        <v>3</v>
      </c>
      <c r="E350" s="14" t="n">
        <f aca="false">L113</f>
        <v>1</v>
      </c>
      <c r="F350" s="19" t="n">
        <f aca="false">M113</f>
        <v>556.632729102868</v>
      </c>
      <c r="G350" s="19" t="n">
        <f aca="false">N113</f>
        <v>68.0712022218166</v>
      </c>
      <c r="H350" s="14" t="n">
        <f aca="false">O113</f>
        <v>59</v>
      </c>
      <c r="I350" s="16" t="n">
        <f aca="false">P113</f>
        <v>80.5983309723245</v>
      </c>
      <c r="J350" s="14" t="n">
        <f aca="false">Q113</f>
        <v>1</v>
      </c>
      <c r="K350" s="14" t="n">
        <f aca="false">IF(D350&lt;=2,1-J350,IF(D350=3,IF(AND(U350=0,H350&gt;=W_min,F350-D_dip&gt;=Floor_q),1,0),IF(AND(H350&gt;=W_min,F350&gt;=Pre_A),1,0)))</f>
        <v>0</v>
      </c>
      <c r="L350" s="14" t="n">
        <f aca="false">E350*K350</f>
        <v>0</v>
      </c>
      <c r="M350" s="19" t="n">
        <f aca="false">CHOOSE(D350,F350+Proc_S,F350+Proc_Sk,F350+D_dL,F350-Cost_A)</f>
        <v>521.265458205737</v>
      </c>
      <c r="N350" s="19" t="n">
        <f aca="false">CHOOSE(D350,(1-Tech_share)*G350,(1-Tech_share)*G350,G350+D_dT,G350)</f>
        <v>102.705871357168</v>
      </c>
      <c r="O350" s="14" t="n">
        <f aca="false">CHOOSE(D350,H350-W_lost,H350,H350,H350+W_gain)</f>
        <v>59</v>
      </c>
      <c r="P350" s="16" t="n">
        <f aca="false">CHOOSE(D350,I350,I350,I350+D_dE,I350+Close_A*(Ceil_E-I350))</f>
        <v>83.1966619446489</v>
      </c>
      <c r="Q350" s="14" t="n">
        <f aca="false">CHOOSE(D350,1,1,J350,J350)</f>
        <v>1</v>
      </c>
      <c r="R350" s="14" t="n">
        <f aca="false">IF(L350=1,IF(SUMPRODUCT(($L$35:$L$349=1)*(ABS($M$35:$M$349-M350)&lt;0.000001)*(ABS($N$35:$N$349-N350)&lt;0.000001)*($O$35:$O$349=O350)*(ABS($P$35:$P$349-P350)&lt;0.000001)*($Q$35:$Q$349=Q350)*($V$35:$V$349=V350))=0,1,0),0)</f>
        <v>0</v>
      </c>
      <c r="S350" s="14" t="n">
        <f aca="false">IF(AND(L350=1,N350&gt;=$B$4-0.000000001,P350&gt;=$B$6-0.000000001,M350&gt;=Floor_q+$B$5-0.000000001),1,0)</f>
        <v>0</v>
      </c>
      <c r="T350" s="14" t="n">
        <f aca="false">L350*(IF(1&lt;=2,1-Q350,IF(1=3,IF(AND(V350=0,O350&gt;=W_min,M350-D_dip&gt;=Floor_q),1,0),IF(AND(O350&gt;=W_min,M350&gt;=Pre_A),1,0)))+IF(2&lt;=2,1-Q350,IF(2=3,IF(AND(V350=0,O350&gt;=W_min,M350-D_dip&gt;=Floor_q),1,0),IF(AND(O350&gt;=W_min,M350&gt;=Pre_A),1,0)))+IF(3&lt;=2,1-Q350,IF(3=3,IF(AND(V350=0,O350&gt;=W_min,M350-D_dip&gt;=Floor_q),1,0),IF(AND(O350&gt;=W_min,M350&gt;=Pre_A),1,0)))+IF(4&lt;=2,1-Q350,IF(4=3,IF(AND(V350=0,O350&gt;=W_min,M350-D_dip&gt;=Floor_q),1,0),IF(AND(O350&gt;=W_min,M350&gt;=Pre_A),1,0))))</f>
        <v>0</v>
      </c>
      <c r="U350" s="14" t="n">
        <f aca="false">V113</f>
        <v>1</v>
      </c>
      <c r="V350" s="14" t="n">
        <f aca="false">CHOOSE(D350,U350,U350,1,U350)</f>
        <v>1</v>
      </c>
    </row>
    <row r="351" customFormat="false" ht="15" hidden="false" customHeight="true" outlineLevel="0" collapsed="false">
      <c r="A351" s="3" t="s">
        <v>589</v>
      </c>
      <c r="B351" s="14" t="n">
        <v>4</v>
      </c>
      <c r="C351" s="14" t="n">
        <v>113</v>
      </c>
      <c r="D351" s="14" t="n">
        <v>4</v>
      </c>
      <c r="E351" s="14" t="n">
        <f aca="false">L113</f>
        <v>1</v>
      </c>
      <c r="F351" s="19" t="n">
        <f aca="false">M113</f>
        <v>556.632729102868</v>
      </c>
      <c r="G351" s="19" t="n">
        <f aca="false">N113</f>
        <v>68.0712022218166</v>
      </c>
      <c r="H351" s="14" t="n">
        <f aca="false">O113</f>
        <v>59</v>
      </c>
      <c r="I351" s="16" t="n">
        <f aca="false">P113</f>
        <v>80.5983309723245</v>
      </c>
      <c r="J351" s="14" t="n">
        <f aca="false">Q113</f>
        <v>1</v>
      </c>
      <c r="K351" s="14" t="n">
        <f aca="false">IF(D351&lt;=2,1-J351,IF(D351=3,IF(AND(U351=0,H351&gt;=W_min,F351-D_dip&gt;=Floor_q),1,0),IF(AND(H351&gt;=W_min,F351&gt;=Pre_A),1,0)))</f>
        <v>1</v>
      </c>
      <c r="L351" s="14" t="n">
        <f aca="false">E351*K351</f>
        <v>1</v>
      </c>
      <c r="M351" s="19" t="n">
        <f aca="false">CHOOSE(D351,F351+Proc_S,F351+Proc_Sk,F351+D_dL,F351-Cost_A)</f>
        <v>436.632729102868</v>
      </c>
      <c r="N351" s="19" t="n">
        <f aca="false">CHOOSE(D351,(1-Tech_share)*G351,(1-Tech_share)*G351,G351+D_dT,G351)</f>
        <v>68.0712022218166</v>
      </c>
      <c r="O351" s="14" t="n">
        <f aca="false">CHOOSE(D351,H351-W_lost,H351,H351,H351+W_gain)</f>
        <v>60</v>
      </c>
      <c r="P351" s="16" t="n">
        <f aca="false">CHOOSE(D351,I351,I351,I351+D_dE,I351+Close_A*(Ceil_E-I351))</f>
        <v>82.7991654861622</v>
      </c>
      <c r="Q351" s="14" t="n">
        <f aca="false">CHOOSE(D351,1,1,J351,J351)</f>
        <v>1</v>
      </c>
      <c r="R351" s="14" t="n">
        <f aca="false">IF(L351=1,IF(SUMPRODUCT(($L$35:$L$350=1)*(ABS($M$35:$M$350-M351)&lt;0.000001)*(ABS($N$35:$N$350-N351)&lt;0.000001)*($O$35:$O$350=O351)*(ABS($P$35:$P$350-P351)&lt;0.000001)*($Q$35:$Q$350=Q351)*($V$35:$V$350=V351))=0,1,0),0)</f>
        <v>1</v>
      </c>
      <c r="S351" s="14" t="n">
        <f aca="false">IF(AND(L351=1,N351&gt;=$B$4-0.000000001,P351&gt;=$B$6-0.000000001,M351&gt;=Floor_q+$B$5-0.000000001),1,0)</f>
        <v>0</v>
      </c>
      <c r="T351" s="14" t="n">
        <f aca="false">L351*(IF(1&lt;=2,1-Q351,IF(1=3,IF(AND(V351=0,O351&gt;=W_min,M351-D_dip&gt;=Floor_q),1,0),IF(AND(O351&gt;=W_min,M351&gt;=Pre_A),1,0)))+IF(2&lt;=2,1-Q351,IF(2=3,IF(AND(V351=0,O351&gt;=W_min,M351-D_dip&gt;=Floor_q),1,0),IF(AND(O351&gt;=W_min,M351&gt;=Pre_A),1,0)))+IF(3&lt;=2,1-Q351,IF(3=3,IF(AND(V351=0,O351&gt;=W_min,M351-D_dip&gt;=Floor_q),1,0),IF(AND(O351&gt;=W_min,M351&gt;=Pre_A),1,0)))+IF(4&lt;=2,1-Q351,IF(4=3,IF(AND(V351=0,O351&gt;=W_min,M351-D_dip&gt;=Floor_q),1,0),IF(AND(O351&gt;=W_min,M351&gt;=Pre_A),1,0))))</f>
        <v>0</v>
      </c>
      <c r="U351" s="14" t="n">
        <f aca="false">V113</f>
        <v>1</v>
      </c>
      <c r="V351" s="14" t="n">
        <f aca="false">CHOOSE(D351,U351,U351,1,U351)</f>
        <v>1</v>
      </c>
    </row>
    <row r="352" customFormat="false" ht="15" hidden="false" customHeight="true" outlineLevel="0" collapsed="false">
      <c r="A352" s="3" t="s">
        <v>590</v>
      </c>
      <c r="B352" s="14" t="n">
        <v>4</v>
      </c>
      <c r="C352" s="14" t="n">
        <v>114</v>
      </c>
      <c r="D352" s="14" t="n">
        <v>1</v>
      </c>
      <c r="E352" s="14" t="n">
        <f aca="false">L114</f>
        <v>0</v>
      </c>
      <c r="F352" s="19" t="n">
        <f aca="false">M114</f>
        <v>429.265458205737</v>
      </c>
      <c r="G352" s="19" t="n">
        <f aca="false">N114</f>
        <v>110.269338270704</v>
      </c>
      <c r="H352" s="14" t="n">
        <f aca="false">O114</f>
        <v>59</v>
      </c>
      <c r="I352" s="16" t="n">
        <f aca="false">P114</f>
        <v>83.1966619446489</v>
      </c>
      <c r="J352" s="14" t="n">
        <f aca="false">Q114</f>
        <v>0</v>
      </c>
      <c r="K352" s="14" t="n">
        <f aca="false">IF(D352&lt;=2,1-J352,IF(D352=3,IF(AND(U352=0,H352&gt;=W_min,F352-D_dip&gt;=Floor_q),1,0),IF(AND(H352&gt;=W_min,F352&gt;=Pre_A),1,0)))</f>
        <v>1</v>
      </c>
      <c r="L352" s="14" t="n">
        <f aca="false">E352*K352</f>
        <v>0</v>
      </c>
      <c r="M352" s="19" t="n">
        <f aca="false">CHOOSE(D352,F352+Proc_S,F352+Proc_Sk,F352+D_dL,F352-Cost_A)</f>
        <v>541.265458205737</v>
      </c>
      <c r="N352" s="19" t="n">
        <f aca="false">CHOOSE(D352,(1-Tech_share)*G352,(1-Tech_share)*G352,G352+D_dT,G352)</f>
        <v>99.2424044436333</v>
      </c>
      <c r="O352" s="14" t="n">
        <f aca="false">CHOOSE(D352,H352-W_lost,H352,H352,H352+W_gain)</f>
        <v>54</v>
      </c>
      <c r="P352" s="16" t="n">
        <f aca="false">CHOOSE(D352,I352,I352,I352+D_dE,I352+Close_A*(Ceil_E-I352))</f>
        <v>83.1966619446489</v>
      </c>
      <c r="Q352" s="14" t="n">
        <f aca="false">CHOOSE(D352,1,1,J352,J352)</f>
        <v>1</v>
      </c>
      <c r="R352" s="14" t="n">
        <f aca="false">IF(L352=1,IF(SUMPRODUCT(($L$35:$L$351=1)*(ABS($M$35:$M$351-M352)&lt;0.000001)*(ABS($N$35:$N$351-N352)&lt;0.000001)*($O$35:$O$351=O352)*(ABS($P$35:$P$351-P352)&lt;0.000001)*($Q$35:$Q$351=Q352)*($V$35:$V$351=V352))=0,1,0),0)</f>
        <v>0</v>
      </c>
      <c r="S352" s="14" t="n">
        <f aca="false">IF(AND(L352=1,N352&gt;=$B$4-0.000000001,P352&gt;=$B$6-0.000000001,M352&gt;=Floor_q+$B$5-0.000000001),1,0)</f>
        <v>0</v>
      </c>
      <c r="T352" s="14" t="n">
        <f aca="false">L352*(IF(1&lt;=2,1-Q352,IF(1=3,IF(AND(V352=0,O352&gt;=W_min,M352-D_dip&gt;=Floor_q),1,0),IF(AND(O352&gt;=W_min,M352&gt;=Pre_A),1,0)))+IF(2&lt;=2,1-Q352,IF(2=3,IF(AND(V352=0,O352&gt;=W_min,M352-D_dip&gt;=Floor_q),1,0),IF(AND(O352&gt;=W_min,M352&gt;=Pre_A),1,0)))+IF(3&lt;=2,1-Q352,IF(3=3,IF(AND(V352=0,O352&gt;=W_min,M352-D_dip&gt;=Floor_q),1,0),IF(AND(O352&gt;=W_min,M352&gt;=Pre_A),1,0)))+IF(4&lt;=2,1-Q352,IF(4=3,IF(AND(V352=0,O352&gt;=W_min,M352-D_dip&gt;=Floor_q),1,0),IF(AND(O352&gt;=W_min,M352&gt;=Pre_A),1,0))))</f>
        <v>0</v>
      </c>
      <c r="U352" s="14" t="n">
        <f aca="false">V114</f>
        <v>1</v>
      </c>
      <c r="V352" s="14" t="n">
        <f aca="false">CHOOSE(D352,U352,U352,1,U352)</f>
        <v>1</v>
      </c>
    </row>
    <row r="353" customFormat="false" ht="15" hidden="false" customHeight="true" outlineLevel="0" collapsed="false">
      <c r="A353" s="3" t="s">
        <v>591</v>
      </c>
      <c r="B353" s="14" t="n">
        <v>4</v>
      </c>
      <c r="C353" s="14" t="n">
        <v>114</v>
      </c>
      <c r="D353" s="14" t="n">
        <v>2</v>
      </c>
      <c r="E353" s="14" t="n">
        <f aca="false">L114</f>
        <v>0</v>
      </c>
      <c r="F353" s="19" t="n">
        <f aca="false">M114</f>
        <v>429.265458205737</v>
      </c>
      <c r="G353" s="19" t="n">
        <f aca="false">N114</f>
        <v>110.269338270704</v>
      </c>
      <c r="H353" s="14" t="n">
        <f aca="false">O114</f>
        <v>59</v>
      </c>
      <c r="I353" s="16" t="n">
        <f aca="false">P114</f>
        <v>83.1966619446489</v>
      </c>
      <c r="J353" s="14" t="n">
        <f aca="false">Q114</f>
        <v>0</v>
      </c>
      <c r="K353" s="14" t="n">
        <f aca="false">IF(D353&lt;=2,1-J353,IF(D353=3,IF(AND(U353=0,H353&gt;=W_min,F353-D_dip&gt;=Floor_q),1,0),IF(AND(H353&gt;=W_min,F353&gt;=Pre_A),1,0)))</f>
        <v>1</v>
      </c>
      <c r="L353" s="14" t="n">
        <f aca="false">E353*K353</f>
        <v>0</v>
      </c>
      <c r="M353" s="19" t="n">
        <f aca="false">CHOOSE(D353,F353+Proc_S,F353+Proc_Sk,F353+D_dL,F353-Cost_A)</f>
        <v>521.265458205737</v>
      </c>
      <c r="N353" s="19" t="n">
        <f aca="false">CHOOSE(D353,(1-Tech_share)*G353,(1-Tech_share)*G353,G353+D_dT,G353)</f>
        <v>99.2424044436333</v>
      </c>
      <c r="O353" s="14" t="n">
        <f aca="false">CHOOSE(D353,H353-W_lost,H353,H353,H353+W_gain)</f>
        <v>59</v>
      </c>
      <c r="P353" s="16" t="n">
        <f aca="false">CHOOSE(D353,I353,I353,I353+D_dE,I353+Close_A*(Ceil_E-I353))</f>
        <v>83.1966619446489</v>
      </c>
      <c r="Q353" s="14" t="n">
        <f aca="false">CHOOSE(D353,1,1,J353,J353)</f>
        <v>1</v>
      </c>
      <c r="R353" s="14" t="n">
        <f aca="false">IF(L353=1,IF(SUMPRODUCT(($L$35:$L$352=1)*(ABS($M$35:$M$352-M353)&lt;0.000001)*(ABS($N$35:$N$352-N353)&lt;0.000001)*($O$35:$O$352=O353)*(ABS($P$35:$P$352-P353)&lt;0.000001)*($Q$35:$Q$352=Q353)*($V$35:$V$352=V353))=0,1,0),0)</f>
        <v>0</v>
      </c>
      <c r="S353" s="14" t="n">
        <f aca="false">IF(AND(L353=1,N353&gt;=$B$4-0.000000001,P353&gt;=$B$6-0.000000001,M353&gt;=Floor_q+$B$5-0.000000001),1,0)</f>
        <v>0</v>
      </c>
      <c r="T353" s="14" t="n">
        <f aca="false">L353*(IF(1&lt;=2,1-Q353,IF(1=3,IF(AND(V353=0,O353&gt;=W_min,M353-D_dip&gt;=Floor_q),1,0),IF(AND(O353&gt;=W_min,M353&gt;=Pre_A),1,0)))+IF(2&lt;=2,1-Q353,IF(2=3,IF(AND(V353=0,O353&gt;=W_min,M353-D_dip&gt;=Floor_q),1,0),IF(AND(O353&gt;=W_min,M353&gt;=Pre_A),1,0)))+IF(3&lt;=2,1-Q353,IF(3=3,IF(AND(V353=0,O353&gt;=W_min,M353-D_dip&gt;=Floor_q),1,0),IF(AND(O353&gt;=W_min,M353&gt;=Pre_A),1,0)))+IF(4&lt;=2,1-Q353,IF(4=3,IF(AND(V353=0,O353&gt;=W_min,M353-D_dip&gt;=Floor_q),1,0),IF(AND(O353&gt;=W_min,M353&gt;=Pre_A),1,0))))</f>
        <v>0</v>
      </c>
      <c r="U353" s="14" t="n">
        <f aca="false">V114</f>
        <v>1</v>
      </c>
      <c r="V353" s="14" t="n">
        <f aca="false">CHOOSE(D353,U353,U353,1,U353)</f>
        <v>1</v>
      </c>
    </row>
    <row r="354" customFormat="false" ht="15" hidden="false" customHeight="true" outlineLevel="0" collapsed="false">
      <c r="A354" s="3" t="s">
        <v>592</v>
      </c>
      <c r="B354" s="14" t="n">
        <v>4</v>
      </c>
      <c r="C354" s="14" t="n">
        <v>114</v>
      </c>
      <c r="D354" s="14" t="n">
        <v>3</v>
      </c>
      <c r="E354" s="14" t="n">
        <f aca="false">L114</f>
        <v>0</v>
      </c>
      <c r="F354" s="19" t="n">
        <f aca="false">M114</f>
        <v>429.265458205737</v>
      </c>
      <c r="G354" s="19" t="n">
        <f aca="false">N114</f>
        <v>110.269338270704</v>
      </c>
      <c r="H354" s="14" t="n">
        <f aca="false">O114</f>
        <v>59</v>
      </c>
      <c r="I354" s="16" t="n">
        <f aca="false">P114</f>
        <v>83.1966619446489</v>
      </c>
      <c r="J354" s="14" t="n">
        <f aca="false">Q114</f>
        <v>0</v>
      </c>
      <c r="K354" s="14" t="n">
        <f aca="false">IF(D354&lt;=2,1-J354,IF(D354=3,IF(AND(U354=0,H354&gt;=W_min,F354-D_dip&gt;=Floor_q),1,0),IF(AND(H354&gt;=W_min,F354&gt;=Pre_A),1,0)))</f>
        <v>0</v>
      </c>
      <c r="L354" s="14" t="n">
        <f aca="false">E354*K354</f>
        <v>0</v>
      </c>
      <c r="M354" s="19" t="n">
        <f aca="false">CHOOSE(D354,F354+Proc_S,F354+Proc_Sk,F354+D_dL,F354-Cost_A)</f>
        <v>393.898187308605</v>
      </c>
      <c r="N354" s="19" t="n">
        <f aca="false">CHOOSE(D354,(1-Tech_share)*G354,(1-Tech_share)*G354,G354+D_dT,G354)</f>
        <v>144.904007406055</v>
      </c>
      <c r="O354" s="14" t="n">
        <f aca="false">CHOOSE(D354,H354-W_lost,H354,H354,H354+W_gain)</f>
        <v>59</v>
      </c>
      <c r="P354" s="16" t="n">
        <f aca="false">CHOOSE(D354,I354,I354,I354+D_dE,I354+Close_A*(Ceil_E-I354))</f>
        <v>85.7949929169734</v>
      </c>
      <c r="Q354" s="14" t="n">
        <f aca="false">CHOOSE(D354,1,1,J354,J354)</f>
        <v>0</v>
      </c>
      <c r="R354" s="14" t="n">
        <f aca="false">IF(L354=1,IF(SUMPRODUCT(($L$35:$L$353=1)*(ABS($M$35:$M$353-M354)&lt;0.000001)*(ABS($N$35:$N$353-N354)&lt;0.000001)*($O$35:$O$353=O354)*(ABS($P$35:$P$353-P354)&lt;0.000001)*($Q$35:$Q$353=Q354)*($V$35:$V$353=V354))=0,1,0),0)</f>
        <v>0</v>
      </c>
      <c r="S354" s="14" t="n">
        <f aca="false">IF(AND(L354=1,N354&gt;=$B$4-0.000000001,P354&gt;=$B$6-0.000000001,M354&gt;=Floor_q+$B$5-0.000000001),1,0)</f>
        <v>0</v>
      </c>
      <c r="T354" s="14" t="n">
        <f aca="false">L354*(IF(1&lt;=2,1-Q354,IF(1=3,IF(AND(V354=0,O354&gt;=W_min,M354-D_dip&gt;=Floor_q),1,0),IF(AND(O354&gt;=W_min,M354&gt;=Pre_A),1,0)))+IF(2&lt;=2,1-Q354,IF(2=3,IF(AND(V354=0,O354&gt;=W_min,M354-D_dip&gt;=Floor_q),1,0),IF(AND(O354&gt;=W_min,M354&gt;=Pre_A),1,0)))+IF(3&lt;=2,1-Q354,IF(3=3,IF(AND(V354=0,O354&gt;=W_min,M354-D_dip&gt;=Floor_q),1,0),IF(AND(O354&gt;=W_min,M354&gt;=Pre_A),1,0)))+IF(4&lt;=2,1-Q354,IF(4=3,IF(AND(V354=0,O354&gt;=W_min,M354-D_dip&gt;=Floor_q),1,0),IF(AND(O354&gt;=W_min,M354&gt;=Pre_A),1,0))))</f>
        <v>0</v>
      </c>
      <c r="U354" s="14" t="n">
        <f aca="false">V114</f>
        <v>1</v>
      </c>
      <c r="V354" s="14" t="n">
        <f aca="false">CHOOSE(D354,U354,U354,1,U354)</f>
        <v>1</v>
      </c>
    </row>
    <row r="355" customFormat="false" ht="15" hidden="false" customHeight="true" outlineLevel="0" collapsed="false">
      <c r="A355" s="3" t="s">
        <v>593</v>
      </c>
      <c r="B355" s="14" t="n">
        <v>4</v>
      </c>
      <c r="C355" s="14" t="n">
        <v>114</v>
      </c>
      <c r="D355" s="14" t="n">
        <v>4</v>
      </c>
      <c r="E355" s="14" t="n">
        <f aca="false">L114</f>
        <v>0</v>
      </c>
      <c r="F355" s="19" t="n">
        <f aca="false">M114</f>
        <v>429.265458205737</v>
      </c>
      <c r="G355" s="19" t="n">
        <f aca="false">N114</f>
        <v>110.269338270704</v>
      </c>
      <c r="H355" s="14" t="n">
        <f aca="false">O114</f>
        <v>59</v>
      </c>
      <c r="I355" s="16" t="n">
        <f aca="false">P114</f>
        <v>83.1966619446489</v>
      </c>
      <c r="J355" s="14" t="n">
        <f aca="false">Q114</f>
        <v>0</v>
      </c>
      <c r="K355" s="14" t="n">
        <f aca="false">IF(D355&lt;=2,1-J355,IF(D355=3,IF(AND(U355=0,H355&gt;=W_min,F355-D_dip&gt;=Floor_q),1,0),IF(AND(H355&gt;=W_min,F355&gt;=Pre_A),1,0)))</f>
        <v>0</v>
      </c>
      <c r="L355" s="14" t="n">
        <f aca="false">E355*K355</f>
        <v>0</v>
      </c>
      <c r="M355" s="19" t="n">
        <f aca="false">CHOOSE(D355,F355+Proc_S,F355+Proc_Sk,F355+D_dL,F355-Cost_A)</f>
        <v>309.265458205737</v>
      </c>
      <c r="N355" s="19" t="n">
        <f aca="false">CHOOSE(D355,(1-Tech_share)*G355,(1-Tech_share)*G355,G355+D_dT,G355)</f>
        <v>110.269338270704</v>
      </c>
      <c r="O355" s="14" t="n">
        <f aca="false">CHOOSE(D355,H355-W_lost,H355,H355,H355+W_gain)</f>
        <v>60</v>
      </c>
      <c r="P355" s="16" t="n">
        <f aca="false">CHOOSE(D355,I355,I355,I355+D_dE,I355+Close_A*(Ceil_E-I355))</f>
        <v>84.0983309723245</v>
      </c>
      <c r="Q355" s="14" t="n">
        <f aca="false">CHOOSE(D355,1,1,J355,J355)</f>
        <v>0</v>
      </c>
      <c r="R355" s="14" t="n">
        <f aca="false">IF(L355=1,IF(SUMPRODUCT(($L$35:$L$354=1)*(ABS($M$35:$M$354-M355)&lt;0.000001)*(ABS($N$35:$N$354-N355)&lt;0.000001)*($O$35:$O$354=O355)*(ABS($P$35:$P$354-P355)&lt;0.000001)*($Q$35:$Q$354=Q355)*($V$35:$V$354=V355))=0,1,0),0)</f>
        <v>0</v>
      </c>
      <c r="S355" s="14" t="n">
        <f aca="false">IF(AND(L355=1,N355&gt;=$B$4-0.000000001,P355&gt;=$B$6-0.000000001,M355&gt;=Floor_q+$B$5-0.000000001),1,0)</f>
        <v>0</v>
      </c>
      <c r="T355" s="14" t="n">
        <f aca="false">L355*(IF(1&lt;=2,1-Q355,IF(1=3,IF(AND(V355=0,O355&gt;=W_min,M355-D_dip&gt;=Floor_q),1,0),IF(AND(O355&gt;=W_min,M355&gt;=Pre_A),1,0)))+IF(2&lt;=2,1-Q355,IF(2=3,IF(AND(V355=0,O355&gt;=W_min,M355-D_dip&gt;=Floor_q),1,0),IF(AND(O355&gt;=W_min,M355&gt;=Pre_A),1,0)))+IF(3&lt;=2,1-Q355,IF(3=3,IF(AND(V355=0,O355&gt;=W_min,M355-D_dip&gt;=Floor_q),1,0),IF(AND(O355&gt;=W_min,M355&gt;=Pre_A),1,0)))+IF(4&lt;=2,1-Q355,IF(4=3,IF(AND(V355=0,O355&gt;=W_min,M355-D_dip&gt;=Floor_q),1,0),IF(AND(O355&gt;=W_min,M355&gt;=Pre_A),1,0))))</f>
        <v>0</v>
      </c>
      <c r="U355" s="14" t="n">
        <f aca="false">V114</f>
        <v>1</v>
      </c>
      <c r="V355" s="14" t="n">
        <f aca="false">CHOOSE(D355,U355,U355,1,U355)</f>
        <v>1</v>
      </c>
    </row>
    <row r="356" customFormat="false" ht="15" hidden="false" customHeight="true" outlineLevel="0" collapsed="false">
      <c r="A356" s="3" t="s">
        <v>594</v>
      </c>
      <c r="B356" s="14" t="n">
        <v>4</v>
      </c>
      <c r="C356" s="14" t="n">
        <v>115</v>
      </c>
      <c r="D356" s="14" t="n">
        <v>1</v>
      </c>
      <c r="E356" s="14" t="n">
        <f aca="false">L115</f>
        <v>0</v>
      </c>
      <c r="F356" s="19" t="n">
        <f aca="false">M115</f>
        <v>344.632729102868</v>
      </c>
      <c r="G356" s="19" t="n">
        <f aca="false">N115</f>
        <v>75.6346691353518</v>
      </c>
      <c r="H356" s="14" t="n">
        <f aca="false">O115</f>
        <v>60</v>
      </c>
      <c r="I356" s="16" t="n">
        <f aca="false">P115</f>
        <v>82.7991654861622</v>
      </c>
      <c r="J356" s="14" t="n">
        <f aca="false">Q115</f>
        <v>0</v>
      </c>
      <c r="K356" s="14" t="n">
        <f aca="false">IF(D356&lt;=2,1-J356,IF(D356=3,IF(AND(U356=0,H356&gt;=W_min,F356-D_dip&gt;=Floor_q),1,0),IF(AND(H356&gt;=W_min,F356&gt;=Pre_A),1,0)))</f>
        <v>1</v>
      </c>
      <c r="L356" s="14" t="n">
        <f aca="false">E356*K356</f>
        <v>0</v>
      </c>
      <c r="M356" s="19" t="n">
        <f aca="false">CHOOSE(D356,F356+Proc_S,F356+Proc_Sk,F356+D_dL,F356-Cost_A)</f>
        <v>456.632729102868</v>
      </c>
      <c r="N356" s="19" t="n">
        <f aca="false">CHOOSE(D356,(1-Tech_share)*G356,(1-Tech_share)*G356,G356+D_dT,G356)</f>
        <v>68.0712022218166</v>
      </c>
      <c r="O356" s="14" t="n">
        <f aca="false">CHOOSE(D356,H356-W_lost,H356,H356,H356+W_gain)</f>
        <v>55</v>
      </c>
      <c r="P356" s="16" t="n">
        <f aca="false">CHOOSE(D356,I356,I356,I356+D_dE,I356+Close_A*(Ceil_E-I356))</f>
        <v>82.7991654861622</v>
      </c>
      <c r="Q356" s="14" t="n">
        <f aca="false">CHOOSE(D356,1,1,J356,J356)</f>
        <v>1</v>
      </c>
      <c r="R356" s="14" t="n">
        <f aca="false">IF(L356=1,IF(SUMPRODUCT(($L$35:$L$355=1)*(ABS($M$35:$M$355-M356)&lt;0.000001)*(ABS($N$35:$N$355-N356)&lt;0.000001)*($O$35:$O$355=O356)*(ABS($P$35:$P$355-P356)&lt;0.000001)*($Q$35:$Q$355=Q356)*($V$35:$V$355=V356))=0,1,0),0)</f>
        <v>0</v>
      </c>
      <c r="S356" s="14" t="n">
        <f aca="false">IF(AND(L356=1,N356&gt;=$B$4-0.000000001,P356&gt;=$B$6-0.000000001,M356&gt;=Floor_q+$B$5-0.000000001),1,0)</f>
        <v>0</v>
      </c>
      <c r="T356" s="14" t="n">
        <f aca="false">L356*(IF(1&lt;=2,1-Q356,IF(1=3,IF(AND(V356=0,O356&gt;=W_min,M356-D_dip&gt;=Floor_q),1,0),IF(AND(O356&gt;=W_min,M356&gt;=Pre_A),1,0)))+IF(2&lt;=2,1-Q356,IF(2=3,IF(AND(V356=0,O356&gt;=W_min,M356-D_dip&gt;=Floor_q),1,0),IF(AND(O356&gt;=W_min,M356&gt;=Pre_A),1,0)))+IF(3&lt;=2,1-Q356,IF(3=3,IF(AND(V356=0,O356&gt;=W_min,M356-D_dip&gt;=Floor_q),1,0),IF(AND(O356&gt;=W_min,M356&gt;=Pre_A),1,0)))+IF(4&lt;=2,1-Q356,IF(4=3,IF(AND(V356=0,O356&gt;=W_min,M356-D_dip&gt;=Floor_q),1,0),IF(AND(O356&gt;=W_min,M356&gt;=Pre_A),1,0))))</f>
        <v>0</v>
      </c>
      <c r="U356" s="14" t="n">
        <f aca="false">V115</f>
        <v>1</v>
      </c>
      <c r="V356" s="14" t="n">
        <f aca="false">CHOOSE(D356,U356,U356,1,U356)</f>
        <v>1</v>
      </c>
    </row>
    <row r="357" customFormat="false" ht="15" hidden="false" customHeight="true" outlineLevel="0" collapsed="false">
      <c r="A357" s="3" t="s">
        <v>595</v>
      </c>
      <c r="B357" s="14" t="n">
        <v>4</v>
      </c>
      <c r="C357" s="14" t="n">
        <v>115</v>
      </c>
      <c r="D357" s="14" t="n">
        <v>2</v>
      </c>
      <c r="E357" s="14" t="n">
        <f aca="false">L115</f>
        <v>0</v>
      </c>
      <c r="F357" s="19" t="n">
        <f aca="false">M115</f>
        <v>344.632729102868</v>
      </c>
      <c r="G357" s="19" t="n">
        <f aca="false">N115</f>
        <v>75.6346691353518</v>
      </c>
      <c r="H357" s="14" t="n">
        <f aca="false">O115</f>
        <v>60</v>
      </c>
      <c r="I357" s="16" t="n">
        <f aca="false">P115</f>
        <v>82.7991654861622</v>
      </c>
      <c r="J357" s="14" t="n">
        <f aca="false">Q115</f>
        <v>0</v>
      </c>
      <c r="K357" s="14" t="n">
        <f aca="false">IF(D357&lt;=2,1-J357,IF(D357=3,IF(AND(U357=0,H357&gt;=W_min,F357-D_dip&gt;=Floor_q),1,0),IF(AND(H357&gt;=W_min,F357&gt;=Pre_A),1,0)))</f>
        <v>1</v>
      </c>
      <c r="L357" s="14" t="n">
        <f aca="false">E357*K357</f>
        <v>0</v>
      </c>
      <c r="M357" s="19" t="n">
        <f aca="false">CHOOSE(D357,F357+Proc_S,F357+Proc_Sk,F357+D_dL,F357-Cost_A)</f>
        <v>436.632729102868</v>
      </c>
      <c r="N357" s="19" t="n">
        <f aca="false">CHOOSE(D357,(1-Tech_share)*G357,(1-Tech_share)*G357,G357+D_dT,G357)</f>
        <v>68.0712022218166</v>
      </c>
      <c r="O357" s="14" t="n">
        <f aca="false">CHOOSE(D357,H357-W_lost,H357,H357,H357+W_gain)</f>
        <v>60</v>
      </c>
      <c r="P357" s="16" t="n">
        <f aca="false">CHOOSE(D357,I357,I357,I357+D_dE,I357+Close_A*(Ceil_E-I357))</f>
        <v>82.7991654861622</v>
      </c>
      <c r="Q357" s="14" t="n">
        <f aca="false">CHOOSE(D357,1,1,J357,J357)</f>
        <v>1</v>
      </c>
      <c r="R357" s="14" t="n">
        <f aca="false">IF(L357=1,IF(SUMPRODUCT(($L$35:$L$356=1)*(ABS($M$35:$M$356-M357)&lt;0.000001)*(ABS($N$35:$N$356-N357)&lt;0.000001)*($O$35:$O$356=O357)*(ABS($P$35:$P$356-P357)&lt;0.000001)*($Q$35:$Q$356=Q357)*($V$35:$V$356=V357))=0,1,0),0)</f>
        <v>0</v>
      </c>
      <c r="S357" s="14" t="n">
        <f aca="false">IF(AND(L357=1,N357&gt;=$B$4-0.000000001,P357&gt;=$B$6-0.000000001,M357&gt;=Floor_q+$B$5-0.000000001),1,0)</f>
        <v>0</v>
      </c>
      <c r="T357" s="14" t="n">
        <f aca="false">L357*(IF(1&lt;=2,1-Q357,IF(1=3,IF(AND(V357=0,O357&gt;=W_min,M357-D_dip&gt;=Floor_q),1,0),IF(AND(O357&gt;=W_min,M357&gt;=Pre_A),1,0)))+IF(2&lt;=2,1-Q357,IF(2=3,IF(AND(V357=0,O357&gt;=W_min,M357-D_dip&gt;=Floor_q),1,0),IF(AND(O357&gt;=W_min,M357&gt;=Pre_A),1,0)))+IF(3&lt;=2,1-Q357,IF(3=3,IF(AND(V357=0,O357&gt;=W_min,M357-D_dip&gt;=Floor_q),1,0),IF(AND(O357&gt;=W_min,M357&gt;=Pre_A),1,0)))+IF(4&lt;=2,1-Q357,IF(4=3,IF(AND(V357=0,O357&gt;=W_min,M357-D_dip&gt;=Floor_q),1,0),IF(AND(O357&gt;=W_min,M357&gt;=Pre_A),1,0))))</f>
        <v>0</v>
      </c>
      <c r="U357" s="14" t="n">
        <f aca="false">V115</f>
        <v>1</v>
      </c>
      <c r="V357" s="14" t="n">
        <f aca="false">CHOOSE(D357,U357,U357,1,U357)</f>
        <v>1</v>
      </c>
    </row>
    <row r="358" customFormat="false" ht="15" hidden="false" customHeight="true" outlineLevel="0" collapsed="false">
      <c r="A358" s="3" t="s">
        <v>596</v>
      </c>
      <c r="B358" s="14" t="n">
        <v>4</v>
      </c>
      <c r="C358" s="14" t="n">
        <v>115</v>
      </c>
      <c r="D358" s="14" t="n">
        <v>3</v>
      </c>
      <c r="E358" s="14" t="n">
        <f aca="false">L115</f>
        <v>0</v>
      </c>
      <c r="F358" s="19" t="n">
        <f aca="false">M115</f>
        <v>344.632729102868</v>
      </c>
      <c r="G358" s="19" t="n">
        <f aca="false">N115</f>
        <v>75.6346691353518</v>
      </c>
      <c r="H358" s="14" t="n">
        <f aca="false">O115</f>
        <v>60</v>
      </c>
      <c r="I358" s="16" t="n">
        <f aca="false">P115</f>
        <v>82.7991654861622</v>
      </c>
      <c r="J358" s="14" t="n">
        <f aca="false">Q115</f>
        <v>0</v>
      </c>
      <c r="K358" s="14" t="n">
        <f aca="false">IF(D358&lt;=2,1-J358,IF(D358=3,IF(AND(U358=0,H358&gt;=W_min,F358-D_dip&gt;=Floor_q),1,0),IF(AND(H358&gt;=W_min,F358&gt;=Pre_A),1,0)))</f>
        <v>0</v>
      </c>
      <c r="L358" s="14" t="n">
        <f aca="false">E358*K358</f>
        <v>0</v>
      </c>
      <c r="M358" s="19" t="n">
        <f aca="false">CHOOSE(D358,F358+Proc_S,F358+Proc_Sk,F358+D_dL,F358-Cost_A)</f>
        <v>309.265458205737</v>
      </c>
      <c r="N358" s="19" t="n">
        <f aca="false">CHOOSE(D358,(1-Tech_share)*G358,(1-Tech_share)*G358,G358+D_dT,G358)</f>
        <v>110.269338270704</v>
      </c>
      <c r="O358" s="14" t="n">
        <f aca="false">CHOOSE(D358,H358-W_lost,H358,H358,H358+W_gain)</f>
        <v>60</v>
      </c>
      <c r="P358" s="16" t="n">
        <f aca="false">CHOOSE(D358,I358,I358,I358+D_dE,I358+Close_A*(Ceil_E-I358))</f>
        <v>85.3974964584867</v>
      </c>
      <c r="Q358" s="14" t="n">
        <f aca="false">CHOOSE(D358,1,1,J358,J358)</f>
        <v>0</v>
      </c>
      <c r="R358" s="14" t="n">
        <f aca="false">IF(L358=1,IF(SUMPRODUCT(($L$35:$L$357=1)*(ABS($M$35:$M$357-M358)&lt;0.000001)*(ABS($N$35:$N$357-N358)&lt;0.000001)*($O$35:$O$357=O358)*(ABS($P$35:$P$357-P358)&lt;0.000001)*($Q$35:$Q$357=Q358)*($V$35:$V$357=V358))=0,1,0),0)</f>
        <v>0</v>
      </c>
      <c r="S358" s="14" t="n">
        <f aca="false">IF(AND(L358=1,N358&gt;=$B$4-0.000000001,P358&gt;=$B$6-0.000000001,M358&gt;=Floor_q+$B$5-0.000000001),1,0)</f>
        <v>0</v>
      </c>
      <c r="T358" s="14" t="n">
        <f aca="false">L358*(IF(1&lt;=2,1-Q358,IF(1=3,IF(AND(V358=0,O358&gt;=W_min,M358-D_dip&gt;=Floor_q),1,0),IF(AND(O358&gt;=W_min,M358&gt;=Pre_A),1,0)))+IF(2&lt;=2,1-Q358,IF(2=3,IF(AND(V358=0,O358&gt;=W_min,M358-D_dip&gt;=Floor_q),1,0),IF(AND(O358&gt;=W_min,M358&gt;=Pre_A),1,0)))+IF(3&lt;=2,1-Q358,IF(3=3,IF(AND(V358=0,O358&gt;=W_min,M358-D_dip&gt;=Floor_q),1,0),IF(AND(O358&gt;=W_min,M358&gt;=Pre_A),1,0)))+IF(4&lt;=2,1-Q358,IF(4=3,IF(AND(V358=0,O358&gt;=W_min,M358-D_dip&gt;=Floor_q),1,0),IF(AND(O358&gt;=W_min,M358&gt;=Pre_A),1,0))))</f>
        <v>0</v>
      </c>
      <c r="U358" s="14" t="n">
        <f aca="false">V115</f>
        <v>1</v>
      </c>
      <c r="V358" s="14" t="n">
        <f aca="false">CHOOSE(D358,U358,U358,1,U358)</f>
        <v>1</v>
      </c>
    </row>
    <row r="359" customFormat="false" ht="15" hidden="false" customHeight="true" outlineLevel="0" collapsed="false">
      <c r="A359" s="3" t="s">
        <v>597</v>
      </c>
      <c r="B359" s="14" t="n">
        <v>4</v>
      </c>
      <c r="C359" s="14" t="n">
        <v>115</v>
      </c>
      <c r="D359" s="14" t="n">
        <v>4</v>
      </c>
      <c r="E359" s="14" t="n">
        <f aca="false">L115</f>
        <v>0</v>
      </c>
      <c r="F359" s="19" t="n">
        <f aca="false">M115</f>
        <v>344.632729102868</v>
      </c>
      <c r="G359" s="19" t="n">
        <f aca="false">N115</f>
        <v>75.6346691353518</v>
      </c>
      <c r="H359" s="14" t="n">
        <f aca="false">O115</f>
        <v>60</v>
      </c>
      <c r="I359" s="16" t="n">
        <f aca="false">P115</f>
        <v>82.7991654861622</v>
      </c>
      <c r="J359" s="14" t="n">
        <f aca="false">Q115</f>
        <v>0</v>
      </c>
      <c r="K359" s="14" t="n">
        <f aca="false">IF(D359&lt;=2,1-J359,IF(D359=3,IF(AND(U359=0,H359&gt;=W_min,F359-D_dip&gt;=Floor_q),1,0),IF(AND(H359&gt;=W_min,F359&gt;=Pre_A),1,0)))</f>
        <v>0</v>
      </c>
      <c r="L359" s="14" t="n">
        <f aca="false">E359*K359</f>
        <v>0</v>
      </c>
      <c r="M359" s="19" t="n">
        <f aca="false">CHOOSE(D359,F359+Proc_S,F359+Proc_Sk,F359+D_dL,F359-Cost_A)</f>
        <v>224.632729102868</v>
      </c>
      <c r="N359" s="19" t="n">
        <f aca="false">CHOOSE(D359,(1-Tech_share)*G359,(1-Tech_share)*G359,G359+D_dT,G359)</f>
        <v>75.6346691353518</v>
      </c>
      <c r="O359" s="14" t="n">
        <f aca="false">CHOOSE(D359,H359-W_lost,H359,H359,H359+W_gain)</f>
        <v>61</v>
      </c>
      <c r="P359" s="16" t="n">
        <f aca="false">CHOOSE(D359,I359,I359,I359+D_dE,I359+Close_A*(Ceil_E-I359))</f>
        <v>83.8995827430811</v>
      </c>
      <c r="Q359" s="14" t="n">
        <f aca="false">CHOOSE(D359,1,1,J359,J359)</f>
        <v>0</v>
      </c>
      <c r="R359" s="14" t="n">
        <f aca="false">IF(L359=1,IF(SUMPRODUCT(($L$35:$L$358=1)*(ABS($M$35:$M$358-M359)&lt;0.000001)*(ABS($N$35:$N$358-N359)&lt;0.000001)*($O$35:$O$358=O359)*(ABS($P$35:$P$358-P359)&lt;0.000001)*($Q$35:$Q$358=Q359)*($V$35:$V$358=V359))=0,1,0),0)</f>
        <v>0</v>
      </c>
      <c r="S359" s="14" t="n">
        <f aca="false">IF(AND(L359=1,N359&gt;=$B$4-0.000000001,P359&gt;=$B$6-0.000000001,M359&gt;=Floor_q+$B$5-0.000000001),1,0)</f>
        <v>0</v>
      </c>
      <c r="T359" s="14" t="n">
        <f aca="false">L359*(IF(1&lt;=2,1-Q359,IF(1=3,IF(AND(V359=0,O359&gt;=W_min,M359-D_dip&gt;=Floor_q),1,0),IF(AND(O359&gt;=W_min,M359&gt;=Pre_A),1,0)))+IF(2&lt;=2,1-Q359,IF(2=3,IF(AND(V359=0,O359&gt;=W_min,M359-D_dip&gt;=Floor_q),1,0),IF(AND(O359&gt;=W_min,M359&gt;=Pre_A),1,0)))+IF(3&lt;=2,1-Q359,IF(3=3,IF(AND(V359=0,O359&gt;=W_min,M359-D_dip&gt;=Floor_q),1,0),IF(AND(O359&gt;=W_min,M359&gt;=Pre_A),1,0)))+IF(4&lt;=2,1-Q359,IF(4=3,IF(AND(V359=0,O359&gt;=W_min,M359-D_dip&gt;=Floor_q),1,0),IF(AND(O359&gt;=W_min,M359&gt;=Pre_A),1,0))))</f>
        <v>0</v>
      </c>
      <c r="U359" s="14" t="n">
        <f aca="false">V115</f>
        <v>1</v>
      </c>
      <c r="V359" s="14" t="n">
        <f aca="false">CHOOSE(D359,U359,U359,1,U359)</f>
        <v>1</v>
      </c>
    </row>
    <row r="360" customFormat="false" ht="15" hidden="false" customHeight="true" outlineLevel="0" collapsed="false">
      <c r="A360" s="3" t="s">
        <v>598</v>
      </c>
      <c r="B360" s="14" t="n">
        <v>4</v>
      </c>
      <c r="C360" s="14" t="n">
        <v>116</v>
      </c>
      <c r="D360" s="14" t="n">
        <v>1</v>
      </c>
      <c r="E360" s="14" t="n">
        <f aca="false">L116</f>
        <v>1</v>
      </c>
      <c r="F360" s="19" t="n">
        <f aca="false">M116</f>
        <v>492</v>
      </c>
      <c r="G360" s="19" t="n">
        <f aca="false">N116</f>
        <v>36.9</v>
      </c>
      <c r="H360" s="14" t="n">
        <f aca="false">O116</f>
        <v>55</v>
      </c>
      <c r="I360" s="16" t="n">
        <f aca="false">P116</f>
        <v>81.5</v>
      </c>
      <c r="J360" s="14" t="n">
        <f aca="false">Q116</f>
        <v>1</v>
      </c>
      <c r="K360" s="14" t="n">
        <f aca="false">IF(D360&lt;=2,1-J360,IF(D360=3,IF(AND(U360=0,H360&gt;=W_min,F360-D_dip&gt;=Floor_q),1,0),IF(AND(H360&gt;=W_min,F360&gt;=Pre_A),1,0)))</f>
        <v>0</v>
      </c>
      <c r="L360" s="14" t="n">
        <f aca="false">E360*K360</f>
        <v>0</v>
      </c>
      <c r="M360" s="19" t="n">
        <f aca="false">CHOOSE(D360,F360+Proc_S,F360+Proc_Sk,F360+D_dL,F360-Cost_A)</f>
        <v>604</v>
      </c>
      <c r="N360" s="19" t="n">
        <f aca="false">CHOOSE(D360,(1-Tech_share)*G360,(1-Tech_share)*G360,G360+D_dT,G360)</f>
        <v>33.21</v>
      </c>
      <c r="O360" s="14" t="n">
        <f aca="false">CHOOSE(D360,H360-W_lost,H360,H360,H360+W_gain)</f>
        <v>50</v>
      </c>
      <c r="P360" s="16" t="n">
        <f aca="false">CHOOSE(D360,I360,I360,I360+D_dE,I360+Close_A*(Ceil_E-I360))</f>
        <v>81.5</v>
      </c>
      <c r="Q360" s="14" t="n">
        <f aca="false">CHOOSE(D360,1,1,J360,J360)</f>
        <v>1</v>
      </c>
      <c r="R360" s="14" t="n">
        <f aca="false">IF(L360=1,IF(SUMPRODUCT(($L$35:$L$359=1)*(ABS($M$35:$M$359-M360)&lt;0.000001)*(ABS($N$35:$N$359-N360)&lt;0.000001)*($O$35:$O$359=O360)*(ABS($P$35:$P$359-P360)&lt;0.000001)*($Q$35:$Q$359=Q360)*($V$35:$V$359=V360))=0,1,0),0)</f>
        <v>0</v>
      </c>
      <c r="S360" s="14" t="n">
        <f aca="false">IF(AND(L360=1,N360&gt;=$B$4-0.000000001,P360&gt;=$B$6-0.000000001,M360&gt;=Floor_q+$B$5-0.000000001),1,0)</f>
        <v>0</v>
      </c>
      <c r="T360" s="14" t="n">
        <f aca="false">L360*(IF(1&lt;=2,1-Q360,IF(1=3,IF(AND(V360=0,O360&gt;=W_min,M360-D_dip&gt;=Floor_q),1,0),IF(AND(O360&gt;=W_min,M360&gt;=Pre_A),1,0)))+IF(2&lt;=2,1-Q360,IF(2=3,IF(AND(V360=0,O360&gt;=W_min,M360-D_dip&gt;=Floor_q),1,0),IF(AND(O360&gt;=W_min,M360&gt;=Pre_A),1,0)))+IF(3&lt;=2,1-Q360,IF(3=3,IF(AND(V360=0,O360&gt;=W_min,M360-D_dip&gt;=Floor_q),1,0),IF(AND(O360&gt;=W_min,M360&gt;=Pre_A),1,0)))+IF(4&lt;=2,1-Q360,IF(4=3,IF(AND(V360=0,O360&gt;=W_min,M360-D_dip&gt;=Floor_q),1,0),IF(AND(O360&gt;=W_min,M360&gt;=Pre_A),1,0))))</f>
        <v>0</v>
      </c>
      <c r="U360" s="14" t="n">
        <f aca="false">V116</f>
        <v>0</v>
      </c>
      <c r="V360" s="14" t="n">
        <f aca="false">CHOOSE(D360,U360,U360,1,U360)</f>
        <v>0</v>
      </c>
    </row>
    <row r="361" customFormat="false" ht="15" hidden="false" customHeight="true" outlineLevel="0" collapsed="false">
      <c r="A361" s="3" t="s">
        <v>599</v>
      </c>
      <c r="B361" s="14" t="n">
        <v>4</v>
      </c>
      <c r="C361" s="14" t="n">
        <v>116</v>
      </c>
      <c r="D361" s="14" t="n">
        <v>2</v>
      </c>
      <c r="E361" s="14" t="n">
        <f aca="false">L116</f>
        <v>1</v>
      </c>
      <c r="F361" s="19" t="n">
        <f aca="false">M116</f>
        <v>492</v>
      </c>
      <c r="G361" s="19" t="n">
        <f aca="false">N116</f>
        <v>36.9</v>
      </c>
      <c r="H361" s="14" t="n">
        <f aca="false">O116</f>
        <v>55</v>
      </c>
      <c r="I361" s="16" t="n">
        <f aca="false">P116</f>
        <v>81.5</v>
      </c>
      <c r="J361" s="14" t="n">
        <f aca="false">Q116</f>
        <v>1</v>
      </c>
      <c r="K361" s="14" t="n">
        <f aca="false">IF(D361&lt;=2,1-J361,IF(D361=3,IF(AND(U361=0,H361&gt;=W_min,F361-D_dip&gt;=Floor_q),1,0),IF(AND(H361&gt;=W_min,F361&gt;=Pre_A),1,0)))</f>
        <v>0</v>
      </c>
      <c r="L361" s="14" t="n">
        <f aca="false">E361*K361</f>
        <v>0</v>
      </c>
      <c r="M361" s="19" t="n">
        <f aca="false">CHOOSE(D361,F361+Proc_S,F361+Proc_Sk,F361+D_dL,F361-Cost_A)</f>
        <v>584</v>
      </c>
      <c r="N361" s="19" t="n">
        <f aca="false">CHOOSE(D361,(1-Tech_share)*G361,(1-Tech_share)*G361,G361+D_dT,G361)</f>
        <v>33.21</v>
      </c>
      <c r="O361" s="14" t="n">
        <f aca="false">CHOOSE(D361,H361-W_lost,H361,H361,H361+W_gain)</f>
        <v>55</v>
      </c>
      <c r="P361" s="16" t="n">
        <f aca="false">CHOOSE(D361,I361,I361,I361+D_dE,I361+Close_A*(Ceil_E-I361))</f>
        <v>81.5</v>
      </c>
      <c r="Q361" s="14" t="n">
        <f aca="false">CHOOSE(D361,1,1,J361,J361)</f>
        <v>1</v>
      </c>
      <c r="R361" s="14" t="n">
        <f aca="false">IF(L361=1,IF(SUMPRODUCT(($L$35:$L$360=1)*(ABS($M$35:$M$360-M361)&lt;0.000001)*(ABS($N$35:$N$360-N361)&lt;0.000001)*($O$35:$O$360=O361)*(ABS($P$35:$P$360-P361)&lt;0.000001)*($Q$35:$Q$360=Q361)*($V$35:$V$360=V361))=0,1,0),0)</f>
        <v>0</v>
      </c>
      <c r="S361" s="14" t="n">
        <f aca="false">IF(AND(L361=1,N361&gt;=$B$4-0.000000001,P361&gt;=$B$6-0.000000001,M361&gt;=Floor_q+$B$5-0.000000001),1,0)</f>
        <v>0</v>
      </c>
      <c r="T361" s="14" t="n">
        <f aca="false">L361*(IF(1&lt;=2,1-Q361,IF(1=3,IF(AND(V361=0,O361&gt;=W_min,M361-D_dip&gt;=Floor_q),1,0),IF(AND(O361&gt;=W_min,M361&gt;=Pre_A),1,0)))+IF(2&lt;=2,1-Q361,IF(2=3,IF(AND(V361=0,O361&gt;=W_min,M361-D_dip&gt;=Floor_q),1,0),IF(AND(O361&gt;=W_min,M361&gt;=Pre_A),1,0)))+IF(3&lt;=2,1-Q361,IF(3=3,IF(AND(V361=0,O361&gt;=W_min,M361-D_dip&gt;=Floor_q),1,0),IF(AND(O361&gt;=W_min,M361&gt;=Pre_A),1,0)))+IF(4&lt;=2,1-Q361,IF(4=3,IF(AND(V361=0,O361&gt;=W_min,M361-D_dip&gt;=Floor_q),1,0),IF(AND(O361&gt;=W_min,M361&gt;=Pre_A),1,0))))</f>
        <v>0</v>
      </c>
      <c r="U361" s="14" t="n">
        <f aca="false">V116</f>
        <v>0</v>
      </c>
      <c r="V361" s="14" t="n">
        <f aca="false">CHOOSE(D361,U361,U361,1,U361)</f>
        <v>0</v>
      </c>
    </row>
    <row r="362" customFormat="false" ht="15" hidden="false" customHeight="true" outlineLevel="0" collapsed="false">
      <c r="A362" s="3" t="s">
        <v>600</v>
      </c>
      <c r="B362" s="14" t="n">
        <v>4</v>
      </c>
      <c r="C362" s="14" t="n">
        <v>116</v>
      </c>
      <c r="D362" s="14" t="n">
        <v>3</v>
      </c>
      <c r="E362" s="14" t="n">
        <f aca="false">L116</f>
        <v>1</v>
      </c>
      <c r="F362" s="19" t="n">
        <f aca="false">M116</f>
        <v>492</v>
      </c>
      <c r="G362" s="19" t="n">
        <f aca="false">N116</f>
        <v>36.9</v>
      </c>
      <c r="H362" s="14" t="n">
        <f aca="false">O116</f>
        <v>55</v>
      </c>
      <c r="I362" s="16" t="n">
        <f aca="false">P116</f>
        <v>81.5</v>
      </c>
      <c r="J362" s="14" t="n">
        <f aca="false">Q116</f>
        <v>1</v>
      </c>
      <c r="K362" s="14" t="n">
        <f aca="false">IF(D362&lt;=2,1-J362,IF(D362=3,IF(AND(U362=0,H362&gt;=W_min,F362-D_dip&gt;=Floor_q),1,0),IF(AND(H362&gt;=W_min,F362&gt;=Pre_A),1,0)))</f>
        <v>1</v>
      </c>
      <c r="L362" s="14" t="n">
        <f aca="false">E362*K362</f>
        <v>1</v>
      </c>
      <c r="M362" s="19" t="n">
        <f aca="false">CHOOSE(D362,F362+Proc_S,F362+Proc_Sk,F362+D_dL,F362-Cost_A)</f>
        <v>456.632729102868</v>
      </c>
      <c r="N362" s="19" t="n">
        <f aca="false">CHOOSE(D362,(1-Tech_share)*G362,(1-Tech_share)*G362,G362+D_dT,G362)</f>
        <v>71.5346691353518</v>
      </c>
      <c r="O362" s="14" t="n">
        <f aca="false">CHOOSE(D362,H362-W_lost,H362,H362,H362+W_gain)</f>
        <v>55</v>
      </c>
      <c r="P362" s="16" t="n">
        <f aca="false">CHOOSE(D362,I362,I362,I362+D_dE,I362+Close_A*(Ceil_E-I362))</f>
        <v>84.0983309723245</v>
      </c>
      <c r="Q362" s="14" t="n">
        <f aca="false">CHOOSE(D362,1,1,J362,J362)</f>
        <v>1</v>
      </c>
      <c r="R362" s="14" t="n">
        <f aca="false">IF(L362=1,IF(SUMPRODUCT(($L$35:$L$361=1)*(ABS($M$35:$M$361-M362)&lt;0.000001)*(ABS($N$35:$N$361-N362)&lt;0.000001)*($O$35:$O$361=O362)*(ABS($P$35:$P$361-P362)&lt;0.000001)*($Q$35:$Q$361=Q362)*($V$35:$V$361=V362))=0,1,0),0)</f>
        <v>1</v>
      </c>
      <c r="S362" s="14" t="n">
        <f aca="false">IF(AND(L362=1,N362&gt;=$B$4-0.000000001,P362&gt;=$B$6-0.000000001,M362&gt;=Floor_q+$B$5-0.000000001),1,0)</f>
        <v>1</v>
      </c>
      <c r="T362" s="14" t="n">
        <f aca="false">L362*(IF(1&lt;=2,1-Q362,IF(1=3,IF(AND(V362=0,O362&gt;=W_min,M362-D_dip&gt;=Floor_q),1,0),IF(AND(O362&gt;=W_min,M362&gt;=Pre_A),1,0)))+IF(2&lt;=2,1-Q362,IF(2=3,IF(AND(V362=0,O362&gt;=W_min,M362-D_dip&gt;=Floor_q),1,0),IF(AND(O362&gt;=W_min,M362&gt;=Pre_A),1,0)))+IF(3&lt;=2,1-Q362,IF(3=3,IF(AND(V362=0,O362&gt;=W_min,M362-D_dip&gt;=Floor_q),1,0),IF(AND(O362&gt;=W_min,M362&gt;=Pre_A),1,0)))+IF(4&lt;=2,1-Q362,IF(4=3,IF(AND(V362=0,O362&gt;=W_min,M362-D_dip&gt;=Floor_q),1,0),IF(AND(O362&gt;=W_min,M362&gt;=Pre_A),1,0))))</f>
        <v>0</v>
      </c>
      <c r="U362" s="14" t="n">
        <f aca="false">V116</f>
        <v>0</v>
      </c>
      <c r="V362" s="14" t="n">
        <f aca="false">CHOOSE(D362,U362,U362,1,U362)</f>
        <v>1</v>
      </c>
    </row>
    <row r="363" customFormat="false" ht="15" hidden="false" customHeight="true" outlineLevel="0" collapsed="false">
      <c r="A363" s="3" t="s">
        <v>601</v>
      </c>
      <c r="B363" s="14" t="n">
        <v>4</v>
      </c>
      <c r="C363" s="14" t="n">
        <v>116</v>
      </c>
      <c r="D363" s="14" t="n">
        <v>4</v>
      </c>
      <c r="E363" s="14" t="n">
        <f aca="false">L116</f>
        <v>1</v>
      </c>
      <c r="F363" s="19" t="n">
        <f aca="false">M116</f>
        <v>492</v>
      </c>
      <c r="G363" s="19" t="n">
        <f aca="false">N116</f>
        <v>36.9</v>
      </c>
      <c r="H363" s="14" t="n">
        <f aca="false">O116</f>
        <v>55</v>
      </c>
      <c r="I363" s="16" t="n">
        <f aca="false">P116</f>
        <v>81.5</v>
      </c>
      <c r="J363" s="14" t="n">
        <f aca="false">Q116</f>
        <v>1</v>
      </c>
      <c r="K363" s="14" t="n">
        <f aca="false">IF(D363&lt;=2,1-J363,IF(D363=3,IF(AND(U363=0,H363&gt;=W_min,F363-D_dip&gt;=Floor_q),1,0),IF(AND(H363&gt;=W_min,F363&gt;=Pre_A),1,0)))</f>
        <v>1</v>
      </c>
      <c r="L363" s="14" t="n">
        <f aca="false">E363*K363</f>
        <v>1</v>
      </c>
      <c r="M363" s="19" t="n">
        <f aca="false">CHOOSE(D363,F363+Proc_S,F363+Proc_Sk,F363+D_dL,F363-Cost_A)</f>
        <v>372</v>
      </c>
      <c r="N363" s="19" t="n">
        <f aca="false">CHOOSE(D363,(1-Tech_share)*G363,(1-Tech_share)*G363,G363+D_dT,G363)</f>
        <v>36.9</v>
      </c>
      <c r="O363" s="14" t="n">
        <f aca="false">CHOOSE(D363,H363-W_lost,H363,H363,H363+W_gain)</f>
        <v>56</v>
      </c>
      <c r="P363" s="16" t="n">
        <f aca="false">CHOOSE(D363,I363,I363,I363+D_dE,I363+Close_A*(Ceil_E-I363))</f>
        <v>83.25</v>
      </c>
      <c r="Q363" s="14" t="n">
        <f aca="false">CHOOSE(D363,1,1,J363,J363)</f>
        <v>1</v>
      </c>
      <c r="R363" s="14" t="n">
        <f aca="false">IF(L363=1,IF(SUMPRODUCT(($L$35:$L$362=1)*(ABS($M$35:$M$362-M363)&lt;0.000001)*(ABS($N$35:$N$362-N363)&lt;0.000001)*($O$35:$O$362=O363)*(ABS($P$35:$P$362-P363)&lt;0.000001)*($Q$35:$Q$362=Q363)*($V$35:$V$362=V363))=0,1,0),0)</f>
        <v>1</v>
      </c>
      <c r="S363" s="14" t="n">
        <f aca="false">IF(AND(L363=1,N363&gt;=$B$4-0.000000001,P363&gt;=$B$6-0.000000001,M363&gt;=Floor_q+$B$5-0.000000001),1,0)</f>
        <v>0</v>
      </c>
      <c r="T363" s="14" t="n">
        <f aca="false">L363*(IF(1&lt;=2,1-Q363,IF(1=3,IF(AND(V363=0,O363&gt;=W_min,M363-D_dip&gt;=Floor_q),1,0),IF(AND(O363&gt;=W_min,M363&gt;=Pre_A),1,0)))+IF(2&lt;=2,1-Q363,IF(2=3,IF(AND(V363=0,O363&gt;=W_min,M363-D_dip&gt;=Floor_q),1,0),IF(AND(O363&gt;=W_min,M363&gt;=Pre_A),1,0)))+IF(3&lt;=2,1-Q363,IF(3=3,IF(AND(V363=0,O363&gt;=W_min,M363-D_dip&gt;=Floor_q),1,0),IF(AND(O363&gt;=W_min,M363&gt;=Pre_A),1,0)))+IF(4&lt;=2,1-Q363,IF(4=3,IF(AND(V363=0,O363&gt;=W_min,M363-D_dip&gt;=Floor_q),1,0),IF(AND(O363&gt;=W_min,M363&gt;=Pre_A),1,0))))</f>
        <v>0</v>
      </c>
      <c r="U363" s="14" t="n">
        <f aca="false">V116</f>
        <v>0</v>
      </c>
      <c r="V363" s="14" t="n">
        <f aca="false">CHOOSE(D363,U363,U363,1,U363)</f>
        <v>0</v>
      </c>
    </row>
    <row r="364" customFormat="false" ht="15" hidden="false" customHeight="true" outlineLevel="0" collapsed="false">
      <c r="A364" s="3" t="s">
        <v>602</v>
      </c>
      <c r="B364" s="14" t="n">
        <v>4</v>
      </c>
      <c r="C364" s="14" t="n">
        <v>117</v>
      </c>
      <c r="D364" s="14" t="n">
        <v>1</v>
      </c>
      <c r="E364" s="14" t="n">
        <f aca="false">L117</f>
        <v>1</v>
      </c>
      <c r="F364" s="19" t="n">
        <f aca="false">M117</f>
        <v>472</v>
      </c>
      <c r="G364" s="19" t="n">
        <f aca="false">N117</f>
        <v>36.9</v>
      </c>
      <c r="H364" s="14" t="n">
        <f aca="false">O117</f>
        <v>60</v>
      </c>
      <c r="I364" s="16" t="n">
        <f aca="false">P117</f>
        <v>81.5</v>
      </c>
      <c r="J364" s="14" t="n">
        <f aca="false">Q117</f>
        <v>1</v>
      </c>
      <c r="K364" s="14" t="n">
        <f aca="false">IF(D364&lt;=2,1-J364,IF(D364=3,IF(AND(U364=0,H364&gt;=W_min,F364-D_dip&gt;=Floor_q),1,0),IF(AND(H364&gt;=W_min,F364&gt;=Pre_A),1,0)))</f>
        <v>0</v>
      </c>
      <c r="L364" s="14" t="n">
        <f aca="false">E364*K364</f>
        <v>0</v>
      </c>
      <c r="M364" s="19" t="n">
        <f aca="false">CHOOSE(D364,F364+Proc_S,F364+Proc_Sk,F364+D_dL,F364-Cost_A)</f>
        <v>584</v>
      </c>
      <c r="N364" s="19" t="n">
        <f aca="false">CHOOSE(D364,(1-Tech_share)*G364,(1-Tech_share)*G364,G364+D_dT,G364)</f>
        <v>33.21</v>
      </c>
      <c r="O364" s="14" t="n">
        <f aca="false">CHOOSE(D364,H364-W_lost,H364,H364,H364+W_gain)</f>
        <v>55</v>
      </c>
      <c r="P364" s="16" t="n">
        <f aca="false">CHOOSE(D364,I364,I364,I364+D_dE,I364+Close_A*(Ceil_E-I364))</f>
        <v>81.5</v>
      </c>
      <c r="Q364" s="14" t="n">
        <f aca="false">CHOOSE(D364,1,1,J364,J364)</f>
        <v>1</v>
      </c>
      <c r="R364" s="14" t="n">
        <f aca="false">IF(L364=1,IF(SUMPRODUCT(($L$35:$L$363=1)*(ABS($M$35:$M$363-M364)&lt;0.000001)*(ABS($N$35:$N$363-N364)&lt;0.000001)*($O$35:$O$363=O364)*(ABS($P$35:$P$363-P364)&lt;0.000001)*($Q$35:$Q$363=Q364)*($V$35:$V$363=V364))=0,1,0),0)</f>
        <v>0</v>
      </c>
      <c r="S364" s="14" t="n">
        <f aca="false">IF(AND(L364=1,N364&gt;=$B$4-0.000000001,P364&gt;=$B$6-0.000000001,M364&gt;=Floor_q+$B$5-0.000000001),1,0)</f>
        <v>0</v>
      </c>
      <c r="T364" s="14" t="n">
        <f aca="false">L364*(IF(1&lt;=2,1-Q364,IF(1=3,IF(AND(V364=0,O364&gt;=W_min,M364-D_dip&gt;=Floor_q),1,0),IF(AND(O364&gt;=W_min,M364&gt;=Pre_A),1,0)))+IF(2&lt;=2,1-Q364,IF(2=3,IF(AND(V364=0,O364&gt;=W_min,M364-D_dip&gt;=Floor_q),1,0),IF(AND(O364&gt;=W_min,M364&gt;=Pre_A),1,0)))+IF(3&lt;=2,1-Q364,IF(3=3,IF(AND(V364=0,O364&gt;=W_min,M364-D_dip&gt;=Floor_q),1,0),IF(AND(O364&gt;=W_min,M364&gt;=Pre_A),1,0)))+IF(4&lt;=2,1-Q364,IF(4=3,IF(AND(V364=0,O364&gt;=W_min,M364-D_dip&gt;=Floor_q),1,0),IF(AND(O364&gt;=W_min,M364&gt;=Pre_A),1,0))))</f>
        <v>0</v>
      </c>
      <c r="U364" s="14" t="n">
        <f aca="false">V117</f>
        <v>0</v>
      </c>
      <c r="V364" s="14" t="n">
        <f aca="false">CHOOSE(D364,U364,U364,1,U364)</f>
        <v>0</v>
      </c>
    </row>
    <row r="365" customFormat="false" ht="15" hidden="false" customHeight="true" outlineLevel="0" collapsed="false">
      <c r="A365" s="3" t="s">
        <v>603</v>
      </c>
      <c r="B365" s="14" t="n">
        <v>4</v>
      </c>
      <c r="C365" s="14" t="n">
        <v>117</v>
      </c>
      <c r="D365" s="14" t="n">
        <v>2</v>
      </c>
      <c r="E365" s="14" t="n">
        <f aca="false">L117</f>
        <v>1</v>
      </c>
      <c r="F365" s="19" t="n">
        <f aca="false">M117</f>
        <v>472</v>
      </c>
      <c r="G365" s="19" t="n">
        <f aca="false">N117</f>
        <v>36.9</v>
      </c>
      <c r="H365" s="14" t="n">
        <f aca="false">O117</f>
        <v>60</v>
      </c>
      <c r="I365" s="16" t="n">
        <f aca="false">P117</f>
        <v>81.5</v>
      </c>
      <c r="J365" s="14" t="n">
        <f aca="false">Q117</f>
        <v>1</v>
      </c>
      <c r="K365" s="14" t="n">
        <f aca="false">IF(D365&lt;=2,1-J365,IF(D365=3,IF(AND(U365=0,H365&gt;=W_min,F365-D_dip&gt;=Floor_q),1,0),IF(AND(H365&gt;=W_min,F365&gt;=Pre_A),1,0)))</f>
        <v>0</v>
      </c>
      <c r="L365" s="14" t="n">
        <f aca="false">E365*K365</f>
        <v>0</v>
      </c>
      <c r="M365" s="19" t="n">
        <f aca="false">CHOOSE(D365,F365+Proc_S,F365+Proc_Sk,F365+D_dL,F365-Cost_A)</f>
        <v>564</v>
      </c>
      <c r="N365" s="19" t="n">
        <f aca="false">CHOOSE(D365,(1-Tech_share)*G365,(1-Tech_share)*G365,G365+D_dT,G365)</f>
        <v>33.21</v>
      </c>
      <c r="O365" s="14" t="n">
        <f aca="false">CHOOSE(D365,H365-W_lost,H365,H365,H365+W_gain)</f>
        <v>60</v>
      </c>
      <c r="P365" s="16" t="n">
        <f aca="false">CHOOSE(D365,I365,I365,I365+D_dE,I365+Close_A*(Ceil_E-I365))</f>
        <v>81.5</v>
      </c>
      <c r="Q365" s="14" t="n">
        <f aca="false">CHOOSE(D365,1,1,J365,J365)</f>
        <v>1</v>
      </c>
      <c r="R365" s="14" t="n">
        <f aca="false">IF(L365=1,IF(SUMPRODUCT(($L$35:$L$364=1)*(ABS($M$35:$M$364-M365)&lt;0.000001)*(ABS($N$35:$N$364-N365)&lt;0.000001)*($O$35:$O$364=O365)*(ABS($P$35:$P$364-P365)&lt;0.000001)*($Q$35:$Q$364=Q365)*($V$35:$V$364=V365))=0,1,0),0)</f>
        <v>0</v>
      </c>
      <c r="S365" s="14" t="n">
        <f aca="false">IF(AND(L365=1,N365&gt;=$B$4-0.000000001,P365&gt;=$B$6-0.000000001,M365&gt;=Floor_q+$B$5-0.000000001),1,0)</f>
        <v>0</v>
      </c>
      <c r="T365" s="14" t="n">
        <f aca="false">L365*(IF(1&lt;=2,1-Q365,IF(1=3,IF(AND(V365=0,O365&gt;=W_min,M365-D_dip&gt;=Floor_q),1,0),IF(AND(O365&gt;=W_min,M365&gt;=Pre_A),1,0)))+IF(2&lt;=2,1-Q365,IF(2=3,IF(AND(V365=0,O365&gt;=W_min,M365-D_dip&gt;=Floor_q),1,0),IF(AND(O365&gt;=W_min,M365&gt;=Pre_A),1,0)))+IF(3&lt;=2,1-Q365,IF(3=3,IF(AND(V365=0,O365&gt;=W_min,M365-D_dip&gt;=Floor_q),1,0),IF(AND(O365&gt;=W_min,M365&gt;=Pre_A),1,0)))+IF(4&lt;=2,1-Q365,IF(4=3,IF(AND(V365=0,O365&gt;=W_min,M365-D_dip&gt;=Floor_q),1,0),IF(AND(O365&gt;=W_min,M365&gt;=Pre_A),1,0))))</f>
        <v>0</v>
      </c>
      <c r="U365" s="14" t="n">
        <f aca="false">V117</f>
        <v>0</v>
      </c>
      <c r="V365" s="14" t="n">
        <f aca="false">CHOOSE(D365,U365,U365,1,U365)</f>
        <v>0</v>
      </c>
    </row>
    <row r="366" customFormat="false" ht="15" hidden="false" customHeight="true" outlineLevel="0" collapsed="false">
      <c r="A366" s="3" t="s">
        <v>604</v>
      </c>
      <c r="B366" s="14" t="n">
        <v>4</v>
      </c>
      <c r="C366" s="14" t="n">
        <v>117</v>
      </c>
      <c r="D366" s="14" t="n">
        <v>3</v>
      </c>
      <c r="E366" s="14" t="n">
        <f aca="false">L117</f>
        <v>1</v>
      </c>
      <c r="F366" s="19" t="n">
        <f aca="false">M117</f>
        <v>472</v>
      </c>
      <c r="G366" s="19" t="n">
        <f aca="false">N117</f>
        <v>36.9</v>
      </c>
      <c r="H366" s="14" t="n">
        <f aca="false">O117</f>
        <v>60</v>
      </c>
      <c r="I366" s="16" t="n">
        <f aca="false">P117</f>
        <v>81.5</v>
      </c>
      <c r="J366" s="14" t="n">
        <f aca="false">Q117</f>
        <v>1</v>
      </c>
      <c r="K366" s="14" t="n">
        <f aca="false">IF(D366&lt;=2,1-J366,IF(D366=3,IF(AND(U366=0,H366&gt;=W_min,F366-D_dip&gt;=Floor_q),1,0),IF(AND(H366&gt;=W_min,F366&gt;=Pre_A),1,0)))</f>
        <v>0</v>
      </c>
      <c r="L366" s="14" t="n">
        <f aca="false">E366*K366</f>
        <v>0</v>
      </c>
      <c r="M366" s="19" t="n">
        <f aca="false">CHOOSE(D366,F366+Proc_S,F366+Proc_Sk,F366+D_dL,F366-Cost_A)</f>
        <v>436.632729102868</v>
      </c>
      <c r="N366" s="19" t="n">
        <f aca="false">CHOOSE(D366,(1-Tech_share)*G366,(1-Tech_share)*G366,G366+D_dT,G366)</f>
        <v>71.5346691353518</v>
      </c>
      <c r="O366" s="14" t="n">
        <f aca="false">CHOOSE(D366,H366-W_lost,H366,H366,H366+W_gain)</f>
        <v>60</v>
      </c>
      <c r="P366" s="16" t="n">
        <f aca="false">CHOOSE(D366,I366,I366,I366+D_dE,I366+Close_A*(Ceil_E-I366))</f>
        <v>84.0983309723245</v>
      </c>
      <c r="Q366" s="14" t="n">
        <f aca="false">CHOOSE(D366,1,1,J366,J366)</f>
        <v>1</v>
      </c>
      <c r="R366" s="14" t="n">
        <f aca="false">IF(L366=1,IF(SUMPRODUCT(($L$35:$L$365=1)*(ABS($M$35:$M$365-M366)&lt;0.000001)*(ABS($N$35:$N$365-N366)&lt;0.000001)*($O$35:$O$365=O366)*(ABS($P$35:$P$365-P366)&lt;0.000001)*($Q$35:$Q$365=Q366)*($V$35:$V$365=V366))=0,1,0),0)</f>
        <v>0</v>
      </c>
      <c r="S366" s="14" t="n">
        <f aca="false">IF(AND(L366=1,N366&gt;=$B$4-0.000000001,P366&gt;=$B$6-0.000000001,M366&gt;=Floor_q+$B$5-0.000000001),1,0)</f>
        <v>0</v>
      </c>
      <c r="T366" s="14" t="n">
        <f aca="false">L366*(IF(1&lt;=2,1-Q366,IF(1=3,IF(AND(V366=0,O366&gt;=W_min,M366-D_dip&gt;=Floor_q),1,0),IF(AND(O366&gt;=W_min,M366&gt;=Pre_A),1,0)))+IF(2&lt;=2,1-Q366,IF(2=3,IF(AND(V366=0,O366&gt;=W_min,M366-D_dip&gt;=Floor_q),1,0),IF(AND(O366&gt;=W_min,M366&gt;=Pre_A),1,0)))+IF(3&lt;=2,1-Q366,IF(3=3,IF(AND(V366=0,O366&gt;=W_min,M366-D_dip&gt;=Floor_q),1,0),IF(AND(O366&gt;=W_min,M366&gt;=Pre_A),1,0)))+IF(4&lt;=2,1-Q366,IF(4=3,IF(AND(V366=0,O366&gt;=W_min,M366-D_dip&gt;=Floor_q),1,0),IF(AND(O366&gt;=W_min,M366&gt;=Pre_A),1,0))))</f>
        <v>0</v>
      </c>
      <c r="U366" s="14" t="n">
        <f aca="false">V117</f>
        <v>0</v>
      </c>
      <c r="V366" s="14" t="n">
        <f aca="false">CHOOSE(D366,U366,U366,1,U366)</f>
        <v>1</v>
      </c>
    </row>
    <row r="367" customFormat="false" ht="15" hidden="false" customHeight="true" outlineLevel="0" collapsed="false">
      <c r="A367" s="3" t="s">
        <v>605</v>
      </c>
      <c r="B367" s="14" t="n">
        <v>4</v>
      </c>
      <c r="C367" s="14" t="n">
        <v>117</v>
      </c>
      <c r="D367" s="14" t="n">
        <v>4</v>
      </c>
      <c r="E367" s="14" t="n">
        <f aca="false">L117</f>
        <v>1</v>
      </c>
      <c r="F367" s="19" t="n">
        <f aca="false">M117</f>
        <v>472</v>
      </c>
      <c r="G367" s="19" t="n">
        <f aca="false">N117</f>
        <v>36.9</v>
      </c>
      <c r="H367" s="14" t="n">
        <f aca="false">O117</f>
        <v>60</v>
      </c>
      <c r="I367" s="16" t="n">
        <f aca="false">P117</f>
        <v>81.5</v>
      </c>
      <c r="J367" s="14" t="n">
        <f aca="false">Q117</f>
        <v>1</v>
      </c>
      <c r="K367" s="14" t="n">
        <f aca="false">IF(D367&lt;=2,1-J367,IF(D367=3,IF(AND(U367=0,H367&gt;=W_min,F367-D_dip&gt;=Floor_q),1,0),IF(AND(H367&gt;=W_min,F367&gt;=Pre_A),1,0)))</f>
        <v>1</v>
      </c>
      <c r="L367" s="14" t="n">
        <f aca="false">E367*K367</f>
        <v>1</v>
      </c>
      <c r="M367" s="19" t="n">
        <f aca="false">CHOOSE(D367,F367+Proc_S,F367+Proc_Sk,F367+D_dL,F367-Cost_A)</f>
        <v>352</v>
      </c>
      <c r="N367" s="19" t="n">
        <f aca="false">CHOOSE(D367,(1-Tech_share)*G367,(1-Tech_share)*G367,G367+D_dT,G367)</f>
        <v>36.9</v>
      </c>
      <c r="O367" s="14" t="n">
        <f aca="false">CHOOSE(D367,H367-W_lost,H367,H367,H367+W_gain)</f>
        <v>61</v>
      </c>
      <c r="P367" s="16" t="n">
        <f aca="false">CHOOSE(D367,I367,I367,I367+D_dE,I367+Close_A*(Ceil_E-I367))</f>
        <v>83.25</v>
      </c>
      <c r="Q367" s="14" t="n">
        <f aca="false">CHOOSE(D367,1,1,J367,J367)</f>
        <v>1</v>
      </c>
      <c r="R367" s="14" t="n">
        <f aca="false">IF(L367=1,IF(SUMPRODUCT(($L$35:$L$366=1)*(ABS($M$35:$M$366-M367)&lt;0.000001)*(ABS($N$35:$N$366-N367)&lt;0.000001)*($O$35:$O$366=O367)*(ABS($P$35:$P$366-P367)&lt;0.000001)*($Q$35:$Q$366=Q367)*($V$35:$V$366=V367))=0,1,0),0)</f>
        <v>0</v>
      </c>
      <c r="S367" s="14" t="n">
        <f aca="false">IF(AND(L367=1,N367&gt;=$B$4-0.000000001,P367&gt;=$B$6-0.000000001,M367&gt;=Floor_q+$B$5-0.000000001),1,0)</f>
        <v>0</v>
      </c>
      <c r="T367" s="14" t="n">
        <f aca="false">L367*(IF(1&lt;=2,1-Q367,IF(1=3,IF(AND(V367=0,O367&gt;=W_min,M367-D_dip&gt;=Floor_q),1,0),IF(AND(O367&gt;=W_min,M367&gt;=Pre_A),1,0)))+IF(2&lt;=2,1-Q367,IF(2=3,IF(AND(V367=0,O367&gt;=W_min,M367-D_dip&gt;=Floor_q),1,0),IF(AND(O367&gt;=W_min,M367&gt;=Pre_A),1,0)))+IF(3&lt;=2,1-Q367,IF(3=3,IF(AND(V367=0,O367&gt;=W_min,M367-D_dip&gt;=Floor_q),1,0),IF(AND(O367&gt;=W_min,M367&gt;=Pre_A),1,0)))+IF(4&lt;=2,1-Q367,IF(4=3,IF(AND(V367=0,O367&gt;=W_min,M367-D_dip&gt;=Floor_q),1,0),IF(AND(O367&gt;=W_min,M367&gt;=Pre_A),1,0))))</f>
        <v>0</v>
      </c>
      <c r="U367" s="14" t="n">
        <f aca="false">V117</f>
        <v>0</v>
      </c>
      <c r="V367" s="14" t="n">
        <f aca="false">CHOOSE(D367,U367,U367,1,U367)</f>
        <v>0</v>
      </c>
    </row>
    <row r="368" customFormat="false" ht="15" hidden="false" customHeight="true" outlineLevel="0" collapsed="false">
      <c r="A368" s="3" t="s">
        <v>606</v>
      </c>
      <c r="B368" s="14" t="n">
        <v>4</v>
      </c>
      <c r="C368" s="14" t="n">
        <v>118</v>
      </c>
      <c r="D368" s="14" t="n">
        <v>1</v>
      </c>
      <c r="E368" s="14" t="n">
        <f aca="false">L118</f>
        <v>0</v>
      </c>
      <c r="F368" s="19" t="n">
        <f aca="false">M118</f>
        <v>344.632729102868</v>
      </c>
      <c r="G368" s="19" t="n">
        <f aca="false">N118</f>
        <v>75.6346691353518</v>
      </c>
      <c r="H368" s="14" t="n">
        <f aca="false">O118</f>
        <v>60</v>
      </c>
      <c r="I368" s="16" t="n">
        <f aca="false">P118</f>
        <v>84.0983309723245</v>
      </c>
      <c r="J368" s="14" t="n">
        <f aca="false">Q118</f>
        <v>0</v>
      </c>
      <c r="K368" s="14" t="n">
        <f aca="false">IF(D368&lt;=2,1-J368,IF(D368=3,IF(AND(U368=0,H368&gt;=W_min,F368-D_dip&gt;=Floor_q),1,0),IF(AND(H368&gt;=W_min,F368&gt;=Pre_A),1,0)))</f>
        <v>1</v>
      </c>
      <c r="L368" s="14" t="n">
        <f aca="false">E368*K368</f>
        <v>0</v>
      </c>
      <c r="M368" s="19" t="n">
        <f aca="false">CHOOSE(D368,F368+Proc_S,F368+Proc_Sk,F368+D_dL,F368-Cost_A)</f>
        <v>456.632729102868</v>
      </c>
      <c r="N368" s="19" t="n">
        <f aca="false">CHOOSE(D368,(1-Tech_share)*G368,(1-Tech_share)*G368,G368+D_dT,G368)</f>
        <v>68.0712022218166</v>
      </c>
      <c r="O368" s="14" t="n">
        <f aca="false">CHOOSE(D368,H368-W_lost,H368,H368,H368+W_gain)</f>
        <v>55</v>
      </c>
      <c r="P368" s="16" t="n">
        <f aca="false">CHOOSE(D368,I368,I368,I368+D_dE,I368+Close_A*(Ceil_E-I368))</f>
        <v>84.0983309723245</v>
      </c>
      <c r="Q368" s="14" t="n">
        <f aca="false">CHOOSE(D368,1,1,J368,J368)</f>
        <v>1</v>
      </c>
      <c r="R368" s="14" t="n">
        <f aca="false">IF(L368=1,IF(SUMPRODUCT(($L$35:$L$367=1)*(ABS($M$35:$M$367-M368)&lt;0.000001)*(ABS($N$35:$N$367-N368)&lt;0.000001)*($O$35:$O$367=O368)*(ABS($P$35:$P$367-P368)&lt;0.000001)*($Q$35:$Q$367=Q368)*($V$35:$V$367=V368))=0,1,0),0)</f>
        <v>0</v>
      </c>
      <c r="S368" s="14" t="n">
        <f aca="false">IF(AND(L368=1,N368&gt;=$B$4-0.000000001,P368&gt;=$B$6-0.000000001,M368&gt;=Floor_q+$B$5-0.000000001),1,0)</f>
        <v>0</v>
      </c>
      <c r="T368" s="14" t="n">
        <f aca="false">L368*(IF(1&lt;=2,1-Q368,IF(1=3,IF(AND(V368=0,O368&gt;=W_min,M368-D_dip&gt;=Floor_q),1,0),IF(AND(O368&gt;=W_min,M368&gt;=Pre_A),1,0)))+IF(2&lt;=2,1-Q368,IF(2=3,IF(AND(V368=0,O368&gt;=W_min,M368-D_dip&gt;=Floor_q),1,0),IF(AND(O368&gt;=W_min,M368&gt;=Pre_A),1,0)))+IF(3&lt;=2,1-Q368,IF(3=3,IF(AND(V368=0,O368&gt;=W_min,M368-D_dip&gt;=Floor_q),1,0),IF(AND(O368&gt;=W_min,M368&gt;=Pre_A),1,0)))+IF(4&lt;=2,1-Q368,IF(4=3,IF(AND(V368=0,O368&gt;=W_min,M368-D_dip&gt;=Floor_q),1,0),IF(AND(O368&gt;=W_min,M368&gt;=Pre_A),1,0))))</f>
        <v>0</v>
      </c>
      <c r="U368" s="14" t="n">
        <f aca="false">V118</f>
        <v>1</v>
      </c>
      <c r="V368" s="14" t="n">
        <f aca="false">CHOOSE(D368,U368,U368,1,U368)</f>
        <v>1</v>
      </c>
    </row>
    <row r="369" customFormat="false" ht="15" hidden="false" customHeight="true" outlineLevel="0" collapsed="false">
      <c r="A369" s="3" t="s">
        <v>607</v>
      </c>
      <c r="B369" s="14" t="n">
        <v>4</v>
      </c>
      <c r="C369" s="14" t="n">
        <v>118</v>
      </c>
      <c r="D369" s="14" t="n">
        <v>2</v>
      </c>
      <c r="E369" s="14" t="n">
        <f aca="false">L118</f>
        <v>0</v>
      </c>
      <c r="F369" s="19" t="n">
        <f aca="false">M118</f>
        <v>344.632729102868</v>
      </c>
      <c r="G369" s="19" t="n">
        <f aca="false">N118</f>
        <v>75.6346691353518</v>
      </c>
      <c r="H369" s="14" t="n">
        <f aca="false">O118</f>
        <v>60</v>
      </c>
      <c r="I369" s="16" t="n">
        <f aca="false">P118</f>
        <v>84.0983309723245</v>
      </c>
      <c r="J369" s="14" t="n">
        <f aca="false">Q118</f>
        <v>0</v>
      </c>
      <c r="K369" s="14" t="n">
        <f aca="false">IF(D369&lt;=2,1-J369,IF(D369=3,IF(AND(U369=0,H369&gt;=W_min,F369-D_dip&gt;=Floor_q),1,0),IF(AND(H369&gt;=W_min,F369&gt;=Pre_A),1,0)))</f>
        <v>1</v>
      </c>
      <c r="L369" s="14" t="n">
        <f aca="false">E369*K369</f>
        <v>0</v>
      </c>
      <c r="M369" s="19" t="n">
        <f aca="false">CHOOSE(D369,F369+Proc_S,F369+Proc_Sk,F369+D_dL,F369-Cost_A)</f>
        <v>436.632729102868</v>
      </c>
      <c r="N369" s="19" t="n">
        <f aca="false">CHOOSE(D369,(1-Tech_share)*G369,(1-Tech_share)*G369,G369+D_dT,G369)</f>
        <v>68.0712022218166</v>
      </c>
      <c r="O369" s="14" t="n">
        <f aca="false">CHOOSE(D369,H369-W_lost,H369,H369,H369+W_gain)</f>
        <v>60</v>
      </c>
      <c r="P369" s="16" t="n">
        <f aca="false">CHOOSE(D369,I369,I369,I369+D_dE,I369+Close_A*(Ceil_E-I369))</f>
        <v>84.0983309723245</v>
      </c>
      <c r="Q369" s="14" t="n">
        <f aca="false">CHOOSE(D369,1,1,J369,J369)</f>
        <v>1</v>
      </c>
      <c r="R369" s="14" t="n">
        <f aca="false">IF(L369=1,IF(SUMPRODUCT(($L$35:$L$368=1)*(ABS($M$35:$M$368-M369)&lt;0.000001)*(ABS($N$35:$N$368-N369)&lt;0.000001)*($O$35:$O$368=O369)*(ABS($P$35:$P$368-P369)&lt;0.000001)*($Q$35:$Q$368=Q369)*($V$35:$V$368=V369))=0,1,0),0)</f>
        <v>0</v>
      </c>
      <c r="S369" s="14" t="n">
        <f aca="false">IF(AND(L369=1,N369&gt;=$B$4-0.000000001,P369&gt;=$B$6-0.000000001,M369&gt;=Floor_q+$B$5-0.000000001),1,0)</f>
        <v>0</v>
      </c>
      <c r="T369" s="14" t="n">
        <f aca="false">L369*(IF(1&lt;=2,1-Q369,IF(1=3,IF(AND(V369=0,O369&gt;=W_min,M369-D_dip&gt;=Floor_q),1,0),IF(AND(O369&gt;=W_min,M369&gt;=Pre_A),1,0)))+IF(2&lt;=2,1-Q369,IF(2=3,IF(AND(V369=0,O369&gt;=W_min,M369-D_dip&gt;=Floor_q),1,0),IF(AND(O369&gt;=W_min,M369&gt;=Pre_A),1,0)))+IF(3&lt;=2,1-Q369,IF(3=3,IF(AND(V369=0,O369&gt;=W_min,M369-D_dip&gt;=Floor_q),1,0),IF(AND(O369&gt;=W_min,M369&gt;=Pre_A),1,0)))+IF(4&lt;=2,1-Q369,IF(4=3,IF(AND(V369=0,O369&gt;=W_min,M369-D_dip&gt;=Floor_q),1,0),IF(AND(O369&gt;=W_min,M369&gt;=Pre_A),1,0))))</f>
        <v>0</v>
      </c>
      <c r="U369" s="14" t="n">
        <f aca="false">V118</f>
        <v>1</v>
      </c>
      <c r="V369" s="14" t="n">
        <f aca="false">CHOOSE(D369,U369,U369,1,U369)</f>
        <v>1</v>
      </c>
    </row>
    <row r="370" customFormat="false" ht="15" hidden="false" customHeight="true" outlineLevel="0" collapsed="false">
      <c r="A370" s="3" t="s">
        <v>608</v>
      </c>
      <c r="B370" s="14" t="n">
        <v>4</v>
      </c>
      <c r="C370" s="14" t="n">
        <v>118</v>
      </c>
      <c r="D370" s="14" t="n">
        <v>3</v>
      </c>
      <c r="E370" s="14" t="n">
        <f aca="false">L118</f>
        <v>0</v>
      </c>
      <c r="F370" s="19" t="n">
        <f aca="false">M118</f>
        <v>344.632729102868</v>
      </c>
      <c r="G370" s="19" t="n">
        <f aca="false">N118</f>
        <v>75.6346691353518</v>
      </c>
      <c r="H370" s="14" t="n">
        <f aca="false">O118</f>
        <v>60</v>
      </c>
      <c r="I370" s="16" t="n">
        <f aca="false">P118</f>
        <v>84.0983309723245</v>
      </c>
      <c r="J370" s="14" t="n">
        <f aca="false">Q118</f>
        <v>0</v>
      </c>
      <c r="K370" s="14" t="n">
        <f aca="false">IF(D370&lt;=2,1-J370,IF(D370=3,IF(AND(U370=0,H370&gt;=W_min,F370-D_dip&gt;=Floor_q),1,0),IF(AND(H370&gt;=W_min,F370&gt;=Pre_A),1,0)))</f>
        <v>0</v>
      </c>
      <c r="L370" s="14" t="n">
        <f aca="false">E370*K370</f>
        <v>0</v>
      </c>
      <c r="M370" s="19" t="n">
        <f aca="false">CHOOSE(D370,F370+Proc_S,F370+Proc_Sk,F370+D_dL,F370-Cost_A)</f>
        <v>309.265458205737</v>
      </c>
      <c r="N370" s="19" t="n">
        <f aca="false">CHOOSE(D370,(1-Tech_share)*G370,(1-Tech_share)*G370,G370+D_dT,G370)</f>
        <v>110.269338270704</v>
      </c>
      <c r="O370" s="14" t="n">
        <f aca="false">CHOOSE(D370,H370-W_lost,H370,H370,H370+W_gain)</f>
        <v>60</v>
      </c>
      <c r="P370" s="16" t="n">
        <f aca="false">CHOOSE(D370,I370,I370,I370+D_dE,I370+Close_A*(Ceil_E-I370))</f>
        <v>86.6966619446489</v>
      </c>
      <c r="Q370" s="14" t="n">
        <f aca="false">CHOOSE(D370,1,1,J370,J370)</f>
        <v>0</v>
      </c>
      <c r="R370" s="14" t="n">
        <f aca="false">IF(L370=1,IF(SUMPRODUCT(($L$35:$L$369=1)*(ABS($M$35:$M$369-M370)&lt;0.000001)*(ABS($N$35:$N$369-N370)&lt;0.000001)*($O$35:$O$369=O370)*(ABS($P$35:$P$369-P370)&lt;0.000001)*($Q$35:$Q$369=Q370)*($V$35:$V$369=V370))=0,1,0),0)</f>
        <v>0</v>
      </c>
      <c r="S370" s="14" t="n">
        <f aca="false">IF(AND(L370=1,N370&gt;=$B$4-0.000000001,P370&gt;=$B$6-0.000000001,M370&gt;=Floor_q+$B$5-0.000000001),1,0)</f>
        <v>0</v>
      </c>
      <c r="T370" s="14" t="n">
        <f aca="false">L370*(IF(1&lt;=2,1-Q370,IF(1=3,IF(AND(V370=0,O370&gt;=W_min,M370-D_dip&gt;=Floor_q),1,0),IF(AND(O370&gt;=W_min,M370&gt;=Pre_A),1,0)))+IF(2&lt;=2,1-Q370,IF(2=3,IF(AND(V370=0,O370&gt;=W_min,M370-D_dip&gt;=Floor_q),1,0),IF(AND(O370&gt;=W_min,M370&gt;=Pre_A),1,0)))+IF(3&lt;=2,1-Q370,IF(3=3,IF(AND(V370=0,O370&gt;=W_min,M370-D_dip&gt;=Floor_q),1,0),IF(AND(O370&gt;=W_min,M370&gt;=Pre_A),1,0)))+IF(4&lt;=2,1-Q370,IF(4=3,IF(AND(V370=0,O370&gt;=W_min,M370-D_dip&gt;=Floor_q),1,0),IF(AND(O370&gt;=W_min,M370&gt;=Pre_A),1,0))))</f>
        <v>0</v>
      </c>
      <c r="U370" s="14" t="n">
        <f aca="false">V118</f>
        <v>1</v>
      </c>
      <c r="V370" s="14" t="n">
        <f aca="false">CHOOSE(D370,U370,U370,1,U370)</f>
        <v>1</v>
      </c>
    </row>
    <row r="371" customFormat="false" ht="15" hidden="false" customHeight="true" outlineLevel="0" collapsed="false">
      <c r="A371" s="3" t="s">
        <v>609</v>
      </c>
      <c r="B371" s="14" t="n">
        <v>4</v>
      </c>
      <c r="C371" s="14" t="n">
        <v>118</v>
      </c>
      <c r="D371" s="14" t="n">
        <v>4</v>
      </c>
      <c r="E371" s="14" t="n">
        <f aca="false">L118</f>
        <v>0</v>
      </c>
      <c r="F371" s="19" t="n">
        <f aca="false">M118</f>
        <v>344.632729102868</v>
      </c>
      <c r="G371" s="19" t="n">
        <f aca="false">N118</f>
        <v>75.6346691353518</v>
      </c>
      <c r="H371" s="14" t="n">
        <f aca="false">O118</f>
        <v>60</v>
      </c>
      <c r="I371" s="16" t="n">
        <f aca="false">P118</f>
        <v>84.0983309723245</v>
      </c>
      <c r="J371" s="14" t="n">
        <f aca="false">Q118</f>
        <v>0</v>
      </c>
      <c r="K371" s="14" t="n">
        <f aca="false">IF(D371&lt;=2,1-J371,IF(D371=3,IF(AND(U371=0,H371&gt;=W_min,F371-D_dip&gt;=Floor_q),1,0),IF(AND(H371&gt;=W_min,F371&gt;=Pre_A),1,0)))</f>
        <v>0</v>
      </c>
      <c r="L371" s="14" t="n">
        <f aca="false">E371*K371</f>
        <v>0</v>
      </c>
      <c r="M371" s="19" t="n">
        <f aca="false">CHOOSE(D371,F371+Proc_S,F371+Proc_Sk,F371+D_dL,F371-Cost_A)</f>
        <v>224.632729102868</v>
      </c>
      <c r="N371" s="19" t="n">
        <f aca="false">CHOOSE(D371,(1-Tech_share)*G371,(1-Tech_share)*G371,G371+D_dT,G371)</f>
        <v>75.6346691353518</v>
      </c>
      <c r="O371" s="14" t="n">
        <f aca="false">CHOOSE(D371,H371-W_lost,H371,H371,H371+W_gain)</f>
        <v>61</v>
      </c>
      <c r="P371" s="16" t="n">
        <f aca="false">CHOOSE(D371,I371,I371,I371+D_dE,I371+Close_A*(Ceil_E-I371))</f>
        <v>84.5491654861622</v>
      </c>
      <c r="Q371" s="14" t="n">
        <f aca="false">CHOOSE(D371,1,1,J371,J371)</f>
        <v>0</v>
      </c>
      <c r="R371" s="14" t="n">
        <f aca="false">IF(L371=1,IF(SUMPRODUCT(($L$35:$L$370=1)*(ABS($M$35:$M$370-M371)&lt;0.000001)*(ABS($N$35:$N$370-N371)&lt;0.000001)*($O$35:$O$370=O371)*(ABS($P$35:$P$370-P371)&lt;0.000001)*($Q$35:$Q$370=Q371)*($V$35:$V$370=V371))=0,1,0),0)</f>
        <v>0</v>
      </c>
      <c r="S371" s="14" t="n">
        <f aca="false">IF(AND(L371=1,N371&gt;=$B$4-0.000000001,P371&gt;=$B$6-0.000000001,M371&gt;=Floor_q+$B$5-0.000000001),1,0)</f>
        <v>0</v>
      </c>
      <c r="T371" s="14" t="n">
        <f aca="false">L371*(IF(1&lt;=2,1-Q371,IF(1=3,IF(AND(V371=0,O371&gt;=W_min,M371-D_dip&gt;=Floor_q),1,0),IF(AND(O371&gt;=W_min,M371&gt;=Pre_A),1,0)))+IF(2&lt;=2,1-Q371,IF(2=3,IF(AND(V371=0,O371&gt;=W_min,M371-D_dip&gt;=Floor_q),1,0),IF(AND(O371&gt;=W_min,M371&gt;=Pre_A),1,0)))+IF(3&lt;=2,1-Q371,IF(3=3,IF(AND(V371=0,O371&gt;=W_min,M371-D_dip&gt;=Floor_q),1,0),IF(AND(O371&gt;=W_min,M371&gt;=Pre_A),1,0)))+IF(4&lt;=2,1-Q371,IF(4=3,IF(AND(V371=0,O371&gt;=W_min,M371-D_dip&gt;=Floor_q),1,0),IF(AND(O371&gt;=W_min,M371&gt;=Pre_A),1,0))))</f>
        <v>0</v>
      </c>
      <c r="U371" s="14" t="n">
        <f aca="false">V118</f>
        <v>1</v>
      </c>
      <c r="V371" s="14" t="n">
        <f aca="false">CHOOSE(D371,U371,U371,1,U371)</f>
        <v>1</v>
      </c>
    </row>
    <row r="372" customFormat="false" ht="15" hidden="false" customHeight="true" outlineLevel="0" collapsed="false">
      <c r="A372" s="3" t="s">
        <v>610</v>
      </c>
      <c r="B372" s="14" t="n">
        <v>4</v>
      </c>
      <c r="C372" s="14" t="n">
        <v>119</v>
      </c>
      <c r="D372" s="14" t="n">
        <v>1</v>
      </c>
      <c r="E372" s="14" t="n">
        <f aca="false">L119</f>
        <v>0</v>
      </c>
      <c r="F372" s="19" t="n">
        <f aca="false">M119</f>
        <v>260</v>
      </c>
      <c r="G372" s="19" t="n">
        <f aca="false">N119</f>
        <v>41</v>
      </c>
      <c r="H372" s="14" t="n">
        <f aca="false">O119</f>
        <v>61</v>
      </c>
      <c r="I372" s="16" t="n">
        <f aca="false">P119</f>
        <v>83.25</v>
      </c>
      <c r="J372" s="14" t="n">
        <f aca="false">Q119</f>
        <v>0</v>
      </c>
      <c r="K372" s="14" t="n">
        <f aca="false">IF(D372&lt;=2,1-J372,IF(D372=3,IF(AND(U372=0,H372&gt;=W_min,F372-D_dip&gt;=Floor_q),1,0),IF(AND(H372&gt;=W_min,F372&gt;=Pre_A),1,0)))</f>
        <v>1</v>
      </c>
      <c r="L372" s="14" t="n">
        <f aca="false">E372*K372</f>
        <v>0</v>
      </c>
      <c r="M372" s="19" t="n">
        <f aca="false">CHOOSE(D372,F372+Proc_S,F372+Proc_Sk,F372+D_dL,F372-Cost_A)</f>
        <v>372</v>
      </c>
      <c r="N372" s="19" t="n">
        <f aca="false">CHOOSE(D372,(1-Tech_share)*G372,(1-Tech_share)*G372,G372+D_dT,G372)</f>
        <v>36.9</v>
      </c>
      <c r="O372" s="14" t="n">
        <f aca="false">CHOOSE(D372,H372-W_lost,H372,H372,H372+W_gain)</f>
        <v>56</v>
      </c>
      <c r="P372" s="16" t="n">
        <f aca="false">CHOOSE(D372,I372,I372,I372+D_dE,I372+Close_A*(Ceil_E-I372))</f>
        <v>83.25</v>
      </c>
      <c r="Q372" s="14" t="n">
        <f aca="false">CHOOSE(D372,1,1,J372,J372)</f>
        <v>1</v>
      </c>
      <c r="R372" s="14" t="n">
        <f aca="false">IF(L372=1,IF(SUMPRODUCT(($L$35:$L$371=1)*(ABS($M$35:$M$371-M372)&lt;0.000001)*(ABS($N$35:$N$371-N372)&lt;0.000001)*($O$35:$O$371=O372)*(ABS($P$35:$P$371-P372)&lt;0.000001)*($Q$35:$Q$371=Q372)*($V$35:$V$371=V372))=0,1,0),0)</f>
        <v>0</v>
      </c>
      <c r="S372" s="14" t="n">
        <f aca="false">IF(AND(L372=1,N372&gt;=$B$4-0.000000001,P372&gt;=$B$6-0.000000001,M372&gt;=Floor_q+$B$5-0.000000001),1,0)</f>
        <v>0</v>
      </c>
      <c r="T372" s="14" t="n">
        <f aca="false">L372*(IF(1&lt;=2,1-Q372,IF(1=3,IF(AND(V372=0,O372&gt;=W_min,M372-D_dip&gt;=Floor_q),1,0),IF(AND(O372&gt;=W_min,M372&gt;=Pre_A),1,0)))+IF(2&lt;=2,1-Q372,IF(2=3,IF(AND(V372=0,O372&gt;=W_min,M372-D_dip&gt;=Floor_q),1,0),IF(AND(O372&gt;=W_min,M372&gt;=Pre_A),1,0)))+IF(3&lt;=2,1-Q372,IF(3=3,IF(AND(V372=0,O372&gt;=W_min,M372-D_dip&gt;=Floor_q),1,0),IF(AND(O372&gt;=W_min,M372&gt;=Pre_A),1,0)))+IF(4&lt;=2,1-Q372,IF(4=3,IF(AND(V372=0,O372&gt;=W_min,M372-D_dip&gt;=Floor_q),1,0),IF(AND(O372&gt;=W_min,M372&gt;=Pre_A),1,0))))</f>
        <v>0</v>
      </c>
      <c r="U372" s="14" t="n">
        <f aca="false">V119</f>
        <v>0</v>
      </c>
      <c r="V372" s="14" t="n">
        <f aca="false">CHOOSE(D372,U372,U372,1,U372)</f>
        <v>0</v>
      </c>
    </row>
    <row r="373" customFormat="false" ht="15" hidden="false" customHeight="true" outlineLevel="0" collapsed="false">
      <c r="A373" s="3" t="s">
        <v>611</v>
      </c>
      <c r="B373" s="14" t="n">
        <v>4</v>
      </c>
      <c r="C373" s="14" t="n">
        <v>119</v>
      </c>
      <c r="D373" s="14" t="n">
        <v>2</v>
      </c>
      <c r="E373" s="14" t="n">
        <f aca="false">L119</f>
        <v>0</v>
      </c>
      <c r="F373" s="19" t="n">
        <f aca="false">M119</f>
        <v>260</v>
      </c>
      <c r="G373" s="19" t="n">
        <f aca="false">N119</f>
        <v>41</v>
      </c>
      <c r="H373" s="14" t="n">
        <f aca="false">O119</f>
        <v>61</v>
      </c>
      <c r="I373" s="16" t="n">
        <f aca="false">P119</f>
        <v>83.25</v>
      </c>
      <c r="J373" s="14" t="n">
        <f aca="false">Q119</f>
        <v>0</v>
      </c>
      <c r="K373" s="14" t="n">
        <f aca="false">IF(D373&lt;=2,1-J373,IF(D373=3,IF(AND(U373=0,H373&gt;=W_min,F373-D_dip&gt;=Floor_q),1,0),IF(AND(H373&gt;=W_min,F373&gt;=Pre_A),1,0)))</f>
        <v>1</v>
      </c>
      <c r="L373" s="14" t="n">
        <f aca="false">E373*K373</f>
        <v>0</v>
      </c>
      <c r="M373" s="19" t="n">
        <f aca="false">CHOOSE(D373,F373+Proc_S,F373+Proc_Sk,F373+D_dL,F373-Cost_A)</f>
        <v>352</v>
      </c>
      <c r="N373" s="19" t="n">
        <f aca="false">CHOOSE(D373,(1-Tech_share)*G373,(1-Tech_share)*G373,G373+D_dT,G373)</f>
        <v>36.9</v>
      </c>
      <c r="O373" s="14" t="n">
        <f aca="false">CHOOSE(D373,H373-W_lost,H373,H373,H373+W_gain)</f>
        <v>61</v>
      </c>
      <c r="P373" s="16" t="n">
        <f aca="false">CHOOSE(D373,I373,I373,I373+D_dE,I373+Close_A*(Ceil_E-I373))</f>
        <v>83.25</v>
      </c>
      <c r="Q373" s="14" t="n">
        <f aca="false">CHOOSE(D373,1,1,J373,J373)</f>
        <v>1</v>
      </c>
      <c r="R373" s="14" t="n">
        <f aca="false">IF(L373=1,IF(SUMPRODUCT(($L$35:$L$372=1)*(ABS($M$35:$M$372-M373)&lt;0.000001)*(ABS($N$35:$N$372-N373)&lt;0.000001)*($O$35:$O$372=O373)*(ABS($P$35:$P$372-P373)&lt;0.000001)*($Q$35:$Q$372=Q373)*($V$35:$V$372=V373))=0,1,0),0)</f>
        <v>0</v>
      </c>
      <c r="S373" s="14" t="n">
        <f aca="false">IF(AND(L373=1,N373&gt;=$B$4-0.000000001,P373&gt;=$B$6-0.000000001,M373&gt;=Floor_q+$B$5-0.000000001),1,0)</f>
        <v>0</v>
      </c>
      <c r="T373" s="14" t="n">
        <f aca="false">L373*(IF(1&lt;=2,1-Q373,IF(1=3,IF(AND(V373=0,O373&gt;=W_min,M373-D_dip&gt;=Floor_q),1,0),IF(AND(O373&gt;=W_min,M373&gt;=Pre_A),1,0)))+IF(2&lt;=2,1-Q373,IF(2=3,IF(AND(V373=0,O373&gt;=W_min,M373-D_dip&gt;=Floor_q),1,0),IF(AND(O373&gt;=W_min,M373&gt;=Pre_A),1,0)))+IF(3&lt;=2,1-Q373,IF(3=3,IF(AND(V373=0,O373&gt;=W_min,M373-D_dip&gt;=Floor_q),1,0),IF(AND(O373&gt;=W_min,M373&gt;=Pre_A),1,0)))+IF(4&lt;=2,1-Q373,IF(4=3,IF(AND(V373=0,O373&gt;=W_min,M373-D_dip&gt;=Floor_q),1,0),IF(AND(O373&gt;=W_min,M373&gt;=Pre_A),1,0))))</f>
        <v>0</v>
      </c>
      <c r="U373" s="14" t="n">
        <f aca="false">V119</f>
        <v>0</v>
      </c>
      <c r="V373" s="14" t="n">
        <f aca="false">CHOOSE(D373,U373,U373,1,U373)</f>
        <v>0</v>
      </c>
    </row>
    <row r="374" customFormat="false" ht="15" hidden="false" customHeight="true" outlineLevel="0" collapsed="false">
      <c r="A374" s="3" t="s">
        <v>612</v>
      </c>
      <c r="B374" s="14" t="n">
        <v>4</v>
      </c>
      <c r="C374" s="14" t="n">
        <v>119</v>
      </c>
      <c r="D374" s="14" t="n">
        <v>3</v>
      </c>
      <c r="E374" s="14" t="n">
        <f aca="false">L119</f>
        <v>0</v>
      </c>
      <c r="F374" s="19" t="n">
        <f aca="false">M119</f>
        <v>260</v>
      </c>
      <c r="G374" s="19" t="n">
        <f aca="false">N119</f>
        <v>41</v>
      </c>
      <c r="H374" s="14" t="n">
        <f aca="false">O119</f>
        <v>61</v>
      </c>
      <c r="I374" s="16" t="n">
        <f aca="false">P119</f>
        <v>83.25</v>
      </c>
      <c r="J374" s="14" t="n">
        <f aca="false">Q119</f>
        <v>0</v>
      </c>
      <c r="K374" s="14" t="n">
        <f aca="false">IF(D374&lt;=2,1-J374,IF(D374=3,IF(AND(U374=0,H374&gt;=W_min,F374-D_dip&gt;=Floor_q),1,0),IF(AND(H374&gt;=W_min,F374&gt;=Pre_A),1,0)))</f>
        <v>0</v>
      </c>
      <c r="L374" s="14" t="n">
        <f aca="false">E374*K374</f>
        <v>0</v>
      </c>
      <c r="M374" s="19" t="n">
        <f aca="false">CHOOSE(D374,F374+Proc_S,F374+Proc_Sk,F374+D_dL,F374-Cost_A)</f>
        <v>224.632729102868</v>
      </c>
      <c r="N374" s="19" t="n">
        <f aca="false">CHOOSE(D374,(1-Tech_share)*G374,(1-Tech_share)*G374,G374+D_dT,G374)</f>
        <v>75.6346691353518</v>
      </c>
      <c r="O374" s="14" t="n">
        <f aca="false">CHOOSE(D374,H374-W_lost,H374,H374,H374+W_gain)</f>
        <v>61</v>
      </c>
      <c r="P374" s="16" t="n">
        <f aca="false">CHOOSE(D374,I374,I374,I374+D_dE,I374+Close_A*(Ceil_E-I374))</f>
        <v>85.8483309723245</v>
      </c>
      <c r="Q374" s="14" t="n">
        <f aca="false">CHOOSE(D374,1,1,J374,J374)</f>
        <v>0</v>
      </c>
      <c r="R374" s="14" t="n">
        <f aca="false">IF(L374=1,IF(SUMPRODUCT(($L$35:$L$373=1)*(ABS($M$35:$M$373-M374)&lt;0.000001)*(ABS($N$35:$N$373-N374)&lt;0.000001)*($O$35:$O$373=O374)*(ABS($P$35:$P$373-P374)&lt;0.000001)*($Q$35:$Q$373=Q374)*($V$35:$V$373=V374))=0,1,0),0)</f>
        <v>0</v>
      </c>
      <c r="S374" s="14" t="n">
        <f aca="false">IF(AND(L374=1,N374&gt;=$B$4-0.000000001,P374&gt;=$B$6-0.000000001,M374&gt;=Floor_q+$B$5-0.000000001),1,0)</f>
        <v>0</v>
      </c>
      <c r="T374" s="14" t="n">
        <f aca="false">L374*(IF(1&lt;=2,1-Q374,IF(1=3,IF(AND(V374=0,O374&gt;=W_min,M374-D_dip&gt;=Floor_q),1,0),IF(AND(O374&gt;=W_min,M374&gt;=Pre_A),1,0)))+IF(2&lt;=2,1-Q374,IF(2=3,IF(AND(V374=0,O374&gt;=W_min,M374-D_dip&gt;=Floor_q),1,0),IF(AND(O374&gt;=W_min,M374&gt;=Pre_A),1,0)))+IF(3&lt;=2,1-Q374,IF(3=3,IF(AND(V374=0,O374&gt;=W_min,M374-D_dip&gt;=Floor_q),1,0),IF(AND(O374&gt;=W_min,M374&gt;=Pre_A),1,0)))+IF(4&lt;=2,1-Q374,IF(4=3,IF(AND(V374=0,O374&gt;=W_min,M374-D_dip&gt;=Floor_q),1,0),IF(AND(O374&gt;=W_min,M374&gt;=Pre_A),1,0))))</f>
        <v>0</v>
      </c>
      <c r="U374" s="14" t="n">
        <f aca="false">V119</f>
        <v>0</v>
      </c>
      <c r="V374" s="14" t="n">
        <f aca="false">CHOOSE(D374,U374,U374,1,U374)</f>
        <v>1</v>
      </c>
    </row>
    <row r="375" customFormat="false" ht="15" hidden="false" customHeight="true" outlineLevel="0" collapsed="false">
      <c r="A375" s="3" t="s">
        <v>613</v>
      </c>
      <c r="B375" s="14" t="n">
        <v>4</v>
      </c>
      <c r="C375" s="14" t="n">
        <v>119</v>
      </c>
      <c r="D375" s="14" t="n">
        <v>4</v>
      </c>
      <c r="E375" s="14" t="n">
        <f aca="false">L119</f>
        <v>0</v>
      </c>
      <c r="F375" s="19" t="n">
        <f aca="false">M119</f>
        <v>260</v>
      </c>
      <c r="G375" s="19" t="n">
        <f aca="false">N119</f>
        <v>41</v>
      </c>
      <c r="H375" s="14" t="n">
        <f aca="false">O119</f>
        <v>61</v>
      </c>
      <c r="I375" s="16" t="n">
        <f aca="false">P119</f>
        <v>83.25</v>
      </c>
      <c r="J375" s="14" t="n">
        <f aca="false">Q119</f>
        <v>0</v>
      </c>
      <c r="K375" s="14" t="n">
        <f aca="false">IF(D375&lt;=2,1-J375,IF(D375=3,IF(AND(U375=0,H375&gt;=W_min,F375-D_dip&gt;=Floor_q),1,0),IF(AND(H375&gt;=W_min,F375&gt;=Pre_A),1,0)))</f>
        <v>0</v>
      </c>
      <c r="L375" s="14" t="n">
        <f aca="false">E375*K375</f>
        <v>0</v>
      </c>
      <c r="M375" s="19" t="n">
        <f aca="false">CHOOSE(D375,F375+Proc_S,F375+Proc_Sk,F375+D_dL,F375-Cost_A)</f>
        <v>140</v>
      </c>
      <c r="N375" s="19" t="n">
        <f aca="false">CHOOSE(D375,(1-Tech_share)*G375,(1-Tech_share)*G375,G375+D_dT,G375)</f>
        <v>41</v>
      </c>
      <c r="O375" s="14" t="n">
        <f aca="false">CHOOSE(D375,H375-W_lost,H375,H375,H375+W_gain)</f>
        <v>62</v>
      </c>
      <c r="P375" s="16" t="n">
        <f aca="false">CHOOSE(D375,I375,I375,I375+D_dE,I375+Close_A*(Ceil_E-I375))</f>
        <v>84.125</v>
      </c>
      <c r="Q375" s="14" t="n">
        <f aca="false">CHOOSE(D375,1,1,J375,J375)</f>
        <v>0</v>
      </c>
      <c r="R375" s="14" t="n">
        <f aca="false">IF(L375=1,IF(SUMPRODUCT(($L$35:$L$374=1)*(ABS($M$35:$M$374-M375)&lt;0.000001)*(ABS($N$35:$N$374-N375)&lt;0.000001)*($O$35:$O$374=O375)*(ABS($P$35:$P$374-P375)&lt;0.000001)*($Q$35:$Q$374=Q375)*($V$35:$V$374=V375))=0,1,0),0)</f>
        <v>0</v>
      </c>
      <c r="S375" s="14" t="n">
        <f aca="false">IF(AND(L375=1,N375&gt;=$B$4-0.000000001,P375&gt;=$B$6-0.000000001,M375&gt;=Floor_q+$B$5-0.000000001),1,0)</f>
        <v>0</v>
      </c>
      <c r="T375" s="14" t="n">
        <f aca="false">L375*(IF(1&lt;=2,1-Q375,IF(1=3,IF(AND(V375=0,O375&gt;=W_min,M375-D_dip&gt;=Floor_q),1,0),IF(AND(O375&gt;=W_min,M375&gt;=Pre_A),1,0)))+IF(2&lt;=2,1-Q375,IF(2=3,IF(AND(V375=0,O375&gt;=W_min,M375-D_dip&gt;=Floor_q),1,0),IF(AND(O375&gt;=W_min,M375&gt;=Pre_A),1,0)))+IF(3&lt;=2,1-Q375,IF(3=3,IF(AND(V375=0,O375&gt;=W_min,M375-D_dip&gt;=Floor_q),1,0),IF(AND(O375&gt;=W_min,M375&gt;=Pre_A),1,0)))+IF(4&lt;=2,1-Q375,IF(4=3,IF(AND(V375=0,O375&gt;=W_min,M375-D_dip&gt;=Floor_q),1,0),IF(AND(O375&gt;=W_min,M375&gt;=Pre_A),1,0))))</f>
        <v>0</v>
      </c>
      <c r="U375" s="14" t="n">
        <f aca="false">V119</f>
        <v>0</v>
      </c>
      <c r="V375" s="14" t="n">
        <f aca="false">CHOOSE(D375,U375,U375,1,U375)</f>
        <v>0</v>
      </c>
    </row>
  </sheetData>
  <conditionalFormatting sqref="M36:Q375">
    <cfRule type="expression" priority="2" aboveAverage="0" equalAverage="0" bottom="0" percent="0" rank="0" text="" dxfId="0">
      <formula>$L36=0</formula>
    </cfRule>
  </conditionalFormatting>
  <conditionalFormatting sqref="V36:V375">
    <cfRule type="expression" priority="3" aboveAverage="0" equalAverage="0" bottom="0" percent="0" rank="0" text="" dxfId="0">
      <formula>$L36=0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6"/>
    <col collapsed="false" customWidth="true" hidden="false" outlineLevel="0" max="14" min="2" style="1" width="13"/>
  </cols>
  <sheetData>
    <row r="1" customFormat="false" ht="15" hidden="false" customHeight="true" outlineLevel="0" collapsed="false">
      <c r="A1" s="2" t="s">
        <v>614</v>
      </c>
    </row>
    <row r="2" customFormat="false" ht="15" hidden="false" customHeight="true" outlineLevel="0" collapsed="false">
      <c r="A2" s="11" t="s">
        <v>615</v>
      </c>
    </row>
    <row r="3" customFormat="false" ht="15" hidden="false" customHeight="true" outlineLevel="0" collapsed="false">
      <c r="A3" s="9" t="s">
        <v>117</v>
      </c>
      <c r="B3" s="9" t="s">
        <v>18</v>
      </c>
    </row>
    <row r="4" customFormat="false" ht="15" hidden="false" customHeight="true" outlineLevel="0" collapsed="false">
      <c r="A4" s="3" t="s">
        <v>616</v>
      </c>
      <c r="B4" s="13" t="n">
        <v>1</v>
      </c>
    </row>
    <row r="5" customFormat="false" ht="15" hidden="false" customHeight="true" outlineLevel="0" collapsed="false">
      <c r="A5" s="3" t="s">
        <v>617</v>
      </c>
      <c r="B5" s="12" t="n">
        <v>0.8</v>
      </c>
      <c r="C5" s="12" t="n">
        <v>1</v>
      </c>
      <c r="D5" s="12" t="n">
        <v>1.2</v>
      </c>
    </row>
    <row r="8" customFormat="false" ht="34.5" hidden="false" customHeight="true" outlineLevel="0" collapsed="false">
      <c r="A8" s="9" t="s">
        <v>618</v>
      </c>
      <c r="B8" s="9" t="s">
        <v>619</v>
      </c>
      <c r="C8" s="9" t="s">
        <v>620</v>
      </c>
      <c r="D8" s="9" t="s">
        <v>621</v>
      </c>
      <c r="E8" s="9" t="s">
        <v>622</v>
      </c>
      <c r="F8" s="9" t="s">
        <v>623</v>
      </c>
      <c r="G8" s="9" t="s">
        <v>624</v>
      </c>
      <c r="H8" s="9" t="s">
        <v>625</v>
      </c>
      <c r="I8" s="9" t="s">
        <v>626</v>
      </c>
      <c r="J8" s="9" t="s">
        <v>627</v>
      </c>
      <c r="K8" s="9" t="s">
        <v>628</v>
      </c>
      <c r="L8" s="9" t="s">
        <v>629</v>
      </c>
      <c r="M8" s="9" t="s">
        <v>630</v>
      </c>
    </row>
    <row r="9" customFormat="false" ht="15" hidden="false" customHeight="true" outlineLevel="0" collapsed="false">
      <c r="A9" s="14" t="n">
        <v>0</v>
      </c>
      <c r="B9" s="16" t="n">
        <v>0</v>
      </c>
      <c r="C9" s="16" t="n">
        <v>0</v>
      </c>
      <c r="D9" s="16" t="n">
        <v>0</v>
      </c>
      <c r="E9" s="16" t="n">
        <f aca="false">IF($B$5=1,$B$4*A9,$B$4*($B$5^A9-1)/($B$5-1))</f>
        <v>-0</v>
      </c>
      <c r="F9" s="16" t="n">
        <f aca="false">IF($C$5=1,$B$4*A9,$B$4*($C$5^A9-1)/($C$5-1))</f>
        <v>0</v>
      </c>
      <c r="G9" s="16" t="n">
        <f aca="false">IF($D$5=1,$B$4*A9,$B$4*($D$5^A9-1)/($D$5-1))</f>
        <v>0</v>
      </c>
      <c r="H9" s="37" t="n">
        <v>100</v>
      </c>
      <c r="I9" s="37" t="n">
        <v>100</v>
      </c>
      <c r="J9" s="37" t="n">
        <v>100</v>
      </c>
      <c r="K9" s="37" t="n">
        <f aca="false">100-H9</f>
        <v>0</v>
      </c>
      <c r="L9" s="37" t="n">
        <f aca="false">100-I9</f>
        <v>0</v>
      </c>
      <c r="M9" s="37" t="n">
        <f aca="false">100-J9</f>
        <v>0</v>
      </c>
    </row>
    <row r="10" customFormat="false" ht="15" hidden="false" customHeight="true" outlineLevel="0" collapsed="false">
      <c r="A10" s="14" t="n">
        <v>1</v>
      </c>
      <c r="B10" s="16" t="n">
        <f aca="false">$B$5*B9+$B$4</f>
        <v>1</v>
      </c>
      <c r="C10" s="16" t="n">
        <f aca="false">$C$5*C9+$B$4</f>
        <v>1</v>
      </c>
      <c r="D10" s="16" t="n">
        <f aca="false">$D$5*D9+$B$4</f>
        <v>1</v>
      </c>
      <c r="E10" s="16" t="n">
        <f aca="false">IF($B$5=1,$B$4*A10,$B$4*($B$5^A10-1)/($B$5-1))</f>
        <v>1</v>
      </c>
      <c r="F10" s="16" t="n">
        <f aca="false">IF($C$5=1,$B$4*A10,$B$4*($C$5^A10-1)/($C$5-1))</f>
        <v>1</v>
      </c>
      <c r="G10" s="16" t="n">
        <f aca="false">IF($D$5=1,$B$4*A10,$B$4*($D$5^A10-1)/($D$5-1))</f>
        <v>1</v>
      </c>
      <c r="H10" s="37" t="n">
        <f aca="false">$B$5*H9+100*(1-$B$5)-$B$4</f>
        <v>99</v>
      </c>
      <c r="I10" s="37" t="n">
        <f aca="false">$C$5*I9+100*(1-$C$5)-$B$4</f>
        <v>99</v>
      </c>
      <c r="J10" s="37" t="n">
        <f aca="false">$D$5*J9+100*(1-$D$5)-$B$4</f>
        <v>99</v>
      </c>
      <c r="K10" s="37" t="n">
        <f aca="false">100-H10</f>
        <v>1</v>
      </c>
      <c r="L10" s="37" t="n">
        <f aca="false">100-I10</f>
        <v>1</v>
      </c>
      <c r="M10" s="37" t="n">
        <f aca="false">100-J10</f>
        <v>1</v>
      </c>
    </row>
    <row r="11" customFormat="false" ht="15" hidden="false" customHeight="true" outlineLevel="0" collapsed="false">
      <c r="A11" s="14" t="n">
        <v>2</v>
      </c>
      <c r="B11" s="16" t="n">
        <f aca="false">$B$5*B10+$B$4</f>
        <v>1.8</v>
      </c>
      <c r="C11" s="16" t="n">
        <f aca="false">$C$5*C10+$B$4</f>
        <v>2</v>
      </c>
      <c r="D11" s="16" t="n">
        <f aca="false">$D$5*D10+$B$4</f>
        <v>2.2</v>
      </c>
      <c r="E11" s="16" t="n">
        <f aca="false">IF($B$5=1,$B$4*A11,$B$4*($B$5^A11-1)/($B$5-1))</f>
        <v>1.8</v>
      </c>
      <c r="F11" s="16" t="n">
        <f aca="false">IF($C$5=1,$B$4*A11,$B$4*($C$5^A11-1)/($C$5-1))</f>
        <v>2</v>
      </c>
      <c r="G11" s="16" t="n">
        <f aca="false">IF($D$5=1,$B$4*A11,$B$4*($D$5^A11-1)/($D$5-1))</f>
        <v>2.2</v>
      </c>
      <c r="H11" s="37" t="n">
        <f aca="false">$B$5*H10+100*(1-$B$5)-$B$4</f>
        <v>98.2</v>
      </c>
      <c r="I11" s="37" t="n">
        <f aca="false">$C$5*I10+100*(1-$C$5)-$B$4</f>
        <v>98</v>
      </c>
      <c r="J11" s="37" t="n">
        <f aca="false">$D$5*J10+100*(1-$D$5)-$B$4</f>
        <v>97.8</v>
      </c>
      <c r="K11" s="37" t="n">
        <f aca="false">100-H11</f>
        <v>1.8</v>
      </c>
      <c r="L11" s="37" t="n">
        <f aca="false">100-I11</f>
        <v>2</v>
      </c>
      <c r="M11" s="37" t="n">
        <f aca="false">100-J11</f>
        <v>2.2</v>
      </c>
    </row>
    <row r="12" customFormat="false" ht="15" hidden="false" customHeight="true" outlineLevel="0" collapsed="false">
      <c r="A12" s="14" t="n">
        <v>3</v>
      </c>
      <c r="B12" s="16" t="n">
        <f aca="false">$B$5*B11+$B$4</f>
        <v>2.44</v>
      </c>
      <c r="C12" s="16" t="n">
        <f aca="false">$C$5*C11+$B$4</f>
        <v>3</v>
      </c>
      <c r="D12" s="16" t="n">
        <f aca="false">$D$5*D11+$B$4</f>
        <v>3.64</v>
      </c>
      <c r="E12" s="16" t="n">
        <f aca="false">IF($B$5=1,$B$4*A12,$B$4*($B$5^A12-1)/($B$5-1))</f>
        <v>2.44</v>
      </c>
      <c r="F12" s="16" t="n">
        <f aca="false">IF($C$5=1,$B$4*A12,$B$4*($C$5^A12-1)/($C$5-1))</f>
        <v>3</v>
      </c>
      <c r="G12" s="16" t="n">
        <f aca="false">IF($D$5=1,$B$4*A12,$B$4*($D$5^A12-1)/($D$5-1))</f>
        <v>3.64</v>
      </c>
      <c r="H12" s="37" t="n">
        <f aca="false">$B$5*H11+100*(1-$B$5)-$B$4</f>
        <v>97.56</v>
      </c>
      <c r="I12" s="37" t="n">
        <f aca="false">$C$5*I11+100*(1-$C$5)-$B$4</f>
        <v>97</v>
      </c>
      <c r="J12" s="37" t="n">
        <f aca="false">$D$5*J11+100*(1-$D$5)-$B$4</f>
        <v>96.36</v>
      </c>
      <c r="K12" s="37" t="n">
        <f aca="false">100-H12</f>
        <v>2.44</v>
      </c>
      <c r="L12" s="37" t="n">
        <f aca="false">100-I12</f>
        <v>3</v>
      </c>
      <c r="M12" s="37" t="n">
        <f aca="false">100-J12</f>
        <v>3.64000000000002</v>
      </c>
    </row>
    <row r="13" customFormat="false" ht="15" hidden="false" customHeight="true" outlineLevel="0" collapsed="false">
      <c r="A13" s="14" t="n">
        <v>4</v>
      </c>
      <c r="B13" s="16" t="n">
        <f aca="false">$B$5*B12+$B$4</f>
        <v>2.952</v>
      </c>
      <c r="C13" s="16" t="n">
        <f aca="false">$C$5*C12+$B$4</f>
        <v>4</v>
      </c>
      <c r="D13" s="16" t="n">
        <f aca="false">$D$5*D12+$B$4</f>
        <v>5.368</v>
      </c>
      <c r="E13" s="16" t="n">
        <f aca="false">IF($B$5=1,$B$4*A13,$B$4*($B$5^A13-1)/($B$5-1))</f>
        <v>2.952</v>
      </c>
      <c r="F13" s="16" t="n">
        <f aca="false">IF($C$5=1,$B$4*A13,$B$4*($C$5^A13-1)/($C$5-1))</f>
        <v>4</v>
      </c>
      <c r="G13" s="16" t="n">
        <f aca="false">IF($D$5=1,$B$4*A13,$B$4*($D$5^A13-1)/($D$5-1))</f>
        <v>5.368</v>
      </c>
      <c r="H13" s="37" t="n">
        <f aca="false">$B$5*H12+100*(1-$B$5)-$B$4</f>
        <v>97.048</v>
      </c>
      <c r="I13" s="37" t="n">
        <f aca="false">$C$5*I12+100*(1-$C$5)-$B$4</f>
        <v>96</v>
      </c>
      <c r="J13" s="37" t="n">
        <f aca="false">$D$5*J12+100*(1-$D$5)-$B$4</f>
        <v>94.632</v>
      </c>
      <c r="K13" s="37" t="n">
        <f aca="false">100-H13</f>
        <v>2.952</v>
      </c>
      <c r="L13" s="37" t="n">
        <f aca="false">100-I13</f>
        <v>4</v>
      </c>
      <c r="M13" s="37" t="n">
        <f aca="false">100-J13</f>
        <v>5.36800000000002</v>
      </c>
    </row>
    <row r="14" customFormat="false" ht="15" hidden="false" customHeight="true" outlineLevel="0" collapsed="false">
      <c r="A14" s="14" t="n">
        <v>5</v>
      </c>
      <c r="B14" s="16" t="n">
        <f aca="false">$B$5*B13+$B$4</f>
        <v>3.3616</v>
      </c>
      <c r="C14" s="16" t="n">
        <f aca="false">$C$5*C13+$B$4</f>
        <v>5</v>
      </c>
      <c r="D14" s="16" t="n">
        <f aca="false">$D$5*D13+$B$4</f>
        <v>7.4416</v>
      </c>
      <c r="E14" s="16" t="n">
        <f aca="false">IF($B$5=1,$B$4*A14,$B$4*($B$5^A14-1)/($B$5-1))</f>
        <v>3.3616</v>
      </c>
      <c r="F14" s="16" t="n">
        <f aca="false">IF($C$5=1,$B$4*A14,$B$4*($C$5^A14-1)/($C$5-1))</f>
        <v>5</v>
      </c>
      <c r="G14" s="16" t="n">
        <f aca="false">IF($D$5=1,$B$4*A14,$B$4*($D$5^A14-1)/($D$5-1))</f>
        <v>7.4416</v>
      </c>
      <c r="H14" s="37" t="n">
        <f aca="false">$B$5*H13+100*(1-$B$5)-$B$4</f>
        <v>96.6384</v>
      </c>
      <c r="I14" s="37" t="n">
        <f aca="false">$C$5*I13+100*(1-$C$5)-$B$4</f>
        <v>95</v>
      </c>
      <c r="J14" s="37" t="n">
        <f aca="false">$D$5*J13+100*(1-$D$5)-$B$4</f>
        <v>92.5584</v>
      </c>
      <c r="K14" s="37" t="n">
        <f aca="false">100-H14</f>
        <v>3.3616</v>
      </c>
      <c r="L14" s="37" t="n">
        <f aca="false">100-I14</f>
        <v>5</v>
      </c>
      <c r="M14" s="37" t="n">
        <f aca="false">100-J14</f>
        <v>7.44160000000004</v>
      </c>
    </row>
    <row r="15" customFormat="false" ht="15" hidden="false" customHeight="true" outlineLevel="0" collapsed="false">
      <c r="A15" s="14" t="n">
        <v>6</v>
      </c>
      <c r="B15" s="16" t="n">
        <f aca="false">$B$5*B14+$B$4</f>
        <v>3.68928</v>
      </c>
      <c r="C15" s="16" t="n">
        <f aca="false">$C$5*C14+$B$4</f>
        <v>6</v>
      </c>
      <c r="D15" s="16" t="n">
        <f aca="false">$D$5*D14+$B$4</f>
        <v>9.92992</v>
      </c>
      <c r="E15" s="16" t="n">
        <f aca="false">IF($B$5=1,$B$4*A15,$B$4*($B$5^A15-1)/($B$5-1))</f>
        <v>3.68928</v>
      </c>
      <c r="F15" s="16" t="n">
        <f aca="false">IF($C$5=1,$B$4*A15,$B$4*($C$5^A15-1)/($C$5-1))</f>
        <v>6</v>
      </c>
      <c r="G15" s="16" t="n">
        <f aca="false">IF($D$5=1,$B$4*A15,$B$4*($D$5^A15-1)/($D$5-1))</f>
        <v>9.92992</v>
      </c>
      <c r="H15" s="37" t="n">
        <f aca="false">$B$5*H14+100*(1-$B$5)-$B$4</f>
        <v>96.31072</v>
      </c>
      <c r="I15" s="37" t="n">
        <f aca="false">$C$5*I14+100*(1-$C$5)-$B$4</f>
        <v>94</v>
      </c>
      <c r="J15" s="37" t="n">
        <f aca="false">$D$5*J14+100*(1-$D$5)-$B$4</f>
        <v>90.07008</v>
      </c>
      <c r="K15" s="37" t="n">
        <f aca="false">100-H15</f>
        <v>3.68928</v>
      </c>
      <c r="L15" s="37" t="n">
        <f aca="false">100-I15</f>
        <v>6</v>
      </c>
      <c r="M15" s="37" t="n">
        <f aca="false">100-J15</f>
        <v>9.92992000000005</v>
      </c>
    </row>
    <row r="16" customFormat="false" ht="15" hidden="false" customHeight="true" outlineLevel="0" collapsed="false">
      <c r="A16" s="14" t="n">
        <v>7</v>
      </c>
      <c r="B16" s="16" t="n">
        <f aca="false">$B$5*B15+$B$4</f>
        <v>3.951424</v>
      </c>
      <c r="C16" s="16" t="n">
        <f aca="false">$C$5*C15+$B$4</f>
        <v>7</v>
      </c>
      <c r="D16" s="16" t="n">
        <f aca="false">$D$5*D15+$B$4</f>
        <v>12.915904</v>
      </c>
      <c r="E16" s="16" t="n">
        <f aca="false">IF($B$5=1,$B$4*A16,$B$4*($B$5^A16-1)/($B$5-1))</f>
        <v>3.951424</v>
      </c>
      <c r="F16" s="16" t="n">
        <f aca="false">IF($C$5=1,$B$4*A16,$B$4*($C$5^A16-1)/($C$5-1))</f>
        <v>7</v>
      </c>
      <c r="G16" s="16" t="n">
        <f aca="false">IF($D$5=1,$B$4*A16,$B$4*($D$5^A16-1)/($D$5-1))</f>
        <v>12.915904</v>
      </c>
      <c r="H16" s="37" t="n">
        <f aca="false">$B$5*H15+100*(1-$B$5)-$B$4</f>
        <v>96.048576</v>
      </c>
      <c r="I16" s="37" t="n">
        <f aca="false">$C$5*I15+100*(1-$C$5)-$B$4</f>
        <v>93</v>
      </c>
      <c r="J16" s="37" t="n">
        <f aca="false">$D$5*J15+100*(1-$D$5)-$B$4</f>
        <v>87.0840959999999</v>
      </c>
      <c r="K16" s="37" t="n">
        <f aca="false">100-H16</f>
        <v>3.95142399999999</v>
      </c>
      <c r="L16" s="37" t="n">
        <f aca="false">100-I16</f>
        <v>7</v>
      </c>
      <c r="M16" s="37" t="n">
        <f aca="false">100-J16</f>
        <v>12.9159040000001</v>
      </c>
    </row>
    <row r="17" customFormat="false" ht="15" hidden="false" customHeight="true" outlineLevel="0" collapsed="false">
      <c r="A17" s="14" t="n">
        <v>8</v>
      </c>
      <c r="B17" s="16" t="n">
        <f aca="false">$B$5*B16+$B$4</f>
        <v>4.1611392</v>
      </c>
      <c r="C17" s="16" t="n">
        <f aca="false">$C$5*C16+$B$4</f>
        <v>8</v>
      </c>
      <c r="D17" s="16" t="n">
        <f aca="false">$D$5*D16+$B$4</f>
        <v>16.4990848</v>
      </c>
      <c r="E17" s="16" t="n">
        <f aca="false">IF($B$5=1,$B$4*A17,$B$4*($B$5^A17-1)/($B$5-1))</f>
        <v>4.1611392</v>
      </c>
      <c r="F17" s="16" t="n">
        <f aca="false">IF($C$5=1,$B$4*A17,$B$4*($C$5^A17-1)/($C$5-1))</f>
        <v>8</v>
      </c>
      <c r="G17" s="16" t="n">
        <f aca="false">IF($D$5=1,$B$4*A17,$B$4*($D$5^A17-1)/($D$5-1))</f>
        <v>16.4990848</v>
      </c>
      <c r="H17" s="37" t="n">
        <f aca="false">$B$5*H16+100*(1-$B$5)-$B$4</f>
        <v>95.8388608</v>
      </c>
      <c r="I17" s="37" t="n">
        <f aca="false">$C$5*I16+100*(1-$C$5)-$B$4</f>
        <v>92</v>
      </c>
      <c r="J17" s="37" t="n">
        <f aca="false">$D$5*J16+100*(1-$D$5)-$B$4</f>
        <v>83.5009151999999</v>
      </c>
      <c r="K17" s="37" t="n">
        <f aca="false">100-H17</f>
        <v>4.16113919999998</v>
      </c>
      <c r="L17" s="37" t="n">
        <f aca="false">100-I17</f>
        <v>8</v>
      </c>
      <c r="M17" s="37" t="n">
        <f aca="false">100-J17</f>
        <v>16.4990848000001</v>
      </c>
    </row>
    <row r="18" customFormat="false" ht="15" hidden="false" customHeight="true" outlineLevel="0" collapsed="false">
      <c r="A18" s="14" t="n">
        <v>9</v>
      </c>
      <c r="B18" s="16" t="n">
        <f aca="false">$B$5*B17+$B$4</f>
        <v>4.32891136</v>
      </c>
      <c r="C18" s="16" t="n">
        <f aca="false">$C$5*C17+$B$4</f>
        <v>9</v>
      </c>
      <c r="D18" s="16" t="n">
        <f aca="false">$D$5*D17+$B$4</f>
        <v>20.79890176</v>
      </c>
      <c r="E18" s="16" t="n">
        <f aca="false">IF($B$5=1,$B$4*A18,$B$4*($B$5^A18-1)/($B$5-1))</f>
        <v>4.32891136</v>
      </c>
      <c r="F18" s="16" t="n">
        <f aca="false">IF($C$5=1,$B$4*A18,$B$4*($C$5^A18-1)/($C$5-1))</f>
        <v>9</v>
      </c>
      <c r="G18" s="16" t="n">
        <f aca="false">IF($D$5=1,$B$4*A18,$B$4*($D$5^A18-1)/($D$5-1))</f>
        <v>20.79890176</v>
      </c>
      <c r="H18" s="37" t="n">
        <f aca="false">$B$5*H17+100*(1-$B$5)-$B$4</f>
        <v>95.67108864</v>
      </c>
      <c r="I18" s="37" t="n">
        <f aca="false">$C$5*I17+100*(1-$C$5)-$B$4</f>
        <v>91</v>
      </c>
      <c r="J18" s="37" t="n">
        <f aca="false">$D$5*J17+100*(1-$D$5)-$B$4</f>
        <v>79.2010982399999</v>
      </c>
      <c r="K18" s="37" t="n">
        <f aca="false">100-H18</f>
        <v>4.32891135999998</v>
      </c>
      <c r="L18" s="37" t="n">
        <f aca="false">100-I18</f>
        <v>9</v>
      </c>
      <c r="M18" s="37" t="n">
        <f aca="false">100-J18</f>
        <v>20.7989017600001</v>
      </c>
    </row>
    <row r="19" customFormat="false" ht="15" hidden="false" customHeight="true" outlineLevel="0" collapsed="false">
      <c r="A19" s="14" t="n">
        <v>10</v>
      </c>
      <c r="B19" s="16" t="n">
        <f aca="false">$B$5*B18+$B$4</f>
        <v>4.463129088</v>
      </c>
      <c r="C19" s="16" t="n">
        <f aca="false">$C$5*C18+$B$4</f>
        <v>10</v>
      </c>
      <c r="D19" s="16" t="n">
        <f aca="false">$D$5*D18+$B$4</f>
        <v>25.958682112</v>
      </c>
      <c r="E19" s="16" t="n">
        <f aca="false">IF($B$5=1,$B$4*A19,$B$4*($B$5^A19-1)/($B$5-1))</f>
        <v>4.463129088</v>
      </c>
      <c r="F19" s="16" t="n">
        <f aca="false">IF($C$5=1,$B$4*A19,$B$4*($C$5^A19-1)/($C$5-1))</f>
        <v>10</v>
      </c>
      <c r="G19" s="16" t="n">
        <f aca="false">IF($D$5=1,$B$4*A19,$B$4*($D$5^A19-1)/($D$5-1))</f>
        <v>25.958682112</v>
      </c>
      <c r="H19" s="37" t="n">
        <f aca="false">$B$5*H18+100*(1-$B$5)-$B$4</f>
        <v>95.536870912</v>
      </c>
      <c r="I19" s="37" t="n">
        <f aca="false">$C$5*I18+100*(1-$C$5)-$B$4</f>
        <v>90</v>
      </c>
      <c r="J19" s="37" t="n">
        <f aca="false">$D$5*J18+100*(1-$D$5)-$B$4</f>
        <v>74.0413178879999</v>
      </c>
      <c r="K19" s="37" t="n">
        <f aca="false">100-H19</f>
        <v>4.46312908799997</v>
      </c>
      <c r="L19" s="37" t="n">
        <f aca="false">100-I19</f>
        <v>10</v>
      </c>
      <c r="M19" s="37" t="n">
        <f aca="false">100-J19</f>
        <v>25.9586821120001</v>
      </c>
    </row>
    <row r="20" customFormat="false" ht="15" hidden="false" customHeight="true" outlineLevel="0" collapsed="false">
      <c r="A20" s="14" t="n">
        <v>11</v>
      </c>
      <c r="B20" s="16" t="n">
        <f aca="false">$B$5*B19+$B$4</f>
        <v>4.5705032704</v>
      </c>
      <c r="C20" s="16" t="n">
        <f aca="false">$C$5*C19+$B$4</f>
        <v>11</v>
      </c>
      <c r="D20" s="16" t="n">
        <f aca="false">$D$5*D19+$B$4</f>
        <v>32.1504185344</v>
      </c>
      <c r="E20" s="16" t="n">
        <f aca="false">IF($B$5=1,$B$4*A20,$B$4*($B$5^A20-1)/($B$5-1))</f>
        <v>4.5705032704</v>
      </c>
      <c r="F20" s="16" t="n">
        <f aca="false">IF($C$5=1,$B$4*A20,$B$4*($C$5^A20-1)/($C$5-1))</f>
        <v>11</v>
      </c>
      <c r="G20" s="16" t="n">
        <f aca="false">IF($D$5=1,$B$4*A20,$B$4*($D$5^A20-1)/($D$5-1))</f>
        <v>32.1504185344</v>
      </c>
      <c r="H20" s="37" t="n">
        <f aca="false">$B$5*H19+100*(1-$B$5)-$B$4</f>
        <v>95.4294967296</v>
      </c>
      <c r="I20" s="37" t="n">
        <f aca="false">$C$5*I19+100*(1-$C$5)-$B$4</f>
        <v>89</v>
      </c>
      <c r="J20" s="37" t="n">
        <f aca="false">$D$5*J19+100*(1-$D$5)-$B$4</f>
        <v>67.8495814655998</v>
      </c>
      <c r="K20" s="37" t="n">
        <f aca="false">100-H20</f>
        <v>4.57050327039998</v>
      </c>
      <c r="L20" s="37" t="n">
        <f aca="false">100-I20</f>
        <v>11</v>
      </c>
      <c r="M20" s="37" t="n">
        <f aca="false">100-J20</f>
        <v>32.1504185344002</v>
      </c>
    </row>
    <row r="21" customFormat="false" ht="15" hidden="false" customHeight="true" outlineLevel="0" collapsed="false">
      <c r="A21" s="14" t="n">
        <v>12</v>
      </c>
      <c r="B21" s="16" t="n">
        <f aca="false">$B$5*B20+$B$4</f>
        <v>4.65640261632</v>
      </c>
      <c r="C21" s="16" t="n">
        <f aca="false">$C$5*C20+$B$4</f>
        <v>12</v>
      </c>
      <c r="D21" s="16" t="n">
        <f aca="false">$D$5*D20+$B$4</f>
        <v>39.58050224128</v>
      </c>
      <c r="E21" s="16" t="n">
        <f aca="false">IF($B$5=1,$B$4*A21,$B$4*($B$5^A21-1)/($B$5-1))</f>
        <v>4.65640261632</v>
      </c>
      <c r="F21" s="16" t="n">
        <f aca="false">IF($C$5=1,$B$4*A21,$B$4*($C$5^A21-1)/($C$5-1))</f>
        <v>12</v>
      </c>
      <c r="G21" s="16" t="n">
        <f aca="false">IF($D$5=1,$B$4*A21,$B$4*($D$5^A21-1)/($D$5-1))</f>
        <v>39.58050224128</v>
      </c>
      <c r="H21" s="37" t="n">
        <f aca="false">$B$5*H20+100*(1-$B$5)-$B$4</f>
        <v>95.34359738368</v>
      </c>
      <c r="I21" s="37" t="n">
        <f aca="false">$C$5*I20+100*(1-$C$5)-$B$4</f>
        <v>88</v>
      </c>
      <c r="J21" s="37" t="n">
        <f aca="false">$D$5*J20+100*(1-$D$5)-$B$4</f>
        <v>60.4194977587198</v>
      </c>
      <c r="K21" s="37" t="n">
        <f aca="false">100-H21</f>
        <v>4.65640261631998</v>
      </c>
      <c r="L21" s="37" t="n">
        <f aca="false">100-I21</f>
        <v>12</v>
      </c>
      <c r="M21" s="37" t="n">
        <f aca="false">100-J21</f>
        <v>39.5805022412802</v>
      </c>
    </row>
    <row r="23" customFormat="false" ht="15" hidden="false" customHeight="true" outlineLevel="0" collapsed="false">
      <c r="A23" s="9" t="s">
        <v>631</v>
      </c>
      <c r="B23" s="9" t="s">
        <v>632</v>
      </c>
      <c r="C23" s="9" t="s">
        <v>633</v>
      </c>
      <c r="D23" s="9" t="s">
        <v>634</v>
      </c>
    </row>
    <row r="24" customFormat="false" ht="15" hidden="false" customHeight="true" outlineLevel="0" collapsed="false">
      <c r="A24" s="3" t="s">
        <v>635</v>
      </c>
      <c r="B24" s="16" t="n">
        <f aca="false">E21</f>
        <v>4.65640261632</v>
      </c>
      <c r="C24" s="16" t="n">
        <f aca="false">F21</f>
        <v>12</v>
      </c>
      <c r="D24" s="16" t="n">
        <f aca="false">G21</f>
        <v>39.58050224128</v>
      </c>
    </row>
    <row r="25" customFormat="false" ht="15" hidden="false" customHeight="true" outlineLevel="0" collapsed="false">
      <c r="A25" s="3" t="s">
        <v>636</v>
      </c>
      <c r="B25" s="40" t="n">
        <f aca="false">E21-K21</f>
        <v>2.1316282072803E-014</v>
      </c>
      <c r="C25" s="40" t="n">
        <f aca="false">F21-L21</f>
        <v>0</v>
      </c>
      <c r="D25" s="40" t="n">
        <f aca="false">G21-M21</f>
        <v>-2.1316282072803E-013</v>
      </c>
    </row>
    <row r="26" customFormat="false" ht="15" hidden="false" customHeight="true" outlineLevel="0" collapsed="false">
      <c r="A26" s="3" t="s">
        <v>637</v>
      </c>
      <c r="B26" s="36" t="n">
        <f aca="false">B5^12</f>
        <v>0.068719476736</v>
      </c>
      <c r="C26" s="36" t="n">
        <f aca="false">C5^12</f>
        <v>1</v>
      </c>
      <c r="D26" s="36" t="n">
        <f aca="false">D5^12</f>
        <v>8.916100448256</v>
      </c>
    </row>
    <row r="27" customFormat="false" ht="15" hidden="false" customHeight="true" outlineLevel="0" collapsed="false">
      <c r="A27" s="3" t="s">
        <v>638</v>
      </c>
      <c r="B27" s="16" t="n">
        <f aca="false">$B$4/(1-B5)</f>
        <v>5</v>
      </c>
    </row>
    <row r="28" customFormat="false" ht="15" hidden="false" customHeight="true" outlineLevel="0" collapsed="false">
      <c r="A28" s="3" t="s">
        <v>639</v>
      </c>
      <c r="B28" s="19" t="n">
        <f aca="false">D24/B24</f>
        <v>8.50023193925632</v>
      </c>
    </row>
    <row r="30" customFormat="false" ht="15" hidden="false" customHeight="true" outlineLevel="0" collapsed="false">
      <c r="A30" s="9" t="s">
        <v>640</v>
      </c>
      <c r="B30" s="9" t="s">
        <v>641</v>
      </c>
      <c r="C30" s="9" t="s">
        <v>642</v>
      </c>
    </row>
    <row r="31" customFormat="false" ht="15" hidden="false" customHeight="true" outlineLevel="0" collapsed="false">
      <c r="A31" s="3" t="s">
        <v>643</v>
      </c>
      <c r="B31" s="21" t="n">
        <f aca="false">Playbook!D5</f>
        <v>1</v>
      </c>
      <c r="C31" s="21" t="n">
        <f aca="false">Playbook!E5</f>
        <v>2</v>
      </c>
    </row>
    <row r="32" customFormat="false" ht="15" hidden="false" customHeight="true" outlineLevel="0" collapsed="false">
      <c r="A32" s="3" t="s">
        <v>644</v>
      </c>
      <c r="B32" s="16" t="n">
        <f aca="false">1-Close_A</f>
        <v>0.5</v>
      </c>
      <c r="C32" s="16" t="n">
        <f aca="false">1-Close_A</f>
        <v>0.5</v>
      </c>
    </row>
    <row r="33" customFormat="false" ht="15" hidden="false" customHeight="true" outlineLevel="0" collapsed="false">
      <c r="A33" s="3" t="s">
        <v>645</v>
      </c>
      <c r="B33" s="16" t="n">
        <f aca="false">Ceil_E-B31/(1-B32)</f>
        <v>83</v>
      </c>
      <c r="C33" s="16" t="n">
        <f aca="false">Ceil_E-C31/(1-C32)</f>
        <v>81</v>
      </c>
    </row>
    <row r="34" customFormat="false" ht="15" hidden="false" customHeight="true" outlineLevel="0" collapsed="false">
      <c r="A34" s="3" t="s">
        <v>646</v>
      </c>
      <c r="B34" s="16" t="n">
        <f aca="false">B31/(1-B32)</f>
        <v>2</v>
      </c>
      <c r="C34" s="16" t="n">
        <f aca="false">C31/(1-C32)</f>
        <v>4</v>
      </c>
    </row>
    <row r="35" customFormat="false" ht="15" hidden="false" customHeight="true" outlineLevel="0" collapsed="false">
      <c r="A35" s="3" t="s">
        <v>647</v>
      </c>
      <c r="B35" s="16" t="n">
        <f aca="false">Value_pt*(B33-Eff_today)</f>
        <v>120</v>
      </c>
      <c r="C35" s="16" t="n">
        <f aca="false">Value_pt*(C33-Eff_today)</f>
        <v>100</v>
      </c>
    </row>
    <row r="36" customFormat="false" ht="15" hidden="false" customHeight="true" outlineLevel="0" collapsed="false">
      <c r="A36" s="3" t="s">
        <v>648</v>
      </c>
      <c r="B36" s="16" t="n">
        <f aca="false">B35-Cost_A</f>
        <v>0</v>
      </c>
      <c r="C36" s="16" t="n">
        <f aca="false">C35-Cost_A</f>
        <v>-20</v>
      </c>
    </row>
    <row r="37" customFormat="false" ht="15" hidden="false" customHeight="true" outlineLevel="0" collapsed="false">
      <c r="A37" s="3" t="s">
        <v>649</v>
      </c>
      <c r="B37" s="18" t="n">
        <f aca="false">Playbook!D11</f>
        <v>500.000000000109</v>
      </c>
    </row>
    <row r="38" customFormat="false" ht="15" hidden="false" customHeight="true" outlineLevel="0" collapsed="false">
      <c r="A38" s="3" t="s">
        <v>650</v>
      </c>
      <c r="B38" s="16" t="n">
        <f aca="false">B37-Pre_A</f>
        <v>30.0000000001091</v>
      </c>
    </row>
    <row r="39" customFormat="false" ht="15" hidden="false" customHeight="true" outlineLevel="0" collapsed="false">
      <c r="A39" s="3" t="s">
        <v>651</v>
      </c>
      <c r="C39" s="14" t="n">
        <f aca="false">Playbook!E8</f>
        <v>5</v>
      </c>
    </row>
    <row r="41" customFormat="false" ht="15" hidden="false" customHeight="true" outlineLevel="0" collapsed="false">
      <c r="A41" s="9" t="s">
        <v>652</v>
      </c>
      <c r="B41" s="9" t="s">
        <v>653</v>
      </c>
      <c r="C41" s="9" t="s">
        <v>654</v>
      </c>
      <c r="D41" s="9" t="s">
        <v>655</v>
      </c>
      <c r="E41" s="9" t="s">
        <v>656</v>
      </c>
      <c r="F41" s="9" t="s">
        <v>67</v>
      </c>
      <c r="G41" s="9" t="s">
        <v>657</v>
      </c>
      <c r="H41" s="9" t="s">
        <v>658</v>
      </c>
      <c r="I41" s="9" t="s">
        <v>659</v>
      </c>
      <c r="J41" s="9" t="s">
        <v>660</v>
      </c>
      <c r="K41" s="9" t="s">
        <v>661</v>
      </c>
    </row>
    <row r="42" customFormat="false" ht="15" hidden="false" customHeight="true" outlineLevel="0" collapsed="false">
      <c r="A42" s="3" t="s">
        <v>662</v>
      </c>
      <c r="B42" s="19" t="n">
        <f aca="false">Playbook!N34-Playbook!V34</f>
        <v>10</v>
      </c>
      <c r="C42" s="19" t="n">
        <f aca="false">Playbook!N35-Playbook!V35</f>
        <v>25</v>
      </c>
      <c r="D42" s="19" t="n">
        <f aca="false">Playbook!N36-Playbook!V36</f>
        <v>42.5</v>
      </c>
      <c r="E42" s="19" t="n">
        <f aca="false">Playbook!N37-Playbook!V37</f>
        <v>61.25</v>
      </c>
      <c r="F42" s="19" t="n">
        <f aca="false">Playbook!N38-Playbook!V38</f>
        <v>80.625</v>
      </c>
      <c r="G42" s="19" t="n">
        <f aca="false">Playbook!N39-Playbook!V39</f>
        <v>100.3125</v>
      </c>
      <c r="H42" s="19" t="n">
        <f aca="false">Playbook!N40-Playbook!V40</f>
        <v>120.15625</v>
      </c>
      <c r="I42" s="19" t="n">
        <f aca="false">Playbook!N41-Playbook!V41</f>
        <v>140.078125</v>
      </c>
      <c r="J42" s="19" t="n">
        <f aca="false">Playbook!N42-Playbook!V42</f>
        <v>160.0390625</v>
      </c>
      <c r="K42" s="19" t="n">
        <f aca="false">Playbook!N43-Playbook!V43</f>
        <v>180.01953125</v>
      </c>
    </row>
    <row r="43" customFormat="false" ht="15" hidden="false" customHeight="true" outlineLevel="0" collapsed="false">
      <c r="A43" s="11" t="s">
        <v>663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6"/>
    <col collapsed="false" customWidth="true" hidden="false" outlineLevel="0" max="3" min="3" style="1" width="90"/>
  </cols>
  <sheetData>
    <row r="1" customFormat="false" ht="15" hidden="false" customHeight="true" outlineLevel="0" collapsed="false">
      <c r="A1" s="9" t="s">
        <v>664</v>
      </c>
      <c r="B1" s="9" t="s">
        <v>665</v>
      </c>
      <c r="C1" s="9" t="s">
        <v>666</v>
      </c>
    </row>
    <row r="2" customFormat="false" ht="15" hidden="false" customHeight="true" outlineLevel="0" collapsed="false">
      <c r="A2" s="3" t="s">
        <v>667</v>
      </c>
      <c r="B2" s="41" t="n">
        <v>470</v>
      </c>
      <c r="C2" s="3" t="s">
        <v>668</v>
      </c>
    </row>
    <row r="3" customFormat="false" ht="15" hidden="false" customHeight="true" outlineLevel="0" collapsed="false">
      <c r="A3" s="3" t="s">
        <v>669</v>
      </c>
      <c r="B3" s="41" t="n">
        <v>4</v>
      </c>
      <c r="C3" s="3" t="s">
        <v>670</v>
      </c>
    </row>
    <row r="4" customFormat="false" ht="15" hidden="false" customHeight="true" outlineLevel="0" collapsed="false">
      <c r="A4" s="3" t="s">
        <v>671</v>
      </c>
      <c r="B4" s="41" t="n">
        <v>500</v>
      </c>
      <c r="C4" s="3" t="s">
        <v>672</v>
      </c>
    </row>
    <row r="5" customFormat="false" ht="15" hidden="false" customHeight="true" outlineLevel="0" collapsed="false">
      <c r="A5" s="3" t="s">
        <v>673</v>
      </c>
      <c r="B5" s="41" t="n">
        <v>78</v>
      </c>
      <c r="C5" s="3" t="s">
        <v>674</v>
      </c>
    </row>
    <row r="6" customFormat="false" ht="15" hidden="false" customHeight="true" outlineLevel="0" collapsed="false">
      <c r="A6" s="3" t="s">
        <v>675</v>
      </c>
      <c r="B6" s="41" t="n">
        <v>481.917941377968</v>
      </c>
      <c r="C6" s="3" t="s">
        <v>676</v>
      </c>
    </row>
    <row r="7" customFormat="false" ht="15" hidden="false" customHeight="true" outlineLevel="0" collapsed="false">
      <c r="A7" s="3" t="s">
        <v>677</v>
      </c>
      <c r="B7" s="41" t="n">
        <v>732</v>
      </c>
      <c r="C7" s="3" t="s">
        <v>678</v>
      </c>
    </row>
    <row r="8" customFormat="false" ht="15" hidden="false" customHeight="true" outlineLevel="0" collapsed="false">
      <c r="A8" s="3" t="s">
        <v>679</v>
      </c>
      <c r="B8" s="41" t="n">
        <v>36.9</v>
      </c>
      <c r="C8" s="3" t="s">
        <v>680</v>
      </c>
    </row>
    <row r="9" customFormat="false" ht="15" hidden="false" customHeight="true" outlineLevel="0" collapsed="false">
      <c r="A9" s="3" t="s">
        <v>681</v>
      </c>
      <c r="B9" s="41" t="n">
        <v>53</v>
      </c>
      <c r="C9" s="3" t="s">
        <v>682</v>
      </c>
    </row>
    <row r="10" customFormat="false" ht="15" hidden="false" customHeight="true" outlineLevel="0" collapsed="false">
      <c r="A10" s="3" t="s">
        <v>683</v>
      </c>
      <c r="B10" s="41" t="n">
        <v>712</v>
      </c>
      <c r="C10" s="3" t="s">
        <v>684</v>
      </c>
    </row>
    <row r="11" customFormat="false" ht="15" hidden="false" customHeight="true" outlineLevel="0" collapsed="false">
      <c r="A11" s="3" t="s">
        <v>163</v>
      </c>
      <c r="B11" s="41" t="n">
        <v>9</v>
      </c>
      <c r="C11" s="3" t="s">
        <v>685</v>
      </c>
    </row>
    <row r="12" customFormat="false" ht="15" hidden="false" customHeight="true" outlineLevel="0" collapsed="false">
      <c r="A12" s="3" t="s">
        <v>686</v>
      </c>
      <c r="B12" s="41" t="n">
        <v>1</v>
      </c>
      <c r="C12" s="3" t="s">
        <v>687</v>
      </c>
    </row>
    <row r="13" customFormat="false" ht="15" hidden="false" customHeight="true" outlineLevel="0" collapsed="false">
      <c r="A13" s="3" t="s">
        <v>688</v>
      </c>
      <c r="B13" s="41" t="n">
        <v>464.632729102868</v>
      </c>
      <c r="C13" s="3" t="s">
        <v>689</v>
      </c>
    </row>
    <row r="14" customFormat="false" ht="15" hidden="false" customHeight="true" outlineLevel="0" collapsed="false">
      <c r="A14" s="3" t="s">
        <v>690</v>
      </c>
      <c r="B14" s="41" t="n">
        <v>75.6346691353518</v>
      </c>
      <c r="C14" s="3" t="s">
        <v>691</v>
      </c>
    </row>
    <row r="15" customFormat="false" ht="15" hidden="false" customHeight="true" outlineLevel="0" collapsed="false">
      <c r="A15" s="3" t="s">
        <v>692</v>
      </c>
      <c r="B15" s="41" t="n">
        <v>11.9179413779679</v>
      </c>
      <c r="C15" s="3" t="s">
        <v>693</v>
      </c>
    </row>
    <row r="16" customFormat="false" ht="15" hidden="false" customHeight="true" outlineLevel="0" collapsed="false">
      <c r="A16" s="3" t="s">
        <v>694</v>
      </c>
      <c r="B16" s="41" t="n">
        <v>612</v>
      </c>
      <c r="C16" s="3" t="s">
        <v>695</v>
      </c>
    </row>
    <row r="17" customFormat="false" ht="15" hidden="false" customHeight="true" outlineLevel="0" collapsed="false">
      <c r="A17" s="3" t="s">
        <v>696</v>
      </c>
      <c r="B17" s="41" t="n">
        <v>54</v>
      </c>
      <c r="C17" s="3" t="s">
        <v>697</v>
      </c>
    </row>
    <row r="18" customFormat="false" ht="15" hidden="false" customHeight="true" outlineLevel="0" collapsed="false">
      <c r="A18" s="3" t="s">
        <v>698</v>
      </c>
      <c r="B18" s="41" t="n">
        <v>592</v>
      </c>
      <c r="C18" s="3" t="s">
        <v>699</v>
      </c>
    </row>
    <row r="19" customFormat="false" ht="15" hidden="false" customHeight="true" outlineLevel="0" collapsed="false">
      <c r="A19" s="3" t="s">
        <v>700</v>
      </c>
      <c r="B19" s="41" t="n">
        <v>380</v>
      </c>
      <c r="C19" s="3" t="s">
        <v>701</v>
      </c>
    </row>
    <row r="20" customFormat="false" ht="15" hidden="false" customHeight="true" outlineLevel="0" collapsed="false">
      <c r="A20" s="3" t="s">
        <v>702</v>
      </c>
      <c r="B20" s="41" t="n">
        <v>80.5983309723245</v>
      </c>
      <c r="C20" s="3" t="s">
        <v>703</v>
      </c>
    </row>
    <row r="21" customFormat="false" ht="15" hidden="false" customHeight="true" outlineLevel="0" collapsed="false">
      <c r="A21" s="3" t="s">
        <v>704</v>
      </c>
      <c r="B21" s="41" t="n">
        <v>436.632729102868</v>
      </c>
      <c r="C21" s="3" t="s">
        <v>705</v>
      </c>
    </row>
    <row r="22" customFormat="false" ht="15" hidden="false" customHeight="true" outlineLevel="0" collapsed="false">
      <c r="A22" s="3" t="s">
        <v>706</v>
      </c>
      <c r="B22" s="41" t="n">
        <v>333.917941377968</v>
      </c>
      <c r="C22" s="3" t="s">
        <v>707</v>
      </c>
    </row>
    <row r="23" customFormat="false" ht="15" hidden="false" customHeight="true" outlineLevel="0" collapsed="false">
      <c r="A23" s="3" t="s">
        <v>708</v>
      </c>
      <c r="B23" s="41" t="n">
        <v>380</v>
      </c>
      <c r="C23" s="3" t="s">
        <v>709</v>
      </c>
    </row>
    <row r="24" customFormat="false" ht="15" hidden="false" customHeight="true" outlineLevel="0" collapsed="false">
      <c r="A24" s="3" t="s">
        <v>710</v>
      </c>
      <c r="B24" s="41" t="n">
        <v>2</v>
      </c>
      <c r="C24" s="3" t="s">
        <v>711</v>
      </c>
    </row>
    <row r="25" customFormat="false" ht="15" hidden="false" customHeight="true" outlineLevel="0" collapsed="false">
      <c r="A25" s="3" t="s">
        <v>712</v>
      </c>
      <c r="B25" s="41" t="n">
        <v>120</v>
      </c>
      <c r="C25" s="3" t="s">
        <v>713</v>
      </c>
    </row>
    <row r="26" customFormat="false" ht="15" hidden="false" customHeight="true" outlineLevel="0" collapsed="false">
      <c r="A26" s="3" t="s">
        <v>714</v>
      </c>
      <c r="B26" s="41" t="n">
        <v>78</v>
      </c>
      <c r="C26" s="3" t="s">
        <v>715</v>
      </c>
    </row>
    <row r="27" customFormat="false" ht="15" hidden="false" customHeight="true" outlineLevel="0" collapsed="false">
      <c r="A27" s="3" t="s">
        <v>716</v>
      </c>
      <c r="B27" s="41" t="n">
        <v>81.5</v>
      </c>
      <c r="C27" s="3" t="s">
        <v>715</v>
      </c>
    </row>
    <row r="28" customFormat="false" ht="15" hidden="false" customHeight="true" outlineLevel="0" collapsed="false">
      <c r="A28" s="3" t="s">
        <v>717</v>
      </c>
      <c r="B28" s="41" t="n">
        <v>83.25</v>
      </c>
      <c r="C28" s="3" t="s">
        <v>715</v>
      </c>
    </row>
    <row r="29" customFormat="false" ht="15" hidden="false" customHeight="true" outlineLevel="0" collapsed="false">
      <c r="A29" s="3" t="s">
        <v>718</v>
      </c>
      <c r="B29" s="41" t="n">
        <v>84.125</v>
      </c>
      <c r="C29" s="3" t="s">
        <v>715</v>
      </c>
    </row>
    <row r="30" customFormat="false" ht="15" hidden="false" customHeight="true" outlineLevel="0" collapsed="false">
      <c r="A30" s="3" t="s">
        <v>719</v>
      </c>
      <c r="B30" s="41" t="n">
        <v>84.5625</v>
      </c>
      <c r="C30" s="3" t="s">
        <v>715</v>
      </c>
    </row>
    <row r="31" customFormat="false" ht="15" hidden="false" customHeight="true" outlineLevel="0" collapsed="false">
      <c r="A31" s="3" t="s">
        <v>720</v>
      </c>
      <c r="B31" s="41" t="n">
        <v>84.78125</v>
      </c>
      <c r="C31" s="3" t="s">
        <v>715</v>
      </c>
    </row>
    <row r="32" customFormat="false" ht="15" hidden="false" customHeight="true" outlineLevel="0" collapsed="false">
      <c r="A32" s="3" t="s">
        <v>721</v>
      </c>
      <c r="B32" s="41" t="n">
        <v>70</v>
      </c>
      <c r="C32" s="3" t="s">
        <v>715</v>
      </c>
    </row>
    <row r="33" customFormat="false" ht="15" hidden="false" customHeight="true" outlineLevel="0" collapsed="false">
      <c r="A33" s="3" t="s">
        <v>722</v>
      </c>
      <c r="B33" s="41" t="n">
        <v>105</v>
      </c>
      <c r="C33" s="3" t="s">
        <v>715</v>
      </c>
    </row>
    <row r="34" customFormat="false" ht="15" hidden="false" customHeight="true" outlineLevel="0" collapsed="false">
      <c r="A34" s="3" t="s">
        <v>723</v>
      </c>
      <c r="B34" s="41" t="n">
        <v>122.5</v>
      </c>
      <c r="C34" s="3" t="s">
        <v>715</v>
      </c>
    </row>
    <row r="35" customFormat="false" ht="15" hidden="false" customHeight="true" outlineLevel="0" collapsed="false">
      <c r="A35" s="3" t="s">
        <v>724</v>
      </c>
      <c r="B35" s="41" t="n">
        <v>131.25</v>
      </c>
      <c r="C35" s="3" t="s">
        <v>715</v>
      </c>
    </row>
    <row r="36" customFormat="false" ht="15" hidden="false" customHeight="true" outlineLevel="0" collapsed="false">
      <c r="A36" s="3" t="s">
        <v>725</v>
      </c>
      <c r="B36" s="41" t="n">
        <v>135.625</v>
      </c>
      <c r="C36" s="3" t="s">
        <v>715</v>
      </c>
    </row>
    <row r="37" customFormat="false" ht="15" hidden="false" customHeight="true" outlineLevel="0" collapsed="false">
      <c r="A37" s="3" t="s">
        <v>726</v>
      </c>
      <c r="B37" s="41" t="n">
        <v>137.8125</v>
      </c>
      <c r="C37" s="3" t="s">
        <v>715</v>
      </c>
    </row>
    <row r="38" customFormat="false" ht="15" hidden="false" customHeight="true" outlineLevel="0" collapsed="false">
      <c r="A38" s="3" t="s">
        <v>727</v>
      </c>
      <c r="B38" s="41" t="n">
        <v>-50</v>
      </c>
      <c r="C38" s="3" t="s">
        <v>715</v>
      </c>
    </row>
    <row r="39" customFormat="false" ht="15" hidden="false" customHeight="true" outlineLevel="0" collapsed="false">
      <c r="A39" s="3" t="s">
        <v>728</v>
      </c>
      <c r="B39" s="41" t="n">
        <v>-15</v>
      </c>
      <c r="C39" s="3" t="s">
        <v>715</v>
      </c>
    </row>
    <row r="40" customFormat="false" ht="15" hidden="false" customHeight="true" outlineLevel="0" collapsed="false">
      <c r="A40" s="3" t="s">
        <v>729</v>
      </c>
      <c r="B40" s="41" t="n">
        <v>2.5</v>
      </c>
      <c r="C40" s="3" t="s">
        <v>715</v>
      </c>
    </row>
    <row r="41" customFormat="false" ht="15" hidden="false" customHeight="true" outlineLevel="0" collapsed="false">
      <c r="A41" s="3" t="s">
        <v>730</v>
      </c>
      <c r="B41" s="41" t="n">
        <v>11.25</v>
      </c>
      <c r="C41" s="3" t="s">
        <v>715</v>
      </c>
    </row>
    <row r="42" customFormat="false" ht="15" hidden="false" customHeight="true" outlineLevel="0" collapsed="false">
      <c r="A42" s="3" t="s">
        <v>731</v>
      </c>
      <c r="B42" s="41" t="n">
        <v>15.625</v>
      </c>
      <c r="C42" s="3" t="s">
        <v>715</v>
      </c>
    </row>
    <row r="43" customFormat="false" ht="15" hidden="false" customHeight="true" outlineLevel="0" collapsed="false">
      <c r="A43" s="3" t="s">
        <v>732</v>
      </c>
      <c r="B43" s="41" t="n">
        <v>17.8125</v>
      </c>
      <c r="C43" s="3" t="s">
        <v>715</v>
      </c>
    </row>
    <row r="44" customFormat="false" ht="15" hidden="false" customHeight="true" outlineLevel="0" collapsed="false">
      <c r="A44" s="3" t="s">
        <v>733</v>
      </c>
      <c r="B44" s="41" t="n">
        <v>570</v>
      </c>
      <c r="C44" s="3" t="s">
        <v>715</v>
      </c>
    </row>
    <row r="45" customFormat="false" ht="15" hidden="false" customHeight="true" outlineLevel="0" collapsed="false">
      <c r="A45" s="3" t="s">
        <v>734</v>
      </c>
      <c r="B45" s="41" t="n">
        <v>555</v>
      </c>
      <c r="C45" s="3" t="s">
        <v>715</v>
      </c>
    </row>
    <row r="46" customFormat="false" ht="15" hidden="false" customHeight="true" outlineLevel="0" collapsed="false">
      <c r="A46" s="3" t="s">
        <v>735</v>
      </c>
      <c r="B46" s="41" t="n">
        <v>557.5</v>
      </c>
      <c r="C46" s="3" t="s">
        <v>715</v>
      </c>
    </row>
    <row r="47" customFormat="false" ht="15" hidden="false" customHeight="true" outlineLevel="0" collapsed="false">
      <c r="A47" s="3" t="s">
        <v>736</v>
      </c>
      <c r="B47" s="41" t="n">
        <v>568.75</v>
      </c>
      <c r="C47" s="3" t="s">
        <v>715</v>
      </c>
    </row>
    <row r="48" customFormat="false" ht="15" hidden="false" customHeight="true" outlineLevel="0" collapsed="false">
      <c r="A48" s="3" t="s">
        <v>737</v>
      </c>
      <c r="B48" s="41" t="n">
        <v>584.375</v>
      </c>
      <c r="C48" s="3" t="s">
        <v>715</v>
      </c>
    </row>
    <row r="49" customFormat="false" ht="15" hidden="false" customHeight="true" outlineLevel="0" collapsed="false">
      <c r="A49" s="3" t="s">
        <v>738</v>
      </c>
      <c r="B49" s="41" t="n">
        <v>602.1875</v>
      </c>
      <c r="C49" s="3" t="s">
        <v>715</v>
      </c>
    </row>
    <row r="50" customFormat="false" ht="15" hidden="false" customHeight="true" outlineLevel="0" collapsed="false">
      <c r="A50" s="3" t="s">
        <v>739</v>
      </c>
      <c r="B50" s="41" t="n">
        <v>3</v>
      </c>
      <c r="C50" s="3" t="s">
        <v>740</v>
      </c>
    </row>
    <row r="51" customFormat="false" ht="15" hidden="false" customHeight="true" outlineLevel="0" collapsed="false">
      <c r="A51" s="3" t="s">
        <v>741</v>
      </c>
      <c r="B51" s="41" t="n">
        <v>555</v>
      </c>
      <c r="C51" s="3" t="s">
        <v>742</v>
      </c>
    </row>
    <row r="52" customFormat="false" ht="15" hidden="false" customHeight="true" outlineLevel="0" collapsed="false">
      <c r="A52" s="3" t="s">
        <v>743</v>
      </c>
      <c r="B52" s="41" t="n">
        <v>19.9999999998727</v>
      </c>
      <c r="C52" s="3" t="s">
        <v>744</v>
      </c>
    </row>
    <row r="53" customFormat="false" ht="15" hidden="false" customHeight="true" outlineLevel="0" collapsed="false">
      <c r="A53" s="3" t="s">
        <v>745</v>
      </c>
      <c r="B53" s="41" t="n">
        <v>535</v>
      </c>
      <c r="C53" s="3" t="s">
        <v>746</v>
      </c>
    </row>
    <row r="54" customFormat="false" ht="15" hidden="false" customHeight="true" outlineLevel="0" collapsed="false">
      <c r="A54" s="3" t="s">
        <v>747</v>
      </c>
      <c r="B54" s="41" t="n">
        <v>85</v>
      </c>
      <c r="C54" s="3" t="s">
        <v>748</v>
      </c>
    </row>
    <row r="55" customFormat="false" ht="15" hidden="false" customHeight="true" outlineLevel="0" collapsed="false">
      <c r="A55" s="3" t="s">
        <v>749</v>
      </c>
      <c r="B55" s="41" t="n">
        <v>83</v>
      </c>
      <c r="C55" s="3" t="s">
        <v>750</v>
      </c>
    </row>
    <row r="56" customFormat="false" ht="15" hidden="false" customHeight="true" outlineLevel="0" collapsed="false">
      <c r="A56" s="3" t="s">
        <v>751</v>
      </c>
      <c r="B56" s="41" t="n">
        <v>2</v>
      </c>
      <c r="C56" s="3" t="s">
        <v>752</v>
      </c>
    </row>
    <row r="57" customFormat="false" ht="15" hidden="false" customHeight="true" outlineLevel="0" collapsed="false">
      <c r="A57" s="3" t="s">
        <v>753</v>
      </c>
      <c r="B57" s="41" t="n">
        <v>120</v>
      </c>
      <c r="C57" s="3" t="s">
        <v>754</v>
      </c>
    </row>
    <row r="58" customFormat="false" ht="15" hidden="false" customHeight="true" outlineLevel="0" collapsed="false">
      <c r="A58" s="3" t="s">
        <v>755</v>
      </c>
      <c r="B58" s="41" t="n">
        <v>500</v>
      </c>
      <c r="C58" s="3" t="s">
        <v>756</v>
      </c>
    </row>
    <row r="59" customFormat="false" ht="15" hidden="false" customHeight="true" outlineLevel="0" collapsed="false">
      <c r="A59" s="3" t="s">
        <v>757</v>
      </c>
      <c r="B59" s="41" t="n">
        <v>30</v>
      </c>
      <c r="C59" s="3" t="s">
        <v>758</v>
      </c>
    </row>
    <row r="60" customFormat="false" ht="15" hidden="false" customHeight="true" outlineLevel="0" collapsed="false">
      <c r="A60" s="3" t="s">
        <v>759</v>
      </c>
      <c r="B60" s="41" t="n">
        <v>100</v>
      </c>
      <c r="C60" s="3" t="s">
        <v>760</v>
      </c>
    </row>
    <row r="61" customFormat="false" ht="15" hidden="false" customHeight="true" outlineLevel="0" collapsed="false">
      <c r="A61" s="3" t="s">
        <v>761</v>
      </c>
      <c r="B61" s="41" t="n">
        <v>5</v>
      </c>
      <c r="C61" s="3" t="s">
        <v>762</v>
      </c>
    </row>
    <row r="62" customFormat="false" ht="15" hidden="false" customHeight="true" outlineLevel="0" collapsed="false">
      <c r="A62" s="3" t="s">
        <v>763</v>
      </c>
      <c r="B62" s="41" t="n">
        <v>5</v>
      </c>
      <c r="C62" s="3" t="s">
        <v>764</v>
      </c>
    </row>
    <row r="63" customFormat="false" ht="15" hidden="false" customHeight="true" outlineLevel="0" collapsed="false">
      <c r="A63" s="3" t="s">
        <v>765</v>
      </c>
      <c r="B63" s="41" t="n">
        <v>4.65640261632</v>
      </c>
      <c r="C63" s="3" t="s">
        <v>766</v>
      </c>
    </row>
    <row r="64" customFormat="false" ht="15" hidden="false" customHeight="true" outlineLevel="0" collapsed="false">
      <c r="A64" s="3" t="s">
        <v>767</v>
      </c>
      <c r="B64" s="41" t="n">
        <v>12</v>
      </c>
      <c r="C64" s="3" t="s">
        <v>768</v>
      </c>
    </row>
    <row r="65" customFormat="false" ht="15" hidden="false" customHeight="true" outlineLevel="0" collapsed="false">
      <c r="A65" s="3" t="s">
        <v>769</v>
      </c>
      <c r="B65" s="41" t="n">
        <v>39.58050224128</v>
      </c>
      <c r="C65" s="3" t="s">
        <v>770</v>
      </c>
    </row>
    <row r="66" customFormat="false" ht="15" hidden="false" customHeight="true" outlineLevel="0" collapsed="false">
      <c r="A66" s="3" t="s">
        <v>771</v>
      </c>
      <c r="B66" s="41" t="n">
        <v>-2.1316282072803E-013</v>
      </c>
      <c r="C66" s="3" t="s">
        <v>772</v>
      </c>
    </row>
    <row r="67" customFormat="false" ht="15" hidden="false" customHeight="true" outlineLevel="0" collapsed="false">
      <c r="A67" s="3" t="s">
        <v>773</v>
      </c>
      <c r="B67" s="41" t="n">
        <v>600</v>
      </c>
      <c r="C67" s="3" t="s">
        <v>774</v>
      </c>
    </row>
    <row r="68" customFormat="false" ht="15" hidden="false" customHeight="true" outlineLevel="0" collapsed="false">
      <c r="A68" s="3" t="s">
        <v>775</v>
      </c>
      <c r="B68" s="41" t="n">
        <v>450</v>
      </c>
      <c r="C68" s="3" t="s">
        <v>776</v>
      </c>
    </row>
    <row r="69" customFormat="false" ht="15" hidden="false" customHeight="true" outlineLevel="0" collapsed="false">
      <c r="A69" s="3" t="s">
        <v>777</v>
      </c>
      <c r="B69" s="41" t="n">
        <v>375</v>
      </c>
      <c r="C69" s="3" t="s">
        <v>778</v>
      </c>
    </row>
    <row r="70" customFormat="false" ht="15" hidden="false" customHeight="true" outlineLevel="0" collapsed="false">
      <c r="A70" s="3" t="s">
        <v>779</v>
      </c>
      <c r="B70" s="41" t="n">
        <v>337.5</v>
      </c>
      <c r="C70" s="3" t="s">
        <v>780</v>
      </c>
    </row>
    <row r="71" customFormat="false" ht="15" hidden="false" customHeight="true" outlineLevel="0" collapsed="false">
      <c r="A71" s="3" t="s">
        <v>781</v>
      </c>
      <c r="B71" s="41" t="n">
        <v>56</v>
      </c>
      <c r="C71" s="3" t="s">
        <v>782</v>
      </c>
    </row>
    <row r="72" customFormat="false" ht="15" hidden="false" customHeight="true" outlineLevel="0" collapsed="false">
      <c r="A72" s="3" t="s">
        <v>783</v>
      </c>
      <c r="B72" s="41" t="n">
        <v>63.5</v>
      </c>
      <c r="C72" s="3" t="s">
        <v>784</v>
      </c>
    </row>
    <row r="73" customFormat="false" ht="15" hidden="false" customHeight="true" outlineLevel="0" collapsed="false">
      <c r="A73" s="3" t="s">
        <v>785</v>
      </c>
      <c r="B73" s="41" t="n">
        <v>599.999999999454</v>
      </c>
      <c r="C73" s="3" t="s">
        <v>786</v>
      </c>
    </row>
    <row r="74" customFormat="false" ht="15" hidden="false" customHeight="true" outlineLevel="0" collapsed="false">
      <c r="A74" s="3" t="s">
        <v>787</v>
      </c>
      <c r="B74" s="41" t="n">
        <v>70.9999999999727</v>
      </c>
      <c r="C74" s="3" t="s">
        <v>788</v>
      </c>
    </row>
    <row r="75" customFormat="false" ht="15" hidden="false" customHeight="true" outlineLevel="0" collapsed="false">
      <c r="A75" s="3" t="s">
        <v>789</v>
      </c>
      <c r="B75" s="41" t="n">
        <v>5</v>
      </c>
      <c r="C75" s="3" t="s">
        <v>790</v>
      </c>
    </row>
    <row r="76" customFormat="false" ht="15" hidden="false" customHeight="true" outlineLevel="0" collapsed="false">
      <c r="A76" s="3" t="s">
        <v>791</v>
      </c>
      <c r="B76" s="41" t="n">
        <v>13</v>
      </c>
      <c r="C76" s="3" t="s">
        <v>790</v>
      </c>
    </row>
    <row r="77" customFormat="false" ht="15" hidden="false" customHeight="true" outlineLevel="0" collapsed="false">
      <c r="A77" s="3" t="s">
        <v>792</v>
      </c>
      <c r="B77" s="41" t="n">
        <v>21</v>
      </c>
      <c r="C77" s="3" t="s">
        <v>790</v>
      </c>
    </row>
    <row r="78" customFormat="false" ht="15" hidden="false" customHeight="true" outlineLevel="0" collapsed="false">
      <c r="A78" s="3" t="s">
        <v>793</v>
      </c>
      <c r="B78" s="41" t="n">
        <v>28</v>
      </c>
      <c r="C78" s="3" t="s">
        <v>790</v>
      </c>
    </row>
    <row r="79" customFormat="false" ht="15" hidden="false" customHeight="true" outlineLevel="0" collapsed="false">
      <c r="A79" s="3" t="s">
        <v>794</v>
      </c>
      <c r="B79" s="41" t="n">
        <v>4</v>
      </c>
      <c r="C79" s="3" t="s">
        <v>795</v>
      </c>
    </row>
    <row r="80" customFormat="false" ht="15" hidden="false" customHeight="true" outlineLevel="0" collapsed="false">
      <c r="A80" s="3" t="s">
        <v>796</v>
      </c>
      <c r="B80" s="41" t="n">
        <v>9</v>
      </c>
      <c r="C80" s="3" t="s">
        <v>795</v>
      </c>
    </row>
    <row r="81" customFormat="false" ht="15" hidden="false" customHeight="true" outlineLevel="0" collapsed="false">
      <c r="A81" s="3" t="s">
        <v>797</v>
      </c>
      <c r="B81" s="41" t="n">
        <v>12</v>
      </c>
      <c r="C81" s="3" t="s">
        <v>795</v>
      </c>
    </row>
    <row r="82" customFormat="false" ht="15" hidden="false" customHeight="true" outlineLevel="0" collapsed="false">
      <c r="A82" s="3" t="s">
        <v>798</v>
      </c>
      <c r="B82" s="41" t="n">
        <v>11</v>
      </c>
      <c r="C82" s="3" t="s">
        <v>795</v>
      </c>
    </row>
    <row r="83" customFormat="false" ht="15" hidden="false" customHeight="true" outlineLevel="0" collapsed="false">
      <c r="A83" s="3" t="s">
        <v>799</v>
      </c>
      <c r="B83" s="41" t="n">
        <v>0</v>
      </c>
      <c r="C83" s="3" t="s">
        <v>800</v>
      </c>
    </row>
    <row r="84" customFormat="false" ht="15" hidden="false" customHeight="true" outlineLevel="0" collapsed="false">
      <c r="A84" s="3" t="s">
        <v>801</v>
      </c>
      <c r="B84" s="41" t="n">
        <v>2</v>
      </c>
      <c r="C84" s="3" t="s">
        <v>802</v>
      </c>
    </row>
    <row r="85" customFormat="false" ht="15" hidden="false" customHeight="true" outlineLevel="0" collapsed="false">
      <c r="A85" s="3" t="s">
        <v>246</v>
      </c>
      <c r="B85" s="41" t="n">
        <v>206.632729102868</v>
      </c>
      <c r="C85" s="3" t="s">
        <v>803</v>
      </c>
    </row>
    <row r="86" customFormat="false" ht="15" hidden="false" customHeight="true" outlineLevel="0" collapsed="false">
      <c r="A86" s="3" t="s">
        <v>247</v>
      </c>
      <c r="B86" s="41" t="n">
        <v>75.6346691353518</v>
      </c>
      <c r="C86" s="3" t="s">
        <v>691</v>
      </c>
    </row>
    <row r="87" customFormat="false" ht="15" hidden="false" customHeight="true" outlineLevel="0" collapsed="false">
      <c r="A87" s="3" t="s">
        <v>804</v>
      </c>
      <c r="B87" s="41" t="n">
        <v>4</v>
      </c>
      <c r="C87" s="3" t="s">
        <v>805</v>
      </c>
    </row>
    <row r="88" customFormat="false" ht="15" hidden="false" customHeight="false" outlineLevel="0" collapsed="false">
      <c r="A88" s="3" t="s">
        <v>806</v>
      </c>
      <c r="B88" s="41" t="n">
        <v>79.2991654861622</v>
      </c>
      <c r="C88" s="3" t="s">
        <v>807</v>
      </c>
    </row>
    <row r="89" customFormat="false" ht="15" hidden="false" customHeight="false" outlineLevel="0" collapsed="false">
      <c r="A89" s="3" t="s">
        <v>808</v>
      </c>
      <c r="B89" s="41" t="n">
        <v>472</v>
      </c>
      <c r="C89" s="3" t="s">
        <v>809</v>
      </c>
    </row>
    <row r="90" customFormat="false" ht="15" hidden="false" customHeight="false" outlineLevel="0" collapsed="false">
      <c r="A90" s="3" t="s">
        <v>810</v>
      </c>
      <c r="B90" s="41" t="n">
        <v>138.082058622032</v>
      </c>
      <c r="C90" s="3" t="s">
        <v>811</v>
      </c>
    </row>
    <row r="91" customFormat="false" ht="15" hidden="false" customHeight="false" outlineLevel="0" collapsed="false">
      <c r="A91" s="3" t="s">
        <v>812</v>
      </c>
      <c r="B91" s="41" t="n">
        <v>20.574450992972</v>
      </c>
      <c r="C91" s="3" t="s">
        <v>78</v>
      </c>
    </row>
    <row r="92" customFormat="false" ht="15" hidden="false" customHeight="false" outlineLevel="0" collapsed="false">
      <c r="A92" s="3" t="s">
        <v>813</v>
      </c>
      <c r="B92" s="41" t="n">
        <v>488.082058622032</v>
      </c>
      <c r="C92" s="3" t="s">
        <v>814</v>
      </c>
    </row>
    <row r="93" customFormat="false" ht="15" hidden="false" customHeight="false" outlineLevel="0" collapsed="false">
      <c r="A93" s="3" t="s">
        <v>45</v>
      </c>
      <c r="B93" s="41" t="n">
        <v>-35.3672708971317</v>
      </c>
      <c r="C93" s="3" t="s">
        <v>815</v>
      </c>
    </row>
    <row r="94" customFormat="false" ht="15" hidden="false" customHeight="false" outlineLevel="0" collapsed="false">
      <c r="A94" s="3" t="s">
        <v>816</v>
      </c>
      <c r="B94" s="41" t="n">
        <v>34.6346691353518</v>
      </c>
      <c r="C94" s="3" t="s">
        <v>817</v>
      </c>
    </row>
    <row r="95" customFormat="false" ht="15" hidden="false" customHeight="false" outlineLevel="0" collapsed="false">
      <c r="A95" s="3" t="s">
        <v>818</v>
      </c>
      <c r="B95" s="41" t="n">
        <v>2.59833097232446</v>
      </c>
      <c r="C95" s="3" t="s">
        <v>819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5" min="4" style="1" width="11"/>
    <col collapsed="false" customWidth="true" hidden="false" outlineLevel="0" max="6" min="6" style="1" width="10"/>
  </cols>
  <sheetData>
    <row r="1" customFormat="false" ht="15" hidden="false" customHeight="true" outlineLevel="0" collapsed="false">
      <c r="A1" s="9" t="s">
        <v>664</v>
      </c>
      <c r="B1" s="9" t="s">
        <v>820</v>
      </c>
      <c r="C1" s="9" t="s">
        <v>665</v>
      </c>
      <c r="D1" s="9" t="s">
        <v>821</v>
      </c>
      <c r="E1" s="9" t="s">
        <v>822</v>
      </c>
      <c r="F1" s="9" t="s">
        <v>823</v>
      </c>
    </row>
    <row r="2" customFormat="false" ht="15" hidden="false" customHeight="true" outlineLevel="0" collapsed="false">
      <c r="A2" s="3" t="s">
        <v>667</v>
      </c>
      <c r="B2" s="18" t="n">
        <f aca="false">Pre_A</f>
        <v>470</v>
      </c>
      <c r="C2" s="42" t="n">
        <f aca="false">Reference_Values!B2</f>
        <v>470</v>
      </c>
      <c r="D2" s="40" t="n">
        <f aca="false">ABS(B2-C2)</f>
        <v>0</v>
      </c>
      <c r="E2" s="43" t="n">
        <v>1E-009</v>
      </c>
      <c r="F2" s="5" t="str">
        <f aca="false">IF(D2&lt;=E2,"PASS","FAIL")</f>
        <v>PASS</v>
      </c>
    </row>
    <row r="3" customFormat="false" ht="15" hidden="false" customHeight="true" outlineLevel="0" collapsed="false">
      <c r="A3" s="3" t="s">
        <v>669</v>
      </c>
      <c r="B3" s="18" t="n">
        <f aca="false">Operators!F11</f>
        <v>4</v>
      </c>
      <c r="C3" s="42" t="n">
        <f aca="false">Reference_Values!B3</f>
        <v>4</v>
      </c>
      <c r="D3" s="40" t="n">
        <f aca="false">ABS(B3-C3)</f>
        <v>0</v>
      </c>
      <c r="E3" s="43" t="n">
        <v>0</v>
      </c>
      <c r="F3" s="5" t="str">
        <f aca="false">IF(D3&lt;=E3,"PASS","FAIL")</f>
        <v>PASS</v>
      </c>
    </row>
    <row r="4" customFormat="false" ht="15" hidden="false" customHeight="true" outlineLevel="0" collapsed="false">
      <c r="A4" s="3" t="s">
        <v>671</v>
      </c>
      <c r="B4" s="18" t="n">
        <f aca="false">Operators!B10</f>
        <v>500</v>
      </c>
      <c r="C4" s="42" t="n">
        <f aca="false">Reference_Values!B4</f>
        <v>500</v>
      </c>
      <c r="D4" s="40" t="n">
        <f aca="false">ABS(B4-C4)</f>
        <v>0</v>
      </c>
      <c r="E4" s="43" t="n">
        <v>1E-009</v>
      </c>
      <c r="F4" s="5" t="str">
        <f aca="false">IF(D4&lt;=E4,"PASS","FAIL")</f>
        <v>PASS</v>
      </c>
    </row>
    <row r="5" customFormat="false" ht="15" hidden="false" customHeight="true" outlineLevel="0" collapsed="false">
      <c r="A5" s="3" t="s">
        <v>673</v>
      </c>
      <c r="B5" s="18" t="n">
        <f aca="false">Operators!E10</f>
        <v>78</v>
      </c>
      <c r="C5" s="42" t="n">
        <f aca="false">Reference_Values!B5</f>
        <v>78</v>
      </c>
      <c r="D5" s="40" t="n">
        <f aca="false">ABS(B5-C5)</f>
        <v>0</v>
      </c>
      <c r="E5" s="43" t="n">
        <v>1E-009</v>
      </c>
      <c r="F5" s="5" t="str">
        <f aca="false">IF(D5&lt;=E5,"PASS","FAIL")</f>
        <v>PASS</v>
      </c>
    </row>
    <row r="6" customFormat="false" ht="15" hidden="false" customHeight="true" outlineLevel="0" collapsed="false">
      <c r="A6" s="3" t="s">
        <v>675</v>
      </c>
      <c r="B6" s="18" t="n">
        <f aca="false">Operators!B12</f>
        <v>481.917941377968</v>
      </c>
      <c r="C6" s="42" t="n">
        <f aca="false">Reference_Values!B6</f>
        <v>481.917941377968</v>
      </c>
      <c r="D6" s="40" t="n">
        <f aca="false">ABS(B6-C6)</f>
        <v>0</v>
      </c>
      <c r="E6" s="43" t="n">
        <v>1E-006</v>
      </c>
      <c r="F6" s="5" t="str">
        <f aca="false">IF(D6&lt;=E6,"PASS","FAIL")</f>
        <v>PASS</v>
      </c>
    </row>
    <row r="7" customFormat="false" ht="15" hidden="false" customHeight="true" outlineLevel="0" collapsed="false">
      <c r="A7" s="3" t="s">
        <v>677</v>
      </c>
      <c r="B7" s="18" t="n">
        <f aca="false">Operators!B7</f>
        <v>732</v>
      </c>
      <c r="C7" s="42" t="n">
        <f aca="false">Reference_Values!B7</f>
        <v>732</v>
      </c>
      <c r="D7" s="40" t="n">
        <f aca="false">ABS(B7-C7)</f>
        <v>0</v>
      </c>
      <c r="E7" s="43" t="n">
        <v>1E-009</v>
      </c>
      <c r="F7" s="5" t="str">
        <f aca="false">IF(D7&lt;=E7,"PASS","FAIL")</f>
        <v>PASS</v>
      </c>
    </row>
    <row r="8" customFormat="false" ht="15" hidden="false" customHeight="true" outlineLevel="0" collapsed="false">
      <c r="A8" s="3" t="s">
        <v>679</v>
      </c>
      <c r="B8" s="18" t="n">
        <f aca="false">Operators!C7</f>
        <v>36.9</v>
      </c>
      <c r="C8" s="42" t="n">
        <f aca="false">Reference_Values!B8</f>
        <v>36.9</v>
      </c>
      <c r="D8" s="40" t="n">
        <f aca="false">ABS(B8-C8)</f>
        <v>0</v>
      </c>
      <c r="E8" s="43" t="n">
        <v>1E-009</v>
      </c>
      <c r="F8" s="5" t="str">
        <f aca="false">IF(D8&lt;=E8,"PASS","FAIL")</f>
        <v>PASS</v>
      </c>
    </row>
    <row r="9" customFormat="false" ht="15" hidden="false" customHeight="true" outlineLevel="0" collapsed="false">
      <c r="A9" s="3" t="s">
        <v>681</v>
      </c>
      <c r="B9" s="18" t="n">
        <f aca="false">Operators!D7</f>
        <v>53</v>
      </c>
      <c r="C9" s="42" t="n">
        <f aca="false">Reference_Values!B9</f>
        <v>53</v>
      </c>
      <c r="D9" s="40" t="n">
        <f aca="false">ABS(B9-C9)</f>
        <v>0</v>
      </c>
      <c r="E9" s="43" t="n">
        <v>1E-009</v>
      </c>
      <c r="F9" s="5" t="str">
        <f aca="false">IF(D9&lt;=E9,"PASS","FAIL")</f>
        <v>PASS</v>
      </c>
    </row>
    <row r="10" customFormat="false" ht="15" hidden="false" customHeight="true" outlineLevel="0" collapsed="false">
      <c r="A10" s="3" t="s">
        <v>683</v>
      </c>
      <c r="B10" s="18" t="n">
        <f aca="false">Operators!B8</f>
        <v>712</v>
      </c>
      <c r="C10" s="42" t="n">
        <f aca="false">Reference_Values!B10</f>
        <v>712</v>
      </c>
      <c r="D10" s="40" t="n">
        <f aca="false">ABS(B10-C10)</f>
        <v>0</v>
      </c>
      <c r="E10" s="43" t="n">
        <v>1E-009</v>
      </c>
      <c r="F10" s="5" t="str">
        <f aca="false">IF(D10&lt;=E10,"PASS","FAIL")</f>
        <v>PASS</v>
      </c>
    </row>
    <row r="11" customFormat="false" ht="15" hidden="false" customHeight="true" outlineLevel="0" collapsed="false">
      <c r="A11" s="3" t="s">
        <v>163</v>
      </c>
      <c r="B11" s="18" t="n">
        <f aca="false">Programs!B25</f>
        <v>9</v>
      </c>
      <c r="C11" s="42" t="n">
        <f aca="false">Reference_Values!B11</f>
        <v>9</v>
      </c>
      <c r="D11" s="40" t="n">
        <f aca="false">ABS(B11-C11)</f>
        <v>0</v>
      </c>
      <c r="E11" s="43" t="n">
        <v>0</v>
      </c>
      <c r="F11" s="5" t="str">
        <f aca="false">IF(D11&lt;=E11,"PASS","FAIL")</f>
        <v>PASS</v>
      </c>
    </row>
    <row r="12" customFormat="false" ht="15" hidden="false" customHeight="true" outlineLevel="0" collapsed="false">
      <c r="A12" s="3" t="s">
        <v>686</v>
      </c>
      <c r="B12" s="18" t="n">
        <f aca="false">Programs!B26</f>
        <v>1</v>
      </c>
      <c r="C12" s="42" t="n">
        <f aca="false">Reference_Values!B12</f>
        <v>1</v>
      </c>
      <c r="D12" s="40" t="n">
        <f aca="false">ABS(B12-C12)</f>
        <v>0</v>
      </c>
      <c r="E12" s="43" t="n">
        <v>0</v>
      </c>
      <c r="F12" s="5" t="str">
        <f aca="false">IF(D12&lt;=E12,"PASS","FAIL")</f>
        <v>PASS</v>
      </c>
    </row>
    <row r="13" customFormat="false" ht="15" hidden="false" customHeight="true" outlineLevel="0" collapsed="false">
      <c r="A13" s="3" t="s">
        <v>688</v>
      </c>
      <c r="B13" s="18" t="n">
        <f aca="false">Programs!B27</f>
        <v>464.632729102868</v>
      </c>
      <c r="C13" s="42" t="n">
        <f aca="false">Reference_Values!B13</f>
        <v>464.632729102868</v>
      </c>
      <c r="D13" s="40" t="n">
        <f aca="false">ABS(B13-C13)</f>
        <v>0</v>
      </c>
      <c r="E13" s="43" t="n">
        <v>1E-006</v>
      </c>
      <c r="F13" s="5" t="str">
        <f aca="false">IF(D13&lt;=E13,"PASS","FAIL")</f>
        <v>PASS</v>
      </c>
    </row>
    <row r="14" customFormat="false" ht="15" hidden="false" customHeight="true" outlineLevel="0" collapsed="false">
      <c r="A14" s="3" t="s">
        <v>690</v>
      </c>
      <c r="B14" s="18" t="n">
        <f aca="false">Programs!B28</f>
        <v>75.6346691353518</v>
      </c>
      <c r="C14" s="42" t="n">
        <f aca="false">Reference_Values!B14</f>
        <v>75.6346691353518</v>
      </c>
      <c r="D14" s="40" t="n">
        <f aca="false">ABS(B14-C14)</f>
        <v>0</v>
      </c>
      <c r="E14" s="43" t="n">
        <v>1E-006</v>
      </c>
      <c r="F14" s="5" t="str">
        <f aca="false">IF(D14&lt;=E14,"PASS","FAIL")</f>
        <v>PASS</v>
      </c>
    </row>
    <row r="15" customFormat="false" ht="15" hidden="false" customHeight="true" outlineLevel="0" collapsed="false">
      <c r="A15" s="3" t="s">
        <v>692</v>
      </c>
      <c r="B15" s="18" t="n">
        <f aca="false">Programs!B29</f>
        <v>11.9179413779679</v>
      </c>
      <c r="C15" s="42" t="n">
        <f aca="false">Reference_Values!B15</f>
        <v>11.9179413779679</v>
      </c>
      <c r="D15" s="40" t="n">
        <f aca="false">ABS(B15-C15)</f>
        <v>0</v>
      </c>
      <c r="E15" s="43" t="n">
        <v>1E-006</v>
      </c>
      <c r="F15" s="5" t="str">
        <f aca="false">IF(D15&lt;=E15,"PASS","FAIL")</f>
        <v>PASS</v>
      </c>
    </row>
    <row r="16" customFormat="false" ht="15" hidden="false" customHeight="true" outlineLevel="0" collapsed="false">
      <c r="A16" s="3" t="s">
        <v>694</v>
      </c>
      <c r="B16" s="18" t="n">
        <f aca="false">Programs!L19</f>
        <v>612</v>
      </c>
      <c r="C16" s="42" t="n">
        <f aca="false">Reference_Values!B16</f>
        <v>612</v>
      </c>
      <c r="D16" s="40" t="n">
        <f aca="false">ABS(B16-C16)</f>
        <v>0</v>
      </c>
      <c r="E16" s="43" t="n">
        <v>1E-009</v>
      </c>
      <c r="F16" s="5" t="str">
        <f aca="false">IF(D16&lt;=E16,"PASS","FAIL")</f>
        <v>PASS</v>
      </c>
    </row>
    <row r="17" customFormat="false" ht="15" hidden="false" customHeight="true" outlineLevel="0" collapsed="false">
      <c r="A17" s="3" t="s">
        <v>696</v>
      </c>
      <c r="B17" s="18" t="n">
        <f aca="false">Programs!N19</f>
        <v>54</v>
      </c>
      <c r="C17" s="42" t="n">
        <f aca="false">Reference_Values!B17</f>
        <v>54</v>
      </c>
      <c r="D17" s="40" t="n">
        <f aca="false">ABS(B17-C17)</f>
        <v>0</v>
      </c>
      <c r="E17" s="43" t="n">
        <v>1E-009</v>
      </c>
      <c r="F17" s="5" t="str">
        <f aca="false">IF(D17&lt;=E17,"PASS","FAIL")</f>
        <v>PASS</v>
      </c>
    </row>
    <row r="18" customFormat="false" ht="15" hidden="false" customHeight="true" outlineLevel="0" collapsed="false">
      <c r="A18" s="3" t="s">
        <v>698</v>
      </c>
      <c r="B18" s="18" t="n">
        <f aca="false">Programs!L20</f>
        <v>592</v>
      </c>
      <c r="C18" s="42" t="n">
        <f aca="false">Reference_Values!B18</f>
        <v>592</v>
      </c>
      <c r="D18" s="40" t="n">
        <f aca="false">ABS(B18-C18)</f>
        <v>0</v>
      </c>
      <c r="E18" s="43" t="n">
        <v>1E-009</v>
      </c>
      <c r="F18" s="5" t="str">
        <f aca="false">IF(D18&lt;=E18,"PASS","FAIL")</f>
        <v>PASS</v>
      </c>
    </row>
    <row r="19" customFormat="false" ht="15" hidden="false" customHeight="true" outlineLevel="0" collapsed="false">
      <c r="A19" s="3" t="s">
        <v>700</v>
      </c>
      <c r="B19" s="18" t="n">
        <f aca="false">Programs!L22</f>
        <v>380</v>
      </c>
      <c r="C19" s="42" t="n">
        <f aca="false">Reference_Values!B19</f>
        <v>380</v>
      </c>
      <c r="D19" s="40" t="n">
        <f aca="false">ABS(B19-C19)</f>
        <v>0</v>
      </c>
      <c r="E19" s="43" t="n">
        <v>1E-009</v>
      </c>
      <c r="F19" s="5" t="str">
        <f aca="false">IF(D19&lt;=E19,"PASS","FAIL")</f>
        <v>PASS</v>
      </c>
    </row>
    <row r="20" customFormat="false" ht="15" hidden="false" customHeight="true" outlineLevel="0" collapsed="false">
      <c r="A20" s="3" t="s">
        <v>702</v>
      </c>
      <c r="B20" s="18" t="n">
        <f aca="false">Programs!B30</f>
        <v>80.5983309723245</v>
      </c>
      <c r="C20" s="42" t="n">
        <f aca="false">Reference_Values!B20</f>
        <v>80.5983309723245</v>
      </c>
      <c r="D20" s="40" t="n">
        <f aca="false">ABS(B20-C20)</f>
        <v>0</v>
      </c>
      <c r="E20" s="43" t="n">
        <v>1E-006</v>
      </c>
      <c r="F20" s="5" t="str">
        <f aca="false">IF(D20&lt;=E20,"PASS","FAIL")</f>
        <v>PASS</v>
      </c>
    </row>
    <row r="21" customFormat="false" ht="15" hidden="false" customHeight="true" outlineLevel="0" collapsed="false">
      <c r="A21" s="3" t="s">
        <v>704</v>
      </c>
      <c r="B21" s="18" t="n">
        <f aca="false">Programs!B37</f>
        <v>436.632729102868</v>
      </c>
      <c r="C21" s="42" t="n">
        <f aca="false">Reference_Values!B21</f>
        <v>436.632729102868</v>
      </c>
      <c r="D21" s="40" t="n">
        <f aca="false">ABS(B21-C21)</f>
        <v>0</v>
      </c>
      <c r="E21" s="43" t="n">
        <v>1E-006</v>
      </c>
      <c r="F21" s="5" t="str">
        <f aca="false">IF(D21&lt;=E21,"PASS","FAIL")</f>
        <v>PASS</v>
      </c>
    </row>
    <row r="22" customFormat="false" ht="15" hidden="false" customHeight="true" outlineLevel="0" collapsed="false">
      <c r="A22" s="3" t="s">
        <v>706</v>
      </c>
      <c r="B22" s="18" t="n">
        <f aca="false">Programs!B38</f>
        <v>333.917941377968</v>
      </c>
      <c r="C22" s="42" t="n">
        <f aca="false">Reference_Values!B22</f>
        <v>333.917941377968</v>
      </c>
      <c r="D22" s="40" t="n">
        <f aca="false">ABS(B22-C22)</f>
        <v>0</v>
      </c>
      <c r="E22" s="43" t="n">
        <v>1E-006</v>
      </c>
      <c r="F22" s="5" t="str">
        <f aca="false">IF(D22&lt;=E22,"PASS","FAIL")</f>
        <v>PASS</v>
      </c>
    </row>
    <row r="23" customFormat="false" ht="15" hidden="false" customHeight="true" outlineLevel="0" collapsed="false">
      <c r="A23" s="3" t="s">
        <v>708</v>
      </c>
      <c r="B23" s="18" t="n">
        <f aca="false">Playbook!F35</f>
        <v>380</v>
      </c>
      <c r="C23" s="42" t="n">
        <f aca="false">Reference_Values!B23</f>
        <v>380</v>
      </c>
      <c r="D23" s="40" t="n">
        <f aca="false">ABS(B23-C23)</f>
        <v>0</v>
      </c>
      <c r="E23" s="43" t="n">
        <v>1E-009</v>
      </c>
      <c r="F23" s="5" t="str">
        <f aca="false">IF(D23&lt;=E23,"PASS","FAIL")</f>
        <v>PASS</v>
      </c>
    </row>
    <row r="24" customFormat="false" ht="15" hidden="false" customHeight="true" outlineLevel="0" collapsed="false">
      <c r="A24" s="3" t="s">
        <v>710</v>
      </c>
      <c r="B24" s="18" t="n">
        <f aca="false">Playbook!B7</f>
        <v>2</v>
      </c>
      <c r="C24" s="42" t="n">
        <f aca="false">Reference_Values!B24</f>
        <v>2</v>
      </c>
      <c r="D24" s="40" t="n">
        <f aca="false">ABS(B24-C24)</f>
        <v>0</v>
      </c>
      <c r="E24" s="43" t="n">
        <v>0</v>
      </c>
      <c r="F24" s="5" t="str">
        <f aca="false">IF(D24&lt;=E24,"PASS","FAIL")</f>
        <v>PASS</v>
      </c>
    </row>
    <row r="25" customFormat="false" ht="15" hidden="false" customHeight="true" outlineLevel="0" collapsed="false">
      <c r="A25" s="3" t="s">
        <v>712</v>
      </c>
      <c r="B25" s="18" t="n">
        <f aca="false">Playbook!I35-Playbook!I34</f>
        <v>120</v>
      </c>
      <c r="C25" s="42" t="n">
        <f aca="false">Reference_Values!B25</f>
        <v>120</v>
      </c>
      <c r="D25" s="40" t="n">
        <f aca="false">ABS(B25-C25)</f>
        <v>0</v>
      </c>
      <c r="E25" s="43" t="n">
        <v>1E-009</v>
      </c>
      <c r="F25" s="5" t="str">
        <f aca="false">IF(D25&lt;=E25,"PASS","FAIL")</f>
        <v>PASS</v>
      </c>
    </row>
    <row r="26" customFormat="false" ht="15" hidden="false" customHeight="true" outlineLevel="0" collapsed="false">
      <c r="A26" s="3" t="s">
        <v>714</v>
      </c>
      <c r="B26" s="18" t="n">
        <f aca="false">Playbook!C19</f>
        <v>78</v>
      </c>
      <c r="C26" s="42" t="n">
        <f aca="false">Reference_Values!B26</f>
        <v>78</v>
      </c>
      <c r="D26" s="40" t="n">
        <f aca="false">ABS(B26-C26)</f>
        <v>0</v>
      </c>
      <c r="E26" s="43" t="n">
        <v>1E-009</v>
      </c>
      <c r="F26" s="5" t="str">
        <f aca="false">IF(D26&lt;=E26,"PASS","FAIL")</f>
        <v>PASS</v>
      </c>
    </row>
    <row r="27" customFormat="false" ht="15" hidden="false" customHeight="true" outlineLevel="0" collapsed="false">
      <c r="A27" s="3" t="s">
        <v>716</v>
      </c>
      <c r="B27" s="18" t="n">
        <f aca="false">Playbook!D19</f>
        <v>81.5</v>
      </c>
      <c r="C27" s="42" t="n">
        <f aca="false">Reference_Values!B27</f>
        <v>81.5</v>
      </c>
      <c r="D27" s="40" t="n">
        <f aca="false">ABS(B27-C27)</f>
        <v>0</v>
      </c>
      <c r="E27" s="43" t="n">
        <v>1E-009</v>
      </c>
      <c r="F27" s="5" t="str">
        <f aca="false">IF(D27&lt;=E27,"PASS","FAIL")</f>
        <v>PASS</v>
      </c>
    </row>
    <row r="28" customFormat="false" ht="15" hidden="false" customHeight="true" outlineLevel="0" collapsed="false">
      <c r="A28" s="3" t="s">
        <v>717</v>
      </c>
      <c r="B28" s="18" t="n">
        <f aca="false">Playbook!E19</f>
        <v>83.25</v>
      </c>
      <c r="C28" s="42" t="n">
        <f aca="false">Reference_Values!B28</f>
        <v>83.25</v>
      </c>
      <c r="D28" s="40" t="n">
        <f aca="false">ABS(B28-C28)</f>
        <v>0</v>
      </c>
      <c r="E28" s="43" t="n">
        <v>1E-009</v>
      </c>
      <c r="F28" s="5" t="str">
        <f aca="false">IF(D28&lt;=E28,"PASS","FAIL")</f>
        <v>PASS</v>
      </c>
    </row>
    <row r="29" customFormat="false" ht="15" hidden="false" customHeight="true" outlineLevel="0" collapsed="false">
      <c r="A29" s="3" t="s">
        <v>718</v>
      </c>
      <c r="B29" s="18" t="n">
        <f aca="false">Playbook!F19</f>
        <v>84.125</v>
      </c>
      <c r="C29" s="42" t="n">
        <f aca="false">Reference_Values!B29</f>
        <v>84.125</v>
      </c>
      <c r="D29" s="40" t="n">
        <f aca="false">ABS(B29-C29)</f>
        <v>0</v>
      </c>
      <c r="E29" s="43" t="n">
        <v>1E-009</v>
      </c>
      <c r="F29" s="5" t="str">
        <f aca="false">IF(D29&lt;=E29,"PASS","FAIL")</f>
        <v>PASS</v>
      </c>
    </row>
    <row r="30" customFormat="false" ht="15" hidden="false" customHeight="true" outlineLevel="0" collapsed="false">
      <c r="A30" s="3" t="s">
        <v>719</v>
      </c>
      <c r="B30" s="18" t="n">
        <f aca="false">Playbook!G19</f>
        <v>84.5625</v>
      </c>
      <c r="C30" s="42" t="n">
        <f aca="false">Reference_Values!B30</f>
        <v>84.5625</v>
      </c>
      <c r="D30" s="40" t="n">
        <f aca="false">ABS(B30-C30)</f>
        <v>0</v>
      </c>
      <c r="E30" s="43" t="n">
        <v>1E-009</v>
      </c>
      <c r="F30" s="5" t="str">
        <f aca="false">IF(D30&lt;=E30,"PASS","FAIL")</f>
        <v>PASS</v>
      </c>
    </row>
    <row r="31" customFormat="false" ht="15" hidden="false" customHeight="true" outlineLevel="0" collapsed="false">
      <c r="A31" s="3" t="s">
        <v>720</v>
      </c>
      <c r="B31" s="18" t="n">
        <f aca="false">Playbook!H19</f>
        <v>84.78125</v>
      </c>
      <c r="C31" s="42" t="n">
        <f aca="false">Reference_Values!B31</f>
        <v>84.78125</v>
      </c>
      <c r="D31" s="40" t="n">
        <f aca="false">ABS(B31-C31)</f>
        <v>0</v>
      </c>
      <c r="E31" s="43" t="n">
        <v>1E-009</v>
      </c>
      <c r="F31" s="5" t="str">
        <f aca="false">IF(D31&lt;=E31,"PASS","FAIL")</f>
        <v>PASS</v>
      </c>
    </row>
    <row r="32" customFormat="false" ht="15" hidden="false" customHeight="true" outlineLevel="0" collapsed="false">
      <c r="A32" s="3" t="s">
        <v>721</v>
      </c>
      <c r="B32" s="18" t="n">
        <f aca="false">Playbook!C20</f>
        <v>70</v>
      </c>
      <c r="C32" s="42" t="n">
        <f aca="false">Reference_Values!B32</f>
        <v>70</v>
      </c>
      <c r="D32" s="40" t="n">
        <f aca="false">ABS(B32-C32)</f>
        <v>0</v>
      </c>
      <c r="E32" s="43" t="n">
        <v>1E-009</v>
      </c>
      <c r="F32" s="5" t="str">
        <f aca="false">IF(D32&lt;=E32,"PASS","FAIL")</f>
        <v>PASS</v>
      </c>
    </row>
    <row r="33" customFormat="false" ht="15" hidden="false" customHeight="true" outlineLevel="0" collapsed="false">
      <c r="A33" s="3" t="s">
        <v>722</v>
      </c>
      <c r="B33" s="18" t="n">
        <f aca="false">Playbook!D20</f>
        <v>105</v>
      </c>
      <c r="C33" s="42" t="n">
        <f aca="false">Reference_Values!B33</f>
        <v>105</v>
      </c>
      <c r="D33" s="40" t="n">
        <f aca="false">ABS(B33-C33)</f>
        <v>0</v>
      </c>
      <c r="E33" s="43" t="n">
        <v>1E-009</v>
      </c>
      <c r="F33" s="5" t="str">
        <f aca="false">IF(D33&lt;=E33,"PASS","FAIL")</f>
        <v>PASS</v>
      </c>
    </row>
    <row r="34" customFormat="false" ht="15" hidden="false" customHeight="true" outlineLevel="0" collapsed="false">
      <c r="A34" s="3" t="s">
        <v>723</v>
      </c>
      <c r="B34" s="18" t="n">
        <f aca="false">Playbook!E20</f>
        <v>122.5</v>
      </c>
      <c r="C34" s="42" t="n">
        <f aca="false">Reference_Values!B34</f>
        <v>122.5</v>
      </c>
      <c r="D34" s="40" t="n">
        <f aca="false">ABS(B34-C34)</f>
        <v>0</v>
      </c>
      <c r="E34" s="43" t="n">
        <v>1E-009</v>
      </c>
      <c r="F34" s="5" t="str">
        <f aca="false">IF(D34&lt;=E34,"PASS","FAIL")</f>
        <v>PASS</v>
      </c>
    </row>
    <row r="35" customFormat="false" ht="15" hidden="false" customHeight="true" outlineLevel="0" collapsed="false">
      <c r="A35" s="3" t="s">
        <v>724</v>
      </c>
      <c r="B35" s="18" t="n">
        <f aca="false">Playbook!F20</f>
        <v>131.25</v>
      </c>
      <c r="C35" s="42" t="n">
        <f aca="false">Reference_Values!B35</f>
        <v>131.25</v>
      </c>
      <c r="D35" s="40" t="n">
        <f aca="false">ABS(B35-C35)</f>
        <v>0</v>
      </c>
      <c r="E35" s="43" t="n">
        <v>1E-009</v>
      </c>
      <c r="F35" s="5" t="str">
        <f aca="false">IF(D35&lt;=E35,"PASS","FAIL")</f>
        <v>PASS</v>
      </c>
    </row>
    <row r="36" customFormat="false" ht="15" hidden="false" customHeight="true" outlineLevel="0" collapsed="false">
      <c r="A36" s="3" t="s">
        <v>725</v>
      </c>
      <c r="B36" s="18" t="n">
        <f aca="false">Playbook!G20</f>
        <v>135.625</v>
      </c>
      <c r="C36" s="42" t="n">
        <f aca="false">Reference_Values!B36</f>
        <v>135.625</v>
      </c>
      <c r="D36" s="40" t="n">
        <f aca="false">ABS(B36-C36)</f>
        <v>0</v>
      </c>
      <c r="E36" s="43" t="n">
        <v>1E-009</v>
      </c>
      <c r="F36" s="5" t="str">
        <f aca="false">IF(D36&lt;=E36,"PASS","FAIL")</f>
        <v>PASS</v>
      </c>
    </row>
    <row r="37" customFormat="false" ht="15" hidden="false" customHeight="true" outlineLevel="0" collapsed="false">
      <c r="A37" s="3" t="s">
        <v>726</v>
      </c>
      <c r="B37" s="18" t="n">
        <f aca="false">Playbook!H20</f>
        <v>137.8125</v>
      </c>
      <c r="C37" s="42" t="n">
        <f aca="false">Reference_Values!B37</f>
        <v>137.8125</v>
      </c>
      <c r="D37" s="40" t="n">
        <f aca="false">ABS(B37-C37)</f>
        <v>0</v>
      </c>
      <c r="E37" s="43" t="n">
        <v>1E-009</v>
      </c>
      <c r="F37" s="5" t="str">
        <f aca="false">IF(D37&lt;=E37,"PASS","FAIL")</f>
        <v>PASS</v>
      </c>
    </row>
    <row r="38" customFormat="false" ht="15" hidden="false" customHeight="true" outlineLevel="0" collapsed="false">
      <c r="A38" s="3" t="s">
        <v>727</v>
      </c>
      <c r="B38" s="18" t="n">
        <f aca="false">Playbook!C21</f>
        <v>-50</v>
      </c>
      <c r="C38" s="42" t="n">
        <f aca="false">Reference_Values!B38</f>
        <v>-50</v>
      </c>
      <c r="D38" s="40" t="n">
        <f aca="false">ABS(B38-C38)</f>
        <v>0</v>
      </c>
      <c r="E38" s="43" t="n">
        <v>1E-009</v>
      </c>
      <c r="F38" s="5" t="str">
        <f aca="false">IF(D38&lt;=E38,"PASS","FAIL")</f>
        <v>PASS</v>
      </c>
    </row>
    <row r="39" customFormat="false" ht="15" hidden="false" customHeight="true" outlineLevel="0" collapsed="false">
      <c r="A39" s="3" t="s">
        <v>728</v>
      </c>
      <c r="B39" s="18" t="n">
        <f aca="false">Playbook!D21</f>
        <v>-15</v>
      </c>
      <c r="C39" s="42" t="n">
        <f aca="false">Reference_Values!B39</f>
        <v>-15</v>
      </c>
      <c r="D39" s="40" t="n">
        <f aca="false">ABS(B39-C39)</f>
        <v>0</v>
      </c>
      <c r="E39" s="43" t="n">
        <v>1E-009</v>
      </c>
      <c r="F39" s="5" t="str">
        <f aca="false">IF(D39&lt;=E39,"PASS","FAIL")</f>
        <v>PASS</v>
      </c>
    </row>
    <row r="40" customFormat="false" ht="15" hidden="false" customHeight="true" outlineLevel="0" collapsed="false">
      <c r="A40" s="3" t="s">
        <v>729</v>
      </c>
      <c r="B40" s="18" t="n">
        <f aca="false">Playbook!E21</f>
        <v>2.5</v>
      </c>
      <c r="C40" s="42" t="n">
        <f aca="false">Reference_Values!B40</f>
        <v>2.5</v>
      </c>
      <c r="D40" s="40" t="n">
        <f aca="false">ABS(B40-C40)</f>
        <v>0</v>
      </c>
      <c r="E40" s="43" t="n">
        <v>1E-009</v>
      </c>
      <c r="F40" s="5" t="str">
        <f aca="false">IF(D40&lt;=E40,"PASS","FAIL")</f>
        <v>PASS</v>
      </c>
    </row>
    <row r="41" customFormat="false" ht="15" hidden="false" customHeight="true" outlineLevel="0" collapsed="false">
      <c r="A41" s="3" t="s">
        <v>730</v>
      </c>
      <c r="B41" s="18" t="n">
        <f aca="false">Playbook!F21</f>
        <v>11.25</v>
      </c>
      <c r="C41" s="42" t="n">
        <f aca="false">Reference_Values!B41</f>
        <v>11.25</v>
      </c>
      <c r="D41" s="40" t="n">
        <f aca="false">ABS(B41-C41)</f>
        <v>0</v>
      </c>
      <c r="E41" s="43" t="n">
        <v>1E-009</v>
      </c>
      <c r="F41" s="5" t="str">
        <f aca="false">IF(D41&lt;=E41,"PASS","FAIL")</f>
        <v>PASS</v>
      </c>
    </row>
    <row r="42" customFormat="false" ht="15" hidden="false" customHeight="true" outlineLevel="0" collapsed="false">
      <c r="A42" s="3" t="s">
        <v>731</v>
      </c>
      <c r="B42" s="18" t="n">
        <f aca="false">Playbook!G21</f>
        <v>15.625</v>
      </c>
      <c r="C42" s="42" t="n">
        <f aca="false">Reference_Values!B42</f>
        <v>15.625</v>
      </c>
      <c r="D42" s="40" t="n">
        <f aca="false">ABS(B42-C42)</f>
        <v>0</v>
      </c>
      <c r="E42" s="43" t="n">
        <v>1E-009</v>
      </c>
      <c r="F42" s="5" t="str">
        <f aca="false">IF(D42&lt;=E42,"PASS","FAIL")</f>
        <v>PASS</v>
      </c>
    </row>
    <row r="43" customFormat="false" ht="15" hidden="false" customHeight="true" outlineLevel="0" collapsed="false">
      <c r="A43" s="3" t="s">
        <v>732</v>
      </c>
      <c r="B43" s="18" t="n">
        <f aca="false">Playbook!H21</f>
        <v>17.8125</v>
      </c>
      <c r="C43" s="42" t="n">
        <f aca="false">Reference_Values!B43</f>
        <v>17.8125</v>
      </c>
      <c r="D43" s="40" t="n">
        <f aca="false">ABS(B43-C43)</f>
        <v>0</v>
      </c>
      <c r="E43" s="43" t="n">
        <v>1E-009</v>
      </c>
      <c r="F43" s="5" t="str">
        <f aca="false">IF(D43&lt;=E43,"PASS","FAIL")</f>
        <v>PASS</v>
      </c>
    </row>
    <row r="44" customFormat="false" ht="15" hidden="false" customHeight="true" outlineLevel="0" collapsed="false">
      <c r="A44" s="3" t="s">
        <v>733</v>
      </c>
      <c r="B44" s="18" t="n">
        <f aca="false">Playbook!C22</f>
        <v>570</v>
      </c>
      <c r="C44" s="42" t="n">
        <f aca="false">Reference_Values!B44</f>
        <v>570</v>
      </c>
      <c r="D44" s="40" t="n">
        <f aca="false">ABS(B44-C44)</f>
        <v>0</v>
      </c>
      <c r="E44" s="43" t="n">
        <v>1E-009</v>
      </c>
      <c r="F44" s="5" t="str">
        <f aca="false">IF(D44&lt;=E44,"PASS","FAIL")</f>
        <v>PASS</v>
      </c>
    </row>
    <row r="45" customFormat="false" ht="15" hidden="false" customHeight="true" outlineLevel="0" collapsed="false">
      <c r="A45" s="3" t="s">
        <v>734</v>
      </c>
      <c r="B45" s="18" t="n">
        <f aca="false">Playbook!D22</f>
        <v>555</v>
      </c>
      <c r="C45" s="42" t="n">
        <f aca="false">Reference_Values!B45</f>
        <v>555</v>
      </c>
      <c r="D45" s="40" t="n">
        <f aca="false">ABS(B45-C45)</f>
        <v>0</v>
      </c>
      <c r="E45" s="43" t="n">
        <v>1E-009</v>
      </c>
      <c r="F45" s="5" t="str">
        <f aca="false">IF(D45&lt;=E45,"PASS","FAIL")</f>
        <v>PASS</v>
      </c>
    </row>
    <row r="46" customFormat="false" ht="15" hidden="false" customHeight="true" outlineLevel="0" collapsed="false">
      <c r="A46" s="3" t="s">
        <v>735</v>
      </c>
      <c r="B46" s="18" t="n">
        <f aca="false">Playbook!E22</f>
        <v>557.5</v>
      </c>
      <c r="C46" s="42" t="n">
        <f aca="false">Reference_Values!B46</f>
        <v>557.5</v>
      </c>
      <c r="D46" s="40" t="n">
        <f aca="false">ABS(B46-C46)</f>
        <v>0</v>
      </c>
      <c r="E46" s="43" t="n">
        <v>1E-009</v>
      </c>
      <c r="F46" s="5" t="str">
        <f aca="false">IF(D46&lt;=E46,"PASS","FAIL")</f>
        <v>PASS</v>
      </c>
    </row>
    <row r="47" customFormat="false" ht="15" hidden="false" customHeight="true" outlineLevel="0" collapsed="false">
      <c r="A47" s="3" t="s">
        <v>736</v>
      </c>
      <c r="B47" s="18" t="n">
        <f aca="false">Playbook!F22</f>
        <v>568.75</v>
      </c>
      <c r="C47" s="42" t="n">
        <f aca="false">Reference_Values!B47</f>
        <v>568.75</v>
      </c>
      <c r="D47" s="40" t="n">
        <f aca="false">ABS(B47-C47)</f>
        <v>0</v>
      </c>
      <c r="E47" s="43" t="n">
        <v>1E-009</v>
      </c>
      <c r="F47" s="5" t="str">
        <f aca="false">IF(D47&lt;=E47,"PASS","FAIL")</f>
        <v>PASS</v>
      </c>
    </row>
    <row r="48" customFormat="false" ht="15" hidden="false" customHeight="true" outlineLevel="0" collapsed="false">
      <c r="A48" s="3" t="s">
        <v>737</v>
      </c>
      <c r="B48" s="18" t="n">
        <f aca="false">Playbook!G22</f>
        <v>584.375</v>
      </c>
      <c r="C48" s="42" t="n">
        <f aca="false">Reference_Values!B48</f>
        <v>584.375</v>
      </c>
      <c r="D48" s="40" t="n">
        <f aca="false">ABS(B48-C48)</f>
        <v>0</v>
      </c>
      <c r="E48" s="43" t="n">
        <v>1E-009</v>
      </c>
      <c r="F48" s="5" t="str">
        <f aca="false">IF(D48&lt;=E48,"PASS","FAIL")</f>
        <v>PASS</v>
      </c>
    </row>
    <row r="49" customFormat="false" ht="15" hidden="false" customHeight="true" outlineLevel="0" collapsed="false">
      <c r="A49" s="3" t="s">
        <v>738</v>
      </c>
      <c r="B49" s="18" t="n">
        <f aca="false">Playbook!H22</f>
        <v>602.1875</v>
      </c>
      <c r="C49" s="42" t="n">
        <f aca="false">Reference_Values!B49</f>
        <v>602.1875</v>
      </c>
      <c r="D49" s="40" t="n">
        <f aca="false">ABS(B49-C49)</f>
        <v>0</v>
      </c>
      <c r="E49" s="43" t="n">
        <v>1E-009</v>
      </c>
      <c r="F49" s="5" t="str">
        <f aca="false">IF(D49&lt;=E49,"PASS","FAIL")</f>
        <v>PASS</v>
      </c>
    </row>
    <row r="50" customFormat="false" ht="15" hidden="false" customHeight="true" outlineLevel="0" collapsed="false">
      <c r="A50" s="3" t="s">
        <v>739</v>
      </c>
      <c r="B50" s="18" t="n">
        <f aca="false">Playbook!C9</f>
        <v>3</v>
      </c>
      <c r="C50" s="42" t="n">
        <f aca="false">Reference_Values!B50</f>
        <v>3</v>
      </c>
      <c r="D50" s="40" t="n">
        <f aca="false">ABS(B50-C50)</f>
        <v>0</v>
      </c>
      <c r="E50" s="43" t="n">
        <v>0</v>
      </c>
      <c r="F50" s="5" t="str">
        <f aca="false">IF(D50&lt;=E50,"PASS","FAIL")</f>
        <v>PASS</v>
      </c>
    </row>
    <row r="51" customFormat="false" ht="15" hidden="false" customHeight="true" outlineLevel="0" collapsed="false">
      <c r="A51" s="3" t="s">
        <v>741</v>
      </c>
      <c r="B51" s="18" t="n">
        <f aca="false">Playbook!C10</f>
        <v>555</v>
      </c>
      <c r="C51" s="42" t="n">
        <f aca="false">Reference_Values!B51</f>
        <v>555</v>
      </c>
      <c r="D51" s="40" t="n">
        <f aca="false">ABS(B51-C51)</f>
        <v>0</v>
      </c>
      <c r="E51" s="43" t="n">
        <v>1E-009</v>
      </c>
      <c r="F51" s="5" t="str">
        <f aca="false">IF(D51&lt;=E51,"PASS","FAIL")</f>
        <v>PASS</v>
      </c>
    </row>
    <row r="52" customFormat="false" ht="15" hidden="false" customHeight="true" outlineLevel="0" collapsed="false">
      <c r="A52" s="3" t="s">
        <v>743</v>
      </c>
      <c r="B52" s="18" t="n">
        <f aca="false">Playbook!C12</f>
        <v>19.9999999998727</v>
      </c>
      <c r="C52" s="42" t="n">
        <f aca="false">Reference_Values!B52</f>
        <v>19.9999999998727</v>
      </c>
      <c r="D52" s="40" t="n">
        <f aca="false">ABS(B52-C52)</f>
        <v>0</v>
      </c>
      <c r="E52" s="43" t="n">
        <v>1E-009</v>
      </c>
      <c r="F52" s="5" t="str">
        <f aca="false">IF(D52&lt;=E52,"PASS","FAIL")</f>
        <v>PASS</v>
      </c>
    </row>
    <row r="53" customFormat="false" ht="15" hidden="false" customHeight="true" outlineLevel="0" collapsed="false">
      <c r="A53" s="3" t="s">
        <v>745</v>
      </c>
      <c r="B53" s="18" t="n">
        <f aca="false">Playbook!C13</f>
        <v>535</v>
      </c>
      <c r="C53" s="42" t="n">
        <f aca="false">Reference_Values!B53</f>
        <v>535</v>
      </c>
      <c r="D53" s="40" t="n">
        <f aca="false">ABS(B53-C53)</f>
        <v>0</v>
      </c>
      <c r="E53" s="43" t="n">
        <v>1E-009</v>
      </c>
      <c r="F53" s="5" t="str">
        <f aca="false">IF(D53&lt;=E53,"PASS","FAIL")</f>
        <v>PASS</v>
      </c>
    </row>
    <row r="54" customFormat="false" ht="15" hidden="false" customHeight="true" outlineLevel="0" collapsed="false">
      <c r="A54" s="3" t="s">
        <v>747</v>
      </c>
      <c r="B54" s="18" t="n">
        <f aca="false">Playbook!C16</f>
        <v>85</v>
      </c>
      <c r="C54" s="42" t="n">
        <f aca="false">Reference_Values!B54</f>
        <v>85</v>
      </c>
      <c r="D54" s="40" t="n">
        <f aca="false">ABS(B54-C54)</f>
        <v>0</v>
      </c>
      <c r="E54" s="43" t="n">
        <v>1E-009</v>
      </c>
      <c r="F54" s="5" t="str">
        <f aca="false">IF(D54&lt;=E54,"PASS","FAIL")</f>
        <v>PASS</v>
      </c>
    </row>
    <row r="55" customFormat="false" ht="15" hidden="false" customHeight="true" outlineLevel="0" collapsed="false">
      <c r="A55" s="3" t="s">
        <v>749</v>
      </c>
      <c r="B55" s="18" t="n">
        <f aca="false">Stability!B33</f>
        <v>83</v>
      </c>
      <c r="C55" s="42" t="n">
        <f aca="false">Reference_Values!B55</f>
        <v>83</v>
      </c>
      <c r="D55" s="40" t="n">
        <f aca="false">ABS(B55-C55)</f>
        <v>0</v>
      </c>
      <c r="E55" s="43" t="n">
        <v>1E-009</v>
      </c>
      <c r="F55" s="5" t="str">
        <f aca="false">IF(D55&lt;=E55,"PASS","FAIL")</f>
        <v>PASS</v>
      </c>
    </row>
    <row r="56" customFormat="false" ht="15" hidden="false" customHeight="true" outlineLevel="0" collapsed="false">
      <c r="A56" s="3" t="s">
        <v>751</v>
      </c>
      <c r="B56" s="18" t="n">
        <f aca="false">Stability!B34</f>
        <v>2</v>
      </c>
      <c r="C56" s="42" t="n">
        <f aca="false">Reference_Values!B56</f>
        <v>2</v>
      </c>
      <c r="D56" s="40" t="n">
        <f aca="false">ABS(B56-C56)</f>
        <v>0</v>
      </c>
      <c r="E56" s="43" t="n">
        <v>1E-009</v>
      </c>
      <c r="F56" s="5" t="str">
        <f aca="false">IF(D56&lt;=E56,"PASS","FAIL")</f>
        <v>PASS</v>
      </c>
    </row>
    <row r="57" customFormat="false" ht="15" hidden="false" customHeight="true" outlineLevel="0" collapsed="false">
      <c r="A57" s="3" t="s">
        <v>753</v>
      </c>
      <c r="B57" s="18" t="n">
        <f aca="false">Stability!B35</f>
        <v>120</v>
      </c>
      <c r="C57" s="42" t="n">
        <f aca="false">Reference_Values!B57</f>
        <v>120</v>
      </c>
      <c r="D57" s="40" t="n">
        <f aca="false">ABS(B57-C57)</f>
        <v>0</v>
      </c>
      <c r="E57" s="43" t="n">
        <v>1E-009</v>
      </c>
      <c r="F57" s="5" t="str">
        <f aca="false">IF(D57&lt;=E57,"PASS","FAIL")</f>
        <v>PASS</v>
      </c>
    </row>
    <row r="58" customFormat="false" ht="15" hidden="false" customHeight="true" outlineLevel="0" collapsed="false">
      <c r="A58" s="3" t="s">
        <v>755</v>
      </c>
      <c r="B58" s="18" t="n">
        <f aca="false">Stability!B37</f>
        <v>500.000000000109</v>
      </c>
      <c r="C58" s="42" t="n">
        <f aca="false">Reference_Values!B58</f>
        <v>500</v>
      </c>
      <c r="D58" s="40" t="n">
        <f aca="false">ABS(B58-C58)</f>
        <v>1.09139364212751E-010</v>
      </c>
      <c r="E58" s="43" t="n">
        <v>1E-006</v>
      </c>
      <c r="F58" s="5" t="str">
        <f aca="false">IF(D58&lt;=E58,"PASS","FAIL")</f>
        <v>PASS</v>
      </c>
    </row>
    <row r="59" customFormat="false" ht="15" hidden="false" customHeight="true" outlineLevel="0" collapsed="false">
      <c r="A59" s="3" t="s">
        <v>757</v>
      </c>
      <c r="B59" s="18" t="n">
        <f aca="false">Stability!B38</f>
        <v>30.0000000001091</v>
      </c>
      <c r="C59" s="42" t="n">
        <f aca="false">Reference_Values!B59</f>
        <v>30</v>
      </c>
      <c r="D59" s="40" t="n">
        <f aca="false">ABS(B59-C59)</f>
        <v>1.09139364212751E-010</v>
      </c>
      <c r="E59" s="43" t="n">
        <v>1E-006</v>
      </c>
      <c r="F59" s="5" t="str">
        <f aca="false">IF(D59&lt;=E59,"PASS","FAIL")</f>
        <v>PASS</v>
      </c>
    </row>
    <row r="60" customFormat="false" ht="15" hidden="false" customHeight="true" outlineLevel="0" collapsed="false">
      <c r="A60" s="3" t="s">
        <v>759</v>
      </c>
      <c r="B60" s="18" t="n">
        <f aca="false">Stability!C35</f>
        <v>100</v>
      </c>
      <c r="C60" s="42" t="n">
        <f aca="false">Reference_Values!B60</f>
        <v>100</v>
      </c>
      <c r="D60" s="40" t="n">
        <f aca="false">ABS(B60-C60)</f>
        <v>0</v>
      </c>
      <c r="E60" s="43" t="n">
        <v>1E-009</v>
      </c>
      <c r="F60" s="5" t="str">
        <f aca="false">IF(D60&lt;=E60,"PASS","FAIL")</f>
        <v>PASS</v>
      </c>
    </row>
    <row r="61" customFormat="false" ht="15" hidden="false" customHeight="true" outlineLevel="0" collapsed="false">
      <c r="A61" s="3" t="s">
        <v>761</v>
      </c>
      <c r="B61" s="18" t="n">
        <f aca="false">Stability!C39</f>
        <v>5</v>
      </c>
      <c r="C61" s="42" t="n">
        <f aca="false">Reference_Values!B61</f>
        <v>5</v>
      </c>
      <c r="D61" s="40" t="n">
        <f aca="false">ABS(B61-C61)</f>
        <v>0</v>
      </c>
      <c r="E61" s="43" t="n">
        <v>0</v>
      </c>
      <c r="F61" s="5" t="str">
        <f aca="false">IF(D61&lt;=E61,"PASS","FAIL")</f>
        <v>PASS</v>
      </c>
    </row>
    <row r="62" customFormat="false" ht="15" hidden="false" customHeight="true" outlineLevel="0" collapsed="false">
      <c r="A62" s="3" t="s">
        <v>763</v>
      </c>
      <c r="B62" s="18" t="n">
        <f aca="false">Stability!B27</f>
        <v>5</v>
      </c>
      <c r="C62" s="42" t="n">
        <f aca="false">Reference_Values!B62</f>
        <v>5</v>
      </c>
      <c r="D62" s="40" t="n">
        <f aca="false">ABS(B62-C62)</f>
        <v>0</v>
      </c>
      <c r="E62" s="43" t="n">
        <v>1E-009</v>
      </c>
      <c r="F62" s="5" t="str">
        <f aca="false">IF(D62&lt;=E62,"PASS","FAIL")</f>
        <v>PASS</v>
      </c>
    </row>
    <row r="63" customFormat="false" ht="15" hidden="false" customHeight="true" outlineLevel="0" collapsed="false">
      <c r="A63" s="3" t="s">
        <v>765</v>
      </c>
      <c r="B63" s="18" t="n">
        <f aca="false">Stability!B24</f>
        <v>4.65640261632</v>
      </c>
      <c r="C63" s="42" t="n">
        <f aca="false">Reference_Values!B63</f>
        <v>4.65640261632</v>
      </c>
      <c r="D63" s="40" t="n">
        <f aca="false">ABS(B63-C63)</f>
        <v>0</v>
      </c>
      <c r="E63" s="43" t="n">
        <v>1E-009</v>
      </c>
      <c r="F63" s="5" t="str">
        <f aca="false">IF(D63&lt;=E63,"PASS","FAIL")</f>
        <v>PASS</v>
      </c>
    </row>
    <row r="64" customFormat="false" ht="15" hidden="false" customHeight="true" outlineLevel="0" collapsed="false">
      <c r="A64" s="3" t="s">
        <v>767</v>
      </c>
      <c r="B64" s="18" t="n">
        <f aca="false">Stability!C24</f>
        <v>12</v>
      </c>
      <c r="C64" s="42" t="n">
        <f aca="false">Reference_Values!B64</f>
        <v>12</v>
      </c>
      <c r="D64" s="40" t="n">
        <f aca="false">ABS(B64-C64)</f>
        <v>0</v>
      </c>
      <c r="E64" s="43" t="n">
        <v>1E-009</v>
      </c>
      <c r="F64" s="5" t="str">
        <f aca="false">IF(D64&lt;=E64,"PASS","FAIL")</f>
        <v>PASS</v>
      </c>
    </row>
    <row r="65" customFormat="false" ht="15" hidden="false" customHeight="true" outlineLevel="0" collapsed="false">
      <c r="A65" s="3" t="s">
        <v>769</v>
      </c>
      <c r="B65" s="18" t="n">
        <f aca="false">Stability!D24</f>
        <v>39.58050224128</v>
      </c>
      <c r="C65" s="42" t="n">
        <f aca="false">Reference_Values!B65</f>
        <v>39.58050224128</v>
      </c>
      <c r="D65" s="40" t="n">
        <f aca="false">ABS(B65-C65)</f>
        <v>0</v>
      </c>
      <c r="E65" s="43" t="n">
        <v>1E-009</v>
      </c>
      <c r="F65" s="5" t="str">
        <f aca="false">IF(D65&lt;=E65,"PASS","FAIL")</f>
        <v>PASS</v>
      </c>
    </row>
    <row r="66" customFormat="false" ht="15" hidden="false" customHeight="true" outlineLevel="0" collapsed="false">
      <c r="A66" s="3" t="s">
        <v>771</v>
      </c>
      <c r="B66" s="18" t="n">
        <f aca="false">Stability!D25</f>
        <v>-2.1316282072803E-013</v>
      </c>
      <c r="C66" s="42" t="n">
        <f aca="false">Reference_Values!B66</f>
        <v>-2.1316282072803E-013</v>
      </c>
      <c r="D66" s="40" t="n">
        <f aca="false">ABS(B66-C66)</f>
        <v>0</v>
      </c>
      <c r="E66" s="43" t="n">
        <v>1E-009</v>
      </c>
      <c r="F66" s="5" t="str">
        <f aca="false">IF(D66&lt;=E66,"PASS","FAIL")</f>
        <v>PASS</v>
      </c>
    </row>
    <row r="67" customFormat="false" ht="15" hidden="false" customHeight="true" outlineLevel="0" collapsed="false">
      <c r="A67" s="3" t="s">
        <v>773</v>
      </c>
      <c r="B67" s="18" t="n">
        <f aca="false">Policy!I4</f>
        <v>600</v>
      </c>
      <c r="C67" s="42" t="n">
        <f aca="false">Reference_Values!B67</f>
        <v>600</v>
      </c>
      <c r="D67" s="40" t="n">
        <f aca="false">ABS(B67-C67)</f>
        <v>0</v>
      </c>
      <c r="E67" s="43" t="n">
        <v>1E-009</v>
      </c>
      <c r="F67" s="5" t="str">
        <f aca="false">IF(D67&lt;=E67,"PASS","FAIL")</f>
        <v>PASS</v>
      </c>
    </row>
    <row r="68" customFormat="false" ht="15" hidden="false" customHeight="true" outlineLevel="0" collapsed="false">
      <c r="A68" s="3" t="s">
        <v>775</v>
      </c>
      <c r="B68" s="18" t="n">
        <f aca="false">Policy!I5</f>
        <v>450</v>
      </c>
      <c r="C68" s="42" t="n">
        <f aca="false">Reference_Values!B68</f>
        <v>450</v>
      </c>
      <c r="D68" s="40" t="n">
        <f aca="false">ABS(B68-C68)</f>
        <v>0</v>
      </c>
      <c r="E68" s="43" t="n">
        <v>1E-009</v>
      </c>
      <c r="F68" s="5" t="str">
        <f aca="false">IF(D68&lt;=E68,"PASS","FAIL")</f>
        <v>PASS</v>
      </c>
    </row>
    <row r="69" customFormat="false" ht="15" hidden="false" customHeight="true" outlineLevel="0" collapsed="false">
      <c r="A69" s="3" t="s">
        <v>777</v>
      </c>
      <c r="B69" s="18" t="n">
        <f aca="false">Policy!I6</f>
        <v>375</v>
      </c>
      <c r="C69" s="42" t="n">
        <f aca="false">Reference_Values!B69</f>
        <v>375</v>
      </c>
      <c r="D69" s="40" t="n">
        <f aca="false">ABS(B69-C69)</f>
        <v>0</v>
      </c>
      <c r="E69" s="43" t="n">
        <v>1E-009</v>
      </c>
      <c r="F69" s="5" t="str">
        <f aca="false">IF(D69&lt;=E69,"PASS","FAIL")</f>
        <v>PASS</v>
      </c>
    </row>
    <row r="70" customFormat="false" ht="15" hidden="false" customHeight="true" outlineLevel="0" collapsed="false">
      <c r="A70" s="3" t="s">
        <v>779</v>
      </c>
      <c r="B70" s="18" t="n">
        <f aca="false">Policy!I7</f>
        <v>337.5</v>
      </c>
      <c r="C70" s="42" t="n">
        <f aca="false">Reference_Values!B70</f>
        <v>337.5</v>
      </c>
      <c r="D70" s="40" t="n">
        <f aca="false">ABS(B70-C70)</f>
        <v>0</v>
      </c>
      <c r="E70" s="43" t="n">
        <v>1E-009</v>
      </c>
      <c r="F70" s="5" t="str">
        <f aca="false">IF(D70&lt;=E70,"PASS","FAIL")</f>
        <v>PASS</v>
      </c>
    </row>
    <row r="71" customFormat="false" ht="15" hidden="false" customHeight="true" outlineLevel="0" collapsed="false">
      <c r="A71" s="3" t="s">
        <v>781</v>
      </c>
      <c r="B71" s="18" t="n">
        <f aca="false">Policy!I8</f>
        <v>56</v>
      </c>
      <c r="C71" s="42" t="n">
        <f aca="false">Reference_Values!B71</f>
        <v>56</v>
      </c>
      <c r="D71" s="40" t="n">
        <f aca="false">ABS(B71-C71)</f>
        <v>0</v>
      </c>
      <c r="E71" s="43" t="n">
        <v>1E-009</v>
      </c>
      <c r="F71" s="5" t="str">
        <f aca="false">IF(D71&lt;=E71,"PASS","FAIL")</f>
        <v>PASS</v>
      </c>
    </row>
    <row r="72" customFormat="false" ht="15" hidden="false" customHeight="true" outlineLevel="0" collapsed="false">
      <c r="A72" s="3" t="s">
        <v>783</v>
      </c>
      <c r="B72" s="18" t="n">
        <f aca="false">Policy!I9</f>
        <v>63.5</v>
      </c>
      <c r="C72" s="42" t="n">
        <f aca="false">Reference_Values!B72</f>
        <v>63.5</v>
      </c>
      <c r="D72" s="40" t="n">
        <f aca="false">ABS(B72-C72)</f>
        <v>0</v>
      </c>
      <c r="E72" s="43" t="n">
        <v>1E-009</v>
      </c>
      <c r="F72" s="5" t="str">
        <f aca="false">IF(D72&lt;=E72,"PASS","FAIL")</f>
        <v>PASS</v>
      </c>
    </row>
    <row r="73" customFormat="false" ht="15" hidden="false" customHeight="true" outlineLevel="0" collapsed="false">
      <c r="A73" s="3" t="s">
        <v>785</v>
      </c>
      <c r="B73" s="18" t="n">
        <f aca="false">Policy!I10</f>
        <v>599.999999999454</v>
      </c>
      <c r="C73" s="42" t="n">
        <f aca="false">Reference_Values!B73</f>
        <v>599.999999999454</v>
      </c>
      <c r="D73" s="40" t="n">
        <f aca="false">ABS(B73-C73)</f>
        <v>0</v>
      </c>
      <c r="E73" s="43" t="n">
        <v>1E-009</v>
      </c>
      <c r="F73" s="5" t="str">
        <f aca="false">IF(D73&lt;=E73,"PASS","FAIL")</f>
        <v>PASS</v>
      </c>
    </row>
    <row r="74" customFormat="false" ht="15" hidden="false" customHeight="true" outlineLevel="0" collapsed="false">
      <c r="A74" s="3" t="s">
        <v>787</v>
      </c>
      <c r="B74" s="18" t="n">
        <f aca="false">Policy!I11</f>
        <v>70.9999999999727</v>
      </c>
      <c r="C74" s="42" t="n">
        <f aca="false">Reference_Values!B74</f>
        <v>70.9999999999727</v>
      </c>
      <c r="D74" s="40" t="n">
        <f aca="false">ABS(B74-C74)</f>
        <v>0</v>
      </c>
      <c r="E74" s="43" t="n">
        <v>1E-009</v>
      </c>
      <c r="F74" s="5" t="str">
        <f aca="false">IF(D74&lt;=E74,"PASS","FAIL")</f>
        <v>PASS</v>
      </c>
    </row>
    <row r="75" customFormat="false" ht="15" hidden="false" customHeight="true" outlineLevel="0" collapsed="false">
      <c r="A75" s="3" t="s">
        <v>789</v>
      </c>
      <c r="B75" s="18" t="n">
        <f aca="false">Reachability!C8</f>
        <v>5</v>
      </c>
      <c r="C75" s="42" t="n">
        <f aca="false">Reference_Values!B75</f>
        <v>5</v>
      </c>
      <c r="D75" s="40" t="n">
        <f aca="false">ABS(B75-C75)</f>
        <v>0</v>
      </c>
      <c r="E75" s="43" t="n">
        <v>0</v>
      </c>
      <c r="F75" s="5" t="str">
        <f aca="false">IF(D75&lt;=E75,"PASS","FAIL")</f>
        <v>PASS</v>
      </c>
    </row>
    <row r="76" customFormat="false" ht="15" hidden="false" customHeight="true" outlineLevel="0" collapsed="false">
      <c r="A76" s="3" t="s">
        <v>791</v>
      </c>
      <c r="B76" s="18" t="n">
        <f aca="false">Reachability!D8</f>
        <v>13</v>
      </c>
      <c r="C76" s="42" t="n">
        <f aca="false">Reference_Values!B76</f>
        <v>13</v>
      </c>
      <c r="D76" s="40" t="n">
        <f aca="false">ABS(B76-C76)</f>
        <v>0</v>
      </c>
      <c r="E76" s="43" t="n">
        <v>0</v>
      </c>
      <c r="F76" s="5" t="str">
        <f aca="false">IF(D76&lt;=E76,"PASS","FAIL")</f>
        <v>PASS</v>
      </c>
    </row>
    <row r="77" customFormat="false" ht="15" hidden="false" customHeight="true" outlineLevel="0" collapsed="false">
      <c r="A77" s="3" t="s">
        <v>792</v>
      </c>
      <c r="B77" s="18" t="n">
        <f aca="false">Reachability!E8</f>
        <v>21</v>
      </c>
      <c r="C77" s="42" t="n">
        <f aca="false">Reference_Values!B77</f>
        <v>21</v>
      </c>
      <c r="D77" s="40" t="n">
        <f aca="false">ABS(B77-C77)</f>
        <v>0</v>
      </c>
      <c r="E77" s="43" t="n">
        <v>0</v>
      </c>
      <c r="F77" s="5" t="str">
        <f aca="false">IF(D77&lt;=E77,"PASS","FAIL")</f>
        <v>PASS</v>
      </c>
    </row>
    <row r="78" customFormat="false" ht="15" hidden="false" customHeight="true" outlineLevel="0" collapsed="false">
      <c r="A78" s="3" t="s">
        <v>793</v>
      </c>
      <c r="B78" s="18" t="n">
        <f aca="false">Reachability!F8</f>
        <v>28</v>
      </c>
      <c r="C78" s="42" t="n">
        <f aca="false">Reference_Values!B78</f>
        <v>28</v>
      </c>
      <c r="D78" s="40" t="n">
        <f aca="false">ABS(B78-C78)</f>
        <v>0</v>
      </c>
      <c r="E78" s="43" t="n">
        <v>0</v>
      </c>
      <c r="F78" s="5" t="str">
        <f aca="false">IF(D78&lt;=E78,"PASS","FAIL")</f>
        <v>PASS</v>
      </c>
    </row>
    <row r="79" customFormat="false" ht="15" hidden="false" customHeight="true" outlineLevel="0" collapsed="false">
      <c r="A79" s="3" t="s">
        <v>794</v>
      </c>
      <c r="B79" s="18" t="n">
        <f aca="false">Reachability!C9</f>
        <v>4</v>
      </c>
      <c r="C79" s="42" t="n">
        <f aca="false">Reference_Values!B79</f>
        <v>4</v>
      </c>
      <c r="D79" s="40" t="n">
        <f aca="false">ABS(B79-C79)</f>
        <v>0</v>
      </c>
      <c r="E79" s="43" t="n">
        <v>0</v>
      </c>
      <c r="F79" s="5" t="str">
        <f aca="false">IF(D79&lt;=E79,"PASS","FAIL")</f>
        <v>PASS</v>
      </c>
    </row>
    <row r="80" customFormat="false" ht="15" hidden="false" customHeight="true" outlineLevel="0" collapsed="false">
      <c r="A80" s="3" t="s">
        <v>796</v>
      </c>
      <c r="B80" s="18" t="n">
        <f aca="false">Reachability!D9</f>
        <v>9</v>
      </c>
      <c r="C80" s="42" t="n">
        <f aca="false">Reference_Values!B80</f>
        <v>9</v>
      </c>
      <c r="D80" s="40" t="n">
        <f aca="false">ABS(B80-C80)</f>
        <v>0</v>
      </c>
      <c r="E80" s="43" t="n">
        <v>0</v>
      </c>
      <c r="F80" s="5" t="str">
        <f aca="false">IF(D80&lt;=E80,"PASS","FAIL")</f>
        <v>PASS</v>
      </c>
    </row>
    <row r="81" customFormat="false" ht="15" hidden="false" customHeight="true" outlineLevel="0" collapsed="false">
      <c r="A81" s="3" t="s">
        <v>797</v>
      </c>
      <c r="B81" s="18" t="n">
        <f aca="false">Reachability!E9</f>
        <v>12</v>
      </c>
      <c r="C81" s="42" t="n">
        <f aca="false">Reference_Values!B81</f>
        <v>12</v>
      </c>
      <c r="D81" s="40" t="n">
        <f aca="false">ABS(B81-C81)</f>
        <v>0</v>
      </c>
      <c r="E81" s="43" t="n">
        <v>0</v>
      </c>
      <c r="F81" s="5" t="str">
        <f aca="false">IF(D81&lt;=E81,"PASS","FAIL")</f>
        <v>PASS</v>
      </c>
    </row>
    <row r="82" customFormat="false" ht="15" hidden="false" customHeight="true" outlineLevel="0" collapsed="false">
      <c r="A82" s="3" t="s">
        <v>798</v>
      </c>
      <c r="B82" s="18" t="n">
        <f aca="false">Reachability!F9</f>
        <v>11</v>
      </c>
      <c r="C82" s="42" t="n">
        <f aca="false">Reference_Values!B82</f>
        <v>11</v>
      </c>
      <c r="D82" s="40" t="n">
        <f aca="false">ABS(B82-C82)</f>
        <v>0</v>
      </c>
      <c r="E82" s="43" t="n">
        <v>0</v>
      </c>
      <c r="F82" s="5" t="str">
        <f aca="false">IF(D82&lt;=E82,"PASS","FAIL")</f>
        <v>PASS</v>
      </c>
    </row>
    <row r="83" customFormat="false" ht="15" hidden="false" customHeight="true" outlineLevel="0" collapsed="false">
      <c r="A83" s="3" t="s">
        <v>799</v>
      </c>
      <c r="B83" s="18" t="n">
        <f aca="false">Reachability!B12</f>
        <v>0</v>
      </c>
      <c r="C83" s="42" t="n">
        <f aca="false">Reference_Values!B83</f>
        <v>0</v>
      </c>
      <c r="D83" s="40" t="n">
        <f aca="false">ABS(B83-C83)</f>
        <v>0</v>
      </c>
      <c r="E83" s="43" t="n">
        <v>0</v>
      </c>
      <c r="F83" s="5" t="str">
        <f aca="false">IF(D83&lt;=E83,"PASS","FAIL")</f>
        <v>PASS</v>
      </c>
    </row>
    <row r="84" customFormat="false" ht="15" hidden="false" customHeight="true" outlineLevel="0" collapsed="false">
      <c r="A84" s="3" t="s">
        <v>801</v>
      </c>
      <c r="B84" s="18" t="n">
        <f aca="false">Reachability!B13</f>
        <v>2</v>
      </c>
      <c r="C84" s="42" t="n">
        <f aca="false">Reference_Values!B84</f>
        <v>2</v>
      </c>
      <c r="D84" s="40" t="n">
        <f aca="false">ABS(B84-C84)</f>
        <v>0</v>
      </c>
      <c r="E84" s="43" t="n">
        <v>0</v>
      </c>
      <c r="F84" s="5" t="str">
        <f aca="false">IF(D84&lt;=E84,"PASS","FAIL")</f>
        <v>PASS</v>
      </c>
    </row>
    <row r="85" customFormat="false" ht="15" hidden="false" customHeight="true" outlineLevel="0" collapsed="false">
      <c r="A85" s="3" t="s">
        <v>246</v>
      </c>
      <c r="B85" s="18" t="n">
        <f aca="false">Reachability!B17</f>
        <v>206.632729102868</v>
      </c>
      <c r="C85" s="42" t="n">
        <f aca="false">Reference_Values!B85</f>
        <v>206.632729102868</v>
      </c>
      <c r="D85" s="40" t="n">
        <f aca="false">ABS(B85-C85)</f>
        <v>0</v>
      </c>
      <c r="E85" s="43" t="n">
        <v>1E-006</v>
      </c>
      <c r="F85" s="5" t="str">
        <f aca="false">IF(D85&lt;=E85,"PASS","FAIL")</f>
        <v>PASS</v>
      </c>
    </row>
    <row r="86" customFormat="false" ht="15" hidden="false" customHeight="true" outlineLevel="0" collapsed="false">
      <c r="A86" s="3" t="s">
        <v>247</v>
      </c>
      <c r="B86" s="18" t="n">
        <f aca="false">Reachability!B18</f>
        <v>75.6346691353518</v>
      </c>
      <c r="C86" s="42" t="n">
        <f aca="false">Reference_Values!B86</f>
        <v>75.6346691353518</v>
      </c>
      <c r="D86" s="40" t="n">
        <f aca="false">ABS(B86-C86)</f>
        <v>0</v>
      </c>
      <c r="E86" s="43" t="n">
        <v>1E-006</v>
      </c>
      <c r="F86" s="5" t="str">
        <f aca="false">IF(D86&lt;=E86,"PASS","FAIL")</f>
        <v>PASS</v>
      </c>
    </row>
    <row r="87" customFormat="false" ht="15" hidden="false" customHeight="true" outlineLevel="0" collapsed="false">
      <c r="A87" s="3" t="s">
        <v>804</v>
      </c>
      <c r="B87" s="18" t="n">
        <f aca="false">Reachability!C23</f>
        <v>4</v>
      </c>
      <c r="C87" s="42" t="n">
        <f aca="false">Reference_Values!B87</f>
        <v>4</v>
      </c>
      <c r="D87" s="40" t="n">
        <f aca="false">ABS(B87-C87)</f>
        <v>0</v>
      </c>
      <c r="E87" s="43" t="n">
        <v>0</v>
      </c>
      <c r="F87" s="5" t="str">
        <f aca="false">IF(D87&lt;=E87,"PASS","FAIL")</f>
        <v>PASS</v>
      </c>
    </row>
    <row r="88" customFormat="false" ht="15" hidden="false" customHeight="false" outlineLevel="0" collapsed="false">
      <c r="A88" s="3" t="s">
        <v>806</v>
      </c>
      <c r="B88" s="18" t="n">
        <f aca="false">Programs!B31</f>
        <v>79.2991654861622</v>
      </c>
      <c r="C88" s="42" t="n">
        <f aca="false">Reference_Values!B88</f>
        <v>79.2991654861622</v>
      </c>
      <c r="D88" s="40" t="n">
        <f aca="false">ABS(B88-C88)</f>
        <v>0</v>
      </c>
      <c r="E88" s="43" t="n">
        <v>1E-006</v>
      </c>
      <c r="F88" s="5" t="str">
        <f aca="false">IF(D88&lt;=E88,"PASS","FAIL")</f>
        <v>PASS</v>
      </c>
    </row>
    <row r="89" customFormat="false" ht="15" hidden="false" customHeight="true" outlineLevel="0" collapsed="false">
      <c r="A89" s="3" t="s">
        <v>808</v>
      </c>
      <c r="B89" s="18" t="n">
        <f aca="false">Programs!B36</f>
        <v>472</v>
      </c>
      <c r="C89" s="42" t="n">
        <f aca="false">Reference_Values!B89</f>
        <v>472</v>
      </c>
      <c r="D89" s="40" t="n">
        <f aca="false">ABS(B89-C89)</f>
        <v>0</v>
      </c>
      <c r="E89" s="43" t="n">
        <v>1E-009</v>
      </c>
      <c r="F89" s="5" t="str">
        <f aca="false">IF(D89&lt;=E89,"PASS","FAIL")</f>
        <v>PASS</v>
      </c>
    </row>
    <row r="90" customFormat="false" ht="15" hidden="false" customHeight="false" outlineLevel="0" collapsed="false">
      <c r="A90" s="3" t="s">
        <v>810</v>
      </c>
      <c r="B90" s="18" t="n">
        <f aca="false">D_dip</f>
        <v>138.082058622032</v>
      </c>
      <c r="C90" s="42" t="n">
        <f aca="false">Reference_Values!B90</f>
        <v>138.082058622032</v>
      </c>
      <c r="D90" s="40" t="n">
        <f aca="false">ABS(B90-C90)</f>
        <v>0</v>
      </c>
      <c r="E90" s="43" t="n">
        <v>1E-006</v>
      </c>
      <c r="F90" s="5" t="str">
        <f aca="false">IF(D90&lt;=E90,"PASS","FAIL")</f>
        <v>PASS</v>
      </c>
    </row>
    <row r="91" customFormat="false" ht="15" hidden="false" customHeight="false" outlineLevel="0" collapsed="false">
      <c r="A91" s="3" t="s">
        <v>812</v>
      </c>
      <c r="B91" s="18" t="n">
        <f aca="false">Declarations!B49</f>
        <v>20.5744512868289</v>
      </c>
      <c r="C91" s="42" t="n">
        <f aca="false">Reference_Values!B91</f>
        <v>20.574450992972</v>
      </c>
      <c r="D91" s="40" t="n">
        <f aca="false">ABS(B91-C91)</f>
        <v>2.93856860622554E-007</v>
      </c>
      <c r="E91" s="43" t="n">
        <v>1E-006</v>
      </c>
      <c r="F91" s="5" t="str">
        <f aca="false">IF(D91&lt;=E91,"PASS","FAIL")</f>
        <v>PASS</v>
      </c>
    </row>
    <row r="92" customFormat="false" ht="15" hidden="false" customHeight="false" outlineLevel="0" collapsed="false">
      <c r="A92" s="3" t="s">
        <v>813</v>
      </c>
      <c r="B92" s="18" t="n">
        <f aca="false">Pre_D</f>
        <v>488.082058622032</v>
      </c>
      <c r="C92" s="42" t="n">
        <f aca="false">Reference_Values!B92</f>
        <v>488.082058622032</v>
      </c>
      <c r="D92" s="40" t="n">
        <f aca="false">ABS(B92-C92)</f>
        <v>0</v>
      </c>
      <c r="E92" s="43" t="n">
        <v>1E-006</v>
      </c>
      <c r="F92" s="5" t="str">
        <f aca="false">IF(D92&lt;=E92,"PASS","FAIL")</f>
        <v>PASS</v>
      </c>
    </row>
    <row r="93" customFormat="false" ht="15" hidden="false" customHeight="false" outlineLevel="0" collapsed="false">
      <c r="A93" s="3" t="s">
        <v>45</v>
      </c>
      <c r="B93" s="18" t="n">
        <f aca="false">D_dL</f>
        <v>-35.3672708971317</v>
      </c>
      <c r="C93" s="42" t="n">
        <f aca="false">Reference_Values!B93</f>
        <v>-35.3672708971317</v>
      </c>
      <c r="D93" s="40" t="n">
        <f aca="false">ABS(B93-C93)</f>
        <v>0</v>
      </c>
      <c r="E93" s="43" t="n">
        <v>1E-006</v>
      </c>
      <c r="F93" s="5" t="str">
        <f aca="false">IF(D93&lt;=E93,"PASS","FAIL")</f>
        <v>PASS</v>
      </c>
    </row>
    <row r="94" customFormat="false" ht="15" hidden="false" customHeight="false" outlineLevel="0" collapsed="false">
      <c r="A94" s="3" t="s">
        <v>816</v>
      </c>
      <c r="B94" s="18" t="n">
        <f aca="false">D_dT</f>
        <v>34.6346691353518</v>
      </c>
      <c r="C94" s="42" t="n">
        <f aca="false">Reference_Values!B94</f>
        <v>34.6346691353518</v>
      </c>
      <c r="D94" s="40" t="n">
        <f aca="false">ABS(B94-C94)</f>
        <v>0</v>
      </c>
      <c r="E94" s="43" t="n">
        <v>1E-006</v>
      </c>
      <c r="F94" s="5" t="str">
        <f aca="false">IF(D94&lt;=E94,"PASS","FAIL")</f>
        <v>PASS</v>
      </c>
    </row>
    <row r="95" customFormat="false" ht="15" hidden="false" customHeight="false" outlineLevel="0" collapsed="false">
      <c r="A95" s="3" t="s">
        <v>818</v>
      </c>
      <c r="B95" s="18" t="n">
        <f aca="false">D_dE</f>
        <v>2.59833097232446</v>
      </c>
      <c r="C95" s="42" t="n">
        <f aca="false">Reference_Values!B95</f>
        <v>2.59833097232446</v>
      </c>
      <c r="D95" s="40" t="n">
        <f aca="false">ABS(B95-C95)</f>
        <v>0</v>
      </c>
      <c r="E95" s="43" t="n">
        <v>1E-006</v>
      </c>
      <c r="F95" s="5" t="str">
        <f aca="false">IF(D95&lt;=E95,"PASS","FAIL")</f>
        <v>PASS</v>
      </c>
    </row>
    <row r="97" customFormat="false" ht="15" hidden="false" customHeight="false" outlineLevel="0" collapsed="false">
      <c r="A97" s="44" t="s">
        <v>824</v>
      </c>
      <c r="F97" s="5" t="str">
        <f aca="false">IF(COUNTIF(F2:F95,"PASS")=94,"ALL PASS","CHECK")</f>
        <v>ALL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2026-10-05T08:37:37Z</dcterms:created>
  <dc:creator>openpyxl</dc:creator>
  <dc:description/>
  <dc:language>en-US</dc:language>
  <cp:lastModifiedBy/>
  <dcterms:modified xsi:type="dcterms:W3CDTF">2026-10-13T01:27:55Z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