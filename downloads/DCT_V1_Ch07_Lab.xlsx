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eclarations" sheetId="2" state="visible" r:id="rId4"/>
    <sheet name="Clock" sheetId="3" state="visible" r:id="rId5"/>
    <sheet name="QuarterlyLaw" sheetId="4" state="visible" r:id="rId6"/>
    <sheet name="Superposition" sheetId="5" state="visible" r:id="rId7"/>
    <sheet name="PolicyMap" sheetId="6" state="visible" r:id="rId8"/>
    <sheet name="Disclosure" sheetId="7" state="visible" r:id="rId9"/>
    <sheet name="Gains" sheetId="8" state="visible" r:id="rId10"/>
    <sheet name="Delay" sheetId="9" state="visible" r:id="rId11"/>
    <sheet name="GainBench" sheetId="10" state="visible" r:id="rId12"/>
    <sheet name="Lyapunov" sheetId="11" state="visible" r:id="rId13"/>
    <sheet name="Reference_Values" sheetId="12" state="visible" r:id="rId14"/>
    <sheet name="Checks" sheetId="13" state="visible" r:id="rId15"/>
  </sheets>
  <definedNames>
    <definedName function="false" hidden="false" name="Band_10" vbProcedure="false">Declarations!$B$14</definedName>
    <definedName function="false" hidden="false" name="Band_5" vbProcedure="false">Declarations!$B$15</definedName>
    <definedName function="false" hidden="false" name="Carry_a" vbProcedure="false">Declarations!$B$4</definedName>
    <definedName function="false" hidden="false" name="Err_0" vbProcedure="false">Declarations!$B$42</definedName>
    <definedName function="false" hidden="false" name="Eta_retune" vbProcedure="false">Declarations!$B$16</definedName>
    <definedName function="false" hidden="false" name="Gain_aggressive" vbProcedure="false">Declarations!$B$10</definedName>
    <definedName function="false" hidden="false" name="Gain_beyond" vbProcedure="false">Declarations!$B$12</definedName>
    <definedName function="false" hidden="false" name="Gain_cautious" vbProcedure="false">Declarations!$B$7</definedName>
    <definedName function="false" hidden="false" name="Gain_deadbeat" vbProcedure="false">Declarations!$B$9</definedName>
    <definedName function="false" hidden="false" name="Gain_merged" vbProcedure="false">Declarations!$B$13</definedName>
    <definedName function="false" hidden="false" name="Gain_moderate" vbProcedure="false">Declarations!$B$8</definedName>
    <definedName function="false" hidden="false" name="Gain_over" vbProcedure="false">Declarations!$B$11</definedName>
    <definedName function="false" hidden="false" name="Gain_start" vbProcedure="false">Declarations!$B$17</definedName>
    <definedName function="false" hidden="false" name="Gap_d0" vbProcedure="false">Declarations!$B$6</definedName>
    <definedName function="false" hidden="false" name="Hire_b" vbProcedure="false">Declarations!$B$5</definedName>
    <definedName function="false" hidden="false" name="Kappa" vbProcedure="false">Declarations!$B$38</definedName>
    <definedName function="false" hidden="false" name="Rate_r" vbProcedure="false">Declarations!$B$37</definedName>
    <definedName function="false" hidden="false" name="Report_err" vbProcedure="false">Declarations!$B$34</definedName>
    <definedName function="false" hidden="false" name="Sens_L" vbProcedure="false">Declarations!$B$44</definedName>
    <definedName function="false" hidden="false" name="Tech_to_cap_case2" vbProcedure="false">Declarations!$B$33</definedName>
    <definedName function="false" hidden="false" name="Tol_tau" vbProcedure="false">Declarations!$B$43</definedName>
    <definedName function="false" hidden="false" name="Users_x0" vbProcedure="false">Declarations!$B$39</definedName>
    <definedName function="false" hidden="false" name="U_ch3" vbProcedure="false">Declarations!$B$26</definedName>
    <definedName function="false" hidden="false" name="U_held" vbProcedure="false">Declarations!$B$25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<sst xmlns="http://schemas.openxmlformats.org/spreadsheetml/2006/main" count="828" uniqueCount="559">
  <si>
    <t xml:space="preserve">DCT Laboratory — Vol I, Ch 7: Dynamic Enterprise Systems</t>
  </si>
  <si>
    <t xml:space="preserve">Seed 26107 · Companion to DCT_V1_Ch07_Lab.ipynb and AXIOM Lab 1.7 (module AXIOM-07). Gaps in engineers, readings in index points.</t>
  </si>
  <si>
    <t xml:space="preserve">Worked Example 7.1, How Hard Should Meridian Steer Its Hiring?, with the book's declarations, and the five steps of AXIOM Lab 1.7, Steering Meridian Through Time.</t>
  </si>
  <si>
    <t xml:space="preserve">Declarations: the hiring loop of Worked Example 7.1, the three-reading company of Equation 3.2, the covenant model of Online Appendix 7.B.2, the start-up's law and the forecastable horizon's inputs.</t>
  </si>
  <si>
    <t xml:space="preserve">Clock: the forecastable horizon, the start-up's law against quarterly, monthly and weekly steps, the exponential plan, and which hiring rules are samples of a continuous law (lab step 1).</t>
  </si>
  <si>
    <t xml:space="preserve">QuarterlyLaw: the yearly law of Equation 3.2 as quarters (engine matrices), certified by formulas: four quarters reproduce every year end (Proposition 7.2(i)).</t>
  </si>
  <si>
    <t xml:space="preserve">Superposition: momentum plus program, year by year, and Figure 7.1's numbers (Theorem 7.2(i); lab step 2).</t>
  </si>
  <si>
    <t xml:space="preserve">PolicyMap: the steady state of every held investment by Cramer's rule, the eigenvalues and the half-life of a shock (Theorems 7.3(ii) and 7.4(i); lab step 2).</t>
  </si>
  <si>
    <t xml:space="preserve">Disclosure: the rows of the observability matrix, the rank of each case, and how long technology stays uncertain from covenant certificates (Theorem 7.2(iii); Online Appendix 7.B.2; lab step 3).</t>
  </si>
  <si>
    <t xml:space="preserve">Gains and Delay: the hiring loop without and with the one-quarter delay, Table 7.4's regimes, Table 7.5 and the deadbeat rule's cycle (Worked Example 7.1, Steps 1-4; lab step 4).</t>
  </si>
  <si>
    <t xml:space="preserve">GainBench: every gain through every regime, without and with the delay, and the committee that retunes its rule (Figure 7.2; Online Appendix 7.B.8).</t>
  </si>
  <si>
    <t xml:space="preserve">Lyapunov: the series of Remark 7.1 for the delayed hiring loop and the three-reading company, and the health index against a plain scorecard (Theorem 7.4(iii); lab step 5).</t>
  </si>
  <si>
    <t xml:space="preserve">Every result is a formula of the declarations, except the quarterly law's engine matrices. Reference_Values and Checks: the notebook engine's numbers and a PASS/FAIL comparison with this workbook's formulas.</t>
  </si>
  <si>
    <t xml:space="preserve">LEGEND</t>
  </si>
  <si>
    <t xml:space="preserve">Input: blue on pale gold. A declaration from the book; change it to explore.</t>
  </si>
  <si>
    <t xml:space="preserve">Formula: black. Recalculates from the inputs.</t>
  </si>
  <si>
    <t xml:space="preserve">Engine value: green on pale green. Computed by the notebook's engine (the book's numbers); the Checks sheet compares the workbook's formulas with them.</t>
  </si>
  <si>
    <t xml:space="preserve">Cross-sheet link: green.</t>
  </si>
  <si>
    <t xml:space="preserve">Declarations (Worked Example 7.1, Step 1; Equation 3.2; Online Appendix 7.B.1, 7.B.2, 7.B.4). Gaps in engineers; readings in index points.</t>
  </si>
  <si>
    <t xml:space="preserve">Quantity</t>
  </si>
  <si>
    <t xml:space="preserve">Value</t>
  </si>
  <si>
    <t xml:space="preserve">Source</t>
  </si>
  <si>
    <t xml:space="preserve">Share of a gap that carries over each quarter, a</t>
  </si>
  <si>
    <t xml:space="preserve">Worked Example 7.1: retraining and internal moves close 10 percent of any gap</t>
  </si>
  <si>
    <t xml:space="preserve">Share of approved hires productive within the quarter, b</t>
  </si>
  <si>
    <t xml:space="preserve">Worked Example 7.1</t>
  </si>
  <si>
    <t xml:space="preserve">Starting gap, bench minus target (engineers)</t>
  </si>
  <si>
    <t xml:space="preserve">Meridian's bench is 100 engineers short of target</t>
  </si>
  <si>
    <t xml:space="preserve">Cautious gain</t>
  </si>
  <si>
    <t xml:space="preserve">Table 7.5</t>
  </si>
  <si>
    <t xml:space="preserve">Moderate gain</t>
  </si>
  <si>
    <t xml:space="preserve">Figure 7.3</t>
  </si>
  <si>
    <t xml:space="preserve">Deadbeat gain, a / b</t>
  </si>
  <si>
    <t xml:space="preserve">Worked Example 7.1, Step 2: 1.5</t>
  </si>
  <si>
    <t xml:space="preserve">Aggressive gain</t>
  </si>
  <si>
    <t xml:space="preserve">Figures 7.2 and 7.3</t>
  </si>
  <si>
    <t xml:space="preserve">Overcorrecting gain</t>
  </si>
  <si>
    <t xml:space="preserve">A gain beyond the limit with the delay</t>
  </si>
  <si>
    <t xml:space="preserve">Figure 7.2</t>
  </si>
  <si>
    <t xml:space="preserve">Gain at which the delayed roots merge, a^2 / (4b)</t>
  </si>
  <si>
    <t xml:space="preserve">Online Appendix 7.B.7: 0.81/2.4</t>
  </si>
  <si>
    <t xml:space="preserve">Tolerance band (engineers)</t>
  </si>
  <si>
    <t xml:space="preserve">Worked Example 7.1, Step 4</t>
  </si>
  <si>
    <t xml:space="preserve">Tighter band (engineers)</t>
  </si>
  <si>
    <t xml:space="preserve">Online Appendix 7.B.7</t>
  </si>
  <si>
    <t xml:space="preserve">Committee's retuning intensity, eta</t>
  </si>
  <si>
    <t xml:space="preserve">Online Appendix 7.B.8</t>
  </si>
  <si>
    <t xml:space="preserve">Committee's starting gain</t>
  </si>
  <si>
    <t xml:space="preserve">The cautious gain</t>
  </si>
  <si>
    <t xml:space="preserve">Equation 3.2: the three-reading company, yearly</t>
  </si>
  <si>
    <t xml:space="preserve">capability</t>
  </si>
  <si>
    <t xml:space="preserve">technology</t>
  </si>
  <si>
    <t xml:space="preserve">efficiency</t>
  </si>
  <si>
    <t xml:space="preserve">A, capability row</t>
  </si>
  <si>
    <t xml:space="preserve">A, technology row</t>
  </si>
  <si>
    <t xml:space="preserve">A, efficiency row</t>
  </si>
  <si>
    <t xml:space="preserve">B: capability investment builds capability and the platform</t>
  </si>
  <si>
    <t xml:space="preserve">Today, x0</t>
  </si>
  <si>
    <t xml:space="preserve">Held investment of Figure 7.1, a year</t>
  </si>
  <si>
    <t xml:space="preserve">Investment in Section 3.4's one-year step</t>
  </si>
  <si>
    <t xml:space="preserve">Online Appendix 7.B.2: the covenant model, quarterly</t>
  </si>
  <si>
    <t xml:space="preserve">liquidity</t>
  </si>
  <si>
    <t xml:space="preserve">leverage</t>
  </si>
  <si>
    <t xml:space="preserve">A, liquidity row</t>
  </si>
  <si>
    <t xml:space="preserve">A, leverage row</t>
  </si>
  <si>
    <t xml:space="preserve">Case 2: capability's response to technology</t>
  </si>
  <si>
    <t xml:space="preserve">Technology feeds nothing (the entry 0.05 becomes 0)</t>
  </si>
  <si>
    <t xml:space="preserve">Error on each reported number (one unit)</t>
  </si>
  <si>
    <t xml:space="preserve">Proposition 7.4: the start-up's logistic law</t>
  </si>
  <si>
    <t xml:space="preserve">Growth rate while small, r (a year)</t>
  </si>
  <si>
    <t xml:space="preserve">Online Appendix 7.B.4</t>
  </si>
  <si>
    <t xml:space="preserve">Market wall, kappa</t>
  </si>
  <si>
    <t xml:space="preserve">Figure 5.3</t>
  </si>
  <si>
    <t xml:space="preserve">Users today, x0</t>
  </si>
  <si>
    <t xml:space="preserve">Chapter 5's start-up</t>
  </si>
  <si>
    <t xml:space="preserve">Section 7.3: the forecastable horizon</t>
  </si>
  <si>
    <t xml:space="preserve">Measurement error on capability (points)</t>
  </si>
  <si>
    <t xml:space="preserve">Table 5.2: skills survey</t>
  </si>
  <si>
    <t xml:space="preserve">Tolerance the decisions need (points)</t>
  </si>
  <si>
    <t xml:space="preserve">Section 7.3</t>
  </si>
  <si>
    <t xml:space="preserve">Sensitivity of the capability dynamics, L (a year)</t>
  </si>
  <si>
    <t xml:space="preserve">Hiring loop: d' = a d + b u under the rule u = -gamma d; with the delay d' = a d + b u_(k-1), nothing in the pipeline at the start. The other models are declared yearly (Equation 3.2) and quarterly (Online Appendix 7.B.2).</t>
  </si>
  <si>
    <t xml:space="preserve">Check the clock: how far a model can see, and the start-up's law against its steps (Theorem 7.1(ii); Proposition 7.2; Online Appendix 7.B.1, 7.B.4; AXIOM Lab 1.7, step 1)</t>
  </si>
  <si>
    <t xml:space="preserve">Forecastable horizon (Online Appendix 7.B.1)</t>
  </si>
  <si>
    <t xml:space="preserve">Reading</t>
  </si>
  <si>
    <t xml:space="preserve">Proposition 7.2(iii): the hiring rules</t>
  </si>
  <si>
    <t xml:space="preserve">Gain</t>
  </si>
  <si>
    <t xml:space="preserve">Closed-loop coefficient a - b gamma</t>
  </si>
  <si>
    <t xml:space="preserve">Continuous rate ln(coefficient), a quarter</t>
  </si>
  <si>
    <t xml:space="preserve">Horizon (1/L) ln(tolerance / error), years</t>
  </si>
  <si>
    <t xml:space="preserve">2 ln 3 = 2.2 years</t>
  </si>
  <si>
    <t xml:space="preserve">cautious</t>
  </si>
  <si>
    <t xml:space="preserve">Halving the measurement error adds, years</t>
  </si>
  <si>
    <t xml:space="preserve">1.4 years</t>
  </si>
  <si>
    <t xml:space="preserve">moderate</t>
  </si>
  <si>
    <t xml:space="preserve">Dynamics twice as fast: the horizon, years</t>
  </si>
  <si>
    <t xml:space="preserve">Doubling the speed halves the horizon</t>
  </si>
  <si>
    <t xml:space="preserve">deadbeat</t>
  </si>
  <si>
    <t xml:space="preserve">aggressive</t>
  </si>
  <si>
    <t xml:space="preserve">The start-up's law (Online Appendix 7.B.4)</t>
  </si>
  <si>
    <t xml:space="preserve">overcorrecting</t>
  </si>
  <si>
    <t xml:space="preserve">Doubling time while small, (ln 2) / r, years</t>
  </si>
  <si>
    <t xml:space="preserve">about 0.77 years, nine months</t>
  </si>
  <si>
    <t xml:space="preserve">Inflection date, ln((kappa - x0) / x0) / r, years</t>
  </si>
  <si>
    <t xml:space="preserve">growth peaks at 50 after 4.3 years</t>
  </si>
  <si>
    <t xml:space="preserve">A coefficient that is zero or negative is the sample of no continuous law: such rules belong to decisions taken at review dates and held in between (Online Appendix 7.B.4's reading).</t>
  </si>
  <si>
    <t xml:space="preserve">A quarter's growth while small: the law, e^(r/4) - 1</t>
  </si>
  <si>
    <t xml:space="preserve">exact discretization (Equation 7.2): about 25 percent</t>
  </si>
  <si>
    <t xml:space="preserve">A quarter's growth while small: the quarterly step, r/4</t>
  </si>
  <si>
    <t xml:space="preserve">22.5 percent</t>
  </si>
  <si>
    <t xml:space="preserve">The law at year 5</t>
  </si>
  <si>
    <t xml:space="preserve">The law at year 6</t>
  </si>
  <si>
    <t xml:space="preserve">81.9</t>
  </si>
  <si>
    <t xml:space="preserve">The law at year 10</t>
  </si>
  <si>
    <t xml:space="preserve">99.4</t>
  </si>
  <si>
    <t xml:space="preserve">Quarterly step at year 5</t>
  </si>
  <si>
    <t xml:space="preserve">58.1</t>
  </si>
  <si>
    <t xml:space="preserve">Monthly step at year 5</t>
  </si>
  <si>
    <t xml:space="preserve">Weekly step at year 5</t>
  </si>
  <si>
    <t xml:space="preserve">Gap to the law at year 5: quarterly step</t>
  </si>
  <si>
    <t xml:space="preserve">in proportion to the step</t>
  </si>
  <si>
    <t xml:space="preserve">Gap to the law at year 5: monthly step</t>
  </si>
  <si>
    <t xml:space="preserve">2.1</t>
  </si>
  <si>
    <t xml:space="preserve">Gap to the law at year 5: weekly step</t>
  </si>
  <si>
    <t xml:space="preserve">0.5</t>
  </si>
  <si>
    <t xml:space="preserve">Exponential plan 2e^(rt) at the inflection date</t>
  </si>
  <si>
    <t xml:space="preserve">98</t>
  </si>
  <si>
    <t xml:space="preserve">Exponential plan at year 5</t>
  </si>
  <si>
    <t xml:space="preserve">180</t>
  </si>
  <si>
    <t xml:space="preserve">Exponential plan at year 6</t>
  </si>
  <si>
    <t xml:space="preserve">443, more than four times the market</t>
  </si>
  <si>
    <t xml:space="preserve">Exponential plan at year 6, as a multiple of the market</t>
  </si>
  <si>
    <t xml:space="preserve">Each step: x' = x + (1/steps a year) r x (1 - x/kappa), Chapter 5's quarterly map with 4 steps a year (Proposition 7.2(ii)). The law column samples the exact solution at the weekly dates.</t>
  </si>
  <si>
    <t xml:space="preserve">Step k</t>
  </si>
  <si>
    <t xml:space="preserve">Quarterly steps</t>
  </si>
  <si>
    <t xml:space="preserve">Monthly steps</t>
  </si>
  <si>
    <t xml:space="preserve">Weekly steps</t>
  </si>
  <si>
    <t xml:space="preserve">Time t (weeks), years</t>
  </si>
  <si>
    <t xml:space="preserve">The law at t</t>
  </si>
  <si>
    <t xml:space="preserve">Steps a year</t>
  </si>
  <si>
    <t xml:space="preserve">The yearly law of Equation 3.2 as quarters: exact discretization (Proposition 7.2(i); AXIOM Lab 1.7, step 1)</t>
  </si>
  <si>
    <t xml:space="preserve">Engine values: the continuous law dx/dt = Ac x + Bc u whose yearly sample, investment held level within the year, is Equation 3.2, and its quarterly sample A_q = e^(Ac/4), B_q. The formulas certify them: four quarters reproduce every year end.</t>
  </si>
  <si>
    <t xml:space="preserve">Engine values</t>
  </si>
  <si>
    <t xml:space="preserve">A_q, capability row</t>
  </si>
  <si>
    <t xml:space="preserve">A_q, technology row</t>
  </si>
  <si>
    <t xml:space="preserve">A_q, efficiency row</t>
  </si>
  <si>
    <t xml:space="preserve">B_q</t>
  </si>
  <si>
    <t xml:space="preserve">Ac, capability row</t>
  </si>
  <si>
    <t xml:space="preserve">Ac, technology row</t>
  </si>
  <si>
    <t xml:space="preserve">Ac, efficiency row</t>
  </si>
  <si>
    <t xml:space="preserve">Bc</t>
  </si>
  <si>
    <t xml:space="preserve">A_q squared (formula)</t>
  </si>
  <si>
    <t xml:space="preserve">A_q to the fourth (formula)</t>
  </si>
  <si>
    <t xml:space="preserve">|A_q^4 - A|</t>
  </si>
  <si>
    <t xml:space="preserve">Largest |A_q^4 - A|</t>
  </si>
  <si>
    <t xml:space="preserve">Quarter</t>
  </si>
  <si>
    <t xml:space="preserve">Quarterly law: capability</t>
  </si>
  <si>
    <t xml:space="preserve">Simple steps: capability</t>
  </si>
  <si>
    <t xml:space="preserve">Year</t>
  </si>
  <si>
    <t xml:space="preserve">Yearly law: capability</t>
  </si>
  <si>
    <t xml:space="preserve">Gap at the year end</t>
  </si>
  <si>
    <t xml:space="preserve">Largest gap at the ten year ends</t>
  </si>
  <si>
    <t xml:space="preserve">Simple steps after ten years, largest gap to the law</t>
  </si>
  <si>
    <t xml:space="preserve">Split the path: momentum plus program for the three-reading company (Theorem 7.2(i); Figure 7.1; AXIOM Lab 1.7, step 2)</t>
  </si>
  <si>
    <t xml:space="preserve">Free response: A^k x0 (momentum alone). Forced response: from zero under the held investment (what the program adds). Path: the company simply run forward. Equation 7.4: path = free + forced.</t>
  </si>
  <si>
    <t xml:space="preserve">Figure 7.1 and Section 3.4</t>
  </si>
  <si>
    <t xml:space="preserve">Technology at year 10: momentum alone</t>
  </si>
  <si>
    <t xml:space="preserve">erodes from 40 to 27</t>
  </si>
  <si>
    <t xml:space="preserve">Momentum: capability</t>
  </si>
  <si>
    <t xml:space="preserve">Program: capability</t>
  </si>
  <si>
    <t xml:space="preserve">Path: capability</t>
  </si>
  <si>
    <t xml:space="preserve">|path - (momentum + program)|</t>
  </si>
  <si>
    <t xml:space="preserve">Program ahead (technology)</t>
  </si>
  <si>
    <t xml:space="preserve">Technology at year 10: program effect</t>
  </si>
  <si>
    <t xml:space="preserve">the program adds 25</t>
  </si>
  <si>
    <t xml:space="preserve">Technology at year 10: path</t>
  </si>
  <si>
    <t xml:space="preserve">the company ends at 52</t>
  </si>
  <si>
    <t xml:space="preserve">Technology at year 20: momentum alone</t>
  </si>
  <si>
    <t xml:space="preserve">Technology at year 20: program effect</t>
  </si>
  <si>
    <t xml:space="preserve">Technology at year 20: path</t>
  </si>
  <si>
    <t xml:space="preserve">approaching the steady state, 72</t>
  </si>
  <si>
    <t xml:space="preserve">Largest |path - (momentum + program)|</t>
  </si>
  <si>
    <t xml:space="preserve">exact in the linear regime</t>
  </si>
  <si>
    <t xml:space="preserve">First year the program effect exceeds momentum</t>
  </si>
  <si>
    <t xml:space="preserve">Section 3.4: capability a year after u = 10</t>
  </si>
  <si>
    <t xml:space="preserve">53.0</t>
  </si>
  <si>
    <t xml:space="preserve">Section 3.4: technology a year after u = 10</t>
  </si>
  <si>
    <t xml:space="preserve">42.0</t>
  </si>
  <si>
    <t xml:space="preserve">Section 3.4: efficiency a year after u = 10</t>
  </si>
  <si>
    <t xml:space="preserve">54.5</t>
  </si>
  <si>
    <t xml:space="preserve">Move the steady state: the policy map x* = (I - A)^(-1) B u and the spectral test (Theorem 7.3(ii); Theorem 7.4(i); Online Appendix 7.B.3; AXIOM Lab 1.7, step 2)</t>
  </si>
  <si>
    <t xml:space="preserve">I - A</t>
  </si>
  <si>
    <t xml:space="preserve">B</t>
  </si>
  <si>
    <t xml:space="preserve">Policy map (Equation 7.6)</t>
  </si>
  <si>
    <t xml:space="preserve">det(I - A)</t>
  </si>
  <si>
    <t xml:space="preserve">nonzero: exactly one steady state for each held investment</t>
  </si>
  <si>
    <t xml:space="preserve">Per unit held: capability</t>
  </si>
  <si>
    <t xml:space="preserve">10.5 (Cramer's rule)</t>
  </si>
  <si>
    <t xml:space="preserve">Per unit held: technology</t>
  </si>
  <si>
    <t xml:space="preserve">9</t>
  </si>
  <si>
    <t xml:space="preserve">Per unit held: efficiency</t>
  </si>
  <si>
    <t xml:space="preserve">7.125</t>
  </si>
  <si>
    <t xml:space="preserve">I - A with column 1 replaced by B</t>
  </si>
  <si>
    <t xml:space="preserve">Steady state at the held investment: capability</t>
  </si>
  <si>
    <t xml:space="preserve">84</t>
  </si>
  <si>
    <t xml:space="preserve">Steady state at the held investment: technology</t>
  </si>
  <si>
    <t xml:space="preserve">72</t>
  </si>
  <si>
    <t xml:space="preserve">Steady state at the held investment: efficiency</t>
  </si>
  <si>
    <t xml:space="preserve">57, below today's 60</t>
  </si>
  <si>
    <t xml:space="preserve">I - A with column 2 replaced by B</t>
  </si>
  <si>
    <t xml:space="preserve">Spectral test (Theorem 7.4(i))</t>
  </si>
  <si>
    <t xml:space="preserve">Efficiency feeds neither capability nor technology?</t>
  </si>
  <si>
    <t xml:space="preserve">1: the eigenvalues are those of the top block and a33</t>
  </si>
  <si>
    <t xml:space="preserve">Top block: trace</t>
  </si>
  <si>
    <t xml:space="preserve">Top block: determinant</t>
  </si>
  <si>
    <t xml:space="preserve">I - A with column 3 replaced by B</t>
  </si>
  <si>
    <t xml:space="preserve">Eigenvalue 1</t>
  </si>
  <si>
    <t xml:space="preserve">0.95</t>
  </si>
  <si>
    <t xml:space="preserve">Eigenvalue 2</t>
  </si>
  <si>
    <t xml:space="preserve">0.80</t>
  </si>
  <si>
    <t xml:space="preserve">Eigenvalue 3, a33</t>
  </si>
  <si>
    <t xml:space="preserve">Spectral radius: the slowest eigenvalue</t>
  </si>
  <si>
    <t xml:space="preserve">inside the unit circle: shocks die out</t>
  </si>
  <si>
    <t xml:space="preserve">Half-life of a shock, ln 0.5 / ln(radius), years</t>
  </si>
  <si>
    <t xml:space="preserve">13.5 years</t>
  </si>
  <si>
    <t xml:space="preserve">Held investment at which capability's steady state reaches 100</t>
  </si>
  <si>
    <t xml:space="preserve">the index stops at 100</t>
  </si>
  <si>
    <t xml:space="preserve">Held investment</t>
  </si>
  <si>
    <t xml:space="preserve">Held at 10 a year: first year capability passes 100</t>
  </si>
  <si>
    <t xml:space="preserve">the linear law leaves the index</t>
  </si>
  <si>
    <t xml:space="preserve">Held: capability</t>
  </si>
  <si>
    <t xml:space="preserve">Passes 100?</t>
  </si>
  <si>
    <t xml:space="preserve">Policy sweep: held investment</t>
  </si>
  <si>
    <t xml:space="preserve">Steady state: capability</t>
  </si>
  <si>
    <t xml:space="preserve">Probe the disclosure: what the covenant package reveals (Theorem 7.2(iii); Equation 7.5; Online Appendix 7.B.2; AXIOM Lab 1.7, step 3)</t>
  </si>
  <si>
    <t xml:space="preserve">Rows of the observability matrix: liquidity's row of C A^k and leverage's, quarter by quarter. Case 1: technology feeds capability; case 2: it feeds nothing. Liquidity's rows never load on leverage and leverage's load on nothing else, so the readings separate.</t>
  </si>
  <si>
    <t xml:space="preserve">Rank of Equation 7.5 (n = 4)</t>
  </si>
  <si>
    <t xml:space="preserve">Rank</t>
  </si>
  <si>
    <t xml:space="preserve">Case 1: technology feeds capability</t>
  </si>
  <si>
    <t xml:space="preserve">Case 2: technology feeds nothing</t>
  </si>
  <si>
    <t xml:space="preserve">Here every invisible direction is a whole reading (its column is zero), so the rank is the number of visible readings; the determinants below certify that the visible ones are independent.</t>
  </si>
  <si>
    <t xml:space="preserve">k</t>
  </si>
  <si>
    <t xml:space="preserve">Case 1, liquidity row: liquidity</t>
  </si>
  <si>
    <t xml:space="preserve">Case 1, leverage row: liquidity</t>
  </si>
  <si>
    <t xml:space="preserve">Case 2, liquidity row: liquidity</t>
  </si>
  <si>
    <t xml:space="preserve">Case 2, leverage row: liquidity</t>
  </si>
  <si>
    <t xml:space="preserve">Case 1: rows liquidity k = 0, 1, 2 and leverage k = 0</t>
  </si>
  <si>
    <t xml:space="preserve">Determinant: nonzero, so all four readings are visible</t>
  </si>
  <si>
    <t xml:space="preserve">Case 2: liquidity k = 0, 1 and leverage k = 0, on the visible readings</t>
  </si>
  <si>
    <t xml:space="preserve">Determinant: nonzero, so the rank is exactly 3</t>
  </si>
  <si>
    <t xml:space="preserve">Technology in reported liquidity (case 1)</t>
  </si>
  <si>
    <t xml:space="preserve">Technology's weight in liquidity after 2 quarters</t>
  </si>
  <si>
    <t xml:space="preserve">weight 0.002 after two quarters</t>
  </si>
  <si>
    <t xml:space="preserve">A 10-point technology deviation: liquidity after 4 quarters</t>
  </si>
  <si>
    <t xml:space="preserve">0.10</t>
  </si>
  <si>
    <t xml:space="preserve">A 10-point technology deviation: liquidity after 12 quarters</t>
  </si>
  <si>
    <t xml:space="preserve">0.6</t>
  </si>
  <si>
    <t xml:space="preserve">Quarters of certificates N</t>
  </si>
  <si>
    <t xml:space="preserve">Gram matrix (liquidity, capability, technology)</t>
  </si>
  <si>
    <t xml:space="preserve">det</t>
  </si>
  <si>
    <t xml:space="preserve">Uncertainty on technology, one s.e.</t>
  </si>
  <si>
    <t xml:space="preserve">With one unit of error on every reported number, the least-squares reconstruction has covariance (O'O)^-1; technology's variance is a cofactor of the Gram matrix over its determinant. Visible in principle, invisible in practice for years: about 480 after four quarters, 6 after forty.</t>
  </si>
  <si>
    <t xml:space="preserve">Write the loop and read the chart: hires within the quarter (Worked Example 7.1, Steps 1-2; Theorem 7.5(ii); Tables 7.4 and 7.5; AXIOM Lab 1.7, step 4)</t>
  </si>
  <si>
    <t xml:space="preserve">Table 7.4's boundaries</t>
  </si>
  <si>
    <t xml:space="preserve">Lower stability limit (a - 1) / b</t>
  </si>
  <si>
    <t xml:space="preserve">below it, divergence persists</t>
  </si>
  <si>
    <t xml:space="preserve">Deadbeat gain a / b</t>
  </si>
  <si>
    <t xml:space="preserve">closes any gap in one quarter: 1.5</t>
  </si>
  <si>
    <t xml:space="preserve">Upper stability limit (a + 1) / b</t>
  </si>
  <si>
    <t xml:space="preserve">1.9/0.6, about 3.17: above it, overcorrection</t>
  </si>
  <si>
    <t xml:space="preserve">Rule</t>
  </si>
  <si>
    <t xml:space="preserve">Coefficient a - b gamma</t>
  </si>
  <si>
    <t xml:space="preserve">Regime (Table 7.4)</t>
  </si>
  <si>
    <t xml:space="preserve">Gap: cautious</t>
  </si>
  <si>
    <t xml:space="preserve">Gap: moderate</t>
  </si>
  <si>
    <t xml:space="preserve">Gap: deadbeat</t>
  </si>
  <si>
    <t xml:space="preserve">Gap: aggressive</t>
  </si>
  <si>
    <t xml:space="preserve">Gap: overcorrecting</t>
  </si>
  <si>
    <t xml:space="preserve">Table 7.5, hires within the quarter</t>
  </si>
  <si>
    <t xml:space="preserve">q0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</si>
  <si>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</si>
  <si>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</si>
  <si>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</si>
  <si>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</si>
  <si>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</si>
  <si>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</si>
  <si>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</si>
  <si>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</si>
  <si>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Cautious, gamma = 0.5</t>
  </si>
  <si>
    <t xml:space="preserve">Deadbeat, gamma = 1.5</t>
  </si>
  <si>
    <t xml:space="preserve">Overcorrecting, gamma = 3.5</t>
  </si>
  <si>
    <t xml:space="preserve">A gain of 3.5 turns a shortfall of 100 into a surplus of 120, then a shortfall of 144: a hiring spree, a freeze, a bigger spree (Worked Example 7.1, Step 2).</t>
  </si>
  <si>
    <t xml:space="preserve">Allow for the delay and re-test the deadbeat rule (Worked Example 7.1, Steps 3-4; Online Appendix 7.B.5-7.B.7; Table 7.5; Figure 7.3; AXIOM Lab 1.7, step 4)</t>
  </si>
  <si>
    <t xml:space="preserve">Approvals take a quarter to become engineers: d(k+1) = a d(k) - b gamma d(k-1), nothing in the pipeline at the start. The roots of z^2 - a z + b gamma are complex with modulus sqrt(b gamma) when a^2 &lt; 4 b gamma.</t>
  </si>
  <si>
    <t xml:space="preserve">Stability limit with the delay, 1 / b</t>
  </si>
  <si>
    <t xml:space="preserve">Without the delay, (a + 1) / b</t>
  </si>
  <si>
    <t xml:space="preserve">The safe range with the delay, as a share of the range without</t>
  </si>
  <si>
    <t xml:space="preserve">a^2 - 4 b gamma</t>
  </si>
  <si>
    <t xml:space="preserve">Modulus</t>
  </si>
  <si>
    <t xml:space="preserve">cos(theta)</t>
  </si>
  <si>
    <t xml:space="preserve">Cycle (quarters)</t>
  </si>
  <si>
    <t xml:space="preserve">Swings halve (quarters)</t>
  </si>
  <si>
    <t xml:space="preserve">Within 10 for good from quarter</t>
  </si>
  <si>
    <t xml:space="preserve">Within 5 for good from quarter</t>
  </si>
  <si>
    <t xml:space="preserve">deadbeat rule</t>
  </si>
  <si>
    <t xml:space="preserve">beyond the limit</t>
  </si>
  <si>
    <t xml:space="preserve">merged roots</t>
  </si>
  <si>
    <t xml:space="preserve">The deadbeat rule with the delay</t>
  </si>
  <si>
    <t xml:space="preserve">Quarter of the overshoot</t>
  </si>
  <si>
    <t xml:space="preserve">quarter 3</t>
  </si>
  <si>
    <t xml:space="preserve">Overshoot (engineers too many)</t>
  </si>
  <si>
    <t xml:space="preserve">89</t>
  </si>
  <si>
    <t xml:space="preserve">Swing back within the next five quarters</t>
  </si>
  <si>
    <t xml:space="preserve">79 too few</t>
  </si>
  <si>
    <t xml:space="preserve">Quarter of the swing back</t>
  </si>
  <si>
    <t xml:space="preserve">quarter 6</t>
  </si>
  <si>
    <t xml:space="preserve">Largest gap in quarters 40-45, a decade on</t>
  </si>
  <si>
    <t xml:space="preserve">More than 10 engineers off a decade later?</t>
  </si>
  <si>
    <t xml:space="preserve">1: still cycling</t>
  </si>
  <si>
    <t xml:space="preserve">Smallest modulus attainable, a / 2 (merged roots)</t>
  </si>
  <si>
    <t xml:space="preserve">0.45 at gamma = 0.34</t>
  </si>
  <si>
    <t xml:space="preserve">Table 7.5, hires a quarter late</t>
  </si>
  <si>
    <t xml:space="preserve">Deadbeat rule, gamma = 1.5</t>
  </si>
  <si>
    <t xml:space="preserve">Gap: deadbeat rule</t>
  </si>
  <si>
    <t xml:space="preserve">Gap: beyond the limit</t>
  </si>
  <si>
    <t xml:space="preserve">Gap: merged roots</t>
  </si>
  <si>
    <t xml:space="preserve">Outside 10: cautious</t>
  </si>
  <si>
    <t xml:space="preserve">Outside 5: cautious</t>
  </si>
  <si>
    <t xml:space="preserve">Outside 10: moderate</t>
  </si>
  <si>
    <t xml:space="preserve">Outside 5: moderate</t>
  </si>
  <si>
    <t xml:space="preserve">Outside 10: deadbeat rule</t>
  </si>
  <si>
    <t xml:space="preserve">Outside 5: deadbeat rule</t>
  </si>
  <si>
    <t xml:space="preserve">Outside 10: beyond the limit</t>
  </si>
  <si>
    <t xml:space="preserve">Outside 5: beyond the limit</t>
  </si>
  <si>
    <t xml:space="preserve">Outside 10: merged roots</t>
  </si>
  <si>
    <t xml:space="preserve">Outside 5: merged roots</t>
  </si>
  <si>
    <t xml:space="preserve">Deadbeat: |gap|</t>
  </si>
  <si>
    <t xml:space="preserve">Deadbeat: the swing after the overshoot</t>
  </si>
  <si>
    <t xml:space="preserve">Sweep the gain bench, then tune the tuner (Theorem 7.5(i); Table 7.4; Figure 7.2; Online Appendix 7.B.8; AXIOM Lab 1.7, step 4)</t>
  </si>
  <si>
    <t xml:space="preserve">Coefficient without the delay</t>
  </si>
  <si>
    <t xml:space="preserve">Modulus with the delay</t>
  </si>
  <si>
    <t xml:space="preserve">With the delay</t>
  </si>
  <si>
    <t xml:space="preserve">Figure 7.2 places these eigenvalues against the unit circle: without the delay the coefficient a - b gamma; with it, a complex pair of modulus sqrt(b gamma). The delay halves the safe range.</t>
  </si>
  <si>
    <t xml:space="preserve">The committee that retunes its rule (Online Appendix 7.B.8)</t>
  </si>
  <si>
    <t xml:space="preserve">Outer coefficient 1 - b eta</t>
  </si>
  <si>
    <t xml:space="preserve">-1.1 at eta = 3.5: growing swings</t>
  </si>
  <si>
    <t xml:space="preserve">Steady convergence on the deadbeat gain for eta below 1 / b</t>
  </si>
  <si>
    <t xml:space="preserve">1.67</t>
  </si>
  <si>
    <t xml:space="preserve">Growing swings in the rule itself for eta above 2 / b</t>
  </si>
  <si>
    <t xml:space="preserve">3.33</t>
  </si>
  <si>
    <t xml:space="preserve">Review j</t>
  </si>
  <si>
    <t xml:space="preserve">Gain gamma_j</t>
  </si>
  <si>
    <t xml:space="preserve">Carry-over ratio d(j+1)/d(j) = a - b gamma_j</t>
  </si>
  <si>
    <t xml:space="preserve">Inside the inner loop's stable range?</t>
  </si>
  <si>
    <t xml:space="preserve">First review outside</t>
  </si>
  <si>
    <t xml:space="preserve">First review whose gain leaves (-0.17, 3.17)</t>
  </si>
  <si>
    <t xml:space="preserve">Certify with a health index: the Lyapunov series P = sum (A')^k Q A^k (Theorem 7.4(iii); Remark 7.1; AXIOM Lab 1.7, step 5)</t>
  </si>
  <si>
    <t xml:space="preserve">Each row adds the next term: P(n+1) = A' P(n) A + Q, the partial sums of Remark 7.1's series. For a stable loop they converge to the solution of A' P A - P = -Q, and V(x) = x' P x falls by x' Q x every period.</t>
  </si>
  <si>
    <t xml:space="preserve">Loop: deadbeat rule with the delay</t>
  </si>
  <si>
    <t xml:space="preserve">column 1</t>
  </si>
  <si>
    <t xml:space="preserve">column 2</t>
  </si>
  <si>
    <t xml:space="preserve">Q</t>
  </si>
  <si>
    <t xml:space="preserve">Certificate</t>
  </si>
  <si>
    <t xml:space="preserve">Three-reading company, Q = I</t>
  </si>
  <si>
    <t xml:space="preserve">column 3</t>
  </si>
  <si>
    <t xml:space="preserve">row 1</t>
  </si>
  <si>
    <t xml:space="preserve">p11</t>
  </si>
  <si>
    <t xml:space="preserve">P, row 1</t>
  </si>
  <si>
    <t xml:space="preserve">row 2</t>
  </si>
  <si>
    <t xml:space="preserve">p12</t>
  </si>
  <si>
    <t xml:space="preserve">P, row 2</t>
  </si>
  <si>
    <t xml:space="preserve">p22</t>
  </si>
  <si>
    <t xml:space="preserve">P, row 3</t>
  </si>
  <si>
    <t xml:space="preserve">Largest residual of A' P A - P + Q</t>
  </si>
  <si>
    <t xml:space="preserve">zero: P solves the equation</t>
  </si>
  <si>
    <t xml:space="preserve">n</t>
  </si>
  <si>
    <t xml:space="preserve">Positive definite? (p11 &gt; 0 and det P &gt; 0)</t>
  </si>
  <si>
    <t xml:space="preserve">1: V is a health index</t>
  </si>
  <si>
    <t xml:space="preserve">p13</t>
  </si>
  <si>
    <t xml:space="preserve">p23</t>
  </si>
  <si>
    <t xml:space="preserve">p33</t>
  </si>
  <si>
    <t xml:space="preserve">Largest residual of A' P A - P + I</t>
  </si>
  <si>
    <t xml:space="preserve">Leading minors positive? (P positive definite)</t>
  </si>
  <si>
    <t xml:space="preserve">Gap d(k)</t>
  </si>
  <si>
    <t xml:space="preserve">Gap a quarter ago</t>
  </si>
  <si>
    <t xml:space="preserve">Scorecard d(k)^2 + d(k-1)^2</t>
  </si>
  <si>
    <t xml:space="preserve">Lyapunov index V</t>
  </si>
  <si>
    <t xml:space="preserve">Scorecard rose?</t>
  </si>
  <si>
    <t xml:space="preserve">V rose?</t>
  </si>
  <si>
    <t xml:space="preserve">Deviation: capability</t>
  </si>
  <si>
    <t xml:space="preserve">Sum of squares</t>
  </si>
  <si>
    <t xml:space="preserve">V = e' P e</t>
  </si>
  <si>
    <t xml:space="preserve">Sum rose?</t>
  </si>
  <si>
    <t xml:space="preserve">Years 1-20 in which each rose</t>
  </si>
  <si>
    <t xml:space="preserve">Quarters 1-40 in which each rose</t>
  </si>
  <si>
    <t xml:space="preserve">Under the deadbeat rule with the delay the plain scorecard rises in many quarters although the loop is stable; the Lyapunov index falls every quarter. In the three-reading company even the plain sum of squares falls every year.</t>
  </si>
  <si>
    <t xml:space="preserve">Checkpoint</t>
  </si>
  <si>
    <t xml:space="preserve">Engine value</t>
  </si>
  <si>
    <t xml:space="preserve">Meaning (where in the book)</t>
  </si>
  <si>
    <t xml:space="preserve">Section 3.4: 53.0</t>
  </si>
  <si>
    <t xml:space="preserve">Section 3.4: 54.5</t>
  </si>
  <si>
    <t xml:space="preserve">Forecastable horizon, years</t>
  </si>
  <si>
    <t xml:space="preserve">Section 7.3: 2 ln 3, about 2.2 years</t>
  </si>
  <si>
    <t xml:space="preserve">Halving the error adds, years</t>
  </si>
  <si>
    <t xml:space="preserve">Online Appendix 7.B.1: 1.4 years</t>
  </si>
  <si>
    <t xml:space="preserve">Quarterly law: gap at the ten year ends</t>
  </si>
  <si>
    <t xml:space="preserve">Proposition 7.2(i): exact</t>
  </si>
  <si>
    <t xml:space="preserve">Quarterly law: largest |A_q^4 - A|</t>
  </si>
  <si>
    <t xml:space="preserve">Proposition 7.2(i): A_q is A's quarterly sample</t>
  </si>
  <si>
    <t xml:space="preserve">Simple quarterly steps: gap to the law after ten years</t>
  </si>
  <si>
    <t xml:space="preserve">Proposition 7.2(ii): a step-by-step approximation drifts</t>
  </si>
  <si>
    <t xml:space="preserve">A quarter's exact growth while small, percent</t>
  </si>
  <si>
    <t xml:space="preserve">Online Appendix 7.B.4: about 25 percent</t>
  </si>
  <si>
    <t xml:space="preserve">Start-up doubling time, years</t>
  </si>
  <si>
    <t xml:space="preserve">Online Appendix 7.B.4: 0.77 years</t>
  </si>
  <si>
    <t xml:space="preserve">Start-up inflection date, years</t>
  </si>
  <si>
    <t xml:space="preserve">Online Appendix 7.B.4: 4.3 years</t>
  </si>
  <si>
    <t xml:space="preserve">Start-up's law at year 6</t>
  </si>
  <si>
    <t xml:space="preserve">Start-up's law at year 10</t>
  </si>
  <si>
    <t xml:space="preserve">Monthly step: gap at year 5</t>
  </si>
  <si>
    <t xml:space="preserve">Weekly step: gap at year 5</t>
  </si>
  <si>
    <t xml:space="preserve">Exponential plan at the inflection date</t>
  </si>
  <si>
    <t xml:space="preserve">443</t>
  </si>
  <si>
    <t xml:space="preserve">Figure 7.1: 27</t>
  </si>
  <si>
    <t xml:space="preserve">Figure 7.1: 25</t>
  </si>
  <si>
    <t xml:space="preserve">Figure 7.1: 52</t>
  </si>
  <si>
    <t xml:space="preserve">Figure 7.1</t>
  </si>
  <si>
    <t xml:space="preserve">Momentum plus program equals the path</t>
  </si>
  <si>
    <t xml:space="preserve">Theorem 7.2(i): exact</t>
  </si>
  <si>
    <t xml:space="preserve">Policy map: capability per unit held</t>
  </si>
  <si>
    <t xml:space="preserve">Section 7.5: 10.5</t>
  </si>
  <si>
    <t xml:space="preserve">Policy map: technology per unit held</t>
  </si>
  <si>
    <t xml:space="preserve">Section 7.5: 9</t>
  </si>
  <si>
    <t xml:space="preserve">Policy map: efficiency per unit held</t>
  </si>
  <si>
    <t xml:space="preserve">Online Appendix 7.B.3: 7.125</t>
  </si>
  <si>
    <t xml:space="preserve">Steady state at 8: capability</t>
  </si>
  <si>
    <t xml:space="preserve">Steady state at 8: technology</t>
  </si>
  <si>
    <t xml:space="preserve">72 (Figure 7.1)</t>
  </si>
  <si>
    <t xml:space="preserve">Steady state at 8: efficiency</t>
  </si>
  <si>
    <t xml:space="preserve">57</t>
  </si>
  <si>
    <t xml:space="preserve">Slowest eigenvalue</t>
  </si>
  <si>
    <t xml:space="preserve">Section 7.6: 0.95</t>
  </si>
  <si>
    <t xml:space="preserve">Other eigenvalue</t>
  </si>
  <si>
    <t xml:space="preserve">0.80, twice</t>
  </si>
  <si>
    <t xml:space="preserve">Half-life of a shock, years</t>
  </si>
  <si>
    <t xml:space="preserve">Section 7.6: 13.5 years</t>
  </si>
  <si>
    <t xml:space="preserve">Held investment at which capability reaches 100</t>
  </si>
  <si>
    <t xml:space="preserve">The index stops at 100</t>
  </si>
  <si>
    <t xml:space="preserve">Held at 10: year capability passes 100</t>
  </si>
  <si>
    <t xml:space="preserve">The linear law leaves the index</t>
  </si>
  <si>
    <t xml:space="preserve">Covenant package: rank when technology feeds capability</t>
  </si>
  <si>
    <t xml:space="preserve">Online Appendix 7.B.2: rank 4</t>
  </si>
  <si>
    <t xml:space="preserve">Covenant package: rank when technology feeds nothing</t>
  </si>
  <si>
    <t xml:space="preserve">Online Appendix 7.B.2: rank 3</t>
  </si>
  <si>
    <t xml:space="preserve">Case 1: determinant certificate</t>
  </si>
  <si>
    <t xml:space="preserve">Nonzero, though tiny: visible, faintly</t>
  </si>
  <si>
    <t xml:space="preserve">Case 2: determinant on the visible readings</t>
  </si>
  <si>
    <t xml:space="preserve">Nonzero: the rank is exactly 3</t>
  </si>
  <si>
    <t xml:space="preserve">0.002</t>
  </si>
  <si>
    <t xml:space="preserve">10-point technology deviation: liquidity after 4 quarters</t>
  </si>
  <si>
    <t xml:space="preserve">10-point technology deviation: liquidity after 12 quarters</t>
  </si>
  <si>
    <t xml:space="preserve">Uncertainty on technology after 4 quarters</t>
  </si>
  <si>
    <t xml:space="preserve">about 480</t>
  </si>
  <si>
    <t xml:space="preserve">Uncertainty on technology after 12 quarters</t>
  </si>
  <si>
    <t xml:space="preserve">37</t>
  </si>
  <si>
    <t xml:space="preserve">Uncertainty on technology after 20 quarters</t>
  </si>
  <si>
    <t xml:space="preserve">14</t>
  </si>
  <si>
    <t xml:space="preserve">Uncertainty on technology after 40 quarters</t>
  </si>
  <si>
    <t xml:space="preserve">6</t>
  </si>
  <si>
    <t xml:space="preserve">No delay: upper stability limit</t>
  </si>
  <si>
    <t xml:space="preserve">Worked Example 7.1, Step 2: 3.17</t>
  </si>
  <si>
    <t xml:space="preserve">No delay: lower stability limit</t>
  </si>
  <si>
    <t xml:space="preserve">-0.17</t>
  </si>
  <si>
    <t xml:space="preserve">Deadbeat gain</t>
  </si>
  <si>
    <t xml:space="preserve">1.5</t>
  </si>
  <si>
    <t xml:space="preserve">Table 7.5: cautious, quarter 3</t>
  </si>
  <si>
    <t xml:space="preserve">-22</t>
  </si>
  <si>
    <t xml:space="preserve">Table 7.5: overcorrecting, quarter 8</t>
  </si>
  <si>
    <t xml:space="preserve">-430</t>
  </si>
  <si>
    <t xml:space="preserve">Table 7.5: deadbeat, quarter 1</t>
  </si>
  <si>
    <t xml:space="preserve">0</t>
  </si>
  <si>
    <t xml:space="preserve">Figure 7.2: aggressive coefficient</t>
  </si>
  <si>
    <t xml:space="preserve">-0.6</t>
  </si>
  <si>
    <t xml:space="preserve">Figure 7.2: overcorrecting coefficient</t>
  </si>
  <si>
    <t xml:space="preserve">-1.2</t>
  </si>
  <si>
    <t xml:space="preserve">Delay: stability limit</t>
  </si>
  <si>
    <t xml:space="preserve">Worked Example 7.1, Step 3: 1.67</t>
  </si>
  <si>
    <t xml:space="preserve">Delay: deadbeat rule's modulus</t>
  </si>
  <si>
    <t xml:space="preserve">Step 4: 0.95</t>
  </si>
  <si>
    <t xml:space="preserve">Delay: deadbeat rule's cos(theta)</t>
  </si>
  <si>
    <t xml:space="preserve">Online Appendix 7.B.7: 0.47</t>
  </si>
  <si>
    <t xml:space="preserve">Delay: deadbeat rule's cycle, quarters</t>
  </si>
  <si>
    <t xml:space="preserve">about every 5.8 quarters</t>
  </si>
  <si>
    <t xml:space="preserve">Delay: deadbeat rule's swings halve, quarters</t>
  </si>
  <si>
    <t xml:space="preserve">about 13 quarters</t>
  </si>
  <si>
    <t xml:space="preserve">Delay: overshoot</t>
  </si>
  <si>
    <t xml:space="preserve">89 too many in quarter 3</t>
  </si>
  <si>
    <t xml:space="preserve">Delay: quarter of the overshoot</t>
  </si>
  <si>
    <t xml:space="preserve">3</t>
  </si>
  <si>
    <t xml:space="preserve">Delay: swing back</t>
  </si>
  <si>
    <t xml:space="preserve">79 too few in quarter 6</t>
  </si>
  <si>
    <t xml:space="preserve">Delay: quarter of the swing back</t>
  </si>
  <si>
    <t xml:space="preserve">Delay: more than 10 off a decade later</t>
  </si>
  <si>
    <t xml:space="preserve">Step 4</t>
  </si>
  <si>
    <t xml:space="preserve">Delay: cautious rule's modulus</t>
  </si>
  <si>
    <t xml:space="preserve">sqrt(0.3), about 0.55</t>
  </si>
  <si>
    <t xml:space="preserve">Delay: cautious rule within 10 by quarter</t>
  </si>
  <si>
    <t xml:space="preserve">Step 4: quarter 4</t>
  </si>
  <si>
    <t xml:space="preserve">Delay: cautious rule within 5 by quarter</t>
  </si>
  <si>
    <t xml:space="preserve">Online Appendix 7.B.7: quarter 4</t>
  </si>
  <si>
    <t xml:space="preserve">Delay: gain with merged roots</t>
  </si>
  <si>
    <t xml:space="preserve">0.81/2.4, about 0.34</t>
  </si>
  <si>
    <t xml:space="preserve">Delay: smallest modulus</t>
  </si>
  <si>
    <t xml:space="preserve">0.45</t>
  </si>
  <si>
    <t xml:space="preserve">Delay: merged-roots gain within 5 by quarter</t>
  </si>
  <si>
    <t xml:space="preserve">quarter 7</t>
  </si>
  <si>
    <t xml:space="preserve">Delay: gamma 1.8 outside the unit circle</t>
  </si>
  <si>
    <t xml:space="preserve">Figure 7.2: outside</t>
  </si>
  <si>
    <t xml:space="preserve">Table 7.5: delay, cautious, quarter 2</t>
  </si>
  <si>
    <t xml:space="preserve">-51</t>
  </si>
  <si>
    <t xml:space="preserve">Table 7.5: delay, deadbeat rule, quarter 4</t>
  </si>
  <si>
    <t xml:space="preserve">Retuning: gain after one review</t>
  </si>
  <si>
    <t xml:space="preserve">2.6</t>
  </si>
  <si>
    <t xml:space="preserve">Retuning: gain after five reviews</t>
  </si>
  <si>
    <t xml:space="preserve">3.11</t>
  </si>
  <si>
    <t xml:space="preserve">Retuning: gain after six reviews</t>
  </si>
  <si>
    <t xml:space="preserve">-0.27, outside the stable range</t>
  </si>
  <si>
    <t xml:space="preserve">Retuning: steady below eta</t>
  </si>
  <si>
    <t xml:space="preserve">Retuning: growing swings above eta</t>
  </si>
  <si>
    <t xml:space="preserve">Lyapunov, delayed loop: p11</t>
  </si>
  <si>
    <t xml:space="preserve">Remark 7.1's series</t>
  </si>
  <si>
    <t xml:space="preserve">Lyapunov, delayed loop: p12</t>
  </si>
  <si>
    <t xml:space="preserve">Lyapunov, delayed loop: p22</t>
  </si>
  <si>
    <t xml:space="preserve">Lyapunov, delayed loop: residual</t>
  </si>
  <si>
    <t xml:space="preserve">P solves A' P A - P = -Q</t>
  </si>
  <si>
    <t xml:space="preserve">Lyapunov, delayed loop: P positive definite</t>
  </si>
  <si>
    <t xml:space="preserve">Theorem 7.4(iii)</t>
  </si>
  <si>
    <t xml:space="preserve">Book's path: quarters the scorecard rose</t>
  </si>
  <si>
    <t xml:space="preserve">a scorecard of one's choosing</t>
  </si>
  <si>
    <t xml:space="preserve">Book's path: quarters V rose</t>
  </si>
  <si>
    <t xml:space="preserve">none: V certifies the loop</t>
  </si>
  <si>
    <t xml:space="preserve">Lyapunov, three-reading company: p11</t>
  </si>
  <si>
    <t xml:space="preserve">Remark 7.1, Q = I</t>
  </si>
  <si>
    <t xml:space="preserve">Lyapunov, three-reading company: p12</t>
  </si>
  <si>
    <t xml:space="preserve">Lyapunov, three-reading company: p22</t>
  </si>
  <si>
    <t xml:space="preserve">Lyapunov, three-reading company: p33</t>
  </si>
  <si>
    <t xml:space="preserve">Lyapunov, three-reading company: residual</t>
  </si>
  <si>
    <t xml:space="preserve">P solves A' P A - P = -I</t>
  </si>
  <si>
    <t xml:space="preserve">Lyapunov, three-reading company: P positive definite</t>
  </si>
  <si>
    <t xml:space="preserve">Leading minors positive</t>
  </si>
  <si>
    <t xml:space="preserve">Three-reading company: years the plain sum rose</t>
  </si>
  <si>
    <t xml:space="preserve">none: here even the plain sum works</t>
  </si>
  <si>
    <t xml:space="preserve">Three-reading company: years V rose</t>
  </si>
  <si>
    <t xml:space="preserve">none</t>
  </si>
  <si>
    <t xml:space="preserve">Workbook formula value</t>
  </si>
  <si>
    <t xml:space="preserve">|diff|</t>
  </si>
  <si>
    <t xml:space="preserve">Tolerance</t>
  </si>
  <si>
    <t xml:space="preserve">Status</t>
  </si>
  <si>
    <t xml:space="preserve">All checkpoints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</si>
</sst>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0"/>
    <numFmt numFmtId="166" formatCode="0"/>
    <numFmt numFmtId="167" formatCode="0.0000"/>
    <numFmt numFmtId="168" formatCode="0.0"/>
    <numFmt numFmtId="169" formatCode="0.000"/>
    <numFmt numFmtId="170" formatCode="0.0%"/>
    <numFmt numFmtId="171" formatCode="0.000000"/>
    <numFmt numFmtId="172" formatCode="0.0E+00"/>
    <numFmt numFmtId="173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3D6"/>
        <bgColor rgb="FFE8F0EC"/>
      </patternFill>
    </fill>
    <fill>
      <patternFill patternType="solid">
        <fgColor rgb="FFE8F0EC"/>
        <bgColor rgb="FFFFF3D6"/>
      </patternFill>
    </fill>
    <fill>
      <patternFill patternType="solid">
        <fgColor rgb="FF0B3D2E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4BEC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BECE"/>
      <rgbColor rgb="FF808080"/>
      <rgbColor rgb="FF9999FF"/>
      <rgbColor rgb="FF993366"/>
      <rgbColor rgb="FFFFF3D6"/>
      <rgbColor rgb="FFE8F0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B3D2E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0"/>
  </cols>
  <sheetData>
    <row r="1" customFormat="false" ht="1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23.85" hidden="false" customHeight="false" outlineLevel="0" collapsed="false">
      <c r="B4" s="3" t="s">
        <v>2</v>
      </c>
    </row>
    <row r="5" customFormat="false" ht="23.85" hidden="false" customHeight="false" outlineLevel="0" collapsed="false">
      <c r="B5" s="3" t="s">
        <v>3</v>
      </c>
    </row>
    <row r="6" customFormat="false" ht="23.85" hidden="false" customHeight="false" outlineLevel="0" collapsed="false">
      <c r="B6" s="3" t="s">
        <v>4</v>
      </c>
    </row>
    <row r="7" customFormat="false" ht="23.85" hidden="false" customHeight="false" outlineLevel="0" collapsed="false">
      <c r="B7" s="3" t="s">
        <v>5</v>
      </c>
    </row>
    <row r="8" customFormat="false" ht="15" hidden="false" customHeight="false" outlineLevel="0" collapsed="false">
      <c r="B8" s="3" t="s">
        <v>6</v>
      </c>
    </row>
    <row r="9" customFormat="false" ht="23.85" hidden="false" customHeight="false" outlineLevel="0" collapsed="false">
      <c r="B9" s="3" t="s">
        <v>7</v>
      </c>
    </row>
    <row r="10" customFormat="false" ht="23.85" hidden="false" customHeight="false" outlineLevel="0" collapsed="false">
      <c r="B10" s="3" t="s">
        <v>8</v>
      </c>
    </row>
    <row r="11" customFormat="false" ht="23.85" hidden="false" customHeight="false" outlineLevel="0" collapsed="false">
      <c r="B11" s="3" t="s">
        <v>9</v>
      </c>
    </row>
    <row r="12" customFormat="false" ht="15" hidden="false" customHeight="false" outlineLevel="0" collapsed="false">
      <c r="B12" s="3" t="s">
        <v>10</v>
      </c>
    </row>
    <row r="13" customFormat="false" ht="23.85" hidden="false" customHeight="false" outlineLevel="0" collapsed="false">
      <c r="B13" s="3" t="s">
        <v>11</v>
      </c>
    </row>
    <row r="14" customFormat="false" ht="23.85" hidden="false" customHeight="false" outlineLevel="0" collapsed="false">
      <c r="B14" s="3" t="s">
        <v>12</v>
      </c>
    </row>
    <row r="16" customFormat="false" ht="15" hidden="false" customHeight="false" outlineLevel="0" collapsed="false">
      <c r="B16" s="4" t="s">
        <v>13</v>
      </c>
    </row>
    <row r="17" customFormat="false" ht="15" hidden="false" customHeight="false" outlineLevel="0" collapsed="false">
      <c r="B17" s="5" t="s">
        <v>14</v>
      </c>
    </row>
    <row r="18" customFormat="false" ht="15" hidden="false" customHeight="false" outlineLevel="0" collapsed="false">
      <c r="B18" s="2" t="s">
        <v>15</v>
      </c>
    </row>
    <row r="19" customFormat="false" ht="15" hidden="false" customHeight="false" outlineLevel="0" collapsed="false">
      <c r="B19" s="6" t="s">
        <v>16</v>
      </c>
    </row>
    <row r="20" customFormat="false" ht="15" hidden="false" customHeight="false" outlineLevel="0" collapsed="false">
      <c r="B20" s="7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5" min="2" style="0" width="13"/>
  </cols>
  <sheetData>
    <row r="1" customFormat="false" ht="15" hidden="false" customHeight="false" outlineLevel="0" collapsed="false">
      <c r="A1" s="1" t="s">
        <v>18</v>
      </c>
    </row>
    <row r="3" customFormat="false" ht="15" hidden="false" customHeight="false" outlineLevel="0" collapsed="false">
      <c r="A3" s="8" t="s">
        <v>19</v>
      </c>
      <c r="B3" s="8" t="s">
        <v>20</v>
      </c>
      <c r="C3" s="8" t="s">
        <v>21</v>
      </c>
    </row>
    <row r="4" customFormat="false" ht="15" hidden="false" customHeight="false" outlineLevel="0" collapsed="false">
      <c r="A4" s="2" t="s">
        <v>22</v>
      </c>
      <c r="B4" s="9" t="n">
        <v>0.9</v>
      </c>
      <c r="C4" s="10" t="s">
        <v>23</v>
      </c>
    </row>
    <row r="5" customFormat="false" ht="15" hidden="false" customHeight="false" outlineLevel="0" collapsed="false">
      <c r="A5" s="2" t="s">
        <v>24</v>
      </c>
      <c r="B5" s="9" t="n">
        <v>0.6</v>
      </c>
      <c r="C5" s="10" t="s">
        <v>25</v>
      </c>
    </row>
    <row r="6" customFormat="false" ht="15" hidden="false" customHeight="false" outlineLevel="0" collapsed="false">
      <c r="A6" s="2" t="s">
        <v>26</v>
      </c>
      <c r="B6" s="11" t="n">
        <v>-100</v>
      </c>
      <c r="C6" s="10" t="s">
        <v>27</v>
      </c>
    </row>
    <row r="7" customFormat="false" ht="15" hidden="false" customHeight="false" outlineLevel="0" collapsed="false">
      <c r="A7" s="2" t="s">
        <v>28</v>
      </c>
      <c r="B7" s="9" t="n">
        <v>0.5</v>
      </c>
      <c r="C7" s="10" t="s">
        <v>29</v>
      </c>
    </row>
    <row r="8" customFormat="false" ht="15" hidden="false" customHeight="false" outlineLevel="0" collapsed="false">
      <c r="A8" s="2" t="s">
        <v>30</v>
      </c>
      <c r="B8" s="9" t="n">
        <v>1</v>
      </c>
      <c r="C8" s="10" t="s">
        <v>31</v>
      </c>
    </row>
    <row r="9" customFormat="false" ht="15" hidden="false" customHeight="false" outlineLevel="0" collapsed="false">
      <c r="A9" s="2" t="s">
        <v>32</v>
      </c>
      <c r="B9" s="12" t="n">
        <f aca="false">Carry_a/Hire_b</f>
        <v>1.5</v>
      </c>
      <c r="C9" s="10" t="s">
        <v>33</v>
      </c>
    </row>
    <row r="10" customFormat="false" ht="15" hidden="false" customHeight="false" outlineLevel="0" collapsed="false">
      <c r="A10" s="2" t="s">
        <v>34</v>
      </c>
      <c r="B10" s="9" t="n">
        <v>2.5</v>
      </c>
      <c r="C10" s="10" t="s">
        <v>35</v>
      </c>
    </row>
    <row r="11" customFormat="false" ht="15" hidden="false" customHeight="false" outlineLevel="0" collapsed="false">
      <c r="A11" s="2" t="s">
        <v>36</v>
      </c>
      <c r="B11" s="9" t="n">
        <v>3.5</v>
      </c>
      <c r="C11" s="10" t="s">
        <v>29</v>
      </c>
    </row>
    <row r="12" customFormat="false" ht="15" hidden="false" customHeight="false" outlineLevel="0" collapsed="false">
      <c r="A12" s="2" t="s">
        <v>37</v>
      </c>
      <c r="B12" s="9" t="n">
        <v>1.8</v>
      </c>
      <c r="C12" s="10" t="s">
        <v>38</v>
      </c>
    </row>
    <row r="13" customFormat="false" ht="15" hidden="false" customHeight="false" outlineLevel="0" collapsed="false">
      <c r="A13" s="2" t="s">
        <v>39</v>
      </c>
      <c r="B13" s="13" t="n">
        <f aca="false">Carry_a^2/(4*Hire_b)</f>
        <v>0.3375</v>
      </c>
      <c r="C13" s="10" t="s">
        <v>40</v>
      </c>
    </row>
    <row r="14" customFormat="false" ht="15" hidden="false" customHeight="false" outlineLevel="0" collapsed="false">
      <c r="A14" s="2" t="s">
        <v>41</v>
      </c>
      <c r="B14" s="11" t="n">
        <v>10</v>
      </c>
      <c r="C14" s="10" t="s">
        <v>42</v>
      </c>
    </row>
    <row r="15" customFormat="false" ht="15" hidden="false" customHeight="false" outlineLevel="0" collapsed="false">
      <c r="A15" s="2" t="s">
        <v>43</v>
      </c>
      <c r="B15" s="11" t="n">
        <v>5</v>
      </c>
      <c r="C15" s="10" t="s">
        <v>44</v>
      </c>
    </row>
    <row r="16" customFormat="false" ht="15" hidden="false" customHeight="false" outlineLevel="0" collapsed="false">
      <c r="A16" s="2" t="s">
        <v>45</v>
      </c>
      <c r="B16" s="9" t="n">
        <v>3.5</v>
      </c>
      <c r="C16" s="10" t="s">
        <v>46</v>
      </c>
    </row>
    <row r="17" customFormat="false" ht="15" hidden="false" customHeight="false" outlineLevel="0" collapsed="false">
      <c r="A17" s="2" t="s">
        <v>47</v>
      </c>
      <c r="B17" s="12" t="n">
        <f aca="false">Gain_cautious</f>
        <v>0.5</v>
      </c>
      <c r="C17" s="10" t="s">
        <v>48</v>
      </c>
    </row>
    <row r="19" customFormat="false" ht="15" hidden="false" customHeight="false" outlineLevel="0" collapsed="false">
      <c r="A19" s="8" t="s">
        <v>49</v>
      </c>
      <c r="B19" s="8" t="s">
        <v>50</v>
      </c>
      <c r="C19" s="8" t="s">
        <v>51</v>
      </c>
      <c r="D19" s="8" t="s">
        <v>52</v>
      </c>
    </row>
    <row r="20" customFormat="false" ht="15" hidden="false" customHeight="false" outlineLevel="0" collapsed="false">
      <c r="A20" s="2" t="s">
        <v>53</v>
      </c>
      <c r="B20" s="9" t="n">
        <v>0.9</v>
      </c>
      <c r="C20" s="9" t="n">
        <v>0.05</v>
      </c>
      <c r="D20" s="9" t="n">
        <v>0</v>
      </c>
    </row>
    <row r="21" customFormat="false" ht="15" hidden="false" customHeight="false" outlineLevel="0" collapsed="false">
      <c r="A21" s="2" t="s">
        <v>54</v>
      </c>
      <c r="B21" s="9" t="n">
        <v>0.1</v>
      </c>
      <c r="C21" s="9" t="n">
        <v>0.85</v>
      </c>
      <c r="D21" s="9" t="n">
        <v>0</v>
      </c>
    </row>
    <row r="22" customFormat="false" ht="15" hidden="false" customHeight="false" outlineLevel="0" collapsed="false">
      <c r="A22" s="2" t="s">
        <v>55</v>
      </c>
      <c r="B22" s="9" t="n">
        <v>0.05</v>
      </c>
      <c r="C22" s="9" t="n">
        <v>0.1</v>
      </c>
      <c r="D22" s="9" t="n">
        <v>0.8</v>
      </c>
    </row>
    <row r="23" customFormat="false" ht="15" hidden="false" customHeight="false" outlineLevel="0" collapsed="false">
      <c r="A23" s="2" t="s">
        <v>56</v>
      </c>
      <c r="B23" s="9" t="n">
        <v>0.6</v>
      </c>
      <c r="C23" s="9" t="n">
        <v>0.3</v>
      </c>
      <c r="D23" s="9" t="n">
        <v>0</v>
      </c>
    </row>
    <row r="24" customFormat="false" ht="15" hidden="false" customHeight="false" outlineLevel="0" collapsed="false">
      <c r="A24" s="2" t="s">
        <v>57</v>
      </c>
      <c r="B24" s="14" t="n">
        <v>50</v>
      </c>
      <c r="C24" s="14" t="n">
        <v>40</v>
      </c>
      <c r="D24" s="14" t="n">
        <v>60</v>
      </c>
    </row>
    <row r="25" customFormat="false" ht="15" hidden="false" customHeight="false" outlineLevel="0" collapsed="false">
      <c r="A25" s="2" t="s">
        <v>58</v>
      </c>
      <c r="B25" s="14" t="n">
        <v>8</v>
      </c>
    </row>
    <row r="26" customFormat="false" ht="15" hidden="false" customHeight="false" outlineLevel="0" collapsed="false">
      <c r="A26" s="2" t="s">
        <v>59</v>
      </c>
      <c r="B26" s="14" t="n">
        <v>10</v>
      </c>
    </row>
    <row r="28" customFormat="false" ht="15" hidden="false" customHeight="false" outlineLevel="0" collapsed="false">
      <c r="A28" s="8" t="s">
        <v>60</v>
      </c>
      <c r="B28" s="8" t="s">
        <v>61</v>
      </c>
      <c r="C28" s="8" t="s">
        <v>62</v>
      </c>
      <c r="D28" s="8" t="s">
        <v>50</v>
      </c>
      <c r="E28" s="8" t="s">
        <v>51</v>
      </c>
    </row>
    <row r="29" customFormat="false" ht="15" hidden="false" customHeight="false" outlineLevel="0" collapsed="false">
      <c r="A29" s="2" t="s">
        <v>63</v>
      </c>
      <c r="B29" s="9" t="n">
        <v>0.95</v>
      </c>
      <c r="C29" s="9" t="n">
        <v>0</v>
      </c>
      <c r="D29" s="9" t="n">
        <v>0.04</v>
      </c>
      <c r="E29" s="9" t="n">
        <v>0</v>
      </c>
    </row>
    <row r="30" customFormat="false" ht="15" hidden="false" customHeight="false" outlineLevel="0" collapsed="false">
      <c r="A30" s="2" t="s">
        <v>64</v>
      </c>
      <c r="B30" s="9" t="n">
        <v>0</v>
      </c>
      <c r="C30" s="9" t="n">
        <v>0.9</v>
      </c>
      <c r="D30" s="9" t="n">
        <v>0</v>
      </c>
      <c r="E30" s="9" t="n">
        <v>0</v>
      </c>
    </row>
    <row r="31" customFormat="false" ht="15" hidden="false" customHeight="false" outlineLevel="0" collapsed="false">
      <c r="A31" s="2" t="s">
        <v>53</v>
      </c>
      <c r="B31" s="9" t="n">
        <v>0</v>
      </c>
      <c r="C31" s="9" t="n">
        <v>0</v>
      </c>
      <c r="D31" s="9" t="n">
        <v>0.9</v>
      </c>
      <c r="E31" s="9" t="n">
        <v>0.05</v>
      </c>
    </row>
    <row r="32" customFormat="false" ht="15" hidden="false" customHeight="false" outlineLevel="0" collapsed="false">
      <c r="A32" s="2" t="s">
        <v>54</v>
      </c>
      <c r="B32" s="9" t="n">
        <v>0</v>
      </c>
      <c r="C32" s="9" t="n">
        <v>0</v>
      </c>
      <c r="D32" s="9" t="n">
        <v>0</v>
      </c>
      <c r="E32" s="9" t="n">
        <v>0.92</v>
      </c>
    </row>
    <row r="33" customFormat="false" ht="15" hidden="false" customHeight="false" outlineLevel="0" collapsed="false">
      <c r="A33" s="2" t="s">
        <v>65</v>
      </c>
      <c r="B33" s="9" t="n">
        <v>0</v>
      </c>
      <c r="C33" s="10" t="s">
        <v>66</v>
      </c>
    </row>
    <row r="34" customFormat="false" ht="15" hidden="false" customHeight="false" outlineLevel="0" collapsed="false">
      <c r="A34" s="2" t="s">
        <v>67</v>
      </c>
      <c r="B34" s="14" t="n">
        <v>1</v>
      </c>
    </row>
    <row r="36" customFormat="false" ht="15" hidden="false" customHeight="false" outlineLevel="0" collapsed="false">
      <c r="A36" s="8" t="s">
        <v>68</v>
      </c>
      <c r="B36" s="8" t="s">
        <v>20</v>
      </c>
      <c r="C36" s="8" t="s">
        <v>21</v>
      </c>
    </row>
    <row r="37" customFormat="false" ht="15" hidden="false" customHeight="false" outlineLevel="0" collapsed="false">
      <c r="A37" s="2" t="s">
        <v>69</v>
      </c>
      <c r="B37" s="9" t="n">
        <v>0.9</v>
      </c>
      <c r="C37" s="10" t="s">
        <v>70</v>
      </c>
    </row>
    <row r="38" customFormat="false" ht="15" hidden="false" customHeight="false" outlineLevel="0" collapsed="false">
      <c r="A38" s="2" t="s">
        <v>71</v>
      </c>
      <c r="B38" s="9" t="n">
        <v>100</v>
      </c>
      <c r="C38" s="10" t="s">
        <v>72</v>
      </c>
    </row>
    <row r="39" customFormat="false" ht="15" hidden="false" customHeight="false" outlineLevel="0" collapsed="false">
      <c r="A39" s="2" t="s">
        <v>73</v>
      </c>
      <c r="B39" s="9" t="n">
        <v>2</v>
      </c>
      <c r="C39" s="10" t="s">
        <v>74</v>
      </c>
    </row>
    <row r="41" customFormat="false" ht="15" hidden="false" customHeight="false" outlineLevel="0" collapsed="false">
      <c r="A41" s="8" t="s">
        <v>75</v>
      </c>
      <c r="B41" s="8" t="s">
        <v>20</v>
      </c>
      <c r="C41" s="8" t="s">
        <v>21</v>
      </c>
    </row>
    <row r="42" customFormat="false" ht="15" hidden="false" customHeight="false" outlineLevel="0" collapsed="false">
      <c r="A42" s="2" t="s">
        <v>76</v>
      </c>
      <c r="B42" s="9" t="n">
        <v>5</v>
      </c>
      <c r="C42" s="10" t="s">
        <v>77</v>
      </c>
    </row>
    <row r="43" customFormat="false" ht="15" hidden="false" customHeight="false" outlineLevel="0" collapsed="false">
      <c r="A43" s="2" t="s">
        <v>78</v>
      </c>
      <c r="B43" s="9" t="n">
        <v>15</v>
      </c>
      <c r="C43" s="10" t="s">
        <v>79</v>
      </c>
    </row>
    <row r="44" customFormat="false" ht="15" hidden="false" customHeight="false" outlineLevel="0" collapsed="false">
      <c r="A44" s="2" t="s">
        <v>80</v>
      </c>
      <c r="B44" s="9" t="n">
        <v>0.5</v>
      </c>
      <c r="C44" s="10" t="s">
        <v>79</v>
      </c>
    </row>
    <row r="46" customFormat="false" ht="15" hidden="false" customHeight="false" outlineLevel="0" collapsed="false">
      <c r="A46" s="10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9" topLeftCell="A3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4" min="2" style="0" width="15"/>
    <col collapsed="false" customWidth="true" hidden="false" outlineLevel="0" max="5" min="5" style="0" width="16"/>
    <col collapsed="false" customWidth="true" hidden="false" outlineLevel="0" max="6" min="6" style="0" width="13"/>
    <col collapsed="false" customWidth="true" hidden="false" outlineLevel="0" max="7" min="7" style="0" width="3"/>
    <col collapsed="false" customWidth="true" hidden="false" outlineLevel="0" max="8" min="8" style="0" width="38"/>
    <col collapsed="false" customWidth="true" hidden="false" outlineLevel="0" max="9" min="9" style="0" width="10"/>
    <col collapsed="false" customWidth="true" hidden="false" outlineLevel="0" max="10" min="10" style="0" width="18"/>
    <col collapsed="false" customWidth="true" hidden="false" outlineLevel="0" max="11" min="11" style="0" width="26"/>
  </cols>
  <sheetData>
    <row r="1" customFormat="false" ht="15" hidden="false" customHeight="false" outlineLevel="0" collapsed="false">
      <c r="A1" s="1" t="s">
        <v>82</v>
      </c>
    </row>
    <row r="3" customFormat="false" ht="35.05" hidden="false" customHeight="false" outlineLevel="0" collapsed="false">
      <c r="A3" s="8" t="s">
        <v>83</v>
      </c>
      <c r="B3" s="8" t="s">
        <v>20</v>
      </c>
      <c r="C3" s="8" t="s">
        <v>84</v>
      </c>
      <c r="H3" s="8" t="s">
        <v>85</v>
      </c>
      <c r="I3" s="8" t="s">
        <v>86</v>
      </c>
      <c r="J3" s="8" t="s">
        <v>87</v>
      </c>
      <c r="K3" s="8" t="s">
        <v>88</v>
      </c>
    </row>
    <row r="4" customFormat="false" ht="15" hidden="false" customHeight="false" outlineLevel="0" collapsed="false">
      <c r="A4" s="2" t="s">
        <v>89</v>
      </c>
      <c r="B4" s="12" t="n">
        <f aca="false">LN(Tol_tau/Err_0)/Sens_L</f>
        <v>2.19722457733622</v>
      </c>
      <c r="C4" s="10" t="s">
        <v>90</v>
      </c>
      <c r="H4" s="2" t="s">
        <v>91</v>
      </c>
      <c r="I4" s="12" t="n">
        <f aca="false">Gain_cautious</f>
        <v>0.5</v>
      </c>
      <c r="J4" s="12" t="n">
        <f aca="false">Carry_a-Hire_b*I4</f>
        <v>0.6</v>
      </c>
      <c r="K4" s="15" t="n">
        <f aca="false">IF(J4&gt;0.000000000001,LN(J4),"none: no continuous law")</f>
        <v>-0.510825623765991</v>
      </c>
    </row>
    <row r="5" customFormat="false" ht="15" hidden="false" customHeight="false" outlineLevel="0" collapsed="false">
      <c r="A5" s="2" t="s">
        <v>92</v>
      </c>
      <c r="B5" s="12" t="n">
        <f aca="false">LN(2)/Sens_L</f>
        <v>1.38629436111989</v>
      </c>
      <c r="C5" s="10" t="s">
        <v>93</v>
      </c>
      <c r="H5" s="2" t="s">
        <v>94</v>
      </c>
      <c r="I5" s="12" t="n">
        <f aca="false">Gain_moderate</f>
        <v>1</v>
      </c>
      <c r="J5" s="12" t="n">
        <f aca="false">Carry_a-Hire_b*I5</f>
        <v>0.3</v>
      </c>
      <c r="K5" s="15" t="n">
        <f aca="false">IF(J5&gt;0.000000000001,LN(J5),"none: no continuous law")</f>
        <v>-1.20397280432594</v>
      </c>
    </row>
    <row r="6" customFormat="false" ht="15" hidden="false" customHeight="false" outlineLevel="0" collapsed="false">
      <c r="A6" s="2" t="s">
        <v>95</v>
      </c>
      <c r="B6" s="12" t="n">
        <f aca="false">B4/2</f>
        <v>1.09861228866811</v>
      </c>
      <c r="C6" s="10" t="s">
        <v>96</v>
      </c>
      <c r="H6" s="2" t="s">
        <v>97</v>
      </c>
      <c r="I6" s="12" t="n">
        <f aca="false">Gain_deadbeat</f>
        <v>1.5</v>
      </c>
      <c r="J6" s="12" t="n">
        <f aca="false">Carry_a-Hire_b*I6</f>
        <v>0</v>
      </c>
      <c r="K6" s="15" t="str">
        <f aca="false">IF(J6&gt;0.000000000001,LN(J6),"none: no continuous law")</f>
        <v>none: no continuous law</v>
      </c>
    </row>
    <row r="7" customFormat="false" ht="15" hidden="false" customHeight="false" outlineLevel="0" collapsed="false">
      <c r="H7" s="2" t="s">
        <v>98</v>
      </c>
      <c r="I7" s="12" t="n">
        <f aca="false">Gain_aggressive</f>
        <v>2.5</v>
      </c>
      <c r="J7" s="12" t="n">
        <f aca="false">Carry_a-Hire_b*I7</f>
        <v>-0.6</v>
      </c>
      <c r="K7" s="15" t="str">
        <f aca="false">IF(J7&gt;0.000000000001,LN(J7),"none: no continuous law")</f>
        <v>none: no continuous law</v>
      </c>
    </row>
    <row r="8" customFormat="false" ht="15" hidden="false" customHeight="false" outlineLevel="0" collapsed="false">
      <c r="A8" s="8" t="s">
        <v>99</v>
      </c>
      <c r="B8" s="8" t="s">
        <v>20</v>
      </c>
      <c r="C8" s="8" t="s">
        <v>84</v>
      </c>
      <c r="H8" s="2" t="s">
        <v>100</v>
      </c>
      <c r="I8" s="12" t="n">
        <f aca="false">Gain_over</f>
        <v>3.5</v>
      </c>
      <c r="J8" s="12" t="n">
        <f aca="false">Carry_a-Hire_b*I8</f>
        <v>-1.2</v>
      </c>
      <c r="K8" s="15" t="str">
        <f aca="false">IF(J8&gt;0.000000000001,LN(J8),"none: no continuous law")</f>
        <v>none: no continuous law</v>
      </c>
    </row>
    <row r="9" customFormat="false" ht="15" hidden="false" customHeight="false" outlineLevel="0" collapsed="false">
      <c r="A9" s="2" t="s">
        <v>101</v>
      </c>
      <c r="B9" s="12" t="n">
        <f aca="false">LN(2)/Rate_r</f>
        <v>0.770163533955495</v>
      </c>
      <c r="C9" s="10" t="s">
        <v>102</v>
      </c>
    </row>
    <row r="10" customFormat="false" ht="15" hidden="false" customHeight="false" outlineLevel="0" collapsed="false">
      <c r="A10" s="2" t="s">
        <v>103</v>
      </c>
      <c r="B10" s="12" t="n">
        <f aca="false">LN((Kappa-Users_x0)/Users_x0)/Rate_r</f>
        <v>4.32424477567847</v>
      </c>
      <c r="C10" s="10" t="s">
        <v>104</v>
      </c>
      <c r="H10" s="10" t="s">
        <v>105</v>
      </c>
    </row>
    <row r="11" customFormat="false" ht="15" hidden="false" customHeight="false" outlineLevel="0" collapsed="false">
      <c r="A11" s="2" t="s">
        <v>106</v>
      </c>
      <c r="B11" s="16" t="n">
        <f aca="false">EXP(Rate_r/4)-1</f>
        <v>0.252322716191864</v>
      </c>
      <c r="C11" s="10" t="s">
        <v>107</v>
      </c>
    </row>
    <row r="12" customFormat="false" ht="15" hidden="false" customHeight="false" outlineLevel="0" collapsed="false">
      <c r="A12" s="2" t="s">
        <v>108</v>
      </c>
      <c r="B12" s="16" t="n">
        <f aca="false">Rate_r/4</f>
        <v>0.225</v>
      </c>
      <c r="C12" s="10" t="s">
        <v>109</v>
      </c>
    </row>
    <row r="13" customFormat="false" ht="15" hidden="false" customHeight="false" outlineLevel="0" collapsed="false">
      <c r="A13" s="2" t="s">
        <v>110</v>
      </c>
      <c r="B13" s="12" t="n">
        <f aca="false">Kappa*Users_x0/(Users_x0+(Kappa-Users_x0)*EXP(-Rate_r*5))</f>
        <v>64.7525455736288</v>
      </c>
      <c r="C13" s="10"/>
    </row>
    <row r="14" customFormat="false" ht="15" hidden="false" customHeight="false" outlineLevel="0" collapsed="false">
      <c r="A14" s="2" t="s">
        <v>111</v>
      </c>
      <c r="B14" s="12" t="n">
        <f aca="false">Kappa*Users_x0/(Users_x0+(Kappa-Users_x0)*EXP(-Rate_r*6))</f>
        <v>81.8791282071504</v>
      </c>
      <c r="C14" s="10" t="s">
        <v>112</v>
      </c>
    </row>
    <row r="15" customFormat="false" ht="15" hidden="false" customHeight="false" outlineLevel="0" collapsed="false">
      <c r="A15" s="2" t="s">
        <v>113</v>
      </c>
      <c r="B15" s="12" t="n">
        <f aca="false">Kappa*Users_x0/(Users_x0+(Kappa-Users_x0)*EXP(-Rate_r*10))</f>
        <v>99.3989266985556</v>
      </c>
      <c r="C15" s="10" t="s">
        <v>114</v>
      </c>
    </row>
    <row r="16" customFormat="false" ht="15" hidden="false" customHeight="false" outlineLevel="0" collapsed="false">
      <c r="A16" s="2" t="s">
        <v>115</v>
      </c>
      <c r="B16" s="12" t="n">
        <f aca="false">B50</f>
        <v>58.1286024143917</v>
      </c>
      <c r="C16" s="10" t="s">
        <v>116</v>
      </c>
    </row>
    <row r="17" customFormat="false" ht="15" hidden="false" customHeight="false" outlineLevel="0" collapsed="false">
      <c r="A17" s="2" t="s">
        <v>117</v>
      </c>
      <c r="B17" s="12" t="n">
        <f aca="false">C90</f>
        <v>62.6099575828986</v>
      </c>
      <c r="C17" s="10"/>
    </row>
    <row r="18" customFormat="false" ht="15" hidden="false" customHeight="false" outlineLevel="0" collapsed="false">
      <c r="A18" s="2" t="s">
        <v>118</v>
      </c>
      <c r="B18" s="12" t="n">
        <f aca="false">D290</f>
        <v>64.2653714220437</v>
      </c>
      <c r="C18" s="10"/>
    </row>
    <row r="19" customFormat="false" ht="15" hidden="false" customHeight="false" outlineLevel="0" collapsed="false">
      <c r="A19" s="2" t="s">
        <v>119</v>
      </c>
      <c r="B19" s="12" t="n">
        <f aca="false">B13-B16</f>
        <v>6.62394315923711</v>
      </c>
      <c r="C19" s="10" t="s">
        <v>120</v>
      </c>
    </row>
    <row r="20" customFormat="false" ht="15" hidden="false" customHeight="false" outlineLevel="0" collapsed="false">
      <c r="A20" s="2" t="s">
        <v>121</v>
      </c>
      <c r="B20" s="12" t="n">
        <f aca="false">B13-B17</f>
        <v>2.14258799073026</v>
      </c>
      <c r="C20" s="10" t="s">
        <v>122</v>
      </c>
    </row>
    <row r="21" customFormat="false" ht="15" hidden="false" customHeight="false" outlineLevel="0" collapsed="false">
      <c r="A21" s="2" t="s">
        <v>123</v>
      </c>
      <c r="B21" s="12" t="n">
        <f aca="false">B13-B18</f>
        <v>0.487174151585151</v>
      </c>
      <c r="C21" s="10" t="s">
        <v>124</v>
      </c>
    </row>
    <row r="22" customFormat="false" ht="15" hidden="false" customHeight="false" outlineLevel="0" collapsed="false">
      <c r="A22" s="2" t="s">
        <v>125</v>
      </c>
      <c r="B22" s="17" t="n">
        <f aca="false">Users_x0*EXP(Rate_r*B10)</f>
        <v>98</v>
      </c>
      <c r="C22" s="10" t="s">
        <v>126</v>
      </c>
    </row>
    <row r="23" customFormat="false" ht="15" hidden="false" customHeight="false" outlineLevel="0" collapsed="false">
      <c r="A23" s="2" t="s">
        <v>127</v>
      </c>
      <c r="B23" s="17" t="n">
        <f aca="false">Users_x0*EXP(Rate_r*5)</f>
        <v>180.034262601044</v>
      </c>
      <c r="C23" s="10" t="s">
        <v>128</v>
      </c>
    </row>
    <row r="24" customFormat="false" ht="15" hidden="false" customHeight="false" outlineLevel="0" collapsed="false">
      <c r="A24" s="2" t="s">
        <v>129</v>
      </c>
      <c r="B24" s="17" t="n">
        <f aca="false">Users_x0*EXP(Rate_r*6)</f>
        <v>442.812832408374</v>
      </c>
      <c r="C24" s="10" t="s">
        <v>130</v>
      </c>
    </row>
    <row r="25" customFormat="false" ht="15" hidden="false" customHeight="false" outlineLevel="0" collapsed="false">
      <c r="A25" s="2" t="s">
        <v>131</v>
      </c>
      <c r="B25" s="17" t="n">
        <f aca="false">B24/Kappa</f>
        <v>4.42812832408374</v>
      </c>
      <c r="C25" s="10"/>
    </row>
    <row r="27" customFormat="false" ht="15" hidden="false" customHeight="false" outlineLevel="0" collapsed="false">
      <c r="A27" s="10" t="s">
        <v>132</v>
      </c>
    </row>
    <row r="28" customFormat="false" ht="23.85" hidden="false" customHeight="false" outlineLevel="0" collapsed="false">
      <c r="A28" s="8" t="s">
        <v>133</v>
      </c>
      <c r="B28" s="8" t="s">
        <v>134</v>
      </c>
      <c r="C28" s="8" t="s">
        <v>135</v>
      </c>
      <c r="D28" s="8" t="s">
        <v>136</v>
      </c>
      <c r="E28" s="8" t="s">
        <v>137</v>
      </c>
      <c r="F28" s="8" t="s">
        <v>138</v>
      </c>
    </row>
    <row r="29" customFormat="false" ht="15" hidden="false" customHeight="false" outlineLevel="0" collapsed="false">
      <c r="A29" s="2" t="s">
        <v>139</v>
      </c>
      <c r="B29" s="11" t="n">
        <v>4</v>
      </c>
      <c r="C29" s="11" t="n">
        <v>12</v>
      </c>
      <c r="D29" s="11" t="n">
        <v>52</v>
      </c>
    </row>
    <row r="30" customFormat="false" ht="15" hidden="false" customHeight="false" outlineLevel="0" collapsed="false">
      <c r="A30" s="18" t="n">
        <v>0</v>
      </c>
      <c r="B30" s="12" t="n">
        <f aca="false">Users_x0</f>
        <v>2</v>
      </c>
      <c r="C30" s="12" t="n">
        <f aca="false">Users_x0</f>
        <v>2</v>
      </c>
      <c r="D30" s="12" t="n">
        <f aca="false">Users_x0</f>
        <v>2</v>
      </c>
      <c r="E30" s="15" t="n">
        <f aca="false">A30/$D$29</f>
        <v>0</v>
      </c>
      <c r="F30" s="12" t="n">
        <f aca="false">Kappa*Users_x0/(Users_x0+(Kappa-Users_x0)*EXP(-Rate_r*E30))</f>
        <v>2</v>
      </c>
    </row>
    <row r="31" customFormat="false" ht="15" hidden="false" customHeight="false" outlineLevel="0" collapsed="false">
      <c r="A31" s="18" t="n">
        <v>1</v>
      </c>
      <c r="B31" s="12" t="n">
        <f aca="false">B30+(1/B$29)*Rate_r*B30*(1-B30/Kappa)</f>
        <v>2.441</v>
      </c>
      <c r="C31" s="12" t="n">
        <f aca="false">C30+(1/C$29)*Rate_r*C30*(1-C30/Kappa)</f>
        <v>2.147</v>
      </c>
      <c r="D31" s="12" t="n">
        <f aca="false">D30+(1/D$29)*Rate_r*D30*(1-D30/Kappa)</f>
        <v>2.03392307692308</v>
      </c>
      <c r="E31" s="15" t="n">
        <f aca="false">A31/$D$29</f>
        <v>0.0192307692307692</v>
      </c>
      <c r="F31" s="12" t="n">
        <f aca="false">Kappa*Users_x0/(Users_x0+(Kappa-Users_x0)*EXP(-Rate_r*E31))</f>
        <v>2.0342063992725</v>
      </c>
    </row>
    <row r="32" customFormat="false" ht="15" hidden="false" customHeight="false" outlineLevel="0" collapsed="false">
      <c r="A32" s="18" t="n">
        <v>2</v>
      </c>
      <c r="B32" s="12" t="n">
        <f aca="false">B31+(1/B$29)*Rate_r*B31*(1-B31/Kappa)</f>
        <v>2.97681841775</v>
      </c>
      <c r="C32" s="12" t="n">
        <f aca="false">C31+(1/C$29)*Rate_r*C31*(1-C31/Kappa)</f>
        <v>2.30456779325</v>
      </c>
      <c r="D32" s="12" t="n">
        <f aca="false">D31+(1/D$29)*Rate_r*D31*(1-D31/Kappa)</f>
        <v>2.06840959964395</v>
      </c>
      <c r="E32" s="15" t="n">
        <f aca="false">A32/$D$29</f>
        <v>0.0384615384615385</v>
      </c>
      <c r="F32" s="12" t="n">
        <f aca="false">Kappa*Users_x0/(Users_x0+(Kappa-Users_x0)*EXP(-Rate_r*E32))</f>
        <v>2.06898548602322</v>
      </c>
    </row>
    <row r="33" customFormat="false" ht="15" hidden="false" customHeight="false" outlineLevel="0" collapsed="false">
      <c r="A33" s="18" t="n">
        <v>3</v>
      </c>
      <c r="B33" s="12" t="n">
        <f aca="false">B32+(1/B$29)*Rate_r*B32*(1-B32/Kappa)</f>
        <v>3.62666430398617</v>
      </c>
      <c r="C33" s="12" t="n">
        <f aca="false">C32+(1/C$29)*Rate_r*C32*(1-C32/Kappa)</f>
        <v>2.47342710320849</v>
      </c>
      <c r="D33" s="12" t="n">
        <f aca="false">D32+(1/D$29)*Rate_r*D32*(1-D32/Kappa)</f>
        <v>2.10346851839842</v>
      </c>
      <c r="E33" s="15" t="n">
        <f aca="false">A33/$D$29</f>
        <v>0.0576923076923077</v>
      </c>
      <c r="F33" s="12" t="n">
        <f aca="false">Kappa*Users_x0/(Users_x0+(Kappa-Users_x0)*EXP(-Rate_r*E33))</f>
        <v>2.10434642252337</v>
      </c>
    </row>
    <row r="34" customFormat="false" ht="15" hidden="false" customHeight="false" outlineLevel="0" collapsed="false">
      <c r="A34" s="18" t="n">
        <v>4</v>
      </c>
      <c r="B34" s="12" t="n">
        <f aca="false">B33+(1/B$29)*Rate_r*B33*(1-B33/Kappa)</f>
        <v>4.413070210942</v>
      </c>
      <c r="C34" s="12" t="n">
        <f aca="false">C33+(1/C$29)*Rate_r*C33*(1-C33/Kappa)</f>
        <v>2.65434575472296</v>
      </c>
      <c r="D34" s="12" t="n">
        <f aca="false">D33+(1/D$29)*Rate_r*D33*(1-D33/Kappa)</f>
        <v>2.13910891163472</v>
      </c>
      <c r="E34" s="15" t="n">
        <f aca="false">A34/$D$29</f>
        <v>0.0769230769230769</v>
      </c>
      <c r="F34" s="12" t="n">
        <f aca="false">Kappa*Users_x0/(Users_x0+(Kappa-Users_x0)*EXP(-Rate_r*E34))</f>
        <v>2.14029850295901</v>
      </c>
    </row>
    <row r="35" customFormat="false" ht="15" hidden="false" customHeight="false" outlineLevel="0" collapsed="false">
      <c r="A35" s="18" t="n">
        <v>5</v>
      </c>
      <c r="B35" s="12" t="n">
        <f aca="false">B34+(1/B$29)*Rate_r*B34*(1-B34/Kappa)</f>
        <v>5.36219183385886</v>
      </c>
      <c r="C35" s="12" t="n">
        <f aca="false">C34+(1/C$29)*Rate_r*C34*(1-C34/Kappa)</f>
        <v>2.84813752278797</v>
      </c>
      <c r="D35" s="12" t="n">
        <f aca="false">D34+(1/D$29)*Rate_r*D34*(1-D34/Kappa)</f>
        <v>2.17533998736642</v>
      </c>
      <c r="E35" s="15" t="n">
        <f aca="false">A35/$D$29</f>
        <v>0.0961538461538462</v>
      </c>
      <c r="F35" s="12" t="n">
        <f aca="false">Kappa*Users_x0/(Users_x0+(Kappa-Users_x0)*EXP(-Rate_r*E35))</f>
        <v>2.1768511548181</v>
      </c>
    </row>
    <row r="36" customFormat="false" ht="15" hidden="false" customHeight="false" outlineLevel="0" collapsed="false">
      <c r="A36" s="18" t="n">
        <v>6</v>
      </c>
      <c r="B36" s="12" t="n">
        <f aca="false">B35+(1/B$29)*Rate_r*B35*(1-B35/Kappa)</f>
        <v>6.50399051863513</v>
      </c>
      <c r="C36" s="12" t="n">
        <f aca="false">C35+(1/C$29)*Rate_r*C35*(1-C35/Kappa)</f>
        <v>3.05566392148553</v>
      </c>
      <c r="D36" s="12" t="n">
        <f aca="false">D35+(1/D$29)*Rate_r*D35*(1-D35/Kappa)</f>
        <v>2.21217108452188</v>
      </c>
      <c r="E36" s="15" t="n">
        <f aca="false">A36/$D$29</f>
        <v>0.115384615384615</v>
      </c>
      <c r="F36" s="12" t="n">
        <f aca="false">Kappa*Users_x0/(Users_x0+(Kappa-Users_x0)*EXP(-Rate_r*E36))</f>
        <v>2.21401394027297</v>
      </c>
    </row>
    <row r="37" customFormat="false" ht="15" hidden="false" customHeight="false" outlineLevel="0" collapsed="false">
      <c r="A37" s="18" t="n">
        <v>7</v>
      </c>
      <c r="B37" s="12" t="n">
        <f aca="false">B36+(1/B$29)*Rate_r*B36*(1-B36/Kappa)</f>
        <v>7.87220912682841</v>
      </c>
      <c r="C37" s="12" t="n">
        <f aca="false">C36+(1/C$29)*Rate_r*C36*(1-C36/Kappa)</f>
        <v>3.27783590409614</v>
      </c>
      <c r="D37" s="12" t="n">
        <f aca="false">D36+(1/D$29)*Rate_r*D36*(1-D36/Kappa)</f>
        <v>2.24961167428929</v>
      </c>
      <c r="E37" s="15" t="n">
        <f aca="false">A37/$D$29</f>
        <v>0.134615384615385</v>
      </c>
      <c r="F37" s="12" t="n">
        <f aca="false">Kappa*Users_x0/(Users_x0+(Kappa-Users_x0)*EXP(-Rate_r*E37))</f>
        <v>2.25179655755765</v>
      </c>
    </row>
    <row r="38" customFormat="false" ht="15" hidden="false" customHeight="false" outlineLevel="0" collapsed="false">
      <c r="A38" s="18" t="n">
        <v>8</v>
      </c>
      <c r="B38" s="12" t="n">
        <f aca="false">B37+(1/B$29)*Rate_r*B37*(1-B37/Kappa)</f>
        <v>9.50401990815764</v>
      </c>
      <c r="C38" s="12" t="n">
        <f aca="false">C37+(1/C$29)*Rate_r*C37*(1-C37/Kappa)</f>
        <v>3.51561544074272</v>
      </c>
      <c r="D38" s="12" t="n">
        <f aca="false">D37+(1/D$29)*Rate_r*D37*(1-D37/Kappa)</f>
        <v>2.28767136145649</v>
      </c>
      <c r="E38" s="15" t="n">
        <f aca="false">A38/$D$29</f>
        <v>0.153846153846154</v>
      </c>
      <c r="F38" s="12" t="n">
        <f aca="false">Kappa*Users_x0/(Users_x0+(Kappa-Users_x0)*EXP(-Rate_r*E38))</f>
        <v>2.29020884233874</v>
      </c>
    </row>
    <row r="39" customFormat="false" ht="15" hidden="false" customHeight="false" outlineLevel="0" collapsed="false">
      <c r="A39" s="18" t="n">
        <v>9</v>
      </c>
      <c r="B39" s="12" t="n">
        <f aca="false">B38+(1/B$29)*Rate_r*B38*(1-B38/Kappa)</f>
        <v>11.4391900000601</v>
      </c>
      <c r="C39" s="12" t="n">
        <f aca="false">C38+(1/C$29)*Rate_r*C38*(1-C38/Kappa)</f>
        <v>3.77001693485303</v>
      </c>
      <c r="D39" s="12" t="n">
        <f aca="false">D38+(1/D$29)*Rate_r*D38*(1-D38/Kappa)</f>
        <v>2.32635988574473</v>
      </c>
      <c r="E39" s="15" t="n">
        <f aca="false">A39/$D$29</f>
        <v>0.173076923076923</v>
      </c>
      <c r="F39" s="12" t="n">
        <f aca="false">Kappa*Users_x0/(Users_x0+(Kappa-Users_x0)*EXP(-Rate_r*E39))</f>
        <v>2.32926076907914</v>
      </c>
    </row>
    <row r="40" customFormat="false" ht="15" hidden="false" customHeight="false" outlineLevel="0" collapsed="false">
      <c r="A40" s="18" t="n">
        <v>10</v>
      </c>
      <c r="B40" s="12" t="n">
        <f aca="false">B39+(1/B$29)*Rate_r*B39*(1-B39/Kappa)</f>
        <v>13.7185838473943</v>
      </c>
      <c r="C40" s="12" t="n">
        <f aca="false">C39+(1/C$29)*Rate_r*C39*(1-C39/Kappa)</f>
        <v>4.0421084342002</v>
      </c>
      <c r="D40" s="12" t="n">
        <f aca="false">D39+(1/D$29)*Rate_r*D39*(1-D39/Kappa)</f>
        <v>2.36568712313527</v>
      </c>
      <c r="E40" s="15" t="n">
        <f aca="false">A40/$D$29</f>
        <v>0.192307692307692</v>
      </c>
      <c r="F40" s="12" t="n">
        <f aca="false">Kappa*Users_x0/(Users_x0+(Kappa-Users_x0)*EXP(-Rate_r*E40))</f>
        <v>2.36896245239351</v>
      </c>
    </row>
    <row r="41" customFormat="false" ht="15" hidden="false" customHeight="false" outlineLevel="0" collapsed="false">
      <c r="A41" s="18" t="n">
        <v>11</v>
      </c>
      <c r="B41" s="12" t="n">
        <f aca="false">B40+(1/B$29)*Rate_r*B40*(1-B40/Kappa)</f>
        <v>16.3818162418076</v>
      </c>
      <c r="C41" s="12" t="n">
        <f aca="false">C40+(1/C$29)*Rate_r*C40*(1-C40/Kappa)</f>
        <v>4.33301258631984</v>
      </c>
      <c r="D41" s="12" t="n">
        <f aca="false">D40+(1/D$29)*Rate_r*D40*(1-D40/Kappa)</f>
        <v>2.40566308718798</v>
      </c>
      <c r="E41" s="15" t="n">
        <f aca="false">A41/$D$29</f>
        <v>0.211538461538462</v>
      </c>
      <c r="F41" s="12" t="n">
        <f aca="false">Kappa*Users_x0/(Users_x0+(Kappa-Users_x0)*EXP(-Rate_r*E41))</f>
        <v>2.4093241483943</v>
      </c>
    </row>
    <row r="42" customFormat="false" ht="15" hidden="false" customHeight="false" outlineLevel="0" collapsed="false">
      <c r="A42" s="18" t="n">
        <v>12</v>
      </c>
      <c r="B42" s="12" t="n">
        <f aca="false">B41+(1/B$29)*Rate_r*B41*(1-B41/Kappa)</f>
        <v>19.4639061136085</v>
      </c>
      <c r="C42" s="12" t="n">
        <f aca="false">C41+(1/C$29)*Rate_r*C41*(1-C41/Kappa)</f>
        <v>4.64390728173892</v>
      </c>
      <c r="D42" s="12" t="n">
        <f aca="false">D41+(1/D$29)*Rate_r*D41*(1-D41/Kappa)</f>
        <v>2.44629793035082</v>
      </c>
      <c r="E42" s="15" t="n">
        <f aca="false">A42/$D$29</f>
        <v>0.230769230769231</v>
      </c>
      <c r="F42" s="12" t="n">
        <f aca="false">Kappa*Users_x0/(Users_x0+(Kappa-Users_x0)*EXP(-Rate_r*E42))</f>
        <v>2.45035625602748</v>
      </c>
    </row>
    <row r="43" customFormat="false" ht="15" hidden="false" customHeight="false" outlineLevel="0" collapsed="false">
      <c r="A43" s="18" t="n">
        <v>13</v>
      </c>
      <c r="B43" s="12" t="n">
        <f aca="false">B42+(1/B$29)*Rate_r*B42*(1-B42/Kappa)</f>
        <v>22.9908867964718</v>
      </c>
      <c r="C43" s="12" t="n">
        <f aca="false">C42+(1/C$29)*Rate_r*C42*(1-C42/Kappa)</f>
        <v>4.9760259217383</v>
      </c>
      <c r="D43" s="12" t="n">
        <f aca="false">D42+(1/D$29)*Rate_r*D42*(1-D42/Kappa)</f>
        <v>2.48760194525927</v>
      </c>
      <c r="E43" s="15" t="n">
        <f aca="false">A43/$D$29</f>
        <v>0.25</v>
      </c>
      <c r="F43" s="12" t="n">
        <f aca="false">Kappa*Users_x0/(Users_x0+(Kappa-Users_x0)*EXP(-Rate_r*E43))</f>
        <v>2.4920693183966</v>
      </c>
    </row>
    <row r="44" customFormat="false" ht="15" hidden="false" customHeight="false" outlineLevel="0" collapsed="false">
      <c r="A44" s="18" t="n">
        <v>14</v>
      </c>
      <c r="B44" s="12" t="n">
        <f aca="false">B43+(1/B$29)*Rate_r*B43*(1-B43/Kappa)</f>
        <v>26.9745293553796</v>
      </c>
      <c r="C44" s="12" t="n">
        <f aca="false">C43+(1/C$29)*Rate_r*C43*(1-C43/Kappa)</f>
        <v>5.33065724038832</v>
      </c>
      <c r="D44" s="12" t="n">
        <f aca="false">D43+(1/D$29)*Rate_r*D43*(1-D43/Kappa)</f>
        <v>2.52958556602448</v>
      </c>
      <c r="E44" s="15" t="n">
        <f aca="false">A44/$D$29</f>
        <v>0.269230769230769</v>
      </c>
      <c r="F44" s="12" t="n">
        <f aca="false">Kappa*Users_x0/(Users_x0+(Kappa-Users_x0)*EXP(-Rate_r*E44))</f>
        <v>2.53447402407418</v>
      </c>
    </row>
    <row r="45" customFormat="false" ht="15" hidden="false" customHeight="false" outlineLevel="0" collapsed="false">
      <c r="A45" s="18" t="n">
        <v>15</v>
      </c>
      <c r="B45" s="12" t="n">
        <f aca="false">B44+(1/B$29)*Rate_r*B44*(1-B44/Kappa)</f>
        <v>31.4066416839655</v>
      </c>
      <c r="C45" s="12" t="n">
        <f aca="false">C44+(1/C$29)*Rate_r*C44*(1-C44/Kappa)</f>
        <v>5.70914460345656</v>
      </c>
      <c r="D45" s="12" t="n">
        <f aca="false">D44+(1/D$29)*Rate_r*D44*(1-D44/Kappa)</f>
        <v>2.57225936950908</v>
      </c>
      <c r="E45" s="15" t="n">
        <f aca="false">A45/$D$29</f>
        <v>0.288461538461538</v>
      </c>
      <c r="F45" s="12" t="n">
        <f aca="false">Kappa*Users_x0/(Users_x0+(Kappa-Users_x0)*EXP(-Rate_r*E45))</f>
        <v>2.57758120839903</v>
      </c>
    </row>
    <row r="46" customFormat="false" ht="15" hidden="false" customHeight="false" outlineLevel="0" collapsed="false">
      <c r="A46" s="18" t="n">
        <v>16</v>
      </c>
      <c r="B46" s="12" t="n">
        <f aca="false">B45+(1/B$29)*Rate_r*B45*(1-B45/Kappa)</f>
        <v>36.2537874936615</v>
      </c>
      <c r="C46" s="12" t="n">
        <f aca="false">C45+(1/C$29)*Rate_r*C45*(1-C45/Kappa)</f>
        <v>6.11288469963842</v>
      </c>
      <c r="D46" s="12" t="n">
        <f aca="false">D45+(1/D$29)*Rate_r*D45*(1-D45/Kappa)</f>
        <v>2.6156340765895</v>
      </c>
      <c r="E46" s="15" t="n">
        <f aca="false">A46/$D$29</f>
        <v>0.307692307692308</v>
      </c>
      <c r="F46" s="12" t="n">
        <f aca="false">Kappa*Users_x0/(Users_x0+(Kappa-Users_x0)*EXP(-Rate_r*E46))</f>
        <v>2.62140185475847</v>
      </c>
    </row>
    <row r="47" customFormat="false" ht="15" hidden="false" customHeight="false" outlineLevel="0" collapsed="false">
      <c r="A47" s="18" t="n">
        <v>17</v>
      </c>
      <c r="B47" s="12" t="n">
        <f aca="false">B46+(1/B$29)*Rate_r*B46*(1-B46/Kappa)</f>
        <v>41.4536311875553</v>
      </c>
      <c r="C47" s="12" t="n">
        <f aca="false">C46+(1/C$29)*Rate_r*C46*(1-C46/Kappa)</f>
        <v>6.543325532598</v>
      </c>
      <c r="D47" s="12" t="n">
        <f aca="false">D46+(1/D$29)*Rate_r*D46*(1-D46/Kappa)</f>
        <v>2.65972055340348</v>
      </c>
      <c r="E47" s="15" t="n">
        <f aca="false">A47/$D$29</f>
        <v>0.326923076923077</v>
      </c>
      <c r="F47" s="12" t="n">
        <f aca="false">Kappa*Users_x0/(Users_x0+(Kappa-Users_x0)*EXP(-Rate_r*E47))</f>
        <v>2.66594709585383</v>
      </c>
    </row>
    <row r="48" customFormat="false" ht="15" hidden="false" customHeight="false" outlineLevel="0" collapsed="false">
      <c r="A48" s="18" t="n">
        <v>18</v>
      </c>
      <c r="B48" s="12" t="n">
        <f aca="false">B47+(1/B$29)*Rate_r*B47*(1-B47/Kappa)</f>
        <v>46.914290242829</v>
      </c>
      <c r="C48" s="12" t="n">
        <f aca="false">C47+(1/C$29)*Rate_r*C47*(1-C47/Kappa)</f>
        <v>7.00196361577369</v>
      </c>
      <c r="D48" s="12" t="n">
        <f aca="false">D47+(1/D$29)*Rate_r*D47*(1-D47/Kappa)</f>
        <v>2.70452981258163</v>
      </c>
      <c r="E48" s="15" t="n">
        <f aca="false">A48/$D$29</f>
        <v>0.346153846153846</v>
      </c>
      <c r="F48" s="12" t="n">
        <f aca="false">Kappa*Users_x0/(Users_x0+(Kappa-Users_x0)*EXP(-Rate_r*E48))</f>
        <v>2.71122821494818</v>
      </c>
    </row>
    <row r="49" customFormat="false" ht="15" hidden="false" customHeight="false" outlineLevel="0" collapsed="false">
      <c r="A49" s="18" t="n">
        <v>19</v>
      </c>
      <c r="B49" s="12" t="n">
        <f aca="false">B48+(1/B$29)*Rate_r*B48*(1-B48/Kappa)</f>
        <v>52.5178666322417</v>
      </c>
      <c r="C49" s="12" t="n">
        <f aca="false">C48+(1/C$29)*Rate_r*C48*(1-C48/Kappa)</f>
        <v>7.49034026609925</v>
      </c>
      <c r="D49" s="12" t="n">
        <f aca="false">D48+(1/D$29)*Rate_r*D48*(1-D48/Kappa)</f>
        <v>2.75007301446161</v>
      </c>
      <c r="E49" s="15" t="n">
        <f aca="false">A49/$D$29</f>
        <v>0.365384615384615</v>
      </c>
      <c r="F49" s="12" t="n">
        <f aca="false">Kappa*Users_x0/(Users_x0+(Kappa-Users_x0)*EXP(-Rate_r*E49))</f>
        <v>2.75725664709462</v>
      </c>
    </row>
    <row r="50" customFormat="false" ht="15" hidden="false" customHeight="false" outlineLevel="0" collapsed="false">
      <c r="A50" s="18" t="n">
        <v>20</v>
      </c>
      <c r="B50" s="12" t="n">
        <f aca="false">B49+(1/B$29)*Rate_r*B49*(1-B49/Kappa)</f>
        <v>58.1286024143917</v>
      </c>
      <c r="C50" s="12" t="n">
        <f aca="false">C49+(1/C$29)*Rate_r*C49*(1-C49/Kappa)</f>
        <v>8.01003688808023</v>
      </c>
      <c r="D50" s="12" t="n">
        <f aca="false">D49+(1/D$29)*Rate_r*D49*(1-D49/Kappa)</f>
        <v>2.79636146828376</v>
      </c>
      <c r="E50" s="15" t="n">
        <f aca="false">A50/$D$29</f>
        <v>0.384615384615385</v>
      </c>
      <c r="F50" s="12" t="n">
        <f aca="false">Kappa*Users_x0/(Users_x0+(Kappa-Users_x0)*EXP(-Rate_r*E50))</f>
        <v>2.80404398034387</v>
      </c>
    </row>
    <row r="51" customFormat="false" ht="15" hidden="false" customHeight="false" outlineLevel="0" collapsed="false">
      <c r="A51" s="18" t="n">
        <v>21</v>
      </c>
      <c r="B51" s="12" t="n">
        <f aca="false">B50+(1/B$29)*Rate_r*B50*(1-B50/Kappa)</f>
        <v>63.6049355156664</v>
      </c>
      <c r="C51" s="12" t="n">
        <f aca="false">C50+(1/C$29)*Rate_r*C50*(1-C50/Kappa)</f>
        <v>8.56266913647495</v>
      </c>
      <c r="D51" s="12" t="n">
        <f aca="false">D50+(1/D$29)*Rate_r*D50*(1-D50/Kappa)</f>
        <v>2.84340663336652</v>
      </c>
      <c r="E51" s="15" t="n">
        <f aca="false">A51/$D$29</f>
        <v>0.403846153846154</v>
      </c>
      <c r="F51" s="12" t="n">
        <f aca="false">Kappa*Users_x0/(Users_x0+(Kappa-Users_x0)*EXP(-Rate_r*E51))</f>
        <v>2.85160195692953</v>
      </c>
    </row>
    <row r="52" customFormat="false" ht="15" hidden="false" customHeight="false" outlineLevel="0" collapsed="false">
      <c r="A52" s="18" t="n">
        <v>22</v>
      </c>
      <c r="B52" s="12" t="n">
        <f aca="false">B51+(1/B$29)*Rate_r*B51*(1-B51/Kappa)</f>
        <v>68.8134734072991</v>
      </c>
      <c r="C52" s="12" t="n">
        <f aca="false">C51+(1/C$29)*Rate_r*C51*(1-C51/Kappa)</f>
        <v>9.14987984465501</v>
      </c>
      <c r="D52" s="12" t="n">
        <f aca="false">D51+(1/D$29)*Rate_r*D51*(1-D51/Kappa)</f>
        <v>2.89122012026048</v>
      </c>
      <c r="E52" s="15" t="n">
        <f aca="false">A52/$D$29</f>
        <v>0.423076923076923</v>
      </c>
      <c r="F52" s="12" t="n">
        <f aca="false">Kappa*Users_x0/(Users_x0+(Kappa-Users_x0)*EXP(-Rate_r*E52))</f>
        <v>2.89994247442951</v>
      </c>
    </row>
    <row r="53" customFormat="false" ht="15" hidden="false" customHeight="false" outlineLevel="0" collapsed="false">
      <c r="A53" s="18" t="n">
        <v>23</v>
      </c>
      <c r="B53" s="12" t="n">
        <f aca="false">B52+(1/B$29)*Rate_r*B52*(1-B52/Kappa)</f>
        <v>73.6420931485931</v>
      </c>
      <c r="C53" s="12" t="n">
        <f aca="false">C52+(1/C$29)*Rate_r*C52*(1-C52/Kappa)</f>
        <v>9.77333060712542</v>
      </c>
      <c r="D53" s="12" t="n">
        <f aca="false">D52+(1/D$29)*Rate_r*D52*(1-D52/Kappa)</f>
        <v>2.93981369187933</v>
      </c>
      <c r="E53" s="15" t="n">
        <f aca="false">A53/$D$29</f>
        <v>0.442307692307692</v>
      </c>
      <c r="F53" s="12" t="n">
        <f aca="false">Kappa*Users_x0/(Users_x0+(Kappa-Users_x0)*EXP(-Rate_r*E53))</f>
        <v>2.94907758690201</v>
      </c>
    </row>
    <row r="54" customFormat="false" ht="15" hidden="false" customHeight="false" outlineLevel="0" collapsed="false">
      <c r="A54" s="18" t="n">
        <v>24</v>
      </c>
      <c r="B54" s="12" t="n">
        <f aca="false">B53+(1/B$29)*Rate_r*B53*(1-B53/Kappa)</f>
        <v>78.0094588695879</v>
      </c>
      <c r="C54" s="12" t="n">
        <f aca="false">C53+(1/C$29)*Rate_r*C53*(1-C53/Kappa)</f>
        <v>10.4346919092927</v>
      </c>
      <c r="D54" s="12" t="n">
        <f aca="false">D53+(1/D$29)*Rate_r*D53*(1-D53/Kappa)</f>
        <v>2.98919926460634</v>
      </c>
      <c r="E54" s="15" t="n">
        <f aca="false">A54/$D$29</f>
        <v>0.461538461538462</v>
      </c>
      <c r="F54" s="12" t="n">
        <f aca="false">Kappa*Users_x0/(Users_x0+(Kappa-Users_x0)*EXP(-Rate_r*E54))</f>
        <v>2.9990195059944</v>
      </c>
    </row>
    <row r="55" customFormat="false" ht="15" hidden="false" customHeight="false" outlineLevel="0" collapsed="false">
      <c r="A55" s="18" t="n">
        <v>25</v>
      </c>
      <c r="B55" s="12" t="n">
        <f aca="false">B54+(1/B$29)*Rate_r*B54*(1-B54/Kappa)</f>
        <v>81.8692668507118</v>
      </c>
      <c r="C55" s="12" t="n">
        <f aca="false">C54+(1/C$29)*Rate_r*C54*(1-C54/Kappa)</f>
        <v>11.1356317060583</v>
      </c>
      <c r="D55" s="12" t="n">
        <f aca="false">D54+(1/D$29)*Rate_r*D54*(1-D54/Kappa)</f>
        <v>3.03938890937469</v>
      </c>
      <c r="E55" s="15" t="n">
        <f aca="false">A55/$D$29</f>
        <v>0.480769230769231</v>
      </c>
      <c r="F55" s="12" t="n">
        <f aca="false">Kappa*Users_x0/(Users_x0+(Kappa-Users_x0)*EXP(-Rate_r*E55))</f>
        <v>3.04978060202323</v>
      </c>
    </row>
    <row r="56" customFormat="false" ht="15" hidden="false" customHeight="false" outlineLevel="0" collapsed="false">
      <c r="A56" s="18" t="n">
        <v>26</v>
      </c>
      <c r="B56" s="12" t="n">
        <f aca="false">B55+(1/B$29)*Rate_r*B55*(1-B55/Kappa)</f>
        <v>85.2090539691076</v>
      </c>
      <c r="C56" s="12" t="n">
        <f aca="false">C55+(1/C$29)*Rate_r*C55*(1-C55/Kappa)</f>
        <v>11.8778023638929</v>
      </c>
      <c r="D56" s="12" t="n">
        <f aca="false">D55+(1/D$29)*Rate_r*D55*(1-D55/Kappa)</f>
        <v>3.09039485271998</v>
      </c>
      <c r="E56" s="15" t="n">
        <f aca="false">A56/$D$29</f>
        <v>0.5</v>
      </c>
      <c r="F56" s="12" t="n">
        <f aca="false">Kappa*Users_x0/(Users_x0+(Kappa-Users_x0)*EXP(-Rate_r*E56))</f>
        <v>3.10137340502373</v>
      </c>
    </row>
    <row r="57" customFormat="false" ht="15" hidden="false" customHeight="false" outlineLevel="0" collapsed="false">
      <c r="A57" s="18" t="n">
        <v>27</v>
      </c>
      <c r="B57" s="12" t="n">
        <f aca="false">B56+(1/B$29)*Rate_r*B56*(1-B56/Kappa)</f>
        <v>88.0447796359587</v>
      </c>
      <c r="C57" s="12" t="n">
        <f aca="false">C56+(1/C$29)*Rate_r*C56*(1-C56/Kappa)</f>
        <v>12.6628258994381</v>
      </c>
      <c r="D57" s="12" t="n">
        <f aca="false">D56+(1/D$29)*Rate_r*D56*(1-D56/Kappa)</f>
        <v>3.14222947780338</v>
      </c>
      <c r="E57" s="15" t="n">
        <f aca="false">A57/$D$29</f>
        <v>0.519230769230769</v>
      </c>
      <c r="F57" s="12" t="n">
        <f aca="false">Kappa*Users_x0/(Users_x0+(Kappa-Users_x0)*EXP(-Rate_r*E57))</f>
        <v>3.15381060576682</v>
      </c>
    </row>
    <row r="58" customFormat="false" ht="15" hidden="false" customHeight="false" outlineLevel="0" collapsed="false">
      <c r="A58" s="18" t="n">
        <v>28</v>
      </c>
      <c r="B58" s="12" t="n">
        <f aca="false">B57+(1/B$29)*Rate_r*B57*(1-B57/Kappa)</f>
        <v>90.4131178064742</v>
      </c>
      <c r="C58" s="12" t="n">
        <f aca="false">C57+(1/C$29)*Rate_r*C57*(1-C57/Kappa)</f>
        <v>13.4922774720763</v>
      </c>
      <c r="D58" s="12" t="n">
        <f aca="false">D57+(1/D$29)*Rate_r*D57*(1-D57/Kappa)</f>
        <v>3.19490532540343</v>
      </c>
      <c r="E58" s="15" t="n">
        <f aca="false">A58/$D$29</f>
        <v>0.538461538461538</v>
      </c>
      <c r="F58" s="12" t="n">
        <f aca="false">Kappa*Users_x0/(Users_x0+(Kappa-Users_x0)*EXP(-Rate_r*E58))</f>
        <v>3.20710505674185</v>
      </c>
    </row>
    <row r="59" customFormat="false" ht="15" hidden="false" customHeight="false" outlineLevel="0" collapsed="false">
      <c r="A59" s="18" t="n">
        <v>29</v>
      </c>
      <c r="B59" s="12" t="n">
        <f aca="false">B58+(1/B$29)*Rate_r*B58*(1-B58/Kappa)</f>
        <v>92.3633726020843</v>
      </c>
      <c r="C59" s="12" t="n">
        <f aca="false">C58+(1/C$29)*Rate_r*C58*(1-C58/Kappa)</f>
        <v>14.3676671189444</v>
      </c>
      <c r="D59" s="12" t="n">
        <f aca="false">D58+(1/D$29)*Rate_r*D58*(1-D58/Kappa)</f>
        <v>3.24843509487493</v>
      </c>
      <c r="E59" s="15" t="n">
        <f aca="false">A59/$D$29</f>
        <v>0.557692307692308</v>
      </c>
      <c r="F59" s="12" t="n">
        <f aca="false">Kappa*Users_x0/(Users_x0+(Kappa-Users_x0)*EXP(-Rate_r*E59))</f>
        <v>3.26126977310313</v>
      </c>
    </row>
    <row r="60" customFormat="false" ht="15" hidden="false" customHeight="false" outlineLevel="0" collapsed="false">
      <c r="A60" s="18" t="n">
        <v>30</v>
      </c>
      <c r="B60" s="12" t="n">
        <f aca="false">B59+(1/B$29)*Rate_r*B59*(1-B59/Kappa)</f>
        <v>93.9503980910825</v>
      </c>
      <c r="C60" s="12" t="n">
        <f aca="false">C59+(1/C$29)*Rate_r*C59*(1-C59/Kappa)</f>
        <v>15.2904197590347</v>
      </c>
      <c r="D60" s="12" t="n">
        <f aca="false">D59+(1/D$29)*Rate_r*D59*(1-D59/Kappa)</f>
        <v>3.30283164507295</v>
      </c>
      <c r="E60" s="15" t="n">
        <f aca="false">A60/$D$29</f>
        <v>0.576923076923077</v>
      </c>
      <c r="F60" s="12" t="n">
        <f aca="false">Kappa*Users_x0/(Users_x0+(Kappa-Users_x0)*EXP(-Rate_r*E60))</f>
        <v>3.3163179335782</v>
      </c>
    </row>
    <row r="61" customFormat="false" ht="15" hidden="false" customHeight="false" outlineLevel="0" collapsed="false">
      <c r="A61" s="18" t="n">
        <v>31</v>
      </c>
      <c r="B61" s="12" t="n">
        <f aca="false">B60+(1/B$29)*Rate_r*B60*(1-B60/Kappa)</f>
        <v>95.2292137332621</v>
      </c>
      <c r="C61" s="12" t="n">
        <f aca="false">C60+(1/C$29)*Rate_r*C60*(1-C60/Kappa)</f>
        <v>16.2618535386567</v>
      </c>
      <c r="D61" s="12" t="n">
        <f aca="false">D60+(1/D$29)*Rate_r*D60*(1-D60/Kappa)</f>
        <v>3.35810799523996</v>
      </c>
      <c r="E61" s="15" t="n">
        <f aca="false">A61/$D$29</f>
        <v>0.596153846153846</v>
      </c>
      <c r="F61" s="12" t="n">
        <f aca="false">Kappa*Users_x0/(Users_x0+(Kappa-Users_x0)*EXP(-Rate_r*E61))</f>
        <v>3.37226288133584</v>
      </c>
    </row>
    <row r="62" customFormat="false" ht="15" hidden="false" customHeight="false" outlineLevel="0" collapsed="false">
      <c r="A62" s="18" t="n">
        <v>32</v>
      </c>
      <c r="B62" s="12" t="n">
        <f aca="false">B61+(1/B$29)*Rate_r*B61*(1-B61/Kappa)</f>
        <v>96.2514297396716</v>
      </c>
      <c r="C62" s="12" t="n">
        <f aca="false">C61+(1/C$29)*Rate_r*C61*(1-C61/Kappa)</f>
        <v>17.2831566436714</v>
      </c>
      <c r="D62" s="12" t="n">
        <f aca="false">D61+(1/D$29)*Rate_r*D61*(1-D61/Kappa)</f>
        <v>3.41427732585432</v>
      </c>
      <c r="E62" s="15" t="n">
        <f aca="false">A62/$D$29</f>
        <v>0.615384615384615</v>
      </c>
      <c r="F62" s="12" t="n">
        <f aca="false">Kappa*Users_x0/(Users_x0+(Kappa-Users_x0)*EXP(-Rate_r*E62))</f>
        <v>3.42911812481167</v>
      </c>
    </row>
    <row r="63" customFormat="false" ht="15" hidden="false" customHeight="false" outlineLevel="0" collapsed="false">
      <c r="A63" s="18" t="n">
        <v>33</v>
      </c>
      <c r="B63" s="12" t="n">
        <f aca="false">B62+(1/B$29)*Rate_r*B62*(1-B62/Kappa)</f>
        <v>97.0632415455031</v>
      </c>
      <c r="C63" s="12" t="n">
        <f aca="false">C62+(1/C$29)*Rate_r*C62*(1-C62/Kappa)</f>
        <v>18.3553627642695</v>
      </c>
      <c r="D63" s="12" t="n">
        <f aca="false">D62+(1/D$29)*Rate_r*D62*(1-D62/Kappa)</f>
        <v>3.47135297943794</v>
      </c>
      <c r="E63" s="15" t="n">
        <f aca="false">A63/$D$29</f>
        <v>0.634615384615385</v>
      </c>
      <c r="F63" s="12" t="n">
        <f aca="false">Kappa*Users_x0/(Users_x0+(Kappa-Users_x0)*EXP(-Rate_r*E63))</f>
        <v>3.48689733848919</v>
      </c>
    </row>
    <row r="64" customFormat="false" ht="15" hidden="false" customHeight="false" outlineLevel="0" collapsed="false">
      <c r="A64" s="18" t="n">
        <v>34</v>
      </c>
      <c r="B64" s="12" t="n">
        <f aca="false">B63+(1/B$29)*Rate_r*B63*(1-B63/Kappa)</f>
        <v>97.7046069597698</v>
      </c>
      <c r="C64" s="12" t="n">
        <f aca="false">C63+(1/C$29)*Rate_r*C63*(1-C63/Kappa)</f>
        <v>19.4793254649337</v>
      </c>
      <c r="D64" s="12" t="n">
        <f aca="false">D63+(1/D$29)*Rate_r*D63*(1-D63/Kappa)</f>
        <v>3.52934846132108</v>
      </c>
      <c r="E64" s="15" t="n">
        <f aca="false">A64/$D$29</f>
        <v>0.653846153846154</v>
      </c>
      <c r="F64" s="12" t="n">
        <f aca="false">Kappa*Users_x0/(Users_x0+(Kappa-Users_x0)*EXP(-Rate_r*E64))</f>
        <v>3.54561436363399</v>
      </c>
    </row>
    <row r="65" customFormat="false" ht="15" hidden="false" customHeight="false" outlineLevel="0" collapsed="false">
      <c r="A65" s="18" t="n">
        <v>35</v>
      </c>
      <c r="B65" s="12" t="n">
        <f aca="false">B64+(1/B$29)*Rate_r*B64*(1-B64/Kappa)</f>
        <v>98.209215528101</v>
      </c>
      <c r="C65" s="12" t="n">
        <f aca="false">C64+(1/C$29)*Rate_r*C64*(1-C64/Kappa)</f>
        <v>20.6556917843771</v>
      </c>
      <c r="D65" s="12" t="n">
        <f aca="false">D64+(1/D$29)*Rate_r*D64*(1-D64/Kappa)</f>
        <v>3.58827744036216</v>
      </c>
      <c r="E65" s="15" t="n">
        <f aca="false">A65/$D$29</f>
        <v>0.673076923076923</v>
      </c>
      <c r="F65" s="12" t="n">
        <f aca="false">Kappa*Users_x0/(Users_x0+(Kappa-Users_x0)*EXP(-Rate_r*E65))</f>
        <v>3.60528320897889</v>
      </c>
    </row>
    <row r="66" customFormat="false" ht="15" hidden="false" customHeight="false" outlineLevel="0" collapsed="false">
      <c r="A66" s="18" t="n">
        <v>36</v>
      </c>
      <c r="B66" s="12" t="n">
        <f aca="false">B65+(1/B$29)*Rate_r*B65*(1-B65/Kappa)</f>
        <v>98.6049264889725</v>
      </c>
      <c r="C66" s="12" t="n">
        <f aca="false">C65+(1/C$29)*Rate_r*C65*(1-C65/Kappa)</f>
        <v>21.884875465887</v>
      </c>
      <c r="D66" s="12" t="n">
        <f aca="false">D65+(1/D$29)*Rate_r*D65*(1-D65/Kappa)</f>
        <v>3.64815374962033</v>
      </c>
      <c r="E66" s="15" t="n">
        <f aca="false">A66/$D$29</f>
        <v>0.692307692307692</v>
      </c>
      <c r="F66" s="12" t="n">
        <f aca="false">Kappa*Users_x0/(Users_x0+(Kappa-Users_x0)*EXP(-Rate_r*E66))</f>
        <v>3.66591805135755</v>
      </c>
    </row>
    <row r="67" customFormat="false" ht="15" hidden="false" customHeight="false" outlineLevel="0" collapsed="false">
      <c r="A67" s="18" t="n">
        <v>37</v>
      </c>
      <c r="B67" s="12" t="n">
        <f aca="false">B66+(1/B$29)*Rate_r*B66*(1-B66/Kappa)</f>
        <v>98.914439011226</v>
      </c>
      <c r="C67" s="12" t="n">
        <f aca="false">C66+(1/C$29)*Rate_r*C66*(1-C66/Kappa)</f>
        <v>23.1670302952105</v>
      </c>
      <c r="D67" s="12" t="n">
        <f aca="false">D66+(1/D$29)*Rate_r*D66*(1-D66/Kappa)</f>
        <v>3.70899138697861</v>
      </c>
      <c r="E67" s="15" t="n">
        <f aca="false">A67/$D$29</f>
        <v>0.711538461538462</v>
      </c>
      <c r="F67" s="12" t="n">
        <f aca="false">Kappa*Users_x0/(Users_x0+(Kappa-Users_x0)*EXP(-Rate_r*E67))</f>
        <v>3.72753323628422</v>
      </c>
    </row>
    <row r="68" customFormat="false" ht="15" hidden="false" customHeight="false" outlineLevel="0" collapsed="false">
      <c r="A68" s="18" t="n">
        <v>38</v>
      </c>
      <c r="B68" s="12" t="n">
        <f aca="false">B67+(1/B$29)*Rate_r*B67*(1-B67/Kappa)</f>
        <v>99.1560387377144</v>
      </c>
      <c r="C68" s="12" t="n">
        <f aca="false">C67+(1/C$29)*Rate_r*C67*(1-C67/Kappa)</f>
        <v>24.5020240978269</v>
      </c>
      <c r="D68" s="12" t="n">
        <f aca="false">D67+(1/D$29)*Rate_r*D67*(1-D67/Kappa)</f>
        <v>3.7708045157152</v>
      </c>
      <c r="E68" s="15" t="n">
        <f aca="false">A68/$D$29</f>
        <v>0.730769230769231</v>
      </c>
      <c r="F68" s="12" t="n">
        <f aca="false">Kappa*Users_x0/(Users_x0+(Kappa-Users_x0)*EXP(-Rate_r*E68))</f>
        <v>3.79014327847711</v>
      </c>
    </row>
    <row r="69" customFormat="false" ht="15" hidden="false" customHeight="false" outlineLevel="0" collapsed="false">
      <c r="A69" s="18" t="n">
        <v>39</v>
      </c>
      <c r="B69" s="12" t="n">
        <f aca="false">B68+(1/B$29)*Rate_r*B68*(1-B68/Kappa)</f>
        <v>99.3443274128511</v>
      </c>
      <c r="C69" s="12" t="n">
        <f aca="false">C68+(1/C$29)*Rate_r*C68*(1-C68/Kappa)</f>
        <v>25.8894140164961</v>
      </c>
      <c r="D69" s="12" t="n">
        <f aca="false">D68+(1/D$29)*Rate_r*D68*(1-D68/Kappa)</f>
        <v>3.83360746502062</v>
      </c>
      <c r="E69" s="15" t="n">
        <f aca="false">A69/$D$29</f>
        <v>0.75</v>
      </c>
      <c r="F69" s="12" t="n">
        <f aca="false">Kappa*Users_x0/(Users_x0+(Kappa-Users_x0)*EXP(-Rate_r*E69))</f>
        <v>3.85376286232275</v>
      </c>
    </row>
    <row r="70" customFormat="false" ht="15" hidden="false" customHeight="false" outlineLevel="0" collapsed="false">
      <c r="A70" s="18" t="n">
        <v>40</v>
      </c>
      <c r="B70" s="12" t="n">
        <f aca="false">B69+(1/B$29)*Rate_r*B69*(1-B69/Kappa)</f>
        <v>99.4908864552412</v>
      </c>
      <c r="C70" s="12" t="n">
        <f aca="false">C69+(1/C$29)*Rate_r*C69*(1-C69/Kappa)</f>
        <v>27.3284237491451</v>
      </c>
      <c r="D70" s="12" t="n">
        <f aca="false">D69+(1/D$29)*Rate_r*D69*(1-D69/Kappa)</f>
        <v>3.89741473045824</v>
      </c>
      <c r="E70" s="15" t="n">
        <f aca="false">A70/$D$29</f>
        <v>0.769230769230769</v>
      </c>
      <c r="F70" s="12" t="n">
        <f aca="false">Kappa*Users_x0/(Users_x0+(Kappa-Users_x0)*EXP(-Rate_r*E70))</f>
        <v>3.91840684227885</v>
      </c>
    </row>
    <row r="71" customFormat="false" ht="15" hidden="false" customHeight="false" outlineLevel="0" collapsed="false">
      <c r="A71" s="18" t="n">
        <v>41</v>
      </c>
      <c r="C71" s="12" t="n">
        <f aca="false">C70+(1/C$29)*Rate_r*C70*(1-C70/Kappa)</f>
        <v>28.8179234718714</v>
      </c>
      <c r="D71" s="12" t="n">
        <f aca="false">D70+(1/D$29)*Rate_r*D70*(1-D70/Kappa)</f>
        <v>3.96224097436558</v>
      </c>
      <c r="E71" s="15" t="n">
        <f aca="false">A71/$D$29</f>
        <v>0.788461538461538</v>
      </c>
      <c r="F71" s="12" t="n">
        <f aca="false">Kappa*Users_x0/(Users_x0+(Kappa-Users_x0)*EXP(-Rate_r*E71))</f>
        <v>3.98409024321282</v>
      </c>
    </row>
    <row r="72" customFormat="false" ht="15" hidden="false" customHeight="false" outlineLevel="0" collapsed="false">
      <c r="A72" s="18" t="n">
        <v>42</v>
      </c>
      <c r="C72" s="12" t="n">
        <f aca="false">C71+(1/C$29)*Rate_r*C71*(1-C71/Kappa)</f>
        <v>30.3564131973387</v>
      </c>
      <c r="D72" s="12" t="n">
        <f aca="false">D71+(1/D$29)*Rate_r*D71*(1-D71/Kappa)</f>
        <v>4.02810102619401</v>
      </c>
      <c r="E72" s="15" t="n">
        <f aca="false">A72/$D$29</f>
        <v>0.807692307692308</v>
      </c>
      <c r="F72" s="12" t="n">
        <f aca="false">Kappa*Users_x0/(Users_x0+(Kappa-Users_x0)*EXP(-Rate_r*E72))</f>
        <v>4.05082826067337</v>
      </c>
    </row>
    <row r="73" customFormat="false" ht="15" hidden="false" customHeight="false" outlineLevel="0" collapsed="false">
      <c r="A73" s="18" t="n">
        <v>43</v>
      </c>
      <c r="C73" s="12" t="n">
        <f aca="false">C72+(1/C$29)*Rate_r*C72*(1-C72/Kappa)</f>
        <v>31.9420103204835</v>
      </c>
      <c r="D73" s="12" t="n">
        <f aca="false">D72+(1/D$29)*Rate_r*D72*(1-D72/Kappa)</f>
        <v>4.095009882784</v>
      </c>
      <c r="E73" s="15" t="n">
        <f aca="false">A73/$D$29</f>
        <v>0.826923076923077</v>
      </c>
      <c r="F73" s="12" t="n">
        <f aca="false">Kappa*Users_x0/(Users_x0+(Kappa-Users_x0)*EXP(-Rate_r*E73))</f>
        <v>4.11863626109215</v>
      </c>
    </row>
    <row r="74" customFormat="false" ht="15" hidden="false" customHeight="false" outlineLevel="0" collapsed="false">
      <c r="A74" s="18" t="n">
        <v>44</v>
      </c>
      <c r="C74" s="12" t="n">
        <f aca="false">C73+(1/C$29)*Rate_r*C73*(1-C73/Kappa)</f>
        <v>33.5724420770343</v>
      </c>
      <c r="D74" s="12" t="n">
        <f aca="false">D73+(1/D$29)*Rate_r*D73*(1-D73/Kappa)</f>
        <v>4.16298270857332</v>
      </c>
      <c r="E74" s="15" t="n">
        <f aca="false">A74/$D$29</f>
        <v>0.846153846153846</v>
      </c>
      <c r="F74" s="12" t="n">
        <f aca="false">Kappa*Users_x0/(Users_x0+(Kappa-Users_x0)*EXP(-Rate_r*E74))</f>
        <v>4.18752978191275</v>
      </c>
    </row>
    <row r="75" customFormat="false" ht="15" hidden="false" customHeight="false" outlineLevel="0" collapsed="false">
      <c r="A75" s="18" t="n">
        <v>45</v>
      </c>
      <c r="C75" s="12" t="n">
        <f aca="false">C74+(1/C$29)*Rate_r*C74*(1-C74/Kappa)</f>
        <v>35.24504358255</v>
      </c>
      <c r="D75" s="12" t="n">
        <f aca="false">D74+(1/D$29)*Rate_r*D74*(1-D74/Kappa)</f>
        <v>4.23203483573542</v>
      </c>
      <c r="E75" s="15" t="n">
        <f aca="false">A75/$D$29</f>
        <v>0.865384615384615</v>
      </c>
      <c r="F75" s="12" t="n">
        <f aca="false">Kappa*Users_x0/(Users_x0+(Kappa-Users_x0)*EXP(-Rate_r*E75))</f>
        <v>4.25752453164397</v>
      </c>
    </row>
    <row r="76" customFormat="false" ht="15" hidden="false" customHeight="false" outlineLevel="0" collapsed="false">
      <c r="A76" s="18" t="n">
        <v>46</v>
      </c>
      <c r="C76" s="12" t="n">
        <f aca="false">C75+(1/C$29)*Rate_r*C75*(1-C75/Kappa)</f>
        <v>36.9567620283894</v>
      </c>
      <c r="D76" s="12" t="n">
        <f aca="false">D75+(1/D$29)*Rate_r*D75*(1-D75/Kappa)</f>
        <v>4.30218176424511</v>
      </c>
      <c r="E76" s="15" t="n">
        <f aca="false">A76/$D$29</f>
        <v>0.884615384615385</v>
      </c>
      <c r="F76" s="12" t="n">
        <f aca="false">Kappa*Users_x0/(Users_x0+(Kappa-Users_x0)*EXP(-Rate_r*E76))</f>
        <v>4.32863638983435</v>
      </c>
    </row>
    <row r="77" customFormat="false" ht="15" hidden="false" customHeight="false" outlineLevel="0" collapsed="false">
      <c r="A77" s="18" t="n">
        <v>47</v>
      </c>
      <c r="C77" s="12" t="n">
        <f aca="false">C76+(1/C$29)*Rate_r*C76*(1-C76/Kappa)</f>
        <v>38.7041674858014</v>
      </c>
      <c r="D77" s="12" t="n">
        <f aca="false">D76+(1/D$29)*Rate_r*D76*(1-D76/Kappa)</f>
        <v>4.37343916186871</v>
      </c>
      <c r="E77" s="15" t="n">
        <f aca="false">A77/$D$29</f>
        <v>0.903846153846154</v>
      </c>
      <c r="F77" s="12" t="n">
        <f aca="false">Kappa*Users_x0/(Users_x0+(Kappa-Users_x0)*EXP(-Rate_r*E77))</f>
        <v>4.40088140696489</v>
      </c>
    </row>
    <row r="78" customFormat="false" ht="15" hidden="false" customHeight="false" outlineLevel="0" collapsed="false">
      <c r="A78" s="18" t="n">
        <v>48</v>
      </c>
      <c r="C78" s="12" t="n">
        <f aca="false">C77+(1/C$29)*Rate_r*C77*(1-C77/Kappa)</f>
        <v>40.4834706116597</v>
      </c>
      <c r="D78" s="12" t="n">
        <f aca="false">D77+(1/D$29)*Rate_r*D77*(1-D77/Kappa)</f>
        <v>4.44582286407561</v>
      </c>
      <c r="E78" s="15" t="n">
        <f aca="false">A78/$D$29</f>
        <v>0.923076923076923</v>
      </c>
      <c r="F78" s="12" t="n">
        <f aca="false">Kappa*Users_x0/(Users_x0+(Kappa-Users_x0)*EXP(-Rate_r*E78))</f>
        <v>4.47427580425687</v>
      </c>
    </row>
    <row r="79" customFormat="false" ht="15" hidden="false" customHeight="false" outlineLevel="0" collapsed="false">
      <c r="A79" s="18" t="n">
        <v>49</v>
      </c>
      <c r="C79" s="12" t="n">
        <f aca="false">C78+(1/C$29)*Rate_r*C78*(1-C78/Kappa)</f>
        <v>42.2905473629604</v>
      </c>
      <c r="D79" s="12" t="n">
        <f aca="false">D78+(1/D$29)*Rate_r*D78*(1-D78/Kappa)</f>
        <v>4.51934887386829</v>
      </c>
      <c r="E79" s="15" t="n">
        <f aca="false">A79/$D$29</f>
        <v>0.942307692307692</v>
      </c>
      <c r="F79" s="12" t="n">
        <f aca="false">Kappa*Users_x0/(Users_x0+(Kappa-Users_x0)*EXP(-Rate_r*E79))</f>
        <v>4.5488359733913</v>
      </c>
    </row>
    <row r="80" customFormat="false" ht="15" hidden="false" customHeight="false" outlineLevel="0" collapsed="false">
      <c r="A80" s="18" t="n">
        <v>50</v>
      </c>
      <c r="C80" s="12" t="n">
        <f aca="false">C79+(1/C$29)*Rate_r*C79*(1-C79/Kappa)</f>
        <v>44.1209706179883</v>
      </c>
      <c r="D80" s="12" t="n">
        <f aca="false">D79+(1/D$29)*Rate_r*D79*(1-D79/Kappa)</f>
        <v>4.59403336152767</v>
      </c>
      <c r="E80" s="15" t="n">
        <f aca="false">A80/$D$29</f>
        <v>0.961538461538462</v>
      </c>
      <c r="F80" s="12" t="n">
        <f aca="false">Kappa*Users_x0/(Users_x0+(Kappa-Users_x0)*EXP(-Rate_r*E80))</f>
        <v>4.62457847613702</v>
      </c>
    </row>
    <row r="81" customFormat="false" ht="15" hidden="false" customHeight="false" outlineLevel="0" collapsed="false">
      <c r="A81" s="18" t="n">
        <v>51</v>
      </c>
      <c r="C81" s="12" t="n">
        <f aca="false">C80+(1/C$29)*Rate_r*C80*(1-C80/Kappa)</f>
        <v>45.9700483781324</v>
      </c>
      <c r="D81" s="12" t="n">
        <f aca="false">D80+(1/D$29)*Rate_r*D80*(1-D80/Kappa)</f>
        <v>4.66989266427062</v>
      </c>
      <c r="E81" s="15" t="n">
        <f aca="false">A81/$D$29</f>
        <v>0.980769230769231</v>
      </c>
      <c r="F81" s="12" t="n">
        <f aca="false">Kappa*Users_x0/(Users_x0+(Kappa-Users_x0)*EXP(-Rate_r*E81))</f>
        <v>4.70152004388383</v>
      </c>
    </row>
    <row r="82" customFormat="false" ht="15" hidden="false" customHeight="false" outlineLevel="0" collapsed="false">
      <c r="A82" s="18" t="n">
        <v>52</v>
      </c>
      <c r="C82" s="12" t="n">
        <f aca="false">C81+(1/C$29)*Rate_r*C81*(1-C81/Kappa)</f>
        <v>47.8328679955765</v>
      </c>
      <c r="D82" s="12" t="n">
        <f aca="false">D81+(1/D$29)*Rate_r*D81*(1-D81/Kappa)</f>
        <v>4.74694328581642</v>
      </c>
      <c r="E82" s="15" t="n">
        <f aca="false">A82/$D$29</f>
        <v>1</v>
      </c>
      <c r="F82" s="12" t="n">
        <f aca="false">Kappa*Users_x0/(Users_x0+(Kappa-Users_x0)*EXP(-Rate_r*E82))</f>
        <v>4.77967757707732</v>
      </c>
    </row>
    <row r="83" customFormat="false" ht="15" hidden="false" customHeight="false" outlineLevel="0" collapsed="false">
      <c r="A83" s="18" t="n">
        <v>53</v>
      </c>
      <c r="C83" s="12" t="n">
        <f aca="false">C82+(1/C$29)*Rate_r*C82*(1-C82/Kappa)</f>
        <v>49.704345649733</v>
      </c>
      <c r="D83" s="12" t="n">
        <f aca="false">D82+(1/D$29)*Rate_r*D82*(1-D82/Kappa)</f>
        <v>4.82520189585884</v>
      </c>
      <c r="E83" s="15" t="n">
        <f aca="false">A83/$D$29</f>
        <v>1.01923076923077</v>
      </c>
      <c r="F83" s="12" t="n">
        <f aca="false">Kappa*Users_x0/(Users_x0+(Kappa-Users_x0)*EXP(-Rate_r*E83))</f>
        <v>4.85906814455193</v>
      </c>
    </row>
    <row r="84" customFormat="false" ht="15" hidden="false" customHeight="false" outlineLevel="0" collapsed="false">
      <c r="A84" s="18" t="n">
        <v>54</v>
      </c>
      <c r="C84" s="12" t="n">
        <f aca="false">C83+(1/C$29)*Rate_r*C83*(1-C83/Kappa)</f>
        <v>51.5792800911119</v>
      </c>
      <c r="D84" s="12" t="n">
        <f aca="false">D83+(1/D$29)*Rate_r*D83*(1-D83/Kappa)</f>
        <v>4.90468532944059</v>
      </c>
      <c r="E84" s="15" t="n">
        <f aca="false">A84/$D$29</f>
        <v>1.03846153846154</v>
      </c>
      <c r="F84" s="12" t="n">
        <f aca="false">Kappa*Users_x0/(Users_x0+(Kappa-Users_x0)*EXP(-Rate_r*E84))</f>
        <v>4.93970898275862</v>
      </c>
    </row>
    <row r="85" customFormat="false" ht="15" hidden="false" customHeight="false" outlineLevel="0" collapsed="false">
      <c r="A85" s="18" t="n">
        <v>55</v>
      </c>
      <c r="C85" s="12" t="n">
        <f aca="false">C84+(1/C$29)*Rate_r*C84*(1-C84/Kappa)</f>
        <v>53.4524094969072</v>
      </c>
      <c r="D85" s="12" t="n">
        <f aca="false">D84+(1/D$29)*Rate_r*D84*(1-D84/Kappa)</f>
        <v>4.98541058622653</v>
      </c>
      <c r="E85" s="15" t="n">
        <f aca="false">A85/$D$29</f>
        <v>1.05769230769231</v>
      </c>
      <c r="F85" s="12" t="n">
        <f aca="false">Kappa*Users_x0/(Users_x0+(Kappa-Users_x0)*EXP(-Rate_r*E85))</f>
        <v>5.0216174948835</v>
      </c>
    </row>
    <row r="86" customFormat="false" ht="15" hidden="false" customHeight="false" outlineLevel="0" collapsed="false">
      <c r="A86" s="18" t="n">
        <v>56</v>
      </c>
      <c r="C86" s="12" t="n">
        <f aca="false">C85+(1/C$29)*Rate_r*C85*(1-C85/Kappa)</f>
        <v>55.3184701484065</v>
      </c>
      <c r="D86" s="12" t="n">
        <f aca="false">D85+(1/D$29)*Rate_r*D85*(1-D85/Kappa)</f>
        <v>5.06739482967239</v>
      </c>
      <c r="E86" s="15" t="n">
        <f aca="false">A86/$D$29</f>
        <v>1.07692307692308</v>
      </c>
      <c r="F86" s="12" t="n">
        <f aca="false">Kappa*Users_x0/(Users_x0+(Kappa-Users_x0)*EXP(-Rate_r*E86))</f>
        <v>5.10481124985377</v>
      </c>
    </row>
    <row r="87" customFormat="false" ht="15" hidden="false" customHeight="false" outlineLevel="0" collapsed="false">
      <c r="A87" s="18" t="n">
        <v>57</v>
      </c>
      <c r="C87" s="12" t="n">
        <f aca="false">C86+(1/C$29)*Rate_r*C86*(1-C86/Kappa)</f>
        <v>57.1722555548669</v>
      </c>
      <c r="D87" s="12" t="n">
        <f aca="false">D86+(1/D$29)*Rate_r*D86*(1-D86/Kappa)</f>
        <v>5.15065538608521</v>
      </c>
      <c r="E87" s="15" t="n">
        <f aca="false">A87/$D$29</f>
        <v>1.09615384615385</v>
      </c>
      <c r="F87" s="12" t="n">
        <f aca="false">Kappa*Users_x0/(Users_x0+(Kappa-Users_x0)*EXP(-Rate_r*E87))</f>
        <v>5.1893079812273</v>
      </c>
    </row>
    <row r="88" customFormat="false" ht="15" hidden="false" customHeight="false" outlineLevel="0" collapsed="false">
      <c r="A88" s="18" t="n">
        <v>58</v>
      </c>
      <c r="C88" s="12" t="n">
        <f aca="false">C87+(1/C$29)*Rate_r*C87*(1-C87/Kappa)</f>
        <v>59.0086746175586</v>
      </c>
      <c r="D88" s="12" t="n">
        <f aca="false">D87+(1/D$29)*Rate_r*D87*(1-D87/Kappa)</f>
        <v>5.23520974357215</v>
      </c>
      <c r="E88" s="15" t="n">
        <f aca="false">A88/$D$29</f>
        <v>1.11538461538462</v>
      </c>
      <c r="F88" s="12" t="n">
        <f aca="false">Kappa*Users_x0/(Users_x0+(Kappa-Users_x0)*EXP(-Rate_r*E88))</f>
        <v>5.27512558596176</v>
      </c>
    </row>
    <row r="89" customFormat="false" ht="15" hidden="false" customHeight="false" outlineLevel="0" collapsed="false">
      <c r="A89" s="18" t="n">
        <v>59</v>
      </c>
      <c r="C89" s="12" t="n">
        <f aca="false">C88+(1/C$29)*Rate_r*C88*(1-C88/Kappa)</f>
        <v>60.8228074537848</v>
      </c>
      <c r="D89" s="12" t="n">
        <f aca="false">D88+(1/D$29)*Rate_r*D88*(1-D88/Kappa)</f>
        <v>5.32107555087373</v>
      </c>
      <c r="E89" s="15" t="n">
        <f aca="false">A89/$D$29</f>
        <v>1.13461538461538</v>
      </c>
      <c r="F89" s="12" t="n">
        <f aca="false">Kappa*Users_x0/(Users_x0+(Kappa-Users_x0)*EXP(-Rate_r*E89))</f>
        <v>5.36228212305977</v>
      </c>
    </row>
    <row r="90" customFormat="false" ht="15" hidden="false" customHeight="false" outlineLevel="0" collapsed="false">
      <c r="A90" s="18" t="n">
        <v>60</v>
      </c>
      <c r="C90" s="12" t="n">
        <f aca="false">C89+(1/C$29)*Rate_r*C89*(1-C89/Kappa)</f>
        <v>62.6099575828986</v>
      </c>
      <c r="D90" s="12" t="n">
        <f aca="false">D89+(1/D$29)*Rate_r*D89*(1-D89/Kappa)</f>
        <v>5.40827061607803</v>
      </c>
      <c r="E90" s="15" t="n">
        <f aca="false">A90/$D$29</f>
        <v>1.15384615384615</v>
      </c>
      <c r="F90" s="12" t="n">
        <f aca="false">Kappa*Users_x0/(Users_x0+(Kappa-Users_x0)*EXP(-Rate_r*E90))</f>
        <v>5.45079581208584</v>
      </c>
    </row>
    <row r="91" customFormat="false" ht="15" hidden="false" customHeight="false" outlineLevel="0" collapsed="false">
      <c r="A91" s="18" t="n">
        <v>61</v>
      </c>
      <c r="C91" s="12" t="n">
        <f aca="false">C90+(1/C$29)*Rate_r*C90*(1-C90/Kappa)</f>
        <v>64.3656993102167</v>
      </c>
      <c r="D91" s="12" t="n">
        <f aca="false">D90+(1/D$29)*Rate_r*D90*(1-D90/Kappa)</f>
        <v>5.49681290521187</v>
      </c>
      <c r="E91" s="15" t="n">
        <f aca="false">A91/$D$29</f>
        <v>1.17307692307692</v>
      </c>
      <c r="F91" s="12" t="n">
        <f aca="false">Kappa*Users_x0/(Users_x0+(Kappa-Users_x0)*EXP(-Rate_r*E91))</f>
        <v>5.54068503155129</v>
      </c>
    </row>
    <row r="92" customFormat="false" ht="15" hidden="false" customHeight="false" outlineLevel="0" collapsed="false">
      <c r="A92" s="18" t="n">
        <v>62</v>
      </c>
      <c r="C92" s="12" t="n">
        <f aca="false">C91+(1/C$29)*Rate_r*C91*(1-C91/Kappa)</f>
        <v>66.085919322713</v>
      </c>
      <c r="D92" s="12" t="n">
        <f aca="false">D91+(1/D$29)*Rate_r*D91*(1-D91/Kappa)</f>
        <v>5.58672054070526</v>
      </c>
      <c r="E92" s="15" t="n">
        <f aca="false">A92/$D$29</f>
        <v>1.19230769230769</v>
      </c>
      <c r="F92" s="12" t="n">
        <f aca="false">Kappa*Users_x0/(Users_x0+(Kappa-Users_x0)*EXP(-Rate_r*E92))</f>
        <v>5.63196831716299</v>
      </c>
    </row>
    <row r="93" customFormat="false" ht="15" hidden="false" customHeight="false" outlineLevel="0" collapsed="false">
      <c r="A93" s="18" t="n">
        <v>63</v>
      </c>
      <c r="C93" s="12" t="n">
        <f aca="false">C92+(1/C$29)*Rate_r*C92*(1-C92/Kappa)</f>
        <v>67.7668517223704</v>
      </c>
      <c r="D93" s="12" t="n">
        <f aca="false">D92+(1/D$29)*Rate_r*D92*(1-D92/Kappa)</f>
        <v>5.67801179972517</v>
      </c>
      <c r="E93" s="15" t="n">
        <f aca="false">A93/$D$29</f>
        <v>1.21153846153846</v>
      </c>
      <c r="F93" s="12" t="n">
        <f aca="false">Kappa*Users_x0/(Users_x0+(Kappa-Users_x0)*EXP(-Rate_r*E93))</f>
        <v>5.72466435993195</v>
      </c>
    </row>
    <row r="94" customFormat="false" ht="15" hidden="false" customHeight="false" outlineLevel="0" collapsed="false">
      <c r="A94" s="18" t="n">
        <v>64</v>
      </c>
      <c r="C94" s="12" t="n">
        <f aca="false">C93+(1/C$29)*Rate_r*C93*(1-C93/Kappa)</f>
        <v>69.4051059572769</v>
      </c>
      <c r="D94" s="12" t="n">
        <f aca="false">D93+(1/D$29)*Rate_r*D93*(1-D93/Kappa)</f>
        <v>5.77070511237464</v>
      </c>
      <c r="E94" s="15" t="n">
        <f aca="false">A94/$D$29</f>
        <v>1.23076923076923</v>
      </c>
      <c r="F94" s="12" t="n">
        <f aca="false">Kappa*Users_x0/(Users_x0+(Kappa-Users_x0)*EXP(-Rate_r*E94))</f>
        <v>5.81879200413739</v>
      </c>
    </row>
    <row r="95" customFormat="false" ht="15" hidden="false" customHeight="false" outlineLevel="0" collapsed="false">
      <c r="A95" s="18" t="n">
        <v>65</v>
      </c>
      <c r="C95" s="12" t="n">
        <f aca="false">C94+(1/C$29)*Rate_r*C94*(1-C94/Kappa)</f>
        <v>70.997687354367</v>
      </c>
      <c r="D95" s="12" t="n">
        <f aca="false">D94+(1/D$29)*Rate_r*D94*(1-D94/Kappa)</f>
        <v>5.86481905975332</v>
      </c>
      <c r="E95" s="15" t="n">
        <f aca="false">A95/$D$29</f>
        <v>1.25</v>
      </c>
      <c r="F95" s="12" t="n">
        <f aca="false">Kappa*Users_x0/(Users_x0+(Kappa-Users_x0)*EXP(-Rate_r*E95))</f>
        <v>5.91437024514237</v>
      </c>
    </row>
    <row r="96" customFormat="false" ht="15" hidden="false" customHeight="false" outlineLevel="0" collapsed="false">
      <c r="A96" s="18" t="n">
        <v>66</v>
      </c>
      <c r="C96" s="12" t="n">
        <f aca="false">C95+(1/C$29)*Rate_r*C95*(1-C95/Kappa)</f>
        <v>72.5420101986932</v>
      </c>
      <c r="D96" s="12" t="n">
        <f aca="false">D95+(1/D$29)*Rate_r*D95*(1-D95/Kappa)</f>
        <v>5.96037237187534</v>
      </c>
      <c r="E96" s="15" t="n">
        <f aca="false">A96/$D$29</f>
        <v>1.26923076923077</v>
      </c>
      <c r="F96" s="12" t="n">
        <f aca="false">Kappa*Users_x0/(Users_x0+(Kappa-Users_x0)*EXP(-Rate_r*E96))</f>
        <v>6.01141822705648</v>
      </c>
    </row>
    <row r="97" customFormat="false" ht="15" hidden="false" customHeight="false" outlineLevel="0" collapsed="false">
      <c r="A97" s="18" t="n">
        <v>67</v>
      </c>
      <c r="C97" s="12" t="n">
        <f aca="false">C96+(1/C$29)*Rate_r*C96*(1-C96/Kappa)</f>
        <v>74.0359035308447</v>
      </c>
      <c r="D97" s="12" t="n">
        <f aca="false">D96+(1/D$29)*Rate_r*D96*(1-D96/Kappa)</f>
        <v>6.05738392544044</v>
      </c>
      <c r="E97" s="15" t="n">
        <f aca="false">A97/$D$29</f>
        <v>1.28846153846154</v>
      </c>
      <c r="F97" s="12" t="n">
        <f aca="false">Kappa*Users_x0/(Users_x0+(Kappa-Users_x0)*EXP(-Rate_r*E97))</f>
        <v>6.10995524024149</v>
      </c>
    </row>
    <row r="98" customFormat="false" ht="15" hidden="false" customHeight="false" outlineLevel="0" collapsed="false">
      <c r="A98" s="18" t="n">
        <v>68</v>
      </c>
      <c r="C98" s="12" t="n">
        <f aca="false">C97+(1/C$29)*Rate_r*C97*(1-C97/Kappa)</f>
        <v>75.4776100369367</v>
      </c>
      <c r="D98" s="12" t="n">
        <f aca="false">D97+(1/D$29)*Rate_r*D97*(1-D97/Kappa)</f>
        <v>6.15587274145418</v>
      </c>
      <c r="E98" s="15" t="n">
        <f aca="false">A98/$D$29</f>
        <v>1.30769230769231</v>
      </c>
      <c r="F98" s="12" t="n">
        <f aca="false">Kappa*Users_x0/(Users_x0+(Kappa-Users_x0)*EXP(-Rate_r*E98))</f>
        <v>6.21000071865552</v>
      </c>
    </row>
    <row r="99" customFormat="false" ht="15" hidden="false" customHeight="false" outlineLevel="0" collapsed="false">
      <c r="A99" s="18" t="n">
        <v>69</v>
      </c>
      <c r="C99" s="12" t="n">
        <f aca="false">C98+(1/C$29)*Rate_r*C98*(1-C98/Kappa)</f>
        <v>76.865778577041</v>
      </c>
      <c r="D99" s="12" t="n">
        <f aca="false">D98+(1/D$29)*Rate_r*D98*(1-D98/Kappa)</f>
        <v>6.25585798269318</v>
      </c>
      <c r="E99" s="15" t="n">
        <f aca="false">A99/$D$29</f>
        <v>1.32692307692308</v>
      </c>
      <c r="F99" s="12" t="n">
        <f aca="false">Kappa*Users_x0/(Users_x0+(Kappa-Users_x0)*EXP(-Rate_r*E99))</f>
        <v>6.31157423703143</v>
      </c>
    </row>
    <row r="100" customFormat="false" ht="15" hidden="false" customHeight="false" outlineLevel="0" collapsed="false">
      <c r="A100" s="18" t="n">
        <v>70</v>
      </c>
      <c r="C100" s="12" t="n">
        <f aca="false">C99+(1/C$29)*Rate_r*C99*(1-C99/Kappa)</f>
        <v>78.1994510331281</v>
      </c>
      <c r="D100" s="12" t="n">
        <f aca="false">D99+(1/D$29)*Rate_r*D99*(1-D99/Kappa)</f>
        <v>6.35735895101101</v>
      </c>
      <c r="E100" s="15" t="n">
        <f aca="false">A100/$D$29</f>
        <v>1.34615384615385</v>
      </c>
      <c r="F100" s="12" t="n">
        <f aca="false">Kappa*Users_x0/(Users_x0+(Kappa-Users_x0)*EXP(-Rate_r*E100))</f>
        <v>6.41469550788498</v>
      </c>
    </row>
    <row r="101" customFormat="false" ht="15" hidden="false" customHeight="false" outlineLevel="0" collapsed="false">
      <c r="A101" s="18" t="n">
        <v>71</v>
      </c>
      <c r="C101" s="12" t="n">
        <f aca="false">C100+(1/C$29)*Rate_r*C100*(1-C100/Kappa)</f>
        <v>79.4780442542007</v>
      </c>
      <c r="D101" s="12" t="n">
        <f aca="false">D100+(1/D$29)*Rate_r*D100*(1-D100/Kappa)</f>
        <v>6.46039508448067</v>
      </c>
      <c r="E101" s="15" t="n">
        <f aca="false">A101/$D$29</f>
        <v>1.36538461538462</v>
      </c>
      <c r="F101" s="12" t="n">
        <f aca="false">Kappa*Users_x0/(Users_x0+(Kappa-Users_x0)*EXP(-Rate_r*E101))</f>
        <v>6.5193843783485</v>
      </c>
    </row>
    <row r="102" customFormat="false" ht="15" hidden="false" customHeight="false" outlineLevel="0" collapsed="false">
      <c r="A102" s="18" t="n">
        <v>72</v>
      </c>
      <c r="C102" s="12" t="n">
        <f aca="false">C101+(1/C$29)*Rate_r*C101*(1-C101/Kappa)</f>
        <v>80.7013279344113</v>
      </c>
      <c r="D102" s="12" t="n">
        <f aca="false">D101+(1/D$29)*Rate_r*D101*(1-D101/Kappa)</f>
        <v>6.56498595436921</v>
      </c>
      <c r="E102" s="15" t="n">
        <f aca="false">A102/$D$29</f>
        <v>1.38461538461538</v>
      </c>
      <c r="F102" s="12" t="n">
        <f aca="false">Kappa*Users_x0/(Users_x0+(Kappa-Users_x0)*EXP(-Rate_r*E102))</f>
        <v>6.62566082682535</v>
      </c>
    </row>
    <row r="103" customFormat="false" ht="15" hidden="false" customHeight="false" outlineLevel="0" collapsed="false">
      <c r="A103" s="18" t="n">
        <v>73</v>
      </c>
      <c r="C103" s="12" t="n">
        <f aca="false">C102+(1/C$29)*Rate_r*C102*(1-C102/Kappa)</f>
        <v>81.8693992817091</v>
      </c>
      <c r="D103" s="12" t="n">
        <f aca="false">D102+(1/D$29)*Rate_r*D102*(1-D102/Kappa)</f>
        <v>6.67115126194042</v>
      </c>
      <c r="E103" s="15" t="n">
        <f aca="false">A103/$D$29</f>
        <v>1.40384615384615</v>
      </c>
      <c r="F103" s="12" t="n">
        <f aca="false">Kappa*Users_x0/(Users_x0+(Kappa-Users_x0)*EXP(-Rate_r*E103))</f>
        <v>6.73354495946098</v>
      </c>
    </row>
    <row r="104" customFormat="false" ht="15" hidden="false" customHeight="false" outlineLevel="0" collapsed="false">
      <c r="A104" s="18" t="n">
        <v>74</v>
      </c>
      <c r="C104" s="12" t="n">
        <f aca="false">C103+(1/C$29)*Rate_r*C103*(1-C103/Kappa)</f>
        <v>82.9826553237763</v>
      </c>
      <c r="D104" s="12" t="n">
        <f aca="false">D103+(1/D$29)*Rate_r*D103*(1-D103/Kappa)</f>
        <v>6.77891083508098</v>
      </c>
      <c r="E104" s="15" t="n">
        <f aca="false">A104/$D$29</f>
        <v>1.42307692307692</v>
      </c>
      <c r="F104" s="12" t="n">
        <f aca="false">Kappa*Users_x0/(Users_x0+(Kappa-Users_x0)*EXP(-Rate_r*E104))</f>
        <v>6.84305700642601</v>
      </c>
    </row>
    <row r="105" customFormat="false" ht="15" hidden="false" customHeight="false" outlineLevel="0" collapsed="false">
      <c r="A105" s="18" t="n">
        <v>75</v>
      </c>
      <c r="C105" s="12" t="n">
        <f aca="false">C104+(1/C$29)*Rate_r*C104*(1-C104/Kappa)</f>
        <v>84.041763659621</v>
      </c>
      <c r="D105" s="12" t="n">
        <f aca="false">D104+(1/D$29)*Rate_r*D104*(1-D104/Kappa)</f>
        <v>6.88828462474604</v>
      </c>
      <c r="E105" s="15" t="n">
        <f aca="false">A105/$D$29</f>
        <v>1.44230769230769</v>
      </c>
      <c r="F105" s="12" t="n">
        <f aca="false">Kappa*Users_x0/(Users_x0+(Kappa-Users_x0)*EXP(-Rate_r*E105))</f>
        <v>6.95421731800678</v>
      </c>
    </row>
    <row r="106" customFormat="false" ht="15" hidden="false" customHeight="false" outlineLevel="0" collapsed="false">
      <c r="A106" s="18" t="n">
        <v>76</v>
      </c>
      <c r="C106" s="12" t="n">
        <f aca="false">C105+(1/C$29)*Rate_r*C105*(1-C105/Kappa)</f>
        <v>85.0476324048279</v>
      </c>
      <c r="D106" s="12" t="n">
        <f aca="false">D105+(1/D$29)*Rate_r*D105*(1-D105/Kappa)</f>
        <v>6.99929270121965</v>
      </c>
      <c r="E106" s="15" t="n">
        <f aca="false">A106/$D$29</f>
        <v>1.46153846153846</v>
      </c>
      <c r="F106" s="12" t="n">
        <f aca="false">Kappa*Users_x0/(Users_x0+(Kappa-Users_x0)*EXP(-Rate_r*E106))</f>
        <v>7.06704636049902</v>
      </c>
    </row>
    <row r="107" customFormat="false" ht="15" hidden="false" customHeight="false" outlineLevel="0" collapsed="false">
      <c r="A107" s="18" t="n">
        <v>77</v>
      </c>
      <c r="C107" s="12" t="n">
        <f aca="false">C106+(1/C$29)*Rate_r*C106*(1-C106/Kappa)</f>
        <v>86.00138000194</v>
      </c>
      <c r="D107" s="12" t="n">
        <f aca="false">D106+(1/D$29)*Rate_r*D106*(1-D106/Kappa)</f>
        <v>7.11195525018583</v>
      </c>
      <c r="E107" s="15" t="n">
        <f aca="false">A107/$D$29</f>
        <v>1.48076923076923</v>
      </c>
      <c r="F107" s="12" t="n">
        <f aca="false">Kappa*Users_x0/(Users_x0+(Kappa-Users_x0)*EXP(-Rate_r*E107))</f>
        <v>7.18156471190005</v>
      </c>
    </row>
    <row r="108" customFormat="false" ht="15" hidden="false" customHeight="false" outlineLevel="0" collapsed="false">
      <c r="A108" s="18" t="n">
        <v>78</v>
      </c>
      <c r="C108" s="12" t="n">
        <f aca="false">C107+(1/C$29)*Rate_r*C107*(1-C107/Kappa)</f>
        <v>86.9043054804069</v>
      </c>
      <c r="D108" s="12" t="n">
        <f aca="false">D107+(1/D$29)*Rate_r*D107*(1-D107/Kappa)</f>
        <v>7.22629256860586</v>
      </c>
      <c r="E108" s="15" t="n">
        <f aca="false">A108/$D$29</f>
        <v>1.5</v>
      </c>
      <c r="F108" s="12" t="n">
        <f aca="false">Kappa*Users_x0/(Users_x0+(Kappa-Users_x0)*EXP(-Rate_r*E108))</f>
        <v>7.29779305739507</v>
      </c>
    </row>
    <row r="109" customFormat="false" ht="15" hidden="false" customHeight="false" outlineLevel="0" collapsed="false">
      <c r="A109" s="18" t="n">
        <v>79</v>
      </c>
      <c r="C109" s="12" t="n">
        <f aca="false">C108+(1/C$29)*Rate_r*C108*(1-C108/Kappa)</f>
        <v>87.7578596581635</v>
      </c>
      <c r="D109" s="12" t="n">
        <f aca="false">D108+(1/D$29)*Rate_r*D108*(1-D108/Kappa)</f>
        <v>7.34232506039743</v>
      </c>
      <c r="E109" s="15" t="n">
        <f aca="false">A109/$D$29</f>
        <v>1.51923076923077</v>
      </c>
      <c r="F109" s="12" t="n">
        <f aca="false">Kappa*Users_x0/(Users_x0+(Kappa-Users_x0)*EXP(-Rate_r*E109))</f>
        <v>7.41575218463317</v>
      </c>
    </row>
    <row r="110" customFormat="false" ht="15" hidden="false" customHeight="false" outlineLevel="0" collapsed="false">
      <c r="A110" s="18" t="n">
        <v>80</v>
      </c>
      <c r="C110" s="12" t="n">
        <f aca="false">C109+(1/C$29)*Rate_r*C109*(1-C109/Kappa)</f>
        <v>88.5636176836893</v>
      </c>
      <c r="D110" s="12" t="n">
        <f aca="false">D109+(1/D$29)*Rate_r*D109*(1-D109/Kappa)</f>
        <v>7.46007323191137</v>
      </c>
      <c r="E110" s="15" t="n">
        <f aca="false">A110/$D$29</f>
        <v>1.53846153846154</v>
      </c>
      <c r="F110" s="12" t="n">
        <f aca="false">Kappa*Users_x0/(Users_x0+(Kappa-Users_x0)*EXP(-Rate_r*E110))</f>
        <v>7.53546297878839</v>
      </c>
    </row>
    <row r="111" customFormat="false" ht="15" hidden="false" customHeight="false" outlineLevel="0" collapsed="false">
      <c r="A111" s="18" t="n">
        <v>81</v>
      </c>
      <c r="C111" s="12" t="n">
        <f aca="false">C110+(1/C$29)*Rate_r*C110*(1-C110/Kappa)</f>
        <v>89.323253227049</v>
      </c>
      <c r="D111" s="12" t="n">
        <f aca="false">D110+(1/D$29)*Rate_r*D110*(1-D110/Kappa)</f>
        <v>7.57955768720158</v>
      </c>
      <c r="E111" s="15" t="n">
        <f aca="false">A111/$D$29</f>
        <v>1.55769230769231</v>
      </c>
      <c r="F111" s="12" t="n">
        <f aca="false">Kappa*Users_x0/(Users_x0+(Kappa-Users_x0)*EXP(-Rate_r*E111))</f>
        <v>7.65694641740175</v>
      </c>
    </row>
    <row r="112" customFormat="false" ht="15" hidden="false" customHeight="false" outlineLevel="0" collapsed="false">
      <c r="A112" s="18" t="n">
        <v>82</v>
      </c>
      <c r="C112" s="12" t="n">
        <f aca="false">C111+(1/C$29)*Rate_r*C111*(1-C111/Kappa)</f>
        <v>90.03851454378</v>
      </c>
      <c r="D112" s="12" t="n">
        <f aca="false">D111+(1/D$29)*Rate_r*D111*(1-D111/Kappa)</f>
        <v>7.70079912308386</v>
      </c>
      <c r="E112" s="15" t="n">
        <f aca="false">A112/$D$29</f>
        <v>1.57692307692308</v>
      </c>
      <c r="F112" s="12" t="n">
        <f aca="false">Kappa*Users_x0/(Users_x0+(Kappa-Users_x0)*EXP(-Rate_r*E112))</f>
        <v>7.78022356499955</v>
      </c>
    </row>
    <row r="113" customFormat="false" ht="15" hidden="false" customHeight="false" outlineLevel="0" collapsed="false">
      <c r="A113" s="18" t="n">
        <v>83</v>
      </c>
      <c r="C113" s="12" t="n">
        <f aca="false">C112+(1/C$29)*Rate_r*C112*(1-C112/Kappa)</f>
        <v>90.7112025586257</v>
      </c>
      <c r="D113" s="12" t="n">
        <f aca="false">D112+(1/D$29)*Rate_r*D112*(1-D112/Kappa)</f>
        <v>7.82381832397942</v>
      </c>
      <c r="E113" s="15" t="n">
        <f aca="false">A113/$D$29</f>
        <v>1.59615384615385</v>
      </c>
      <c r="F113" s="12" t="n">
        <f aca="false">Kappa*Users_x0/(Users_x0+(Kappa-Users_x0)*EXP(-Rate_r*E113))</f>
        <v>7.90531556748386</v>
      </c>
    </row>
    <row r="114" customFormat="false" ht="15" hidden="false" customHeight="false" outlineLevel="0" collapsed="false">
      <c r="A114" s="18" t="n">
        <v>84</v>
      </c>
      <c r="C114" s="12" t="n">
        <f aca="false">C113+(1/C$29)*Rate_r*C113*(1-C113/Kappa)</f>
        <v>91.3431510482986</v>
      </c>
      <c r="D114" s="12" t="n">
        <f aca="false">D113+(1/D$29)*Rate_r*D113*(1-D113/Kappa)</f>
        <v>7.94863615653868</v>
      </c>
      <c r="E114" s="15" t="n">
        <f aca="false">A114/$D$29</f>
        <v>1.61538461538462</v>
      </c>
      <c r="F114" s="12" t="n">
        <f aca="false">Kappa*Users_x0/(Users_x0+(Kappa-Users_x0)*EXP(-Rate_r*E114))</f>
        <v>8.03224364629082</v>
      </c>
    </row>
    <row r="115" customFormat="false" ht="15" hidden="false" customHeight="false" outlineLevel="0" collapsed="false">
      <c r="A115" s="18" t="n">
        <v>85</v>
      </c>
      <c r="C115" s="12" t="n">
        <f aca="false">C114+(1/C$29)*Rate_r*C114*(1-C114/Kappa)</f>
        <v>91.9362089443468</v>
      </c>
      <c r="D115" s="12" t="n">
        <f aca="false">D114+(1/D$29)*Rate_r*D114*(1-D114/Kappa)</f>
        <v>8.07527356404144</v>
      </c>
      <c r="E115" s="15" t="n">
        <f aca="false">A115/$D$29</f>
        <v>1.63461538461538</v>
      </c>
      <c r="F115" s="12" t="n">
        <f aca="false">Kappa*Users_x0/(Users_x0+(Kappa-Users_x0)*EXP(-Rate_r*E115))</f>
        <v>8.16102909231246</v>
      </c>
    </row>
    <row r="116" customFormat="false" ht="15" hidden="false" customHeight="false" outlineLevel="0" collapsed="false">
      <c r="A116" s="18" t="n">
        <v>86</v>
      </c>
      <c r="C116" s="12" t="n">
        <f aca="false">C115+(1/C$29)*Rate_r*C115*(1-C115/Kappa)</f>
        <v>92.4922247288788</v>
      </c>
      <c r="D116" s="12" t="n">
        <f aca="false">D115+(1/D$29)*Rate_r*D115*(1-D115/Kappa)</f>
        <v>8.20375156056895</v>
      </c>
      <c r="E116" s="15" t="n">
        <f aca="false">A116/$D$29</f>
        <v>1.65384615384615</v>
      </c>
      <c r="F116" s="12" t="n">
        <f aca="false">Kappa*Users_x0/(Users_x0+(Kappa-Users_x0)*EXP(-Rate_r*E116))</f>
        <v>8.29169325957811</v>
      </c>
    </row>
    <row r="117" customFormat="false" ht="15" hidden="false" customHeight="false" outlineLevel="0" collapsed="false">
      <c r="A117" s="18" t="n">
        <v>87</v>
      </c>
      <c r="C117" s="12" t="n">
        <f aca="false">C116+(1/C$29)*Rate_r*C116*(1-C116/Kappa)</f>
        <v>93.0130328570717</v>
      </c>
      <c r="D117" s="12" t="n">
        <f aca="false">D116+(1/D$29)*Rate_r*D116*(1-D116/Kappa)</f>
        <v>8.33409122494403</v>
      </c>
      <c r="E117" s="15" t="n">
        <f aca="false">A117/$D$29</f>
        <v>1.67307692307692</v>
      </c>
      <c r="F117" s="12" t="n">
        <f aca="false">Kappa*Users_x0/(Users_x0+(Kappa-Users_x0)*EXP(-Rate_r*E117))</f>
        <v>8.4242575586911</v>
      </c>
    </row>
    <row r="118" customFormat="false" ht="15" hidden="false" customHeight="false" outlineLevel="0" collapsed="false">
      <c r="A118" s="18" t="n">
        <v>88</v>
      </c>
      <c r="C118" s="12" t="n">
        <f aca="false">C117+(1/C$29)*Rate_r*C117*(1-C117/Kappa)</f>
        <v>93.500442110399</v>
      </c>
      <c r="D118" s="12" t="n">
        <f aca="false">D117+(1/D$29)*Rate_r*D117*(1-D117/Kappa)</f>
        <v>8.46631369443515</v>
      </c>
      <c r="E118" s="15" t="n">
        <f aca="false">A118/$D$29</f>
        <v>1.69230769230769</v>
      </c>
      <c r="F118" s="12" t="n">
        <f aca="false">Kappa*Users_x0/(Users_x0+(Kappa-Users_x0)*EXP(-Rate_r*E118))</f>
        <v>8.55874345001692</v>
      </c>
    </row>
    <row r="119" customFormat="false" ht="15" hidden="false" customHeight="false" outlineLevel="0" collapsed="false">
      <c r="A119" s="18" t="n">
        <v>89</v>
      </c>
      <c r="C119" s="12" t="n">
        <f aca="false">C118+(1/C$29)*Rate_r*C118*(1-C118/Kappa)</f>
        <v>93.9562257625489</v>
      </c>
      <c r="D119" s="12" t="n">
        <f aca="false">D118+(1/D$29)*Rate_r*D118*(1-D118/Kappa)</f>
        <v>8.6004401582205</v>
      </c>
      <c r="E119" s="15" t="n">
        <f aca="false">A119/$D$29</f>
        <v>1.71153846153846</v>
      </c>
      <c r="F119" s="12" t="n">
        <f aca="false">Kappa*Users_x0/(Users_x0+(Kappa-Users_x0)*EXP(-Rate_r*E119))</f>
        <v>8.6951724366189</v>
      </c>
    </row>
    <row r="120" customFormat="false" ht="15" hidden="false" customHeight="false" outlineLevel="0" collapsed="false">
      <c r="A120" s="18" t="n">
        <v>90</v>
      </c>
      <c r="C120" s="12" t="n">
        <f aca="false">C119+(1/C$29)*Rate_r*C119*(1-C119/Kappa)</f>
        <v>94.3821134250828</v>
      </c>
      <c r="D120" s="12" t="n">
        <f aca="false">D119+(1/D$29)*Rate_r*D119*(1-D119/Kappa)</f>
        <v>8.73649185060824</v>
      </c>
      <c r="E120" s="15" t="n">
        <f aca="false">A120/$D$29</f>
        <v>1.73076923076923</v>
      </c>
      <c r="F120" s="12" t="n">
        <f aca="false">Kappa*Users_x0/(Users_x0+(Kappa-Users_x0)*EXP(-Rate_r*E120))</f>
        <v>8.83356605693765</v>
      </c>
    </row>
    <row r="121" customFormat="false" ht="15" hidden="false" customHeight="false" outlineLevel="0" collapsed="false">
      <c r="A121" s="18" t="n">
        <v>91</v>
      </c>
      <c r="C121" s="12" t="n">
        <f aca="false">C120+(1/C$29)*Rate_r*C120*(1-C120/Kappa)</f>
        <v>94.7797844310251</v>
      </c>
      <c r="D121" s="12" t="n">
        <f aca="false">D120+(1/D$29)*Rate_r*D120*(1-D120/Kappa)</f>
        <v>8.87449004400912</v>
      </c>
      <c r="E121" s="15" t="n">
        <f aca="false">A121/$D$29</f>
        <v>1.75</v>
      </c>
      <c r="F121" s="12" t="n">
        <f aca="false">Kappa*Users_x0/(Users_x0+(Kappa-Users_x0)*EXP(-Rate_r*E121))</f>
        <v>8.97394587721056</v>
      </c>
    </row>
    <row r="122" customFormat="false" ht="15" hidden="false" customHeight="false" outlineLevel="0" collapsed="false">
      <c r="A122" s="18" t="n">
        <v>92</v>
      </c>
      <c r="C122" s="12" t="n">
        <f aca="false">C121+(1/C$29)*Rate_r*C121*(1-C121/Kappa)</f>
        <v>95.1508626107583</v>
      </c>
      <c r="D122" s="12" t="n">
        <f aca="false">D121+(1/D$29)*Rate_r*D121*(1-D121/Kappa)</f>
        <v>9.01445604165791</v>
      </c>
      <c r="E122" s="15" t="n">
        <f aca="false">A122/$D$29</f>
        <v>1.76923076923077</v>
      </c>
      <c r="F122" s="12" t="n">
        <f aca="false">Kappa*Users_x0/(Users_x0+(Kappa-Users_x0)*EXP(-Rate_r*E122))</f>
        <v>9.11633348362802</v>
      </c>
    </row>
    <row r="123" customFormat="false" ht="15" hidden="false" customHeight="false" outlineLevel="0" collapsed="false">
      <c r="A123" s="18" t="n">
        <v>93</v>
      </c>
      <c r="C123" s="12" t="n">
        <f aca="false">C122+(1/C$29)*Rate_r*C122*(1-C122/Kappa)</f>
        <v>95.4969123148866</v>
      </c>
      <c r="D123" s="12" t="n">
        <f aca="false">D122+(1/D$29)*Rate_r*D122*(1-D122/Kappa)</f>
        <v>9.15641117008001</v>
      </c>
      <c r="E123" s="15" t="n">
        <f aca="false">A123/$D$29</f>
        <v>1.78846153846154</v>
      </c>
      <c r="F123" s="12" t="n">
        <f aca="false">Kappa*Users_x0/(Users_x0+(Kappa-Users_x0)*EXP(-Rate_r*E123))</f>
        <v>9.26075047422266</v>
      </c>
    </row>
    <row r="124" customFormat="false" ht="15" hidden="false" customHeight="false" outlineLevel="0" collapsed="false">
      <c r="A124" s="18" t="n">
        <v>94</v>
      </c>
      <c r="C124" s="12" t="n">
        <f aca="false">C123+(1/C$29)*Rate_r*C123*(1-C123/Kappa)</f>
        <v>95.8194355422452</v>
      </c>
      <c r="D124" s="12" t="n">
        <f aca="false">D123+(1/D$29)*Rate_r*D123*(1-D123/Kappa)</f>
        <v>9.30037677129986</v>
      </c>
      <c r="E124" s="15" t="n">
        <f aca="false">A124/$D$29</f>
        <v>1.80769230769231</v>
      </c>
      <c r="F124" s="12" t="n">
        <f aca="false">Kappa*Users_x0/(Users_x0+(Kappa-Users_x0)*EXP(-Rate_r*E124))</f>
        <v>9.40721845048864</v>
      </c>
    </row>
    <row r="125" customFormat="false" ht="15" hidden="false" customHeight="false" outlineLevel="0" collapsed="false">
      <c r="A125" s="18" t="n">
        <v>95</v>
      </c>
      <c r="C125" s="12" t="n">
        <f aca="false">C124+(1/C$29)*Rate_r*C124*(1-C124/Kappa)</f>
        <v>96.1198700371878</v>
      </c>
      <c r="D125" s="12" t="n">
        <f aca="false">D124+(1/D$29)*Rate_r*D124*(1-D124/Kappa)</f>
        <v>9.44637419478787</v>
      </c>
      <c r="E125" s="15" t="n">
        <f aca="false">A125/$D$29</f>
        <v>1.82692307692308</v>
      </c>
      <c r="F125" s="12" t="n">
        <f aca="false">Kappa*Users_x0/(Users_x0+(Kappa-Users_x0)*EXP(-Rate_r*E125))</f>
        <v>9.55575900872789</v>
      </c>
    </row>
    <row r="126" customFormat="false" ht="15" hidden="false" customHeight="false" outlineLevel="0" collapsed="false">
      <c r="A126" s="18" t="n">
        <v>96</v>
      </c>
      <c r="C126" s="12" t="n">
        <f aca="false">C125+(1/C$29)*Rate_r*C125*(1-C125/Kappa)</f>
        <v>96.3995882280024</v>
      </c>
      <c r="D126" s="12" t="n">
        <f aca="false">D125+(1/D$29)*Rate_r*D125*(1-D125/Kappa)</f>
        <v>9.59442478914282</v>
      </c>
      <c r="E126" s="15" t="n">
        <f aca="false">A126/$D$29</f>
        <v>1.84615384615385</v>
      </c>
      <c r="F126" s="12" t="n">
        <f aca="false">Kappa*Users_x0/(Users_x0+(Kappa-Users_x0)*EXP(-Rate_r*E126))</f>
        <v>9.70639373112031</v>
      </c>
    </row>
    <row r="127" customFormat="false" ht="15" hidden="false" customHeight="false" outlineLevel="0" collapsed="false">
      <c r="A127" s="18" t="n">
        <v>97</v>
      </c>
      <c r="C127" s="12" t="n">
        <f aca="false">C126+(1/C$29)*Rate_r*C126*(1-C126/Kappa)</f>
        <v>96.6598968872063</v>
      </c>
      <c r="D127" s="12" t="n">
        <f aca="false">D126+(1/D$29)*Rate_r*D126*(1-D126/Kappa)</f>
        <v>9.74454989350663</v>
      </c>
      <c r="E127" s="15" t="n">
        <f aca="false">A127/$D$29</f>
        <v>1.86538461538462</v>
      </c>
      <c r="F127" s="12" t="n">
        <f aca="false">Kappa*Users_x0/(Users_x0+(Kappa-Users_x0)*EXP(-Rate_r*E127))</f>
        <v>9.85914417651522</v>
      </c>
    </row>
    <row r="128" customFormat="false" ht="15" hidden="false" customHeight="false" outlineLevel="0" collapsed="false">
      <c r="A128" s="18" t="n">
        <v>98</v>
      </c>
      <c r="C128" s="12" t="n">
        <f aca="false">C127+(1/C$29)*Rate_r*C127*(1-C127/Kappa)</f>
        <v>96.9020374040627</v>
      </c>
      <c r="D128" s="12" t="n">
        <f aca="false">D127+(1/D$29)*Rate_r*D127*(1-D127/Kappa)</f>
        <v>9.89677082870879</v>
      </c>
      <c r="E128" s="15" t="n">
        <f aca="false">A128/$D$29</f>
        <v>1.88461538461538</v>
      </c>
      <c r="F128" s="12" t="n">
        <f aca="false">Kappa*Users_x0/(Users_x0+(Kappa-Users_x0)*EXP(-Rate_r*E128))</f>
        <v>10.0140318709418</v>
      </c>
    </row>
    <row r="129" customFormat="false" ht="15" hidden="false" customHeight="false" outlineLevel="0" collapsed="false">
      <c r="A129" s="18" t="n">
        <v>99</v>
      </c>
      <c r="C129" s="12" t="n">
        <f aca="false">C128+(1/C$29)*Rate_r*C128*(1-C128/Kappa)</f>
        <v>97.1271865695737</v>
      </c>
      <c r="D129" s="12" t="n">
        <f aca="false">D128+(1/D$29)*Rate_r*D128*(1-D128/Kappa)</f>
        <v>10.0511088881379</v>
      </c>
      <c r="E129" s="15" t="n">
        <f aca="false">A129/$D$29</f>
        <v>1.90384615384615</v>
      </c>
      <c r="F129" s="12" t="n">
        <f aca="false">Kappa*Users_x0/(Users_x0+(Kappa-Users_x0)*EXP(-Rate_r*E129))</f>
        <v>10.171078297836</v>
      </c>
    </row>
    <row r="130" customFormat="false" ht="15" hidden="false" customHeight="false" outlineLevel="0" collapsed="false">
      <c r="A130" s="18" t="n">
        <v>100</v>
      </c>
      <c r="C130" s="12" t="n">
        <f aca="false">C129+(1/C$29)*Rate_r*C129*(1-C129/Kappa)</f>
        <v>97.3364577841011</v>
      </c>
      <c r="D130" s="12" t="n">
        <f aca="false">D129+(1/D$29)*Rate_r*D129*(1-D129/Kappa)</f>
        <v>10.2075853283378</v>
      </c>
      <c r="E130" s="15" t="n">
        <f aca="false">A130/$D$29</f>
        <v>1.92307692307692</v>
      </c>
      <c r="F130" s="12" t="n">
        <f aca="false">Kappa*Users_x0/(Users_x0+(Kappa-Users_x0)*EXP(-Rate_r*E130))</f>
        <v>10.3303048879818</v>
      </c>
    </row>
    <row r="131" customFormat="false" ht="15" hidden="false" customHeight="false" outlineLevel="0" collapsed="false">
      <c r="A131" s="18" t="n">
        <v>101</v>
      </c>
      <c r="C131" s="12" t="n">
        <f aca="false">C130+(1/C$29)*Rate_r*C130*(1-C130/Kappa)</f>
        <v>97.5309026074416</v>
      </c>
      <c r="D131" s="12" t="n">
        <f aca="false">D130+(1/D$29)*Rate_r*D130*(1-D130/Kappa)</f>
        <v>10.366221359326</v>
      </c>
      <c r="E131" s="15" t="n">
        <f aca="false">A131/$D$29</f>
        <v>1.94230769230769</v>
      </c>
      <c r="F131" s="12" t="n">
        <f aca="false">Kappa*Users_x0/(Users_x0+(Kappa-Users_x0)*EXP(-Rate_r*E131))</f>
        <v>10.4917330091655</v>
      </c>
    </row>
    <row r="132" customFormat="false" ht="15" hidden="false" customHeight="false" outlineLevel="0" collapsed="false">
      <c r="A132" s="18" t="n">
        <v>102</v>
      </c>
      <c r="C132" s="12" t="n">
        <f aca="false">C131+(1/C$29)*Rate_r*C131*(1-C131/Kappa)</f>
        <v>97.711512580433</v>
      </c>
      <c r="D132" s="12" t="n">
        <f aca="false">D131+(1/D$29)*Rate_r*D131*(1-D131/Kappa)</f>
        <v>10.5270381346329</v>
      </c>
      <c r="E132" s="15" t="n">
        <f aca="false">A132/$D$29</f>
        <v>1.96153846153846</v>
      </c>
      <c r="F132" s="12" t="n">
        <f aca="false">Kappa*Users_x0/(Users_x0+(Kappa-Users_x0)*EXP(-Rate_r*E132))</f>
        <v>10.6553839555408</v>
      </c>
    </row>
    <row r="133" customFormat="false" ht="15" hidden="false" customHeight="false" outlineLevel="0" collapsed="false">
      <c r="A133" s="18" t="n">
        <v>103</v>
      </c>
      <c r="C133" s="12" t="n">
        <f aca="false">C132+(1/C$29)*Rate_r*C132*(1-C132/Kappa)</f>
        <v>97.8792212558984</v>
      </c>
      <c r="D133" s="12" t="n">
        <f aca="false">D132+(1/D$29)*Rate_r*D132*(1-D132/Kappa)</f>
        <v>10.6900567410594</v>
      </c>
      <c r="E133" s="15" t="n">
        <f aca="false">A133/$D$29</f>
        <v>1.98076923076923</v>
      </c>
      <c r="F133" s="12" t="n">
        <f aca="false">Kappa*Users_x0/(Users_x0+(Kappa-Users_x0)*EXP(-Rate_r*E133))</f>
        <v>10.8212789367042</v>
      </c>
    </row>
    <row r="134" customFormat="false" ht="15" hidden="false" customHeight="false" outlineLevel="0" collapsed="false">
      <c r="A134" s="18" t="n">
        <v>104</v>
      </c>
      <c r="C134" s="12" t="n">
        <f aca="false">C133+(1/C$29)*Rate_r*C133*(1-C133/Kappa)</f>
        <v>98.034906384845</v>
      </c>
      <c r="D134" s="12" t="n">
        <f aca="false">D133+(1/D$29)*Rate_r*D133*(1-D133/Kappa)</f>
        <v>10.8552981881519</v>
      </c>
      <c r="E134" s="15" t="n">
        <f aca="false">A134/$D$29</f>
        <v>2</v>
      </c>
      <c r="F134" s="12" t="n">
        <f aca="false">Kappa*Users_x0/(Users_x0+(Kappa-Users_x0)*EXP(-Rate_r*E134))</f>
        <v>10.9894390664786</v>
      </c>
    </row>
    <row r="135" customFormat="false" ht="15" hidden="false" customHeight="false" outlineLevel="0" collapsed="false">
      <c r="A135" s="18" t="n">
        <v>105</v>
      </c>
      <c r="C135" s="12" t="n">
        <f aca="false">C134+(1/C$29)*Rate_r*C134*(1-C134/Kappa)</f>
        <v>98.1793922112944</v>
      </c>
      <c r="D135" s="12" t="n">
        <f aca="false">D134+(1/D$29)*Rate_r*D134*(1-D134/Kappa)</f>
        <v>11.0227833973933</v>
      </c>
      <c r="E135" s="15" t="n">
        <f aca="false">A135/$D$29</f>
        <v>2.01923076923077</v>
      </c>
      <c r="F135" s="12" t="n">
        <f aca="false">Kappa*Users_x0/(Users_x0+(Kappa-Users_x0)*EXP(-Rate_r*E135))</f>
        <v>11.1598853514063</v>
      </c>
    </row>
    <row r="136" customFormat="false" ht="15" hidden="false" customHeight="false" outlineLevel="0" collapsed="false">
      <c r="A136" s="18" t="n">
        <v>106</v>
      </c>
      <c r="C136" s="12" t="n">
        <f aca="false">C135+(1/C$29)*Rate_r*C135*(1-C135/Kappa)</f>
        <v>98.3134518359071</v>
      </c>
      <c r="D136" s="12" t="n">
        <f aca="false">D135+(1/D$29)*Rate_r*D135*(1-D135/Kappa)</f>
        <v>11.1925331911091</v>
      </c>
      <c r="E136" s="15" t="n">
        <f aca="false">A136/$D$29</f>
        <v>2.03846153846154</v>
      </c>
      <c r="F136" s="12" t="n">
        <f aca="false">Kappa*Users_x0/(Users_x0+(Kappa-Users_x0)*EXP(-Rate_r*E136))</f>
        <v>11.3326386789486</v>
      </c>
    </row>
    <row r="137" customFormat="false" ht="15" hidden="false" customHeight="false" outlineLevel="0" collapsed="false">
      <c r="A137" s="18" t="n">
        <v>107</v>
      </c>
      <c r="C137" s="12" t="n">
        <f aca="false">C136+(1/C$29)*Rate_r*C136*(1-C136/Kappa)</f>
        <v>98.4378096146817</v>
      </c>
      <c r="D137" s="12" t="n">
        <f aca="false">D136+(1/D$29)*Rate_r*D136*(1-D136/Kappa)</f>
        <v>11.3645682810877</v>
      </c>
      <c r="E137" s="15" t="n">
        <f aca="false">A137/$D$29</f>
        <v>2.05769230769231</v>
      </c>
      <c r="F137" s="12" t="n">
        <f aca="false">Kappa*Users_x0/(Users_x0+(Kappa-Users_x0)*EXP(-Rate_r*E137))</f>
        <v>11.507719805394</v>
      </c>
    </row>
    <row r="138" customFormat="false" ht="15" hidden="false" customHeight="false" outlineLevel="0" collapsed="false">
      <c r="A138" s="18" t="n">
        <v>108</v>
      </c>
      <c r="C138" s="12" t="n">
        <f aca="false">C137+(1/C$29)*Rate_r*C137*(1-C137/Kappa)</f>
        <v>98.5531435644806</v>
      </c>
      <c r="D138" s="12" t="n">
        <f aca="false">D137+(1/D$29)*Rate_r*D137*(1-D137/Kappa)</f>
        <v>11.5389092569154</v>
      </c>
      <c r="E138" s="15" t="n">
        <f aca="false">A138/$D$29</f>
        <v>2.07692307692308</v>
      </c>
      <c r="F138" s="12" t="n">
        <f aca="false">Kappa*Users_x0/(Users_x0+(Kappa-Users_x0)*EXP(-Rate_r*E138))</f>
        <v>11.6851493434746</v>
      </c>
    </row>
    <row r="139" customFormat="false" ht="15" hidden="false" customHeight="false" outlineLevel="0" collapsed="false">
      <c r="A139" s="18" t="n">
        <v>109</v>
      </c>
      <c r="C139" s="12" t="n">
        <f aca="false">C138+(1/C$29)*Rate_r*C138*(1-C138/Kappa)</f>
        <v>98.6600877519858</v>
      </c>
      <c r="D139" s="12" t="n">
        <f aca="false">D138+(1/D$29)*Rate_r*D138*(1-D138/Kappa)</f>
        <v>11.7155765740245</v>
      </c>
      <c r="E139" s="15" t="n">
        <f aca="false">A139/$D$29</f>
        <v>2.09615384615385</v>
      </c>
      <c r="F139" s="12" t="n">
        <f aca="false">Kappa*Users_x0/(Users_x0+(Kappa-Users_x0)*EXP(-Rate_r*E139))</f>
        <v>11.8649477496911</v>
      </c>
    </row>
    <row r="140" customFormat="false" ht="15" hidden="false" customHeight="false" outlineLevel="0" collapsed="false">
      <c r="A140" s="18" t="n">
        <v>110</v>
      </c>
      <c r="C140" s="12" t="n">
        <f aca="false">C139+(1/C$29)*Rate_r*C139*(1-C139/Kappa)</f>
        <v>98.7592346469626</v>
      </c>
      <c r="D140" s="12" t="n">
        <f aca="false">D139+(1/D$29)*Rate_r*D139*(1-D139/Kappa)</f>
        <v>11.8945905414565</v>
      </c>
      <c r="E140" s="15" t="n">
        <f aca="false">A140/$D$29</f>
        <v>2.11538461538462</v>
      </c>
      <c r="F140" s="12" t="n">
        <f aca="false">Kappa*Users_x0/(Users_x0+(Kappa-Users_x0)*EXP(-Rate_r*E140))</f>
        <v>12.0471353113479</v>
      </c>
    </row>
    <row r="141" customFormat="false" ht="15" hidden="false" customHeight="false" outlineLevel="0" collapsed="false">
      <c r="A141" s="18" t="n">
        <v>111</v>
      </c>
      <c r="C141" s="12" t="n">
        <f aca="false">C140+(1/C$29)*Rate_r*C140*(1-C140/Kappa)</f>
        <v>98.8511374244444</v>
      </c>
      <c r="D141" s="12" t="n">
        <f aca="false">D140+(1/D$29)*Rate_r*D140*(1-D140/Kappa)</f>
        <v>12.0759713093405</v>
      </c>
      <c r="E141" s="15" t="n">
        <f aca="false">A141/$D$29</f>
        <v>2.13461538461538</v>
      </c>
      <c r="F141" s="12" t="n">
        <f aca="false">Kappa*Users_x0/(Users_x0+(Kappa-Users_x0)*EXP(-Rate_r*E141))</f>
        <v>12.2317321332998</v>
      </c>
    </row>
    <row r="142" customFormat="false" ht="15" hidden="false" customHeight="false" outlineLevel="0" collapsed="false">
      <c r="A142" s="18" t="n">
        <v>112</v>
      </c>
      <c r="C142" s="12" t="n">
        <f aca="false">C141+(1/C$29)*Rate_r*C141*(1-C141/Kappa)</f>
        <v>98.9363122036979</v>
      </c>
      <c r="D142" s="12" t="n">
        <f aca="false">D141+(1/D$29)*Rate_r*D141*(1-D141/Kappa)</f>
        <v>12.2597388560873</v>
      </c>
      <c r="E142" s="15" t="n">
        <f aca="false">A142/$D$29</f>
        <v>2.15384615384615</v>
      </c>
      <c r="F142" s="12" t="n">
        <f aca="false">Kappa*Users_x0/(Users_x0+(Kappa-Users_x0)*EXP(-Rate_r*E142))</f>
        <v>12.4187581244114</v>
      </c>
    </row>
    <row r="143" customFormat="false" ht="15" hidden="false" customHeight="false" outlineLevel="0" collapsed="false">
      <c r="A143" s="18" t="n">
        <v>113</v>
      </c>
      <c r="C143" s="12" t="n">
        <f aca="false">C142+(1/C$29)*Rate_r*C142*(1-C142/Kappa)</f>
        <v>99.0152402146246</v>
      </c>
      <c r="D143" s="12" t="n">
        <f aca="false">D142+(1/D$29)*Rate_r*D142*(1-D142/Kappa)</f>
        <v>12.4459129753008</v>
      </c>
      <c r="E143" s="15" t="n">
        <f aca="false">A143/$D$29</f>
        <v>2.17307692307692</v>
      </c>
      <c r="F143" s="12" t="n">
        <f aca="false">Kappa*Users_x0/(Users_x0+(Kappa-Users_x0)*EXP(-Rate_r*E143))</f>
        <v>12.6082329837333</v>
      </c>
    </row>
    <row r="144" customFormat="false" ht="15" hidden="false" customHeight="false" outlineLevel="0" collapsed="false">
      <c r="A144" s="18" t="n">
        <v>114</v>
      </c>
      <c r="C144" s="12" t="n">
        <f aca="false">C143+(1/C$29)*Rate_r*C143*(1-C143/Kappa)</f>
        <v>99.0883698846516</v>
      </c>
      <c r="D144" s="12" t="n">
        <f aca="false">D143+(1/D$29)*Rate_r*D143*(1-D143/Kappa)</f>
        <v>12.6345132624099</v>
      </c>
      <c r="E144" s="15" t="n">
        <f aca="false">A144/$D$29</f>
        <v>2.19230769230769</v>
      </c>
      <c r="F144" s="12" t="n">
        <f aca="false">Kappa*Users_x0/(Users_x0+(Kappa-Users_x0)*EXP(-Rate_r*E144))</f>
        <v>12.8001761863957</v>
      </c>
    </row>
    <row r="145" customFormat="false" ht="15" hidden="false" customHeight="false" outlineLevel="0" collapsed="false">
      <c r="A145" s="18" t="n">
        <v>115</v>
      </c>
      <c r="C145" s="12" t="n">
        <f aca="false">C144+(1/C$29)*Rate_r*C144*(1-C144/Kappa)</f>
        <v>99.1561188412023</v>
      </c>
      <c r="D145" s="12" t="n">
        <f aca="false">D144+(1/D$29)*Rate_r*D144*(1-D144/Kappa)</f>
        <v>12.8255591010208</v>
      </c>
      <c r="E145" s="15" t="n">
        <f aca="false">A145/$D$29</f>
        <v>2.21153846153846</v>
      </c>
      <c r="F145" s="12" t="n">
        <f aca="false">Kappa*Users_x0/(Users_x0+(Kappa-Users_x0)*EXP(-Rate_r*E145))</f>
        <v>12.9946069692238</v>
      </c>
    </row>
    <row r="146" customFormat="false" ht="15" hidden="false" customHeight="false" outlineLevel="0" collapsed="false">
      <c r="A146" s="18" t="n">
        <v>116</v>
      </c>
      <c r="C146" s="12" t="n">
        <f aca="false">C145+(1/C$29)*Rate_r*C145*(1-C145/Kappa)</f>
        <v>99.2188758265545</v>
      </c>
      <c r="D146" s="12" t="n">
        <f aca="false">D145+(1/D$29)*Rate_r*D145*(1-D145/Kappa)</f>
        <v>13.0190696489945</v>
      </c>
      <c r="E146" s="15" t="n">
        <f aca="false">A146/$D$29</f>
        <v>2.23076923076923</v>
      </c>
      <c r="F146" s="12" t="n">
        <f aca="false">Kappa*Users_x0/(Users_x0+(Kappa-Users_x0)*EXP(-Rate_r*E146))</f>
        <v>13.1915443160795</v>
      </c>
    </row>
    <row r="147" customFormat="false" ht="15" hidden="false" customHeight="false" outlineLevel="0" collapsed="false">
      <c r="A147" s="18" t="n">
        <v>117</v>
      </c>
      <c r="C147" s="12" t="n">
        <f aca="false">C146+(1/C$29)*Rate_r*C146*(1-C146/Kappa)</f>
        <v>99.2770025233322</v>
      </c>
      <c r="D147" s="12" t="n">
        <f aca="false">D146+(1/D$29)*Rate_r*D146*(1-D146/Kappa)</f>
        <v>13.2150638242516</v>
      </c>
      <c r="E147" s="15" t="n">
        <f aca="false">A147/$D$29</f>
        <v>2.25</v>
      </c>
      <c r="F147" s="12" t="n">
        <f aca="false">Kappa*Users_x0/(Users_x0+(Kappa-Users_x0)*EXP(-Rate_r*E147))</f>
        <v>13.3910069429313</v>
      </c>
    </row>
    <row r="148" customFormat="false" ht="15" hidden="false" customHeight="false" outlineLevel="0" collapsed="false">
      <c r="A148" s="18" t="n">
        <v>118</v>
      </c>
      <c r="C148" s="12" t="n">
        <f aca="false">C147+(1/C$29)*Rate_r*C147*(1-C147/Kappa)</f>
        <v>99.3308352900688</v>
      </c>
      <c r="D148" s="12" t="n">
        <f aca="false">D147+(1/D$29)*Rate_r*D147*(1-D147/Kappa)</f>
        <v>13.4135602903076</v>
      </c>
      <c r="E148" s="15" t="n">
        <f aca="false">A148/$D$29</f>
        <v>2.26923076923077</v>
      </c>
      <c r="F148" s="12" t="n">
        <f aca="false">Kappa*Users_x0/(Users_x0+(Kappa-Users_x0)*EXP(-Rate_r*E148))</f>
        <v>13.5930132826595</v>
      </c>
    </row>
    <row r="149" customFormat="false" ht="15" hidden="false" customHeight="false" outlineLevel="0" collapsed="false">
      <c r="A149" s="18" t="n">
        <v>119</v>
      </c>
      <c r="C149" s="12" t="n">
        <f aca="false">C148+(1/C$29)*Rate_r*C148*(1-C148/Kappa)</f>
        <v>99.3806868072569</v>
      </c>
      <c r="D149" s="12" t="n">
        <f aca="false">D148+(1/D$29)*Rate_r*D148*(1-D148/Kappa)</f>
        <v>13.6145774415446</v>
      </c>
      <c r="E149" s="15" t="n">
        <f aca="false">A149/$D$29</f>
        <v>2.28846153846154</v>
      </c>
      <c r="F149" s="12" t="n">
        <f aca="false">Kappa*Users_x0/(Users_x0+(Kappa-Users_x0)*EXP(-Rate_r*E149))</f>
        <v>13.7975814696006</v>
      </c>
    </row>
    <row r="150" customFormat="false" ht="15" hidden="false" customHeight="false" outlineLevel="0" collapsed="false">
      <c r="A150" s="18" t="n">
        <v>120</v>
      </c>
      <c r="C150" s="12" t="n">
        <f aca="false">C149+(1/C$29)*Rate_r*C149*(1-C149/Kappa)</f>
        <v>99.4268476350896</v>
      </c>
      <c r="D150" s="12" t="n">
        <f aca="false">D149+(1/D$29)*Rate_r*D149*(1-D149/Kappa)</f>
        <v>13.8181333882212</v>
      </c>
      <c r="E150" s="15" t="n">
        <f aca="false">A150/$D$29</f>
        <v>2.30769230769231</v>
      </c>
      <c r="F150" s="12" t="n">
        <f aca="false">Kappa*Users_x0/(Users_x0+(Kappa-Users_x0)*EXP(-Rate_r*E150))</f>
        <v>14.004729323837</v>
      </c>
    </row>
    <row r="151" customFormat="false" ht="15" hidden="false" customHeight="false" outlineLevel="0" collapsed="false">
      <c r="A151" s="18" t="n">
        <v>121</v>
      </c>
      <c r="D151" s="12" t="n">
        <f aca="false">D150+(1/D$29)*Rate_r*D150*(1-D150/Kappa)</f>
        <v>14.0242459412287</v>
      </c>
      <c r="E151" s="15" t="n">
        <f aca="false">A151/$D$29</f>
        <v>2.32692307692308</v>
      </c>
      <c r="F151" s="12" t="n">
        <f aca="false">Kappa*Users_x0/(Users_x0+(Kappa-Users_x0)*EXP(-Rate_r*E151))</f>
        <v>14.2144743352384</v>
      </c>
    </row>
    <row r="152" customFormat="false" ht="15" hidden="false" customHeight="false" outlineLevel="0" collapsed="false">
      <c r="A152" s="18" t="n">
        <v>122</v>
      </c>
      <c r="D152" s="12" t="n">
        <f aca="false">D151+(1/D$29)*Rate_r*D151*(1-D151/Kappa)</f>
        <v>14.2329325965964</v>
      </c>
      <c r="E152" s="15" t="n">
        <f aca="false">A152/$D$29</f>
        <v>2.34615384615385</v>
      </c>
      <c r="F152" s="12" t="n">
        <f aca="false">Kappa*Users_x0/(Users_x0+(Kappa-Users_x0)*EXP(-Rate_r*E152))</f>
        <v>14.4268336472618</v>
      </c>
    </row>
    <row r="153" customFormat="false" ht="15" hidden="false" customHeight="false" outlineLevel="0" collapsed="false">
      <c r="A153" s="18" t="n">
        <v>123</v>
      </c>
      <c r="D153" s="12" t="n">
        <f aca="false">D152+(1/D$29)*Rate_r*D152*(1-D152/Kappa)</f>
        <v>14.444210519755</v>
      </c>
      <c r="E153" s="15" t="n">
        <f aca="false">A153/$D$29</f>
        <v>2.36538461538462</v>
      </c>
      <c r="F153" s="12" t="n">
        <f aca="false">Kappa*Users_x0/(Users_x0+(Kappa-Users_x0)*EXP(-Rate_r*E153))</f>
        <v>14.6418240405176</v>
      </c>
    </row>
    <row r="154" customFormat="false" ht="15" hidden="false" customHeight="false" outlineLevel="0" collapsed="false">
      <c r="A154" s="18" t="n">
        <v>124</v>
      </c>
      <c r="D154" s="12" t="n">
        <f aca="false">D153+(1/D$29)*Rate_r*D153*(1-D153/Kappa)</f>
        <v>14.6580965295613</v>
      </c>
      <c r="E154" s="15" t="n">
        <f aca="false">A154/$D$29</f>
        <v>2.38461538461538</v>
      </c>
      <c r="F154" s="12" t="n">
        <f aca="false">Kappa*Users_x0/(Users_x0+(Kappa-Users_x0)*EXP(-Rate_r*E154))</f>
        <v>14.8594619161095</v>
      </c>
    </row>
    <row r="155" customFormat="false" ht="15" hidden="false" customHeight="false" outlineLevel="0" collapsed="false">
      <c r="A155" s="18" t="n">
        <v>125</v>
      </c>
      <c r="D155" s="12" t="n">
        <f aca="false">D154+(1/D$29)*Rate_r*D154*(1-D154/Kappa)</f>
        <v>14.8746070820954</v>
      </c>
      <c r="E155" s="15" t="n">
        <f aca="false">A155/$D$29</f>
        <v>2.40384615384615</v>
      </c>
      <c r="F155" s="12" t="n">
        <f aca="false">Kappa*Users_x0/(Users_x0+(Kappa-Users_x0)*EXP(-Rate_r*E155))</f>
        <v>15.0797632787576</v>
      </c>
    </row>
    <row r="156" customFormat="false" ht="15" hidden="false" customHeight="false" outlineLevel="0" collapsed="false">
      <c r="A156" s="18" t="n">
        <v>126</v>
      </c>
      <c r="D156" s="12" t="n">
        <f aca="false">D155+(1/D$29)*Rate_r*D155*(1-D155/Kappa)</f>
        <v>15.0937582542352</v>
      </c>
      <c r="E156" s="15" t="n">
        <f aca="false">A156/$D$29</f>
        <v>2.42307692307692</v>
      </c>
      <c r="F156" s="12" t="n">
        <f aca="false">Kappa*Users_x0/(Users_x0+(Kappa-Users_x0)*EXP(-Rate_r*E156))</f>
        <v>15.3027437197136</v>
      </c>
    </row>
    <row r="157" customFormat="false" ht="15" hidden="false" customHeight="false" outlineLevel="0" collapsed="false">
      <c r="A157" s="18" t="n">
        <v>127</v>
      </c>
      <c r="D157" s="12" t="n">
        <f aca="false">D156+(1/D$29)*Rate_r*D156*(1-D156/Kappa)</f>
        <v>15.3155657270174</v>
      </c>
      <c r="E157" s="15" t="n">
        <f aca="false">A157/$D$29</f>
        <v>2.44230769230769</v>
      </c>
      <c r="F157" s="12" t="n">
        <f aca="false">Kappa*Users_x0/(Users_x0+(Kappa-Users_x0)*EXP(-Rate_r*E157))</f>
        <v>15.528418399478</v>
      </c>
    </row>
    <row r="158" customFormat="false" ht="15" hidden="false" customHeight="false" outlineLevel="0" collapsed="false">
      <c r="A158" s="18" t="n">
        <v>128</v>
      </c>
      <c r="D158" s="12" t="n">
        <f aca="false">D157+(1/D$29)*Rate_r*D157*(1-D157/Kappa)</f>
        <v>15.5400447687956</v>
      </c>
      <c r="E158" s="15" t="n">
        <f aca="false">A158/$D$29</f>
        <v>2.46153846153846</v>
      </c>
      <c r="F158" s="12" t="n">
        <f aca="false">Kappa*Users_x0/(Users_x0+(Kappa-Users_x0)*EXP(-Rate_r*E158))</f>
        <v>15.7568020303297</v>
      </c>
    </row>
    <row r="159" customFormat="false" ht="15" hidden="false" customHeight="false" outlineLevel="0" collapsed="false">
      <c r="A159" s="18" t="n">
        <v>129</v>
      </c>
      <c r="D159" s="12" t="n">
        <f aca="false">D158+(1/D$29)*Rate_r*D158*(1-D158/Kappa)</f>
        <v>15.7672102182027</v>
      </c>
      <c r="E159" s="15" t="n">
        <f aca="false">A159/$D$29</f>
        <v>2.48076923076923</v>
      </c>
      <c r="F159" s="12" t="n">
        <f aca="false">Kappa*Users_x0/(Users_x0+(Kappa-Users_x0)*EXP(-Rate_r*E159))</f>
        <v>15.9879088586802</v>
      </c>
    </row>
    <row r="160" customFormat="false" ht="15" hidden="false" customHeight="false" outlineLevel="0" collapsed="false">
      <c r="A160" s="18" t="n">
        <v>130</v>
      </c>
      <c r="D160" s="12" t="n">
        <f aca="false">D159+(1/D$29)*Rate_r*D159*(1-D159/Kappa)</f>
        <v>15.9970764669296</v>
      </c>
      <c r="E160" s="15" t="n">
        <f aca="false">A160/$D$29</f>
        <v>2.5</v>
      </c>
      <c r="F160" s="12" t="n">
        <f aca="false">Kappa*Users_x0/(Users_x0+(Kappa-Users_x0)*EXP(-Rate_r*E160))</f>
        <v>16.2217526472627</v>
      </c>
    </row>
    <row r="161" customFormat="false" ht="15" hidden="false" customHeight="false" outlineLevel="0" collapsed="false">
      <c r="A161" s="18" t="n">
        <v>131</v>
      </c>
      <c r="D161" s="12" t="n">
        <f aca="false">D160+(1/D$29)*Rate_r*D160*(1-D160/Kappa)</f>
        <v>16.2296574423303</v>
      </c>
      <c r="E161" s="15" t="n">
        <f aca="false">A161/$D$29</f>
        <v>2.51923076923077</v>
      </c>
      <c r="F161" s="12" t="n">
        <f aca="false">Kappa*Users_x0/(Users_x0+(Kappa-Users_x0)*EXP(-Rate_r*E161))</f>
        <v>16.4583466571705</v>
      </c>
    </row>
    <row r="162" customFormat="false" ht="15" hidden="false" customHeight="false" outlineLevel="0" collapsed="false">
      <c r="A162" s="18" t="n">
        <v>132</v>
      </c>
      <c r="D162" s="12" t="n">
        <f aca="false">D161+(1/D$29)*Rate_r*D161*(1-D161/Kappa)</f>
        <v>16.4649665898657</v>
      </c>
      <c r="E162" s="15" t="n">
        <f aca="false">A162/$D$29</f>
        <v>2.53846153846154</v>
      </c>
      <c r="F162" s="12" t="n">
        <f aca="false">Kappa*Users_x0/(Users_x0+(Kappa-Users_x0)*EXP(-Rate_r*E162))</f>
        <v>16.6977036297561</v>
      </c>
    </row>
    <row r="163" customFormat="false" ht="15" hidden="false" customHeight="false" outlineLevel="0" collapsed="false">
      <c r="A163" s="18" t="n">
        <v>133</v>
      </c>
      <c r="D163" s="12" t="n">
        <f aca="false">D162+(1/D$29)*Rate_r*D162*(1-D162/Kappa)</f>
        <v>16.7030168553971</v>
      </c>
      <c r="E163" s="15" t="n">
        <f aca="false">A163/$D$29</f>
        <v>2.55769230769231</v>
      </c>
      <c r="F163" s="12" t="n">
        <f aca="false">Kappa*Users_x0/(Users_x0+(Kappa-Users_x0)*EXP(-Rate_r*E163))</f>
        <v>16.9398357684065</v>
      </c>
    </row>
    <row r="164" customFormat="false" ht="15" hidden="false" customHeight="false" outlineLevel="0" collapsed="false">
      <c r="A164" s="18" t="n">
        <v>134</v>
      </c>
      <c r="D164" s="12" t="n">
        <f aca="false">D163+(1/D$29)*Rate_r*D163*(1-D163/Kappa)</f>
        <v>16.9438206673435</v>
      </c>
      <c r="E164" s="15" t="n">
        <f aca="false">A164/$D$29</f>
        <v>2.57692307692308</v>
      </c>
      <c r="F164" s="12" t="n">
        <f aca="false">Kappa*Users_x0/(Users_x0+(Kappa-Users_x0)*EXP(-Rate_r*E164))</f>
        <v>17.1847547202084</v>
      </c>
    </row>
    <row r="165" customFormat="false" ht="15" hidden="false" customHeight="false" outlineLevel="0" collapsed="false">
      <c r="A165" s="18" t="n">
        <v>135</v>
      </c>
      <c r="D165" s="12" t="n">
        <f aca="false">D164+(1/D$29)*Rate_r*D164*(1-D164/Kappa)</f>
        <v>17.1873899187155</v>
      </c>
      <c r="E165" s="15" t="n">
        <f aca="false">A165/$D$29</f>
        <v>2.59615384615385</v>
      </c>
      <c r="F165" s="12" t="n">
        <f aca="false">Kappa*Users_x0/(Users_x0+(Kappa-Users_x0)*EXP(-Rate_r*E165))</f>
        <v>17.4324715575185</v>
      </c>
    </row>
    <row r="166" customFormat="false" ht="15" hidden="false" customHeight="false" outlineLevel="0" collapsed="false">
      <c r="A166" s="18" t="n">
        <v>136</v>
      </c>
      <c r="D166" s="12" t="n">
        <f aca="false">D165+(1/D$29)*Rate_r*D165*(1-D165/Kappa)</f>
        <v>17.4337359490401</v>
      </c>
      <c r="E166" s="15" t="n">
        <f aca="false">A166/$D$29</f>
        <v>2.61538461538462</v>
      </c>
      <c r="F166" s="12" t="n">
        <f aca="false">Kappa*Users_x0/(Users_x0+(Kappa-Users_x0)*EXP(-Rate_r*E166))</f>
        <v>17.6829967594557</v>
      </c>
    </row>
    <row r="167" customFormat="false" ht="15" hidden="false" customHeight="false" outlineLevel="0" collapsed="false">
      <c r="A167" s="18" t="n">
        <v>137</v>
      </c>
      <c r="D167" s="12" t="n">
        <f aca="false">D166+(1/D$29)*Rate_r*D166*(1-D166/Kappa)</f>
        <v>17.6828695261914</v>
      </c>
      <c r="E167" s="15" t="n">
        <f aca="false">A167/$D$29</f>
        <v>2.63461538461538</v>
      </c>
      <c r="F167" s="12" t="n">
        <f aca="false">Kappa*Users_x0/(Users_x0+(Kappa-Users_x0)*EXP(-Rate_r*E167))</f>
        <v>17.9363401933306</v>
      </c>
    </row>
    <row r="168" customFormat="false" ht="15" hidden="false" customHeight="false" outlineLevel="0" collapsed="false">
      <c r="A168" s="18" t="n">
        <v>138</v>
      </c>
      <c r="D168" s="12" t="n">
        <f aca="false">D167+(1/D$29)*Rate_r*D167*(1-D167/Kappa)</f>
        <v>17.9348008281424</v>
      </c>
      <c r="E168" s="15" t="n">
        <f aca="false">A168/$D$29</f>
        <v>2.65384615384615</v>
      </c>
      <c r="F168" s="12" t="n">
        <f aca="false">Kappa*Users_x0/(Users_x0+(Kappa-Users_x0)*EXP(-Rate_r*E168))</f>
        <v>18.1925110960312</v>
      </c>
    </row>
    <row r="169" customFormat="false" ht="15" hidden="false" customHeight="false" outlineLevel="0" collapsed="false">
      <c r="A169" s="18" t="n">
        <v>139</v>
      </c>
      <c r="D169" s="12" t="n">
        <f aca="false">D168+(1/D$29)*Rate_r*D168*(1-D168/Kappa)</f>
        <v>18.1895394246544</v>
      </c>
      <c r="E169" s="15" t="n">
        <f aca="false">A169/$D$29</f>
        <v>2.67307692307692</v>
      </c>
      <c r="F169" s="12" t="n">
        <f aca="false">Kappa*Users_x0/(Users_x0+(Kappa-Users_x0)*EXP(-Rate_r*E169))</f>
        <v>18.4515180553813</v>
      </c>
    </row>
    <row r="170" customFormat="false" ht="15" hidden="false" customHeight="false" outlineLevel="0" collapsed="false">
      <c r="A170" s="18" t="n">
        <v>140</v>
      </c>
      <c r="D170" s="12" t="n">
        <f aca="false">D169+(1/D$29)*Rate_r*D169*(1-D169/Kappa)</f>
        <v>18.4470942589209</v>
      </c>
      <c r="E170" s="15" t="n">
        <f aca="false">A170/$D$29</f>
        <v>2.69230769230769</v>
      </c>
      <c r="F170" s="12" t="n">
        <f aca="false">Kappa*Users_x0/(Users_x0+(Kappa-Users_x0)*EXP(-Rate_r*E170))</f>
        <v>18.7133689914913</v>
      </c>
    </row>
    <row r="171" customFormat="false" ht="15" hidden="false" customHeight="false" outlineLevel="0" collapsed="false">
      <c r="A171" s="18" t="n">
        <v>141</v>
      </c>
      <c r="D171" s="12" t="n">
        <f aca="false">D170+(1/D$29)*Rate_r*D170*(1-D170/Kappa)</f>
        <v>18.7074736291834</v>
      </c>
      <c r="E171" s="15" t="n">
        <f aca="false">A171/$D$29</f>
        <v>2.71153846153846</v>
      </c>
      <c r="F171" s="12" t="n">
        <f aca="false">Kappa*Users_x0/(Users_x0+(Kappa-Users_x0)*EXP(-Rate_r*E171))</f>
        <v>18.9780711381202</v>
      </c>
    </row>
    <row r="172" customFormat="false" ht="15" hidden="false" customHeight="false" outlineLevel="0" collapsed="false">
      <c r="A172" s="18" t="n">
        <v>142</v>
      </c>
      <c r="D172" s="12" t="n">
        <f aca="false">D171+(1/D$29)*Rate_r*D171*(1-D171/Kappa)</f>
        <v>18.970685170337</v>
      </c>
      <c r="E172" s="15" t="n">
        <f aca="false">A172/$D$29</f>
        <v>2.73076923076923</v>
      </c>
      <c r="F172" s="12" t="n">
        <f aca="false">Kappa*Users_x0/(Users_x0+(Kappa-Users_x0)*EXP(-Rate_r*E172))</f>
        <v>19.2456310240693</v>
      </c>
    </row>
    <row r="173" customFormat="false" ht="15" hidden="false" customHeight="false" outlineLevel="0" collapsed="false">
      <c r="A173" s="18" t="n">
        <v>143</v>
      </c>
      <c r="D173" s="12" t="n">
        <f aca="false">D172+(1/D$29)*Rate_r*D172*(1-D172/Kappa)</f>
        <v>19.236735835545</v>
      </c>
      <c r="E173" s="15" t="n">
        <f aca="false">A173/$D$29</f>
        <v>2.75</v>
      </c>
      <c r="F173" s="12" t="n">
        <f aca="false">Kappa*Users_x0/(Users_x0+(Kappa-Users_x0)*EXP(-Rate_r*E173))</f>
        <v>19.5160544546277</v>
      </c>
    </row>
    <row r="174" customFormat="false" ht="15" hidden="false" customHeight="false" outlineLevel="0" collapsed="false">
      <c r="A174" s="18" t="n">
        <v>144</v>
      </c>
      <c r="D174" s="12" t="n">
        <f aca="false">D173+(1/D$29)*Rate_r*D173*(1-D173/Kappa)</f>
        <v>19.5056318778821</v>
      </c>
      <c r="E174" s="15" t="n">
        <f aca="false">A174/$D$29</f>
        <v>2.76923076923077</v>
      </c>
      <c r="F174" s="12" t="n">
        <f aca="false">Kappa*Users_x0/(Users_x0+(Kappa-Users_x0)*EXP(-Rate_r*E174))</f>
        <v>19.7893464930917</v>
      </c>
    </row>
    <row r="175" customFormat="false" ht="15" hidden="false" customHeight="false" outlineLevel="0" collapsed="false">
      <c r="A175" s="18" t="n">
        <v>145</v>
      </c>
      <c r="D175" s="12" t="n">
        <f aca="false">D174+(1/D$29)*Rate_r*D174*(1-D174/Kappa)</f>
        <v>19.7773788320262</v>
      </c>
      <c r="E175" s="15" t="n">
        <f aca="false">A175/$D$29</f>
        <v>2.78846153846154</v>
      </c>
      <c r="F175" s="12" t="n">
        <f aca="false">Kappa*Users_x0/(Users_x0+(Kappa-Users_x0)*EXP(-Rate_r*E175))</f>
        <v>20.0655114423793</v>
      </c>
    </row>
    <row r="176" customFormat="false" ht="15" hidden="false" customHeight="false" outlineLevel="0" collapsed="false">
      <c r="A176" s="18" t="n">
        <v>146</v>
      </c>
      <c r="D176" s="12" t="n">
        <f aca="false">D175+(1/D$29)*Rate_r*D175*(1-D175/Kappa)</f>
        <v>20.0519814960192</v>
      </c>
      <c r="E176" s="15" t="n">
        <f aca="false">A176/$D$29</f>
        <v>2.80769230769231</v>
      </c>
      <c r="F176" s="12" t="n">
        <f aca="false">Kappa*Users_x0/(Users_x0+(Kappa-Users_x0)*EXP(-Rate_r*E176))</f>
        <v>20.3445528267624</v>
      </c>
    </row>
    <row r="177" customFormat="false" ht="15" hidden="false" customHeight="false" outlineLevel="0" collapsed="false">
      <c r="A177" s="18" t="n">
        <v>147</v>
      </c>
      <c r="D177" s="12" t="n">
        <f aca="false">D176+(1/D$29)*Rate_r*D176*(1-D176/Kappa)</f>
        <v>20.3294439131186</v>
      </c>
      <c r="E177" s="15" t="n">
        <f aca="false">A177/$D$29</f>
        <v>2.82692307692308</v>
      </c>
      <c r="F177" s="12" t="n">
        <f aca="false">Kappa*Users_x0/(Users_x0+(Kappa-Users_x0)*EXP(-Rate_r*E177))</f>
        <v>20.6264733737405</v>
      </c>
    </row>
    <row r="178" customFormat="false" ht="15" hidden="false" customHeight="false" outlineLevel="0" collapsed="false">
      <c r="A178" s="18" t="n">
        <v>148</v>
      </c>
      <c r="D178" s="12" t="n">
        <f aca="false">D177+(1/D$29)*Rate_r*D177*(1-D177/Kappa)</f>
        <v>20.609769353762</v>
      </c>
      <c r="E178" s="15" t="n">
        <f aca="false">A178/$D$29</f>
        <v>2.84615384615385</v>
      </c>
      <c r="F178" s="12" t="n">
        <f aca="false">Kappa*Users_x0/(Users_x0+(Kappa-Users_x0)*EXP(-Rate_r*E178))</f>
        <v>20.9112749960788</v>
      </c>
    </row>
    <row r="179" customFormat="false" ht="15" hidden="false" customHeight="false" outlineLevel="0" collapsed="false">
      <c r="A179" s="18" t="n">
        <v>149</v>
      </c>
      <c r="D179" s="12" t="n">
        <f aca="false">D178+(1/D$29)*Rate_r*D178*(1-D178/Kappa)</f>
        <v>20.8929602976668</v>
      </c>
      <c r="E179" s="15" t="n">
        <f aca="false">A179/$D$29</f>
        <v>2.86538461538462</v>
      </c>
      <c r="F179" s="12" t="n">
        <f aca="false">Kappa*Users_x0/(Users_x0+(Kappa-Users_x0)*EXP(-Rate_r*E179))</f>
        <v>21.1989587740356</v>
      </c>
    </row>
    <row r="180" customFormat="false" ht="15" hidden="false" customHeight="false" outlineLevel="0" collapsed="false">
      <c r="A180" s="18" t="n">
        <v>150</v>
      </c>
      <c r="D180" s="12" t="n">
        <f aca="false">D179+(1/D$29)*Rate_r*D179*(1-D179/Kappa)</f>
        <v>21.1790184160879</v>
      </c>
      <c r="E180" s="15" t="n">
        <f aca="false">A180/$D$29</f>
        <v>2.88461538461538</v>
      </c>
      <c r="F180" s="12" t="n">
        <f aca="false">Kappa*Users_x0/(Users_x0+(Kappa-Users_x0)*EXP(-Rate_r*E180))</f>
        <v>21.4895249378031</v>
      </c>
    </row>
    <row r="181" customFormat="false" ht="15" hidden="false" customHeight="false" outlineLevel="0" collapsed="false">
      <c r="A181" s="18" t="n">
        <v>151</v>
      </c>
      <c r="D181" s="12" t="n">
        <f aca="false">D180+(1/D$29)*Rate_r*D180*(1-D180/Kappa)</f>
        <v>21.4679445542583</v>
      </c>
      <c r="E181" s="15" t="n">
        <f aca="false">A181/$D$29</f>
        <v>2.90384615384615</v>
      </c>
      <c r="F181" s="12" t="n">
        <f aca="false">Kappa*Users_x0/(Users_x0+(Kappa-Users_x0)*EXP(-Rate_r*E181))</f>
        <v>21.7829728501873</v>
      </c>
    </row>
    <row r="182" customFormat="false" ht="15" hidden="false" customHeight="false" outlineLevel="0" collapsed="false">
      <c r="A182" s="18" t="n">
        <v>152</v>
      </c>
      <c r="D182" s="12" t="n">
        <f aca="false">D181+(1/D$29)*Rate_r*D181*(1-D181/Kappa)</f>
        <v>21.7597387140346</v>
      </c>
      <c r="E182" s="15" t="n">
        <f aca="false">A182/$D$29</f>
        <v>2.92307692307692</v>
      </c>
      <c r="F182" s="12" t="n">
        <f aca="false">Kappa*Users_x0/(Users_x0+(Kappa-Users_x0)*EXP(-Rate_r*E182))</f>
        <v>22.0793009895532</v>
      </c>
    </row>
    <row r="183" customFormat="false" ht="15" hidden="false" customHeight="false" outlineLevel="0" collapsed="false">
      <c r="A183" s="18" t="n">
        <v>153</v>
      </c>
      <c r="D183" s="12" t="n">
        <f aca="false">D182+(1/D$29)*Rate_r*D182*(1-D182/Kappa)</f>
        <v>22.0544000367751</v>
      </c>
      <c r="E183" s="15" t="n">
        <f aca="false">A183/$D$29</f>
        <v>2.94230769230769</v>
      </c>
      <c r="F183" s="12" t="n">
        <f aca="false">Kappa*Users_x0/(Users_x0+(Kappa-Users_x0)*EXP(-Rate_r*E183))</f>
        <v>22.3785069330597</v>
      </c>
    </row>
    <row r="184" customFormat="false" ht="15" hidden="false" customHeight="false" outlineLevel="0" collapsed="false">
      <c r="A184" s="18" t="n">
        <v>154</v>
      </c>
      <c r="D184" s="12" t="n">
        <f aca="false">D183+(1/D$29)*Rate_r*D183*(1-D183/Kappa)</f>
        <v>22.3519267864724</v>
      </c>
      <c r="E184" s="15" t="n">
        <f aca="false">A184/$D$29</f>
        <v>2.96153846153846</v>
      </c>
      <c r="F184" s="12" t="n">
        <f aca="false">Kappa*Users_x0/(Users_x0+(Kappa-Users_x0)*EXP(-Rate_r*E184))</f>
        <v>22.6805873402131</v>
      </c>
    </row>
    <row r="185" customFormat="false" ht="15" hidden="false" customHeight="false" outlineLevel="0" collapsed="false">
      <c r="A185" s="18" t="n">
        <v>155</v>
      </c>
      <c r="D185" s="12" t="n">
        <f aca="false">D184+(1/D$29)*Rate_r*D184*(1-D184/Kappa)</f>
        <v>22.6523163331688</v>
      </c>
      <c r="E185" s="15" t="n">
        <f aca="false">A185/$D$29</f>
        <v>2.98076923076923</v>
      </c>
      <c r="F185" s="12" t="n">
        <f aca="false">Kappa*Users_x0/(Users_x0+(Kappa-Users_x0)*EXP(-Rate_r*E185))</f>
        <v>22.9855379367641</v>
      </c>
    </row>
    <row r="186" customFormat="false" ht="15" hidden="false" customHeight="false" outlineLevel="0" collapsed="false">
      <c r="A186" s="18" t="n">
        <v>156</v>
      </c>
      <c r="D186" s="12" t="n">
        <f aca="false">D185+(1/D$29)*Rate_r*D185*(1-D185/Kappa)</f>
        <v>22.955565136679</v>
      </c>
      <c r="E186" s="15" t="n">
        <f aca="false">A186/$D$29</f>
        <v>3</v>
      </c>
      <c r="F186" s="12" t="n">
        <f aca="false">Kappa*Users_x0/(Users_x0+(Kappa-Users_x0)*EXP(-Rate_r*E186))</f>
        <v>23.2933534989771</v>
      </c>
    </row>
    <row r="187" customFormat="false" ht="15" hidden="false" customHeight="false" outlineLevel="0" collapsed="false">
      <c r="A187" s="18" t="n">
        <v>157</v>
      </c>
      <c r="D187" s="12" t="n">
        <f aca="false">D186+(1/D$29)*Rate_r*D186*(1-D186/Kappa)</f>
        <v>23.2616687306465</v>
      </c>
      <c r="E187" s="15" t="n">
        <f aca="false">A187/$D$29</f>
        <v>3.01923076923077</v>
      </c>
      <c r="F187" s="12" t="n">
        <f aca="false">Kappa*Users_x0/(Users_x0+(Kappa-Users_x0)*EXP(-Rate_r*E187))</f>
        <v>23.6040278382975</v>
      </c>
    </row>
    <row r="188" customFormat="false" ht="15" hidden="false" customHeight="false" outlineLevel="0" collapsed="false">
      <c r="A188" s="18" t="n">
        <v>158</v>
      </c>
      <c r="D188" s="12" t="n">
        <f aca="false">D187+(1/D$29)*Rate_r*D187*(1-D187/Kappa)</f>
        <v>23.5706217069614</v>
      </c>
      <c r="E188" s="15" t="n">
        <f aca="false">A188/$D$29</f>
        <v>3.03846153846154</v>
      </c>
      <c r="F188" s="12" t="n">
        <f aca="false">Kappa*Users_x0/(Users_x0+(Kappa-Users_x0)*EXP(-Rate_r*E188))</f>
        <v>23.917553786447</v>
      </c>
    </row>
    <row r="189" customFormat="false" ht="15" hidden="false" customHeight="false" outlineLevel="0" collapsed="false">
      <c r="A189" s="18" t="n">
        <v>159</v>
      </c>
      <c r="D189" s="12" t="n">
        <f aca="false">D188+(1/D$29)*Rate_r*D188*(1-D188/Kappa)</f>
        <v>23.8824177005651</v>
      </c>
      <c r="E189" s="15" t="n">
        <f aca="false">A189/$D$29</f>
        <v>3.05769230769231</v>
      </c>
      <c r="F189" s="12" t="n">
        <f aca="false">Kappa*Users_x0/(Users_x0+(Kappa-Users_x0)*EXP(-Rate_r*E189))</f>
        <v>24.2339231809728</v>
      </c>
    </row>
    <row r="190" customFormat="false" ht="15" hidden="false" customHeight="false" outlineLevel="0" collapsed="false">
      <c r="A190" s="18" t="n">
        <v>160</v>
      </c>
      <c r="D190" s="12" t="n">
        <f aca="false">D189+(1/D$29)*Rate_r*D189*(1-D189/Kappa)</f>
        <v>24.1970493746707</v>
      </c>
      <c r="E190" s="15" t="n">
        <f aca="false">A190/$D$29</f>
        <v>3.07692307692308</v>
      </c>
      <c r="F190" s="12" t="n">
        <f aca="false">Kappa*Users_x0/(Users_x0+(Kappa-Users_x0)*EXP(-Rate_r*E190))</f>
        <v>24.5531268512798</v>
      </c>
    </row>
    <row r="191" customFormat="false" ht="15" hidden="false" customHeight="false" outlineLevel="0" collapsed="false">
      <c r="A191" s="18" t="n">
        <v>161</v>
      </c>
      <c r="D191" s="12" t="n">
        <f aca="false">D190+(1/D$29)*Rate_r*D190*(1-D190/Kappa)</f>
        <v>24.5145084064253</v>
      </c>
      <c r="E191" s="15" t="n">
        <f aca="false">A191/$D$29</f>
        <v>3.09615384615385</v>
      </c>
      <c r="F191" s="12" t="n">
        <f aca="false">Kappa*Users_x0/(Users_x0+(Kappa-Users_x0)*EXP(-Rate_r*E191))</f>
        <v>24.8751546051741</v>
      </c>
    </row>
    <row r="192" customFormat="false" ht="15" hidden="false" customHeight="false" outlineLevel="0" collapsed="false">
      <c r="A192" s="18" t="n">
        <v>162</v>
      </c>
      <c r="D192" s="12" t="n">
        <f aca="false">D191+(1/D$29)*Rate_r*D191*(1-D191/Kappa)</f>
        <v>24.8347854730427</v>
      </c>
      <c r="E192" s="15" t="n">
        <f aca="false">A192/$D$29</f>
        <v>3.11538461538462</v>
      </c>
      <c r="F192" s="12" t="n">
        <f aca="false">Kappa*Users_x0/(Users_x0+(Kappa-Users_x0)*EXP(-Rate_r*E192))</f>
        <v>25.1999952159451</v>
      </c>
    </row>
    <row r="193" customFormat="false" ht="15" hidden="false" customHeight="false" outlineLevel="0" collapsed="false">
      <c r="A193" s="18" t="n">
        <v>163</v>
      </c>
      <c r="D193" s="12" t="n">
        <f aca="false">D192+(1/D$29)*Rate_r*D192*(1-D192/Kappa)</f>
        <v>25.1578702384333</v>
      </c>
      <c r="E193" s="15" t="n">
        <f aca="false">A193/$D$29</f>
        <v>3.13461538461538</v>
      </c>
      <c r="F193" s="12" t="n">
        <f aca="false">Kappa*Users_x0/(Users_x0+(Kappa-Users_x0)*EXP(-Rate_r*E193))</f>
        <v>25.5276364100157</v>
      </c>
    </row>
    <row r="194" customFormat="false" ht="15" hidden="false" customHeight="false" outlineLevel="0" collapsed="false">
      <c r="A194" s="18" t="n">
        <v>164</v>
      </c>
      <c r="D194" s="12" t="n">
        <f aca="false">D193+(1/D$29)*Rate_r*D193*(1-D193/Kappa)</f>
        <v>25.4837513403599</v>
      </c>
      <c r="E194" s="15" t="n">
        <f aca="false">A194/$D$29</f>
        <v>3.15384615384615</v>
      </c>
      <c r="F194" s="12" t="n">
        <f aca="false">Kappa*Users_x0/(Users_x0+(Kappa-Users_x0)*EXP(-Rate_r*E194))</f>
        <v>25.8580648551875</v>
      </c>
    </row>
    <row r="195" customFormat="false" ht="15" hidden="false" customHeight="false" outlineLevel="0" collapsed="false">
      <c r="A195" s="18" t="n">
        <v>165</v>
      </c>
      <c r="D195" s="12" t="n">
        <f aca="false">D194+(1/D$29)*Rate_r*D194*(1-D194/Kappa)</f>
        <v>25.812416378147</v>
      </c>
      <c r="E195" s="15" t="n">
        <f aca="false">A195/$D$29</f>
        <v>3.17307692307692</v>
      </c>
      <c r="F195" s="12" t="n">
        <f aca="false">Kappa*Users_x0/(Users_x0+(Kappa-Users_x0)*EXP(-Rate_r*E195))</f>
        <v>26.1912661495098</v>
      </c>
    </row>
    <row r="196" customFormat="false" ht="15" hidden="false" customHeight="false" outlineLevel="0" collapsed="false">
      <c r="A196" s="18" t="n">
        <v>166</v>
      </c>
      <c r="D196" s="12" t="n">
        <f aca="false">D195+(1/D$29)*Rate_r*D195*(1-D195/Kappa)</f>
        <v>26.1438519009705</v>
      </c>
      <c r="E196" s="15" t="n">
        <f aca="false">A196/$D$29</f>
        <v>3.19230769230769</v>
      </c>
      <c r="F196" s="12" t="n">
        <f aca="false">Kappa*Users_x0/(Users_x0+(Kappa-Users_x0)*EXP(-Rate_r*E196))</f>
        <v>26.5272248107999</v>
      </c>
    </row>
    <row r="197" customFormat="false" ht="15" hidden="false" customHeight="false" outlineLevel="0" collapsed="false">
      <c r="A197" s="18" t="n">
        <v>167</v>
      </c>
      <c r="D197" s="12" t="n">
        <f aca="false">D196+(1/D$29)*Rate_r*D196*(1-D196/Kappa)</f>
        <v>26.478043396757</v>
      </c>
      <c r="E197" s="15" t="n">
        <f aca="false">A197/$D$29</f>
        <v>3.21153846153846</v>
      </c>
      <c r="F197" s="12" t="n">
        <f aca="false">Kappa*Users_x0/(Users_x0+(Kappa-Users_x0)*EXP(-Rate_r*E197))</f>
        <v>26.8659242668422</v>
      </c>
    </row>
    <row r="198" customFormat="false" ht="15" hidden="false" customHeight="false" outlineLevel="0" collapsed="false">
      <c r="A198" s="18" t="n">
        <v>168</v>
      </c>
      <c r="D198" s="12" t="n">
        <f aca="false">D197+(1/D$29)*Rate_r*D197*(1-D197/Kappa)</f>
        <v>26.8149752817184</v>
      </c>
      <c r="E198" s="15" t="n">
        <f aca="false">A198/$D$29</f>
        <v>3.23076923076923</v>
      </c>
      <c r="F198" s="12" t="n">
        <f aca="false">Kappa*Users_x0/(Users_x0+(Kappa-Users_x0)*EXP(-Rate_r*E198))</f>
        <v>27.2073468462938</v>
      </c>
    </row>
    <row r="199" customFormat="false" ht="15" hidden="false" customHeight="false" outlineLevel="0" collapsed="false">
      <c r="A199" s="18" t="n">
        <v>169</v>
      </c>
      <c r="D199" s="12" t="n">
        <f aca="false">D198+(1/D$29)*Rate_r*D198*(1-D198/Kappa)</f>
        <v>27.1546308905514</v>
      </c>
      <c r="E199" s="15" t="n">
        <f aca="false">A199/$D$29</f>
        <v>3.25</v>
      </c>
      <c r="F199" s="12" t="n">
        <f aca="false">Kappa*Users_x0/(Users_x0+(Kappa-Users_x0)*EXP(-Rate_r*E199))</f>
        <v>27.5514737703232</v>
      </c>
    </row>
    <row r="200" customFormat="false" ht="15" hidden="false" customHeight="false" outlineLevel="0" collapsed="false">
      <c r="A200" s="18" t="n">
        <v>170</v>
      </c>
      <c r="D200" s="12" t="n">
        <f aca="false">D199+(1/D$29)*Rate_r*D199*(1-D199/Kappa)</f>
        <v>27.496992467326</v>
      </c>
      <c r="E200" s="15" t="n">
        <f aca="false">A200/$D$29</f>
        <v>3.26923076923077</v>
      </c>
      <c r="F200" s="12" t="n">
        <f aca="false">Kappa*Users_x0/(Users_x0+(Kappa-Users_x0)*EXP(-Rate_r*E200))</f>
        <v>27.8982851450081</v>
      </c>
    </row>
    <row r="201" customFormat="false" ht="15" hidden="false" customHeight="false" outlineLevel="0" collapsed="false">
      <c r="A201" s="18" t="n">
        <v>171</v>
      </c>
      <c r="D201" s="12" t="n">
        <f aca="false">D200+(1/D$29)*Rate_r*D200*(1-D200/Kappa)</f>
        <v>27.8420411570925</v>
      </c>
      <c r="E201" s="15" t="n">
        <f aca="false">A201/$D$29</f>
        <v>3.28846153846154</v>
      </c>
      <c r="F201" s="12" t="n">
        <f aca="false">Kappa*Users_x0/(Users_x0+(Kappa-Users_x0)*EXP(-Rate_r*E201))</f>
        <v>28.2477599545196</v>
      </c>
    </row>
    <row r="202" customFormat="false" ht="15" hidden="false" customHeight="false" outlineLevel="0" collapsed="false">
      <c r="A202" s="18" t="n">
        <v>172</v>
      </c>
      <c r="D202" s="12" t="n">
        <f aca="false">D201+(1/D$29)*Rate_r*D201*(1-D201/Kappa)</f>
        <v>28.1897569982318</v>
      </c>
      <c r="E202" s="15" t="n">
        <f aca="false">A202/$D$29</f>
        <v>3.30769230769231</v>
      </c>
      <c r="F202" s="12" t="n">
        <f aca="false">Kappa*Users_x0/(Users_x0+(Kappa-Users_x0)*EXP(-Rate_r*E202))</f>
        <v>28.5998760551163</v>
      </c>
    </row>
    <row r="203" customFormat="false" ht="15" hidden="false" customHeight="false" outlineLevel="0" collapsed="false">
      <c r="A203" s="18" t="n">
        <v>173</v>
      </c>
      <c r="D203" s="12" t="n">
        <f aca="false">D202+(1/D$29)*Rate_r*D202*(1-D202/Kappa)</f>
        <v>28.5401189155748</v>
      </c>
      <c r="E203" s="15" t="n">
        <f aca="false">A203/$D$29</f>
        <v>3.32692307692308</v>
      </c>
      <c r="F203" s="12" t="n">
        <f aca="false">Kappa*Users_x0/(Users_x0+(Kappa-Users_x0)*EXP(-Rate_r*E203))</f>
        <v>28.954610169975</v>
      </c>
    </row>
    <row r="204" customFormat="false" ht="15" hidden="false" customHeight="false" outlineLevel="0" collapsed="false">
      <c r="A204" s="18" t="n">
        <v>174</v>
      </c>
      <c r="D204" s="12" t="n">
        <f aca="false">D203+(1/D$29)*Rate_r*D203*(1-D203/Kappa)</f>
        <v>28.8931047143167</v>
      </c>
      <c r="E204" s="15" t="n">
        <f aca="false">A204/$D$29</f>
        <v>3.34615384615385</v>
      </c>
      <c r="F204" s="12" t="n">
        <f aca="false">Kappa*Users_x0/(Users_x0+(Kappa-Users_x0)*EXP(-Rate_r*E204))</f>
        <v>29.3119378848806</v>
      </c>
    </row>
    <row r="205" customFormat="false" ht="15" hidden="false" customHeight="false" outlineLevel="0" collapsed="false">
      <c r="A205" s="18" t="n">
        <v>175</v>
      </c>
      <c r="D205" s="12" t="n">
        <f aca="false">D204+(1/D$29)*Rate_r*D204*(1-D204/Kappa)</f>
        <v>29.2486910747512</v>
      </c>
      <c r="E205" s="15" t="n">
        <f aca="false">A205/$D$29</f>
        <v>3.36538461538462</v>
      </c>
      <c r="F205" s="12" t="n">
        <f aca="false">Kappa*Users_x0/(Users_x0+(Kappa-Users_x0)*EXP(-Rate_r*E205))</f>
        <v>29.6718336447992</v>
      </c>
    </row>
    <row r="206" customFormat="false" ht="15" hidden="false" customHeight="false" outlineLevel="0" collapsed="false">
      <c r="A206" s="18" t="n">
        <v>176</v>
      </c>
      <c r="D206" s="12" t="n">
        <f aca="false">D205+(1/D$29)*Rate_r*D205*(1-D205/Kappa)</f>
        <v>29.6068535478473</v>
      </c>
      <c r="E206" s="15" t="n">
        <f aca="false">A206/$D$29</f>
        <v>3.38461538461538</v>
      </c>
      <c r="F206" s="12" t="n">
        <f aca="false">Kappa*Users_x0/(Users_x0+(Kappa-Users_x0)*EXP(-Rate_r*E206))</f>
        <v>30.0342707513565</v>
      </c>
    </row>
    <row r="207" customFormat="false" ht="15" hidden="false" customHeight="false" outlineLevel="0" collapsed="false">
      <c r="A207" s="18" t="n">
        <v>177</v>
      </c>
      <c r="D207" s="12" t="n">
        <f aca="false">D206+(1/D$29)*Rate_r*D206*(1-D206/Kappa)</f>
        <v>29.9675665516941</v>
      </c>
      <c r="E207" s="15" t="n">
        <f aca="false">A207/$D$29</f>
        <v>3.40384615384615</v>
      </c>
      <c r="F207" s="12" t="n">
        <f aca="false">Kappa*Users_x0/(Users_x0+(Kappa-Users_x0)*EXP(-Rate_r*E207))</f>
        <v>30.3992213612435</v>
      </c>
    </row>
    <row r="208" customFormat="false" ht="15" hidden="false" customHeight="false" outlineLevel="0" collapsed="false">
      <c r="A208" s="18" t="n">
        <v>178</v>
      </c>
      <c r="D208" s="12" t="n">
        <f aca="false">D207+(1/D$29)*Rate_r*D207*(1-D207/Kappa)</f>
        <v>30.3308033688335</v>
      </c>
      <c r="E208" s="15" t="n">
        <f aca="false">A208/$D$29</f>
        <v>3.42307692307692</v>
      </c>
      <c r="F208" s="12" t="n">
        <f aca="false">Kappa*Users_x0/(Users_x0+(Kappa-Users_x0)*EXP(-Rate_r*E208))</f>
        <v>30.7666564855692</v>
      </c>
    </row>
    <row r="209" customFormat="false" ht="15" hidden="false" customHeight="false" outlineLevel="0" collapsed="false">
      <c r="A209" s="18" t="n">
        <v>179</v>
      </c>
      <c r="D209" s="12" t="n">
        <f aca="false">D208+(1/D$29)*Rate_r*D208*(1-D208/Kappa)</f>
        <v>30.6965361445059</v>
      </c>
      <c r="E209" s="15" t="n">
        <f aca="false">A209/$D$29</f>
        <v>3.44230769230769</v>
      </c>
      <c r="F209" s="12" t="n">
        <f aca="false">Kappa*Users_x0/(Users_x0+(Kappa-Users_x0)*EXP(-Rate_r*E209))</f>
        <v>31.136545990181</v>
      </c>
    </row>
    <row r="210" customFormat="false" ht="15" hidden="false" customHeight="false" outlineLevel="0" collapsed="false">
      <c r="A210" s="18" t="n">
        <v>180</v>
      </c>
      <c r="D210" s="12" t="n">
        <f aca="false">D209+(1/D$29)*Rate_r*D209*(1-D209/Kappa)</f>
        <v>31.0647358858254</v>
      </c>
      <c r="E210" s="15" t="n">
        <f aca="false">A210/$D$29</f>
        <v>3.46153846153846</v>
      </c>
      <c r="F210" s="12" t="n">
        <f aca="false">Kappa*Users_x0/(Users_x0+(Kappa-Users_x0)*EXP(-Rate_r*E210))</f>
        <v>31.5088585969695</v>
      </c>
    </row>
    <row r="211" customFormat="false" ht="15" hidden="false" customHeight="false" outlineLevel="0" collapsed="false">
      <c r="A211" s="18" t="n">
        <v>181</v>
      </c>
      <c r="D211" s="12" t="n">
        <f aca="false">D210+(1/D$29)*Rate_r*D210*(1-D210/Kappa)</f>
        <v>31.4353724619088</v>
      </c>
      <c r="E211" s="15" t="n">
        <f aca="false">A211/$D$29</f>
        <v>3.48076923076923</v>
      </c>
      <c r="F211" s="12" t="n">
        <f aca="false">Kappa*Users_x0/(Users_x0+(Kappa-Users_x0)*EXP(-Rate_r*E211))</f>
        <v>31.8835618861772</v>
      </c>
    </row>
    <row r="212" customFormat="false" ht="15" hidden="false" customHeight="false" outlineLevel="0" collapsed="false">
      <c r="A212" s="18" t="n">
        <v>182</v>
      </c>
      <c r="D212" s="12" t="n">
        <f aca="false">D211+(1/D$29)*Rate_r*D211*(1-D211/Kappa)</f>
        <v>31.8084146049732</v>
      </c>
      <c r="E212" s="15" t="n">
        <f aca="false">A212/$D$29</f>
        <v>3.5</v>
      </c>
      <c r="F212" s="12" t="n">
        <f aca="false">Kappa*Users_x0/(Users_x0+(Kappa-Users_x0)*EXP(-Rate_r*E212))</f>
        <v>32.2606222997245</v>
      </c>
    </row>
    <row r="213" customFormat="false" ht="15" hidden="false" customHeight="false" outlineLevel="0" collapsed="false">
      <c r="A213" s="18" t="n">
        <v>183</v>
      </c>
      <c r="D213" s="12" t="n">
        <f aca="false">D212+(1/D$29)*Rate_r*D212*(1-D212/Kappa)</f>
        <v>32.183829912422</v>
      </c>
      <c r="E213" s="15" t="n">
        <f aca="false">A213/$D$29</f>
        <v>3.51923076923077</v>
      </c>
      <c r="F213" s="12" t="n">
        <f aca="false">Kappa*Users_x0/(Users_x0+(Kappa-Users_x0)*EXP(-Rate_r*E213))</f>
        <v>32.6400051455699</v>
      </c>
    </row>
    <row r="214" customFormat="false" ht="15" hidden="false" customHeight="false" outlineLevel="0" collapsed="false">
      <c r="A214" s="18" t="n">
        <v>184</v>
      </c>
      <c r="D214" s="12" t="n">
        <f aca="false">D213+(1/D$29)*Rate_r*D213*(1-D213/Kappa)</f>
        <v>32.5615848499354</v>
      </c>
      <c r="E214" s="15" t="n">
        <f aca="false">A214/$D$29</f>
        <v>3.53846153846154</v>
      </c>
      <c r="F214" s="12" t="n">
        <f aca="false">Kappa*Users_x0/(Users_x0+(Kappa-Users_x0)*EXP(-Rate_r*E214))</f>
        <v>33.0216746031164</v>
      </c>
    </row>
    <row r="215" customFormat="false" ht="15" hidden="false" customHeight="false" outlineLevel="0" collapsed="false">
      <c r="A215" s="18" t="n">
        <v>185</v>
      </c>
      <c r="D215" s="12" t="n">
        <f aca="false">D214+(1/D$29)*Rate_r*D214*(1-D214/Kappa)</f>
        <v>32.9416447555793</v>
      </c>
      <c r="E215" s="15" t="n">
        <f aca="false">A215/$D$29</f>
        <v>3.55769230769231</v>
      </c>
      <c r="F215" s="12" t="n">
        <f aca="false">Kappa*Users_x0/(Users_x0+(Kappa-Users_x0)*EXP(-Rate_r*E215))</f>
        <v>33.405593729676</v>
      </c>
    </row>
    <row r="216" customFormat="false" ht="15" hidden="false" customHeight="false" outlineLevel="0" collapsed="false">
      <c r="A216" s="18" t="n">
        <v>186</v>
      </c>
      <c r="D216" s="12" t="n">
        <f aca="false">D215+(1/D$29)*Rate_r*D215*(1-D215/Kappa)</f>
        <v>33.3239738449485</v>
      </c>
      <c r="E216" s="15" t="n">
        <f aca="false">A216/$D$29</f>
        <v>3.57692307692308</v>
      </c>
      <c r="F216" s="12" t="n">
        <f aca="false">Kappa*Users_x0/(Users_x0+(Kappa-Users_x0)*EXP(-Rate_r*E216))</f>
        <v>33.7917244680035</v>
      </c>
    </row>
    <row r="217" customFormat="false" ht="15" hidden="false" customHeight="false" outlineLevel="0" collapsed="false">
      <c r="A217" s="18" t="n">
        <v>187</v>
      </c>
      <c r="D217" s="12" t="n">
        <f aca="false">D216+(1/D$29)*Rate_r*D216*(1-D216/Kappa)</f>
        <v>33.708535217354</v>
      </c>
      <c r="E217" s="15" t="n">
        <f aca="false">A217/$D$29</f>
        <v>3.59615384615385</v>
      </c>
      <c r="F217" s="12" t="n">
        <f aca="false">Kappa*Users_x0/(Users_x0+(Kappa-Users_x0)*EXP(-Rate_r*E217))</f>
        <v>34.1800276549075</v>
      </c>
    </row>
    <row r="218" customFormat="false" ht="15" hidden="false" customHeight="false" outlineLevel="0" collapsed="false">
      <c r="A218" s="18" t="n">
        <v>188</v>
      </c>
      <c r="D218" s="12" t="n">
        <f aca="false">D217+(1/D$29)*Rate_r*D217*(1-D217/Kappa)</f>
        <v>34.0952908630679</v>
      </c>
      <c r="E218" s="15" t="n">
        <f aca="false">A218/$D$29</f>
        <v>3.61538461538462</v>
      </c>
      <c r="F218" s="12" t="n">
        <f aca="false">Kappa*Users_x0/(Users_x0+(Kappa-Users_x0)*EXP(-Rate_r*E218))</f>
        <v>34.5704630309469</v>
      </c>
    </row>
    <row r="219" customFormat="false" ht="15" hidden="false" customHeight="false" outlineLevel="0" collapsed="false">
      <c r="A219" s="18" t="n">
        <v>189</v>
      </c>
      <c r="D219" s="12" t="n">
        <f aca="false">D218+(1/D$29)*Rate_r*D218*(1-D218/Kappa)</f>
        <v>34.4842016716338</v>
      </c>
      <c r="E219" s="15" t="n">
        <f aca="false">A219/$D$29</f>
        <v>3.63461538461538</v>
      </c>
      <c r="F219" s="12" t="n">
        <f aca="false">Kappa*Users_x0/(Users_x0+(Kappa-Users_x0)*EXP(-Rate_r*E219))</f>
        <v>34.962989251217</v>
      </c>
    </row>
    <row r="220" customFormat="false" ht="15" hidden="false" customHeight="false" outlineLevel="0" collapsed="false">
      <c r="A220" s="18" t="n">
        <v>190</v>
      </c>
      <c r="D220" s="12" t="n">
        <f aca="false">D219+(1/D$29)*Rate_r*D219*(1-D219/Kappa)</f>
        <v>34.8752274412511</v>
      </c>
      <c r="E220" s="15" t="n">
        <f aca="false">A220/$D$29</f>
        <v>3.65384615384615</v>
      </c>
      <c r="F220" s="12" t="n">
        <f aca="false">Kappa*Users_x0/(Users_x0+(Kappa-Users_x0)*EXP(-Rate_r*E220))</f>
        <v>35.3575638972309</v>
      </c>
    </row>
    <row r="221" customFormat="false" ht="15" hidden="false" customHeight="false" outlineLevel="0" collapsed="false">
      <c r="A221" s="18" t="n">
        <v>191</v>
      </c>
      <c r="D221" s="12" t="n">
        <f aca="false">D220+(1/D$29)*Rate_r*D220*(1-D220/Kappa)</f>
        <v>35.2683268892398</v>
      </c>
      <c r="E221" s="15" t="n">
        <f aca="false">A221/$D$29</f>
        <v>3.67307692307692</v>
      </c>
      <c r="F221" s="12" t="n">
        <f aca="false">Kappa*Users_x0/(Users_x0+(Kappa-Users_x0)*EXP(-Rate_r*E221))</f>
        <v>35.7541434898972</v>
      </c>
    </row>
    <row r="222" customFormat="false" ht="15" hidden="false" customHeight="false" outlineLevel="0" collapsed="false">
      <c r="A222" s="18" t="n">
        <v>192</v>
      </c>
      <c r="D222" s="12" t="n">
        <f aca="false">D221+(1/D$29)*Rate_r*D221*(1-D221/Kappa)</f>
        <v>35.6634576635902</v>
      </c>
      <c r="E222" s="15" t="n">
        <f aca="false">A222/$D$29</f>
        <v>3.69230769230769</v>
      </c>
      <c r="F222" s="12" t="n">
        <f aca="false">Kappa*Users_x0/(Users_x0+(Kappa-Users_x0)*EXP(-Rate_r*E222))</f>
        <v>36.1526835035946</v>
      </c>
    </row>
    <row r="223" customFormat="false" ht="15" hidden="false" customHeight="false" outlineLevel="0" collapsed="false">
      <c r="A223" s="18" t="n">
        <v>193</v>
      </c>
      <c r="D223" s="12" t="n">
        <f aca="false">D222+(1/D$29)*Rate_r*D222*(1-D222/Kappa)</f>
        <v>36.0605763556003</v>
      </c>
      <c r="E223" s="15" t="n">
        <f aca="false">A223/$D$29</f>
        <v>3.71153846153846</v>
      </c>
      <c r="F223" s="12" t="n">
        <f aca="false">Kappa*Users_x0/(Users_x0+(Kappa-Users_x0)*EXP(-Rate_r*E223))</f>
        <v>36.5531383813429</v>
      </c>
    </row>
    <row r="224" customFormat="false" ht="15" hidden="false" customHeight="false" outlineLevel="0" collapsed="false">
      <c r="A224" s="18" t="n">
        <v>194</v>
      </c>
      <c r="D224" s="12" t="n">
        <f aca="false">D223+(1/D$29)*Rate_r*D223*(1-D223/Kappa)</f>
        <v>36.4596385136034</v>
      </c>
      <c r="E224" s="15" t="n">
        <f aca="false">A224/$D$29</f>
        <v>3.73076923076923</v>
      </c>
      <c r="F224" s="12" t="n">
        <f aca="false">Kappa*Users_x0/(Users_x0+(Kappa-Users_x0)*EXP(-Rate_r*E224))</f>
        <v>36.9554615510653</v>
      </c>
    </row>
    <row r="225" customFormat="false" ht="15" hidden="false" customHeight="false" outlineLevel="0" collapsed="false">
      <c r="A225" s="18" t="n">
        <v>195</v>
      </c>
      <c r="D225" s="12" t="n">
        <f aca="false">D224+(1/D$29)*Rate_r*D224*(1-D224/Kappa)</f>
        <v>36.8605986577834</v>
      </c>
      <c r="E225" s="15" t="n">
        <f aca="false">A225/$D$29</f>
        <v>3.75</v>
      </c>
      <c r="F225" s="12" t="n">
        <f aca="false">Kappa*Users_x0/(Users_x0+(Kappa-Users_x0)*EXP(-Rate_r*E225))</f>
        <v>37.3596054429398</v>
      </c>
    </row>
    <row r="226" customFormat="false" ht="15" hidden="false" customHeight="false" outlineLevel="0" collapsed="false">
      <c r="A226" s="18" t="n">
        <v>196</v>
      </c>
      <c r="D226" s="12" t="n">
        <f aca="false">D225+(1/D$29)*Rate_r*D225*(1-D225/Kappa)</f>
        <v>37.2634102960778</v>
      </c>
      <c r="E226" s="15" t="n">
        <f aca="false">A226/$D$29</f>
        <v>3.76923076923077</v>
      </c>
      <c r="F226" s="12" t="n">
        <f aca="false">Kappa*Users_x0/(Users_x0+(Kappa-Users_x0)*EXP(-Rate_r*E226))</f>
        <v>37.7655215078299</v>
      </c>
    </row>
    <row r="227" customFormat="false" ht="15" hidden="false" customHeight="false" outlineLevel="0" collapsed="false">
      <c r="A227" s="18" t="n">
        <v>197</v>
      </c>
      <c r="D227" s="12" t="n">
        <f aca="false">D226+(1/D$29)*Rate_r*D226*(1-D226/Kappa)</f>
        <v>37.668025941163</v>
      </c>
      <c r="E227" s="15" t="n">
        <f aca="false">A227/$D$29</f>
        <v>3.78846153846154</v>
      </c>
      <c r="F227" s="12" t="n">
        <f aca="false">Kappa*Users_x0/(Users_x0+(Kappa-Users_x0)*EXP(-Rate_r*E227))</f>
        <v>38.1731602367875</v>
      </c>
    </row>
    <row r="228" customFormat="false" ht="15" hidden="false" customHeight="false" outlineLevel="0" collapsed="false">
      <c r="A228" s="18" t="n">
        <v>198</v>
      </c>
      <c r="D228" s="12" t="n">
        <f aca="false">D227+(1/D$29)*Rate_r*D227*(1-D227/Kappa)</f>
        <v>38.0743971285151</v>
      </c>
      <c r="E228" s="15" t="n">
        <f aca="false">A228/$D$29</f>
        <v>3.80769230769231</v>
      </c>
      <c r="F228" s="12" t="n">
        <f aca="false">Kappa*Users_x0/(Users_x0+(Kappa-Users_x0)*EXP(-Rate_r*E228))</f>
        <v>38.5824711816167</v>
      </c>
    </row>
    <row r="229" customFormat="false" ht="15" hidden="false" customHeight="false" outlineLevel="0" collapsed="false">
      <c r="A229" s="18" t="n">
        <v>199</v>
      </c>
      <c r="D229" s="12" t="n">
        <f aca="false">D228+(1/D$29)*Rate_r*D228*(1-D228/Kappa)</f>
        <v>38.4824744355413</v>
      </c>
      <c r="E229" s="15" t="n">
        <f aca="false">A229/$D$29</f>
        <v>3.82692307692308</v>
      </c>
      <c r="F229" s="12" t="n">
        <f aca="false">Kappa*Users_x0/(Users_x0+(Kappa-Users_x0)*EXP(-Rate_r*E229))</f>
        <v>38.9934029764861</v>
      </c>
    </row>
    <row r="230" customFormat="false" ht="15" hidden="false" customHeight="false" outlineLevel="0" collapsed="false">
      <c r="A230" s="18" t="n">
        <v>200</v>
      </c>
      <c r="D230" s="12" t="n">
        <f aca="false">D229+(1/D$29)*Rate_r*D229*(1-D229/Kappa)</f>
        <v>38.8922075017692</v>
      </c>
      <c r="E230" s="15" t="n">
        <f aca="false">A230/$D$29</f>
        <v>3.84615384615385</v>
      </c>
      <c r="F230" s="12" t="n">
        <f aca="false">Kappa*Users_x0/(Users_x0+(Kappa-Users_x0)*EXP(-Rate_r*E230))</f>
        <v>39.4059033605746</v>
      </c>
    </row>
    <row r="231" customFormat="false" ht="15" hidden="false" customHeight="false" outlineLevel="0" collapsed="false">
      <c r="A231" s="18" t="n">
        <v>201</v>
      </c>
      <c r="D231" s="12" t="n">
        <f aca="false">D230+(1/D$29)*Rate_r*D230*(1-D230/Kappa)</f>
        <v>39.3035450500835</v>
      </c>
      <c r="E231" s="15" t="n">
        <f aca="false">A231/$D$29</f>
        <v>3.86538461538462</v>
      </c>
      <c r="F231" s="12" t="n">
        <f aca="false">Kappa*Users_x0/(Users_x0+(Kappa-Users_x0)*EXP(-Rate_r*E231))</f>
        <v>39.8199192017343</v>
      </c>
    </row>
    <row r="232" customFormat="false" ht="15" hidden="false" customHeight="false" outlineLevel="0" collapsed="false">
      <c r="A232" s="18" t="n">
        <v>202</v>
      </c>
      <c r="D232" s="12" t="n">
        <f aca="false">D231+(1/D$29)*Rate_r*D231*(1-D231/Kappa)</f>
        <v>39.7164349089977</v>
      </c>
      <c r="E232" s="15" t="n">
        <f aca="false">A232/$D$29</f>
        <v>3.88461538461538</v>
      </c>
      <c r="F232" s="12" t="n">
        <f aca="false">Kappa*Users_x0/(Users_x0+(Kappa-Users_x0)*EXP(-Rate_r*E232))</f>
        <v>40.2353965211531</v>
      </c>
    </row>
    <row r="233" customFormat="false" ht="15" hidden="false" customHeight="false" outlineLevel="0" collapsed="false">
      <c r="A233" s="18" t="n">
        <v>203</v>
      </c>
      <c r="D233" s="12" t="n">
        <f aca="false">D232+(1/D$29)*Rate_r*D232*(1-D232/Kappa)</f>
        <v>40.1308240359434</v>
      </c>
      <c r="E233" s="15" t="n">
        <f aca="false">A233/$D$29</f>
        <v>3.90384615384615</v>
      </c>
      <c r="F233" s="12" t="n">
        <f aca="false">Kappa*Users_x0/(Users_x0+(Kappa-Users_x0)*EXP(-Rate_r*E233))</f>
        <v>40.6522805189941</v>
      </c>
    </row>
    <row r="234" customFormat="false" ht="15" hidden="false" customHeight="false" outlineLevel="0" collapsed="false">
      <c r="A234" s="18" t="n">
        <v>204</v>
      </c>
      <c r="D234" s="12" t="n">
        <f aca="false">D233+(1/D$29)*Rate_r*D233*(1-D233/Kappa)</f>
        <v>40.5466585415609</v>
      </c>
      <c r="E234" s="15" t="n">
        <f aca="false">A234/$D$29</f>
        <v>3.92307692307692</v>
      </c>
      <c r="F234" s="12" t="n">
        <f aca="false">Kappa*Users_x0/(Users_x0+(Kappa-Users_x0)*EXP(-Rate_r*E234))</f>
        <v>41.0705156009932</v>
      </c>
    </row>
    <row r="235" customFormat="false" ht="15" hidden="false" customHeight="false" outlineLevel="0" collapsed="false">
      <c r="A235" s="18" t="n">
        <v>205</v>
      </c>
      <c r="D235" s="12" t="n">
        <f aca="false">D234+(1/D$29)*Rate_r*D234*(1-D234/Kappa)</f>
        <v>40.9638837149731</v>
      </c>
      <c r="E235" s="15" t="n">
        <f aca="false">A235/$D$29</f>
        <v>3.94230769230769</v>
      </c>
      <c r="F235" s="12" t="n">
        <f aca="false">Kappa*Users_x0/(Users_x0+(Kappa-Users_x0)*EXP(-Rate_r*E235))</f>
        <v>41.4900454059876</v>
      </c>
    </row>
    <row r="236" customFormat="false" ht="15" hidden="false" customHeight="false" outlineLevel="0" collapsed="false">
      <c r="A236" s="18" t="n">
        <v>206</v>
      </c>
      <c r="D236" s="12" t="n">
        <f aca="false">D235+(1/D$29)*Rate_r*D235*(1-D235/Kappa)</f>
        <v>41.3824440500183</v>
      </c>
      <c r="E236" s="15" t="n">
        <f aca="false">A236/$D$29</f>
        <v>3.96153846153846</v>
      </c>
      <c r="F236" s="12" t="n">
        <f aca="false">Kappa*Users_x0/(Users_x0+(Kappa-Users_x0)*EXP(-Rate_r*E236))</f>
        <v>41.9108128343511</v>
      </c>
    </row>
    <row r="237" customFormat="false" ht="15" hidden="false" customHeight="false" outlineLevel="0" collapsed="false">
      <c r="A237" s="18" t="n">
        <v>207</v>
      </c>
      <c r="D237" s="12" t="n">
        <f aca="false">D236+(1/D$29)*Rate_r*D236*(1-D236/Kappa)</f>
        <v>41.8022832724229</v>
      </c>
      <c r="E237" s="15" t="n">
        <f aca="false">A237/$D$29</f>
        <v>3.98076923076923</v>
      </c>
      <c r="F237" s="12" t="n">
        <f aca="false">Kappa*Users_x0/(Users_x0+(Kappa-Users_x0)*EXP(-Rate_r*E237))</f>
        <v>42.3327600773077</v>
      </c>
    </row>
    <row r="238" customFormat="false" ht="15" hidden="false" customHeight="false" outlineLevel="0" collapsed="false">
      <c r="A238" s="18" t="n">
        <v>208</v>
      </c>
      <c r="D238" s="12" t="n">
        <f aca="false">D237+(1/D$29)*Rate_r*D237*(1-D237/Kappa)</f>
        <v>42.2233443678862</v>
      </c>
      <c r="E238" s="15" t="n">
        <f aca="false">A238/$D$29</f>
        <v>4</v>
      </c>
      <c r="F238" s="12" t="n">
        <f aca="false">Kappa*Users_x0/(Users_x0+(Kappa-Users_x0)*EXP(-Rate_r*E238))</f>
        <v>42.7558286470954</v>
      </c>
    </row>
    <row r="239" customFormat="false" ht="15" hidden="false" customHeight="false" outlineLevel="0" collapsed="false">
      <c r="A239" s="18" t="n">
        <v>209</v>
      </c>
      <c r="D239" s="12" t="n">
        <f aca="false">D238+(1/D$29)*Rate_r*D238*(1-D238/Kappa)</f>
        <v>42.6455696110519</v>
      </c>
      <c r="E239" s="15" t="n">
        <f aca="false">A239/$D$29</f>
        <v>4.01923076923077</v>
      </c>
      <c r="F239" s="12" t="n">
        <f aca="false">Kappa*Users_x0/(Users_x0+(Kappa-Users_x0)*EXP(-Rate_r*E239))</f>
        <v>43.1799594079464</v>
      </c>
    </row>
    <row r="240" customFormat="false" ht="15" hidden="false" customHeight="false" outlineLevel="0" collapsed="false">
      <c r="A240" s="18" t="n">
        <v>210</v>
      </c>
      <c r="D240" s="12" t="n">
        <f aca="false">D239+(1/D$29)*Rate_r*D239*(1-D239/Kappa)</f>
        <v>43.0689005953381</v>
      </c>
      <c r="E240" s="15" t="n">
        <f aca="false">A240/$D$29</f>
        <v>4.03846153846154</v>
      </c>
      <c r="F240" s="12" t="n">
        <f aca="false">Kappa*Users_x0/(Users_x0+(Kappa-Users_x0)*EXP(-Rate_r*E240))</f>
        <v>43.6050926078539</v>
      </c>
    </row>
    <row r="241" customFormat="false" ht="15" hidden="false" customHeight="false" outlineLevel="0" collapsed="false">
      <c r="A241" s="18" t="n">
        <v>211</v>
      </c>
      <c r="D241" s="12" t="n">
        <f aca="false">D240+(1/D$29)*Rate_r*D240*(1-D240/Kappa)</f>
        <v>43.4932782635955</v>
      </c>
      <c r="E241" s="15" t="n">
        <f aca="false">A241/$D$29</f>
        <v>4.05769230769231</v>
      </c>
      <c r="F241" s="12" t="n">
        <f aca="false">Kappa*Users_x0/(Users_x0+(Kappa-Users_x0)*EXP(-Rate_r*E241))</f>
        <v>44.0311679110887</v>
      </c>
    </row>
    <row r="242" customFormat="false" ht="15" hidden="false" customHeight="false" outlineLevel="0" collapsed="false">
      <c r="A242" s="18" t="n">
        <v>212</v>
      </c>
      <c r="D242" s="12" t="n">
        <f aca="false">D241+(1/D$29)*Rate_r*D241*(1-D241/Kappa)</f>
        <v>43.918642939561</v>
      </c>
      <c r="E242" s="15" t="n">
        <f aca="false">A242/$D$29</f>
        <v>4.07692307692308</v>
      </c>
      <c r="F242" s="12" t="n">
        <f aca="false">Kappa*Users_x0/(Users_x0+(Kappa-Users_x0)*EXP(-Rate_r*E242))</f>
        <v>44.4581244314315</v>
      </c>
    </row>
    <row r="243" customFormat="false" ht="15" hidden="false" customHeight="false" outlineLevel="0" collapsed="false">
      <c r="A243" s="18" t="n">
        <v>213</v>
      </c>
      <c r="D243" s="12" t="n">
        <f aca="false">D242+(1/D$29)*Rate_r*D242*(1-D242/Kappa)</f>
        <v>44.3449343600751</v>
      </c>
      <c r="E243" s="15" t="n">
        <f aca="false">A243/$D$29</f>
        <v>4.09615384615385</v>
      </c>
      <c r="F243" s="12" t="n">
        <f aca="false">Kappa*Users_x0/(Users_x0+(Kappa-Users_x0)*EXP(-Rate_r*E243))</f>
        <v>44.8859007660812</v>
      </c>
    </row>
    <row r="244" customFormat="false" ht="15" hidden="false" customHeight="false" outlineLevel="0" collapsed="false">
      <c r="A244" s="18" t="n">
        <v>214</v>
      </c>
      <c r="D244" s="12" t="n">
        <f aca="false">D243+(1/D$29)*Rate_r*D243*(1-D243/Kappa)</f>
        <v>44.7720917080265</v>
      </c>
      <c r="E244" s="15" t="n">
        <f aca="false">A244/$D$29</f>
        <v>4.11538461538462</v>
      </c>
      <c r="F244" s="12" t="n">
        <f aca="false">Kappa*Users_x0/(Users_x0+(Kappa-Users_x0)*EXP(-Rate_r*E244))</f>
        <v>45.3144350302031</v>
      </c>
    </row>
    <row r="245" customFormat="false" ht="15" hidden="false" customHeight="false" outlineLevel="0" collapsed="false">
      <c r="A245" s="18" t="n">
        <v>215</v>
      </c>
      <c r="D245" s="12" t="n">
        <f aca="false">D244+(1/D$29)*Rate_r*D244*(1-D244/Kappa)</f>
        <v>45.2000536459883</v>
      </c>
      <c r="E245" s="15" t="n">
        <f aca="false">A245/$D$29</f>
        <v>4.13461538461539</v>
      </c>
      <c r="F245" s="12" t="n">
        <f aca="false">Kappa*Users_x0/(Users_x0+(Kappa-Users_x0)*EXP(-Rate_r*E245))</f>
        <v>45.7436648920737</v>
      </c>
    </row>
    <row r="246" customFormat="false" ht="15" hidden="false" customHeight="false" outlineLevel="0" collapsed="false">
      <c r="A246" s="18" t="n">
        <v>216</v>
      </c>
      <c r="D246" s="12" t="n">
        <f aca="false">D245+(1/D$29)*Rate_r*D245*(1-D245/Kappa)</f>
        <v>45.6287583505073</v>
      </c>
      <c r="E246" s="15" t="n">
        <f aca="false">A246/$D$29</f>
        <v>4.15384615384615</v>
      </c>
      <c r="F246" s="12" t="n">
        <f aca="false">Kappa*Users_x0/(Users_x0+(Kappa-Users_x0)*EXP(-Rate_r*E246))</f>
        <v>46.1735276087835</v>
      </c>
    </row>
    <row r="247" customFormat="false" ht="15" hidden="false" customHeight="false" outlineLevel="0" collapsed="false">
      <c r="A247" s="18" t="n">
        <v>217</v>
      </c>
      <c r="D247" s="12" t="n">
        <f aca="false">D246+(1/D$29)*Rate_r*D246*(1-D246/Kappa)</f>
        <v>46.0581435470069</v>
      </c>
      <c r="E247" s="15" t="n">
        <f aca="false">A247/$D$29</f>
        <v>4.17307692307692</v>
      </c>
      <c r="F247" s="12" t="n">
        <f aca="false">Kappa*Users_x0/(Users_x0+(Kappa-Users_x0)*EXP(-Rate_r*E247))</f>
        <v>46.6039600624529</v>
      </c>
    </row>
    <row r="248" customFormat="false" ht="15" hidden="false" customHeight="false" outlineLevel="0" collapsed="false">
      <c r="A248" s="18" t="n">
        <v>218</v>
      </c>
      <c r="D248" s="12" t="n">
        <f aca="false">D247+(1/D$29)*Rate_r*D247*(1-D247/Kappa)</f>
        <v>46.4881465452633</v>
      </c>
      <c r="E248" s="15" t="n">
        <f aca="false">A248/$D$29</f>
        <v>4.19230769230769</v>
      </c>
      <c r="F248" s="12" t="n">
        <f aca="false">Kappa*Users_x0/(Users_x0+(Kappa-Users_x0)*EXP(-Rate_r*E248))</f>
        <v>47.0348987969188</v>
      </c>
    </row>
    <row r="249" customFormat="false" ht="15" hidden="false" customHeight="false" outlineLevel="0" collapsed="false">
      <c r="A249" s="18" t="n">
        <v>219</v>
      </c>
      <c r="D249" s="12" t="n">
        <f aca="false">D248+(1/D$29)*Rate_r*D248*(1-D248/Kappa)</f>
        <v>46.9187042754136</v>
      </c>
      <c r="E249" s="15" t="n">
        <f aca="false">A249/$D$29</f>
        <v>4.21153846153846</v>
      </c>
      <c r="F249" s="12" t="n">
        <f aca="false">Kappa*Users_x0/(Users_x0+(Kappa-Users_x0)*EXP(-Rate_r*E249))</f>
        <v>47.4662800548461</v>
      </c>
    </row>
    <row r="250" customFormat="false" ht="15" hidden="false" customHeight="false" outlineLevel="0" collapsed="false">
      <c r="A250" s="18" t="n">
        <v>220</v>
      </c>
      <c r="D250" s="12" t="n">
        <f aca="false">D249+(1/D$29)*Rate_r*D249*(1-D249/Kappa)</f>
        <v>47.3497533244505</v>
      </c>
      <c r="E250" s="15" t="n">
        <f aca="false">A250/$D$29</f>
        <v>4.23076923076923</v>
      </c>
      <c r="F250" s="12" t="n">
        <f aca="false">Kappa*Users_x0/(Users_x0+(Kappa-Users_x0)*EXP(-Rate_r*E250))</f>
        <v>47.8980398152195</v>
      </c>
    </row>
    <row r="251" customFormat="false" ht="15" hidden="false" customHeight="false" outlineLevel="0" collapsed="false">
      <c r="A251" s="18" t="n">
        <v>221</v>
      </c>
      <c r="D251" s="12" t="n">
        <f aca="false">D250+(1/D$29)*Rate_r*D250*(1-D250/Kappa)</f>
        <v>47.7812299731626</v>
      </c>
      <c r="E251" s="15" t="n">
        <f aca="false">A251/$D$29</f>
        <v>4.25</v>
      </c>
      <c r="F251" s="12" t="n">
        <f aca="false">Kappa*Users_x0/(Users_x0+(Kappa-Users_x0)*EXP(-Rate_r*E251))</f>
        <v>48.3301138311682</v>
      </c>
    </row>
    <row r="252" customFormat="false" ht="15" hidden="false" customHeight="false" outlineLevel="0" collapsed="false">
      <c r="A252" s="18" t="n">
        <v>222</v>
      </c>
      <c r="D252" s="12" t="n">
        <f aca="false">D251+(1/D$29)*Rate_r*D251*(1-D251/Kappa)</f>
        <v>48.2130702334724</v>
      </c>
      <c r="E252" s="15" t="n">
        <f aca="false">A252/$D$29</f>
        <v>4.26923076923077</v>
      </c>
      <c r="F252" s="12" t="n">
        <f aca="false">Kappa*Users_x0/(Users_x0+(Kappa-Users_x0)*EXP(-Rate_r*E252))</f>
        <v>48.7624376680762</v>
      </c>
    </row>
    <row r="253" customFormat="false" ht="15" hidden="false" customHeight="false" outlineLevel="0" collapsed="false">
      <c r="A253" s="18" t="n">
        <v>223</v>
      </c>
      <c r="D253" s="12" t="n">
        <f aca="false">D252+(1/D$29)*Rate_r*D252*(1-D252/Kappa)</f>
        <v>48.6452098861279</v>
      </c>
      <c r="E253" s="15" t="n">
        <f aca="false">A253/$D$29</f>
        <v>4.28846153846154</v>
      </c>
      <c r="F253" s="12" t="n">
        <f aca="false">Kappa*Users_x0/(Users_x0+(Kappa-Users_x0)*EXP(-Rate_r*E253))</f>
        <v>49.1949467419314</v>
      </c>
    </row>
    <row r="254" customFormat="false" ht="15" hidden="false" customHeight="false" outlineLevel="0" collapsed="false">
      <c r="A254" s="18" t="n">
        <v>224</v>
      </c>
      <c r="D254" s="12" t="n">
        <f aca="false">D253+(1/D$29)*Rate_r*D253*(1-D253/Kappa)</f>
        <v>49.0775845186996</v>
      </c>
      <c r="E254" s="15" t="n">
        <f aca="false">A254/$D$29</f>
        <v>4.30769230769231</v>
      </c>
      <c r="F254" s="12" t="n">
        <f aca="false">Kappa*Users_x0/(Users_x0+(Kappa-Users_x0)*EXP(-Rate_r*E254))</f>
        <v>49.6275763578638</v>
      </c>
    </row>
    <row r="255" customFormat="false" ht="15" hidden="false" customHeight="false" outlineLevel="0" collapsed="false">
      <c r="A255" s="18" t="n">
        <v>225</v>
      </c>
      <c r="D255" s="12" t="n">
        <f aca="false">D254+(1/D$29)*Rate_r*D254*(1-D254/Kappa)</f>
        <v>49.5101295638365</v>
      </c>
      <c r="E255" s="15" t="n">
        <f aca="false">A255/$D$29</f>
        <v>4.32692307692308</v>
      </c>
      <c r="F255" s="12" t="n">
        <f aca="false">Kappa*Users_x0/(Users_x0+(Kappa-Users_x0)*EXP(-Rate_r*E255))</f>
        <v>50.060261748825</v>
      </c>
    </row>
    <row r="256" customFormat="false" ht="15" hidden="false" customHeight="false" outlineLevel="0" collapsed="false">
      <c r="A256" s="18" t="n">
        <v>226</v>
      </c>
      <c r="D256" s="12" t="n">
        <f aca="false">D255+(1/D$29)*Rate_r*D255*(1-D255/Kappa)</f>
        <v>49.9427803377326</v>
      </c>
      <c r="E256" s="15" t="n">
        <f aca="false">A256/$D$29</f>
        <v>4.34615384615385</v>
      </c>
      <c r="F256" s="12" t="n">
        <f aca="false">Kappa*Users_x0/(Users_x0+(Kappa-Users_x0)*EXP(-Rate_r*E256))</f>
        <v>50.4929381143593</v>
      </c>
    </row>
    <row r="257" customFormat="false" ht="15" hidden="false" customHeight="false" outlineLevel="0" collapsed="false">
      <c r="A257" s="18" t="n">
        <v>227</v>
      </c>
      <c r="D257" s="12" t="n">
        <f aca="false">D256+(1/D$29)*Rate_r*D256*(1-D256/Kappa)</f>
        <v>50.3754720787556</v>
      </c>
      <c r="E257" s="15" t="n">
        <f aca="false">A257/$D$29</f>
        <v>4.36538461538462</v>
      </c>
      <c r="F257" s="12" t="n">
        <f aca="false">Kappa*Users_x0/(Users_x0+(Kappa-Users_x0)*EXP(-Rate_r*E257))</f>
        <v>50.9255406594173</v>
      </c>
    </row>
    <row r="258" customFormat="false" ht="15" hidden="false" customHeight="false" outlineLevel="0" collapsed="false">
      <c r="A258" s="18" t="n">
        <v>228</v>
      </c>
      <c r="D258" s="12" t="n">
        <f aca="false">D257+(1/D$29)*Rate_r*D257*(1-D257/Kappa)</f>
        <v>50.8081399861876</v>
      </c>
      <c r="E258" s="15" t="n">
        <f aca="false">A258/$D$29</f>
        <v>4.38461538461539</v>
      </c>
      <c r="F258" s="12" t="n">
        <f aca="false">Kappa*Users_x0/(Users_x0+(Kappa-Users_x0)*EXP(-Rate_r*E258))</f>
        <v>51.3580046331628</v>
      </c>
    </row>
    <row r="259" customFormat="false" ht="15" hidden="false" customHeight="false" outlineLevel="0" collapsed="false">
      <c r="A259" s="18" t="n">
        <v>229</v>
      </c>
      <c r="D259" s="12" t="n">
        <f aca="false">D258+(1/D$29)*Rate_r*D258*(1-D258/Kappa)</f>
        <v>51.2407192590311</v>
      </c>
      <c r="E259" s="15" t="n">
        <f aca="false">A259/$D$29</f>
        <v>4.40384615384615</v>
      </c>
      <c r="F259" s="12" t="n">
        <f aca="false">Kappa*Users_x0/(Users_x0+(Kappa-Users_x0)*EXP(-Rate_r*E259))</f>
        <v>51.7902653677232</v>
      </c>
    </row>
    <row r="260" customFormat="false" ht="15" hidden="false" customHeight="false" outlineLevel="0" collapsed="false">
      <c r="A260" s="18" t="n">
        <v>230</v>
      </c>
      <c r="D260" s="12" t="n">
        <f aca="false">D259+(1/D$29)*Rate_r*D259*(1-D259/Kappa)</f>
        <v>51.6731451348288</v>
      </c>
      <c r="E260" s="15" t="n">
        <f aca="false">A260/$D$29</f>
        <v>4.42307692307692</v>
      </c>
      <c r="F260" s="12" t="n">
        <f aca="false">Kappa*Users_x0/(Users_x0+(Kappa-Users_x0)*EXP(-Rate_r*E260))</f>
        <v>52.2222583168347</v>
      </c>
    </row>
    <row r="261" customFormat="false" ht="15" hidden="false" customHeight="false" outlineLevel="0" collapsed="false">
      <c r="A261" s="18" t="n">
        <v>231</v>
      </c>
      <c r="D261" s="12" t="n">
        <f aca="false">D260+(1/D$29)*Rate_r*D260*(1-D260/Kappa)</f>
        <v>52.1053529284485</v>
      </c>
      <c r="E261" s="15" t="n">
        <f aca="false">A261/$D$29</f>
        <v>4.44230769230769</v>
      </c>
      <c r="F261" s="12" t="n">
        <f aca="false">Kappa*Users_x0/(Users_x0+(Kappa-Users_x0)*EXP(-Rate_r*E261))</f>
        <v>52.6539190943325</v>
      </c>
    </row>
    <row r="262" customFormat="false" ht="15" hidden="false" customHeight="false" outlineLevel="0" collapsed="false">
      <c r="A262" s="18" t="n">
        <v>232</v>
      </c>
      <c r="D262" s="12" t="n">
        <f aca="false">D261+(1/D$29)*Rate_r*D261*(1-D261/Kappa)</f>
        <v>52.5372780707835</v>
      </c>
      <c r="E262" s="15" t="n">
        <f aca="false">A262/$D$29</f>
        <v>4.46153846153846</v>
      </c>
      <c r="F262" s="12" t="n">
        <f aca="false">Kappa*Users_x0/(Users_x0+(Kappa-Users_x0)*EXP(-Rate_r*E262))</f>
        <v>53.0851835124384</v>
      </c>
    </row>
    <row r="263" customFormat="false" ht="15" hidden="false" customHeight="false" outlineLevel="0" collapsed="false">
      <c r="A263" s="18" t="n">
        <v>233</v>
      </c>
      <c r="D263" s="12" t="n">
        <f aca="false">D262+(1/D$29)*Rate_r*D262*(1-D262/Kappa)</f>
        <v>52.9688561473205</v>
      </c>
      <c r="E263" s="15" t="n">
        <f aca="false">A263/$D$29</f>
        <v>4.48076923076923</v>
      </c>
      <c r="F263" s="12" t="n">
        <f aca="false">Kappa*Users_x0/(Users_x0+(Kappa-Users_x0)*EXP(-Rate_r*E263))</f>
        <v>53.5159876197963</v>
      </c>
    </row>
    <row r="264" customFormat="false" ht="15" hidden="false" customHeight="false" outlineLevel="0" collapsed="false">
      <c r="A264" s="18" t="n">
        <v>234</v>
      </c>
      <c r="D264" s="12" t="n">
        <f aca="false">D263+(1/D$29)*Rate_r*D263*(1-D263/Kappa)</f>
        <v>53.4000229365241</v>
      </c>
      <c r="E264" s="15" t="n">
        <f aca="false">A264/$D$29</f>
        <v>4.5</v>
      </c>
      <c r="F264" s="12" t="n">
        <f aca="false">Kappa*Users_x0/(Users_x0+(Kappa-Users_x0)*EXP(-Rate_r*E264))</f>
        <v>53.9462677392089</v>
      </c>
    </row>
    <row r="265" customFormat="false" ht="15" hidden="false" customHeight="false" outlineLevel="0" collapsed="false">
      <c r="A265" s="18" t="n">
        <v>235</v>
      </c>
      <c r="D265" s="12" t="n">
        <f aca="false">D264+(1/D$29)*Rate_r*D264*(1-D264/Kappa)</f>
        <v>53.830714447991</v>
      </c>
      <c r="E265" s="15" t="n">
        <f aca="false">A265/$D$29</f>
        <v>4.51923076923077</v>
      </c>
      <c r="F265" s="12" t="n">
        <f aca="false">Kappa*Users_x0/(Users_x0+(Kappa-Users_x0)*EXP(-Rate_r*E265))</f>
        <v>54.3759605050281</v>
      </c>
    </row>
    <row r="266" customFormat="false" ht="15" hidden="false" customHeight="false" outlineLevel="0" collapsed="false">
      <c r="A266" s="18" t="n">
        <v>236</v>
      </c>
      <c r="D266" s="12" t="n">
        <f aca="false">D265+(1/D$29)*Rate_r*D265*(1-D265/Kappa)</f>
        <v>54.2608669603249</v>
      </c>
      <c r="E266" s="15" t="n">
        <f aca="false">A266/$D$29</f>
        <v>4.53846153846154</v>
      </c>
      <c r="F266" s="12" t="n">
        <f aca="false">Kappa*Users_x0/(Users_x0+(Kappa-Users_x0)*EXP(-Rate_r*E266))</f>
        <v>54.8050029001529</v>
      </c>
    </row>
    <row r="267" customFormat="false" ht="15" hidden="false" customHeight="false" outlineLevel="0" collapsed="false">
      <c r="A267" s="18" t="n">
        <v>237</v>
      </c>
      <c r="D267" s="12" t="n">
        <f aca="false">D266+(1/D$29)*Rate_r*D266*(1-D266/Kappa)</f>
        <v>54.6904170586848</v>
      </c>
      <c r="E267" s="15" t="n">
        <f aca="false">A267/$D$29</f>
        <v>4.55769230769231</v>
      </c>
      <c r="F267" s="12" t="n">
        <f aca="false">Kappa*Users_x0/(Users_x0+(Kappa-Users_x0)*EXP(-Rate_r*E267))</f>
        <v>55.2333322925892</v>
      </c>
    </row>
    <row r="268" customFormat="false" ht="15" hidden="false" customHeight="false" outlineLevel="0" collapsed="false">
      <c r="A268" s="18" t="n">
        <v>238</v>
      </c>
      <c r="D268" s="12" t="n">
        <f aca="false">D267+(1/D$29)*Rate_r*D267*(1-D267/Kappa)</f>
        <v>55.1193016719606</v>
      </c>
      <c r="E268" s="15" t="n">
        <f aca="false">A268/$D$29</f>
        <v>4.57692307692308</v>
      </c>
      <c r="F268" s="12" t="n">
        <f aca="false">Kappa*Users_x0/(Users_x0+(Kappa-Users_x0)*EXP(-Rate_r*E268))</f>
        <v>55.6608864715271</v>
      </c>
    </row>
    <row r="269" customFormat="false" ht="15" hidden="false" customHeight="false" outlineLevel="0" collapsed="false">
      <c r="A269" s="18" t="n">
        <v>239</v>
      </c>
      <c r="D269" s="12" t="n">
        <f aca="false">D268+(1/D$29)*Rate_r*D268*(1-D268/Kappa)</f>
        <v>55.5474581095284</v>
      </c>
      <c r="E269" s="15" t="n">
        <f aca="false">A269/$D$29</f>
        <v>4.59615384615385</v>
      </c>
      <c r="F269" s="12" t="n">
        <f aca="false">Kappa*Users_x0/(Users_x0+(Kappa-Users_x0)*EXP(-Rate_r*E269))</f>
        <v>56.0876036828927</v>
      </c>
    </row>
    <row r="270" customFormat="false" ht="15" hidden="false" customHeight="false" outlineLevel="0" collapsed="false">
      <c r="A270" s="18" t="n">
        <v>240</v>
      </c>
      <c r="D270" s="12" t="n">
        <f aca="false">D269+(1/D$29)*Rate_r*D269*(1-D269/Kappa)</f>
        <v>55.974824097542</v>
      </c>
      <c r="E270" s="15" t="n">
        <f aca="false">A270/$D$29</f>
        <v>4.61538461538462</v>
      </c>
      <c r="F270" s="12" t="n">
        <f aca="false">Kappa*Users_x0/(Users_x0+(Kappa-Users_x0)*EXP(-Rate_r*E270))</f>
        <v>56.5134226643306</v>
      </c>
    </row>
    <row r="271" customFormat="false" ht="15" hidden="false" customHeight="false" outlineLevel="0" collapsed="false">
      <c r="A271" s="18" t="n">
        <v>241</v>
      </c>
      <c r="D271" s="12" t="n">
        <f aca="false">D270+(1/D$29)*Rate_r*D270*(1-D270/Kappa)</f>
        <v>56.4013378147156</v>
      </c>
      <c r="E271" s="15" t="n">
        <f aca="false">A271/$D$29</f>
        <v>4.63461538461539</v>
      </c>
      <c r="F271" s="12" t="n">
        <f aca="false">Kappa*Users_x0/(Users_x0+(Kappa-Users_x0)*EXP(-Rate_r*E271))</f>
        <v>56.9382826795779</v>
      </c>
    </row>
    <row r="272" customFormat="false" ht="15" hidden="false" customHeight="false" outlineLevel="0" collapsed="false">
      <c r="A272" s="18" t="n">
        <v>242</v>
      </c>
      <c r="D272" s="12" t="n">
        <f aca="false">D271+(1/D$29)*Rate_r*D271*(1-D271/Kappa)</f>
        <v>56.8269379275548</v>
      </c>
      <c r="E272" s="15" t="n">
        <f aca="false">A272/$D$29</f>
        <v>4.65384615384615</v>
      </c>
      <c r="F272" s="12" t="n">
        <f aca="false">Kappa*Users_x0/(Users_x0+(Kappa-Users_x0)*EXP(-Rate_r*E272))</f>
        <v>57.3621235521884</v>
      </c>
    </row>
    <row r="273" customFormat="false" ht="15" hidden="false" customHeight="false" outlineLevel="0" collapsed="false">
      <c r="A273" s="18" t="n">
        <v>243</v>
      </c>
      <c r="D273" s="12" t="n">
        <f aca="false">D272+(1/D$29)*Rate_r*D272*(1-D272/Kappa)</f>
        <v>57.2515636249933</v>
      </c>
      <c r="E273" s="15" t="n">
        <f aca="false">A273/$D$29</f>
        <v>4.67307692307692</v>
      </c>
      <c r="F273" s="12" t="n">
        <f aca="false">Kappa*Users_x0/(Users_x0+(Kappa-Users_x0)*EXP(-Rate_r*E273))</f>
        <v>57.7848856985689</v>
      </c>
    </row>
    <row r="274" customFormat="false" ht="15" hidden="false" customHeight="false" outlineLevel="0" collapsed="false">
      <c r="A274" s="18" t="n">
        <v>244</v>
      </c>
      <c r="D274" s="12" t="n">
        <f aca="false">D273+(1/D$29)*Rate_r*D273*(1-D273/Kappa)</f>
        <v>57.6751546523958</v>
      </c>
      <c r="E274" s="15" t="n">
        <f aca="false">A274/$D$29</f>
        <v>4.69230769230769</v>
      </c>
      <c r="F274" s="12" t="n">
        <f aca="false">Kappa*Users_x0/(Users_x0+(Kappa-Users_x0)*EXP(-Rate_r*E274))</f>
        <v>58.2065101602902</v>
      </c>
    </row>
    <row r="275" customFormat="false" ht="15" hidden="false" customHeight="false" outlineLevel="0" collapsed="false">
      <c r="A275" s="18" t="n">
        <v>245</v>
      </c>
      <c r="D275" s="12" t="n">
        <f aca="false">D274+(1/D$29)*Rate_r*D274*(1-D274/Kappa)</f>
        <v>58.0976513448873</v>
      </c>
      <c r="E275" s="15" t="n">
        <f aca="false">A275/$D$29</f>
        <v>4.71153846153846</v>
      </c>
      <c r="F275" s="12" t="n">
        <f aca="false">Kappa*Users_x0/(Users_x0+(Kappa-Users_x0)*EXP(-Rate_r*E275))</f>
        <v>58.6269386356389</v>
      </c>
    </row>
    <row r="276" customFormat="false" ht="15" hidden="false" customHeight="false" outlineLevel="0" collapsed="false">
      <c r="A276" s="18" t="n">
        <v>246</v>
      </c>
      <c r="D276" s="12" t="n">
        <f aca="false">D275+(1/D$29)*Rate_r*D275*(1-D275/Kappa)</f>
        <v>58.5189946599694</v>
      </c>
      <c r="E276" s="15" t="n">
        <f aca="false">A276/$D$29</f>
        <v>4.73076923076923</v>
      </c>
      <c r="F276" s="12" t="n">
        <f aca="false">Kappa*Users_x0/(Users_x0+(Kappa-Users_x0)*EXP(-Rate_r*E276))</f>
        <v>59.0461135103731</v>
      </c>
    </row>
    <row r="277" customFormat="false" ht="15" hidden="false" customHeight="false" outlineLevel="0" collapsed="false">
      <c r="A277" s="18" t="n">
        <v>247</v>
      </c>
      <c r="D277" s="12" t="n">
        <f aca="false">D276+(1/D$29)*Rate_r*D276*(1-D276/Kappa)</f>
        <v>58.9391262093896</v>
      </c>
      <c r="E277" s="15" t="n">
        <f aca="false">A277/$D$29</f>
        <v>4.75</v>
      </c>
      <c r="F277" s="12" t="n">
        <f aca="false">Kappa*Users_x0/(Users_x0+(Kappa-Users_x0)*EXP(-Rate_r*E277))</f>
        <v>59.4639778876524</v>
      </c>
    </row>
    <row r="278" customFormat="false" ht="15" hidden="false" customHeight="false" outlineLevel="0" collapsed="false">
      <c r="A278" s="18" t="n">
        <v>248</v>
      </c>
      <c r="D278" s="12" t="n">
        <f aca="false">D277+(1/D$29)*Rate_r*D277*(1-D277/Kappa)</f>
        <v>59.3579882902264</v>
      </c>
      <c r="E278" s="15" t="n">
        <f aca="false">A278/$D$29</f>
        <v>4.76923076923077</v>
      </c>
      <c r="F278" s="12" t="n">
        <f aca="false">Kappa*Users_x0/(Users_x0+(Kappa-Users_x0)*EXP(-Rate_r*E278))</f>
        <v>59.8804756171095</v>
      </c>
    </row>
    <row r="279" customFormat="false" ht="15" hidden="false" customHeight="false" outlineLevel="0" collapsed="false">
      <c r="A279" s="18" t="n">
        <v>249</v>
      </c>
      <c r="D279" s="12" t="n">
        <f aca="false">D278+(1/D$29)*Rate_r*D278*(1-D278/Kappa)</f>
        <v>59.775523915158</v>
      </c>
      <c r="E279" s="15" t="n">
        <f aca="false">A279/$D$29</f>
        <v>4.78846153846154</v>
      </c>
      <c r="F279" s="12" t="n">
        <f aca="false">Kappa*Users_x0/(Users_x0+(Kappa-Users_x0)*EXP(-Rate_r*E279))</f>
        <v>60.2955513230362</v>
      </c>
    </row>
    <row r="280" customFormat="false" ht="15" hidden="false" customHeight="false" outlineLevel="0" collapsed="false">
      <c r="A280" s="18" t="n">
        <v>250</v>
      </c>
      <c r="D280" s="12" t="n">
        <f aca="false">D279+(1/D$29)*Rate_r*D279*(1-D279/Kappa)</f>
        <v>60.1916768418821</v>
      </c>
      <c r="E280" s="15" t="n">
        <f aca="false">A280/$D$29</f>
        <v>4.80769230769231</v>
      </c>
      <c r="F280" s="12" t="n">
        <f aca="false">Kappa*Users_x0/(Users_x0+(Kappa-Users_x0)*EXP(-Rate_r*E280))</f>
        <v>60.7091504316547</v>
      </c>
    </row>
    <row r="281" customFormat="false" ht="15" hidden="false" customHeight="false" outlineLevel="0" collapsed="false">
      <c r="A281" s="18" t="n">
        <v>251</v>
      </c>
      <c r="D281" s="12" t="n">
        <f aca="false">D280+(1/D$29)*Rate_r*D280*(1-D280/Kappa)</f>
        <v>60.6063916016582</v>
      </c>
      <c r="E281" s="15" t="n">
        <f aca="false">A281/$D$29</f>
        <v>4.82692307692308</v>
      </c>
      <c r="F281" s="12" t="n">
        <f aca="false">Kappa*Users_x0/(Users_x0+(Kappa-Users_x0)*EXP(-Rate_r*E281))</f>
        <v>61.1212191974508</v>
      </c>
    </row>
    <row r="282" customFormat="false" ht="15" hidden="false" customHeight="false" outlineLevel="0" collapsed="false">
      <c r="A282" s="18" t="n">
        <v>252</v>
      </c>
      <c r="D282" s="12" t="n">
        <f aca="false">D281+(1/D$29)*Rate_r*D281*(1-D281/Kappa)</f>
        <v>61.0196135269415</v>
      </c>
      <c r="E282" s="15" t="n">
        <f aca="false">A282/$D$29</f>
        <v>4.84615384615385</v>
      </c>
      <c r="F282" s="12" t="n">
        <f aca="false">Kappa*Users_x0/(Users_x0+(Kappa-Users_x0)*EXP(-Rate_r*E282))</f>
        <v>61.5317047285432</v>
      </c>
    </row>
    <row r="283" customFormat="false" ht="15" hidden="false" customHeight="false" outlineLevel="0" collapsed="false">
      <c r="A283" s="18" t="n">
        <v>253</v>
      </c>
      <c r="D283" s="12" t="n">
        <f aca="false">D282+(1/D$29)*Rate_r*D282*(1-D282/Kappa)</f>
        <v>61.4312887780848</v>
      </c>
      <c r="E283" s="15" t="n">
        <f aca="false">A283/$D$29</f>
        <v>4.86538461538462</v>
      </c>
      <c r="F283" s="12" t="n">
        <f aca="false">Kappa*Users_x0/(Users_x0+(Kappa-Users_x0)*EXP(-Rate_r*E283))</f>
        <v>61.94055501107</v>
      </c>
    </row>
    <row r="284" customFormat="false" ht="15" hidden="false" customHeight="false" outlineLevel="0" collapsed="false">
      <c r="A284" s="18" t="n">
        <v>254</v>
      </c>
      <c r="D284" s="12" t="n">
        <f aca="false">D283+(1/D$29)*Rate_r*D283*(1-D283/Kappa)</f>
        <v>61.8413643690819</v>
      </c>
      <c r="E284" s="15" t="n">
        <f aca="false">A284/$D$29</f>
        <v>4.88461538461539</v>
      </c>
      <c r="F284" s="12" t="n">
        <f aca="false">Kappa*Users_x0/(Users_x0+(Kappa-Users_x0)*EXP(-Rate_r*E284))</f>
        <v>62.3477189325694</v>
      </c>
    </row>
    <row r="285" customFormat="false" ht="15" hidden="false" customHeight="false" outlineLevel="0" collapsed="false">
      <c r="A285" s="18" t="n">
        <v>255</v>
      </c>
      <c r="D285" s="12" t="n">
        <f aca="false">D284+(1/D$29)*Rate_r*D284*(1-D284/Kappa)</f>
        <v>62.2497881923301</v>
      </c>
      <c r="E285" s="15" t="n">
        <f aca="false">A285/$D$29</f>
        <v>4.90384615384615</v>
      </c>
      <c r="F285" s="12" t="n">
        <f aca="false">Kappa*Users_x0/(Users_x0+(Kappa-Users_x0)*EXP(-Rate_r*E285))</f>
        <v>62.7531463043398</v>
      </c>
    </row>
    <row r="286" customFormat="false" ht="15" hidden="false" customHeight="false" outlineLevel="0" collapsed="false">
      <c r="A286" s="18" t="n">
        <v>256</v>
      </c>
      <c r="D286" s="12" t="n">
        <f aca="false">D285+(1/D$29)*Rate_r*D285*(1-D285/Kappa)</f>
        <v>62.6565090423914</v>
      </c>
      <c r="E286" s="15" t="n">
        <f aca="false">A286/$D$29</f>
        <v>4.92307692307692</v>
      </c>
      <c r="F286" s="12" t="n">
        <f aca="false">Kappa*Users_x0/(Users_x0+(Kappa-Users_x0)*EXP(-Rate_r*E286))</f>
        <v>63.1567878827614</v>
      </c>
    </row>
    <row r="287" customFormat="false" ht="15" hidden="false" customHeight="false" outlineLevel="0" collapsed="false">
      <c r="A287" s="18" t="n">
        <v>257</v>
      </c>
      <c r="D287" s="12" t="n">
        <f aca="false">D286+(1/D$29)*Rate_r*D286*(1-D286/Kappa)</f>
        <v>63.0614766387325</v>
      </c>
      <c r="E287" s="15" t="n">
        <f aca="false">A287/$D$29</f>
        <v>4.94230769230769</v>
      </c>
      <c r="F287" s="12" t="n">
        <f aca="false">Kappa*Users_x0/(Users_x0+(Kappa-Users_x0)*EXP(-Rate_r*E287))</f>
        <v>63.5585953895651</v>
      </c>
    </row>
    <row r="288" customFormat="false" ht="15" hidden="false" customHeight="false" outlineLevel="0" collapsed="false">
      <c r="A288" s="18" t="n">
        <v>258</v>
      </c>
      <c r="D288" s="12" t="n">
        <f aca="false">D287+(1/D$29)*Rate_r*D287*(1-D287/Kappa)</f>
        <v>63.4646416474276</v>
      </c>
      <c r="E288" s="15" t="n">
        <f aca="false">A288/$D$29</f>
        <v>4.96153846153846</v>
      </c>
      <c r="F288" s="12" t="n">
        <f aca="false">Kappa*Users_x0/(Users_x0+(Kappa-Users_x0)*EXP(-Rate_r*E288))</f>
        <v>63.9585215310385</v>
      </c>
    </row>
    <row r="289" customFormat="false" ht="15" hidden="false" customHeight="false" outlineLevel="0" collapsed="false">
      <c r="A289" s="18" t="n">
        <v>259</v>
      </c>
      <c r="D289" s="12" t="n">
        <f aca="false">D288+(1/D$29)*Rate_r*D288*(1-D288/Kappa)</f>
        <v>63.8659557018075</v>
      </c>
      <c r="E289" s="15" t="n">
        <f aca="false">A289/$D$29</f>
        <v>4.98076923076923</v>
      </c>
      <c r="F289" s="12" t="n">
        <f aca="false">Kappa*Users_x0/(Users_x0+(Kappa-Users_x0)*EXP(-Rate_r*E289))</f>
        <v>64.3565200161562</v>
      </c>
    </row>
    <row r="290" customFormat="false" ht="15" hidden="false" customHeight="false" outlineLevel="0" collapsed="false">
      <c r="A290" s="18" t="n">
        <v>260</v>
      </c>
      <c r="D290" s="12" t="n">
        <f aca="false">D289+(1/D$29)*Rate_r*D289*(1-D289/Kappa)</f>
        <v>64.2653714220437</v>
      </c>
      <c r="E290" s="15" t="n">
        <f aca="false">A290/$D$29</f>
        <v>5</v>
      </c>
      <c r="F290" s="12" t="n">
        <f aca="false">Kappa*Users_x0/(Users_x0+(Kappa-Users_x0)*EXP(-Rate_r*E290))</f>
        <v>64.7525455736288</v>
      </c>
    </row>
    <row r="291" customFormat="false" ht="15" hidden="false" customHeight="false" outlineLevel="0" collapsed="false">
      <c r="A291" s="18" t="n">
        <v>261</v>
      </c>
      <c r="D291" s="12" t="n">
        <f aca="false">D290+(1/D$29)*Rate_r*D290*(1-D290/Kappa)</f>
        <v>64.6628424336537</v>
      </c>
      <c r="E291" s="15" t="n">
        <f aca="false">A291/$D$29</f>
        <v>5.01923076923077</v>
      </c>
      <c r="F291" s="12" t="n">
        <f aca="false">Kappa*Users_x0/(Users_x0+(Kappa-Users_x0)*EXP(-Rate_r*E291))</f>
        <v>65.1465539678616</v>
      </c>
    </row>
    <row r="292" customFormat="false" ht="15" hidden="false" customHeight="false" outlineLevel="0" collapsed="false">
      <c r="A292" s="18" t="n">
        <v>262</v>
      </c>
      <c r="D292" s="12" t="n">
        <f aca="false">D291+(1/D$29)*Rate_r*D291*(1-D291/Kappa)</f>
        <v>65.0583233849208</v>
      </c>
      <c r="E292" s="15" t="n">
        <f aca="false">A292/$D$29</f>
        <v>5.03846153846154</v>
      </c>
      <c r="F292" s="12" t="n">
        <f aca="false">Kappa*Users_x0/(Users_x0+(Kappa-Users_x0)*EXP(-Rate_r*E292))</f>
        <v>65.53850201382</v>
      </c>
    </row>
    <row r="293" customFormat="false" ht="15" hidden="false" customHeight="false" outlineLevel="0" collapsed="false">
      <c r="A293" s="18" t="n">
        <v>263</v>
      </c>
      <c r="D293" s="12" t="n">
        <f aca="false">D292+(1/D$29)*Rate_r*D292*(1-D292/Kappa)</f>
        <v>65.4517699632192</v>
      </c>
      <c r="E293" s="15" t="n">
        <f aca="false">A293/$D$29</f>
        <v>5.05769230769231</v>
      </c>
      <c r="F293" s="12" t="n">
        <f aca="false">Kappa*Users_x0/(Users_x0+(Kappa-Users_x0)*EXP(-Rate_r*E293))</f>
        <v>65.9283475907994</v>
      </c>
    </row>
    <row r="294" customFormat="false" ht="15" hidden="false" customHeight="false" outlineLevel="0" collapsed="false">
      <c r="A294" s="18" t="n">
        <v>264</v>
      </c>
      <c r="D294" s="12" t="n">
        <f aca="false">D293+(1/D$29)*Rate_r*D293*(1-D293/Kappa)</f>
        <v>65.8431389102391</v>
      </c>
      <c r="E294" s="15" t="n">
        <f aca="false">A294/$D$29</f>
        <v>5.07692307692308</v>
      </c>
      <c r="F294" s="12" t="n">
        <f aca="false">Kappa*Users_x0/(Users_x0+(Kappa-Users_x0)*EXP(-Rate_r*E294))</f>
        <v>66.316049655097</v>
      </c>
    </row>
    <row r="295" customFormat="false" ht="15" hidden="false" customHeight="false" outlineLevel="0" collapsed="false">
      <c r="A295" s="18" t="n">
        <v>265</v>
      </c>
      <c r="D295" s="12" t="n">
        <f aca="false">D294+(1/D$29)*Rate_r*D294*(1-D294/Kappa)</f>
        <v>66.2323880361091</v>
      </c>
      <c r="E295" s="15" t="n">
        <f aca="false">A295/$D$29</f>
        <v>5.09615384615385</v>
      </c>
      <c r="F295" s="12" t="n">
        <f aca="false">Kappa*Users_x0/(Users_x0+(Kappa-Users_x0)*EXP(-Rate_r*E295))</f>
        <v>66.7015682515875</v>
      </c>
    </row>
    <row r="296" customFormat="false" ht="15" hidden="false" customHeight="false" outlineLevel="0" collapsed="false">
      <c r="A296" s="18" t="n">
        <v>266</v>
      </c>
      <c r="D296" s="12" t="n">
        <f aca="false">D295+(1/D$29)*Rate_r*D295*(1-D295/Kappa)</f>
        <v>66.6194762324131</v>
      </c>
      <c r="E296" s="15" t="n">
        <f aca="false">A296/$D$29</f>
        <v>5.11538461538462</v>
      </c>
      <c r="F296" s="12" t="n">
        <f aca="false">Kappa*Users_x0/(Users_x0+(Kappa-Users_x0)*EXP(-Rate_r*E296))</f>
        <v>67.0848645242059</v>
      </c>
    </row>
    <row r="297" customFormat="false" ht="15" hidden="false" customHeight="false" outlineLevel="0" collapsed="false">
      <c r="A297" s="18" t="n">
        <v>267</v>
      </c>
      <c r="D297" s="12" t="n">
        <f aca="false">D296+(1/D$29)*Rate_r*D296*(1-D296/Kappa)</f>
        <v>67.0043634841023</v>
      </c>
      <c r="E297" s="15" t="n">
        <f aca="false">A297/$D$29</f>
        <v>5.13461538461539</v>
      </c>
      <c r="F297" s="12" t="n">
        <f aca="false">Kappa*Users_x0/(Users_x0+(Kappa-Users_x0)*EXP(-Rate_r*E297))</f>
        <v>67.4659007253405</v>
      </c>
    </row>
    <row r="298" customFormat="false" ht="15" hidden="false" customHeight="false" outlineLevel="0" collapsed="false">
      <c r="A298" s="18" t="n">
        <v>268</v>
      </c>
      <c r="D298" s="12" t="n">
        <f aca="false">D297+(1/D$29)*Rate_r*D297*(1-D297/Kappa)</f>
        <v>67.3870108803044</v>
      </c>
      <c r="E298" s="15" t="n">
        <f aca="false">A298/$D$29</f>
        <v>5.15384615384615</v>
      </c>
      <c r="F298" s="12" t="n">
        <f aca="false">Kappa*Users_x0/(Users_x0+(Kappa-Users_x0)*EXP(-Rate_r*E298))</f>
        <v>67.8446402241432</v>
      </c>
    </row>
    <row r="299" customFormat="false" ht="15" hidden="false" customHeight="false" outlineLevel="0" collapsed="false">
      <c r="A299" s="18" t="n">
        <v>269</v>
      </c>
      <c r="D299" s="12" t="n">
        <f aca="false">D298+(1/D$29)*Rate_r*D298*(1-D298/Kappa)</f>
        <v>67.7673806240319</v>
      </c>
      <c r="E299" s="15" t="n">
        <f aca="false">A299/$D$29</f>
        <v>5.17307692307692</v>
      </c>
      <c r="F299" s="12" t="n">
        <f aca="false">Kappa*Users_x0/(Users_x0+(Kappa-Users_x0)*EXP(-Rate_r*E299))</f>
        <v>68.2210475137646</v>
      </c>
    </row>
    <row r="300" customFormat="false" ht="15" hidden="false" customHeight="false" outlineLevel="0" collapsed="false">
      <c r="A300" s="18" t="n">
        <v>270</v>
      </c>
      <c r="D300" s="12" t="n">
        <f aca="false">D299+(1/D$29)*Rate_r*D299*(1-D299/Kappa)</f>
        <v>68.1454360407982</v>
      </c>
      <c r="E300" s="15" t="n">
        <f aca="false">A300/$D$29</f>
        <v>5.19230769230769</v>
      </c>
      <c r="F300" s="12" t="n">
        <f aca="false">Kappa*Users_x0/(Users_x0+(Kappa-Users_x0)*EXP(-Rate_r*E300))</f>
        <v>68.5950882175225</v>
      </c>
    </row>
    <row r="301" customFormat="false" ht="15" hidden="false" customHeight="false" outlineLevel="0" collapsed="false">
      <c r="A301" s="18" t="n">
        <v>271</v>
      </c>
      <c r="D301" s="12" t="n">
        <f aca="false">D300+(1/D$29)*Rate_r*D300*(1-D300/Kappa)</f>
        <v>68.5211415861444</v>
      </c>
      <c r="E301" s="15" t="n">
        <f aca="false">A301/$D$29</f>
        <v>5.21153846153846</v>
      </c>
      <c r="F301" s="12" t="n">
        <f aca="false">Kappa*Users_x0/(Users_x0+(Kappa-Users_x0)*EXP(-Rate_r*E301))</f>
        <v>68.9667290940159</v>
      </c>
    </row>
    <row r="302" customFormat="false" ht="15" hidden="false" customHeight="false" outlineLevel="0" collapsed="false">
      <c r="A302" s="18" t="n">
        <v>272</v>
      </c>
      <c r="D302" s="12" t="n">
        <f aca="false">D301+(1/D$29)*Rate_r*D301*(1-D301/Kappa)</f>
        <v>68.8944628520889</v>
      </c>
      <c r="E302" s="15" t="n">
        <f aca="false">A302/$D$29</f>
        <v>5.23076923076923</v>
      </c>
      <c r="F302" s="12" t="n">
        <f aca="false">Kappa*Users_x0/(Users_x0+(Kappa-Users_x0)*EXP(-Rate_r*E302))</f>
        <v>69.3359380411952</v>
      </c>
    </row>
    <row r="303" customFormat="false" ht="15" hidden="false" customHeight="false" outlineLevel="0" collapsed="false">
      <c r="A303" s="18" t="n">
        <v>273</v>
      </c>
      <c r="D303" s="12" t="n">
        <f aca="false">D302+(1/D$29)*Rate_r*D302*(1-D302/Kappa)</f>
        <v>69.2653665725078</v>
      </c>
      <c r="E303" s="15" t="n">
        <f aca="false">A303/$D$29</f>
        <v>5.25</v>
      </c>
      <c r="F303" s="12" t="n">
        <f aca="false">Kappa*Users_x0/(Users_x0+(Kappa-Users_x0)*EXP(-Rate_r*E303))</f>
        <v>69.702684099404</v>
      </c>
    </row>
    <row r="304" customFormat="false" ht="15" hidden="false" customHeight="false" outlineLevel="0" collapsed="false">
      <c r="A304" s="18" t="n">
        <v>274</v>
      </c>
      <c r="D304" s="12" t="n">
        <f aca="false">D303+(1/D$29)*Rate_r*D303*(1-D303/Kappa)</f>
        <v>69.6338206274586</v>
      </c>
      <c r="E304" s="15" t="n">
        <f aca="false">A304/$D$29</f>
        <v>5.26923076923077</v>
      </c>
      <c r="F304" s="12" t="n">
        <f aca="false">Kappa*Users_x0/(Users_x0+(Kappa-Users_x0)*EXP(-Rate_r*E304))</f>
        <v>70.066937453406</v>
      </c>
    </row>
    <row r="305" customFormat="false" ht="15" hidden="false" customHeight="false" outlineLevel="0" collapsed="false">
      <c r="A305" s="18" t="n">
        <v>275</v>
      </c>
      <c r="D305" s="12" t="n">
        <f aca="false">D304+(1/D$29)*Rate_r*D304*(1-D304/Kappa)</f>
        <v>69.9997940464609</v>
      </c>
      <c r="E305" s="15" t="n">
        <f aca="false">A305/$D$29</f>
        <v>5.28846153846154</v>
      </c>
      <c r="F305" s="12" t="n">
        <f aca="false">Kappa*Users_x0/(Users_x0+(Kappa-Users_x0)*EXP(-Rate_r*E305))</f>
        <v>70.4286694334141</v>
      </c>
    </row>
    <row r="306" customFormat="false" ht="15" hidden="false" customHeight="false" outlineLevel="0" collapsed="false">
      <c r="A306" s="18" t="n">
        <v>276</v>
      </c>
      <c r="D306" s="12" t="n">
        <f aca="false">D305+(1/D$29)*Rate_r*D305*(1-D305/Kappa)</f>
        <v>70.3632570107472</v>
      </c>
      <c r="E306" s="15" t="n">
        <f aca="false">A306/$D$29</f>
        <v>5.30769230769231</v>
      </c>
      <c r="F306" s="12" t="n">
        <f aca="false">Kappa*Users_x0/(Users_x0+(Kappa-Users_x0)*EXP(-Rate_r*E306))</f>
        <v>70.787852515139</v>
      </c>
    </row>
    <row r="307" customFormat="false" ht="15" hidden="false" customHeight="false" outlineLevel="0" collapsed="false">
      <c r="A307" s="18" t="n">
        <v>277</v>
      </c>
      <c r="D307" s="12" t="n">
        <f aca="false">D306+(1/D$29)*Rate_r*D306*(1-D306/Kappa)</f>
        <v>70.7241808545016</v>
      </c>
      <c r="E307" s="15" t="n">
        <f aca="false">A307/$D$29</f>
        <v>5.32692307692308</v>
      </c>
      <c r="F307" s="12" t="n">
        <f aca="false">Kappa*Users_x0/(Users_x0+(Kappa-Users_x0)*EXP(-Rate_r*E307))</f>
        <v>71.1444603188768</v>
      </c>
    </row>
    <row r="308" customFormat="false" ht="15" hidden="false" customHeight="false" outlineLevel="0" collapsed="false">
      <c r="A308" s="18" t="n">
        <v>278</v>
      </c>
      <c r="D308" s="12" t="n">
        <f aca="false">D307+(1/D$29)*Rate_r*D307*(1-D307/Kappa)</f>
        <v>71.0825380651014</v>
      </c>
      <c r="E308" s="15" t="n">
        <f aca="false">A308/$D$29</f>
        <v>5.34615384615385</v>
      </c>
      <c r="F308" s="12" t="n">
        <f aca="false">Kappa*Users_x0/(Users_x0+(Kappa-Users_x0)*EXP(-Rate_r*E308))</f>
        <v>71.4984676076533</v>
      </c>
    </row>
    <row r="309" customFormat="false" ht="15" hidden="false" customHeight="false" outlineLevel="0" collapsed="false">
      <c r="A309" s="18" t="n">
        <v>279</v>
      </c>
      <c r="D309" s="12" t="n">
        <f aca="false">D308+(1/D$29)*Rate_r*D308*(1-D308/Kappa)</f>
        <v>71.4383022823822</v>
      </c>
      <c r="E309" s="15" t="n">
        <f aca="false">A309/$D$29</f>
        <v>5.36538461538462</v>
      </c>
      <c r="F309" s="12" t="n">
        <f aca="false">Kappa*Users_x0/(Users_x0+(Kappa-Users_x0)*EXP(-Rate_r*E309))</f>
        <v>71.8498502844492</v>
      </c>
    </row>
    <row r="310" customFormat="false" ht="15" hidden="false" customHeight="false" outlineLevel="0" collapsed="false">
      <c r="A310" s="18" t="n">
        <v>280</v>
      </c>
      <c r="D310" s="12" t="n">
        <f aca="false">D309+(1/D$29)*Rate_r*D309*(1-D309/Kappa)</f>
        <v>71.7914482969446</v>
      </c>
      <c r="E310" s="15" t="n">
        <f aca="false">A310/$D$29</f>
        <v>5.38461538461539</v>
      </c>
      <c r="F310" s="12" t="n">
        <f aca="false">Kappa*Users_x0/(Users_x0+(Kappa-Users_x0)*EXP(-Rate_r*E310))</f>
        <v>72.1985853885237</v>
      </c>
    </row>
    <row r="311" customFormat="false" ht="15" hidden="false" customHeight="false" outlineLevel="0" collapsed="false">
      <c r="A311" s="18" t="n">
        <v>281</v>
      </c>
      <c r="D311" s="12" t="n">
        <f aca="false">D310+(1/D$29)*Rate_r*D310*(1-D310/Kappa)</f>
        <v>72.1419520475233</v>
      </c>
      <c r="E311" s="15" t="n">
        <f aca="false">A311/$D$29</f>
        <v>5.40384615384615</v>
      </c>
      <c r="F311" s="12" t="n">
        <f aca="false">Kappa*Users_x0/(Users_x0+(Kappa-Users_x0)*EXP(-Rate_r*E311))</f>
        <v>72.5446510908638</v>
      </c>
    </row>
    <row r="312" customFormat="false" ht="15" hidden="false" customHeight="false" outlineLevel="0" collapsed="false">
      <c r="A312" s="18" t="n">
        <v>282</v>
      </c>
      <c r="D312" s="12" t="n">
        <f aca="false">D311+(1/D$29)*Rate_r*D311*(1-D311/Kappa)</f>
        <v>72.4897906174411</v>
      </c>
      <c r="E312" s="15" t="n">
        <f aca="false">A312/$D$29</f>
        <v>5.42307692307692</v>
      </c>
      <c r="F312" s="12" t="n">
        <f aca="false">Kappa*Users_x0/(Users_x0+(Kappa-Users_x0)*EXP(-Rate_r*E312))</f>
        <v>72.8880266887787</v>
      </c>
    </row>
    <row r="313" customFormat="false" ht="15" hidden="false" customHeight="false" outlineLevel="0" collapsed="false">
      <c r="A313" s="18" t="n">
        <v>283</v>
      </c>
      <c r="D313" s="12" t="n">
        <f aca="false">D312+(1/D$29)*Rate_r*D312*(1-D312/Kappa)</f>
        <v>72.8349422301691</v>
      </c>
      <c r="E313" s="15" t="n">
        <f aca="false">A313/$D$29</f>
        <v>5.44230769230769</v>
      </c>
      <c r="F313" s="12" t="n">
        <f aca="false">Kappa*Users_x0/(Users_x0+(Kappa-Users_x0)*EXP(-Rate_r*E313))</f>
        <v>73.2286925996662</v>
      </c>
    </row>
    <row r="314" customFormat="false" ht="15" hidden="false" customHeight="false" outlineLevel="0" collapsed="false">
      <c r="A314" s="18" t="n">
        <v>284</v>
      </c>
      <c r="D314" s="12" t="n">
        <f aca="false">D313+(1/D$29)*Rate_r*D313*(1-D313/Kappa)</f>
        <v>73.1773862440172</v>
      </c>
      <c r="E314" s="15" t="n">
        <f aca="false">A314/$D$29</f>
        <v>5.46153846153846</v>
      </c>
      <c r="F314" s="12" t="n">
        <f aca="false">Kappa*Users_x0/(Users_x0+(Kappa-Users_x0)*EXP(-Rate_r*E314))</f>
        <v>73.5666303539752</v>
      </c>
    </row>
    <row r="315" customFormat="false" ht="15" hidden="false" customHeight="false" outlineLevel="0" collapsed="false">
      <c r="A315" s="18" t="n">
        <v>285</v>
      </c>
      <c r="D315" s="12" t="n">
        <f aca="false">D314+(1/D$29)*Rate_r*D314*(1-D314/Kappa)</f>
        <v>73.51710314598</v>
      </c>
      <c r="E315" s="15" t="n">
        <f aca="false">A315/$D$29</f>
        <v>5.48076923076923</v>
      </c>
      <c r="F315" s="12" t="n">
        <f aca="false">Kappa*Users_x0/(Users_x0+(Kappa-Users_x0)*EXP(-Rate_r*E315))</f>
        <v>73.9018225873894</v>
      </c>
    </row>
    <row r="316" customFormat="false" ht="15" hidden="false" customHeight="false" outlineLevel="0" collapsed="false">
      <c r="A316" s="18" t="n">
        <v>286</v>
      </c>
      <c r="D316" s="12" t="n">
        <f aca="false">D315+(1/D$29)*Rate_r*D315*(1-D315/Kappa)</f>
        <v>73.8540745447606</v>
      </c>
      <c r="E316" s="15" t="n">
        <f aca="false">A316/$D$29</f>
        <v>5.5</v>
      </c>
      <c r="F316" s="12" t="n">
        <f aca="false">Kappa*Users_x0/(Users_x0+(Kappa-Users_x0)*EXP(-Rate_r*E316))</f>
        <v>74.2342530322593</v>
      </c>
    </row>
    <row r="317" customFormat="false" ht="15" hidden="false" customHeight="false" outlineLevel="0" collapsed="false">
      <c r="A317" s="18" t="n">
        <v>287</v>
      </c>
      <c r="D317" s="12" t="n">
        <f aca="false">D316+(1/D$29)*Rate_r*D316*(1-D316/Kappa)</f>
        <v>74.1882831630013</v>
      </c>
      <c r="E317" s="15" t="n">
        <f aca="false">A317/$D$29</f>
        <v>5.51923076923077</v>
      </c>
      <c r="F317" s="12" t="n">
        <f aca="false">Kappa*Users_x0/(Users_x0+(Kappa-Users_x0)*EXP(-Rate_r*E317))</f>
        <v>74.5639065083077</v>
      </c>
    </row>
    <row r="318" customFormat="false" ht="15" hidden="false" customHeight="false" outlineLevel="0" collapsed="false">
      <c r="A318" s="18" t="n">
        <v>288</v>
      </c>
      <c r="D318" s="12" t="n">
        <f aca="false">D317+(1/D$29)*Rate_r*D317*(1-D317/Kappa)</f>
        <v>74.5197128287443</v>
      </c>
      <c r="E318" s="15" t="n">
        <f aca="false">A318/$D$29</f>
        <v>5.53846153846154</v>
      </c>
      <c r="F318" s="12" t="n">
        <f aca="false">Kappa*Users_x0/(Users_x0+(Kappa-Users_x0)*EXP(-Rate_r*E318))</f>
        <v>74.8907689126378</v>
      </c>
    </row>
    <row r="319" customFormat="false" ht="15" hidden="false" customHeight="false" outlineLevel="0" collapsed="false">
      <c r="A319" s="18" t="n">
        <v>289</v>
      </c>
      <c r="D319" s="12" t="n">
        <f aca="false">D318+(1/D$29)*Rate_r*D318*(1-D318/Kappa)</f>
        <v>74.8483484661513</v>
      </c>
      <c r="E319" s="15" t="n">
        <f aca="false">A319/$D$29</f>
        <v>5.55769230769231</v>
      </c>
      <c r="F319" s="12" t="n">
        <f aca="false">Kappa*Users_x0/(Users_x0+(Kappa-Users_x0)*EXP(-Rate_r*E319))</f>
        <v>75.2148272090687</v>
      </c>
    </row>
    <row r="320" customFormat="false" ht="15" hidden="false" customHeight="false" outlineLevel="0" collapsed="false">
      <c r="A320" s="18" t="n">
        <v>290</v>
      </c>
      <c r="D320" s="12" t="n">
        <f aca="false">D319+(1/D$29)*Rate_r*D319*(1-D319/Kappa)</f>
        <v>75.1741760855079</v>
      </c>
      <c r="E320" s="15" t="n">
        <f aca="false">A320/$D$29</f>
        <v>5.57692307692308</v>
      </c>
      <c r="F320" s="12" t="n">
        <f aca="false">Kappa*Users_x0/(Users_x0+(Kappa-Users_x0)*EXP(-Rate_r*E320))</f>
        <v>75.5360694168281</v>
      </c>
    </row>
    <row r="321" customFormat="false" ht="15" hidden="false" customHeight="false" outlineLevel="0" collapsed="false">
      <c r="A321" s="18" t="n">
        <v>291</v>
      </c>
      <c r="D321" s="12" t="n">
        <f aca="false">D320+(1/D$29)*Rate_r*D320*(1-D320/Kappa)</f>
        <v>75.4971827725414</v>
      </c>
      <c r="E321" s="15" t="n">
        <f aca="false">A321/$D$29</f>
        <v>5.59615384615385</v>
      </c>
      <c r="F321" s="12" t="n">
        <f aca="false">Kappa*Users_x0/(Users_x0+(Kappa-Users_x0)*EXP(-Rate_r*E321))</f>
        <v>75.8544845986289</v>
      </c>
    </row>
    <row r="322" customFormat="false" ht="15" hidden="false" customHeight="false" outlineLevel="0" collapsed="false">
      <c r="A322" s="18" t="n">
        <v>292</v>
      </c>
      <c r="D322" s="12" t="n">
        <f aca="false">D321+(1/D$29)*Rate_r*D321*(1-D321/Kappa)</f>
        <v>75.8173566770794</v>
      </c>
      <c r="E322" s="15" t="n">
        <f aca="false">A322/$D$29</f>
        <v>5.61538461538462</v>
      </c>
      <c r="F322" s="12" t="n">
        <f aca="false">Kappa*Users_x0/(Users_x0+(Kappa-Users_x0)*EXP(-Rate_r*E322))</f>
        <v>76.1700628481582</v>
      </c>
    </row>
    <row r="323" customFormat="false" ht="15" hidden="false" customHeight="false" outlineLevel="0" collapsed="false">
      <c r="A323" s="18" t="n">
        <v>293</v>
      </c>
      <c r="D323" s="12" t="n">
        <f aca="false">D322+(1/D$29)*Rate_r*D322*(1-D322/Kappa)</f>
        <v>76.134687001077</v>
      </c>
      <c r="E323" s="15" t="n">
        <f aca="false">A323/$D$29</f>
        <v>5.63461538461539</v>
      </c>
      <c r="F323" s="12" t="n">
        <f aca="false">Kappa*Users_x0/(Users_x0+(Kappa-Users_x0)*EXP(-Rate_r*E323))</f>
        <v>76.4827952770069</v>
      </c>
    </row>
    <row r="324" customFormat="false" ht="15" hidden="false" customHeight="false" outlineLevel="0" collapsed="false">
      <c r="A324" s="18" t="n">
        <v>294</v>
      </c>
      <c r="D324" s="12" t="n">
        <f aca="false">D323+(1/D$29)*Rate_r*D323*(1-D323/Kappa)</f>
        <v>76.4491639860424</v>
      </c>
      <c r="E324" s="15" t="n">
        <f aca="false">A324/$D$29</f>
        <v>5.65384615384615</v>
      </c>
      <c r="F324" s="12" t="n">
        <f aca="false">Kappa*Users_x0/(Users_x0+(Kappa-Users_x0)*EXP(-Rate_r*E324))</f>
        <v>76.7926740010673</v>
      </c>
    </row>
    <row r="325" customFormat="false" ht="15" hidden="false" customHeight="false" outlineLevel="0" collapsed="false">
      <c r="A325" s="18" t="n">
        <v>295</v>
      </c>
      <c r="D325" s="12" t="n">
        <f aca="false">D324+(1/D$29)*Rate_r*D324*(1-D324/Kappa)</f>
        <v>76.7607788998877</v>
      </c>
      <c r="E325" s="15" t="n">
        <f aca="false">A325/$D$29</f>
        <v>5.67307692307692</v>
      </c>
      <c r="F325" s="12" t="n">
        <f aca="false">Kappa*Users_x0/(Users_x0+(Kappa-Users_x0)*EXP(-Rate_r*E325))</f>
        <v>77.0996921264287</v>
      </c>
    </row>
    <row r="326" customFormat="false" ht="15" hidden="false" customHeight="false" outlineLevel="0" collapsed="false">
      <c r="A326" s="18" t="n">
        <v>296</v>
      </c>
      <c r="D326" s="12" t="n">
        <f aca="false">D325+(1/D$29)*Rate_r*D325*(1-D325/Kappa)</f>
        <v>77.0695240232346</v>
      </c>
      <c r="E326" s="15" t="n">
        <f aca="false">A326/$D$29</f>
        <v>5.69230769230769</v>
      </c>
      <c r="F326" s="12" t="n">
        <f aca="false">Kappa*Users_x0/(Users_x0+(Kappa-Users_x0)*EXP(-Rate_r*E326))</f>
        <v>77.4038437347969</v>
      </c>
    </row>
    <row r="327" customFormat="false" ht="15" hidden="false" customHeight="false" outlineLevel="0" collapsed="false">
      <c r="A327" s="18" t="n">
        <v>297</v>
      </c>
      <c r="D327" s="12" t="n">
        <f aca="false">D326+(1/D$29)*Rate_r*D326*(1-D326/Kappa)</f>
        <v>77.3753926352039</v>
      </c>
      <c r="E327" s="15" t="n">
        <f aca="false">A327/$D$29</f>
        <v>5.71153846153846</v>
      </c>
      <c r="F327" s="12" t="n">
        <f aca="false">Kappa*Users_x0/(Users_x0+(Kappa-Users_x0)*EXP(-Rate_r*E327))</f>
        <v>77.7051238684673</v>
      </c>
    </row>
    <row r="328" customFormat="false" ht="15" hidden="false" customHeight="false" outlineLevel="0" collapsed="false">
      <c r="A328" s="18" t="n">
        <v>298</v>
      </c>
      <c r="D328" s="12" t="n">
        <f aca="false">D327+(1/D$29)*Rate_r*D327*(1-D327/Kappa)</f>
        <v>77.6783789987157</v>
      </c>
      <c r="E328" s="15" t="n">
        <f aca="false">A328/$D$29</f>
        <v>5.73076923076923</v>
      </c>
      <c r="F328" s="12" t="n">
        <f aca="false">Kappa*Users_x0/(Users_x0+(Kappa-Users_x0)*EXP(-Rate_r*E328))</f>
        <v>78.0035285148792</v>
      </c>
    </row>
    <row r="329" customFormat="false" ht="15" hidden="false" customHeight="false" outlineLevel="0" collapsed="false">
      <c r="A329" s="18" t="n">
        <v>299</v>
      </c>
      <c r="D329" s="12" t="n">
        <f aca="false">D328+(1/D$29)*Rate_r*D328*(1-D328/Kappa)</f>
        <v>77.9784783453317</v>
      </c>
      <c r="E329" s="15" t="n">
        <f aca="false">A329/$D$29</f>
        <v>5.75</v>
      </c>
      <c r="F329" s="12" t="n">
        <f aca="false">Kappa*Users_x0/(Users_x0+(Kappa-Users_x0)*EXP(-Rate_r*E329))</f>
        <v>78.2990545907781</v>
      </c>
    </row>
    <row r="330" customFormat="false" ht="15" hidden="false" customHeight="false" outlineLevel="0" collapsed="false">
      <c r="A330" s="18" t="n">
        <v>300</v>
      </c>
      <c r="D330" s="12" t="n">
        <f aca="false">D329+(1/D$29)*Rate_r*D329*(1-D329/Kappa)</f>
        <v>78.2756868596648</v>
      </c>
      <c r="E330" s="15" t="n">
        <f aca="false">A330/$D$29</f>
        <v>5.76923076923077</v>
      </c>
      <c r="F330" s="12" t="n">
        <f aca="false">Kappa*Users_x0/(Users_x0+(Kappa-Users_x0)*EXP(-Rate_r*E330))</f>
        <v>78.5916999260145</v>
      </c>
    </row>
    <row r="331" customFormat="false" ht="15" hidden="false" customHeight="false" outlineLevel="0" collapsed="false">
      <c r="A331" s="18" t="n">
        <v>301</v>
      </c>
      <c r="D331" s="12" t="n">
        <f aca="false">D330+(1/D$29)*Rate_r*D330*(1-D330/Kappa)</f>
        <v>78.5700016633864</v>
      </c>
      <c r="E331" s="15" t="n">
        <f aca="false">A331/$D$29</f>
        <v>5.78846153846154</v>
      </c>
      <c r="F331" s="12" t="n">
        <f aca="false">Kappa*Users_x0/(Users_x0+(Kappa-Users_x0)*EXP(-Rate_r*E331))</f>
        <v>78.8814632470059</v>
      </c>
    </row>
    <row r="332" customFormat="false" ht="15" hidden="false" customHeight="false" outlineLevel="0" collapsed="false">
      <c r="A332" s="18" t="n">
        <v>302</v>
      </c>
      <c r="D332" s="12" t="n">
        <f aca="false">D331+(1/D$29)*Rate_r*D331*(1-D331/Kappa)</f>
        <v>78.8614207988593</v>
      </c>
      <c r="E332" s="15" t="n">
        <f aca="false">A332/$D$29</f>
        <v>5.80769230769231</v>
      </c>
      <c r="F332" s="12" t="n">
        <f aca="false">Kappa*Users_x0/(Users_x0+(Kappa-Users_x0)*EXP(-Rate_r*E332))</f>
        <v>79.1683441598886</v>
      </c>
    </row>
    <row r="333" customFormat="false" ht="15" hidden="false" customHeight="false" outlineLevel="0" collapsed="false">
      <c r="A333" s="18" t="n">
        <v>303</v>
      </c>
      <c r="D333" s="12" t="n">
        <f aca="false">D332+(1/D$29)*Rate_r*D332*(1-D332/Kappa)</f>
        <v>79.1499432124216</v>
      </c>
      <c r="E333" s="15" t="n">
        <f aca="false">A333/$D$29</f>
        <v>5.82692307692308</v>
      </c>
      <c r="F333" s="12" t="n">
        <f aca="false">Kappa*Users_x0/(Users_x0+(Kappa-Users_x0)*EXP(-Rate_r*E333))</f>
        <v>79.4523431333859</v>
      </c>
    </row>
    <row r="334" customFormat="false" ht="15" hidden="false" customHeight="false" outlineLevel="0" collapsed="false">
      <c r="A334" s="18" t="n">
        <v>304</v>
      </c>
      <c r="D334" s="12" t="n">
        <f aca="false">D333+(1/D$29)*Rate_r*D333*(1-D333/Kappa)</f>
        <v>79.4355687373526</v>
      </c>
      <c r="E334" s="15" t="n">
        <f aca="false">A334/$D$29</f>
        <v>5.84615384615385</v>
      </c>
      <c r="F334" s="12" t="n">
        <f aca="false">Kappa*Users_x0/(Users_x0+(Kappa-Users_x0)*EXP(-Rate_r*E334))</f>
        <v>79.7334614814193</v>
      </c>
    </row>
    <row r="335" customFormat="false" ht="15" hidden="false" customHeight="false" outlineLevel="0" collapsed="false">
      <c r="A335" s="18" t="n">
        <v>305</v>
      </c>
      <c r="D335" s="12" t="n">
        <f aca="false">D334+(1/D$29)*Rate_r*D334*(1-D334/Kappa)</f>
        <v>79.7182980765445</v>
      </c>
      <c r="E335" s="15" t="n">
        <f aca="false">A335/$D$29</f>
        <v>5.86538461538462</v>
      </c>
      <c r="F335" s="12" t="n">
        <f aca="false">Kappa*Users_x0/(Users_x0+(Kappa-Users_x0)*EXP(-Rate_r*E335))</f>
        <v>80.0117013454871</v>
      </c>
    </row>
    <row r="336" customFormat="false" ht="15" hidden="false" customHeight="false" outlineLevel="0" collapsed="false">
      <c r="A336" s="18" t="n">
        <v>306</v>
      </c>
      <c r="D336" s="12" t="n">
        <f aca="false">D335+(1/D$29)*Rate_r*D335*(1-D335/Kappa)</f>
        <v>79.998132784908</v>
      </c>
      <c r="E336" s="15" t="n">
        <f aca="false">A336/$D$29</f>
        <v>5.88461538461539</v>
      </c>
      <c r="F336" s="12" t="n">
        <f aca="false">Kappa*Users_x0/(Users_x0+(Kappa-Users_x0)*EXP(-Rate_r*E336))</f>
        <v>80.2870656768367</v>
      </c>
    </row>
    <row r="337" customFormat="false" ht="15" hidden="false" customHeight="false" outlineLevel="0" collapsed="false">
      <c r="A337" s="18" t="n">
        <v>307</v>
      </c>
      <c r="D337" s="12" t="n">
        <f aca="false">D336+(1/D$29)*Rate_r*D336*(1-D336/Kappa)</f>
        <v>80.2750752515382</v>
      </c>
      <c r="E337" s="15" t="n">
        <f aca="false">A337/$D$29</f>
        <v>5.90384615384615</v>
      </c>
      <c r="F337" s="12" t="n">
        <f aca="false">Kappa*Users_x0/(Users_x0+(Kappa-Users_x0)*EXP(-Rate_r*E337))</f>
        <v>80.5595582184546</v>
      </c>
    </row>
    <row r="338" customFormat="false" ht="15" hidden="false" customHeight="false" outlineLevel="0" collapsed="false">
      <c r="A338" s="18" t="n">
        <v>308</v>
      </c>
      <c r="D338" s="12" t="n">
        <f aca="false">D337+(1/D$29)*Rate_r*D337*(1-D337/Kappa)</f>
        <v>80.5491286816656</v>
      </c>
      <c r="E338" s="15" t="n">
        <f aca="false">A338/$D$29</f>
        <v>5.92307692307692</v>
      </c>
      <c r="F338" s="12" t="n">
        <f aca="false">Kappa*Users_x0/(Users_x0+(Kappa-Users_x0)*EXP(-Rate_r*E338))</f>
        <v>80.8291834868979</v>
      </c>
    </row>
    <row r="339" customFormat="false" ht="15" hidden="false" customHeight="false" outlineLevel="0" collapsed="false">
      <c r="A339" s="18" t="n">
        <v>309</v>
      </c>
      <c r="D339" s="12" t="n">
        <f aca="false">D338+(1/D$29)*Rate_r*D338*(1-D338/Kappa)</f>
        <v>80.8202970784179</v>
      </c>
      <c r="E339" s="15" t="n">
        <f aca="false">A339/$D$29</f>
        <v>5.94230769230769</v>
      </c>
      <c r="F339" s="12" t="n">
        <f aca="false">Kappa*Users_x0/(Users_x0+(Kappa-Users_x0)*EXP(-Rate_r*E339))</f>
        <v>81.0959467539919</v>
      </c>
    </row>
    <row r="340" customFormat="false" ht="15" hidden="false" customHeight="false" outlineLevel="0" collapsed="false">
      <c r="A340" s="18" t="n">
        <v>310</v>
      </c>
      <c r="D340" s="12" t="n">
        <f aca="false">D339+(1/D$29)*Rate_r*D339*(1-D339/Kappa)</f>
        <v>81.0885852244175</v>
      </c>
      <c r="E340" s="15" t="n">
        <f aca="false">A340/$D$29</f>
        <v>5.96153846153846</v>
      </c>
      <c r="F340" s="12" t="n">
        <f aca="false">Kappa*Users_x0/(Users_x0+(Kappa-Users_x0)*EXP(-Rate_r*E340))</f>
        <v>81.3598540284158</v>
      </c>
    </row>
    <row r="341" customFormat="false" ht="15" hidden="false" customHeight="false" outlineLevel="0" collapsed="false">
      <c r="A341" s="18" t="n">
        <v>311</v>
      </c>
      <c r="D341" s="12" t="n">
        <f aca="false">D340+(1/D$29)*Rate_r*D340*(1-D340/Kappa)</f>
        <v>81.3539986632386</v>
      </c>
      <c r="E341" s="15" t="n">
        <f aca="false">A341/$D$29</f>
        <v>5.98076923076923</v>
      </c>
      <c r="F341" s="12" t="n">
        <f aca="false">Kappa*Users_x0/(Users_x0+(Kappa-Users_x0)*EXP(-Rate_r*E341))</f>
        <v>81.620912037199</v>
      </c>
    </row>
    <row r="342" customFormat="false" ht="15" hidden="false" customHeight="false" outlineLevel="0" collapsed="false">
      <c r="A342" s="18" t="n">
        <v>312</v>
      </c>
      <c r="D342" s="12" t="n">
        <f aca="false">D341+(1/D$29)*Rate_r*D341*(1-D341/Kappa)</f>
        <v>81.6165436807469</v>
      </c>
      <c r="E342" s="15" t="n">
        <f aca="false">A342/$D$29</f>
        <v>6</v>
      </c>
      <c r="F342" s="12" t="n">
        <f aca="false">Kappa*Users_x0/(Users_x0+(Kappa-Users_x0)*EXP(-Rate_r*E342))</f>
        <v>81.8791282071504</v>
      </c>
    </row>
    <row r="343" customFormat="false" ht="15" hidden="false" customHeight="false" outlineLevel="0" collapsed="false">
      <c r="A343" s="18" t="n">
        <v>313</v>
      </c>
      <c r="D343" s="12" t="n">
        <f aca="false">D342+(1/D$29)*Rate_r*D342*(1-D342/Kappa)</f>
        <v>81.876227286346</v>
      </c>
      <c r="E343" s="15" t="n">
        <f aca="false">A343/$D$29</f>
        <v>6.01923076923077</v>
      </c>
      <c r="F343" s="12" t="n">
        <f aca="false">Kappa*Users_x0/(Users_x0+(Kappa-Users_x0)*EXP(-Rate_r*E343))</f>
        <v>82.1345106462411</v>
      </c>
    </row>
    <row r="344" customFormat="false" ht="15" hidden="false" customHeight="false" outlineLevel="0" collapsed="false">
      <c r="A344" s="18" t="n">
        <v>314</v>
      </c>
      <c r="D344" s="12" t="n">
        <f aca="false">D343+(1/D$29)*Rate_r*D343*(1-D343/Kappa)</f>
        <v>82.1330571941518</v>
      </c>
      <c r="E344" s="15" t="n">
        <f aca="false">A344/$D$29</f>
        <v>6.03846153846154</v>
      </c>
      <c r="F344" s="12" t="n">
        <f aca="false">Kappa*Users_x0/(Users_x0+(Kappa-Users_x0)*EXP(-Rate_r*E344))</f>
        <v>82.3870681249611</v>
      </c>
    </row>
    <row r="345" customFormat="false" ht="15" hidden="false" customHeight="false" outlineLevel="0" collapsed="false">
      <c r="A345" s="18" t="n">
        <v>315</v>
      </c>
      <c r="D345" s="12" t="n">
        <f aca="false">D344+(1/D$29)*Rate_r*D344*(1-D344/Kappa)</f>
        <v>82.3870418041175</v>
      </c>
      <c r="E345" s="15" t="n">
        <f aca="false">A345/$D$29</f>
        <v>6.05769230769231</v>
      </c>
      <c r="F345" s="12" t="n">
        <f aca="false">Kappa*Users_x0/(Users_x0+(Kappa-Users_x0)*EXP(-Rate_r*E345))</f>
        <v>82.6368100576709</v>
      </c>
    </row>
    <row r="346" customFormat="false" ht="15" hidden="false" customHeight="false" outlineLevel="0" collapsed="false">
      <c r="A346" s="18" t="n">
        <v>316</v>
      </c>
      <c r="D346" s="12" t="n">
        <f aca="false">D345+(1/D$29)*Rate_r*D345*(1-D345/Kappa)</f>
        <v>82.6381901831291</v>
      </c>
      <c r="E346" s="15" t="n">
        <f aca="false">A346/$D$29</f>
        <v>6.07692307692308</v>
      </c>
      <c r="F346" s="12" t="n">
        <f aca="false">Kappa*Users_x0/(Users_x0+(Kappa-Users_x0)*EXP(-Rate_r*E346))</f>
        <v>82.8837464839649</v>
      </c>
    </row>
    <row r="347" customFormat="false" ht="15" hidden="false" customHeight="false" outlineLevel="0" collapsed="false">
      <c r="A347" s="18" t="n">
        <v>317</v>
      </c>
      <c r="D347" s="12" t="n">
        <f aca="false">D346+(1/D$29)*Rate_r*D346*(1-D346/Kappa)</f>
        <v>82.8865120460932</v>
      </c>
      <c r="E347" s="15" t="n">
        <f aca="false">A347/$D$29</f>
        <v>6.09615384615385</v>
      </c>
      <c r="F347" s="12" t="n">
        <f aca="false">Kappa*Users_x0/(Users_x0+(Kappa-Users_x0)*EXP(-Rate_r*E347))</f>
        <v>83.127888050068</v>
      </c>
    </row>
    <row r="348" customFormat="false" ht="15" hidden="false" customHeight="false" outlineLevel="0" collapsed="false">
      <c r="A348" s="18" t="n">
        <v>318</v>
      </c>
      <c r="D348" s="12" t="n">
        <f aca="false">D347+(1/D$29)*Rate_r*D347*(1-D347/Kappa)</f>
        <v>83.1320177370351</v>
      </c>
      <c r="E348" s="15" t="n">
        <f aca="false">A348/$D$29</f>
        <v>6.11538461538462</v>
      </c>
      <c r="F348" s="12" t="n">
        <f aca="false">Kappa*Users_x0/(Users_x0+(Kappa-Users_x0)*EXP(-Rate_r*E348))</f>
        <v>83.3692459902807</v>
      </c>
    </row>
    <row r="349" customFormat="false" ht="15" hidden="false" customHeight="false" outlineLevel="0" collapsed="false">
      <c r="A349" s="18" t="n">
        <v>319</v>
      </c>
      <c r="D349" s="12" t="n">
        <f aca="false">D348+(1/D$29)*Rate_r*D348*(1-D348/Kappa)</f>
        <v>83.3747182102284</v>
      </c>
      <c r="E349" s="15" t="n">
        <f aca="false">A349/$D$29</f>
        <v>6.13461538461539</v>
      </c>
      <c r="F349" s="12" t="n">
        <f aca="false">Kappa*Users_x0/(Users_x0+(Kappa-Users_x0)*EXP(-Rate_r*E349))</f>
        <v>83.6078321084914</v>
      </c>
    </row>
    <row r="350" customFormat="false" ht="15" hidden="false" customHeight="false" outlineLevel="0" collapsed="false">
      <c r="A350" s="18" t="n">
        <v>320</v>
      </c>
      <c r="D350" s="12" t="n">
        <f aca="false">D349+(1/D$29)*Rate_r*D349*(1-D349/Kappa)</f>
        <v>83.6146250113725</v>
      </c>
      <c r="E350" s="15" t="n">
        <f aca="false">A350/$D$29</f>
        <v>6.15384615384615</v>
      </c>
      <c r="F350" s="12" t="n">
        <f aca="false">Kappa*Users_x0/(Users_x0+(Kappa-Users_x0)*EXP(-Rate_r*E350))</f>
        <v>83.8436587597717</v>
      </c>
    </row>
    <row r="351" customFormat="false" ht="15" hidden="false" customHeight="false" outlineLevel="0" collapsed="false">
      <c r="A351" s="18" t="n">
        <v>321</v>
      </c>
      <c r="D351" s="12" t="n">
        <f aca="false">D350+(1/D$29)*Rate_r*D350*(1-D350/Kappa)</f>
        <v>83.851750258836</v>
      </c>
      <c r="E351" s="15" t="n">
        <f aca="false">A351/$D$29</f>
        <v>6.17307692307692</v>
      </c>
      <c r="F351" s="12" t="n">
        <f aca="false">Kappa*Users_x0/(Users_x0+(Kappa-Users_x0)*EXP(-Rate_r*E351))</f>
        <v>84.0767388320706</v>
      </c>
    </row>
    <row r="352" customFormat="false" ht="15" hidden="false" customHeight="false" outlineLevel="0" collapsed="false">
      <c r="A352" s="18" t="n">
        <v>322</v>
      </c>
      <c r="D352" s="12" t="n">
        <f aca="false">D351+(1/D$29)*Rate_r*D351*(1-D351/Kappa)</f>
        <v>84.0861066249845</v>
      </c>
      <c r="E352" s="15" t="n">
        <f aca="false">A352/$D$29</f>
        <v>6.19230769230769</v>
      </c>
      <c r="F352" s="12" t="n">
        <f aca="false">Kappa*Users_x0/(Users_x0+(Kappa-Users_x0)*EXP(-Rate_r*E352))</f>
        <v>84.3070857280227</v>
      </c>
    </row>
    <row r="353" customFormat="false" ht="15" hidden="false" customHeight="false" outlineLevel="0" collapsed="false">
      <c r="A353" s="18" t="n">
        <v>323</v>
      </c>
      <c r="D353" s="12" t="n">
        <f aca="false">D352+(1/D$29)*Rate_r*D352*(1-D352/Kappa)</f>
        <v>84.3177073176066</v>
      </c>
      <c r="E353" s="15" t="n">
        <f aca="false">A353/$D$29</f>
        <v>6.21153846153846</v>
      </c>
      <c r="F353" s="12" t="n">
        <f aca="false">Kappa*Users_x0/(Users_x0+(Kappa-Users_x0)*EXP(-Rate_r*E353))</f>
        <v>84.5347133468854</v>
      </c>
    </row>
    <row r="354" customFormat="false" ht="15" hidden="false" customHeight="false" outlineLevel="0" collapsed="false">
      <c r="A354" s="18" t="n">
        <v>324</v>
      </c>
      <c r="D354" s="12" t="n">
        <f aca="false">D353+(1/D$29)*Rate_r*D353*(1-D353/Kappa)</f>
        <v>84.546566061456</v>
      </c>
      <c r="E354" s="15" t="n">
        <f aca="false">A354/$D$29</f>
        <v>6.23076923076923</v>
      </c>
      <c r="F354" s="12" t="n">
        <f aca="false">Kappa*Users_x0/(Users_x0+(Kappa-Users_x0)*EXP(-Rate_r*E354))</f>
        <v>84.759636066617</v>
      </c>
    </row>
    <row r="355" customFormat="false" ht="15" hidden="false" customHeight="false" outlineLevel="0" collapsed="false">
      <c r="A355" s="18" t="n">
        <v>325</v>
      </c>
      <c r="D355" s="12" t="n">
        <f aca="false">D354+(1/D$29)*Rate_r*D354*(1-D354/Kappa)</f>
        <v>84.7726970799224</v>
      </c>
      <c r="E355" s="15" t="n">
        <f aca="false">A355/$D$29</f>
        <v>6.25</v>
      </c>
      <c r="F355" s="12" t="n">
        <f aca="false">Kappa*Users_x0/(Users_x0+(Kappa-Users_x0)*EXP(-Rate_r*E355))</f>
        <v>84.9818687261113</v>
      </c>
    </row>
    <row r="356" customFormat="false" ht="15" hidden="false" customHeight="false" outlineLevel="0" collapsed="false">
      <c r="A356" s="18" t="n">
        <v>326</v>
      </c>
      <c r="D356" s="12" t="n">
        <f aca="false">D355+(1/D$29)*Rate_r*D355*(1-D355/Kappa)</f>
        <v>84.9961150768473</v>
      </c>
      <c r="E356" s="15" t="n">
        <f aca="false">A356/$D$29</f>
        <v>6.26923076923077</v>
      </c>
      <c r="F356" s="12" t="n">
        <f aca="false">Kappa*Users_x0/(Users_x0+(Kappa-Users_x0)*EXP(-Rate_r*E356))</f>
        <v>85.2014266075992</v>
      </c>
    </row>
    <row r="357" customFormat="false" ht="15" hidden="false" customHeight="false" outlineLevel="0" collapsed="false">
      <c r="A357" s="18" t="n">
        <v>327</v>
      </c>
      <c r="D357" s="12" t="n">
        <f aca="false">D356+(1/D$29)*Rate_r*D356*(1-D356/Kappa)</f>
        <v>85.2168352184963</v>
      </c>
      <c r="E357" s="15" t="n">
        <f aca="false">A357/$D$29</f>
        <v>6.28846153846154</v>
      </c>
      <c r="F357" s="12" t="n">
        <f aca="false">Kappa*Users_x0/(Users_x0+(Kappa-Users_x0)*EXP(-Rate_r*E357))</f>
        <v>85.4183254192297</v>
      </c>
    </row>
    <row r="358" customFormat="false" ht="15" hidden="false" customHeight="false" outlineLevel="0" collapsed="false">
      <c r="A358" s="18" t="n">
        <v>328</v>
      </c>
      <c r="D358" s="12" t="n">
        <f aca="false">D357+(1/D$29)*Rate_r*D357*(1-D357/Kappa)</f>
        <v>85.4348731157029</v>
      </c>
      <c r="E358" s="15" t="n">
        <f aca="false">A358/$D$29</f>
        <v>6.30769230769231</v>
      </c>
      <c r="F358" s="12" t="n">
        <f aca="false">Kappa*Users_x0/(Users_x0+(Kappa-Users_x0)*EXP(-Rate_r*E358))</f>
        <v>85.6325812778406</v>
      </c>
    </row>
    <row r="359" customFormat="false" ht="15" hidden="false" customHeight="false" outlineLevel="0" collapsed="false">
      <c r="A359" s="18" t="n">
        <v>329</v>
      </c>
      <c r="D359" s="12" t="n">
        <f aca="false">D358+(1/D$29)*Rate_r*D358*(1-D358/Kappa)</f>
        <v>85.6502448061926</v>
      </c>
      <c r="E359" s="15" t="n">
        <f aca="false">A359/$D$29</f>
        <v>6.32692307692308</v>
      </c>
      <c r="F359" s="12" t="n">
        <f aca="false">Kappa*Users_x0/(Users_x0+(Kappa-Users_x0)*EXP(-Rate_r*E359))</f>
        <v>85.8442106919316</v>
      </c>
    </row>
    <row r="360" customFormat="false" ht="15" hidden="false" customHeight="false" outlineLevel="0" collapsed="false">
      <c r="A360" s="18" t="n">
        <v>330</v>
      </c>
      <c r="D360" s="12" t="n">
        <f aca="false">D359+(1/D$29)*Rate_r*D359*(1-D359/Kappa)</f>
        <v>85.8629667371027</v>
      </c>
      <c r="E360" s="15" t="n">
        <f aca="false">A360/$D$29</f>
        <v>6.34615384615385</v>
      </c>
      <c r="F360" s="12" t="n">
        <f aca="false">Kappa*Users_x0/(Users_x0+(Kappa-Users_x0)*EXP(-Rate_r*E360))</f>
        <v>86.0532305448458</v>
      </c>
    </row>
    <row r="361" customFormat="false" ht="15" hidden="false" customHeight="false" outlineLevel="0" collapsed="false">
      <c r="A361" s="18" t="n">
        <v>331</v>
      </c>
      <c r="D361" s="12" t="n">
        <f aca="false">D360+(1/D$29)*Rate_r*D360*(1-D360/Kappa)</f>
        <v>86.0730557477051</v>
      </c>
      <c r="E361" s="15" t="n">
        <f aca="false">A361/$D$29</f>
        <v>6.36538461538462</v>
      </c>
      <c r="F361" s="12" t="n">
        <f aca="false">Kappa*Users_x0/(Users_x0+(Kappa-Users_x0)*EXP(-Rate_r*E361))</f>
        <v>86.2596580781726</v>
      </c>
    </row>
    <row r="362" customFormat="false" ht="15" hidden="false" customHeight="false" outlineLevel="0" collapsed="false">
      <c r="A362" s="18" t="n">
        <v>332</v>
      </c>
      <c r="D362" s="12" t="n">
        <f aca="false">D361+(1/D$29)*Rate_r*D361*(1-D361/Kappa)</f>
        <v>86.2805290523437</v>
      </c>
      <c r="E362" s="15" t="n">
        <f aca="false">A362/$D$29</f>
        <v>6.38461538461539</v>
      </c>
      <c r="F362" s="12" t="n">
        <f aca="false">Kappa*Users_x0/(Users_x0+(Kappa-Users_x0)*EXP(-Rate_r*E362))</f>
        <v>86.4635108753778</v>
      </c>
    </row>
    <row r="363" customFormat="false" ht="15" hidden="false" customHeight="false" outlineLevel="0" collapsed="false">
      <c r="A363" s="18" t="n">
        <v>333</v>
      </c>
      <c r="D363" s="12" t="n">
        <f aca="false">D362+(1/D$29)*Rate_r*D362*(1-D362/Kappa)</f>
        <v>86.4854042235963</v>
      </c>
      <c r="E363" s="15" t="n">
        <f aca="false">A363/$D$29</f>
        <v>6.40384615384615</v>
      </c>
      <c r="F363" s="12" t="n">
        <f aca="false">Kappa*Users_x0/(Users_x0+(Kappa-Users_x0)*EXP(-Rate_r*E363))</f>
        <v>86.6648068456702</v>
      </c>
    </row>
    <row r="364" customFormat="false" ht="15" hidden="false" customHeight="false" outlineLevel="0" collapsed="false">
      <c r="A364" s="18" t="n">
        <v>334</v>
      </c>
      <c r="D364" s="12" t="n">
        <f aca="false">D363+(1/D$29)*Rate_r*D363*(1-D363/Kappa)</f>
        <v>86.6876991756688</v>
      </c>
      <c r="E364" s="15" t="n">
        <f aca="false">A364/$D$29</f>
        <v>6.42307692307692</v>
      </c>
      <c r="F364" s="12" t="n">
        <f aca="false">Kappa*Users_x0/(Users_x0+(Kappa-Users_x0)*EXP(-Rate_r*E364))</f>
        <v>86.8635642081114</v>
      </c>
    </row>
    <row r="365" customFormat="false" ht="15" hidden="false" customHeight="false" outlineLevel="0" collapsed="false">
      <c r="A365" s="18" t="n">
        <v>335</v>
      </c>
      <c r="D365" s="12" t="n">
        <f aca="false">D364+(1/D$29)*Rate_r*D364*(1-D364/Kappa)</f>
        <v>86.8874321480296</v>
      </c>
      <c r="E365" s="15" t="n">
        <f aca="false">A365/$D$29</f>
        <v>6.44230769230769</v>
      </c>
      <c r="F365" s="12" t="n">
        <f aca="false">Kappa*Users_x0/(Users_x0+(Kappa-Users_x0)*EXP(-Rate_r*E365))</f>
        <v>87.059801475976</v>
      </c>
    </row>
    <row r="366" customFormat="false" ht="15" hidden="false" customHeight="false" outlineLevel="0" collapsed="false">
      <c r="A366" s="18" t="n">
        <v>336</v>
      </c>
      <c r="D366" s="12" t="n">
        <f aca="false">D365+(1/D$29)*Rate_r*D365*(1-D365/Kappa)</f>
        <v>87.0846216892934</v>
      </c>
      <c r="E366" s="15" t="n">
        <f aca="false">A366/$D$29</f>
        <v>6.46153846153846</v>
      </c>
      <c r="F366" s="12" t="n">
        <f aca="false">Kappa*Users_x0/(Users_x0+(Kappa-Users_x0)*EXP(-Rate_r*E366))</f>
        <v>87.2535374413678</v>
      </c>
    </row>
    <row r="367" customFormat="false" ht="15" hidden="false" customHeight="false" outlineLevel="0" collapsed="false">
      <c r="A367" s="18" t="n">
        <v>337</v>
      </c>
      <c r="D367" s="12" t="n">
        <f aca="false">D366+(1/D$29)*Rate_r*D366*(1-D366/Kappa)</f>
        <v>87.2792866413599</v>
      </c>
      <c r="E367" s="15" t="n">
        <f aca="false">A367/$D$29</f>
        <v>6.48076923076923</v>
      </c>
      <c r="F367" s="12" t="n">
        <f aca="false">Kappa*Users_x0/(Users_x0+(Kappa-Users_x0)*EXP(-Rate_r*E367))</f>
        <v>87.4447911600986</v>
      </c>
    </row>
    <row r="368" customFormat="false" ht="15" hidden="false" customHeight="false" outlineLevel="0" collapsed="false">
      <c r="A368" s="18" t="n">
        <v>338</v>
      </c>
      <c r="D368" s="12" t="n">
        <f aca="false">D367+(1/D$29)*Rate_r*D367*(1-D367/Kappa)</f>
        <v>87.4714461238138</v>
      </c>
      <c r="E368" s="15" t="n">
        <f aca="false">A368/$D$29</f>
        <v>6.5</v>
      </c>
      <c r="F368" s="12" t="n">
        <f aca="false">Kappa*Users_x0/(Users_x0+(Kappa-Users_x0)*EXP(-Rate_r*E368))</f>
        <v>87.633581936833</v>
      </c>
    </row>
    <row r="369" customFormat="false" ht="15" hidden="false" customHeight="false" outlineLevel="0" collapsed="false">
      <c r="A369" s="18" t="n">
        <v>339</v>
      </c>
      <c r="D369" s="12" t="n">
        <f aca="false">D368+(1/D$29)*Rate_r*D368*(1-D368/Kappa)</f>
        <v>87.6611195185929</v>
      </c>
      <c r="E369" s="15" t="n">
        <f aca="false">A369/$D$29</f>
        <v>6.51923076923077</v>
      </c>
      <c r="F369" s="12" t="n">
        <f aca="false">Kappa*Users_x0/(Users_x0+(Kappa-Users_x0)*EXP(-Rate_r*E369))</f>
        <v>87.8199293105064</v>
      </c>
    </row>
    <row r="370" customFormat="false" ht="15" hidden="false" customHeight="false" outlineLevel="0" collapsed="false">
      <c r="A370" s="18" t="n">
        <v>340</v>
      </c>
      <c r="D370" s="12" t="n">
        <f aca="false">D369+(1/D$29)*Rate_r*D369*(1-D369/Kappa)</f>
        <v>87.8483264549286</v>
      </c>
      <c r="E370" s="15" t="n">
        <f aca="false">A370/$D$29</f>
        <v>6.53846153846154</v>
      </c>
      <c r="F370" s="12" t="n">
        <f aca="false">Kappa*Users_x0/(Users_x0+(Kappa-Users_x0)*EXP(-Rate_r*E370))</f>
        <v>88.0038530400167</v>
      </c>
    </row>
    <row r="371" customFormat="false" ht="15" hidden="false" customHeight="false" outlineLevel="0" collapsed="false">
      <c r="A371" s="18" t="n">
        <v>341</v>
      </c>
      <c r="D371" s="12" t="n">
        <f aca="false">D370+(1/D$29)*Rate_r*D370*(1-D370/Kappa)</f>
        <v>88.0330867945641</v>
      </c>
      <c r="E371" s="15" t="n">
        <f aca="false">A371/$D$29</f>
        <v>6.55769230769231</v>
      </c>
      <c r="F371" s="12" t="n">
        <f aca="false">Kappa*Users_x0/(Users_x0+(Kappa-Users_x0)*EXP(-Rate_r*E371))</f>
        <v>88.1853730901976</v>
      </c>
    </row>
    <row r="372" customFormat="false" ht="15" hidden="false" customHeight="false" outlineLevel="0" collapsed="false">
      <c r="A372" s="18" t="n">
        <v>342</v>
      </c>
      <c r="D372" s="12" t="n">
        <f aca="false">D371+(1/D$29)*Rate_r*D371*(1-D371/Kappa)</f>
        <v>88.2154206172544</v>
      </c>
      <c r="E372" s="15" t="n">
        <f aca="false">A372/$D$29</f>
        <v>6.57692307692308</v>
      </c>
      <c r="F372" s="12" t="n">
        <f aca="false">Kappa*Users_x0/(Users_x0+(Kappa-Users_x0)*EXP(-Rate_r*E372))</f>
        <v>88.3645096180721</v>
      </c>
    </row>
    <row r="373" customFormat="false" ht="15" hidden="false" customHeight="false" outlineLevel="0" collapsed="false">
      <c r="A373" s="18" t="n">
        <v>343</v>
      </c>
      <c r="D373" s="12" t="n">
        <f aca="false">D372+(1/D$29)*Rate_r*D372*(1-D372/Kappa)</f>
        <v>88.3953482065509</v>
      </c>
      <c r="E373" s="15" t="n">
        <f aca="false">A373/$D$29</f>
        <v>6.59615384615385</v>
      </c>
      <c r="F373" s="12" t="n">
        <f aca="false">Kappa*Users_x0/(Users_x0+(Kappa-Users_x0)*EXP(-Rate_r*E373))</f>
        <v>88.5412829593923</v>
      </c>
    </row>
    <row r="374" customFormat="false" ht="15" hidden="false" customHeight="false" outlineLevel="0" collapsed="false">
      <c r="A374" s="18" t="n">
        <v>344</v>
      </c>
      <c r="D374" s="12" t="n">
        <f aca="false">D373+(1/D$29)*Rate_r*D373*(1-D373/Kappa)</f>
        <v>88.5728900358755</v>
      </c>
      <c r="E374" s="15" t="n">
        <f aca="false">A374/$D$29</f>
        <v>6.61538461538462</v>
      </c>
      <c r="F374" s="12" t="n">
        <f aca="false">Kappa*Users_x0/(Users_x0+(Kappa-Users_x0)*EXP(-Rate_r*E374))</f>
        <v>88.7157136154667</v>
      </c>
    </row>
    <row r="375" customFormat="false" ht="15" hidden="false" customHeight="false" outlineLevel="0" collapsed="false">
      <c r="A375" s="18" t="n">
        <v>345</v>
      </c>
      <c r="D375" s="12" t="n">
        <f aca="false">D374+(1/D$29)*Rate_r*D374*(1-D374/Kappa)</f>
        <v>88.7480667548855</v>
      </c>
      <c r="E375" s="15" t="n">
        <f aca="false">A375/$D$29</f>
        <v>6.63461538461539</v>
      </c>
      <c r="F375" s="12" t="n">
        <f aca="false">Kappa*Users_x0/(Users_x0+(Kappa-Users_x0)*EXP(-Rate_r*E375))</f>
        <v>88.8878222402749</v>
      </c>
    </row>
    <row r="376" customFormat="false" ht="15" hidden="false" customHeight="false" outlineLevel="0" collapsed="false">
      <c r="A376" s="18" t="n">
        <v>346</v>
      </c>
      <c r="D376" s="12" t="n">
        <f aca="false">D375+(1/D$29)*Rate_r*D375*(1-D375/Kappa)</f>
        <v>88.9208991761323</v>
      </c>
      <c r="E376" s="15" t="n">
        <f aca="false">A376/$D$29</f>
        <v>6.65384615384615</v>
      </c>
      <c r="F376" s="12" t="n">
        <f aca="false">Kappa*Users_x0/(Users_x0+(Kappa-Users_x0)*EXP(-Rate_r*E376))</f>
        <v>89.0576296278747</v>
      </c>
    </row>
    <row r="377" customFormat="false" ht="15" hidden="false" customHeight="false" outlineLevel="0" collapsed="false">
      <c r="A377" s="18" t="n">
        <v>347</v>
      </c>
      <c r="D377" s="12" t="n">
        <f aca="false">D376+(1/D$29)*Rate_r*D376*(1-D376/Kappa)</f>
        <v>89.0914082620148</v>
      </c>
      <c r="E377" s="15" t="n">
        <f aca="false">A377/$D$29</f>
        <v>6.67307692307692</v>
      </c>
      <c r="F377" s="12" t="n">
        <f aca="false">Kappa*Users_x0/(Users_x0+(Kappa-Users_x0)*EXP(-Rate_r*E377))</f>
        <v>89.2251567000991</v>
      </c>
    </row>
    <row r="378" customFormat="false" ht="15" hidden="false" customHeight="false" outlineLevel="0" collapsed="false">
      <c r="A378" s="18" t="n">
        <v>348</v>
      </c>
      <c r="D378" s="12" t="n">
        <f aca="false">D377+(1/D$29)*Rate_r*D377*(1-D377/Kappa)</f>
        <v>89.2596151120308</v>
      </c>
      <c r="E378" s="15" t="n">
        <f aca="false">A378/$D$29</f>
        <v>6.69230769230769</v>
      </c>
      <c r="F378" s="12" t="n">
        <f aca="false">Kappa*Users_x0/(Users_x0+(Kappa-Users_x0)*EXP(-Rate_r*E378))</f>
        <v>89.3904244945457</v>
      </c>
    </row>
    <row r="379" customFormat="false" ht="15" hidden="false" customHeight="false" outlineLevel="0" collapsed="false">
      <c r="A379" s="18" t="n">
        <v>349</v>
      </c>
      <c r="D379" s="12" t="n">
        <f aca="false">D378+(1/D$29)*Rate_r*D378*(1-D378/Kappa)</f>
        <v>89.425540950325</v>
      </c>
      <c r="E379" s="15" t="n">
        <f aca="false">A379/$D$29</f>
        <v>6.71153846153846</v>
      </c>
      <c r="F379" s="12" t="n">
        <f aca="false">Kappa*Users_x0/(Users_x0+(Kappa-Users_x0)*EXP(-Rate_r*E379))</f>
        <v>89.5534541528584</v>
      </c>
    </row>
    <row r="380" customFormat="false" ht="15" hidden="false" customHeight="false" outlineLevel="0" collapsed="false">
      <c r="A380" s="18" t="n">
        <v>350</v>
      </c>
      <c r="D380" s="12" t="n">
        <f aca="false">D379+(1/D$29)*Rate_r*D379*(1-D379/Kappa)</f>
        <v>89.5892071135359</v>
      </c>
      <c r="E380" s="15" t="n">
        <f aca="false">A380/$D$29</f>
        <v>6.73076923076923</v>
      </c>
      <c r="F380" s="12" t="n">
        <f aca="false">Kappa*Users_x0/(Users_x0+(Kappa-Users_x0)*EXP(-Rate_r*E380))</f>
        <v>89.714266909301</v>
      </c>
    </row>
    <row r="381" customFormat="false" ht="15" hidden="false" customHeight="false" outlineLevel="0" collapsed="false">
      <c r="A381" s="18" t="n">
        <v>351</v>
      </c>
      <c r="D381" s="12" t="n">
        <f aca="false">D380+(1/D$29)*Rate_r*D380*(1-D380/Kappa)</f>
        <v>89.7506350389416</v>
      </c>
      <c r="E381" s="15" t="n">
        <f aca="false">A381/$D$29</f>
        <v>6.75</v>
      </c>
      <c r="F381" s="12" t="n">
        <f aca="false">Kappa*Users_x0/(Users_x0+(Kappa-Users_x0)*EXP(-Rate_r*E381))</f>
        <v>89.8728840796222</v>
      </c>
    </row>
    <row r="382" customFormat="false" ht="15" hidden="false" customHeight="false" outlineLevel="0" collapsed="false">
      <c r="A382" s="18" t="n">
        <v>352</v>
      </c>
      <c r="D382" s="12" t="n">
        <f aca="false">D381+(1/D$29)*Rate_r*D381*(1-D381/Kappa)</f>
        <v>89.9098462529033</v>
      </c>
      <c r="E382" s="15" t="n">
        <f aca="false">A382/$D$29</f>
        <v>6.76923076923077</v>
      </c>
      <c r="F382" s="12" t="n">
        <f aca="false">Kappa*Users_x0/(Users_x0+(Kappa-Users_x0)*EXP(-Rate_r*E382))</f>
        <v>90.0293270502121</v>
      </c>
    </row>
    <row r="383" customFormat="false" ht="15" hidden="false" customHeight="false" outlineLevel="0" collapsed="false">
      <c r="A383" s="18" t="n">
        <v>353</v>
      </c>
      <c r="D383" s="12" t="n">
        <f aca="false">D382+(1/D$29)*Rate_r*D382*(1-D382/Kappa)</f>
        <v>90.0668623596076</v>
      </c>
      <c r="E383" s="15" t="n">
        <f aca="false">A383/$D$29</f>
        <v>6.78846153846154</v>
      </c>
      <c r="F383" s="12" t="n">
        <f aca="false">Kappa*Users_x0/(Users_x0+(Kappa-Users_x0)*EXP(-Rate_r*E383))</f>
        <v>90.1836172675479</v>
      </c>
    </row>
    <row r="384" customFormat="false" ht="15" hidden="false" customHeight="false" outlineLevel="0" collapsed="false">
      <c r="A384" s="18" t="n">
        <v>354</v>
      </c>
      <c r="D384" s="12" t="n">
        <f aca="false">D383+(1/D$29)*Rate_r*D383*(1-D383/Kappa)</f>
        <v>90.2217050301058</v>
      </c>
      <c r="E384" s="15" t="n">
        <f aca="false">A384/$D$29</f>
        <v>6.80769230769231</v>
      </c>
      <c r="F384" s="12" t="n">
        <f aca="false">Kappa*Users_x0/(Users_x0+(Kappa-Users_x0)*EXP(-Rate_r*E384))</f>
        <v>90.3357762279279</v>
      </c>
    </row>
    <row r="385" customFormat="false" ht="15" hidden="false" customHeight="false" outlineLevel="0" collapsed="false">
      <c r="A385" s="18" t="n">
        <v>355</v>
      </c>
      <c r="D385" s="12" t="n">
        <f aca="false">D384+(1/D$29)*Rate_r*D384*(1-D384/Kappa)</f>
        <v>90.3743959916489</v>
      </c>
      <c r="E385" s="15" t="n">
        <f aca="false">A385/$D$29</f>
        <v>6.82692307692308</v>
      </c>
      <c r="F385" s="12" t="n">
        <f aca="false">Kappa*Users_x0/(Users_x0+(Kappa-Users_x0)*EXP(-Rate_r*E385))</f>
        <v>90.4858254674929</v>
      </c>
    </row>
    <row r="386" customFormat="false" ht="15" hidden="false" customHeight="false" outlineLevel="0" collapsed="false">
      <c r="A386" s="18" t="n">
        <v>356</v>
      </c>
      <c r="D386" s="12" t="n">
        <f aca="false">D385+(1/D$29)*Rate_r*D385*(1-D385/Kappa)</f>
        <v>90.5249570173179</v>
      </c>
      <c r="E386" s="15" t="n">
        <f aca="false">A386/$D$29</f>
        <v>6.84615384615385</v>
      </c>
      <c r="F386" s="12" t="n">
        <f aca="false">Kappa*Users_x0/(Users_x0+(Kappa-Users_x0)*EXP(-Rate_r*E386))</f>
        <v>90.6337865525322</v>
      </c>
    </row>
    <row r="387" customFormat="false" ht="15" hidden="false" customHeight="false" outlineLevel="0" collapsed="false">
      <c r="A387" s="18" t="n">
        <v>357</v>
      </c>
      <c r="D387" s="12" t="n">
        <f aca="false">D386+(1/D$29)*Rate_r*D386*(1-D386/Kappa)</f>
        <v>90.6734099159467</v>
      </c>
      <c r="E387" s="15" t="n">
        <f aca="false">A387/$D$29</f>
        <v>6.86538461538462</v>
      </c>
      <c r="F387" s="12" t="n">
        <f aca="false">Kappa*Users_x0/(Users_x0+(Kappa-Users_x0)*EXP(-Rate_r*E387))</f>
        <v>90.7796810700727</v>
      </c>
    </row>
    <row r="388" customFormat="false" ht="15" hidden="false" customHeight="false" outlineLevel="0" collapsed="false">
      <c r="A388" s="18" t="n">
        <v>358</v>
      </c>
      <c r="D388" s="12" t="n">
        <f aca="false">D387+(1/D$29)*Rate_r*D387*(1-D387/Kappa)</f>
        <v>90.8197765223368</v>
      </c>
      <c r="E388" s="15" t="n">
        <f aca="false">A388/$D$29</f>
        <v>6.88461538461539</v>
      </c>
      <c r="F388" s="12" t="n">
        <f aca="false">Kappa*Users_x0/(Users_x0+(Kappa-Users_x0)*EXP(-Rate_r*E388))</f>
        <v>90.9235306187478</v>
      </c>
    </row>
    <row r="389" customFormat="false" ht="15" hidden="false" customHeight="false" outlineLevel="0" collapsed="false">
      <c r="A389" s="18" t="n">
        <v>359</v>
      </c>
      <c r="D389" s="12" t="n">
        <f aca="false">D388+(1/D$29)*Rate_r*D388*(1-D388/Kappa)</f>
        <v>90.9640786877599</v>
      </c>
      <c r="E389" s="15" t="n">
        <f aca="false">A389/$D$29</f>
        <v>6.90384615384615</v>
      </c>
      <c r="F389" s="12" t="n">
        <f aca="false">Kappa*Users_x0/(Users_x0+(Kappa-Users_x0)*EXP(-Rate_r*E389))</f>
        <v>91.0653567999454</v>
      </c>
    </row>
    <row r="390" customFormat="false" ht="15" hidden="false" customHeight="false" outlineLevel="0" collapsed="false">
      <c r="A390" s="18" t="n">
        <v>360</v>
      </c>
      <c r="D390" s="12" t="n">
        <f aca="false">D389+(1/D$29)*Rate_r*D389*(1-D389/Kappa)</f>
        <v>91.1063382707477</v>
      </c>
      <c r="E390" s="15" t="n">
        <f aca="false">A390/$D$29</f>
        <v>6.92307692307692</v>
      </c>
      <c r="F390" s="12" t="n">
        <f aca="false">Kappa*Users_x0/(Users_x0+(Kappa-Users_x0)*EXP(-Rate_r*E390))</f>
        <v>91.20518120923</v>
      </c>
    </row>
    <row r="391" customFormat="false" ht="15" hidden="false" customHeight="false" outlineLevel="0" collapsed="false">
      <c r="A391" s="18" t="n">
        <v>361</v>
      </c>
      <c r="D391" s="12" t="n">
        <f aca="false">D390+(1/D$29)*Rate_r*D390*(1-D390/Kappa)</f>
        <v>91.2465771281657</v>
      </c>
      <c r="E391" s="15" t="n">
        <f aca="false">A391/$D$29</f>
        <v>6.94230769230769</v>
      </c>
      <c r="F391" s="12" t="n">
        <f aca="false">Kappa*Users_x0/(Users_x0+(Kappa-Users_x0)*EXP(-Rate_r*E391))</f>
        <v>91.3430254280375</v>
      </c>
    </row>
    <row r="392" customFormat="false" ht="15" hidden="false" customHeight="false" outlineLevel="0" collapsed="false">
      <c r="A392" s="18" t="n">
        <v>362</v>
      </c>
      <c r="D392" s="12" t="n">
        <f aca="false">D391+(1/D$29)*Rate_r*D391*(1-D391/Kappa)</f>
        <v>91.3848171065675</v>
      </c>
      <c r="E392" s="15" t="n">
        <f aca="false">A392/$D$29</f>
        <v>6.96153846153846</v>
      </c>
      <c r="F392" s="12" t="n">
        <f aca="false">Kappa*Users_x0/(Users_x0+(Kappa-Users_x0)*EXP(-Rate_r*E392))</f>
        <v>91.4789110156397</v>
      </c>
    </row>
    <row r="393" customFormat="false" ht="15" hidden="false" customHeight="false" outlineLevel="0" collapsed="false">
      <c r="A393" s="18" t="n">
        <v>363</v>
      </c>
      <c r="D393" s="12" t="n">
        <f aca="false">D392+(1/D$29)*Rate_r*D392*(1-D392/Kappa)</f>
        <v>91.5210800338272</v>
      </c>
      <c r="E393" s="15" t="n">
        <f aca="false">A393/$D$29</f>
        <v>6.98076923076923</v>
      </c>
      <c r="F393" s="12" t="n">
        <f aca="false">Kappa*Users_x0/(Users_x0+(Kappa-Users_x0)*EXP(-Rate_r*E393))</f>
        <v>91.6128595013735</v>
      </c>
    </row>
    <row r="394" customFormat="false" ht="15" hidden="false" customHeight="false" outlineLevel="0" collapsed="false">
      <c r="A394" s="18" t="n">
        <v>364</v>
      </c>
      <c r="D394" s="12" t="n">
        <f aca="false">D393+(1/D$29)*Rate_r*D393*(1-D393/Kappa)</f>
        <v>91.6553877110468</v>
      </c>
      <c r="E394" s="15" t="n">
        <f aca="false">A394/$D$29</f>
        <v>7</v>
      </c>
      <c r="F394" s="12" t="n">
        <f aca="false">Kappa*Users_x0/(Users_x0+(Kappa-Users_x0)*EXP(-Rate_r*E394))</f>
        <v>91.7448923771335</v>
      </c>
    </row>
    <row r="395" customFormat="false" ht="15" hidden="false" customHeight="false" outlineLevel="0" collapsed="false">
      <c r="A395" s="18" t="n">
        <v>365</v>
      </c>
      <c r="D395" s="12" t="n">
        <f aca="false">D394+(1/D$29)*Rate_r*D394*(1-D394/Kappa)</f>
        <v>91.7877619047349</v>
      </c>
      <c r="E395" s="15" t="n">
        <f aca="false">A395/$D$29</f>
        <v>7.01923076923077</v>
      </c>
      <c r="F395" s="12" t="n">
        <f aca="false">Kappa*Users_x0/(Users_x0+(Kappa-Users_x0)*EXP(-Rate_r*E395))</f>
        <v>91.8750310901232</v>
      </c>
    </row>
    <row r="396" customFormat="false" ht="15" hidden="false" customHeight="false" outlineLevel="0" collapsed="false">
      <c r="A396" s="18" t="n">
        <v>366</v>
      </c>
      <c r="D396" s="12" t="n">
        <f aca="false">D395+(1/D$29)*Rate_r*D395*(1-D395/Kappa)</f>
        <v>91.918224339253</v>
      </c>
      <c r="E396" s="15" t="n">
        <f aca="false">A396/$D$29</f>
        <v>7.03846153846154</v>
      </c>
      <c r="F396" s="12" t="n">
        <f aca="false">Kappa*Users_x0/(Users_x0+(Kappa-Users_x0)*EXP(-Rate_r*E396))</f>
        <v>92.0032970358614</v>
      </c>
    </row>
    <row r="397" customFormat="false" ht="15" hidden="false" customHeight="false" outlineLevel="0" collapsed="false">
      <c r="A397" s="18" t="n">
        <v>367</v>
      </c>
      <c r="D397" s="12" t="n">
        <f aca="false">D396+(1/D$29)*Rate_r*D396*(1-D396/Kappa)</f>
        <v>92.046796689526</v>
      </c>
      <c r="E397" s="15" t="n">
        <f aca="false">A397/$D$29</f>
        <v>7.05769230769231</v>
      </c>
      <c r="F397" s="12" t="n">
        <f aca="false">Kappa*Users_x0/(Users_x0+(Kappa-Users_x0)*EXP(-Rate_r*E397))</f>
        <v>92.1297115514399</v>
      </c>
    </row>
    <row r="398" customFormat="false" ht="15" hidden="false" customHeight="false" outlineLevel="0" collapsed="false">
      <c r="A398" s="18" t="n">
        <v>368</v>
      </c>
      <c r="D398" s="12" t="n">
        <f aca="false">D397+(1/D$29)*Rate_r*D397*(1-D397/Kappa)</f>
        <v>92.1735005740134</v>
      </c>
      <c r="E398" s="15" t="n">
        <f aca="false">A398/$D$29</f>
        <v>7.07692307692308</v>
      </c>
      <c r="F398" s="12" t="n">
        <f aca="false">Kappa*Users_x0/(Users_x0+(Kappa-Users_x0)*EXP(-Rate_r*E398))</f>
        <v>92.2542959090288</v>
      </c>
    </row>
    <row r="399" customFormat="false" ht="15" hidden="false" customHeight="false" outlineLevel="0" collapsed="false">
      <c r="A399" s="18" t="n">
        <v>369</v>
      </c>
      <c r="D399" s="12" t="n">
        <f aca="false">D398+(1/D$29)*Rate_r*D398*(1-D398/Kappa)</f>
        <v>92.2983575479366</v>
      </c>
      <c r="E399" s="15" t="n">
        <f aca="false">A399/$D$29</f>
        <v>7.09615384615385</v>
      </c>
      <c r="F399" s="12" t="n">
        <f aca="false">Kappa*Users_x0/(Users_x0+(Kappa-Users_x0)*EXP(-Rate_r*E399))</f>
        <v>92.377071309625</v>
      </c>
    </row>
    <row r="400" customFormat="false" ht="15" hidden="false" customHeight="false" outlineLevel="0" collapsed="false">
      <c r="A400" s="18" t="n">
        <v>370</v>
      </c>
      <c r="D400" s="12" t="n">
        <f aca="false">D399+(1/D$29)*Rate_r*D399*(1-D399/Kappa)</f>
        <v>92.4213890967582</v>
      </c>
      <c r="E400" s="15" t="n">
        <f aca="false">A400/$D$29</f>
        <v>7.11538461538462</v>
      </c>
      <c r="F400" s="12" t="n">
        <f aca="false">Kappa*Users_x0/(Users_x0+(Kappa-Users_x0)*EXP(-Rate_r*E400))</f>
        <v>92.4980588770412</v>
      </c>
    </row>
    <row r="401" customFormat="false" ht="15" hidden="false" customHeight="false" outlineLevel="0" collapsed="false">
      <c r="A401" s="18" t="n">
        <v>371</v>
      </c>
      <c r="D401" s="12" t="n">
        <f aca="false">D400+(1/D$29)*Rate_r*D400*(1-D400/Kappa)</f>
        <v>92.5426166299103</v>
      </c>
      <c r="E401" s="15" t="n">
        <f aca="false">A401/$D$29</f>
        <v>7.13461538461539</v>
      </c>
      <c r="F401" s="12" t="n">
        <f aca="false">Kappa*Users_x0/(Users_x0+(Kappa-Users_x0)*EXP(-Rate_r*E401))</f>
        <v>92.617279652128</v>
      </c>
    </row>
    <row r="402" customFormat="false" ht="15" hidden="false" customHeight="false" outlineLevel="0" collapsed="false">
      <c r="A402" s="18" t="n">
        <v>372</v>
      </c>
      <c r="D402" s="12" t="n">
        <f aca="false">D401+(1/D$29)*Rate_r*D401*(1-D401/Kappa)</f>
        <v>92.6620614747666</v>
      </c>
      <c r="E402" s="15" t="n">
        <f aca="false">A402/$D$29</f>
        <v>7.15384615384615</v>
      </c>
      <c r="F402" s="12" t="n">
        <f aca="false">Kappa*Users_x0/(Users_x0+(Kappa-Users_x0)*EXP(-Rate_r*E402))</f>
        <v>92.7347545872295</v>
      </c>
    </row>
    <row r="403" customFormat="false" ht="15" hidden="false" customHeight="false" outlineLevel="0" collapsed="false">
      <c r="A403" s="18" t="n">
        <v>373</v>
      </c>
      <c r="D403" s="12" t="n">
        <f aca="false">D402+(1/D$29)*Rate_r*D402*(1-D402/Kappa)</f>
        <v>92.7797448708533</v>
      </c>
      <c r="E403" s="15" t="n">
        <f aca="false">A403/$D$29</f>
        <v>7.17307692307692</v>
      </c>
      <c r="F403" s="12" t="n">
        <f aca="false">Kappa*Users_x0/(Users_x0+(Kappa-Users_x0)*EXP(-Rate_r*E403))</f>
        <v>92.8505045408636</v>
      </c>
    </row>
    <row r="404" customFormat="false" ht="15" hidden="false" customHeight="false" outlineLevel="0" collapsed="false">
      <c r="A404" s="18" t="n">
        <v>374</v>
      </c>
      <c r="D404" s="12" t="n">
        <f aca="false">D403+(1/D$29)*Rate_r*D403*(1-D403/Kappa)</f>
        <v>92.8956879642968</v>
      </c>
      <c r="E404" s="15" t="n">
        <f aca="false">A404/$D$29</f>
        <v>7.19230769230769</v>
      </c>
      <c r="F404" s="12" t="n">
        <f aca="false">Kappa*Users_x0/(Users_x0+(Kappa-Users_x0)*EXP(-Rate_r*E404))</f>
        <v>92.9645502726256</v>
      </c>
    </row>
    <row r="405" customFormat="false" ht="15" hidden="false" customHeight="false" outlineLevel="0" collapsed="false">
      <c r="A405" s="18" t="n">
        <v>375</v>
      </c>
      <c r="D405" s="12" t="n">
        <f aca="false">D404+(1/D$29)*Rate_r*D404*(1-D404/Kappa)</f>
        <v>93.0099118025012</v>
      </c>
      <c r="E405" s="15" t="n">
        <f aca="false">A405/$D$29</f>
        <v>7.21153846153846</v>
      </c>
      <c r="F405" s="12" t="n">
        <f aca="false">Kappa*Users_x0/(Users_x0+(Kappa-Users_x0)*EXP(-Rate_r*E405))</f>
        <v>93.07691243831</v>
      </c>
    </row>
    <row r="406" customFormat="false" ht="15" hidden="false" customHeight="false" outlineLevel="0" collapsed="false">
      <c r="A406" s="18" t="n">
        <v>376</v>
      </c>
      <c r="D406" s="12" t="n">
        <f aca="false">D405+(1/D$29)*Rate_r*D405*(1-D405/Kappa)</f>
        <v>93.1224373290525</v>
      </c>
      <c r="E406" s="15" t="n">
        <f aca="false">A406/$D$29</f>
        <v>7.23076923076923</v>
      </c>
      <c r="F406" s="12" t="n">
        <f aca="false">Kappa*Users_x0/(Users_x0+(Kappa-Users_x0)*EXP(-Rate_r*E406))</f>
        <v>93.1876115852449</v>
      </c>
    </row>
    <row r="407" customFormat="false" ht="15" hidden="false" customHeight="false" outlineLevel="0" collapsed="false">
      <c r="A407" s="18" t="n">
        <v>377</v>
      </c>
      <c r="D407" s="12" t="n">
        <f aca="false">D406+(1/D$29)*Rate_r*D406*(1-D406/Kappa)</f>
        <v>93.2332853788451</v>
      </c>
      <c r="E407" s="15" t="n">
        <f aca="false">A407/$D$29</f>
        <v>7.25</v>
      </c>
      <c r="F407" s="12" t="n">
        <f aca="false">Kappa*Users_x0/(Users_x0+(Kappa-Users_x0)*EXP(-Rate_r*E407))</f>
        <v>93.2966681478365</v>
      </c>
    </row>
    <row r="408" customFormat="false" ht="15" hidden="false" customHeight="false" outlineLevel="0" collapsed="false">
      <c r="A408" s="18" t="n">
        <v>378</v>
      </c>
      <c r="D408" s="12" t="n">
        <f aca="false">D407+(1/D$29)*Rate_r*D407*(1-D407/Kappa)</f>
        <v>93.3424766734252</v>
      </c>
      <c r="E408" s="15" t="n">
        <f aca="false">A408/$D$29</f>
        <v>7.26923076923077</v>
      </c>
      <c r="F408" s="12" t="n">
        <f aca="false">Kappa*Users_x0/(Users_x0+(Kappa-Users_x0)*EXP(-Rate_r*E408))</f>
        <v>93.4041024433178</v>
      </c>
    </row>
    <row r="409" customFormat="false" ht="15" hidden="false" customHeight="false" outlineLevel="0" collapsed="false">
      <c r="A409" s="18" t="n">
        <v>379</v>
      </c>
      <c r="D409" s="12" t="n">
        <f aca="false">D408+(1/D$29)*Rate_r*D408*(1-D408/Kappa)</f>
        <v>93.4500318165468</v>
      </c>
      <c r="E409" s="15" t="n">
        <f aca="false">A409/$D$29</f>
        <v>7.28846153846154</v>
      </c>
      <c r="F409" s="12" t="n">
        <f aca="false">Kappa*Users_x0/(Users_x0+(Kappa-Users_x0)*EXP(-Rate_r*E409))</f>
        <v>93.5099346676976</v>
      </c>
    </row>
    <row r="410" customFormat="false" ht="15" hidden="false" customHeight="false" outlineLevel="0" collapsed="false">
      <c r="A410" s="18" t="n">
        <v>380</v>
      </c>
      <c r="D410" s="12" t="n">
        <f aca="false">D409+(1/D$29)*Rate_r*D409*(1-D409/Kappa)</f>
        <v>93.5559712899366</v>
      </c>
      <c r="E410" s="15" t="n">
        <f aca="false">A410/$D$29</f>
        <v>7.30769230769231</v>
      </c>
      <c r="F410" s="12" t="n">
        <f aca="false">Kappa*Users_x0/(Users_x0+(Kappa-Users_x0)*EXP(-Rate_r*E410))</f>
        <v>93.6141848919049</v>
      </c>
    </row>
    <row r="411" customFormat="false" ht="15" hidden="false" customHeight="false" outlineLevel="0" collapsed="false">
      <c r="A411" s="18" t="n">
        <v>381</v>
      </c>
      <c r="D411" s="12" t="n">
        <f aca="false">D410+(1/D$29)*Rate_r*D410*(1-D410/Kappa)</f>
        <v>93.6603154492618</v>
      </c>
      <c r="E411" s="15" t="n">
        <f aca="false">A411/$D$29</f>
        <v>7.32692307692308</v>
      </c>
      <c r="F411" s="12" t="n">
        <f aca="false">Kappa*Users_x0/(Users_x0+(Kappa-Users_x0)*EXP(-Rate_r*E411))</f>
        <v>93.7168730581251</v>
      </c>
    </row>
    <row r="412" customFormat="false" ht="15" hidden="false" customHeight="false" outlineLevel="0" collapsed="false">
      <c r="A412" s="18" t="n">
        <v>382</v>
      </c>
      <c r="D412" s="12" t="n">
        <f aca="false">D411+(1/D$29)*Rate_r*D411*(1-D411/Kappa)</f>
        <v>93.7630845202971</v>
      </c>
      <c r="E412" s="15" t="n">
        <f aca="false">A412/$D$29</f>
        <v>7.34615384615385</v>
      </c>
      <c r="F412" s="12" t="n">
        <f aca="false">Kappa*Users_x0/(Users_x0+(Kappa-Users_x0)*EXP(-Rate_r*E412))</f>
        <v>93.8180189763223</v>
      </c>
    </row>
    <row r="413" customFormat="false" ht="15" hidden="false" customHeight="false" outlineLevel="0" collapsed="false">
      <c r="A413" s="18" t="n">
        <v>383</v>
      </c>
      <c r="D413" s="12" t="n">
        <f aca="false">D412+(1/D$29)*Rate_r*D412*(1-D412/Kappa)</f>
        <v>93.8642985952861</v>
      </c>
      <c r="E413" s="15" t="n">
        <f aca="false">A413/$D$29</f>
        <v>7.36538461538462</v>
      </c>
      <c r="F413" s="12" t="n">
        <f aca="false">Kappa*Users_x0/(Users_x0+(Kappa-Users_x0)*EXP(-Rate_r*E413))</f>
        <v>93.9176423209444</v>
      </c>
    </row>
    <row r="414" customFormat="false" ht="15" hidden="false" customHeight="false" outlineLevel="0" collapsed="false">
      <c r="A414" s="18" t="n">
        <v>384</v>
      </c>
      <c r="D414" s="12" t="n">
        <f aca="false">D413+(1/D$29)*Rate_r*D413*(1-D413/Kappa)</f>
        <v>93.9639776294917</v>
      </c>
      <c r="E414" s="15" t="n">
        <f aca="false">A414/$D$29</f>
        <v>7.38461538461539</v>
      </c>
      <c r="F414" s="12" t="n">
        <f aca="false">Kappa*Users_x0/(Users_x0+(Kappa-Users_x0)*EXP(-Rate_r*E414))</f>
        <v>94.0157626278057</v>
      </c>
    </row>
    <row r="415" customFormat="false" ht="15" hidden="false" customHeight="false" outlineLevel="0" collapsed="false">
      <c r="A415" s="18" t="n">
        <v>385</v>
      </c>
      <c r="D415" s="12" t="n">
        <f aca="false">D414+(1/D$29)*Rate_r*D414*(1-D414/Kappa)</f>
        <v>94.0621414379329</v>
      </c>
      <c r="E415" s="15" t="n">
        <f aca="false">A415/$D$29</f>
        <v>7.40384615384615</v>
      </c>
      <c r="F415" s="12" t="n">
        <f aca="false">Kappa*Users_x0/(Users_x0+(Kappa-Users_x0)*EXP(-Rate_r*E415))</f>
        <v>94.1123992911427</v>
      </c>
    </row>
    <row r="416" customFormat="false" ht="15" hidden="false" customHeight="false" outlineLevel="0" collapsed="false">
      <c r="A416" s="18" t="n">
        <v>386</v>
      </c>
      <c r="D416" s="12" t="n">
        <f aca="false">D415+(1/D$29)*Rate_r*D415*(1-D415/Kappa)</f>
        <v>94.1588096923008</v>
      </c>
      <c r="E416" s="15" t="n">
        <f aca="false">A416/$D$29</f>
        <v>7.42307692307692</v>
      </c>
      <c r="F416" s="12" t="n">
        <f aca="false">Kappa*Users_x0/(Users_x0+(Kappa-Users_x0)*EXP(-Rate_r*E416))</f>
        <v>94.2075715608396</v>
      </c>
    </row>
    <row r="417" customFormat="false" ht="15" hidden="false" customHeight="false" outlineLevel="0" collapsed="false">
      <c r="A417" s="18" t="n">
        <v>387</v>
      </c>
      <c r="D417" s="12" t="n">
        <f aca="false">D416+(1/D$29)*Rate_r*D416*(1-D416/Kappa)</f>
        <v>94.2540019180514</v>
      </c>
      <c r="E417" s="15" t="n">
        <f aca="false">A417/$D$29</f>
        <v>7.44230769230769</v>
      </c>
      <c r="F417" s="12" t="n">
        <f aca="false">Kappa*Users_x0/(Users_x0+(Kappa-Users_x0)*EXP(-Rate_r*E417))</f>
        <v>94.3012985398174</v>
      </c>
    </row>
    <row r="418" customFormat="false" ht="15" hidden="false" customHeight="false" outlineLevel="0" collapsed="false">
      <c r="A418" s="18" t="n">
        <v>388</v>
      </c>
      <c r="D418" s="12" t="n">
        <f aca="false">D417+(1/D$29)*Rate_r*D417*(1-D417/Kappa)</f>
        <v>94.3477374916694</v>
      </c>
      <c r="E418" s="15" t="n">
        <f aca="false">A418/$D$29</f>
        <v>7.46153846153846</v>
      </c>
      <c r="F418" s="12" t="n">
        <f aca="false">Kappa*Users_x0/(Users_x0+(Kappa-Users_x0)*EXP(-Rate_r*E418))</f>
        <v>94.393599181584</v>
      </c>
    </row>
    <row r="419" customFormat="false" ht="15" hidden="false" customHeight="false" outlineLevel="0" collapsed="false">
      <c r="A419" s="18" t="n">
        <v>389</v>
      </c>
      <c r="D419" s="12" t="n">
        <f aca="false">D418+(1/D$29)*Rate_r*D418*(1-D418/Kappa)</f>
        <v>94.4400356380988</v>
      </c>
      <c r="E419" s="15" t="n">
        <f aca="false">A419/$D$29</f>
        <v>7.48076923076923</v>
      </c>
      <c r="F419" s="12" t="n">
        <f aca="false">Kappa*Users_x0/(Users_x0+(Kappa-Users_x0)*EXP(-Rate_r*E419))</f>
        <v>94.4844922879398</v>
      </c>
    </row>
    <row r="420" customFormat="false" ht="15" hidden="false" customHeight="false" outlineLevel="0" collapsed="false">
      <c r="A420" s="18" t="n">
        <v>390</v>
      </c>
      <c r="D420" s="12" t="n">
        <f aca="false">D419+(1/D$29)*Rate_r*D419*(1-D419/Kappa)</f>
        <v>94.5309154283365</v>
      </c>
      <c r="E420" s="15" t="n">
        <f aca="false">A420/$D$29</f>
        <v>7.5</v>
      </c>
      <c r="F420" s="12" t="n">
        <f aca="false">Kappa*Users_x0/(Users_x0+(Kappa-Users_x0)*EXP(-Rate_r*E420))</f>
        <v>94.5739965068352</v>
      </c>
    </row>
    <row r="421" customFormat="false" ht="15" hidden="false" customHeight="false" outlineLevel="0" collapsed="false">
      <c r="A421" s="18" t="n">
        <v>391</v>
      </c>
      <c r="D421" s="12" t="n">
        <f aca="false">D420+(1/D$29)*Rate_r*D420*(1-D420/Kappa)</f>
        <v>94.6203957771832</v>
      </c>
      <c r="E421" s="15" t="n">
        <f aca="false">A421/$D$29</f>
        <v>7.51923076923077</v>
      </c>
      <c r="F421" s="12" t="n">
        <f aca="false">Kappa*Users_x0/(Users_x0+(Kappa-Users_x0)*EXP(-Rate_r*E421))</f>
        <v>94.6621303303752</v>
      </c>
    </row>
    <row r="422" customFormat="false" ht="15" hidden="false" customHeight="false" outlineLevel="0" collapsed="false">
      <c r="A422" s="18" t="n">
        <v>392</v>
      </c>
      <c r="D422" s="12" t="n">
        <f aca="false">D421+(1/D$29)*Rate_r*D421*(1-D421/Kappa)</f>
        <v>94.7084954411484</v>
      </c>
      <c r="E422" s="15" t="n">
        <f aca="false">A422/$D$29</f>
        <v>7.53846153846154</v>
      </c>
      <c r="F422" s="12" t="n">
        <f aca="false">Kappa*Users_x0/(Users_x0+(Kappa-Users_x0)*EXP(-Rate_r*E422))</f>
        <v>94.7489120929678</v>
      </c>
    </row>
    <row r="423" customFormat="false" ht="15" hidden="false" customHeight="false" outlineLevel="0" collapsed="false">
      <c r="A423" s="18" t="n">
        <v>393</v>
      </c>
      <c r="D423" s="12" t="n">
        <f aca="false">D422+(1/D$29)*Rate_r*D422*(1-D422/Kappa)</f>
        <v>94.7952330165041</v>
      </c>
      <c r="E423" s="15" t="n">
        <f aca="false">A423/$D$29</f>
        <v>7.55769230769231</v>
      </c>
      <c r="F423" s="12" t="n">
        <f aca="false">Kappa*Users_x0/(Users_x0+(Kappa-Users_x0)*EXP(-Rate_r*E423))</f>
        <v>94.8343599696104</v>
      </c>
    </row>
    <row r="424" customFormat="false" ht="15" hidden="false" customHeight="false" outlineLevel="0" collapsed="false">
      <c r="A424" s="18" t="n">
        <v>394</v>
      </c>
      <c r="D424" s="12" t="n">
        <f aca="false">D423+(1/D$29)*Rate_r*D423*(1-D423/Kappa)</f>
        <v>94.8806269374844</v>
      </c>
      <c r="E424" s="15" t="n">
        <f aca="false">A424/$D$29</f>
        <v>7.57692307692308</v>
      </c>
      <c r="F424" s="12" t="n">
        <f aca="false">Kappa*Users_x0/(Users_x0+(Kappa-Users_x0)*EXP(-Rate_r*E424))</f>
        <v>94.9184919743126</v>
      </c>
    </row>
    <row r="425" customFormat="false" ht="15" hidden="false" customHeight="false" outlineLevel="0" collapsed="false">
      <c r="A425" s="18" t="n">
        <v>395</v>
      </c>
      <c r="D425" s="12" t="n">
        <f aca="false">D424+(1/D$29)*Rate_r*D424*(1-D424/Kappa)</f>
        <v>94.9646954746245</v>
      </c>
      <c r="E425" s="15" t="n">
        <f aca="false">A425/$D$29</f>
        <v>7.59615384615385</v>
      </c>
      <c r="F425" s="12" t="n">
        <f aca="false">Kappa*Users_x0/(Users_x0+(Kappa-Users_x0)*EXP(-Rate_r*E425))</f>
        <v>95.001325958649</v>
      </c>
    </row>
    <row r="426" customFormat="false" ht="15" hidden="false" customHeight="false" outlineLevel="0" collapsed="false">
      <c r="A426" s="18" t="n">
        <v>396</v>
      </c>
      <c r="D426" s="12" t="n">
        <f aca="false">D425+(1/D$29)*Rate_r*D425*(1-D425/Kappa)</f>
        <v>95.0474567332373</v>
      </c>
      <c r="E426" s="15" t="n">
        <f aca="false">A426/$D$29</f>
        <v>7.61538461538462</v>
      </c>
      <c r="F426" s="12" t="n">
        <f aca="false">Kappa*Users_x0/(Users_x0+(Kappa-Users_x0)*EXP(-Rate_r*E426))</f>
        <v>95.082879610439</v>
      </c>
    </row>
    <row r="427" customFormat="false" ht="15" hidden="false" customHeight="false" outlineLevel="0" collapsed="false">
      <c r="A427" s="18" t="n">
        <v>397</v>
      </c>
      <c r="D427" s="12" t="n">
        <f aca="false">D426+(1/D$29)*Rate_r*D426*(1-D426/Kappa)</f>
        <v>95.128928652022</v>
      </c>
      <c r="E427" s="15" t="n">
        <f aca="false">A427/$D$29</f>
        <v>7.63461538461539</v>
      </c>
      <c r="F427" s="12" t="n">
        <f aca="false">Kappa*Users_x0/(Users_x0+(Kappa-Users_x0)*EXP(-Rate_r*E427))</f>
        <v>95.1631704525503</v>
      </c>
    </row>
    <row r="428" customFormat="false" ht="15" hidden="false" customHeight="false" outlineLevel="0" collapsed="false">
      <c r="A428" s="18" t="n">
        <v>398</v>
      </c>
      <c r="D428" s="12" t="n">
        <f aca="false">D427+(1/D$29)*Rate_r*D427*(1-D427/Kappa)</f>
        <v>95.2091290018006</v>
      </c>
      <c r="E428" s="15" t="n">
        <f aca="false">A428/$D$29</f>
        <v>7.65384615384615</v>
      </c>
      <c r="F428" s="12" t="n">
        <f aca="false">Kappa*Users_x0/(Users_x0+(Kappa-Users_x0)*EXP(-Rate_r*E428))</f>
        <v>95.2422158418211</v>
      </c>
    </row>
    <row r="429" customFormat="false" ht="15" hidden="false" customHeight="false" outlineLevel="0" collapsed="false">
      <c r="A429" s="18" t="n">
        <v>399</v>
      </c>
      <c r="D429" s="12" t="n">
        <f aca="false">D428+(1/D$29)*Rate_r*D428*(1-D428/Kappa)</f>
        <v>95.2880753843792</v>
      </c>
      <c r="E429" s="15" t="n">
        <f aca="false">A429/$D$29</f>
        <v>7.67307692307692</v>
      </c>
      <c r="F429" s="12" t="n">
        <f aca="false">Kappa*Users_x0/(Users_x0+(Kappa-Users_x0)*EXP(-Rate_r*E429))</f>
        <v>95.3200329680975</v>
      </c>
    </row>
    <row r="430" customFormat="false" ht="15" hidden="false" customHeight="false" outlineLevel="0" collapsed="false">
      <c r="A430" s="18" t="n">
        <v>400</v>
      </c>
      <c r="D430" s="12" t="n">
        <f aca="false">D429+(1/D$29)*Rate_r*D429*(1-D429/Kappa)</f>
        <v>95.3657852315294</v>
      </c>
      <c r="E430" s="15" t="n">
        <f aca="false">A430/$D$29</f>
        <v>7.69230769230769</v>
      </c>
      <c r="F430" s="12" t="n">
        <f aca="false">Kappa*Users_x0/(Users_x0+(Kappa-Users_x0)*EXP(-Rate_r*E430))</f>
        <v>95.3966388533837</v>
      </c>
    </row>
    <row r="431" customFormat="false" ht="15" hidden="false" customHeight="false" outlineLevel="0" collapsed="false">
      <c r="A431" s="18" t="n">
        <v>401</v>
      </c>
      <c r="D431" s="12" t="n">
        <f aca="false">D430+(1/D$29)*Rate_r*D430*(1-D430/Kappa)</f>
        <v>95.4422758040859</v>
      </c>
      <c r="E431" s="15" t="n">
        <f aca="false">A431/$D$29</f>
        <v>7.71153846153846</v>
      </c>
      <c r="F431" s="12" t="n">
        <f aca="false">Kappa*Users_x0/(Users_x0+(Kappa-Users_x0)*EXP(-Rate_r*E431))</f>
        <v>95.4720503510983</v>
      </c>
    </row>
    <row r="432" customFormat="false" ht="15" hidden="false" customHeight="false" outlineLevel="0" collapsed="false">
      <c r="A432" s="18" t="n">
        <v>402</v>
      </c>
      <c r="D432" s="12" t="n">
        <f aca="false">D431+(1/D$29)*Rate_r*D431*(1-D431/Kappa)</f>
        <v>95.5175641911572</v>
      </c>
      <c r="E432" s="15" t="n">
        <f aca="false">A432/$D$29</f>
        <v>7.73076923076923</v>
      </c>
      <c r="F432" s="12" t="n">
        <f aca="false">Kappa*Users_x0/(Users_x0+(Kappa-Users_x0)*EXP(-Rate_r*E432))</f>
        <v>95.5462841454368</v>
      </c>
    </row>
    <row r="433" customFormat="false" ht="15" hidden="false" customHeight="false" outlineLevel="0" collapsed="false">
      <c r="A433" s="18" t="n">
        <v>403</v>
      </c>
      <c r="D433" s="12" t="n">
        <f aca="false">D432+(1/D$29)*Rate_r*D432*(1-D432/Kappa)</f>
        <v>95.5916673094445</v>
      </c>
      <c r="E433" s="15" t="n">
        <f aca="false">A433/$D$29</f>
        <v>7.75</v>
      </c>
      <c r="F433" s="12" t="n">
        <f aca="false">Kappa*Users_x0/(Users_x0+(Kappa-Users_x0)*EXP(-Rate_r*E433))</f>
        <v>95.6193567508342</v>
      </c>
    </row>
    <row r="434" customFormat="false" ht="15" hidden="false" customHeight="false" outlineLevel="0" collapsed="false">
      <c r="A434" s="18" t="n">
        <v>404</v>
      </c>
      <c r="D434" s="12" t="n">
        <f aca="false">D433+(1/D$29)*Rate_r*D433*(1-D433/Kappa)</f>
        <v>95.6646019026657</v>
      </c>
      <c r="E434" s="15" t="n">
        <f aca="false">A434/$D$29</f>
        <v>7.76923076923077</v>
      </c>
      <c r="F434" s="12" t="n">
        <f aca="false">Kappa*Users_x0/(Users_x0+(Kappa-Users_x0)*EXP(-Rate_r*E434))</f>
        <v>95.6912845115242</v>
      </c>
    </row>
    <row r="435" customFormat="false" ht="15" hidden="false" customHeight="false" outlineLevel="0" collapsed="false">
      <c r="A435" s="18" t="n">
        <v>405</v>
      </c>
      <c r="D435" s="12" t="n">
        <f aca="false">D434+(1/D$29)*Rate_r*D434*(1-D434/Kappa)</f>
        <v>95.7363845410818</v>
      </c>
      <c r="E435" s="15" t="n">
        <f aca="false">A435/$D$29</f>
        <v>7.78846153846154</v>
      </c>
      <c r="F435" s="12" t="n">
        <f aca="false">Kappa*Users_x0/(Users_x0+(Kappa-Users_x0)*EXP(-Rate_r*E435))</f>
        <v>95.7620836011941</v>
      </c>
    </row>
    <row r="436" customFormat="false" ht="15" hidden="false" customHeight="false" outlineLevel="0" collapsed="false">
      <c r="A436" s="18" t="n">
        <v>406</v>
      </c>
      <c r="D436" s="12" t="n">
        <f aca="false">D435+(1/D$29)*Rate_r*D435*(1-D435/Kappa)</f>
        <v>95.8070316211201</v>
      </c>
      <c r="E436" s="15" t="n">
        <f aca="false">A436/$D$29</f>
        <v>7.80769230769231</v>
      </c>
      <c r="F436" s="12" t="n">
        <f aca="false">Kappa*Users_x0/(Users_x0+(Kappa-Users_x0)*EXP(-Rate_r*E436))</f>
        <v>95.8317700227283</v>
      </c>
    </row>
    <row r="437" customFormat="false" ht="15" hidden="false" customHeight="false" outlineLevel="0" collapsed="false">
      <c r="A437" s="18" t="n">
        <v>407</v>
      </c>
      <c r="D437" s="12" t="n">
        <f aca="false">D436+(1/D$29)*Rate_r*D436*(1-D436/Kappa)</f>
        <v>95.8765593650924</v>
      </c>
      <c r="E437" s="15" t="n">
        <f aca="false">A437/$D$29</f>
        <v>7.82692307692308</v>
      </c>
      <c r="F437" s="12" t="n">
        <f aca="false">Kappa*Users_x0/(Users_x0+(Kappa-Users_x0)*EXP(-Rate_r*E437))</f>
        <v>95.9003596080406</v>
      </c>
    </row>
    <row r="438" customFormat="false" ht="15" hidden="false" customHeight="false" outlineLevel="0" collapsed="false">
      <c r="A438" s="18" t="n">
        <v>408</v>
      </c>
      <c r="D438" s="12" t="n">
        <f aca="false">D437+(1/D$29)*Rate_r*D437*(1-D437/Kappa)</f>
        <v>95.9449838210037</v>
      </c>
      <c r="E438" s="15" t="n">
        <f aca="false">A438/$D$29</f>
        <v>7.84615384615385</v>
      </c>
      <c r="F438" s="12" t="n">
        <f aca="false">Kappa*Users_x0/(Users_x0+(Kappa-Users_x0)*EXP(-Rate_r*E438))</f>
        <v>95.9678680179899</v>
      </c>
    </row>
    <row r="439" customFormat="false" ht="15" hidden="false" customHeight="false" outlineLevel="0" collapsed="false">
      <c r="A439" s="18" t="n">
        <v>409</v>
      </c>
      <c r="D439" s="12" t="n">
        <f aca="false">D438+(1/D$29)*Rate_r*D438*(1-D438/Kappa)</f>
        <v>96.0123208624497</v>
      </c>
      <c r="E439" s="15" t="n">
        <f aca="false">A439/$D$29</f>
        <v>7.86538461538462</v>
      </c>
      <c r="F439" s="12" t="n">
        <f aca="false">Kappa*Users_x0/(Users_x0+(Kappa-Users_x0)*EXP(-Rate_r*E439))</f>
        <v>96.0343107423769</v>
      </c>
    </row>
    <row r="440" customFormat="false" ht="15" hidden="false" customHeight="false" outlineLevel="0" collapsed="false">
      <c r="A440" s="18" t="n">
        <v>410</v>
      </c>
      <c r="D440" s="12" t="n">
        <f aca="false">D439+(1/D$29)*Rate_r*D439*(1-D439/Kappa)</f>
        <v>96.0785861885969</v>
      </c>
      <c r="E440" s="15" t="n">
        <f aca="false">A440/$D$29</f>
        <v>7.88461538461539</v>
      </c>
      <c r="F440" s="12" t="n">
        <f aca="false">Kappa*Users_x0/(Users_x0+(Kappa-Users_x0)*EXP(-Rate_r*E440))</f>
        <v>96.0997031000187</v>
      </c>
    </row>
    <row r="441" customFormat="false" ht="15" hidden="false" customHeight="false" outlineLevel="0" collapsed="false">
      <c r="A441" s="18" t="n">
        <v>411</v>
      </c>
      <c r="D441" s="12" t="n">
        <f aca="false">D440+(1/D$29)*Rate_r*D440*(1-D440/Kappa)</f>
        <v>96.1437953242458</v>
      </c>
      <c r="E441" s="15" t="n">
        <f aca="false">A441/$D$29</f>
        <v>7.90384615384615</v>
      </c>
      <c r="F441" s="12" t="n">
        <f aca="false">Kappa*Users_x0/(Users_x0+(Kappa-Users_x0)*EXP(-Rate_r*E441))</f>
        <v>96.1640602388987</v>
      </c>
    </row>
    <row r="442" customFormat="false" ht="15" hidden="false" customHeight="false" outlineLevel="0" collapsed="false">
      <c r="A442" s="18" t="n">
        <v>412</v>
      </c>
      <c r="D442" s="12" t="n">
        <f aca="false">D441+(1/D$29)*Rate_r*D441*(1-D441/Kappa)</f>
        <v>96.2079636199702</v>
      </c>
      <c r="E442" s="15" t="n">
        <f aca="false">A442/$D$29</f>
        <v>7.92307692307692</v>
      </c>
      <c r="F442" s="12" t="n">
        <f aca="false">Kappa*Users_x0/(Users_x0+(Kappa-Users_x0)*EXP(-Rate_r*E442))</f>
        <v>96.2273971363875</v>
      </c>
    </row>
    <row r="443" customFormat="false" ht="15" hidden="false" customHeight="false" outlineLevel="0" collapsed="false">
      <c r="A443" s="18" t="n">
        <v>413</v>
      </c>
      <c r="D443" s="12" t="n">
        <f aca="false">D442+(1/D$29)*Rate_r*D442*(1-D442/Kappa)</f>
        <v>96.2711062523329</v>
      </c>
      <c r="E443" s="15" t="n">
        <f aca="false">A443/$D$29</f>
        <v>7.94230769230769</v>
      </c>
      <c r="F443" s="12" t="n">
        <f aca="false">Kappa*Users_x0/(Users_x0+(Kappa-Users_x0)*EXP(-Rate_r*E443))</f>
        <v>96.2897285995339</v>
      </c>
    </row>
    <row r="444" customFormat="false" ht="15" hidden="false" customHeight="false" outlineLevel="0" collapsed="false">
      <c r="A444" s="18" t="n">
        <v>414</v>
      </c>
      <c r="D444" s="12" t="n">
        <f aca="false">D443+(1/D$29)*Rate_r*D443*(1-D443/Kappa)</f>
        <v>96.3332382241726</v>
      </c>
      <c r="E444" s="15" t="n">
        <f aca="false">A444/$D$29</f>
        <v>7.96153846153846</v>
      </c>
      <c r="F444" s="12" t="n">
        <f aca="false">Kappa*Users_x0/(Users_x0+(Kappa-Users_x0)*EXP(-Rate_r*E444))</f>
        <v>96.3510692654213</v>
      </c>
    </row>
    <row r="445" customFormat="false" ht="15" hidden="false" customHeight="false" outlineLevel="0" collapsed="false">
      <c r="A445" s="18" t="n">
        <v>415</v>
      </c>
      <c r="D445" s="12" t="n">
        <f aca="false">D444+(1/D$29)*Rate_r*D444*(1-D444/Kappa)</f>
        <v>96.3943743649603</v>
      </c>
      <c r="E445" s="15" t="n">
        <f aca="false">A445/$D$29</f>
        <v>7.98076923076923</v>
      </c>
      <c r="F445" s="12" t="n">
        <f aca="false">Kappa*Users_x0/(Users_x0+(Kappa-Users_x0)*EXP(-Rate_r*E445))</f>
        <v>96.411433601588</v>
      </c>
    </row>
    <row r="446" customFormat="false" ht="15" hidden="false" customHeight="false" outlineLevel="0" collapsed="false">
      <c r="A446" s="18" t="n">
        <v>416</v>
      </c>
      <c r="D446" s="12" t="n">
        <f aca="false">D445+(1/D$29)*Rate_r*D445*(1-D445/Kappa)</f>
        <v>96.454529331221</v>
      </c>
      <c r="E446" s="15" t="n">
        <f aca="false">A446/$D$29</f>
        <v>8</v>
      </c>
      <c r="F446" s="12" t="n">
        <f aca="false">Kappa*Users_x0/(Users_x0+(Kappa-Users_x0)*EXP(-Rate_r*E446))</f>
        <v>96.4708359065083</v>
      </c>
    </row>
    <row r="447" customFormat="false" ht="15" hidden="false" customHeight="false" outlineLevel="0" collapsed="false">
      <c r="A447" s="18" t="n">
        <v>417</v>
      </c>
      <c r="D447" s="12" t="n">
        <f aca="false">D446+(1/D$29)*Rate_r*D446*(1-D446/Kappa)</f>
        <v>96.5137176070197</v>
      </c>
      <c r="E447" s="15" t="n">
        <f aca="false">A447/$D$29</f>
        <v>8.01923076923077</v>
      </c>
      <c r="F447" s="12" t="n">
        <f aca="false">Kappa*Users_x0/(Users_x0+(Kappa-Users_x0)*EXP(-Rate_r*E447))</f>
        <v>96.529290310132</v>
      </c>
    </row>
    <row r="448" customFormat="false" ht="15" hidden="false" customHeight="false" outlineLevel="0" collapsed="false">
      <c r="A448" s="18" t="n">
        <v>418</v>
      </c>
      <c r="D448" s="12" t="n">
        <f aca="false">D447+(1/D$29)*Rate_r*D447*(1-D447/Kappa)</f>
        <v>96.5719535045076</v>
      </c>
      <c r="E448" s="15" t="n">
        <f aca="false">A448/$D$29</f>
        <v>8.03846153846154</v>
      </c>
      <c r="F448" s="12" t="n">
        <f aca="false">Kappa*Users_x0/(Users_x0+(Kappa-Users_x0)*EXP(-Rate_r*E448))</f>
        <v>96.586810774479</v>
      </c>
    </row>
    <row r="449" customFormat="false" ht="15" hidden="false" customHeight="false" outlineLevel="0" collapsed="false">
      <c r="A449" s="18" t="n">
        <v>419</v>
      </c>
      <c r="D449" s="12" t="n">
        <f aca="false">D448+(1/D$29)*Rate_r*D448*(1-D448/Kappa)</f>
        <v>96.6292511645261</v>
      </c>
      <c r="E449" s="15" t="n">
        <f aca="false">A449/$D$29</f>
        <v>8.05769230769231</v>
      </c>
      <c r="F449" s="12" t="n">
        <f aca="false">Kappa*Users_x0/(Users_x0+(Kappa-Users_x0)*EXP(-Rate_r*E449))</f>
        <v>96.643411094288</v>
      </c>
    </row>
    <row r="450" customFormat="false" ht="15" hidden="false" customHeight="false" outlineLevel="0" collapsed="false">
      <c r="A450" s="18" t="n">
        <v>420</v>
      </c>
      <c r="D450" s="12" t="n">
        <f aca="false">D449+(1/D$29)*Rate_r*D449*(1-D449/Kappa)</f>
        <v>96.6856245572669</v>
      </c>
      <c r="E450" s="15" t="n">
        <f aca="false">A450/$D$29</f>
        <v>8.07692307692308</v>
      </c>
      <c r="F450" s="12" t="n">
        <f aca="false">Kappa*Users_x0/(Users_x0+(Kappa-Users_x0)*EXP(-Rate_r*E450))</f>
        <v>96.699104897715</v>
      </c>
    </row>
    <row r="451" customFormat="false" ht="15" hidden="false" customHeight="false" outlineLevel="0" collapsed="false">
      <c r="A451" s="18" t="n">
        <v>421</v>
      </c>
      <c r="D451" s="12" t="n">
        <f aca="false">D450+(1/D$29)*Rate_r*D450*(1-D450/Kappa)</f>
        <v>96.7410874829838</v>
      </c>
      <c r="E451" s="15" t="n">
        <f aca="false">A451/$D$29</f>
        <v>8.09615384615385</v>
      </c>
      <c r="F451" s="12" t="n">
        <f aca="false">Kappa*Users_x0/(Users_x0+(Kappa-Users_x0)*EXP(-Rate_r*E451))</f>
        <v>96.7539056470813</v>
      </c>
    </row>
    <row r="452" customFormat="false" ht="15" hidden="false" customHeight="false" outlineLevel="0" collapsed="false">
      <c r="A452" s="18" t="n">
        <v>422</v>
      </c>
      <c r="D452" s="12" t="n">
        <f aca="false">D451+(1/D$29)*Rate_r*D451*(1-D451/Kappa)</f>
        <v>96.7956535727564</v>
      </c>
      <c r="E452" s="15" t="n">
        <f aca="false">A452/$D$29</f>
        <v>8.11538461538462</v>
      </c>
      <c r="F452" s="12" t="n">
        <f aca="false">Kappa*Users_x0/(Users_x0+(Kappa-Users_x0)*EXP(-Rate_r*E452))</f>
        <v>96.8078266396669</v>
      </c>
    </row>
    <row r="453" customFormat="false" ht="15" hidden="false" customHeight="false" outlineLevel="0" collapsed="false">
      <c r="A453" s="18" t="n">
        <v>423</v>
      </c>
      <c r="D453" s="12" t="n">
        <f aca="false">D452+(1/D$29)*Rate_r*D452*(1-D452/Kappa)</f>
        <v>96.8493362893004</v>
      </c>
      <c r="E453" s="15" t="n">
        <f aca="false">A453/$D$29</f>
        <v>8.13461538461539</v>
      </c>
      <c r="F453" s="12" t="n">
        <f aca="false">Kappa*Users_x0/(Users_x0+(Kappa-Users_x0)*EXP(-Rate_r*E453))</f>
        <v>96.860881008548</v>
      </c>
    </row>
    <row r="454" customFormat="false" ht="15" hidden="false" customHeight="false" outlineLevel="0" collapsed="false">
      <c r="A454" s="18" t="n">
        <v>424</v>
      </c>
      <c r="D454" s="12" t="n">
        <f aca="false">D453+(1/D$29)*Rate_r*D453*(1-D453/Kappa)</f>
        <v>96.9021489278248</v>
      </c>
      <c r="E454" s="15" t="n">
        <f aca="false">A454/$D$29</f>
        <v>8.15384615384615</v>
      </c>
      <c r="F454" s="12" t="n">
        <f aca="false">Kappa*Users_x0/(Users_x0+(Kappa-Users_x0)*EXP(-Rate_r*E454))</f>
        <v>96.9130817234769</v>
      </c>
    </row>
    <row r="455" customFormat="false" ht="15" hidden="false" customHeight="false" outlineLevel="0" collapsed="false">
      <c r="A455" s="18" t="n">
        <v>425</v>
      </c>
      <c r="D455" s="12" t="n">
        <f aca="false">D454+(1/D$29)*Rate_r*D454*(1-D454/Kappa)</f>
        <v>96.9541046169319</v>
      </c>
      <c r="E455" s="15" t="n">
        <f aca="false">A455/$D$29</f>
        <v>8.17307692307692</v>
      </c>
      <c r="F455" s="12" t="n">
        <f aca="false">Kappa*Users_x0/(Users_x0+(Kappa-Users_x0)*EXP(-Rate_r*E455))</f>
        <v>96.9644415918006</v>
      </c>
    </row>
    <row r="456" customFormat="false" ht="15" hidden="false" customHeight="false" outlineLevel="0" collapsed="false">
      <c r="A456" s="18" t="n">
        <v>426</v>
      </c>
      <c r="D456" s="12" t="n">
        <f aca="false">D455+(1/D$29)*Rate_r*D455*(1-D455/Kappa)</f>
        <v>97.0052163195588</v>
      </c>
      <c r="E456" s="15" t="n">
        <f aca="false">A456/$D$29</f>
        <v>8.19230769230769</v>
      </c>
      <c r="F456" s="12" t="n">
        <f aca="false">Kappa*Users_x0/(Users_x0+(Kappa-Users_x0)*EXP(-Rate_r*E456))</f>
        <v>97.0149732594178</v>
      </c>
    </row>
    <row r="457" customFormat="false" ht="15" hidden="false" customHeight="false" outlineLevel="0" collapsed="false">
      <c r="A457" s="18" t="n">
        <v>427</v>
      </c>
      <c r="D457" s="12" t="n">
        <f aca="false">D456+(1/D$29)*Rate_r*D456*(1-D456/Kappa)</f>
        <v>97.0554968339581</v>
      </c>
      <c r="E457" s="15" t="n">
        <f aca="false">A457/$D$29</f>
        <v>8.21153846153846</v>
      </c>
      <c r="F457" s="12" t="n">
        <f aca="false">Kappa*Users_x0/(Users_x0+(Kappa-Users_x0)*EXP(-Rate_r*E457))</f>
        <v>97.0646892117718</v>
      </c>
    </row>
    <row r="458" customFormat="false" ht="15" hidden="false" customHeight="false" outlineLevel="0" collapsed="false">
      <c r="A458" s="18" t="n">
        <v>428</v>
      </c>
      <c r="D458" s="12" t="n">
        <f aca="false">D457+(1/D$29)*Rate_r*D457*(1-D457/Kappa)</f>
        <v>97.1049587947155</v>
      </c>
      <c r="E458" s="15" t="n">
        <f aca="false">A458/$D$29</f>
        <v>8.23076923076923</v>
      </c>
      <c r="F458" s="12" t="n">
        <f aca="false">Kappa*Users_x0/(Users_x0+(Kappa-Users_x0)*EXP(-Rate_r*E458))</f>
        <v>97.1136017748759</v>
      </c>
    </row>
    <row r="459" customFormat="false" ht="15" hidden="false" customHeight="false" outlineLevel="0" collapsed="false">
      <c r="A459" s="18" t="n">
        <v>429</v>
      </c>
      <c r="D459" s="12" t="n">
        <f aca="false">D458+(1/D$29)*Rate_r*D458*(1-D458/Kappa)</f>
        <v>97.1536146738027</v>
      </c>
      <c r="E459" s="15" t="n">
        <f aca="false">A459/$D$29</f>
        <v>8.25</v>
      </c>
      <c r="F459" s="12" t="n">
        <f aca="false">Kappa*Users_x0/(Users_x0+(Kappa-Users_x0)*EXP(-Rate_r*E459))</f>
        <v>97.1617231163722</v>
      </c>
    </row>
    <row r="460" customFormat="false" ht="15" hidden="false" customHeight="false" outlineLevel="0" collapsed="false">
      <c r="A460" s="18" t="n">
        <v>430</v>
      </c>
      <c r="D460" s="12" t="n">
        <f aca="false">D459+(1/D$29)*Rate_r*D459*(1-D459/Kappa)</f>
        <v>97.2014767816633</v>
      </c>
      <c r="E460" s="15" t="n">
        <f aca="false">A460/$D$29</f>
        <v>8.26923076923077</v>
      </c>
      <c r="F460" s="12" t="n">
        <f aca="false">Kappa*Users_x0/(Users_x0+(Kappa-Users_x0)*EXP(-Rate_r*E460))</f>
        <v>97.20906524662</v>
      </c>
    </row>
    <row r="461" customFormat="false" ht="15" hidden="false" customHeight="false" outlineLevel="0" collapsed="false">
      <c r="A461" s="18" t="n">
        <v>431</v>
      </c>
      <c r="D461" s="12" t="n">
        <f aca="false">D460+(1/D$29)*Rate_r*D460*(1-D460/Kappa)</f>
        <v>97.24855726833</v>
      </c>
      <c r="E461" s="15" t="n">
        <f aca="false">A461/$D$29</f>
        <v>8.28846153846154</v>
      </c>
      <c r="F461" s="12" t="n">
        <f aca="false">Kappa*Users_x0/(Users_x0+(Kappa-Users_x0)*EXP(-Rate_r*E461))</f>
        <v>97.2556400198118</v>
      </c>
    </row>
    <row r="462" customFormat="false" ht="15" hidden="false" customHeight="false" outlineLevel="0" collapsed="false">
      <c r="A462" s="18" t="n">
        <v>432</v>
      </c>
      <c r="D462" s="12" t="n">
        <f aca="false">D461+(1/D$29)*Rate_r*D461*(1-D461/Kappa)</f>
        <v>97.2948681245714</v>
      </c>
      <c r="E462" s="15" t="n">
        <f aca="false">A462/$D$29</f>
        <v>8.30769230769231</v>
      </c>
      <c r="F462" s="12" t="n">
        <f aca="false">Kappa*Users_x0/(Users_x0+(Kappa-Users_x0)*EXP(-Rate_r*E462))</f>
        <v>97.3014591351166</v>
      </c>
    </row>
    <row r="463" customFormat="false" ht="15" hidden="false" customHeight="false" outlineLevel="0" collapsed="false">
      <c r="A463" s="18" t="n">
        <v>433</v>
      </c>
      <c r="D463" s="12" t="n">
        <f aca="false">D462+(1/D$29)*Rate_r*D462*(1-D462/Kappa)</f>
        <v>97.3404211830659</v>
      </c>
      <c r="E463" s="15" t="n">
        <f aca="false">A463/$D$29</f>
        <v>8.32692307692308</v>
      </c>
      <c r="F463" s="12" t="n">
        <f aca="false">Kappa*Users_x0/(Users_x0+(Kappa-Users_x0)*EXP(-Rate_r*E463))</f>
        <v>97.3465341378488</v>
      </c>
    </row>
    <row r="464" customFormat="false" ht="15" hidden="false" customHeight="false" outlineLevel="0" collapsed="false">
      <c r="A464" s="18" t="n">
        <v>434</v>
      </c>
      <c r="D464" s="12" t="n">
        <f aca="false">D463+(1/D$29)*Rate_r*D463*(1-D463/Kappa)</f>
        <v>97.3852281196022</v>
      </c>
      <c r="E464" s="15" t="n">
        <f aca="false">A464/$D$29</f>
        <v>8.34615384615385</v>
      </c>
      <c r="F464" s="12" t="n">
        <f aca="false">Kappa*Users_x0/(Users_x0+(Kappa-Users_x0)*EXP(-Rate_r*E464))</f>
        <v>97.3908764206591</v>
      </c>
    </row>
    <row r="465" customFormat="false" ht="15" hidden="false" customHeight="false" outlineLevel="0" collapsed="false">
      <c r="A465" s="18" t="n">
        <v>435</v>
      </c>
      <c r="D465" s="12" t="n">
        <f aca="false">D464+(1/D$29)*Rate_r*D464*(1-D464/Kappa)</f>
        <v>97.4293004543037</v>
      </c>
      <c r="E465" s="15" t="n">
        <f aca="false">A465/$D$29</f>
        <v>8.36538461538462</v>
      </c>
      <c r="F465" s="12" t="n">
        <f aca="false">Kappa*Users_x0/(Users_x0+(Kappa-Users_x0)*EXP(-Rate_r*E465))</f>
        <v>97.4344972247482</v>
      </c>
    </row>
    <row r="466" customFormat="false" ht="15" hidden="false" customHeight="false" outlineLevel="0" collapsed="false">
      <c r="A466" s="18" t="n">
        <v>436</v>
      </c>
      <c r="D466" s="12" t="n">
        <f aca="false">D465+(1/D$29)*Rate_r*D465*(1-D465/Kappa)</f>
        <v>97.4726495528756</v>
      </c>
      <c r="E466" s="15" t="n">
        <f aca="false">A466/$D$29</f>
        <v>8.38461538461539</v>
      </c>
      <c r="F466" s="12" t="n">
        <f aca="false">Kappa*Users_x0/(Users_x0+(Kappa-Users_x0)*EXP(-Rate_r*E466))</f>
        <v>97.477407641101</v>
      </c>
    </row>
    <row r="467" customFormat="false" ht="15" hidden="false" customHeight="false" outlineLevel="0" collapsed="false">
      <c r="A467" s="18" t="n">
        <v>437</v>
      </c>
      <c r="D467" s="12" t="n">
        <f aca="false">D466+(1/D$29)*Rate_r*D466*(1-D466/Kappa)</f>
        <v>97.5152866278731</v>
      </c>
      <c r="E467" s="15" t="n">
        <f aca="false">A467/$D$29</f>
        <v>8.40384615384615</v>
      </c>
      <c r="F467" s="12" t="n">
        <f aca="false">Kappa*Users_x0/(Users_x0+(Kappa-Users_x0)*EXP(-Rate_r*E467))</f>
        <v>97.519618611739</v>
      </c>
    </row>
    <row r="468" customFormat="false" ht="15" hidden="false" customHeight="false" outlineLevel="0" collapsed="false">
      <c r="A468" s="18" t="n">
        <v>438</v>
      </c>
      <c r="D468" s="12" t="n">
        <f aca="false">D467+(1/D$29)*Rate_r*D467*(1-D467/Kappa)</f>
        <v>97.5572227399893</v>
      </c>
      <c r="E468" s="15" t="n">
        <f aca="false">A468/$D$29</f>
        <v>8.42307692307692</v>
      </c>
      <c r="F468" s="12" t="n">
        <f aca="false">Kappa*Users_x0/(Users_x0+(Kappa-Users_x0)*EXP(-Rate_r*E468))</f>
        <v>97.5611409309907</v>
      </c>
    </row>
    <row r="469" customFormat="false" ht="15" hidden="false" customHeight="false" outlineLevel="0" collapsed="false">
      <c r="A469" s="18" t="n">
        <v>439</v>
      </c>
      <c r="D469" s="12" t="n">
        <f aca="false">D468+(1/D$29)*Rate_r*D468*(1-D468/Kappa)</f>
        <v>97.598468799361</v>
      </c>
      <c r="E469" s="15" t="n">
        <f aca="false">A469/$D$29</f>
        <v>8.44230769230769</v>
      </c>
      <c r="F469" s="12" t="n">
        <f aca="false">Kappa*Users_x0/(Users_x0+(Kappa-Users_x0)*EXP(-Rate_r*E469))</f>
        <v>97.6019852467781</v>
      </c>
    </row>
    <row r="470" customFormat="false" ht="15" hidden="false" customHeight="false" outlineLevel="0" collapsed="false">
      <c r="A470" s="18" t="n">
        <v>440</v>
      </c>
      <c r="D470" s="12" t="n">
        <f aca="false">D469+(1/D$29)*Rate_r*D469*(1-D469/Kappa)</f>
        <v>97.6390355668919</v>
      </c>
      <c r="E470" s="15" t="n">
        <f aca="false">A470/$D$29</f>
        <v>8.46153846153846</v>
      </c>
      <c r="F470" s="12" t="n">
        <f aca="false">Kappa*Users_x0/(Users_x0+(Kappa-Users_x0)*EXP(-Rate_r*E470))</f>
        <v>97.6421620619185</v>
      </c>
    </row>
    <row r="471" customFormat="false" ht="15" hidden="false" customHeight="false" outlineLevel="0" collapsed="false">
      <c r="A471" s="18" t="n">
        <v>441</v>
      </c>
      <c r="D471" s="12" t="n">
        <f aca="false">D470+(1/D$29)*Rate_r*D470*(1-D470/Kappa)</f>
        <v>97.6789336555901</v>
      </c>
      <c r="E471" s="15" t="n">
        <f aca="false">A471/$D$29</f>
        <v>8.48076923076923</v>
      </c>
      <c r="F471" s="12" t="n">
        <f aca="false">Kappa*Users_x0/(Users_x0+(Kappa-Users_x0)*EXP(-Rate_r*E471))</f>
        <v>97.6816817354389</v>
      </c>
    </row>
    <row r="472" customFormat="false" ht="15" hidden="false" customHeight="false" outlineLevel="0" collapsed="false">
      <c r="A472" s="18" t="n">
        <v>442</v>
      </c>
      <c r="D472" s="12" t="n">
        <f aca="false">D471+(1/D$29)*Rate_r*D471*(1-D471/Kappa)</f>
        <v>97.7181735319208</v>
      </c>
      <c r="E472" s="15" t="n">
        <f aca="false">A472/$D$29</f>
        <v>8.5</v>
      </c>
      <c r="F472" s="12" t="n">
        <f aca="false">Kappa*Users_x0/(Users_x0+(Kappa-Users_x0)*EXP(-Rate_r*E472))</f>
        <v>97.7205544839037</v>
      </c>
    </row>
    <row r="473" customFormat="false" ht="15" hidden="false" customHeight="false" outlineLevel="0" collapsed="false">
      <c r="A473" s="18" t="n">
        <v>443</v>
      </c>
      <c r="D473" s="12" t="n">
        <f aca="false">D472+(1/D$29)*Rate_r*D472*(1-D472/Kappa)</f>
        <v>97.7567655171707</v>
      </c>
      <c r="E473" s="15" t="n">
        <f aca="false">A473/$D$29</f>
        <v>8.51923076923077</v>
      </c>
      <c r="F473" s="12" t="n">
        <f aca="false">Kappa*Users_x0/(Users_x0+(Kappa-Users_x0)*EXP(-Rate_r*E473))</f>
        <v>97.7587903827537</v>
      </c>
    </row>
    <row r="474" customFormat="false" ht="15" hidden="false" customHeight="false" outlineLevel="0" collapsed="false">
      <c r="A474" s="18" t="n">
        <v>444</v>
      </c>
      <c r="D474" s="12" t="n">
        <f aca="false">D473+(1/D$29)*Rate_r*D473*(1-D473/Kappa)</f>
        <v>97.7947197888254</v>
      </c>
      <c r="E474" s="15" t="n">
        <f aca="false">A474/$D$29</f>
        <v>8.53846153846154</v>
      </c>
      <c r="F474" s="12" t="n">
        <f aca="false">Kappa*Users_x0/(Users_x0+(Kappa-Users_x0)*EXP(-Rate_r*E474))</f>
        <v>97.7963993676544</v>
      </c>
    </row>
    <row r="475" customFormat="false" ht="15" hidden="false" customHeight="false" outlineLevel="0" collapsed="false">
      <c r="A475" s="18" t="n">
        <v>445</v>
      </c>
      <c r="D475" s="12" t="n">
        <f aca="false">D474+(1/D$29)*Rate_r*D474*(1-D474/Kappa)</f>
        <v>97.8320463819555</v>
      </c>
      <c r="E475" s="15" t="n">
        <f aca="false">A475/$D$29</f>
        <v>8.55769230769231</v>
      </c>
      <c r="F475" s="12" t="n">
        <f aca="false">Kappa*Users_x0/(Users_x0+(Kappa-Users_x0)*EXP(-Rate_r*E475))</f>
        <v>97.8333912358541</v>
      </c>
    </row>
    <row r="476" customFormat="false" ht="15" hidden="false" customHeight="false" outlineLevel="0" collapsed="false">
      <c r="A476" s="18" t="n">
        <v>446</v>
      </c>
      <c r="D476" s="12" t="n">
        <f aca="false">D475+(1/D$29)*Rate_r*D475*(1-D475/Kappa)</f>
        <v>97.8687551906138</v>
      </c>
      <c r="E476" s="15" t="n">
        <f aca="false">A476/$D$29</f>
        <v>8.57692307692308</v>
      </c>
      <c r="F476" s="12" t="n">
        <f aca="false">Kappa*Users_x0/(Users_x0+(Kappa-Users_x0)*EXP(-Rate_r*E476))</f>
        <v>97.8697756475498</v>
      </c>
    </row>
    <row r="477" customFormat="false" ht="15" hidden="false" customHeight="false" outlineLevel="0" collapsed="false">
      <c r="A477" s="18" t="n">
        <v>447</v>
      </c>
      <c r="D477" s="12" t="n">
        <f aca="false">D476+(1/D$29)*Rate_r*D476*(1-D476/Kappa)</f>
        <v>97.904855969239</v>
      </c>
      <c r="E477" s="15" t="n">
        <f aca="false">A477/$D$29</f>
        <v>8.59615384615385</v>
      </c>
      <c r="F477" s="12" t="n">
        <f aca="false">Kappa*Users_x0/(Users_x0+(Kappa-Users_x0)*EXP(-Rate_r*E477))</f>
        <v>97.9055621272597</v>
      </c>
    </row>
    <row r="478" customFormat="false" ht="15" hidden="false" customHeight="false" outlineLevel="0" collapsed="false">
      <c r="A478" s="18" t="n">
        <v>448</v>
      </c>
      <c r="D478" s="12" t="n">
        <f aca="false">D477+(1/D$29)*Rate_r*D477*(1-D477/Kappa)</f>
        <v>97.9403583340678</v>
      </c>
      <c r="E478" s="15" t="n">
        <f aca="false">A478/$D$29</f>
        <v>8.61538461538462</v>
      </c>
      <c r="F478" s="12" t="n">
        <f aca="false">Kappa*Users_x0/(Users_x0+(Kappa-Users_x0)*EXP(-Rate_r*E478))</f>
        <v>97.9407600652022</v>
      </c>
    </row>
    <row r="479" customFormat="false" ht="15" hidden="false" customHeight="false" outlineLevel="0" collapsed="false">
      <c r="A479" s="18" t="n">
        <v>449</v>
      </c>
      <c r="D479" s="12" t="n">
        <f aca="false">D478+(1/D$29)*Rate_r*D478*(1-D478/Kappa)</f>
        <v>97.9752717645526</v>
      </c>
      <c r="E479" s="15" t="n">
        <f aca="false">A479/$D$29</f>
        <v>8.63461538461539</v>
      </c>
      <c r="F479" s="12" t="n">
        <f aca="false">Kappa*Users_x0/(Users_x0+(Kappa-Users_x0)*EXP(-Rate_r*E479))</f>
        <v>97.97537871868</v>
      </c>
    </row>
    <row r="480" customFormat="false" ht="15" hidden="false" customHeight="false" outlineLevel="0" collapsed="false">
      <c r="A480" s="18" t="n">
        <v>450</v>
      </c>
      <c r="D480" s="12" t="n">
        <f aca="false">D479+(1/D$29)*Rate_r*D479*(1-D479/Kappa)</f>
        <v>98.0096056047845</v>
      </c>
      <c r="E480" s="15" t="n">
        <f aca="false">A480/$D$29</f>
        <v>8.65384615384615</v>
      </c>
      <c r="F480" s="12" t="n">
        <f aca="false">Kappa*Users_x0/(Users_x0+(Kappa-Users_x0)*EXP(-Rate_r*E480))</f>
        <v>98.0094272134677</v>
      </c>
    </row>
    <row r="481" customFormat="false" ht="15" hidden="false" customHeight="false" outlineLevel="0" collapsed="false">
      <c r="A481" s="18" t="n">
        <v>451</v>
      </c>
      <c r="D481" s="12" t="n">
        <f aca="false">D480+(1/D$29)*Rate_r*D480*(1-D480/Kappa)</f>
        <v>98.0433690649202</v>
      </c>
      <c r="E481" s="15" t="n">
        <f aca="false">A481/$D$29</f>
        <v>8.67307692307692</v>
      </c>
      <c r="F481" s="12" t="n">
        <f aca="false">Kappa*Users_x0/(Users_x0+(Kappa-Users_x0)*EXP(-Rate_r*E481))</f>
        <v>98.0429145452034</v>
      </c>
    </row>
    <row r="482" customFormat="false" ht="15" hidden="false" customHeight="false" outlineLevel="0" collapsed="false">
      <c r="A482" s="18" t="n">
        <v>452</v>
      </c>
      <c r="D482" s="12" t="n">
        <f aca="false">D481+(1/D$29)*Rate_r*D481*(1-D481/Kappa)</f>
        <v>98.076571222613</v>
      </c>
      <c r="E482" s="15" t="n">
        <f aca="false">A482/$D$29</f>
        <v>8.69230769230769</v>
      </c>
      <c r="F482" s="12" t="n">
        <f aca="false">Kappa*Users_x0/(Users_x0+(Kappa-Users_x0)*EXP(-Rate_r*E482))</f>
        <v>98.0758495807827</v>
      </c>
    </row>
    <row r="483" customFormat="false" ht="15" hidden="false" customHeight="false" outlineLevel="0" collapsed="false">
      <c r="A483" s="18" t="n">
        <v>453</v>
      </c>
      <c r="D483" s="12" t="n">
        <f aca="false">D482+(1/D$29)*Rate_r*D482*(1-D482/Kappa)</f>
        <v>98.1092210244456</v>
      </c>
      <c r="E483" s="15" t="n">
        <f aca="false">A483/$D$29</f>
        <v>8.71153846153846</v>
      </c>
      <c r="F483" s="12" t="n">
        <f aca="false">Kappa*Users_x0/(Users_x0+(Kappa-Users_x0)*EXP(-Rate_r*E483))</f>
        <v>98.1082410597542</v>
      </c>
    </row>
    <row r="484" customFormat="false" ht="15" hidden="false" customHeight="false" outlineLevel="0" collapsed="false">
      <c r="A484" s="18" t="n">
        <v>454</v>
      </c>
      <c r="D484" s="12" t="n">
        <f aca="false">D483+(1/D$29)*Rate_r*D483*(1-D483/Kappa)</f>
        <v>98.1413272873646</v>
      </c>
      <c r="E484" s="15" t="n">
        <f aca="false">A484/$D$29</f>
        <v>8.73076923076923</v>
      </c>
      <c r="F484" s="12" t="n">
        <f aca="false">Kappa*Users_x0/(Users_x0+(Kappa-Users_x0)*EXP(-Rate_r*E484))</f>
        <v>98.1400975957157</v>
      </c>
    </row>
    <row r="485" customFormat="false" ht="15" hidden="false" customHeight="false" outlineLevel="0" collapsed="false">
      <c r="A485" s="18" t="n">
        <v>455</v>
      </c>
      <c r="D485" s="12" t="n">
        <f aca="false">D484+(1/D$29)*Rate_r*D484*(1-D484/Kappa)</f>
        <v>98.1728987001165</v>
      </c>
      <c r="E485" s="15" t="n">
        <f aca="false">A485/$D$29</f>
        <v>8.75</v>
      </c>
      <c r="F485" s="12" t="n">
        <f aca="false">Kappa*Users_x0/(Users_x0+(Kappa-Users_x0)*EXP(-Rate_r*E485))</f>
        <v>98.1714276777114</v>
      </c>
    </row>
    <row r="486" customFormat="false" ht="15" hidden="false" customHeight="false" outlineLevel="0" collapsed="false">
      <c r="A486" s="18" t="n">
        <v>456</v>
      </c>
      <c r="D486" s="12" t="n">
        <f aca="false">D485+(1/D$29)*Rate_r*D485*(1-D485/Kappa)</f>
        <v>98.2039438246829</v>
      </c>
      <c r="E486" s="15" t="n">
        <f aca="false">A486/$D$29</f>
        <v>8.76923076923077</v>
      </c>
      <c r="F486" s="12" t="n">
        <f aca="false">Kappa*Users_x0/(Users_x0+(Kappa-Users_x0)*EXP(-Rate_r*E486))</f>
        <v>98.2022396716278</v>
      </c>
    </row>
    <row r="487" customFormat="false" ht="15" hidden="false" customHeight="false" outlineLevel="0" collapsed="false">
      <c r="A487" s="18" t="n">
        <v>457</v>
      </c>
      <c r="D487" s="12" t="n">
        <f aca="false">D486+(1/D$29)*Rate_r*D486*(1-D486/Kappa)</f>
        <v>98.234471097716</v>
      </c>
      <c r="E487" s="15" t="n">
        <f aca="false">A487/$D$29</f>
        <v>8.78846153846154</v>
      </c>
      <c r="F487" s="12" t="n">
        <f aca="false">Kappa*Users_x0/(Users_x0+(Kappa-Users_x0)*EXP(-Rate_r*E487))</f>
        <v>98.2325418215888</v>
      </c>
    </row>
    <row r="488" customFormat="false" ht="15" hidden="false" customHeight="false" outlineLevel="0" collapsed="false">
      <c r="A488" s="18" t="n">
        <v>458</v>
      </c>
      <c r="D488" s="12" t="n">
        <f aca="false">D487+(1/D$29)*Rate_r*D487*(1-D487/Kappa)</f>
        <v>98.264488831972</v>
      </c>
      <c r="E488" s="15" t="n">
        <f aca="false">A488/$D$29</f>
        <v>8.80769230769231</v>
      </c>
      <c r="F488" s="12" t="n">
        <f aca="false">Kappa*Users_x0/(Users_x0+(Kappa-Users_x0)*EXP(-Rate_r*E488))</f>
        <v>98.2623422513489</v>
      </c>
    </row>
    <row r="489" customFormat="false" ht="15" hidden="false" customHeight="false" outlineLevel="0" collapsed="false">
      <c r="A489" s="18" t="n">
        <v>459</v>
      </c>
      <c r="D489" s="12" t="n">
        <f aca="false">D488+(1/D$29)*Rate_r*D488*(1-D488/Kappa)</f>
        <v>98.2940052177431</v>
      </c>
      <c r="E489" s="15" t="n">
        <f aca="false">A489/$D$29</f>
        <v>8.82692307692308</v>
      </c>
      <c r="F489" s="12" t="n">
        <f aca="false">Kappa*Users_x0/(Users_x0+(Kappa-Users_x0)*EXP(-Rate_r*E489))</f>
        <v>98.2916489656844</v>
      </c>
    </row>
    <row r="490" customFormat="false" ht="15" hidden="false" customHeight="false" outlineLevel="0" collapsed="false">
      <c r="A490" s="18" t="n">
        <v>460</v>
      </c>
      <c r="D490" s="12" t="n">
        <f aca="false">D489+(1/D$29)*Rate_r*D489*(1-D489/Kappa)</f>
        <v>98.3230283242865</v>
      </c>
      <c r="E490" s="15" t="n">
        <f aca="false">A490/$D$29</f>
        <v>8.84615384615385</v>
      </c>
      <c r="F490" s="12" t="n">
        <f aca="false">Kappa*Users_x0/(Users_x0+(Kappa-Users_x0)*EXP(-Rate_r*E490))</f>
        <v>98.3204698517807</v>
      </c>
    </row>
    <row r="491" customFormat="false" ht="15" hidden="false" customHeight="false" outlineLevel="0" collapsed="false">
      <c r="A491" s="18" t="n">
        <v>461</v>
      </c>
      <c r="D491" s="12" t="n">
        <f aca="false">D490+(1/D$29)*Rate_r*D490*(1-D490/Kappa)</f>
        <v>98.3515661012506</v>
      </c>
      <c r="E491" s="15" t="n">
        <f aca="false">A491/$D$29</f>
        <v>8.86538461538462</v>
      </c>
      <c r="F491" s="12" t="n">
        <f aca="false">Kappa*Users_x0/(Users_x0+(Kappa-Users_x0)*EXP(-Rate_r*E491))</f>
        <v>98.3488126806169</v>
      </c>
    </row>
    <row r="492" customFormat="false" ht="15" hidden="false" customHeight="false" outlineLevel="0" collapsed="false">
      <c r="A492" s="18" t="n">
        <v>462</v>
      </c>
      <c r="D492" s="12" t="n">
        <f aca="false">D491+(1/D$29)*Rate_r*D491*(1-D491/Kappa)</f>
        <v>98.3796263800969</v>
      </c>
      <c r="E492" s="15" t="n">
        <f aca="false">A492/$D$29</f>
        <v>8.88461538461539</v>
      </c>
      <c r="F492" s="12" t="n">
        <f aca="false">Kappa*Users_x0/(Users_x0+(Kappa-Users_x0)*EXP(-Rate_r*E492))</f>
        <v>98.376685108346</v>
      </c>
    </row>
    <row r="493" customFormat="false" ht="15" hidden="false" customHeight="false" outlineLevel="0" collapsed="false">
      <c r="A493" s="18" t="n">
        <v>463</v>
      </c>
      <c r="D493" s="12" t="n">
        <f aca="false">D492+(1/D$29)*Rate_r*D492*(1-D492/Kappa)</f>
        <v>98.407216875518</v>
      </c>
      <c r="E493" s="15" t="n">
        <f aca="false">A493/$D$29</f>
        <v>8.90384615384615</v>
      </c>
      <c r="F493" s="12" t="n">
        <f aca="false">Kappa*Users_x0/(Users_x0+(Kappa-Users_x0)*EXP(-Rate_r*E493))</f>
        <v>98.4040946776703</v>
      </c>
    </row>
    <row r="494" customFormat="false" ht="15" hidden="false" customHeight="false" outlineLevel="0" collapsed="false">
      <c r="A494" s="18" t="n">
        <v>464</v>
      </c>
      <c r="D494" s="12" t="n">
        <f aca="false">D493+(1/D$29)*Rate_r*D493*(1-D493/Kappa)</f>
        <v>98.4343451868507</v>
      </c>
      <c r="E494" s="15" t="n">
        <f aca="false">A494/$D$29</f>
        <v>8.92307692307692</v>
      </c>
      <c r="F494" s="12" t="n">
        <f aca="false">Kappa*Users_x0/(Users_x0+(Kappa-Users_x0)*EXP(-Rate_r*E494))</f>
        <v>98.431048819212</v>
      </c>
    </row>
    <row r="495" customFormat="false" ht="15" hidden="false" customHeight="false" outlineLevel="0" collapsed="false">
      <c r="A495" s="18" t="n">
        <v>465</v>
      </c>
      <c r="D495" s="12" t="n">
        <f aca="false">D494+(1/D$29)*Rate_r*D494*(1-D494/Kappa)</f>
        <v>98.4610187994832</v>
      </c>
      <c r="E495" s="15" t="n">
        <f aca="false">A495/$D$29</f>
        <v>8.94230769230769</v>
      </c>
      <c r="F495" s="12" t="n">
        <f aca="false">Kappa*Users_x0/(Users_x0+(Kappa-Users_x0)*EXP(-Rate_r*E495))</f>
        <v>98.4575548528783</v>
      </c>
    </row>
    <row r="496" customFormat="false" ht="15" hidden="false" customHeight="false" outlineLevel="0" collapsed="false">
      <c r="A496" s="18" t="n">
        <v>466</v>
      </c>
      <c r="D496" s="12" t="n">
        <f aca="false">D495+(1/D$29)*Rate_r*D495*(1-D495/Kappa)</f>
        <v>98.4872450862571</v>
      </c>
      <c r="E496" s="15" t="n">
        <f aca="false">A496/$D$29</f>
        <v>8.96153846153846</v>
      </c>
      <c r="F496" s="12" t="n">
        <f aca="false">Kappa*Users_x0/(Users_x0+(Kappa-Users_x0)*EXP(-Rate_r*E496))</f>
        <v>98.4836199892201</v>
      </c>
    </row>
    <row r="497" customFormat="false" ht="15" hidden="false" customHeight="false" outlineLevel="0" collapsed="false">
      <c r="A497" s="18" t="n">
        <v>467</v>
      </c>
      <c r="D497" s="12" t="n">
        <f aca="false">D496+(1/D$29)*Rate_r*D496*(1-D496/Kappa)</f>
        <v>98.513031308863</v>
      </c>
      <c r="E497" s="15" t="n">
        <f aca="false">A497/$D$29</f>
        <v>8.98076923076923</v>
      </c>
      <c r="F497" s="12" t="n">
        <f aca="false">Kappa*Users_x0/(Users_x0+(Kappa-Users_x0)*EXP(-Rate_r*E497))</f>
        <v>98.5092513307847</v>
      </c>
    </row>
    <row r="498" customFormat="false" ht="15" hidden="false" customHeight="false" outlineLevel="0" collapsed="false">
      <c r="A498" s="18" t="n">
        <v>468</v>
      </c>
      <c r="D498" s="12" t="n">
        <f aca="false">D497+(1/D$29)*Rate_r*D497*(1-D497/Kappa)</f>
        <v>98.5383846192289</v>
      </c>
      <c r="E498" s="15" t="n">
        <f aca="false">A498/$D$29</f>
        <v>9</v>
      </c>
      <c r="F498" s="12" t="n">
        <f aca="false">Kappa*Users_x0/(Users_x0+(Kappa-Users_x0)*EXP(-Rate_r*E498))</f>
        <v>98.5344558734619</v>
      </c>
    </row>
    <row r="499" customFormat="false" ht="15" hidden="false" customHeight="false" outlineLevel="0" collapsed="false">
      <c r="A499" s="18" t="n">
        <v>469</v>
      </c>
      <c r="D499" s="12" t="n">
        <f aca="false">D498+(1/D$29)*Rate_r*D498*(1-D498/Kappa)</f>
        <v>98.5633120609021</v>
      </c>
      <c r="E499" s="15" t="n">
        <f aca="false">A499/$D$29</f>
        <v>9.01923076923077</v>
      </c>
      <c r="F499" s="12" t="n">
        <f aca="false">Kappa*Users_x0/(Users_x0+(Kappa-Users_x0)*EXP(-Rate_r*E499))</f>
        <v>98.5592405078218</v>
      </c>
    </row>
    <row r="500" customFormat="false" ht="15" hidden="false" customHeight="false" outlineLevel="0" collapsed="false">
      <c r="A500" s="18" t="n">
        <v>470</v>
      </c>
      <c r="D500" s="12" t="n">
        <f aca="false">D499+(1/D$29)*Rate_r*D499*(1-D499/Kappa)</f>
        <v>98.5878205704228</v>
      </c>
      <c r="E500" s="15" t="n">
        <f aca="false">A500/$D$29</f>
        <v>9.03846153846154</v>
      </c>
      <c r="F500" s="12" t="n">
        <f aca="false">Kappa*Users_x0/(Users_x0+(Kappa-Users_x0)*EXP(-Rate_r*E500))</f>
        <v>98.5836120204469</v>
      </c>
    </row>
    <row r="501" customFormat="false" ht="15" hidden="false" customHeight="false" outlineLevel="0" collapsed="false">
      <c r="A501" s="18" t="n">
        <v>471</v>
      </c>
      <c r="D501" s="12" t="n">
        <f aca="false">D500+(1/D$29)*Rate_r*D500*(1-D500/Kappa)</f>
        <v>98.611916978691</v>
      </c>
      <c r="E501" s="15" t="n">
        <f aca="false">A501/$D$29</f>
        <v>9.05769230769231</v>
      </c>
      <c r="F501" s="12" t="n">
        <f aca="false">Kappa*Users_x0/(Users_x0+(Kappa-Users_x0)*EXP(-Rate_r*E501))</f>
        <v>98.6075770952545</v>
      </c>
    </row>
    <row r="502" customFormat="false" ht="15" hidden="false" customHeight="false" outlineLevel="0" collapsed="false">
      <c r="A502" s="18" t="n">
        <v>472</v>
      </c>
      <c r="D502" s="12" t="n">
        <f aca="false">D501+(1/D$29)*Rate_r*D501*(1-D501/Kappa)</f>
        <v>98.6356080123239</v>
      </c>
      <c r="E502" s="15" t="n">
        <f aca="false">A502/$D$29</f>
        <v>9.07692307692308</v>
      </c>
      <c r="F502" s="12" t="n">
        <f aca="false">Kappa*Users_x0/(Users_x0+(Kappa-Users_x0)*EXP(-Rate_r*E502))</f>
        <v>98.6311423148123</v>
      </c>
    </row>
    <row r="503" customFormat="false" ht="15" hidden="false" customHeight="false" outlineLevel="0" collapsed="false">
      <c r="A503" s="18" t="n">
        <v>473</v>
      </c>
      <c r="D503" s="12" t="n">
        <f aca="false">D502+(1/D$29)*Rate_r*D502*(1-D502/Kappa)</f>
        <v>98.6589002950056</v>
      </c>
      <c r="E503" s="15" t="n">
        <f aca="false">A503/$D$29</f>
        <v>9.09615384615385</v>
      </c>
      <c r="F503" s="12" t="n">
        <f aca="false">Kappa*Users_x0/(Users_x0+(Kappa-Users_x0)*EXP(-Rate_r*E503))</f>
        <v>98.6543141616448</v>
      </c>
    </row>
    <row r="504" customFormat="false" ht="15" hidden="false" customHeight="false" outlineLevel="0" collapsed="false">
      <c r="A504" s="18" t="n">
        <v>474</v>
      </c>
      <c r="D504" s="12" t="n">
        <f aca="false">D503+(1/D$29)*Rate_r*D503*(1-D503/Kappa)</f>
        <v>98.6818003488272</v>
      </c>
      <c r="E504" s="15" t="n">
        <f aca="false">A504/$D$29</f>
        <v>9.11538461538462</v>
      </c>
      <c r="F504" s="12" t="n">
        <f aca="false">Kappa*Users_x0/(Users_x0+(Kappa-Users_x0)*EXP(-Rate_r*E504))</f>
        <v>98.6770990195311</v>
      </c>
    </row>
    <row r="505" customFormat="false" ht="15" hidden="false" customHeight="false" outlineLevel="0" collapsed="false">
      <c r="A505" s="18" t="n">
        <v>475</v>
      </c>
      <c r="D505" s="12" t="n">
        <f aca="false">D504+(1/D$29)*Rate_r*D504*(1-D504/Kappa)</f>
        <v>98.704314595619</v>
      </c>
      <c r="E505" s="15" t="n">
        <f aca="false">A505/$D$29</f>
        <v>9.13461538461539</v>
      </c>
      <c r="F505" s="12" t="n">
        <f aca="false">Kappa*Users_x0/(Users_x0+(Kappa-Users_x0)*EXP(-Rate_r*E505))</f>
        <v>98.6995031747937</v>
      </c>
    </row>
    <row r="506" customFormat="false" ht="15" hidden="false" customHeight="false" outlineLevel="0" collapsed="false">
      <c r="A506" s="18" t="n">
        <v>476</v>
      </c>
      <c r="D506" s="12" t="n">
        <f aca="false">D505+(1/D$29)*Rate_r*D505*(1-D505/Kappa)</f>
        <v>98.7264493582717</v>
      </c>
      <c r="E506" s="15" t="n">
        <f aca="false">A506/$D$29</f>
        <v>9.15384615384615</v>
      </c>
      <c r="F506" s="12" t="n">
        <f aca="false">Kappa*Users_x0/(Users_x0+(Kappa-Users_x0)*EXP(-Rate_r*E506))</f>
        <v>98.7215328175783</v>
      </c>
    </row>
    <row r="507" customFormat="false" ht="15" hidden="false" customHeight="false" outlineLevel="0" collapsed="false">
      <c r="A507" s="18" t="n">
        <v>477</v>
      </c>
      <c r="D507" s="12" t="n">
        <f aca="false">D506+(1/D$29)*Rate_r*D506*(1-D506/Kappa)</f>
        <v>98.748210862049</v>
      </c>
      <c r="E507" s="15" t="n">
        <f aca="false">A507/$D$29</f>
        <v>9.17307692307692</v>
      </c>
      <c r="F507" s="12" t="n">
        <f aca="false">Kappa*Users_x0/(Users_x0+(Kappa-Users_x0)*EXP(-Rate_r*E507))</f>
        <v>98.7431940431235</v>
      </c>
    </row>
    <row r="508" customFormat="false" ht="15" hidden="false" customHeight="false" outlineLevel="0" collapsed="false">
      <c r="A508" s="18" t="n">
        <v>478</v>
      </c>
      <c r="D508" s="12" t="n">
        <f aca="false">D507+(1/D$29)*Rate_r*D507*(1-D507/Kappa)</f>
        <v>98.7696052358902</v>
      </c>
      <c r="E508" s="15" t="n">
        <f aca="false">A508/$D$29</f>
        <v>9.19230769230769</v>
      </c>
      <c r="F508" s="12" t="n">
        <f aca="false">Kappa*Users_x0/(Users_x0+(Kappa-Users_x0)*EXP(-Rate_r*E508))</f>
        <v>98.7644928530216</v>
      </c>
    </row>
    <row r="509" customFormat="false" ht="15" hidden="false" customHeight="false" outlineLevel="0" collapsed="false">
      <c r="A509" s="18" t="n">
        <v>479</v>
      </c>
      <c r="D509" s="12" t="n">
        <f aca="false">D508+(1/D$29)*Rate_r*D508*(1-D508/Kappa)</f>
        <v>98.7906385137021</v>
      </c>
      <c r="E509" s="15" t="n">
        <f aca="false">A509/$D$29</f>
        <v>9.21153846153846</v>
      </c>
      <c r="F509" s="12" t="n">
        <f aca="false">Kappa*Users_x0/(Users_x0+(Kappa-Users_x0)*EXP(-Rate_r*E509))</f>
        <v>98.7854351564686</v>
      </c>
    </row>
    <row r="510" customFormat="false" ht="15" hidden="false" customHeight="false" outlineLevel="0" collapsed="false">
      <c r="A510" s="18" t="n">
        <v>480</v>
      </c>
      <c r="D510" s="12" t="n">
        <f aca="false">D509+(1/D$29)*Rate_r*D509*(1-D509/Kappa)</f>
        <v>98.8113166356411</v>
      </c>
      <c r="E510" s="15" t="n">
        <f aca="false">A510/$D$29</f>
        <v>9.23076923076923</v>
      </c>
      <c r="F510" s="12" t="n">
        <f aca="false">Kappa*Users_x0/(Users_x0+(Kappa-Users_x0)*EXP(-Rate_r*E510))</f>
        <v>98.8060267715047</v>
      </c>
    </row>
    <row r="511" customFormat="false" ht="15" hidden="false" customHeight="false" outlineLevel="0" collapsed="false">
      <c r="A511" s="18" t="n">
        <v>481</v>
      </c>
      <c r="D511" s="12" t="n">
        <f aca="false">D510+(1/D$29)*Rate_r*D510*(1-D510/Kappa)</f>
        <v>98.8316454493845</v>
      </c>
      <c r="E511" s="15" t="n">
        <f aca="false">A511/$D$29</f>
        <v>9.25</v>
      </c>
      <c r="F511" s="12" t="n">
        <f aca="false">Kappa*Users_x0/(Users_x0+(Kappa-Users_x0)*EXP(-Rate_r*E511))</f>
        <v>98.8262734262445</v>
      </c>
    </row>
    <row r="512" customFormat="false" ht="15" hidden="false" customHeight="false" outlineLevel="0" collapsed="false">
      <c r="A512" s="18" t="n">
        <v>482</v>
      </c>
      <c r="D512" s="12" t="n">
        <f aca="false">D511+(1/D$29)*Rate_r*D511*(1-D511/Kappa)</f>
        <v>98.8516307113912</v>
      </c>
      <c r="E512" s="15" t="n">
        <f aca="false">A512/$D$29</f>
        <v>9.26923076923077</v>
      </c>
      <c r="F512" s="12" t="n">
        <f aca="false">Kappa*Users_x0/(Users_x0+(Kappa-Users_x0)*EXP(-Rate_r*E512))</f>
        <v>98.8461807600963</v>
      </c>
    </row>
    <row r="513" customFormat="false" ht="15" hidden="false" customHeight="false" outlineLevel="0" collapsed="false">
      <c r="A513" s="18" t="n">
        <v>483</v>
      </c>
      <c r="D513" s="12" t="n">
        <f aca="false">D512+(1/D$29)*Rate_r*D512*(1-D512/Kappa)</f>
        <v>98.8712780881516</v>
      </c>
      <c r="E513" s="15" t="n">
        <f aca="false">A513/$D$29</f>
        <v>9.28846153846154</v>
      </c>
      <c r="F513" s="12" t="n">
        <f aca="false">Kappa*Users_x0/(Users_x0+(Kappa-Users_x0)*EXP(-Rate_r*E513))</f>
        <v>98.8657543249715</v>
      </c>
    </row>
    <row r="514" customFormat="false" ht="15" hidden="false" customHeight="false" outlineLevel="0" collapsed="false">
      <c r="A514" s="18" t="n">
        <v>484</v>
      </c>
      <c r="D514" s="12" t="n">
        <f aca="false">D513+(1/D$29)*Rate_r*D513*(1-D513/Kappa)</f>
        <v>98.8905931574262</v>
      </c>
      <c r="E514" s="15" t="n">
        <f aca="false">A514/$D$29</f>
        <v>9.30769230769231</v>
      </c>
      <c r="F514" s="12" t="n">
        <f aca="false">Kappa*Users_x0/(Users_x0+(Kappa-Users_x0)*EXP(-Rate_r*E514))</f>
        <v>98.8849995864825</v>
      </c>
    </row>
    <row r="515" customFormat="false" ht="15" hidden="false" customHeight="false" outlineLevel="0" collapsed="false">
      <c r="A515" s="18" t="n">
        <v>485</v>
      </c>
      <c r="D515" s="12" t="n">
        <f aca="false">D514+(1/D$29)*Rate_r*D514*(1-D514/Kappa)</f>
        <v>98.909581409473</v>
      </c>
      <c r="E515" s="15" t="n">
        <f aca="false">A515/$D$29</f>
        <v>9.32692307692308</v>
      </c>
      <c r="F515" s="12" t="n">
        <f aca="false">Kappa*Users_x0/(Users_x0+(Kappa-Users_x0)*EXP(-Rate_r*E515))</f>
        <v>98.9039219251303</v>
      </c>
    </row>
    <row r="516" customFormat="false" ht="15" hidden="false" customHeight="false" outlineLevel="0" collapsed="false">
      <c r="A516" s="18" t="n">
        <v>486</v>
      </c>
      <c r="D516" s="12" t="n">
        <f aca="false">D515+(1/D$29)*Rate_r*D515*(1-D515/Kappa)</f>
        <v>98.9282482482644</v>
      </c>
      <c r="E516" s="15" t="n">
        <f aca="false">A516/$D$29</f>
        <v>9.34615384615385</v>
      </c>
      <c r="F516" s="12" t="n">
        <f aca="false">Kappa*Users_x0/(Users_x0+(Kappa-Users_x0)*EXP(-Rate_r*E516))</f>
        <v>98.922526637481</v>
      </c>
    </row>
    <row r="517" customFormat="false" ht="15" hidden="false" customHeight="false" outlineLevel="0" collapsed="false">
      <c r="A517" s="18" t="n">
        <v>487</v>
      </c>
      <c r="D517" s="12" t="n">
        <f aca="false">D516+(1/D$29)*Rate_r*D516*(1-D516/Kappa)</f>
        <v>98.9465989926914</v>
      </c>
      <c r="E517" s="15" t="n">
        <f aca="false">A517/$D$29</f>
        <v>9.36538461538462</v>
      </c>
      <c r="F517" s="12" t="n">
        <f aca="false">Kappa*Users_x0/(Users_x0+(Kappa-Users_x0)*EXP(-Rate_r*E517))</f>
        <v>98.9408189373312</v>
      </c>
    </row>
    <row r="518" customFormat="false" ht="15" hidden="false" customHeight="false" outlineLevel="0" collapsed="false">
      <c r="A518" s="18" t="n">
        <v>488</v>
      </c>
      <c r="D518" s="12" t="n">
        <f aca="false">D517+(1/D$29)*Rate_r*D517*(1-D517/Kappa)</f>
        <v>98.9646388777575</v>
      </c>
      <c r="E518" s="15" t="n">
        <f aca="false">A518/$D$29</f>
        <v>9.38461538461539</v>
      </c>
      <c r="F518" s="12" t="n">
        <f aca="false">Kappa*Users_x0/(Users_x0+(Kappa-Users_x0)*EXP(-Rate_r*E518))</f>
        <v>98.9588039568621</v>
      </c>
    </row>
    <row r="519" customFormat="false" ht="15" hidden="false" customHeight="false" outlineLevel="0" collapsed="false">
      <c r="A519" s="18" t="n">
        <v>489</v>
      </c>
      <c r="D519" s="12" t="n">
        <f aca="false">D518+(1/D$29)*Rate_r*D518*(1-D518/Kappa)</f>
        <v>98.9823730557602</v>
      </c>
      <c r="E519" s="15" t="n">
        <f aca="false">A519/$D$29</f>
        <v>9.40384615384615</v>
      </c>
      <c r="F519" s="12" t="n">
        <f aca="false">Kappa*Users_x0/(Users_x0+(Kappa-Users_x0)*EXP(-Rate_r*E519))</f>
        <v>98.9764867477827</v>
      </c>
    </row>
    <row r="520" customFormat="false" ht="15" hidden="false" customHeight="false" outlineLevel="0" collapsed="false">
      <c r="A520" s="18" t="n">
        <v>490</v>
      </c>
      <c r="D520" s="12" t="n">
        <f aca="false">D519+(1/D$29)*Rate_r*D519*(1-D519/Kappa)</f>
        <v>98.9998065974609</v>
      </c>
      <c r="E520" s="15" t="n">
        <f aca="false">A520/$D$29</f>
        <v>9.42307692307692</v>
      </c>
      <c r="F520" s="12" t="n">
        <f aca="false">Kappa*Users_x0/(Users_x0+(Kappa-Users_x0)*EXP(-Rate_r*E520))</f>
        <v>98.9938722824609</v>
      </c>
    </row>
    <row r="521" customFormat="false" ht="15" hidden="false" customHeight="false" outlineLevel="0" collapsed="false">
      <c r="A521" s="18" t="n">
        <v>491</v>
      </c>
      <c r="D521" s="12" t="n">
        <f aca="false">D520+(1/D$29)*Rate_r*D520*(1-D520/Kappa)</f>
        <v>99.0169444932436</v>
      </c>
      <c r="E521" s="15" t="n">
        <f aca="false">A521/$D$29</f>
        <v>9.44230769230769</v>
      </c>
      <c r="F521" s="12" t="n">
        <f aca="false">Kappa*Users_x0/(Users_x0+(Kappa-Users_x0)*EXP(-Rate_r*E521))</f>
        <v>99.0109654550447</v>
      </c>
    </row>
    <row r="522" customFormat="false" ht="15" hidden="false" customHeight="false" outlineLevel="0" collapsed="false">
      <c r="A522" s="18" t="n">
        <v>492</v>
      </c>
      <c r="D522" s="12" t="n">
        <f aca="false">D521+(1/D$29)*Rate_r*D521*(1-D521/Kappa)</f>
        <v>99.0337916542613</v>
      </c>
      <c r="E522" s="15" t="n">
        <f aca="false">A522/$D$29</f>
        <v>9.46153846153846</v>
      </c>
      <c r="F522" s="12" t="n">
        <f aca="false">Kappa*Users_x0/(Users_x0+(Kappa-Users_x0)*EXP(-Rate_r*E522))</f>
        <v>99.0277710825701</v>
      </c>
    </row>
    <row r="523" customFormat="false" ht="15" hidden="false" customHeight="false" outlineLevel="0" collapsed="false">
      <c r="A523" s="18" t="n">
        <v>493</v>
      </c>
      <c r="D523" s="12" t="n">
        <f aca="false">D522+(1/D$29)*Rate_r*D522*(1-D522/Kappa)</f>
        <v>99.0503529135701</v>
      </c>
      <c r="E523" s="15" t="n">
        <f aca="false">A523/$D$29</f>
        <v>9.48076923076923</v>
      </c>
      <c r="F523" s="12" t="n">
        <f aca="false">Kappa*Users_x0/(Users_x0+(Kappa-Users_x0)*EXP(-Rate_r*E523))</f>
        <v>99.0442939060589</v>
      </c>
    </row>
    <row r="524" customFormat="false" ht="15" hidden="false" customHeight="false" outlineLevel="0" collapsed="false">
      <c r="A524" s="18" t="n">
        <v>494</v>
      </c>
      <c r="D524" s="12" t="n">
        <f aca="false">D523+(1/D$29)*Rate_r*D523*(1-D523/Kappa)</f>
        <v>99.0666330272525</v>
      </c>
      <c r="E524" s="15" t="n">
        <f aca="false">A524/$D$29</f>
        <v>9.5</v>
      </c>
      <c r="F524" s="12" t="n">
        <f aca="false">Kappa*Users_x0/(Users_x0+(Kappa-Users_x0)*EXP(-Rate_r*E524))</f>
        <v>99.0605385916045</v>
      </c>
    </row>
    <row r="525" customFormat="false" ht="15" hidden="false" customHeight="false" outlineLevel="0" collapsed="false">
      <c r="A525" s="18" t="n">
        <v>495</v>
      </c>
      <c r="D525" s="12" t="n">
        <f aca="false">D524+(1/D$29)*Rate_r*D524*(1-D524/Kappa)</f>
        <v>99.0826366755279</v>
      </c>
      <c r="E525" s="15" t="n">
        <f aca="false">A525/$D$29</f>
        <v>9.51923076923077</v>
      </c>
      <c r="F525" s="12" t="n">
        <f aca="false">Kappa*Users_x0/(Users_x0+(Kappa-Users_x0)*EXP(-Rate_r*E525))</f>
        <v>99.0765097314458</v>
      </c>
    </row>
    <row r="526" customFormat="false" ht="15" hidden="false" customHeight="false" outlineLevel="0" collapsed="false">
      <c r="A526" s="18" t="n">
        <v>496</v>
      </c>
      <c r="D526" s="12" t="n">
        <f aca="false">D525+(1/D$29)*Rate_r*D525*(1-D525/Kappa)</f>
        <v>99.0983684638511</v>
      </c>
      <c r="E526" s="15" t="n">
        <f aca="false">A526/$D$29</f>
        <v>9.53846153846154</v>
      </c>
      <c r="F526" s="12" t="n">
        <f aca="false">Kappa*Users_x0/(Users_x0+(Kappa-Users_x0)*EXP(-Rate_r*E526))</f>
        <v>99.0922118450303</v>
      </c>
    </row>
    <row r="527" customFormat="false" ht="15" hidden="false" customHeight="false" outlineLevel="0" collapsed="false">
      <c r="A527" s="18" t="n">
        <v>497</v>
      </c>
      <c r="D527" s="12" t="n">
        <f aca="false">D526+(1/D$29)*Rate_r*D526*(1-D526/Kappa)</f>
        <v>99.113832923999</v>
      </c>
      <c r="E527" s="15" t="n">
        <f aca="false">A527/$D$29</f>
        <v>9.55769230769231</v>
      </c>
      <c r="F527" s="12" t="n">
        <f aca="false">Kappa*Users_x0/(Users_x0+(Kappa-Users_x0)*EXP(-Rate_r*E527))</f>
        <v>99.1076493800647</v>
      </c>
    </row>
    <row r="528" customFormat="false" ht="15" hidden="false" customHeight="false" outlineLevel="0" collapsed="false">
      <c r="A528" s="18" t="n">
        <v>498</v>
      </c>
      <c r="D528" s="12" t="n">
        <f aca="false">D527+(1/D$29)*Rate_r*D527*(1-D527/Kappa)</f>
        <v>99.1290345151455</v>
      </c>
      <c r="E528" s="15" t="n">
        <f aca="false">A528/$D$29</f>
        <v>9.57692307692308</v>
      </c>
      <c r="F528" s="12" t="n">
        <f aca="false">Kappa*Users_x0/(Users_x0+(Kappa-Users_x0)*EXP(-Rate_r*E528))</f>
        <v>99.1228267135549</v>
      </c>
    </row>
    <row r="529" customFormat="false" ht="15" hidden="false" customHeight="false" outlineLevel="0" collapsed="false">
      <c r="A529" s="18" t="n">
        <v>499</v>
      </c>
      <c r="D529" s="12" t="n">
        <f aca="false">D528+(1/D$29)*Rate_r*D528*(1-D528/Kappa)</f>
        <v>99.1439776249241</v>
      </c>
      <c r="E529" s="15" t="n">
        <f aca="false">A529/$D$29</f>
        <v>9.59615384615385</v>
      </c>
      <c r="F529" s="12" t="n">
        <f aca="false">Kappa*Users_x0/(Users_x0+(Kappa-Users_x0)*EXP(-Rate_r*E529))</f>
        <v>99.1377481528332</v>
      </c>
    </row>
    <row r="530" customFormat="false" ht="15" hidden="false" customHeight="false" outlineLevel="0" collapsed="false">
      <c r="A530" s="18" t="n">
        <v>500</v>
      </c>
      <c r="D530" s="12" t="n">
        <f aca="false">D529+(1/D$29)*Rate_r*D529*(1-D529/Kappa)</f>
        <v>99.1586665704781</v>
      </c>
      <c r="E530" s="15" t="n">
        <f aca="false">A530/$D$29</f>
        <v>9.61538461538462</v>
      </c>
      <c r="F530" s="12" t="n">
        <f aca="false">Kappa*Users_x0/(Users_x0+(Kappa-Users_x0)*EXP(-Rate_r*E530))</f>
        <v>99.1524179365746</v>
      </c>
    </row>
    <row r="531" customFormat="false" ht="15" hidden="false" customHeight="false" outlineLevel="0" collapsed="false">
      <c r="A531" s="18" t="n">
        <v>501</v>
      </c>
      <c r="D531" s="12" t="n">
        <f aca="false">D530+(1/D$29)*Rate_r*D530*(1-D530/Kappa)</f>
        <v>99.1731055994995</v>
      </c>
      <c r="E531" s="15" t="n">
        <f aca="false">A531/$D$29</f>
        <v>9.63461538461539</v>
      </c>
      <c r="F531" s="12" t="n">
        <f aca="false">Kappa*Users_x0/(Users_x0+(Kappa-Users_x0)*EXP(-Rate_r*E531))</f>
        <v>99.1668402358019</v>
      </c>
    </row>
    <row r="532" customFormat="false" ht="15" hidden="false" customHeight="false" outlineLevel="0" collapsed="false">
      <c r="A532" s="18" t="n">
        <v>502</v>
      </c>
      <c r="D532" s="12" t="n">
        <f aca="false">D531+(1/D$29)*Rate_r*D531*(1-D531/Kappa)</f>
        <v>99.1872988912554</v>
      </c>
      <c r="E532" s="15" t="n">
        <f aca="false">A532/$D$29</f>
        <v>9.65384615384615</v>
      </c>
      <c r="F532" s="12" t="n">
        <f aca="false">Kappa*Users_x0/(Users_x0+(Kappa-Users_x0)*EXP(-Rate_r*E532))</f>
        <v>99.1810191548782</v>
      </c>
    </row>
    <row r="533" customFormat="false" ht="15" hidden="false" customHeight="false" outlineLevel="0" collapsed="false">
      <c r="A533" s="18" t="n">
        <v>503</v>
      </c>
      <c r="D533" s="12" t="n">
        <f aca="false">D532+(1/D$29)*Rate_r*D532*(1-D532/Kappa)</f>
        <v>99.2012505576023</v>
      </c>
      <c r="E533" s="15" t="n">
        <f aca="false">A533/$D$29</f>
        <v>9.67307692307692</v>
      </c>
      <c r="F533" s="12" t="n">
        <f aca="false">Kappa*Users_x0/(Users_x0+(Kappa-Users_x0)*EXP(-Rate_r*E533))</f>
        <v>99.1949587324885</v>
      </c>
    </row>
    <row r="534" customFormat="false" ht="15" hidden="false" customHeight="false" outlineLevel="0" collapsed="false">
      <c r="A534" s="18" t="n">
        <v>504</v>
      </c>
      <c r="D534" s="12" t="n">
        <f aca="false">D533+(1/D$29)*Rate_r*D533*(1-D533/Kappa)</f>
        <v>99.2149646439891</v>
      </c>
      <c r="E534" s="15" t="n">
        <f aca="false">A534/$D$29</f>
        <v>9.69230769230769</v>
      </c>
      <c r="F534" s="12" t="n">
        <f aca="false">Kappa*Users_x0/(Users_x0+(Kappa-Users_x0)*EXP(-Rate_r*E534))</f>
        <v>99.2086629426094</v>
      </c>
    </row>
    <row r="535" customFormat="false" ht="15" hidden="false" customHeight="false" outlineLevel="0" collapsed="false">
      <c r="A535" s="18" t="n">
        <v>505</v>
      </c>
      <c r="D535" s="12" t="n">
        <f aca="false">D534+(1/D$29)*Rate_r*D534*(1-D534/Kappa)</f>
        <v>99.2284451304471</v>
      </c>
      <c r="E535" s="15" t="n">
        <f aca="false">A535/$D$29</f>
        <v>9.71153846153846</v>
      </c>
      <c r="F535" s="12" t="n">
        <f aca="false">Kappa*Users_x0/(Users_x0+(Kappa-Users_x0)*EXP(-Rate_r*E535))</f>
        <v>99.2221356954677</v>
      </c>
    </row>
    <row r="536" customFormat="false" ht="15" hidden="false" customHeight="false" outlineLevel="0" collapsed="false">
      <c r="A536" s="18" t="n">
        <v>506</v>
      </c>
      <c r="D536" s="12" t="n">
        <f aca="false">D535+(1/D$29)*Rate_r*D535*(1-D535/Kappa)</f>
        <v>99.2416959325692</v>
      </c>
      <c r="E536" s="15" t="n">
        <f aca="false">A536/$D$29</f>
        <v>9.73076923076923</v>
      </c>
      <c r="F536" s="12" t="n">
        <f aca="false">Kappa*Users_x0/(Users_x0+(Kappa-Users_x0)*EXP(-Rate_r*E536))</f>
        <v>99.2353808384874</v>
      </c>
    </row>
    <row r="537" customFormat="false" ht="15" hidden="false" customHeight="false" outlineLevel="0" collapsed="false">
      <c r="A537" s="18" t="n">
        <v>507</v>
      </c>
      <c r="D537" s="12" t="n">
        <f aca="false">D536+(1/D$29)*Rate_r*D536*(1-D536/Kappa)</f>
        <v>99.2547209024761</v>
      </c>
      <c r="E537" s="15" t="n">
        <f aca="false">A537/$D$29</f>
        <v>9.75</v>
      </c>
      <c r="F537" s="12" t="n">
        <f aca="false">Kappa*Users_x0/(Users_x0+(Kappa-Users_x0)*EXP(-Rate_r*E537))</f>
        <v>99.2484021572245</v>
      </c>
    </row>
    <row r="538" customFormat="false" ht="15" hidden="false" customHeight="false" outlineLevel="0" collapsed="false">
      <c r="A538" s="18" t="n">
        <v>508</v>
      </c>
      <c r="D538" s="12" t="n">
        <f aca="false">D537+(1/D$29)*Rate_r*D537*(1-D537/Kappa)</f>
        <v>99.2675238297717</v>
      </c>
      <c r="E538" s="15" t="n">
        <f aca="false">A538/$D$29</f>
        <v>9.76923076923077</v>
      </c>
      <c r="F538" s="12" t="n">
        <f aca="false">Kappa*Users_x0/(Users_x0+(Kappa-Users_x0)*EXP(-Rate_r*E538))</f>
        <v>99.2612033762917</v>
      </c>
    </row>
    <row r="539" customFormat="false" ht="15" hidden="false" customHeight="false" outlineLevel="0" collapsed="false">
      <c r="A539" s="18" t="n">
        <v>509</v>
      </c>
      <c r="D539" s="12" t="n">
        <f aca="false">D538+(1/D$29)*Rate_r*D538*(1-D538/Kappa)</f>
        <v>99.2801084424861</v>
      </c>
      <c r="E539" s="15" t="n">
        <f aca="false">A539/$D$29</f>
        <v>9.78846153846154</v>
      </c>
      <c r="F539" s="12" t="n">
        <f aca="false">Kappa*Users_x0/(Users_x0+(Kappa-Users_x0)*EXP(-Rate_r*E539))</f>
        <v>99.2737881602708</v>
      </c>
    </row>
    <row r="540" customFormat="false" ht="15" hidden="false" customHeight="false" outlineLevel="0" collapsed="false">
      <c r="A540" s="18" t="n">
        <v>510</v>
      </c>
      <c r="D540" s="12" t="n">
        <f aca="false">D539+(1/D$29)*Rate_r*D539*(1-D539/Kappa)</f>
        <v>99.2924784080067</v>
      </c>
      <c r="E540" s="15" t="n">
        <f aca="false">A540/$D$29</f>
        <v>9.80769230769231</v>
      </c>
      <c r="F540" s="12" t="n">
        <f aca="false">Kappa*Users_x0/(Users_x0+(Kappa-Users_x0)*EXP(-Rate_r*E540))</f>
        <v>99.286160114614</v>
      </c>
    </row>
    <row r="541" customFormat="false" ht="15" hidden="false" customHeight="false" outlineLevel="0" collapsed="false">
      <c r="A541" s="18" t="n">
        <v>511</v>
      </c>
      <c r="D541" s="12" t="n">
        <f aca="false">D540+(1/D$29)*Rate_r*D540*(1-D540/Kappa)</f>
        <v>99.3046373339983</v>
      </c>
      <c r="E541" s="15" t="n">
        <f aca="false">A541/$D$29</f>
        <v>9.82692307692308</v>
      </c>
      <c r="F541" s="12" t="n">
        <f aca="false">Kappa*Users_x0/(Users_x0+(Kappa-Users_x0)*EXP(-Rate_r*E541))</f>
        <v>99.2983227865341</v>
      </c>
    </row>
    <row r="542" customFormat="false" ht="15" hidden="false" customHeight="false" outlineLevel="0" collapsed="false">
      <c r="A542" s="18" t="n">
        <v>512</v>
      </c>
      <c r="D542" s="12" t="n">
        <f aca="false">D541+(1/D$29)*Rate_r*D541*(1-D541/Kappa)</f>
        <v>99.3165887693111</v>
      </c>
      <c r="E542" s="15" t="n">
        <f aca="false">A542/$D$29</f>
        <v>9.84615384615385</v>
      </c>
      <c r="F542" s="12" t="n">
        <f aca="false">Kappa*Users_x0/(Users_x0+(Kappa-Users_x0)*EXP(-Rate_r*E542))</f>
        <v>99.3102796658833</v>
      </c>
    </row>
    <row r="543" customFormat="false" ht="15" hidden="false" customHeight="false" outlineLevel="0" collapsed="false">
      <c r="A543" s="18" t="n">
        <v>513</v>
      </c>
      <c r="D543" s="12" t="n">
        <f aca="false">D542+(1/D$29)*Rate_r*D542*(1-D542/Kappa)</f>
        <v>99.3283362048771</v>
      </c>
      <c r="E543" s="15" t="n">
        <f aca="false">A543/$D$29</f>
        <v>9.86538461538462</v>
      </c>
      <c r="F543" s="12" t="n">
        <f aca="false">Kappa*Users_x0/(Users_x0+(Kappa-Users_x0)*EXP(-Rate_r*E543))</f>
        <v>99.3220341860214</v>
      </c>
    </row>
    <row r="544" customFormat="false" ht="15" hidden="false" customHeight="false" outlineLevel="0" collapsed="false">
      <c r="A544" s="18" t="n">
        <v>514</v>
      </c>
      <c r="D544" s="12" t="n">
        <f aca="false">D543+(1/D$29)*Rate_r*D543*(1-D543/Kappa)</f>
        <v>99.3398830745949</v>
      </c>
      <c r="E544" s="15" t="n">
        <f aca="false">A544/$D$29</f>
        <v>9.88461538461539</v>
      </c>
      <c r="F544" s="12" t="n">
        <f aca="false">Kappa*Users_x0/(Users_x0+(Kappa-Users_x0)*EXP(-Rate_r*E544))</f>
        <v>99.3335897246718</v>
      </c>
    </row>
    <row r="545" customFormat="false" ht="15" hidden="false" customHeight="false" outlineLevel="0" collapsed="false">
      <c r="A545" s="18" t="n">
        <v>515</v>
      </c>
      <c r="D545" s="12" t="n">
        <f aca="false">D544+(1/D$29)*Rate_r*D544*(1-D544/Kappa)</f>
        <v>99.3512327562039</v>
      </c>
      <c r="E545" s="15" t="n">
        <f aca="false">A545/$D$29</f>
        <v>9.90384615384615</v>
      </c>
      <c r="F545" s="12" t="n">
        <f aca="false">Kappa*Users_x0/(Users_x0+(Kappa-Users_x0)*EXP(-Rate_r*E545))</f>
        <v>99.344949604768</v>
      </c>
    </row>
    <row r="546" customFormat="false" ht="15" hidden="false" customHeight="false" outlineLevel="0" collapsed="false">
      <c r="A546" s="18" t="n">
        <v>516</v>
      </c>
      <c r="D546" s="12" t="n">
        <f aca="false">D545+(1/D$29)*Rate_r*D545*(1-D545/Kappa)</f>
        <v>99.362388572146</v>
      </c>
      <c r="E546" s="15" t="n">
        <f aca="false">A546/$D$29</f>
        <v>9.92307692307692</v>
      </c>
      <c r="F546" s="12" t="n">
        <f aca="false">Kappa*Users_x0/(Users_x0+(Kappa-Users_x0)*EXP(-Rate_r*E546))</f>
        <v>99.3561170952876</v>
      </c>
    </row>
    <row r="547" customFormat="false" ht="15" hidden="false" customHeight="false" outlineLevel="0" collapsed="false">
      <c r="A547" s="18" t="n">
        <v>517</v>
      </c>
      <c r="D547" s="12" t="n">
        <f aca="false">D546+(1/D$29)*Rate_r*D546*(1-D546/Kappa)</f>
        <v>99.3733537904166</v>
      </c>
      <c r="E547" s="15" t="n">
        <f aca="false">A547/$D$29</f>
        <v>9.94230769230769</v>
      </c>
      <c r="F547" s="12" t="n">
        <f aca="false">Kappa*Users_x0/(Users_x0+(Kappa-Users_x0)*EXP(-Rate_r*E547))</f>
        <v>99.3670954120772</v>
      </c>
    </row>
    <row r="548" customFormat="false" ht="15" hidden="false" customHeight="false" outlineLevel="0" collapsed="false">
      <c r="A548" s="18" t="n">
        <v>518</v>
      </c>
      <c r="D548" s="12" t="n">
        <f aca="false">D547+(1/D$29)*Rate_r*D547*(1-D547/Kappa)</f>
        <v>99.3841316254046</v>
      </c>
      <c r="E548" s="15" t="n">
        <f aca="false">A548/$D$29</f>
        <v>9.96153846153846</v>
      </c>
      <c r="F548" s="12" t="n">
        <f aca="false">Kappa*Users_x0/(Users_x0+(Kappa-Users_x0)*EXP(-Rate_r*E548))</f>
        <v>99.3778877186645</v>
      </c>
    </row>
    <row r="549" customFormat="false" ht="15" hidden="false" customHeight="false" outlineLevel="0" collapsed="false">
      <c r="A549" s="18" t="n">
        <v>519</v>
      </c>
      <c r="D549" s="12" t="n">
        <f aca="false">D548+(1/D$29)*Rate_r*D548*(1-D548/Kappa)</f>
        <v>99.3947252387208</v>
      </c>
      <c r="E549" s="15" t="n">
        <f aca="false">A549/$D$29</f>
        <v>9.98076923076923</v>
      </c>
      <c r="F549" s="12" t="n">
        <f aca="false">Kappa*Users_x0/(Users_x0+(Kappa-Users_x0)*EXP(-Rate_r*E549))</f>
        <v>99.3884971270614</v>
      </c>
    </row>
    <row r="550" customFormat="false" ht="15" hidden="false" customHeight="false" outlineLevel="0" collapsed="false">
      <c r="A550" s="18" t="n">
        <v>520</v>
      </c>
      <c r="D550" s="12" t="n">
        <f aca="false">D549+(1/D$29)*Rate_r*D549*(1-D549/Kappa)</f>
        <v>99.4051377400154</v>
      </c>
      <c r="E550" s="15" t="n">
        <f aca="false">A550/$D$29</f>
        <v>10</v>
      </c>
      <c r="F550" s="12" t="n">
        <f aca="false">Kappa*Users_x0/(Users_x0+(Kappa-Users_x0)*EXP(-Rate_r*E550))</f>
        <v>99.3989266985556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12" min="2" style="0" width="14"/>
  </cols>
  <sheetData>
    <row r="1" customFormat="false" ht="15" hidden="false" customHeight="false" outlineLevel="0" collapsed="false">
      <c r="A1" s="1" t="s">
        <v>140</v>
      </c>
    </row>
    <row r="2" customFormat="false" ht="15" hidden="false" customHeight="false" outlineLevel="0" collapsed="false">
      <c r="A2" s="10" t="s">
        <v>141</v>
      </c>
    </row>
    <row r="4" customFormat="false" ht="15" hidden="false" customHeight="false" outlineLevel="0" collapsed="false">
      <c r="A4" s="8" t="s">
        <v>142</v>
      </c>
      <c r="B4" s="8" t="s">
        <v>50</v>
      </c>
      <c r="C4" s="8" t="s">
        <v>51</v>
      </c>
      <c r="D4" s="8" t="s">
        <v>52</v>
      </c>
    </row>
    <row r="5" customFormat="false" ht="15" hidden="false" customHeight="false" outlineLevel="0" collapsed="false">
      <c r="A5" s="2" t="s">
        <v>143</v>
      </c>
      <c r="B5" s="19" t="n">
        <v>0.973419566268681</v>
      </c>
      <c r="C5" s="19" t="n">
        <v>0.0138389786327527</v>
      </c>
      <c r="D5" s="19" t="n">
        <v>0</v>
      </c>
    </row>
    <row r="6" customFormat="false" ht="15" hidden="false" customHeight="false" outlineLevel="0" collapsed="false">
      <c r="A6" s="2" t="s">
        <v>144</v>
      </c>
      <c r="B6" s="19" t="n">
        <v>0.0276779572655053</v>
      </c>
      <c r="C6" s="19" t="n">
        <v>0.959580587635929</v>
      </c>
      <c r="D6" s="19" t="n">
        <v>0</v>
      </c>
    </row>
    <row r="7" customFormat="false" ht="15" hidden="false" customHeight="false" outlineLevel="0" collapsed="false">
      <c r="A7" s="2" t="s">
        <v>145</v>
      </c>
      <c r="B7" s="19" t="n">
        <v>0.0129007446248307</v>
      </c>
      <c r="C7" s="19" t="n">
        <v>0.0286161912734273</v>
      </c>
      <c r="D7" s="19" t="n">
        <v>0.945741609003176</v>
      </c>
    </row>
    <row r="8" customFormat="false" ht="15" hidden="false" customHeight="false" outlineLevel="0" collapsed="false">
      <c r="A8" s="2" t="s">
        <v>146</v>
      </c>
      <c r="B8" s="19" t="n">
        <v>0.154543746484075</v>
      </c>
      <c r="C8" s="19" t="n">
        <v>0.073156159988838</v>
      </c>
      <c r="D8" s="19" t="n">
        <v>-0.00641250416919567</v>
      </c>
    </row>
    <row r="9" customFormat="false" ht="15" hidden="false" customHeight="false" outlineLevel="0" collapsed="false">
      <c r="A9" s="2" t="s">
        <v>147</v>
      </c>
      <c r="B9" s="19" t="n">
        <v>-0.108576713363104</v>
      </c>
      <c r="C9" s="19" t="n">
        <v>0.057283418975553</v>
      </c>
      <c r="D9" s="19" t="n">
        <v>0</v>
      </c>
    </row>
    <row r="10" customFormat="false" ht="15" hidden="false" customHeight="false" outlineLevel="0" collapsed="false">
      <c r="A10" s="2" t="s">
        <v>148</v>
      </c>
      <c r="B10" s="19" t="n">
        <v>0.114566837951106</v>
      </c>
      <c r="C10" s="19" t="n">
        <v>-0.165860132338657</v>
      </c>
      <c r="D10" s="19" t="n">
        <v>0</v>
      </c>
    </row>
    <row r="11" customFormat="false" ht="15" hidden="false" customHeight="false" outlineLevel="0" collapsed="false">
      <c r="A11" s="2" t="s">
        <v>149</v>
      </c>
      <c r="B11" s="19" t="n">
        <v>0.0520668379511062</v>
      </c>
      <c r="C11" s="19" t="n">
        <v>0.119783418975553</v>
      </c>
      <c r="D11" s="19" t="n">
        <v>-0.22314355131421</v>
      </c>
    </row>
    <row r="12" customFormat="false" ht="15" hidden="false" customHeight="false" outlineLevel="0" collapsed="false">
      <c r="A12" s="2" t="s">
        <v>150</v>
      </c>
      <c r="B12" s="19" t="n">
        <v>0.624504719532611</v>
      </c>
      <c r="C12" s="19" t="n">
        <v>0.289789392561296</v>
      </c>
      <c r="D12" s="19" t="n">
        <v>-0.0348547661528475</v>
      </c>
    </row>
    <row r="14" customFormat="false" ht="15" hidden="false" customHeight="false" outlineLevel="0" collapsed="false">
      <c r="A14" s="8" t="s">
        <v>151</v>
      </c>
      <c r="B14" s="8" t="s">
        <v>50</v>
      </c>
      <c r="C14" s="8" t="s">
        <v>51</v>
      </c>
      <c r="D14" s="8" t="s">
        <v>52</v>
      </c>
    </row>
    <row r="15" customFormat="false" ht="15" hidden="false" customHeight="false" outlineLevel="0" collapsed="false">
      <c r="B15" s="20" t="n">
        <f aca="false">B5*B5+C5*B6+D5*B7</f>
        <v>0.947928686653903</v>
      </c>
      <c r="C15" s="20" t="n">
        <f aca="false">B5*C5+C5*C6+D5*C7</f>
        <v>0.0267507478269935</v>
      </c>
      <c r="D15" s="20" t="n">
        <f aca="false">B5*D5+C5*D6+D5*D7</f>
        <v>0</v>
      </c>
    </row>
    <row r="16" customFormat="false" ht="15" hidden="false" customHeight="false" outlineLevel="0" collapsed="false">
      <c r="B16" s="20" t="n">
        <f aca="false">B6*B5+C6*B6+D6*B7</f>
        <v>0.053501495653987</v>
      </c>
      <c r="C16" s="20" t="n">
        <f aca="false">B6*C5+C6*C6+D6*C7</f>
        <v>0.921177938826909</v>
      </c>
      <c r="D16" s="20" t="n">
        <f aca="false">B6*D5+C6*D6+D6*D7</f>
        <v>0</v>
      </c>
    </row>
    <row r="17" customFormat="false" ht="15" hidden="false" customHeight="false" outlineLevel="0" collapsed="false">
      <c r="B17" s="20" t="n">
        <f aca="false">B7*B5+C7*B6+D7*B7</f>
        <v>0.0255506459352396</v>
      </c>
      <c r="C17" s="20" t="n">
        <f aca="false">B7*C5+C7*C6+D7*C7</f>
        <v>0.0547015975457409</v>
      </c>
      <c r="D17" s="20" t="n">
        <f aca="false">B7*D5+C7*D6+D7*D7</f>
        <v>0.894427190999916</v>
      </c>
    </row>
    <row r="18" customFormat="false" ht="23.85" hidden="false" customHeight="false" outlineLevel="0" collapsed="false">
      <c r="A18" s="8" t="s">
        <v>152</v>
      </c>
      <c r="B18" s="8" t="s">
        <v>50</v>
      </c>
      <c r="C18" s="8" t="s">
        <v>51</v>
      </c>
      <c r="D18" s="8" t="s">
        <v>52</v>
      </c>
    </row>
    <row r="19" customFormat="false" ht="15" hidden="false" customHeight="false" outlineLevel="0" collapsed="false">
      <c r="B19" s="20" t="n">
        <f aca="false">B15*B15+C15*B16+D15*B17</f>
        <v>0.9</v>
      </c>
      <c r="C19" s="20" t="n">
        <f aca="false">B15*C15+C15*C16+D15*C17</f>
        <v>0.05</v>
      </c>
      <c r="D19" s="20" t="n">
        <f aca="false">B15*D15+C15*D16+D15*D17</f>
        <v>0</v>
      </c>
    </row>
    <row r="20" customFormat="false" ht="15" hidden="false" customHeight="false" outlineLevel="0" collapsed="false">
      <c r="B20" s="20" t="n">
        <f aca="false">B16*B15+C16*B16+D16*B17</f>
        <v>0.1</v>
      </c>
      <c r="C20" s="20" t="n">
        <f aca="false">B16*C15+C16*C16+D16*C17</f>
        <v>0.85</v>
      </c>
      <c r="D20" s="20" t="n">
        <f aca="false">B16*D15+C16*D16+D16*D17</f>
        <v>0</v>
      </c>
    </row>
    <row r="21" customFormat="false" ht="15" hidden="false" customHeight="false" outlineLevel="0" collapsed="false">
      <c r="B21" s="20" t="n">
        <f aca="false">B17*B15+C17*B16+D17*B17</f>
        <v>0.05</v>
      </c>
      <c r="C21" s="20" t="n">
        <f aca="false">B17*C15+C17*C16+D17*C17</f>
        <v>0.1</v>
      </c>
      <c r="D21" s="20" t="n">
        <f aca="false">B17*D15+C17*D16+D17*D17</f>
        <v>0.8</v>
      </c>
    </row>
    <row r="22" customFormat="false" ht="15" hidden="false" customHeight="false" outlineLevel="0" collapsed="false">
      <c r="A22" s="8" t="s">
        <v>153</v>
      </c>
      <c r="B22" s="8" t="s">
        <v>50</v>
      </c>
      <c r="C22" s="8" t="s">
        <v>51</v>
      </c>
      <c r="D22" s="8" t="s">
        <v>52</v>
      </c>
    </row>
    <row r="23" customFormat="false" ht="15" hidden="false" customHeight="false" outlineLevel="0" collapsed="false">
      <c r="B23" s="21" t="n">
        <f aca="false">ABS(B19-Declarations!$B$20)</f>
        <v>0</v>
      </c>
      <c r="C23" s="21" t="n">
        <f aca="false">ABS(C19-Declarations!$C$20)</f>
        <v>0</v>
      </c>
      <c r="D23" s="21" t="n">
        <f aca="false">ABS(D19-Declarations!$D$20)</f>
        <v>0</v>
      </c>
    </row>
    <row r="24" customFormat="false" ht="15" hidden="false" customHeight="false" outlineLevel="0" collapsed="false">
      <c r="B24" s="21" t="n">
        <f aca="false">ABS(B20-Declarations!$B$21)</f>
        <v>0</v>
      </c>
      <c r="C24" s="21" t="n">
        <f aca="false">ABS(C20-Declarations!$C$21)</f>
        <v>0</v>
      </c>
      <c r="D24" s="21" t="n">
        <f aca="false">ABS(D20-Declarations!$D$21)</f>
        <v>0</v>
      </c>
    </row>
    <row r="25" customFormat="false" ht="15" hidden="false" customHeight="false" outlineLevel="0" collapsed="false">
      <c r="B25" s="21" t="n">
        <f aca="false">ABS(B21-Declarations!$B$22)</f>
        <v>0</v>
      </c>
      <c r="C25" s="21" t="n">
        <f aca="false">ABS(C21-Declarations!$C$22)</f>
        <v>0</v>
      </c>
      <c r="D25" s="21" t="n">
        <f aca="false">ABS(D21-Declarations!$D$22)</f>
        <v>0</v>
      </c>
    </row>
    <row r="26" customFormat="false" ht="15" hidden="false" customHeight="false" outlineLevel="0" collapsed="false">
      <c r="A26" s="4" t="s">
        <v>154</v>
      </c>
      <c r="B26" s="21" t="n">
        <f aca="false">MAX(B23:D25)</f>
        <v>0</v>
      </c>
    </row>
    <row r="29" customFormat="false" ht="23.85" hidden="false" customHeight="false" outlineLevel="0" collapsed="false">
      <c r="A29" s="8" t="s">
        <v>155</v>
      </c>
      <c r="B29" s="8" t="s">
        <v>156</v>
      </c>
      <c r="C29" s="8" t="s">
        <v>51</v>
      </c>
      <c r="D29" s="8" t="s">
        <v>52</v>
      </c>
      <c r="E29" s="8" t="s">
        <v>157</v>
      </c>
      <c r="F29" s="8" t="s">
        <v>51</v>
      </c>
      <c r="G29" s="8" t="s">
        <v>52</v>
      </c>
      <c r="H29" s="8" t="s">
        <v>158</v>
      </c>
      <c r="I29" s="8" t="s">
        <v>159</v>
      </c>
      <c r="J29" s="8" t="s">
        <v>51</v>
      </c>
      <c r="K29" s="8" t="s">
        <v>52</v>
      </c>
      <c r="L29" s="8" t="s">
        <v>160</v>
      </c>
    </row>
    <row r="30" customFormat="false" ht="15" hidden="false" customHeight="false" outlineLevel="0" collapsed="false">
      <c r="A30" s="18" t="n">
        <v>0</v>
      </c>
      <c r="B30" s="15" t="n">
        <f aca="false">Declarations!$B$24</f>
        <v>50</v>
      </c>
      <c r="C30" s="15" t="n">
        <f aca="false">Declarations!$C$24</f>
        <v>40</v>
      </c>
      <c r="D30" s="15" t="n">
        <f aca="false">Declarations!$D$24</f>
        <v>60</v>
      </c>
      <c r="E30" s="15" t="n">
        <f aca="false">Declarations!$B$24</f>
        <v>50</v>
      </c>
      <c r="F30" s="15" t="n">
        <f aca="false">Declarations!$C$24</f>
        <v>40</v>
      </c>
      <c r="G30" s="15" t="n">
        <f aca="false">Declarations!$D$24</f>
        <v>60</v>
      </c>
      <c r="H30" s="18" t="n">
        <v>0</v>
      </c>
      <c r="I30" s="15" t="n">
        <f aca="false">Declarations!$B$24</f>
        <v>50</v>
      </c>
      <c r="J30" s="15" t="n">
        <f aca="false">Declarations!$C$24</f>
        <v>40</v>
      </c>
      <c r="K30" s="15" t="n">
        <f aca="false">Declarations!$D$24</f>
        <v>60</v>
      </c>
      <c r="L30" s="21" t="n">
        <f aca="false">MAX(ABS(I30-B30),ABS(J30-C30),ABS(K30-D30))</f>
        <v>0</v>
      </c>
    </row>
    <row r="31" customFormat="false" ht="15" hidden="false" customHeight="false" outlineLevel="0" collapsed="false">
      <c r="A31" s="18" t="n">
        <v>1</v>
      </c>
      <c r="B31" s="15" t="n">
        <f aca="false">B$5*B30+C$5*C30+D$5*D30+B$8*U_held</f>
        <v>50.4608874306168</v>
      </c>
      <c r="C31" s="15" t="n">
        <f aca="false">B$6*B30+C$6*C30+D$6*D30+C$8*U_held</f>
        <v>40.3523706486231</v>
      </c>
      <c r="D31" s="15" t="n">
        <f aca="false">B$7*B30+C$7*C30+D$7*D30+D$8*U_held</f>
        <v>58.4828813890156</v>
      </c>
      <c r="E31" s="15" t="n">
        <f aca="false">E30+0.25*(B$9*E30+C$9*F30+D$9*G30+B$12*U_held)</f>
        <v>50.464634711782</v>
      </c>
      <c r="F31" s="15" t="n">
        <f aca="false">F30+0.25*(B$10*E30+C$10*F30+D$10*G30+C$12*U_held)</f>
        <v>40.3530629361249</v>
      </c>
      <c r="G31" s="15" t="n">
        <f aca="false">G30+0.25*(B$11*E30+C$11*F30+D$11*G30+D$12*U_held)</f>
        <v>58.4318068621255</v>
      </c>
      <c r="H31" s="18" t="n">
        <v>1</v>
      </c>
      <c r="I31" s="15" t="n">
        <f aca="false">Declarations!$B$20*I30+Declarations!$C$20*J30+Declarations!$D$20*K30+Declarations!$B$23*U_held</f>
        <v>51.8</v>
      </c>
      <c r="J31" s="15" t="n">
        <f aca="false">Declarations!$B$21*I30+Declarations!$C$21*J30+Declarations!$D$21*K30+Declarations!$C$23*U_held</f>
        <v>41.4</v>
      </c>
      <c r="K31" s="15" t="n">
        <f aca="false">Declarations!$B$22*I30+Declarations!$C$22*J30+Declarations!$D$22*K30+Declarations!$D$23*U_held</f>
        <v>54.5</v>
      </c>
      <c r="L31" s="21" t="n">
        <f aca="false">MAX(ABS(I31-B34),ABS(J31-C34),ABS(K31-D34))</f>
        <v>0</v>
      </c>
    </row>
    <row r="32" customFormat="false" ht="15" hidden="false" customHeight="false" outlineLevel="0" collapsed="false">
      <c r="A32" s="18" t="n">
        <v>2</v>
      </c>
      <c r="B32" s="15" t="n">
        <f aca="false">B$5*B31+C$5*C31+D$5*D31+B$8*U_held</f>
        <v>50.9144007233035</v>
      </c>
      <c r="C32" s="15" t="n">
        <f aca="false">B$6*B31+C$6*C31+D$6*D31+C$8*U_held</f>
        <v>40.7032551053033</v>
      </c>
      <c r="D32" s="15" t="n">
        <f aca="false">B$7*B31+C$7*C31+D$7*D31+D$8*U_held</f>
        <v>57.0641084897379</v>
      </c>
      <c r="E32" s="15" t="n">
        <f aca="false">E31+0.25*(B$9*E31+C$9*F31+D$9*G31+B$12*U_held)</f>
        <v>50.9217134591077</v>
      </c>
      <c r="F32" s="15" t="n">
        <f aca="false">F31+0.25*(B$10*E31+C$10*F31+D$10*G31+C$12*U_held)</f>
        <v>40.7047940383551</v>
      </c>
      <c r="G32" s="15" t="n">
        <f aca="false">G31+0.25*(B$11*E31+C$11*F31+D$11*G31+D$12*U_held)</f>
        <v>56.9677175571959</v>
      </c>
      <c r="H32" s="18" t="n">
        <v>2</v>
      </c>
      <c r="I32" s="15" t="n">
        <f aca="false">Declarations!$B$20*I31+Declarations!$C$20*J31+Declarations!$D$20*K31+Declarations!$B$23*U_held</f>
        <v>53.49</v>
      </c>
      <c r="J32" s="15" t="n">
        <f aca="false">Declarations!$B$21*I31+Declarations!$C$21*J31+Declarations!$D$21*K31+Declarations!$C$23*U_held</f>
        <v>42.77</v>
      </c>
      <c r="K32" s="15" t="n">
        <f aca="false">Declarations!$B$22*I31+Declarations!$C$22*J31+Declarations!$D$22*K31+Declarations!$D$23*U_held</f>
        <v>50.33</v>
      </c>
      <c r="L32" s="21" t="n">
        <f aca="false">MAX(ABS(I32-B38),ABS(J32-C38),ABS(K32-D38))</f>
        <v>0</v>
      </c>
    </row>
    <row r="33" customFormat="false" ht="15" hidden="false" customHeight="false" outlineLevel="0" collapsed="false">
      <c r="A33" s="18" t="n">
        <v>3</v>
      </c>
      <c r="B33" s="15" t="n">
        <f aca="false">B$5*B32+C$5*C32+D$5*D32+B$8*U_held</f>
        <v>51.3607153184663</v>
      </c>
      <c r="C33" s="15" t="n">
        <f aca="false">B$6*B32+C$6*C32+D$6*D32+C$8*U_held</f>
        <v>41.0525093399712</v>
      </c>
      <c r="D33" s="15" t="n">
        <f aca="false">B$7*B32+C$7*C32+D$7*D32+D$8*U_held</f>
        <v>55.738207561065</v>
      </c>
      <c r="E33" s="15" t="n">
        <f aca="false">E32+0.25*(B$9*E32+C$9*F32+D$9*G32+B$12*U_held)</f>
        <v>51.3714222694242</v>
      </c>
      <c r="F33" s="15" t="n">
        <f aca="false">F32+0.25*(B$10*E32+C$10*F32+D$10*G32+C$12*U_held)</f>
        <v>41.0550321154884</v>
      </c>
      <c r="G33" s="15" t="n">
        <f aca="false">G32+0.25*(B$11*E32+C$11*F32+D$11*G32+D$12*U_held)</f>
        <v>55.6017863237653</v>
      </c>
      <c r="H33" s="18" t="n">
        <v>3</v>
      </c>
      <c r="I33" s="15" t="n">
        <f aca="false">Declarations!$B$20*I32+Declarations!$C$20*J32+Declarations!$D$20*K32+Declarations!$B$23*U_held</f>
        <v>55.0795</v>
      </c>
      <c r="J33" s="15" t="n">
        <f aca="false">Declarations!$B$21*I32+Declarations!$C$21*J32+Declarations!$D$21*K32+Declarations!$C$23*U_held</f>
        <v>44.1035</v>
      </c>
      <c r="K33" s="15" t="n">
        <f aca="false">Declarations!$B$22*I32+Declarations!$C$22*J32+Declarations!$D$22*K32+Declarations!$D$23*U_held</f>
        <v>47.2155</v>
      </c>
      <c r="L33" s="21" t="n">
        <f aca="false">MAX(ABS(I33-B42),ABS(J33-C42),ABS(K33-D42))</f>
        <v>0</v>
      </c>
    </row>
    <row r="34" customFormat="false" ht="15" hidden="false" customHeight="false" outlineLevel="0" collapsed="false">
      <c r="A34" s="18" t="n">
        <v>4</v>
      </c>
      <c r="B34" s="15" t="n">
        <f aca="false">B$5*B33+C$5*C33+D$5*D33+B$8*U_held</f>
        <v>51.8</v>
      </c>
      <c r="C34" s="15" t="n">
        <f aca="false">B$6*B33+C$6*C33+D$6*D33+C$8*U_held</f>
        <v>41.4</v>
      </c>
      <c r="D34" s="15" t="n">
        <f aca="false">B$7*B33+C$7*C33+D$7*D33+D$8*U_held</f>
        <v>54.5</v>
      </c>
      <c r="E34" s="15" t="n">
        <f aca="false">E33+0.25*(B$9*E33+C$9*F33+D$9*G33+B$12*U_held)</f>
        <v>51.8139398122204</v>
      </c>
      <c r="F34" s="15" t="n">
        <f aca="false">F33+0.25*(B$10*E33+C$10*F33+D$10*G33+C$12*U_held)</f>
        <v>41.4036279882651</v>
      </c>
      <c r="G34" s="15" t="n">
        <f aca="false">G33+0.25*(B$11*E33+C$11*F33+D$11*G33+D$12*U_held)</f>
        <v>54.3283966844259</v>
      </c>
      <c r="H34" s="18" t="n">
        <v>4</v>
      </c>
      <c r="I34" s="15" t="n">
        <f aca="false">Declarations!$B$20*I33+Declarations!$C$20*J33+Declarations!$D$20*K33+Declarations!$B$23*U_held</f>
        <v>56.576725</v>
      </c>
      <c r="J34" s="15" t="n">
        <f aca="false">Declarations!$B$21*I33+Declarations!$C$21*J33+Declarations!$D$21*K33+Declarations!$C$23*U_held</f>
        <v>45.395925</v>
      </c>
      <c r="K34" s="15" t="n">
        <f aca="false">Declarations!$B$22*I33+Declarations!$C$22*J33+Declarations!$D$22*K33+Declarations!$D$23*U_held</f>
        <v>44.936725</v>
      </c>
      <c r="L34" s="21" t="n">
        <f aca="false">MAX(ABS(I34-B46),ABS(J34-C46),ABS(K34-D46))</f>
        <v>0</v>
      </c>
    </row>
    <row r="35" customFormat="false" ht="15" hidden="false" customHeight="false" outlineLevel="0" collapsed="false">
      <c r="A35" s="18" t="n">
        <v>5</v>
      </c>
      <c r="B35" s="15" t="n">
        <f aca="false">B$5*B34+C$5*C34+D$5*D34+B$8*U_held</f>
        <v>52.2324172199863</v>
      </c>
      <c r="C35" s="15" t="n">
        <f aca="false">B$6*B34+C$6*C34+D$6*D34+C$8*U_held</f>
        <v>41.7456037943913</v>
      </c>
      <c r="D35" s="15" t="n">
        <f aca="false">B$7*B34+C$7*C34+D$7*D34+D$8*U_held</f>
        <v>53.3445865476057</v>
      </c>
      <c r="E35" s="15" t="n">
        <f aca="false">E34+0.25*(B$9*E34+C$9*F34+D$9*G34+B$12*U_held)</f>
        <v>52.2494377707744</v>
      </c>
      <c r="F35" s="15" t="n">
        <f aca="false">F34+0.25*(B$10*E34+C$10*F34+D$10*G34+C$12*U_held)</f>
        <v>41.7504437805479</v>
      </c>
      <c r="G35" s="15" t="n">
        <f aca="false">G34+0.25*(B$11*E34+C$11*F34+D$11*G34+D$12*U_held)</f>
        <v>53.1422433403371</v>
      </c>
      <c r="H35" s="18" t="n">
        <v>5</v>
      </c>
      <c r="I35" s="15" t="n">
        <f aca="false">Declarations!$B$20*I34+Declarations!$C$20*J34+Declarations!$D$20*K34+Declarations!$B$23*U_held</f>
        <v>57.98884875</v>
      </c>
      <c r="J35" s="15" t="n">
        <f aca="false">Declarations!$B$21*I34+Declarations!$C$21*J34+Declarations!$D$21*K34+Declarations!$C$23*U_held</f>
        <v>46.64420875</v>
      </c>
      <c r="K35" s="15" t="n">
        <f aca="false">Declarations!$B$22*I34+Declarations!$C$22*J34+Declarations!$D$22*K34+Declarations!$D$23*U_held</f>
        <v>43.31780875</v>
      </c>
      <c r="L35" s="21" t="n">
        <f aca="false">MAX(ABS(I35-B50),ABS(J35-C50),ABS(K35-D50))</f>
        <v>0</v>
      </c>
    </row>
    <row r="36" customFormat="false" ht="15" hidden="false" customHeight="false" outlineLevel="0" collapsed="false">
      <c r="A36" s="18" t="n">
        <v>6</v>
      </c>
      <c r="B36" s="15" t="n">
        <f aca="false">B$5*B35+C$5*C35+D$5*D35+B$8*U_held</f>
        <v>52.6581234062383</v>
      </c>
      <c r="C36" s="15" t="n">
        <f aca="false">B$6*B35+C$6*C35+D$6*D35+C$8*U_held</f>
        <v>42.0892069118382</v>
      </c>
      <c r="D36" s="15" t="n">
        <f aca="false">B$7*B35+C$7*C35+D$7*D35+D$8*U_held</f>
        <v>52.2673323384858</v>
      </c>
      <c r="E36" s="15" t="n">
        <f aca="false">E35+0.25*(B$9*E35+C$9*F35+D$9*G35+B$12*U_held)</f>
        <v>52.6780811936586</v>
      </c>
      <c r="F36" s="15" t="n">
        <f aca="false">F35+0.25*(B$10*E35+C$10*F35+D$10*G35+C$12*U_held)</f>
        <v>42.0953522505408</v>
      </c>
      <c r="G36" s="15" t="n">
        <f aca="false">G35+0.25*(B$11*E35+C$11*F35+D$11*G35+D$12*U_held)</f>
        <v>52.0383150593967</v>
      </c>
      <c r="H36" s="18" t="n">
        <v>6</v>
      </c>
      <c r="I36" s="15" t="n">
        <f aca="false">Declarations!$B$20*I35+Declarations!$C$20*J35+Declarations!$D$20*K35+Declarations!$B$23*U_held</f>
        <v>59.3221743125</v>
      </c>
      <c r="J36" s="15" t="n">
        <f aca="false">Declarations!$B$21*I35+Declarations!$C$21*J35+Declarations!$D$21*K35+Declarations!$C$23*U_held</f>
        <v>47.8464623125</v>
      </c>
      <c r="K36" s="15" t="n">
        <f aca="false">Declarations!$B$22*I35+Declarations!$C$22*J35+Declarations!$D$22*K35+Declarations!$D$23*U_held</f>
        <v>42.2181103125</v>
      </c>
      <c r="L36" s="21" t="n">
        <f aca="false">MAX(ABS(I36-B54),ABS(J36-C54),ABS(K36-D54))</f>
        <v>0</v>
      </c>
    </row>
    <row r="37" customFormat="false" ht="15" hidden="false" customHeight="false" outlineLevel="0" collapsed="false">
      <c r="A37" s="18" t="n">
        <v>7</v>
      </c>
      <c r="B37" s="15" t="n">
        <f aca="false">B$5*B36+C$5*C36+D$5*D36+B$8*U_held</f>
        <v>53.0772692536183</v>
      </c>
      <c r="C37" s="15" t="n">
        <f aca="false">B$6*B36+C$6*C36+D$6*D36+C$8*U_held</f>
        <v>42.4307044708222</v>
      </c>
      <c r="D37" s="15" t="n">
        <f aca="false">B$7*B36+C$7*C36+D$7*D36+D$8*U_held</f>
        <v>51.2638527487725</v>
      </c>
      <c r="E37" s="15" t="n">
        <f aca="false">E36+0.25*(B$9*E36+C$9*F36+D$9*G36+B$12*U_held)</f>
        <v>53.1000288271261</v>
      </c>
      <c r="F37" s="15" t="n">
        <f aca="false">F36+0.25*(B$10*E36+C$10*F36+D$10*G36+C$12*U_held)</f>
        <v>42.4382361598064</v>
      </c>
      <c r="G37" s="15" t="n">
        <f aca="false">G36+0.25*(B$11*E36+C$11*F36+D$11*G36+D$12*U_held)</f>
        <v>51.0118785035595</v>
      </c>
      <c r="H37" s="18" t="n">
        <v>7</v>
      </c>
      <c r="I37" s="15" t="n">
        <f aca="false">Declarations!$B$20*I36+Declarations!$C$20*J36+Declarations!$D$20*K36+Declarations!$B$23*U_held</f>
        <v>60.582279996875</v>
      </c>
      <c r="J37" s="15" t="n">
        <f aca="false">Declarations!$B$21*I36+Declarations!$C$21*J36+Declarations!$D$21*K36+Declarations!$C$23*U_held</f>
        <v>49.001710396875</v>
      </c>
      <c r="K37" s="15" t="n">
        <f aca="false">Declarations!$B$22*I36+Declarations!$C$22*J36+Declarations!$D$22*K36+Declarations!$D$23*U_held</f>
        <v>41.525243196875</v>
      </c>
      <c r="L37" s="21" t="n">
        <f aca="false">MAX(ABS(I37-B58),ABS(J37-C58),ABS(K37-D58))</f>
        <v>0</v>
      </c>
    </row>
    <row r="38" customFormat="false" ht="15" hidden="false" customHeight="false" outlineLevel="0" collapsed="false">
      <c r="A38" s="18" t="n">
        <v>8</v>
      </c>
      <c r="B38" s="15" t="n">
        <f aca="false">B$5*B37+C$5*C37+D$5*D37+B$8*U_held</f>
        <v>53.49</v>
      </c>
      <c r="C38" s="15" t="n">
        <f aca="false">B$6*B37+C$6*C37+D$6*D37+C$8*U_held</f>
        <v>42.77</v>
      </c>
      <c r="D38" s="15" t="n">
        <f aca="false">B$7*B37+C$7*C37+D$7*D37+D$8*U_held</f>
        <v>50.33</v>
      </c>
      <c r="E38" s="15" t="n">
        <f aca="false">E37+0.25*(B$9*E37+C$9*F37+D$9*G37+B$12*U_held)</f>
        <v>53.5154334294388</v>
      </c>
      <c r="F38" s="15" t="n">
        <f aca="false">F37+0.25*(B$10*E37+C$10*F37+D$10*G37+C$12*U_held)</f>
        <v>42.778987677967</v>
      </c>
      <c r="G38" s="15" t="n">
        <f aca="false">G37+0.25*(B$11*E37+C$11*F37+D$11*G37+D$12*U_held)</f>
        <v>50.0584629437942</v>
      </c>
      <c r="H38" s="18" t="n">
        <v>8</v>
      </c>
      <c r="I38" s="15" t="n">
        <f aca="false">Declarations!$B$20*I37+Declarations!$C$20*J37+Declarations!$D$20*K37+Declarations!$B$23*U_held</f>
        <v>61.7741375170312</v>
      </c>
      <c r="J38" s="15" t="n">
        <f aca="false">Declarations!$B$21*I37+Declarations!$C$21*J37+Declarations!$D$21*K37+Declarations!$C$23*U_held</f>
        <v>50.1096818370312</v>
      </c>
      <c r="K38" s="15" t="n">
        <f aca="false">Declarations!$B$22*I37+Declarations!$C$22*J37+Declarations!$D$22*K37+Declarations!$D$23*U_held</f>
        <v>41.1494795970313</v>
      </c>
      <c r="L38" s="21" t="n">
        <f aca="false">MAX(ABS(I38-B62),ABS(J38-C62),ABS(K38-D62))</f>
        <v>0</v>
      </c>
    </row>
    <row r="39" customFormat="false" ht="15" hidden="false" customHeight="false" outlineLevel="0" collapsed="false">
      <c r="A39" s="18" t="n">
        <v>9</v>
      </c>
      <c r="B39" s="15" t="n">
        <f aca="false">B$5*B38+C$5*C38+D$5*D38+B$8*U_held</f>
        <v>53.8964556877072</v>
      </c>
      <c r="C39" s="15" t="n">
        <f aca="false">B$6*B38+C$6*C38+D$6*D38+C$8*U_held</f>
        <v>43.1070049472313</v>
      </c>
      <c r="D39" s="15" t="n">
        <f aca="false">B$7*B38+C$7*C38+D$7*D38+D$8*U_held</f>
        <v>49.461850478523</v>
      </c>
      <c r="E39" s="15" t="n">
        <f aca="false">E38+0.25*(B$9*E38+C$9*F38+D$9*G38+B$12*U_held)</f>
        <v>53.9244420681382</v>
      </c>
      <c r="F39" s="15" t="n">
        <f aca="false">F38+0.25*(B$10*E38+C$10*F38+D$10*G38+C$12*U_held)</f>
        <v>43.1175078210927</v>
      </c>
      <c r="G39" s="15" t="n">
        <f aca="false">G38+0.25*(B$11*E38+C$11*F38+D$11*G38+D$12*U_held)</f>
        <v>49.1738458139947</v>
      </c>
      <c r="H39" s="18" t="n">
        <v>9</v>
      </c>
      <c r="I39" s="15" t="n">
        <f aca="false">Declarations!$B$20*I38+Declarations!$C$20*J38+Declarations!$D$20*K38+Declarations!$B$23*U_held</f>
        <v>62.9022078571797</v>
      </c>
      <c r="J39" s="15" t="n">
        <f aca="false">Declarations!$B$21*I38+Declarations!$C$21*J38+Declarations!$D$21*K38+Declarations!$C$23*U_held</f>
        <v>51.1706433131797</v>
      </c>
      <c r="K39" s="15" t="n">
        <f aca="false">Declarations!$B$22*I38+Declarations!$C$22*J38+Declarations!$D$22*K38+Declarations!$D$23*U_held</f>
        <v>41.0192587371797</v>
      </c>
      <c r="L39" s="21" t="n">
        <f aca="false">MAX(ABS(I39-B66),ABS(J39-C66),ABS(K39-D66))</f>
        <v>0</v>
      </c>
    </row>
    <row r="40" customFormat="false" ht="15" hidden="false" customHeight="false" outlineLevel="0" collapsed="false">
      <c r="A40" s="18" t="n">
        <v>10</v>
      </c>
      <c r="B40" s="15" t="n">
        <f aca="false">B$5*B39+C$5*C39+D$5*D39+B$8*U_held</f>
        <v>54.2967714112064</v>
      </c>
      <c r="C40" s="15" t="n">
        <f aca="false">B$6*B39+C$6*C39+D$6*D39+C$8*U_held</f>
        <v>43.4416382156863</v>
      </c>
      <c r="D40" s="15" t="n">
        <f aca="false">B$7*B39+C$7*C39+D$7*D39+D$8*U_held</f>
        <v>48.6556927322844</v>
      </c>
      <c r="E40" s="15" t="n">
        <f aca="false">E39+0.25*(B$9*E39+C$9*F39+D$9*G39+B$12*U_held)</f>
        <v>54.3271964012034</v>
      </c>
      <c r="F40" s="15" t="n">
        <f aca="false">F39+0.25*(B$10*E39+C$10*F39+D$10*G39+C$12*U_held)</f>
        <v>43.4537059218914</v>
      </c>
      <c r="G40" s="15" t="n">
        <f aca="false">G39+0.25*(B$11*E39+C$11*F39+D$11*G39+D$12*U_held)</f>
        <v>48.3540390578312</v>
      </c>
      <c r="H40" s="18" t="n">
        <v>10</v>
      </c>
      <c r="I40" s="15" t="n">
        <f aca="false">Declarations!$B$20*I39+Declarations!$C$20*J39+Declarations!$D$20*K39+Declarations!$B$23*U_held</f>
        <v>63.9705192371207</v>
      </c>
      <c r="J40" s="15" t="n">
        <f aca="false">Declarations!$B$21*I39+Declarations!$C$21*J39+Declarations!$D$21*K39+Declarations!$C$23*U_held</f>
        <v>52.1852676019207</v>
      </c>
      <c r="K40" s="15" t="n">
        <f aca="false">Declarations!$B$22*I39+Declarations!$C$22*J39+Declarations!$D$22*K39+Declarations!$D$23*U_held</f>
        <v>41.0775817139207</v>
      </c>
      <c r="L40" s="21" t="n">
        <f aca="false">MAX(ABS(I40-B70),ABS(J40-C70),ABS(K40-D70))</f>
        <v>0</v>
      </c>
    </row>
    <row r="41" customFormat="false" ht="15" hidden="false" customHeight="false" outlineLevel="0" collapsed="false">
      <c r="A41" s="18" t="n">
        <v>11</v>
      </c>
      <c r="B41" s="15" t="n">
        <f aca="false">B$5*B40+C$5*C40+D$5*D40+B$8*U_held</f>
        <v>54.6910775517976</v>
      </c>
      <c r="C41" s="15" t="n">
        <f aca="false">B$6*B40+C$6*C40+D$6*D40+C$8*U_held</f>
        <v>43.7738257255607</v>
      </c>
      <c r="D41" s="15" t="n">
        <f aca="false">B$7*B40+C$7*C40+D$7*D40+D$8*U_held</f>
        <v>47.9080161087811</v>
      </c>
      <c r="E41" s="15" t="n">
        <f aca="false">E40+0.25*(B$9*E40+C$9*F40+D$9*G40+B$12*U_held)</f>
        <v>54.723832942991</v>
      </c>
      <c r="F41" s="15" t="n">
        <f aca="false">F40+0.25*(B$10*E40+C$10*F40+D$10*G40+C$12*U_held)</f>
        <v>43.7874991299202</v>
      </c>
      <c r="G41" s="15" t="n">
        <f aca="false">G40+0.25*(B$11*E40+C$11*F40+D$11*G40+D$12*U_held)</f>
        <v>47.5952762250484</v>
      </c>
    </row>
    <row r="42" customFormat="false" ht="15" hidden="false" customHeight="false" outlineLevel="0" collapsed="false">
      <c r="A42" s="18" t="n">
        <v>12</v>
      </c>
      <c r="B42" s="15" t="n">
        <f aca="false">B$5*B41+C$5*C41+D$5*D41+B$8*U_held</f>
        <v>55.0795</v>
      </c>
      <c r="C42" s="15" t="n">
        <f aca="false">B$6*B41+C$6*C41+D$6*D41+C$8*U_held</f>
        <v>44.1035</v>
      </c>
      <c r="D42" s="15" t="n">
        <f aca="false">B$7*B41+C$7*C41+D$7*D41+D$8*U_held</f>
        <v>47.2155</v>
      </c>
      <c r="E42" s="15" t="n">
        <f aca="false">E41+0.25*(B$9*E41+C$9*F41+D$9*G41+B$12*U_held)</f>
        <v>55.1144833157986</v>
      </c>
      <c r="F42" s="15" t="n">
        <f aca="false">F41+0.25*(B$10*E41+C$10*F41+D$10*G41+C$12*U_held)</f>
        <v>44.1188119401367</v>
      </c>
      <c r="G42" s="15" t="n">
        <f aca="false">G41+0.25*(B$11*E41+C$11*F41+D$11*G41+D$12*U_held)</f>
        <v>46.8940002761024</v>
      </c>
    </row>
    <row r="43" customFormat="false" ht="15" hidden="false" customHeight="false" outlineLevel="0" collapsed="false">
      <c r="A43" s="18" t="n">
        <v>13</v>
      </c>
      <c r="B43" s="15" t="n">
        <f aca="false">B$5*B42+C$5*C42+D$5*D42+B$8*U_held</f>
        <v>55.4621603662981</v>
      </c>
      <c r="C43" s="15" t="n">
        <f aca="false">B$6*B42+C$6*C42+D$6*D42+C$8*U_held</f>
        <v>44.4305997739173</v>
      </c>
      <c r="D43" s="15" t="n">
        <f aca="false">B$7*B42+C$7*C42+D$7*D42+D$8*U_held</f>
        <v>46.5750036619269</v>
      </c>
      <c r="E43" s="15" t="n">
        <f aca="false">E42+0.25*(B$9*E42+C$9*F42+D$9*G42+B$12*U_held)</f>
        <v>55.4992744878477</v>
      </c>
      <c r="F43" s="15" t="n">
        <f aca="false">F42+0.25*(B$10*E42+C$10*F42+D$10*G42+C$12*U_held)</f>
        <v>44.4475757482054</v>
      </c>
      <c r="G43" s="15" t="n">
        <f aca="false">G42+0.25*(B$11*E42+C$11*F42+D$11*G42+D$12*U_held)</f>
        <v>46.2468520562849</v>
      </c>
      <c r="H43" s="4" t="s">
        <v>161</v>
      </c>
      <c r="L43" s="21" t="n">
        <f aca="false">MAX(L30:L40)</f>
        <v>0</v>
      </c>
    </row>
    <row r="44" customFormat="false" ht="15" hidden="false" customHeight="false" outlineLevel="0" collapsed="false">
      <c r="A44" s="18" t="n">
        <v>14</v>
      </c>
      <c r="B44" s="15" t="n">
        <f aca="false">B$5*B43+C$5*C43+D$5*D43+B$8*U_held</f>
        <v>55.8391761808701</v>
      </c>
      <c r="C44" s="15" t="n">
        <f aca="false">B$6*B43+C$6*C43+D$6*D43+C$8*U_held</f>
        <v>44.755069624454</v>
      </c>
      <c r="D44" s="15" t="n">
        <f aca="false">B$7*B43+C$7*C43+D$7*D43+D$8*U_held</f>
        <v>45.9835565779565</v>
      </c>
      <c r="E44" s="15" t="n">
        <f aca="false">E43+0.25*(B$9*E43+C$9*F43+D$9*G43+B$12*U_held)</f>
        <v>55.8783289984391</v>
      </c>
      <c r="F44" s="15" t="n">
        <f aca="false">F43+0.25*(B$10*E43+C$10*F43+D$10*G43+C$12*U_held)</f>
        <v>44.7737284310589</v>
      </c>
      <c r="G44" s="15" t="n">
        <f aca="false">G43+0.25*(B$11*E43+C$11*F43+D$11*G43+D$12*U_held)</f>
        <v>45.650659402608</v>
      </c>
      <c r="H44" s="2" t="s">
        <v>162</v>
      </c>
      <c r="L44" s="15" t="n">
        <f aca="false">MAX(ABS(E70-I40),ABS(F70-J40),ABS(G70-K40))</f>
        <v>0.179140696297594</v>
      </c>
    </row>
    <row r="45" customFormat="false" ht="15" hidden="false" customHeight="false" outlineLevel="0" collapsed="false">
      <c r="A45" s="18" t="n">
        <v>15</v>
      </c>
      <c r="B45" s="15" t="n">
        <f aca="false">B$5*B44+C$5*C44+D$5*D44+B$8*U_held</f>
        <v>56.2106610828958</v>
      </c>
      <c r="C45" s="15" t="n">
        <f aca="false">B$6*B44+C$6*C44+D$6*D44+C$8*U_held</f>
        <v>45.0768596219063</v>
      </c>
      <c r="D45" s="15" t="n">
        <f aca="false">B$7*B44+C$7*C44+D$7*D44+D$8*U_held</f>
        <v>45.4383493371709</v>
      </c>
      <c r="E45" s="15" t="n">
        <f aca="false">E44+0.25*(B$9*E44+C$9*F44+D$9*G44+B$12*U_held)</f>
        <v>56.2517651709896</v>
      </c>
      <c r="F45" s="15" t="n">
        <f aca="false">F44+0.25*(B$10*E44+C$10*F44+D$10*G44+C$12*U_held)</f>
        <v>45.0972139512995</v>
      </c>
      <c r="G45" s="15" t="n">
        <f aca="false">G44+0.25*(B$11*E44+C$11*F44+D$11*G44+D$12*U_held)</f>
        <v>45.1024268487428</v>
      </c>
    </row>
    <row r="46" customFormat="false" ht="15" hidden="false" customHeight="false" outlineLevel="0" collapsed="false">
      <c r="A46" s="18" t="n">
        <v>16</v>
      </c>
      <c r="B46" s="15" t="n">
        <f aca="false">B$5*B45+C$5*C45+D$5*D45+B$8*U_held</f>
        <v>56.5767250000001</v>
      </c>
      <c r="C46" s="15" t="n">
        <f aca="false">B$6*B45+C$6*C45+D$6*D45+C$8*U_held</f>
        <v>45.395925</v>
      </c>
      <c r="D46" s="15" t="n">
        <f aca="false">B$7*B45+C$7*C45+D$7*D45+D$8*U_held</f>
        <v>44.936725</v>
      </c>
      <c r="E46" s="15" t="n">
        <f aca="false">E45+0.25*(B$9*E45+C$9*F45+D$9*G45+B$12*U_held)</f>
        <v>56.6196973146207</v>
      </c>
      <c r="F46" s="15" t="n">
        <f aca="false">F45+0.25*(B$10*E45+C$10*F45+D$10*G45+C$12*U_held)</f>
        <v>45.4179819841074</v>
      </c>
      <c r="G46" s="15" t="n">
        <f aca="false">G45+0.25*(B$11*E45+C$11*F45+D$11*G45+D$12*U_held)</f>
        <v>44.5993258952028</v>
      </c>
    </row>
    <row r="47" customFormat="false" ht="15" hidden="false" customHeight="false" outlineLevel="0" collapsed="false">
      <c r="A47" s="18" t="n">
        <v>17</v>
      </c>
      <c r="B47" s="15" t="n">
        <f aca="false">B$5*B46+C$5*C46+D$5*D46+B$8*U_held</f>
        <v>56.9374743183641</v>
      </c>
      <c r="C47" s="15" t="n">
        <f aca="false">B$6*B46+C$6*C46+D$6*D46+C$8*U_held</f>
        <v>45.7122258444595</v>
      </c>
      <c r="D47" s="15" t="n">
        <f aca="false">B$7*B46+C$7*C46+D$7*D46+D$8*U_held</f>
        <v>44.4761709252481</v>
      </c>
      <c r="E47" s="15" t="n">
        <f aca="false">E46+0.25*(B$9*E46+C$9*F46+D$9*G46+B$12*U_held)</f>
        <v>56.982235914932</v>
      </c>
      <c r="F47" s="15" t="n">
        <f aca="false">F46+0.25*(B$10*E46+C$10*F46+D$10*G46+C$12*U_held)</f>
        <v>45.7359875653915</v>
      </c>
      <c r="G47" s="15" t="n">
        <f aca="false">G46+0.25*(B$11*E46+C$11*F46+D$11*G46+D$12*U_held)</f>
        <v>44.1386858137651</v>
      </c>
    </row>
    <row r="48" customFormat="false" ht="15" hidden="false" customHeight="false" outlineLevel="0" collapsed="false">
      <c r="A48" s="18" t="n">
        <v>18</v>
      </c>
      <c r="B48" s="15" t="n">
        <f aca="false">B$5*B47+C$5*C47+D$5*D47+B$8*U_held</f>
        <v>57.2930120440058</v>
      </c>
      <c r="C48" s="15" t="n">
        <f aca="false">B$6*B47+C$6*C47+D$6*D47+C$8*U_held</f>
        <v>46.0257267988729</v>
      </c>
      <c r="D48" s="15" t="n">
        <f aca="false">B$7*B47+C$7*C47+D$7*D47+D$8*U_held</f>
        <v>44.0543110338541</v>
      </c>
      <c r="E48" s="15" t="n">
        <f aca="false">E47+0.25*(B$9*E47+C$9*F47+D$9*G47+B$12*U_held)</f>
        <v>57.3394878145584</v>
      </c>
      <c r="F48" s="15" t="n">
        <f aca="false">F47+0.25*(B$10*E47+C$10*F47+D$10*G47+C$12*U_held)</f>
        <v>46.0511907599948</v>
      </c>
      <c r="G48" s="15" t="n">
        <f aca="false">G47+0.25*(B$11*E47+C$11*F47+D$11*G47+D$12*U_held)</f>
        <v>43.7179849568231</v>
      </c>
    </row>
    <row r="49" customFormat="false" ht="15" hidden="false" customHeight="false" outlineLevel="0" collapsed="false">
      <c r="A49" s="18" t="n">
        <v>19</v>
      </c>
      <c r="B49" s="15" t="n">
        <f aca="false">B$5*B48+C$5*C48+D$5*D48+B$8*U_held</f>
        <v>57.6434379557016</v>
      </c>
      <c r="C49" s="15" t="n">
        <f aca="false">B$6*B48+C$6*C48+D$6*D48+C$8*U_held</f>
        <v>46.33639678691</v>
      </c>
      <c r="D49" s="15" t="n">
        <f aca="false">B$7*B48+C$7*C48+D$7*D48+D$8*U_held</f>
        <v>43.6688984860721</v>
      </c>
      <c r="E49" s="15" t="n">
        <f aca="false">E48+0.25*(B$9*E48+C$9*F48+D$9*G48+B$12*U_held)</f>
        <v>57.6915563840735</v>
      </c>
      <c r="F49" s="15" t="n">
        <f aca="false">F48+0.25*(B$10*E48+C$10*F48+D$10*G48+C$12*U_held)</f>
        <v>46.3635563488285</v>
      </c>
      <c r="G49" s="15" t="n">
        <f aca="false">G48+0.25*(B$11*E48+C$11*F48+D$11*G48+D$12*U_held)</f>
        <v>43.3348425439676</v>
      </c>
    </row>
    <row r="50" customFormat="false" ht="15" hidden="false" customHeight="false" outlineLevel="0" collapsed="false">
      <c r="A50" s="18" t="n">
        <v>20</v>
      </c>
      <c r="B50" s="15" t="n">
        <f aca="false">B$5*B49+C$5*C49+D$5*D49+B$8*U_held</f>
        <v>57.9888487500001</v>
      </c>
      <c r="C50" s="15" t="n">
        <f aca="false">B$6*B49+C$6*C49+D$6*D49+C$8*U_held</f>
        <v>46.64420875</v>
      </c>
      <c r="D50" s="15" t="n">
        <f aca="false">B$7*B49+C$7*C49+D$7*D49+D$8*U_held</f>
        <v>43.31780875</v>
      </c>
      <c r="E50" s="15" t="n">
        <f aca="false">E49+0.25*(B$9*E49+C$9*F49+D$9*G49+B$12*U_held)</f>
        <v>58.0385416837741</v>
      </c>
      <c r="F50" s="15" t="n">
        <f aca="false">F49+0.25*(B$10*E49+C$10*F49+D$10*G49+C$12*U_held)</f>
        <v>46.6730535338746</v>
      </c>
      <c r="G50" s="15" t="n">
        <f aca="false">G49+0.25*(B$11*E49+C$11*F49+D$11*G49+D$12*U_held)</f>
        <v>42.9870108996174</v>
      </c>
    </row>
    <row r="51" customFormat="false" ht="15" hidden="false" customHeight="false" outlineLevel="0" collapsed="false">
      <c r="A51" s="18" t="n">
        <v>21</v>
      </c>
      <c r="B51" s="15" t="n">
        <f aca="false">B$5*B50+C$5*C50+D$5*D50+B$8*U_held</f>
        <v>58.3293381787507</v>
      </c>
      <c r="C51" s="15" t="n">
        <f aca="false">B$6*B50+C$6*C50+D$6*D50+C$8*U_held</f>
        <v>46.949139399627</v>
      </c>
      <c r="D51" s="15" t="n">
        <f aca="false">B$7*B50+C$7*C50+D$7*D50+D$8*U_held</f>
        <v>42.9990330405627</v>
      </c>
      <c r="E51" s="15" t="n">
        <f aca="false">E50+0.25*(B$9*E50+C$9*F50+D$9*G50+B$12*U_held)</f>
        <v>58.3805406168488</v>
      </c>
      <c r="F51" s="15" t="n">
        <f aca="false">F50+0.25*(B$10*E50+C$10*F50+D$10*G50+C$12*U_held)</f>
        <v>46.9796556600536</v>
      </c>
      <c r="G51" s="15" t="n">
        <f aca="false">G50+0.25*(B$11*E50+C$11*F50+D$11*G50+D$12*U_held)</f>
        <v>42.672368116952</v>
      </c>
    </row>
    <row r="52" customFormat="false" ht="15" hidden="false" customHeight="false" outlineLevel="0" collapsed="false">
      <c r="A52" s="18" t="n">
        <v>22</v>
      </c>
      <c r="B52" s="15" t="n">
        <f aca="false">B$5*B51+C$5*C51+D$5*D51+B$8*U_held</f>
        <v>58.6649971795489</v>
      </c>
      <c r="C52" s="15" t="n">
        <f aca="false">B$6*B51+C$6*C51+D$6*D51+C$8*U_held</f>
        <v>47.2511689834426</v>
      </c>
      <c r="D52" s="15" t="n">
        <f aca="false">B$7*B51+C$7*C51+D$7*D51+D$8*U_held</f>
        <v>42.7106721091709</v>
      </c>
      <c r="E52" s="15" t="n">
        <f aca="false">E51+0.25*(B$9*E51+C$9*F51+D$9*G51+B$12*U_held)</f>
        <v>58.7176470744049</v>
      </c>
      <c r="F52" s="15" t="n">
        <f aca="false">F51+0.25*(B$10*E51+C$10*F51+D$10*G51+C$12*U_held)</f>
        <v>47.2833399530131</v>
      </c>
      <c r="G52" s="15" t="n">
        <f aca="false">G51+0.25*(B$11*E51+C$11*F51+D$11*G51+D$12*U_held)</f>
        <v>42.388911124758</v>
      </c>
    </row>
    <row r="53" customFormat="false" ht="15" hidden="false" customHeight="false" outlineLevel="0" collapsed="false">
      <c r="A53" s="18" t="n">
        <v>23</v>
      </c>
      <c r="B53" s="15" t="n">
        <f aca="false">B$5*B52+C$5*C52+D$5*D52+B$8*U_held</f>
        <v>58.9959139994769</v>
      </c>
      <c r="C53" s="15" t="n">
        <f aca="false">B$6*B52+C$6*C52+D$6*D52+C$8*U_held</f>
        <v>47.5502810644436</v>
      </c>
      <c r="D53" s="15" t="n">
        <f aca="false">B$7*B52+C$7*C52+D$7*D52+D$8*U_held</f>
        <v>42.4509303653338</v>
      </c>
      <c r="E53" s="15" t="n">
        <f aca="false">E52+0.25*(B$9*E52+C$9*F52+D$9*G52+B$12*U_held)</f>
        <v>59.0499520728047</v>
      </c>
      <c r="F53" s="15" t="n">
        <f aca="false">F52+0.25*(B$10*E52+C$10*F52+D$10*G52+C$12*U_held)</f>
        <v>47.5840872719414</v>
      </c>
      <c r="G53" s="15" t="n">
        <f aca="false">G52+0.25*(B$11*E52+C$11*F52+D$11*G52+D$12*U_held)</f>
        <v>42.1347491350842</v>
      </c>
    </row>
    <row r="54" customFormat="false" ht="15" hidden="false" customHeight="false" outlineLevel="0" collapsed="false">
      <c r="A54" s="18" t="n">
        <v>24</v>
      </c>
      <c r="B54" s="15" t="n">
        <f aca="false">B$5*B53+C$5*C53+D$5*D53+B$8*U_held</f>
        <v>59.3221743125001</v>
      </c>
      <c r="C54" s="15" t="n">
        <f aca="false">B$6*B53+C$6*C53+D$6*D53+C$8*U_held</f>
        <v>47.8464623125</v>
      </c>
      <c r="D54" s="15" t="n">
        <f aca="false">B$7*B53+C$7*C53+D$7*D53+D$8*U_held</f>
        <v>42.2181103125001</v>
      </c>
      <c r="E54" s="15" t="n">
        <f aca="false">E53+0.25*(B$9*E53+C$9*F53+D$9*G53+B$12*U_held)</f>
        <v>59.3775438837334</v>
      </c>
      <c r="F54" s="15" t="n">
        <f aca="false">F53+0.25*(B$10*E53+C$10*F53+D$10*G53+C$12*U_held)</f>
        <v>47.8818818765658</v>
      </c>
      <c r="G54" s="15" t="n">
        <f aca="false">G53+0.25*(B$11*E53+C$11*F53+D$11*G53+D$12*U_held)</f>
        <v>41.9080974508094</v>
      </c>
    </row>
    <row r="55" customFormat="false" ht="15" hidden="false" customHeight="false" outlineLevel="0" collapsed="false">
      <c r="A55" s="18" t="n">
        <v>25</v>
      </c>
      <c r="B55" s="15" t="n">
        <f aca="false">B$5*B54+C$5*C54+D$5*D54+B$8*U_held</f>
        <v>59.643861330857</v>
      </c>
      <c r="C55" s="15" t="n">
        <f aca="false">B$6*B54+C$6*C54+D$6*D54+C$8*U_held</f>
        <v>48.139702307558</v>
      </c>
      <c r="D55" s="15" t="n">
        <f aca="false">B$7*B54+C$7*C54+D$7*D54+D$8*U_held</f>
        <v>42.0106072813504</v>
      </c>
      <c r="E55" s="15" t="n">
        <f aca="false">E54+0.25*(B$9*E54+C$9*F54+D$9*G54+B$12*U_held)</f>
        <v>59.7005081573996</v>
      </c>
      <c r="F55" s="15" t="n">
        <f aca="false">F54+0.25*(B$10*E54+C$10*F54+D$10*G54+C$12*U_held)</f>
        <v>48.1767112075362</v>
      </c>
      <c r="G55" s="15" t="n">
        <f aca="false">G54+0.25*(B$11*E54+C$11*F54+D$11*G54+D$12*U_held)</f>
        <v>41.7072716133767</v>
      </c>
    </row>
    <row r="56" customFormat="false" ht="15" hidden="false" customHeight="false" outlineLevel="0" collapsed="false">
      <c r="A56" s="18" t="n">
        <v>26</v>
      </c>
      <c r="B56" s="15" t="n">
        <f aca="false">B$5*B55+C$5*C55+D$5*D55+B$8*U_held</f>
        <v>59.9610559107662</v>
      </c>
      <c r="C56" s="15" t="n">
        <f aca="false">B$6*B55+C$6*C55+D$6*D55+C$8*U_held</f>
        <v>48.4299933538811</v>
      </c>
      <c r="D56" s="15" t="n">
        <f aca="false">B$7*B55+C$7*C55+D$7*D55+D$8*U_held</f>
        <v>41.8269044446584</v>
      </c>
      <c r="E56" s="15" t="n">
        <f aca="false">E55+0.25*(B$9*E55+C$9*F55+D$9*G55+B$12*U_held)</f>
        <v>60.0189280392468</v>
      </c>
      <c r="F56" s="15" t="n">
        <f aca="false">F55+0.25*(B$10*E55+C$10*F55+D$10*G55+C$12*U_held)</f>
        <v>48.4685656794449</v>
      </c>
      <c r="G56" s="15" t="n">
        <f aca="false">G55+0.25*(B$11*E55+C$11*F55+D$11*G55+D$12*U_held)</f>
        <v>41.5306818720289</v>
      </c>
    </row>
    <row r="57" customFormat="false" ht="15" hidden="false" customHeight="false" outlineLevel="0" collapsed="false">
      <c r="A57" s="18" t="n">
        <v>27</v>
      </c>
      <c r="B57" s="15" t="n">
        <f aca="false">B$5*B56+C$5*C56+D$5*D56+B$8*U_held</f>
        <v>60.2738366527514</v>
      </c>
      <c r="C57" s="15" t="n">
        <f aca="false">B$6*B56+C$6*C56+D$6*D56+C$8*U_held</f>
        <v>48.7173303047248</v>
      </c>
      <c r="D57" s="15" t="n">
        <f aca="false">B$7*B56+C$7*C56+D$7*D56+D$8*U_held</f>
        <v>41.6655680986852</v>
      </c>
      <c r="E57" s="15" t="n">
        <f aca="false">E56+0.25*(B$9*E56+C$9*F56+D$9*G56+B$12*U_held)</f>
        <v>60.3328842805325</v>
      </c>
      <c r="F57" s="15" t="n">
        <f aca="false">F56+0.25*(B$10*E56+C$10*F56+D$10*G56+C$12*U_held)</f>
        <v>48.757438485771</v>
      </c>
      <c r="G57" s="15" t="n">
        <f aca="false">G56+0.25*(B$11*E56+C$11*F56+D$11*G56+D$12*U_held)</f>
        <v>41.3768279569028</v>
      </c>
    </row>
    <row r="58" customFormat="false" ht="15" hidden="false" customHeight="false" outlineLevel="0" collapsed="false">
      <c r="A58" s="18" t="n">
        <v>28</v>
      </c>
      <c r="B58" s="15" t="n">
        <f aca="false">B$5*B57+C$5*C57+D$5*D57+B$8*U_held</f>
        <v>60.5822799968751</v>
      </c>
      <c r="C58" s="15" t="n">
        <f aca="false">B$6*B57+C$6*C57+D$6*D57+C$8*U_held</f>
        <v>49.0017103968751</v>
      </c>
      <c r="D58" s="15" t="n">
        <f aca="false">B$7*B57+C$7*C57+D$7*D57+D$8*U_held</f>
        <v>41.5252431968751</v>
      </c>
      <c r="E58" s="15" t="n">
        <f aca="false">E57+0.25*(B$9*E57+C$9*F57+D$9*G57+B$12*U_held)</f>
        <v>60.6424553431123</v>
      </c>
      <c r="F58" s="15" t="n">
        <f aca="false">F57+0.25*(B$10*E57+C$10*F57+D$10*G57+C$12*U_held)</f>
        <v>49.0433254150802</v>
      </c>
      <c r="G58" s="15" t="n">
        <f aca="false">G57+0.25*(B$11*E57+C$11*F57+D$11*G57+D$12*U_held)</f>
        <v>41.2442941393103</v>
      </c>
    </row>
    <row r="59" customFormat="false" ht="15" hidden="false" customHeight="false" outlineLevel="0" collapsed="false">
      <c r="A59" s="18" t="n">
        <v>29</v>
      </c>
      <c r="B59" s="15" t="n">
        <f aca="false">B$5*B58+C$5*C58+D$5*D58+B$8*U_held</f>
        <v>60.8864603131492</v>
      </c>
      <c r="C59" s="15" t="n">
        <f aca="false">B$6*B58+C$6*C58+D$6*D58+C$8*U_held</f>
        <v>49.28313309451</v>
      </c>
      <c r="D59" s="15" t="n">
        <f aca="false">B$7*B58+C$7*C58+D$7*D58+D$8*U_held</f>
        <v>41.404649122379</v>
      </c>
      <c r="E59" s="15" t="n">
        <f aca="false">E58+0.25*(B$9*E58+C$9*F58+D$9*G58+B$12*U_held)</f>
        <v>60.9477174987482</v>
      </c>
      <c r="F59" s="15" t="n">
        <f aca="false">F58+0.25*(B$10*E58+C$10*F58+D$10*G58+C$12*U_held)</f>
        <v>49.3262246778475</v>
      </c>
      <c r="G59" s="15" t="n">
        <f aca="false">G58+0.25*(B$11*E58+C$11*F58+D$11*G58+D$12*U_held)</f>
        <v>41.1317445634452</v>
      </c>
    </row>
    <row r="60" customFormat="false" ht="15" hidden="false" customHeight="false" outlineLevel="0" collapsed="false">
      <c r="A60" s="18" t="n">
        <v>30</v>
      </c>
      <c r="B60" s="15" t="n">
        <f aca="false">B$5*B59+C$5*C59+D$5*D59+B$8*U_held</f>
        <v>61.1864499873836</v>
      </c>
      <c r="C60" s="15" t="n">
        <f aca="false">B$6*B59+C$6*C59+D$6*D59+C$8*U_held</f>
        <v>49.5615999418755</v>
      </c>
      <c r="D60" s="15" t="n">
        <f aca="false">B$7*B59+C$7*C59+D$7*D59+D$8*U_held</f>
        <v>41.3025756866532</v>
      </c>
      <c r="E60" s="15" t="n">
        <f aca="false">E59+0.25*(B$9*E59+C$9*F59+D$9*G59+B$12*U_held)</f>
        <v>61.24874492324</v>
      </c>
      <c r="F60" s="15" t="n">
        <f aca="false">F59+0.25*(B$10*E59+C$10*F59+D$10*G59+C$12*U_held)</f>
        <v>49.6061367433037</v>
      </c>
      <c r="G60" s="15" t="n">
        <f aca="false">G59+0.25*(B$11*E59+C$11*F59+D$11*G59+D$12*U_held)</f>
        <v>41.037918834622</v>
      </c>
    </row>
    <row r="61" customFormat="false" ht="15" hidden="false" customHeight="false" outlineLevel="0" collapsed="false">
      <c r="A61" s="18" t="n">
        <v>31</v>
      </c>
      <c r="B61" s="15" t="n">
        <f aca="false">B$5*B60+C$5*C60+D$5*D60+B$8*U_held</f>
        <v>61.4823195027126</v>
      </c>
      <c r="C61" s="15" t="n">
        <f aca="false">B$6*B60+C$6*C60+D$6*D60+C$8*U_held</f>
        <v>49.8371144242912</v>
      </c>
      <c r="D61" s="15" t="n">
        <f aca="false">B$7*B60+C$7*C60+D$7*D60+D$8*U_held</f>
        <v>41.2178793420583</v>
      </c>
      <c r="E61" s="15" t="n">
        <f aca="false">E60+0.25*(B$9*E60+C$9*F60+D$9*G60+B$12*U_held)</f>
        <v>61.5456097856664</v>
      </c>
      <c r="F61" s="15" t="n">
        <f aca="false">F60+0.25*(B$10*E60+C$10*F60+D$10*G60+C$12*U_held)</f>
        <v>49.8830641857452</v>
      </c>
      <c r="G61" s="15" t="n">
        <f aca="false">G60+0.25*(B$11*E60+C$11*F60+D$11*G60+D$12*U_held)</f>
        <v>40.961627849968</v>
      </c>
    </row>
    <row r="62" customFormat="false" ht="15" hidden="false" customHeight="false" outlineLevel="0" collapsed="false">
      <c r="A62" s="18" t="n">
        <v>32</v>
      </c>
      <c r="B62" s="15" t="n">
        <f aca="false">B$5*B61+C$5*C61+D$5*D61+B$8*U_held</f>
        <v>61.7741375170313</v>
      </c>
      <c r="C62" s="15" t="n">
        <f aca="false">B$6*B61+C$6*C61+D$6*D61+C$8*U_held</f>
        <v>50.1096818370313</v>
      </c>
      <c r="D62" s="15" t="n">
        <f aca="false">B$7*B61+C$7*C61+D$7*D61+D$8*U_held</f>
        <v>41.1494795970313</v>
      </c>
      <c r="E62" s="15" t="n">
        <f aca="false">E61+0.25*(B$9*E61+C$9*F61+D$9*G61+B$12*U_held)</f>
        <v>61.8383823330018</v>
      </c>
      <c r="F62" s="15" t="n">
        <f aca="false">F61+0.25*(B$10*E61+C$10*F61+D$10*G61+C$12*U_held)</f>
        <v>50.1570115397706</v>
      </c>
      <c r="G62" s="15" t="n">
        <f aca="false">G61+0.25*(B$11*E61+C$11*F61+D$11*G61+D$12*U_held)</f>
        <v>40.9017498582635</v>
      </c>
    </row>
    <row r="63" customFormat="false" ht="15" hidden="false" customHeight="false" outlineLevel="0" collapsed="false">
      <c r="A63" s="18" t="n">
        <v>33</v>
      </c>
      <c r="B63" s="15" t="n">
        <f aca="false">B$5*B62+C$5*C62+D$5*D62+B$8*U_held</f>
        <v>62.0619709365598</v>
      </c>
      <c r="C63" s="15" t="n">
        <f aca="false">B$6*B62+C$6*C62+D$6*D62+C$8*U_held</f>
        <v>50.3793091616485</v>
      </c>
      <c r="D63" s="15" t="n">
        <f aca="false">B$7*B62+C$7*C62+D$7*D62+D$8*U_held</f>
        <v>41.0963556230117</v>
      </c>
      <c r="E63" s="15" t="n">
        <f aca="false">E62+0.25*(B$9*E62+C$9*F62+D$9*G62+B$12*U_held)</f>
        <v>62.1271309703635</v>
      </c>
      <c r="F63" s="15" t="n">
        <f aca="false">F62+0.25*(B$10*E62+C$10*F62+D$10*G62+C$12*U_held)</f>
        <v>50.4279851639446</v>
      </c>
      <c r="G63" s="15" t="n">
        <f aca="false">G62+0.25*(B$11*E62+C$11*F62+D$11*G62+D$12*U_held)</f>
        <v>40.8572267363535</v>
      </c>
    </row>
    <row r="64" customFormat="false" ht="15" hidden="false" customHeight="false" outlineLevel="0" collapsed="false">
      <c r="A64" s="18" t="n">
        <v>34</v>
      </c>
      <c r="B64" s="15" t="n">
        <f aca="false">B$5*B63+C$5*C63+D$5*D63+B$8*U_held</f>
        <v>62.345884985739</v>
      </c>
      <c r="C64" s="15" t="n">
        <f aca="false">B$6*B63+C$6*C63+D$6*D63+C$8*U_held</f>
        <v>50.6460049493326</v>
      </c>
      <c r="D64" s="15" t="n">
        <f aca="false">B$7*B63+C$7*C63+D$7*D63+D$8*U_held</f>
        <v>41.0575430428793</v>
      </c>
      <c r="E64" s="15" t="n">
        <f aca="false">E63+0.25*(B$9*E63+C$9*F63+D$9*G63+B$12*U_held)</f>
        <v>62.4119223371283</v>
      </c>
      <c r="F64" s="15" t="n">
        <f aca="false">F63+0.25*(B$10*E63+C$10*F63+D$10*G63+C$12*U_held)</f>
        <v>50.6959931124135</v>
      </c>
      <c r="G64" s="15" t="n">
        <f aca="false">G63+0.25*(B$11*E63+C$11*F63+D$11*G63+D$12*U_held)</f>
        <v>40.8270604702445</v>
      </c>
    </row>
    <row r="65" customFormat="false" ht="15" hidden="false" customHeight="false" outlineLevel="0" collapsed="false">
      <c r="A65" s="18" t="n">
        <v>35</v>
      </c>
      <c r="B65" s="15" t="n">
        <f aca="false">B$5*B64+C$5*C64+D$5*D64+B$8*U_held</f>
        <v>62.6259432736559</v>
      </c>
      <c r="C65" s="15" t="n">
        <f aca="false">B$6*B64+C$6*C64+D$6*D64+C$8*U_held</f>
        <v>50.9097792109188</v>
      </c>
      <c r="D65" s="15" t="n">
        <f aca="false">B$7*B64+C$7*C64+D$7*D64+D$8*U_held</f>
        <v>41.0321308912114</v>
      </c>
      <c r="E65" s="15" t="n">
        <f aca="false">E64+0.25*(B$9*E64+C$9*F64+D$9*G64+B$12*U_held)</f>
        <v>62.6928213791439</v>
      </c>
      <c r="F65" s="15" t="n">
        <f aca="false">F64+0.25*(B$10*E64+C$10*F64+D$10*G64+C$12*U_held)</f>
        <v>50.9610450140236</v>
      </c>
      <c r="G65" s="15" t="n">
        <f aca="false">G64+0.25*(B$11*E64+C$11*F64+D$11*G64+D$12*U_held)</f>
        <v>40.8103098296538</v>
      </c>
    </row>
    <row r="66" customFormat="false" ht="15" hidden="false" customHeight="false" outlineLevel="0" collapsed="false">
      <c r="A66" s="18" t="n">
        <v>36</v>
      </c>
      <c r="B66" s="15" t="n">
        <f aca="false">B$5*B65+C$5*C65+D$5*D65+B$8*U_held</f>
        <v>62.9022078571798</v>
      </c>
      <c r="C66" s="15" t="n">
        <f aca="false">B$6*B65+C$6*C65+D$6*D65+C$8*U_held</f>
        <v>51.1706433131797</v>
      </c>
      <c r="D66" s="15" t="n">
        <f aca="false">B$7*B65+C$7*C65+D$7*D65+D$8*U_held</f>
        <v>41.0192587371798</v>
      </c>
      <c r="E66" s="15" t="n">
        <f aca="false">E65+0.25*(B$9*E65+C$9*F65+D$9*G65+B$12*U_held)</f>
        <v>62.9698914172498</v>
      </c>
      <c r="F66" s="15" t="n">
        <f aca="false">F65+0.25*(B$10*E65+C$10*F65+D$10*G65+C$12*U_held)</f>
        <v>51.2231519585212</v>
      </c>
      <c r="G66" s="15" t="n">
        <f aca="false">G65+0.25*(B$11*E65+C$11*F65+D$11*G65+D$12*U_held)</f>
        <v>40.8060872253907</v>
      </c>
    </row>
    <row r="67" customFormat="false" ht="15" hidden="false" customHeight="false" outlineLevel="0" collapsed="false">
      <c r="A67" s="18" t="n">
        <v>37</v>
      </c>
      <c r="B67" s="15" t="n">
        <f aca="false">B$5*B66+C$5*C66+D$5*D66+B$8*U_held</f>
        <v>63.1747393009863</v>
      </c>
      <c r="C67" s="15" t="n">
        <f aca="false">B$6*B66+C$6*C66+D$6*D66+C$8*U_held</f>
        <v>51.4286098810572</v>
      </c>
      <c r="D67" s="15" t="n">
        <f aca="false">B$7*B66+C$7*C66+D$7*D66+D$8*U_held</f>
        <v>41.0181139614022</v>
      </c>
      <c r="E67" s="15" t="n">
        <f aca="false">E66+0.25*(B$9*E66+C$9*F66+D$9*G66+B$12*U_held)</f>
        <v>63.243194212308</v>
      </c>
      <c r="F67" s="15" t="n">
        <f aca="false">F66+0.25*(B$10*E66+C$10*F66+D$10*G66+C$12*U_held)</f>
        <v>51.4823263894326</v>
      </c>
      <c r="G67" s="15" t="n">
        <f aca="false">G66+0.25*(B$11*E66+C$11*F66+D$11*G66+D$12*U_held)</f>
        <v>40.8135557395364</v>
      </c>
    </row>
    <row r="68" customFormat="false" ht="15" hidden="false" customHeight="false" outlineLevel="0" collapsed="false">
      <c r="A68" s="18" t="n">
        <v>38</v>
      </c>
      <c r="B68" s="15" t="n">
        <f aca="false">B$5*B67+C$5*C67+D$5*D67+B$8*U_held</f>
        <v>63.4435967346318</v>
      </c>
      <c r="C68" s="15" t="n">
        <f aca="false">B$6*B67+C$6*C67+D$6*D67+C$8*U_held</f>
        <v>51.6836927055066</v>
      </c>
      <c r="D68" s="15" t="n">
        <f aca="false">B$7*B67+C$7*C67+D$7*D67+D$8*U_held</f>
        <v>41.0279291785237</v>
      </c>
      <c r="E68" s="15" t="n">
        <f aca="false">E67+0.25*(B$9*E67+C$9*F67+D$9*G67+B$12*U_held)</f>
        <v>63.5127900269345</v>
      </c>
      <c r="F68" s="15" t="n">
        <f aca="false">F67+0.25*(B$10*E67+C$10*F67+D$10*G67+C$12*U_held)</f>
        <v>51.7385820032499</v>
      </c>
      <c r="G68" s="15" t="n">
        <f aca="false">G67+0.25*(B$11*E67+C$11*F67+D$11*G67+D$12*U_held)</f>
        <v>40.8319263189366</v>
      </c>
    </row>
    <row r="69" customFormat="false" ht="15" hidden="false" customHeight="false" outlineLevel="0" collapsed="false">
      <c r="A69" s="18" t="n">
        <v>39</v>
      </c>
      <c r="B69" s="15" t="n">
        <f aca="false">B$5*B68+C$5*C68+D$5*D68+B$8*U_held</f>
        <v>63.7088379068362</v>
      </c>
      <c r="C69" s="15" t="n">
        <f aca="false">B$6*B68+C$6*C68+D$6*D68+C$8*U_held</f>
        <v>51.9359066566466</v>
      </c>
      <c r="D69" s="15" t="n">
        <f aca="false">B$7*B68+C$7*C68+D$7*D68+D$8*U_held</f>
        <v>41.0479797977438</v>
      </c>
      <c r="E69" s="15" t="n">
        <f aca="false">E68+0.25*(B$9*E68+C$9*F68+D$9*G68+B$12*U_held)</f>
        <v>63.7787376841116</v>
      </c>
      <c r="F69" s="15" t="n">
        <f aca="false">F68+0.25*(B$10*E68+C$10*F68+D$10*G68+C$12*U_held)</f>
        <v>51.9919336545637</v>
      </c>
      <c r="G69" s="15" t="n">
        <f aca="false">G68+0.25*(B$11*E68+C$11*F68+D$11*G68+D$12*U_held)</f>
        <v>40.8604551230418</v>
      </c>
    </row>
    <row r="70" customFormat="false" ht="15" hidden="false" customHeight="false" outlineLevel="0" collapsed="false">
      <c r="A70" s="18" t="n">
        <v>40</v>
      </c>
      <c r="B70" s="15" t="n">
        <f aca="false">B$5*B69+C$5*C69+D$5*D69+B$8*U_held</f>
        <v>63.9705192371208</v>
      </c>
      <c r="C70" s="15" t="n">
        <f aca="false">B$6*B69+C$6*C69+D$6*D69+C$8*U_held</f>
        <v>52.1852676019208</v>
      </c>
      <c r="D70" s="15" t="n">
        <f aca="false">B$7*B69+C$7*C69+D$7*D69+D$8*U_held</f>
        <v>41.0775817139208</v>
      </c>
      <c r="E70" s="15" t="n">
        <f aca="false">E69+0.25*(B$9*E69+C$9*F69+D$9*G69+B$12*U_held)</f>
        <v>64.0410946228507</v>
      </c>
      <c r="F70" s="15" t="n">
        <f aca="false">F69+0.25*(B$10*E69+C$10*F69+D$10*G69+C$12*U_held)</f>
        <v>52.2423972668096</v>
      </c>
      <c r="G70" s="15" t="n">
        <f aca="false">G69+0.25*(B$11*E69+C$11*F69+D$11*G69+D$12*U_held)</f>
        <v>40.8984410176231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10" min="2" style="0" width="12"/>
    <col collapsed="false" customWidth="true" hidden="false" outlineLevel="0" max="11" min="11" style="0" width="15"/>
    <col collapsed="false" customWidth="true" hidden="false" outlineLevel="0" max="12" min="12" style="0" width="13"/>
    <col collapsed="false" customWidth="true" hidden="false" outlineLevel="0" max="13" min="13" style="0" width="3"/>
    <col collapsed="false" customWidth="true" hidden="false" outlineLevel="0" max="14" min="14" style="0" width="44"/>
    <col collapsed="false" customWidth="true" hidden="false" outlineLevel="0" max="15" min="15" style="0" width="12"/>
    <col collapsed="false" customWidth="true" hidden="false" outlineLevel="0" max="16" min="16" style="0" width="30"/>
  </cols>
  <sheetData>
    <row r="1" customFormat="false" ht="15" hidden="false" customHeight="false" outlineLevel="0" collapsed="false">
      <c r="A1" s="1" t="s">
        <v>163</v>
      </c>
    </row>
    <row r="2" customFormat="false" ht="15" hidden="false" customHeight="false" outlineLevel="0" collapsed="false">
      <c r="A2" s="10" t="s">
        <v>164</v>
      </c>
    </row>
    <row r="3" customFormat="false" ht="15" hidden="false" customHeight="false" outlineLevel="0" collapsed="false">
      <c r="N3" s="8" t="s">
        <v>165</v>
      </c>
      <c r="O3" s="8" t="s">
        <v>20</v>
      </c>
      <c r="P3" s="8" t="s">
        <v>84</v>
      </c>
    </row>
    <row r="4" customFormat="false" ht="15" hidden="false" customHeight="false" outlineLevel="0" collapsed="false">
      <c r="N4" s="2" t="s">
        <v>166</v>
      </c>
      <c r="O4" s="12" t="n">
        <f aca="false">C16</f>
        <v>27.225229281791</v>
      </c>
      <c r="P4" s="10" t="s">
        <v>167</v>
      </c>
    </row>
    <row r="5" customFormat="false" ht="35.05" hidden="false" customHeight="false" outlineLevel="0" collapsed="false">
      <c r="A5" s="8" t="s">
        <v>158</v>
      </c>
      <c r="B5" s="8" t="s">
        <v>168</v>
      </c>
      <c r="C5" s="8" t="s">
        <v>51</v>
      </c>
      <c r="D5" s="8" t="s">
        <v>52</v>
      </c>
      <c r="E5" s="8" t="s">
        <v>169</v>
      </c>
      <c r="F5" s="8" t="s">
        <v>51</v>
      </c>
      <c r="G5" s="8" t="s">
        <v>52</v>
      </c>
      <c r="H5" s="8" t="s">
        <v>170</v>
      </c>
      <c r="I5" s="8" t="s">
        <v>51</v>
      </c>
      <c r="J5" s="8" t="s">
        <v>52</v>
      </c>
      <c r="K5" s="8" t="s">
        <v>171</v>
      </c>
      <c r="L5" s="8" t="s">
        <v>172</v>
      </c>
      <c r="N5" s="2" t="s">
        <v>173</v>
      </c>
      <c r="O5" s="12" t="n">
        <f aca="false">F16</f>
        <v>24.9600383201297</v>
      </c>
      <c r="P5" s="10" t="s">
        <v>174</v>
      </c>
    </row>
    <row r="6" customFormat="false" ht="15" hidden="false" customHeight="false" outlineLevel="0" collapsed="false">
      <c r="A6" s="18" t="n">
        <v>0</v>
      </c>
      <c r="B6" s="12" t="n">
        <f aca="false">Declarations!$B$24</f>
        <v>50</v>
      </c>
      <c r="C6" s="12" t="n">
        <f aca="false">Declarations!$C$24</f>
        <v>40</v>
      </c>
      <c r="D6" s="12" t="n">
        <f aca="false">Declarations!$D$24</f>
        <v>60</v>
      </c>
      <c r="E6" s="12" t="n">
        <f aca="false">0</f>
        <v>0</v>
      </c>
      <c r="F6" s="12" t="n">
        <f aca="false">0</f>
        <v>0</v>
      </c>
      <c r="G6" s="12" t="n">
        <f aca="false">0</f>
        <v>0</v>
      </c>
      <c r="H6" s="12" t="n">
        <f aca="false">Declarations!$B$24</f>
        <v>50</v>
      </c>
      <c r="I6" s="12" t="n">
        <f aca="false">Declarations!$C$24</f>
        <v>40</v>
      </c>
      <c r="J6" s="12" t="n">
        <f aca="false">Declarations!$D$24</f>
        <v>60</v>
      </c>
      <c r="K6" s="21" t="n">
        <f aca="false">MAX(ABS(H6-B6-E6),ABS(I6-C6-F6),ABS(J6-D6-G6))</f>
        <v>0</v>
      </c>
      <c r="L6" s="18" t="n">
        <f aca="false">IF(F6&gt;C6,A6,99)</f>
        <v>99</v>
      </c>
      <c r="N6" s="2" t="s">
        <v>175</v>
      </c>
      <c r="O6" s="12" t="n">
        <f aca="false">I16</f>
        <v>52.1852676019207</v>
      </c>
      <c r="P6" s="10" t="s">
        <v>176</v>
      </c>
    </row>
    <row r="7" customFormat="false" ht="15" hidden="false" customHeight="false" outlineLevel="0" collapsed="false">
      <c r="A7" s="18" t="n">
        <v>1</v>
      </c>
      <c r="B7" s="12" t="n">
        <f aca="false">Declarations!$B$20*B6+Declarations!$C$20*C6+Declarations!$D$20*D6</f>
        <v>47</v>
      </c>
      <c r="C7" s="12" t="n">
        <f aca="false">Declarations!$B$21*B6+Declarations!$C$21*C6+Declarations!$D$21*D6</f>
        <v>39</v>
      </c>
      <c r="D7" s="12" t="n">
        <f aca="false">Declarations!$B$22*B6+Declarations!$C$22*C6+Declarations!$D$22*D6</f>
        <v>54.5</v>
      </c>
      <c r="E7" s="12" t="n">
        <f aca="false">Declarations!$B$20*E6+Declarations!$C$20*F6+Declarations!$D$20*G6+Declarations!$B$23*U_held</f>
        <v>4.8</v>
      </c>
      <c r="F7" s="12" t="n">
        <f aca="false">Declarations!$B$21*E6+Declarations!$C$21*F6+Declarations!$D$21*G6+Declarations!$C$23*U_held</f>
        <v>2.4</v>
      </c>
      <c r="G7" s="12" t="n">
        <f aca="false">Declarations!$B$22*E6+Declarations!$C$22*F6+Declarations!$D$22*G6+Declarations!$D$23*U_held</f>
        <v>0</v>
      </c>
      <c r="H7" s="12" t="n">
        <f aca="false">Declarations!$B$20*H6+Declarations!$C$20*I6+Declarations!$D$20*J6+Declarations!$B$23*U_held</f>
        <v>51.8</v>
      </c>
      <c r="I7" s="12" t="n">
        <f aca="false">Declarations!$B$21*H6+Declarations!$C$21*I6+Declarations!$D$21*J6+Declarations!$C$23*U_held</f>
        <v>41.4</v>
      </c>
      <c r="J7" s="12" t="n">
        <f aca="false">Declarations!$B$22*H6+Declarations!$C$22*I6+Declarations!$D$22*J6+Declarations!$D$23*U_held</f>
        <v>54.5</v>
      </c>
      <c r="K7" s="21" t="n">
        <f aca="false">MAX(ABS(H7-B7-E7),ABS(I7-C7-F7),ABS(J7-D7-G7))</f>
        <v>0</v>
      </c>
      <c r="L7" s="18" t="n">
        <f aca="false">IF(F7&gt;C7,A7,99)</f>
        <v>99</v>
      </c>
      <c r="N7" s="2" t="s">
        <v>177</v>
      </c>
      <c r="O7" s="12" t="n">
        <f aca="false">C26</f>
        <v>16.6524816120915</v>
      </c>
      <c r="P7" s="10"/>
    </row>
    <row r="8" customFormat="false" ht="15" hidden="false" customHeight="false" outlineLevel="0" collapsed="false">
      <c r="A8" s="18" t="n">
        <v>2</v>
      </c>
      <c r="B8" s="12" t="n">
        <f aca="false">Declarations!$B$20*B7+Declarations!$C$20*C7+Declarations!$D$20*D7</f>
        <v>44.25</v>
      </c>
      <c r="C8" s="12" t="n">
        <f aca="false">Declarations!$B$21*B7+Declarations!$C$21*C7+Declarations!$D$21*D7</f>
        <v>37.85</v>
      </c>
      <c r="D8" s="12" t="n">
        <f aca="false">Declarations!$B$22*B7+Declarations!$C$22*C7+Declarations!$D$22*D7</f>
        <v>49.85</v>
      </c>
      <c r="E8" s="12" t="n">
        <f aca="false">Declarations!$B$20*E7+Declarations!$C$20*F7+Declarations!$D$20*G7+Declarations!$B$23*U_held</f>
        <v>9.24</v>
      </c>
      <c r="F8" s="12" t="n">
        <f aca="false">Declarations!$B$21*E7+Declarations!$C$21*F7+Declarations!$D$21*G7+Declarations!$C$23*U_held</f>
        <v>4.92</v>
      </c>
      <c r="G8" s="12" t="n">
        <f aca="false">Declarations!$B$22*E7+Declarations!$C$22*F7+Declarations!$D$22*G7+Declarations!$D$23*U_held</f>
        <v>0.48</v>
      </c>
      <c r="H8" s="12" t="n">
        <f aca="false">Declarations!$B$20*H7+Declarations!$C$20*I7+Declarations!$D$20*J7+Declarations!$B$23*U_held</f>
        <v>53.49</v>
      </c>
      <c r="I8" s="12" t="n">
        <f aca="false">Declarations!$B$21*H7+Declarations!$C$21*I7+Declarations!$D$21*J7+Declarations!$C$23*U_held</f>
        <v>42.77</v>
      </c>
      <c r="J8" s="12" t="n">
        <f aca="false">Declarations!$B$22*H7+Declarations!$C$22*I7+Declarations!$D$22*J7+Declarations!$D$23*U_held</f>
        <v>50.33</v>
      </c>
      <c r="K8" s="21" t="n">
        <f aca="false">MAX(ABS(H8-B8-E8),ABS(I8-C8-F8),ABS(J8-D8-G8))</f>
        <v>3.10862446895044E-015</v>
      </c>
      <c r="L8" s="18" t="n">
        <f aca="false">IF(F8&gt;C8,A8,99)</f>
        <v>99</v>
      </c>
      <c r="N8" s="2" t="s">
        <v>178</v>
      </c>
      <c r="O8" s="12" t="n">
        <f aca="false">F26</f>
        <v>43.4133599276852</v>
      </c>
      <c r="P8" s="10"/>
    </row>
    <row r="9" customFormat="false" ht="15" hidden="false" customHeight="false" outlineLevel="0" collapsed="false">
      <c r="A9" s="18" t="n">
        <v>3</v>
      </c>
      <c r="B9" s="12" t="n">
        <f aca="false">Declarations!$B$20*B8+Declarations!$C$20*C8+Declarations!$D$20*D8</f>
        <v>41.7175</v>
      </c>
      <c r="C9" s="12" t="n">
        <f aca="false">Declarations!$B$21*B8+Declarations!$C$21*C8+Declarations!$D$21*D8</f>
        <v>36.5975</v>
      </c>
      <c r="D9" s="12" t="n">
        <f aca="false">Declarations!$B$22*B8+Declarations!$C$22*C8+Declarations!$D$22*D8</f>
        <v>45.8775</v>
      </c>
      <c r="E9" s="12" t="n">
        <f aca="false">Declarations!$B$20*E8+Declarations!$C$20*F8+Declarations!$D$20*G8+Declarations!$B$23*U_held</f>
        <v>13.362</v>
      </c>
      <c r="F9" s="12" t="n">
        <f aca="false">Declarations!$B$21*E8+Declarations!$C$21*F8+Declarations!$D$21*G8+Declarations!$C$23*U_held</f>
        <v>7.506</v>
      </c>
      <c r="G9" s="12" t="n">
        <f aca="false">Declarations!$B$22*E8+Declarations!$C$22*F8+Declarations!$D$22*G8+Declarations!$D$23*U_held</f>
        <v>1.338</v>
      </c>
      <c r="H9" s="12" t="n">
        <f aca="false">Declarations!$B$20*H8+Declarations!$C$20*I8+Declarations!$D$20*J8+Declarations!$B$23*U_held</f>
        <v>55.0795</v>
      </c>
      <c r="I9" s="12" t="n">
        <f aca="false">Declarations!$B$21*H8+Declarations!$C$21*I8+Declarations!$D$21*J8+Declarations!$C$23*U_held</f>
        <v>44.1035</v>
      </c>
      <c r="J9" s="12" t="n">
        <f aca="false">Declarations!$B$22*H8+Declarations!$C$22*I8+Declarations!$D$22*J8+Declarations!$D$23*U_held</f>
        <v>47.2155</v>
      </c>
      <c r="K9" s="21" t="n">
        <f aca="false">MAX(ABS(H9-B9-E9),ABS(I9-C9-F9),ABS(J9-D9-G9))</f>
        <v>0</v>
      </c>
      <c r="L9" s="18" t="n">
        <f aca="false">IF(F9&gt;C9,A9,99)</f>
        <v>99</v>
      </c>
      <c r="N9" s="2" t="s">
        <v>179</v>
      </c>
      <c r="O9" s="12" t="n">
        <f aca="false">I26</f>
        <v>60.0658415397767</v>
      </c>
      <c r="P9" s="10" t="s">
        <v>180</v>
      </c>
    </row>
    <row r="10" customFormat="false" ht="15" hidden="false" customHeight="false" outlineLevel="0" collapsed="false">
      <c r="A10" s="18" t="n">
        <v>4</v>
      </c>
      <c r="B10" s="12" t="n">
        <f aca="false">Declarations!$B$20*B9+Declarations!$C$20*C9+Declarations!$D$20*D9</f>
        <v>39.375625</v>
      </c>
      <c r="C10" s="12" t="n">
        <f aca="false">Declarations!$B$21*B9+Declarations!$C$21*C9+Declarations!$D$21*D9</f>
        <v>35.279625</v>
      </c>
      <c r="D10" s="12" t="n">
        <f aca="false">Declarations!$B$22*B9+Declarations!$C$22*C9+Declarations!$D$22*D9</f>
        <v>42.447625</v>
      </c>
      <c r="E10" s="12" t="n">
        <f aca="false">Declarations!$B$20*E9+Declarations!$C$20*F9+Declarations!$D$20*G9+Declarations!$B$23*U_held</f>
        <v>17.2011</v>
      </c>
      <c r="F10" s="12" t="n">
        <f aca="false">Declarations!$B$21*E9+Declarations!$C$21*F9+Declarations!$D$21*G9+Declarations!$C$23*U_held</f>
        <v>10.1163</v>
      </c>
      <c r="G10" s="12" t="n">
        <f aca="false">Declarations!$B$22*E9+Declarations!$C$22*F9+Declarations!$D$22*G9+Declarations!$D$23*U_held</f>
        <v>2.4891</v>
      </c>
      <c r="H10" s="12" t="n">
        <f aca="false">Declarations!$B$20*H9+Declarations!$C$20*I9+Declarations!$D$20*J9+Declarations!$B$23*U_held</f>
        <v>56.576725</v>
      </c>
      <c r="I10" s="12" t="n">
        <f aca="false">Declarations!$B$21*H9+Declarations!$C$21*I9+Declarations!$D$21*J9+Declarations!$C$23*U_held</f>
        <v>45.395925</v>
      </c>
      <c r="J10" s="12" t="n">
        <f aca="false">Declarations!$B$22*H9+Declarations!$C$22*I9+Declarations!$D$22*J9+Declarations!$D$23*U_held</f>
        <v>44.936725</v>
      </c>
      <c r="K10" s="21" t="n">
        <f aca="false">MAX(ABS(H10-B10-E10),ABS(I10-C10-F10),ABS(J10-D10-G10))</f>
        <v>0</v>
      </c>
      <c r="L10" s="18" t="n">
        <f aca="false">IF(F10&gt;C10,A10,99)</f>
        <v>99</v>
      </c>
      <c r="N10" s="2" t="s">
        <v>181</v>
      </c>
      <c r="O10" s="21" t="n">
        <f aca="false">MAX(K6:K26)</f>
        <v>3.10862446895044E-015</v>
      </c>
      <c r="P10" s="10" t="s">
        <v>182</v>
      </c>
    </row>
    <row r="11" customFormat="false" ht="15" hidden="false" customHeight="false" outlineLevel="0" collapsed="false">
      <c r="A11" s="18" t="n">
        <v>5</v>
      </c>
      <c r="B11" s="12" t="n">
        <f aca="false">Declarations!$B$20*B10+Declarations!$C$20*C10+Declarations!$D$20*D10</f>
        <v>37.20204375</v>
      </c>
      <c r="C11" s="12" t="n">
        <f aca="false">Declarations!$B$21*B10+Declarations!$C$21*C10+Declarations!$D$21*D10</f>
        <v>33.92524375</v>
      </c>
      <c r="D11" s="12" t="n">
        <f aca="false">Declarations!$B$22*B10+Declarations!$C$22*C10+Declarations!$D$22*D10</f>
        <v>39.45484375</v>
      </c>
      <c r="E11" s="12" t="n">
        <f aca="false">Declarations!$B$20*E10+Declarations!$C$20*F10+Declarations!$D$20*G10+Declarations!$B$23*U_held</f>
        <v>20.786805</v>
      </c>
      <c r="F11" s="12" t="n">
        <f aca="false">Declarations!$B$21*E10+Declarations!$C$21*F10+Declarations!$D$21*G10+Declarations!$C$23*U_held</f>
        <v>12.718965</v>
      </c>
      <c r="G11" s="12" t="n">
        <f aca="false">Declarations!$B$22*E10+Declarations!$C$22*F10+Declarations!$D$22*G10+Declarations!$D$23*U_held</f>
        <v>3.862965</v>
      </c>
      <c r="H11" s="12" t="n">
        <f aca="false">Declarations!$B$20*H10+Declarations!$C$20*I10+Declarations!$D$20*J10+Declarations!$B$23*U_held</f>
        <v>57.98884875</v>
      </c>
      <c r="I11" s="12" t="n">
        <f aca="false">Declarations!$B$21*H10+Declarations!$C$21*I10+Declarations!$D$21*J10+Declarations!$C$23*U_held</f>
        <v>46.64420875</v>
      </c>
      <c r="J11" s="12" t="n">
        <f aca="false">Declarations!$B$22*H10+Declarations!$C$22*I10+Declarations!$D$22*J10+Declarations!$D$23*U_held</f>
        <v>43.31780875</v>
      </c>
      <c r="K11" s="21" t="n">
        <f aca="false">MAX(ABS(H11-B11-E11),ABS(I11-C11-F11),ABS(J11-D11-G11))</f>
        <v>0</v>
      </c>
      <c r="L11" s="18" t="n">
        <f aca="false">IF(F11&gt;C11,A11,99)</f>
        <v>99</v>
      </c>
      <c r="N11" s="2" t="s">
        <v>183</v>
      </c>
      <c r="O11" s="18" t="n">
        <f aca="false">MIN(L6:L26)</f>
        <v>11</v>
      </c>
      <c r="P11" s="10" t="s">
        <v>51</v>
      </c>
    </row>
    <row r="12" customFormat="false" ht="15" hidden="false" customHeight="false" outlineLevel="0" collapsed="false">
      <c r="A12" s="18" t="n">
        <v>6</v>
      </c>
      <c r="B12" s="12" t="n">
        <f aca="false">Declarations!$B$20*B11+Declarations!$C$20*C11+Declarations!$D$20*D11</f>
        <v>35.1781015625</v>
      </c>
      <c r="C12" s="12" t="n">
        <f aca="false">Declarations!$B$21*B11+Declarations!$C$21*C11+Declarations!$D$21*D11</f>
        <v>32.5566615625</v>
      </c>
      <c r="D12" s="12" t="n">
        <f aca="false">Declarations!$B$22*B11+Declarations!$C$22*C11+Declarations!$D$22*D11</f>
        <v>36.8165015625</v>
      </c>
      <c r="E12" s="12" t="n">
        <f aca="false">Declarations!$B$20*E11+Declarations!$C$20*F11+Declarations!$D$20*G11+Declarations!$B$23*U_held</f>
        <v>24.14407275</v>
      </c>
      <c r="F12" s="12" t="n">
        <f aca="false">Declarations!$B$21*E11+Declarations!$C$21*F11+Declarations!$D$21*G11+Declarations!$C$23*U_held</f>
        <v>15.28980075</v>
      </c>
      <c r="G12" s="12" t="n">
        <f aca="false">Declarations!$B$22*E11+Declarations!$C$22*F11+Declarations!$D$22*G11+Declarations!$D$23*U_held</f>
        <v>5.40160875</v>
      </c>
      <c r="H12" s="12" t="n">
        <f aca="false">Declarations!$B$20*H11+Declarations!$C$20*I11+Declarations!$D$20*J11+Declarations!$B$23*U_held</f>
        <v>59.3221743125</v>
      </c>
      <c r="I12" s="12" t="n">
        <f aca="false">Declarations!$B$21*H11+Declarations!$C$21*I11+Declarations!$D$21*J11+Declarations!$C$23*U_held</f>
        <v>47.8464623125</v>
      </c>
      <c r="J12" s="12" t="n">
        <f aca="false">Declarations!$B$22*H11+Declarations!$C$22*I11+Declarations!$D$22*J11+Declarations!$D$23*U_held</f>
        <v>42.2181103125</v>
      </c>
      <c r="K12" s="21" t="n">
        <f aca="false">MAX(ABS(H12-B12-E12),ABS(I12-C12-F12),ABS(J12-D12-G12))</f>
        <v>0</v>
      </c>
      <c r="L12" s="18" t="n">
        <f aca="false">IF(F12&gt;C12,A12,99)</f>
        <v>99</v>
      </c>
    </row>
    <row r="13" customFormat="false" ht="15" hidden="false" customHeight="false" outlineLevel="0" collapsed="false">
      <c r="A13" s="18" t="n">
        <v>7</v>
      </c>
      <c r="B13" s="12" t="n">
        <f aca="false">Declarations!$B$20*B12+Declarations!$C$20*C12+Declarations!$D$20*D12</f>
        <v>33.288124484375</v>
      </c>
      <c r="C13" s="12" t="n">
        <f aca="false">Declarations!$B$21*B12+Declarations!$C$21*C12+Declarations!$D$21*D12</f>
        <v>31.190972484375</v>
      </c>
      <c r="D13" s="12" t="n">
        <f aca="false">Declarations!$B$22*B12+Declarations!$C$22*C12+Declarations!$D$22*D12</f>
        <v>34.467772484375</v>
      </c>
      <c r="E13" s="12" t="n">
        <f aca="false">Declarations!$B$20*E12+Declarations!$C$20*F12+Declarations!$D$20*G12+Declarations!$B$23*U_held</f>
        <v>27.2941555125</v>
      </c>
      <c r="F13" s="12" t="n">
        <f aca="false">Declarations!$B$21*E12+Declarations!$C$21*F12+Declarations!$D$21*G12+Declarations!$C$23*U_held</f>
        <v>17.8107379125</v>
      </c>
      <c r="G13" s="12" t="n">
        <f aca="false">Declarations!$B$22*E12+Declarations!$C$22*F12+Declarations!$D$22*G12+Declarations!$D$23*U_held</f>
        <v>7.0574707125</v>
      </c>
      <c r="H13" s="12" t="n">
        <f aca="false">Declarations!$B$20*H12+Declarations!$C$20*I12+Declarations!$D$20*J12+Declarations!$B$23*U_held</f>
        <v>60.582279996875</v>
      </c>
      <c r="I13" s="12" t="n">
        <f aca="false">Declarations!$B$21*H12+Declarations!$C$21*I12+Declarations!$D$21*J12+Declarations!$C$23*U_held</f>
        <v>49.001710396875</v>
      </c>
      <c r="J13" s="12" t="n">
        <f aca="false">Declarations!$B$22*H12+Declarations!$C$22*I12+Declarations!$D$22*J12+Declarations!$D$23*U_held</f>
        <v>41.525243196875</v>
      </c>
      <c r="K13" s="21" t="n">
        <f aca="false">MAX(ABS(H13-B13-E13),ABS(I13-C13-F13),ABS(J13-D13-G13))</f>
        <v>0</v>
      </c>
      <c r="L13" s="18" t="n">
        <f aca="false">IF(F13&gt;C13,A13,99)</f>
        <v>99</v>
      </c>
      <c r="N13" s="2" t="s">
        <v>184</v>
      </c>
      <c r="O13" s="17" t="n">
        <f aca="false">Declarations!$B$20*Declarations!$B$24+Declarations!$C$20*Declarations!$C$24+Declarations!$D$20*Declarations!$D$24+Declarations!$B$23*U_ch3</f>
        <v>53</v>
      </c>
      <c r="P13" s="10" t="s">
        <v>185</v>
      </c>
    </row>
    <row r="14" customFormat="false" ht="15" hidden="false" customHeight="false" outlineLevel="0" collapsed="false">
      <c r="A14" s="18" t="n">
        <v>8</v>
      </c>
      <c r="B14" s="12" t="n">
        <f aca="false">Declarations!$B$20*B13+Declarations!$C$20*C13+Declarations!$D$20*D13</f>
        <v>31.5188606601563</v>
      </c>
      <c r="C14" s="12" t="n">
        <f aca="false">Declarations!$B$21*B13+Declarations!$C$21*C13+Declarations!$D$21*D13</f>
        <v>29.8411390601562</v>
      </c>
      <c r="D14" s="12" t="n">
        <f aca="false">Declarations!$B$22*B13+Declarations!$C$22*C13+Declarations!$D$22*D13</f>
        <v>32.3577214601563</v>
      </c>
      <c r="E14" s="12" t="n">
        <f aca="false">Declarations!$B$20*E13+Declarations!$C$20*F13+Declarations!$D$20*G13+Declarations!$B$23*U_held</f>
        <v>30.255276856875</v>
      </c>
      <c r="F14" s="12" t="n">
        <f aca="false">Declarations!$B$21*E13+Declarations!$C$21*F13+Declarations!$D$21*G13+Declarations!$C$23*U_held</f>
        <v>20.268542776875</v>
      </c>
      <c r="G14" s="12" t="n">
        <f aca="false">Declarations!$B$22*E13+Declarations!$C$22*F13+Declarations!$D$22*G13+Declarations!$D$23*U_held</f>
        <v>8.791758136875</v>
      </c>
      <c r="H14" s="12" t="n">
        <f aca="false">Declarations!$B$20*H13+Declarations!$C$20*I13+Declarations!$D$20*J13+Declarations!$B$23*U_held</f>
        <v>61.7741375170312</v>
      </c>
      <c r="I14" s="12" t="n">
        <f aca="false">Declarations!$B$21*H13+Declarations!$C$21*I13+Declarations!$D$21*J13+Declarations!$C$23*U_held</f>
        <v>50.1096818370312</v>
      </c>
      <c r="J14" s="12" t="n">
        <f aca="false">Declarations!$B$22*H13+Declarations!$C$22*I13+Declarations!$D$22*J13+Declarations!$D$23*U_held</f>
        <v>41.1494795970313</v>
      </c>
      <c r="K14" s="21" t="n">
        <f aca="false">MAX(ABS(H14-B14-E14),ABS(I14-C14-F14),ABS(J14-D14-G14))</f>
        <v>0</v>
      </c>
      <c r="L14" s="18" t="n">
        <f aca="false">IF(F14&gt;C14,A14,99)</f>
        <v>99</v>
      </c>
      <c r="N14" s="2" t="s">
        <v>186</v>
      </c>
      <c r="O14" s="17" t="n">
        <f aca="false">Declarations!$B$21*Declarations!$B$24+Declarations!$C$21*Declarations!$C$24+Declarations!$D$21*Declarations!$D$24+Declarations!$C$23*U_ch3</f>
        <v>42</v>
      </c>
      <c r="P14" s="10" t="s">
        <v>187</v>
      </c>
    </row>
    <row r="15" customFormat="false" ht="15" hidden="false" customHeight="false" outlineLevel="0" collapsed="false">
      <c r="A15" s="18" t="n">
        <v>9</v>
      </c>
      <c r="B15" s="12" t="n">
        <f aca="false">Declarations!$B$20*B14+Declarations!$C$20*C14+Declarations!$D$20*D14</f>
        <v>29.8590315471484</v>
      </c>
      <c r="C15" s="12" t="n">
        <f aca="false">Declarations!$B$21*B14+Declarations!$C$21*C14+Declarations!$D$21*D14</f>
        <v>28.5168542671484</v>
      </c>
      <c r="D15" s="12" t="n">
        <f aca="false">Declarations!$B$22*B14+Declarations!$C$22*C14+Declarations!$D$22*D14</f>
        <v>30.4462341071484</v>
      </c>
      <c r="E15" s="12" t="n">
        <f aca="false">Declarations!$B$20*E14+Declarations!$C$20*F14+Declarations!$D$20*G14+Declarations!$B$23*U_held</f>
        <v>33.0431763100313</v>
      </c>
      <c r="F15" s="12" t="n">
        <f aca="false">Declarations!$B$21*E14+Declarations!$C$21*F14+Declarations!$D$21*G14+Declarations!$C$23*U_held</f>
        <v>22.6537890460313</v>
      </c>
      <c r="G15" s="12" t="n">
        <f aca="false">Declarations!$B$22*E14+Declarations!$C$22*F14+Declarations!$D$22*G14+Declarations!$D$23*U_held</f>
        <v>10.5730246300313</v>
      </c>
      <c r="H15" s="12" t="n">
        <f aca="false">Declarations!$B$20*H14+Declarations!$C$20*I14+Declarations!$D$20*J14+Declarations!$B$23*U_held</f>
        <v>62.9022078571797</v>
      </c>
      <c r="I15" s="12" t="n">
        <f aca="false">Declarations!$B$21*H14+Declarations!$C$21*I14+Declarations!$D$21*J14+Declarations!$C$23*U_held</f>
        <v>51.1706433131797</v>
      </c>
      <c r="J15" s="12" t="n">
        <f aca="false">Declarations!$B$22*H14+Declarations!$C$22*I14+Declarations!$D$22*J14+Declarations!$D$23*U_held</f>
        <v>41.0192587371797</v>
      </c>
      <c r="K15" s="21" t="n">
        <f aca="false">MAX(ABS(H15-B15-E15),ABS(I15-C15-F15),ABS(J15-D15-G15))</f>
        <v>0</v>
      </c>
      <c r="L15" s="18" t="n">
        <f aca="false">IF(F15&gt;C15,A15,99)</f>
        <v>99</v>
      </c>
      <c r="N15" s="2" t="s">
        <v>188</v>
      </c>
      <c r="O15" s="17" t="n">
        <f aca="false">Declarations!$B$22*Declarations!$B$24+Declarations!$C$22*Declarations!$C$24+Declarations!$D$22*Declarations!$D$24+Declarations!$D$23*U_ch3</f>
        <v>54.5</v>
      </c>
      <c r="P15" s="10" t="s">
        <v>189</v>
      </c>
    </row>
    <row r="16" customFormat="false" ht="15" hidden="false" customHeight="false" outlineLevel="0" collapsed="false">
      <c r="A16" s="18" t="n">
        <v>10</v>
      </c>
      <c r="B16" s="12" t="n">
        <f aca="false">Declarations!$B$20*B15+Declarations!$C$20*C15+Declarations!$D$20*D15</f>
        <v>28.298971105791</v>
      </c>
      <c r="C16" s="12" t="n">
        <f aca="false">Declarations!$B$21*B15+Declarations!$C$21*C15+Declarations!$D$21*D15</f>
        <v>27.225229281791</v>
      </c>
      <c r="D16" s="12" t="n">
        <f aca="false">Declarations!$B$22*B15+Declarations!$C$22*C15+Declarations!$D$22*D15</f>
        <v>28.701624289791</v>
      </c>
      <c r="E16" s="12" t="n">
        <f aca="false">Declarations!$B$20*E15+Declarations!$C$20*F15+Declarations!$D$20*G15+Declarations!$B$23*U_held</f>
        <v>35.6715481313297</v>
      </c>
      <c r="F16" s="12" t="n">
        <f aca="false">Declarations!$B$21*E15+Declarations!$C$21*F15+Declarations!$D$21*G15+Declarations!$C$23*U_held</f>
        <v>24.9600383201297</v>
      </c>
      <c r="G16" s="12" t="n">
        <f aca="false">Declarations!$B$22*E15+Declarations!$C$22*F15+Declarations!$D$22*G15+Declarations!$D$23*U_held</f>
        <v>12.3759574241297</v>
      </c>
      <c r="H16" s="12" t="n">
        <f aca="false">Declarations!$B$20*H15+Declarations!$C$20*I15+Declarations!$D$20*J15+Declarations!$B$23*U_held</f>
        <v>63.9705192371207</v>
      </c>
      <c r="I16" s="12" t="n">
        <f aca="false">Declarations!$B$21*H15+Declarations!$C$21*I15+Declarations!$D$21*J15+Declarations!$C$23*U_held</f>
        <v>52.1852676019207</v>
      </c>
      <c r="J16" s="12" t="n">
        <f aca="false">Declarations!$B$22*H15+Declarations!$C$22*I15+Declarations!$D$22*J15+Declarations!$D$23*U_held</f>
        <v>41.0775817139207</v>
      </c>
      <c r="K16" s="21" t="n">
        <f aca="false">MAX(ABS(H16-B16-E16),ABS(I16-C16-F16),ABS(J16-D16-G16))</f>
        <v>0</v>
      </c>
      <c r="L16" s="18" t="n">
        <f aca="false">IF(F16&gt;C16,A16,99)</f>
        <v>99</v>
      </c>
    </row>
    <row r="17" customFormat="false" ht="15" hidden="false" customHeight="false" outlineLevel="0" collapsed="false">
      <c r="A17" s="18" t="n">
        <v>11</v>
      </c>
      <c r="B17" s="12" t="n">
        <f aca="false">Declarations!$B$20*B16+Declarations!$C$20*C16+Declarations!$D$20*D16</f>
        <v>26.8303354593015</v>
      </c>
      <c r="C17" s="12" t="n">
        <f aca="false">Declarations!$B$21*B16+Declarations!$C$21*C16+Declarations!$D$21*D16</f>
        <v>25.9713420001015</v>
      </c>
      <c r="D17" s="12" t="n">
        <f aca="false">Declarations!$B$22*B16+Declarations!$C$22*C16+Declarations!$D$22*D16</f>
        <v>27.0987709153015</v>
      </c>
      <c r="E17" s="12" t="n">
        <f aca="false">Declarations!$B$20*E16+Declarations!$C$20*F16+Declarations!$D$20*G16+Declarations!$B$23*U_held</f>
        <v>38.1523952342032</v>
      </c>
      <c r="F17" s="12" t="n">
        <f aca="false">Declarations!$B$21*E16+Declarations!$C$21*F16+Declarations!$D$21*G16+Declarations!$C$23*U_held</f>
        <v>27.1831873852432</v>
      </c>
      <c r="G17" s="12" t="n">
        <f aca="false">Declarations!$B$22*E16+Declarations!$C$22*F16+Declarations!$D$22*G16+Declarations!$D$23*U_held</f>
        <v>14.1803471778832</v>
      </c>
      <c r="H17" s="12" t="n">
        <f aca="false">Declarations!$B$20*H16+Declarations!$C$20*I16+Declarations!$D$20*J16+Declarations!$B$23*U_held</f>
        <v>64.9827306935047</v>
      </c>
      <c r="I17" s="12" t="n">
        <f aca="false">Declarations!$B$21*H16+Declarations!$C$21*I16+Declarations!$D$21*J16+Declarations!$C$23*U_held</f>
        <v>53.1545293853447</v>
      </c>
      <c r="J17" s="12" t="n">
        <f aca="false">Declarations!$B$22*H16+Declarations!$C$22*I16+Declarations!$D$22*J16+Declarations!$D$23*U_held</f>
        <v>41.2791180931847</v>
      </c>
      <c r="K17" s="21" t="n">
        <f aca="false">MAX(ABS(H17-B17-E17),ABS(I17-C17-F17),ABS(J17-D17-G17))</f>
        <v>0</v>
      </c>
      <c r="L17" s="18" t="n">
        <f aca="false">IF(F17&gt;C17,A17,99)</f>
        <v>11</v>
      </c>
    </row>
    <row r="18" customFormat="false" ht="15" hidden="false" customHeight="false" outlineLevel="0" collapsed="false">
      <c r="A18" s="18" t="n">
        <v>12</v>
      </c>
      <c r="B18" s="12" t="n">
        <f aca="false">Declarations!$B$20*B17+Declarations!$C$20*C17+Declarations!$D$20*D17</f>
        <v>25.4458690133764</v>
      </c>
      <c r="C18" s="12" t="n">
        <f aca="false">Declarations!$B$21*B17+Declarations!$C$21*C17+Declarations!$D$21*D17</f>
        <v>24.7586742460164</v>
      </c>
      <c r="D18" s="12" t="n">
        <f aca="false">Declarations!$B$22*B17+Declarations!$C$22*C17+Declarations!$D$22*D17</f>
        <v>25.6176677052164</v>
      </c>
      <c r="E18" s="12" t="n">
        <f aca="false">Declarations!$B$20*E17+Declarations!$C$20*F17+Declarations!$D$20*G17+Declarations!$B$23*U_held</f>
        <v>40.496315080045</v>
      </c>
      <c r="F18" s="12" t="n">
        <f aca="false">Declarations!$B$21*E17+Declarations!$C$21*F17+Declarations!$D$21*G17+Declarations!$C$23*U_held</f>
        <v>29.320948800877</v>
      </c>
      <c r="G18" s="12" t="n">
        <f aca="false">Declarations!$B$22*E17+Declarations!$C$22*F17+Declarations!$D$22*G17+Declarations!$D$23*U_held</f>
        <v>15.970216242541</v>
      </c>
      <c r="H18" s="12" t="n">
        <f aca="false">Declarations!$B$20*H17+Declarations!$C$20*I17+Declarations!$D$20*J17+Declarations!$B$23*U_held</f>
        <v>65.9421840934214</v>
      </c>
      <c r="I18" s="12" t="n">
        <f aca="false">Declarations!$B$21*H17+Declarations!$C$21*I17+Declarations!$D$21*J17+Declarations!$C$23*U_held</f>
        <v>54.0796230468934</v>
      </c>
      <c r="J18" s="12" t="n">
        <f aca="false">Declarations!$B$22*H17+Declarations!$C$22*I17+Declarations!$D$22*J17+Declarations!$D$23*U_held</f>
        <v>41.5878839477574</v>
      </c>
      <c r="K18" s="21" t="n">
        <f aca="false">MAX(ABS(H18-B18-E18),ABS(I18-C18-F18),ABS(J18-D18-G18))</f>
        <v>0</v>
      </c>
      <c r="L18" s="18" t="n">
        <f aca="false">IF(F18&gt;C18,A18,99)</f>
        <v>12</v>
      </c>
    </row>
    <row r="19" customFormat="false" ht="15" hidden="false" customHeight="false" outlineLevel="0" collapsed="false">
      <c r="A19" s="18" t="n">
        <v>13</v>
      </c>
      <c r="B19" s="12" t="n">
        <f aca="false">Declarations!$B$20*B18+Declarations!$C$20*C18+Declarations!$D$20*D18</f>
        <v>24.1392158243396</v>
      </c>
      <c r="C19" s="12" t="n">
        <f aca="false">Declarations!$B$21*B18+Declarations!$C$21*C18+Declarations!$D$21*D18</f>
        <v>23.5894600104516</v>
      </c>
      <c r="D19" s="12" t="n">
        <f aca="false">Declarations!$B$22*B18+Declarations!$C$22*C18+Declarations!$D$22*D18</f>
        <v>24.2422950394436</v>
      </c>
      <c r="E19" s="12" t="n">
        <f aca="false">Declarations!$B$20*E18+Declarations!$C$20*F18+Declarations!$D$20*G18+Declarations!$B$23*U_held</f>
        <v>42.7127310120844</v>
      </c>
      <c r="F19" s="12" t="n">
        <f aca="false">Declarations!$B$21*E18+Declarations!$C$21*F18+Declarations!$D$21*G18+Declarations!$C$23*U_held</f>
        <v>31.37243798875</v>
      </c>
      <c r="G19" s="12" t="n">
        <f aca="false">Declarations!$B$22*E18+Declarations!$C$22*F18+Declarations!$D$22*G18+Declarations!$D$23*U_held</f>
        <v>17.7330836281228</v>
      </c>
      <c r="H19" s="12" t="n">
        <f aca="false">Declarations!$B$20*H18+Declarations!$C$20*I18+Declarations!$D$20*J18+Declarations!$B$23*U_held</f>
        <v>66.851946836424</v>
      </c>
      <c r="I19" s="12" t="n">
        <f aca="false">Declarations!$B$21*H18+Declarations!$C$21*I18+Declarations!$D$21*J18+Declarations!$C$23*U_held</f>
        <v>54.9618979992015</v>
      </c>
      <c r="J19" s="12" t="n">
        <f aca="false">Declarations!$B$22*H18+Declarations!$C$22*I18+Declarations!$D$22*J18+Declarations!$D$23*U_held</f>
        <v>41.9753786675664</v>
      </c>
      <c r="K19" s="21" t="n">
        <f aca="false">MAX(ABS(H19-B19-E19),ABS(I19-C19-F19),ABS(J19-D19-G19))</f>
        <v>0</v>
      </c>
      <c r="L19" s="18" t="n">
        <f aca="false">IF(F19&gt;C19,A19,99)</f>
        <v>13</v>
      </c>
    </row>
    <row r="20" customFormat="false" ht="15" hidden="false" customHeight="false" outlineLevel="0" collapsed="false">
      <c r="A20" s="18" t="n">
        <v>14</v>
      </c>
      <c r="B20" s="12" t="n">
        <f aca="false">Declarations!$B$20*B19+Declarations!$C$20*C19+Declarations!$D$20*D19</f>
        <v>22.9047672424282</v>
      </c>
      <c r="C20" s="12" t="n">
        <f aca="false">Declarations!$B$21*B19+Declarations!$C$21*C19+Declarations!$D$21*D19</f>
        <v>22.4649625913178</v>
      </c>
      <c r="D20" s="12" t="n">
        <f aca="false">Declarations!$B$22*B19+Declarations!$C$22*C19+Declarations!$D$22*D19</f>
        <v>22.959742823817</v>
      </c>
      <c r="E20" s="12" t="n">
        <f aca="false">Declarations!$B$20*E19+Declarations!$C$20*F19+Declarations!$D$20*G19+Declarations!$B$23*U_held</f>
        <v>44.8100798103135</v>
      </c>
      <c r="F20" s="12" t="n">
        <f aca="false">Declarations!$B$21*E19+Declarations!$C$21*F19+Declarations!$D$21*G19+Declarations!$C$23*U_held</f>
        <v>33.3378453916459</v>
      </c>
      <c r="G20" s="12" t="n">
        <f aca="false">Declarations!$B$22*E19+Declarations!$C$22*F19+Declarations!$D$22*G19+Declarations!$D$23*U_held</f>
        <v>19.4593472519775</v>
      </c>
      <c r="H20" s="12" t="n">
        <f aca="false">Declarations!$B$20*H19+Declarations!$C$20*I19+Declarations!$D$20*J19+Declarations!$B$23*U_held</f>
        <v>67.7148470527416</v>
      </c>
      <c r="I20" s="12" t="n">
        <f aca="false">Declarations!$B$21*H19+Declarations!$C$21*I19+Declarations!$D$21*J19+Declarations!$C$23*U_held</f>
        <v>55.8028079829637</v>
      </c>
      <c r="J20" s="12" t="n">
        <f aca="false">Declarations!$B$22*H19+Declarations!$C$22*I19+Declarations!$D$22*J19+Declarations!$D$23*U_held</f>
        <v>42.4190900757944</v>
      </c>
      <c r="K20" s="21" t="n">
        <f aca="false">MAX(ABS(H20-B20-E20),ABS(I20-C20-F20),ABS(J20-D20-G20))</f>
        <v>0</v>
      </c>
      <c r="L20" s="18" t="n">
        <f aca="false">IF(F20&gt;C20,A20,99)</f>
        <v>14</v>
      </c>
    </row>
    <row r="21" customFormat="false" ht="15" hidden="false" customHeight="false" outlineLevel="0" collapsed="false">
      <c r="A21" s="18" t="n">
        <v>15</v>
      </c>
      <c r="B21" s="12" t="n">
        <f aca="false">Declarations!$B$20*B20+Declarations!$C$20*C20+Declarations!$D$20*D20</f>
        <v>21.7375386477513</v>
      </c>
      <c r="C21" s="12" t="n">
        <f aca="false">Declarations!$B$21*B20+Declarations!$C$21*C20+Declarations!$D$21*D20</f>
        <v>21.3856949268629</v>
      </c>
      <c r="D21" s="12" t="n">
        <f aca="false">Declarations!$B$22*B20+Declarations!$C$22*C20+Declarations!$D$22*D20</f>
        <v>21.7595288803068</v>
      </c>
      <c r="E21" s="12" t="n">
        <f aca="false">Declarations!$B$20*E20+Declarations!$C$20*F20+Declarations!$D$20*G20+Declarations!$B$23*U_held</f>
        <v>46.7959640988644</v>
      </c>
      <c r="F21" s="12" t="n">
        <f aca="false">Declarations!$B$21*E20+Declarations!$C$21*F20+Declarations!$D$21*G20+Declarations!$C$23*U_held</f>
        <v>35.2181765639304</v>
      </c>
      <c r="G21" s="12" t="n">
        <f aca="false">Declarations!$B$22*E20+Declarations!$C$22*F20+Declarations!$D$22*G20+Declarations!$D$23*U_held</f>
        <v>21.1417663312622</v>
      </c>
      <c r="H21" s="12" t="n">
        <f aca="false">Declarations!$B$20*H20+Declarations!$C$20*I20+Declarations!$D$20*J20+Declarations!$B$23*U_held</f>
        <v>68.5335027466157</v>
      </c>
      <c r="I21" s="12" t="n">
        <f aca="false">Declarations!$B$21*H20+Declarations!$C$21*I20+Declarations!$D$21*J20+Declarations!$C$23*U_held</f>
        <v>56.6038714907933</v>
      </c>
      <c r="J21" s="12" t="n">
        <f aca="false">Declarations!$B$22*H20+Declarations!$C$22*I20+Declarations!$D$22*J20+Declarations!$D$23*U_held</f>
        <v>42.901295211569</v>
      </c>
      <c r="K21" s="21" t="n">
        <f aca="false">MAX(ABS(H21-B21-E21),ABS(I21-C21-F21),ABS(J21-D21-G21))</f>
        <v>0</v>
      </c>
      <c r="L21" s="18" t="n">
        <f aca="false">IF(F21&gt;C21,A21,99)</f>
        <v>15</v>
      </c>
    </row>
    <row r="22" customFormat="false" ht="15" hidden="false" customHeight="false" outlineLevel="0" collapsed="false">
      <c r="A22" s="18" t="n">
        <v>16</v>
      </c>
      <c r="B22" s="12" t="n">
        <f aca="false">Declarations!$B$20*B21+Declarations!$C$20*C21+Declarations!$D$20*D21</f>
        <v>20.6330695293193</v>
      </c>
      <c r="C22" s="12" t="n">
        <f aca="false">Declarations!$B$21*B21+Declarations!$C$21*C21+Declarations!$D$21*D21</f>
        <v>20.3515945526086</v>
      </c>
      <c r="D22" s="12" t="n">
        <f aca="false">Declarations!$B$22*B21+Declarations!$C$22*C21+Declarations!$D$22*D21</f>
        <v>20.6330695293193</v>
      </c>
      <c r="E22" s="12" t="n">
        <f aca="false">Declarations!$B$20*E21+Declarations!$C$20*F21+Declarations!$D$20*G21+Declarations!$B$23*U_held</f>
        <v>48.6772765171745</v>
      </c>
      <c r="F22" s="12" t="n">
        <f aca="false">Declarations!$B$21*E21+Declarations!$C$21*F21+Declarations!$D$21*G21+Declarations!$C$23*U_held</f>
        <v>37.0150464892273</v>
      </c>
      <c r="G22" s="12" t="n">
        <f aca="false">Declarations!$B$22*E21+Declarations!$C$22*F21+Declarations!$D$22*G21+Declarations!$D$23*U_held</f>
        <v>22.775028926346</v>
      </c>
      <c r="H22" s="12" t="n">
        <f aca="false">Declarations!$B$20*H21+Declarations!$C$20*I21+Declarations!$D$20*J21+Declarations!$B$23*U_held</f>
        <v>69.3103460464938</v>
      </c>
      <c r="I22" s="12" t="n">
        <f aca="false">Declarations!$B$21*H21+Declarations!$C$21*I21+Declarations!$D$21*J21+Declarations!$C$23*U_held</f>
        <v>57.3666410418359</v>
      </c>
      <c r="J22" s="12" t="n">
        <f aca="false">Declarations!$B$22*H21+Declarations!$C$22*I21+Declarations!$D$22*J21+Declarations!$D$23*U_held</f>
        <v>43.4080984556653</v>
      </c>
      <c r="K22" s="21" t="n">
        <f aca="false">MAX(ABS(H22-B22-E22),ABS(I22-C22-F22),ABS(J22-D22-G22))</f>
        <v>0</v>
      </c>
      <c r="L22" s="18" t="n">
        <f aca="false">IF(F22&gt;C22,A22,99)</f>
        <v>16</v>
      </c>
    </row>
    <row r="23" customFormat="false" ht="15" hidden="false" customHeight="false" outlineLevel="0" collapsed="false">
      <c r="A23" s="18" t="n">
        <v>17</v>
      </c>
      <c r="B23" s="12" t="n">
        <f aca="false">Declarations!$B$20*B22+Declarations!$C$20*C22+Declarations!$D$20*D22</f>
        <v>19.5873423040178</v>
      </c>
      <c r="C23" s="12" t="n">
        <f aca="false">Declarations!$B$21*B22+Declarations!$C$21*C22+Declarations!$D$21*D22</f>
        <v>19.3621623226493</v>
      </c>
      <c r="D23" s="12" t="n">
        <f aca="false">Declarations!$B$22*B22+Declarations!$C$22*C22+Declarations!$D$22*D22</f>
        <v>19.5732685551823</v>
      </c>
      <c r="E23" s="12" t="n">
        <f aca="false">Declarations!$B$20*E22+Declarations!$C$20*F22+Declarations!$D$20*G22+Declarations!$B$23*U_held</f>
        <v>50.4603011899184</v>
      </c>
      <c r="F23" s="12" t="n">
        <f aca="false">Declarations!$B$21*E22+Declarations!$C$21*F22+Declarations!$D$21*G22+Declarations!$C$23*U_held</f>
        <v>38.7305171675606</v>
      </c>
      <c r="G23" s="12" t="n">
        <f aca="false">Declarations!$B$22*E22+Declarations!$C$22*F22+Declarations!$D$22*G22+Declarations!$D$23*U_held</f>
        <v>24.3553916158583</v>
      </c>
      <c r="H23" s="12" t="n">
        <f aca="false">Declarations!$B$20*H22+Declarations!$C$20*I22+Declarations!$D$20*J22+Declarations!$B$23*U_held</f>
        <v>70.0476434939362</v>
      </c>
      <c r="I23" s="12" t="n">
        <f aca="false">Declarations!$B$21*H22+Declarations!$C$21*I22+Declarations!$D$21*J22+Declarations!$C$23*U_held</f>
        <v>58.0926794902099</v>
      </c>
      <c r="J23" s="12" t="n">
        <f aca="false">Declarations!$B$22*H22+Declarations!$C$22*I22+Declarations!$D$22*J22+Declarations!$D$23*U_held</f>
        <v>43.9286601710405</v>
      </c>
      <c r="K23" s="21" t="n">
        <f aca="false">MAX(ABS(H23-B23-E23),ABS(I23-C23-F23),ABS(J23-D23-G23))</f>
        <v>0</v>
      </c>
      <c r="L23" s="18" t="n">
        <f aca="false">IF(F23&gt;C23,A23,99)</f>
        <v>17</v>
      </c>
    </row>
    <row r="24" customFormat="false" ht="15" hidden="false" customHeight="false" outlineLevel="0" collapsed="false">
      <c r="A24" s="18" t="n">
        <v>18</v>
      </c>
      <c r="B24" s="12" t="n">
        <f aca="false">Declarations!$B$20*B23+Declarations!$C$20*C23+Declarations!$D$20*D23</f>
        <v>18.5967161897485</v>
      </c>
      <c r="C24" s="12" t="n">
        <f aca="false">Declarations!$B$21*B23+Declarations!$C$21*C23+Declarations!$D$21*D23</f>
        <v>18.4165722046536</v>
      </c>
      <c r="D24" s="12" t="n">
        <f aca="false">Declarations!$B$22*B23+Declarations!$C$22*C23+Declarations!$D$22*D23</f>
        <v>18.5741981916116</v>
      </c>
      <c r="E24" s="12" t="n">
        <f aca="false">Declarations!$B$20*E23+Declarations!$C$20*F23+Declarations!$D$20*G23+Declarations!$B$23*U_held</f>
        <v>52.1507969293046</v>
      </c>
      <c r="F24" s="12" t="n">
        <f aca="false">Declarations!$B$21*E23+Declarations!$C$21*F23+Declarations!$D$21*G23+Declarations!$C$23*U_held</f>
        <v>40.3669697114184</v>
      </c>
      <c r="G24" s="12" t="n">
        <f aca="false">Declarations!$B$22*E23+Declarations!$C$22*F23+Declarations!$D$22*G23+Declarations!$D$23*U_held</f>
        <v>25.8803800689386</v>
      </c>
      <c r="H24" s="12" t="n">
        <f aca="false">Declarations!$B$20*H23+Declarations!$C$20*I23+Declarations!$D$20*J23+Declarations!$B$23*U_held</f>
        <v>70.747513119053</v>
      </c>
      <c r="I24" s="12" t="n">
        <f aca="false">Declarations!$B$21*H23+Declarations!$C$21*I23+Declarations!$D$21*J23+Declarations!$C$23*U_held</f>
        <v>58.783541916072</v>
      </c>
      <c r="J24" s="12" t="n">
        <f aca="false">Declarations!$B$22*H23+Declarations!$C$22*I23+Declarations!$D$22*J23+Declarations!$D$23*U_held</f>
        <v>44.4545782605502</v>
      </c>
      <c r="K24" s="21" t="n">
        <f aca="false">MAX(ABS(H24-B24-E24),ABS(I24-C24-F24),ABS(J24-D24-G24))</f>
        <v>0</v>
      </c>
      <c r="L24" s="18" t="n">
        <f aca="false">IF(F24&gt;C24,A24,99)</f>
        <v>18</v>
      </c>
    </row>
    <row r="25" customFormat="false" ht="15" hidden="false" customHeight="false" outlineLevel="0" collapsed="false">
      <c r="A25" s="18" t="n">
        <v>19</v>
      </c>
      <c r="B25" s="12" t="n">
        <f aca="false">Declarations!$B$20*B24+Declarations!$C$20*C24+Declarations!$D$20*D24</f>
        <v>17.6578731810063</v>
      </c>
      <c r="C25" s="12" t="n">
        <f aca="false">Declarations!$B$21*B24+Declarations!$C$21*C24+Declarations!$D$21*D24</f>
        <v>17.5137579929304</v>
      </c>
      <c r="D25" s="12" t="n">
        <f aca="false">Declarations!$B$22*B24+Declarations!$C$22*C24+Declarations!$D$22*D24</f>
        <v>17.6308515832421</v>
      </c>
      <c r="E25" s="12" t="n">
        <f aca="false">Declarations!$B$20*E24+Declarations!$C$20*F24+Declarations!$D$20*G24+Declarations!$B$23*U_held</f>
        <v>53.7540657219451</v>
      </c>
      <c r="F25" s="12" t="n">
        <f aca="false">Declarations!$B$21*E24+Declarations!$C$21*F24+Declarations!$D$21*G24+Declarations!$C$23*U_held</f>
        <v>41.9270039476361</v>
      </c>
      <c r="G25" s="12" t="n">
        <f aca="false">Declarations!$B$22*E24+Declarations!$C$22*F24+Declarations!$D$22*G24+Declarations!$D$23*U_held</f>
        <v>27.348540872758</v>
      </c>
      <c r="H25" s="12" t="n">
        <f aca="false">Declarations!$B$20*H24+Declarations!$C$20*I24+Declarations!$D$20*J24+Declarations!$B$23*U_held</f>
        <v>71.4119389029513</v>
      </c>
      <c r="I25" s="12" t="n">
        <f aca="false">Declarations!$B$21*H24+Declarations!$C$21*I24+Declarations!$D$21*J24+Declarations!$C$23*U_held</f>
        <v>59.4407619405665</v>
      </c>
      <c r="J25" s="12" t="n">
        <f aca="false">Declarations!$B$22*H24+Declarations!$C$22*I24+Declarations!$D$22*J24+Declarations!$D$23*U_held</f>
        <v>44.979392456</v>
      </c>
      <c r="K25" s="21" t="n">
        <f aca="false">MAX(ABS(H25-B25-E25),ABS(I25-C25-F25),ABS(J25-D25-G25))</f>
        <v>0</v>
      </c>
      <c r="L25" s="18" t="n">
        <f aca="false">IF(F25&gt;C25,A25,99)</f>
        <v>19</v>
      </c>
    </row>
    <row r="26" customFormat="false" ht="15" hidden="false" customHeight="false" outlineLevel="0" collapsed="false">
      <c r="A26" s="18" t="n">
        <v>20</v>
      </c>
      <c r="B26" s="12" t="n">
        <f aca="false">Declarations!$B$20*B25+Declarations!$C$20*C25+Declarations!$D$20*D25</f>
        <v>16.7677737625522</v>
      </c>
      <c r="C26" s="12" t="n">
        <f aca="false">Declarations!$B$21*B25+Declarations!$C$21*C25+Declarations!$D$21*D25</f>
        <v>16.6524816120915</v>
      </c>
      <c r="D26" s="12" t="n">
        <f aca="false">Declarations!$B$22*B25+Declarations!$C$22*C25+Declarations!$D$22*D25</f>
        <v>16.738950724937</v>
      </c>
      <c r="E26" s="12" t="n">
        <f aca="false">Declarations!$B$20*E25+Declarations!$C$20*F25+Declarations!$D$20*G25+Declarations!$B$23*U_held</f>
        <v>55.2750093471323</v>
      </c>
      <c r="F26" s="12" t="n">
        <f aca="false">Declarations!$B$21*E25+Declarations!$C$21*F25+Declarations!$D$21*G25+Declarations!$C$23*U_held</f>
        <v>43.4133599276852</v>
      </c>
      <c r="G26" s="12" t="n">
        <f aca="false">Declarations!$B$22*E25+Declarations!$C$22*F25+Declarations!$D$22*G25+Declarations!$D$23*U_held</f>
        <v>28.7592363790672</v>
      </c>
      <c r="H26" s="12" t="n">
        <f aca="false">Declarations!$B$20*H25+Declarations!$C$20*I25+Declarations!$D$20*J25+Declarations!$B$23*U_held</f>
        <v>72.0427831096845</v>
      </c>
      <c r="I26" s="12" t="n">
        <f aca="false">Declarations!$B$21*H25+Declarations!$C$21*I25+Declarations!$D$21*J25+Declarations!$C$23*U_held</f>
        <v>60.0658415397767</v>
      </c>
      <c r="J26" s="12" t="n">
        <f aca="false">Declarations!$B$22*H25+Declarations!$C$22*I25+Declarations!$D$22*J25+Declarations!$D$23*U_held</f>
        <v>45.4981871040042</v>
      </c>
      <c r="K26" s="21" t="n">
        <f aca="false">MAX(ABS(H26-B26-E26),ABS(I26-C26-F26),ABS(J26-D26-G26))</f>
        <v>0</v>
      </c>
      <c r="L26" s="18" t="n">
        <f aca="false">IF(F26&gt;C26,A26,99)</f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14"/>
    <col collapsed="false" customWidth="true" hidden="false" outlineLevel="0" max="6" min="6" style="0" width="12"/>
    <col collapsed="false" customWidth="true" hidden="false" outlineLevel="0" max="7" min="7" style="0" width="3"/>
    <col collapsed="false" customWidth="true" hidden="false" outlineLevel="0" max="8" min="8" style="0" width="58"/>
    <col collapsed="false" customWidth="true" hidden="false" outlineLevel="0" max="11" min="9" style="0" width="14"/>
  </cols>
  <sheetData>
    <row r="1" customFormat="false" ht="15" hidden="false" customHeight="false" outlineLevel="0" collapsed="false">
      <c r="A1" s="1" t="s">
        <v>190</v>
      </c>
    </row>
    <row r="3" customFormat="false" ht="15" hidden="false" customHeight="false" outlineLevel="0" collapsed="false">
      <c r="A3" s="8" t="s">
        <v>191</v>
      </c>
      <c r="B3" s="8" t="s">
        <v>50</v>
      </c>
      <c r="C3" s="8" t="s">
        <v>51</v>
      </c>
      <c r="D3" s="8" t="s">
        <v>52</v>
      </c>
      <c r="E3" s="8"/>
      <c r="F3" s="8" t="s">
        <v>192</v>
      </c>
      <c r="H3" s="8" t="s">
        <v>193</v>
      </c>
      <c r="I3" s="8" t="s">
        <v>20</v>
      </c>
      <c r="J3" s="8" t="s">
        <v>84</v>
      </c>
    </row>
    <row r="4" customFormat="false" ht="15" hidden="false" customHeight="false" outlineLevel="0" collapsed="false">
      <c r="A4" s="2" t="s">
        <v>50</v>
      </c>
      <c r="B4" s="12" t="n">
        <f aca="false">1-Declarations!$B$20</f>
        <v>0.1</v>
      </c>
      <c r="C4" s="12" t="n">
        <f aca="false">0-Declarations!$C$20</f>
        <v>-0.05</v>
      </c>
      <c r="D4" s="12" t="n">
        <f aca="false">0-Declarations!$D$20</f>
        <v>0</v>
      </c>
      <c r="F4" s="22" t="n">
        <f aca="false">Declarations!$B$23</f>
        <v>0.6</v>
      </c>
      <c r="H4" s="2" t="s">
        <v>194</v>
      </c>
      <c r="I4" s="13" t="n">
        <f aca="false">MDETERM(B4:D6)</f>
        <v>0.002</v>
      </c>
      <c r="J4" s="10" t="s">
        <v>195</v>
      </c>
    </row>
    <row r="5" customFormat="false" ht="15" hidden="false" customHeight="false" outlineLevel="0" collapsed="false">
      <c r="A5" s="2" t="s">
        <v>51</v>
      </c>
      <c r="B5" s="12" t="n">
        <f aca="false">0-Declarations!$B$21</f>
        <v>-0.1</v>
      </c>
      <c r="C5" s="12" t="n">
        <f aca="false">1-Declarations!$C$21</f>
        <v>0.15</v>
      </c>
      <c r="D5" s="12" t="n">
        <f aca="false">0-Declarations!$D$21</f>
        <v>0</v>
      </c>
      <c r="F5" s="22" t="n">
        <f aca="false">Declarations!$C$23</f>
        <v>0.3</v>
      </c>
      <c r="H5" s="2" t="s">
        <v>196</v>
      </c>
      <c r="I5" s="15" t="n">
        <f aca="false">MDETERM(B9:D11)/I4</f>
        <v>10.5</v>
      </c>
      <c r="J5" s="10" t="s">
        <v>197</v>
      </c>
    </row>
    <row r="6" customFormat="false" ht="15" hidden="false" customHeight="false" outlineLevel="0" collapsed="false">
      <c r="A6" s="2" t="s">
        <v>52</v>
      </c>
      <c r="B6" s="12" t="n">
        <f aca="false">0-Declarations!$B$22</f>
        <v>-0.05</v>
      </c>
      <c r="C6" s="12" t="n">
        <f aca="false">0-Declarations!$C$22</f>
        <v>-0.1</v>
      </c>
      <c r="D6" s="12" t="n">
        <f aca="false">1-Declarations!$D$22</f>
        <v>0.2</v>
      </c>
      <c r="F6" s="22" t="n">
        <f aca="false">Declarations!$D$23</f>
        <v>0</v>
      </c>
      <c r="H6" s="2" t="s">
        <v>198</v>
      </c>
      <c r="I6" s="15" t="n">
        <f aca="false">MDETERM(B13:D15)/I4</f>
        <v>9</v>
      </c>
      <c r="J6" s="10" t="s">
        <v>199</v>
      </c>
    </row>
    <row r="7" customFormat="false" ht="15" hidden="false" customHeight="false" outlineLevel="0" collapsed="false">
      <c r="H7" s="2" t="s">
        <v>200</v>
      </c>
      <c r="I7" s="15" t="n">
        <f aca="false">MDETERM(B17:D19)/I4</f>
        <v>7.125</v>
      </c>
      <c r="J7" s="10" t="s">
        <v>201</v>
      </c>
    </row>
    <row r="8" customFormat="false" ht="15" hidden="false" customHeight="false" outlineLevel="0" collapsed="false">
      <c r="A8" s="8" t="s">
        <v>202</v>
      </c>
      <c r="B8" s="8" t="s">
        <v>50</v>
      </c>
      <c r="C8" s="8" t="s">
        <v>51</v>
      </c>
      <c r="D8" s="8" t="s">
        <v>52</v>
      </c>
      <c r="H8" s="2" t="s">
        <v>203</v>
      </c>
      <c r="I8" s="12" t="n">
        <f aca="false">I5*U_held</f>
        <v>84</v>
      </c>
      <c r="J8" s="10" t="s">
        <v>204</v>
      </c>
    </row>
    <row r="9" customFormat="false" ht="15" hidden="false" customHeight="false" outlineLevel="0" collapsed="false">
      <c r="B9" s="12" t="n">
        <f aca="false">F4</f>
        <v>0.6</v>
      </c>
      <c r="C9" s="12" t="n">
        <f aca="false">C4</f>
        <v>-0.05</v>
      </c>
      <c r="D9" s="12" t="n">
        <f aca="false">D4</f>
        <v>0</v>
      </c>
      <c r="H9" s="2" t="s">
        <v>205</v>
      </c>
      <c r="I9" s="12" t="n">
        <f aca="false">I6*U_held</f>
        <v>72</v>
      </c>
      <c r="J9" s="10" t="s">
        <v>206</v>
      </c>
    </row>
    <row r="10" customFormat="false" ht="15" hidden="false" customHeight="false" outlineLevel="0" collapsed="false">
      <c r="B10" s="12" t="n">
        <f aca="false">F5</f>
        <v>0.3</v>
      </c>
      <c r="C10" s="12" t="n">
        <f aca="false">C5</f>
        <v>0.15</v>
      </c>
      <c r="D10" s="12" t="n">
        <f aca="false">D5</f>
        <v>0</v>
      </c>
      <c r="H10" s="2" t="s">
        <v>207</v>
      </c>
      <c r="I10" s="12" t="n">
        <f aca="false">I7*U_held</f>
        <v>57</v>
      </c>
      <c r="J10" s="10" t="s">
        <v>208</v>
      </c>
    </row>
    <row r="11" customFormat="false" ht="15" hidden="false" customHeight="false" outlineLevel="0" collapsed="false">
      <c r="B11" s="12" t="n">
        <f aca="false">F6</f>
        <v>0</v>
      </c>
      <c r="C11" s="12" t="n">
        <f aca="false">C6</f>
        <v>-0.1</v>
      </c>
      <c r="D11" s="12" t="n">
        <f aca="false">D6</f>
        <v>0.2</v>
      </c>
    </row>
    <row r="12" customFormat="false" ht="15" hidden="false" customHeight="false" outlineLevel="0" collapsed="false">
      <c r="A12" s="8" t="s">
        <v>209</v>
      </c>
      <c r="B12" s="8" t="s">
        <v>50</v>
      </c>
      <c r="C12" s="8" t="s">
        <v>51</v>
      </c>
      <c r="D12" s="8" t="s">
        <v>52</v>
      </c>
      <c r="H12" s="8" t="s">
        <v>210</v>
      </c>
      <c r="I12" s="8" t="s">
        <v>20</v>
      </c>
      <c r="J12" s="8" t="s">
        <v>84</v>
      </c>
    </row>
    <row r="13" customFormat="false" ht="15" hidden="false" customHeight="false" outlineLevel="0" collapsed="false">
      <c r="B13" s="12" t="n">
        <f aca="false">B4</f>
        <v>0.1</v>
      </c>
      <c r="C13" s="12" t="n">
        <f aca="false">F4</f>
        <v>0.6</v>
      </c>
      <c r="D13" s="12" t="n">
        <f aca="false">D4</f>
        <v>0</v>
      </c>
      <c r="H13" s="2" t="s">
        <v>211</v>
      </c>
      <c r="I13" s="18" t="n">
        <f aca="false">IF(AND(Declarations!$D$20=0,Declarations!$D$21=0),1,0)</f>
        <v>1</v>
      </c>
      <c r="J13" s="10" t="s">
        <v>212</v>
      </c>
    </row>
    <row r="14" customFormat="false" ht="15" hidden="false" customHeight="false" outlineLevel="0" collapsed="false">
      <c r="B14" s="12" t="n">
        <f aca="false">B5</f>
        <v>-0.1</v>
      </c>
      <c r="C14" s="12" t="n">
        <f aca="false">F5</f>
        <v>0.3</v>
      </c>
      <c r="D14" s="12" t="n">
        <f aca="false">D5</f>
        <v>0</v>
      </c>
      <c r="H14" s="2" t="s">
        <v>213</v>
      </c>
      <c r="I14" s="13" t="n">
        <f aca="false">Declarations!$B$20+Declarations!$C$21</f>
        <v>1.75</v>
      </c>
      <c r="J14" s="10"/>
    </row>
    <row r="15" customFormat="false" ht="15" hidden="false" customHeight="false" outlineLevel="0" collapsed="false">
      <c r="B15" s="12" t="n">
        <f aca="false">B6</f>
        <v>-0.05</v>
      </c>
      <c r="C15" s="12" t="n">
        <f aca="false">F6</f>
        <v>0</v>
      </c>
      <c r="D15" s="12" t="n">
        <f aca="false">D6</f>
        <v>0.2</v>
      </c>
      <c r="H15" s="2" t="s">
        <v>214</v>
      </c>
      <c r="I15" s="13" t="n">
        <f aca="false">Declarations!$B$20*Declarations!$C$21-Declarations!$C$20*Declarations!$B$21</f>
        <v>0.76</v>
      </c>
      <c r="J15" s="10"/>
    </row>
    <row r="16" customFormat="false" ht="15" hidden="false" customHeight="false" outlineLevel="0" collapsed="false">
      <c r="A16" s="8" t="s">
        <v>215</v>
      </c>
      <c r="B16" s="8" t="s">
        <v>50</v>
      </c>
      <c r="C16" s="8" t="s">
        <v>51</v>
      </c>
      <c r="D16" s="8" t="s">
        <v>52</v>
      </c>
      <c r="H16" s="2" t="s">
        <v>216</v>
      </c>
      <c r="I16" s="13" t="n">
        <f aca="false">(I14+SQRT(I14^2-4*I15))/2</f>
        <v>0.95</v>
      </c>
      <c r="J16" s="10" t="s">
        <v>217</v>
      </c>
    </row>
    <row r="17" customFormat="false" ht="15" hidden="false" customHeight="false" outlineLevel="0" collapsed="false">
      <c r="B17" s="12" t="n">
        <f aca="false">B4</f>
        <v>0.1</v>
      </c>
      <c r="C17" s="12" t="n">
        <f aca="false">C4</f>
        <v>-0.05</v>
      </c>
      <c r="D17" s="12" t="n">
        <f aca="false">F4</f>
        <v>0.6</v>
      </c>
      <c r="H17" s="2" t="s">
        <v>218</v>
      </c>
      <c r="I17" s="13" t="n">
        <f aca="false">(I14-SQRT(I14^2-4*I15))/2</f>
        <v>0.8</v>
      </c>
      <c r="J17" s="10" t="s">
        <v>219</v>
      </c>
    </row>
    <row r="18" customFormat="false" ht="15" hidden="false" customHeight="false" outlineLevel="0" collapsed="false">
      <c r="B18" s="12" t="n">
        <f aca="false">B5</f>
        <v>-0.1</v>
      </c>
      <c r="C18" s="12" t="n">
        <f aca="false">C5</f>
        <v>0.15</v>
      </c>
      <c r="D18" s="12" t="n">
        <f aca="false">F5</f>
        <v>0.3</v>
      </c>
      <c r="H18" s="2" t="s">
        <v>220</v>
      </c>
      <c r="I18" s="13" t="n">
        <f aca="false">Declarations!$D$22</f>
        <v>0.8</v>
      </c>
      <c r="J18" s="10" t="s">
        <v>219</v>
      </c>
    </row>
    <row r="19" customFormat="false" ht="15" hidden="false" customHeight="false" outlineLevel="0" collapsed="false">
      <c r="B19" s="12" t="n">
        <f aca="false">B6</f>
        <v>-0.05</v>
      </c>
      <c r="C19" s="12" t="n">
        <f aca="false">C6</f>
        <v>-0.1</v>
      </c>
      <c r="D19" s="12" t="n">
        <f aca="false">F6</f>
        <v>0</v>
      </c>
      <c r="H19" s="2" t="s">
        <v>221</v>
      </c>
      <c r="I19" s="13" t="n">
        <f aca="false">MAX(ABS(I16),ABS(I17),ABS(I18))</f>
        <v>0.95</v>
      </c>
      <c r="J19" s="10" t="s">
        <v>222</v>
      </c>
    </row>
    <row r="20" customFormat="false" ht="15" hidden="false" customHeight="false" outlineLevel="0" collapsed="false">
      <c r="H20" s="2" t="s">
        <v>223</v>
      </c>
      <c r="I20" s="17" t="n">
        <f aca="false">LN(0.5)/LN(I19)</f>
        <v>13.5134073339649</v>
      </c>
      <c r="J20" s="10" t="s">
        <v>224</v>
      </c>
    </row>
    <row r="21" customFormat="false" ht="15" hidden="false" customHeight="false" outlineLevel="0" collapsed="false">
      <c r="H21" s="2" t="s">
        <v>225</v>
      </c>
      <c r="I21" s="12" t="n">
        <f aca="false">100/I5</f>
        <v>9.52380952380952</v>
      </c>
      <c r="J21" s="10" t="s">
        <v>226</v>
      </c>
    </row>
    <row r="22" customFormat="false" ht="15" hidden="false" customHeight="false" outlineLevel="0" collapsed="false">
      <c r="E22" s="2" t="s">
        <v>227</v>
      </c>
      <c r="F22" s="14" t="n">
        <v>10</v>
      </c>
      <c r="H22" s="2" t="s">
        <v>228</v>
      </c>
      <c r="I22" s="18" t="n">
        <f aca="false">MIN(F25:F105)</f>
        <v>47</v>
      </c>
      <c r="J22" s="10" t="s">
        <v>229</v>
      </c>
    </row>
    <row r="24" customFormat="false" ht="23.85" hidden="false" customHeight="false" outlineLevel="0" collapsed="false">
      <c r="A24" s="8" t="s">
        <v>158</v>
      </c>
      <c r="B24" s="8" t="s">
        <v>230</v>
      </c>
      <c r="C24" s="8" t="s">
        <v>51</v>
      </c>
      <c r="D24" s="8" t="s">
        <v>52</v>
      </c>
      <c r="E24" s="8"/>
      <c r="F24" s="8" t="s">
        <v>231</v>
      </c>
      <c r="H24" s="8" t="s">
        <v>232</v>
      </c>
      <c r="I24" s="8" t="s">
        <v>233</v>
      </c>
      <c r="J24" s="8" t="s">
        <v>51</v>
      </c>
      <c r="K24" s="8" t="s">
        <v>52</v>
      </c>
    </row>
    <row r="25" customFormat="false" ht="15" hidden="false" customHeight="false" outlineLevel="0" collapsed="false">
      <c r="A25" s="18" t="n">
        <v>0</v>
      </c>
      <c r="B25" s="12" t="n">
        <f aca="false">Declarations!$B$24</f>
        <v>50</v>
      </c>
      <c r="C25" s="12" t="n">
        <f aca="false">Declarations!$C$24</f>
        <v>40</v>
      </c>
      <c r="D25" s="12" t="n">
        <f aca="false">Declarations!$D$24</f>
        <v>60</v>
      </c>
      <c r="F25" s="18" t="n">
        <f aca="false">IF(B25&gt;100,A25,999)</f>
        <v>999</v>
      </c>
      <c r="H25" s="14" t="n">
        <v>0</v>
      </c>
      <c r="I25" s="12" t="n">
        <f aca="false">$H25*$I$5</f>
        <v>0</v>
      </c>
      <c r="J25" s="12" t="n">
        <f aca="false">$H25*$I$6</f>
        <v>0</v>
      </c>
      <c r="K25" s="12" t="n">
        <f aca="false">$H25*$I$7</f>
        <v>0</v>
      </c>
    </row>
    <row r="26" customFormat="false" ht="15" hidden="false" customHeight="false" outlineLevel="0" collapsed="false">
      <c r="A26" s="18" t="n">
        <v>1</v>
      </c>
      <c r="B26" s="12" t="n">
        <f aca="false">Declarations!$B$20*B25+Declarations!$C$20*C25+Declarations!$D$20*D25+Declarations!$B$23*$F$22</f>
        <v>53</v>
      </c>
      <c r="C26" s="12" t="n">
        <f aca="false">Declarations!$B$21*B25+Declarations!$C$21*C25+Declarations!$D$21*D25+Declarations!$C$23*$F$22</f>
        <v>42</v>
      </c>
      <c r="D26" s="12" t="n">
        <f aca="false">Declarations!$B$22*B25+Declarations!$C$22*C25+Declarations!$D$22*D25+Declarations!$D$23*$F$22</f>
        <v>54.5</v>
      </c>
      <c r="F26" s="18" t="n">
        <f aca="false">IF(B26&gt;100,A26,999)</f>
        <v>999</v>
      </c>
      <c r="H26" s="14" t="n">
        <v>4</v>
      </c>
      <c r="I26" s="12" t="n">
        <f aca="false">$H26*$I$5</f>
        <v>42</v>
      </c>
      <c r="J26" s="12" t="n">
        <f aca="false">$H26*$I$6</f>
        <v>36</v>
      </c>
      <c r="K26" s="12" t="n">
        <f aca="false">$H26*$I$7</f>
        <v>28.5</v>
      </c>
    </row>
    <row r="27" customFormat="false" ht="15" hidden="false" customHeight="false" outlineLevel="0" collapsed="false">
      <c r="A27" s="18" t="n">
        <v>2</v>
      </c>
      <c r="B27" s="12" t="n">
        <f aca="false">Declarations!$B$20*B26+Declarations!$C$20*C26+Declarations!$D$20*D26+Declarations!$B$23*$F$22</f>
        <v>55.8</v>
      </c>
      <c r="C27" s="12" t="n">
        <f aca="false">Declarations!$B$21*B26+Declarations!$C$21*C26+Declarations!$D$21*D26+Declarations!$C$23*$F$22</f>
        <v>44</v>
      </c>
      <c r="D27" s="12" t="n">
        <f aca="false">Declarations!$B$22*B26+Declarations!$C$22*C26+Declarations!$D$22*D26+Declarations!$D$23*$F$22</f>
        <v>50.45</v>
      </c>
      <c r="F27" s="18" t="n">
        <f aca="false">IF(B27&gt;100,A27,999)</f>
        <v>999</v>
      </c>
      <c r="H27" s="14" t="n">
        <v>8</v>
      </c>
      <c r="I27" s="12" t="n">
        <f aca="false">$H27*$I$5</f>
        <v>84</v>
      </c>
      <c r="J27" s="12" t="n">
        <f aca="false">$H27*$I$6</f>
        <v>72</v>
      </c>
      <c r="K27" s="12" t="n">
        <f aca="false">$H27*$I$7</f>
        <v>57</v>
      </c>
    </row>
    <row r="28" customFormat="false" ht="15" hidden="false" customHeight="false" outlineLevel="0" collapsed="false">
      <c r="A28" s="18" t="n">
        <v>3</v>
      </c>
      <c r="B28" s="12" t="n">
        <f aca="false">Declarations!$B$20*B27+Declarations!$C$20*C27+Declarations!$D$20*D27+Declarations!$B$23*$F$22</f>
        <v>58.42</v>
      </c>
      <c r="C28" s="12" t="n">
        <f aca="false">Declarations!$B$21*B27+Declarations!$C$21*C27+Declarations!$D$21*D27+Declarations!$C$23*$F$22</f>
        <v>45.98</v>
      </c>
      <c r="D28" s="12" t="n">
        <f aca="false">Declarations!$B$22*B27+Declarations!$C$22*C27+Declarations!$D$22*D27+Declarations!$D$23*$F$22</f>
        <v>47.55</v>
      </c>
      <c r="F28" s="18" t="n">
        <f aca="false">IF(B28&gt;100,A28,999)</f>
        <v>999</v>
      </c>
      <c r="H28" s="14" t="n">
        <v>9</v>
      </c>
      <c r="I28" s="12" t="n">
        <f aca="false">$H28*$I$5</f>
        <v>94.5</v>
      </c>
      <c r="J28" s="12" t="n">
        <f aca="false">$H28*$I$6</f>
        <v>81</v>
      </c>
      <c r="K28" s="12" t="n">
        <f aca="false">$H28*$I$7</f>
        <v>64.125</v>
      </c>
    </row>
    <row r="29" customFormat="false" ht="15" hidden="false" customHeight="false" outlineLevel="0" collapsed="false">
      <c r="A29" s="18" t="n">
        <v>4</v>
      </c>
      <c r="B29" s="12" t="n">
        <f aca="false">Declarations!$B$20*B28+Declarations!$C$20*C28+Declarations!$D$20*D28+Declarations!$B$23*$F$22</f>
        <v>60.877</v>
      </c>
      <c r="C29" s="12" t="n">
        <f aca="false">Declarations!$B$21*B28+Declarations!$C$21*C28+Declarations!$D$21*D28+Declarations!$C$23*$F$22</f>
        <v>47.925</v>
      </c>
      <c r="D29" s="12" t="n">
        <f aca="false">Declarations!$B$22*B28+Declarations!$C$22*C28+Declarations!$D$22*D28+Declarations!$D$23*$F$22</f>
        <v>45.559</v>
      </c>
      <c r="F29" s="18" t="n">
        <f aca="false">IF(B29&gt;100,A29,999)</f>
        <v>999</v>
      </c>
      <c r="H29" s="14" t="n">
        <v>10</v>
      </c>
      <c r="I29" s="12" t="n">
        <f aca="false">$H29*$I$5</f>
        <v>105</v>
      </c>
      <c r="J29" s="12" t="n">
        <f aca="false">$H29*$I$6</f>
        <v>90</v>
      </c>
      <c r="K29" s="12" t="n">
        <f aca="false">$H29*$I$7</f>
        <v>71.25</v>
      </c>
    </row>
    <row r="30" customFormat="false" ht="15" hidden="false" customHeight="false" outlineLevel="0" collapsed="false">
      <c r="A30" s="18" t="n">
        <v>5</v>
      </c>
      <c r="B30" s="12" t="n">
        <f aca="false">Declarations!$B$20*B29+Declarations!$C$20*C29+Declarations!$D$20*D29+Declarations!$B$23*$F$22</f>
        <v>63.18555</v>
      </c>
      <c r="C30" s="12" t="n">
        <f aca="false">Declarations!$B$21*B29+Declarations!$C$21*C29+Declarations!$D$21*D29+Declarations!$C$23*$F$22</f>
        <v>49.82395</v>
      </c>
      <c r="D30" s="12" t="n">
        <f aca="false">Declarations!$B$22*B29+Declarations!$C$22*C29+Declarations!$D$22*D29+Declarations!$D$23*$F$22</f>
        <v>44.28355</v>
      </c>
      <c r="F30" s="18" t="n">
        <f aca="false">IF(B30&gt;100,A30,999)</f>
        <v>999</v>
      </c>
    </row>
    <row r="31" customFormat="false" ht="15" hidden="false" customHeight="false" outlineLevel="0" collapsed="false">
      <c r="A31" s="18" t="n">
        <v>6</v>
      </c>
      <c r="B31" s="12" t="n">
        <f aca="false">Declarations!$B$20*B30+Declarations!$C$20*C30+Declarations!$D$20*D30+Declarations!$B$23*$F$22</f>
        <v>65.3581925</v>
      </c>
      <c r="C31" s="12" t="n">
        <f aca="false">Declarations!$B$21*B30+Declarations!$C$21*C30+Declarations!$D$21*D30+Declarations!$C$23*$F$22</f>
        <v>51.6689125</v>
      </c>
      <c r="D31" s="12" t="n">
        <f aca="false">Declarations!$B$22*B30+Declarations!$C$22*C30+Declarations!$D$22*D30+Declarations!$D$23*$F$22</f>
        <v>43.5685125</v>
      </c>
      <c r="F31" s="18" t="n">
        <f aca="false">IF(B31&gt;100,A31,999)</f>
        <v>999</v>
      </c>
    </row>
    <row r="32" customFormat="false" ht="15" hidden="false" customHeight="false" outlineLevel="0" collapsed="false">
      <c r="A32" s="18" t="n">
        <v>7</v>
      </c>
      <c r="B32" s="12" t="n">
        <f aca="false">Declarations!$B$20*B31+Declarations!$C$20*C31+Declarations!$D$20*D31+Declarations!$B$23*$F$22</f>
        <v>67.405818875</v>
      </c>
      <c r="C32" s="12" t="n">
        <f aca="false">Declarations!$B$21*B31+Declarations!$C$21*C31+Declarations!$D$21*D31+Declarations!$C$23*$F$22</f>
        <v>53.454394875</v>
      </c>
      <c r="D32" s="12" t="n">
        <f aca="false">Declarations!$B$22*B31+Declarations!$C$22*C31+Declarations!$D$22*D31+Declarations!$D$23*$F$22</f>
        <v>43.289610875</v>
      </c>
      <c r="F32" s="18" t="n">
        <f aca="false">IF(B32&gt;100,A32,999)</f>
        <v>999</v>
      </c>
    </row>
    <row r="33" customFormat="false" ht="15" hidden="false" customHeight="false" outlineLevel="0" collapsed="false">
      <c r="A33" s="18" t="n">
        <v>8</v>
      </c>
      <c r="B33" s="12" t="n">
        <f aca="false">Declarations!$B$20*B32+Declarations!$C$20*C32+Declarations!$D$20*D32+Declarations!$B$23*$F$22</f>
        <v>69.33795673125</v>
      </c>
      <c r="C33" s="12" t="n">
        <f aca="false">Declarations!$B$21*B32+Declarations!$C$21*C32+Declarations!$D$21*D32+Declarations!$C$23*$F$22</f>
        <v>55.17681753125</v>
      </c>
      <c r="D33" s="12" t="n">
        <f aca="false">Declarations!$B$22*B32+Declarations!$C$22*C32+Declarations!$D$22*D32+Declarations!$D$23*$F$22</f>
        <v>43.34741913125</v>
      </c>
      <c r="F33" s="18" t="n">
        <f aca="false">IF(B33&gt;100,A33,999)</f>
        <v>999</v>
      </c>
    </row>
    <row r="34" customFormat="false" ht="15" hidden="false" customHeight="false" outlineLevel="0" collapsed="false">
      <c r="A34" s="18" t="n">
        <v>9</v>
      </c>
      <c r="B34" s="12" t="n">
        <f aca="false">Declarations!$B$20*B33+Declarations!$C$20*C33+Declarations!$D$20*D33+Declarations!$B$23*$F$22</f>
        <v>71.1630019346875</v>
      </c>
      <c r="C34" s="12" t="n">
        <f aca="false">Declarations!$B$21*B33+Declarations!$C$21*C33+Declarations!$D$21*D33+Declarations!$C$23*$F$22</f>
        <v>56.8340905746875</v>
      </c>
      <c r="D34" s="12" t="n">
        <f aca="false">Declarations!$B$22*B33+Declarations!$C$22*C33+Declarations!$D$22*D33+Declarations!$D$23*$F$22</f>
        <v>43.6625148946875</v>
      </c>
      <c r="F34" s="18" t="n">
        <f aca="false">IF(B34&gt;100,A34,999)</f>
        <v>999</v>
      </c>
    </row>
    <row r="35" customFormat="false" ht="15" hidden="false" customHeight="false" outlineLevel="0" collapsed="false">
      <c r="A35" s="18" t="n">
        <v>10</v>
      </c>
      <c r="B35" s="12" t="n">
        <f aca="false">Declarations!$B$20*B34+Declarations!$C$20*C34+Declarations!$D$20*D34+Declarations!$B$23*$F$22</f>
        <v>72.8884062699532</v>
      </c>
      <c r="C35" s="12" t="n">
        <f aca="false">Declarations!$B$21*B34+Declarations!$C$21*C34+Declarations!$D$21*D34+Declarations!$C$23*$F$22</f>
        <v>58.4252771819531</v>
      </c>
      <c r="D35" s="12" t="n">
        <f aca="false">Declarations!$B$22*B34+Declarations!$C$22*C34+Declarations!$D$22*D34+Declarations!$D$23*$F$22</f>
        <v>44.1715710699531</v>
      </c>
      <c r="F35" s="18" t="n">
        <f aca="false">IF(B35&gt;100,A35,999)</f>
        <v>999</v>
      </c>
    </row>
    <row r="36" customFormat="false" ht="15" hidden="false" customHeight="false" outlineLevel="0" collapsed="false">
      <c r="A36" s="18" t="n">
        <v>11</v>
      </c>
      <c r="B36" s="12" t="n">
        <f aca="false">Declarations!$B$20*B35+Declarations!$C$20*C35+Declarations!$D$20*D35+Declarations!$B$23*$F$22</f>
        <v>74.5208295020555</v>
      </c>
      <c r="C36" s="12" t="n">
        <f aca="false">Declarations!$B$21*B35+Declarations!$C$21*C35+Declarations!$D$21*D35+Declarations!$C$23*$F$22</f>
        <v>59.9503262316555</v>
      </c>
      <c r="D36" s="12" t="n">
        <f aca="false">Declarations!$B$22*B35+Declarations!$C$22*C35+Declarations!$D$22*D35+Declarations!$D$23*$F$22</f>
        <v>44.8242048876555</v>
      </c>
      <c r="F36" s="18" t="n">
        <f aca="false">IF(B36&gt;100,A36,999)</f>
        <v>999</v>
      </c>
    </row>
    <row r="37" customFormat="false" ht="15" hidden="false" customHeight="false" outlineLevel="0" collapsed="false">
      <c r="A37" s="18" t="n">
        <v>12</v>
      </c>
      <c r="B37" s="12" t="n">
        <f aca="false">Declarations!$B$20*B36+Declarations!$C$20*C36+Declarations!$D$20*D36+Declarations!$B$23*$F$22</f>
        <v>76.0662628634327</v>
      </c>
      <c r="C37" s="12" t="n">
        <f aca="false">Declarations!$B$21*B36+Declarations!$C$21*C36+Declarations!$D$21*D36+Declarations!$C$23*$F$22</f>
        <v>61.4098602471127</v>
      </c>
      <c r="D37" s="12" t="n">
        <f aca="false">Declarations!$B$22*B36+Declarations!$C$22*C36+Declarations!$D$22*D36+Declarations!$D$23*$F$22</f>
        <v>45.5804380083927</v>
      </c>
      <c r="F37" s="18" t="n">
        <f aca="false">IF(B37&gt;100,A37,999)</f>
        <v>999</v>
      </c>
    </row>
    <row r="38" customFormat="false" ht="15" hidden="false" customHeight="false" outlineLevel="0" collapsed="false">
      <c r="A38" s="18" t="n">
        <v>13</v>
      </c>
      <c r="B38" s="12" t="n">
        <f aca="false">Declarations!$B$20*B37+Declarations!$C$20*C37+Declarations!$D$20*D37+Declarations!$B$23*$F$22</f>
        <v>77.5301295894451</v>
      </c>
      <c r="C38" s="12" t="n">
        <f aca="false">Declarations!$B$21*B37+Declarations!$C$21*C37+Declarations!$D$21*D37+Declarations!$C$23*$F$22</f>
        <v>62.8050074963891</v>
      </c>
      <c r="D38" s="12" t="n">
        <f aca="false">Declarations!$B$22*B37+Declarations!$C$22*C37+Declarations!$D$22*D37+Declarations!$D$23*$F$22</f>
        <v>46.4086495745971</v>
      </c>
      <c r="F38" s="18" t="n">
        <f aca="false">IF(B38&gt;100,A38,999)</f>
        <v>999</v>
      </c>
    </row>
    <row r="39" customFormat="false" ht="15" hidden="false" customHeight="false" outlineLevel="0" collapsed="false">
      <c r="A39" s="18" t="n">
        <v>14</v>
      </c>
      <c r="B39" s="12" t="n">
        <f aca="false">Declarations!$B$20*B38+Declarations!$C$20*C38+Declarations!$D$20*D38+Declarations!$B$23*$F$22</f>
        <v>78.9173670053201</v>
      </c>
      <c r="C39" s="12" t="n">
        <f aca="false">Declarations!$B$21*B38+Declarations!$C$21*C38+Declarations!$D$21*D38+Declarations!$C$23*$F$22</f>
        <v>64.1372693308752</v>
      </c>
      <c r="D39" s="12" t="n">
        <f aca="false">Declarations!$B$22*B38+Declarations!$C$22*C38+Declarations!$D$22*D38+Declarations!$D$23*$F$22</f>
        <v>47.2839268887888</v>
      </c>
      <c r="F39" s="18" t="n">
        <f aca="false">IF(B39&gt;100,A39,999)</f>
        <v>999</v>
      </c>
    </row>
    <row r="40" customFormat="false" ht="15" hidden="false" customHeight="false" outlineLevel="0" collapsed="false">
      <c r="A40" s="18" t="n">
        <v>15</v>
      </c>
      <c r="B40" s="12" t="n">
        <f aca="false">Declarations!$B$20*B39+Declarations!$C$20*C39+Declarations!$D$20*D39+Declarations!$B$23*$F$22</f>
        <v>80.2324937713318</v>
      </c>
      <c r="C40" s="12" t="n">
        <f aca="false">Declarations!$B$21*B39+Declarations!$C$21*C39+Declarations!$D$21*D39+Declarations!$C$23*$F$22</f>
        <v>65.4084156317759</v>
      </c>
      <c r="D40" s="12" t="n">
        <f aca="false">Declarations!$B$22*B39+Declarations!$C$22*C39+Declarations!$D$22*D39+Declarations!$D$23*$F$22</f>
        <v>48.1867367943846</v>
      </c>
      <c r="F40" s="18" t="n">
        <f aca="false">IF(B40&gt;100,A40,999)</f>
        <v>999</v>
      </c>
    </row>
    <row r="41" customFormat="false" ht="15" hidden="false" customHeight="false" outlineLevel="0" collapsed="false">
      <c r="A41" s="18" t="n">
        <v>16</v>
      </c>
      <c r="B41" s="12" t="n">
        <f aca="false">Declarations!$B$20*B40+Declarations!$C$20*C40+Declarations!$D$20*D40+Declarations!$B$23*$F$22</f>
        <v>81.4796651757874</v>
      </c>
      <c r="C41" s="12" t="n">
        <f aca="false">Declarations!$B$21*B40+Declarations!$C$21*C40+Declarations!$D$21*D40+Declarations!$C$23*$F$22</f>
        <v>66.6204026641427</v>
      </c>
      <c r="D41" s="12" t="n">
        <f aca="false">Declarations!$B$22*B40+Declarations!$C$22*C40+Declarations!$D$22*D40+Declarations!$D$23*$F$22</f>
        <v>49.1018556872519</v>
      </c>
      <c r="F41" s="18" t="n">
        <f aca="false">IF(B41&gt;100,A41,999)</f>
        <v>999</v>
      </c>
    </row>
    <row r="42" customFormat="false" ht="15" hidden="false" customHeight="false" outlineLevel="0" collapsed="false">
      <c r="A42" s="18" t="n">
        <v>17</v>
      </c>
      <c r="B42" s="12" t="n">
        <f aca="false">Declarations!$B$20*B41+Declarations!$C$20*C41+Declarations!$D$20*D41+Declarations!$B$23*$F$22</f>
        <v>82.6627187914158</v>
      </c>
      <c r="C42" s="12" t="n">
        <f aca="false">Declarations!$B$21*B41+Declarations!$C$21*C41+Declarations!$D$21*D41+Declarations!$C$23*$F$22</f>
        <v>67.7753087821001</v>
      </c>
      <c r="D42" s="12" t="n">
        <f aca="false">Declarations!$B$22*B41+Declarations!$C$22*C41+Declarations!$D$22*D41+Declarations!$D$23*$F$22</f>
        <v>50.0175080750051</v>
      </c>
      <c r="F42" s="18" t="n">
        <f aca="false">IF(B42&gt;100,A42,999)</f>
        <v>999</v>
      </c>
    </row>
    <row r="43" customFormat="false" ht="15" hidden="false" customHeight="false" outlineLevel="0" collapsed="false">
      <c r="A43" s="18" t="n">
        <v>18</v>
      </c>
      <c r="B43" s="12" t="n">
        <f aca="false">Declarations!$B$20*B42+Declarations!$C$20*C42+Declarations!$D$20*D42+Declarations!$B$23*$F$22</f>
        <v>83.7852123513792</v>
      </c>
      <c r="C43" s="12" t="n">
        <f aca="false">Declarations!$B$21*B42+Declarations!$C$21*C42+Declarations!$D$21*D42+Declarations!$C$23*$F$22</f>
        <v>68.8752843439266</v>
      </c>
      <c r="D43" s="12" t="n">
        <f aca="false">Declarations!$B$22*B42+Declarations!$C$22*C42+Declarations!$D$22*D42+Declarations!$D$23*$F$22</f>
        <v>50.9246732777849</v>
      </c>
      <c r="F43" s="18" t="n">
        <f aca="false">IF(B43&gt;100,A43,999)</f>
        <v>999</v>
      </c>
    </row>
    <row r="44" customFormat="false" ht="15" hidden="false" customHeight="false" outlineLevel="0" collapsed="false">
      <c r="A44" s="18" t="n">
        <v>19</v>
      </c>
      <c r="B44" s="12" t="n">
        <f aca="false">Declarations!$B$20*B43+Declarations!$C$20*C43+Declarations!$D$20*D43+Declarations!$B$23*$F$22</f>
        <v>84.8504553334376</v>
      </c>
      <c r="C44" s="12" t="n">
        <f aca="false">Declarations!$B$21*B43+Declarations!$C$21*C43+Declarations!$D$21*D43+Declarations!$C$23*$F$22</f>
        <v>69.9225129274756</v>
      </c>
      <c r="D44" s="12" t="n">
        <f aca="false">Declarations!$B$22*B43+Declarations!$C$22*C43+Declarations!$D$22*D43+Declarations!$D$23*$F$22</f>
        <v>51.8165276741896</v>
      </c>
      <c r="F44" s="18" t="n">
        <f aca="false">IF(B44&gt;100,A44,999)</f>
        <v>999</v>
      </c>
    </row>
    <row r="45" customFormat="false" ht="15" hidden="false" customHeight="false" outlineLevel="0" collapsed="false">
      <c r="A45" s="18" t="n">
        <v>20</v>
      </c>
      <c r="B45" s="12" t="n">
        <f aca="false">Declarations!$B$20*B44+Declarations!$C$20*C44+Declarations!$D$20*D44+Declarations!$B$23*$F$22</f>
        <v>85.8615354464677</v>
      </c>
      <c r="C45" s="12" t="n">
        <f aca="false">Declarations!$B$21*B44+Declarations!$C$21*C44+Declarations!$D$21*D44+Declarations!$C$23*$F$22</f>
        <v>70.919181521698</v>
      </c>
      <c r="D45" s="12" t="n">
        <f aca="false">Declarations!$B$22*B44+Declarations!$C$22*C44+Declarations!$D$22*D44+Declarations!$D$23*$F$22</f>
        <v>52.6879961987711</v>
      </c>
      <c r="F45" s="18" t="n">
        <f aca="false">IF(B45&gt;100,A45,999)</f>
        <v>999</v>
      </c>
    </row>
    <row r="46" customFormat="false" ht="15" hidden="false" customHeight="false" outlineLevel="0" collapsed="false">
      <c r="A46" s="18" t="n">
        <v>21</v>
      </c>
      <c r="B46" s="12" t="n">
        <f aca="false">Declarations!$B$20*B45+Declarations!$C$20*C45+Declarations!$D$20*D45+Declarations!$B$23*$F$22</f>
        <v>86.8213409779058</v>
      </c>
      <c r="C46" s="12" t="n">
        <f aca="false">Declarations!$B$21*B45+Declarations!$C$21*C45+Declarations!$D$21*D45+Declarations!$C$23*$F$22</f>
        <v>71.8674578380901</v>
      </c>
      <c r="D46" s="12" t="n">
        <f aca="false">Declarations!$B$22*B45+Declarations!$C$22*C45+Declarations!$D$22*D45+Declarations!$D$23*$F$22</f>
        <v>53.53539188351</v>
      </c>
      <c r="F46" s="18" t="n">
        <f aca="false">IF(B46&gt;100,A46,999)</f>
        <v>999</v>
      </c>
    </row>
    <row r="47" customFormat="false" ht="15" hidden="false" customHeight="false" outlineLevel="0" collapsed="false">
      <c r="A47" s="18" t="n">
        <v>22</v>
      </c>
      <c r="B47" s="12" t="n">
        <f aca="false">Declarations!$B$20*B46+Declarations!$C$20*C46+Declarations!$D$20*D46+Declarations!$B$23*$F$22</f>
        <v>87.7325797720197</v>
      </c>
      <c r="C47" s="12" t="n">
        <f aca="false">Declarations!$B$21*B46+Declarations!$C$21*C46+Declarations!$D$21*D46+Declarations!$C$23*$F$22</f>
        <v>72.7694732601671</v>
      </c>
      <c r="D47" s="12" t="n">
        <f aca="false">Declarations!$B$22*B46+Declarations!$C$22*C46+Declarations!$D$22*D46+Declarations!$D$23*$F$22</f>
        <v>54.3561263395123</v>
      </c>
      <c r="F47" s="18" t="n">
        <f aca="false">IF(B47&gt;100,A47,999)</f>
        <v>999</v>
      </c>
    </row>
    <row r="48" customFormat="false" ht="15" hidden="false" customHeight="false" outlineLevel="0" collapsed="false">
      <c r="A48" s="18" t="n">
        <v>23</v>
      </c>
      <c r="B48" s="12" t="n">
        <f aca="false">Declarations!$B$20*B47+Declarations!$C$20*C47+Declarations!$D$20*D47+Declarations!$B$23*$F$22</f>
        <v>88.5977954578261</v>
      </c>
      <c r="C48" s="12" t="n">
        <f aca="false">Declarations!$B$21*B47+Declarations!$C$21*C47+Declarations!$D$21*D47+Declarations!$C$23*$F$22</f>
        <v>73.627310248344</v>
      </c>
      <c r="D48" s="12" t="n">
        <f aca="false">Declarations!$B$22*B47+Declarations!$C$22*C47+Declarations!$D$22*D47+Declarations!$D$23*$F$22</f>
        <v>55.1484773862276</v>
      </c>
      <c r="F48" s="18" t="n">
        <f aca="false">IF(B48&gt;100,A48,999)</f>
        <v>999</v>
      </c>
    </row>
    <row r="49" customFormat="false" ht="15" hidden="false" customHeight="false" outlineLevel="0" collapsed="false">
      <c r="A49" s="18" t="n">
        <v>24</v>
      </c>
      <c r="B49" s="12" t="n">
        <f aca="false">Declarations!$B$20*B48+Declarations!$C$20*C48+Declarations!$D$20*D48+Declarations!$B$23*$F$22</f>
        <v>89.4193814244607</v>
      </c>
      <c r="C49" s="12" t="n">
        <f aca="false">Declarations!$B$21*B48+Declarations!$C$21*C48+Declarations!$D$21*D48+Declarations!$C$23*$F$22</f>
        <v>74.442993256875</v>
      </c>
      <c r="D49" s="12" t="n">
        <f aca="false">Declarations!$B$22*B48+Declarations!$C$22*C48+Declarations!$D$22*D48+Declarations!$D$23*$F$22</f>
        <v>55.9114027067078</v>
      </c>
      <c r="F49" s="18" t="n">
        <f aca="false">IF(B49&gt;100,A49,999)</f>
        <v>999</v>
      </c>
    </row>
    <row r="50" customFormat="false" ht="15" hidden="false" customHeight="false" outlineLevel="0" collapsed="false">
      <c r="A50" s="18" t="n">
        <v>25</v>
      </c>
      <c r="B50" s="12" t="n">
        <f aca="false">Declarations!$B$20*B49+Declarations!$C$20*C49+Declarations!$D$20*D49+Declarations!$B$23*$F$22</f>
        <v>90.1995929448584</v>
      </c>
      <c r="C50" s="12" t="n">
        <f aca="false">Declarations!$B$21*B49+Declarations!$C$21*C49+Declarations!$D$21*D49+Declarations!$C$23*$F$22</f>
        <v>75.2184824107899</v>
      </c>
      <c r="D50" s="12" t="n">
        <f aca="false">Declarations!$B$22*B49+Declarations!$C$22*C49+Declarations!$D$22*D49+Declarations!$D$23*$F$22</f>
        <v>56.6443905622768</v>
      </c>
      <c r="F50" s="18" t="n">
        <f aca="false">IF(B50&gt;100,A50,999)</f>
        <v>999</v>
      </c>
    </row>
    <row r="51" customFormat="false" ht="15" hidden="false" customHeight="false" outlineLevel="0" collapsed="false">
      <c r="A51" s="18" t="n">
        <v>26</v>
      </c>
      <c r="B51" s="12" t="n">
        <f aca="false">Declarations!$B$20*B50+Declarations!$C$20*C50+Declarations!$D$20*D50+Declarations!$B$23*$F$22</f>
        <v>90.9405577709121</v>
      </c>
      <c r="C51" s="12" t="n">
        <f aca="false">Declarations!$B$21*B50+Declarations!$C$21*C50+Declarations!$D$21*D50+Declarations!$C$23*$F$22</f>
        <v>75.9556693436572</v>
      </c>
      <c r="D51" s="12" t="n">
        <f aca="false">Declarations!$B$22*B50+Declarations!$C$22*C50+Declarations!$D$22*D50+Declarations!$D$23*$F$22</f>
        <v>57.3473403381433</v>
      </c>
      <c r="F51" s="18" t="n">
        <f aca="false">IF(B51&gt;100,A51,999)</f>
        <v>999</v>
      </c>
    </row>
    <row r="52" customFormat="false" ht="15" hidden="false" customHeight="false" outlineLevel="0" collapsed="false">
      <c r="A52" s="18" t="n">
        <v>27</v>
      </c>
      <c r="B52" s="12" t="n">
        <f aca="false">Declarations!$B$20*B51+Declarations!$C$20*C51+Declarations!$D$20*D51+Declarations!$B$23*$F$22</f>
        <v>91.6442854610037</v>
      </c>
      <c r="C52" s="12" t="n">
        <f aca="false">Declarations!$B$21*B51+Declarations!$C$21*C51+Declarations!$D$21*D51+Declarations!$C$23*$F$22</f>
        <v>76.6563747191998</v>
      </c>
      <c r="D52" s="12" t="n">
        <f aca="false">Declarations!$B$22*B51+Declarations!$C$22*C51+Declarations!$D$22*D51+Declarations!$D$23*$F$22</f>
        <v>58.020467093426</v>
      </c>
      <c r="F52" s="18" t="n">
        <f aca="false">IF(B52&gt;100,A52,999)</f>
        <v>999</v>
      </c>
    </row>
    <row r="53" customFormat="false" ht="15" hidden="false" customHeight="false" outlineLevel="0" collapsed="false">
      <c r="A53" s="18" t="n">
        <v>28</v>
      </c>
      <c r="B53" s="12" t="n">
        <f aca="false">Declarations!$B$20*B52+Declarations!$C$20*C52+Declarations!$D$20*D52+Declarations!$B$23*$F$22</f>
        <v>92.3126756508633</v>
      </c>
      <c r="C53" s="12" t="n">
        <f aca="false">Declarations!$B$21*B52+Declarations!$C$21*C52+Declarations!$D$21*D52+Declarations!$C$23*$F$22</f>
        <v>77.3223470574202</v>
      </c>
      <c r="D53" s="12" t="n">
        <f aca="false">Declarations!$B$22*B52+Declarations!$C$22*C52+Declarations!$D$22*D52+Declarations!$D$23*$F$22</f>
        <v>58.664225419711</v>
      </c>
      <c r="F53" s="18" t="n">
        <f aca="false">IF(B53&gt;100,A53,999)</f>
        <v>999</v>
      </c>
    </row>
    <row r="54" customFormat="false" ht="15" hidden="false" customHeight="false" outlineLevel="0" collapsed="false">
      <c r="A54" s="18" t="n">
        <v>29</v>
      </c>
      <c r="B54" s="12" t="n">
        <f aca="false">Declarations!$B$20*B53+Declarations!$C$20*C53+Declarations!$D$20*D53+Declarations!$B$23*$F$22</f>
        <v>92.947525438648</v>
      </c>
      <c r="C54" s="12" t="n">
        <f aca="false">Declarations!$B$21*B53+Declarations!$C$21*C53+Declarations!$D$21*D53+Declarations!$C$23*$F$22</f>
        <v>77.9552625638935</v>
      </c>
      <c r="D54" s="12" t="n">
        <f aca="false">Declarations!$B$22*B53+Declarations!$C$22*C53+Declarations!$D$22*D53+Declarations!$D$23*$F$22</f>
        <v>59.279248824054</v>
      </c>
      <c r="F54" s="18" t="n">
        <f aca="false">IF(B54&gt;100,A54,999)</f>
        <v>999</v>
      </c>
    </row>
    <row r="55" customFormat="false" ht="15" hidden="false" customHeight="false" outlineLevel="0" collapsed="false">
      <c r="A55" s="18" t="n">
        <v>30</v>
      </c>
      <c r="B55" s="12" t="n">
        <f aca="false">Declarations!$B$20*B54+Declarations!$C$20*C54+Declarations!$D$20*D54+Declarations!$B$23*$F$22</f>
        <v>93.5505360229779</v>
      </c>
      <c r="C55" s="12" t="n">
        <f aca="false">Declarations!$B$21*B54+Declarations!$C$21*C54+Declarations!$D$21*D54+Declarations!$C$23*$F$22</f>
        <v>78.5567257231743</v>
      </c>
      <c r="D55" s="12" t="n">
        <f aca="false">Declarations!$B$22*B54+Declarations!$C$22*C54+Declarations!$D$22*D54+Declarations!$D$23*$F$22</f>
        <v>59.8663015875649</v>
      </c>
      <c r="F55" s="18" t="n">
        <f aca="false">IF(B55&gt;100,A55,999)</f>
        <v>999</v>
      </c>
    </row>
    <row r="56" customFormat="false" ht="15" hidden="false" customHeight="false" outlineLevel="0" collapsed="false">
      <c r="A56" s="18" t="n">
        <v>31</v>
      </c>
      <c r="B56" s="12" t="n">
        <f aca="false">Declarations!$B$20*B55+Declarations!$C$20*C55+Declarations!$D$20*D55+Declarations!$B$23*$F$22</f>
        <v>94.1233187068388</v>
      </c>
      <c r="C56" s="12" t="n">
        <f aca="false">Declarations!$B$21*B55+Declarations!$C$21*C55+Declarations!$D$21*D55+Declarations!$C$23*$F$22</f>
        <v>79.1282704669959</v>
      </c>
      <c r="D56" s="12" t="n">
        <f aca="false">Declarations!$B$22*B55+Declarations!$C$22*C55+Declarations!$D$22*D55+Declarations!$D$23*$F$22</f>
        <v>60.4262406435183</v>
      </c>
      <c r="F56" s="18" t="n">
        <f aca="false">IF(B56&gt;100,A56,999)</f>
        <v>999</v>
      </c>
    </row>
    <row r="57" customFormat="false" ht="15" hidden="false" customHeight="false" outlineLevel="0" collapsed="false">
      <c r="A57" s="18" t="n">
        <v>32</v>
      </c>
      <c r="B57" s="12" t="n">
        <f aca="false">Declarations!$B$20*B56+Declarations!$C$20*C56+Declarations!$D$20*D56+Declarations!$B$23*$F$22</f>
        <v>94.6674003595047</v>
      </c>
      <c r="C57" s="12" t="n">
        <f aca="false">Declarations!$B$21*B56+Declarations!$C$21*C56+Declarations!$D$21*D56+Declarations!$C$23*$F$22</f>
        <v>79.6713617676304</v>
      </c>
      <c r="D57" s="12" t="n">
        <f aca="false">Declarations!$B$22*B56+Declarations!$C$22*C56+Declarations!$D$22*D56+Declarations!$D$23*$F$22</f>
        <v>60.9599854968562</v>
      </c>
      <c r="F57" s="18" t="n">
        <f aca="false">IF(B57&gt;100,A57,999)</f>
        <v>999</v>
      </c>
    </row>
    <row r="58" customFormat="false" ht="15" hidden="false" customHeight="false" outlineLevel="0" collapsed="false">
      <c r="A58" s="18" t="n">
        <v>33</v>
      </c>
      <c r="B58" s="12" t="n">
        <f aca="false">Declarations!$B$20*B57+Declarations!$C$20*C57+Declarations!$D$20*D57+Declarations!$B$23*$F$22</f>
        <v>95.1842284119358</v>
      </c>
      <c r="C58" s="12" t="n">
        <f aca="false">Declarations!$B$21*B57+Declarations!$C$21*C57+Declarations!$D$21*D57+Declarations!$C$23*$F$22</f>
        <v>80.1873975384363</v>
      </c>
      <c r="D58" s="12" t="n">
        <f aca="false">Declarations!$B$22*B57+Declarations!$C$22*C57+Declarations!$D$22*D57+Declarations!$D$23*$F$22</f>
        <v>61.4684945922232</v>
      </c>
      <c r="F58" s="18" t="n">
        <f aca="false">IF(B58&gt;100,A58,999)</f>
        <v>999</v>
      </c>
    </row>
    <row r="59" customFormat="false" ht="15" hidden="false" customHeight="false" outlineLevel="0" collapsed="false">
      <c r="A59" s="18" t="n">
        <v>34</v>
      </c>
      <c r="B59" s="12" t="n">
        <f aca="false">Declarations!$B$20*B58+Declarations!$C$20*C58+Declarations!$D$20*D58+Declarations!$B$23*$F$22</f>
        <v>95.675175447664</v>
      </c>
      <c r="C59" s="12" t="n">
        <f aca="false">Declarations!$B$21*B58+Declarations!$C$21*C58+Declarations!$D$21*D58+Declarations!$C$23*$F$22</f>
        <v>80.6777107488645</v>
      </c>
      <c r="D59" s="12" t="n">
        <f aca="false">Declarations!$B$22*B58+Declarations!$C$22*C58+Declarations!$D$22*D58+Declarations!$D$23*$F$22</f>
        <v>61.952746848219</v>
      </c>
      <c r="F59" s="18" t="n">
        <f aca="false">IF(B59&gt;100,A59,999)</f>
        <v>999</v>
      </c>
    </row>
    <row r="60" customFormat="false" ht="15" hidden="false" customHeight="false" outlineLevel="0" collapsed="false">
      <c r="A60" s="18" t="n">
        <v>35</v>
      </c>
      <c r="B60" s="12" t="n">
        <f aca="false">Declarations!$B$20*B59+Declarations!$C$20*C59+Declarations!$D$20*D59+Declarations!$B$23*$F$22</f>
        <v>96.1415434403409</v>
      </c>
      <c r="C60" s="12" t="n">
        <f aca="false">Declarations!$B$21*B59+Declarations!$C$21*C59+Declarations!$D$21*D59+Declarations!$C$23*$F$22</f>
        <v>81.1435716813012</v>
      </c>
      <c r="D60" s="12" t="n">
        <f aca="false">Declarations!$B$22*B59+Declarations!$C$22*C59+Declarations!$D$22*D59+Declarations!$D$23*$F$22</f>
        <v>62.4137273258448</v>
      </c>
      <c r="F60" s="18" t="n">
        <f aca="false">IF(B60&gt;100,A60,999)</f>
        <v>999</v>
      </c>
    </row>
    <row r="61" customFormat="false" ht="15" hidden="false" customHeight="false" outlineLevel="0" collapsed="false">
      <c r="A61" s="18" t="n">
        <v>36</v>
      </c>
      <c r="B61" s="12" t="n">
        <f aca="false">Declarations!$B$20*B60+Declarations!$C$20*C60+Declarations!$D$20*D60+Declarations!$B$23*$F$22</f>
        <v>96.5845676803718</v>
      </c>
      <c r="C61" s="12" t="n">
        <f aca="false">Declarations!$B$21*B60+Declarations!$C$21*C60+Declarations!$D$21*D60+Declarations!$C$23*$F$22</f>
        <v>81.5861902731401</v>
      </c>
      <c r="D61" s="12" t="n">
        <f aca="false">Declarations!$B$22*B60+Declarations!$C$22*C60+Declarations!$D$22*D60+Declarations!$D$23*$F$22</f>
        <v>62.852416200823</v>
      </c>
      <c r="F61" s="18" t="n">
        <f aca="false">IF(B61&gt;100,A61,999)</f>
        <v>999</v>
      </c>
    </row>
    <row r="62" customFormat="false" ht="15" hidden="false" customHeight="false" outlineLevel="0" collapsed="false">
      <c r="A62" s="18" t="n">
        <v>37</v>
      </c>
      <c r="B62" s="12" t="n">
        <f aca="false">Declarations!$B$20*B61+Declarations!$C$20*C61+Declarations!$D$20*D61+Declarations!$B$23*$F$22</f>
        <v>97.0054204259917</v>
      </c>
      <c r="C62" s="12" t="n">
        <f aca="false">Declarations!$B$21*B61+Declarations!$C$21*C61+Declarations!$D$21*D61+Declarations!$C$23*$F$22</f>
        <v>82.0067185002063</v>
      </c>
      <c r="D62" s="12" t="n">
        <f aca="false">Declarations!$B$22*B61+Declarations!$C$22*C61+Declarations!$D$22*D61+Declarations!$D$23*$F$22</f>
        <v>63.269780371991</v>
      </c>
      <c r="F62" s="18" t="n">
        <f aca="false">IF(B62&gt;100,A62,999)</f>
        <v>999</v>
      </c>
    </row>
    <row r="63" customFormat="false" ht="15" hidden="false" customHeight="false" outlineLevel="0" collapsed="false">
      <c r="A63" s="18" t="n">
        <v>38</v>
      </c>
      <c r="B63" s="12" t="n">
        <f aca="false">Declarations!$B$20*B62+Declarations!$C$20*C62+Declarations!$D$20*D62+Declarations!$B$23*$F$22</f>
        <v>97.4052143084028</v>
      </c>
      <c r="C63" s="12" t="n">
        <f aca="false">Declarations!$B$21*B62+Declarations!$C$21*C62+Declarations!$D$21*D62+Declarations!$C$23*$F$22</f>
        <v>82.4062527677745</v>
      </c>
      <c r="D63" s="12" t="n">
        <f aca="false">Declarations!$B$22*B62+Declarations!$C$22*C62+Declarations!$D$22*D62+Declarations!$D$23*$F$22</f>
        <v>63.666767168913</v>
      </c>
      <c r="F63" s="18" t="n">
        <f aca="false">IF(B63&gt;100,A63,999)</f>
        <v>999</v>
      </c>
    </row>
    <row r="64" customFormat="false" ht="15" hidden="false" customHeight="false" outlineLevel="0" collapsed="false">
      <c r="A64" s="18" t="n">
        <v>39</v>
      </c>
      <c r="B64" s="12" t="n">
        <f aca="false">Declarations!$B$20*B63+Declarations!$C$20*C63+Declarations!$D$20*D63+Declarations!$B$23*$F$22</f>
        <v>97.7850055159513</v>
      </c>
      <c r="C64" s="12" t="n">
        <f aca="false">Declarations!$B$21*B63+Declarations!$C$21*C63+Declarations!$D$21*D63+Declarations!$C$23*$F$22</f>
        <v>82.7858362834486</v>
      </c>
      <c r="D64" s="12" t="n">
        <f aca="false">Declarations!$B$22*B63+Declarations!$C$22*C63+Declarations!$D$22*D63+Declarations!$D$23*$F$22</f>
        <v>64.044299727328</v>
      </c>
      <c r="F64" s="18" t="n">
        <f aca="false">IF(B64&gt;100,A64,999)</f>
        <v>999</v>
      </c>
    </row>
    <row r="65" customFormat="false" ht="15" hidden="false" customHeight="false" outlineLevel="0" collapsed="false">
      <c r="A65" s="18" t="n">
        <v>40</v>
      </c>
      <c r="B65" s="12" t="n">
        <f aca="false">Declarations!$B$20*B64+Declarations!$C$20*C64+Declarations!$D$20*D64+Declarations!$B$23*$F$22</f>
        <v>98.1457967785286</v>
      </c>
      <c r="C65" s="12" t="n">
        <f aca="false">Declarations!$B$21*B64+Declarations!$C$21*C64+Declarations!$D$21*D64+Declarations!$C$23*$F$22</f>
        <v>83.1464613925264</v>
      </c>
      <c r="D65" s="12" t="n">
        <f aca="false">Declarations!$B$22*B64+Declarations!$C$22*C64+Declarations!$D$22*D64+Declarations!$D$23*$F$22</f>
        <v>64.4032736860049</v>
      </c>
      <c r="F65" s="18" t="n">
        <f aca="false">IF(B65&gt;100,A65,999)</f>
        <v>999</v>
      </c>
    </row>
    <row r="66" customFormat="false" ht="15" hidden="false" customHeight="false" outlineLevel="0" collapsed="false">
      <c r="A66" s="18" t="n">
        <v>41</v>
      </c>
      <c r="B66" s="12" t="n">
        <f aca="false">Declarations!$B$20*B65+Declarations!$C$20*C65+Declarations!$D$20*D65+Declarations!$B$23*$F$22</f>
        <v>98.488540170302</v>
      </c>
      <c r="C66" s="12" t="n">
        <f aca="false">Declarations!$B$21*B65+Declarations!$C$21*C65+Declarations!$D$21*D65+Declarations!$C$23*$F$22</f>
        <v>83.4890718615003</v>
      </c>
      <c r="D66" s="12" t="n">
        <f aca="false">Declarations!$B$22*B65+Declarations!$C$22*C65+Declarations!$D$22*D65+Declarations!$D$23*$F$22</f>
        <v>64.744554926983</v>
      </c>
      <c r="F66" s="18" t="n">
        <f aca="false">IF(B66&gt;100,A66,999)</f>
        <v>999</v>
      </c>
    </row>
    <row r="67" customFormat="false" ht="15" hidden="false" customHeight="false" outlineLevel="0" collapsed="false">
      <c r="A67" s="18" t="n">
        <v>42</v>
      </c>
      <c r="B67" s="12" t="n">
        <f aca="false">Declarations!$B$20*B66+Declarations!$C$20*C66+Declarations!$D$20*D66+Declarations!$B$23*$F$22</f>
        <v>98.8141397463468</v>
      </c>
      <c r="C67" s="12" t="n">
        <f aca="false">Declarations!$B$21*B66+Declarations!$C$21*C66+Declarations!$D$21*D66+Declarations!$C$23*$F$22</f>
        <v>83.8145650993055</v>
      </c>
      <c r="D67" s="12" t="n">
        <f aca="false">Declarations!$B$22*B66+Declarations!$C$22*C66+Declarations!$D$22*D66+Declarations!$D$23*$F$22</f>
        <v>65.0689781362515</v>
      </c>
      <c r="F67" s="18" t="n">
        <f aca="false">IF(B67&gt;100,A67,999)</f>
        <v>999</v>
      </c>
    </row>
    <row r="68" customFormat="false" ht="15" hidden="false" customHeight="false" outlineLevel="0" collapsed="false">
      <c r="A68" s="18" t="n">
        <v>43</v>
      </c>
      <c r="B68" s="12" t="n">
        <f aca="false">Declarations!$B$20*B67+Declarations!$C$20*C67+Declarations!$D$20*D67+Declarations!$B$23*$F$22</f>
        <v>99.1234540266774</v>
      </c>
      <c r="C68" s="12" t="n">
        <f aca="false">Declarations!$B$21*B67+Declarations!$C$21*C67+Declarations!$D$21*D67+Declarations!$C$23*$F$22</f>
        <v>84.1237943090443</v>
      </c>
      <c r="D68" s="12" t="n">
        <f aca="false">Declarations!$B$22*B67+Declarations!$C$22*C67+Declarations!$D$22*D67+Declarations!$D$23*$F$22</f>
        <v>65.3773460062491</v>
      </c>
      <c r="F68" s="18" t="n">
        <f aca="false">IF(B68&gt;100,A68,999)</f>
        <v>999</v>
      </c>
    </row>
    <row r="69" customFormat="false" ht="15" hidden="false" customHeight="false" outlineLevel="0" collapsed="false">
      <c r="A69" s="18" t="n">
        <v>44</v>
      </c>
      <c r="B69" s="12" t="n">
        <f aca="false">Declarations!$B$20*B68+Declarations!$C$20*C68+Declarations!$D$20*D68+Declarations!$B$23*$F$22</f>
        <v>99.4172983394619</v>
      </c>
      <c r="C69" s="12" t="n">
        <f aca="false">Declarations!$B$21*B68+Declarations!$C$21*C68+Declarations!$D$21*D68+Declarations!$C$23*$F$22</f>
        <v>84.4175705653554</v>
      </c>
      <c r="D69" s="12" t="n">
        <f aca="false">Declarations!$B$22*B68+Declarations!$C$22*C68+Declarations!$D$22*D68+Declarations!$D$23*$F$22</f>
        <v>65.6704289372376</v>
      </c>
      <c r="F69" s="18" t="n">
        <f aca="false">IF(B69&gt;100,A69,999)</f>
        <v>999</v>
      </c>
    </row>
    <row r="70" customFormat="false" ht="15" hidden="false" customHeight="false" outlineLevel="0" collapsed="false">
      <c r="A70" s="18" t="n">
        <v>45</v>
      </c>
      <c r="B70" s="12" t="n">
        <f aca="false">Declarations!$B$20*B69+Declarations!$C$20*C69+Declarations!$D$20*D69+Declarations!$B$23*$F$22</f>
        <v>99.6964470337835</v>
      </c>
      <c r="C70" s="12" t="n">
        <f aca="false">Declarations!$B$21*B69+Declarations!$C$21*C69+Declarations!$D$21*D69+Declarations!$C$23*$F$22</f>
        <v>84.6966648144983</v>
      </c>
      <c r="D70" s="12" t="n">
        <f aca="false">Declarations!$B$22*B69+Declarations!$C$22*C69+Declarations!$D$22*D69+Declarations!$D$23*$F$22</f>
        <v>65.9489651232987</v>
      </c>
      <c r="F70" s="18" t="n">
        <f aca="false">IF(B70&gt;100,A70,999)</f>
        <v>999</v>
      </c>
    </row>
    <row r="71" customFormat="false" ht="15" hidden="false" customHeight="false" outlineLevel="0" collapsed="false">
      <c r="A71" s="18" t="n">
        <v>46</v>
      </c>
      <c r="B71" s="12" t="n">
        <f aca="false">Declarations!$B$20*B70+Declarations!$C$20*C70+Declarations!$D$20*D70+Declarations!$B$23*$F$22</f>
        <v>99.9616355711301</v>
      </c>
      <c r="C71" s="12" t="n">
        <f aca="false">Declarations!$B$21*B70+Declarations!$C$21*C70+Declarations!$D$21*D70+Declarations!$C$23*$F$22</f>
        <v>84.9618097957019</v>
      </c>
      <c r="D71" s="12" t="n">
        <f aca="false">Declarations!$B$22*B70+Declarations!$C$22*C70+Declarations!$D$22*D70+Declarations!$D$23*$F$22</f>
        <v>66.213660931778</v>
      </c>
      <c r="F71" s="18" t="n">
        <f aca="false">IF(B71&gt;100,A71,999)</f>
        <v>999</v>
      </c>
    </row>
    <row r="72" customFormat="false" ht="15" hidden="false" customHeight="false" outlineLevel="0" collapsed="false">
      <c r="A72" s="18" t="n">
        <v>47</v>
      </c>
      <c r="B72" s="12" t="n">
        <f aca="false">Declarations!$B$20*B71+Declarations!$C$20*C71+Declarations!$D$20*D71+Declarations!$B$23*$F$22</f>
        <v>100.213562503802</v>
      </c>
      <c r="C72" s="12" t="n">
        <f aca="false">Declarations!$B$21*B71+Declarations!$C$21*C71+Declarations!$D$21*D71+Declarations!$C$23*$F$22</f>
        <v>85.2137018834596</v>
      </c>
      <c r="D72" s="12" t="n">
        <f aca="false">Declarations!$B$22*B71+Declarations!$C$22*C71+Declarations!$D$22*D71+Declarations!$D$23*$F$22</f>
        <v>66.4651915035491</v>
      </c>
      <c r="F72" s="18" t="n">
        <f aca="false">IF(B72&gt;100,A72,999)</f>
        <v>47</v>
      </c>
    </row>
    <row r="73" customFormat="false" ht="15" hidden="false" customHeight="false" outlineLevel="0" collapsed="false">
      <c r="A73" s="18" t="n">
        <v>48</v>
      </c>
      <c r="B73" s="12" t="n">
        <f aca="false">Declarations!$B$20*B72+Declarations!$C$20*C72+Declarations!$D$20*D72+Declarations!$B$23*$F$22</f>
        <v>100.452891347595</v>
      </c>
      <c r="C73" s="12" t="n">
        <f aca="false">Declarations!$B$21*B72+Declarations!$C$21*C72+Declarations!$D$21*D72+Declarations!$C$23*$F$22</f>
        <v>85.4530028513209</v>
      </c>
      <c r="D73" s="12" t="n">
        <f aca="false">Declarations!$B$22*B72+Declarations!$C$22*C72+Declarations!$D$22*D72+Declarations!$D$23*$F$22</f>
        <v>66.7042015163753</v>
      </c>
      <c r="F73" s="18" t="n">
        <f aca="false">IF(B73&gt;100,A73,999)</f>
        <v>48</v>
      </c>
    </row>
    <row r="74" customFormat="false" ht="15" hidden="false" customHeight="false" outlineLevel="0" collapsed="false">
      <c r="A74" s="18" t="n">
        <v>49</v>
      </c>
      <c r="B74" s="12" t="n">
        <f aca="false">Declarations!$B$20*B73+Declarations!$C$20*C73+Declarations!$D$20*D73+Declarations!$B$23*$F$22</f>
        <v>100.680252355401</v>
      </c>
      <c r="C74" s="12" t="n">
        <f aca="false">Declarations!$B$21*B73+Declarations!$C$21*C73+Declarations!$D$21*D73+Declarations!$C$23*$F$22</f>
        <v>85.6803415583823</v>
      </c>
      <c r="D74" s="12" t="n">
        <f aca="false">Declarations!$B$22*B73+Declarations!$C$22*C73+Declarations!$D$22*D73+Declarations!$D$23*$F$22</f>
        <v>66.9313060656121</v>
      </c>
      <c r="F74" s="18" t="n">
        <f aca="false">IF(B74&gt;100,A74,999)</f>
        <v>49</v>
      </c>
    </row>
    <row r="75" customFormat="false" ht="15" hidden="false" customHeight="false" outlineLevel="0" collapsed="false">
      <c r="A75" s="18" t="n">
        <v>50</v>
      </c>
      <c r="B75" s="12" t="n">
        <f aca="false">Declarations!$B$20*B74+Declarations!$C$20*C74+Declarations!$D$20*D74+Declarations!$B$23*$F$22</f>
        <v>100.89624419778</v>
      </c>
      <c r="C75" s="12" t="n">
        <f aca="false">Declarations!$B$21*B74+Declarations!$C$21*C74+Declarations!$D$21*D74+Declarations!$C$23*$F$22</f>
        <v>85.8963155601651</v>
      </c>
      <c r="D75" s="12" t="n">
        <f aca="false">Declarations!$B$22*B74+Declarations!$C$22*C74+Declarations!$D$22*D74+Declarations!$D$23*$F$22</f>
        <v>67.147091626098</v>
      </c>
      <c r="F75" s="18" t="n">
        <f aca="false">IF(B75&gt;100,A75,999)</f>
        <v>50</v>
      </c>
    </row>
    <row r="76" customFormat="false" ht="15" hidden="false" customHeight="false" outlineLevel="0" collapsed="false">
      <c r="A76" s="18" t="n">
        <v>51</v>
      </c>
      <c r="B76" s="12" t="n">
        <f aca="false">Declarations!$B$20*B75+Declarations!$C$20*C75+Declarations!$D$20*D75+Declarations!$B$23*$F$22</f>
        <v>101.101435556011</v>
      </c>
      <c r="C76" s="12" t="n">
        <f aca="false">Declarations!$B$21*B75+Declarations!$C$21*C75+Declarations!$D$21*D75+Declarations!$C$23*$F$22</f>
        <v>86.1014926459184</v>
      </c>
      <c r="D76" s="12" t="n">
        <f aca="false">Declarations!$B$22*B75+Declarations!$C$22*C75+Declarations!$D$22*D75+Declarations!$D$23*$F$22</f>
        <v>67.3521170667839</v>
      </c>
      <c r="F76" s="18" t="n">
        <f aca="false">IF(B76&gt;100,A76,999)</f>
        <v>51</v>
      </c>
    </row>
    <row r="77" customFormat="false" ht="15" hidden="false" customHeight="false" outlineLevel="0" collapsed="false">
      <c r="A77" s="18" t="n">
        <v>52</v>
      </c>
      <c r="B77" s="12" t="n">
        <f aca="false">Declarations!$B$20*B76+Declarations!$C$20*C76+Declarations!$D$20*D76+Declarations!$B$23*$F$22</f>
        <v>101.296366632706</v>
      </c>
      <c r="C77" s="12" t="n">
        <f aca="false">Declarations!$B$21*B76+Declarations!$C$21*C76+Declarations!$D$21*D76+Declarations!$C$23*$F$22</f>
        <v>86.2964123046317</v>
      </c>
      <c r="D77" s="12" t="n">
        <f aca="false">Declarations!$B$22*B76+Declarations!$C$22*C76+Declarations!$D$22*D76+Declarations!$D$23*$F$22</f>
        <v>67.5469146958195</v>
      </c>
      <c r="F77" s="18" t="n">
        <f aca="false">IF(B77&gt;100,A77,999)</f>
        <v>52</v>
      </c>
    </row>
    <row r="78" customFormat="false" ht="15" hidden="false" customHeight="false" outlineLevel="0" collapsed="false">
      <c r="A78" s="18" t="n">
        <v>53</v>
      </c>
      <c r="B78" s="12" t="n">
        <f aca="false">Declarations!$B$20*B77+Declarations!$C$20*C77+Declarations!$D$20*D77+Declarations!$B$23*$F$22</f>
        <v>101.481550584667</v>
      </c>
      <c r="C78" s="12" t="n">
        <f aca="false">Declarations!$B$21*B77+Declarations!$C$21*C77+Declarations!$D$21*D77+Declarations!$C$23*$F$22</f>
        <v>86.4815871222075</v>
      </c>
      <c r="D78" s="12" t="n">
        <f aca="false">Declarations!$B$22*B77+Declarations!$C$22*C77+Declarations!$D$22*D77+Declarations!$D$23*$F$22</f>
        <v>67.7319913187541</v>
      </c>
      <c r="F78" s="18" t="n">
        <f aca="false">IF(B78&gt;100,A78,999)</f>
        <v>53</v>
      </c>
    </row>
    <row r="79" customFormat="false" ht="15" hidden="false" customHeight="false" outlineLevel="0" collapsed="false">
      <c r="A79" s="18" t="n">
        <v>54</v>
      </c>
      <c r="B79" s="12" t="n">
        <f aca="false">Declarations!$B$20*B78+Declarations!$C$20*C78+Declarations!$D$20*D78+Declarations!$B$23*$F$22</f>
        <v>101.65747488231</v>
      </c>
      <c r="C79" s="12" t="n">
        <f aca="false">Declarations!$B$21*B78+Declarations!$C$21*C78+Declarations!$D$21*D78+Declarations!$C$23*$F$22</f>
        <v>86.657504112343</v>
      </c>
      <c r="D79" s="12" t="n">
        <f aca="false">Declarations!$B$22*B78+Declarations!$C$22*C78+Declarations!$D$22*D78+Declarations!$D$23*$F$22</f>
        <v>67.9078292964573</v>
      </c>
      <c r="F79" s="18" t="n">
        <f aca="false">IF(B79&gt;100,A79,999)</f>
        <v>54</v>
      </c>
    </row>
    <row r="80" customFormat="false" ht="15" hidden="false" customHeight="false" outlineLevel="0" collapsed="false">
      <c r="A80" s="18" t="n">
        <v>55</v>
      </c>
      <c r="B80" s="12" t="n">
        <f aca="false">Declarations!$B$20*B79+Declarations!$C$20*C79+Declarations!$D$20*D79+Declarations!$B$23*$F$22</f>
        <v>101.824602599696</v>
      </c>
      <c r="C80" s="12" t="n">
        <f aca="false">Declarations!$B$21*B79+Declarations!$C$21*C79+Declarations!$D$21*D79+Declarations!$C$23*$F$22</f>
        <v>86.8246259837226</v>
      </c>
      <c r="D80" s="12" t="n">
        <f aca="false">Declarations!$B$22*B79+Declarations!$C$22*C79+Declarations!$D$22*D79+Declarations!$D$23*$F$22</f>
        <v>68.0748875925157</v>
      </c>
      <c r="F80" s="18" t="n">
        <f aca="false">IF(B80&gt;100,A80,999)</f>
        <v>55</v>
      </c>
    </row>
    <row r="81" customFormat="false" ht="15" hidden="false" customHeight="false" outlineLevel="0" collapsed="false">
      <c r="A81" s="18" t="n">
        <v>56</v>
      </c>
      <c r="B81" s="12" t="n">
        <f aca="false">Declarations!$B$20*B80+Declarations!$C$20*C80+Declarations!$D$20*D80+Declarations!$B$23*$F$22</f>
        <v>101.983373638913</v>
      </c>
      <c r="C81" s="12" t="n">
        <f aca="false">Declarations!$B$21*B80+Declarations!$C$21*C80+Declarations!$D$21*D80+Declarations!$C$23*$F$22</f>
        <v>86.9833923461338</v>
      </c>
      <c r="D81" s="12" t="n">
        <f aca="false">Declarations!$B$22*B80+Declarations!$C$22*C80+Declarations!$D$22*D80+Declarations!$D$23*$F$22</f>
        <v>68.2336028023696</v>
      </c>
      <c r="F81" s="18" t="n">
        <f aca="false">IF(B81&gt;100,A81,999)</f>
        <v>56</v>
      </c>
    </row>
    <row r="82" customFormat="false" ht="15" hidden="false" customHeight="false" outlineLevel="0" collapsed="false">
      <c r="A82" s="18" t="n">
        <v>57</v>
      </c>
      <c r="B82" s="12" t="n">
        <f aca="false">Declarations!$B$20*B81+Declarations!$C$20*C81+Declarations!$D$20*D81+Declarations!$B$23*$F$22</f>
        <v>102.134205892328</v>
      </c>
      <c r="C82" s="12" t="n">
        <f aca="false">Declarations!$B$21*B81+Declarations!$C$21*C81+Declarations!$D$21*D81+Declarations!$C$23*$F$22</f>
        <v>87.134220858105</v>
      </c>
      <c r="D82" s="12" t="n">
        <f aca="false">Declarations!$B$22*B81+Declarations!$C$22*C81+Declarations!$D$22*D81+Declarations!$D$23*$F$22</f>
        <v>68.3843901584547</v>
      </c>
      <c r="F82" s="18" t="n">
        <f aca="false">IF(B82&gt;100,A82,999)</f>
        <v>57</v>
      </c>
    </row>
    <row r="83" customFormat="false" ht="15" hidden="false" customHeight="false" outlineLevel="0" collapsed="false">
      <c r="A83" s="18" t="n">
        <v>58</v>
      </c>
      <c r="B83" s="12" t="n">
        <f aca="false">Declarations!$B$20*B82+Declarations!$C$20*C82+Declarations!$D$20*D82+Declarations!$B$23*$F$22</f>
        <v>102.277496346001</v>
      </c>
      <c r="C83" s="12" t="n">
        <f aca="false">Declarations!$B$21*B82+Declarations!$C$21*C82+Declarations!$D$21*D82+Declarations!$C$23*$F$22</f>
        <v>87.2775083186221</v>
      </c>
      <c r="D83" s="12" t="n">
        <f aca="false">Declarations!$B$22*B82+Declarations!$C$22*C82+Declarations!$D$22*D82+Declarations!$D$23*$F$22</f>
        <v>68.5276445071907</v>
      </c>
      <c r="F83" s="18" t="n">
        <f aca="false">IF(B83&gt;100,A83,999)</f>
        <v>58</v>
      </c>
    </row>
    <row r="84" customFormat="false" ht="15" hidden="false" customHeight="false" outlineLevel="0" collapsed="false">
      <c r="A84" s="18" t="n">
        <v>59</v>
      </c>
      <c r="B84" s="12" t="n">
        <f aca="false">Declarations!$B$20*B83+Declarations!$C$20*C83+Declarations!$D$20*D83+Declarations!$B$23*$F$22</f>
        <v>102.413622127332</v>
      </c>
      <c r="C84" s="12" t="n">
        <f aca="false">Declarations!$B$21*B83+Declarations!$C$21*C83+Declarations!$D$21*D83+Declarations!$C$23*$F$22</f>
        <v>87.4136317054289</v>
      </c>
      <c r="D84" s="12" t="n">
        <f aca="false">Declarations!$B$22*B83+Declarations!$C$22*C83+Declarations!$D$22*D83+Declarations!$D$23*$F$22</f>
        <v>68.6637412549148</v>
      </c>
      <c r="F84" s="18" t="n">
        <f aca="false">IF(B84&gt;100,A84,999)</f>
        <v>59</v>
      </c>
    </row>
    <row r="85" customFormat="false" ht="15" hidden="false" customHeight="false" outlineLevel="0" collapsed="false">
      <c r="A85" s="18" t="n">
        <v>60</v>
      </c>
      <c r="B85" s="12" t="n">
        <f aca="false">Declarations!$B$20*B84+Declarations!$C$20*C84+Declarations!$D$20*D84+Declarations!$B$23*$F$22</f>
        <v>102.54294149987</v>
      </c>
      <c r="C85" s="12" t="n">
        <f aca="false">Declarations!$B$21*B84+Declarations!$C$21*C84+Declarations!$D$21*D84+Declarations!$C$23*$F$22</f>
        <v>87.5429491623477</v>
      </c>
      <c r="D85" s="12" t="n">
        <f aca="false">Declarations!$B$22*B84+Declarations!$C$22*C84+Declarations!$D$22*D84+Declarations!$D$23*$F$22</f>
        <v>68.7930372808413</v>
      </c>
      <c r="F85" s="18" t="n">
        <f aca="false">IF(B85&gt;100,A85,999)</f>
        <v>60</v>
      </c>
    </row>
    <row r="86" customFormat="false" ht="15" hidden="false" customHeight="false" outlineLevel="0" collapsed="false">
      <c r="A86" s="18" t="n">
        <v>61</v>
      </c>
      <c r="B86" s="12" t="n">
        <f aca="false">Declarations!$B$20*B85+Declarations!$C$20*C85+Declarations!$D$20*D85+Declarations!$B$23*$F$22</f>
        <v>102.665794808</v>
      </c>
      <c r="C86" s="12" t="n">
        <f aca="false">Declarations!$B$21*B85+Declarations!$C$21*C85+Declarations!$D$21*D85+Declarations!$C$23*$F$22</f>
        <v>87.6658009379826</v>
      </c>
      <c r="D86" s="12" t="n">
        <f aca="false">Declarations!$B$22*B85+Declarations!$C$22*C85+Declarations!$D$22*D85+Declarations!$D$23*$F$22</f>
        <v>68.9158718159013</v>
      </c>
      <c r="F86" s="18" t="n">
        <f aca="false">IF(B86&gt;100,A86,999)</f>
        <v>61</v>
      </c>
    </row>
    <row r="87" customFormat="false" ht="15" hidden="false" customHeight="false" outlineLevel="0" collapsed="false">
      <c r="A87" s="18" t="n">
        <v>62</v>
      </c>
      <c r="B87" s="12" t="n">
        <f aca="false">Declarations!$B$20*B86+Declarations!$C$20*C86+Declarations!$D$20*D86+Declarations!$B$23*$F$22</f>
        <v>102.7825053741</v>
      </c>
      <c r="C87" s="12" t="n">
        <f aca="false">Declarations!$B$21*B86+Declarations!$C$21*C86+Declarations!$D$21*D86+Declarations!$C$23*$F$22</f>
        <v>87.7825102780852</v>
      </c>
      <c r="D87" s="12" t="n">
        <f aca="false">Declarations!$B$22*B86+Declarations!$C$22*C86+Declarations!$D$22*D86+Declarations!$D$23*$F$22</f>
        <v>69.0325672869194</v>
      </c>
      <c r="F87" s="18" t="n">
        <f aca="false">IF(B87&gt;100,A87,999)</f>
        <v>62</v>
      </c>
    </row>
    <row r="88" customFormat="false" ht="15" hidden="false" customHeight="false" outlineLevel="0" collapsed="false">
      <c r="A88" s="18" t="n">
        <v>63</v>
      </c>
      <c r="B88" s="12" t="n">
        <f aca="false">Declarations!$B$20*B87+Declarations!$C$20*C87+Declarations!$D$20*D87+Declarations!$B$23*$F$22</f>
        <v>102.893380350594</v>
      </c>
      <c r="C88" s="12" t="n">
        <f aca="false">Declarations!$B$21*B87+Declarations!$C$21*C87+Declarations!$D$21*D87+Declarations!$C$23*$F$22</f>
        <v>87.8933842737824</v>
      </c>
      <c r="D88" s="12" t="n">
        <f aca="false">Declarations!$B$22*B87+Declarations!$C$22*C87+Declarations!$D$22*D87+Declarations!$D$23*$F$22</f>
        <v>69.143430126049</v>
      </c>
      <c r="F88" s="18" t="n">
        <f aca="false">IF(B88&gt;100,A88,999)</f>
        <v>63</v>
      </c>
    </row>
    <row r="89" customFormat="false" ht="15" hidden="false" customHeight="false" outlineLevel="0" collapsed="false">
      <c r="A89" s="18" t="n">
        <v>64</v>
      </c>
      <c r="B89" s="12" t="n">
        <f aca="false">Declarations!$B$20*B88+Declarations!$C$20*C88+Declarations!$D$20*D88+Declarations!$B$23*$F$22</f>
        <v>102.998711529224</v>
      </c>
      <c r="C89" s="12" t="n">
        <f aca="false">Declarations!$B$21*B88+Declarations!$C$21*C88+Declarations!$D$21*D88+Declarations!$C$23*$F$22</f>
        <v>87.9987146677744</v>
      </c>
      <c r="D89" s="12" t="n">
        <f aca="false">Declarations!$B$22*B88+Declarations!$C$22*C88+Declarations!$D$22*D88+Declarations!$D$23*$F$22</f>
        <v>69.2487515457471</v>
      </c>
      <c r="F89" s="18" t="n">
        <f aca="false">IF(B89&gt;100,A89,999)</f>
        <v>64</v>
      </c>
    </row>
    <row r="90" customFormat="false" ht="15" hidden="false" customHeight="false" outlineLevel="0" collapsed="false">
      <c r="A90" s="18" t="n">
        <v>65</v>
      </c>
      <c r="B90" s="12" t="n">
        <f aca="false">Declarations!$B$20*B89+Declarations!$C$20*C89+Declarations!$D$20*D89+Declarations!$B$23*$F$22</f>
        <v>103.09877610969</v>
      </c>
      <c r="C90" s="12" t="n">
        <f aca="false">Declarations!$B$21*B89+Declarations!$C$21*C89+Declarations!$D$21*D89+Declarations!$C$23*$F$22</f>
        <v>88.0987786205306</v>
      </c>
      <c r="D90" s="12" t="n">
        <f aca="false">Declarations!$B$22*B89+Declarations!$C$22*C89+Declarations!$D$22*D89+Declarations!$D$23*$F$22</f>
        <v>69.3488082798363</v>
      </c>
      <c r="F90" s="18" t="n">
        <f aca="false">IF(B90&gt;100,A90,999)</f>
        <v>65</v>
      </c>
    </row>
    <row r="91" customFormat="false" ht="15" hidden="false" customHeight="false" outlineLevel="0" collapsed="false">
      <c r="A91" s="18" t="n">
        <v>66</v>
      </c>
      <c r="B91" s="12" t="n">
        <f aca="false">Declarations!$B$20*B90+Declarations!$C$20*C90+Declarations!$D$20*D90+Declarations!$B$23*$F$22</f>
        <v>103.193837429747</v>
      </c>
      <c r="C91" s="12" t="n">
        <f aca="false">Declarations!$B$21*B90+Declarations!$C$21*C90+Declarations!$D$21*D90+Declarations!$C$23*$F$22</f>
        <v>88.19383943842</v>
      </c>
      <c r="D91" s="12" t="n">
        <f aca="false">Declarations!$B$22*B90+Declarations!$C$22*C90+Declarations!$D$22*D90+Declarations!$D$23*$F$22</f>
        <v>69.4438632914066</v>
      </c>
      <c r="F91" s="18" t="n">
        <f aca="false">IF(B91&gt;100,A91,999)</f>
        <v>66</v>
      </c>
    </row>
    <row r="92" customFormat="false" ht="15" hidden="false" customHeight="false" outlineLevel="0" collapsed="false">
      <c r="A92" s="18" t="n">
        <v>67</v>
      </c>
      <c r="B92" s="12" t="n">
        <f aca="false">Declarations!$B$20*B91+Declarations!$C$20*C91+Declarations!$D$20*D91+Declarations!$B$23*$F$22</f>
        <v>103.284145658694</v>
      </c>
      <c r="C92" s="12" t="n">
        <f aca="false">Declarations!$B$21*B91+Declarations!$C$21*C91+Declarations!$D$21*D91+Declarations!$C$23*$F$22</f>
        <v>88.2841472656317</v>
      </c>
      <c r="D92" s="12" t="n">
        <f aca="false">Declarations!$B$22*B91+Declarations!$C$22*C91+Declarations!$D$22*D91+Declarations!$D$23*$F$22</f>
        <v>69.5341664484547</v>
      </c>
      <c r="F92" s="18" t="n">
        <f aca="false">IF(B92&gt;100,A92,999)</f>
        <v>67</v>
      </c>
    </row>
    <row r="93" customFormat="false" ht="15" hidden="false" customHeight="false" outlineLevel="0" collapsed="false">
      <c r="A93" s="18" t="n">
        <v>68</v>
      </c>
      <c r="B93" s="12" t="n">
        <f aca="false">Declarations!$B$20*B92+Declarations!$C$20*C92+Declarations!$D$20*D92+Declarations!$B$23*$F$22</f>
        <v>103.369938456106</v>
      </c>
      <c r="C93" s="12" t="n">
        <f aca="false">Declarations!$B$21*B92+Declarations!$C$21*C92+Declarations!$D$21*D92+Declarations!$C$23*$F$22</f>
        <v>88.3699397416564</v>
      </c>
      <c r="D93" s="12" t="n">
        <f aca="false">Declarations!$B$22*B92+Declarations!$C$22*C92+Declarations!$D$22*D92+Declarations!$D$23*$F$22</f>
        <v>69.6199551682616</v>
      </c>
      <c r="F93" s="18" t="n">
        <f aca="false">IF(B93&gt;100,A93,999)</f>
        <v>68</v>
      </c>
    </row>
    <row r="94" customFormat="false" ht="15" hidden="false" customHeight="false" outlineLevel="0" collapsed="false">
      <c r="A94" s="18" t="n">
        <v>69</v>
      </c>
      <c r="B94" s="12" t="n">
        <f aca="false">Declarations!$B$20*B93+Declarations!$C$20*C93+Declarations!$D$20*D93+Declarations!$B$23*$F$22</f>
        <v>103.451441597578</v>
      </c>
      <c r="C94" s="12" t="n">
        <f aca="false">Declarations!$B$21*B93+Declarations!$C$21*C93+Declarations!$D$21*D93+Declarations!$C$23*$F$22</f>
        <v>88.4514426260185</v>
      </c>
      <c r="D94" s="12" t="n">
        <f aca="false">Declarations!$B$22*B93+Declarations!$C$22*C93+Declarations!$D$22*D93+Declarations!$D$23*$F$22</f>
        <v>69.7014550315802</v>
      </c>
      <c r="F94" s="18" t="n">
        <f aca="false">IF(B94&gt;100,A94,999)</f>
        <v>69</v>
      </c>
    </row>
    <row r="95" customFormat="false" ht="15" hidden="false" customHeight="false" outlineLevel="0" collapsed="false">
      <c r="A95" s="18" t="n">
        <v>70</v>
      </c>
      <c r="B95" s="12" t="n">
        <f aca="false">Declarations!$B$20*B94+Declarations!$C$20*C94+Declarations!$D$20*D94+Declarations!$B$23*$F$22</f>
        <v>103.528869569121</v>
      </c>
      <c r="C95" s="12" t="n">
        <f aca="false">Declarations!$B$21*B94+Declarations!$C$21*C94+Declarations!$D$21*D94+Declarations!$C$23*$F$22</f>
        <v>88.5288703918736</v>
      </c>
      <c r="D95" s="12" t="n">
        <f aca="false">Declarations!$B$22*B94+Declarations!$C$22*C94+Declarations!$D$22*D94+Declarations!$D$23*$F$22</f>
        <v>69.7788803677449</v>
      </c>
      <c r="F95" s="18" t="n">
        <f aca="false">IF(B95&gt;100,A95,999)</f>
        <v>70</v>
      </c>
    </row>
    <row r="96" customFormat="false" ht="15" hidden="false" customHeight="false" outlineLevel="0" collapsed="false">
      <c r="A96" s="18" t="n">
        <v>71</v>
      </c>
      <c r="B96" s="12" t="n">
        <f aca="false">Declarations!$B$20*B95+Declarations!$C$20*C95+Declarations!$D$20*D95+Declarations!$B$23*$F$22</f>
        <v>103.602426131803</v>
      </c>
      <c r="C96" s="12" t="n">
        <f aca="false">Declarations!$B$21*B95+Declarations!$C$21*C95+Declarations!$D$21*D95+Declarations!$C$23*$F$22</f>
        <v>88.6024267900046</v>
      </c>
      <c r="D96" s="12" t="n">
        <f aca="false">Declarations!$B$22*B95+Declarations!$C$22*C95+Declarations!$D$22*D95+Declarations!$D$23*$F$22</f>
        <v>69.8524348118394</v>
      </c>
      <c r="F96" s="18" t="n">
        <f aca="false">IF(B96&gt;100,A96,999)</f>
        <v>71</v>
      </c>
    </row>
    <row r="97" customFormat="false" ht="15" hidden="false" customHeight="false" outlineLevel="0" collapsed="false">
      <c r="A97" s="18" t="n">
        <v>72</v>
      </c>
      <c r="B97" s="12" t="n">
        <f aca="false">Declarations!$B$20*B96+Declarations!$C$20*C96+Declarations!$D$20*D96+Declarations!$B$23*$F$22</f>
        <v>103.672304858123</v>
      </c>
      <c r="C97" s="12" t="n">
        <f aca="false">Declarations!$B$21*B96+Declarations!$C$21*C96+Declarations!$D$21*D96+Declarations!$C$23*$F$22</f>
        <v>88.6723053846842</v>
      </c>
      <c r="D97" s="12" t="n">
        <f aca="false">Declarations!$B$22*B96+Declarations!$C$22*C96+Declarations!$D$22*D96+Declarations!$D$23*$F$22</f>
        <v>69.9223118350621</v>
      </c>
      <c r="F97" s="18" t="n">
        <f aca="false">IF(B97&gt;100,A97,999)</f>
        <v>72</v>
      </c>
    </row>
    <row r="98" customFormat="false" ht="15" hidden="false" customHeight="false" outlineLevel="0" collapsed="false">
      <c r="A98" s="18" t="n">
        <v>73</v>
      </c>
      <c r="B98" s="12" t="n">
        <f aca="false">Declarations!$B$20*B97+Declarations!$C$20*C97+Declarations!$D$20*D97+Declarations!$B$23*$F$22</f>
        <v>103.738689641545</v>
      </c>
      <c r="C98" s="12" t="n">
        <f aca="false">Declarations!$B$21*B97+Declarations!$C$21*C97+Declarations!$D$21*D97+Declarations!$C$23*$F$22</f>
        <v>88.7386900627939</v>
      </c>
      <c r="D98" s="12" t="n">
        <f aca="false">Declarations!$B$22*B97+Declarations!$C$22*C97+Declarations!$D$22*D97+Declarations!$D$23*$F$22</f>
        <v>69.9886952494242</v>
      </c>
      <c r="F98" s="18" t="n">
        <f aca="false">IF(B98&gt;100,A98,999)</f>
        <v>73</v>
      </c>
    </row>
    <row r="99" customFormat="false" ht="15" hidden="false" customHeight="false" outlineLevel="0" collapsed="false">
      <c r="A99" s="18" t="n">
        <v>74</v>
      </c>
      <c r="B99" s="12" t="n">
        <f aca="false">Declarations!$B$20*B98+Declarations!$C$20*C98+Declarations!$D$20*D98+Declarations!$B$23*$F$22</f>
        <v>103.80175518053</v>
      </c>
      <c r="C99" s="12" t="n">
        <f aca="false">Declarations!$B$21*B98+Declarations!$C$21*C98+Declarations!$D$21*D98+Declarations!$C$23*$F$22</f>
        <v>88.8017555175292</v>
      </c>
      <c r="D99" s="12" t="n">
        <f aca="false">Declarations!$B$22*B98+Declarations!$C$22*C98+Declarations!$D$22*D98+Declarations!$D$23*$F$22</f>
        <v>70.051759687896</v>
      </c>
      <c r="F99" s="18" t="n">
        <f aca="false">IF(B99&gt;100,A99,999)</f>
        <v>74</v>
      </c>
    </row>
    <row r="100" customFormat="false" ht="15" hidden="false" customHeight="false" outlineLevel="0" collapsed="false">
      <c r="A100" s="18" t="n">
        <v>75</v>
      </c>
      <c r="B100" s="12" t="n">
        <f aca="false">Declarations!$B$20*B99+Declarations!$C$20*C99+Declarations!$D$20*D99+Declarations!$B$23*$F$22</f>
        <v>103.861667438353</v>
      </c>
      <c r="C100" s="12" t="n">
        <f aca="false">Declarations!$B$21*B99+Declarations!$C$21*C99+Declarations!$D$21*D99+Declarations!$C$23*$F$22</f>
        <v>88.8616677079529</v>
      </c>
      <c r="D100" s="12" t="n">
        <f aca="false">Declarations!$B$22*B99+Declarations!$C$22*C99+Declarations!$D$22*D99+Declarations!$D$23*$F$22</f>
        <v>70.1116710610963</v>
      </c>
      <c r="F100" s="18" t="n">
        <f aca="false">IF(B100&gt;100,A100,999)</f>
        <v>75</v>
      </c>
    </row>
    <row r="101" customFormat="false" ht="15" hidden="false" customHeight="false" outlineLevel="0" collapsed="false">
      <c r="A101" s="18" t="n">
        <v>76</v>
      </c>
      <c r="B101" s="12" t="n">
        <f aca="false">Declarations!$B$20*B100+Declarations!$C$20*C100+Declarations!$D$20*D100+Declarations!$B$23*$F$22</f>
        <v>103.918584079916</v>
      </c>
      <c r="C101" s="12" t="n">
        <f aca="false">Declarations!$B$21*B100+Declarations!$C$21*C100+Declarations!$D$21*D100+Declarations!$C$23*$F$22</f>
        <v>88.9185842955953</v>
      </c>
      <c r="D101" s="12" t="n">
        <f aca="false">Declarations!$B$22*B100+Declarations!$C$22*C100+Declarations!$D$22*D100+Declarations!$D$23*$F$22</f>
        <v>70.16858699159</v>
      </c>
      <c r="F101" s="18" t="n">
        <f aca="false">IF(B101&gt;100,A101,999)</f>
        <v>76</v>
      </c>
    </row>
    <row r="102" customFormat="false" ht="15" hidden="false" customHeight="false" outlineLevel="0" collapsed="false">
      <c r="A102" s="18" t="n">
        <v>77</v>
      </c>
      <c r="B102" s="12" t="n">
        <f aca="false">Declarations!$B$20*B101+Declarations!$C$20*C101+Declarations!$D$20*D101+Declarations!$B$23*$F$22</f>
        <v>103.972654886704</v>
      </c>
      <c r="C102" s="12" t="n">
        <f aca="false">Declarations!$B$21*B101+Declarations!$C$21*C101+Declarations!$D$21*D101+Declarations!$C$23*$F$22</f>
        <v>88.9726550592476</v>
      </c>
      <c r="D102" s="12" t="n">
        <f aca="false">Declarations!$B$22*B101+Declarations!$C$22*C101+Declarations!$D$22*D101+Declarations!$D$23*$F$22</f>
        <v>70.2226572268273</v>
      </c>
      <c r="F102" s="18" t="n">
        <f aca="false">IF(B102&gt;100,A102,999)</f>
        <v>77</v>
      </c>
    </row>
    <row r="103" customFormat="false" ht="15" hidden="false" customHeight="false" outlineLevel="0" collapsed="false">
      <c r="A103" s="18" t="n">
        <v>78</v>
      </c>
      <c r="B103" s="12" t="n">
        <f aca="false">Declarations!$B$20*B102+Declarations!$C$20*C102+Declarations!$D$20*D102+Declarations!$B$23*$F$22</f>
        <v>104.024022150996</v>
      </c>
      <c r="C103" s="12" t="n">
        <f aca="false">Declarations!$B$21*B102+Declarations!$C$21*C102+Declarations!$D$21*D102+Declarations!$C$23*$F$22</f>
        <v>89.0240222890308</v>
      </c>
      <c r="D103" s="12" t="n">
        <f aca="false">Declarations!$B$22*B102+Declarations!$C$22*C102+Declarations!$D$22*D102+Declarations!$D$23*$F$22</f>
        <v>70.2740240317218</v>
      </c>
      <c r="F103" s="18" t="n">
        <f aca="false">IF(B103&gt;100,A103,999)</f>
        <v>78</v>
      </c>
    </row>
    <row r="104" customFormat="false" ht="15" hidden="false" customHeight="false" outlineLevel="0" collapsed="false">
      <c r="A104" s="18" t="n">
        <v>79</v>
      </c>
      <c r="B104" s="12" t="n">
        <f aca="false">Declarations!$B$20*B103+Declarations!$C$20*C103+Declarations!$D$20*D103+Declarations!$B$23*$F$22</f>
        <v>104.072821050348</v>
      </c>
      <c r="C104" s="12" t="n">
        <f aca="false">Declarations!$B$21*B103+Declarations!$C$21*C103+Declarations!$D$21*D103+Declarations!$C$23*$F$22</f>
        <v>89.0728211607758</v>
      </c>
      <c r="D104" s="12" t="n">
        <f aca="false">Declarations!$B$22*B103+Declarations!$C$22*C103+Declarations!$D$22*D103+Declarations!$D$23*$F$22</f>
        <v>70.3228225618303</v>
      </c>
      <c r="F104" s="18" t="n">
        <f aca="false">IF(B104&gt;100,A104,999)</f>
        <v>79</v>
      </c>
    </row>
    <row r="105" customFormat="false" ht="15" hidden="false" customHeight="false" outlineLevel="0" collapsed="false">
      <c r="A105" s="18" t="n">
        <v>80</v>
      </c>
      <c r="B105" s="12" t="n">
        <f aca="false">Declarations!$B$20*B104+Declarations!$C$20*C104+Declarations!$D$20*D104+Declarations!$B$23*$F$22</f>
        <v>104.119180003352</v>
      </c>
      <c r="C105" s="12" t="n">
        <f aca="false">Declarations!$B$21*B104+Declarations!$C$21*C104+Declarations!$D$21*D104+Declarations!$C$23*$F$22</f>
        <v>89.1191800916942</v>
      </c>
      <c r="D105" s="12" t="n">
        <f aca="false">Declarations!$B$22*B104+Declarations!$C$22*C104+Declarations!$D$22*D104+Declarations!$D$23*$F$22</f>
        <v>70.3691812180592</v>
      </c>
      <c r="F105" s="18" t="n">
        <f aca="false">IF(B105&gt;100,A105,999)</f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9" min="2" style="0" width="11"/>
    <col collapsed="false" customWidth="true" hidden="false" outlineLevel="0" max="10" min="10" style="0" width="3"/>
    <col collapsed="false" customWidth="true" hidden="false" outlineLevel="0" max="19" min="11" style="0" width="11"/>
    <col collapsed="false" customWidth="true" hidden="false" outlineLevel="0" max="22" min="21" style="0" width="3"/>
    <col collapsed="false" customWidth="true" hidden="false" outlineLevel="0" max="23" min="23" style="0" width="58"/>
    <col collapsed="false" customWidth="true" hidden="false" outlineLevel="0" max="27" min="24" style="0" width="13"/>
    <col collapsed="false" customWidth="true" hidden="false" outlineLevel="0" max="28" min="28" style="0" width="16"/>
  </cols>
  <sheetData>
    <row r="1" customFormat="false" ht="15" hidden="false" customHeight="false" outlineLevel="0" collapsed="false">
      <c r="A1" s="1" t="s">
        <v>234</v>
      </c>
    </row>
    <row r="2" customFormat="false" ht="15" hidden="false" customHeight="false" outlineLevel="0" collapsed="false">
      <c r="A2" s="10" t="s">
        <v>235</v>
      </c>
    </row>
    <row r="3" customFormat="false" ht="15" hidden="false" customHeight="false" outlineLevel="0" collapsed="false">
      <c r="W3" s="8" t="s">
        <v>236</v>
      </c>
      <c r="X3" s="8" t="s">
        <v>61</v>
      </c>
      <c r="Y3" s="8" t="s">
        <v>62</v>
      </c>
      <c r="Z3" s="8" t="s">
        <v>50</v>
      </c>
      <c r="AA3" s="8" t="s">
        <v>51</v>
      </c>
      <c r="AB3" s="8" t="s">
        <v>237</v>
      </c>
    </row>
    <row r="4" customFormat="false" ht="15" hidden="false" customHeight="false" outlineLevel="0" collapsed="false">
      <c r="W4" s="2" t="s">
        <v>238</v>
      </c>
      <c r="X4" s="18" t="n">
        <f aca="false">IF(SUMPRODUCT(ABS(B8:B11))+SUMPRODUCT(ABS(F8:F11))&gt;0,1,0)</f>
        <v>1</v>
      </c>
      <c r="Y4" s="18" t="n">
        <f aca="false">IF(SUMPRODUCT(ABS(C8:C11))+SUMPRODUCT(ABS(G8:G11))&gt;0,1,0)</f>
        <v>1</v>
      </c>
      <c r="Z4" s="18" t="n">
        <f aca="false">IF(SUMPRODUCT(ABS(D8:D11))+SUMPRODUCT(ABS(H8:H11))&gt;0,1,0)</f>
        <v>1</v>
      </c>
      <c r="AA4" s="18" t="n">
        <f aca="false">IF(SUMPRODUCT(ABS(E8:E11))+SUMPRODUCT(ABS(I8:I11))&gt;0,1,0)</f>
        <v>1</v>
      </c>
      <c r="AB4" s="18" t="n">
        <f aca="false">SUM(X4:AA4)</f>
        <v>4</v>
      </c>
    </row>
    <row r="5" customFormat="false" ht="15" hidden="false" customHeight="false" outlineLevel="0" collapsed="false">
      <c r="W5" s="2" t="s">
        <v>239</v>
      </c>
      <c r="X5" s="18" t="n">
        <f aca="false">IF(SUMPRODUCT(ABS(K8:K11))+SUMPRODUCT(ABS(O8:O11))&gt;0,1,0)</f>
        <v>1</v>
      </c>
      <c r="Y5" s="18" t="n">
        <f aca="false">IF(SUMPRODUCT(ABS(L8:L11))+SUMPRODUCT(ABS(P8:P11))&gt;0,1,0)</f>
        <v>1</v>
      </c>
      <c r="Z5" s="18" t="n">
        <f aca="false">IF(SUMPRODUCT(ABS(M8:M11))+SUMPRODUCT(ABS(Q8:Q11))&gt;0,1,0)</f>
        <v>1</v>
      </c>
      <c r="AA5" s="18" t="n">
        <f aca="false">IF(SUMPRODUCT(ABS(N8:N11))+SUMPRODUCT(ABS(R8:R11))&gt;0,1,0)</f>
        <v>0</v>
      </c>
      <c r="AB5" s="18" t="n">
        <f aca="false">SUM(X5:AA5)</f>
        <v>3</v>
      </c>
    </row>
    <row r="6" customFormat="false" ht="15" hidden="false" customHeight="false" outlineLevel="0" collapsed="false">
      <c r="W6" s="10" t="s">
        <v>240</v>
      </c>
    </row>
    <row r="7" customFormat="false" ht="46.25" hidden="false" customHeight="false" outlineLevel="0" collapsed="false">
      <c r="A7" s="8" t="s">
        <v>241</v>
      </c>
      <c r="B7" s="8" t="s">
        <v>242</v>
      </c>
      <c r="C7" s="8" t="s">
        <v>62</v>
      </c>
      <c r="D7" s="8" t="s">
        <v>50</v>
      </c>
      <c r="E7" s="8" t="s">
        <v>51</v>
      </c>
      <c r="F7" s="8" t="s">
        <v>243</v>
      </c>
      <c r="G7" s="8" t="s">
        <v>62</v>
      </c>
      <c r="H7" s="8" t="s">
        <v>50</v>
      </c>
      <c r="I7" s="8" t="s">
        <v>51</v>
      </c>
      <c r="J7" s="8"/>
      <c r="K7" s="8" t="s">
        <v>244</v>
      </c>
      <c r="L7" s="8" t="s">
        <v>62</v>
      </c>
      <c r="M7" s="8" t="s">
        <v>50</v>
      </c>
      <c r="N7" s="8" t="s">
        <v>51</v>
      </c>
      <c r="O7" s="8" t="s">
        <v>245</v>
      </c>
      <c r="P7" s="8" t="s">
        <v>62</v>
      </c>
      <c r="Q7" s="8" t="s">
        <v>50</v>
      </c>
      <c r="R7" s="8" t="s">
        <v>51</v>
      </c>
    </row>
    <row r="8" customFormat="false" ht="15" hidden="false" customHeight="false" outlineLevel="0" collapsed="false">
      <c r="A8" s="18" t="n">
        <v>0</v>
      </c>
      <c r="B8" s="13" t="n">
        <v>1</v>
      </c>
      <c r="C8" s="13" t="n">
        <v>0</v>
      </c>
      <c r="D8" s="13" t="n">
        <v>0</v>
      </c>
      <c r="E8" s="13" t="n">
        <v>0</v>
      </c>
      <c r="F8" s="13" t="n">
        <v>0</v>
      </c>
      <c r="G8" s="13" t="n">
        <v>1</v>
      </c>
      <c r="H8" s="13" t="n">
        <v>0</v>
      </c>
      <c r="I8" s="13" t="n">
        <v>0</v>
      </c>
      <c r="K8" s="13" t="n">
        <v>1</v>
      </c>
      <c r="L8" s="13" t="n">
        <v>0</v>
      </c>
      <c r="M8" s="13" t="n">
        <v>0</v>
      </c>
      <c r="N8" s="13" t="n">
        <v>0</v>
      </c>
      <c r="O8" s="13" t="n">
        <v>0</v>
      </c>
      <c r="P8" s="13" t="n">
        <v>1</v>
      </c>
      <c r="Q8" s="13" t="n">
        <v>0</v>
      </c>
      <c r="R8" s="13" t="n">
        <v>0</v>
      </c>
      <c r="W8" s="8" t="s">
        <v>246</v>
      </c>
      <c r="X8" s="8" t="s">
        <v>61</v>
      </c>
      <c r="Y8" s="8" t="s">
        <v>62</v>
      </c>
      <c r="Z8" s="8" t="s">
        <v>50</v>
      </c>
      <c r="AA8" s="8" t="s">
        <v>51</v>
      </c>
    </row>
    <row r="9" customFormat="false" ht="15" hidden="false" customHeight="false" outlineLevel="0" collapsed="false">
      <c r="A9" s="18" t="n">
        <v>1</v>
      </c>
      <c r="B9" s="13" t="n">
        <f aca="false">B8*Declarations!$B$29+C8*Declarations!$B$30+D8*Declarations!$B$31+E8*Declarations!$B$32</f>
        <v>0.95</v>
      </c>
      <c r="C9" s="13" t="n">
        <f aca="false">B8*Declarations!$C$29+C8*Declarations!$C$30+D8*Declarations!$C$31+E8*Declarations!$C$32</f>
        <v>0</v>
      </c>
      <c r="D9" s="13" t="n">
        <f aca="false">B8*Declarations!$D$29+C8*Declarations!$D$30+D8*Declarations!$D$31+E8*Declarations!$D$32</f>
        <v>0.04</v>
      </c>
      <c r="E9" s="13" t="n">
        <f aca="false">B8*Declarations!$E$29+C8*Declarations!$E$30+D8*Declarations!$E$31+E8*Declarations!$E$32</f>
        <v>0</v>
      </c>
      <c r="F9" s="13" t="n">
        <f aca="false">F8*Declarations!$B$29+G8*Declarations!$B$30+H8*Declarations!$B$31+I8*Declarations!$B$32</f>
        <v>0</v>
      </c>
      <c r="G9" s="13" t="n">
        <f aca="false">F8*Declarations!$C$29+G8*Declarations!$C$30+H8*Declarations!$C$31+I8*Declarations!$C$32</f>
        <v>0.9</v>
      </c>
      <c r="H9" s="13" t="n">
        <f aca="false">F8*Declarations!$D$29+G8*Declarations!$D$30+H8*Declarations!$D$31+I8*Declarations!$D$32</f>
        <v>0</v>
      </c>
      <c r="I9" s="13" t="n">
        <f aca="false">F8*Declarations!$E$29+G8*Declarations!$E$30+H8*Declarations!$E$31+I8*Declarations!$E$32</f>
        <v>0</v>
      </c>
      <c r="K9" s="13" t="n">
        <f aca="false">K8*Declarations!$B$29+L8*Declarations!$B$30+M8*Declarations!$B$31+N8*Declarations!$B$32</f>
        <v>0.95</v>
      </c>
      <c r="L9" s="13" t="n">
        <f aca="false">K8*Declarations!$C$29+L8*Declarations!$C$30+M8*Declarations!$C$31+N8*Declarations!$C$32</f>
        <v>0</v>
      </c>
      <c r="M9" s="13" t="n">
        <f aca="false">K8*Declarations!$D$29+L8*Declarations!$D$30+M8*Declarations!$D$31+N8*Declarations!$D$32</f>
        <v>0.04</v>
      </c>
      <c r="N9" s="13" t="n">
        <f aca="false">K8*Declarations!$E$29+L8*Declarations!$E$30+M8*Tech_to_cap_case2+N8*Declarations!$E$32</f>
        <v>0</v>
      </c>
      <c r="O9" s="13" t="n">
        <f aca="false">O8*Declarations!$B$29+P8*Declarations!$B$30+Q8*Declarations!$B$31+R8*Declarations!$B$32</f>
        <v>0</v>
      </c>
      <c r="P9" s="13" t="n">
        <f aca="false">O8*Declarations!$C$29+P8*Declarations!$C$30+Q8*Declarations!$C$31+R8*Declarations!$C$32</f>
        <v>0.9</v>
      </c>
      <c r="Q9" s="13" t="n">
        <f aca="false">O8*Declarations!$D$29+P8*Declarations!$D$30+Q8*Declarations!$D$31+R8*Declarations!$D$32</f>
        <v>0</v>
      </c>
      <c r="R9" s="13" t="n">
        <f aca="false">O8*Declarations!$E$29+P8*Declarations!$E$30+Q8*Tech_to_cap_case2+R8*Declarations!$E$32</f>
        <v>0</v>
      </c>
      <c r="X9" s="13" t="n">
        <f aca="false">B8</f>
        <v>1</v>
      </c>
      <c r="Y9" s="13" t="n">
        <f aca="false">C8</f>
        <v>0</v>
      </c>
      <c r="Z9" s="13" t="n">
        <f aca="false">D8</f>
        <v>0</v>
      </c>
      <c r="AA9" s="13" t="n">
        <f aca="false">E8</f>
        <v>0</v>
      </c>
    </row>
    <row r="10" customFormat="false" ht="15" hidden="false" customHeight="false" outlineLevel="0" collapsed="false">
      <c r="A10" s="18" t="n">
        <v>2</v>
      </c>
      <c r="B10" s="13" t="n">
        <f aca="false">B9*Declarations!$B$29+C9*Declarations!$B$30+D9*Declarations!$B$31+E9*Declarations!$B$32</f>
        <v>0.9025</v>
      </c>
      <c r="C10" s="13" t="n">
        <f aca="false">B9*Declarations!$C$29+C9*Declarations!$C$30+D9*Declarations!$C$31+E9*Declarations!$C$32</f>
        <v>0</v>
      </c>
      <c r="D10" s="13" t="n">
        <f aca="false">B9*Declarations!$D$29+C9*Declarations!$D$30+D9*Declarations!$D$31+E9*Declarations!$D$32</f>
        <v>0.074</v>
      </c>
      <c r="E10" s="13" t="n">
        <f aca="false">B9*Declarations!$E$29+C9*Declarations!$E$30+D9*Declarations!$E$31+E9*Declarations!$E$32</f>
        <v>0.002</v>
      </c>
      <c r="F10" s="13" t="n">
        <f aca="false">F9*Declarations!$B$29+G9*Declarations!$B$30+H9*Declarations!$B$31+I9*Declarations!$B$32</f>
        <v>0</v>
      </c>
      <c r="G10" s="13" t="n">
        <f aca="false">F9*Declarations!$C$29+G9*Declarations!$C$30+H9*Declarations!$C$31+I9*Declarations!$C$32</f>
        <v>0.81</v>
      </c>
      <c r="H10" s="13" t="n">
        <f aca="false">F9*Declarations!$D$29+G9*Declarations!$D$30+H9*Declarations!$D$31+I9*Declarations!$D$32</f>
        <v>0</v>
      </c>
      <c r="I10" s="13" t="n">
        <f aca="false">F9*Declarations!$E$29+G9*Declarations!$E$30+H9*Declarations!$E$31+I9*Declarations!$E$32</f>
        <v>0</v>
      </c>
      <c r="K10" s="13" t="n">
        <f aca="false">K9*Declarations!$B$29+L9*Declarations!$B$30+M9*Declarations!$B$31+N9*Declarations!$B$32</f>
        <v>0.9025</v>
      </c>
      <c r="L10" s="13" t="n">
        <f aca="false">K9*Declarations!$C$29+L9*Declarations!$C$30+M9*Declarations!$C$31+N9*Declarations!$C$32</f>
        <v>0</v>
      </c>
      <c r="M10" s="13" t="n">
        <f aca="false">K9*Declarations!$D$29+L9*Declarations!$D$30+M9*Declarations!$D$31+N9*Declarations!$D$32</f>
        <v>0.074</v>
      </c>
      <c r="N10" s="13" t="n">
        <f aca="false">K9*Declarations!$E$29+L9*Declarations!$E$30+M9*Tech_to_cap_case2+N9*Declarations!$E$32</f>
        <v>0</v>
      </c>
      <c r="O10" s="13" t="n">
        <f aca="false">O9*Declarations!$B$29+P9*Declarations!$B$30+Q9*Declarations!$B$31+R9*Declarations!$B$32</f>
        <v>0</v>
      </c>
      <c r="P10" s="13" t="n">
        <f aca="false">O9*Declarations!$C$29+P9*Declarations!$C$30+Q9*Declarations!$C$31+R9*Declarations!$C$32</f>
        <v>0.81</v>
      </c>
      <c r="Q10" s="13" t="n">
        <f aca="false">O9*Declarations!$D$29+P9*Declarations!$D$30+Q9*Declarations!$D$31+R9*Declarations!$D$32</f>
        <v>0</v>
      </c>
      <c r="R10" s="13" t="n">
        <f aca="false">O9*Declarations!$E$29+P9*Declarations!$E$30+Q9*Tech_to_cap_case2+R9*Declarations!$E$32</f>
        <v>0</v>
      </c>
      <c r="X10" s="13" t="n">
        <f aca="false">B9</f>
        <v>0.95</v>
      </c>
      <c r="Y10" s="13" t="n">
        <f aca="false">C9</f>
        <v>0</v>
      </c>
      <c r="Z10" s="13" t="n">
        <f aca="false">D9</f>
        <v>0.04</v>
      </c>
      <c r="AA10" s="13" t="n">
        <f aca="false">E9</f>
        <v>0</v>
      </c>
    </row>
    <row r="11" customFormat="false" ht="15" hidden="false" customHeight="false" outlineLevel="0" collapsed="false">
      <c r="A11" s="18" t="n">
        <v>3</v>
      </c>
      <c r="B11" s="13" t="n">
        <f aca="false">B10*Declarations!$B$29+C10*Declarations!$B$30+D10*Declarations!$B$31+E10*Declarations!$B$32</f>
        <v>0.857375</v>
      </c>
      <c r="C11" s="13" t="n">
        <f aca="false">B10*Declarations!$C$29+C10*Declarations!$C$30+D10*Declarations!$C$31+E10*Declarations!$C$32</f>
        <v>0</v>
      </c>
      <c r="D11" s="13" t="n">
        <f aca="false">B10*Declarations!$D$29+C10*Declarations!$D$30+D10*Declarations!$D$31+E10*Declarations!$D$32</f>
        <v>0.1027</v>
      </c>
      <c r="E11" s="13" t="n">
        <f aca="false">B10*Declarations!$E$29+C10*Declarations!$E$30+D10*Declarations!$E$31+E10*Declarations!$E$32</f>
        <v>0.00554</v>
      </c>
      <c r="F11" s="13" t="n">
        <f aca="false">F10*Declarations!$B$29+G10*Declarations!$B$30+H10*Declarations!$B$31+I10*Declarations!$B$32</f>
        <v>0</v>
      </c>
      <c r="G11" s="13" t="n">
        <f aca="false">F10*Declarations!$C$29+G10*Declarations!$C$30+H10*Declarations!$C$31+I10*Declarations!$C$32</f>
        <v>0.729</v>
      </c>
      <c r="H11" s="13" t="n">
        <f aca="false">F10*Declarations!$D$29+G10*Declarations!$D$30+H10*Declarations!$D$31+I10*Declarations!$D$32</f>
        <v>0</v>
      </c>
      <c r="I11" s="13" t="n">
        <f aca="false">F10*Declarations!$E$29+G10*Declarations!$E$30+H10*Declarations!$E$31+I10*Declarations!$E$32</f>
        <v>0</v>
      </c>
      <c r="K11" s="13" t="n">
        <f aca="false">K10*Declarations!$B$29+L10*Declarations!$B$30+M10*Declarations!$B$31+N10*Declarations!$B$32</f>
        <v>0.857375</v>
      </c>
      <c r="L11" s="13" t="n">
        <f aca="false">K10*Declarations!$C$29+L10*Declarations!$C$30+M10*Declarations!$C$31+N10*Declarations!$C$32</f>
        <v>0</v>
      </c>
      <c r="M11" s="13" t="n">
        <f aca="false">K10*Declarations!$D$29+L10*Declarations!$D$30+M10*Declarations!$D$31+N10*Declarations!$D$32</f>
        <v>0.1027</v>
      </c>
      <c r="N11" s="13" t="n">
        <f aca="false">K10*Declarations!$E$29+L10*Declarations!$E$30+M10*Tech_to_cap_case2+N10*Declarations!$E$32</f>
        <v>0</v>
      </c>
      <c r="O11" s="13" t="n">
        <f aca="false">O10*Declarations!$B$29+P10*Declarations!$B$30+Q10*Declarations!$B$31+R10*Declarations!$B$32</f>
        <v>0</v>
      </c>
      <c r="P11" s="13" t="n">
        <f aca="false">O10*Declarations!$C$29+P10*Declarations!$C$30+Q10*Declarations!$C$31+R10*Declarations!$C$32</f>
        <v>0.729</v>
      </c>
      <c r="Q11" s="13" t="n">
        <f aca="false">O10*Declarations!$D$29+P10*Declarations!$D$30+Q10*Declarations!$D$31+R10*Declarations!$D$32</f>
        <v>0</v>
      </c>
      <c r="R11" s="13" t="n">
        <f aca="false">O10*Declarations!$E$29+P10*Declarations!$E$30+Q10*Tech_to_cap_case2+R10*Declarations!$E$32</f>
        <v>0</v>
      </c>
      <c r="X11" s="13" t="n">
        <f aca="false">B10</f>
        <v>0.9025</v>
      </c>
      <c r="Y11" s="13" t="n">
        <f aca="false">C10</f>
        <v>0</v>
      </c>
      <c r="Z11" s="13" t="n">
        <f aca="false">D10</f>
        <v>0.074</v>
      </c>
      <c r="AA11" s="13" t="n">
        <f aca="false">E10</f>
        <v>0.002</v>
      </c>
    </row>
    <row r="12" customFormat="false" ht="15" hidden="false" customHeight="false" outlineLevel="0" collapsed="false">
      <c r="A12" s="18" t="n">
        <v>4</v>
      </c>
      <c r="B12" s="13" t="n">
        <f aca="false">B11*Declarations!$B$29+C11*Declarations!$B$30+D11*Declarations!$B$31+E11*Declarations!$B$32</f>
        <v>0.81450625</v>
      </c>
      <c r="C12" s="13" t="n">
        <f aca="false">B11*Declarations!$C$29+C11*Declarations!$C$30+D11*Declarations!$C$31+E11*Declarations!$C$32</f>
        <v>0</v>
      </c>
      <c r="D12" s="13" t="n">
        <f aca="false">B11*Declarations!$D$29+C11*Declarations!$D$30+D11*Declarations!$D$31+E11*Declarations!$D$32</f>
        <v>0.126725</v>
      </c>
      <c r="E12" s="13" t="n">
        <f aca="false">B11*Declarations!$E$29+C11*Declarations!$E$30+D11*Declarations!$E$31+E11*Declarations!$E$32</f>
        <v>0.0102318</v>
      </c>
      <c r="F12" s="13" t="n">
        <f aca="false">F11*Declarations!$B$29+G11*Declarations!$B$30+H11*Declarations!$B$31+I11*Declarations!$B$32</f>
        <v>0</v>
      </c>
      <c r="G12" s="13" t="n">
        <f aca="false">F11*Declarations!$C$29+G11*Declarations!$C$30+H11*Declarations!$C$31+I11*Declarations!$C$32</f>
        <v>0.6561</v>
      </c>
      <c r="H12" s="13" t="n">
        <f aca="false">F11*Declarations!$D$29+G11*Declarations!$D$30+H11*Declarations!$D$31+I11*Declarations!$D$32</f>
        <v>0</v>
      </c>
      <c r="I12" s="13" t="n">
        <f aca="false">F11*Declarations!$E$29+G11*Declarations!$E$30+H11*Declarations!$E$31+I11*Declarations!$E$32</f>
        <v>0</v>
      </c>
      <c r="K12" s="13" t="n">
        <f aca="false">K11*Declarations!$B$29+L11*Declarations!$B$30+M11*Declarations!$B$31+N11*Declarations!$B$32</f>
        <v>0.81450625</v>
      </c>
      <c r="L12" s="13" t="n">
        <f aca="false">K11*Declarations!$C$29+L11*Declarations!$C$30+M11*Declarations!$C$31+N11*Declarations!$C$32</f>
        <v>0</v>
      </c>
      <c r="M12" s="13" t="n">
        <f aca="false">K11*Declarations!$D$29+L11*Declarations!$D$30+M11*Declarations!$D$31+N11*Declarations!$D$32</f>
        <v>0.126725</v>
      </c>
      <c r="N12" s="13" t="n">
        <f aca="false">K11*Declarations!$E$29+L11*Declarations!$E$30+M11*Tech_to_cap_case2+N11*Declarations!$E$32</f>
        <v>0</v>
      </c>
      <c r="O12" s="13" t="n">
        <f aca="false">O11*Declarations!$B$29+P11*Declarations!$B$30+Q11*Declarations!$B$31+R11*Declarations!$B$32</f>
        <v>0</v>
      </c>
      <c r="P12" s="13" t="n">
        <f aca="false">O11*Declarations!$C$29+P11*Declarations!$C$30+Q11*Declarations!$C$31+R11*Declarations!$C$32</f>
        <v>0.6561</v>
      </c>
      <c r="Q12" s="13" t="n">
        <f aca="false">O11*Declarations!$D$29+P11*Declarations!$D$30+Q11*Declarations!$D$31+R11*Declarations!$D$32</f>
        <v>0</v>
      </c>
      <c r="R12" s="13" t="n">
        <f aca="false">O11*Declarations!$E$29+P11*Declarations!$E$30+Q11*Tech_to_cap_case2+R11*Declarations!$E$32</f>
        <v>0</v>
      </c>
      <c r="X12" s="13" t="n">
        <f aca="false">F8</f>
        <v>0</v>
      </c>
      <c r="Y12" s="13" t="n">
        <f aca="false">G8</f>
        <v>1</v>
      </c>
      <c r="Z12" s="13" t="n">
        <f aca="false">H8</f>
        <v>0</v>
      </c>
      <c r="AA12" s="13" t="n">
        <f aca="false">I8</f>
        <v>0</v>
      </c>
    </row>
    <row r="13" customFormat="false" ht="15" hidden="false" customHeight="false" outlineLevel="0" collapsed="false">
      <c r="A13" s="18" t="n">
        <v>5</v>
      </c>
      <c r="B13" s="13" t="n">
        <f aca="false">B12*Declarations!$B$29+C12*Declarations!$B$30+D12*Declarations!$B$31+E12*Declarations!$B$32</f>
        <v>0.7737809375</v>
      </c>
      <c r="C13" s="13" t="n">
        <f aca="false">B12*Declarations!$C$29+C12*Declarations!$C$30+D12*Declarations!$C$31+E12*Declarations!$C$32</f>
        <v>0</v>
      </c>
      <c r="D13" s="13" t="n">
        <f aca="false">B12*Declarations!$D$29+C12*Declarations!$D$30+D12*Declarations!$D$31+E12*Declarations!$D$32</f>
        <v>0.14663275</v>
      </c>
      <c r="E13" s="13" t="n">
        <f aca="false">B12*Declarations!$E$29+C12*Declarations!$E$30+D12*Declarations!$E$31+E12*Declarations!$E$32</f>
        <v>0.015749506</v>
      </c>
      <c r="F13" s="13" t="n">
        <f aca="false">F12*Declarations!$B$29+G12*Declarations!$B$30+H12*Declarations!$B$31+I12*Declarations!$B$32</f>
        <v>0</v>
      </c>
      <c r="G13" s="13" t="n">
        <f aca="false">F12*Declarations!$C$29+G12*Declarations!$C$30+H12*Declarations!$C$31+I12*Declarations!$C$32</f>
        <v>0.59049</v>
      </c>
      <c r="H13" s="13" t="n">
        <f aca="false">F12*Declarations!$D$29+G12*Declarations!$D$30+H12*Declarations!$D$31+I12*Declarations!$D$32</f>
        <v>0</v>
      </c>
      <c r="I13" s="13" t="n">
        <f aca="false">F12*Declarations!$E$29+G12*Declarations!$E$30+H12*Declarations!$E$31+I12*Declarations!$E$32</f>
        <v>0</v>
      </c>
      <c r="K13" s="13" t="n">
        <f aca="false">K12*Declarations!$B$29+L12*Declarations!$B$30+M12*Declarations!$B$31+N12*Declarations!$B$32</f>
        <v>0.7737809375</v>
      </c>
      <c r="L13" s="13" t="n">
        <f aca="false">K12*Declarations!$C$29+L12*Declarations!$C$30+M12*Declarations!$C$31+N12*Declarations!$C$32</f>
        <v>0</v>
      </c>
      <c r="M13" s="13" t="n">
        <f aca="false">K12*Declarations!$D$29+L12*Declarations!$D$30+M12*Declarations!$D$31+N12*Declarations!$D$32</f>
        <v>0.14663275</v>
      </c>
      <c r="N13" s="13" t="n">
        <f aca="false">K12*Declarations!$E$29+L12*Declarations!$E$30+M12*Tech_to_cap_case2+N12*Declarations!$E$32</f>
        <v>0</v>
      </c>
      <c r="O13" s="13" t="n">
        <f aca="false">O12*Declarations!$B$29+P12*Declarations!$B$30+Q12*Declarations!$B$31+R12*Declarations!$B$32</f>
        <v>0</v>
      </c>
      <c r="P13" s="13" t="n">
        <f aca="false">O12*Declarations!$C$29+P12*Declarations!$C$30+Q12*Declarations!$C$31+R12*Declarations!$C$32</f>
        <v>0.59049</v>
      </c>
      <c r="Q13" s="13" t="n">
        <f aca="false">O12*Declarations!$D$29+P12*Declarations!$D$30+Q12*Declarations!$D$31+R12*Declarations!$D$32</f>
        <v>0</v>
      </c>
      <c r="R13" s="13" t="n">
        <f aca="false">O12*Declarations!$E$29+P12*Declarations!$E$30+Q12*Tech_to_cap_case2+R12*Declarations!$E$32</f>
        <v>0</v>
      </c>
      <c r="W13" s="2" t="s">
        <v>247</v>
      </c>
      <c r="X13" s="21" t="n">
        <f aca="false">MDETERM(X9:AA12)</f>
        <v>8E-005</v>
      </c>
    </row>
    <row r="14" customFormat="false" ht="15" hidden="false" customHeight="false" outlineLevel="0" collapsed="false">
      <c r="A14" s="18" t="n">
        <v>6</v>
      </c>
      <c r="B14" s="13" t="n">
        <f aca="false">B13*Declarations!$B$29+C13*Declarations!$B$30+D13*Declarations!$B$31+E13*Declarations!$B$32</f>
        <v>0.735091890625</v>
      </c>
      <c r="C14" s="13" t="n">
        <f aca="false">B13*Declarations!$C$29+C13*Declarations!$C$30+D13*Declarations!$C$31+E13*Declarations!$C$32</f>
        <v>0</v>
      </c>
      <c r="D14" s="13" t="n">
        <f aca="false">B13*Declarations!$D$29+C13*Declarations!$D$30+D13*Declarations!$D$31+E13*Declarations!$D$32</f>
        <v>0.1629207125</v>
      </c>
      <c r="E14" s="13" t="n">
        <f aca="false">B13*Declarations!$E$29+C13*Declarations!$E$30+D13*Declarations!$E$31+E13*Declarations!$E$32</f>
        <v>0.02182118302</v>
      </c>
      <c r="F14" s="13" t="n">
        <f aca="false">F13*Declarations!$B$29+G13*Declarations!$B$30+H13*Declarations!$B$31+I13*Declarations!$B$32</f>
        <v>0</v>
      </c>
      <c r="G14" s="13" t="n">
        <f aca="false">F13*Declarations!$C$29+G13*Declarations!$C$30+H13*Declarations!$C$31+I13*Declarations!$C$32</f>
        <v>0.531441</v>
      </c>
      <c r="H14" s="13" t="n">
        <f aca="false">F13*Declarations!$D$29+G13*Declarations!$D$30+H13*Declarations!$D$31+I13*Declarations!$D$32</f>
        <v>0</v>
      </c>
      <c r="I14" s="13" t="n">
        <f aca="false">F13*Declarations!$E$29+G13*Declarations!$E$30+H13*Declarations!$E$31+I13*Declarations!$E$32</f>
        <v>0</v>
      </c>
      <c r="K14" s="13" t="n">
        <f aca="false">K13*Declarations!$B$29+L13*Declarations!$B$30+M13*Declarations!$B$31+N13*Declarations!$B$32</f>
        <v>0.735091890625</v>
      </c>
      <c r="L14" s="13" t="n">
        <f aca="false">K13*Declarations!$C$29+L13*Declarations!$C$30+M13*Declarations!$C$31+N13*Declarations!$C$32</f>
        <v>0</v>
      </c>
      <c r="M14" s="13" t="n">
        <f aca="false">K13*Declarations!$D$29+L13*Declarations!$D$30+M13*Declarations!$D$31+N13*Declarations!$D$32</f>
        <v>0.1629207125</v>
      </c>
      <c r="N14" s="13" t="n">
        <f aca="false">K13*Declarations!$E$29+L13*Declarations!$E$30+M13*Tech_to_cap_case2+N13*Declarations!$E$32</f>
        <v>0</v>
      </c>
      <c r="O14" s="13" t="n">
        <f aca="false">O13*Declarations!$B$29+P13*Declarations!$B$30+Q13*Declarations!$B$31+R13*Declarations!$B$32</f>
        <v>0</v>
      </c>
      <c r="P14" s="13" t="n">
        <f aca="false">O13*Declarations!$C$29+P13*Declarations!$C$30+Q13*Declarations!$C$31+R13*Declarations!$C$32</f>
        <v>0.531441</v>
      </c>
      <c r="Q14" s="13" t="n">
        <f aca="false">O13*Declarations!$D$29+P13*Declarations!$D$30+Q13*Declarations!$D$31+R13*Declarations!$D$32</f>
        <v>0</v>
      </c>
      <c r="R14" s="13" t="n">
        <f aca="false">O13*Declarations!$E$29+P13*Declarations!$E$30+Q13*Tech_to_cap_case2+R13*Declarations!$E$32</f>
        <v>0</v>
      </c>
    </row>
    <row r="15" customFormat="false" ht="15" hidden="false" customHeight="false" outlineLevel="0" collapsed="false">
      <c r="A15" s="18" t="n">
        <v>7</v>
      </c>
      <c r="B15" s="13" t="n">
        <f aca="false">B14*Declarations!$B$29+C14*Declarations!$B$30+D14*Declarations!$B$31+E14*Declarations!$B$32</f>
        <v>0.69833729609375</v>
      </c>
      <c r="C15" s="13" t="n">
        <f aca="false">B14*Declarations!$C$29+C14*Declarations!$C$30+D14*Declarations!$C$31+E14*Declarations!$C$32</f>
        <v>0</v>
      </c>
      <c r="D15" s="13" t="n">
        <f aca="false">B14*Declarations!$D$29+C14*Declarations!$D$30+D14*Declarations!$D$31+E14*Declarations!$D$32</f>
        <v>0.176032316875</v>
      </c>
      <c r="E15" s="13" t="n">
        <f aca="false">B14*Declarations!$E$29+C14*Declarations!$E$30+D14*Declarations!$E$31+E14*Declarations!$E$32</f>
        <v>0.0282215240034</v>
      </c>
      <c r="F15" s="13" t="n">
        <f aca="false">F14*Declarations!$B$29+G14*Declarations!$B$30+H14*Declarations!$B$31+I14*Declarations!$B$32</f>
        <v>0</v>
      </c>
      <c r="G15" s="13" t="n">
        <f aca="false">F14*Declarations!$C$29+G14*Declarations!$C$30+H14*Declarations!$C$31+I14*Declarations!$C$32</f>
        <v>0.4782969</v>
      </c>
      <c r="H15" s="13" t="n">
        <f aca="false">F14*Declarations!$D$29+G14*Declarations!$D$30+H14*Declarations!$D$31+I14*Declarations!$D$32</f>
        <v>0</v>
      </c>
      <c r="I15" s="13" t="n">
        <f aca="false">F14*Declarations!$E$29+G14*Declarations!$E$30+H14*Declarations!$E$31+I14*Declarations!$E$32</f>
        <v>0</v>
      </c>
      <c r="K15" s="13" t="n">
        <f aca="false">K14*Declarations!$B$29+L14*Declarations!$B$30+M14*Declarations!$B$31+N14*Declarations!$B$32</f>
        <v>0.69833729609375</v>
      </c>
      <c r="L15" s="13" t="n">
        <f aca="false">K14*Declarations!$C$29+L14*Declarations!$C$30+M14*Declarations!$C$31+N14*Declarations!$C$32</f>
        <v>0</v>
      </c>
      <c r="M15" s="13" t="n">
        <f aca="false">K14*Declarations!$D$29+L14*Declarations!$D$30+M14*Declarations!$D$31+N14*Declarations!$D$32</f>
        <v>0.176032316875</v>
      </c>
      <c r="N15" s="13" t="n">
        <f aca="false">K14*Declarations!$E$29+L14*Declarations!$E$30+M14*Tech_to_cap_case2+N14*Declarations!$E$32</f>
        <v>0</v>
      </c>
      <c r="O15" s="13" t="n">
        <f aca="false">O14*Declarations!$B$29+P14*Declarations!$B$30+Q14*Declarations!$B$31+R14*Declarations!$B$32</f>
        <v>0</v>
      </c>
      <c r="P15" s="13" t="n">
        <f aca="false">O14*Declarations!$C$29+P14*Declarations!$C$30+Q14*Declarations!$C$31+R14*Declarations!$C$32</f>
        <v>0.4782969</v>
      </c>
      <c r="Q15" s="13" t="n">
        <f aca="false">O14*Declarations!$D$29+P14*Declarations!$D$30+Q14*Declarations!$D$31+R14*Declarations!$D$32</f>
        <v>0</v>
      </c>
      <c r="R15" s="13" t="n">
        <f aca="false">O14*Declarations!$E$29+P14*Declarations!$E$30+Q14*Tech_to_cap_case2+R14*Declarations!$E$32</f>
        <v>0</v>
      </c>
      <c r="W15" s="8" t="s">
        <v>248</v>
      </c>
      <c r="X15" s="8" t="s">
        <v>61</v>
      </c>
      <c r="Y15" s="8" t="s">
        <v>62</v>
      </c>
      <c r="Z15" s="8" t="s">
        <v>50</v>
      </c>
    </row>
    <row r="16" customFormat="false" ht="15" hidden="false" customHeight="false" outlineLevel="0" collapsed="false">
      <c r="A16" s="18" t="n">
        <v>8</v>
      </c>
      <c r="B16" s="13" t="n">
        <f aca="false">B15*Declarations!$B$29+C15*Declarations!$B$30+D15*Declarations!$B$31+E15*Declarations!$B$32</f>
        <v>0.663420431289062</v>
      </c>
      <c r="C16" s="13" t="n">
        <f aca="false">B15*Declarations!$C$29+C15*Declarations!$C$30+D15*Declarations!$C$31+E15*Declarations!$C$32</f>
        <v>0</v>
      </c>
      <c r="D16" s="13" t="n">
        <f aca="false">B15*Declarations!$D$29+C15*Declarations!$D$30+D15*Declarations!$D$31+E15*Declarations!$D$32</f>
        <v>0.18636257703125</v>
      </c>
      <c r="E16" s="13" t="n">
        <f aca="false">B15*Declarations!$E$29+C15*Declarations!$E$30+D15*Declarations!$E$31+E15*Declarations!$E$32</f>
        <v>0.034765417926878</v>
      </c>
      <c r="F16" s="13" t="n">
        <f aca="false">F15*Declarations!$B$29+G15*Declarations!$B$30+H15*Declarations!$B$31+I15*Declarations!$B$32</f>
        <v>0</v>
      </c>
      <c r="G16" s="13" t="n">
        <f aca="false">F15*Declarations!$C$29+G15*Declarations!$C$30+H15*Declarations!$C$31+I15*Declarations!$C$32</f>
        <v>0.43046721</v>
      </c>
      <c r="H16" s="13" t="n">
        <f aca="false">F15*Declarations!$D$29+G15*Declarations!$D$30+H15*Declarations!$D$31+I15*Declarations!$D$32</f>
        <v>0</v>
      </c>
      <c r="I16" s="13" t="n">
        <f aca="false">F15*Declarations!$E$29+G15*Declarations!$E$30+H15*Declarations!$E$31+I15*Declarations!$E$32</f>
        <v>0</v>
      </c>
      <c r="K16" s="13" t="n">
        <f aca="false">K15*Declarations!$B$29+L15*Declarations!$B$30+M15*Declarations!$B$31+N15*Declarations!$B$32</f>
        <v>0.663420431289062</v>
      </c>
      <c r="L16" s="13" t="n">
        <f aca="false">K15*Declarations!$C$29+L15*Declarations!$C$30+M15*Declarations!$C$31+N15*Declarations!$C$32</f>
        <v>0</v>
      </c>
      <c r="M16" s="13" t="n">
        <f aca="false">K15*Declarations!$D$29+L15*Declarations!$D$30+M15*Declarations!$D$31+N15*Declarations!$D$32</f>
        <v>0.18636257703125</v>
      </c>
      <c r="N16" s="13" t="n">
        <f aca="false">K15*Declarations!$E$29+L15*Declarations!$E$30+M15*Tech_to_cap_case2+N15*Declarations!$E$32</f>
        <v>0</v>
      </c>
      <c r="O16" s="13" t="n">
        <f aca="false">O15*Declarations!$B$29+P15*Declarations!$B$30+Q15*Declarations!$B$31+R15*Declarations!$B$32</f>
        <v>0</v>
      </c>
      <c r="P16" s="13" t="n">
        <f aca="false">O15*Declarations!$C$29+P15*Declarations!$C$30+Q15*Declarations!$C$31+R15*Declarations!$C$32</f>
        <v>0.43046721</v>
      </c>
      <c r="Q16" s="13" t="n">
        <f aca="false">O15*Declarations!$D$29+P15*Declarations!$D$30+Q15*Declarations!$D$31+R15*Declarations!$D$32</f>
        <v>0</v>
      </c>
      <c r="R16" s="13" t="n">
        <f aca="false">O15*Declarations!$E$29+P15*Declarations!$E$30+Q15*Tech_to_cap_case2+R15*Declarations!$E$32</f>
        <v>0</v>
      </c>
      <c r="X16" s="13" t="n">
        <f aca="false">K8</f>
        <v>1</v>
      </c>
      <c r="Y16" s="13" t="n">
        <f aca="false">L8</f>
        <v>0</v>
      </c>
      <c r="Z16" s="13" t="n">
        <f aca="false">M8</f>
        <v>0</v>
      </c>
    </row>
    <row r="17" customFormat="false" ht="15" hidden="false" customHeight="false" outlineLevel="0" collapsed="false">
      <c r="A17" s="18" t="n">
        <v>9</v>
      </c>
      <c r="B17" s="13" t="n">
        <f aca="false">B16*Declarations!$B$29+C16*Declarations!$B$30+D16*Declarations!$B$31+E16*Declarations!$B$32</f>
        <v>0.630249409724609</v>
      </c>
      <c r="C17" s="13" t="n">
        <f aca="false">B16*Declarations!$C$29+C16*Declarations!$C$30+D16*Declarations!$C$31+E16*Declarations!$C$32</f>
        <v>0</v>
      </c>
      <c r="D17" s="13" t="n">
        <f aca="false">B16*Declarations!$D$29+C16*Declarations!$D$30+D16*Declarations!$D$31+E16*Declarations!$D$32</f>
        <v>0.194263136579688</v>
      </c>
      <c r="E17" s="13" t="n">
        <f aca="false">B16*Declarations!$E$29+C16*Declarations!$E$30+D16*Declarations!$E$31+E16*Declarations!$E$32</f>
        <v>0.0413023133442903</v>
      </c>
      <c r="F17" s="13" t="n">
        <f aca="false">F16*Declarations!$B$29+G16*Declarations!$B$30+H16*Declarations!$B$31+I16*Declarations!$B$32</f>
        <v>0</v>
      </c>
      <c r="G17" s="13" t="n">
        <f aca="false">F16*Declarations!$C$29+G16*Declarations!$C$30+H16*Declarations!$C$31+I16*Declarations!$C$32</f>
        <v>0.387420489</v>
      </c>
      <c r="H17" s="13" t="n">
        <f aca="false">F16*Declarations!$D$29+G16*Declarations!$D$30+H16*Declarations!$D$31+I16*Declarations!$D$32</f>
        <v>0</v>
      </c>
      <c r="I17" s="13" t="n">
        <f aca="false">F16*Declarations!$E$29+G16*Declarations!$E$30+H16*Declarations!$E$31+I16*Declarations!$E$32</f>
        <v>0</v>
      </c>
      <c r="K17" s="13" t="n">
        <f aca="false">K16*Declarations!$B$29+L16*Declarations!$B$30+M16*Declarations!$B$31+N16*Declarations!$B$32</f>
        <v>0.630249409724609</v>
      </c>
      <c r="L17" s="13" t="n">
        <f aca="false">K16*Declarations!$C$29+L16*Declarations!$C$30+M16*Declarations!$C$31+N16*Declarations!$C$32</f>
        <v>0</v>
      </c>
      <c r="M17" s="13" t="n">
        <f aca="false">K16*Declarations!$D$29+L16*Declarations!$D$30+M16*Declarations!$D$31+N16*Declarations!$D$32</f>
        <v>0.194263136579688</v>
      </c>
      <c r="N17" s="13" t="n">
        <f aca="false">K16*Declarations!$E$29+L16*Declarations!$E$30+M16*Tech_to_cap_case2+N16*Declarations!$E$32</f>
        <v>0</v>
      </c>
      <c r="O17" s="13" t="n">
        <f aca="false">O16*Declarations!$B$29+P16*Declarations!$B$30+Q16*Declarations!$B$31+R16*Declarations!$B$32</f>
        <v>0</v>
      </c>
      <c r="P17" s="13" t="n">
        <f aca="false">O16*Declarations!$C$29+P16*Declarations!$C$30+Q16*Declarations!$C$31+R16*Declarations!$C$32</f>
        <v>0.387420489</v>
      </c>
      <c r="Q17" s="13" t="n">
        <f aca="false">O16*Declarations!$D$29+P16*Declarations!$D$30+Q16*Declarations!$D$31+R16*Declarations!$D$32</f>
        <v>0</v>
      </c>
      <c r="R17" s="13" t="n">
        <f aca="false">O16*Declarations!$E$29+P16*Declarations!$E$30+Q16*Tech_to_cap_case2+R16*Declarations!$E$32</f>
        <v>0</v>
      </c>
      <c r="X17" s="13" t="n">
        <f aca="false">K9</f>
        <v>0.95</v>
      </c>
      <c r="Y17" s="13" t="n">
        <f aca="false">L9</f>
        <v>0</v>
      </c>
      <c r="Z17" s="13" t="n">
        <f aca="false">M9</f>
        <v>0.04</v>
      </c>
    </row>
    <row r="18" customFormat="false" ht="15" hidden="false" customHeight="false" outlineLevel="0" collapsed="false">
      <c r="A18" s="18" t="n">
        <v>10</v>
      </c>
      <c r="B18" s="13" t="n">
        <f aca="false">B17*Declarations!$B$29+C17*Declarations!$B$30+D17*Declarations!$B$31+E17*Declarations!$B$32</f>
        <v>0.598736939238379</v>
      </c>
      <c r="C18" s="13" t="n">
        <f aca="false">B17*Declarations!$C$29+C17*Declarations!$C$30+D17*Declarations!$C$31+E17*Declarations!$C$32</f>
        <v>0</v>
      </c>
      <c r="D18" s="13" t="n">
        <f aca="false">B17*Declarations!$D$29+C17*Declarations!$D$30+D17*Declarations!$D$31+E17*Declarations!$D$32</f>
        <v>0.200046799310703</v>
      </c>
      <c r="E18" s="13" t="n">
        <f aca="false">B17*Declarations!$E$29+C17*Declarations!$E$30+D17*Declarations!$E$31+E17*Declarations!$E$32</f>
        <v>0.0477112851057314</v>
      </c>
      <c r="F18" s="13" t="n">
        <f aca="false">F17*Declarations!$B$29+G17*Declarations!$B$30+H17*Declarations!$B$31+I17*Declarations!$B$32</f>
        <v>0</v>
      </c>
      <c r="G18" s="13" t="n">
        <f aca="false">F17*Declarations!$C$29+G17*Declarations!$C$30+H17*Declarations!$C$31+I17*Declarations!$C$32</f>
        <v>0.3486784401</v>
      </c>
      <c r="H18" s="13" t="n">
        <f aca="false">F17*Declarations!$D$29+G17*Declarations!$D$30+H17*Declarations!$D$31+I17*Declarations!$D$32</f>
        <v>0</v>
      </c>
      <c r="I18" s="13" t="n">
        <f aca="false">F17*Declarations!$E$29+G17*Declarations!$E$30+H17*Declarations!$E$31+I17*Declarations!$E$32</f>
        <v>0</v>
      </c>
      <c r="K18" s="13" t="n">
        <f aca="false">K17*Declarations!$B$29+L17*Declarations!$B$30+M17*Declarations!$B$31+N17*Declarations!$B$32</f>
        <v>0.598736939238379</v>
      </c>
      <c r="L18" s="13" t="n">
        <f aca="false">K17*Declarations!$C$29+L17*Declarations!$C$30+M17*Declarations!$C$31+N17*Declarations!$C$32</f>
        <v>0</v>
      </c>
      <c r="M18" s="13" t="n">
        <f aca="false">K17*Declarations!$D$29+L17*Declarations!$D$30+M17*Declarations!$D$31+N17*Declarations!$D$32</f>
        <v>0.200046799310703</v>
      </c>
      <c r="N18" s="13" t="n">
        <f aca="false">K17*Declarations!$E$29+L17*Declarations!$E$30+M17*Tech_to_cap_case2+N17*Declarations!$E$32</f>
        <v>0</v>
      </c>
      <c r="O18" s="13" t="n">
        <f aca="false">O17*Declarations!$B$29+P17*Declarations!$B$30+Q17*Declarations!$B$31+R17*Declarations!$B$32</f>
        <v>0</v>
      </c>
      <c r="P18" s="13" t="n">
        <f aca="false">O17*Declarations!$C$29+P17*Declarations!$C$30+Q17*Declarations!$C$31+R17*Declarations!$C$32</f>
        <v>0.3486784401</v>
      </c>
      <c r="Q18" s="13" t="n">
        <f aca="false">O17*Declarations!$D$29+P17*Declarations!$D$30+Q17*Declarations!$D$31+R17*Declarations!$D$32</f>
        <v>0</v>
      </c>
      <c r="R18" s="13" t="n">
        <f aca="false">O17*Declarations!$E$29+P17*Declarations!$E$30+Q17*Tech_to_cap_case2+R17*Declarations!$E$32</f>
        <v>0</v>
      </c>
      <c r="X18" s="13" t="n">
        <f aca="false">O8</f>
        <v>0</v>
      </c>
      <c r="Y18" s="13" t="n">
        <f aca="false">P8</f>
        <v>1</v>
      </c>
      <c r="Z18" s="13" t="n">
        <f aca="false">Q8</f>
        <v>0</v>
      </c>
    </row>
    <row r="19" customFormat="false" ht="15" hidden="false" customHeight="false" outlineLevel="0" collapsed="false">
      <c r="A19" s="18" t="n">
        <v>11</v>
      </c>
      <c r="B19" s="13" t="n">
        <f aca="false">B18*Declarations!$B$29+C18*Declarations!$B$30+D18*Declarations!$B$31+E18*Declarations!$B$32</f>
        <v>0.56880009227646</v>
      </c>
      <c r="C19" s="13" t="n">
        <f aca="false">B18*Declarations!$C$29+C18*Declarations!$C$30+D18*Declarations!$C$31+E18*Declarations!$C$32</f>
        <v>0</v>
      </c>
      <c r="D19" s="13" t="n">
        <f aca="false">B18*Declarations!$D$29+C18*Declarations!$D$30+D18*Declarations!$D$31+E18*Declarations!$D$32</f>
        <v>0.203991596949168</v>
      </c>
      <c r="E19" s="13" t="n">
        <f aca="false">B18*Declarations!$E$29+C18*Declarations!$E$30+D18*Declarations!$E$31+E18*Declarations!$E$32</f>
        <v>0.0538967222628081</v>
      </c>
      <c r="F19" s="13" t="n">
        <f aca="false">F18*Declarations!$B$29+G18*Declarations!$B$30+H18*Declarations!$B$31+I18*Declarations!$B$32</f>
        <v>0</v>
      </c>
      <c r="G19" s="13" t="n">
        <f aca="false">F18*Declarations!$C$29+G18*Declarations!$C$30+H18*Declarations!$C$31+I18*Declarations!$C$32</f>
        <v>0.31381059609</v>
      </c>
      <c r="H19" s="13" t="n">
        <f aca="false">F18*Declarations!$D$29+G18*Declarations!$D$30+H18*Declarations!$D$31+I18*Declarations!$D$32</f>
        <v>0</v>
      </c>
      <c r="I19" s="13" t="n">
        <f aca="false">F18*Declarations!$E$29+G18*Declarations!$E$30+H18*Declarations!$E$31+I18*Declarations!$E$32</f>
        <v>0</v>
      </c>
      <c r="K19" s="13" t="n">
        <f aca="false">K18*Declarations!$B$29+L18*Declarations!$B$30+M18*Declarations!$B$31+N18*Declarations!$B$32</f>
        <v>0.56880009227646</v>
      </c>
      <c r="L19" s="13" t="n">
        <f aca="false">K18*Declarations!$C$29+L18*Declarations!$C$30+M18*Declarations!$C$31+N18*Declarations!$C$32</f>
        <v>0</v>
      </c>
      <c r="M19" s="13" t="n">
        <f aca="false">K18*Declarations!$D$29+L18*Declarations!$D$30+M18*Declarations!$D$31+N18*Declarations!$D$32</f>
        <v>0.203991596949168</v>
      </c>
      <c r="N19" s="13" t="n">
        <f aca="false">K18*Declarations!$E$29+L18*Declarations!$E$30+M18*Tech_to_cap_case2+N18*Declarations!$E$32</f>
        <v>0</v>
      </c>
      <c r="O19" s="13" t="n">
        <f aca="false">O18*Declarations!$B$29+P18*Declarations!$B$30+Q18*Declarations!$B$31+R18*Declarations!$B$32</f>
        <v>0</v>
      </c>
      <c r="P19" s="13" t="n">
        <f aca="false">O18*Declarations!$C$29+P18*Declarations!$C$30+Q18*Declarations!$C$31+R18*Declarations!$C$32</f>
        <v>0.31381059609</v>
      </c>
      <c r="Q19" s="13" t="n">
        <f aca="false">O18*Declarations!$D$29+P18*Declarations!$D$30+Q18*Declarations!$D$31+R18*Declarations!$D$32</f>
        <v>0</v>
      </c>
      <c r="R19" s="13" t="n">
        <f aca="false">O18*Declarations!$E$29+P18*Declarations!$E$30+Q18*Tech_to_cap_case2+R18*Declarations!$E$32</f>
        <v>0</v>
      </c>
      <c r="W19" s="2" t="s">
        <v>249</v>
      </c>
      <c r="X19" s="15" t="n">
        <f aca="false">MDETERM(X16:Z18)</f>
        <v>-0.04</v>
      </c>
    </row>
    <row r="20" customFormat="false" ht="15" hidden="false" customHeight="false" outlineLevel="0" collapsed="false">
      <c r="A20" s="18" t="n">
        <v>12</v>
      </c>
      <c r="B20" s="13" t="n">
        <f aca="false">B19*Declarations!$B$29+C19*Declarations!$B$30+D19*Declarations!$B$31+E19*Declarations!$B$32</f>
        <v>0.540360087662637</v>
      </c>
      <c r="C20" s="13" t="n">
        <f aca="false">B19*Declarations!$C$29+C19*Declarations!$C$30+D19*Declarations!$C$31+E19*Declarations!$C$32</f>
        <v>0</v>
      </c>
      <c r="D20" s="13" t="n">
        <f aca="false">B19*Declarations!$D$29+C19*Declarations!$D$30+D19*Declarations!$D$31+E19*Declarations!$D$32</f>
        <v>0.20634444094531</v>
      </c>
      <c r="E20" s="13" t="n">
        <f aca="false">B19*Declarations!$E$29+C19*Declarations!$E$30+D19*Declarations!$E$31+E19*Declarations!$E$32</f>
        <v>0.0597845643292418</v>
      </c>
      <c r="F20" s="13" t="n">
        <f aca="false">F19*Declarations!$B$29+G19*Declarations!$B$30+H19*Declarations!$B$31+I19*Declarations!$B$32</f>
        <v>0</v>
      </c>
      <c r="G20" s="13" t="n">
        <f aca="false">F19*Declarations!$C$29+G19*Declarations!$C$30+H19*Declarations!$C$31+I19*Declarations!$C$32</f>
        <v>0.282429536481</v>
      </c>
      <c r="H20" s="13" t="n">
        <f aca="false">F19*Declarations!$D$29+G19*Declarations!$D$30+H19*Declarations!$D$31+I19*Declarations!$D$32</f>
        <v>0</v>
      </c>
      <c r="I20" s="13" t="n">
        <f aca="false">F19*Declarations!$E$29+G19*Declarations!$E$30+H19*Declarations!$E$31+I19*Declarations!$E$32</f>
        <v>0</v>
      </c>
      <c r="K20" s="13" t="n">
        <f aca="false">K19*Declarations!$B$29+L19*Declarations!$B$30+M19*Declarations!$B$31+N19*Declarations!$B$32</f>
        <v>0.540360087662637</v>
      </c>
      <c r="L20" s="13" t="n">
        <f aca="false">K19*Declarations!$C$29+L19*Declarations!$C$30+M19*Declarations!$C$31+N19*Declarations!$C$32</f>
        <v>0</v>
      </c>
      <c r="M20" s="13" t="n">
        <f aca="false">K19*Declarations!$D$29+L19*Declarations!$D$30+M19*Declarations!$D$31+N19*Declarations!$D$32</f>
        <v>0.20634444094531</v>
      </c>
      <c r="N20" s="13" t="n">
        <f aca="false">K19*Declarations!$E$29+L19*Declarations!$E$30+M19*Tech_to_cap_case2+N19*Declarations!$E$32</f>
        <v>0</v>
      </c>
      <c r="O20" s="13" t="n">
        <f aca="false">O19*Declarations!$B$29+P19*Declarations!$B$30+Q19*Declarations!$B$31+R19*Declarations!$B$32</f>
        <v>0</v>
      </c>
      <c r="P20" s="13" t="n">
        <f aca="false">O19*Declarations!$C$29+P19*Declarations!$C$30+Q19*Declarations!$C$31+R19*Declarations!$C$32</f>
        <v>0.282429536481</v>
      </c>
      <c r="Q20" s="13" t="n">
        <f aca="false">O19*Declarations!$D$29+P19*Declarations!$D$30+Q19*Declarations!$D$31+R19*Declarations!$D$32</f>
        <v>0</v>
      </c>
      <c r="R20" s="13" t="n">
        <f aca="false">O19*Declarations!$E$29+P19*Declarations!$E$30+Q19*Tech_to_cap_case2+R19*Declarations!$E$32</f>
        <v>0</v>
      </c>
    </row>
    <row r="21" customFormat="false" ht="15" hidden="false" customHeight="false" outlineLevel="0" collapsed="false">
      <c r="A21" s="18" t="n">
        <v>13</v>
      </c>
      <c r="B21" s="13" t="n">
        <f aca="false">B20*Declarations!$B$29+C20*Declarations!$B$30+D20*Declarations!$B$31+E20*Declarations!$B$32</f>
        <v>0.513342083279505</v>
      </c>
      <c r="C21" s="13" t="n">
        <f aca="false">B20*Declarations!$C$29+C20*Declarations!$C$30+D20*Declarations!$C$31+E20*Declarations!$C$32</f>
        <v>0</v>
      </c>
      <c r="D21" s="13" t="n">
        <f aca="false">B20*Declarations!$D$29+C20*Declarations!$D$30+D20*Declarations!$D$31+E20*Declarations!$D$32</f>
        <v>0.207324400357284</v>
      </c>
      <c r="E21" s="13" t="n">
        <f aca="false">B20*Declarations!$E$29+C20*Declarations!$E$30+D20*Declarations!$E$31+E20*Declarations!$E$32</f>
        <v>0.065319021230168</v>
      </c>
      <c r="F21" s="13" t="n">
        <f aca="false">F20*Declarations!$B$29+G20*Declarations!$B$30+H20*Declarations!$B$31+I20*Declarations!$B$32</f>
        <v>0</v>
      </c>
      <c r="G21" s="13" t="n">
        <f aca="false">F20*Declarations!$C$29+G20*Declarations!$C$30+H20*Declarations!$C$31+I20*Declarations!$C$32</f>
        <v>0.2541865828329</v>
      </c>
      <c r="H21" s="13" t="n">
        <f aca="false">F20*Declarations!$D$29+G20*Declarations!$D$30+H20*Declarations!$D$31+I20*Declarations!$D$32</f>
        <v>0</v>
      </c>
      <c r="I21" s="13" t="n">
        <f aca="false">F20*Declarations!$E$29+G20*Declarations!$E$30+H20*Declarations!$E$31+I20*Declarations!$E$32</f>
        <v>0</v>
      </c>
      <c r="K21" s="13" t="n">
        <f aca="false">K20*Declarations!$B$29+L20*Declarations!$B$30+M20*Declarations!$B$31+N20*Declarations!$B$32</f>
        <v>0.513342083279505</v>
      </c>
      <c r="L21" s="13" t="n">
        <f aca="false">K20*Declarations!$C$29+L20*Declarations!$C$30+M20*Declarations!$C$31+N20*Declarations!$C$32</f>
        <v>0</v>
      </c>
      <c r="M21" s="13" t="n">
        <f aca="false">K20*Declarations!$D$29+L20*Declarations!$D$30+M20*Declarations!$D$31+N20*Declarations!$D$32</f>
        <v>0.207324400357284</v>
      </c>
      <c r="N21" s="13" t="n">
        <f aca="false">K20*Declarations!$E$29+L20*Declarations!$E$30+M20*Tech_to_cap_case2+N20*Declarations!$E$32</f>
        <v>0</v>
      </c>
      <c r="O21" s="13" t="n">
        <f aca="false">O20*Declarations!$B$29+P20*Declarations!$B$30+Q20*Declarations!$B$31+R20*Declarations!$B$32</f>
        <v>0</v>
      </c>
      <c r="P21" s="13" t="n">
        <f aca="false">O20*Declarations!$C$29+P20*Declarations!$C$30+Q20*Declarations!$C$31+R20*Declarations!$C$32</f>
        <v>0.2541865828329</v>
      </c>
      <c r="Q21" s="13" t="n">
        <f aca="false">O20*Declarations!$D$29+P20*Declarations!$D$30+Q20*Declarations!$D$31+R20*Declarations!$D$32</f>
        <v>0</v>
      </c>
      <c r="R21" s="13" t="n">
        <f aca="false">O20*Declarations!$E$29+P20*Declarations!$E$30+Q20*Tech_to_cap_case2+R20*Declarations!$E$32</f>
        <v>0</v>
      </c>
      <c r="W21" s="8" t="s">
        <v>250</v>
      </c>
      <c r="X21" s="8" t="s">
        <v>20</v>
      </c>
      <c r="Y21" s="8" t="s">
        <v>84</v>
      </c>
    </row>
    <row r="22" customFormat="false" ht="15" hidden="false" customHeight="false" outlineLevel="0" collapsed="false">
      <c r="A22" s="18" t="n">
        <v>14</v>
      </c>
      <c r="B22" s="13" t="n">
        <f aca="false">B21*Declarations!$B$29+C21*Declarations!$B$30+D21*Declarations!$B$31+E21*Declarations!$B$32</f>
        <v>0.487674979115529</v>
      </c>
      <c r="C22" s="13" t="n">
        <f aca="false">B21*Declarations!$C$29+C21*Declarations!$C$30+D21*Declarations!$C$31+E21*Declarations!$C$32</f>
        <v>0</v>
      </c>
      <c r="D22" s="13" t="n">
        <f aca="false">B21*Declarations!$D$29+C21*Declarations!$D$30+D21*Declarations!$D$31+E21*Declarations!$D$32</f>
        <v>0.207125643652736</v>
      </c>
      <c r="E22" s="13" t="n">
        <f aca="false">B21*Declarations!$E$29+C21*Declarations!$E$30+D21*Declarations!$E$31+E21*Declarations!$E$32</f>
        <v>0.0704597195496187</v>
      </c>
      <c r="F22" s="13" t="n">
        <f aca="false">F21*Declarations!$B$29+G21*Declarations!$B$30+H21*Declarations!$B$31+I21*Declarations!$B$32</f>
        <v>0</v>
      </c>
      <c r="G22" s="13" t="n">
        <f aca="false">F21*Declarations!$C$29+G21*Declarations!$C$30+H21*Declarations!$C$31+I21*Declarations!$C$32</f>
        <v>0.22876792454961</v>
      </c>
      <c r="H22" s="13" t="n">
        <f aca="false">F21*Declarations!$D$29+G21*Declarations!$D$30+H21*Declarations!$D$31+I21*Declarations!$D$32</f>
        <v>0</v>
      </c>
      <c r="I22" s="13" t="n">
        <f aca="false">F21*Declarations!$E$29+G21*Declarations!$E$30+H21*Declarations!$E$31+I21*Declarations!$E$32</f>
        <v>0</v>
      </c>
      <c r="K22" s="13" t="n">
        <f aca="false">K21*Declarations!$B$29+L21*Declarations!$B$30+M21*Declarations!$B$31+N21*Declarations!$B$32</f>
        <v>0.487674979115529</v>
      </c>
      <c r="L22" s="13" t="n">
        <f aca="false">K21*Declarations!$C$29+L21*Declarations!$C$30+M21*Declarations!$C$31+N21*Declarations!$C$32</f>
        <v>0</v>
      </c>
      <c r="M22" s="13" t="n">
        <f aca="false">K21*Declarations!$D$29+L21*Declarations!$D$30+M21*Declarations!$D$31+N21*Declarations!$D$32</f>
        <v>0.207125643652736</v>
      </c>
      <c r="N22" s="13" t="n">
        <f aca="false">K21*Declarations!$E$29+L21*Declarations!$E$30+M21*Tech_to_cap_case2+N21*Declarations!$E$32</f>
        <v>0</v>
      </c>
      <c r="O22" s="13" t="n">
        <f aca="false">O21*Declarations!$B$29+P21*Declarations!$B$30+Q21*Declarations!$B$31+R21*Declarations!$B$32</f>
        <v>0</v>
      </c>
      <c r="P22" s="13" t="n">
        <f aca="false">O21*Declarations!$C$29+P21*Declarations!$C$30+Q21*Declarations!$C$31+R21*Declarations!$C$32</f>
        <v>0.22876792454961</v>
      </c>
      <c r="Q22" s="13" t="n">
        <f aca="false">O21*Declarations!$D$29+P21*Declarations!$D$30+Q21*Declarations!$D$31+R21*Declarations!$D$32</f>
        <v>0</v>
      </c>
      <c r="R22" s="13" t="n">
        <f aca="false">O21*Declarations!$E$29+P21*Declarations!$E$30+Q21*Tech_to_cap_case2+R21*Declarations!$E$32</f>
        <v>0</v>
      </c>
      <c r="W22" s="2" t="s">
        <v>251</v>
      </c>
      <c r="X22" s="13" t="n">
        <f aca="false">E10</f>
        <v>0.002</v>
      </c>
      <c r="Y22" s="10" t="s">
        <v>252</v>
      </c>
    </row>
    <row r="23" customFormat="false" ht="15" hidden="false" customHeight="false" outlineLevel="0" collapsed="false">
      <c r="A23" s="18" t="n">
        <v>15</v>
      </c>
      <c r="B23" s="13" t="n">
        <f aca="false">B22*Declarations!$B$29+C22*Declarations!$B$30+D22*Declarations!$B$31+E22*Declarations!$B$32</f>
        <v>0.463291230159753</v>
      </c>
      <c r="C23" s="13" t="n">
        <f aca="false">B22*Declarations!$C$29+C22*Declarations!$C$30+D22*Declarations!$C$31+E22*Declarations!$C$32</f>
        <v>0</v>
      </c>
      <c r="D23" s="13" t="n">
        <f aca="false">B22*Declarations!$D$29+C22*Declarations!$D$30+D22*Declarations!$D$31+E22*Declarations!$D$32</f>
        <v>0.205920078452083</v>
      </c>
      <c r="E23" s="13" t="n">
        <f aca="false">B22*Declarations!$E$29+C22*Declarations!$E$30+D22*Declarations!$E$31+E22*Declarations!$E$32</f>
        <v>0.075179224168286</v>
      </c>
      <c r="F23" s="13" t="n">
        <f aca="false">F22*Declarations!$B$29+G22*Declarations!$B$30+H22*Declarations!$B$31+I22*Declarations!$B$32</f>
        <v>0</v>
      </c>
      <c r="G23" s="13" t="n">
        <f aca="false">F22*Declarations!$C$29+G22*Declarations!$C$30+H22*Declarations!$C$31+I22*Declarations!$C$32</f>
        <v>0.205891132094649</v>
      </c>
      <c r="H23" s="13" t="n">
        <f aca="false">F22*Declarations!$D$29+G22*Declarations!$D$30+H22*Declarations!$D$31+I22*Declarations!$D$32</f>
        <v>0</v>
      </c>
      <c r="I23" s="13" t="n">
        <f aca="false">F22*Declarations!$E$29+G22*Declarations!$E$30+H22*Declarations!$E$31+I22*Declarations!$E$32</f>
        <v>0</v>
      </c>
      <c r="K23" s="13" t="n">
        <f aca="false">K22*Declarations!$B$29+L22*Declarations!$B$30+M22*Declarations!$B$31+N22*Declarations!$B$32</f>
        <v>0.463291230159753</v>
      </c>
      <c r="L23" s="13" t="n">
        <f aca="false">K22*Declarations!$C$29+L22*Declarations!$C$30+M22*Declarations!$C$31+N22*Declarations!$C$32</f>
        <v>0</v>
      </c>
      <c r="M23" s="13" t="n">
        <f aca="false">K22*Declarations!$D$29+L22*Declarations!$D$30+M22*Declarations!$D$31+N22*Declarations!$D$32</f>
        <v>0.205920078452083</v>
      </c>
      <c r="N23" s="13" t="n">
        <f aca="false">K22*Declarations!$E$29+L22*Declarations!$E$30+M22*Tech_to_cap_case2+N22*Declarations!$E$32</f>
        <v>0</v>
      </c>
      <c r="O23" s="13" t="n">
        <f aca="false">O22*Declarations!$B$29+P22*Declarations!$B$30+Q22*Declarations!$B$31+R22*Declarations!$B$32</f>
        <v>0</v>
      </c>
      <c r="P23" s="13" t="n">
        <f aca="false">O22*Declarations!$C$29+P22*Declarations!$C$30+Q22*Declarations!$C$31+R22*Declarations!$C$32</f>
        <v>0.205891132094649</v>
      </c>
      <c r="Q23" s="13" t="n">
        <f aca="false">O22*Declarations!$D$29+P22*Declarations!$D$30+Q22*Declarations!$D$31+R22*Declarations!$D$32</f>
        <v>0</v>
      </c>
      <c r="R23" s="13" t="n">
        <f aca="false">O22*Declarations!$E$29+P22*Declarations!$E$30+Q22*Tech_to_cap_case2+R22*Declarations!$E$32</f>
        <v>0</v>
      </c>
      <c r="W23" s="2" t="s">
        <v>253</v>
      </c>
      <c r="X23" s="13" t="n">
        <f aca="false">10*E12</f>
        <v>0.102318</v>
      </c>
      <c r="Y23" s="10" t="s">
        <v>254</v>
      </c>
    </row>
    <row r="24" customFormat="false" ht="15" hidden="false" customHeight="false" outlineLevel="0" collapsed="false">
      <c r="A24" s="18" t="n">
        <v>16</v>
      </c>
      <c r="B24" s="13" t="n">
        <f aca="false">B23*Declarations!$B$29+C23*Declarations!$B$30+D23*Declarations!$B$31+E23*Declarations!$B$32</f>
        <v>0.440126668651765</v>
      </c>
      <c r="C24" s="13" t="n">
        <f aca="false">B23*Declarations!$C$29+C23*Declarations!$C$30+D23*Declarations!$C$31+E23*Declarations!$C$32</f>
        <v>0</v>
      </c>
      <c r="D24" s="13" t="n">
        <f aca="false">B23*Declarations!$D$29+C23*Declarations!$D$30+D23*Declarations!$D$31+E23*Declarations!$D$32</f>
        <v>0.203859719813265</v>
      </c>
      <c r="E24" s="13" t="n">
        <f aca="false">B23*Declarations!$E$29+C23*Declarations!$E$30+D23*Declarations!$E$31+E23*Declarations!$E$32</f>
        <v>0.0794608901574273</v>
      </c>
      <c r="F24" s="13" t="n">
        <f aca="false">F23*Declarations!$B$29+G23*Declarations!$B$30+H23*Declarations!$B$31+I23*Declarations!$B$32</f>
        <v>0</v>
      </c>
      <c r="G24" s="13" t="n">
        <f aca="false">F23*Declarations!$C$29+G23*Declarations!$C$30+H23*Declarations!$C$31+I23*Declarations!$C$32</f>
        <v>0.185302018885184</v>
      </c>
      <c r="H24" s="13" t="n">
        <f aca="false">F23*Declarations!$D$29+G23*Declarations!$D$30+H23*Declarations!$D$31+I23*Declarations!$D$32</f>
        <v>0</v>
      </c>
      <c r="I24" s="13" t="n">
        <f aca="false">F23*Declarations!$E$29+G23*Declarations!$E$30+H23*Declarations!$E$31+I23*Declarations!$E$32</f>
        <v>0</v>
      </c>
      <c r="K24" s="13" t="n">
        <f aca="false">K23*Declarations!$B$29+L23*Declarations!$B$30+M23*Declarations!$B$31+N23*Declarations!$B$32</f>
        <v>0.440126668651765</v>
      </c>
      <c r="L24" s="13" t="n">
        <f aca="false">K23*Declarations!$C$29+L23*Declarations!$C$30+M23*Declarations!$C$31+N23*Declarations!$C$32</f>
        <v>0</v>
      </c>
      <c r="M24" s="13" t="n">
        <f aca="false">K23*Declarations!$D$29+L23*Declarations!$D$30+M23*Declarations!$D$31+N23*Declarations!$D$32</f>
        <v>0.203859719813265</v>
      </c>
      <c r="N24" s="13" t="n">
        <f aca="false">K23*Declarations!$E$29+L23*Declarations!$E$30+M23*Tech_to_cap_case2+N23*Declarations!$E$32</f>
        <v>0</v>
      </c>
      <c r="O24" s="13" t="n">
        <f aca="false">O23*Declarations!$B$29+P23*Declarations!$B$30+Q23*Declarations!$B$31+R23*Declarations!$B$32</f>
        <v>0</v>
      </c>
      <c r="P24" s="13" t="n">
        <f aca="false">O23*Declarations!$C$29+P23*Declarations!$C$30+Q23*Declarations!$C$31+R23*Declarations!$C$32</f>
        <v>0.185302018885184</v>
      </c>
      <c r="Q24" s="13" t="n">
        <f aca="false">O23*Declarations!$D$29+P23*Declarations!$D$30+Q23*Declarations!$D$31+R23*Declarations!$D$32</f>
        <v>0</v>
      </c>
      <c r="R24" s="13" t="n">
        <f aca="false">O23*Declarations!$E$29+P23*Declarations!$E$30+Q23*Tech_to_cap_case2+R23*Declarations!$E$32</f>
        <v>0</v>
      </c>
      <c r="W24" s="2" t="s">
        <v>255</v>
      </c>
      <c r="X24" s="13" t="n">
        <f aca="false">10*E20</f>
        <v>0.597845643292418</v>
      </c>
      <c r="Y24" s="10" t="s">
        <v>256</v>
      </c>
    </row>
    <row r="25" customFormat="false" ht="15" hidden="false" customHeight="false" outlineLevel="0" collapsed="false">
      <c r="A25" s="18" t="n">
        <v>17</v>
      </c>
      <c r="B25" s="13" t="n">
        <f aca="false">B24*Declarations!$B$29+C24*Declarations!$B$30+D24*Declarations!$B$31+E24*Declarations!$B$32</f>
        <v>0.418120335219177</v>
      </c>
      <c r="C25" s="13" t="n">
        <f aca="false">B24*Declarations!$C$29+C24*Declarations!$C$30+D24*Declarations!$C$31+E24*Declarations!$C$32</f>
        <v>0</v>
      </c>
      <c r="D25" s="13" t="n">
        <f aca="false">B24*Declarations!$D$29+C24*Declarations!$D$30+D24*Declarations!$D$31+E24*Declarations!$D$32</f>
        <v>0.201078814578009</v>
      </c>
      <c r="E25" s="13" t="n">
        <f aca="false">B24*Declarations!$E$29+C24*Declarations!$E$30+D24*Declarations!$E$31+E24*Declarations!$E$32</f>
        <v>0.0832970049354964</v>
      </c>
      <c r="F25" s="13" t="n">
        <f aca="false">F24*Declarations!$B$29+G24*Declarations!$B$30+H24*Declarations!$B$31+I24*Declarations!$B$32</f>
        <v>0</v>
      </c>
      <c r="G25" s="13" t="n">
        <f aca="false">F24*Declarations!$C$29+G24*Declarations!$C$30+H24*Declarations!$C$31+I24*Declarations!$C$32</f>
        <v>0.166771816996666</v>
      </c>
      <c r="H25" s="13" t="n">
        <f aca="false">F24*Declarations!$D$29+G24*Declarations!$D$30+H24*Declarations!$D$31+I24*Declarations!$D$32</f>
        <v>0</v>
      </c>
      <c r="I25" s="13" t="n">
        <f aca="false">F24*Declarations!$E$29+G24*Declarations!$E$30+H24*Declarations!$E$31+I24*Declarations!$E$32</f>
        <v>0</v>
      </c>
      <c r="K25" s="13" t="n">
        <f aca="false">K24*Declarations!$B$29+L24*Declarations!$B$30+M24*Declarations!$B$31+N24*Declarations!$B$32</f>
        <v>0.418120335219177</v>
      </c>
      <c r="L25" s="13" t="n">
        <f aca="false">K24*Declarations!$C$29+L24*Declarations!$C$30+M24*Declarations!$C$31+N24*Declarations!$C$32</f>
        <v>0</v>
      </c>
      <c r="M25" s="13" t="n">
        <f aca="false">K24*Declarations!$D$29+L24*Declarations!$D$30+M24*Declarations!$D$31+N24*Declarations!$D$32</f>
        <v>0.201078814578009</v>
      </c>
      <c r="N25" s="13" t="n">
        <f aca="false">K24*Declarations!$E$29+L24*Declarations!$E$30+M24*Tech_to_cap_case2+N24*Declarations!$E$32</f>
        <v>0</v>
      </c>
      <c r="O25" s="13" t="n">
        <f aca="false">O24*Declarations!$B$29+P24*Declarations!$B$30+Q24*Declarations!$B$31+R24*Declarations!$B$32</f>
        <v>0</v>
      </c>
      <c r="P25" s="13" t="n">
        <f aca="false">O24*Declarations!$C$29+P24*Declarations!$C$30+Q24*Declarations!$C$31+R24*Declarations!$C$32</f>
        <v>0.166771816996666</v>
      </c>
      <c r="Q25" s="13" t="n">
        <f aca="false">O24*Declarations!$D$29+P24*Declarations!$D$30+Q24*Declarations!$D$31+R24*Declarations!$D$32</f>
        <v>0</v>
      </c>
      <c r="R25" s="13" t="n">
        <f aca="false">O24*Declarations!$E$29+P24*Declarations!$E$30+Q24*Tech_to_cap_case2+R24*Declarations!$E$32</f>
        <v>0</v>
      </c>
    </row>
    <row r="26" customFormat="false" ht="46.25" hidden="false" customHeight="false" outlineLevel="0" collapsed="false">
      <c r="A26" s="18" t="n">
        <v>18</v>
      </c>
      <c r="B26" s="13" t="n">
        <f aca="false">B25*Declarations!$B$29+C25*Declarations!$B$30+D25*Declarations!$B$31+E25*Declarations!$B$32</f>
        <v>0.397214318458218</v>
      </c>
      <c r="C26" s="13" t="n">
        <f aca="false">B25*Declarations!$C$29+C25*Declarations!$C$30+D25*Declarations!$C$31+E25*Declarations!$C$32</f>
        <v>0</v>
      </c>
      <c r="D26" s="13" t="n">
        <f aca="false">B25*Declarations!$D$29+C25*Declarations!$D$30+D25*Declarations!$D$31+E25*Declarations!$D$32</f>
        <v>0.197695746528975</v>
      </c>
      <c r="E26" s="13" t="n">
        <f aca="false">B25*Declarations!$E$29+C25*Declarations!$E$30+D25*Declarations!$E$31+E25*Declarations!$E$32</f>
        <v>0.0866871852695572</v>
      </c>
      <c r="F26" s="13" t="n">
        <f aca="false">F25*Declarations!$B$29+G25*Declarations!$B$30+H25*Declarations!$B$31+I25*Declarations!$B$32</f>
        <v>0</v>
      </c>
      <c r="G26" s="13" t="n">
        <f aca="false">F25*Declarations!$C$29+G25*Declarations!$C$30+H25*Declarations!$C$31+I25*Declarations!$C$32</f>
        <v>0.150094635296999</v>
      </c>
      <c r="H26" s="13" t="n">
        <f aca="false">F25*Declarations!$D$29+G25*Declarations!$D$30+H25*Declarations!$D$31+I25*Declarations!$D$32</f>
        <v>0</v>
      </c>
      <c r="I26" s="13" t="n">
        <f aca="false">F25*Declarations!$E$29+G25*Declarations!$E$30+H25*Declarations!$E$31+I25*Declarations!$E$32</f>
        <v>0</v>
      </c>
      <c r="K26" s="13" t="n">
        <f aca="false">K25*Declarations!$B$29+L25*Declarations!$B$30+M25*Declarations!$B$31+N25*Declarations!$B$32</f>
        <v>0.397214318458218</v>
      </c>
      <c r="L26" s="13" t="n">
        <f aca="false">K25*Declarations!$C$29+L25*Declarations!$C$30+M25*Declarations!$C$31+N25*Declarations!$C$32</f>
        <v>0</v>
      </c>
      <c r="M26" s="13" t="n">
        <f aca="false">K25*Declarations!$D$29+L25*Declarations!$D$30+M25*Declarations!$D$31+N25*Declarations!$D$32</f>
        <v>0.197695746528975</v>
      </c>
      <c r="N26" s="13" t="n">
        <f aca="false">K25*Declarations!$E$29+L25*Declarations!$E$30+M25*Tech_to_cap_case2+N25*Declarations!$E$32</f>
        <v>0</v>
      </c>
      <c r="O26" s="13" t="n">
        <f aca="false">O25*Declarations!$B$29+P25*Declarations!$B$30+Q25*Declarations!$B$31+R25*Declarations!$B$32</f>
        <v>0</v>
      </c>
      <c r="P26" s="13" t="n">
        <f aca="false">O25*Declarations!$C$29+P25*Declarations!$C$30+Q25*Declarations!$C$31+R25*Declarations!$C$32</f>
        <v>0.150094635296999</v>
      </c>
      <c r="Q26" s="13" t="n">
        <f aca="false">O25*Declarations!$D$29+P25*Declarations!$D$30+Q25*Declarations!$D$31+R25*Declarations!$D$32</f>
        <v>0</v>
      </c>
      <c r="R26" s="13" t="n">
        <f aca="false">O25*Declarations!$E$29+P25*Declarations!$E$30+Q25*Tech_to_cap_case2+R25*Declarations!$E$32</f>
        <v>0</v>
      </c>
      <c r="W26" s="8" t="s">
        <v>257</v>
      </c>
      <c r="X26" s="8" t="s">
        <v>258</v>
      </c>
      <c r="Y26" s="8"/>
      <c r="Z26" s="8"/>
      <c r="AA26" s="8" t="s">
        <v>259</v>
      </c>
      <c r="AB26" s="8" t="s">
        <v>260</v>
      </c>
    </row>
    <row r="27" customFormat="false" ht="15" hidden="false" customHeight="false" outlineLevel="0" collapsed="false">
      <c r="A27" s="18" t="n">
        <v>19</v>
      </c>
      <c r="B27" s="13" t="n">
        <f aca="false">B26*Declarations!$B$29+C26*Declarations!$B$30+D26*Declarations!$B$31+E26*Declarations!$B$32</f>
        <v>0.377353602535307</v>
      </c>
      <c r="C27" s="13" t="n">
        <f aca="false">B26*Declarations!$C$29+C26*Declarations!$C$30+D26*Declarations!$C$31+E26*Declarations!$C$32</f>
        <v>0</v>
      </c>
      <c r="D27" s="13" t="n">
        <f aca="false">B26*Declarations!$D$29+C26*Declarations!$D$30+D26*Declarations!$D$31+E26*Declarations!$D$32</f>
        <v>0.193814744614407</v>
      </c>
      <c r="E27" s="13" t="n">
        <f aca="false">B26*Declarations!$E$29+C26*Declarations!$E$30+D26*Declarations!$E$31+E26*Declarations!$E$32</f>
        <v>0.0896369977744414</v>
      </c>
      <c r="F27" s="13" t="n">
        <f aca="false">F26*Declarations!$B$29+G26*Declarations!$B$30+H26*Declarations!$B$31+I26*Declarations!$B$32</f>
        <v>0</v>
      </c>
      <c r="G27" s="13" t="n">
        <f aca="false">F26*Declarations!$C$29+G26*Declarations!$C$30+H26*Declarations!$C$31+I26*Declarations!$C$32</f>
        <v>0.135085171767299</v>
      </c>
      <c r="H27" s="13" t="n">
        <f aca="false">F26*Declarations!$D$29+G26*Declarations!$D$30+H26*Declarations!$D$31+I26*Declarations!$D$32</f>
        <v>0</v>
      </c>
      <c r="I27" s="13" t="n">
        <f aca="false">F26*Declarations!$E$29+G26*Declarations!$E$30+H26*Declarations!$E$31+I26*Declarations!$E$32</f>
        <v>0</v>
      </c>
      <c r="K27" s="13" t="n">
        <f aca="false">K26*Declarations!$B$29+L26*Declarations!$B$30+M26*Declarations!$B$31+N26*Declarations!$B$32</f>
        <v>0.377353602535307</v>
      </c>
      <c r="L27" s="13" t="n">
        <f aca="false">K26*Declarations!$C$29+L26*Declarations!$C$30+M26*Declarations!$C$31+N26*Declarations!$C$32</f>
        <v>0</v>
      </c>
      <c r="M27" s="13" t="n">
        <f aca="false">K26*Declarations!$D$29+L26*Declarations!$D$30+M26*Declarations!$D$31+N26*Declarations!$D$32</f>
        <v>0.193814744614407</v>
      </c>
      <c r="N27" s="13" t="n">
        <f aca="false">K26*Declarations!$E$29+L26*Declarations!$E$30+M26*Tech_to_cap_case2+N26*Declarations!$E$32</f>
        <v>0</v>
      </c>
      <c r="O27" s="13" t="n">
        <f aca="false">O26*Declarations!$B$29+P26*Declarations!$B$30+Q26*Declarations!$B$31+R26*Declarations!$B$32</f>
        <v>0</v>
      </c>
      <c r="P27" s="13" t="n">
        <f aca="false">O26*Declarations!$C$29+P26*Declarations!$C$30+Q26*Declarations!$C$31+R26*Declarations!$C$32</f>
        <v>0.135085171767299</v>
      </c>
      <c r="Q27" s="13" t="n">
        <f aca="false">O26*Declarations!$D$29+P26*Declarations!$D$30+Q26*Declarations!$D$31+R26*Declarations!$D$32</f>
        <v>0</v>
      </c>
      <c r="R27" s="13" t="n">
        <f aca="false">O26*Declarations!$E$29+P26*Declarations!$E$30+Q26*Tech_to_cap_case2+R26*Declarations!$E$32</f>
        <v>0</v>
      </c>
      <c r="W27" s="11" t="n">
        <v>4</v>
      </c>
      <c r="X27" s="13" t="n">
        <f aca="false">SUMPRODUCT(($A$8:$A$48&lt;$W$27)*$B$8:$B$48*$B$8:$B$48)</f>
        <v>3.452098140625</v>
      </c>
      <c r="Y27" s="13" t="n">
        <f aca="false">SUMPRODUCT(($A$8:$A$48&lt;$W$27)*$B$8:$B$48*$D$8:$D$48)</f>
        <v>0.1928374125</v>
      </c>
      <c r="Z27" s="13" t="n">
        <f aca="false">SUMPRODUCT(($A$8:$A$48&lt;$W$27)*$B$8:$B$48*$E$8:$E$48)</f>
        <v>0.0065548575</v>
      </c>
      <c r="AA27" s="21" t="n">
        <f aca="false">MDETERM(X27:Z29)</f>
        <v>1.01311286784E-007</v>
      </c>
      <c r="AB27" s="17" t="n">
        <f aca="false">Report_err*SQRT((X27*Y28-Y27*X28)/AA27)</f>
        <v>483.166015669098</v>
      </c>
    </row>
    <row r="28" customFormat="false" ht="15" hidden="false" customHeight="false" outlineLevel="0" collapsed="false">
      <c r="A28" s="18" t="n">
        <v>20</v>
      </c>
      <c r="B28" s="13" t="n">
        <f aca="false">B27*Declarations!$B$29+C27*Declarations!$B$30+D27*Declarations!$B$31+E27*Declarations!$B$32</f>
        <v>0.358485922408542</v>
      </c>
      <c r="C28" s="13" t="n">
        <f aca="false">B27*Declarations!$C$29+C27*Declarations!$C$30+D27*Declarations!$C$31+E27*Declarations!$C$32</f>
        <v>0</v>
      </c>
      <c r="D28" s="13" t="n">
        <f aca="false">B27*Declarations!$D$29+C27*Declarations!$D$30+D27*Declarations!$D$31+E27*Declarations!$D$32</f>
        <v>0.189527414254378</v>
      </c>
      <c r="E28" s="13" t="n">
        <f aca="false">B27*Declarations!$E$29+C27*Declarations!$E$30+D27*Declarations!$E$31+E27*Declarations!$E$32</f>
        <v>0.0921567751832064</v>
      </c>
      <c r="F28" s="13" t="n">
        <f aca="false">F27*Declarations!$B$29+G27*Declarations!$B$30+H27*Declarations!$B$31+I27*Declarations!$B$32</f>
        <v>0</v>
      </c>
      <c r="G28" s="13" t="n">
        <f aca="false">F27*Declarations!$C$29+G27*Declarations!$C$30+H27*Declarations!$C$31+I27*Declarations!$C$32</f>
        <v>0.121576654590569</v>
      </c>
      <c r="H28" s="13" t="n">
        <f aca="false">F27*Declarations!$D$29+G27*Declarations!$D$30+H27*Declarations!$D$31+I27*Declarations!$D$32</f>
        <v>0</v>
      </c>
      <c r="I28" s="13" t="n">
        <f aca="false">F27*Declarations!$E$29+G27*Declarations!$E$30+H27*Declarations!$E$31+I27*Declarations!$E$32</f>
        <v>0</v>
      </c>
      <c r="K28" s="13" t="n">
        <f aca="false">K27*Declarations!$B$29+L27*Declarations!$B$30+M27*Declarations!$B$31+N27*Declarations!$B$32</f>
        <v>0.358485922408542</v>
      </c>
      <c r="L28" s="13" t="n">
        <f aca="false">K27*Declarations!$C$29+L27*Declarations!$C$30+M27*Declarations!$C$31+N27*Declarations!$C$32</f>
        <v>0</v>
      </c>
      <c r="M28" s="13" t="n">
        <f aca="false">K27*Declarations!$D$29+L27*Declarations!$D$30+M27*Declarations!$D$31+N27*Declarations!$D$32</f>
        <v>0.189527414254378</v>
      </c>
      <c r="N28" s="13" t="n">
        <f aca="false">K27*Declarations!$E$29+L27*Declarations!$E$30+M27*Tech_to_cap_case2+N27*Declarations!$E$32</f>
        <v>0</v>
      </c>
      <c r="O28" s="13" t="n">
        <f aca="false">O27*Declarations!$B$29+P27*Declarations!$B$30+Q27*Declarations!$B$31+R27*Declarations!$B$32</f>
        <v>0</v>
      </c>
      <c r="P28" s="13" t="n">
        <f aca="false">O27*Declarations!$C$29+P27*Declarations!$C$30+Q27*Declarations!$C$31+R27*Declarations!$C$32</f>
        <v>0.121576654590569</v>
      </c>
      <c r="Q28" s="13" t="n">
        <f aca="false">O27*Declarations!$D$29+P27*Declarations!$D$30+Q27*Declarations!$D$31+R27*Declarations!$D$32</f>
        <v>0</v>
      </c>
      <c r="R28" s="13" t="n">
        <f aca="false">O27*Declarations!$E$29+P27*Declarations!$E$30+Q27*Tech_to_cap_case2+R27*Declarations!$E$32</f>
        <v>0</v>
      </c>
      <c r="X28" s="13" t="n">
        <f aca="false">SUMPRODUCT(($A$8:$A$48&lt;$W$27)*$D$8:$D$48*$B$8:$B$48)</f>
        <v>0.1928374125</v>
      </c>
      <c r="Y28" s="13" t="n">
        <f aca="false">SUMPRODUCT(($A$8:$A$48&lt;$W$27)*$D$8:$D$48*$D$8:$D$48)</f>
        <v>0.01762329</v>
      </c>
      <c r="Z28" s="13" t="n">
        <f aca="false">SUMPRODUCT(($A$8:$A$48&lt;$W$27)*$D$8:$D$48*$E$8:$E$48)</f>
        <v>0.000716958</v>
      </c>
    </row>
    <row r="29" customFormat="false" ht="15" hidden="false" customHeight="false" outlineLevel="0" collapsed="false">
      <c r="A29" s="18" t="n">
        <v>21</v>
      </c>
      <c r="B29" s="13" t="n">
        <f aca="false">B28*Declarations!$B$29+C28*Declarations!$B$30+D28*Declarations!$B$31+E28*Declarations!$B$32</f>
        <v>0.340561626288115</v>
      </c>
      <c r="C29" s="13" t="n">
        <f aca="false">B28*Declarations!$C$29+C28*Declarations!$C$30+D28*Declarations!$C$31+E28*Declarations!$C$32</f>
        <v>0</v>
      </c>
      <c r="D29" s="13" t="n">
        <f aca="false">B28*Declarations!$D$29+C28*Declarations!$D$30+D28*Declarations!$D$31+E28*Declarations!$D$32</f>
        <v>0.184914109725282</v>
      </c>
      <c r="E29" s="13" t="n">
        <f aca="false">B28*Declarations!$E$29+C28*Declarations!$E$30+D28*Declarations!$E$31+E28*Declarations!$E$32</f>
        <v>0.0942606038812688</v>
      </c>
      <c r="F29" s="13" t="n">
        <f aca="false">F28*Declarations!$B$29+G28*Declarations!$B$30+H28*Declarations!$B$31+I28*Declarations!$B$32</f>
        <v>0</v>
      </c>
      <c r="G29" s="13" t="n">
        <f aca="false">F28*Declarations!$C$29+G28*Declarations!$C$30+H28*Declarations!$C$31+I28*Declarations!$C$32</f>
        <v>0.109418989131512</v>
      </c>
      <c r="H29" s="13" t="n">
        <f aca="false">F28*Declarations!$D$29+G28*Declarations!$D$30+H28*Declarations!$D$31+I28*Declarations!$D$32</f>
        <v>0</v>
      </c>
      <c r="I29" s="13" t="n">
        <f aca="false">F28*Declarations!$E$29+G28*Declarations!$E$30+H28*Declarations!$E$31+I28*Declarations!$E$32</f>
        <v>0</v>
      </c>
      <c r="K29" s="13" t="n">
        <f aca="false">K28*Declarations!$B$29+L28*Declarations!$B$30+M28*Declarations!$B$31+N28*Declarations!$B$32</f>
        <v>0.340561626288115</v>
      </c>
      <c r="L29" s="13" t="n">
        <f aca="false">K28*Declarations!$C$29+L28*Declarations!$C$30+M28*Declarations!$C$31+N28*Declarations!$C$32</f>
        <v>0</v>
      </c>
      <c r="M29" s="13" t="n">
        <f aca="false">K28*Declarations!$D$29+L28*Declarations!$D$30+M28*Declarations!$D$31+N28*Declarations!$D$32</f>
        <v>0.184914109725282</v>
      </c>
      <c r="N29" s="13" t="n">
        <f aca="false">K28*Declarations!$E$29+L28*Declarations!$E$30+M28*Tech_to_cap_case2+N28*Declarations!$E$32</f>
        <v>0</v>
      </c>
      <c r="O29" s="13" t="n">
        <f aca="false">O28*Declarations!$B$29+P28*Declarations!$B$30+Q28*Declarations!$B$31+R28*Declarations!$B$32</f>
        <v>0</v>
      </c>
      <c r="P29" s="13" t="n">
        <f aca="false">O28*Declarations!$C$29+P28*Declarations!$C$30+Q28*Declarations!$C$31+R28*Declarations!$C$32</f>
        <v>0.109418989131512</v>
      </c>
      <c r="Q29" s="13" t="n">
        <f aca="false">O28*Declarations!$D$29+P28*Declarations!$D$30+Q28*Declarations!$D$31+R28*Declarations!$D$32</f>
        <v>0</v>
      </c>
      <c r="R29" s="13" t="n">
        <f aca="false">O28*Declarations!$E$29+P28*Declarations!$E$30+Q28*Tech_to_cap_case2+R28*Declarations!$E$32</f>
        <v>0</v>
      </c>
      <c r="X29" s="13" t="n">
        <f aca="false">SUMPRODUCT(($A$8:$A$48&lt;$W$27)*$E$8:$E$48*$B$8:$B$48)</f>
        <v>0.0065548575</v>
      </c>
      <c r="Y29" s="13" t="n">
        <f aca="false">SUMPRODUCT(($A$8:$A$48&lt;$W$27)*$E$8:$E$48*$D$8:$D$48)</f>
        <v>0.000716958</v>
      </c>
      <c r="Z29" s="13" t="n">
        <f aca="false">SUMPRODUCT(($A$8:$A$48&lt;$W$27)*$E$8:$E$48*$E$8:$E$48)</f>
        <v>3.46916E-005</v>
      </c>
    </row>
    <row r="30" customFormat="false" ht="15" hidden="false" customHeight="false" outlineLevel="0" collapsed="false">
      <c r="A30" s="18" t="n">
        <v>22</v>
      </c>
      <c r="B30" s="13" t="n">
        <f aca="false">B29*Declarations!$B$29+C29*Declarations!$B$30+D29*Declarations!$B$31+E29*Declarations!$B$32</f>
        <v>0.323533544973709</v>
      </c>
      <c r="C30" s="13" t="n">
        <f aca="false">B29*Declarations!$C$29+C29*Declarations!$C$30+D29*Declarations!$C$31+E29*Declarations!$C$32</f>
        <v>0</v>
      </c>
      <c r="D30" s="13" t="n">
        <f aca="false">B29*Declarations!$D$29+C29*Declarations!$D$30+D29*Declarations!$D$31+E29*Declarations!$D$32</f>
        <v>0.180045163804279</v>
      </c>
      <c r="E30" s="13" t="n">
        <f aca="false">B29*Declarations!$E$29+C29*Declarations!$E$30+D29*Declarations!$E$31+E29*Declarations!$E$32</f>
        <v>0.0959654610570314</v>
      </c>
      <c r="F30" s="13" t="n">
        <f aca="false">F29*Declarations!$B$29+G29*Declarations!$B$30+H29*Declarations!$B$31+I29*Declarations!$B$32</f>
        <v>0</v>
      </c>
      <c r="G30" s="13" t="n">
        <f aca="false">F29*Declarations!$C$29+G29*Declarations!$C$30+H29*Declarations!$C$31+I29*Declarations!$C$32</f>
        <v>0.0984770902183612</v>
      </c>
      <c r="H30" s="13" t="n">
        <f aca="false">F29*Declarations!$D$29+G29*Declarations!$D$30+H29*Declarations!$D$31+I29*Declarations!$D$32</f>
        <v>0</v>
      </c>
      <c r="I30" s="13" t="n">
        <f aca="false">F29*Declarations!$E$29+G29*Declarations!$E$30+H29*Declarations!$E$31+I29*Declarations!$E$32</f>
        <v>0</v>
      </c>
      <c r="K30" s="13" t="n">
        <f aca="false">K29*Declarations!$B$29+L29*Declarations!$B$30+M29*Declarations!$B$31+N29*Declarations!$B$32</f>
        <v>0.323533544973709</v>
      </c>
      <c r="L30" s="13" t="n">
        <f aca="false">K29*Declarations!$C$29+L29*Declarations!$C$30+M29*Declarations!$C$31+N29*Declarations!$C$32</f>
        <v>0</v>
      </c>
      <c r="M30" s="13" t="n">
        <f aca="false">K29*Declarations!$D$29+L29*Declarations!$D$30+M29*Declarations!$D$31+N29*Declarations!$D$32</f>
        <v>0.180045163804279</v>
      </c>
      <c r="N30" s="13" t="n">
        <f aca="false">K29*Declarations!$E$29+L29*Declarations!$E$30+M29*Tech_to_cap_case2+N29*Declarations!$E$32</f>
        <v>0</v>
      </c>
      <c r="O30" s="13" t="n">
        <f aca="false">O29*Declarations!$B$29+P29*Declarations!$B$30+Q29*Declarations!$B$31+R29*Declarations!$B$32</f>
        <v>0</v>
      </c>
      <c r="P30" s="13" t="n">
        <f aca="false">O29*Declarations!$C$29+P29*Declarations!$C$30+Q29*Declarations!$C$31+R29*Declarations!$C$32</f>
        <v>0.0984770902183612</v>
      </c>
      <c r="Q30" s="13" t="n">
        <f aca="false">O29*Declarations!$D$29+P29*Declarations!$D$30+Q29*Declarations!$D$31+R29*Declarations!$D$32</f>
        <v>0</v>
      </c>
      <c r="R30" s="13" t="n">
        <f aca="false">O29*Declarations!$E$29+P29*Declarations!$E$30+Q29*Tech_to_cap_case2+R29*Declarations!$E$32</f>
        <v>0</v>
      </c>
    </row>
    <row r="31" customFormat="false" ht="15" hidden="false" customHeight="false" outlineLevel="0" collapsed="false">
      <c r="A31" s="18" t="n">
        <v>23</v>
      </c>
      <c r="B31" s="13" t="n">
        <f aca="false">B30*Declarations!$B$29+C30*Declarations!$B$30+D30*Declarations!$B$31+E30*Declarations!$B$32</f>
        <v>0.307356867725023</v>
      </c>
      <c r="C31" s="13" t="n">
        <f aca="false">B30*Declarations!$C$29+C30*Declarations!$C$30+D30*Declarations!$C$31+E30*Declarations!$C$32</f>
        <v>0</v>
      </c>
      <c r="D31" s="13" t="n">
        <f aca="false">B30*Declarations!$D$29+C30*Declarations!$D$30+D30*Declarations!$D$31+E30*Declarations!$D$32</f>
        <v>0.174981989222799</v>
      </c>
      <c r="E31" s="13" t="n">
        <f aca="false">B30*Declarations!$E$29+C30*Declarations!$E$30+D30*Declarations!$E$31+E30*Declarations!$E$32</f>
        <v>0.0972904823626828</v>
      </c>
      <c r="F31" s="13" t="n">
        <f aca="false">F30*Declarations!$B$29+G30*Declarations!$B$30+H30*Declarations!$B$31+I30*Declarations!$B$32</f>
        <v>0</v>
      </c>
      <c r="G31" s="13" t="n">
        <f aca="false">F30*Declarations!$C$29+G30*Declarations!$C$30+H30*Declarations!$C$31+I30*Declarations!$C$32</f>
        <v>0.0886293811965251</v>
      </c>
      <c r="H31" s="13" t="n">
        <f aca="false">F30*Declarations!$D$29+G30*Declarations!$D$30+H30*Declarations!$D$31+I30*Declarations!$D$32</f>
        <v>0</v>
      </c>
      <c r="I31" s="13" t="n">
        <f aca="false">F30*Declarations!$E$29+G30*Declarations!$E$30+H30*Declarations!$E$31+I30*Declarations!$E$32</f>
        <v>0</v>
      </c>
      <c r="K31" s="13" t="n">
        <f aca="false">K30*Declarations!$B$29+L30*Declarations!$B$30+M30*Declarations!$B$31+N30*Declarations!$B$32</f>
        <v>0.307356867725023</v>
      </c>
      <c r="L31" s="13" t="n">
        <f aca="false">K30*Declarations!$C$29+L30*Declarations!$C$30+M30*Declarations!$C$31+N30*Declarations!$C$32</f>
        <v>0</v>
      </c>
      <c r="M31" s="13" t="n">
        <f aca="false">K30*Declarations!$D$29+L30*Declarations!$D$30+M30*Declarations!$D$31+N30*Declarations!$D$32</f>
        <v>0.174981989222799</v>
      </c>
      <c r="N31" s="13" t="n">
        <f aca="false">K30*Declarations!$E$29+L30*Declarations!$E$30+M30*Tech_to_cap_case2+N30*Declarations!$E$32</f>
        <v>0</v>
      </c>
      <c r="O31" s="13" t="n">
        <f aca="false">O30*Declarations!$B$29+P30*Declarations!$B$30+Q30*Declarations!$B$31+R30*Declarations!$B$32</f>
        <v>0</v>
      </c>
      <c r="P31" s="13" t="n">
        <f aca="false">O30*Declarations!$C$29+P30*Declarations!$C$30+Q30*Declarations!$C$31+R30*Declarations!$C$32</f>
        <v>0.0886293811965251</v>
      </c>
      <c r="Q31" s="13" t="n">
        <f aca="false">O30*Declarations!$D$29+P30*Declarations!$D$30+Q30*Declarations!$D$31+R30*Declarations!$D$32</f>
        <v>0</v>
      </c>
      <c r="R31" s="13" t="n">
        <f aca="false">O30*Declarations!$E$29+P30*Declarations!$E$30+Q30*Tech_to_cap_case2+R30*Declarations!$E$32</f>
        <v>0</v>
      </c>
      <c r="W31" s="11" t="n">
        <v>12</v>
      </c>
      <c r="X31" s="13" t="n">
        <f aca="false">SUMPRODUCT(($A$8:$A$48&lt;$W$31)*$B$8:$B$48*$B$8:$B$48)</f>
        <v>7.26165103242284</v>
      </c>
      <c r="Y31" s="13" t="n">
        <f aca="false">SUMPRODUCT(($A$8:$A$48&lt;$W$31)*$B$8:$B$48*$D$8:$D$48)</f>
        <v>1.1340857864425</v>
      </c>
      <c r="Z31" s="13" t="n">
        <f aca="false">SUMPRODUCT(($A$8:$A$48&lt;$W$31)*$B$8:$B$48*$E$8:$E$48)</f>
        <v>0.17114192408093</v>
      </c>
      <c r="AA31" s="21" t="n">
        <f aca="false">MDETERM(X31:Z33)</f>
        <v>0.000476125421214529</v>
      </c>
      <c r="AB31" s="17" t="n">
        <f aca="false">Report_err*SQRT((X31*Y32-Y31*X32)/AA31)</f>
        <v>36.9871932179098</v>
      </c>
    </row>
    <row r="32" customFormat="false" ht="15" hidden="false" customHeight="false" outlineLevel="0" collapsed="false">
      <c r="A32" s="18" t="n">
        <v>24</v>
      </c>
      <c r="B32" s="13" t="n">
        <f aca="false">B31*Declarations!$B$29+C31*Declarations!$B$30+D31*Declarations!$B$31+E31*Declarations!$B$32</f>
        <v>0.291989024338772</v>
      </c>
      <c r="C32" s="13" t="n">
        <f aca="false">B31*Declarations!$C$29+C31*Declarations!$C$30+D31*Declarations!$C$31+E31*Declarations!$C$32</f>
        <v>0</v>
      </c>
      <c r="D32" s="13" t="n">
        <f aca="false">B31*Declarations!$D$29+C31*Declarations!$D$30+D31*Declarations!$D$31+E31*Declarations!$D$32</f>
        <v>0.16977806500952</v>
      </c>
      <c r="E32" s="13" t="n">
        <f aca="false">B31*Declarations!$E$29+C31*Declarations!$E$30+D31*Declarations!$E$31+E31*Declarations!$E$32</f>
        <v>0.0982563432348082</v>
      </c>
      <c r="F32" s="13" t="n">
        <f aca="false">F31*Declarations!$B$29+G31*Declarations!$B$30+H31*Declarations!$B$31+I31*Declarations!$B$32</f>
        <v>0</v>
      </c>
      <c r="G32" s="13" t="n">
        <f aca="false">F31*Declarations!$C$29+G31*Declarations!$C$30+H31*Declarations!$C$31+I31*Declarations!$C$32</f>
        <v>0.0797664430768726</v>
      </c>
      <c r="H32" s="13" t="n">
        <f aca="false">F31*Declarations!$D$29+G31*Declarations!$D$30+H31*Declarations!$D$31+I31*Declarations!$D$32</f>
        <v>0</v>
      </c>
      <c r="I32" s="13" t="n">
        <f aca="false">F31*Declarations!$E$29+G31*Declarations!$E$30+H31*Declarations!$E$31+I31*Declarations!$E$32</f>
        <v>0</v>
      </c>
      <c r="K32" s="13" t="n">
        <f aca="false">K31*Declarations!$B$29+L31*Declarations!$B$30+M31*Declarations!$B$31+N31*Declarations!$B$32</f>
        <v>0.291989024338772</v>
      </c>
      <c r="L32" s="13" t="n">
        <f aca="false">K31*Declarations!$C$29+L31*Declarations!$C$30+M31*Declarations!$C$31+N31*Declarations!$C$32</f>
        <v>0</v>
      </c>
      <c r="M32" s="13" t="n">
        <f aca="false">K31*Declarations!$D$29+L31*Declarations!$D$30+M31*Declarations!$D$31+N31*Declarations!$D$32</f>
        <v>0.16977806500952</v>
      </c>
      <c r="N32" s="13" t="n">
        <f aca="false">K31*Declarations!$E$29+L31*Declarations!$E$30+M31*Tech_to_cap_case2+N31*Declarations!$E$32</f>
        <v>0</v>
      </c>
      <c r="O32" s="13" t="n">
        <f aca="false">O31*Declarations!$B$29+P31*Declarations!$B$30+Q31*Declarations!$B$31+R31*Declarations!$B$32</f>
        <v>0</v>
      </c>
      <c r="P32" s="13" t="n">
        <f aca="false">O31*Declarations!$C$29+P31*Declarations!$C$30+Q31*Declarations!$C$31+R31*Declarations!$C$32</f>
        <v>0.0797664430768726</v>
      </c>
      <c r="Q32" s="13" t="n">
        <f aca="false">O31*Declarations!$D$29+P31*Declarations!$D$30+Q31*Declarations!$D$31+R31*Declarations!$D$32</f>
        <v>0</v>
      </c>
      <c r="R32" s="13" t="n">
        <f aca="false">O31*Declarations!$E$29+P31*Declarations!$E$30+Q31*Tech_to_cap_case2+R31*Declarations!$E$32</f>
        <v>0</v>
      </c>
      <c r="X32" s="13" t="n">
        <f aca="false">SUMPRODUCT(($A$8:$A$48&lt;$W$31)*$D$8:$D$48*$B$8:$B$48)</f>
        <v>1.1340857864425</v>
      </c>
      <c r="Y32" s="13" t="n">
        <f aca="false">SUMPRODUCT(($A$8:$A$48&lt;$W$31)*$D$8:$D$48*$D$8:$D$48)</f>
        <v>0.266814684035286</v>
      </c>
      <c r="Z32" s="13" t="n">
        <f aca="false">SUMPRODUCT(($A$8:$A$48&lt;$W$31)*$D$8:$D$48*$E$8:$E$48)</f>
        <v>0.047887457307993</v>
      </c>
    </row>
    <row r="33" customFormat="false" ht="15" hidden="false" customHeight="false" outlineLevel="0" collapsed="false">
      <c r="A33" s="18" t="n">
        <v>25</v>
      </c>
      <c r="B33" s="13" t="n">
        <f aca="false">B32*Declarations!$B$29+C32*Declarations!$B$30+D32*Declarations!$B$31+E32*Declarations!$B$32</f>
        <v>0.277389573121834</v>
      </c>
      <c r="C33" s="13" t="n">
        <f aca="false">B32*Declarations!$C$29+C32*Declarations!$C$30+D32*Declarations!$C$31+E32*Declarations!$C$32</f>
        <v>0</v>
      </c>
      <c r="D33" s="13" t="n">
        <f aca="false">B32*Declarations!$D$29+C32*Declarations!$D$30+D32*Declarations!$D$31+E32*Declarations!$D$32</f>
        <v>0.164479819482119</v>
      </c>
      <c r="E33" s="13" t="n">
        <f aca="false">B32*Declarations!$E$29+C32*Declarations!$E$30+D32*Declarations!$E$31+E32*Declarations!$E$32</f>
        <v>0.0988847390264995</v>
      </c>
      <c r="F33" s="13" t="n">
        <f aca="false">F32*Declarations!$B$29+G32*Declarations!$B$30+H32*Declarations!$B$31+I32*Declarations!$B$32</f>
        <v>0</v>
      </c>
      <c r="G33" s="13" t="n">
        <f aca="false">F32*Declarations!$C$29+G32*Declarations!$C$30+H32*Declarations!$C$31+I32*Declarations!$C$32</f>
        <v>0.0717897987691853</v>
      </c>
      <c r="H33" s="13" t="n">
        <f aca="false">F32*Declarations!$D$29+G32*Declarations!$D$30+H32*Declarations!$D$31+I32*Declarations!$D$32</f>
        <v>0</v>
      </c>
      <c r="I33" s="13" t="n">
        <f aca="false">F32*Declarations!$E$29+G32*Declarations!$E$30+H32*Declarations!$E$31+I32*Declarations!$E$32</f>
        <v>0</v>
      </c>
      <c r="K33" s="13" t="n">
        <f aca="false">K32*Declarations!$B$29+L32*Declarations!$B$30+M32*Declarations!$B$31+N32*Declarations!$B$32</f>
        <v>0.277389573121834</v>
      </c>
      <c r="L33" s="13" t="n">
        <f aca="false">K32*Declarations!$C$29+L32*Declarations!$C$30+M32*Declarations!$C$31+N32*Declarations!$C$32</f>
        <v>0</v>
      </c>
      <c r="M33" s="13" t="n">
        <f aca="false">K32*Declarations!$D$29+L32*Declarations!$D$30+M32*Declarations!$D$31+N32*Declarations!$D$32</f>
        <v>0.164479819482119</v>
      </c>
      <c r="N33" s="13" t="n">
        <f aca="false">K32*Declarations!$E$29+L32*Declarations!$E$30+M32*Tech_to_cap_case2+N32*Declarations!$E$32</f>
        <v>0</v>
      </c>
      <c r="O33" s="13" t="n">
        <f aca="false">O32*Declarations!$B$29+P32*Declarations!$B$30+Q32*Declarations!$B$31+R32*Declarations!$B$32</f>
        <v>0</v>
      </c>
      <c r="P33" s="13" t="n">
        <f aca="false">O32*Declarations!$C$29+P32*Declarations!$C$30+Q32*Declarations!$C$31+R32*Declarations!$C$32</f>
        <v>0.0717897987691853</v>
      </c>
      <c r="Q33" s="13" t="n">
        <f aca="false">O32*Declarations!$D$29+P32*Declarations!$D$30+Q32*Declarations!$D$31+R32*Declarations!$D$32</f>
        <v>0</v>
      </c>
      <c r="R33" s="13" t="n">
        <f aca="false">O32*Declarations!$E$29+P32*Declarations!$E$30+Q32*Tech_to_cap_case2+R32*Declarations!$E$32</f>
        <v>0</v>
      </c>
      <c r="X33" s="13" t="n">
        <f aca="false">SUMPRODUCT(($A$8:$A$48&lt;$W$31)*$E$8:$E$48*$B$8:$B$48)</f>
        <v>0.17114192408093</v>
      </c>
      <c r="Y33" s="13" t="n">
        <f aca="false">SUMPRODUCT(($A$8:$A$48&lt;$W$31)*$E$8:$E$48*$D$8:$D$48)</f>
        <v>0.047887457307993</v>
      </c>
      <c r="Z33" s="13" t="n">
        <f aca="false">SUMPRODUCT(($A$8:$A$48&lt;$W$31)*$E$8:$E$48*$E$8:$E$48)</f>
        <v>0.00975578548428595</v>
      </c>
    </row>
    <row r="34" customFormat="false" ht="15" hidden="false" customHeight="false" outlineLevel="0" collapsed="false">
      <c r="A34" s="18" t="n">
        <v>26</v>
      </c>
      <c r="B34" s="13" t="n">
        <f aca="false">B33*Declarations!$B$29+C33*Declarations!$B$30+D33*Declarations!$B$31+E33*Declarations!$B$32</f>
        <v>0.263520094465742</v>
      </c>
      <c r="C34" s="13" t="n">
        <f aca="false">B33*Declarations!$C$29+C33*Declarations!$C$30+D33*Declarations!$C$31+E33*Declarations!$C$32</f>
        <v>0</v>
      </c>
      <c r="D34" s="13" t="n">
        <f aca="false">B33*Declarations!$D$29+C33*Declarations!$D$30+D33*Declarations!$D$31+E33*Declarations!$D$32</f>
        <v>0.15912742045878</v>
      </c>
      <c r="E34" s="13" t="n">
        <f aca="false">B33*Declarations!$E$29+C33*Declarations!$E$30+D33*Declarations!$E$31+E33*Declarations!$E$32</f>
        <v>0.0991979508784855</v>
      </c>
      <c r="F34" s="13" t="n">
        <f aca="false">F33*Declarations!$B$29+G33*Declarations!$B$30+H33*Declarations!$B$31+I33*Declarations!$B$32</f>
        <v>0</v>
      </c>
      <c r="G34" s="13" t="n">
        <f aca="false">F33*Declarations!$C$29+G33*Declarations!$C$30+H33*Declarations!$C$31+I33*Declarations!$C$32</f>
        <v>0.0646108188922668</v>
      </c>
      <c r="H34" s="13" t="n">
        <f aca="false">F33*Declarations!$D$29+G33*Declarations!$D$30+H33*Declarations!$D$31+I33*Declarations!$D$32</f>
        <v>0</v>
      </c>
      <c r="I34" s="13" t="n">
        <f aca="false">F33*Declarations!$E$29+G33*Declarations!$E$30+H33*Declarations!$E$31+I33*Declarations!$E$32</f>
        <v>0</v>
      </c>
      <c r="K34" s="13" t="n">
        <f aca="false">K33*Declarations!$B$29+L33*Declarations!$B$30+M33*Declarations!$B$31+N33*Declarations!$B$32</f>
        <v>0.263520094465742</v>
      </c>
      <c r="L34" s="13" t="n">
        <f aca="false">K33*Declarations!$C$29+L33*Declarations!$C$30+M33*Declarations!$C$31+N33*Declarations!$C$32</f>
        <v>0</v>
      </c>
      <c r="M34" s="13" t="n">
        <f aca="false">K33*Declarations!$D$29+L33*Declarations!$D$30+M33*Declarations!$D$31+N33*Declarations!$D$32</f>
        <v>0.15912742045878</v>
      </c>
      <c r="N34" s="13" t="n">
        <f aca="false">K33*Declarations!$E$29+L33*Declarations!$E$30+M33*Tech_to_cap_case2+N33*Declarations!$E$32</f>
        <v>0</v>
      </c>
      <c r="O34" s="13" t="n">
        <f aca="false">O33*Declarations!$B$29+P33*Declarations!$B$30+Q33*Declarations!$B$31+R33*Declarations!$B$32</f>
        <v>0</v>
      </c>
      <c r="P34" s="13" t="n">
        <f aca="false">O33*Declarations!$C$29+P33*Declarations!$C$30+Q33*Declarations!$C$31+R33*Declarations!$C$32</f>
        <v>0.0646108188922668</v>
      </c>
      <c r="Q34" s="13" t="n">
        <f aca="false">O33*Declarations!$D$29+P33*Declarations!$D$30+Q33*Declarations!$D$31+R33*Declarations!$D$32</f>
        <v>0</v>
      </c>
      <c r="R34" s="13" t="n">
        <f aca="false">O33*Declarations!$E$29+P33*Declarations!$E$30+Q33*Tech_to_cap_case2+R33*Declarations!$E$32</f>
        <v>0</v>
      </c>
    </row>
    <row r="35" customFormat="false" ht="15" hidden="false" customHeight="false" outlineLevel="0" collapsed="false">
      <c r="A35" s="18" t="n">
        <v>27</v>
      </c>
      <c r="B35" s="13" t="n">
        <f aca="false">B34*Declarations!$B$29+C34*Declarations!$B$30+D34*Declarations!$B$31+E34*Declarations!$B$32</f>
        <v>0.250344089742455</v>
      </c>
      <c r="C35" s="13" t="n">
        <f aca="false">B34*Declarations!$C$29+C34*Declarations!$C$30+D34*Declarations!$C$31+E34*Declarations!$C$32</f>
        <v>0</v>
      </c>
      <c r="D35" s="13" t="n">
        <f aca="false">B34*Declarations!$D$29+C34*Declarations!$D$30+D34*Declarations!$D$31+E34*Declarations!$D$32</f>
        <v>0.153755482191532</v>
      </c>
      <c r="E35" s="13" t="n">
        <f aca="false">B34*Declarations!$E$29+C34*Declarations!$E$30+D34*Declarations!$E$31+E34*Declarations!$E$32</f>
        <v>0.0992184858311457</v>
      </c>
      <c r="F35" s="13" t="n">
        <f aca="false">F34*Declarations!$B$29+G34*Declarations!$B$30+H34*Declarations!$B$31+I34*Declarations!$B$32</f>
        <v>0</v>
      </c>
      <c r="G35" s="13" t="n">
        <f aca="false">F34*Declarations!$C$29+G34*Declarations!$C$30+H34*Declarations!$C$31+I34*Declarations!$C$32</f>
        <v>0.0581497370030401</v>
      </c>
      <c r="H35" s="13" t="n">
        <f aca="false">F34*Declarations!$D$29+G34*Declarations!$D$30+H34*Declarations!$D$31+I34*Declarations!$D$32</f>
        <v>0</v>
      </c>
      <c r="I35" s="13" t="n">
        <f aca="false">F34*Declarations!$E$29+G34*Declarations!$E$30+H34*Declarations!$E$31+I34*Declarations!$E$32</f>
        <v>0</v>
      </c>
      <c r="K35" s="13" t="n">
        <f aca="false">K34*Declarations!$B$29+L34*Declarations!$B$30+M34*Declarations!$B$31+N34*Declarations!$B$32</f>
        <v>0.250344089742455</v>
      </c>
      <c r="L35" s="13" t="n">
        <f aca="false">K34*Declarations!$C$29+L34*Declarations!$C$30+M34*Declarations!$C$31+N34*Declarations!$C$32</f>
        <v>0</v>
      </c>
      <c r="M35" s="13" t="n">
        <f aca="false">K34*Declarations!$D$29+L34*Declarations!$D$30+M34*Declarations!$D$31+N34*Declarations!$D$32</f>
        <v>0.153755482191532</v>
      </c>
      <c r="N35" s="13" t="n">
        <f aca="false">K34*Declarations!$E$29+L34*Declarations!$E$30+M34*Tech_to_cap_case2+N34*Declarations!$E$32</f>
        <v>0</v>
      </c>
      <c r="O35" s="13" t="n">
        <f aca="false">O34*Declarations!$B$29+P34*Declarations!$B$30+Q34*Declarations!$B$31+R34*Declarations!$B$32</f>
        <v>0</v>
      </c>
      <c r="P35" s="13" t="n">
        <f aca="false">O34*Declarations!$C$29+P34*Declarations!$C$30+Q34*Declarations!$C$31+R34*Declarations!$C$32</f>
        <v>0.0581497370030401</v>
      </c>
      <c r="Q35" s="13" t="n">
        <f aca="false">O34*Declarations!$D$29+P34*Declarations!$D$30+Q34*Declarations!$D$31+R34*Declarations!$D$32</f>
        <v>0</v>
      </c>
      <c r="R35" s="13" t="n">
        <f aca="false">O34*Declarations!$E$29+P34*Declarations!$E$30+Q34*Tech_to_cap_case2+R34*Declarations!$E$32</f>
        <v>0</v>
      </c>
      <c r="W35" s="11" t="n">
        <v>20</v>
      </c>
      <c r="X35" s="13" t="n">
        <f aca="false">SUMPRODUCT(($A$8:$A$48&lt;$W$35)*$B$8:$B$48*$B$8:$B$48)</f>
        <v>8.93833685574252</v>
      </c>
      <c r="Y35" s="13" t="n">
        <f aca="false">SUMPRODUCT(($A$8:$A$48&lt;$W$35)*$B$8:$B$48*$D$8:$D$48)</f>
        <v>1.87388890067262</v>
      </c>
      <c r="Z35" s="13" t="n">
        <f aca="false">SUMPRODUCT(($A$8:$A$48&lt;$W$35)*$B$8:$B$48*$E$8:$E$48)</f>
        <v>0.44422870019207</v>
      </c>
      <c r="AA35" s="21" t="n">
        <f aca="false">MDETERM(X35:Z37)</f>
        <v>0.00892177491767605</v>
      </c>
      <c r="AB35" s="17" t="n">
        <f aca="false">Report_err*SQRT((X35*Y36-Y35*X36)/AA35)</f>
        <v>14.2773726877447</v>
      </c>
    </row>
    <row r="36" customFormat="false" ht="15" hidden="false" customHeight="false" outlineLevel="0" collapsed="false">
      <c r="A36" s="18" t="n">
        <v>28</v>
      </c>
      <c r="B36" s="13" t="n">
        <f aca="false">B35*Declarations!$B$29+C35*Declarations!$B$30+D35*Declarations!$B$31+E35*Declarations!$B$32</f>
        <v>0.237826885255332</v>
      </c>
      <c r="C36" s="13" t="n">
        <f aca="false">B35*Declarations!$C$29+C35*Declarations!$C$30+D35*Declarations!$C$31+E35*Declarations!$C$32</f>
        <v>0</v>
      </c>
      <c r="D36" s="13" t="n">
        <f aca="false">B35*Declarations!$D$29+C35*Declarations!$D$30+D35*Declarations!$D$31+E35*Declarations!$D$32</f>
        <v>0.148393697562077</v>
      </c>
      <c r="E36" s="13" t="n">
        <f aca="false">B35*Declarations!$E$29+C35*Declarations!$E$30+D35*Declarations!$E$31+E35*Declarations!$E$32</f>
        <v>0.0989687810742306</v>
      </c>
      <c r="F36" s="13" t="n">
        <f aca="false">F35*Declarations!$B$29+G35*Declarations!$B$30+H35*Declarations!$B$31+I35*Declarations!$B$32</f>
        <v>0</v>
      </c>
      <c r="G36" s="13" t="n">
        <f aca="false">F35*Declarations!$C$29+G35*Declarations!$C$30+H35*Declarations!$C$31+I35*Declarations!$C$32</f>
        <v>0.0523347633027361</v>
      </c>
      <c r="H36" s="13" t="n">
        <f aca="false">F35*Declarations!$D$29+G35*Declarations!$D$30+H35*Declarations!$D$31+I35*Declarations!$D$32</f>
        <v>0</v>
      </c>
      <c r="I36" s="13" t="n">
        <f aca="false">F35*Declarations!$E$29+G35*Declarations!$E$30+H35*Declarations!$E$31+I35*Declarations!$E$32</f>
        <v>0</v>
      </c>
      <c r="K36" s="13" t="n">
        <f aca="false">K35*Declarations!$B$29+L35*Declarations!$B$30+M35*Declarations!$B$31+N35*Declarations!$B$32</f>
        <v>0.237826885255332</v>
      </c>
      <c r="L36" s="13" t="n">
        <f aca="false">K35*Declarations!$C$29+L35*Declarations!$C$30+M35*Declarations!$C$31+N35*Declarations!$C$32</f>
        <v>0</v>
      </c>
      <c r="M36" s="13" t="n">
        <f aca="false">K35*Declarations!$D$29+L35*Declarations!$D$30+M35*Declarations!$D$31+N35*Declarations!$D$32</f>
        <v>0.148393697562077</v>
      </c>
      <c r="N36" s="13" t="n">
        <f aca="false">K35*Declarations!$E$29+L35*Declarations!$E$30+M35*Tech_to_cap_case2+N35*Declarations!$E$32</f>
        <v>0</v>
      </c>
      <c r="O36" s="13" t="n">
        <f aca="false">O35*Declarations!$B$29+P35*Declarations!$B$30+Q35*Declarations!$B$31+R35*Declarations!$B$32</f>
        <v>0</v>
      </c>
      <c r="P36" s="13" t="n">
        <f aca="false">O35*Declarations!$C$29+P35*Declarations!$C$30+Q35*Declarations!$C$31+R35*Declarations!$C$32</f>
        <v>0.0523347633027361</v>
      </c>
      <c r="Q36" s="13" t="n">
        <f aca="false">O35*Declarations!$D$29+P35*Declarations!$D$30+Q35*Declarations!$D$31+R35*Declarations!$D$32</f>
        <v>0</v>
      </c>
      <c r="R36" s="13" t="n">
        <f aca="false">O35*Declarations!$E$29+P35*Declarations!$E$30+Q35*Tech_to_cap_case2+R35*Declarations!$E$32</f>
        <v>0</v>
      </c>
      <c r="X36" s="13" t="n">
        <f aca="false">SUMPRODUCT(($A$8:$A$48&lt;$W$35)*$D$8:$D$48*$B$8:$B$48)</f>
        <v>1.87388890067262</v>
      </c>
      <c r="Y36" s="13" t="n">
        <f aca="false">SUMPRODUCT(($A$8:$A$48&lt;$W$35)*$D$8:$D$48*$D$8:$D$48)</f>
        <v>0.596319468756135</v>
      </c>
      <c r="Z36" s="13" t="n">
        <f aca="false">SUMPRODUCT(($A$8:$A$48&lt;$W$35)*$D$8:$D$48*$E$8:$E$48)</f>
        <v>0.171299620674095</v>
      </c>
    </row>
    <row r="37" customFormat="false" ht="15" hidden="false" customHeight="false" outlineLevel="0" collapsed="false">
      <c r="A37" s="18" t="n">
        <v>29</v>
      </c>
      <c r="B37" s="13" t="n">
        <f aca="false">B36*Declarations!$B$29+C36*Declarations!$B$30+D36*Declarations!$B$31+E36*Declarations!$B$32</f>
        <v>0.225935540992566</v>
      </c>
      <c r="C37" s="13" t="n">
        <f aca="false">B36*Declarations!$C$29+C36*Declarations!$C$30+D36*Declarations!$C$31+E36*Declarations!$C$32</f>
        <v>0</v>
      </c>
      <c r="D37" s="13" t="n">
        <f aca="false">B36*Declarations!$D$29+C36*Declarations!$D$30+D36*Declarations!$D$31+E36*Declarations!$D$32</f>
        <v>0.143067403216083</v>
      </c>
      <c r="E37" s="13" t="n">
        <f aca="false">B36*Declarations!$E$29+C36*Declarations!$E$30+D36*Declarations!$E$31+E36*Declarations!$E$32</f>
        <v>0.098470963466396</v>
      </c>
      <c r="F37" s="13" t="n">
        <f aca="false">F36*Declarations!$B$29+G36*Declarations!$B$30+H36*Declarations!$B$31+I36*Declarations!$B$32</f>
        <v>0</v>
      </c>
      <c r="G37" s="13" t="n">
        <f aca="false">F36*Declarations!$C$29+G36*Declarations!$C$30+H36*Declarations!$C$31+I36*Declarations!$C$32</f>
        <v>0.0471012869724625</v>
      </c>
      <c r="H37" s="13" t="n">
        <f aca="false">F36*Declarations!$D$29+G36*Declarations!$D$30+H36*Declarations!$D$31+I36*Declarations!$D$32</f>
        <v>0</v>
      </c>
      <c r="I37" s="13" t="n">
        <f aca="false">F36*Declarations!$E$29+G36*Declarations!$E$30+H36*Declarations!$E$31+I36*Declarations!$E$32</f>
        <v>0</v>
      </c>
      <c r="K37" s="13" t="n">
        <f aca="false">K36*Declarations!$B$29+L36*Declarations!$B$30+M36*Declarations!$B$31+N36*Declarations!$B$32</f>
        <v>0.225935540992566</v>
      </c>
      <c r="L37" s="13" t="n">
        <f aca="false">K36*Declarations!$C$29+L36*Declarations!$C$30+M36*Declarations!$C$31+N36*Declarations!$C$32</f>
        <v>0</v>
      </c>
      <c r="M37" s="13" t="n">
        <f aca="false">K36*Declarations!$D$29+L36*Declarations!$D$30+M36*Declarations!$D$31+N36*Declarations!$D$32</f>
        <v>0.143067403216083</v>
      </c>
      <c r="N37" s="13" t="n">
        <f aca="false">K36*Declarations!$E$29+L36*Declarations!$E$30+M36*Tech_to_cap_case2+N36*Declarations!$E$32</f>
        <v>0</v>
      </c>
      <c r="O37" s="13" t="n">
        <f aca="false">O36*Declarations!$B$29+P36*Declarations!$B$30+Q36*Declarations!$B$31+R36*Declarations!$B$32</f>
        <v>0</v>
      </c>
      <c r="P37" s="13" t="n">
        <f aca="false">O36*Declarations!$C$29+P36*Declarations!$C$30+Q36*Declarations!$C$31+R36*Declarations!$C$32</f>
        <v>0.0471012869724625</v>
      </c>
      <c r="Q37" s="13" t="n">
        <f aca="false">O36*Declarations!$D$29+P36*Declarations!$D$30+Q36*Declarations!$D$31+R36*Declarations!$D$32</f>
        <v>0</v>
      </c>
      <c r="R37" s="13" t="n">
        <f aca="false">O36*Declarations!$E$29+P36*Declarations!$E$30+Q36*Tech_to_cap_case2+R36*Declarations!$E$32</f>
        <v>0</v>
      </c>
      <c r="X37" s="13" t="n">
        <f aca="false">SUMPRODUCT(($A$8:$A$48&lt;$W$35)*$E$8:$E$48*$B$8:$B$48)</f>
        <v>0.44422870019207</v>
      </c>
      <c r="Y37" s="13" t="n">
        <f aca="false">SUMPRODUCT(($A$8:$A$48&lt;$W$35)*$E$8:$E$48*$D$8:$D$48)</f>
        <v>0.171299620674095</v>
      </c>
      <c r="Z37" s="13" t="n">
        <f aca="false">SUMPRODUCT(($A$8:$A$48&lt;$W$35)*$E$8:$E$48*$E$8:$E$48)</f>
        <v>0.0570149255321552</v>
      </c>
    </row>
    <row r="38" customFormat="false" ht="15" hidden="false" customHeight="false" outlineLevel="0" collapsed="false">
      <c r="A38" s="18" t="n">
        <v>30</v>
      </c>
      <c r="B38" s="13" t="n">
        <f aca="false">B37*Declarations!$B$29+C37*Declarations!$B$30+D37*Declarations!$B$31+E37*Declarations!$B$32</f>
        <v>0.214638763942937</v>
      </c>
      <c r="C38" s="13" t="n">
        <f aca="false">B37*Declarations!$C$29+C37*Declarations!$C$30+D37*Declarations!$C$31+E37*Declarations!$C$32</f>
        <v>0</v>
      </c>
      <c r="D38" s="13" t="n">
        <f aca="false">B37*Declarations!$D$29+C37*Declarations!$D$30+D37*Declarations!$D$31+E37*Declarations!$D$32</f>
        <v>0.137798084534177</v>
      </c>
      <c r="E38" s="13" t="n">
        <f aca="false">B37*Declarations!$E$29+C37*Declarations!$E$30+D37*Declarations!$E$31+E37*Declarations!$E$32</f>
        <v>0.0977466565498885</v>
      </c>
      <c r="F38" s="13" t="n">
        <f aca="false">F37*Declarations!$B$29+G37*Declarations!$B$30+H37*Declarations!$B$31+I37*Declarations!$B$32</f>
        <v>0</v>
      </c>
      <c r="G38" s="13" t="n">
        <f aca="false">F37*Declarations!$C$29+G37*Declarations!$C$30+H37*Declarations!$C$31+I37*Declarations!$C$32</f>
        <v>0.0423911582752162</v>
      </c>
      <c r="H38" s="13" t="n">
        <f aca="false">F37*Declarations!$D$29+G37*Declarations!$D$30+H37*Declarations!$D$31+I37*Declarations!$D$32</f>
        <v>0</v>
      </c>
      <c r="I38" s="13" t="n">
        <f aca="false">F37*Declarations!$E$29+G37*Declarations!$E$30+H37*Declarations!$E$31+I37*Declarations!$E$32</f>
        <v>0</v>
      </c>
      <c r="K38" s="13" t="n">
        <f aca="false">K37*Declarations!$B$29+L37*Declarations!$B$30+M37*Declarations!$B$31+N37*Declarations!$B$32</f>
        <v>0.214638763942937</v>
      </c>
      <c r="L38" s="13" t="n">
        <f aca="false">K37*Declarations!$C$29+L37*Declarations!$C$30+M37*Declarations!$C$31+N37*Declarations!$C$32</f>
        <v>0</v>
      </c>
      <c r="M38" s="13" t="n">
        <f aca="false">K37*Declarations!$D$29+L37*Declarations!$D$30+M37*Declarations!$D$31+N37*Declarations!$D$32</f>
        <v>0.137798084534177</v>
      </c>
      <c r="N38" s="13" t="n">
        <f aca="false">K37*Declarations!$E$29+L37*Declarations!$E$30+M37*Tech_to_cap_case2+N37*Declarations!$E$32</f>
        <v>0</v>
      </c>
      <c r="O38" s="13" t="n">
        <f aca="false">O37*Declarations!$B$29+P37*Declarations!$B$30+Q37*Declarations!$B$31+R37*Declarations!$B$32</f>
        <v>0</v>
      </c>
      <c r="P38" s="13" t="n">
        <f aca="false">O37*Declarations!$C$29+P37*Declarations!$C$30+Q37*Declarations!$C$31+R37*Declarations!$C$32</f>
        <v>0.0423911582752162</v>
      </c>
      <c r="Q38" s="13" t="n">
        <f aca="false">O37*Declarations!$D$29+P37*Declarations!$D$30+Q37*Declarations!$D$31+R37*Declarations!$D$32</f>
        <v>0</v>
      </c>
      <c r="R38" s="13" t="n">
        <f aca="false">O37*Declarations!$E$29+P37*Declarations!$E$30+Q37*Tech_to_cap_case2+R37*Declarations!$E$32</f>
        <v>0</v>
      </c>
    </row>
    <row r="39" customFormat="false" ht="15" hidden="false" customHeight="false" outlineLevel="0" collapsed="false">
      <c r="A39" s="18" t="n">
        <v>31</v>
      </c>
      <c r="B39" s="13" t="n">
        <f aca="false">B38*Declarations!$B$29+C38*Declarations!$B$30+D38*Declarations!$B$31+E38*Declarations!$B$32</f>
        <v>0.20390682574579</v>
      </c>
      <c r="C39" s="13" t="n">
        <f aca="false">B38*Declarations!$C$29+C38*Declarations!$C$30+D38*Declarations!$C$31+E38*Declarations!$C$32</f>
        <v>0</v>
      </c>
      <c r="D39" s="13" t="n">
        <f aca="false">B38*Declarations!$D$29+C38*Declarations!$D$30+D38*Declarations!$D$31+E38*Declarations!$D$32</f>
        <v>0.132603826638477</v>
      </c>
      <c r="E39" s="13" t="n">
        <f aca="false">B38*Declarations!$E$29+C38*Declarations!$E$30+D38*Declarations!$E$31+E38*Declarations!$E$32</f>
        <v>0.0968168282526063</v>
      </c>
      <c r="F39" s="13" t="n">
        <f aca="false">F38*Declarations!$B$29+G38*Declarations!$B$30+H38*Declarations!$B$31+I38*Declarations!$B$32</f>
        <v>0</v>
      </c>
      <c r="G39" s="13" t="n">
        <f aca="false">F38*Declarations!$C$29+G38*Declarations!$C$30+H38*Declarations!$C$31+I38*Declarations!$C$32</f>
        <v>0.0381520424476946</v>
      </c>
      <c r="H39" s="13" t="n">
        <f aca="false">F38*Declarations!$D$29+G38*Declarations!$D$30+H38*Declarations!$D$31+I38*Declarations!$D$32</f>
        <v>0</v>
      </c>
      <c r="I39" s="13" t="n">
        <f aca="false">F38*Declarations!$E$29+G38*Declarations!$E$30+H38*Declarations!$E$31+I38*Declarations!$E$32</f>
        <v>0</v>
      </c>
      <c r="K39" s="13" t="n">
        <f aca="false">K38*Declarations!$B$29+L38*Declarations!$B$30+M38*Declarations!$B$31+N38*Declarations!$B$32</f>
        <v>0.20390682574579</v>
      </c>
      <c r="L39" s="13" t="n">
        <f aca="false">K38*Declarations!$C$29+L38*Declarations!$C$30+M38*Declarations!$C$31+N38*Declarations!$C$32</f>
        <v>0</v>
      </c>
      <c r="M39" s="13" t="n">
        <f aca="false">K38*Declarations!$D$29+L38*Declarations!$D$30+M38*Declarations!$D$31+N38*Declarations!$D$32</f>
        <v>0.132603826638477</v>
      </c>
      <c r="N39" s="13" t="n">
        <f aca="false">K38*Declarations!$E$29+L38*Declarations!$E$30+M38*Tech_to_cap_case2+N38*Declarations!$E$32</f>
        <v>0</v>
      </c>
      <c r="O39" s="13" t="n">
        <f aca="false">O38*Declarations!$B$29+P38*Declarations!$B$30+Q38*Declarations!$B$31+R38*Declarations!$B$32</f>
        <v>0</v>
      </c>
      <c r="P39" s="13" t="n">
        <f aca="false">O38*Declarations!$C$29+P38*Declarations!$C$30+Q38*Declarations!$C$31+R38*Declarations!$C$32</f>
        <v>0.0381520424476946</v>
      </c>
      <c r="Q39" s="13" t="n">
        <f aca="false">O38*Declarations!$D$29+P38*Declarations!$D$30+Q38*Declarations!$D$31+R38*Declarations!$D$32</f>
        <v>0</v>
      </c>
      <c r="R39" s="13" t="n">
        <f aca="false">O38*Declarations!$E$29+P38*Declarations!$E$30+Q38*Tech_to_cap_case2+R38*Declarations!$E$32</f>
        <v>0</v>
      </c>
      <c r="W39" s="11" t="n">
        <v>40</v>
      </c>
      <c r="X39" s="13" t="n">
        <f aca="false">SUMPRODUCT(($A$8:$A$48&lt;$W$39)*$B$8:$B$48*$B$8:$B$48)</f>
        <v>10.0870218011793</v>
      </c>
      <c r="Y39" s="13" t="n">
        <f aca="false">SUMPRODUCT(($A$8:$A$48&lt;$W$39)*$B$8:$B$48*$D$8:$D$48)</f>
        <v>2.56285618931721</v>
      </c>
      <c r="Z39" s="13" t="n">
        <f aca="false">SUMPRODUCT(($A$8:$A$48&lt;$W$39)*$B$8:$B$48*$E$8:$E$48)</f>
        <v>0.882289273999531</v>
      </c>
      <c r="AA39" s="21" t="n">
        <f aca="false">MDETERM(X39:Z41)</f>
        <v>0.10915497679478</v>
      </c>
      <c r="AB39" s="17" t="n">
        <f aca="false">Report_err*SQRT((X39*Y40-Y39*X40)/AA39)</f>
        <v>5.77904955936505</v>
      </c>
    </row>
    <row r="40" customFormat="false" ht="15" hidden="false" customHeight="false" outlineLevel="0" collapsed="false">
      <c r="A40" s="18" t="n">
        <v>32</v>
      </c>
      <c r="B40" s="13" t="n">
        <f aca="false">B39*Declarations!$B$29+C39*Declarations!$B$30+D39*Declarations!$B$31+E39*Declarations!$B$32</f>
        <v>0.193711484458501</v>
      </c>
      <c r="C40" s="13" t="n">
        <f aca="false">B39*Declarations!$C$29+C39*Declarations!$C$30+D39*Declarations!$C$31+E39*Declarations!$C$32</f>
        <v>0</v>
      </c>
      <c r="D40" s="13" t="n">
        <f aca="false">B39*Declarations!$D$29+C39*Declarations!$D$30+D39*Declarations!$D$31+E39*Declarations!$D$32</f>
        <v>0.127499717004461</v>
      </c>
      <c r="E40" s="13" t="n">
        <f aca="false">B39*Declarations!$E$29+C39*Declarations!$E$30+D39*Declarations!$E$31+E39*Declarations!$E$32</f>
        <v>0.0957016733243216</v>
      </c>
      <c r="F40" s="13" t="n">
        <f aca="false">F39*Declarations!$B$29+G39*Declarations!$B$30+H39*Declarations!$B$31+I39*Declarations!$B$32</f>
        <v>0</v>
      </c>
      <c r="G40" s="13" t="n">
        <f aca="false">F39*Declarations!$C$29+G39*Declarations!$C$30+H39*Declarations!$C$31+I39*Declarations!$C$32</f>
        <v>0.0343368382029252</v>
      </c>
      <c r="H40" s="13" t="n">
        <f aca="false">F39*Declarations!$D$29+G39*Declarations!$D$30+H39*Declarations!$D$31+I39*Declarations!$D$32</f>
        <v>0</v>
      </c>
      <c r="I40" s="13" t="n">
        <f aca="false">F39*Declarations!$E$29+G39*Declarations!$E$30+H39*Declarations!$E$31+I39*Declarations!$E$32</f>
        <v>0</v>
      </c>
      <c r="K40" s="13" t="n">
        <f aca="false">K39*Declarations!$B$29+L39*Declarations!$B$30+M39*Declarations!$B$31+N39*Declarations!$B$32</f>
        <v>0.193711484458501</v>
      </c>
      <c r="L40" s="13" t="n">
        <f aca="false">K39*Declarations!$C$29+L39*Declarations!$C$30+M39*Declarations!$C$31+N39*Declarations!$C$32</f>
        <v>0</v>
      </c>
      <c r="M40" s="13" t="n">
        <f aca="false">K39*Declarations!$D$29+L39*Declarations!$D$30+M39*Declarations!$D$31+N39*Declarations!$D$32</f>
        <v>0.127499717004461</v>
      </c>
      <c r="N40" s="13" t="n">
        <f aca="false">K39*Declarations!$E$29+L39*Declarations!$E$30+M39*Tech_to_cap_case2+N39*Declarations!$E$32</f>
        <v>0</v>
      </c>
      <c r="O40" s="13" t="n">
        <f aca="false">O39*Declarations!$B$29+P39*Declarations!$B$30+Q39*Declarations!$B$31+R39*Declarations!$B$32</f>
        <v>0</v>
      </c>
      <c r="P40" s="13" t="n">
        <f aca="false">O39*Declarations!$C$29+P39*Declarations!$C$30+Q39*Declarations!$C$31+R39*Declarations!$C$32</f>
        <v>0.0343368382029252</v>
      </c>
      <c r="Q40" s="13" t="n">
        <f aca="false">O39*Declarations!$D$29+P39*Declarations!$D$30+Q39*Declarations!$D$31+R39*Declarations!$D$32</f>
        <v>0</v>
      </c>
      <c r="R40" s="13" t="n">
        <f aca="false">O39*Declarations!$E$29+P39*Declarations!$E$30+Q39*Tech_to_cap_case2+R39*Declarations!$E$32</f>
        <v>0</v>
      </c>
      <c r="X40" s="13" t="n">
        <f aca="false">SUMPRODUCT(($A$8:$A$48&lt;$W$39)*$D$8:$D$48*$B$8:$B$48)</f>
        <v>2.56285618931721</v>
      </c>
      <c r="Y40" s="13" t="n">
        <f aca="false">SUMPRODUCT(($A$8:$A$48&lt;$W$39)*$D$8:$D$48*$D$8:$D$48)</f>
        <v>1.0125610886773</v>
      </c>
      <c r="Z40" s="13" t="n">
        <f aca="false">SUMPRODUCT(($A$8:$A$48&lt;$W$39)*$D$8:$D$48*$E$8:$E$48)</f>
        <v>0.439986890310686</v>
      </c>
    </row>
    <row r="41" customFormat="false" ht="15" hidden="false" customHeight="false" outlineLevel="0" collapsed="false">
      <c r="A41" s="18" t="n">
        <v>33</v>
      </c>
      <c r="B41" s="13" t="n">
        <f aca="false">B40*Declarations!$B$29+C40*Declarations!$B$30+D40*Declarations!$B$31+E40*Declarations!$B$32</f>
        <v>0.184025910235576</v>
      </c>
      <c r="C41" s="13" t="n">
        <f aca="false">B40*Declarations!$C$29+C40*Declarations!$C$30+D40*Declarations!$C$31+E40*Declarations!$C$32</f>
        <v>0</v>
      </c>
      <c r="D41" s="13" t="n">
        <f aca="false">B40*Declarations!$D$29+C40*Declarations!$D$30+D40*Declarations!$D$31+E40*Declarations!$D$32</f>
        <v>0.122498204682355</v>
      </c>
      <c r="E41" s="13" t="n">
        <f aca="false">B40*Declarations!$E$29+C40*Declarations!$E$30+D40*Declarations!$E$31+E40*Declarations!$E$32</f>
        <v>0.0944205253085989</v>
      </c>
      <c r="F41" s="13" t="n">
        <f aca="false">F40*Declarations!$B$29+G40*Declarations!$B$30+H40*Declarations!$B$31+I40*Declarations!$B$32</f>
        <v>0</v>
      </c>
      <c r="G41" s="13" t="n">
        <f aca="false">F40*Declarations!$C$29+G40*Declarations!$C$30+H40*Declarations!$C$31+I40*Declarations!$C$32</f>
        <v>0.0309031543826326</v>
      </c>
      <c r="H41" s="13" t="n">
        <f aca="false">F40*Declarations!$D$29+G40*Declarations!$D$30+H40*Declarations!$D$31+I40*Declarations!$D$32</f>
        <v>0</v>
      </c>
      <c r="I41" s="13" t="n">
        <f aca="false">F40*Declarations!$E$29+G40*Declarations!$E$30+H40*Declarations!$E$31+I40*Declarations!$E$32</f>
        <v>0</v>
      </c>
      <c r="K41" s="13" t="n">
        <f aca="false">K40*Declarations!$B$29+L40*Declarations!$B$30+M40*Declarations!$B$31+N40*Declarations!$B$32</f>
        <v>0.184025910235576</v>
      </c>
      <c r="L41" s="13" t="n">
        <f aca="false">K40*Declarations!$C$29+L40*Declarations!$C$30+M40*Declarations!$C$31+N40*Declarations!$C$32</f>
        <v>0</v>
      </c>
      <c r="M41" s="13" t="n">
        <f aca="false">K40*Declarations!$D$29+L40*Declarations!$D$30+M40*Declarations!$D$31+N40*Declarations!$D$32</f>
        <v>0.122498204682355</v>
      </c>
      <c r="N41" s="13" t="n">
        <f aca="false">K40*Declarations!$E$29+L40*Declarations!$E$30+M40*Tech_to_cap_case2+N40*Declarations!$E$32</f>
        <v>0</v>
      </c>
      <c r="O41" s="13" t="n">
        <f aca="false">O40*Declarations!$B$29+P40*Declarations!$B$30+Q40*Declarations!$B$31+R40*Declarations!$B$32</f>
        <v>0</v>
      </c>
      <c r="P41" s="13" t="n">
        <f aca="false">O40*Declarations!$C$29+P40*Declarations!$C$30+Q40*Declarations!$C$31+R40*Declarations!$C$32</f>
        <v>0.0309031543826326</v>
      </c>
      <c r="Q41" s="13" t="n">
        <f aca="false">O40*Declarations!$D$29+P40*Declarations!$D$30+Q40*Declarations!$D$31+R40*Declarations!$D$32</f>
        <v>0</v>
      </c>
      <c r="R41" s="13" t="n">
        <f aca="false">O40*Declarations!$E$29+P40*Declarations!$E$30+Q40*Tech_to_cap_case2+R40*Declarations!$E$32</f>
        <v>0</v>
      </c>
      <c r="X41" s="13" t="n">
        <f aca="false">SUMPRODUCT(($A$8:$A$48&lt;$W$39)*$E$8:$E$48*$B$8:$B$48)</f>
        <v>0.882289273999531</v>
      </c>
      <c r="Y41" s="13" t="n">
        <f aca="false">SUMPRODUCT(($A$8:$A$48&lt;$W$39)*$E$8:$E$48*$D$8:$D$48)</f>
        <v>0.439986890310686</v>
      </c>
      <c r="Z41" s="13" t="n">
        <f aca="false">SUMPRODUCT(($A$8:$A$48&lt;$W$39)*$E$8:$E$48*$E$8:$E$48)</f>
        <v>0.235995126062319</v>
      </c>
    </row>
    <row r="42" customFormat="false" ht="15" hidden="false" customHeight="false" outlineLevel="0" collapsed="false">
      <c r="A42" s="18" t="n">
        <v>34</v>
      </c>
      <c r="B42" s="13" t="n">
        <f aca="false">B41*Declarations!$B$29+C41*Declarations!$B$30+D41*Declarations!$B$31+E41*Declarations!$B$32</f>
        <v>0.174824614723797</v>
      </c>
      <c r="C42" s="13" t="n">
        <f aca="false">B41*Declarations!$C$29+C41*Declarations!$C$30+D41*Declarations!$C$31+E41*Declarations!$C$32</f>
        <v>0</v>
      </c>
      <c r="D42" s="13" t="n">
        <f aca="false">B41*Declarations!$D$29+C41*Declarations!$D$30+D41*Declarations!$D$31+E41*Declarations!$D$32</f>
        <v>0.117609420623542</v>
      </c>
      <c r="E42" s="13" t="n">
        <f aca="false">B41*Declarations!$E$29+C41*Declarations!$E$30+D41*Declarations!$E$31+E41*Declarations!$E$32</f>
        <v>0.0929917935180287</v>
      </c>
      <c r="F42" s="13" t="n">
        <f aca="false">F41*Declarations!$B$29+G41*Declarations!$B$30+H41*Declarations!$B$31+I41*Declarations!$B$32</f>
        <v>0</v>
      </c>
      <c r="G42" s="13" t="n">
        <f aca="false">F41*Declarations!$C$29+G41*Declarations!$C$30+H41*Declarations!$C$31+I41*Declarations!$C$32</f>
        <v>0.0278128389443694</v>
      </c>
      <c r="H42" s="13" t="n">
        <f aca="false">F41*Declarations!$D$29+G41*Declarations!$D$30+H41*Declarations!$D$31+I41*Declarations!$D$32</f>
        <v>0</v>
      </c>
      <c r="I42" s="13" t="n">
        <f aca="false">F41*Declarations!$E$29+G41*Declarations!$E$30+H41*Declarations!$E$31+I41*Declarations!$E$32</f>
        <v>0</v>
      </c>
      <c r="K42" s="13" t="n">
        <f aca="false">K41*Declarations!$B$29+L41*Declarations!$B$30+M41*Declarations!$B$31+N41*Declarations!$B$32</f>
        <v>0.174824614723797</v>
      </c>
      <c r="L42" s="13" t="n">
        <f aca="false">K41*Declarations!$C$29+L41*Declarations!$C$30+M41*Declarations!$C$31+N41*Declarations!$C$32</f>
        <v>0</v>
      </c>
      <c r="M42" s="13" t="n">
        <f aca="false">K41*Declarations!$D$29+L41*Declarations!$D$30+M41*Declarations!$D$31+N41*Declarations!$D$32</f>
        <v>0.117609420623542</v>
      </c>
      <c r="N42" s="13" t="n">
        <f aca="false">K41*Declarations!$E$29+L41*Declarations!$E$30+M41*Tech_to_cap_case2+N41*Declarations!$E$32</f>
        <v>0</v>
      </c>
      <c r="O42" s="13" t="n">
        <f aca="false">O41*Declarations!$B$29+P41*Declarations!$B$30+Q41*Declarations!$B$31+R41*Declarations!$B$32</f>
        <v>0</v>
      </c>
      <c r="P42" s="13" t="n">
        <f aca="false">O41*Declarations!$C$29+P41*Declarations!$C$30+Q41*Declarations!$C$31+R41*Declarations!$C$32</f>
        <v>0.0278128389443694</v>
      </c>
      <c r="Q42" s="13" t="n">
        <f aca="false">O41*Declarations!$D$29+P41*Declarations!$D$30+Q41*Declarations!$D$31+R41*Declarations!$D$32</f>
        <v>0</v>
      </c>
      <c r="R42" s="13" t="n">
        <f aca="false">O41*Declarations!$E$29+P41*Declarations!$E$30+Q41*Tech_to_cap_case2+R41*Declarations!$E$32</f>
        <v>0</v>
      </c>
    </row>
    <row r="43" customFormat="false" ht="15" hidden="false" customHeight="false" outlineLevel="0" collapsed="false">
      <c r="A43" s="18" t="n">
        <v>35</v>
      </c>
      <c r="B43" s="13" t="n">
        <f aca="false">B42*Declarations!$B$29+C42*Declarations!$B$30+D42*Declarations!$B$31+E42*Declarations!$B$32</f>
        <v>0.166083383987607</v>
      </c>
      <c r="C43" s="13" t="n">
        <f aca="false">B42*Declarations!$C$29+C42*Declarations!$C$30+D42*Declarations!$C$31+E42*Declarations!$C$32</f>
        <v>0</v>
      </c>
      <c r="D43" s="13" t="n">
        <f aca="false">B42*Declarations!$D$29+C42*Declarations!$D$30+D42*Declarations!$D$31+E42*Declarations!$D$32</f>
        <v>0.11284146315014</v>
      </c>
      <c r="E43" s="13" t="n">
        <f aca="false">B42*Declarations!$E$29+C42*Declarations!$E$30+D42*Declarations!$E$31+E42*Declarations!$E$32</f>
        <v>0.0914329210677636</v>
      </c>
      <c r="F43" s="13" t="n">
        <f aca="false">F42*Declarations!$B$29+G42*Declarations!$B$30+H42*Declarations!$B$31+I42*Declarations!$B$32</f>
        <v>0</v>
      </c>
      <c r="G43" s="13" t="n">
        <f aca="false">F42*Declarations!$C$29+G42*Declarations!$C$30+H42*Declarations!$C$31+I42*Declarations!$C$32</f>
        <v>0.0250315550499324</v>
      </c>
      <c r="H43" s="13" t="n">
        <f aca="false">F42*Declarations!$D$29+G42*Declarations!$D$30+H42*Declarations!$D$31+I42*Declarations!$D$32</f>
        <v>0</v>
      </c>
      <c r="I43" s="13" t="n">
        <f aca="false">F42*Declarations!$E$29+G42*Declarations!$E$30+H42*Declarations!$E$31+I42*Declarations!$E$32</f>
        <v>0</v>
      </c>
      <c r="K43" s="13" t="n">
        <f aca="false">K42*Declarations!$B$29+L42*Declarations!$B$30+M42*Declarations!$B$31+N42*Declarations!$B$32</f>
        <v>0.166083383987607</v>
      </c>
      <c r="L43" s="13" t="n">
        <f aca="false">K42*Declarations!$C$29+L42*Declarations!$C$30+M42*Declarations!$C$31+N42*Declarations!$C$32</f>
        <v>0</v>
      </c>
      <c r="M43" s="13" t="n">
        <f aca="false">K42*Declarations!$D$29+L42*Declarations!$D$30+M42*Declarations!$D$31+N42*Declarations!$D$32</f>
        <v>0.11284146315014</v>
      </c>
      <c r="N43" s="13" t="n">
        <f aca="false">K42*Declarations!$E$29+L42*Declarations!$E$30+M42*Tech_to_cap_case2+N42*Declarations!$E$32</f>
        <v>0</v>
      </c>
      <c r="O43" s="13" t="n">
        <f aca="false">O42*Declarations!$B$29+P42*Declarations!$B$30+Q42*Declarations!$B$31+R42*Declarations!$B$32</f>
        <v>0</v>
      </c>
      <c r="P43" s="13" t="n">
        <f aca="false">O42*Declarations!$C$29+P42*Declarations!$C$30+Q42*Declarations!$C$31+R42*Declarations!$C$32</f>
        <v>0.0250315550499324</v>
      </c>
      <c r="Q43" s="13" t="n">
        <f aca="false">O42*Declarations!$D$29+P42*Declarations!$D$30+Q42*Declarations!$D$31+R42*Declarations!$D$32</f>
        <v>0</v>
      </c>
      <c r="R43" s="13" t="n">
        <f aca="false">O42*Declarations!$E$29+P42*Declarations!$E$30+Q42*Tech_to_cap_case2+R42*Declarations!$E$32</f>
        <v>0</v>
      </c>
      <c r="W43" s="10" t="s">
        <v>261</v>
      </c>
    </row>
    <row r="44" customFormat="false" ht="15" hidden="false" customHeight="false" outlineLevel="0" collapsed="false">
      <c r="A44" s="18" t="n">
        <v>36</v>
      </c>
      <c r="B44" s="13" t="n">
        <f aca="false">B43*Declarations!$B$29+C43*Declarations!$B$30+D43*Declarations!$B$31+E43*Declarations!$B$32</f>
        <v>0.157779214788227</v>
      </c>
      <c r="C44" s="13" t="n">
        <f aca="false">B43*Declarations!$C$29+C43*Declarations!$C$30+D43*Declarations!$C$31+E43*Declarations!$C$32</f>
        <v>0</v>
      </c>
      <c r="D44" s="13" t="n">
        <f aca="false">B43*Declarations!$D$29+C43*Declarations!$D$30+D43*Declarations!$D$31+E43*Declarations!$D$32</f>
        <v>0.10820065219463</v>
      </c>
      <c r="E44" s="13" t="n">
        <f aca="false">B43*Declarations!$E$29+C43*Declarations!$E$30+D43*Declarations!$E$31+E43*Declarations!$E$32</f>
        <v>0.0897603605398495</v>
      </c>
      <c r="F44" s="13" t="n">
        <f aca="false">F43*Declarations!$B$29+G43*Declarations!$B$30+H43*Declarations!$B$31+I43*Declarations!$B$32</f>
        <v>0</v>
      </c>
      <c r="G44" s="13" t="n">
        <f aca="false">F43*Declarations!$C$29+G43*Declarations!$C$30+H43*Declarations!$C$31+I43*Declarations!$C$32</f>
        <v>0.0225283995449392</v>
      </c>
      <c r="H44" s="13" t="n">
        <f aca="false">F43*Declarations!$D$29+G43*Declarations!$D$30+H43*Declarations!$D$31+I43*Declarations!$D$32</f>
        <v>0</v>
      </c>
      <c r="I44" s="13" t="n">
        <f aca="false">F43*Declarations!$E$29+G43*Declarations!$E$30+H43*Declarations!$E$31+I43*Declarations!$E$32</f>
        <v>0</v>
      </c>
      <c r="K44" s="13" t="n">
        <f aca="false">K43*Declarations!$B$29+L43*Declarations!$B$30+M43*Declarations!$B$31+N43*Declarations!$B$32</f>
        <v>0.157779214788227</v>
      </c>
      <c r="L44" s="13" t="n">
        <f aca="false">K43*Declarations!$C$29+L43*Declarations!$C$30+M43*Declarations!$C$31+N43*Declarations!$C$32</f>
        <v>0</v>
      </c>
      <c r="M44" s="13" t="n">
        <f aca="false">K43*Declarations!$D$29+L43*Declarations!$D$30+M43*Declarations!$D$31+N43*Declarations!$D$32</f>
        <v>0.10820065219463</v>
      </c>
      <c r="N44" s="13" t="n">
        <f aca="false">K43*Declarations!$E$29+L43*Declarations!$E$30+M43*Tech_to_cap_case2+N43*Declarations!$E$32</f>
        <v>0</v>
      </c>
      <c r="O44" s="13" t="n">
        <f aca="false">O43*Declarations!$B$29+P43*Declarations!$B$30+Q43*Declarations!$B$31+R43*Declarations!$B$32</f>
        <v>0</v>
      </c>
      <c r="P44" s="13" t="n">
        <f aca="false">O43*Declarations!$C$29+P43*Declarations!$C$30+Q43*Declarations!$C$31+R43*Declarations!$C$32</f>
        <v>0.0225283995449392</v>
      </c>
      <c r="Q44" s="13" t="n">
        <f aca="false">O43*Declarations!$D$29+P43*Declarations!$D$30+Q43*Declarations!$D$31+R43*Declarations!$D$32</f>
        <v>0</v>
      </c>
      <c r="R44" s="13" t="n">
        <f aca="false">O43*Declarations!$E$29+P43*Declarations!$E$30+Q43*Tech_to_cap_case2+R43*Declarations!$E$32</f>
        <v>0</v>
      </c>
    </row>
    <row r="45" customFormat="false" ht="15" hidden="false" customHeight="false" outlineLevel="0" collapsed="false">
      <c r="A45" s="18" t="n">
        <v>37</v>
      </c>
      <c r="B45" s="13" t="n">
        <f aca="false">B44*Declarations!$B$29+C44*Declarations!$B$30+D44*Declarations!$B$31+E44*Declarations!$B$32</f>
        <v>0.149890254048815</v>
      </c>
      <c r="C45" s="13" t="n">
        <f aca="false">B44*Declarations!$C$29+C44*Declarations!$C$30+D44*Declarations!$C$31+E44*Declarations!$C$32</f>
        <v>0</v>
      </c>
      <c r="D45" s="13" t="n">
        <f aca="false">B44*Declarations!$D$29+C44*Declarations!$D$30+D44*Declarations!$D$31+E44*Declarations!$D$32</f>
        <v>0.103691755566696</v>
      </c>
      <c r="E45" s="13" t="n">
        <f aca="false">B44*Declarations!$E$29+C44*Declarations!$E$30+D44*Declarations!$E$31+E44*Declarations!$E$32</f>
        <v>0.087989564306393</v>
      </c>
      <c r="F45" s="13" t="n">
        <f aca="false">F44*Declarations!$B$29+G44*Declarations!$B$30+H44*Declarations!$B$31+I44*Declarations!$B$32</f>
        <v>0</v>
      </c>
      <c r="G45" s="13" t="n">
        <f aca="false">F44*Declarations!$C$29+G44*Declarations!$C$30+H44*Declarations!$C$31+I44*Declarations!$C$32</f>
        <v>0.0202755595904453</v>
      </c>
      <c r="H45" s="13" t="n">
        <f aca="false">F44*Declarations!$D$29+G44*Declarations!$D$30+H44*Declarations!$D$31+I44*Declarations!$D$32</f>
        <v>0</v>
      </c>
      <c r="I45" s="13" t="n">
        <f aca="false">F44*Declarations!$E$29+G44*Declarations!$E$30+H44*Declarations!$E$31+I44*Declarations!$E$32</f>
        <v>0</v>
      </c>
      <c r="K45" s="13" t="n">
        <f aca="false">K44*Declarations!$B$29+L44*Declarations!$B$30+M44*Declarations!$B$31+N44*Declarations!$B$32</f>
        <v>0.149890254048815</v>
      </c>
      <c r="L45" s="13" t="n">
        <f aca="false">K44*Declarations!$C$29+L44*Declarations!$C$30+M44*Declarations!$C$31+N44*Declarations!$C$32</f>
        <v>0</v>
      </c>
      <c r="M45" s="13" t="n">
        <f aca="false">K44*Declarations!$D$29+L44*Declarations!$D$30+M44*Declarations!$D$31+N44*Declarations!$D$32</f>
        <v>0.103691755566696</v>
      </c>
      <c r="N45" s="13" t="n">
        <f aca="false">K44*Declarations!$E$29+L44*Declarations!$E$30+M44*Tech_to_cap_case2+N44*Declarations!$E$32</f>
        <v>0</v>
      </c>
      <c r="O45" s="13" t="n">
        <f aca="false">O44*Declarations!$B$29+P44*Declarations!$B$30+Q44*Declarations!$B$31+R44*Declarations!$B$32</f>
        <v>0</v>
      </c>
      <c r="P45" s="13" t="n">
        <f aca="false">O44*Declarations!$C$29+P44*Declarations!$C$30+Q44*Declarations!$C$31+R44*Declarations!$C$32</f>
        <v>0.0202755595904453</v>
      </c>
      <c r="Q45" s="13" t="n">
        <f aca="false">O44*Declarations!$D$29+P44*Declarations!$D$30+Q44*Declarations!$D$31+R44*Declarations!$D$32</f>
        <v>0</v>
      </c>
      <c r="R45" s="13" t="n">
        <f aca="false">O44*Declarations!$E$29+P44*Declarations!$E$30+Q44*Tech_to_cap_case2+R44*Declarations!$E$32</f>
        <v>0</v>
      </c>
    </row>
    <row r="46" customFormat="false" ht="15" hidden="false" customHeight="false" outlineLevel="0" collapsed="false">
      <c r="A46" s="18" t="n">
        <v>38</v>
      </c>
      <c r="B46" s="13" t="n">
        <f aca="false">B45*Declarations!$B$29+C45*Declarations!$B$30+D45*Declarations!$B$31+E45*Declarations!$B$32</f>
        <v>0.142395741346375</v>
      </c>
      <c r="C46" s="13" t="n">
        <f aca="false">B45*Declarations!$C$29+C45*Declarations!$C$30+D45*Declarations!$C$31+E45*Declarations!$C$32</f>
        <v>0</v>
      </c>
      <c r="D46" s="13" t="n">
        <f aca="false">B45*Declarations!$D$29+C45*Declarations!$D$30+D45*Declarations!$D$31+E45*Declarations!$D$32</f>
        <v>0.0993181901719793</v>
      </c>
      <c r="E46" s="13" t="n">
        <f aca="false">B45*Declarations!$E$29+C45*Declarations!$E$30+D45*Declarations!$E$31+E45*Declarations!$E$32</f>
        <v>0.0861349869402164</v>
      </c>
      <c r="F46" s="13" t="n">
        <f aca="false">F45*Declarations!$B$29+G45*Declarations!$B$30+H45*Declarations!$B$31+I45*Declarations!$B$32</f>
        <v>0</v>
      </c>
      <c r="G46" s="13" t="n">
        <f aca="false">F45*Declarations!$C$29+G45*Declarations!$C$30+H45*Declarations!$C$31+I45*Declarations!$C$32</f>
        <v>0.0182480036314008</v>
      </c>
      <c r="H46" s="13" t="n">
        <f aca="false">F45*Declarations!$D$29+G45*Declarations!$D$30+H45*Declarations!$D$31+I45*Declarations!$D$32</f>
        <v>0</v>
      </c>
      <c r="I46" s="13" t="n">
        <f aca="false">F45*Declarations!$E$29+G45*Declarations!$E$30+H45*Declarations!$E$31+I45*Declarations!$E$32</f>
        <v>0</v>
      </c>
      <c r="K46" s="13" t="n">
        <f aca="false">K45*Declarations!$B$29+L45*Declarations!$B$30+M45*Declarations!$B$31+N45*Declarations!$B$32</f>
        <v>0.142395741346375</v>
      </c>
      <c r="L46" s="13" t="n">
        <f aca="false">K45*Declarations!$C$29+L45*Declarations!$C$30+M45*Declarations!$C$31+N45*Declarations!$C$32</f>
        <v>0</v>
      </c>
      <c r="M46" s="13" t="n">
        <f aca="false">K45*Declarations!$D$29+L45*Declarations!$D$30+M45*Declarations!$D$31+N45*Declarations!$D$32</f>
        <v>0.0993181901719793</v>
      </c>
      <c r="N46" s="13" t="n">
        <f aca="false">K45*Declarations!$E$29+L45*Declarations!$E$30+M45*Tech_to_cap_case2+N45*Declarations!$E$32</f>
        <v>0</v>
      </c>
      <c r="O46" s="13" t="n">
        <f aca="false">O45*Declarations!$B$29+P45*Declarations!$B$30+Q45*Declarations!$B$31+R45*Declarations!$B$32</f>
        <v>0</v>
      </c>
      <c r="P46" s="13" t="n">
        <f aca="false">O45*Declarations!$C$29+P45*Declarations!$C$30+Q45*Declarations!$C$31+R45*Declarations!$C$32</f>
        <v>0.0182480036314008</v>
      </c>
      <c r="Q46" s="13" t="n">
        <f aca="false">O45*Declarations!$D$29+P45*Declarations!$D$30+Q45*Declarations!$D$31+R45*Declarations!$D$32</f>
        <v>0</v>
      </c>
      <c r="R46" s="13" t="n">
        <f aca="false">O45*Declarations!$E$29+P45*Declarations!$E$30+Q45*Tech_to_cap_case2+R45*Declarations!$E$32</f>
        <v>0</v>
      </c>
    </row>
    <row r="47" customFormat="false" ht="15" hidden="false" customHeight="false" outlineLevel="0" collapsed="false">
      <c r="A47" s="18" t="n">
        <v>39</v>
      </c>
      <c r="B47" s="13" t="n">
        <f aca="false">B46*Declarations!$B$29+C46*Declarations!$B$30+D46*Declarations!$B$31+E46*Declarations!$B$32</f>
        <v>0.135275954279056</v>
      </c>
      <c r="C47" s="13" t="n">
        <f aca="false">B46*Declarations!$C$29+C46*Declarations!$C$30+D46*Declarations!$C$31+E46*Declarations!$C$32</f>
        <v>0</v>
      </c>
      <c r="D47" s="13" t="n">
        <f aca="false">B46*Declarations!$D$29+C46*Declarations!$D$30+D46*Declarations!$D$31+E46*Declarations!$D$32</f>
        <v>0.0950822008086363</v>
      </c>
      <c r="E47" s="13" t="n">
        <f aca="false">B46*Declarations!$E$29+C46*Declarations!$E$30+D46*Declarations!$E$31+E46*Declarations!$E$32</f>
        <v>0.0842100974935981</v>
      </c>
      <c r="F47" s="13" t="n">
        <f aca="false">F46*Declarations!$B$29+G46*Declarations!$B$30+H46*Declarations!$B$31+I46*Declarations!$B$32</f>
        <v>0</v>
      </c>
      <c r="G47" s="13" t="n">
        <f aca="false">F46*Declarations!$C$29+G46*Declarations!$C$30+H46*Declarations!$C$31+I46*Declarations!$C$32</f>
        <v>0.0164232032682607</v>
      </c>
      <c r="H47" s="13" t="n">
        <f aca="false">F46*Declarations!$D$29+G46*Declarations!$D$30+H46*Declarations!$D$31+I46*Declarations!$D$32</f>
        <v>0</v>
      </c>
      <c r="I47" s="13" t="n">
        <f aca="false">F46*Declarations!$E$29+G46*Declarations!$E$30+H46*Declarations!$E$31+I46*Declarations!$E$32</f>
        <v>0</v>
      </c>
      <c r="K47" s="13" t="n">
        <f aca="false">K46*Declarations!$B$29+L46*Declarations!$B$30+M46*Declarations!$B$31+N46*Declarations!$B$32</f>
        <v>0.135275954279056</v>
      </c>
      <c r="L47" s="13" t="n">
        <f aca="false">K46*Declarations!$C$29+L46*Declarations!$C$30+M46*Declarations!$C$31+N46*Declarations!$C$32</f>
        <v>0</v>
      </c>
      <c r="M47" s="13" t="n">
        <f aca="false">K46*Declarations!$D$29+L46*Declarations!$D$30+M46*Declarations!$D$31+N46*Declarations!$D$32</f>
        <v>0.0950822008086363</v>
      </c>
      <c r="N47" s="13" t="n">
        <f aca="false">K46*Declarations!$E$29+L46*Declarations!$E$30+M46*Tech_to_cap_case2+N46*Declarations!$E$32</f>
        <v>0</v>
      </c>
      <c r="O47" s="13" t="n">
        <f aca="false">O46*Declarations!$B$29+P46*Declarations!$B$30+Q46*Declarations!$B$31+R46*Declarations!$B$32</f>
        <v>0</v>
      </c>
      <c r="P47" s="13" t="n">
        <f aca="false">O46*Declarations!$C$29+P46*Declarations!$C$30+Q46*Declarations!$C$31+R46*Declarations!$C$32</f>
        <v>0.0164232032682607</v>
      </c>
      <c r="Q47" s="13" t="n">
        <f aca="false">O46*Declarations!$D$29+P46*Declarations!$D$30+Q46*Declarations!$D$31+R46*Declarations!$D$32</f>
        <v>0</v>
      </c>
      <c r="R47" s="13" t="n">
        <f aca="false">O46*Declarations!$E$29+P46*Declarations!$E$30+Q46*Tech_to_cap_case2+R46*Declarations!$E$32</f>
        <v>0</v>
      </c>
    </row>
    <row r="48" customFormat="false" ht="15" hidden="false" customHeight="false" outlineLevel="0" collapsed="false">
      <c r="A48" s="18" t="n">
        <v>40</v>
      </c>
      <c r="B48" s="13" t="n">
        <f aca="false">B47*Declarations!$B$29+C47*Declarations!$B$30+D47*Declarations!$B$31+E47*Declarations!$B$32</f>
        <v>0.128512156565103</v>
      </c>
      <c r="C48" s="13" t="n">
        <f aca="false">B47*Declarations!$C$29+C47*Declarations!$C$30+D47*Declarations!$C$31+E47*Declarations!$C$32</f>
        <v>0</v>
      </c>
      <c r="D48" s="13" t="n">
        <f aca="false">B47*Declarations!$D$29+C47*Declarations!$D$30+D47*Declarations!$D$31+E47*Declarations!$D$32</f>
        <v>0.0909850188989349</v>
      </c>
      <c r="E48" s="13" t="n">
        <f aca="false">B47*Declarations!$E$29+C47*Declarations!$E$30+D47*Declarations!$E$31+E47*Declarations!$E$32</f>
        <v>0.082227399734542</v>
      </c>
      <c r="F48" s="13" t="n">
        <f aca="false">F47*Declarations!$B$29+G47*Declarations!$B$30+H47*Declarations!$B$31+I47*Declarations!$B$32</f>
        <v>0</v>
      </c>
      <c r="G48" s="13" t="n">
        <f aca="false">F47*Declarations!$C$29+G47*Declarations!$C$30+H47*Declarations!$C$31+I47*Declarations!$C$32</f>
        <v>0.0147808829414346</v>
      </c>
      <c r="H48" s="13" t="n">
        <f aca="false">F47*Declarations!$D$29+G47*Declarations!$D$30+H47*Declarations!$D$31+I47*Declarations!$D$32</f>
        <v>0</v>
      </c>
      <c r="I48" s="13" t="n">
        <f aca="false">F47*Declarations!$E$29+G47*Declarations!$E$30+H47*Declarations!$E$31+I47*Declarations!$E$32</f>
        <v>0</v>
      </c>
      <c r="K48" s="13" t="n">
        <f aca="false">K47*Declarations!$B$29+L47*Declarations!$B$30+M47*Declarations!$B$31+N47*Declarations!$B$32</f>
        <v>0.128512156565103</v>
      </c>
      <c r="L48" s="13" t="n">
        <f aca="false">K47*Declarations!$C$29+L47*Declarations!$C$30+M47*Declarations!$C$31+N47*Declarations!$C$32</f>
        <v>0</v>
      </c>
      <c r="M48" s="13" t="n">
        <f aca="false">K47*Declarations!$D$29+L47*Declarations!$D$30+M47*Declarations!$D$31+N47*Declarations!$D$32</f>
        <v>0.0909850188989349</v>
      </c>
      <c r="N48" s="13" t="n">
        <f aca="false">K47*Declarations!$E$29+L47*Declarations!$E$30+M47*Tech_to_cap_case2+N47*Declarations!$E$32</f>
        <v>0</v>
      </c>
      <c r="O48" s="13" t="n">
        <f aca="false">O47*Declarations!$B$29+P47*Declarations!$B$30+Q47*Declarations!$B$31+R47*Declarations!$B$32</f>
        <v>0</v>
      </c>
      <c r="P48" s="13" t="n">
        <f aca="false">O47*Declarations!$C$29+P47*Declarations!$C$30+Q47*Declarations!$C$31+R47*Declarations!$C$32</f>
        <v>0.0147808829414346</v>
      </c>
      <c r="Q48" s="13" t="n">
        <f aca="false">O47*Declarations!$D$29+P47*Declarations!$D$30+Q47*Declarations!$D$31+R47*Declarations!$D$32</f>
        <v>0</v>
      </c>
      <c r="R48" s="13" t="n">
        <f aca="false">O47*Declarations!$E$29+P47*Declarations!$E$30+Q47*Tech_to_cap_case2+R47*Declarations!$E$32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4" min="4" style="0" width="40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10" min="7" style="0" width="8"/>
  </cols>
  <sheetData>
    <row r="1" customFormat="false" ht="15" hidden="false" customHeight="false" outlineLevel="0" collapsed="false">
      <c r="A1" s="1" t="s">
        <v>262</v>
      </c>
    </row>
    <row r="3" customFormat="false" ht="15" hidden="false" customHeight="false" outlineLevel="0" collapsed="false">
      <c r="A3" s="8" t="s">
        <v>263</v>
      </c>
      <c r="B3" s="8" t="s">
        <v>86</v>
      </c>
      <c r="C3" s="8" t="s">
        <v>84</v>
      </c>
    </row>
    <row r="4" customFormat="false" ht="15" hidden="false" customHeight="false" outlineLevel="0" collapsed="false">
      <c r="A4" s="2" t="s">
        <v>264</v>
      </c>
      <c r="B4" s="15" t="n">
        <f aca="false">(Carry_a-1)/Hire_b</f>
        <v>-0.166666666666667</v>
      </c>
      <c r="C4" s="10" t="s">
        <v>265</v>
      </c>
    </row>
    <row r="5" customFormat="false" ht="15" hidden="false" customHeight="false" outlineLevel="0" collapsed="false">
      <c r="A5" s="2" t="s">
        <v>266</v>
      </c>
      <c r="B5" s="15" t="n">
        <f aca="false">Carry_a/Hire_b</f>
        <v>1.5</v>
      </c>
      <c r="C5" s="10" t="s">
        <v>267</v>
      </c>
    </row>
    <row r="6" customFormat="false" ht="15" hidden="false" customHeight="false" outlineLevel="0" collapsed="false">
      <c r="A6" s="2" t="s">
        <v>268</v>
      </c>
      <c r="B6" s="15" t="n">
        <f aca="false">(Carry_a+1)/Hire_b</f>
        <v>3.16666666666667</v>
      </c>
      <c r="C6" s="10" t="s">
        <v>269</v>
      </c>
    </row>
    <row r="8" customFormat="false" ht="23.85" hidden="false" customHeight="false" outlineLevel="0" collapsed="false">
      <c r="A8" s="8" t="s">
        <v>270</v>
      </c>
      <c r="B8" s="8" t="s">
        <v>86</v>
      </c>
      <c r="C8" s="8" t="s">
        <v>271</v>
      </c>
      <c r="D8" s="8" t="s">
        <v>272</v>
      </c>
    </row>
    <row r="9" customFormat="false" ht="15" hidden="false" customHeight="false" outlineLevel="0" collapsed="false">
      <c r="A9" s="2" t="s">
        <v>91</v>
      </c>
      <c r="B9" s="12" t="n">
        <f aca="false">Gain_cautious</f>
        <v>0.5</v>
      </c>
      <c r="C9" s="12" t="n">
        <f aca="false">Carry_a-Hire_b*B9</f>
        <v>0.6</v>
      </c>
      <c r="D9" s="2" t="str">
        <f aca="false">IF(C9&gt;=1,"divergence persists: undercorrection",IF(C9&gt;0.000000000001,"steady convergence: calibrated steering",IF(C9&gt;=-0.000000000001,"one step: deadbeat",IF(C9&gt;-1+0.000000000001,"damped swings: aggressive but stable","growing swings: overcorrection"))))</f>
        <v>steady convergence: calibrated steering</v>
      </c>
    </row>
    <row r="10" customFormat="false" ht="15" hidden="false" customHeight="false" outlineLevel="0" collapsed="false">
      <c r="A10" s="2" t="s">
        <v>94</v>
      </c>
      <c r="B10" s="12" t="n">
        <f aca="false">Gain_moderate</f>
        <v>1</v>
      </c>
      <c r="C10" s="12" t="n">
        <f aca="false">Carry_a-Hire_b*B10</f>
        <v>0.3</v>
      </c>
      <c r="D10" s="2" t="str">
        <f aca="false">IF(C10&gt;=1,"divergence persists: undercorrection",IF(C10&gt;0.000000000001,"steady convergence: calibrated steering",IF(C10&gt;=-0.000000000001,"one step: deadbeat",IF(C10&gt;-1+0.000000000001,"damped swings: aggressive but stable","growing swings: overcorrection"))))</f>
        <v>steady convergence: calibrated steering</v>
      </c>
    </row>
    <row r="11" customFormat="false" ht="15" hidden="false" customHeight="false" outlineLevel="0" collapsed="false">
      <c r="A11" s="2" t="s">
        <v>97</v>
      </c>
      <c r="B11" s="12" t="n">
        <f aca="false">Gain_deadbeat</f>
        <v>1.5</v>
      </c>
      <c r="C11" s="12" t="n">
        <f aca="false">Carry_a-Hire_b*B11</f>
        <v>0</v>
      </c>
      <c r="D11" s="2" t="str">
        <f aca="false">IF(C11&gt;=1,"divergence persists: undercorrection",IF(C11&gt;0.000000000001,"steady convergence: calibrated steering",IF(C11&gt;=-0.000000000001,"one step: deadbeat",IF(C11&gt;-1+0.000000000001,"damped swings: aggressive but stable","growing swings: overcorrection"))))</f>
        <v>one step: deadbeat</v>
      </c>
    </row>
    <row r="12" customFormat="false" ht="15" hidden="false" customHeight="false" outlineLevel="0" collapsed="false">
      <c r="A12" s="2" t="s">
        <v>98</v>
      </c>
      <c r="B12" s="12" t="n">
        <f aca="false">Gain_aggressive</f>
        <v>2.5</v>
      </c>
      <c r="C12" s="12" t="n">
        <f aca="false">Carry_a-Hire_b*B12</f>
        <v>-0.6</v>
      </c>
      <c r="D12" s="2" t="str">
        <f aca="false">IF(C12&gt;=1,"divergence persists: undercorrection",IF(C12&gt;0.000000000001,"steady convergence: calibrated steering",IF(C12&gt;=-0.000000000001,"one step: deadbeat",IF(C12&gt;-1+0.000000000001,"damped swings: aggressive but stable","growing swings: overcorrection"))))</f>
        <v>damped swings: aggressive but stable</v>
      </c>
    </row>
    <row r="13" customFormat="false" ht="15" hidden="false" customHeight="false" outlineLevel="0" collapsed="false">
      <c r="A13" s="2" t="s">
        <v>100</v>
      </c>
      <c r="B13" s="12" t="n">
        <f aca="false">Gain_over</f>
        <v>3.5</v>
      </c>
      <c r="C13" s="12" t="n">
        <f aca="false">Carry_a-Hire_b*B13</f>
        <v>-1.2</v>
      </c>
      <c r="D13" s="2" t="str">
        <f aca="false">IF(C13&gt;=1,"divergence persists: undercorrection",IF(C13&gt;0.000000000001,"steady convergence: calibrated steering",IF(C13&gt;=-0.000000000001,"one step: deadbeat",IF(C13&gt;-1+0.000000000001,"damped swings: aggressive but stable","growing swings: overcorrection"))))</f>
        <v>growing swings: overcorrection</v>
      </c>
    </row>
    <row r="16" customFormat="false" ht="23.85" hidden="false" customHeight="false" outlineLevel="0" collapsed="false">
      <c r="A16" s="8" t="s">
        <v>155</v>
      </c>
      <c r="B16" s="8" t="s">
        <v>273</v>
      </c>
      <c r="C16" s="8" t="s">
        <v>274</v>
      </c>
      <c r="D16" s="8" t="s">
        <v>275</v>
      </c>
      <c r="E16" s="8" t="s">
        <v>276</v>
      </c>
      <c r="F16" s="8" t="s">
        <v>277</v>
      </c>
    </row>
    <row r="17" customFormat="false" ht="15" hidden="false" customHeight="false" outlineLevel="0" collapsed="false">
      <c r="A17" s="18" t="n">
        <v>0</v>
      </c>
      <c r="B17" s="17" t="n">
        <f aca="false">Gap_d0</f>
        <v>-100</v>
      </c>
      <c r="C17" s="17" t="n">
        <f aca="false">Gap_d0</f>
        <v>-100</v>
      </c>
      <c r="D17" s="17" t="n">
        <f aca="false">Gap_d0</f>
        <v>-100</v>
      </c>
      <c r="E17" s="17" t="n">
        <f aca="false">Gap_d0</f>
        <v>-100</v>
      </c>
      <c r="F17" s="17" t="n">
        <f aca="false">Gap_d0</f>
        <v>-100</v>
      </c>
    </row>
    <row r="18" customFormat="false" ht="15" hidden="false" customHeight="false" outlineLevel="0" collapsed="false">
      <c r="A18" s="18" t="n">
        <v>1</v>
      </c>
      <c r="B18" s="17" t="n">
        <f aca="false">$C$9*B17</f>
        <v>-60</v>
      </c>
      <c r="C18" s="17" t="n">
        <f aca="false">$C$10*C17</f>
        <v>-30</v>
      </c>
      <c r="D18" s="17" t="n">
        <f aca="false">$C$11*D17</f>
        <v>-0</v>
      </c>
      <c r="E18" s="17" t="n">
        <f aca="false">$C$12*E17</f>
        <v>60</v>
      </c>
      <c r="F18" s="17" t="n">
        <f aca="false">$C$13*F17</f>
        <v>120</v>
      </c>
    </row>
    <row r="19" customFormat="false" ht="15" hidden="false" customHeight="false" outlineLevel="0" collapsed="false">
      <c r="A19" s="18" t="n">
        <v>2</v>
      </c>
      <c r="B19" s="17" t="n">
        <f aca="false">$C$9*B18</f>
        <v>-36</v>
      </c>
      <c r="C19" s="17" t="n">
        <f aca="false">$C$10*C18</f>
        <v>-9</v>
      </c>
      <c r="D19" s="17" t="n">
        <f aca="false">$C$11*D18</f>
        <v>-0</v>
      </c>
      <c r="E19" s="17" t="n">
        <f aca="false">$C$12*E18</f>
        <v>-36</v>
      </c>
      <c r="F19" s="17" t="n">
        <f aca="false">$C$13*F18</f>
        <v>-144</v>
      </c>
    </row>
    <row r="20" customFormat="false" ht="15" hidden="false" customHeight="false" outlineLevel="0" collapsed="false">
      <c r="A20" s="18" t="n">
        <v>3</v>
      </c>
      <c r="B20" s="17" t="n">
        <f aca="false">$C$9*B19</f>
        <v>-21.6</v>
      </c>
      <c r="C20" s="17" t="n">
        <f aca="false">$C$10*C19</f>
        <v>-2.7</v>
      </c>
      <c r="D20" s="17" t="n">
        <f aca="false">$C$11*D19</f>
        <v>-0</v>
      </c>
      <c r="E20" s="17" t="n">
        <f aca="false">$C$12*E19</f>
        <v>21.6</v>
      </c>
      <c r="F20" s="17" t="n">
        <f aca="false">$C$13*F19</f>
        <v>172.8</v>
      </c>
    </row>
    <row r="21" customFormat="false" ht="15" hidden="false" customHeight="false" outlineLevel="0" collapsed="false">
      <c r="A21" s="18" t="n">
        <v>4</v>
      </c>
      <c r="B21" s="17" t="n">
        <f aca="false">$C$9*B20</f>
        <v>-12.96</v>
      </c>
      <c r="C21" s="17" t="n">
        <f aca="false">$C$10*C20</f>
        <v>-0.81</v>
      </c>
      <c r="D21" s="17" t="n">
        <f aca="false">$C$11*D20</f>
        <v>-0</v>
      </c>
      <c r="E21" s="17" t="n">
        <f aca="false">$C$12*E20</f>
        <v>-12.96</v>
      </c>
      <c r="F21" s="17" t="n">
        <f aca="false">$C$13*F20</f>
        <v>-207.36</v>
      </c>
    </row>
    <row r="22" customFormat="false" ht="15" hidden="false" customHeight="false" outlineLevel="0" collapsed="false">
      <c r="A22" s="18" t="n">
        <v>5</v>
      </c>
      <c r="B22" s="17" t="n">
        <f aca="false">$C$9*B21</f>
        <v>-7.77600000000001</v>
      </c>
      <c r="C22" s="17" t="n">
        <f aca="false">$C$10*C21</f>
        <v>-0.243</v>
      </c>
      <c r="D22" s="17" t="n">
        <f aca="false">$C$11*D21</f>
        <v>-0</v>
      </c>
      <c r="E22" s="17" t="n">
        <f aca="false">$C$12*E21</f>
        <v>7.776</v>
      </c>
      <c r="F22" s="17" t="n">
        <f aca="false">$C$13*F21</f>
        <v>248.832</v>
      </c>
    </row>
    <row r="23" customFormat="false" ht="15" hidden="false" customHeight="false" outlineLevel="0" collapsed="false">
      <c r="A23" s="18" t="n">
        <v>6</v>
      </c>
      <c r="B23" s="17" t="n">
        <f aca="false">$C$9*B22</f>
        <v>-4.6656</v>
      </c>
      <c r="C23" s="17" t="n">
        <f aca="false">$C$10*C22</f>
        <v>-0.0729000000000001</v>
      </c>
      <c r="D23" s="17" t="n">
        <f aca="false">$C$11*D22</f>
        <v>-0</v>
      </c>
      <c r="E23" s="17" t="n">
        <f aca="false">$C$12*E22</f>
        <v>-4.6656</v>
      </c>
      <c r="F23" s="17" t="n">
        <f aca="false">$C$13*F22</f>
        <v>-298.5984</v>
      </c>
    </row>
    <row r="24" customFormat="false" ht="15" hidden="false" customHeight="false" outlineLevel="0" collapsed="false">
      <c r="A24" s="18" t="n">
        <v>7</v>
      </c>
      <c r="B24" s="17" t="n">
        <f aca="false">$C$9*B23</f>
        <v>-2.79936</v>
      </c>
      <c r="C24" s="17" t="n">
        <f aca="false">$C$10*C23</f>
        <v>-0.02187</v>
      </c>
      <c r="D24" s="17" t="n">
        <f aca="false">$C$11*D23</f>
        <v>-0</v>
      </c>
      <c r="E24" s="17" t="n">
        <f aca="false">$C$12*E23</f>
        <v>2.79936</v>
      </c>
      <c r="F24" s="17" t="n">
        <f aca="false">$C$13*F23</f>
        <v>358.31808</v>
      </c>
    </row>
    <row r="25" customFormat="false" ht="15" hidden="false" customHeight="false" outlineLevel="0" collapsed="false">
      <c r="A25" s="18" t="n">
        <v>8</v>
      </c>
      <c r="B25" s="17" t="n">
        <f aca="false">$C$9*B24</f>
        <v>-1.679616</v>
      </c>
      <c r="C25" s="17" t="n">
        <f aca="false">$C$10*C24</f>
        <v>-0.00656100000000001</v>
      </c>
      <c r="D25" s="17" t="n">
        <f aca="false">$C$11*D24</f>
        <v>-0</v>
      </c>
      <c r="E25" s="17" t="n">
        <f aca="false">$C$12*E24</f>
        <v>-1.679616</v>
      </c>
      <c r="F25" s="17" t="n">
        <f aca="false">$C$13*F24</f>
        <v>-429.981696000001</v>
      </c>
    </row>
    <row r="26" customFormat="false" ht="15" hidden="false" customHeight="false" outlineLevel="0" collapsed="false">
      <c r="A26" s="18" t="n">
        <v>9</v>
      </c>
      <c r="B26" s="17" t="n">
        <f aca="false">$C$9*B25</f>
        <v>-1.0077696</v>
      </c>
      <c r="C26" s="17" t="n">
        <f aca="false">$C$10*C25</f>
        <v>-0.0019683</v>
      </c>
      <c r="D26" s="17" t="n">
        <f aca="false">$C$11*D25</f>
        <v>-0</v>
      </c>
      <c r="E26" s="17" t="n">
        <f aca="false">$C$12*E25</f>
        <v>1.0077696</v>
      </c>
      <c r="F26" s="17" t="n">
        <f aca="false">$C$13*F25</f>
        <v>515.978035200001</v>
      </c>
    </row>
    <row r="27" customFormat="false" ht="15" hidden="false" customHeight="false" outlineLevel="0" collapsed="false">
      <c r="A27" s="18" t="n">
        <v>10</v>
      </c>
      <c r="B27" s="17" t="n">
        <f aca="false">$C$9*B26</f>
        <v>-0.604661760000001</v>
      </c>
      <c r="C27" s="17" t="n">
        <f aca="false">$C$10*C26</f>
        <v>-0.000590490000000001</v>
      </c>
      <c r="D27" s="17" t="n">
        <f aca="false">$C$11*D26</f>
        <v>-0</v>
      </c>
      <c r="E27" s="17" t="n">
        <f aca="false">$C$12*E26</f>
        <v>-0.60466176</v>
      </c>
      <c r="F27" s="17" t="n">
        <f aca="false">$C$13*F26</f>
        <v>-619.173642240001</v>
      </c>
    </row>
    <row r="28" customFormat="false" ht="15" hidden="false" customHeight="false" outlineLevel="0" collapsed="false">
      <c r="A28" s="18" t="n">
        <v>11</v>
      </c>
      <c r="B28" s="17" t="n">
        <f aca="false">$C$9*B27</f>
        <v>-0.362797056000001</v>
      </c>
      <c r="C28" s="17" t="n">
        <f aca="false">$C$10*C27</f>
        <v>-0.000177147</v>
      </c>
      <c r="D28" s="17" t="n">
        <f aca="false">$C$11*D27</f>
        <v>-0</v>
      </c>
      <c r="E28" s="17" t="n">
        <f aca="false">$C$12*E27</f>
        <v>0.362797056</v>
      </c>
      <c r="F28" s="17" t="n">
        <f aca="false">$C$13*F27</f>
        <v>743.008370688001</v>
      </c>
    </row>
    <row r="29" customFormat="false" ht="15" hidden="false" customHeight="false" outlineLevel="0" collapsed="false">
      <c r="A29" s="18" t="n">
        <v>12</v>
      </c>
      <c r="B29" s="17" t="n">
        <f aca="false">$C$9*B28</f>
        <v>-0.2176782336</v>
      </c>
      <c r="C29" s="17" t="n">
        <f aca="false">$C$10*C28</f>
        <v>-5.31441000000001E-005</v>
      </c>
      <c r="D29" s="17" t="n">
        <f aca="false">$C$11*D28</f>
        <v>-0</v>
      </c>
      <c r="E29" s="17" t="n">
        <f aca="false">$C$12*E28</f>
        <v>-0.2176782336</v>
      </c>
      <c r="F29" s="17" t="n">
        <f aca="false">$C$13*F28</f>
        <v>-891.610044825602</v>
      </c>
    </row>
    <row r="31" customFormat="false" ht="15" hidden="false" customHeight="false" outlineLevel="0" collapsed="false">
      <c r="A31" s="8" t="s">
        <v>278</v>
      </c>
      <c r="B31" s="8" t="s">
        <v>279</v>
      </c>
      <c r="C31" s="8" t="s">
        <v>280</v>
      </c>
      <c r="D31" s="8" t="s">
        <v>281</v>
      </c>
      <c r="E31" s="8" t="s">
        <v>282</v>
      </c>
      <c r="F31" s="8" t="s">
        <v>283</v>
      </c>
      <c r="G31" s="8" t="s">
        <v>284</v>
      </c>
      <c r="H31" s="8" t="s">
        <v>285</v>
      </c>
      <c r="I31" s="8" t="s">
        <v>286</v>
      </c>
      <c r="J31" s="8" t="s">
        <v>287</v>
      </c>
    </row>
    <row r="32" customFormat="false" ht="15" hidden="false" customHeight="false" outlineLevel="0" collapsed="false">
      <c r="A32" s="2" t="s">
        <v>288</v>
      </c>
      <c r="B32" s="18" t="n">
        <f aca="false">B17</f>
        <v>-100</v>
      </c>
      <c r="C32" s="18" t="n">
        <f aca="false">B18</f>
        <v>-60</v>
      </c>
      <c r="D32" s="18" t="n">
        <f aca="false">B19</f>
        <v>-36</v>
      </c>
      <c r="E32" s="18" t="n">
        <f aca="false">B20</f>
        <v>-21.6</v>
      </c>
      <c r="F32" s="18" t="n">
        <f aca="false">B21</f>
        <v>-12.96</v>
      </c>
      <c r="G32" s="18" t="n">
        <f aca="false">B22</f>
        <v>-7.77600000000001</v>
      </c>
      <c r="H32" s="18" t="n">
        <f aca="false">B23</f>
        <v>-4.6656</v>
      </c>
      <c r="I32" s="18" t="n">
        <f aca="false">B24</f>
        <v>-2.79936</v>
      </c>
      <c r="J32" s="18" t="n">
        <f aca="false">B25</f>
        <v>-1.679616</v>
      </c>
    </row>
    <row r="33" customFormat="false" ht="15" hidden="false" customHeight="false" outlineLevel="0" collapsed="false">
      <c r="A33" s="2" t="s">
        <v>289</v>
      </c>
      <c r="B33" s="18" t="n">
        <f aca="false">D17</f>
        <v>-100</v>
      </c>
      <c r="C33" s="18" t="n">
        <f aca="false">D18</f>
        <v>-0</v>
      </c>
      <c r="D33" s="18" t="n">
        <f aca="false">D19</f>
        <v>-0</v>
      </c>
      <c r="E33" s="18" t="n">
        <f aca="false">D20</f>
        <v>-0</v>
      </c>
      <c r="F33" s="18" t="n">
        <f aca="false">D21</f>
        <v>-0</v>
      </c>
      <c r="G33" s="18" t="n">
        <f aca="false">D22</f>
        <v>-0</v>
      </c>
      <c r="H33" s="18" t="n">
        <f aca="false">D23</f>
        <v>-0</v>
      </c>
      <c r="I33" s="18" t="n">
        <f aca="false">D24</f>
        <v>-0</v>
      </c>
      <c r="J33" s="18" t="n">
        <f aca="false">D25</f>
        <v>-0</v>
      </c>
    </row>
    <row r="34" customFormat="false" ht="15" hidden="false" customHeight="false" outlineLevel="0" collapsed="false">
      <c r="A34" s="2" t="s">
        <v>290</v>
      </c>
      <c r="B34" s="18" t="n">
        <f aca="false">F17</f>
        <v>-100</v>
      </c>
      <c r="C34" s="18" t="n">
        <f aca="false">F18</f>
        <v>120</v>
      </c>
      <c r="D34" s="18" t="n">
        <f aca="false">F19</f>
        <v>-144</v>
      </c>
      <c r="E34" s="18" t="n">
        <f aca="false">F20</f>
        <v>172.8</v>
      </c>
      <c r="F34" s="18" t="n">
        <f aca="false">F21</f>
        <v>-207.36</v>
      </c>
      <c r="G34" s="18" t="n">
        <f aca="false">F22</f>
        <v>248.832</v>
      </c>
      <c r="H34" s="18" t="n">
        <f aca="false">F23</f>
        <v>-298.5984</v>
      </c>
      <c r="I34" s="18" t="n">
        <f aca="false">F24</f>
        <v>358.31808</v>
      </c>
      <c r="J34" s="18" t="n">
        <f aca="false">F25</f>
        <v>-429.981696000001</v>
      </c>
    </row>
    <row r="36" customFormat="false" ht="15" hidden="false" customHeight="false" outlineLevel="0" collapsed="false">
      <c r="A36" s="10" t="s">
        <v>291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0" topLeftCell="B31" activePane="bottomRight" state="frozen"/>
      <selection pane="topLeft" activeCell="A1" activeCellId="0" sqref="A1"/>
      <selection pane="topRight" activeCell="B1" activeCellId="0" sqref="B1"/>
      <selection pane="bottomLeft" activeCell="A31" activeCellId="0" sqref="A31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3"/>
    <col collapsed="false" customWidth="true" hidden="false" outlineLevel="0" max="4" min="3" style="0" width="14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18"/>
    <col collapsed="false" customWidth="true" hidden="false" outlineLevel="0" max="17" min="10" style="0" width="12"/>
    <col collapsed="false" customWidth="true" hidden="false" outlineLevel="0" max="18" min="18" style="0" width="16"/>
  </cols>
  <sheetData>
    <row r="1" customFormat="false" ht="15" hidden="false" customHeight="false" outlineLevel="0" collapsed="false">
      <c r="A1" s="1" t="s">
        <v>292</v>
      </c>
    </row>
    <row r="2" customFormat="false" ht="15" hidden="false" customHeight="false" outlineLevel="0" collapsed="false">
      <c r="A2" s="10" t="s">
        <v>293</v>
      </c>
    </row>
    <row r="4" customFormat="false" ht="15" hidden="false" customHeight="false" outlineLevel="0" collapsed="false">
      <c r="A4" s="2" t="s">
        <v>294</v>
      </c>
      <c r="B4" s="15" t="n">
        <f aca="false">1/Hire_b</f>
        <v>1.66666666666667</v>
      </c>
    </row>
    <row r="5" customFormat="false" ht="15" hidden="false" customHeight="false" outlineLevel="0" collapsed="false">
      <c r="A5" s="2" t="s">
        <v>295</v>
      </c>
      <c r="B5" s="15" t="n">
        <f aca="false">(Carry_a+1)/Hire_b</f>
        <v>3.16666666666667</v>
      </c>
    </row>
    <row r="6" customFormat="false" ht="15" hidden="false" customHeight="false" outlineLevel="0" collapsed="false">
      <c r="A6" s="2" t="s">
        <v>296</v>
      </c>
      <c r="B6" s="23" t="n">
        <f aca="false">B4/B5</f>
        <v>0.526315789473684</v>
      </c>
    </row>
    <row r="8" customFormat="false" ht="23.85" hidden="false" customHeight="false" outlineLevel="0" collapsed="false">
      <c r="A8" s="8" t="s">
        <v>270</v>
      </c>
      <c r="B8" s="8" t="s">
        <v>86</v>
      </c>
      <c r="C8" s="8" t="s">
        <v>297</v>
      </c>
      <c r="D8" s="8" t="s">
        <v>298</v>
      </c>
      <c r="E8" s="8" t="s">
        <v>299</v>
      </c>
      <c r="F8" s="8" t="s">
        <v>300</v>
      </c>
      <c r="G8" s="8" t="s">
        <v>301</v>
      </c>
      <c r="H8" s="8" t="s">
        <v>302</v>
      </c>
      <c r="I8" s="8" t="s">
        <v>303</v>
      </c>
    </row>
    <row r="9" customFormat="false" ht="15" hidden="false" customHeight="false" outlineLevel="0" collapsed="false">
      <c r="A9" s="2" t="s">
        <v>91</v>
      </c>
      <c r="B9" s="13" t="n">
        <f aca="false">Gain_cautious</f>
        <v>0.5</v>
      </c>
      <c r="C9" s="13" t="n">
        <f aca="false">Carry_a^2-4*Hire_b*B9</f>
        <v>-0.39</v>
      </c>
      <c r="D9" s="13" t="n">
        <f aca="false">IF(C9&lt;-0.000000000001,SQRT(Hire_b*B9),MAX(ABS((Carry_a+SQRT(MAX(C9,0)))/2),ABS((Carry_a-SQRT(MAX(C9,0)))/2)))</f>
        <v>0.547722557505166</v>
      </c>
      <c r="E9" s="13" t="n">
        <f aca="false">IF(C9&lt;-0.000000000001,Carry_a/(2*SQRT(Hire_b*B9)),"real roots")</f>
        <v>0.821583836257749</v>
      </c>
      <c r="F9" s="12" t="n">
        <f aca="false">IF(C9&lt;-0.000000000001,2*PI()/ACOS(E9),"no cycle")</f>
        <v>10.3578217585506</v>
      </c>
      <c r="G9" s="12" t="n">
        <f aca="false">IF(D9&lt;1,LN(2)/LN(1/D9),"grows")</f>
        <v>1.15143328498689</v>
      </c>
      <c r="H9" s="18" t="n">
        <f aca="false">IF(D9&lt;1,MAX(G$31:G$111)+1,"never")</f>
        <v>4</v>
      </c>
      <c r="I9" s="18" t="n">
        <f aca="false">IF(D9&lt;1,MAX(H$31:H$111)+1,"never")</f>
        <v>4</v>
      </c>
    </row>
    <row r="10" customFormat="false" ht="15" hidden="false" customHeight="false" outlineLevel="0" collapsed="false">
      <c r="A10" s="2" t="s">
        <v>94</v>
      </c>
      <c r="B10" s="13" t="n">
        <f aca="false">Gain_moderate</f>
        <v>1</v>
      </c>
      <c r="C10" s="13" t="n">
        <f aca="false">Carry_a^2-4*Hire_b*B10</f>
        <v>-1.59</v>
      </c>
      <c r="D10" s="13" t="n">
        <f aca="false">IF(C10&lt;-0.000000000001,SQRT(Hire_b*B10),MAX(ABS((Carry_a+SQRT(MAX(C10,0)))/2),ABS((Carry_a-SQRT(MAX(C10,0)))/2)))</f>
        <v>0.774596669241483</v>
      </c>
      <c r="E10" s="13" t="n">
        <f aca="false">IF(C10&lt;-0.000000000001,Carry_a/(2*SQRT(Hire_b*B10)),"real roots")</f>
        <v>0.580947501931113</v>
      </c>
      <c r="F10" s="12" t="n">
        <f aca="false">IF(C10&lt;-0.000000000001,2*PI()/ACOS(E10),"no cycle")</f>
        <v>6.60759143494341</v>
      </c>
      <c r="G10" s="12" t="n">
        <f aca="false">IF(D10&lt;1,LN(2)/LN(1/D10),"grows")</f>
        <v>2.71383089771345</v>
      </c>
      <c r="H10" s="18" t="n">
        <f aca="false">IF(D10&lt;1,MAX(I$31:I$111)+1,"never")</f>
        <v>9</v>
      </c>
      <c r="I10" s="18" t="n">
        <f aca="false">IF(D10&lt;1,MAX(J$31:J$111)+1,"never")</f>
        <v>12</v>
      </c>
    </row>
    <row r="11" customFormat="false" ht="15" hidden="false" customHeight="false" outlineLevel="0" collapsed="false">
      <c r="A11" s="2" t="s">
        <v>304</v>
      </c>
      <c r="B11" s="13" t="n">
        <f aca="false">Gain_deadbeat</f>
        <v>1.5</v>
      </c>
      <c r="C11" s="13" t="n">
        <f aca="false">Carry_a^2-4*Hire_b*B11</f>
        <v>-2.79</v>
      </c>
      <c r="D11" s="13" t="n">
        <f aca="false">IF(C11&lt;-0.000000000001,SQRT(Hire_b*B11),MAX(ABS((Carry_a+SQRT(MAX(C11,0)))/2),ABS((Carry_a-SQRT(MAX(C11,0)))/2)))</f>
        <v>0.948683298050514</v>
      </c>
      <c r="E11" s="13" t="n">
        <f aca="false">IF(C11&lt;-0.000000000001,Carry_a/(2*SQRT(Hire_b*B11)),"real roots")</f>
        <v>0.474341649025257</v>
      </c>
      <c r="F11" s="12" t="n">
        <f aca="false">IF(C11&lt;-0.000000000001,2*PI()/ACOS(E11),"no cycle")</f>
        <v>5.83624408722266</v>
      </c>
      <c r="G11" s="12" t="n">
        <f aca="false">IF(D11&lt;1,LN(2)/LN(1/D11),"grows")</f>
        <v>13.1576269579212</v>
      </c>
      <c r="H11" s="18" t="n">
        <f aca="false">IF(D11&lt;1,MAX(K$31:K$111)+1,"never")</f>
        <v>45</v>
      </c>
      <c r="I11" s="18" t="n">
        <f aca="false">IF(D11&lt;1,MAX(L$31:L$111)+1,"never")</f>
        <v>57</v>
      </c>
    </row>
    <row r="12" customFormat="false" ht="15" hidden="false" customHeight="false" outlineLevel="0" collapsed="false">
      <c r="A12" s="2" t="s">
        <v>305</v>
      </c>
      <c r="B12" s="13" t="n">
        <f aca="false">Gain_beyond</f>
        <v>1.8</v>
      </c>
      <c r="C12" s="13" t="n">
        <f aca="false">Carry_a^2-4*Hire_b*B12</f>
        <v>-3.51</v>
      </c>
      <c r="D12" s="13" t="n">
        <f aca="false">IF(C12&lt;-0.000000000001,SQRT(Hire_b*B12),MAX(ABS((Carry_a+SQRT(MAX(C12,0)))/2),ABS((Carry_a-SQRT(MAX(C12,0)))/2)))</f>
        <v>1.03923048454133</v>
      </c>
      <c r="E12" s="13" t="n">
        <f aca="false">IF(C12&lt;-0.000000000001,Carry_a/(2*SQRT(Hire_b*B12)),"real roots")</f>
        <v>0.433012701892219</v>
      </c>
      <c r="F12" s="12" t="n">
        <f aca="false">IF(C12&lt;-0.000000000001,2*PI()/ACOS(E12),"no cycle")</f>
        <v>5.59517998759723</v>
      </c>
      <c r="G12" s="12" t="str">
        <f aca="false">IF(D12&lt;1,LN(2)/LN(1/D12),"grows")</f>
        <v>grows</v>
      </c>
      <c r="H12" s="18" t="str">
        <f aca="false">IF(D12&lt;1,MAX(M$31:M$111)+1,"never")</f>
        <v>never</v>
      </c>
      <c r="I12" s="18" t="str">
        <f aca="false">IF(D12&lt;1,MAX(N$31:N$111)+1,"never")</f>
        <v>never</v>
      </c>
    </row>
    <row r="13" customFormat="false" ht="15" hidden="false" customHeight="false" outlineLevel="0" collapsed="false">
      <c r="A13" s="2" t="s">
        <v>306</v>
      </c>
      <c r="B13" s="13" t="n">
        <f aca="false">Gain_merged</f>
        <v>0.3375</v>
      </c>
      <c r="C13" s="13" t="n">
        <f aca="false">Carry_a^2-4*Hire_b*B13</f>
        <v>0</v>
      </c>
      <c r="D13" s="13" t="n">
        <f aca="false">IF(C13&lt;-0.000000000001,SQRT(Hire_b*B13),MAX(ABS((Carry_a+SQRT(MAX(C13,0)))/2),ABS((Carry_a-SQRT(MAX(C13,0)))/2)))</f>
        <v>0.45</v>
      </c>
      <c r="E13" s="13" t="str">
        <f aca="false">IF(C13&lt;-0.000000000001,Carry_a/(2*SQRT(Hire_b*B13)),"real roots")</f>
        <v>real roots</v>
      </c>
      <c r="F13" s="12" t="str">
        <f aca="false">IF(C13&lt;-0.000000000001,2*PI()/ACOS(E13),"no cycle")</f>
        <v>no cycle</v>
      </c>
      <c r="G13" s="12" t="n">
        <f aca="false">IF(D13&lt;1,LN(2)/LN(1/D13),"grows")</f>
        <v>0.868053224587716</v>
      </c>
      <c r="H13" s="18" t="n">
        <f aca="false">IF(D13&lt;1,MAX(O$31:O$111)+1,"never")</f>
        <v>6</v>
      </c>
      <c r="I13" s="18" t="n">
        <f aca="false">IF(D13&lt;1,MAX(P$31:P$111)+1,"never")</f>
        <v>7</v>
      </c>
    </row>
    <row r="15" customFormat="false" ht="15" hidden="false" customHeight="false" outlineLevel="0" collapsed="false">
      <c r="A15" s="8" t="s">
        <v>307</v>
      </c>
      <c r="B15" s="8" t="s">
        <v>20</v>
      </c>
      <c r="C15" s="8" t="s">
        <v>84</v>
      </c>
    </row>
    <row r="16" customFormat="false" ht="15" hidden="false" customHeight="false" outlineLevel="0" collapsed="false">
      <c r="A16" s="2" t="s">
        <v>308</v>
      </c>
      <c r="B16" s="18" t="n">
        <f aca="false">MATCH(MAX($D$31:$D$111),$D$31:$D$111,0)-1</f>
        <v>3</v>
      </c>
      <c r="C16" s="10" t="s">
        <v>309</v>
      </c>
    </row>
    <row r="17" customFormat="false" ht="15" hidden="false" customHeight="false" outlineLevel="0" collapsed="false">
      <c r="A17" s="2" t="s">
        <v>310</v>
      </c>
      <c r="B17" s="17" t="n">
        <f aca="false">MAX($D$31:$D$111)</f>
        <v>89.1</v>
      </c>
      <c r="C17" s="10" t="s">
        <v>311</v>
      </c>
    </row>
    <row r="18" customFormat="false" ht="15" hidden="false" customHeight="false" outlineLevel="0" collapsed="false">
      <c r="A18" s="2" t="s">
        <v>312</v>
      </c>
      <c r="B18" s="17" t="n">
        <f aca="false">MIN(R31:R111)</f>
        <v>-78.6590999999999</v>
      </c>
      <c r="C18" s="10" t="s">
        <v>313</v>
      </c>
    </row>
    <row r="19" customFormat="false" ht="15" hidden="false" customHeight="false" outlineLevel="0" collapsed="false">
      <c r="A19" s="2" t="s">
        <v>314</v>
      </c>
      <c r="B19" s="18" t="n">
        <f aca="false">MATCH(B18,$D$31:$D$111,0)-1</f>
        <v>6</v>
      </c>
      <c r="C19" s="10" t="s">
        <v>315</v>
      </c>
    </row>
    <row r="20" customFormat="false" ht="15" hidden="false" customHeight="false" outlineLevel="0" collapsed="false">
      <c r="A20" s="2" t="s">
        <v>316</v>
      </c>
      <c r="B20" s="17" t="n">
        <f aca="false">MAX(Q71:Q76)</f>
        <v>12.3657454760753</v>
      </c>
      <c r="C20" s="10"/>
    </row>
    <row r="21" customFormat="false" ht="15" hidden="false" customHeight="false" outlineLevel="0" collapsed="false">
      <c r="A21" s="2" t="s">
        <v>317</v>
      </c>
      <c r="B21" s="18" t="n">
        <f aca="false">IF(B20&gt;Band_10,1,0)</f>
        <v>1</v>
      </c>
      <c r="C21" s="10" t="s">
        <v>318</v>
      </c>
    </row>
    <row r="22" customFormat="false" ht="15" hidden="false" customHeight="false" outlineLevel="0" collapsed="false">
      <c r="A22" s="2" t="s">
        <v>319</v>
      </c>
      <c r="B22" s="15" t="n">
        <f aca="false">Carry_a/2</f>
        <v>0.45</v>
      </c>
      <c r="C22" s="10" t="s">
        <v>320</v>
      </c>
    </row>
    <row r="24" customFormat="false" ht="15" hidden="false" customHeight="false" outlineLevel="0" collapsed="false">
      <c r="A24" s="8" t="s">
        <v>321</v>
      </c>
      <c r="B24" s="8" t="s">
        <v>279</v>
      </c>
      <c r="C24" s="8" t="s">
        <v>280</v>
      </c>
      <c r="D24" s="8" t="s">
        <v>281</v>
      </c>
      <c r="E24" s="8" t="s">
        <v>282</v>
      </c>
      <c r="F24" s="8" t="s">
        <v>283</v>
      </c>
      <c r="G24" s="8" t="s">
        <v>284</v>
      </c>
      <c r="H24" s="8" t="s">
        <v>285</v>
      </c>
      <c r="I24" s="8" t="s">
        <v>286</v>
      </c>
      <c r="J24" s="8" t="s">
        <v>287</v>
      </c>
    </row>
    <row r="25" customFormat="false" ht="15" hidden="false" customHeight="false" outlineLevel="0" collapsed="false">
      <c r="A25" s="2" t="s">
        <v>288</v>
      </c>
      <c r="B25" s="18" t="n">
        <f aca="false">B31</f>
        <v>-100</v>
      </c>
      <c r="C25" s="18" t="n">
        <f aca="false">B32</f>
        <v>-90</v>
      </c>
      <c r="D25" s="18" t="n">
        <f aca="false">B33</f>
        <v>-51</v>
      </c>
      <c r="E25" s="18" t="n">
        <f aca="false">B34</f>
        <v>-18.9</v>
      </c>
      <c r="F25" s="18" t="n">
        <f aca="false">B35</f>
        <v>-1.71</v>
      </c>
      <c r="G25" s="18" t="n">
        <f aca="false">B36</f>
        <v>4.131</v>
      </c>
      <c r="H25" s="18" t="n">
        <f aca="false">B37</f>
        <v>4.2309</v>
      </c>
      <c r="I25" s="18" t="n">
        <f aca="false">B38</f>
        <v>2.56851</v>
      </c>
      <c r="J25" s="18" t="n">
        <f aca="false">B39</f>
        <v>1.042389</v>
      </c>
    </row>
    <row r="26" customFormat="false" ht="15" hidden="false" customHeight="false" outlineLevel="0" collapsed="false">
      <c r="A26" s="2" t="s">
        <v>322</v>
      </c>
      <c r="B26" s="18" t="n">
        <f aca="false">D31</f>
        <v>-100</v>
      </c>
      <c r="C26" s="18" t="n">
        <f aca="false">D32</f>
        <v>-90</v>
      </c>
      <c r="D26" s="18" t="n">
        <f aca="false">D33</f>
        <v>8.99999999999999</v>
      </c>
      <c r="E26" s="18" t="n">
        <f aca="false">D34</f>
        <v>89.1</v>
      </c>
      <c r="F26" s="18" t="n">
        <f aca="false">D35</f>
        <v>72.09</v>
      </c>
      <c r="G26" s="18" t="n">
        <f aca="false">D36</f>
        <v>-15.309</v>
      </c>
      <c r="H26" s="18" t="n">
        <f aca="false">D37</f>
        <v>-78.6590999999999</v>
      </c>
      <c r="I26" s="18" t="n">
        <f aca="false">D38</f>
        <v>-57.01509</v>
      </c>
      <c r="J26" s="18" t="n">
        <f aca="false">D39</f>
        <v>19.4796089999999</v>
      </c>
    </row>
    <row r="30" customFormat="false" ht="35.05" hidden="false" customHeight="false" outlineLevel="0" collapsed="false">
      <c r="A30" s="8" t="s">
        <v>155</v>
      </c>
      <c r="B30" s="8" t="s">
        <v>273</v>
      </c>
      <c r="C30" s="8" t="s">
        <v>274</v>
      </c>
      <c r="D30" s="8" t="s">
        <v>323</v>
      </c>
      <c r="E30" s="8" t="s">
        <v>324</v>
      </c>
      <c r="F30" s="8" t="s">
        <v>325</v>
      </c>
      <c r="G30" s="8" t="s">
        <v>326</v>
      </c>
      <c r="H30" s="8" t="s">
        <v>327</v>
      </c>
      <c r="I30" s="8" t="s">
        <v>328</v>
      </c>
      <c r="J30" s="8" t="s">
        <v>329</v>
      </c>
      <c r="K30" s="8" t="s">
        <v>330</v>
      </c>
      <c r="L30" s="8" t="s">
        <v>331</v>
      </c>
      <c r="M30" s="8" t="s">
        <v>332</v>
      </c>
      <c r="N30" s="8" t="s">
        <v>333</v>
      </c>
      <c r="O30" s="8" t="s">
        <v>334</v>
      </c>
      <c r="P30" s="8" t="s">
        <v>335</v>
      </c>
      <c r="Q30" s="8" t="s">
        <v>336</v>
      </c>
      <c r="R30" s="8" t="s">
        <v>337</v>
      </c>
    </row>
    <row r="31" customFormat="false" ht="15" hidden="false" customHeight="false" outlineLevel="0" collapsed="false">
      <c r="A31" s="18" t="n">
        <v>0</v>
      </c>
      <c r="B31" s="17" t="n">
        <f aca="false">Gap_d0</f>
        <v>-100</v>
      </c>
      <c r="C31" s="17" t="n">
        <f aca="false">Gap_d0</f>
        <v>-100</v>
      </c>
      <c r="D31" s="17" t="n">
        <f aca="false">Gap_d0</f>
        <v>-100</v>
      </c>
      <c r="E31" s="17" t="n">
        <f aca="false">Gap_d0</f>
        <v>-100</v>
      </c>
      <c r="F31" s="17" t="n">
        <f aca="false">Gap_d0</f>
        <v>-100</v>
      </c>
      <c r="G31" s="18" t="n">
        <f aca="false">IF(ABS(B31)&gt;Band_10+0.000000000001,A31,-1)</f>
        <v>0</v>
      </c>
      <c r="H31" s="18" t="n">
        <f aca="false">IF(ABS(B31)&gt;Band_5+0.000000000001,A31,-1)</f>
        <v>0</v>
      </c>
      <c r="I31" s="18" t="n">
        <f aca="false">IF(ABS(C31)&gt;Band_10+0.000000000001,A31,-1)</f>
        <v>0</v>
      </c>
      <c r="J31" s="18" t="n">
        <f aca="false">IF(ABS(C31)&gt;Band_5+0.000000000001,A31,-1)</f>
        <v>0</v>
      </c>
      <c r="K31" s="18" t="n">
        <f aca="false">IF(ABS(D31)&gt;Band_10+0.000000000001,A31,-1)</f>
        <v>0</v>
      </c>
      <c r="L31" s="18" t="n">
        <f aca="false">IF(ABS(D31)&gt;Band_5+0.000000000001,A31,-1)</f>
        <v>0</v>
      </c>
      <c r="M31" s="18" t="n">
        <f aca="false">IF(ABS(E31)&gt;Band_10+0.000000000001,A31,-1)</f>
        <v>0</v>
      </c>
      <c r="N31" s="18" t="n">
        <f aca="false">IF(ABS(E31)&gt;Band_5+0.000000000001,A31,-1)</f>
        <v>0</v>
      </c>
      <c r="O31" s="18" t="n">
        <f aca="false">IF(ABS(F31)&gt;Band_10+0.000000000001,A31,-1)</f>
        <v>0</v>
      </c>
      <c r="P31" s="18" t="n">
        <f aca="false">IF(ABS(F31)&gt;Band_5+0.000000000001,A31,-1)</f>
        <v>0</v>
      </c>
      <c r="Q31" s="17" t="n">
        <f aca="false">ABS(D31)</f>
        <v>100</v>
      </c>
      <c r="R31" s="17" t="n">
        <f aca="false">IF(AND(A31&gt;=$B$16,A31&lt;=$B$16+5),D31,1000000000)</f>
        <v>1000000000</v>
      </c>
    </row>
    <row r="32" customFormat="false" ht="15" hidden="false" customHeight="false" outlineLevel="0" collapsed="false">
      <c r="A32" s="18" t="n">
        <v>1</v>
      </c>
      <c r="B32" s="17" t="n">
        <f aca="false">Carry_a*B31</f>
        <v>-90</v>
      </c>
      <c r="C32" s="17" t="n">
        <f aca="false">Carry_a*C31</f>
        <v>-90</v>
      </c>
      <c r="D32" s="17" t="n">
        <f aca="false">Carry_a*D31</f>
        <v>-90</v>
      </c>
      <c r="E32" s="17" t="n">
        <f aca="false">Carry_a*E31</f>
        <v>-90</v>
      </c>
      <c r="F32" s="17" t="n">
        <f aca="false">Carry_a*F31</f>
        <v>-90</v>
      </c>
      <c r="G32" s="18" t="n">
        <f aca="false">IF(ABS(B32)&gt;Band_10+0.000000000001,A32,-1)</f>
        <v>1</v>
      </c>
      <c r="H32" s="18" t="n">
        <f aca="false">IF(ABS(B32)&gt;Band_5+0.000000000001,A32,-1)</f>
        <v>1</v>
      </c>
      <c r="I32" s="18" t="n">
        <f aca="false">IF(ABS(C32)&gt;Band_10+0.000000000001,A32,-1)</f>
        <v>1</v>
      </c>
      <c r="J32" s="18" t="n">
        <f aca="false">IF(ABS(C32)&gt;Band_5+0.000000000001,A32,-1)</f>
        <v>1</v>
      </c>
      <c r="K32" s="18" t="n">
        <f aca="false">IF(ABS(D32)&gt;Band_10+0.000000000001,A32,-1)</f>
        <v>1</v>
      </c>
      <c r="L32" s="18" t="n">
        <f aca="false">IF(ABS(D32)&gt;Band_5+0.000000000001,A32,-1)</f>
        <v>1</v>
      </c>
      <c r="M32" s="18" t="n">
        <f aca="false">IF(ABS(E32)&gt;Band_10+0.000000000001,A32,-1)</f>
        <v>1</v>
      </c>
      <c r="N32" s="18" t="n">
        <f aca="false">IF(ABS(E32)&gt;Band_5+0.000000000001,A32,-1)</f>
        <v>1</v>
      </c>
      <c r="O32" s="18" t="n">
        <f aca="false">IF(ABS(F32)&gt;Band_10+0.000000000001,A32,-1)</f>
        <v>1</v>
      </c>
      <c r="P32" s="18" t="n">
        <f aca="false">IF(ABS(F32)&gt;Band_5+0.000000000001,A32,-1)</f>
        <v>1</v>
      </c>
      <c r="Q32" s="17" t="n">
        <f aca="false">ABS(D32)</f>
        <v>90</v>
      </c>
      <c r="R32" s="17" t="n">
        <f aca="false">IF(AND(A32&gt;=$B$16,A32&lt;=$B$16+5),D32,1000000000)</f>
        <v>1000000000</v>
      </c>
    </row>
    <row r="33" customFormat="false" ht="15" hidden="false" customHeight="false" outlineLevel="0" collapsed="false">
      <c r="A33" s="18" t="n">
        <v>2</v>
      </c>
      <c r="B33" s="17" t="n">
        <f aca="false">Carry_a*B32-Hire_b*$B$9*B31</f>
        <v>-51</v>
      </c>
      <c r="C33" s="17" t="n">
        <f aca="false">Carry_a*C32-Hire_b*$B$10*C31</f>
        <v>-21</v>
      </c>
      <c r="D33" s="17" t="n">
        <f aca="false">Carry_a*D32-Hire_b*$B$11*D31</f>
        <v>8.99999999999999</v>
      </c>
      <c r="E33" s="17" t="n">
        <f aca="false">Carry_a*E32-Hire_b*$B$12*E31</f>
        <v>27</v>
      </c>
      <c r="F33" s="17" t="n">
        <f aca="false">Carry_a*F32-Hire_b*$B$13*F31</f>
        <v>-60.75</v>
      </c>
      <c r="G33" s="18" t="n">
        <f aca="false">IF(ABS(B33)&gt;Band_10+0.000000000001,A33,-1)</f>
        <v>2</v>
      </c>
      <c r="H33" s="18" t="n">
        <f aca="false">IF(ABS(B33)&gt;Band_5+0.000000000001,A33,-1)</f>
        <v>2</v>
      </c>
      <c r="I33" s="18" t="n">
        <f aca="false">IF(ABS(C33)&gt;Band_10+0.000000000001,A33,-1)</f>
        <v>2</v>
      </c>
      <c r="J33" s="18" t="n">
        <f aca="false">IF(ABS(C33)&gt;Band_5+0.000000000001,A33,-1)</f>
        <v>2</v>
      </c>
      <c r="K33" s="18" t="n">
        <f aca="false">IF(ABS(D33)&gt;Band_10+0.000000000001,A33,-1)</f>
        <v>-1</v>
      </c>
      <c r="L33" s="18" t="n">
        <f aca="false">IF(ABS(D33)&gt;Band_5+0.000000000001,A33,-1)</f>
        <v>2</v>
      </c>
      <c r="M33" s="18" t="n">
        <f aca="false">IF(ABS(E33)&gt;Band_10+0.000000000001,A33,-1)</f>
        <v>2</v>
      </c>
      <c r="N33" s="18" t="n">
        <f aca="false">IF(ABS(E33)&gt;Band_5+0.000000000001,A33,-1)</f>
        <v>2</v>
      </c>
      <c r="O33" s="18" t="n">
        <f aca="false">IF(ABS(F33)&gt;Band_10+0.000000000001,A33,-1)</f>
        <v>2</v>
      </c>
      <c r="P33" s="18" t="n">
        <f aca="false">IF(ABS(F33)&gt;Band_5+0.000000000001,A33,-1)</f>
        <v>2</v>
      </c>
      <c r="Q33" s="17" t="n">
        <f aca="false">ABS(D33)</f>
        <v>8.99999999999999</v>
      </c>
      <c r="R33" s="17" t="n">
        <f aca="false">IF(AND(A33&gt;=$B$16,A33&lt;=$B$16+5),D33,1000000000)</f>
        <v>1000000000</v>
      </c>
    </row>
    <row r="34" customFormat="false" ht="15" hidden="false" customHeight="false" outlineLevel="0" collapsed="false">
      <c r="A34" s="18" t="n">
        <v>3</v>
      </c>
      <c r="B34" s="17" t="n">
        <f aca="false">Carry_a*B33-Hire_b*$B$9*B32</f>
        <v>-18.9</v>
      </c>
      <c r="C34" s="17" t="n">
        <f aca="false">Carry_a*C33-Hire_b*$B$10*C32</f>
        <v>35.1</v>
      </c>
      <c r="D34" s="17" t="n">
        <f aca="false">Carry_a*D33-Hire_b*$B$11*D32</f>
        <v>89.1</v>
      </c>
      <c r="E34" s="17" t="n">
        <f aca="false">Carry_a*E33-Hire_b*$B$12*E32</f>
        <v>121.5</v>
      </c>
      <c r="F34" s="17" t="n">
        <f aca="false">Carry_a*F33-Hire_b*$B$13*F32</f>
        <v>-36.45</v>
      </c>
      <c r="G34" s="18" t="n">
        <f aca="false">IF(ABS(B34)&gt;Band_10+0.000000000001,A34,-1)</f>
        <v>3</v>
      </c>
      <c r="H34" s="18" t="n">
        <f aca="false">IF(ABS(B34)&gt;Band_5+0.000000000001,A34,-1)</f>
        <v>3</v>
      </c>
      <c r="I34" s="18" t="n">
        <f aca="false">IF(ABS(C34)&gt;Band_10+0.000000000001,A34,-1)</f>
        <v>3</v>
      </c>
      <c r="J34" s="18" t="n">
        <f aca="false">IF(ABS(C34)&gt;Band_5+0.000000000001,A34,-1)</f>
        <v>3</v>
      </c>
      <c r="K34" s="18" t="n">
        <f aca="false">IF(ABS(D34)&gt;Band_10+0.000000000001,A34,-1)</f>
        <v>3</v>
      </c>
      <c r="L34" s="18" t="n">
        <f aca="false">IF(ABS(D34)&gt;Band_5+0.000000000001,A34,-1)</f>
        <v>3</v>
      </c>
      <c r="M34" s="18" t="n">
        <f aca="false">IF(ABS(E34)&gt;Band_10+0.000000000001,A34,-1)</f>
        <v>3</v>
      </c>
      <c r="N34" s="18" t="n">
        <f aca="false">IF(ABS(E34)&gt;Band_5+0.000000000001,A34,-1)</f>
        <v>3</v>
      </c>
      <c r="O34" s="18" t="n">
        <f aca="false">IF(ABS(F34)&gt;Band_10+0.000000000001,A34,-1)</f>
        <v>3</v>
      </c>
      <c r="P34" s="18" t="n">
        <f aca="false">IF(ABS(F34)&gt;Band_5+0.000000000001,A34,-1)</f>
        <v>3</v>
      </c>
      <c r="Q34" s="17" t="n">
        <f aca="false">ABS(D34)</f>
        <v>89.1</v>
      </c>
      <c r="R34" s="17" t="n">
        <f aca="false">IF(AND(A34&gt;=$B$16,A34&lt;=$B$16+5),D34,1000000000)</f>
        <v>89.1</v>
      </c>
    </row>
    <row r="35" customFormat="false" ht="15" hidden="false" customHeight="false" outlineLevel="0" collapsed="false">
      <c r="A35" s="18" t="n">
        <v>4</v>
      </c>
      <c r="B35" s="17" t="n">
        <f aca="false">Carry_a*B34-Hire_b*$B$9*B33</f>
        <v>-1.71</v>
      </c>
      <c r="C35" s="17" t="n">
        <f aca="false">Carry_a*C34-Hire_b*$B$10*C33</f>
        <v>44.19</v>
      </c>
      <c r="D35" s="17" t="n">
        <f aca="false">Carry_a*D34-Hire_b*$B$11*D33</f>
        <v>72.09</v>
      </c>
      <c r="E35" s="17" t="n">
        <f aca="false">Carry_a*E34-Hire_b*$B$12*E33</f>
        <v>80.19</v>
      </c>
      <c r="F35" s="17" t="n">
        <f aca="false">Carry_a*F34-Hire_b*$B$13*F33</f>
        <v>-20.503125</v>
      </c>
      <c r="G35" s="18" t="n">
        <f aca="false">IF(ABS(B35)&gt;Band_10+0.000000000001,A35,-1)</f>
        <v>-1</v>
      </c>
      <c r="H35" s="18" t="n">
        <f aca="false">IF(ABS(B35)&gt;Band_5+0.000000000001,A35,-1)</f>
        <v>-1</v>
      </c>
      <c r="I35" s="18" t="n">
        <f aca="false">IF(ABS(C35)&gt;Band_10+0.000000000001,A35,-1)</f>
        <v>4</v>
      </c>
      <c r="J35" s="18" t="n">
        <f aca="false">IF(ABS(C35)&gt;Band_5+0.000000000001,A35,-1)</f>
        <v>4</v>
      </c>
      <c r="K35" s="18" t="n">
        <f aca="false">IF(ABS(D35)&gt;Band_10+0.000000000001,A35,-1)</f>
        <v>4</v>
      </c>
      <c r="L35" s="18" t="n">
        <f aca="false">IF(ABS(D35)&gt;Band_5+0.000000000001,A35,-1)</f>
        <v>4</v>
      </c>
      <c r="M35" s="18" t="n">
        <f aca="false">IF(ABS(E35)&gt;Band_10+0.000000000001,A35,-1)</f>
        <v>4</v>
      </c>
      <c r="N35" s="18" t="n">
        <f aca="false">IF(ABS(E35)&gt;Band_5+0.000000000001,A35,-1)</f>
        <v>4</v>
      </c>
      <c r="O35" s="18" t="n">
        <f aca="false">IF(ABS(F35)&gt;Band_10+0.000000000001,A35,-1)</f>
        <v>4</v>
      </c>
      <c r="P35" s="18" t="n">
        <f aca="false">IF(ABS(F35)&gt;Band_5+0.000000000001,A35,-1)</f>
        <v>4</v>
      </c>
      <c r="Q35" s="17" t="n">
        <f aca="false">ABS(D35)</f>
        <v>72.09</v>
      </c>
      <c r="R35" s="17" t="n">
        <f aca="false">IF(AND(A35&gt;=$B$16,A35&lt;=$B$16+5),D35,1000000000)</f>
        <v>72.09</v>
      </c>
    </row>
    <row r="36" customFormat="false" ht="15" hidden="false" customHeight="false" outlineLevel="0" collapsed="false">
      <c r="A36" s="18" t="n">
        <v>5</v>
      </c>
      <c r="B36" s="17" t="n">
        <f aca="false">Carry_a*B35-Hire_b*$B$9*B34</f>
        <v>4.131</v>
      </c>
      <c r="C36" s="17" t="n">
        <f aca="false">Carry_a*C35-Hire_b*$B$10*C34</f>
        <v>18.711</v>
      </c>
      <c r="D36" s="17" t="n">
        <f aca="false">Carry_a*D35-Hire_b*$B$11*D34</f>
        <v>-15.309</v>
      </c>
      <c r="E36" s="17" t="n">
        <f aca="false">Carry_a*E35-Hire_b*$B$12*E34</f>
        <v>-59.049</v>
      </c>
      <c r="F36" s="17" t="n">
        <f aca="false">Carry_a*F35-Hire_b*$B$13*F34</f>
        <v>-11.0716875</v>
      </c>
      <c r="G36" s="18" t="n">
        <f aca="false">IF(ABS(B36)&gt;Band_10+0.000000000001,A36,-1)</f>
        <v>-1</v>
      </c>
      <c r="H36" s="18" t="n">
        <f aca="false">IF(ABS(B36)&gt;Band_5+0.000000000001,A36,-1)</f>
        <v>-1</v>
      </c>
      <c r="I36" s="18" t="n">
        <f aca="false">IF(ABS(C36)&gt;Band_10+0.000000000001,A36,-1)</f>
        <v>5</v>
      </c>
      <c r="J36" s="18" t="n">
        <f aca="false">IF(ABS(C36)&gt;Band_5+0.000000000001,A36,-1)</f>
        <v>5</v>
      </c>
      <c r="K36" s="18" t="n">
        <f aca="false">IF(ABS(D36)&gt;Band_10+0.000000000001,A36,-1)</f>
        <v>5</v>
      </c>
      <c r="L36" s="18" t="n">
        <f aca="false">IF(ABS(D36)&gt;Band_5+0.000000000001,A36,-1)</f>
        <v>5</v>
      </c>
      <c r="M36" s="18" t="n">
        <f aca="false">IF(ABS(E36)&gt;Band_10+0.000000000001,A36,-1)</f>
        <v>5</v>
      </c>
      <c r="N36" s="18" t="n">
        <f aca="false">IF(ABS(E36)&gt;Band_5+0.000000000001,A36,-1)</f>
        <v>5</v>
      </c>
      <c r="O36" s="18" t="n">
        <f aca="false">IF(ABS(F36)&gt;Band_10+0.000000000001,A36,-1)</f>
        <v>5</v>
      </c>
      <c r="P36" s="18" t="n">
        <f aca="false">IF(ABS(F36)&gt;Band_5+0.000000000001,A36,-1)</f>
        <v>5</v>
      </c>
      <c r="Q36" s="17" t="n">
        <f aca="false">ABS(D36)</f>
        <v>15.309</v>
      </c>
      <c r="R36" s="17" t="n">
        <f aca="false">IF(AND(A36&gt;=$B$16,A36&lt;=$B$16+5),D36,1000000000)</f>
        <v>-15.309</v>
      </c>
    </row>
    <row r="37" customFormat="false" ht="15" hidden="false" customHeight="false" outlineLevel="0" collapsed="false">
      <c r="A37" s="18" t="n">
        <v>6</v>
      </c>
      <c r="B37" s="17" t="n">
        <f aca="false">Carry_a*B36-Hire_b*$B$9*B35</f>
        <v>4.2309</v>
      </c>
      <c r="C37" s="17" t="n">
        <f aca="false">Carry_a*C36-Hire_b*$B$10*C35</f>
        <v>-9.67409999999999</v>
      </c>
      <c r="D37" s="17" t="n">
        <f aca="false">Carry_a*D36-Hire_b*$B$11*D35</f>
        <v>-78.6590999999999</v>
      </c>
      <c r="E37" s="17" t="n">
        <f aca="false">Carry_a*E36-Hire_b*$B$12*E35</f>
        <v>-139.7493</v>
      </c>
      <c r="F37" s="17" t="n">
        <f aca="false">Carry_a*F36-Hire_b*$B$13*F35</f>
        <v>-5.8126359375</v>
      </c>
      <c r="G37" s="18" t="n">
        <f aca="false">IF(ABS(B37)&gt;Band_10+0.000000000001,A37,-1)</f>
        <v>-1</v>
      </c>
      <c r="H37" s="18" t="n">
        <f aca="false">IF(ABS(B37)&gt;Band_5+0.000000000001,A37,-1)</f>
        <v>-1</v>
      </c>
      <c r="I37" s="18" t="n">
        <f aca="false">IF(ABS(C37)&gt;Band_10+0.000000000001,A37,-1)</f>
        <v>-1</v>
      </c>
      <c r="J37" s="18" t="n">
        <f aca="false">IF(ABS(C37)&gt;Band_5+0.000000000001,A37,-1)</f>
        <v>6</v>
      </c>
      <c r="K37" s="18" t="n">
        <f aca="false">IF(ABS(D37)&gt;Band_10+0.000000000001,A37,-1)</f>
        <v>6</v>
      </c>
      <c r="L37" s="18" t="n">
        <f aca="false">IF(ABS(D37)&gt;Band_5+0.000000000001,A37,-1)</f>
        <v>6</v>
      </c>
      <c r="M37" s="18" t="n">
        <f aca="false">IF(ABS(E37)&gt;Band_10+0.000000000001,A37,-1)</f>
        <v>6</v>
      </c>
      <c r="N37" s="18" t="n">
        <f aca="false">IF(ABS(E37)&gt;Band_5+0.000000000001,A37,-1)</f>
        <v>6</v>
      </c>
      <c r="O37" s="18" t="n">
        <f aca="false">IF(ABS(F37)&gt;Band_10+0.000000000001,A37,-1)</f>
        <v>-1</v>
      </c>
      <c r="P37" s="18" t="n">
        <f aca="false">IF(ABS(F37)&gt;Band_5+0.000000000001,A37,-1)</f>
        <v>6</v>
      </c>
      <c r="Q37" s="17" t="n">
        <f aca="false">ABS(D37)</f>
        <v>78.6590999999999</v>
      </c>
      <c r="R37" s="17" t="n">
        <f aca="false">IF(AND(A37&gt;=$B$16,A37&lt;=$B$16+5),D37,1000000000)</f>
        <v>-78.6590999999999</v>
      </c>
    </row>
    <row r="38" customFormat="false" ht="15" hidden="false" customHeight="false" outlineLevel="0" collapsed="false">
      <c r="A38" s="18" t="n">
        <v>7</v>
      </c>
      <c r="B38" s="17" t="n">
        <f aca="false">Carry_a*B37-Hire_b*$B$9*B36</f>
        <v>2.56851</v>
      </c>
      <c r="C38" s="17" t="n">
        <f aca="false">Carry_a*C37-Hire_b*$B$10*C36</f>
        <v>-19.93329</v>
      </c>
      <c r="D38" s="17" t="n">
        <f aca="false">Carry_a*D37-Hire_b*$B$11*D36</f>
        <v>-57.01509</v>
      </c>
      <c r="E38" s="17" t="n">
        <f aca="false">Carry_a*E37-Hire_b*$B$12*E36</f>
        <v>-62.00145</v>
      </c>
      <c r="F38" s="17" t="n">
        <f aca="false">Carry_a*F37-Hire_b*$B$13*F36</f>
        <v>-2.989355625</v>
      </c>
      <c r="G38" s="18" t="n">
        <f aca="false">IF(ABS(B38)&gt;Band_10+0.000000000001,A38,-1)</f>
        <v>-1</v>
      </c>
      <c r="H38" s="18" t="n">
        <f aca="false">IF(ABS(B38)&gt;Band_5+0.000000000001,A38,-1)</f>
        <v>-1</v>
      </c>
      <c r="I38" s="18" t="n">
        <f aca="false">IF(ABS(C38)&gt;Band_10+0.000000000001,A38,-1)</f>
        <v>7</v>
      </c>
      <c r="J38" s="18" t="n">
        <f aca="false">IF(ABS(C38)&gt;Band_5+0.000000000001,A38,-1)</f>
        <v>7</v>
      </c>
      <c r="K38" s="18" t="n">
        <f aca="false">IF(ABS(D38)&gt;Band_10+0.000000000001,A38,-1)</f>
        <v>7</v>
      </c>
      <c r="L38" s="18" t="n">
        <f aca="false">IF(ABS(D38)&gt;Band_5+0.000000000001,A38,-1)</f>
        <v>7</v>
      </c>
      <c r="M38" s="18" t="n">
        <f aca="false">IF(ABS(E38)&gt;Band_10+0.000000000001,A38,-1)</f>
        <v>7</v>
      </c>
      <c r="N38" s="18" t="n">
        <f aca="false">IF(ABS(E38)&gt;Band_5+0.000000000001,A38,-1)</f>
        <v>7</v>
      </c>
      <c r="O38" s="18" t="n">
        <f aca="false">IF(ABS(F38)&gt;Band_10+0.000000000001,A38,-1)</f>
        <v>-1</v>
      </c>
      <c r="P38" s="18" t="n">
        <f aca="false">IF(ABS(F38)&gt;Band_5+0.000000000001,A38,-1)</f>
        <v>-1</v>
      </c>
      <c r="Q38" s="17" t="n">
        <f aca="false">ABS(D38)</f>
        <v>57.01509</v>
      </c>
      <c r="R38" s="17" t="n">
        <f aca="false">IF(AND(A38&gt;=$B$16,A38&lt;=$B$16+5),D38,1000000000)</f>
        <v>-57.01509</v>
      </c>
    </row>
    <row r="39" customFormat="false" ht="15" hidden="false" customHeight="false" outlineLevel="0" collapsed="false">
      <c r="A39" s="18" t="n">
        <v>8</v>
      </c>
      <c r="B39" s="17" t="n">
        <f aca="false">Carry_a*B38-Hire_b*$B$9*B37</f>
        <v>1.042389</v>
      </c>
      <c r="C39" s="17" t="n">
        <f aca="false">Carry_a*C38-Hire_b*$B$10*C37</f>
        <v>-12.135501</v>
      </c>
      <c r="D39" s="17" t="n">
        <f aca="false">Carry_a*D38-Hire_b*$B$11*D37</f>
        <v>19.4796089999999</v>
      </c>
      <c r="E39" s="17" t="n">
        <f aca="false">Carry_a*E38-Hire_b*$B$12*E37</f>
        <v>95.127939</v>
      </c>
      <c r="F39" s="17" t="n">
        <f aca="false">Carry_a*F38-Hire_b*$B$13*F37</f>
        <v>-1.51336128515625</v>
      </c>
      <c r="G39" s="18" t="n">
        <f aca="false">IF(ABS(B39)&gt;Band_10+0.000000000001,A39,-1)</f>
        <v>-1</v>
      </c>
      <c r="H39" s="18" t="n">
        <f aca="false">IF(ABS(B39)&gt;Band_5+0.000000000001,A39,-1)</f>
        <v>-1</v>
      </c>
      <c r="I39" s="18" t="n">
        <f aca="false">IF(ABS(C39)&gt;Band_10+0.000000000001,A39,-1)</f>
        <v>8</v>
      </c>
      <c r="J39" s="18" t="n">
        <f aca="false">IF(ABS(C39)&gt;Band_5+0.000000000001,A39,-1)</f>
        <v>8</v>
      </c>
      <c r="K39" s="18" t="n">
        <f aca="false">IF(ABS(D39)&gt;Band_10+0.000000000001,A39,-1)</f>
        <v>8</v>
      </c>
      <c r="L39" s="18" t="n">
        <f aca="false">IF(ABS(D39)&gt;Band_5+0.000000000001,A39,-1)</f>
        <v>8</v>
      </c>
      <c r="M39" s="18" t="n">
        <f aca="false">IF(ABS(E39)&gt;Band_10+0.000000000001,A39,-1)</f>
        <v>8</v>
      </c>
      <c r="N39" s="18" t="n">
        <f aca="false">IF(ABS(E39)&gt;Band_5+0.000000000001,A39,-1)</f>
        <v>8</v>
      </c>
      <c r="O39" s="18" t="n">
        <f aca="false">IF(ABS(F39)&gt;Band_10+0.000000000001,A39,-1)</f>
        <v>-1</v>
      </c>
      <c r="P39" s="18" t="n">
        <f aca="false">IF(ABS(F39)&gt;Band_5+0.000000000001,A39,-1)</f>
        <v>-1</v>
      </c>
      <c r="Q39" s="17" t="n">
        <f aca="false">ABS(D39)</f>
        <v>19.4796089999999</v>
      </c>
      <c r="R39" s="17" t="n">
        <f aca="false">IF(AND(A39&gt;=$B$16,A39&lt;=$B$16+5),D39,1000000000)</f>
        <v>19.4796089999999</v>
      </c>
    </row>
    <row r="40" customFormat="false" ht="15" hidden="false" customHeight="false" outlineLevel="0" collapsed="false">
      <c r="A40" s="18" t="n">
        <v>9</v>
      </c>
      <c r="B40" s="17" t="n">
        <f aca="false">Carry_a*B39-Hire_b*$B$9*B38</f>
        <v>0.1675971</v>
      </c>
      <c r="C40" s="17" t="n">
        <f aca="false">Carry_a*C39-Hire_b*$B$10*C38</f>
        <v>1.03802309999999</v>
      </c>
      <c r="D40" s="17" t="n">
        <f aca="false">Carry_a*D39-Hire_b*$B$11*D38</f>
        <v>68.8452290999999</v>
      </c>
      <c r="E40" s="17" t="n">
        <f aca="false">Carry_a*E39-Hire_b*$B$12*E38</f>
        <v>152.5767111</v>
      </c>
      <c r="F40" s="17" t="n">
        <f aca="false">Carry_a*F39-Hire_b*$B$13*F38</f>
        <v>-0.756680642578125</v>
      </c>
      <c r="G40" s="18" t="n">
        <f aca="false">IF(ABS(B40)&gt;Band_10+0.000000000001,A40,-1)</f>
        <v>-1</v>
      </c>
      <c r="H40" s="18" t="n">
        <f aca="false">IF(ABS(B40)&gt;Band_5+0.000000000001,A40,-1)</f>
        <v>-1</v>
      </c>
      <c r="I40" s="18" t="n">
        <f aca="false">IF(ABS(C40)&gt;Band_10+0.000000000001,A40,-1)</f>
        <v>-1</v>
      </c>
      <c r="J40" s="18" t="n">
        <f aca="false">IF(ABS(C40)&gt;Band_5+0.000000000001,A40,-1)</f>
        <v>-1</v>
      </c>
      <c r="K40" s="18" t="n">
        <f aca="false">IF(ABS(D40)&gt;Band_10+0.000000000001,A40,-1)</f>
        <v>9</v>
      </c>
      <c r="L40" s="18" t="n">
        <f aca="false">IF(ABS(D40)&gt;Band_5+0.000000000001,A40,-1)</f>
        <v>9</v>
      </c>
      <c r="M40" s="18" t="n">
        <f aca="false">IF(ABS(E40)&gt;Band_10+0.000000000001,A40,-1)</f>
        <v>9</v>
      </c>
      <c r="N40" s="18" t="n">
        <f aca="false">IF(ABS(E40)&gt;Band_5+0.000000000001,A40,-1)</f>
        <v>9</v>
      </c>
      <c r="O40" s="18" t="n">
        <f aca="false">IF(ABS(F40)&gt;Band_10+0.000000000001,A40,-1)</f>
        <v>-1</v>
      </c>
      <c r="P40" s="18" t="n">
        <f aca="false">IF(ABS(F40)&gt;Band_5+0.000000000001,A40,-1)</f>
        <v>-1</v>
      </c>
      <c r="Q40" s="17" t="n">
        <f aca="false">ABS(D40)</f>
        <v>68.8452290999999</v>
      </c>
      <c r="R40" s="17" t="n">
        <f aca="false">IF(AND(A40&gt;=$B$16,A40&lt;=$B$16+5),D40,1000000000)</f>
        <v>1000000000</v>
      </c>
    </row>
    <row r="41" customFormat="false" ht="15" hidden="false" customHeight="false" outlineLevel="0" collapsed="false">
      <c r="A41" s="18" t="n">
        <v>10</v>
      </c>
      <c r="B41" s="17" t="n">
        <f aca="false">Carry_a*B40-Hire_b*$B$9*B39</f>
        <v>-0.16187931</v>
      </c>
      <c r="C41" s="17" t="n">
        <f aca="false">Carry_a*C40-Hire_b*$B$10*C39</f>
        <v>8.21552139</v>
      </c>
      <c r="D41" s="17" t="n">
        <f aca="false">Carry_a*D40-Hire_b*$B$11*D39</f>
        <v>44.42905809</v>
      </c>
      <c r="E41" s="17" t="n">
        <f aca="false">Carry_a*E40-Hire_b*$B$12*E39</f>
        <v>34.58086587</v>
      </c>
      <c r="F41" s="17" t="n">
        <f aca="false">Carry_a*F40-Hire_b*$B$13*F39</f>
        <v>-0.374556918076172</v>
      </c>
      <c r="G41" s="18" t="n">
        <f aca="false">IF(ABS(B41)&gt;Band_10+0.000000000001,A41,-1)</f>
        <v>-1</v>
      </c>
      <c r="H41" s="18" t="n">
        <f aca="false">IF(ABS(B41)&gt;Band_5+0.000000000001,A41,-1)</f>
        <v>-1</v>
      </c>
      <c r="I41" s="18" t="n">
        <f aca="false">IF(ABS(C41)&gt;Band_10+0.000000000001,A41,-1)</f>
        <v>-1</v>
      </c>
      <c r="J41" s="18" t="n">
        <f aca="false">IF(ABS(C41)&gt;Band_5+0.000000000001,A41,-1)</f>
        <v>10</v>
      </c>
      <c r="K41" s="18" t="n">
        <f aca="false">IF(ABS(D41)&gt;Band_10+0.000000000001,A41,-1)</f>
        <v>10</v>
      </c>
      <c r="L41" s="18" t="n">
        <f aca="false">IF(ABS(D41)&gt;Band_5+0.000000000001,A41,-1)</f>
        <v>10</v>
      </c>
      <c r="M41" s="18" t="n">
        <f aca="false">IF(ABS(E41)&gt;Band_10+0.000000000001,A41,-1)</f>
        <v>10</v>
      </c>
      <c r="N41" s="18" t="n">
        <f aca="false">IF(ABS(E41)&gt;Band_5+0.000000000001,A41,-1)</f>
        <v>10</v>
      </c>
      <c r="O41" s="18" t="n">
        <f aca="false">IF(ABS(F41)&gt;Band_10+0.000000000001,A41,-1)</f>
        <v>-1</v>
      </c>
      <c r="P41" s="18" t="n">
        <f aca="false">IF(ABS(F41)&gt;Band_5+0.000000000001,A41,-1)</f>
        <v>-1</v>
      </c>
      <c r="Q41" s="17" t="n">
        <f aca="false">ABS(D41)</f>
        <v>44.42905809</v>
      </c>
      <c r="R41" s="17" t="n">
        <f aca="false">IF(AND(A41&gt;=$B$16,A41&lt;=$B$16+5),D41,1000000000)</f>
        <v>1000000000</v>
      </c>
    </row>
    <row r="42" customFormat="false" ht="15" hidden="false" customHeight="false" outlineLevel="0" collapsed="false">
      <c r="A42" s="18" t="n">
        <v>11</v>
      </c>
      <c r="B42" s="17" t="n">
        <f aca="false">Carry_a*B41-Hire_b*$B$9*B40</f>
        <v>-0.195970509</v>
      </c>
      <c r="C42" s="17" t="n">
        <f aca="false">Carry_a*C41-Hire_b*$B$10*C40</f>
        <v>6.771155391</v>
      </c>
      <c r="D42" s="17" t="n">
        <f aca="false">Carry_a*D41-Hire_b*$B$11*D40</f>
        <v>-21.9745539089999</v>
      </c>
      <c r="E42" s="17" t="n">
        <f aca="false">Carry_a*E41-Hire_b*$B$12*E40</f>
        <v>-133.660068705</v>
      </c>
      <c r="F42" s="17" t="n">
        <f aca="false">Carry_a*F41-Hire_b*$B$13*F40</f>
        <v>-0.183873396146484</v>
      </c>
      <c r="G42" s="18" t="n">
        <f aca="false">IF(ABS(B42)&gt;Band_10+0.000000000001,A42,-1)</f>
        <v>-1</v>
      </c>
      <c r="H42" s="18" t="n">
        <f aca="false">IF(ABS(B42)&gt;Band_5+0.000000000001,A42,-1)</f>
        <v>-1</v>
      </c>
      <c r="I42" s="18" t="n">
        <f aca="false">IF(ABS(C42)&gt;Band_10+0.000000000001,A42,-1)</f>
        <v>-1</v>
      </c>
      <c r="J42" s="18" t="n">
        <f aca="false">IF(ABS(C42)&gt;Band_5+0.000000000001,A42,-1)</f>
        <v>11</v>
      </c>
      <c r="K42" s="18" t="n">
        <f aca="false">IF(ABS(D42)&gt;Band_10+0.000000000001,A42,-1)</f>
        <v>11</v>
      </c>
      <c r="L42" s="18" t="n">
        <f aca="false">IF(ABS(D42)&gt;Band_5+0.000000000001,A42,-1)</f>
        <v>11</v>
      </c>
      <c r="M42" s="18" t="n">
        <f aca="false">IF(ABS(E42)&gt;Band_10+0.000000000001,A42,-1)</f>
        <v>11</v>
      </c>
      <c r="N42" s="18" t="n">
        <f aca="false">IF(ABS(E42)&gt;Band_5+0.000000000001,A42,-1)</f>
        <v>11</v>
      </c>
      <c r="O42" s="18" t="n">
        <f aca="false">IF(ABS(F42)&gt;Band_10+0.000000000001,A42,-1)</f>
        <v>-1</v>
      </c>
      <c r="P42" s="18" t="n">
        <f aca="false">IF(ABS(F42)&gt;Band_5+0.000000000001,A42,-1)</f>
        <v>-1</v>
      </c>
      <c r="Q42" s="17" t="n">
        <f aca="false">ABS(D42)</f>
        <v>21.9745539089999</v>
      </c>
      <c r="R42" s="17" t="n">
        <f aca="false">IF(AND(A42&gt;=$B$16,A42&lt;=$B$16+5),D42,1000000000)</f>
        <v>1000000000</v>
      </c>
    </row>
    <row r="43" customFormat="false" ht="15" hidden="false" customHeight="false" outlineLevel="0" collapsed="false">
      <c r="A43" s="18" t="n">
        <v>12</v>
      </c>
      <c r="B43" s="17" t="n">
        <f aca="false">Carry_a*B42-Hire_b*$B$9*B41</f>
        <v>-0.1278096651</v>
      </c>
      <c r="C43" s="17" t="n">
        <f aca="false">Carry_a*C42-Hire_b*$B$10*C41</f>
        <v>1.1647270179</v>
      </c>
      <c r="D43" s="17" t="n">
        <f aca="false">Carry_a*D42-Hire_b*$B$11*D41</f>
        <v>-59.7632507990999</v>
      </c>
      <c r="E43" s="17" t="n">
        <f aca="false">Carry_a*E42-Hire_b*$B$12*E41</f>
        <v>-157.6413969741</v>
      </c>
      <c r="F43" s="17" t="n">
        <f aca="false">Carry_a*F42-Hire_b*$B$13*F41</f>
        <v>-0.0896382806214112</v>
      </c>
      <c r="G43" s="18" t="n">
        <f aca="false">IF(ABS(B43)&gt;Band_10+0.000000000001,A43,-1)</f>
        <v>-1</v>
      </c>
      <c r="H43" s="18" t="n">
        <f aca="false">IF(ABS(B43)&gt;Band_5+0.000000000001,A43,-1)</f>
        <v>-1</v>
      </c>
      <c r="I43" s="18" t="n">
        <f aca="false">IF(ABS(C43)&gt;Band_10+0.000000000001,A43,-1)</f>
        <v>-1</v>
      </c>
      <c r="J43" s="18" t="n">
        <f aca="false">IF(ABS(C43)&gt;Band_5+0.000000000001,A43,-1)</f>
        <v>-1</v>
      </c>
      <c r="K43" s="18" t="n">
        <f aca="false">IF(ABS(D43)&gt;Band_10+0.000000000001,A43,-1)</f>
        <v>12</v>
      </c>
      <c r="L43" s="18" t="n">
        <f aca="false">IF(ABS(D43)&gt;Band_5+0.000000000001,A43,-1)</f>
        <v>12</v>
      </c>
      <c r="M43" s="18" t="n">
        <f aca="false">IF(ABS(E43)&gt;Band_10+0.000000000001,A43,-1)</f>
        <v>12</v>
      </c>
      <c r="N43" s="18" t="n">
        <f aca="false">IF(ABS(E43)&gt;Band_5+0.000000000001,A43,-1)</f>
        <v>12</v>
      </c>
      <c r="O43" s="18" t="n">
        <f aca="false">IF(ABS(F43)&gt;Band_10+0.000000000001,A43,-1)</f>
        <v>-1</v>
      </c>
      <c r="P43" s="18" t="n">
        <f aca="false">IF(ABS(F43)&gt;Band_5+0.000000000001,A43,-1)</f>
        <v>-1</v>
      </c>
      <c r="Q43" s="17" t="n">
        <f aca="false">ABS(D43)</f>
        <v>59.7632507990999</v>
      </c>
      <c r="R43" s="17" t="n">
        <f aca="false">IF(AND(A43&gt;=$B$16,A43&lt;=$B$16+5),D43,1000000000)</f>
        <v>1000000000</v>
      </c>
    </row>
    <row r="44" customFormat="false" ht="15" hidden="false" customHeight="false" outlineLevel="0" collapsed="false">
      <c r="A44" s="18" t="n">
        <v>13</v>
      </c>
      <c r="B44" s="17" t="n">
        <f aca="false">Carry_a*B43-Hire_b*$B$9*B42</f>
        <v>-0.05623754589</v>
      </c>
      <c r="C44" s="17" t="n">
        <f aca="false">Carry_a*C43-Hire_b*$B$10*C42</f>
        <v>-3.01443891849</v>
      </c>
      <c r="D44" s="17" t="n">
        <f aca="false">Carry_a*D43-Hire_b*$B$11*D42</f>
        <v>-34.00982720109</v>
      </c>
      <c r="E44" s="17" t="n">
        <f aca="false">Carry_a*E43-Hire_b*$B$12*E42</f>
        <v>2.47561692471001</v>
      </c>
      <c r="F44" s="17" t="n">
        <f aca="false">Carry_a*F43-Hire_b*$B$13*F42</f>
        <v>-0.0434400898396069</v>
      </c>
      <c r="G44" s="18" t="n">
        <f aca="false">IF(ABS(B44)&gt;Band_10+0.000000000001,A44,-1)</f>
        <v>-1</v>
      </c>
      <c r="H44" s="18" t="n">
        <f aca="false">IF(ABS(B44)&gt;Band_5+0.000000000001,A44,-1)</f>
        <v>-1</v>
      </c>
      <c r="I44" s="18" t="n">
        <f aca="false">IF(ABS(C44)&gt;Band_10+0.000000000001,A44,-1)</f>
        <v>-1</v>
      </c>
      <c r="J44" s="18" t="n">
        <f aca="false">IF(ABS(C44)&gt;Band_5+0.000000000001,A44,-1)</f>
        <v>-1</v>
      </c>
      <c r="K44" s="18" t="n">
        <f aca="false">IF(ABS(D44)&gt;Band_10+0.000000000001,A44,-1)</f>
        <v>13</v>
      </c>
      <c r="L44" s="18" t="n">
        <f aca="false">IF(ABS(D44)&gt;Band_5+0.000000000001,A44,-1)</f>
        <v>13</v>
      </c>
      <c r="M44" s="18" t="n">
        <f aca="false">IF(ABS(E44)&gt;Band_10+0.000000000001,A44,-1)</f>
        <v>-1</v>
      </c>
      <c r="N44" s="18" t="n">
        <f aca="false">IF(ABS(E44)&gt;Band_5+0.000000000001,A44,-1)</f>
        <v>-1</v>
      </c>
      <c r="O44" s="18" t="n">
        <f aca="false">IF(ABS(F44)&gt;Band_10+0.000000000001,A44,-1)</f>
        <v>-1</v>
      </c>
      <c r="P44" s="18" t="n">
        <f aca="false">IF(ABS(F44)&gt;Band_5+0.000000000001,A44,-1)</f>
        <v>-1</v>
      </c>
      <c r="Q44" s="17" t="n">
        <f aca="false">ABS(D44)</f>
        <v>34.00982720109</v>
      </c>
      <c r="R44" s="17" t="n">
        <f aca="false">IF(AND(A44&gt;=$B$16,A44&lt;=$B$16+5),D44,1000000000)</f>
        <v>1000000000</v>
      </c>
    </row>
    <row r="45" customFormat="false" ht="15" hidden="false" customHeight="false" outlineLevel="0" collapsed="false">
      <c r="A45" s="18" t="n">
        <v>14</v>
      </c>
      <c r="B45" s="17" t="n">
        <f aca="false">Carry_a*B44-Hire_b*$B$9*B43</f>
        <v>-0.012270891771</v>
      </c>
      <c r="C45" s="17" t="n">
        <f aca="false">Carry_a*C44-Hire_b*$B$10*C43</f>
        <v>-3.411831237381</v>
      </c>
      <c r="D45" s="17" t="n">
        <f aca="false">Carry_a*D44-Hire_b*$B$11*D43</f>
        <v>23.1780812382089</v>
      </c>
      <c r="E45" s="17" t="n">
        <f aca="false">Carry_a*E44-Hire_b*$B$12*E43</f>
        <v>172.480763964267</v>
      </c>
      <c r="F45" s="17" t="n">
        <f aca="false">Carry_a*F44-Hire_b*$B$13*F43</f>
        <v>-0.0209443290298105</v>
      </c>
      <c r="G45" s="18" t="n">
        <f aca="false">IF(ABS(B45)&gt;Band_10+0.000000000001,A45,-1)</f>
        <v>-1</v>
      </c>
      <c r="H45" s="18" t="n">
        <f aca="false">IF(ABS(B45)&gt;Band_5+0.000000000001,A45,-1)</f>
        <v>-1</v>
      </c>
      <c r="I45" s="18" t="n">
        <f aca="false">IF(ABS(C45)&gt;Band_10+0.000000000001,A45,-1)</f>
        <v>-1</v>
      </c>
      <c r="J45" s="18" t="n">
        <f aca="false">IF(ABS(C45)&gt;Band_5+0.000000000001,A45,-1)</f>
        <v>-1</v>
      </c>
      <c r="K45" s="18" t="n">
        <f aca="false">IF(ABS(D45)&gt;Band_10+0.000000000001,A45,-1)</f>
        <v>14</v>
      </c>
      <c r="L45" s="18" t="n">
        <f aca="false">IF(ABS(D45)&gt;Band_5+0.000000000001,A45,-1)</f>
        <v>14</v>
      </c>
      <c r="M45" s="18" t="n">
        <f aca="false">IF(ABS(E45)&gt;Band_10+0.000000000001,A45,-1)</f>
        <v>14</v>
      </c>
      <c r="N45" s="18" t="n">
        <f aca="false">IF(ABS(E45)&gt;Band_5+0.000000000001,A45,-1)</f>
        <v>14</v>
      </c>
      <c r="O45" s="18" t="n">
        <f aca="false">IF(ABS(F45)&gt;Band_10+0.000000000001,A45,-1)</f>
        <v>-1</v>
      </c>
      <c r="P45" s="18" t="n">
        <f aca="false">IF(ABS(F45)&gt;Band_5+0.000000000001,A45,-1)</f>
        <v>-1</v>
      </c>
      <c r="Q45" s="17" t="n">
        <f aca="false">ABS(D45)</f>
        <v>23.1780812382089</v>
      </c>
      <c r="R45" s="17" t="n">
        <f aca="false">IF(AND(A45&gt;=$B$16,A45&lt;=$B$16+5),D45,1000000000)</f>
        <v>1000000000</v>
      </c>
    </row>
    <row r="46" customFormat="false" ht="15" hidden="false" customHeight="false" outlineLevel="0" collapsed="false">
      <c r="A46" s="18" t="n">
        <v>15</v>
      </c>
      <c r="B46" s="17" t="n">
        <f aca="false">Carry_a*B45-Hire_b*$B$9*B44</f>
        <v>0.00582746117309999</v>
      </c>
      <c r="C46" s="17" t="n">
        <f aca="false">Carry_a*C45-Hire_b*$B$10*C44</f>
        <v>-1.2619847625489</v>
      </c>
      <c r="D46" s="17" t="n">
        <f aca="false">Carry_a*D45-Hire_b*$B$11*D44</f>
        <v>51.469117595369</v>
      </c>
      <c r="E46" s="17" t="n">
        <f aca="false">Carry_a*E45-Hire_b*$B$12*E44</f>
        <v>152.559021289154</v>
      </c>
      <c r="F46" s="17" t="n">
        <f aca="false">Carry_a*F45-Hire_b*$B$13*F44</f>
        <v>-0.010053277934309</v>
      </c>
      <c r="G46" s="18" t="n">
        <f aca="false">IF(ABS(B46)&gt;Band_10+0.000000000001,A46,-1)</f>
        <v>-1</v>
      </c>
      <c r="H46" s="18" t="n">
        <f aca="false">IF(ABS(B46)&gt;Band_5+0.000000000001,A46,-1)</f>
        <v>-1</v>
      </c>
      <c r="I46" s="18" t="n">
        <f aca="false">IF(ABS(C46)&gt;Band_10+0.000000000001,A46,-1)</f>
        <v>-1</v>
      </c>
      <c r="J46" s="18" t="n">
        <f aca="false">IF(ABS(C46)&gt;Band_5+0.000000000001,A46,-1)</f>
        <v>-1</v>
      </c>
      <c r="K46" s="18" t="n">
        <f aca="false">IF(ABS(D46)&gt;Band_10+0.000000000001,A46,-1)</f>
        <v>15</v>
      </c>
      <c r="L46" s="18" t="n">
        <f aca="false">IF(ABS(D46)&gt;Band_5+0.000000000001,A46,-1)</f>
        <v>15</v>
      </c>
      <c r="M46" s="18" t="n">
        <f aca="false">IF(ABS(E46)&gt;Band_10+0.000000000001,A46,-1)</f>
        <v>15</v>
      </c>
      <c r="N46" s="18" t="n">
        <f aca="false">IF(ABS(E46)&gt;Band_5+0.000000000001,A46,-1)</f>
        <v>15</v>
      </c>
      <c r="O46" s="18" t="n">
        <f aca="false">IF(ABS(F46)&gt;Band_10+0.000000000001,A46,-1)</f>
        <v>-1</v>
      </c>
      <c r="P46" s="18" t="n">
        <f aca="false">IF(ABS(F46)&gt;Band_5+0.000000000001,A46,-1)</f>
        <v>-1</v>
      </c>
      <c r="Q46" s="17" t="n">
        <f aca="false">ABS(D46)</f>
        <v>51.469117595369</v>
      </c>
      <c r="R46" s="17" t="n">
        <f aca="false">IF(AND(A46&gt;=$B$16,A46&lt;=$B$16+5),D46,1000000000)</f>
        <v>1000000000</v>
      </c>
    </row>
    <row r="47" customFormat="false" ht="15" hidden="false" customHeight="false" outlineLevel="0" collapsed="false">
      <c r="A47" s="18" t="n">
        <v>16</v>
      </c>
      <c r="B47" s="17" t="n">
        <f aca="false">Carry_a*B46-Hire_b*$B$9*B45</f>
        <v>0.00892598258709</v>
      </c>
      <c r="C47" s="17" t="n">
        <f aca="false">Carry_a*C46-Hire_b*$B$10*C45</f>
        <v>0.911312456134589</v>
      </c>
      <c r="D47" s="17" t="n">
        <f aca="false">Carry_a*D46-Hire_b*$B$11*D45</f>
        <v>25.4619327214441</v>
      </c>
      <c r="E47" s="17" t="n">
        <f aca="false">Carry_a*E46-Hire_b*$B$12*E45</f>
        <v>-48.9761059211703</v>
      </c>
      <c r="F47" s="17" t="n">
        <f aca="false">Carry_a*F46-Hire_b*$B$13*F45</f>
        <v>-0.0048067235123415</v>
      </c>
      <c r="G47" s="18" t="n">
        <f aca="false">IF(ABS(B47)&gt;Band_10+0.000000000001,A47,-1)</f>
        <v>-1</v>
      </c>
      <c r="H47" s="18" t="n">
        <f aca="false">IF(ABS(B47)&gt;Band_5+0.000000000001,A47,-1)</f>
        <v>-1</v>
      </c>
      <c r="I47" s="18" t="n">
        <f aca="false">IF(ABS(C47)&gt;Band_10+0.000000000001,A47,-1)</f>
        <v>-1</v>
      </c>
      <c r="J47" s="18" t="n">
        <f aca="false">IF(ABS(C47)&gt;Band_5+0.000000000001,A47,-1)</f>
        <v>-1</v>
      </c>
      <c r="K47" s="18" t="n">
        <f aca="false">IF(ABS(D47)&gt;Band_10+0.000000000001,A47,-1)</f>
        <v>16</v>
      </c>
      <c r="L47" s="18" t="n">
        <f aca="false">IF(ABS(D47)&gt;Band_5+0.000000000001,A47,-1)</f>
        <v>16</v>
      </c>
      <c r="M47" s="18" t="n">
        <f aca="false">IF(ABS(E47)&gt;Band_10+0.000000000001,A47,-1)</f>
        <v>16</v>
      </c>
      <c r="N47" s="18" t="n">
        <f aca="false">IF(ABS(E47)&gt;Band_5+0.000000000001,A47,-1)</f>
        <v>16</v>
      </c>
      <c r="O47" s="18" t="n">
        <f aca="false">IF(ABS(F47)&gt;Band_10+0.000000000001,A47,-1)</f>
        <v>-1</v>
      </c>
      <c r="P47" s="18" t="n">
        <f aca="false">IF(ABS(F47)&gt;Band_5+0.000000000001,A47,-1)</f>
        <v>-1</v>
      </c>
      <c r="Q47" s="17" t="n">
        <f aca="false">ABS(D47)</f>
        <v>25.4619327214441</v>
      </c>
      <c r="R47" s="17" t="n">
        <f aca="false">IF(AND(A47&gt;=$B$16,A47&lt;=$B$16+5),D47,1000000000)</f>
        <v>1000000000</v>
      </c>
    </row>
    <row r="48" customFormat="false" ht="15" hidden="false" customHeight="false" outlineLevel="0" collapsed="false">
      <c r="A48" s="18" t="n">
        <v>17</v>
      </c>
      <c r="B48" s="17" t="n">
        <f aca="false">Carry_a*B47-Hire_b*$B$9*B46</f>
        <v>0.006285145976451</v>
      </c>
      <c r="C48" s="17" t="n">
        <f aca="false">Carry_a*C47-Hire_b*$B$10*C46</f>
        <v>1.57737206805047</v>
      </c>
      <c r="D48" s="17" t="n">
        <f aca="false">Carry_a*D47-Hire_b*$B$11*D46</f>
        <v>-23.4064663865324</v>
      </c>
      <c r="E48" s="17" t="n">
        <f aca="false">Carry_a*E47-Hire_b*$B$12*E46</f>
        <v>-208.842238321339</v>
      </c>
      <c r="F48" s="17" t="n">
        <f aca="false">Carry_a*F47-Hire_b*$B$13*F46</f>
        <v>-0.00229026237940977</v>
      </c>
      <c r="G48" s="18" t="n">
        <f aca="false">IF(ABS(B48)&gt;Band_10+0.000000000001,A48,-1)</f>
        <v>-1</v>
      </c>
      <c r="H48" s="18" t="n">
        <f aca="false">IF(ABS(B48)&gt;Band_5+0.000000000001,A48,-1)</f>
        <v>-1</v>
      </c>
      <c r="I48" s="18" t="n">
        <f aca="false">IF(ABS(C48)&gt;Band_10+0.000000000001,A48,-1)</f>
        <v>-1</v>
      </c>
      <c r="J48" s="18" t="n">
        <f aca="false">IF(ABS(C48)&gt;Band_5+0.000000000001,A48,-1)</f>
        <v>-1</v>
      </c>
      <c r="K48" s="18" t="n">
        <f aca="false">IF(ABS(D48)&gt;Band_10+0.000000000001,A48,-1)</f>
        <v>17</v>
      </c>
      <c r="L48" s="18" t="n">
        <f aca="false">IF(ABS(D48)&gt;Band_5+0.000000000001,A48,-1)</f>
        <v>17</v>
      </c>
      <c r="M48" s="18" t="n">
        <f aca="false">IF(ABS(E48)&gt;Band_10+0.000000000001,A48,-1)</f>
        <v>17</v>
      </c>
      <c r="N48" s="18" t="n">
        <f aca="false">IF(ABS(E48)&gt;Band_5+0.000000000001,A48,-1)</f>
        <v>17</v>
      </c>
      <c r="O48" s="18" t="n">
        <f aca="false">IF(ABS(F48)&gt;Band_10+0.000000000001,A48,-1)</f>
        <v>-1</v>
      </c>
      <c r="P48" s="18" t="n">
        <f aca="false">IF(ABS(F48)&gt;Band_5+0.000000000001,A48,-1)</f>
        <v>-1</v>
      </c>
      <c r="Q48" s="17" t="n">
        <f aca="false">ABS(D48)</f>
        <v>23.4064663865324</v>
      </c>
      <c r="R48" s="17" t="n">
        <f aca="false">IF(AND(A48&gt;=$B$16,A48&lt;=$B$16+5),D48,1000000000)</f>
        <v>1000000000</v>
      </c>
    </row>
    <row r="49" customFormat="false" ht="15" hidden="false" customHeight="false" outlineLevel="0" collapsed="false">
      <c r="A49" s="18" t="n">
        <v>18</v>
      </c>
      <c r="B49" s="17" t="n">
        <f aca="false">Carry_a*B48-Hire_b*$B$9*B47</f>
        <v>0.0029788366026789</v>
      </c>
      <c r="C49" s="17" t="n">
        <f aca="false">Carry_a*C48-Hire_b*$B$10*C47</f>
        <v>0.87284738756467</v>
      </c>
      <c r="D49" s="17" t="n">
        <f aca="false">Carry_a*D48-Hire_b*$B$11*D47</f>
        <v>-43.9815591971789</v>
      </c>
      <c r="E49" s="17" t="n">
        <f aca="false">Carry_a*E48-Hire_b*$B$12*E47</f>
        <v>-135.063820094341</v>
      </c>
      <c r="F49" s="17" t="n">
        <f aca="false">Carry_a*F48-Hire_b*$B$13*F47</f>
        <v>-0.00108787463021964</v>
      </c>
      <c r="G49" s="18" t="n">
        <f aca="false">IF(ABS(B49)&gt;Band_10+0.000000000001,A49,-1)</f>
        <v>-1</v>
      </c>
      <c r="H49" s="18" t="n">
        <f aca="false">IF(ABS(B49)&gt;Band_5+0.000000000001,A49,-1)</f>
        <v>-1</v>
      </c>
      <c r="I49" s="18" t="n">
        <f aca="false">IF(ABS(C49)&gt;Band_10+0.000000000001,A49,-1)</f>
        <v>-1</v>
      </c>
      <c r="J49" s="18" t="n">
        <f aca="false">IF(ABS(C49)&gt;Band_5+0.000000000001,A49,-1)</f>
        <v>-1</v>
      </c>
      <c r="K49" s="18" t="n">
        <f aca="false">IF(ABS(D49)&gt;Band_10+0.000000000001,A49,-1)</f>
        <v>18</v>
      </c>
      <c r="L49" s="18" t="n">
        <f aca="false">IF(ABS(D49)&gt;Band_5+0.000000000001,A49,-1)</f>
        <v>18</v>
      </c>
      <c r="M49" s="18" t="n">
        <f aca="false">IF(ABS(E49)&gt;Band_10+0.000000000001,A49,-1)</f>
        <v>18</v>
      </c>
      <c r="N49" s="18" t="n">
        <f aca="false">IF(ABS(E49)&gt;Band_5+0.000000000001,A49,-1)</f>
        <v>18</v>
      </c>
      <c r="O49" s="18" t="n">
        <f aca="false">IF(ABS(F49)&gt;Band_10+0.000000000001,A49,-1)</f>
        <v>-1</v>
      </c>
      <c r="P49" s="18" t="n">
        <f aca="false">IF(ABS(F49)&gt;Band_5+0.000000000001,A49,-1)</f>
        <v>-1</v>
      </c>
      <c r="Q49" s="17" t="n">
        <f aca="false">ABS(D49)</f>
        <v>43.9815591971789</v>
      </c>
      <c r="R49" s="17" t="n">
        <f aca="false">IF(AND(A49&gt;=$B$16,A49&lt;=$B$16+5),D49,1000000000)</f>
        <v>1000000000</v>
      </c>
    </row>
    <row r="50" customFormat="false" ht="15" hidden="false" customHeight="false" outlineLevel="0" collapsed="false">
      <c r="A50" s="18" t="n">
        <v>19</v>
      </c>
      <c r="B50" s="17" t="n">
        <f aca="false">Carry_a*B49-Hire_b*$B$9*B48</f>
        <v>0.000795409149475712</v>
      </c>
      <c r="C50" s="17" t="n">
        <f aca="false">Carry_a*C49-Hire_b*$B$10*C48</f>
        <v>-0.160860592022079</v>
      </c>
      <c r="D50" s="17" t="n">
        <f aca="false">Carry_a*D49-Hire_b*$B$11*D48</f>
        <v>-18.5175835295818</v>
      </c>
      <c r="E50" s="17" t="n">
        <f aca="false">Carry_a*E49-Hire_b*$B$12*E48</f>
        <v>103.992179302139</v>
      </c>
      <c r="F50" s="17" t="n">
        <f aca="false">Carry_a*F49-Hire_b*$B$13*F48</f>
        <v>-0.000515309035367199</v>
      </c>
      <c r="G50" s="18" t="n">
        <f aca="false">IF(ABS(B50)&gt;Band_10+0.000000000001,A50,-1)</f>
        <v>-1</v>
      </c>
      <c r="H50" s="18" t="n">
        <f aca="false">IF(ABS(B50)&gt;Band_5+0.000000000001,A50,-1)</f>
        <v>-1</v>
      </c>
      <c r="I50" s="18" t="n">
        <f aca="false">IF(ABS(C50)&gt;Band_10+0.000000000001,A50,-1)</f>
        <v>-1</v>
      </c>
      <c r="J50" s="18" t="n">
        <f aca="false">IF(ABS(C50)&gt;Band_5+0.000000000001,A50,-1)</f>
        <v>-1</v>
      </c>
      <c r="K50" s="18" t="n">
        <f aca="false">IF(ABS(D50)&gt;Band_10+0.000000000001,A50,-1)</f>
        <v>19</v>
      </c>
      <c r="L50" s="18" t="n">
        <f aca="false">IF(ABS(D50)&gt;Band_5+0.000000000001,A50,-1)</f>
        <v>19</v>
      </c>
      <c r="M50" s="18" t="n">
        <f aca="false">IF(ABS(E50)&gt;Band_10+0.000000000001,A50,-1)</f>
        <v>19</v>
      </c>
      <c r="N50" s="18" t="n">
        <f aca="false">IF(ABS(E50)&gt;Band_5+0.000000000001,A50,-1)</f>
        <v>19</v>
      </c>
      <c r="O50" s="18" t="n">
        <f aca="false">IF(ABS(F50)&gt;Band_10+0.000000000001,A50,-1)</f>
        <v>-1</v>
      </c>
      <c r="P50" s="18" t="n">
        <f aca="false">IF(ABS(F50)&gt;Band_5+0.000000000001,A50,-1)</f>
        <v>-1</v>
      </c>
      <c r="Q50" s="17" t="n">
        <f aca="false">ABS(D50)</f>
        <v>18.5175835295818</v>
      </c>
      <c r="R50" s="17" t="n">
        <f aca="false">IF(AND(A50&gt;=$B$16,A50&lt;=$B$16+5),D50,1000000000)</f>
        <v>1000000000</v>
      </c>
    </row>
    <row r="51" customFormat="false" ht="15" hidden="false" customHeight="false" outlineLevel="0" collapsed="false">
      <c r="A51" s="18" t="n">
        <v>20</v>
      </c>
      <c r="B51" s="17" t="n">
        <f aca="false">Carry_a*B50-Hire_b*$B$9*B49</f>
        <v>-0.00017778274627553</v>
      </c>
      <c r="C51" s="17" t="n">
        <f aca="false">Carry_a*C50-Hire_b*$B$10*C49</f>
        <v>-0.668482965358673</v>
      </c>
      <c r="D51" s="17" t="n">
        <f aca="false">Carry_a*D50-Hire_b*$B$11*D49</f>
        <v>22.9175781008374</v>
      </c>
      <c r="E51" s="17" t="n">
        <f aca="false">Carry_a*E50-Hire_b*$B$12*E49</f>
        <v>239.461887073814</v>
      </c>
      <c r="F51" s="17" t="n">
        <f aca="false">Carry_a*F50-Hire_b*$B$13*F49</f>
        <v>-0.000243483519211001</v>
      </c>
      <c r="G51" s="18" t="n">
        <f aca="false">IF(ABS(B51)&gt;Band_10+0.000000000001,A51,-1)</f>
        <v>-1</v>
      </c>
      <c r="H51" s="18" t="n">
        <f aca="false">IF(ABS(B51)&gt;Band_5+0.000000000001,A51,-1)</f>
        <v>-1</v>
      </c>
      <c r="I51" s="18" t="n">
        <f aca="false">IF(ABS(C51)&gt;Band_10+0.000000000001,A51,-1)</f>
        <v>-1</v>
      </c>
      <c r="J51" s="18" t="n">
        <f aca="false">IF(ABS(C51)&gt;Band_5+0.000000000001,A51,-1)</f>
        <v>-1</v>
      </c>
      <c r="K51" s="18" t="n">
        <f aca="false">IF(ABS(D51)&gt;Band_10+0.000000000001,A51,-1)</f>
        <v>20</v>
      </c>
      <c r="L51" s="18" t="n">
        <f aca="false">IF(ABS(D51)&gt;Band_5+0.000000000001,A51,-1)</f>
        <v>20</v>
      </c>
      <c r="M51" s="18" t="n">
        <f aca="false">IF(ABS(E51)&gt;Band_10+0.000000000001,A51,-1)</f>
        <v>20</v>
      </c>
      <c r="N51" s="18" t="n">
        <f aca="false">IF(ABS(E51)&gt;Band_5+0.000000000001,A51,-1)</f>
        <v>20</v>
      </c>
      <c r="O51" s="18" t="n">
        <f aca="false">IF(ABS(F51)&gt;Band_10+0.000000000001,A51,-1)</f>
        <v>-1</v>
      </c>
      <c r="P51" s="18" t="n">
        <f aca="false">IF(ABS(F51)&gt;Band_5+0.000000000001,A51,-1)</f>
        <v>-1</v>
      </c>
      <c r="Q51" s="17" t="n">
        <f aca="false">ABS(D51)</f>
        <v>22.9175781008374</v>
      </c>
      <c r="R51" s="17" t="n">
        <f aca="false">IF(AND(A51&gt;=$B$16,A51&lt;=$B$16+5),D51,1000000000)</f>
        <v>1000000000</v>
      </c>
    </row>
    <row r="52" customFormat="false" ht="15" hidden="false" customHeight="false" outlineLevel="0" collapsed="false">
      <c r="A52" s="18" t="n">
        <v>21</v>
      </c>
      <c r="B52" s="17" t="n">
        <f aca="false">Carry_a*B51-Hire_b*$B$9*B50</f>
        <v>-0.00039862721649069</v>
      </c>
      <c r="C52" s="17" t="n">
        <f aca="false">Carry_a*C51-Hire_b*$B$10*C50</f>
        <v>-0.505118313609558</v>
      </c>
      <c r="D52" s="17" t="n">
        <f aca="false">Carry_a*D51-Hire_b*$B$11*D50</f>
        <v>37.2916454673773</v>
      </c>
      <c r="E52" s="17" t="n">
        <f aca="false">Carry_a*E51-Hire_b*$B$12*E50</f>
        <v>103.204144720122</v>
      </c>
      <c r="F52" s="17" t="n">
        <f aca="false">Carry_a*F51-Hire_b*$B$13*F50</f>
        <v>-0.000114785087628043</v>
      </c>
      <c r="G52" s="18" t="n">
        <f aca="false">IF(ABS(B52)&gt;Band_10+0.000000000001,A52,-1)</f>
        <v>-1</v>
      </c>
      <c r="H52" s="18" t="n">
        <f aca="false">IF(ABS(B52)&gt;Band_5+0.000000000001,A52,-1)</f>
        <v>-1</v>
      </c>
      <c r="I52" s="18" t="n">
        <f aca="false">IF(ABS(C52)&gt;Band_10+0.000000000001,A52,-1)</f>
        <v>-1</v>
      </c>
      <c r="J52" s="18" t="n">
        <f aca="false">IF(ABS(C52)&gt;Band_5+0.000000000001,A52,-1)</f>
        <v>-1</v>
      </c>
      <c r="K52" s="18" t="n">
        <f aca="false">IF(ABS(D52)&gt;Band_10+0.000000000001,A52,-1)</f>
        <v>21</v>
      </c>
      <c r="L52" s="18" t="n">
        <f aca="false">IF(ABS(D52)&gt;Band_5+0.000000000001,A52,-1)</f>
        <v>21</v>
      </c>
      <c r="M52" s="18" t="n">
        <f aca="false">IF(ABS(E52)&gt;Band_10+0.000000000001,A52,-1)</f>
        <v>21</v>
      </c>
      <c r="N52" s="18" t="n">
        <f aca="false">IF(ABS(E52)&gt;Band_5+0.000000000001,A52,-1)</f>
        <v>21</v>
      </c>
      <c r="O52" s="18" t="n">
        <f aca="false">IF(ABS(F52)&gt;Band_10+0.000000000001,A52,-1)</f>
        <v>-1</v>
      </c>
      <c r="P52" s="18" t="n">
        <f aca="false">IF(ABS(F52)&gt;Band_5+0.000000000001,A52,-1)</f>
        <v>-1</v>
      </c>
      <c r="Q52" s="17" t="n">
        <f aca="false">ABS(D52)</f>
        <v>37.2916454673773</v>
      </c>
      <c r="R52" s="17" t="n">
        <f aca="false">IF(AND(A52&gt;=$B$16,A52&lt;=$B$16+5),D52,1000000000)</f>
        <v>1000000000</v>
      </c>
    </row>
    <row r="53" customFormat="false" ht="15" hidden="false" customHeight="false" outlineLevel="0" collapsed="false">
      <c r="A53" s="18" t="n">
        <v>22</v>
      </c>
      <c r="B53" s="17" t="n">
        <f aca="false">Carry_a*B52-Hire_b*$B$9*B51</f>
        <v>-0.000305429670958962</v>
      </c>
      <c r="C53" s="17" t="n">
        <f aca="false">Carry_a*C52-Hire_b*$B$10*C51</f>
        <v>-0.0535167030333986</v>
      </c>
      <c r="D53" s="17" t="n">
        <f aca="false">Carry_a*D52-Hire_b*$B$11*D51</f>
        <v>12.9366606298859</v>
      </c>
      <c r="E53" s="17" t="n">
        <f aca="false">Carry_a*E52-Hire_b*$B$12*E51</f>
        <v>-165.735107791609</v>
      </c>
      <c r="F53" s="17" t="n">
        <f aca="false">Carry_a*F52-Hire_b*$B$13*F51</f>
        <v>-5.40011662250113E-005</v>
      </c>
      <c r="G53" s="18" t="n">
        <f aca="false">IF(ABS(B53)&gt;Band_10+0.000000000001,A53,-1)</f>
        <v>-1</v>
      </c>
      <c r="H53" s="18" t="n">
        <f aca="false">IF(ABS(B53)&gt;Band_5+0.000000000001,A53,-1)</f>
        <v>-1</v>
      </c>
      <c r="I53" s="18" t="n">
        <f aca="false">IF(ABS(C53)&gt;Band_10+0.000000000001,A53,-1)</f>
        <v>-1</v>
      </c>
      <c r="J53" s="18" t="n">
        <f aca="false">IF(ABS(C53)&gt;Band_5+0.000000000001,A53,-1)</f>
        <v>-1</v>
      </c>
      <c r="K53" s="18" t="n">
        <f aca="false">IF(ABS(D53)&gt;Band_10+0.000000000001,A53,-1)</f>
        <v>22</v>
      </c>
      <c r="L53" s="18" t="n">
        <f aca="false">IF(ABS(D53)&gt;Band_5+0.000000000001,A53,-1)</f>
        <v>22</v>
      </c>
      <c r="M53" s="18" t="n">
        <f aca="false">IF(ABS(E53)&gt;Band_10+0.000000000001,A53,-1)</f>
        <v>22</v>
      </c>
      <c r="N53" s="18" t="n">
        <f aca="false">IF(ABS(E53)&gt;Band_5+0.000000000001,A53,-1)</f>
        <v>22</v>
      </c>
      <c r="O53" s="18" t="n">
        <f aca="false">IF(ABS(F53)&gt;Band_10+0.000000000001,A53,-1)</f>
        <v>-1</v>
      </c>
      <c r="P53" s="18" t="n">
        <f aca="false">IF(ABS(F53)&gt;Band_5+0.000000000001,A53,-1)</f>
        <v>-1</v>
      </c>
      <c r="Q53" s="17" t="n">
        <f aca="false">ABS(D53)</f>
        <v>12.9366606298859</v>
      </c>
      <c r="R53" s="17" t="n">
        <f aca="false">IF(AND(A53&gt;=$B$16,A53&lt;=$B$16+5),D53,1000000000)</f>
        <v>1000000000</v>
      </c>
    </row>
    <row r="54" customFormat="false" ht="15" hidden="false" customHeight="false" outlineLevel="0" collapsed="false">
      <c r="A54" s="18" t="n">
        <v>23</v>
      </c>
      <c r="B54" s="17" t="n">
        <f aca="false">Carry_a*B53-Hire_b*$B$9*B52</f>
        <v>-0.000155298538915859</v>
      </c>
      <c r="C54" s="17" t="n">
        <f aca="false">Carry_a*C53-Hire_b*$B$10*C52</f>
        <v>0.254905955435676</v>
      </c>
      <c r="D54" s="17" t="n">
        <f aca="false">Carry_a*D53-Hire_b*$B$11*D52</f>
        <v>-21.9194863537422</v>
      </c>
      <c r="E54" s="17" t="n">
        <f aca="false">Carry_a*E53-Hire_b*$B$12*E52</f>
        <v>-260.62207331018</v>
      </c>
      <c r="F54" s="17" t="n">
        <f aca="false">Carry_a*F53-Hire_b*$B$13*F52</f>
        <v>-2.53570693578314E-005</v>
      </c>
      <c r="G54" s="18" t="n">
        <f aca="false">IF(ABS(B54)&gt;Band_10+0.000000000001,A54,-1)</f>
        <v>-1</v>
      </c>
      <c r="H54" s="18" t="n">
        <f aca="false">IF(ABS(B54)&gt;Band_5+0.000000000001,A54,-1)</f>
        <v>-1</v>
      </c>
      <c r="I54" s="18" t="n">
        <f aca="false">IF(ABS(C54)&gt;Band_10+0.000000000001,A54,-1)</f>
        <v>-1</v>
      </c>
      <c r="J54" s="18" t="n">
        <f aca="false">IF(ABS(C54)&gt;Band_5+0.000000000001,A54,-1)</f>
        <v>-1</v>
      </c>
      <c r="K54" s="18" t="n">
        <f aca="false">IF(ABS(D54)&gt;Band_10+0.000000000001,A54,-1)</f>
        <v>23</v>
      </c>
      <c r="L54" s="18" t="n">
        <f aca="false">IF(ABS(D54)&gt;Band_5+0.000000000001,A54,-1)</f>
        <v>23</v>
      </c>
      <c r="M54" s="18" t="n">
        <f aca="false">IF(ABS(E54)&gt;Band_10+0.000000000001,A54,-1)</f>
        <v>23</v>
      </c>
      <c r="N54" s="18" t="n">
        <f aca="false">IF(ABS(E54)&gt;Band_5+0.000000000001,A54,-1)</f>
        <v>23</v>
      </c>
      <c r="O54" s="18" t="n">
        <f aca="false">IF(ABS(F54)&gt;Band_10+0.000000000001,A54,-1)</f>
        <v>-1</v>
      </c>
      <c r="P54" s="18" t="n">
        <f aca="false">IF(ABS(F54)&gt;Band_5+0.000000000001,A54,-1)</f>
        <v>-1</v>
      </c>
      <c r="Q54" s="17" t="n">
        <f aca="false">ABS(D54)</f>
        <v>21.9194863537422</v>
      </c>
      <c r="R54" s="17" t="n">
        <f aca="false">IF(AND(A54&gt;=$B$16,A54&lt;=$B$16+5),D54,1000000000)</f>
        <v>1000000000</v>
      </c>
    </row>
    <row r="55" customFormat="false" ht="15" hidden="false" customHeight="false" outlineLevel="0" collapsed="false">
      <c r="A55" s="18" t="n">
        <v>24</v>
      </c>
      <c r="B55" s="17" t="n">
        <f aca="false">Carry_a*B54-Hire_b*$B$9*B53</f>
        <v>-4.81397837365844E-005</v>
      </c>
      <c r="C55" s="17" t="n">
        <f aca="false">Carry_a*C54-Hire_b*$B$10*C53</f>
        <v>0.261525381712148</v>
      </c>
      <c r="D55" s="17" t="n">
        <f aca="false">Carry_a*D54-Hire_b*$B$11*D53</f>
        <v>-31.3705322852653</v>
      </c>
      <c r="E55" s="17" t="n">
        <f aca="false">Carry_a*E54-Hire_b*$B$12*E53</f>
        <v>-55.5659495642244</v>
      </c>
      <c r="F55" s="17" t="n">
        <f aca="false">Carry_a*F54-Hire_b*$B$13*F53</f>
        <v>-1.18861262614835E-005</v>
      </c>
      <c r="G55" s="18" t="n">
        <f aca="false">IF(ABS(B55)&gt;Band_10+0.000000000001,A55,-1)</f>
        <v>-1</v>
      </c>
      <c r="H55" s="18" t="n">
        <f aca="false">IF(ABS(B55)&gt;Band_5+0.000000000001,A55,-1)</f>
        <v>-1</v>
      </c>
      <c r="I55" s="18" t="n">
        <f aca="false">IF(ABS(C55)&gt;Band_10+0.000000000001,A55,-1)</f>
        <v>-1</v>
      </c>
      <c r="J55" s="18" t="n">
        <f aca="false">IF(ABS(C55)&gt;Band_5+0.000000000001,A55,-1)</f>
        <v>-1</v>
      </c>
      <c r="K55" s="18" t="n">
        <f aca="false">IF(ABS(D55)&gt;Band_10+0.000000000001,A55,-1)</f>
        <v>24</v>
      </c>
      <c r="L55" s="18" t="n">
        <f aca="false">IF(ABS(D55)&gt;Band_5+0.000000000001,A55,-1)</f>
        <v>24</v>
      </c>
      <c r="M55" s="18" t="n">
        <f aca="false">IF(ABS(E55)&gt;Band_10+0.000000000001,A55,-1)</f>
        <v>24</v>
      </c>
      <c r="N55" s="18" t="n">
        <f aca="false">IF(ABS(E55)&gt;Band_5+0.000000000001,A55,-1)</f>
        <v>24</v>
      </c>
      <c r="O55" s="18" t="n">
        <f aca="false">IF(ABS(F55)&gt;Band_10+0.000000000001,A55,-1)</f>
        <v>-1</v>
      </c>
      <c r="P55" s="18" t="n">
        <f aca="false">IF(ABS(F55)&gt;Band_5+0.000000000001,A55,-1)</f>
        <v>-1</v>
      </c>
      <c r="Q55" s="17" t="n">
        <f aca="false">ABS(D55)</f>
        <v>31.3705322852653</v>
      </c>
      <c r="R55" s="17" t="n">
        <f aca="false">IF(AND(A55&gt;=$B$16,A55&lt;=$B$16+5),D55,1000000000)</f>
        <v>1000000000</v>
      </c>
    </row>
    <row r="56" customFormat="false" ht="15" hidden="false" customHeight="false" outlineLevel="0" collapsed="false">
      <c r="A56" s="18" t="n">
        <v>25</v>
      </c>
      <c r="B56" s="17" t="n">
        <f aca="false">Carry_a*B55-Hire_b*$B$9*B54</f>
        <v>3.26375631183174E-006</v>
      </c>
      <c r="C56" s="17" t="n">
        <f aca="false">Carry_a*C55-Hire_b*$B$10*C54</f>
        <v>0.0824292702795273</v>
      </c>
      <c r="D56" s="17" t="n">
        <f aca="false">Carry_a*D55-Hire_b*$B$11*D54</f>
        <v>-8.50594133837079</v>
      </c>
      <c r="E56" s="17" t="n">
        <f aca="false">Carry_a*E55-Hire_b*$B$12*E54</f>
        <v>231.462484567192</v>
      </c>
      <c r="F56" s="17" t="n">
        <f aca="false">Carry_a*F55-Hire_b*$B$13*F54</f>
        <v>-5.56270709037426E-006</v>
      </c>
      <c r="G56" s="18" t="n">
        <f aca="false">IF(ABS(B56)&gt;Band_10+0.000000000001,A56,-1)</f>
        <v>-1</v>
      </c>
      <c r="H56" s="18" t="n">
        <f aca="false">IF(ABS(B56)&gt;Band_5+0.000000000001,A56,-1)</f>
        <v>-1</v>
      </c>
      <c r="I56" s="18" t="n">
        <f aca="false">IF(ABS(C56)&gt;Band_10+0.000000000001,A56,-1)</f>
        <v>-1</v>
      </c>
      <c r="J56" s="18" t="n">
        <f aca="false">IF(ABS(C56)&gt;Band_5+0.000000000001,A56,-1)</f>
        <v>-1</v>
      </c>
      <c r="K56" s="18" t="n">
        <f aca="false">IF(ABS(D56)&gt;Band_10+0.000000000001,A56,-1)</f>
        <v>-1</v>
      </c>
      <c r="L56" s="18" t="n">
        <f aca="false">IF(ABS(D56)&gt;Band_5+0.000000000001,A56,-1)</f>
        <v>25</v>
      </c>
      <c r="M56" s="18" t="n">
        <f aca="false">IF(ABS(E56)&gt;Band_10+0.000000000001,A56,-1)</f>
        <v>25</v>
      </c>
      <c r="N56" s="18" t="n">
        <f aca="false">IF(ABS(E56)&gt;Band_5+0.000000000001,A56,-1)</f>
        <v>25</v>
      </c>
      <c r="O56" s="18" t="n">
        <f aca="false">IF(ABS(F56)&gt;Band_10+0.000000000001,A56,-1)</f>
        <v>-1</v>
      </c>
      <c r="P56" s="18" t="n">
        <f aca="false">IF(ABS(F56)&gt;Band_5+0.000000000001,A56,-1)</f>
        <v>-1</v>
      </c>
      <c r="Q56" s="17" t="n">
        <f aca="false">ABS(D56)</f>
        <v>8.50594133837079</v>
      </c>
      <c r="R56" s="17" t="n">
        <f aca="false">IF(AND(A56&gt;=$B$16,A56&lt;=$B$16+5),D56,1000000000)</f>
        <v>1000000000</v>
      </c>
    </row>
    <row r="57" customFormat="false" ht="15" hidden="false" customHeight="false" outlineLevel="0" collapsed="false">
      <c r="A57" s="18" t="n">
        <v>26</v>
      </c>
      <c r="B57" s="17" t="n">
        <f aca="false">Carry_a*B56-Hire_b*$B$9*B55</f>
        <v>1.73793158016239E-005</v>
      </c>
      <c r="C57" s="17" t="n">
        <f aca="false">Carry_a*C56-Hire_b*$B$10*C55</f>
        <v>-0.0827288857757141</v>
      </c>
      <c r="D57" s="17" t="n">
        <f aca="false">Carry_a*D56-Hire_b*$B$11*D55</f>
        <v>20.5781318522051</v>
      </c>
      <c r="E57" s="17" t="n">
        <f aca="false">Carry_a*E56-Hire_b*$B$12*E55</f>
        <v>268.327461639836</v>
      </c>
      <c r="F57" s="17" t="n">
        <f aca="false">Carry_a*F56-Hire_b*$B$13*F55</f>
        <v>-2.59949581338643E-006</v>
      </c>
      <c r="G57" s="18" t="n">
        <f aca="false">IF(ABS(B57)&gt;Band_10+0.000000000001,A57,-1)</f>
        <v>-1</v>
      </c>
      <c r="H57" s="18" t="n">
        <f aca="false">IF(ABS(B57)&gt;Band_5+0.000000000001,A57,-1)</f>
        <v>-1</v>
      </c>
      <c r="I57" s="18" t="n">
        <f aca="false">IF(ABS(C57)&gt;Band_10+0.000000000001,A57,-1)</f>
        <v>-1</v>
      </c>
      <c r="J57" s="18" t="n">
        <f aca="false">IF(ABS(C57)&gt;Band_5+0.000000000001,A57,-1)</f>
        <v>-1</v>
      </c>
      <c r="K57" s="18" t="n">
        <f aca="false">IF(ABS(D57)&gt;Band_10+0.000000000001,A57,-1)</f>
        <v>26</v>
      </c>
      <c r="L57" s="18" t="n">
        <f aca="false">IF(ABS(D57)&gt;Band_5+0.000000000001,A57,-1)</f>
        <v>26</v>
      </c>
      <c r="M57" s="18" t="n">
        <f aca="false">IF(ABS(E57)&gt;Band_10+0.000000000001,A57,-1)</f>
        <v>26</v>
      </c>
      <c r="N57" s="18" t="n">
        <f aca="false">IF(ABS(E57)&gt;Band_5+0.000000000001,A57,-1)</f>
        <v>26</v>
      </c>
      <c r="O57" s="18" t="n">
        <f aca="false">IF(ABS(F57)&gt;Band_10+0.000000000001,A57,-1)</f>
        <v>-1</v>
      </c>
      <c r="P57" s="18" t="n">
        <f aca="false">IF(ABS(F57)&gt;Band_5+0.000000000001,A57,-1)</f>
        <v>-1</v>
      </c>
      <c r="Q57" s="17" t="n">
        <f aca="false">ABS(D57)</f>
        <v>20.5781318522051</v>
      </c>
      <c r="R57" s="17" t="n">
        <f aca="false">IF(AND(A57&gt;=$B$16,A57&lt;=$B$16+5),D57,1000000000)</f>
        <v>1000000000</v>
      </c>
    </row>
    <row r="58" customFormat="false" ht="15" hidden="false" customHeight="false" outlineLevel="0" collapsed="false">
      <c r="A58" s="18" t="n">
        <v>27</v>
      </c>
      <c r="B58" s="17" t="n">
        <f aca="false">Carry_a*B57-Hire_b*$B$9*B56</f>
        <v>1.4662257327912E-005</v>
      </c>
      <c r="C58" s="17" t="n">
        <f aca="false">Carry_a*C57-Hire_b*$B$10*C56</f>
        <v>-0.123913559365859</v>
      </c>
      <c r="D58" s="17" t="n">
        <f aca="false">Carry_a*D57-Hire_b*$B$11*D56</f>
        <v>26.1756658715183</v>
      </c>
      <c r="E58" s="17" t="n">
        <f aca="false">Carry_a*E57-Hire_b*$B$12*E56</f>
        <v>-8.48476785671585</v>
      </c>
      <c r="F58" s="17" t="n">
        <f aca="false">Carry_a*F57-Hire_b*$B$13*F56</f>
        <v>-1.213098046247E-006</v>
      </c>
      <c r="G58" s="18" t="n">
        <f aca="false">IF(ABS(B58)&gt;Band_10+0.000000000001,A58,-1)</f>
        <v>-1</v>
      </c>
      <c r="H58" s="18" t="n">
        <f aca="false">IF(ABS(B58)&gt;Band_5+0.000000000001,A58,-1)</f>
        <v>-1</v>
      </c>
      <c r="I58" s="18" t="n">
        <f aca="false">IF(ABS(C58)&gt;Band_10+0.000000000001,A58,-1)</f>
        <v>-1</v>
      </c>
      <c r="J58" s="18" t="n">
        <f aca="false">IF(ABS(C58)&gt;Band_5+0.000000000001,A58,-1)</f>
        <v>-1</v>
      </c>
      <c r="K58" s="18" t="n">
        <f aca="false">IF(ABS(D58)&gt;Band_10+0.000000000001,A58,-1)</f>
        <v>27</v>
      </c>
      <c r="L58" s="18" t="n">
        <f aca="false">IF(ABS(D58)&gt;Band_5+0.000000000001,A58,-1)</f>
        <v>27</v>
      </c>
      <c r="M58" s="18" t="n">
        <f aca="false">IF(ABS(E58)&gt;Band_10+0.000000000001,A58,-1)</f>
        <v>-1</v>
      </c>
      <c r="N58" s="18" t="n">
        <f aca="false">IF(ABS(E58)&gt;Band_5+0.000000000001,A58,-1)</f>
        <v>27</v>
      </c>
      <c r="O58" s="18" t="n">
        <f aca="false">IF(ABS(F58)&gt;Band_10+0.000000000001,A58,-1)</f>
        <v>-1</v>
      </c>
      <c r="P58" s="18" t="n">
        <f aca="false">IF(ABS(F58)&gt;Band_5+0.000000000001,A58,-1)</f>
        <v>-1</v>
      </c>
      <c r="Q58" s="17" t="n">
        <f aca="false">ABS(D58)</f>
        <v>26.1756658715183</v>
      </c>
      <c r="R58" s="17" t="n">
        <f aca="false">IF(AND(A58&gt;=$B$16,A58&lt;=$B$16+5),D58,1000000000)</f>
        <v>1000000000</v>
      </c>
    </row>
    <row r="59" customFormat="false" ht="15" hidden="false" customHeight="false" outlineLevel="0" collapsed="false">
      <c r="A59" s="18" t="n">
        <v>28</v>
      </c>
      <c r="B59" s="17" t="n">
        <f aca="false">Carry_a*B58-Hire_b*$B$9*B57</f>
        <v>7.98223685463361E-006</v>
      </c>
      <c r="C59" s="17" t="n">
        <f aca="false">Carry_a*C58-Hire_b*$B$10*C57</f>
        <v>-0.0618848719638447</v>
      </c>
      <c r="D59" s="17" t="n">
        <f aca="false">Carry_a*D58-Hire_b*$B$11*D57</f>
        <v>5.03778061738188</v>
      </c>
      <c r="E59" s="17" t="n">
        <f aca="false">Carry_a*E58-Hire_b*$B$12*E57</f>
        <v>-297.429949642067</v>
      </c>
      <c r="F59" s="17" t="n">
        <f aca="false">Carry_a*F58-Hire_b*$B$13*F57</f>
        <v>-5.65390339411549E-007</v>
      </c>
      <c r="G59" s="18" t="n">
        <f aca="false">IF(ABS(B59)&gt;Band_10+0.000000000001,A59,-1)</f>
        <v>-1</v>
      </c>
      <c r="H59" s="18" t="n">
        <f aca="false">IF(ABS(B59)&gt;Band_5+0.000000000001,A59,-1)</f>
        <v>-1</v>
      </c>
      <c r="I59" s="18" t="n">
        <f aca="false">IF(ABS(C59)&gt;Band_10+0.000000000001,A59,-1)</f>
        <v>-1</v>
      </c>
      <c r="J59" s="18" t="n">
        <f aca="false">IF(ABS(C59)&gt;Band_5+0.000000000001,A59,-1)</f>
        <v>-1</v>
      </c>
      <c r="K59" s="18" t="n">
        <f aca="false">IF(ABS(D59)&gt;Band_10+0.000000000001,A59,-1)</f>
        <v>-1</v>
      </c>
      <c r="L59" s="18" t="n">
        <f aca="false">IF(ABS(D59)&gt;Band_5+0.000000000001,A59,-1)</f>
        <v>28</v>
      </c>
      <c r="M59" s="18" t="n">
        <f aca="false">IF(ABS(E59)&gt;Band_10+0.000000000001,A59,-1)</f>
        <v>28</v>
      </c>
      <c r="N59" s="18" t="n">
        <f aca="false">IF(ABS(E59)&gt;Band_5+0.000000000001,A59,-1)</f>
        <v>28</v>
      </c>
      <c r="O59" s="18" t="n">
        <f aca="false">IF(ABS(F59)&gt;Band_10+0.000000000001,A59,-1)</f>
        <v>-1</v>
      </c>
      <c r="P59" s="18" t="n">
        <f aca="false">IF(ABS(F59)&gt;Band_5+0.000000000001,A59,-1)</f>
        <v>-1</v>
      </c>
      <c r="Q59" s="17" t="n">
        <f aca="false">ABS(D59)</f>
        <v>5.03778061738188</v>
      </c>
      <c r="R59" s="17" t="n">
        <f aca="false">IF(AND(A59&gt;=$B$16,A59&lt;=$B$16+5),D59,1000000000)</f>
        <v>1000000000</v>
      </c>
    </row>
    <row r="60" customFormat="false" ht="15" hidden="false" customHeight="false" outlineLevel="0" collapsed="false">
      <c r="A60" s="18" t="n">
        <v>29</v>
      </c>
      <c r="B60" s="17" t="n">
        <f aca="false">Carry_a*B59-Hire_b*$B$9*B58</f>
        <v>2.78533597079666E-006</v>
      </c>
      <c r="C60" s="17" t="n">
        <f aca="false">Carry_a*C59-Hire_b*$B$10*C58</f>
        <v>0.0186517508520552</v>
      </c>
      <c r="D60" s="17" t="n">
        <f aca="false">Carry_a*D59-Hire_b*$B$11*D58</f>
        <v>-19.0240967287228</v>
      </c>
      <c r="E60" s="17" t="n">
        <f aca="false">Carry_a*E59-Hire_b*$B$12*E58</f>
        <v>-258.523405392607</v>
      </c>
      <c r="F60" s="17" t="n">
        <f aca="false">Carry_a*F59-Hire_b*$B$13*F58</f>
        <v>-2.63198951105376E-007</v>
      </c>
      <c r="G60" s="18" t="n">
        <f aca="false">IF(ABS(B60)&gt;Band_10+0.000000000001,A60,-1)</f>
        <v>-1</v>
      </c>
      <c r="H60" s="18" t="n">
        <f aca="false">IF(ABS(B60)&gt;Band_5+0.000000000001,A60,-1)</f>
        <v>-1</v>
      </c>
      <c r="I60" s="18" t="n">
        <f aca="false">IF(ABS(C60)&gt;Band_10+0.000000000001,A60,-1)</f>
        <v>-1</v>
      </c>
      <c r="J60" s="18" t="n">
        <f aca="false">IF(ABS(C60)&gt;Band_5+0.000000000001,A60,-1)</f>
        <v>-1</v>
      </c>
      <c r="K60" s="18" t="n">
        <f aca="false">IF(ABS(D60)&gt;Band_10+0.000000000001,A60,-1)</f>
        <v>29</v>
      </c>
      <c r="L60" s="18" t="n">
        <f aca="false">IF(ABS(D60)&gt;Band_5+0.000000000001,A60,-1)</f>
        <v>29</v>
      </c>
      <c r="M60" s="18" t="n">
        <f aca="false">IF(ABS(E60)&gt;Band_10+0.000000000001,A60,-1)</f>
        <v>29</v>
      </c>
      <c r="N60" s="18" t="n">
        <f aca="false">IF(ABS(E60)&gt;Band_5+0.000000000001,A60,-1)</f>
        <v>29</v>
      </c>
      <c r="O60" s="18" t="n">
        <f aca="false">IF(ABS(F60)&gt;Band_10+0.000000000001,A60,-1)</f>
        <v>-1</v>
      </c>
      <c r="P60" s="18" t="n">
        <f aca="false">IF(ABS(F60)&gt;Band_5+0.000000000001,A60,-1)</f>
        <v>-1</v>
      </c>
      <c r="Q60" s="17" t="n">
        <f aca="false">ABS(D60)</f>
        <v>19.0240967287228</v>
      </c>
      <c r="R60" s="17" t="n">
        <f aca="false">IF(AND(A60&gt;=$B$16,A60&lt;=$B$16+5),D60,1000000000)</f>
        <v>1000000000</v>
      </c>
    </row>
    <row r="61" customFormat="false" ht="15" hidden="false" customHeight="false" outlineLevel="0" collapsed="false">
      <c r="A61" s="18" t="n">
        <v>30</v>
      </c>
      <c r="B61" s="17" t="n">
        <f aca="false">Carry_a*B60-Hire_b*$B$9*B59</f>
        <v>1.12131317326909E-007</v>
      </c>
      <c r="C61" s="17" t="n">
        <f aca="false">Carry_a*C60-Hire_b*$B$10*C59</f>
        <v>0.0539174989451565</v>
      </c>
      <c r="D61" s="17" t="n">
        <f aca="false">Carry_a*D60-Hire_b*$B$11*D59</f>
        <v>-21.6556896114942</v>
      </c>
      <c r="E61" s="17" t="n">
        <f aca="false">Carry_a*E60-Hire_b*$B$12*E59</f>
        <v>88.5532807600858</v>
      </c>
      <c r="F61" s="17" t="n">
        <f aca="false">Carry_a*F60-Hire_b*$B$13*F59</f>
        <v>-1.22387512264E-007</v>
      </c>
      <c r="G61" s="18" t="n">
        <f aca="false">IF(ABS(B61)&gt;Band_10+0.000000000001,A61,-1)</f>
        <v>-1</v>
      </c>
      <c r="H61" s="18" t="n">
        <f aca="false">IF(ABS(B61)&gt;Band_5+0.000000000001,A61,-1)</f>
        <v>-1</v>
      </c>
      <c r="I61" s="18" t="n">
        <f aca="false">IF(ABS(C61)&gt;Band_10+0.000000000001,A61,-1)</f>
        <v>-1</v>
      </c>
      <c r="J61" s="18" t="n">
        <f aca="false">IF(ABS(C61)&gt;Band_5+0.000000000001,A61,-1)</f>
        <v>-1</v>
      </c>
      <c r="K61" s="18" t="n">
        <f aca="false">IF(ABS(D61)&gt;Band_10+0.000000000001,A61,-1)</f>
        <v>30</v>
      </c>
      <c r="L61" s="18" t="n">
        <f aca="false">IF(ABS(D61)&gt;Band_5+0.000000000001,A61,-1)</f>
        <v>30</v>
      </c>
      <c r="M61" s="18" t="n">
        <f aca="false">IF(ABS(E61)&gt;Band_10+0.000000000001,A61,-1)</f>
        <v>30</v>
      </c>
      <c r="N61" s="18" t="n">
        <f aca="false">IF(ABS(E61)&gt;Band_5+0.000000000001,A61,-1)</f>
        <v>30</v>
      </c>
      <c r="O61" s="18" t="n">
        <f aca="false">IF(ABS(F61)&gt;Band_10+0.000000000001,A61,-1)</f>
        <v>-1</v>
      </c>
      <c r="P61" s="18" t="n">
        <f aca="false">IF(ABS(F61)&gt;Band_5+0.000000000001,A61,-1)</f>
        <v>-1</v>
      </c>
      <c r="Q61" s="17" t="n">
        <f aca="false">ABS(D61)</f>
        <v>21.6556896114942</v>
      </c>
      <c r="R61" s="17" t="n">
        <f aca="false">IF(AND(A61&gt;=$B$16,A61&lt;=$B$16+5),D61,1000000000)</f>
        <v>1000000000</v>
      </c>
    </row>
    <row r="62" customFormat="false" ht="15" hidden="false" customHeight="false" outlineLevel="0" collapsed="false">
      <c r="A62" s="18" t="n">
        <v>31</v>
      </c>
      <c r="B62" s="17" t="n">
        <f aca="false">Carry_a*B61-Hire_b*$B$9*B60</f>
        <v>-7.3468260564478E-007</v>
      </c>
      <c r="C62" s="17" t="n">
        <f aca="false">Carry_a*C61-Hire_b*$B$10*C60</f>
        <v>0.0373346985394077</v>
      </c>
      <c r="D62" s="17" t="n">
        <f aca="false">Carry_a*D61-Hire_b*$B$11*D60</f>
        <v>-2.36843359449428</v>
      </c>
      <c r="E62" s="17" t="n">
        <f aca="false">Carry_a*E61-Hire_b*$B$12*E60</f>
        <v>358.903230508093</v>
      </c>
      <c r="F62" s="17" t="n">
        <f aca="false">Carry_a*F61-Hire_b*$B$13*F60</f>
        <v>-5.68509734387613E-008</v>
      </c>
      <c r="G62" s="18" t="n">
        <f aca="false">IF(ABS(B62)&gt;Band_10+0.000000000001,A62,-1)</f>
        <v>-1</v>
      </c>
      <c r="H62" s="18" t="n">
        <f aca="false">IF(ABS(B62)&gt;Band_5+0.000000000001,A62,-1)</f>
        <v>-1</v>
      </c>
      <c r="I62" s="18" t="n">
        <f aca="false">IF(ABS(C62)&gt;Band_10+0.000000000001,A62,-1)</f>
        <v>-1</v>
      </c>
      <c r="J62" s="18" t="n">
        <f aca="false">IF(ABS(C62)&gt;Band_5+0.000000000001,A62,-1)</f>
        <v>-1</v>
      </c>
      <c r="K62" s="18" t="n">
        <f aca="false">IF(ABS(D62)&gt;Band_10+0.000000000001,A62,-1)</f>
        <v>-1</v>
      </c>
      <c r="L62" s="18" t="n">
        <f aca="false">IF(ABS(D62)&gt;Band_5+0.000000000001,A62,-1)</f>
        <v>-1</v>
      </c>
      <c r="M62" s="18" t="n">
        <f aca="false">IF(ABS(E62)&gt;Band_10+0.000000000001,A62,-1)</f>
        <v>31</v>
      </c>
      <c r="N62" s="18" t="n">
        <f aca="false">IF(ABS(E62)&gt;Band_5+0.000000000001,A62,-1)</f>
        <v>31</v>
      </c>
      <c r="O62" s="18" t="n">
        <f aca="false">IF(ABS(F62)&gt;Band_10+0.000000000001,A62,-1)</f>
        <v>-1</v>
      </c>
      <c r="P62" s="18" t="n">
        <f aca="false">IF(ABS(F62)&gt;Band_5+0.000000000001,A62,-1)</f>
        <v>-1</v>
      </c>
      <c r="Q62" s="17" t="n">
        <f aca="false">ABS(D62)</f>
        <v>2.36843359449428</v>
      </c>
      <c r="R62" s="17" t="n">
        <f aca="false">IF(AND(A62&gt;=$B$16,A62&lt;=$B$16+5),D62,1000000000)</f>
        <v>1000000000</v>
      </c>
    </row>
    <row r="63" customFormat="false" ht="15" hidden="false" customHeight="false" outlineLevel="0" collapsed="false">
      <c r="A63" s="18" t="n">
        <v>32</v>
      </c>
      <c r="B63" s="17" t="n">
        <f aca="false">Carry_a*B62-Hire_b*$B$9*B61</f>
        <v>-6.94853740278374E-007</v>
      </c>
      <c r="C63" s="17" t="n">
        <f aca="false">Carry_a*C62-Hire_b*$B$10*C61</f>
        <v>0.00125072931837306</v>
      </c>
      <c r="D63" s="17" t="n">
        <f aca="false">Carry_a*D62-Hire_b*$B$11*D61</f>
        <v>17.3585304152999</v>
      </c>
      <c r="E63" s="17" t="n">
        <f aca="false">Carry_a*E62-Hire_b*$B$12*E61</f>
        <v>227.375364236391</v>
      </c>
      <c r="F63" s="17" t="n">
        <f aca="false">Carry_a*F62-Hire_b*$B$13*F61</f>
        <v>-2.63824048614252E-008</v>
      </c>
      <c r="G63" s="18" t="n">
        <f aca="false">IF(ABS(B63)&gt;Band_10+0.000000000001,A63,-1)</f>
        <v>-1</v>
      </c>
      <c r="H63" s="18" t="n">
        <f aca="false">IF(ABS(B63)&gt;Band_5+0.000000000001,A63,-1)</f>
        <v>-1</v>
      </c>
      <c r="I63" s="18" t="n">
        <f aca="false">IF(ABS(C63)&gt;Band_10+0.000000000001,A63,-1)</f>
        <v>-1</v>
      </c>
      <c r="J63" s="18" t="n">
        <f aca="false">IF(ABS(C63)&gt;Band_5+0.000000000001,A63,-1)</f>
        <v>-1</v>
      </c>
      <c r="K63" s="18" t="n">
        <f aca="false">IF(ABS(D63)&gt;Band_10+0.000000000001,A63,-1)</f>
        <v>32</v>
      </c>
      <c r="L63" s="18" t="n">
        <f aca="false">IF(ABS(D63)&gt;Band_5+0.000000000001,A63,-1)</f>
        <v>32</v>
      </c>
      <c r="M63" s="18" t="n">
        <f aca="false">IF(ABS(E63)&gt;Band_10+0.000000000001,A63,-1)</f>
        <v>32</v>
      </c>
      <c r="N63" s="18" t="n">
        <f aca="false">IF(ABS(E63)&gt;Band_5+0.000000000001,A63,-1)</f>
        <v>32</v>
      </c>
      <c r="O63" s="18" t="n">
        <f aca="false">IF(ABS(F63)&gt;Band_10+0.000000000001,A63,-1)</f>
        <v>-1</v>
      </c>
      <c r="P63" s="18" t="n">
        <f aca="false">IF(ABS(F63)&gt;Band_5+0.000000000001,A63,-1)</f>
        <v>-1</v>
      </c>
      <c r="Q63" s="17" t="n">
        <f aca="false">ABS(D63)</f>
        <v>17.3585304152999</v>
      </c>
      <c r="R63" s="17" t="n">
        <f aca="false">IF(AND(A63&gt;=$B$16,A63&lt;=$B$16+5),D63,1000000000)</f>
        <v>1000000000</v>
      </c>
    </row>
    <row r="64" customFormat="false" ht="15" hidden="false" customHeight="false" outlineLevel="0" collapsed="false">
      <c r="A64" s="18" t="n">
        <v>33</v>
      </c>
      <c r="B64" s="17" t="n">
        <f aca="false">Carry_a*B63-Hire_b*$B$9*B62</f>
        <v>-4.04963584557103E-007</v>
      </c>
      <c r="C64" s="17" t="n">
        <f aca="false">Carry_a*C63-Hire_b*$B$10*C62</f>
        <v>-0.0212751627371089</v>
      </c>
      <c r="D64" s="17" t="n">
        <f aca="false">Carry_a*D63-Hire_b*$B$11*D62</f>
        <v>17.7542676088148</v>
      </c>
      <c r="E64" s="17" t="n">
        <f aca="false">Carry_a*E63-Hire_b*$B$12*E62</f>
        <v>-182.977661135988</v>
      </c>
      <c r="F64" s="17" t="n">
        <f aca="false">Carry_a*F63-Hire_b*$B$13*F62</f>
        <v>-1.22318422539335E-008</v>
      </c>
      <c r="G64" s="18" t="n">
        <f aca="false">IF(ABS(B64)&gt;Band_10+0.000000000001,A64,-1)</f>
        <v>-1</v>
      </c>
      <c r="H64" s="18" t="n">
        <f aca="false">IF(ABS(B64)&gt;Band_5+0.000000000001,A64,-1)</f>
        <v>-1</v>
      </c>
      <c r="I64" s="18" t="n">
        <f aca="false">IF(ABS(C64)&gt;Band_10+0.000000000001,A64,-1)</f>
        <v>-1</v>
      </c>
      <c r="J64" s="18" t="n">
        <f aca="false">IF(ABS(C64)&gt;Band_5+0.000000000001,A64,-1)</f>
        <v>-1</v>
      </c>
      <c r="K64" s="18" t="n">
        <f aca="false">IF(ABS(D64)&gt;Band_10+0.000000000001,A64,-1)</f>
        <v>33</v>
      </c>
      <c r="L64" s="18" t="n">
        <f aca="false">IF(ABS(D64)&gt;Band_5+0.000000000001,A64,-1)</f>
        <v>33</v>
      </c>
      <c r="M64" s="18" t="n">
        <f aca="false">IF(ABS(E64)&gt;Band_10+0.000000000001,A64,-1)</f>
        <v>33</v>
      </c>
      <c r="N64" s="18" t="n">
        <f aca="false">IF(ABS(E64)&gt;Band_5+0.000000000001,A64,-1)</f>
        <v>33</v>
      </c>
      <c r="O64" s="18" t="n">
        <f aca="false">IF(ABS(F64)&gt;Band_10+0.000000000001,A64,-1)</f>
        <v>-1</v>
      </c>
      <c r="P64" s="18" t="n">
        <f aca="false">IF(ABS(F64)&gt;Band_5+0.000000000001,A64,-1)</f>
        <v>-1</v>
      </c>
      <c r="Q64" s="17" t="n">
        <f aca="false">ABS(D64)</f>
        <v>17.7542676088148</v>
      </c>
      <c r="R64" s="17" t="n">
        <f aca="false">IF(AND(A64&gt;=$B$16,A64&lt;=$B$16+5),D64,1000000000)</f>
        <v>1000000000</v>
      </c>
    </row>
    <row r="65" customFormat="false" ht="15" hidden="false" customHeight="false" outlineLevel="0" collapsed="false">
      <c r="A65" s="18" t="n">
        <v>34</v>
      </c>
      <c r="B65" s="17" t="n">
        <f aca="false">Carry_a*B64-Hire_b*$B$9*B63</f>
        <v>-1.5601110401788E-007</v>
      </c>
      <c r="C65" s="17" t="n">
        <f aca="false">Carry_a*C64-Hire_b*$B$10*C63</f>
        <v>-0.0198980840544218</v>
      </c>
      <c r="D65" s="17" t="n">
        <f aca="false">Carry_a*D64-Hire_b*$B$11*D63</f>
        <v>0.356163474163379</v>
      </c>
      <c r="E65" s="17" t="n">
        <f aca="false">Carry_a*E64-Hire_b*$B$12*E63</f>
        <v>-410.245288397692</v>
      </c>
      <c r="F65" s="17" t="n">
        <f aca="false">Carry_a*F64-Hire_b*$B$13*F63</f>
        <v>-5.66622104410154E-009</v>
      </c>
      <c r="G65" s="18" t="n">
        <f aca="false">IF(ABS(B65)&gt;Band_10+0.000000000001,A65,-1)</f>
        <v>-1</v>
      </c>
      <c r="H65" s="18" t="n">
        <f aca="false">IF(ABS(B65)&gt;Band_5+0.000000000001,A65,-1)</f>
        <v>-1</v>
      </c>
      <c r="I65" s="18" t="n">
        <f aca="false">IF(ABS(C65)&gt;Band_10+0.000000000001,A65,-1)</f>
        <v>-1</v>
      </c>
      <c r="J65" s="18" t="n">
        <f aca="false">IF(ABS(C65)&gt;Band_5+0.000000000001,A65,-1)</f>
        <v>-1</v>
      </c>
      <c r="K65" s="18" t="n">
        <f aca="false">IF(ABS(D65)&gt;Band_10+0.000000000001,A65,-1)</f>
        <v>-1</v>
      </c>
      <c r="L65" s="18" t="n">
        <f aca="false">IF(ABS(D65)&gt;Band_5+0.000000000001,A65,-1)</f>
        <v>-1</v>
      </c>
      <c r="M65" s="18" t="n">
        <f aca="false">IF(ABS(E65)&gt;Band_10+0.000000000001,A65,-1)</f>
        <v>34</v>
      </c>
      <c r="N65" s="18" t="n">
        <f aca="false">IF(ABS(E65)&gt;Band_5+0.000000000001,A65,-1)</f>
        <v>34</v>
      </c>
      <c r="O65" s="18" t="n">
        <f aca="false">IF(ABS(F65)&gt;Band_10+0.000000000001,A65,-1)</f>
        <v>-1</v>
      </c>
      <c r="P65" s="18" t="n">
        <f aca="false">IF(ABS(F65)&gt;Band_5+0.000000000001,A65,-1)</f>
        <v>-1</v>
      </c>
      <c r="Q65" s="17" t="n">
        <f aca="false">ABS(D65)</f>
        <v>0.356163474163379</v>
      </c>
      <c r="R65" s="17" t="n">
        <f aca="false">IF(AND(A65&gt;=$B$16,A65&lt;=$B$16+5),D65,1000000000)</f>
        <v>1000000000</v>
      </c>
    </row>
    <row r="66" customFormat="false" ht="15" hidden="false" customHeight="false" outlineLevel="0" collapsed="false">
      <c r="A66" s="18" t="n">
        <v>35</v>
      </c>
      <c r="B66" s="17" t="n">
        <f aca="false">Carry_a*B65-Hire_b*$B$9*B64</f>
        <v>-1.89209182489615E-008</v>
      </c>
      <c r="C66" s="17" t="n">
        <f aca="false">Carry_a*C65-Hire_b*$B$10*C64</f>
        <v>-0.00514317800671432</v>
      </c>
      <c r="D66" s="17" t="n">
        <f aca="false">Carry_a*D65-Hire_b*$B$11*D64</f>
        <v>-15.6582937211862</v>
      </c>
      <c r="E66" s="17" t="n">
        <f aca="false">Carry_a*E65-Hire_b*$B$12*E64</f>
        <v>-171.604885531055</v>
      </c>
      <c r="F66" s="17" t="n">
        <f aca="false">Carry_a*F65-Hire_b*$B$13*F64</f>
        <v>-2.62265088326986E-009</v>
      </c>
      <c r="G66" s="18" t="n">
        <f aca="false">IF(ABS(B66)&gt;Band_10+0.000000000001,A66,-1)</f>
        <v>-1</v>
      </c>
      <c r="H66" s="18" t="n">
        <f aca="false">IF(ABS(B66)&gt;Band_5+0.000000000001,A66,-1)</f>
        <v>-1</v>
      </c>
      <c r="I66" s="18" t="n">
        <f aca="false">IF(ABS(C66)&gt;Band_10+0.000000000001,A66,-1)</f>
        <v>-1</v>
      </c>
      <c r="J66" s="18" t="n">
        <f aca="false">IF(ABS(C66)&gt;Band_5+0.000000000001,A66,-1)</f>
        <v>-1</v>
      </c>
      <c r="K66" s="18" t="n">
        <f aca="false">IF(ABS(D66)&gt;Band_10+0.000000000001,A66,-1)</f>
        <v>35</v>
      </c>
      <c r="L66" s="18" t="n">
        <f aca="false">IF(ABS(D66)&gt;Band_5+0.000000000001,A66,-1)</f>
        <v>35</v>
      </c>
      <c r="M66" s="18" t="n">
        <f aca="false">IF(ABS(E66)&gt;Band_10+0.000000000001,A66,-1)</f>
        <v>35</v>
      </c>
      <c r="N66" s="18" t="n">
        <f aca="false">IF(ABS(E66)&gt;Band_5+0.000000000001,A66,-1)</f>
        <v>35</v>
      </c>
      <c r="O66" s="18" t="n">
        <f aca="false">IF(ABS(F66)&gt;Band_10+0.000000000001,A66,-1)</f>
        <v>-1</v>
      </c>
      <c r="P66" s="18" t="n">
        <f aca="false">IF(ABS(F66)&gt;Band_5+0.000000000001,A66,-1)</f>
        <v>-1</v>
      </c>
      <c r="Q66" s="17" t="n">
        <f aca="false">ABS(D66)</f>
        <v>15.6582937211862</v>
      </c>
      <c r="R66" s="17" t="n">
        <f aca="false">IF(AND(A66&gt;=$B$16,A66&lt;=$B$16+5),D66,1000000000)</f>
        <v>1000000000</v>
      </c>
    </row>
    <row r="67" customFormat="false" ht="15" hidden="false" customHeight="false" outlineLevel="0" collapsed="false">
      <c r="A67" s="18" t="n">
        <v>36</v>
      </c>
      <c r="B67" s="17" t="n">
        <f aca="false">Carry_a*B66-Hire_b*$B$9*B65</f>
        <v>2.97745047812988E-008</v>
      </c>
      <c r="C67" s="17" t="n">
        <f aca="false">Carry_a*C66-Hire_b*$B$10*C65</f>
        <v>0.00730999022661021</v>
      </c>
      <c r="D67" s="17" t="n">
        <f aca="false">Carry_a*D66-Hire_b*$B$11*D65</f>
        <v>-14.4130114758147</v>
      </c>
      <c r="E67" s="17" t="n">
        <f aca="false">Carry_a*E66-Hire_b*$B$12*E65</f>
        <v>288.620514491557</v>
      </c>
      <c r="F67" s="17" t="n">
        <f aca="false">Carry_a*F66-Hire_b*$B$13*F65</f>
        <v>-1.21297603351231E-009</v>
      </c>
      <c r="G67" s="18" t="n">
        <f aca="false">IF(ABS(B67)&gt;Band_10+0.000000000001,A67,-1)</f>
        <v>-1</v>
      </c>
      <c r="H67" s="18" t="n">
        <f aca="false">IF(ABS(B67)&gt;Band_5+0.000000000001,A67,-1)</f>
        <v>-1</v>
      </c>
      <c r="I67" s="18" t="n">
        <f aca="false">IF(ABS(C67)&gt;Band_10+0.000000000001,A67,-1)</f>
        <v>-1</v>
      </c>
      <c r="J67" s="18" t="n">
        <f aca="false">IF(ABS(C67)&gt;Band_5+0.000000000001,A67,-1)</f>
        <v>-1</v>
      </c>
      <c r="K67" s="18" t="n">
        <f aca="false">IF(ABS(D67)&gt;Band_10+0.000000000001,A67,-1)</f>
        <v>36</v>
      </c>
      <c r="L67" s="18" t="n">
        <f aca="false">IF(ABS(D67)&gt;Band_5+0.000000000001,A67,-1)</f>
        <v>36</v>
      </c>
      <c r="M67" s="18" t="n">
        <f aca="false">IF(ABS(E67)&gt;Band_10+0.000000000001,A67,-1)</f>
        <v>36</v>
      </c>
      <c r="N67" s="18" t="n">
        <f aca="false">IF(ABS(E67)&gt;Band_5+0.000000000001,A67,-1)</f>
        <v>36</v>
      </c>
      <c r="O67" s="18" t="n">
        <f aca="false">IF(ABS(F67)&gt;Band_10+0.000000000001,A67,-1)</f>
        <v>-1</v>
      </c>
      <c r="P67" s="18" t="n">
        <f aca="false">IF(ABS(F67)&gt;Band_5+0.000000000001,A67,-1)</f>
        <v>-1</v>
      </c>
      <c r="Q67" s="17" t="n">
        <f aca="false">ABS(D67)</f>
        <v>14.4130114758147</v>
      </c>
      <c r="R67" s="17" t="n">
        <f aca="false">IF(AND(A67&gt;=$B$16,A67&lt;=$B$16+5),D67,1000000000)</f>
        <v>1000000000</v>
      </c>
    </row>
    <row r="68" customFormat="false" ht="15" hidden="false" customHeight="false" outlineLevel="0" collapsed="false">
      <c r="A68" s="18" t="n">
        <v>37</v>
      </c>
      <c r="B68" s="17" t="n">
        <f aca="false">Carry_a*B67-Hire_b*$B$9*B66</f>
        <v>3.24733297778573E-008</v>
      </c>
      <c r="C68" s="17" t="n">
        <f aca="false">Carry_a*C67-Hire_b*$B$10*C66</f>
        <v>0.00966489800797778</v>
      </c>
      <c r="D68" s="17" t="n">
        <f aca="false">Carry_a*D67-Hire_b*$B$11*D66</f>
        <v>1.12075402083443</v>
      </c>
      <c r="E68" s="17" t="n">
        <f aca="false">Carry_a*E67-Hire_b*$B$12*E66</f>
        <v>445.091739415941</v>
      </c>
      <c r="F68" s="17" t="n">
        <f aca="false">Carry_a*F67-Hire_b*$B$13*F66</f>
        <v>-5.60591626298932E-010</v>
      </c>
      <c r="G68" s="18" t="n">
        <f aca="false">IF(ABS(B68)&gt;Band_10+0.000000000001,A68,-1)</f>
        <v>-1</v>
      </c>
      <c r="H68" s="18" t="n">
        <f aca="false">IF(ABS(B68)&gt;Band_5+0.000000000001,A68,-1)</f>
        <v>-1</v>
      </c>
      <c r="I68" s="18" t="n">
        <f aca="false">IF(ABS(C68)&gt;Band_10+0.000000000001,A68,-1)</f>
        <v>-1</v>
      </c>
      <c r="J68" s="18" t="n">
        <f aca="false">IF(ABS(C68)&gt;Band_5+0.000000000001,A68,-1)</f>
        <v>-1</v>
      </c>
      <c r="K68" s="18" t="n">
        <f aca="false">IF(ABS(D68)&gt;Band_10+0.000000000001,A68,-1)</f>
        <v>-1</v>
      </c>
      <c r="L68" s="18" t="n">
        <f aca="false">IF(ABS(D68)&gt;Band_5+0.000000000001,A68,-1)</f>
        <v>-1</v>
      </c>
      <c r="M68" s="18" t="n">
        <f aca="false">IF(ABS(E68)&gt;Band_10+0.000000000001,A68,-1)</f>
        <v>37</v>
      </c>
      <c r="N68" s="18" t="n">
        <f aca="false">IF(ABS(E68)&gt;Band_5+0.000000000001,A68,-1)</f>
        <v>37</v>
      </c>
      <c r="O68" s="18" t="n">
        <f aca="false">IF(ABS(F68)&gt;Band_10+0.000000000001,A68,-1)</f>
        <v>-1</v>
      </c>
      <c r="P68" s="18" t="n">
        <f aca="false">IF(ABS(F68)&gt;Band_5+0.000000000001,A68,-1)</f>
        <v>-1</v>
      </c>
      <c r="Q68" s="17" t="n">
        <f aca="false">ABS(D68)</f>
        <v>1.12075402083443</v>
      </c>
      <c r="R68" s="17" t="n">
        <f aca="false">IF(AND(A68&gt;=$B$16,A68&lt;=$B$16+5),D68,1000000000)</f>
        <v>1000000000</v>
      </c>
    </row>
    <row r="69" customFormat="false" ht="15" hidden="false" customHeight="false" outlineLevel="0" collapsed="false">
      <c r="A69" s="18" t="n">
        <v>38</v>
      </c>
      <c r="B69" s="17" t="n">
        <f aca="false">Carry_a*B68-Hire_b*$B$9*B67</f>
        <v>2.0293645365682E-008</v>
      </c>
      <c r="C69" s="17" t="n">
        <f aca="false">Carry_a*C68-Hire_b*$B$10*C67</f>
        <v>0.00431241407121388</v>
      </c>
      <c r="D69" s="17" t="n">
        <f aca="false">Carry_a*D68-Hire_b*$B$11*D67</f>
        <v>13.9803889469842</v>
      </c>
      <c r="E69" s="17" t="n">
        <f aca="false">Carry_a*E68-Hire_b*$B$12*E67</f>
        <v>88.8724098234649</v>
      </c>
      <c r="F69" s="17" t="n">
        <f aca="false">Carry_a*F68-Hire_b*$B$13*F67</f>
        <v>-2.58904816882796E-010</v>
      </c>
      <c r="G69" s="18" t="n">
        <f aca="false">IF(ABS(B69)&gt;Band_10+0.000000000001,A69,-1)</f>
        <v>-1</v>
      </c>
      <c r="H69" s="18" t="n">
        <f aca="false">IF(ABS(B69)&gt;Band_5+0.000000000001,A69,-1)</f>
        <v>-1</v>
      </c>
      <c r="I69" s="18" t="n">
        <f aca="false">IF(ABS(C69)&gt;Band_10+0.000000000001,A69,-1)</f>
        <v>-1</v>
      </c>
      <c r="J69" s="18" t="n">
        <f aca="false">IF(ABS(C69)&gt;Band_5+0.000000000001,A69,-1)</f>
        <v>-1</v>
      </c>
      <c r="K69" s="18" t="n">
        <f aca="false">IF(ABS(D69)&gt;Band_10+0.000000000001,A69,-1)</f>
        <v>38</v>
      </c>
      <c r="L69" s="18" t="n">
        <f aca="false">IF(ABS(D69)&gt;Band_5+0.000000000001,A69,-1)</f>
        <v>38</v>
      </c>
      <c r="M69" s="18" t="n">
        <f aca="false">IF(ABS(E69)&gt;Band_10+0.000000000001,A69,-1)</f>
        <v>38</v>
      </c>
      <c r="N69" s="18" t="n">
        <f aca="false">IF(ABS(E69)&gt;Band_5+0.000000000001,A69,-1)</f>
        <v>38</v>
      </c>
      <c r="O69" s="18" t="n">
        <f aca="false">IF(ABS(F69)&gt;Band_10+0.000000000001,A69,-1)</f>
        <v>-1</v>
      </c>
      <c r="P69" s="18" t="n">
        <f aca="false">IF(ABS(F69)&gt;Band_5+0.000000000001,A69,-1)</f>
        <v>-1</v>
      </c>
      <c r="Q69" s="17" t="n">
        <f aca="false">ABS(D69)</f>
        <v>13.9803889469842</v>
      </c>
      <c r="R69" s="17" t="n">
        <f aca="false">IF(AND(A69&gt;=$B$16,A69&lt;=$B$16+5),D69,1000000000)</f>
        <v>1000000000</v>
      </c>
    </row>
    <row r="70" customFormat="false" ht="15" hidden="false" customHeight="false" outlineLevel="0" collapsed="false">
      <c r="A70" s="18" t="n">
        <v>39</v>
      </c>
      <c r="B70" s="17" t="n">
        <f aca="false">Carry_a*B69-Hire_b*$B$9*B68</f>
        <v>8.52228189575658E-009</v>
      </c>
      <c r="C70" s="17" t="n">
        <f aca="false">Carry_a*C69-Hire_b*$B$10*C68</f>
        <v>-0.00191776614069418</v>
      </c>
      <c r="D70" s="17" t="n">
        <f aca="false">Carry_a*D69-Hire_b*$B$11*D68</f>
        <v>11.5736714335348</v>
      </c>
      <c r="E70" s="17" t="n">
        <f aca="false">Carry_a*E69-Hire_b*$B$12*E68</f>
        <v>-400.713909728098</v>
      </c>
      <c r="F70" s="17" t="n">
        <f aca="false">Carry_a*F69-Hire_b*$B$13*F68</f>
        <v>-1.19494530868983E-010</v>
      </c>
      <c r="G70" s="18" t="n">
        <f aca="false">IF(ABS(B70)&gt;Band_10+0.000000000001,A70,-1)</f>
        <v>-1</v>
      </c>
      <c r="H70" s="18" t="n">
        <f aca="false">IF(ABS(B70)&gt;Band_5+0.000000000001,A70,-1)</f>
        <v>-1</v>
      </c>
      <c r="I70" s="18" t="n">
        <f aca="false">IF(ABS(C70)&gt;Band_10+0.000000000001,A70,-1)</f>
        <v>-1</v>
      </c>
      <c r="J70" s="18" t="n">
        <f aca="false">IF(ABS(C70)&gt;Band_5+0.000000000001,A70,-1)</f>
        <v>-1</v>
      </c>
      <c r="K70" s="18" t="n">
        <f aca="false">IF(ABS(D70)&gt;Band_10+0.000000000001,A70,-1)</f>
        <v>39</v>
      </c>
      <c r="L70" s="18" t="n">
        <f aca="false">IF(ABS(D70)&gt;Band_5+0.000000000001,A70,-1)</f>
        <v>39</v>
      </c>
      <c r="M70" s="18" t="n">
        <f aca="false">IF(ABS(E70)&gt;Band_10+0.000000000001,A70,-1)</f>
        <v>39</v>
      </c>
      <c r="N70" s="18" t="n">
        <f aca="false">IF(ABS(E70)&gt;Band_5+0.000000000001,A70,-1)</f>
        <v>39</v>
      </c>
      <c r="O70" s="18" t="n">
        <f aca="false">IF(ABS(F70)&gt;Band_10+0.000000000001,A70,-1)</f>
        <v>-1</v>
      </c>
      <c r="P70" s="18" t="n">
        <f aca="false">IF(ABS(F70)&gt;Band_5+0.000000000001,A70,-1)</f>
        <v>-1</v>
      </c>
      <c r="Q70" s="17" t="n">
        <f aca="false">ABS(D70)</f>
        <v>11.5736714335348</v>
      </c>
      <c r="R70" s="17" t="n">
        <f aca="false">IF(AND(A70&gt;=$B$16,A70&lt;=$B$16+5),D70,1000000000)</f>
        <v>1000000000</v>
      </c>
    </row>
    <row r="71" customFormat="false" ht="15" hidden="false" customHeight="false" outlineLevel="0" collapsed="false">
      <c r="A71" s="18" t="n">
        <v>40</v>
      </c>
      <c r="B71" s="17" t="n">
        <f aca="false">Carry_a*B70-Hire_b*$B$9*B69</f>
        <v>1.58196009647633E-009</v>
      </c>
      <c r="C71" s="17" t="n">
        <f aca="false">Carry_a*C70-Hire_b*$B$10*C69</f>
        <v>-0.00431343796935309</v>
      </c>
      <c r="D71" s="17" t="n">
        <f aca="false">Carry_a*D70-Hire_b*$B$11*D69</f>
        <v>-2.16604576210446</v>
      </c>
      <c r="E71" s="17" t="n">
        <f aca="false">Carry_a*E70-Hire_b*$B$12*E69</f>
        <v>-456.62472136463</v>
      </c>
      <c r="F71" s="17" t="n">
        <f aca="false">Carry_a*F70-Hire_b*$B$13*F69</f>
        <v>-5.51168523633183E-011</v>
      </c>
      <c r="G71" s="18" t="n">
        <f aca="false">IF(ABS(B71)&gt;Band_10+0.000000000001,A71,-1)</f>
        <v>-1</v>
      </c>
      <c r="H71" s="18" t="n">
        <f aca="false">IF(ABS(B71)&gt;Band_5+0.000000000001,A71,-1)</f>
        <v>-1</v>
      </c>
      <c r="I71" s="18" t="n">
        <f aca="false">IF(ABS(C71)&gt;Band_10+0.000000000001,A71,-1)</f>
        <v>-1</v>
      </c>
      <c r="J71" s="18" t="n">
        <f aca="false">IF(ABS(C71)&gt;Band_5+0.000000000001,A71,-1)</f>
        <v>-1</v>
      </c>
      <c r="K71" s="18" t="n">
        <f aca="false">IF(ABS(D71)&gt;Band_10+0.000000000001,A71,-1)</f>
        <v>-1</v>
      </c>
      <c r="L71" s="18" t="n">
        <f aca="false">IF(ABS(D71)&gt;Band_5+0.000000000001,A71,-1)</f>
        <v>-1</v>
      </c>
      <c r="M71" s="18" t="n">
        <f aca="false">IF(ABS(E71)&gt;Band_10+0.000000000001,A71,-1)</f>
        <v>40</v>
      </c>
      <c r="N71" s="18" t="n">
        <f aca="false">IF(ABS(E71)&gt;Band_5+0.000000000001,A71,-1)</f>
        <v>40</v>
      </c>
      <c r="O71" s="18" t="n">
        <f aca="false">IF(ABS(F71)&gt;Band_10+0.000000000001,A71,-1)</f>
        <v>-1</v>
      </c>
      <c r="P71" s="18" t="n">
        <f aca="false">IF(ABS(F71)&gt;Band_5+0.000000000001,A71,-1)</f>
        <v>-1</v>
      </c>
      <c r="Q71" s="17" t="n">
        <f aca="false">ABS(D71)</f>
        <v>2.16604576210446</v>
      </c>
      <c r="R71" s="17" t="n">
        <f aca="false">IF(AND(A71&gt;=$B$16,A71&lt;=$B$16+5),D71,1000000000)</f>
        <v>1000000000</v>
      </c>
    </row>
    <row r="72" customFormat="false" ht="15" hidden="false" customHeight="false" outlineLevel="0" collapsed="false">
      <c r="A72" s="18" t="n">
        <v>41</v>
      </c>
      <c r="B72" s="17" t="n">
        <f aca="false">Carry_a*B71-Hire_b*$B$9*B70</f>
        <v>-1.13292048189828E-009</v>
      </c>
      <c r="C72" s="17" t="n">
        <f aca="false">Carry_a*C71-Hire_b*$B$10*C70</f>
        <v>-0.00273143448800127</v>
      </c>
      <c r="D72" s="17" t="n">
        <f aca="false">Carry_a*D71-Hire_b*$B$11*D70</f>
        <v>-12.3657454760753</v>
      </c>
      <c r="E72" s="17" t="n">
        <f aca="false">Carry_a*E71-Hire_b*$B$12*E70</f>
        <v>21.8087732781787</v>
      </c>
      <c r="F72" s="17" t="n">
        <f aca="false">Carry_a*F71-Hire_b*$B$13*F70</f>
        <v>-2.54075246260175E-011</v>
      </c>
      <c r="G72" s="18" t="n">
        <f aca="false">IF(ABS(B72)&gt;Band_10+0.000000000001,A72,-1)</f>
        <v>-1</v>
      </c>
      <c r="H72" s="18" t="n">
        <f aca="false">IF(ABS(B72)&gt;Band_5+0.000000000001,A72,-1)</f>
        <v>-1</v>
      </c>
      <c r="I72" s="18" t="n">
        <f aca="false">IF(ABS(C72)&gt;Band_10+0.000000000001,A72,-1)</f>
        <v>-1</v>
      </c>
      <c r="J72" s="18" t="n">
        <f aca="false">IF(ABS(C72)&gt;Band_5+0.000000000001,A72,-1)</f>
        <v>-1</v>
      </c>
      <c r="K72" s="18" t="n">
        <f aca="false">IF(ABS(D72)&gt;Band_10+0.000000000001,A72,-1)</f>
        <v>41</v>
      </c>
      <c r="L72" s="18" t="n">
        <f aca="false">IF(ABS(D72)&gt;Band_5+0.000000000001,A72,-1)</f>
        <v>41</v>
      </c>
      <c r="M72" s="18" t="n">
        <f aca="false">IF(ABS(E72)&gt;Band_10+0.000000000001,A72,-1)</f>
        <v>41</v>
      </c>
      <c r="N72" s="18" t="n">
        <f aca="false">IF(ABS(E72)&gt;Band_5+0.000000000001,A72,-1)</f>
        <v>41</v>
      </c>
      <c r="O72" s="18" t="n">
        <f aca="false">IF(ABS(F72)&gt;Band_10+0.000000000001,A72,-1)</f>
        <v>-1</v>
      </c>
      <c r="P72" s="18" t="n">
        <f aca="false">IF(ABS(F72)&gt;Band_5+0.000000000001,A72,-1)</f>
        <v>-1</v>
      </c>
      <c r="Q72" s="17" t="n">
        <f aca="false">ABS(D72)</f>
        <v>12.3657454760753</v>
      </c>
      <c r="R72" s="17" t="n">
        <f aca="false">IF(AND(A72&gt;=$B$16,A72&lt;=$B$16+5),D72,1000000000)</f>
        <v>1000000000</v>
      </c>
    </row>
    <row r="73" customFormat="false" ht="15" hidden="false" customHeight="false" outlineLevel="0" collapsed="false">
      <c r="A73" s="18" t="n">
        <v>42</v>
      </c>
      <c r="B73" s="17" t="n">
        <f aca="false">Carry_a*B72-Hire_b*$B$9*B71</f>
        <v>-1.49421646265135E-009</v>
      </c>
      <c r="C73" s="17" t="n">
        <f aca="false">Carry_a*C72-Hire_b*$B$10*C71</f>
        <v>0.000129771742410708</v>
      </c>
      <c r="D73" s="17" t="n">
        <f aca="false">Carry_a*D72-Hire_b*$B$11*D71</f>
        <v>-9.17972974257377</v>
      </c>
      <c r="E73" s="17" t="n">
        <f aca="false">Carry_a*E72-Hire_b*$B$12*E71</f>
        <v>512.782595024161</v>
      </c>
      <c r="F73" s="17" t="n">
        <f aca="false">Carry_a*F72-Hire_b*$B$13*F71</f>
        <v>-1.17056095598438E-011</v>
      </c>
      <c r="G73" s="18" t="n">
        <f aca="false">IF(ABS(B73)&gt;Band_10+0.000000000001,A73,-1)</f>
        <v>-1</v>
      </c>
      <c r="H73" s="18" t="n">
        <f aca="false">IF(ABS(B73)&gt;Band_5+0.000000000001,A73,-1)</f>
        <v>-1</v>
      </c>
      <c r="I73" s="18" t="n">
        <f aca="false">IF(ABS(C73)&gt;Band_10+0.000000000001,A73,-1)</f>
        <v>-1</v>
      </c>
      <c r="J73" s="18" t="n">
        <f aca="false">IF(ABS(C73)&gt;Band_5+0.000000000001,A73,-1)</f>
        <v>-1</v>
      </c>
      <c r="K73" s="18" t="n">
        <f aca="false">IF(ABS(D73)&gt;Band_10+0.000000000001,A73,-1)</f>
        <v>-1</v>
      </c>
      <c r="L73" s="18" t="n">
        <f aca="false">IF(ABS(D73)&gt;Band_5+0.000000000001,A73,-1)</f>
        <v>42</v>
      </c>
      <c r="M73" s="18" t="n">
        <f aca="false">IF(ABS(E73)&gt;Band_10+0.000000000001,A73,-1)</f>
        <v>42</v>
      </c>
      <c r="N73" s="18" t="n">
        <f aca="false">IF(ABS(E73)&gt;Band_5+0.000000000001,A73,-1)</f>
        <v>42</v>
      </c>
      <c r="O73" s="18" t="n">
        <f aca="false">IF(ABS(F73)&gt;Band_10+0.000000000001,A73,-1)</f>
        <v>-1</v>
      </c>
      <c r="P73" s="18" t="n">
        <f aca="false">IF(ABS(F73)&gt;Band_5+0.000000000001,A73,-1)</f>
        <v>-1</v>
      </c>
      <c r="Q73" s="17" t="n">
        <f aca="false">ABS(D73)</f>
        <v>9.17972974257377</v>
      </c>
      <c r="R73" s="17" t="n">
        <f aca="false">IF(AND(A73&gt;=$B$16,A73&lt;=$B$16+5),D73,1000000000)</f>
        <v>1000000000</v>
      </c>
    </row>
    <row r="74" customFormat="false" ht="15" hidden="false" customHeight="false" outlineLevel="0" collapsed="false">
      <c r="A74" s="18" t="n">
        <v>43</v>
      </c>
      <c r="B74" s="17" t="n">
        <f aca="false">Carry_a*B73-Hire_b*$B$9*B72</f>
        <v>-1.00491867181673E-009</v>
      </c>
      <c r="C74" s="17" t="n">
        <f aca="false">Carry_a*C73-Hire_b*$B$10*C72</f>
        <v>0.0017556552609704</v>
      </c>
      <c r="D74" s="17" t="n">
        <f aca="false">Carry_a*D73-Hire_b*$B$11*D72</f>
        <v>2.86741416015139</v>
      </c>
      <c r="E74" s="17" t="n">
        <f aca="false">Carry_a*E73-Hire_b*$B$12*E72</f>
        <v>437.950860381312</v>
      </c>
      <c r="F74" s="17" t="n">
        <f aca="false">Carry_a*F73-Hire_b*$B$13*F72</f>
        <v>-5.39002486709084E-012</v>
      </c>
      <c r="G74" s="18" t="n">
        <f aca="false">IF(ABS(B74)&gt;Band_10+0.000000000001,A74,-1)</f>
        <v>-1</v>
      </c>
      <c r="H74" s="18" t="n">
        <f aca="false">IF(ABS(B74)&gt;Band_5+0.000000000001,A74,-1)</f>
        <v>-1</v>
      </c>
      <c r="I74" s="18" t="n">
        <f aca="false">IF(ABS(C74)&gt;Band_10+0.000000000001,A74,-1)</f>
        <v>-1</v>
      </c>
      <c r="J74" s="18" t="n">
        <f aca="false">IF(ABS(C74)&gt;Band_5+0.000000000001,A74,-1)</f>
        <v>-1</v>
      </c>
      <c r="K74" s="18" t="n">
        <f aca="false">IF(ABS(D74)&gt;Band_10+0.000000000001,A74,-1)</f>
        <v>-1</v>
      </c>
      <c r="L74" s="18" t="n">
        <f aca="false">IF(ABS(D74)&gt;Band_5+0.000000000001,A74,-1)</f>
        <v>-1</v>
      </c>
      <c r="M74" s="18" t="n">
        <f aca="false">IF(ABS(E74)&gt;Band_10+0.000000000001,A74,-1)</f>
        <v>43</v>
      </c>
      <c r="N74" s="18" t="n">
        <f aca="false">IF(ABS(E74)&gt;Band_5+0.000000000001,A74,-1)</f>
        <v>43</v>
      </c>
      <c r="O74" s="18" t="n">
        <f aca="false">IF(ABS(F74)&gt;Band_10+0.000000000001,A74,-1)</f>
        <v>-1</v>
      </c>
      <c r="P74" s="18" t="n">
        <f aca="false">IF(ABS(F74)&gt;Band_5+0.000000000001,A74,-1)</f>
        <v>-1</v>
      </c>
      <c r="Q74" s="17" t="n">
        <f aca="false">ABS(D74)</f>
        <v>2.86741416015139</v>
      </c>
      <c r="R74" s="17" t="n">
        <f aca="false">IF(AND(A74&gt;=$B$16,A74&lt;=$B$16+5),D74,1000000000)</f>
        <v>1000000000</v>
      </c>
    </row>
    <row r="75" customFormat="false" ht="15" hidden="false" customHeight="false" outlineLevel="0" collapsed="false">
      <c r="A75" s="18" t="n">
        <v>44</v>
      </c>
      <c r="B75" s="17" t="n">
        <f aca="false">Carry_a*B74-Hire_b*$B$9*B73</f>
        <v>-4.56161865839653E-010</v>
      </c>
      <c r="C75" s="17" t="n">
        <f aca="false">Carry_a*C74-Hire_b*$B$10*C73</f>
        <v>0.00150222668942694</v>
      </c>
      <c r="D75" s="17" t="n">
        <f aca="false">Carry_a*D74-Hire_b*$B$11*D73</f>
        <v>10.8424295124526</v>
      </c>
      <c r="E75" s="17" t="n">
        <f aca="false">Carry_a*E74-Hire_b*$B$12*E73</f>
        <v>-159.649428282913</v>
      </c>
      <c r="F75" s="17" t="n">
        <f aca="false">Carry_a*F74-Hire_b*$B$13*F73</f>
        <v>-2.4806364445134E-012</v>
      </c>
      <c r="G75" s="18" t="n">
        <f aca="false">IF(ABS(B75)&gt;Band_10+0.000000000001,A75,-1)</f>
        <v>-1</v>
      </c>
      <c r="H75" s="18" t="n">
        <f aca="false">IF(ABS(B75)&gt;Band_5+0.000000000001,A75,-1)</f>
        <v>-1</v>
      </c>
      <c r="I75" s="18" t="n">
        <f aca="false">IF(ABS(C75)&gt;Band_10+0.000000000001,A75,-1)</f>
        <v>-1</v>
      </c>
      <c r="J75" s="18" t="n">
        <f aca="false">IF(ABS(C75)&gt;Band_5+0.000000000001,A75,-1)</f>
        <v>-1</v>
      </c>
      <c r="K75" s="18" t="n">
        <f aca="false">IF(ABS(D75)&gt;Band_10+0.000000000001,A75,-1)</f>
        <v>44</v>
      </c>
      <c r="L75" s="18" t="n">
        <f aca="false">IF(ABS(D75)&gt;Band_5+0.000000000001,A75,-1)</f>
        <v>44</v>
      </c>
      <c r="M75" s="18" t="n">
        <f aca="false">IF(ABS(E75)&gt;Band_10+0.000000000001,A75,-1)</f>
        <v>44</v>
      </c>
      <c r="N75" s="18" t="n">
        <f aca="false">IF(ABS(E75)&gt;Band_5+0.000000000001,A75,-1)</f>
        <v>44</v>
      </c>
      <c r="O75" s="18" t="n">
        <f aca="false">IF(ABS(F75)&gt;Band_10+0.000000000001,A75,-1)</f>
        <v>-1</v>
      </c>
      <c r="P75" s="18" t="n">
        <f aca="false">IF(ABS(F75)&gt;Band_5+0.000000000001,A75,-1)</f>
        <v>-1</v>
      </c>
      <c r="Q75" s="17" t="n">
        <f aca="false">ABS(D75)</f>
        <v>10.8424295124526</v>
      </c>
      <c r="R75" s="17" t="n">
        <f aca="false">IF(AND(A75&gt;=$B$16,A75&lt;=$B$16+5),D75,1000000000)</f>
        <v>1000000000</v>
      </c>
    </row>
    <row r="76" customFormat="false" ht="15" hidden="false" customHeight="false" outlineLevel="0" collapsed="false">
      <c r="A76" s="18" t="n">
        <v>45</v>
      </c>
      <c r="B76" s="17" t="n">
        <f aca="false">Carry_a*B75-Hire_b*$B$9*B74</f>
        <v>-1.09070077710669E-010</v>
      </c>
      <c r="C76" s="17" t="n">
        <f aca="false">Carry_a*C75-Hire_b*$B$10*C74</f>
        <v>0.000298610863902002</v>
      </c>
      <c r="D76" s="17" t="n">
        <f aca="false">Carry_a*D75-Hire_b*$B$11*D74</f>
        <v>7.17751381707113</v>
      </c>
      <c r="E76" s="17" t="n">
        <f aca="false">Carry_a*E75-Hire_b*$B$12*E74</f>
        <v>-616.671414666439</v>
      </c>
      <c r="F76" s="17" t="n">
        <f aca="false">Carry_a*F75-Hire_b*$B$13*F74</f>
        <v>-1.14109276447616E-012</v>
      </c>
      <c r="G76" s="18" t="n">
        <f aca="false">IF(ABS(B76)&gt;Band_10+0.000000000001,A76,-1)</f>
        <v>-1</v>
      </c>
      <c r="H76" s="18" t="n">
        <f aca="false">IF(ABS(B76)&gt;Band_5+0.000000000001,A76,-1)</f>
        <v>-1</v>
      </c>
      <c r="I76" s="18" t="n">
        <f aca="false">IF(ABS(C76)&gt;Band_10+0.000000000001,A76,-1)</f>
        <v>-1</v>
      </c>
      <c r="J76" s="18" t="n">
        <f aca="false">IF(ABS(C76)&gt;Band_5+0.000000000001,A76,-1)</f>
        <v>-1</v>
      </c>
      <c r="K76" s="18" t="n">
        <f aca="false">IF(ABS(D76)&gt;Band_10+0.000000000001,A76,-1)</f>
        <v>-1</v>
      </c>
      <c r="L76" s="18" t="n">
        <f aca="false">IF(ABS(D76)&gt;Band_5+0.000000000001,A76,-1)</f>
        <v>45</v>
      </c>
      <c r="M76" s="18" t="n">
        <f aca="false">IF(ABS(E76)&gt;Band_10+0.000000000001,A76,-1)</f>
        <v>45</v>
      </c>
      <c r="N76" s="18" t="n">
        <f aca="false">IF(ABS(E76)&gt;Band_5+0.000000000001,A76,-1)</f>
        <v>45</v>
      </c>
      <c r="O76" s="18" t="n">
        <f aca="false">IF(ABS(F76)&gt;Band_10+0.000000000001,A76,-1)</f>
        <v>-1</v>
      </c>
      <c r="P76" s="18" t="n">
        <f aca="false">IF(ABS(F76)&gt;Band_5+0.000000000001,A76,-1)</f>
        <v>-1</v>
      </c>
      <c r="Q76" s="17" t="n">
        <f aca="false">ABS(D76)</f>
        <v>7.17751381707113</v>
      </c>
      <c r="R76" s="17" t="n">
        <f aca="false">IF(AND(A76&gt;=$B$16,A76&lt;=$B$16+5),D76,1000000000)</f>
        <v>1000000000</v>
      </c>
    </row>
    <row r="77" customFormat="false" ht="15" hidden="false" customHeight="false" outlineLevel="0" collapsed="false">
      <c r="A77" s="18" t="n">
        <v>46</v>
      </c>
      <c r="B77" s="17" t="n">
        <f aca="false">Carry_a*B76-Hire_b*$B$9*B75</f>
        <v>3.86854898122942E-011</v>
      </c>
      <c r="C77" s="17" t="n">
        <f aca="false">Carry_a*C76-Hire_b*$B$10*C75</f>
        <v>-0.00063258623614436</v>
      </c>
      <c r="D77" s="17" t="n">
        <f aca="false">Carry_a*D76-Hire_b*$B$11*D75</f>
        <v>-3.29842412584336</v>
      </c>
      <c r="E77" s="17" t="n">
        <f aca="false">Carry_a*E76-Hire_b*$B$12*E75</f>
        <v>-382.582890654249</v>
      </c>
      <c r="F77" s="17" t="n">
        <f aca="false">Carry_a*F76-Hire_b*$B$13*F75</f>
        <v>-5.24654608014584E-013</v>
      </c>
      <c r="G77" s="18" t="n">
        <f aca="false">IF(ABS(B77)&gt;Band_10+0.000000000001,A77,-1)</f>
        <v>-1</v>
      </c>
      <c r="H77" s="18" t="n">
        <f aca="false">IF(ABS(B77)&gt;Band_5+0.000000000001,A77,-1)</f>
        <v>-1</v>
      </c>
      <c r="I77" s="18" t="n">
        <f aca="false">IF(ABS(C77)&gt;Band_10+0.000000000001,A77,-1)</f>
        <v>-1</v>
      </c>
      <c r="J77" s="18" t="n">
        <f aca="false">IF(ABS(C77)&gt;Band_5+0.000000000001,A77,-1)</f>
        <v>-1</v>
      </c>
      <c r="K77" s="18" t="n">
        <f aca="false">IF(ABS(D77)&gt;Band_10+0.000000000001,A77,-1)</f>
        <v>-1</v>
      </c>
      <c r="L77" s="18" t="n">
        <f aca="false">IF(ABS(D77)&gt;Band_5+0.000000000001,A77,-1)</f>
        <v>-1</v>
      </c>
      <c r="M77" s="18" t="n">
        <f aca="false">IF(ABS(E77)&gt;Band_10+0.000000000001,A77,-1)</f>
        <v>46</v>
      </c>
      <c r="N77" s="18" t="n">
        <f aca="false">IF(ABS(E77)&gt;Band_5+0.000000000001,A77,-1)</f>
        <v>46</v>
      </c>
      <c r="O77" s="18" t="n">
        <f aca="false">IF(ABS(F77)&gt;Band_10+0.000000000001,A77,-1)</f>
        <v>-1</v>
      </c>
      <c r="P77" s="18" t="n">
        <f aca="false">IF(ABS(F77)&gt;Band_5+0.000000000001,A77,-1)</f>
        <v>-1</v>
      </c>
      <c r="Q77" s="17" t="n">
        <f aca="false">ABS(D77)</f>
        <v>3.29842412584336</v>
      </c>
      <c r="R77" s="17" t="n">
        <f aca="false">IF(AND(A77&gt;=$B$16,A77&lt;=$B$16+5),D77,1000000000)</f>
        <v>1000000000</v>
      </c>
    </row>
    <row r="78" customFormat="false" ht="15" hidden="false" customHeight="false" outlineLevel="0" collapsed="false">
      <c r="A78" s="18" t="n">
        <v>47</v>
      </c>
      <c r="B78" s="17" t="n">
        <f aca="false">Carry_a*B77-Hire_b*$B$9*B76</f>
        <v>6.75379641442654E-011</v>
      </c>
      <c r="C78" s="17" t="n">
        <f aca="false">Carry_a*C77-Hire_b*$B$10*C76</f>
        <v>-0.000748494130871125</v>
      </c>
      <c r="D78" s="17" t="n">
        <f aca="false">Carry_a*D77-Hire_b*$B$11*D76</f>
        <v>-9.42834414862304</v>
      </c>
      <c r="E78" s="17" t="n">
        <f aca="false">Carry_a*E77-Hire_b*$B$12*E76</f>
        <v>321.68052625093</v>
      </c>
      <c r="F78" s="17" t="n">
        <f aca="false">Carry_a*F77-Hire_b*$B$13*F76</f>
        <v>-2.41117862406702E-013</v>
      </c>
      <c r="G78" s="18" t="n">
        <f aca="false">IF(ABS(B78)&gt;Band_10+0.000000000001,A78,-1)</f>
        <v>-1</v>
      </c>
      <c r="H78" s="18" t="n">
        <f aca="false">IF(ABS(B78)&gt;Band_5+0.000000000001,A78,-1)</f>
        <v>-1</v>
      </c>
      <c r="I78" s="18" t="n">
        <f aca="false">IF(ABS(C78)&gt;Band_10+0.000000000001,A78,-1)</f>
        <v>-1</v>
      </c>
      <c r="J78" s="18" t="n">
        <f aca="false">IF(ABS(C78)&gt;Band_5+0.000000000001,A78,-1)</f>
        <v>-1</v>
      </c>
      <c r="K78" s="18" t="n">
        <f aca="false">IF(ABS(D78)&gt;Band_10+0.000000000001,A78,-1)</f>
        <v>-1</v>
      </c>
      <c r="L78" s="18" t="n">
        <f aca="false">IF(ABS(D78)&gt;Band_5+0.000000000001,A78,-1)</f>
        <v>47</v>
      </c>
      <c r="M78" s="18" t="n">
        <f aca="false">IF(ABS(E78)&gt;Band_10+0.000000000001,A78,-1)</f>
        <v>47</v>
      </c>
      <c r="N78" s="18" t="n">
        <f aca="false">IF(ABS(E78)&gt;Band_5+0.000000000001,A78,-1)</f>
        <v>47</v>
      </c>
      <c r="O78" s="18" t="n">
        <f aca="false">IF(ABS(F78)&gt;Band_10+0.000000000001,A78,-1)</f>
        <v>-1</v>
      </c>
      <c r="P78" s="18" t="n">
        <f aca="false">IF(ABS(F78)&gt;Band_5+0.000000000001,A78,-1)</f>
        <v>-1</v>
      </c>
      <c r="Q78" s="17" t="n">
        <f aca="false">ABS(D78)</f>
        <v>9.42834414862304</v>
      </c>
      <c r="R78" s="17" t="n">
        <f aca="false">IF(AND(A78&gt;=$B$16,A78&lt;=$B$16+5),D78,1000000000)</f>
        <v>1000000000</v>
      </c>
    </row>
    <row r="79" customFormat="false" ht="15" hidden="false" customHeight="false" outlineLevel="0" collapsed="false">
      <c r="A79" s="18" t="n">
        <v>48</v>
      </c>
      <c r="B79" s="17" t="n">
        <f aca="false">Carry_a*B78-Hire_b*$B$9*B77</f>
        <v>4.91785207861506E-011</v>
      </c>
      <c r="C79" s="17" t="n">
        <f aca="false">Carry_a*C78-Hire_b*$B$10*C77</f>
        <v>-0.000294092976097396</v>
      </c>
      <c r="D79" s="17" t="n">
        <f aca="false">Carry_a*D78-Hire_b*$B$11*D77</f>
        <v>-5.51692802050171</v>
      </c>
      <c r="E79" s="17" t="n">
        <f aca="false">Carry_a*E78-Hire_b*$B$12*E77</f>
        <v>702.701995532426</v>
      </c>
      <c r="F79" s="17" t="n">
        <f aca="false">Carry_a*F78-Hire_b*$B$13*F77</f>
        <v>-1.10763518043079E-013</v>
      </c>
      <c r="G79" s="18" t="n">
        <f aca="false">IF(ABS(B79)&gt;Band_10+0.000000000001,A79,-1)</f>
        <v>-1</v>
      </c>
      <c r="H79" s="18" t="n">
        <f aca="false">IF(ABS(B79)&gt;Band_5+0.000000000001,A79,-1)</f>
        <v>-1</v>
      </c>
      <c r="I79" s="18" t="n">
        <f aca="false">IF(ABS(C79)&gt;Band_10+0.000000000001,A79,-1)</f>
        <v>-1</v>
      </c>
      <c r="J79" s="18" t="n">
        <f aca="false">IF(ABS(C79)&gt;Band_5+0.000000000001,A79,-1)</f>
        <v>-1</v>
      </c>
      <c r="K79" s="18" t="n">
        <f aca="false">IF(ABS(D79)&gt;Band_10+0.000000000001,A79,-1)</f>
        <v>-1</v>
      </c>
      <c r="L79" s="18" t="n">
        <f aca="false">IF(ABS(D79)&gt;Band_5+0.000000000001,A79,-1)</f>
        <v>48</v>
      </c>
      <c r="M79" s="18" t="n">
        <f aca="false">IF(ABS(E79)&gt;Band_10+0.000000000001,A79,-1)</f>
        <v>48</v>
      </c>
      <c r="N79" s="18" t="n">
        <f aca="false">IF(ABS(E79)&gt;Band_5+0.000000000001,A79,-1)</f>
        <v>48</v>
      </c>
      <c r="O79" s="18" t="n">
        <f aca="false">IF(ABS(F79)&gt;Band_10+0.000000000001,A79,-1)</f>
        <v>-1</v>
      </c>
      <c r="P79" s="18" t="n">
        <f aca="false">IF(ABS(F79)&gt;Band_5+0.000000000001,A79,-1)</f>
        <v>-1</v>
      </c>
      <c r="Q79" s="17" t="n">
        <f aca="false">ABS(D79)</f>
        <v>5.51692802050171</v>
      </c>
      <c r="R79" s="17" t="n">
        <f aca="false">IF(AND(A79&gt;=$B$16,A79&lt;=$B$16+5),D79,1000000000)</f>
        <v>1000000000</v>
      </c>
    </row>
    <row r="80" customFormat="false" ht="15" hidden="false" customHeight="false" outlineLevel="0" collapsed="false">
      <c r="A80" s="18" t="n">
        <v>49</v>
      </c>
      <c r="B80" s="17" t="n">
        <f aca="false">Carry_a*B79-Hire_b*$B$9*B78</f>
        <v>2.39992794642559E-011</v>
      </c>
      <c r="C80" s="17" t="n">
        <f aca="false">Carry_a*C79-Hire_b*$B$10*C78</f>
        <v>0.000184412800035018</v>
      </c>
      <c r="D80" s="17" t="n">
        <f aca="false">Carry_a*D79-Hire_b*$B$11*D78</f>
        <v>3.52027451530919</v>
      </c>
      <c r="E80" s="17" t="n">
        <f aca="false">Carry_a*E79-Hire_b*$B$12*E78</f>
        <v>285.016827628179</v>
      </c>
      <c r="F80" s="17" t="n">
        <f aca="false">Carry_a*F79-Hire_b*$B$13*F78</f>
        <v>-5.08607991014137E-014</v>
      </c>
      <c r="G80" s="18" t="n">
        <f aca="false">IF(ABS(B80)&gt;Band_10+0.000000000001,A80,-1)</f>
        <v>-1</v>
      </c>
      <c r="H80" s="18" t="n">
        <f aca="false">IF(ABS(B80)&gt;Band_5+0.000000000001,A80,-1)</f>
        <v>-1</v>
      </c>
      <c r="I80" s="18" t="n">
        <f aca="false">IF(ABS(C80)&gt;Band_10+0.000000000001,A80,-1)</f>
        <v>-1</v>
      </c>
      <c r="J80" s="18" t="n">
        <f aca="false">IF(ABS(C80)&gt;Band_5+0.000000000001,A80,-1)</f>
        <v>-1</v>
      </c>
      <c r="K80" s="18" t="n">
        <f aca="false">IF(ABS(D80)&gt;Band_10+0.000000000001,A80,-1)</f>
        <v>-1</v>
      </c>
      <c r="L80" s="18" t="n">
        <f aca="false">IF(ABS(D80)&gt;Band_5+0.000000000001,A80,-1)</f>
        <v>-1</v>
      </c>
      <c r="M80" s="18" t="n">
        <f aca="false">IF(ABS(E80)&gt;Band_10+0.000000000001,A80,-1)</f>
        <v>49</v>
      </c>
      <c r="N80" s="18" t="n">
        <f aca="false">IF(ABS(E80)&gt;Band_5+0.000000000001,A80,-1)</f>
        <v>49</v>
      </c>
      <c r="O80" s="18" t="n">
        <f aca="false">IF(ABS(F80)&gt;Band_10+0.000000000001,A80,-1)</f>
        <v>-1</v>
      </c>
      <c r="P80" s="18" t="n">
        <f aca="false">IF(ABS(F80)&gt;Band_5+0.000000000001,A80,-1)</f>
        <v>-1</v>
      </c>
      <c r="Q80" s="17" t="n">
        <f aca="false">ABS(D80)</f>
        <v>3.52027451530919</v>
      </c>
      <c r="R80" s="17" t="n">
        <f aca="false">IF(AND(A80&gt;=$B$16,A80&lt;=$B$16+5),D80,1000000000)</f>
        <v>1000000000</v>
      </c>
    </row>
    <row r="81" customFormat="false" ht="15" hidden="false" customHeight="false" outlineLevel="0" collapsed="false">
      <c r="A81" s="18" t="n">
        <v>50</v>
      </c>
      <c r="B81" s="17" t="n">
        <f aca="false">Carry_a*B80-Hire_b*$B$9*B79</f>
        <v>6.84579528198514E-012</v>
      </c>
      <c r="C81" s="17" t="n">
        <f aca="false">Carry_a*C80-Hire_b*$B$10*C79</f>
        <v>0.000342427305689954</v>
      </c>
      <c r="D81" s="17" t="n">
        <f aca="false">Carry_a*D80-Hire_b*$B$11*D79</f>
        <v>8.13348228222981</v>
      </c>
      <c r="E81" s="17" t="n">
        <f aca="false">Carry_a*E80-Hire_b*$B$12*E79</f>
        <v>-502.403010309659</v>
      </c>
      <c r="F81" s="17" t="n">
        <f aca="false">Carry_a*F80-Hire_b*$B$13*F79</f>
        <v>-2.33451067875489E-014</v>
      </c>
      <c r="G81" s="18" t="n">
        <f aca="false">IF(ABS(B81)&gt;Band_10+0.000000000001,A81,-1)</f>
        <v>-1</v>
      </c>
      <c r="H81" s="18" t="n">
        <f aca="false">IF(ABS(B81)&gt;Band_5+0.000000000001,A81,-1)</f>
        <v>-1</v>
      </c>
      <c r="I81" s="18" t="n">
        <f aca="false">IF(ABS(C81)&gt;Band_10+0.000000000001,A81,-1)</f>
        <v>-1</v>
      </c>
      <c r="J81" s="18" t="n">
        <f aca="false">IF(ABS(C81)&gt;Band_5+0.000000000001,A81,-1)</f>
        <v>-1</v>
      </c>
      <c r="K81" s="18" t="n">
        <f aca="false">IF(ABS(D81)&gt;Band_10+0.000000000001,A81,-1)</f>
        <v>-1</v>
      </c>
      <c r="L81" s="18" t="n">
        <f aca="false">IF(ABS(D81)&gt;Band_5+0.000000000001,A81,-1)</f>
        <v>50</v>
      </c>
      <c r="M81" s="18" t="n">
        <f aca="false">IF(ABS(E81)&gt;Band_10+0.000000000001,A81,-1)</f>
        <v>50</v>
      </c>
      <c r="N81" s="18" t="n">
        <f aca="false">IF(ABS(E81)&gt;Band_5+0.000000000001,A81,-1)</f>
        <v>50</v>
      </c>
      <c r="O81" s="18" t="n">
        <f aca="false">IF(ABS(F81)&gt;Band_10+0.000000000001,A81,-1)</f>
        <v>-1</v>
      </c>
      <c r="P81" s="18" t="n">
        <f aca="false">IF(ABS(F81)&gt;Band_5+0.000000000001,A81,-1)</f>
        <v>-1</v>
      </c>
      <c r="Q81" s="17" t="n">
        <f aca="false">ABS(D81)</f>
        <v>8.13348228222981</v>
      </c>
      <c r="R81" s="17" t="n">
        <f aca="false">IF(AND(A81&gt;=$B$16,A81&lt;=$B$16+5),D81,1000000000)</f>
        <v>1000000000</v>
      </c>
    </row>
    <row r="82" customFormat="false" ht="15" hidden="false" customHeight="false" outlineLevel="0" collapsed="false">
      <c r="A82" s="18" t="n">
        <v>51</v>
      </c>
      <c r="B82" s="17" t="n">
        <f aca="false">Carry_a*B81-Hire_b*$B$9*B80</f>
        <v>-1.03856808549014E-012</v>
      </c>
      <c r="C82" s="17" t="n">
        <f aca="false">Carry_a*C81-Hire_b*$B$10*C80</f>
        <v>0.000197536895099948</v>
      </c>
      <c r="D82" s="17" t="n">
        <f aca="false">Carry_a*D81-Hire_b*$B$11*D80</f>
        <v>4.15188699022856</v>
      </c>
      <c r="E82" s="17" t="n">
        <f aca="false">Carry_a*E81-Hire_b*$B$12*E80</f>
        <v>-759.980883117127</v>
      </c>
      <c r="F82" s="17" t="n">
        <f aca="false">Carry_a*F81-Hire_b*$B$13*F80</f>
        <v>-1.07112842907577E-014</v>
      </c>
      <c r="G82" s="18" t="n">
        <f aca="false">IF(ABS(B82)&gt;Band_10+0.000000000001,A82,-1)</f>
        <v>-1</v>
      </c>
      <c r="H82" s="18" t="n">
        <f aca="false">IF(ABS(B82)&gt;Band_5+0.000000000001,A82,-1)</f>
        <v>-1</v>
      </c>
      <c r="I82" s="18" t="n">
        <f aca="false">IF(ABS(C82)&gt;Band_10+0.000000000001,A82,-1)</f>
        <v>-1</v>
      </c>
      <c r="J82" s="18" t="n">
        <f aca="false">IF(ABS(C82)&gt;Band_5+0.000000000001,A82,-1)</f>
        <v>-1</v>
      </c>
      <c r="K82" s="18" t="n">
        <f aca="false">IF(ABS(D82)&gt;Band_10+0.000000000001,A82,-1)</f>
        <v>-1</v>
      </c>
      <c r="L82" s="18" t="n">
        <f aca="false">IF(ABS(D82)&gt;Band_5+0.000000000001,A82,-1)</f>
        <v>-1</v>
      </c>
      <c r="M82" s="18" t="n">
        <f aca="false">IF(ABS(E82)&gt;Band_10+0.000000000001,A82,-1)</f>
        <v>51</v>
      </c>
      <c r="N82" s="18" t="n">
        <f aca="false">IF(ABS(E82)&gt;Band_5+0.000000000001,A82,-1)</f>
        <v>51</v>
      </c>
      <c r="O82" s="18" t="n">
        <f aca="false">IF(ABS(F82)&gt;Band_10+0.000000000001,A82,-1)</f>
        <v>-1</v>
      </c>
      <c r="P82" s="18" t="n">
        <f aca="false">IF(ABS(F82)&gt;Band_5+0.000000000001,A82,-1)</f>
        <v>-1</v>
      </c>
      <c r="Q82" s="17" t="n">
        <f aca="false">ABS(D82)</f>
        <v>4.15188699022856</v>
      </c>
      <c r="R82" s="17" t="n">
        <f aca="false">IF(AND(A82&gt;=$B$16,A82&lt;=$B$16+5),D82,1000000000)</f>
        <v>1000000000</v>
      </c>
    </row>
    <row r="83" customFormat="false" ht="15" hidden="false" customHeight="false" outlineLevel="0" collapsed="false">
      <c r="A83" s="18" t="n">
        <v>52</v>
      </c>
      <c r="B83" s="17" t="n">
        <f aca="false">Carry_a*B82-Hire_b*$B$9*B81</f>
        <v>-2.98844986153667E-012</v>
      </c>
      <c r="C83" s="17" t="n">
        <f aca="false">Carry_a*C82-Hire_b*$B$10*C81</f>
        <v>-2.76731778240193E-005</v>
      </c>
      <c r="D83" s="17" t="n">
        <f aca="false">Carry_a*D82-Hire_b*$B$11*D81</f>
        <v>-3.58343576280113</v>
      </c>
      <c r="E83" s="17" t="n">
        <f aca="false">Carry_a*E82-Hire_b*$B$12*E81</f>
        <v>-141.387543670982</v>
      </c>
      <c r="F83" s="17" t="n">
        <f aca="false">Carry_a*F82-Hire_b*$B$13*F81</f>
        <v>-4.91277173720329E-015</v>
      </c>
      <c r="G83" s="18" t="n">
        <f aca="false">IF(ABS(B83)&gt;Band_10+0.000000000001,A83,-1)</f>
        <v>-1</v>
      </c>
      <c r="H83" s="18" t="n">
        <f aca="false">IF(ABS(B83)&gt;Band_5+0.000000000001,A83,-1)</f>
        <v>-1</v>
      </c>
      <c r="I83" s="18" t="n">
        <f aca="false">IF(ABS(C83)&gt;Band_10+0.000000000001,A83,-1)</f>
        <v>-1</v>
      </c>
      <c r="J83" s="18" t="n">
        <f aca="false">IF(ABS(C83)&gt;Band_5+0.000000000001,A83,-1)</f>
        <v>-1</v>
      </c>
      <c r="K83" s="18" t="n">
        <f aca="false">IF(ABS(D83)&gt;Band_10+0.000000000001,A83,-1)</f>
        <v>-1</v>
      </c>
      <c r="L83" s="18" t="n">
        <f aca="false">IF(ABS(D83)&gt;Band_5+0.000000000001,A83,-1)</f>
        <v>-1</v>
      </c>
      <c r="M83" s="18" t="n">
        <f aca="false">IF(ABS(E83)&gt;Band_10+0.000000000001,A83,-1)</f>
        <v>52</v>
      </c>
      <c r="N83" s="18" t="n">
        <f aca="false">IF(ABS(E83)&gt;Band_5+0.000000000001,A83,-1)</f>
        <v>52</v>
      </c>
      <c r="O83" s="18" t="n">
        <f aca="false">IF(ABS(F83)&gt;Band_10+0.000000000001,A83,-1)</f>
        <v>-1</v>
      </c>
      <c r="P83" s="18" t="n">
        <f aca="false">IF(ABS(F83)&gt;Band_5+0.000000000001,A83,-1)</f>
        <v>-1</v>
      </c>
      <c r="Q83" s="17" t="n">
        <f aca="false">ABS(D83)</f>
        <v>3.58343576280113</v>
      </c>
      <c r="R83" s="17" t="n">
        <f aca="false">IF(AND(A83&gt;=$B$16,A83&lt;=$B$16+5),D83,1000000000)</f>
        <v>1000000000</v>
      </c>
    </row>
    <row r="84" customFormat="false" ht="15" hidden="false" customHeight="false" outlineLevel="0" collapsed="false">
      <c r="A84" s="18" t="n">
        <v>53</v>
      </c>
      <c r="B84" s="17" t="n">
        <f aca="false">Carry_a*B83-Hire_b*$B$9*B82</f>
        <v>-2.37803444973596E-012</v>
      </c>
      <c r="C84" s="17" t="n">
        <f aca="false">Carry_a*C83-Hire_b*$B$10*C82</f>
        <v>-0.000143427997101586</v>
      </c>
      <c r="D84" s="17" t="n">
        <f aca="false">Carry_a*D83-Hire_b*$B$11*D82</f>
        <v>-6.96179047772672</v>
      </c>
      <c r="E84" s="17" t="n">
        <f aca="false">Carry_a*E83-Hire_b*$B$12*E82</f>
        <v>693.530564462613</v>
      </c>
      <c r="F84" s="17" t="n">
        <f aca="false">Carry_a*F83-Hire_b*$B$13*F82</f>
        <v>-2.25245949460453E-015</v>
      </c>
      <c r="G84" s="18" t="n">
        <f aca="false">IF(ABS(B84)&gt;Band_10+0.000000000001,A84,-1)</f>
        <v>-1</v>
      </c>
      <c r="H84" s="18" t="n">
        <f aca="false">IF(ABS(B84)&gt;Band_5+0.000000000001,A84,-1)</f>
        <v>-1</v>
      </c>
      <c r="I84" s="18" t="n">
        <f aca="false">IF(ABS(C84)&gt;Band_10+0.000000000001,A84,-1)</f>
        <v>-1</v>
      </c>
      <c r="J84" s="18" t="n">
        <f aca="false">IF(ABS(C84)&gt;Band_5+0.000000000001,A84,-1)</f>
        <v>-1</v>
      </c>
      <c r="K84" s="18" t="n">
        <f aca="false">IF(ABS(D84)&gt;Band_10+0.000000000001,A84,-1)</f>
        <v>-1</v>
      </c>
      <c r="L84" s="18" t="n">
        <f aca="false">IF(ABS(D84)&gt;Band_5+0.000000000001,A84,-1)</f>
        <v>53</v>
      </c>
      <c r="M84" s="18" t="n">
        <f aca="false">IF(ABS(E84)&gt;Band_10+0.000000000001,A84,-1)</f>
        <v>53</v>
      </c>
      <c r="N84" s="18" t="n">
        <f aca="false">IF(ABS(E84)&gt;Band_5+0.000000000001,A84,-1)</f>
        <v>53</v>
      </c>
      <c r="O84" s="18" t="n">
        <f aca="false">IF(ABS(F84)&gt;Band_10+0.000000000001,A84,-1)</f>
        <v>-1</v>
      </c>
      <c r="P84" s="18" t="n">
        <f aca="false">IF(ABS(F84)&gt;Band_5+0.000000000001,A84,-1)</f>
        <v>-1</v>
      </c>
      <c r="Q84" s="17" t="n">
        <f aca="false">ABS(D84)</f>
        <v>6.96179047772672</v>
      </c>
      <c r="R84" s="17" t="n">
        <f aca="false">IF(AND(A84&gt;=$B$16,A84&lt;=$B$16+5),D84,1000000000)</f>
        <v>1000000000</v>
      </c>
    </row>
    <row r="85" customFormat="false" ht="15" hidden="false" customHeight="false" outlineLevel="0" collapsed="false">
      <c r="A85" s="18" t="n">
        <v>54</v>
      </c>
      <c r="B85" s="17" t="n">
        <f aca="false">Carry_a*B84-Hire_b*$B$9*B83</f>
        <v>-1.24369604630136E-012</v>
      </c>
      <c r="C85" s="17" t="n">
        <f aca="false">Carry_a*C84-Hire_b*$B$10*C83</f>
        <v>-0.000112481290697016</v>
      </c>
      <c r="D85" s="17" t="n">
        <f aca="false">Carry_a*D84-Hire_b*$B$11*D83</f>
        <v>-3.04051924343303</v>
      </c>
      <c r="E85" s="17" t="n">
        <f aca="false">Carry_a*E84-Hire_b*$B$12*E83</f>
        <v>776.876055181012</v>
      </c>
      <c r="F85" s="17" t="n">
        <f aca="false">Carry_a*F84-Hire_b*$B$13*F83</f>
        <v>-1.03237726836041E-015</v>
      </c>
      <c r="G85" s="18" t="n">
        <f aca="false">IF(ABS(B85)&gt;Band_10+0.000000000001,A85,-1)</f>
        <v>-1</v>
      </c>
      <c r="H85" s="18" t="n">
        <f aca="false">IF(ABS(B85)&gt;Band_5+0.000000000001,A85,-1)</f>
        <v>-1</v>
      </c>
      <c r="I85" s="18" t="n">
        <f aca="false">IF(ABS(C85)&gt;Band_10+0.000000000001,A85,-1)</f>
        <v>-1</v>
      </c>
      <c r="J85" s="18" t="n">
        <f aca="false">IF(ABS(C85)&gt;Band_5+0.000000000001,A85,-1)</f>
        <v>-1</v>
      </c>
      <c r="K85" s="18" t="n">
        <f aca="false">IF(ABS(D85)&gt;Band_10+0.000000000001,A85,-1)</f>
        <v>-1</v>
      </c>
      <c r="L85" s="18" t="n">
        <f aca="false">IF(ABS(D85)&gt;Band_5+0.000000000001,A85,-1)</f>
        <v>-1</v>
      </c>
      <c r="M85" s="18" t="n">
        <f aca="false">IF(ABS(E85)&gt;Band_10+0.000000000001,A85,-1)</f>
        <v>54</v>
      </c>
      <c r="N85" s="18" t="n">
        <f aca="false">IF(ABS(E85)&gt;Band_5+0.000000000001,A85,-1)</f>
        <v>54</v>
      </c>
      <c r="O85" s="18" t="n">
        <f aca="false">IF(ABS(F85)&gt;Band_10+0.000000000001,A85,-1)</f>
        <v>-1</v>
      </c>
      <c r="P85" s="18" t="n">
        <f aca="false">IF(ABS(F85)&gt;Band_5+0.000000000001,A85,-1)</f>
        <v>-1</v>
      </c>
      <c r="Q85" s="17" t="n">
        <f aca="false">ABS(D85)</f>
        <v>3.04051924343303</v>
      </c>
      <c r="R85" s="17" t="n">
        <f aca="false">IF(AND(A85&gt;=$B$16,A85&lt;=$B$16+5),D85,1000000000)</f>
        <v>1000000000</v>
      </c>
    </row>
    <row r="86" customFormat="false" ht="15" hidden="false" customHeight="false" outlineLevel="0" collapsed="false">
      <c r="A86" s="18" t="n">
        <v>55</v>
      </c>
      <c r="B86" s="17" t="n">
        <f aca="false">Carry_a*B85-Hire_b*$B$9*B84</f>
        <v>-4.05916106750439E-013</v>
      </c>
      <c r="C86" s="17" t="n">
        <f aca="false">Carry_a*C85-Hire_b*$B$10*C84</f>
        <v>-1.51763633663626E-005</v>
      </c>
      <c r="D86" s="17" t="n">
        <f aca="false">Carry_a*D85-Hire_b*$B$11*D84</f>
        <v>3.52914411086432</v>
      </c>
      <c r="E86" s="17" t="n">
        <f aca="false">Carry_a*E85-Hire_b*$B$12*E84</f>
        <v>-49.8245599567113</v>
      </c>
      <c r="F86" s="17" t="n">
        <f aca="false">Carry_a*F85-Hire_b*$B$13*F84</f>
        <v>-4.7301649386695E-016</v>
      </c>
      <c r="G86" s="18" t="n">
        <f aca="false">IF(ABS(B86)&gt;Band_10+0.000000000001,A86,-1)</f>
        <v>-1</v>
      </c>
      <c r="H86" s="18" t="n">
        <f aca="false">IF(ABS(B86)&gt;Band_5+0.000000000001,A86,-1)</f>
        <v>-1</v>
      </c>
      <c r="I86" s="18" t="n">
        <f aca="false">IF(ABS(C86)&gt;Band_10+0.000000000001,A86,-1)</f>
        <v>-1</v>
      </c>
      <c r="J86" s="18" t="n">
        <f aca="false">IF(ABS(C86)&gt;Band_5+0.000000000001,A86,-1)</f>
        <v>-1</v>
      </c>
      <c r="K86" s="18" t="n">
        <f aca="false">IF(ABS(D86)&gt;Band_10+0.000000000001,A86,-1)</f>
        <v>-1</v>
      </c>
      <c r="L86" s="18" t="n">
        <f aca="false">IF(ABS(D86)&gt;Band_5+0.000000000001,A86,-1)</f>
        <v>-1</v>
      </c>
      <c r="M86" s="18" t="n">
        <f aca="false">IF(ABS(E86)&gt;Band_10+0.000000000001,A86,-1)</f>
        <v>55</v>
      </c>
      <c r="N86" s="18" t="n">
        <f aca="false">IF(ABS(E86)&gt;Band_5+0.000000000001,A86,-1)</f>
        <v>55</v>
      </c>
      <c r="O86" s="18" t="n">
        <f aca="false">IF(ABS(F86)&gt;Band_10+0.000000000001,A86,-1)</f>
        <v>-1</v>
      </c>
      <c r="P86" s="18" t="n">
        <f aca="false">IF(ABS(F86)&gt;Band_5+0.000000000001,A86,-1)</f>
        <v>-1</v>
      </c>
      <c r="Q86" s="17" t="n">
        <f aca="false">ABS(D86)</f>
        <v>3.52914411086432</v>
      </c>
      <c r="R86" s="17" t="n">
        <f aca="false">IF(AND(A86&gt;=$B$16,A86&lt;=$B$16+5),D86,1000000000)</f>
        <v>1000000000</v>
      </c>
    </row>
    <row r="87" customFormat="false" ht="15" hidden="false" customHeight="false" outlineLevel="0" collapsed="false">
      <c r="A87" s="18" t="n">
        <v>56</v>
      </c>
      <c r="B87" s="17" t="n">
        <f aca="false">Carry_a*B86-Hire_b*$B$9*B85</f>
        <v>7.78431781501385E-015</v>
      </c>
      <c r="C87" s="17" t="n">
        <f aca="false">Carry_a*C86-Hire_b*$B$10*C85</f>
        <v>5.38300473884831E-005</v>
      </c>
      <c r="D87" s="17" t="n">
        <f aca="false">Carry_a*D86-Hire_b*$B$11*D85</f>
        <v>5.91269701886761</v>
      </c>
      <c r="E87" s="17" t="n">
        <f aca="false">Carry_a*E86-Hire_b*$B$12*E85</f>
        <v>-883.868243556534</v>
      </c>
      <c r="F87" s="17" t="n">
        <f aca="false">Carry_a*F86-Hire_b*$B$13*F85</f>
        <v>-2.16658447637272E-016</v>
      </c>
      <c r="G87" s="18" t="n">
        <f aca="false">IF(ABS(B87)&gt;Band_10+0.000000000001,A87,-1)</f>
        <v>-1</v>
      </c>
      <c r="H87" s="18" t="n">
        <f aca="false">IF(ABS(B87)&gt;Band_5+0.000000000001,A87,-1)</f>
        <v>-1</v>
      </c>
      <c r="I87" s="18" t="n">
        <f aca="false">IF(ABS(C87)&gt;Band_10+0.000000000001,A87,-1)</f>
        <v>-1</v>
      </c>
      <c r="J87" s="18" t="n">
        <f aca="false">IF(ABS(C87)&gt;Band_5+0.000000000001,A87,-1)</f>
        <v>-1</v>
      </c>
      <c r="K87" s="18" t="n">
        <f aca="false">IF(ABS(D87)&gt;Band_10+0.000000000001,A87,-1)</f>
        <v>-1</v>
      </c>
      <c r="L87" s="18" t="n">
        <f aca="false">IF(ABS(D87)&gt;Band_5+0.000000000001,A87,-1)</f>
        <v>56</v>
      </c>
      <c r="M87" s="18" t="n">
        <f aca="false">IF(ABS(E87)&gt;Band_10+0.000000000001,A87,-1)</f>
        <v>56</v>
      </c>
      <c r="N87" s="18" t="n">
        <f aca="false">IF(ABS(E87)&gt;Band_5+0.000000000001,A87,-1)</f>
        <v>56</v>
      </c>
      <c r="O87" s="18" t="n">
        <f aca="false">IF(ABS(F87)&gt;Band_10+0.000000000001,A87,-1)</f>
        <v>-1</v>
      </c>
      <c r="P87" s="18" t="n">
        <f aca="false">IF(ABS(F87)&gt;Band_5+0.000000000001,A87,-1)</f>
        <v>-1</v>
      </c>
      <c r="Q87" s="17" t="n">
        <f aca="false">ABS(D87)</f>
        <v>5.91269701886761</v>
      </c>
      <c r="R87" s="17" t="n">
        <f aca="false">IF(AND(A87&gt;=$B$16,A87&lt;=$B$16+5),D87,1000000000)</f>
        <v>1000000000</v>
      </c>
    </row>
    <row r="88" customFormat="false" ht="15" hidden="false" customHeight="false" outlineLevel="0" collapsed="false">
      <c r="A88" s="18" t="n">
        <v>57</v>
      </c>
      <c r="B88" s="17" t="n">
        <f aca="false">Carry_a*B87-Hire_b*$B$9*B86</f>
        <v>1.28780718058644E-013</v>
      </c>
      <c r="C88" s="17" t="n">
        <f aca="false">Carry_a*C87-Hire_b*$B$10*C86</f>
        <v>5.75528606694524E-005</v>
      </c>
      <c r="D88" s="17" t="n">
        <f aca="false">Carry_a*D87-Hire_b*$B$11*D86</f>
        <v>2.14519761720297</v>
      </c>
      <c r="E88" s="17" t="n">
        <f aca="false">Carry_a*E87-Hire_b*$B$12*E86</f>
        <v>-741.670894447632</v>
      </c>
      <c r="F88" s="17" t="n">
        <f aca="false">Carry_a*F87-Hire_b*$B$13*F86</f>
        <v>-9.92067628654878E-017</v>
      </c>
      <c r="G88" s="18" t="n">
        <f aca="false">IF(ABS(B88)&gt;Band_10+0.000000000001,A88,-1)</f>
        <v>-1</v>
      </c>
      <c r="H88" s="18" t="n">
        <f aca="false">IF(ABS(B88)&gt;Band_5+0.000000000001,A88,-1)</f>
        <v>-1</v>
      </c>
      <c r="I88" s="18" t="n">
        <f aca="false">IF(ABS(C88)&gt;Band_10+0.000000000001,A88,-1)</f>
        <v>-1</v>
      </c>
      <c r="J88" s="18" t="n">
        <f aca="false">IF(ABS(C88)&gt;Band_5+0.000000000001,A88,-1)</f>
        <v>-1</v>
      </c>
      <c r="K88" s="18" t="n">
        <f aca="false">IF(ABS(D88)&gt;Band_10+0.000000000001,A88,-1)</f>
        <v>-1</v>
      </c>
      <c r="L88" s="18" t="n">
        <f aca="false">IF(ABS(D88)&gt;Band_5+0.000000000001,A88,-1)</f>
        <v>-1</v>
      </c>
      <c r="M88" s="18" t="n">
        <f aca="false">IF(ABS(E88)&gt;Band_10+0.000000000001,A88,-1)</f>
        <v>57</v>
      </c>
      <c r="N88" s="18" t="n">
        <f aca="false">IF(ABS(E88)&gt;Band_5+0.000000000001,A88,-1)</f>
        <v>57</v>
      </c>
      <c r="O88" s="18" t="n">
        <f aca="false">IF(ABS(F88)&gt;Band_10+0.000000000001,A88,-1)</f>
        <v>-1</v>
      </c>
      <c r="P88" s="18" t="n">
        <f aca="false">IF(ABS(F88)&gt;Band_5+0.000000000001,A88,-1)</f>
        <v>-1</v>
      </c>
      <c r="Q88" s="17" t="n">
        <f aca="false">ABS(D88)</f>
        <v>2.14519761720297</v>
      </c>
      <c r="R88" s="17" t="n">
        <f aca="false">IF(AND(A88&gt;=$B$16,A88&lt;=$B$16+5),D88,1000000000)</f>
        <v>1000000000</v>
      </c>
    </row>
    <row r="89" customFormat="false" ht="15" hidden="false" customHeight="false" outlineLevel="0" collapsed="false">
      <c r="A89" s="18" t="n">
        <v>58</v>
      </c>
      <c r="B89" s="17" t="n">
        <f aca="false">Carry_a*B88-Hire_b*$B$9*B87</f>
        <v>1.13567350908276E-013</v>
      </c>
      <c r="C89" s="17" t="n">
        <f aca="false">Carry_a*C88-Hire_b*$B$10*C87</f>
        <v>1.94995461694173E-005</v>
      </c>
      <c r="D89" s="17" t="n">
        <f aca="false">Carry_a*D88-Hire_b*$B$11*D87</f>
        <v>-3.39074946149818</v>
      </c>
      <c r="E89" s="17" t="n">
        <f aca="false">Carry_a*E88-Hire_b*$B$12*E87</f>
        <v>287.073898038187</v>
      </c>
      <c r="F89" s="17" t="n">
        <f aca="false">Carry_a*F88-Hire_b*$B$13*F87</f>
        <v>-4.54127509323914E-017</v>
      </c>
      <c r="G89" s="18" t="n">
        <f aca="false">IF(ABS(B89)&gt;Band_10+0.000000000001,A89,-1)</f>
        <v>-1</v>
      </c>
      <c r="H89" s="18" t="n">
        <f aca="false">IF(ABS(B89)&gt;Band_5+0.000000000001,A89,-1)</f>
        <v>-1</v>
      </c>
      <c r="I89" s="18" t="n">
        <f aca="false">IF(ABS(C89)&gt;Band_10+0.000000000001,A89,-1)</f>
        <v>-1</v>
      </c>
      <c r="J89" s="18" t="n">
        <f aca="false">IF(ABS(C89)&gt;Band_5+0.000000000001,A89,-1)</f>
        <v>-1</v>
      </c>
      <c r="K89" s="18" t="n">
        <f aca="false">IF(ABS(D89)&gt;Band_10+0.000000000001,A89,-1)</f>
        <v>-1</v>
      </c>
      <c r="L89" s="18" t="n">
        <f aca="false">IF(ABS(D89)&gt;Band_5+0.000000000001,A89,-1)</f>
        <v>-1</v>
      </c>
      <c r="M89" s="18" t="n">
        <f aca="false">IF(ABS(E89)&gt;Band_10+0.000000000001,A89,-1)</f>
        <v>58</v>
      </c>
      <c r="N89" s="18" t="n">
        <f aca="false">IF(ABS(E89)&gt;Band_5+0.000000000001,A89,-1)</f>
        <v>58</v>
      </c>
      <c r="O89" s="18" t="n">
        <f aca="false">IF(ABS(F89)&gt;Band_10+0.000000000001,A89,-1)</f>
        <v>-1</v>
      </c>
      <c r="P89" s="18" t="n">
        <f aca="false">IF(ABS(F89)&gt;Band_5+0.000000000001,A89,-1)</f>
        <v>-1</v>
      </c>
      <c r="Q89" s="17" t="n">
        <f aca="false">ABS(D89)</f>
        <v>3.39074946149818</v>
      </c>
      <c r="R89" s="17" t="n">
        <f aca="false">IF(AND(A89&gt;=$B$16,A89&lt;=$B$16+5),D89,1000000000)</f>
        <v>1000000000</v>
      </c>
    </row>
    <row r="90" customFormat="false" ht="15" hidden="false" customHeight="false" outlineLevel="0" collapsed="false">
      <c r="A90" s="18" t="n">
        <v>59</v>
      </c>
      <c r="B90" s="17" t="n">
        <f aca="false">Carry_a*B89-Hire_b*$B$9*B88</f>
        <v>6.35764003998548E-014</v>
      </c>
      <c r="C90" s="17" t="n">
        <f aca="false">Carry_a*C89-Hire_b*$B$10*C88</f>
        <v>-1.69821248491959E-005</v>
      </c>
      <c r="D90" s="17" t="n">
        <f aca="false">Carry_a*D89-Hire_b*$B$11*D88</f>
        <v>-4.98235237083103</v>
      </c>
      <c r="E90" s="17" t="n">
        <f aca="false">Carry_a*E89-Hire_b*$B$12*E88</f>
        <v>1059.37107423781</v>
      </c>
      <c r="F90" s="17" t="n">
        <f aca="false">Carry_a*F89-Hire_b*$B$13*F88</f>
        <v>-2.0782106358891E-017</v>
      </c>
      <c r="G90" s="18" t="n">
        <f aca="false">IF(ABS(B90)&gt;Band_10+0.000000000001,A90,-1)</f>
        <v>-1</v>
      </c>
      <c r="H90" s="18" t="n">
        <f aca="false">IF(ABS(B90)&gt;Band_5+0.000000000001,A90,-1)</f>
        <v>-1</v>
      </c>
      <c r="I90" s="18" t="n">
        <f aca="false">IF(ABS(C90)&gt;Band_10+0.000000000001,A90,-1)</f>
        <v>-1</v>
      </c>
      <c r="J90" s="18" t="n">
        <f aca="false">IF(ABS(C90)&gt;Band_5+0.000000000001,A90,-1)</f>
        <v>-1</v>
      </c>
      <c r="K90" s="18" t="n">
        <f aca="false">IF(ABS(D90)&gt;Band_10+0.000000000001,A90,-1)</f>
        <v>-1</v>
      </c>
      <c r="L90" s="18" t="n">
        <f aca="false">IF(ABS(D90)&gt;Band_5+0.000000000001,A90,-1)</f>
        <v>-1</v>
      </c>
      <c r="M90" s="18" t="n">
        <f aca="false">IF(ABS(E90)&gt;Band_10+0.000000000001,A90,-1)</f>
        <v>59</v>
      </c>
      <c r="N90" s="18" t="n">
        <f aca="false">IF(ABS(E90)&gt;Band_5+0.000000000001,A90,-1)</f>
        <v>59</v>
      </c>
      <c r="O90" s="18" t="n">
        <f aca="false">IF(ABS(F90)&gt;Band_10+0.000000000001,A90,-1)</f>
        <v>-1</v>
      </c>
      <c r="P90" s="18" t="n">
        <f aca="false">IF(ABS(F90)&gt;Band_5+0.000000000001,A90,-1)</f>
        <v>-1</v>
      </c>
      <c r="Q90" s="17" t="n">
        <f aca="false">ABS(D90)</f>
        <v>4.98235237083103</v>
      </c>
      <c r="R90" s="17" t="n">
        <f aca="false">IF(AND(A90&gt;=$B$16,A90&lt;=$B$16+5),D90,1000000000)</f>
        <v>1000000000</v>
      </c>
    </row>
    <row r="91" customFormat="false" ht="15" hidden="false" customHeight="false" outlineLevel="0" collapsed="false">
      <c r="A91" s="18" t="n">
        <v>60</v>
      </c>
      <c r="B91" s="17" t="n">
        <f aca="false">Carry_a*B90-Hire_b*$B$9*B89</f>
        <v>2.31485550873867E-014</v>
      </c>
      <c r="C91" s="17" t="n">
        <f aca="false">Carry_a*C90-Hire_b*$B$10*C89</f>
        <v>-2.69836400659267E-005</v>
      </c>
      <c r="D91" s="17" t="n">
        <f aca="false">Carry_a*D90-Hire_b*$B$11*D89</f>
        <v>-1.43244261839957</v>
      </c>
      <c r="E91" s="17" t="n">
        <f aca="false">Carry_a*E90-Hire_b*$B$12*E89</f>
        <v>643.394156932788</v>
      </c>
      <c r="F91" s="17" t="n">
        <f aca="false">Carry_a*F90-Hire_b*$B$13*F89</f>
        <v>-9.5078136591926E-018</v>
      </c>
      <c r="G91" s="18" t="n">
        <f aca="false">IF(ABS(B91)&gt;Band_10+0.000000000001,A91,-1)</f>
        <v>-1</v>
      </c>
      <c r="H91" s="18" t="n">
        <f aca="false">IF(ABS(B91)&gt;Band_5+0.000000000001,A91,-1)</f>
        <v>-1</v>
      </c>
      <c r="I91" s="18" t="n">
        <f aca="false">IF(ABS(C91)&gt;Band_10+0.000000000001,A91,-1)</f>
        <v>-1</v>
      </c>
      <c r="J91" s="18" t="n">
        <f aca="false">IF(ABS(C91)&gt;Band_5+0.000000000001,A91,-1)</f>
        <v>-1</v>
      </c>
      <c r="K91" s="18" t="n">
        <f aca="false">IF(ABS(D91)&gt;Band_10+0.000000000001,A91,-1)</f>
        <v>-1</v>
      </c>
      <c r="L91" s="18" t="n">
        <f aca="false">IF(ABS(D91)&gt;Band_5+0.000000000001,A91,-1)</f>
        <v>-1</v>
      </c>
      <c r="M91" s="18" t="n">
        <f aca="false">IF(ABS(E91)&gt;Band_10+0.000000000001,A91,-1)</f>
        <v>60</v>
      </c>
      <c r="N91" s="18" t="n">
        <f aca="false">IF(ABS(E91)&gt;Band_5+0.000000000001,A91,-1)</f>
        <v>60</v>
      </c>
      <c r="O91" s="18" t="n">
        <f aca="false">IF(ABS(F91)&gt;Band_10+0.000000000001,A91,-1)</f>
        <v>-1</v>
      </c>
      <c r="P91" s="18" t="n">
        <f aca="false">IF(ABS(F91)&gt;Band_5+0.000000000001,A91,-1)</f>
        <v>-1</v>
      </c>
      <c r="Q91" s="17" t="n">
        <f aca="false">ABS(D91)</f>
        <v>1.43244261839957</v>
      </c>
      <c r="R91" s="17" t="n">
        <f aca="false">IF(AND(A91&gt;=$B$16,A91&lt;=$B$16+5),D91,1000000000)</f>
        <v>1000000000</v>
      </c>
    </row>
    <row r="92" customFormat="false" ht="15" hidden="false" customHeight="false" outlineLevel="0" collapsed="false">
      <c r="A92" s="18" t="n">
        <v>61</v>
      </c>
      <c r="B92" s="17" t="n">
        <f aca="false">Carry_a*B91-Hire_b*$B$9*B90</f>
        <v>1.76077945869155E-015</v>
      </c>
      <c r="C92" s="17" t="n">
        <f aca="false">Carry_a*C91-Hire_b*$B$10*C90</f>
        <v>-1.40960011498165E-005</v>
      </c>
      <c r="D92" s="17" t="n">
        <f aca="false">Carry_a*D91-Hire_b*$B$11*D90</f>
        <v>3.19491877718832</v>
      </c>
      <c r="E92" s="17" t="n">
        <f aca="false">Carry_a*E91-Hire_b*$B$12*E90</f>
        <v>-565.066018937327</v>
      </c>
      <c r="F92" s="17" t="n">
        <f aca="false">Carry_a*F91-Hire_b*$B$13*F90</f>
        <v>-4.34865575559793E-018</v>
      </c>
      <c r="G92" s="18" t="n">
        <f aca="false">IF(ABS(B92)&gt;Band_10+0.000000000001,A92,-1)</f>
        <v>-1</v>
      </c>
      <c r="H92" s="18" t="n">
        <f aca="false">IF(ABS(B92)&gt;Band_5+0.000000000001,A92,-1)</f>
        <v>-1</v>
      </c>
      <c r="I92" s="18" t="n">
        <f aca="false">IF(ABS(C92)&gt;Band_10+0.000000000001,A92,-1)</f>
        <v>-1</v>
      </c>
      <c r="J92" s="18" t="n">
        <f aca="false">IF(ABS(C92)&gt;Band_5+0.000000000001,A92,-1)</f>
        <v>-1</v>
      </c>
      <c r="K92" s="18" t="n">
        <f aca="false">IF(ABS(D92)&gt;Band_10+0.000000000001,A92,-1)</f>
        <v>-1</v>
      </c>
      <c r="L92" s="18" t="n">
        <f aca="false">IF(ABS(D92)&gt;Band_5+0.000000000001,A92,-1)</f>
        <v>-1</v>
      </c>
      <c r="M92" s="18" t="n">
        <f aca="false">IF(ABS(E92)&gt;Band_10+0.000000000001,A92,-1)</f>
        <v>61</v>
      </c>
      <c r="N92" s="18" t="n">
        <f aca="false">IF(ABS(E92)&gt;Band_5+0.000000000001,A92,-1)</f>
        <v>61</v>
      </c>
      <c r="O92" s="18" t="n">
        <f aca="false">IF(ABS(F92)&gt;Band_10+0.000000000001,A92,-1)</f>
        <v>-1</v>
      </c>
      <c r="P92" s="18" t="n">
        <f aca="false">IF(ABS(F92)&gt;Band_5+0.000000000001,A92,-1)</f>
        <v>-1</v>
      </c>
      <c r="Q92" s="17" t="n">
        <f aca="false">ABS(D92)</f>
        <v>3.19491877718832</v>
      </c>
      <c r="R92" s="17" t="n">
        <f aca="false">IF(AND(A92&gt;=$B$16,A92&lt;=$B$16+5),D92,1000000000)</f>
        <v>1000000000</v>
      </c>
    </row>
    <row r="93" customFormat="false" ht="15" hidden="false" customHeight="false" outlineLevel="0" collapsed="false">
      <c r="A93" s="18" t="n">
        <v>62</v>
      </c>
      <c r="B93" s="17" t="n">
        <f aca="false">Carry_a*B92-Hire_b*$B$9*B91</f>
        <v>-5.3598650133936E-015</v>
      </c>
      <c r="C93" s="17" t="n">
        <f aca="false">Carry_a*C92-Hire_b*$B$10*C91</f>
        <v>3.50378300472118E-006</v>
      </c>
      <c r="D93" s="17" t="n">
        <f aca="false">Carry_a*D92-Hire_b*$B$11*D91</f>
        <v>4.1646252560291</v>
      </c>
      <c r="E93" s="17" t="n">
        <f aca="false">Carry_a*E92-Hire_b*$B$12*E91</f>
        <v>-1203.42510653101</v>
      </c>
      <c r="F93" s="17" t="n">
        <f aca="false">Carry_a*F92-Hire_b*$B$13*F91</f>
        <v>-1.98845791405163E-018</v>
      </c>
      <c r="G93" s="18" t="n">
        <f aca="false">IF(ABS(B93)&gt;Band_10+0.000000000001,A93,-1)</f>
        <v>-1</v>
      </c>
      <c r="H93" s="18" t="n">
        <f aca="false">IF(ABS(B93)&gt;Band_5+0.000000000001,A93,-1)</f>
        <v>-1</v>
      </c>
      <c r="I93" s="18" t="n">
        <f aca="false">IF(ABS(C93)&gt;Band_10+0.000000000001,A93,-1)</f>
        <v>-1</v>
      </c>
      <c r="J93" s="18" t="n">
        <f aca="false">IF(ABS(C93)&gt;Band_5+0.000000000001,A93,-1)</f>
        <v>-1</v>
      </c>
      <c r="K93" s="18" t="n">
        <f aca="false">IF(ABS(D93)&gt;Band_10+0.000000000001,A93,-1)</f>
        <v>-1</v>
      </c>
      <c r="L93" s="18" t="n">
        <f aca="false">IF(ABS(D93)&gt;Band_5+0.000000000001,A93,-1)</f>
        <v>-1</v>
      </c>
      <c r="M93" s="18" t="n">
        <f aca="false">IF(ABS(E93)&gt;Band_10+0.000000000001,A93,-1)</f>
        <v>62</v>
      </c>
      <c r="N93" s="18" t="n">
        <f aca="false">IF(ABS(E93)&gt;Band_5+0.000000000001,A93,-1)</f>
        <v>62</v>
      </c>
      <c r="O93" s="18" t="n">
        <f aca="false">IF(ABS(F93)&gt;Band_10+0.000000000001,A93,-1)</f>
        <v>-1</v>
      </c>
      <c r="P93" s="18" t="n">
        <f aca="false">IF(ABS(F93)&gt;Band_5+0.000000000001,A93,-1)</f>
        <v>-1</v>
      </c>
      <c r="Q93" s="17" t="n">
        <f aca="false">ABS(D93)</f>
        <v>4.1646252560291</v>
      </c>
      <c r="R93" s="17" t="n">
        <f aca="false">IF(AND(A93&gt;=$B$16,A93&lt;=$B$16+5),D93,1000000000)</f>
        <v>1000000000</v>
      </c>
    </row>
    <row r="94" customFormat="false" ht="15" hidden="false" customHeight="false" outlineLevel="0" collapsed="false">
      <c r="A94" s="18" t="n">
        <v>63</v>
      </c>
      <c r="B94" s="17" t="n">
        <f aca="false">Carry_a*B93-Hire_b*$B$9*B92</f>
        <v>-5.35211234966171E-015</v>
      </c>
      <c r="C94" s="17" t="n">
        <f aca="false">Carry_a*C93-Hire_b*$B$10*C92</f>
        <v>1.16110053941389E-005</v>
      </c>
      <c r="D94" s="17" t="n">
        <f aca="false">Carry_a*D93-Hire_b*$B$11*D92</f>
        <v>0.872735830956701</v>
      </c>
      <c r="E94" s="17" t="n">
        <f aca="false">Carry_a*E93-Hire_b*$B$12*E92</f>
        <v>-472.811295425591</v>
      </c>
      <c r="F94" s="17" t="n">
        <f aca="false">Carry_a*F93-Hire_b*$B$13*F92</f>
        <v>-9.09009332137888E-019</v>
      </c>
      <c r="G94" s="18" t="n">
        <f aca="false">IF(ABS(B94)&gt;Band_10+0.000000000001,A94,-1)</f>
        <v>-1</v>
      </c>
      <c r="H94" s="18" t="n">
        <f aca="false">IF(ABS(B94)&gt;Band_5+0.000000000001,A94,-1)</f>
        <v>-1</v>
      </c>
      <c r="I94" s="18" t="n">
        <f aca="false">IF(ABS(C94)&gt;Band_10+0.000000000001,A94,-1)</f>
        <v>-1</v>
      </c>
      <c r="J94" s="18" t="n">
        <f aca="false">IF(ABS(C94)&gt;Band_5+0.000000000001,A94,-1)</f>
        <v>-1</v>
      </c>
      <c r="K94" s="18" t="n">
        <f aca="false">IF(ABS(D94)&gt;Band_10+0.000000000001,A94,-1)</f>
        <v>-1</v>
      </c>
      <c r="L94" s="18" t="n">
        <f aca="false">IF(ABS(D94)&gt;Band_5+0.000000000001,A94,-1)</f>
        <v>-1</v>
      </c>
      <c r="M94" s="18" t="n">
        <f aca="false">IF(ABS(E94)&gt;Band_10+0.000000000001,A94,-1)</f>
        <v>63</v>
      </c>
      <c r="N94" s="18" t="n">
        <f aca="false">IF(ABS(E94)&gt;Band_5+0.000000000001,A94,-1)</f>
        <v>63</v>
      </c>
      <c r="O94" s="18" t="n">
        <f aca="false">IF(ABS(F94)&gt;Band_10+0.000000000001,A94,-1)</f>
        <v>-1</v>
      </c>
      <c r="P94" s="18" t="n">
        <f aca="false">IF(ABS(F94)&gt;Band_5+0.000000000001,A94,-1)</f>
        <v>-1</v>
      </c>
      <c r="Q94" s="17" t="n">
        <f aca="false">ABS(D94)</f>
        <v>0.872735830956701</v>
      </c>
      <c r="R94" s="17" t="n">
        <f aca="false">IF(AND(A94&gt;=$B$16,A94&lt;=$B$16+5),D94,1000000000)</f>
        <v>1000000000</v>
      </c>
    </row>
    <row r="95" customFormat="false" ht="15" hidden="false" customHeight="false" outlineLevel="0" collapsed="false">
      <c r="A95" s="18" t="n">
        <v>64</v>
      </c>
      <c r="B95" s="17" t="n">
        <f aca="false">Carry_a*B94-Hire_b*$B$9*B93</f>
        <v>-3.20894161067746E-015</v>
      </c>
      <c r="C95" s="17" t="n">
        <f aca="false">Carry_a*C94-Hire_b*$B$10*C93</f>
        <v>8.34763505189234E-006</v>
      </c>
      <c r="D95" s="17" t="n">
        <f aca="false">Carry_a*D94-Hire_b*$B$11*D93</f>
        <v>-2.96270048256516</v>
      </c>
      <c r="E95" s="17" t="n">
        <f aca="false">Carry_a*E94-Hire_b*$B$12*E93</f>
        <v>874.168949170454</v>
      </c>
      <c r="F95" s="17" t="n">
        <f aca="false">Carry_a*F94-Hire_b*$B$13*F93</f>
        <v>-4.15445671328644E-019</v>
      </c>
      <c r="G95" s="18" t="n">
        <f aca="false">IF(ABS(B95)&gt;Band_10+0.000000000001,A95,-1)</f>
        <v>-1</v>
      </c>
      <c r="H95" s="18" t="n">
        <f aca="false">IF(ABS(B95)&gt;Band_5+0.000000000001,A95,-1)</f>
        <v>-1</v>
      </c>
      <c r="I95" s="18" t="n">
        <f aca="false">IF(ABS(C95)&gt;Band_10+0.000000000001,A95,-1)</f>
        <v>-1</v>
      </c>
      <c r="J95" s="18" t="n">
        <f aca="false">IF(ABS(C95)&gt;Band_5+0.000000000001,A95,-1)</f>
        <v>-1</v>
      </c>
      <c r="K95" s="18" t="n">
        <f aca="false">IF(ABS(D95)&gt;Band_10+0.000000000001,A95,-1)</f>
        <v>-1</v>
      </c>
      <c r="L95" s="18" t="n">
        <f aca="false">IF(ABS(D95)&gt;Band_5+0.000000000001,A95,-1)</f>
        <v>-1</v>
      </c>
      <c r="M95" s="18" t="n">
        <f aca="false">IF(ABS(E95)&gt;Band_10+0.000000000001,A95,-1)</f>
        <v>64</v>
      </c>
      <c r="N95" s="18" t="n">
        <f aca="false">IF(ABS(E95)&gt;Band_5+0.000000000001,A95,-1)</f>
        <v>64</v>
      </c>
      <c r="O95" s="18" t="n">
        <f aca="false">IF(ABS(F95)&gt;Band_10+0.000000000001,A95,-1)</f>
        <v>-1</v>
      </c>
      <c r="P95" s="18" t="n">
        <f aca="false">IF(ABS(F95)&gt;Band_5+0.000000000001,A95,-1)</f>
        <v>-1</v>
      </c>
      <c r="Q95" s="17" t="n">
        <f aca="false">ABS(D95)</f>
        <v>2.96270048256516</v>
      </c>
      <c r="R95" s="17" t="n">
        <f aca="false">IF(AND(A95&gt;=$B$16,A95&lt;=$B$16+5),D95,1000000000)</f>
        <v>1000000000</v>
      </c>
    </row>
    <row r="96" customFormat="false" ht="15" hidden="false" customHeight="false" outlineLevel="0" collapsed="false">
      <c r="A96" s="18" t="n">
        <v>65</v>
      </c>
      <c r="B96" s="17" t="n">
        <f aca="false">Carry_a*B95-Hire_b*$B$9*B94</f>
        <v>-1.2824137447112E-015</v>
      </c>
      <c r="C96" s="17" t="n">
        <f aca="false">Carry_a*C95-Hire_b*$B$10*C94</f>
        <v>5.46268310219742E-007</v>
      </c>
      <c r="D96" s="17" t="n">
        <f aca="false">Carry_a*D95-Hire_b*$B$11*D94</f>
        <v>-3.45189268216967</v>
      </c>
      <c r="E96" s="17" t="n">
        <f aca="false">Carry_a*E95-Hire_b*$B$12*E94</f>
        <v>1297.38825331305</v>
      </c>
      <c r="F96" s="17" t="n">
        <f aca="false">Carry_a*F95-Hire_b*$B$13*F94</f>
        <v>-1.89826714437857E-019</v>
      </c>
      <c r="G96" s="18" t="n">
        <f aca="false">IF(ABS(B96)&gt;Band_10+0.000000000001,A96,-1)</f>
        <v>-1</v>
      </c>
      <c r="H96" s="18" t="n">
        <f aca="false">IF(ABS(B96)&gt;Band_5+0.000000000001,A96,-1)</f>
        <v>-1</v>
      </c>
      <c r="I96" s="18" t="n">
        <f aca="false">IF(ABS(C96)&gt;Band_10+0.000000000001,A96,-1)</f>
        <v>-1</v>
      </c>
      <c r="J96" s="18" t="n">
        <f aca="false">IF(ABS(C96)&gt;Band_5+0.000000000001,A96,-1)</f>
        <v>-1</v>
      </c>
      <c r="K96" s="18" t="n">
        <f aca="false">IF(ABS(D96)&gt;Band_10+0.000000000001,A96,-1)</f>
        <v>-1</v>
      </c>
      <c r="L96" s="18" t="n">
        <f aca="false">IF(ABS(D96)&gt;Band_5+0.000000000001,A96,-1)</f>
        <v>-1</v>
      </c>
      <c r="M96" s="18" t="n">
        <f aca="false">IF(ABS(E96)&gt;Band_10+0.000000000001,A96,-1)</f>
        <v>65</v>
      </c>
      <c r="N96" s="18" t="n">
        <f aca="false">IF(ABS(E96)&gt;Band_5+0.000000000001,A96,-1)</f>
        <v>65</v>
      </c>
      <c r="O96" s="18" t="n">
        <f aca="false">IF(ABS(F96)&gt;Band_10+0.000000000001,A96,-1)</f>
        <v>-1</v>
      </c>
      <c r="P96" s="18" t="n">
        <f aca="false">IF(ABS(F96)&gt;Band_5+0.000000000001,A96,-1)</f>
        <v>-1</v>
      </c>
      <c r="Q96" s="17" t="n">
        <f aca="false">ABS(D96)</f>
        <v>3.45189268216967</v>
      </c>
      <c r="R96" s="17" t="n">
        <f aca="false">IF(AND(A96&gt;=$B$16,A96&lt;=$B$16+5),D96,1000000000)</f>
        <v>1000000000</v>
      </c>
    </row>
    <row r="97" customFormat="false" ht="15" hidden="false" customHeight="false" outlineLevel="0" collapsed="false">
      <c r="A97" s="18" t="n">
        <v>66</v>
      </c>
      <c r="B97" s="17" t="n">
        <f aca="false">Carry_a*B96-Hire_b*$B$9*B95</f>
        <v>-1.91489887036842E-016</v>
      </c>
      <c r="C97" s="17" t="n">
        <f aca="false">Carry_a*C96-Hire_b*$B$10*C95</f>
        <v>-4.51693955193764E-006</v>
      </c>
      <c r="D97" s="17" t="n">
        <f aca="false">Carry_a*D96-Hire_b*$B$11*D95</f>
        <v>-0.440272979644064</v>
      </c>
      <c r="E97" s="17" t="n">
        <f aca="false">Carry_a*E96-Hire_b*$B$12*E95</f>
        <v>223.546962877652</v>
      </c>
      <c r="F97" s="17" t="n">
        <f aca="false">Carry_a*F96-Hire_b*$B$13*F95</f>
        <v>-8.67162945500211E-020</v>
      </c>
      <c r="G97" s="18" t="n">
        <f aca="false">IF(ABS(B97)&gt;Band_10+0.000000000001,A97,-1)</f>
        <v>-1</v>
      </c>
      <c r="H97" s="18" t="n">
        <f aca="false">IF(ABS(B97)&gt;Band_5+0.000000000001,A97,-1)</f>
        <v>-1</v>
      </c>
      <c r="I97" s="18" t="n">
        <f aca="false">IF(ABS(C97)&gt;Band_10+0.000000000001,A97,-1)</f>
        <v>-1</v>
      </c>
      <c r="J97" s="18" t="n">
        <f aca="false">IF(ABS(C97)&gt;Band_5+0.000000000001,A97,-1)</f>
        <v>-1</v>
      </c>
      <c r="K97" s="18" t="n">
        <f aca="false">IF(ABS(D97)&gt;Band_10+0.000000000001,A97,-1)</f>
        <v>-1</v>
      </c>
      <c r="L97" s="18" t="n">
        <f aca="false">IF(ABS(D97)&gt;Band_5+0.000000000001,A97,-1)</f>
        <v>-1</v>
      </c>
      <c r="M97" s="18" t="n">
        <f aca="false">IF(ABS(E97)&gt;Band_10+0.000000000001,A97,-1)</f>
        <v>66</v>
      </c>
      <c r="N97" s="18" t="n">
        <f aca="false">IF(ABS(E97)&gt;Band_5+0.000000000001,A97,-1)</f>
        <v>66</v>
      </c>
      <c r="O97" s="18" t="n">
        <f aca="false">IF(ABS(F97)&gt;Band_10+0.000000000001,A97,-1)</f>
        <v>-1</v>
      </c>
      <c r="P97" s="18" t="n">
        <f aca="false">IF(ABS(F97)&gt;Band_5+0.000000000001,A97,-1)</f>
        <v>-1</v>
      </c>
      <c r="Q97" s="17" t="n">
        <f aca="false">ABS(D97)</f>
        <v>0.440272979644064</v>
      </c>
      <c r="R97" s="17" t="n">
        <f aca="false">IF(AND(A97&gt;=$B$16,A97&lt;=$B$16+5),D97,1000000000)</f>
        <v>1000000000</v>
      </c>
    </row>
    <row r="98" customFormat="false" ht="15" hidden="false" customHeight="false" outlineLevel="0" collapsed="false">
      <c r="A98" s="18" t="n">
        <v>67</v>
      </c>
      <c r="B98" s="17" t="n">
        <f aca="false">Carry_a*B97-Hire_b*$B$9*B96</f>
        <v>2.12383225080202E-016</v>
      </c>
      <c r="C98" s="17" t="n">
        <f aca="false">Carry_a*C97-Hire_b*$B$10*C96</f>
        <v>-4.39300658287572E-006</v>
      </c>
      <c r="D98" s="17" t="n">
        <f aca="false">Carry_a*D97-Hire_b*$B$11*D96</f>
        <v>2.71045773227305</v>
      </c>
      <c r="E98" s="17" t="n">
        <f aca="false">Carry_a*E97-Hire_b*$B$12*E96</f>
        <v>-1199.9870469882</v>
      </c>
      <c r="F98" s="17" t="n">
        <f aca="false">Carry_a*F97-Hire_b*$B$13*F96</f>
        <v>-3.96047554213529E-020</v>
      </c>
      <c r="G98" s="18" t="n">
        <f aca="false">IF(ABS(B98)&gt;Band_10+0.000000000001,A98,-1)</f>
        <v>-1</v>
      </c>
      <c r="H98" s="18" t="n">
        <f aca="false">IF(ABS(B98)&gt;Band_5+0.000000000001,A98,-1)</f>
        <v>-1</v>
      </c>
      <c r="I98" s="18" t="n">
        <f aca="false">IF(ABS(C98)&gt;Band_10+0.000000000001,A98,-1)</f>
        <v>-1</v>
      </c>
      <c r="J98" s="18" t="n">
        <f aca="false">IF(ABS(C98)&gt;Band_5+0.000000000001,A98,-1)</f>
        <v>-1</v>
      </c>
      <c r="K98" s="18" t="n">
        <f aca="false">IF(ABS(D98)&gt;Band_10+0.000000000001,A98,-1)</f>
        <v>-1</v>
      </c>
      <c r="L98" s="18" t="n">
        <f aca="false">IF(ABS(D98)&gt;Band_5+0.000000000001,A98,-1)</f>
        <v>-1</v>
      </c>
      <c r="M98" s="18" t="n">
        <f aca="false">IF(ABS(E98)&gt;Band_10+0.000000000001,A98,-1)</f>
        <v>67</v>
      </c>
      <c r="N98" s="18" t="n">
        <f aca="false">IF(ABS(E98)&gt;Band_5+0.000000000001,A98,-1)</f>
        <v>67</v>
      </c>
      <c r="O98" s="18" t="n">
        <f aca="false">IF(ABS(F98)&gt;Band_10+0.000000000001,A98,-1)</f>
        <v>-1</v>
      </c>
      <c r="P98" s="18" t="n">
        <f aca="false">IF(ABS(F98)&gt;Band_5+0.000000000001,A98,-1)</f>
        <v>-1</v>
      </c>
      <c r="Q98" s="17" t="n">
        <f aca="false">ABS(D98)</f>
        <v>2.71045773227305</v>
      </c>
      <c r="R98" s="17" t="n">
        <f aca="false">IF(AND(A98&gt;=$B$16,A98&lt;=$B$16+5),D98,1000000000)</f>
        <v>1000000000</v>
      </c>
    </row>
    <row r="99" customFormat="false" ht="15" hidden="false" customHeight="false" outlineLevel="0" collapsed="false">
      <c r="A99" s="18" t="n">
        <v>68</v>
      </c>
      <c r="B99" s="17" t="n">
        <f aca="false">Carry_a*B98-Hire_b*$B$9*B97</f>
        <v>2.48591868683234E-016</v>
      </c>
      <c r="C99" s="17" t="n">
        <f aca="false">Carry_a*C98-Hire_b*$B$10*C97</f>
        <v>-1.24354219342556E-006</v>
      </c>
      <c r="D99" s="17" t="n">
        <f aca="false">Carry_a*D98-Hire_b*$B$11*D97</f>
        <v>2.8356576407254</v>
      </c>
      <c r="E99" s="17" t="n">
        <f aca="false">Carry_a*E98-Hire_b*$B$12*E97</f>
        <v>-1321.41906219725</v>
      </c>
      <c r="F99" s="17" t="n">
        <f aca="false">Carry_a*F98-Hire_b*$B$13*F97</f>
        <v>-1.80842302328384E-020</v>
      </c>
      <c r="G99" s="18" t="n">
        <f aca="false">IF(ABS(B99)&gt;Band_10+0.000000000001,A99,-1)</f>
        <v>-1</v>
      </c>
      <c r="H99" s="18" t="n">
        <f aca="false">IF(ABS(B99)&gt;Band_5+0.000000000001,A99,-1)</f>
        <v>-1</v>
      </c>
      <c r="I99" s="18" t="n">
        <f aca="false">IF(ABS(C99)&gt;Band_10+0.000000000001,A99,-1)</f>
        <v>-1</v>
      </c>
      <c r="J99" s="18" t="n">
        <f aca="false">IF(ABS(C99)&gt;Band_5+0.000000000001,A99,-1)</f>
        <v>-1</v>
      </c>
      <c r="K99" s="18" t="n">
        <f aca="false">IF(ABS(D99)&gt;Band_10+0.000000000001,A99,-1)</f>
        <v>-1</v>
      </c>
      <c r="L99" s="18" t="n">
        <f aca="false">IF(ABS(D99)&gt;Band_5+0.000000000001,A99,-1)</f>
        <v>-1</v>
      </c>
      <c r="M99" s="18" t="n">
        <f aca="false">IF(ABS(E99)&gt;Band_10+0.000000000001,A99,-1)</f>
        <v>68</v>
      </c>
      <c r="N99" s="18" t="n">
        <f aca="false">IF(ABS(E99)&gt;Band_5+0.000000000001,A99,-1)</f>
        <v>68</v>
      </c>
      <c r="O99" s="18" t="n">
        <f aca="false">IF(ABS(F99)&gt;Band_10+0.000000000001,A99,-1)</f>
        <v>-1</v>
      </c>
      <c r="P99" s="18" t="n">
        <f aca="false">IF(ABS(F99)&gt;Band_5+0.000000000001,A99,-1)</f>
        <v>-1</v>
      </c>
      <c r="Q99" s="17" t="n">
        <f aca="false">ABS(D99)</f>
        <v>2.8356576407254</v>
      </c>
      <c r="R99" s="17" t="n">
        <f aca="false">IF(AND(A99&gt;=$B$16,A99&lt;=$B$16+5),D99,1000000000)</f>
        <v>1000000000</v>
      </c>
    </row>
    <row r="100" customFormat="false" ht="15" hidden="false" customHeight="false" outlineLevel="0" collapsed="false">
      <c r="A100" s="18" t="n">
        <v>69</v>
      </c>
      <c r="B100" s="17" t="n">
        <f aca="false">Carry_a*B99-Hire_b*$B$9*B98</f>
        <v>1.6001771429085E-016</v>
      </c>
      <c r="C100" s="17" t="n">
        <f aca="false">Carry_a*C99-Hire_b*$B$10*C98</f>
        <v>1.51661597564242E-006</v>
      </c>
      <c r="D100" s="17" t="n">
        <f aca="false">Carry_a*D99-Hire_b*$B$11*D98</f>
        <v>0.112679917607119</v>
      </c>
      <c r="E100" s="17" t="n">
        <f aca="false">Carry_a*E99-Hire_b*$B$12*E98</f>
        <v>106.708854769737</v>
      </c>
      <c r="F100" s="17" t="n">
        <f aca="false">Carry_a*F99-Hire_b*$B$13*F98</f>
        <v>-8.25584423673055E-021</v>
      </c>
      <c r="G100" s="18" t="n">
        <f aca="false">IF(ABS(B100)&gt;Band_10+0.000000000001,A100,-1)</f>
        <v>-1</v>
      </c>
      <c r="H100" s="18" t="n">
        <f aca="false">IF(ABS(B100)&gt;Band_5+0.000000000001,A100,-1)</f>
        <v>-1</v>
      </c>
      <c r="I100" s="18" t="n">
        <f aca="false">IF(ABS(C100)&gt;Band_10+0.000000000001,A100,-1)</f>
        <v>-1</v>
      </c>
      <c r="J100" s="18" t="n">
        <f aca="false">IF(ABS(C100)&gt;Band_5+0.000000000001,A100,-1)</f>
        <v>-1</v>
      </c>
      <c r="K100" s="18" t="n">
        <f aca="false">IF(ABS(D100)&gt;Band_10+0.000000000001,A100,-1)</f>
        <v>-1</v>
      </c>
      <c r="L100" s="18" t="n">
        <f aca="false">IF(ABS(D100)&gt;Band_5+0.000000000001,A100,-1)</f>
        <v>-1</v>
      </c>
      <c r="M100" s="18" t="n">
        <f aca="false">IF(ABS(E100)&gt;Band_10+0.000000000001,A100,-1)</f>
        <v>69</v>
      </c>
      <c r="N100" s="18" t="n">
        <f aca="false">IF(ABS(E100)&gt;Band_5+0.000000000001,A100,-1)</f>
        <v>69</v>
      </c>
      <c r="O100" s="18" t="n">
        <f aca="false">IF(ABS(F100)&gt;Band_10+0.000000000001,A100,-1)</f>
        <v>-1</v>
      </c>
      <c r="P100" s="18" t="n">
        <f aca="false">IF(ABS(F100)&gt;Band_5+0.000000000001,A100,-1)</f>
        <v>-1</v>
      </c>
      <c r="Q100" s="17" t="n">
        <f aca="false">ABS(D100)</f>
        <v>0.112679917607119</v>
      </c>
      <c r="R100" s="17" t="n">
        <f aca="false">IF(AND(A100&gt;=$B$16,A100&lt;=$B$16+5),D100,1000000000)</f>
        <v>1000000000</v>
      </c>
    </row>
    <row r="101" customFormat="false" ht="15" hidden="false" customHeight="false" outlineLevel="0" collapsed="false">
      <c r="A101" s="18" t="n">
        <v>70</v>
      </c>
      <c r="B101" s="17" t="n">
        <f aca="false">Carry_a*B100-Hire_b*$B$9*B99</f>
        <v>6.9438382256795E-017</v>
      </c>
      <c r="C101" s="17" t="n">
        <f aca="false">Carry_a*C100-Hire_b*$B$10*C99</f>
        <v>2.11107969413352E-006</v>
      </c>
      <c r="D101" s="17" t="n">
        <f aca="false">Carry_a*D100-Hire_b*$B$11*D99</f>
        <v>-2.45067995080645</v>
      </c>
      <c r="E101" s="17" t="n">
        <f aca="false">Carry_a*E100-Hire_b*$B$12*E99</f>
        <v>1523.17055646579</v>
      </c>
      <c r="F101" s="17" t="n">
        <f aca="false">Carry_a*F100-Hire_b*$B$13*F99</f>
        <v>-3.76820319090773E-021</v>
      </c>
      <c r="G101" s="18" t="n">
        <f aca="false">IF(ABS(B101)&gt;Band_10+0.000000000001,A101,-1)</f>
        <v>-1</v>
      </c>
      <c r="H101" s="18" t="n">
        <f aca="false">IF(ABS(B101)&gt;Band_5+0.000000000001,A101,-1)</f>
        <v>-1</v>
      </c>
      <c r="I101" s="18" t="n">
        <f aca="false">IF(ABS(C101)&gt;Band_10+0.000000000001,A101,-1)</f>
        <v>-1</v>
      </c>
      <c r="J101" s="18" t="n">
        <f aca="false">IF(ABS(C101)&gt;Band_5+0.000000000001,A101,-1)</f>
        <v>-1</v>
      </c>
      <c r="K101" s="18" t="n">
        <f aca="false">IF(ABS(D101)&gt;Band_10+0.000000000001,A101,-1)</f>
        <v>-1</v>
      </c>
      <c r="L101" s="18" t="n">
        <f aca="false">IF(ABS(D101)&gt;Band_5+0.000000000001,A101,-1)</f>
        <v>-1</v>
      </c>
      <c r="M101" s="18" t="n">
        <f aca="false">IF(ABS(E101)&gt;Band_10+0.000000000001,A101,-1)</f>
        <v>70</v>
      </c>
      <c r="N101" s="18" t="n">
        <f aca="false">IF(ABS(E101)&gt;Band_5+0.000000000001,A101,-1)</f>
        <v>70</v>
      </c>
      <c r="O101" s="18" t="n">
        <f aca="false">IF(ABS(F101)&gt;Band_10+0.000000000001,A101,-1)</f>
        <v>-1</v>
      </c>
      <c r="P101" s="18" t="n">
        <f aca="false">IF(ABS(F101)&gt;Band_5+0.000000000001,A101,-1)</f>
        <v>-1</v>
      </c>
      <c r="Q101" s="17" t="n">
        <f aca="false">ABS(D101)</f>
        <v>2.45067995080645</v>
      </c>
      <c r="R101" s="17" t="n">
        <f aca="false">IF(AND(A101&gt;=$B$16,A101&lt;=$B$16+5),D101,1000000000)</f>
        <v>1000000000</v>
      </c>
    </row>
    <row r="102" customFormat="false" ht="15" hidden="false" customHeight="false" outlineLevel="0" collapsed="false">
      <c r="A102" s="18" t="n">
        <v>71</v>
      </c>
      <c r="B102" s="17" t="n">
        <f aca="false">Carry_a*B101-Hire_b*$B$9*B100</f>
        <v>1.44892297438604E-017</v>
      </c>
      <c r="C102" s="17" t="n">
        <f aca="false">Carry_a*C101-Hire_b*$B$10*C100</f>
        <v>9.90002139334714E-007</v>
      </c>
      <c r="D102" s="17" t="n">
        <f aca="false">Carry_a*D101-Hire_b*$B$11*D100</f>
        <v>-2.30702388157222</v>
      </c>
      <c r="E102" s="17" t="n">
        <f aca="false">Carry_a*E101-Hire_b*$B$12*E100</f>
        <v>1255.6079376679</v>
      </c>
      <c r="F102" s="17" t="n">
        <f aca="false">Carry_a*F101-Hire_b*$B$13*F100</f>
        <v>-1.71957441387902E-021</v>
      </c>
      <c r="G102" s="18" t="n">
        <f aca="false">IF(ABS(B102)&gt;Band_10+0.000000000001,A102,-1)</f>
        <v>-1</v>
      </c>
      <c r="H102" s="18" t="n">
        <f aca="false">IF(ABS(B102)&gt;Band_5+0.000000000001,A102,-1)</f>
        <v>-1</v>
      </c>
      <c r="I102" s="18" t="n">
        <f aca="false">IF(ABS(C102)&gt;Band_10+0.000000000001,A102,-1)</f>
        <v>-1</v>
      </c>
      <c r="J102" s="18" t="n">
        <f aca="false">IF(ABS(C102)&gt;Band_5+0.000000000001,A102,-1)</f>
        <v>-1</v>
      </c>
      <c r="K102" s="18" t="n">
        <f aca="false">IF(ABS(D102)&gt;Band_10+0.000000000001,A102,-1)</f>
        <v>-1</v>
      </c>
      <c r="L102" s="18" t="n">
        <f aca="false">IF(ABS(D102)&gt;Band_5+0.000000000001,A102,-1)</f>
        <v>-1</v>
      </c>
      <c r="M102" s="18" t="n">
        <f aca="false">IF(ABS(E102)&gt;Band_10+0.000000000001,A102,-1)</f>
        <v>71</v>
      </c>
      <c r="N102" s="18" t="n">
        <f aca="false">IF(ABS(E102)&gt;Band_5+0.000000000001,A102,-1)</f>
        <v>71</v>
      </c>
      <c r="O102" s="18" t="n">
        <f aca="false">IF(ABS(F102)&gt;Band_10+0.000000000001,A102,-1)</f>
        <v>-1</v>
      </c>
      <c r="P102" s="18" t="n">
        <f aca="false">IF(ABS(F102)&gt;Band_5+0.000000000001,A102,-1)</f>
        <v>-1</v>
      </c>
      <c r="Q102" s="17" t="n">
        <f aca="false">ABS(D102)</f>
        <v>2.30702388157222</v>
      </c>
      <c r="R102" s="17" t="n">
        <f aca="false">IF(AND(A102&gt;=$B$16,A102&lt;=$B$16+5),D102,1000000000)</f>
        <v>1000000000</v>
      </c>
    </row>
    <row r="103" customFormat="false" ht="15" hidden="false" customHeight="false" outlineLevel="0" collapsed="false">
      <c r="A103" s="18" t="n">
        <v>72</v>
      </c>
      <c r="B103" s="17" t="n">
        <f aca="false">Carry_a*B102-Hire_b*$B$9*B101</f>
        <v>-7.79120790756413E-018</v>
      </c>
      <c r="C103" s="17" t="n">
        <f aca="false">Carry_a*C102-Hire_b*$B$10*C101</f>
        <v>-3.75645891078869E-007</v>
      </c>
      <c r="D103" s="17" t="n">
        <f aca="false">Carry_a*D102-Hire_b*$B$11*D101</f>
        <v>0.129290462310814</v>
      </c>
      <c r="E103" s="17" t="n">
        <f aca="false">Carry_a*E102-Hire_b*$B$12*E101</f>
        <v>-514.977057081948</v>
      </c>
      <c r="F103" s="17" t="n">
        <f aca="false">Carry_a*F102-Hire_b*$B$13*F101</f>
        <v>-7.84555826332303E-022</v>
      </c>
      <c r="G103" s="18" t="n">
        <f aca="false">IF(ABS(B103)&gt;Band_10+0.000000000001,A103,-1)</f>
        <v>-1</v>
      </c>
      <c r="H103" s="18" t="n">
        <f aca="false">IF(ABS(B103)&gt;Band_5+0.000000000001,A103,-1)</f>
        <v>-1</v>
      </c>
      <c r="I103" s="18" t="n">
        <f aca="false">IF(ABS(C103)&gt;Band_10+0.000000000001,A103,-1)</f>
        <v>-1</v>
      </c>
      <c r="J103" s="18" t="n">
        <f aca="false">IF(ABS(C103)&gt;Band_5+0.000000000001,A103,-1)</f>
        <v>-1</v>
      </c>
      <c r="K103" s="18" t="n">
        <f aca="false">IF(ABS(D103)&gt;Band_10+0.000000000001,A103,-1)</f>
        <v>-1</v>
      </c>
      <c r="L103" s="18" t="n">
        <f aca="false">IF(ABS(D103)&gt;Band_5+0.000000000001,A103,-1)</f>
        <v>-1</v>
      </c>
      <c r="M103" s="18" t="n">
        <f aca="false">IF(ABS(E103)&gt;Band_10+0.000000000001,A103,-1)</f>
        <v>72</v>
      </c>
      <c r="N103" s="18" t="n">
        <f aca="false">IF(ABS(E103)&gt;Band_5+0.000000000001,A103,-1)</f>
        <v>72</v>
      </c>
      <c r="O103" s="18" t="n">
        <f aca="false">IF(ABS(F103)&gt;Band_10+0.000000000001,A103,-1)</f>
        <v>-1</v>
      </c>
      <c r="P103" s="18" t="n">
        <f aca="false">IF(ABS(F103)&gt;Band_5+0.000000000001,A103,-1)</f>
        <v>-1</v>
      </c>
      <c r="Q103" s="17" t="n">
        <f aca="false">ABS(D103)</f>
        <v>0.129290462310814</v>
      </c>
      <c r="R103" s="17" t="n">
        <f aca="false">IF(AND(A103&gt;=$B$16,A103&lt;=$B$16+5),D103,1000000000)</f>
        <v>1000000000</v>
      </c>
    </row>
    <row r="104" customFormat="false" ht="15" hidden="false" customHeight="false" outlineLevel="0" collapsed="false">
      <c r="A104" s="18" t="n">
        <v>73</v>
      </c>
      <c r="B104" s="17" t="n">
        <f aca="false">Carry_a*B103-Hire_b*$B$9*B102</f>
        <v>-1.13588560399658E-017</v>
      </c>
      <c r="C104" s="17" t="n">
        <f aca="false">Carry_a*C103-Hire_b*$B$10*C102</f>
        <v>-9.3208258557181E-007</v>
      </c>
      <c r="D104" s="17" t="n">
        <f aca="false">Carry_a*D103-Hire_b*$B$11*D102</f>
        <v>2.19268290949473</v>
      </c>
      <c r="E104" s="17" t="n">
        <f aca="false">Carry_a*E103-Hire_b*$B$12*E102</f>
        <v>-1819.53592405508</v>
      </c>
      <c r="F104" s="17" t="n">
        <f aca="false">Carry_a*F103-Hire_b*$B$13*F102</f>
        <v>-3.57886424888571E-022</v>
      </c>
      <c r="G104" s="18" t="n">
        <f aca="false">IF(ABS(B104)&gt;Band_10+0.000000000001,A104,-1)</f>
        <v>-1</v>
      </c>
      <c r="H104" s="18" t="n">
        <f aca="false">IF(ABS(B104)&gt;Band_5+0.000000000001,A104,-1)</f>
        <v>-1</v>
      </c>
      <c r="I104" s="18" t="n">
        <f aca="false">IF(ABS(C104)&gt;Band_10+0.000000000001,A104,-1)</f>
        <v>-1</v>
      </c>
      <c r="J104" s="18" t="n">
        <f aca="false">IF(ABS(C104)&gt;Band_5+0.000000000001,A104,-1)</f>
        <v>-1</v>
      </c>
      <c r="K104" s="18" t="n">
        <f aca="false">IF(ABS(D104)&gt;Band_10+0.000000000001,A104,-1)</f>
        <v>-1</v>
      </c>
      <c r="L104" s="18" t="n">
        <f aca="false">IF(ABS(D104)&gt;Band_5+0.000000000001,A104,-1)</f>
        <v>-1</v>
      </c>
      <c r="M104" s="18" t="n">
        <f aca="false">IF(ABS(E104)&gt;Band_10+0.000000000001,A104,-1)</f>
        <v>73</v>
      </c>
      <c r="N104" s="18" t="n">
        <f aca="false">IF(ABS(E104)&gt;Band_5+0.000000000001,A104,-1)</f>
        <v>73</v>
      </c>
      <c r="O104" s="18" t="n">
        <f aca="false">IF(ABS(F104)&gt;Band_10+0.000000000001,A104,-1)</f>
        <v>-1</v>
      </c>
      <c r="P104" s="18" t="n">
        <f aca="false">IF(ABS(F104)&gt;Band_5+0.000000000001,A104,-1)</f>
        <v>-1</v>
      </c>
      <c r="Q104" s="17" t="n">
        <f aca="false">ABS(D104)</f>
        <v>2.19268290949473</v>
      </c>
      <c r="R104" s="17" t="n">
        <f aca="false">IF(AND(A104&gt;=$B$16,A104&lt;=$B$16+5),D104,1000000000)</f>
        <v>1000000000</v>
      </c>
    </row>
    <row r="105" customFormat="false" ht="15" hidden="false" customHeight="false" outlineLevel="0" collapsed="false">
      <c r="A105" s="18" t="n">
        <v>74</v>
      </c>
      <c r="B105" s="17" t="n">
        <f aca="false">Carry_a*B104-Hire_b*$B$9*B103</f>
        <v>-7.88560806370001E-018</v>
      </c>
      <c r="C105" s="17" t="n">
        <f aca="false">Carry_a*C104-Hire_b*$B$10*C103</f>
        <v>-6.13486792367308E-007</v>
      </c>
      <c r="D105" s="17" t="n">
        <f aca="false">Carry_a*D104-Hire_b*$B$11*D103</f>
        <v>1.85705320246552</v>
      </c>
      <c r="E105" s="17" t="n">
        <f aca="false">Carry_a*E104-Hire_b*$B$12*E103</f>
        <v>-1081.40711000107</v>
      </c>
      <c r="F105" s="17" t="n">
        <f aca="false">Carry_a*F104-Hire_b*$B$13*F103</f>
        <v>-1.63225227567423E-022</v>
      </c>
      <c r="G105" s="18" t="n">
        <f aca="false">IF(ABS(B105)&gt;Band_10+0.000000000001,A105,-1)</f>
        <v>-1</v>
      </c>
      <c r="H105" s="18" t="n">
        <f aca="false">IF(ABS(B105)&gt;Band_5+0.000000000001,A105,-1)</f>
        <v>-1</v>
      </c>
      <c r="I105" s="18" t="n">
        <f aca="false">IF(ABS(C105)&gt;Band_10+0.000000000001,A105,-1)</f>
        <v>-1</v>
      </c>
      <c r="J105" s="18" t="n">
        <f aca="false">IF(ABS(C105)&gt;Band_5+0.000000000001,A105,-1)</f>
        <v>-1</v>
      </c>
      <c r="K105" s="18" t="n">
        <f aca="false">IF(ABS(D105)&gt;Band_10+0.000000000001,A105,-1)</f>
        <v>-1</v>
      </c>
      <c r="L105" s="18" t="n">
        <f aca="false">IF(ABS(D105)&gt;Band_5+0.000000000001,A105,-1)</f>
        <v>-1</v>
      </c>
      <c r="M105" s="18" t="n">
        <f aca="false">IF(ABS(E105)&gt;Band_10+0.000000000001,A105,-1)</f>
        <v>74</v>
      </c>
      <c r="N105" s="18" t="n">
        <f aca="false">IF(ABS(E105)&gt;Band_5+0.000000000001,A105,-1)</f>
        <v>74</v>
      </c>
      <c r="O105" s="18" t="n">
        <f aca="false">IF(ABS(F105)&gt;Band_10+0.000000000001,A105,-1)</f>
        <v>-1</v>
      </c>
      <c r="P105" s="18" t="n">
        <f aca="false">IF(ABS(F105)&gt;Band_5+0.000000000001,A105,-1)</f>
        <v>-1</v>
      </c>
      <c r="Q105" s="17" t="n">
        <f aca="false">ABS(D105)</f>
        <v>1.85705320246552</v>
      </c>
      <c r="R105" s="17" t="n">
        <f aca="false">IF(AND(A105&gt;=$B$16,A105&lt;=$B$16+5),D105,1000000000)</f>
        <v>1000000000</v>
      </c>
    </row>
    <row r="106" customFormat="false" ht="15" hidden="false" customHeight="false" outlineLevel="0" collapsed="false">
      <c r="A106" s="18" t="n">
        <v>75</v>
      </c>
      <c r="B106" s="17" t="n">
        <f aca="false">Carry_a*B105-Hire_b*$B$9*B104</f>
        <v>-3.68939044534026E-018</v>
      </c>
      <c r="C106" s="17" t="n">
        <f aca="false">Carry_a*C105-Hire_b*$B$10*C104</f>
        <v>7.11143821250912E-009</v>
      </c>
      <c r="D106" s="17" t="n">
        <f aca="false">Carry_a*D105-Hire_b*$B$11*D104</f>
        <v>-0.302066736326285</v>
      </c>
      <c r="E106" s="17" t="n">
        <f aca="false">Carry_a*E105-Hire_b*$B$12*E104</f>
        <v>991.832398978526</v>
      </c>
      <c r="F106" s="17" t="n">
        <f aca="false">Carry_a*F105-Hire_b*$B$13*F104</f>
        <v>-7.44307037707447E-023</v>
      </c>
      <c r="G106" s="18" t="n">
        <f aca="false">IF(ABS(B106)&gt;Band_10+0.000000000001,A106,-1)</f>
        <v>-1</v>
      </c>
      <c r="H106" s="18" t="n">
        <f aca="false">IF(ABS(B106)&gt;Band_5+0.000000000001,A106,-1)</f>
        <v>-1</v>
      </c>
      <c r="I106" s="18" t="n">
        <f aca="false">IF(ABS(C106)&gt;Band_10+0.000000000001,A106,-1)</f>
        <v>-1</v>
      </c>
      <c r="J106" s="18" t="n">
        <f aca="false">IF(ABS(C106)&gt;Band_5+0.000000000001,A106,-1)</f>
        <v>-1</v>
      </c>
      <c r="K106" s="18" t="n">
        <f aca="false">IF(ABS(D106)&gt;Band_10+0.000000000001,A106,-1)</f>
        <v>-1</v>
      </c>
      <c r="L106" s="18" t="n">
        <f aca="false">IF(ABS(D106)&gt;Band_5+0.000000000001,A106,-1)</f>
        <v>-1</v>
      </c>
      <c r="M106" s="18" t="n">
        <f aca="false">IF(ABS(E106)&gt;Band_10+0.000000000001,A106,-1)</f>
        <v>75</v>
      </c>
      <c r="N106" s="18" t="n">
        <f aca="false">IF(ABS(E106)&gt;Band_5+0.000000000001,A106,-1)</f>
        <v>75</v>
      </c>
      <c r="O106" s="18" t="n">
        <f aca="false">IF(ABS(F106)&gt;Band_10+0.000000000001,A106,-1)</f>
        <v>-1</v>
      </c>
      <c r="P106" s="18" t="n">
        <f aca="false">IF(ABS(F106)&gt;Band_5+0.000000000001,A106,-1)</f>
        <v>-1</v>
      </c>
      <c r="Q106" s="17" t="n">
        <f aca="false">ABS(D106)</f>
        <v>0.302066736326285</v>
      </c>
      <c r="R106" s="17" t="n">
        <f aca="false">IF(AND(A106&gt;=$B$16,A106&lt;=$B$16+5),D106,1000000000)</f>
        <v>1000000000</v>
      </c>
    </row>
    <row r="107" customFormat="false" ht="15" hidden="false" customHeight="false" outlineLevel="0" collapsed="false">
      <c r="A107" s="18" t="n">
        <v>76</v>
      </c>
      <c r="B107" s="17" t="n">
        <f aca="false">Carry_a*B106-Hire_b*$B$9*B105</f>
        <v>-9.54768981696232E-019</v>
      </c>
      <c r="C107" s="17" t="n">
        <f aca="false">Carry_a*C106-Hire_b*$B$10*C105</f>
        <v>3.74492369811643E-007</v>
      </c>
      <c r="D107" s="17" t="n">
        <f aca="false">Carry_a*D106-Hire_b*$B$11*D105</f>
        <v>-1.94320794491262</v>
      </c>
      <c r="E107" s="17" t="n">
        <f aca="false">Carry_a*E106-Hire_b*$B$12*E105</f>
        <v>2060.56883788183</v>
      </c>
      <c r="F107" s="17" t="n">
        <f aca="false">Carry_a*F106-Hire_b*$B$13*F105</f>
        <v>-3.39345248112672E-023</v>
      </c>
      <c r="G107" s="18" t="n">
        <f aca="false">IF(ABS(B107)&gt;Band_10+0.000000000001,A107,-1)</f>
        <v>-1</v>
      </c>
      <c r="H107" s="18" t="n">
        <f aca="false">IF(ABS(B107)&gt;Band_5+0.000000000001,A107,-1)</f>
        <v>-1</v>
      </c>
      <c r="I107" s="18" t="n">
        <f aca="false">IF(ABS(C107)&gt;Band_10+0.000000000001,A107,-1)</f>
        <v>-1</v>
      </c>
      <c r="J107" s="18" t="n">
        <f aca="false">IF(ABS(C107)&gt;Band_5+0.000000000001,A107,-1)</f>
        <v>-1</v>
      </c>
      <c r="K107" s="18" t="n">
        <f aca="false">IF(ABS(D107)&gt;Band_10+0.000000000001,A107,-1)</f>
        <v>-1</v>
      </c>
      <c r="L107" s="18" t="n">
        <f aca="false">IF(ABS(D107)&gt;Band_5+0.000000000001,A107,-1)</f>
        <v>-1</v>
      </c>
      <c r="M107" s="18" t="n">
        <f aca="false">IF(ABS(E107)&gt;Band_10+0.000000000001,A107,-1)</f>
        <v>76</v>
      </c>
      <c r="N107" s="18" t="n">
        <f aca="false">IF(ABS(E107)&gt;Band_5+0.000000000001,A107,-1)</f>
        <v>76</v>
      </c>
      <c r="O107" s="18" t="n">
        <f aca="false">IF(ABS(F107)&gt;Band_10+0.000000000001,A107,-1)</f>
        <v>-1</v>
      </c>
      <c r="P107" s="18" t="n">
        <f aca="false">IF(ABS(F107)&gt;Band_5+0.000000000001,A107,-1)</f>
        <v>-1</v>
      </c>
      <c r="Q107" s="17" t="n">
        <f aca="false">ABS(D107)</f>
        <v>1.94320794491262</v>
      </c>
      <c r="R107" s="17" t="n">
        <f aca="false">IF(AND(A107&gt;=$B$16,A107&lt;=$B$16+5),D107,1000000000)</f>
        <v>1000000000</v>
      </c>
    </row>
    <row r="108" customFormat="false" ht="15" hidden="false" customHeight="false" outlineLevel="0" collapsed="false">
      <c r="A108" s="18" t="n">
        <v>77</v>
      </c>
      <c r="B108" s="17" t="n">
        <f aca="false">Carry_a*B107-Hire_b*$B$9*B106</f>
        <v>2.4752505007547E-019</v>
      </c>
      <c r="C108" s="17" t="n">
        <f aca="false">Carry_a*C107-Hire_b*$B$10*C106</f>
        <v>3.32776269902973E-007</v>
      </c>
      <c r="D108" s="17" t="n">
        <f aca="false">Carry_a*D107-Hire_b*$B$11*D106</f>
        <v>-1.47702708772771</v>
      </c>
      <c r="E108" s="17" t="n">
        <f aca="false">Carry_a*E107-Hire_b*$B$12*E106</f>
        <v>783.332963196837</v>
      </c>
      <c r="F108" s="17" t="n">
        <f aca="false">Carry_a*F107-Hire_b*$B$13*F106</f>
        <v>-1.54688548165646E-023</v>
      </c>
      <c r="G108" s="18" t="n">
        <f aca="false">IF(ABS(B108)&gt;Band_10+0.000000000001,A108,-1)</f>
        <v>-1</v>
      </c>
      <c r="H108" s="18" t="n">
        <f aca="false">IF(ABS(B108)&gt;Band_5+0.000000000001,A108,-1)</f>
        <v>-1</v>
      </c>
      <c r="I108" s="18" t="n">
        <f aca="false">IF(ABS(C108)&gt;Band_10+0.000000000001,A108,-1)</f>
        <v>-1</v>
      </c>
      <c r="J108" s="18" t="n">
        <f aca="false">IF(ABS(C108)&gt;Band_5+0.000000000001,A108,-1)</f>
        <v>-1</v>
      </c>
      <c r="K108" s="18" t="n">
        <f aca="false">IF(ABS(D108)&gt;Band_10+0.000000000001,A108,-1)</f>
        <v>-1</v>
      </c>
      <c r="L108" s="18" t="n">
        <f aca="false">IF(ABS(D108)&gt;Band_5+0.000000000001,A108,-1)</f>
        <v>-1</v>
      </c>
      <c r="M108" s="18" t="n">
        <f aca="false">IF(ABS(E108)&gt;Band_10+0.000000000001,A108,-1)</f>
        <v>77</v>
      </c>
      <c r="N108" s="18" t="n">
        <f aca="false">IF(ABS(E108)&gt;Band_5+0.000000000001,A108,-1)</f>
        <v>77</v>
      </c>
      <c r="O108" s="18" t="n">
        <f aca="false">IF(ABS(F108)&gt;Band_10+0.000000000001,A108,-1)</f>
        <v>-1</v>
      </c>
      <c r="P108" s="18" t="n">
        <f aca="false">IF(ABS(F108)&gt;Band_5+0.000000000001,A108,-1)</f>
        <v>-1</v>
      </c>
      <c r="Q108" s="17" t="n">
        <f aca="false">ABS(D108)</f>
        <v>1.47702708772771</v>
      </c>
      <c r="R108" s="17" t="n">
        <f aca="false">IF(AND(A108&gt;=$B$16,A108&lt;=$B$16+5),D108,1000000000)</f>
        <v>1000000000</v>
      </c>
    </row>
    <row r="109" customFormat="false" ht="15" hidden="false" customHeight="false" outlineLevel="0" collapsed="false">
      <c r="A109" s="18" t="n">
        <v>78</v>
      </c>
      <c r="B109" s="17" t="n">
        <f aca="false">Carry_a*B108-Hire_b*$B$9*B107</f>
        <v>5.09203239576792E-019</v>
      </c>
      <c r="C109" s="17" t="n">
        <f aca="false">Carry_a*C108-Hire_b*$B$10*C107</f>
        <v>7.48032210256901E-008</v>
      </c>
      <c r="D109" s="17" t="n">
        <f aca="false">Carry_a*D108-Hire_b*$B$11*D107</f>
        <v>0.419562771466426</v>
      </c>
      <c r="E109" s="17" t="n">
        <f aca="false">Carry_a*E108-Hire_b*$B$12*E107</f>
        <v>-1520.41467803522</v>
      </c>
      <c r="F109" s="17" t="n">
        <f aca="false">Carry_a*F108-Hire_b*$B$13*F107</f>
        <v>-7.05022806062657E-024</v>
      </c>
      <c r="G109" s="18" t="n">
        <f aca="false">IF(ABS(B109)&gt;Band_10+0.000000000001,A109,-1)</f>
        <v>-1</v>
      </c>
      <c r="H109" s="18" t="n">
        <f aca="false">IF(ABS(B109)&gt;Band_5+0.000000000001,A109,-1)</f>
        <v>-1</v>
      </c>
      <c r="I109" s="18" t="n">
        <f aca="false">IF(ABS(C109)&gt;Band_10+0.000000000001,A109,-1)</f>
        <v>-1</v>
      </c>
      <c r="J109" s="18" t="n">
        <f aca="false">IF(ABS(C109)&gt;Band_5+0.000000000001,A109,-1)</f>
        <v>-1</v>
      </c>
      <c r="K109" s="18" t="n">
        <f aca="false">IF(ABS(D109)&gt;Band_10+0.000000000001,A109,-1)</f>
        <v>-1</v>
      </c>
      <c r="L109" s="18" t="n">
        <f aca="false">IF(ABS(D109)&gt;Band_5+0.000000000001,A109,-1)</f>
        <v>-1</v>
      </c>
      <c r="M109" s="18" t="n">
        <f aca="false">IF(ABS(E109)&gt;Band_10+0.000000000001,A109,-1)</f>
        <v>78</v>
      </c>
      <c r="N109" s="18" t="n">
        <f aca="false">IF(ABS(E109)&gt;Band_5+0.000000000001,A109,-1)</f>
        <v>78</v>
      </c>
      <c r="O109" s="18" t="n">
        <f aca="false">IF(ABS(F109)&gt;Band_10+0.000000000001,A109,-1)</f>
        <v>-1</v>
      </c>
      <c r="P109" s="18" t="n">
        <f aca="false">IF(ABS(F109)&gt;Band_5+0.000000000001,A109,-1)</f>
        <v>-1</v>
      </c>
      <c r="Q109" s="17" t="n">
        <f aca="false">ABS(D109)</f>
        <v>0.419562771466426</v>
      </c>
      <c r="R109" s="17" t="n">
        <f aca="false">IF(AND(A109&gt;=$B$16,A109&lt;=$B$16+5),D109,1000000000)</f>
        <v>1000000000</v>
      </c>
    </row>
    <row r="110" customFormat="false" ht="15" hidden="false" customHeight="false" outlineLevel="0" collapsed="false">
      <c r="A110" s="18" t="n">
        <v>79</v>
      </c>
      <c r="B110" s="17" t="n">
        <f aca="false">Carry_a*B109-Hire_b*$B$9*B108</f>
        <v>3.84025400596472E-019</v>
      </c>
      <c r="C110" s="17" t="n">
        <f aca="false">Carry_a*C109-Hire_b*$B$10*C108</f>
        <v>-1.32342863018663E-007</v>
      </c>
      <c r="D110" s="17" t="n">
        <f aca="false">Carry_a*D109-Hire_b*$B$11*D108</f>
        <v>1.70693087327472</v>
      </c>
      <c r="E110" s="17" t="n">
        <f aca="false">Carry_a*E109-Hire_b*$B$12*E108</f>
        <v>-2214.37281048428</v>
      </c>
      <c r="F110" s="17" t="n">
        <f aca="false">Carry_a*F109-Hire_b*$B$13*F108</f>
        <v>-3.21276215420958E-024</v>
      </c>
      <c r="G110" s="18" t="n">
        <f aca="false">IF(ABS(B110)&gt;Band_10+0.000000000001,A110,-1)</f>
        <v>-1</v>
      </c>
      <c r="H110" s="18" t="n">
        <f aca="false">IF(ABS(B110)&gt;Band_5+0.000000000001,A110,-1)</f>
        <v>-1</v>
      </c>
      <c r="I110" s="18" t="n">
        <f aca="false">IF(ABS(C110)&gt;Band_10+0.000000000001,A110,-1)</f>
        <v>-1</v>
      </c>
      <c r="J110" s="18" t="n">
        <f aca="false">IF(ABS(C110)&gt;Band_5+0.000000000001,A110,-1)</f>
        <v>-1</v>
      </c>
      <c r="K110" s="18" t="n">
        <f aca="false">IF(ABS(D110)&gt;Band_10+0.000000000001,A110,-1)</f>
        <v>-1</v>
      </c>
      <c r="L110" s="18" t="n">
        <f aca="false">IF(ABS(D110)&gt;Band_5+0.000000000001,A110,-1)</f>
        <v>-1</v>
      </c>
      <c r="M110" s="18" t="n">
        <f aca="false">IF(ABS(E110)&gt;Band_10+0.000000000001,A110,-1)</f>
        <v>79</v>
      </c>
      <c r="N110" s="18" t="n">
        <f aca="false">IF(ABS(E110)&gt;Band_5+0.000000000001,A110,-1)</f>
        <v>79</v>
      </c>
      <c r="O110" s="18" t="n">
        <f aca="false">IF(ABS(F110)&gt;Band_10+0.000000000001,A110,-1)</f>
        <v>-1</v>
      </c>
      <c r="P110" s="18" t="n">
        <f aca="false">IF(ABS(F110)&gt;Band_5+0.000000000001,A110,-1)</f>
        <v>-1</v>
      </c>
      <c r="Q110" s="17" t="n">
        <f aca="false">ABS(D110)</f>
        <v>1.70693087327472</v>
      </c>
      <c r="R110" s="17" t="n">
        <f aca="false">IF(AND(A110&gt;=$B$16,A110&lt;=$B$16+5),D110,1000000000)</f>
        <v>1000000000</v>
      </c>
    </row>
    <row r="111" customFormat="false" ht="15" hidden="false" customHeight="false" outlineLevel="0" collapsed="false">
      <c r="A111" s="18" t="n">
        <v>80</v>
      </c>
      <c r="B111" s="17" t="n">
        <f aca="false">Carry_a*B110-Hire_b*$B$9*B109</f>
        <v>1.92861888663787E-019</v>
      </c>
      <c r="C111" s="17" t="n">
        <f aca="false">Carry_a*C110-Hire_b*$B$10*C109</f>
        <v>-1.63990509332211E-007</v>
      </c>
      <c r="D111" s="17" t="n">
        <f aca="false">Carry_a*D110-Hire_b*$B$11*D109</f>
        <v>1.15863129162746</v>
      </c>
      <c r="E111" s="17" t="n">
        <f aca="false">Carry_a*E110-Hire_b*$B$12*E109</f>
        <v>-350.887677157816</v>
      </c>
      <c r="F111" s="17" t="n">
        <f aca="false">Carry_a*F110-Hire_b*$B$13*F109</f>
        <v>-1.46381475651174E-024</v>
      </c>
      <c r="G111" s="18" t="n">
        <f aca="false">IF(ABS(B111)&gt;Band_10+0.000000000001,A111,-1)</f>
        <v>-1</v>
      </c>
      <c r="H111" s="18" t="n">
        <f aca="false">IF(ABS(B111)&gt;Band_5+0.000000000001,A111,-1)</f>
        <v>-1</v>
      </c>
      <c r="I111" s="18" t="n">
        <f aca="false">IF(ABS(C111)&gt;Band_10+0.000000000001,A111,-1)</f>
        <v>-1</v>
      </c>
      <c r="J111" s="18" t="n">
        <f aca="false">IF(ABS(C111)&gt;Band_5+0.000000000001,A111,-1)</f>
        <v>-1</v>
      </c>
      <c r="K111" s="18" t="n">
        <f aca="false">IF(ABS(D111)&gt;Band_10+0.000000000001,A111,-1)</f>
        <v>-1</v>
      </c>
      <c r="L111" s="18" t="n">
        <f aca="false">IF(ABS(D111)&gt;Band_5+0.000000000001,A111,-1)</f>
        <v>-1</v>
      </c>
      <c r="M111" s="18" t="n">
        <f aca="false">IF(ABS(E111)&gt;Band_10+0.000000000001,A111,-1)</f>
        <v>80</v>
      </c>
      <c r="N111" s="18" t="n">
        <f aca="false">IF(ABS(E111)&gt;Band_5+0.000000000001,A111,-1)</f>
        <v>80</v>
      </c>
      <c r="O111" s="18" t="n">
        <f aca="false">IF(ABS(F111)&gt;Band_10+0.000000000001,A111,-1)</f>
        <v>-1</v>
      </c>
      <c r="P111" s="18" t="n">
        <f aca="false">IF(ABS(F111)&gt;Band_5+0.000000000001,A111,-1)</f>
        <v>-1</v>
      </c>
      <c r="Q111" s="17" t="n">
        <f aca="false">ABS(D111)</f>
        <v>1.15863129162746</v>
      </c>
      <c r="R111" s="17" t="n">
        <f aca="false">IF(AND(A111&gt;=$B$16,A111&lt;=$B$16+5),D111,1000000000)</f>
        <v>1000000000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8"/>
    <col collapsed="false" customWidth="true" hidden="false" outlineLevel="0" max="3" min="3" style="0" width="40"/>
    <col collapsed="false" customWidth="true" hidden="false" outlineLevel="0" max="4" min="4" style="0" width="34"/>
    <col collapsed="false" customWidth="true" hidden="false" outlineLevel="0" max="5" min="5" style="0" width="22"/>
    <col collapsed="false" customWidth="true" hidden="false" outlineLevel="0" max="6" min="6" style="0" width="46"/>
  </cols>
  <sheetData>
    <row r="1" customFormat="false" ht="15" hidden="false" customHeight="false" outlineLevel="0" collapsed="false">
      <c r="A1" s="1" t="s">
        <v>338</v>
      </c>
    </row>
    <row r="3" customFormat="false" ht="23.85" hidden="false" customHeight="false" outlineLevel="0" collapsed="false">
      <c r="A3" s="8" t="s">
        <v>86</v>
      </c>
      <c r="B3" s="8" t="s">
        <v>339</v>
      </c>
      <c r="C3" s="8" t="s">
        <v>272</v>
      </c>
      <c r="D3" s="8" t="s">
        <v>297</v>
      </c>
      <c r="E3" s="8" t="s">
        <v>340</v>
      </c>
      <c r="F3" s="8" t="s">
        <v>341</v>
      </c>
    </row>
    <row r="4" customFormat="false" ht="15" hidden="false" customHeight="false" outlineLevel="0" collapsed="false">
      <c r="A4" s="24" t="n">
        <v>-0.25</v>
      </c>
      <c r="B4" s="15" t="n">
        <f aca="false">Carry_a-Hire_b*A4</f>
        <v>1.05</v>
      </c>
      <c r="C4" s="2" t="str">
        <f aca="false">IF(B4&gt;=1,"divergence persists: undercorrection",IF(B4&gt;0.000000000001,"steady convergence: calibrated steering",IF(B4&gt;=-0.000000000001,"one step: deadbeat",IF(B4&gt;-1+0.000000000001,"damped swings: aggressive but stable","growing swings: overcorrection"))))</f>
        <v>divergence persists: undercorrection</v>
      </c>
      <c r="D4" s="13" t="n">
        <f aca="false">Carry_a^2-4*Hire_b*A4</f>
        <v>1.41</v>
      </c>
      <c r="E4" s="15" t="n">
        <f aca="false">IF(D4&lt;-0.000000000001,SQRT(Hire_b*A4),MAX(ABS((Carry_a+SQRT(MAX(D4,0)))/2),ABS((Carry_a-SQRT(MAX(D4,0)))/2)))</f>
        <v>1.0437171043519</v>
      </c>
      <c r="F4" s="2" t="str">
        <f aca="false">IF(ABS(E4-1)&lt;0.000000001,"on the circle: cycles that neither die out nor grow",IF(E4&gt;1,IF(D4&lt;-0.000000000001,"cycles that grow","diverges"),IF(D4&lt;-0.000000000001,"damped cycles","settles without cycling")))</f>
        <v>diverges</v>
      </c>
    </row>
    <row r="5" customFormat="false" ht="15" hidden="false" customHeight="false" outlineLevel="0" collapsed="false">
      <c r="A5" s="24" t="n">
        <v>0</v>
      </c>
      <c r="B5" s="15" t="n">
        <f aca="false">Carry_a-Hire_b*A5</f>
        <v>0.9</v>
      </c>
      <c r="C5" s="2" t="str">
        <f aca="false">IF(B5&gt;=1,"divergence persists: undercorrection",IF(B5&gt;0.000000000001,"steady convergence: calibrated steering",IF(B5&gt;=-0.000000000001,"one step: deadbeat",IF(B5&gt;-1+0.000000000001,"damped swings: aggressive but stable","growing swings: overcorrection"))))</f>
        <v>steady convergence: calibrated steering</v>
      </c>
      <c r="D5" s="13" t="n">
        <f aca="false">Carry_a^2-4*Hire_b*A5</f>
        <v>0.81</v>
      </c>
      <c r="E5" s="15" t="n">
        <f aca="false">IF(D5&lt;-0.000000000001,SQRT(Hire_b*A5),MAX(ABS((Carry_a+SQRT(MAX(D5,0)))/2),ABS((Carry_a-SQRT(MAX(D5,0)))/2)))</f>
        <v>0.9</v>
      </c>
      <c r="F5" s="2" t="str">
        <f aca="false">IF(ABS(E5-1)&lt;0.000000001,"on the circle: cycles that neither die out nor grow",IF(E5&gt;1,IF(D5&lt;-0.000000000001,"cycles that grow","diverges"),IF(D5&lt;-0.000000000001,"damped cycles","settles without cycling")))</f>
        <v>settles without cycling</v>
      </c>
    </row>
    <row r="6" customFormat="false" ht="15" hidden="false" customHeight="false" outlineLevel="0" collapsed="false">
      <c r="A6" s="24" t="n">
        <v>0.25</v>
      </c>
      <c r="B6" s="15" t="n">
        <f aca="false">Carry_a-Hire_b*A6</f>
        <v>0.75</v>
      </c>
      <c r="C6" s="2" t="str">
        <f aca="false">IF(B6&gt;=1,"divergence persists: undercorrection",IF(B6&gt;0.000000000001,"steady convergence: calibrated steering",IF(B6&gt;=-0.000000000001,"one step: deadbeat",IF(B6&gt;-1+0.000000000001,"damped swings: aggressive but stable","growing swings: overcorrection"))))</f>
        <v>steady convergence: calibrated steering</v>
      </c>
      <c r="D6" s="13" t="n">
        <f aca="false">Carry_a^2-4*Hire_b*A6</f>
        <v>0.21</v>
      </c>
      <c r="E6" s="15" t="n">
        <f aca="false">IF(D6&lt;-0.000000000001,SQRT(Hire_b*A6),MAX(ABS((Carry_a+SQRT(MAX(D6,0)))/2),ABS((Carry_a-SQRT(MAX(D6,0)))/2)))</f>
        <v>0.679128784747792</v>
      </c>
      <c r="F6" s="2" t="str">
        <f aca="false">IF(ABS(E6-1)&lt;0.000000001,"on the circle: cycles that neither die out nor grow",IF(E6&gt;1,IF(D6&lt;-0.000000000001,"cycles that grow","diverges"),IF(D6&lt;-0.000000000001,"damped cycles","settles without cycling")))</f>
        <v>settles without cycling</v>
      </c>
    </row>
    <row r="7" customFormat="false" ht="15" hidden="false" customHeight="false" outlineLevel="0" collapsed="false">
      <c r="A7" s="15" t="n">
        <f aca="false">Gain_merged</f>
        <v>0.3375</v>
      </c>
      <c r="B7" s="15" t="n">
        <f aca="false">Carry_a-Hire_b*A7</f>
        <v>0.6975</v>
      </c>
      <c r="C7" s="2" t="str">
        <f aca="false">IF(B7&gt;=1,"divergence persists: undercorrection",IF(B7&gt;0.000000000001,"steady convergence: calibrated steering",IF(B7&gt;=-0.000000000001,"one step: deadbeat",IF(B7&gt;-1+0.000000000001,"damped swings: aggressive but stable","growing swings: overcorrection"))))</f>
        <v>steady convergence: calibrated steering</v>
      </c>
      <c r="D7" s="13" t="n">
        <f aca="false">Carry_a^2-4*Hire_b*A7</f>
        <v>0</v>
      </c>
      <c r="E7" s="15" t="n">
        <f aca="false">IF(D7&lt;-0.000000000001,SQRT(Hire_b*A7),MAX(ABS((Carry_a+SQRT(MAX(D7,0)))/2),ABS((Carry_a-SQRT(MAX(D7,0)))/2)))</f>
        <v>0.45</v>
      </c>
      <c r="F7" s="2" t="str">
        <f aca="false">IF(ABS(E7-1)&lt;0.000000001,"on the circle: cycles that neither die out nor grow",IF(E7&gt;1,IF(D7&lt;-0.000000000001,"cycles that grow","diverges"),IF(D7&lt;-0.000000000001,"damped cycles","settles without cycling")))</f>
        <v>settles without cycling</v>
      </c>
    </row>
    <row r="8" customFormat="false" ht="15" hidden="false" customHeight="false" outlineLevel="0" collapsed="false">
      <c r="A8" s="24" t="n">
        <v>0.5</v>
      </c>
      <c r="B8" s="15" t="n">
        <f aca="false">Carry_a-Hire_b*A8</f>
        <v>0.6</v>
      </c>
      <c r="C8" s="2" t="str">
        <f aca="false">IF(B8&gt;=1,"divergence persists: undercorrection",IF(B8&gt;0.000000000001,"steady convergence: calibrated steering",IF(B8&gt;=-0.000000000001,"one step: deadbeat",IF(B8&gt;-1+0.000000000001,"damped swings: aggressive but stable","growing swings: overcorrection"))))</f>
        <v>steady convergence: calibrated steering</v>
      </c>
      <c r="D8" s="13" t="n">
        <f aca="false">Carry_a^2-4*Hire_b*A8</f>
        <v>-0.39</v>
      </c>
      <c r="E8" s="15" t="n">
        <f aca="false">IF(D8&lt;-0.000000000001,SQRT(Hire_b*A8),MAX(ABS((Carry_a+SQRT(MAX(D8,0)))/2),ABS((Carry_a-SQRT(MAX(D8,0)))/2)))</f>
        <v>0.547722557505166</v>
      </c>
      <c r="F8" s="2" t="str">
        <f aca="false">IF(ABS(E8-1)&lt;0.000000001,"on the circle: cycles that neither die out nor grow",IF(E8&gt;1,IF(D8&lt;-0.000000000001,"cycles that grow","diverges"),IF(D8&lt;-0.000000000001,"damped cycles","settles without cycling")))</f>
        <v>damped cycles</v>
      </c>
    </row>
    <row r="9" customFormat="false" ht="15" hidden="false" customHeight="false" outlineLevel="0" collapsed="false">
      <c r="A9" s="24" t="n">
        <v>0.75</v>
      </c>
      <c r="B9" s="15" t="n">
        <f aca="false">Carry_a-Hire_b*A9</f>
        <v>0.45</v>
      </c>
      <c r="C9" s="2" t="str">
        <f aca="false">IF(B9&gt;=1,"divergence persists: undercorrection",IF(B9&gt;0.000000000001,"steady convergence: calibrated steering",IF(B9&gt;=-0.000000000001,"one step: deadbeat",IF(B9&gt;-1+0.000000000001,"damped swings: aggressive but stable","growing swings: overcorrection"))))</f>
        <v>steady convergence: calibrated steering</v>
      </c>
      <c r="D9" s="13" t="n">
        <f aca="false">Carry_a^2-4*Hire_b*A9</f>
        <v>-0.99</v>
      </c>
      <c r="E9" s="15" t="n">
        <f aca="false">IF(D9&lt;-0.000000000001,SQRT(Hire_b*A9),MAX(ABS((Carry_a+SQRT(MAX(D9,0)))/2),ABS((Carry_a-SQRT(MAX(D9,0)))/2)))</f>
        <v>0.670820393249937</v>
      </c>
      <c r="F9" s="2" t="str">
        <f aca="false">IF(ABS(E9-1)&lt;0.000000001,"on the circle: cycles that neither die out nor grow",IF(E9&gt;1,IF(D9&lt;-0.000000000001,"cycles that grow","diverges"),IF(D9&lt;-0.000000000001,"damped cycles","settles without cycling")))</f>
        <v>damped cycles</v>
      </c>
    </row>
    <row r="10" customFormat="false" ht="15" hidden="false" customHeight="false" outlineLevel="0" collapsed="false">
      <c r="A10" s="24" t="n">
        <v>1</v>
      </c>
      <c r="B10" s="15" t="n">
        <f aca="false">Carry_a-Hire_b*A10</f>
        <v>0.3</v>
      </c>
      <c r="C10" s="2" t="str">
        <f aca="false">IF(B10&gt;=1,"divergence persists: undercorrection",IF(B10&gt;0.000000000001,"steady convergence: calibrated steering",IF(B10&gt;=-0.000000000001,"one step: deadbeat",IF(B10&gt;-1+0.000000000001,"damped swings: aggressive but stable","growing swings: overcorrection"))))</f>
        <v>steady convergence: calibrated steering</v>
      </c>
      <c r="D10" s="13" t="n">
        <f aca="false">Carry_a^2-4*Hire_b*A10</f>
        <v>-1.59</v>
      </c>
      <c r="E10" s="15" t="n">
        <f aca="false">IF(D10&lt;-0.000000000001,SQRT(Hire_b*A10),MAX(ABS((Carry_a+SQRT(MAX(D10,0)))/2),ABS((Carry_a-SQRT(MAX(D10,0)))/2)))</f>
        <v>0.774596669241483</v>
      </c>
      <c r="F10" s="2" t="str">
        <f aca="false">IF(ABS(E10-1)&lt;0.000000001,"on the circle: cycles that neither die out nor grow",IF(E10&gt;1,IF(D10&lt;-0.000000000001,"cycles that grow","diverges"),IF(D10&lt;-0.000000000001,"damped cycles","settles without cycling")))</f>
        <v>damped cycles</v>
      </c>
    </row>
    <row r="11" customFormat="false" ht="15" hidden="false" customHeight="false" outlineLevel="0" collapsed="false">
      <c r="A11" s="24" t="n">
        <v>1.25</v>
      </c>
      <c r="B11" s="15" t="n">
        <f aca="false">Carry_a-Hire_b*A11</f>
        <v>0.15</v>
      </c>
      <c r="C11" s="2" t="str">
        <f aca="false">IF(B11&gt;=1,"divergence persists: undercorrection",IF(B11&gt;0.000000000001,"steady convergence: calibrated steering",IF(B11&gt;=-0.000000000001,"one step: deadbeat",IF(B11&gt;-1+0.000000000001,"damped swings: aggressive but stable","growing swings: overcorrection"))))</f>
        <v>steady convergence: calibrated steering</v>
      </c>
      <c r="D11" s="13" t="n">
        <f aca="false">Carry_a^2-4*Hire_b*A11</f>
        <v>-2.19</v>
      </c>
      <c r="E11" s="15" t="n">
        <f aca="false">IF(D11&lt;-0.000000000001,SQRT(Hire_b*A11),MAX(ABS((Carry_a+SQRT(MAX(D11,0)))/2),ABS((Carry_a-SQRT(MAX(D11,0)))/2)))</f>
        <v>0.866025403784439</v>
      </c>
      <c r="F11" s="2" t="str">
        <f aca="false">IF(ABS(E11-1)&lt;0.000000001,"on the circle: cycles that neither die out nor grow",IF(E11&gt;1,IF(D11&lt;-0.000000000001,"cycles that grow","diverges"),IF(D11&lt;-0.000000000001,"damped cycles","settles without cycling")))</f>
        <v>damped cycles</v>
      </c>
    </row>
    <row r="12" customFormat="false" ht="15" hidden="false" customHeight="false" outlineLevel="0" collapsed="false">
      <c r="A12" s="24" t="n">
        <v>1.5</v>
      </c>
      <c r="B12" s="15" t="n">
        <f aca="false">Carry_a-Hire_b*A12</f>
        <v>0</v>
      </c>
      <c r="C12" s="2" t="str">
        <f aca="false">IF(B12&gt;=1,"divergence persists: undercorrection",IF(B12&gt;0.000000000001,"steady convergence: calibrated steering",IF(B12&gt;=-0.000000000001,"one step: deadbeat",IF(B12&gt;-1+0.000000000001,"damped swings: aggressive but stable","growing swings: overcorrection"))))</f>
        <v>one step: deadbeat</v>
      </c>
      <c r="D12" s="13" t="n">
        <f aca="false">Carry_a^2-4*Hire_b*A12</f>
        <v>-2.79</v>
      </c>
      <c r="E12" s="15" t="n">
        <f aca="false">IF(D12&lt;-0.000000000001,SQRT(Hire_b*A12),MAX(ABS((Carry_a+SQRT(MAX(D12,0)))/2),ABS((Carry_a-SQRT(MAX(D12,0)))/2)))</f>
        <v>0.948683298050514</v>
      </c>
      <c r="F12" s="2" t="str">
        <f aca="false">IF(ABS(E12-1)&lt;0.000000001,"on the circle: cycles that neither die out nor grow",IF(E12&gt;1,IF(D12&lt;-0.000000000001,"cycles that grow","diverges"),IF(D12&lt;-0.000000000001,"damped cycles","settles without cycling")))</f>
        <v>damped cycles</v>
      </c>
    </row>
    <row r="13" customFormat="false" ht="15" hidden="false" customHeight="false" outlineLevel="0" collapsed="false">
      <c r="A13" s="15" t="n">
        <f aca="false">1/Hire_b</f>
        <v>1.66666666666667</v>
      </c>
      <c r="B13" s="15" t="n">
        <f aca="false">Carry_a-Hire_b*A13</f>
        <v>-0.1</v>
      </c>
      <c r="C13" s="2" t="str">
        <f aca="false">IF(B13&gt;=1,"divergence persists: undercorrection",IF(B13&gt;0.000000000001,"steady convergence: calibrated steering",IF(B13&gt;=-0.000000000001,"one step: deadbeat",IF(B13&gt;-1+0.000000000001,"damped swings: aggressive but stable","growing swings: overcorrection"))))</f>
        <v>damped swings: aggressive but stable</v>
      </c>
      <c r="D13" s="13" t="n">
        <f aca="false">Carry_a^2-4*Hire_b*A13</f>
        <v>-3.19</v>
      </c>
      <c r="E13" s="15" t="n">
        <f aca="false">IF(D13&lt;-0.000000000001,SQRT(Hire_b*A13),MAX(ABS((Carry_a+SQRT(MAX(D13,0)))/2),ABS((Carry_a-SQRT(MAX(D13,0)))/2)))</f>
        <v>1</v>
      </c>
      <c r="F13" s="2" t="str">
        <f aca="false">IF(ABS(E13-1)&lt;0.000000001,"on the circle: cycles that neither die out nor grow",IF(E13&gt;1,IF(D13&lt;-0.000000000001,"cycles that grow","diverges"),IF(D13&lt;-0.000000000001,"damped cycles","settles without cycling")))</f>
        <v>on the circle: cycles that neither die out nor grow</v>
      </c>
    </row>
    <row r="14" customFormat="false" ht="15" hidden="false" customHeight="false" outlineLevel="0" collapsed="false">
      <c r="A14" s="24" t="n">
        <v>1.8</v>
      </c>
      <c r="B14" s="15" t="n">
        <f aca="false">Carry_a-Hire_b*A14</f>
        <v>-0.18</v>
      </c>
      <c r="C14" s="2" t="str">
        <f aca="false">IF(B14&gt;=1,"divergence persists: undercorrection",IF(B14&gt;0.000000000001,"steady convergence: calibrated steering",IF(B14&gt;=-0.000000000001,"one step: deadbeat",IF(B14&gt;-1+0.000000000001,"damped swings: aggressive but stable","growing swings: overcorrection"))))</f>
        <v>damped swings: aggressive but stable</v>
      </c>
      <c r="D14" s="13" t="n">
        <f aca="false">Carry_a^2-4*Hire_b*A14</f>
        <v>-3.51</v>
      </c>
      <c r="E14" s="15" t="n">
        <f aca="false">IF(D14&lt;-0.000000000001,SQRT(Hire_b*A14),MAX(ABS((Carry_a+SQRT(MAX(D14,0)))/2),ABS((Carry_a-SQRT(MAX(D14,0)))/2)))</f>
        <v>1.03923048454133</v>
      </c>
      <c r="F14" s="2" t="str">
        <f aca="false">IF(ABS(E14-1)&lt;0.000000001,"on the circle: cycles that neither die out nor grow",IF(E14&gt;1,IF(D14&lt;-0.000000000001,"cycles that grow","diverges"),IF(D14&lt;-0.000000000001,"damped cycles","settles without cycling")))</f>
        <v>cycles that grow</v>
      </c>
    </row>
    <row r="15" customFormat="false" ht="15" hidden="false" customHeight="false" outlineLevel="0" collapsed="false">
      <c r="A15" s="24" t="n">
        <v>2</v>
      </c>
      <c r="B15" s="15" t="n">
        <f aca="false">Carry_a-Hire_b*A15</f>
        <v>-0.3</v>
      </c>
      <c r="C15" s="2" t="str">
        <f aca="false">IF(B15&gt;=1,"divergence persists: undercorrection",IF(B15&gt;0.000000000001,"steady convergence: calibrated steering",IF(B15&gt;=-0.000000000001,"one step: deadbeat",IF(B15&gt;-1+0.000000000001,"damped swings: aggressive but stable","growing swings: overcorrection"))))</f>
        <v>damped swings: aggressive but stable</v>
      </c>
      <c r="D15" s="13" t="n">
        <f aca="false">Carry_a^2-4*Hire_b*A15</f>
        <v>-3.99</v>
      </c>
      <c r="E15" s="15" t="n">
        <f aca="false">IF(D15&lt;-0.000000000001,SQRT(Hire_b*A15),MAX(ABS((Carry_a+SQRT(MAX(D15,0)))/2),ABS((Carry_a-SQRT(MAX(D15,0)))/2)))</f>
        <v>1.09544511501033</v>
      </c>
      <c r="F15" s="2" t="str">
        <f aca="false">IF(ABS(E15-1)&lt;0.000000001,"on the circle: cycles that neither die out nor grow",IF(E15&gt;1,IF(D15&lt;-0.000000000001,"cycles that grow","diverges"),IF(D15&lt;-0.000000000001,"damped cycles","settles without cycling")))</f>
        <v>cycles that grow</v>
      </c>
    </row>
    <row r="16" customFormat="false" ht="15" hidden="false" customHeight="false" outlineLevel="0" collapsed="false">
      <c r="A16" s="24" t="n">
        <v>2.5</v>
      </c>
      <c r="B16" s="15" t="n">
        <f aca="false">Carry_a-Hire_b*A16</f>
        <v>-0.6</v>
      </c>
      <c r="C16" s="2" t="str">
        <f aca="false">IF(B16&gt;=1,"divergence persists: undercorrection",IF(B16&gt;0.000000000001,"steady convergence: calibrated steering",IF(B16&gt;=-0.000000000001,"one step: deadbeat",IF(B16&gt;-1+0.000000000001,"damped swings: aggressive but stable","growing swings: overcorrection"))))</f>
        <v>damped swings: aggressive but stable</v>
      </c>
      <c r="D16" s="13" t="n">
        <f aca="false">Carry_a^2-4*Hire_b*A16</f>
        <v>-5.19</v>
      </c>
      <c r="E16" s="15" t="n">
        <f aca="false">IF(D16&lt;-0.000000000001,SQRT(Hire_b*A16),MAX(ABS((Carry_a+SQRT(MAX(D16,0)))/2),ABS((Carry_a-SQRT(MAX(D16,0)))/2)))</f>
        <v>1.22474487139159</v>
      </c>
      <c r="F16" s="2" t="str">
        <f aca="false">IF(ABS(E16-1)&lt;0.000000001,"on the circle: cycles that neither die out nor grow",IF(E16&gt;1,IF(D16&lt;-0.000000000001,"cycles that grow","diverges"),IF(D16&lt;-0.000000000001,"damped cycles","settles without cycling")))</f>
        <v>cycles that grow</v>
      </c>
    </row>
    <row r="17" customFormat="false" ht="15" hidden="false" customHeight="false" outlineLevel="0" collapsed="false">
      <c r="A17" s="24" t="n">
        <v>3</v>
      </c>
      <c r="B17" s="15" t="n">
        <f aca="false">Carry_a-Hire_b*A17</f>
        <v>-0.9</v>
      </c>
      <c r="C17" s="2" t="str">
        <f aca="false">IF(B17&gt;=1,"divergence persists: undercorrection",IF(B17&gt;0.000000000001,"steady convergence: calibrated steering",IF(B17&gt;=-0.000000000001,"one step: deadbeat",IF(B17&gt;-1+0.000000000001,"damped swings: aggressive but stable","growing swings: overcorrection"))))</f>
        <v>damped swings: aggressive but stable</v>
      </c>
      <c r="D17" s="13" t="n">
        <f aca="false">Carry_a^2-4*Hire_b*A17</f>
        <v>-6.39</v>
      </c>
      <c r="E17" s="15" t="n">
        <f aca="false">IF(D17&lt;-0.000000000001,SQRT(Hire_b*A17),MAX(ABS((Carry_a+SQRT(MAX(D17,0)))/2),ABS((Carry_a-SQRT(MAX(D17,0)))/2)))</f>
        <v>1.34164078649987</v>
      </c>
      <c r="F17" s="2" t="str">
        <f aca="false">IF(ABS(E17-1)&lt;0.000000001,"on the circle: cycles that neither die out nor grow",IF(E17&gt;1,IF(D17&lt;-0.000000000001,"cycles that grow","diverges"),IF(D17&lt;-0.000000000001,"damped cycles","settles without cycling")))</f>
        <v>cycles that grow</v>
      </c>
    </row>
    <row r="18" customFormat="false" ht="15" hidden="false" customHeight="false" outlineLevel="0" collapsed="false">
      <c r="A18" s="15" t="n">
        <f aca="false">(Carry_a+1)/Hire_b</f>
        <v>3.16666666666667</v>
      </c>
      <c r="B18" s="15" t="n">
        <f aca="false">Carry_a-Hire_b*A18</f>
        <v>-1</v>
      </c>
      <c r="C18" s="2" t="str">
        <f aca="false">IF(B18&gt;=1,"divergence persists: undercorrection",IF(B18&gt;0.000000000001,"steady convergence: calibrated steering",IF(B18&gt;=-0.000000000001,"one step: deadbeat",IF(B18&gt;-1+0.000000000001,"damped swings: aggressive but stable","growing swings: overcorrection"))))</f>
        <v>growing swings: overcorrection</v>
      </c>
      <c r="D18" s="13" t="n">
        <f aca="false">Carry_a^2-4*Hire_b*A18</f>
        <v>-6.79</v>
      </c>
      <c r="E18" s="15" t="n">
        <f aca="false">IF(D18&lt;-0.000000000001,SQRT(Hire_b*A18),MAX(ABS((Carry_a+SQRT(MAX(D18,0)))/2),ABS((Carry_a-SQRT(MAX(D18,0)))/2)))</f>
        <v>1.37840487520902</v>
      </c>
      <c r="F18" s="2" t="str">
        <f aca="false">IF(ABS(E18-1)&lt;0.000000001,"on the circle: cycles that neither die out nor grow",IF(E18&gt;1,IF(D18&lt;-0.000000000001,"cycles that grow","diverges"),IF(D18&lt;-0.000000000001,"damped cycles","settles without cycling")))</f>
        <v>cycles that grow</v>
      </c>
    </row>
    <row r="19" customFormat="false" ht="15" hidden="false" customHeight="false" outlineLevel="0" collapsed="false">
      <c r="A19" s="24" t="n">
        <v>3.5</v>
      </c>
      <c r="B19" s="15" t="n">
        <f aca="false">Carry_a-Hire_b*A19</f>
        <v>-1.2</v>
      </c>
      <c r="C19" s="2" t="str">
        <f aca="false">IF(B19&gt;=1,"divergence persists: undercorrection",IF(B19&gt;0.000000000001,"steady convergence: calibrated steering",IF(B19&gt;=-0.000000000001,"one step: deadbeat",IF(B19&gt;-1+0.000000000001,"damped swings: aggressive but stable","growing swings: overcorrection"))))</f>
        <v>growing swings: overcorrection</v>
      </c>
      <c r="D19" s="13" t="n">
        <f aca="false">Carry_a^2-4*Hire_b*A19</f>
        <v>-7.59</v>
      </c>
      <c r="E19" s="15" t="n">
        <f aca="false">IF(D19&lt;-0.000000000001,SQRT(Hire_b*A19),MAX(ABS((Carry_a+SQRT(MAX(D19,0)))/2),ABS((Carry_a-SQRT(MAX(D19,0)))/2)))</f>
        <v>1.44913767461894</v>
      </c>
      <c r="F19" s="2" t="str">
        <f aca="false">IF(ABS(E19-1)&lt;0.000000001,"on the circle: cycles that neither die out nor grow",IF(E19&gt;1,IF(D19&lt;-0.000000000001,"cycles that grow","diverges"),IF(D19&lt;-0.000000000001,"damped cycles","settles without cycling")))</f>
        <v>cycles that grow</v>
      </c>
    </row>
    <row r="21" customFormat="false" ht="15" hidden="false" customHeight="false" outlineLevel="0" collapsed="false">
      <c r="A21" s="10" t="s">
        <v>342</v>
      </c>
    </row>
    <row r="23" customFormat="false" ht="15" hidden="false" customHeight="false" outlineLevel="0" collapsed="false">
      <c r="A23" s="8" t="s">
        <v>343</v>
      </c>
      <c r="B23" s="8" t="s">
        <v>20</v>
      </c>
      <c r="C23" s="8" t="s">
        <v>84</v>
      </c>
    </row>
    <row r="24" customFormat="false" ht="15" hidden="false" customHeight="false" outlineLevel="0" collapsed="false">
      <c r="A24" s="2" t="s">
        <v>344</v>
      </c>
      <c r="B24" s="12" t="n">
        <f aca="false">1-Hire_b*Eta_retune</f>
        <v>-1.1</v>
      </c>
      <c r="C24" s="10" t="s">
        <v>345</v>
      </c>
    </row>
    <row r="25" customFormat="false" ht="15" hidden="false" customHeight="false" outlineLevel="0" collapsed="false">
      <c r="A25" s="2" t="s">
        <v>346</v>
      </c>
      <c r="B25" s="12" t="n">
        <f aca="false">1/Hire_b</f>
        <v>1.66666666666667</v>
      </c>
      <c r="C25" s="10" t="s">
        <v>347</v>
      </c>
    </row>
    <row r="26" customFormat="false" ht="15" hidden="false" customHeight="false" outlineLevel="0" collapsed="false">
      <c r="A26" s="2" t="s">
        <v>348</v>
      </c>
      <c r="B26" s="12" t="n">
        <f aca="false">2/Hire_b</f>
        <v>3.33333333333333</v>
      </c>
      <c r="C26" s="10" t="s">
        <v>349</v>
      </c>
    </row>
    <row r="28" customFormat="false" ht="15" hidden="false" customHeight="false" outlineLevel="0" collapsed="false">
      <c r="A28" s="8" t="s">
        <v>350</v>
      </c>
      <c r="B28" s="8" t="s">
        <v>351</v>
      </c>
      <c r="C28" s="8" t="s">
        <v>352</v>
      </c>
      <c r="D28" s="8" t="s">
        <v>353</v>
      </c>
      <c r="E28" s="8" t="s">
        <v>354</v>
      </c>
    </row>
    <row r="29" customFormat="false" ht="15" hidden="false" customHeight="false" outlineLevel="0" collapsed="false">
      <c r="A29" s="18" t="n">
        <v>0</v>
      </c>
      <c r="B29" s="12" t="n">
        <f aca="false">Gain_start</f>
        <v>0.5</v>
      </c>
      <c r="C29" s="12" t="n">
        <f aca="false">Carry_a-Hire_b*B29</f>
        <v>0.6</v>
      </c>
      <c r="D29" s="18" t="n">
        <f aca="false">IF(AND(B29&gt;Gains!$B$4,B29&lt;Gains!$B$6),1,0)</f>
        <v>1</v>
      </c>
      <c r="E29" s="18" t="n">
        <f aca="false">IF(D29=0,A29,99)</f>
        <v>99</v>
      </c>
    </row>
    <row r="30" customFormat="false" ht="15" hidden="false" customHeight="false" outlineLevel="0" collapsed="false">
      <c r="A30" s="18" t="n">
        <v>1</v>
      </c>
      <c r="B30" s="12" t="n">
        <f aca="false">B29+Eta_retune*C29</f>
        <v>2.6</v>
      </c>
      <c r="C30" s="12" t="n">
        <f aca="false">Carry_a-Hire_b*B30</f>
        <v>-0.66</v>
      </c>
      <c r="D30" s="18" t="n">
        <f aca="false">IF(AND(B30&gt;Gains!$B$4,B30&lt;Gains!$B$6),1,0)</f>
        <v>1</v>
      </c>
      <c r="E30" s="18" t="n">
        <f aca="false">IF(D30=0,A30,99)</f>
        <v>99</v>
      </c>
    </row>
    <row r="31" customFormat="false" ht="15" hidden="false" customHeight="false" outlineLevel="0" collapsed="false">
      <c r="A31" s="18" t="n">
        <v>2</v>
      </c>
      <c r="B31" s="12" t="n">
        <f aca="false">B30+Eta_retune*C30</f>
        <v>0.29</v>
      </c>
      <c r="C31" s="12" t="n">
        <f aca="false">Carry_a-Hire_b*B31</f>
        <v>0.726</v>
      </c>
      <c r="D31" s="18" t="n">
        <f aca="false">IF(AND(B31&gt;Gains!$B$4,B31&lt;Gains!$B$6),1,0)</f>
        <v>1</v>
      </c>
      <c r="E31" s="18" t="n">
        <f aca="false">IF(D31=0,A31,99)</f>
        <v>99</v>
      </c>
    </row>
    <row r="32" customFormat="false" ht="15" hidden="false" customHeight="false" outlineLevel="0" collapsed="false">
      <c r="A32" s="18" t="n">
        <v>3</v>
      </c>
      <c r="B32" s="12" t="n">
        <f aca="false">B31+Eta_retune*C31</f>
        <v>2.831</v>
      </c>
      <c r="C32" s="12" t="n">
        <f aca="false">Carry_a-Hire_b*B32</f>
        <v>-0.798600000000001</v>
      </c>
      <c r="D32" s="18" t="n">
        <f aca="false">IF(AND(B32&gt;Gains!$B$4,B32&lt;Gains!$B$6),1,0)</f>
        <v>1</v>
      </c>
      <c r="E32" s="18" t="n">
        <f aca="false">IF(D32=0,A32,99)</f>
        <v>99</v>
      </c>
    </row>
    <row r="33" customFormat="false" ht="15" hidden="false" customHeight="false" outlineLevel="0" collapsed="false">
      <c r="A33" s="18" t="n">
        <v>4</v>
      </c>
      <c r="B33" s="12" t="n">
        <f aca="false">B32+Eta_retune*C32</f>
        <v>0.0358999999999989</v>
      </c>
      <c r="C33" s="12" t="n">
        <f aca="false">Carry_a-Hire_b*B33</f>
        <v>0.878460000000001</v>
      </c>
      <c r="D33" s="18" t="n">
        <f aca="false">IF(AND(B33&gt;Gains!$B$4,B33&lt;Gains!$B$6),1,0)</f>
        <v>1</v>
      </c>
      <c r="E33" s="18" t="n">
        <f aca="false">IF(D33=0,A33,99)</f>
        <v>99</v>
      </c>
    </row>
    <row r="34" customFormat="false" ht="15" hidden="false" customHeight="false" outlineLevel="0" collapsed="false">
      <c r="A34" s="18" t="n">
        <v>5</v>
      </c>
      <c r="B34" s="12" t="n">
        <f aca="false">B33+Eta_retune*C33</f>
        <v>3.11051</v>
      </c>
      <c r="C34" s="12" t="n">
        <f aca="false">Carry_a-Hire_b*B34</f>
        <v>-0.966306000000001</v>
      </c>
      <c r="D34" s="18" t="n">
        <f aca="false">IF(AND(B34&gt;Gains!$B$4,B34&lt;Gains!$B$6),1,0)</f>
        <v>1</v>
      </c>
      <c r="E34" s="18" t="n">
        <f aca="false">IF(D34=0,A34,99)</f>
        <v>99</v>
      </c>
    </row>
    <row r="35" customFormat="false" ht="15" hidden="false" customHeight="false" outlineLevel="0" collapsed="false">
      <c r="A35" s="18" t="n">
        <v>6</v>
      </c>
      <c r="B35" s="12" t="n">
        <f aca="false">B34+Eta_retune*C34</f>
        <v>-0.271561000000001</v>
      </c>
      <c r="C35" s="12" t="n">
        <f aca="false">Carry_a-Hire_b*B35</f>
        <v>1.0629366</v>
      </c>
      <c r="D35" s="18" t="n">
        <f aca="false">IF(AND(B35&gt;Gains!$B$4,B35&lt;Gains!$B$6),1,0)</f>
        <v>0</v>
      </c>
      <c r="E35" s="18" t="n">
        <f aca="false">IF(D35=0,A35,99)</f>
        <v>6</v>
      </c>
    </row>
    <row r="37" customFormat="false" ht="15" hidden="false" customHeight="false" outlineLevel="0" collapsed="false">
      <c r="A37" s="4" t="s">
        <v>355</v>
      </c>
      <c r="B37" s="18" t="n">
        <f aca="false">MIN(E29:E35)</f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4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4" min="2" style="0" width="13"/>
    <col collapsed="false" customWidth="true" hidden="false" outlineLevel="0" max="6" min="5" style="0" width="6"/>
    <col collapsed="false" customWidth="true" hidden="false" outlineLevel="0" max="7" min="7" style="0" width="3"/>
    <col collapsed="false" customWidth="true" hidden="false" outlineLevel="0" max="8" min="8" style="0" width="44"/>
    <col collapsed="false" customWidth="true" hidden="false" outlineLevel="0" max="9" min="9" style="0" width="13"/>
    <col collapsed="false" customWidth="true" hidden="false" outlineLevel="0" max="10" min="10" style="0" width="15"/>
    <col collapsed="false" customWidth="true" hidden="false" outlineLevel="0" max="11" min="11" style="0" width="18"/>
    <col collapsed="false" customWidth="true" hidden="false" outlineLevel="0" max="12" min="12" style="0" width="16"/>
    <col collapsed="false" customWidth="true" hidden="false" outlineLevel="0" max="13" min="13" style="0" width="14"/>
    <col collapsed="false" customWidth="true" hidden="false" outlineLevel="0" max="14" min="14" style="0" width="10"/>
    <col collapsed="false" customWidth="true" hidden="false" outlineLevel="0" max="15" min="15" style="0" width="3"/>
    <col collapsed="false" customWidth="true" hidden="false" outlineLevel="0" max="16" min="16" style="0" width="6"/>
    <col collapsed="false" customWidth="true" hidden="false" outlineLevel="0" max="22" min="17" style="0" width="12"/>
    <col collapsed="false" customWidth="true" hidden="false" outlineLevel="0" max="23" min="23" style="0" width="3"/>
    <col collapsed="false" customWidth="true" hidden="false" outlineLevel="0" max="24" min="24" style="0" width="44"/>
    <col collapsed="false" customWidth="true" hidden="false" outlineLevel="0" max="25" min="25" style="0" width="14"/>
    <col collapsed="false" customWidth="true" hidden="false" outlineLevel="0" max="27" min="26" style="0" width="12"/>
    <col collapsed="false" customWidth="true" hidden="false" outlineLevel="0" max="29" min="28" style="0" width="14"/>
    <col collapsed="false" customWidth="true" hidden="false" outlineLevel="0" max="31" min="30" style="0" width="10"/>
  </cols>
  <sheetData>
    <row r="1" customFormat="false" ht="15" hidden="false" customHeight="false" outlineLevel="0" collapsed="false">
      <c r="A1" s="1" t="s">
        <v>356</v>
      </c>
    </row>
    <row r="2" customFormat="false" ht="15" hidden="false" customHeight="false" outlineLevel="0" collapsed="false">
      <c r="A2" s="10" t="s">
        <v>357</v>
      </c>
    </row>
    <row r="3" customFormat="false" ht="79.85" hidden="false" customHeight="false" outlineLevel="0" collapsed="false">
      <c r="A3" s="8" t="s">
        <v>358</v>
      </c>
      <c r="B3" s="8" t="s">
        <v>359</v>
      </c>
      <c r="C3" s="8" t="s">
        <v>360</v>
      </c>
      <c r="D3" s="8"/>
      <c r="E3" s="8" t="s">
        <v>361</v>
      </c>
      <c r="F3" s="8"/>
      <c r="H3" s="8" t="s">
        <v>362</v>
      </c>
      <c r="I3" s="8" t="s">
        <v>20</v>
      </c>
      <c r="J3" s="8" t="s">
        <v>84</v>
      </c>
      <c r="X3" s="8" t="s">
        <v>363</v>
      </c>
      <c r="Y3" s="8" t="s">
        <v>359</v>
      </c>
      <c r="Z3" s="8" t="s">
        <v>360</v>
      </c>
      <c r="AA3" s="8" t="s">
        <v>364</v>
      </c>
    </row>
    <row r="4" customFormat="false" ht="15" hidden="false" customHeight="false" outlineLevel="0" collapsed="false">
      <c r="A4" s="2" t="s">
        <v>365</v>
      </c>
      <c r="B4" s="12" t="n">
        <f aca="false">Carry_a</f>
        <v>0.9</v>
      </c>
      <c r="C4" s="12" t="n">
        <f aca="false">-Hire_b*Gain_deadbeat</f>
        <v>-0.9</v>
      </c>
      <c r="E4" s="14" t="n">
        <v>1</v>
      </c>
      <c r="F4" s="14" t="n">
        <v>0</v>
      </c>
      <c r="H4" s="2" t="s">
        <v>366</v>
      </c>
      <c r="I4" s="13" t="n">
        <f aca="false">B409</f>
        <v>13.5714285714286</v>
      </c>
      <c r="J4" s="10"/>
      <c r="X4" s="2" t="s">
        <v>367</v>
      </c>
      <c r="Y4" s="13" t="n">
        <f aca="false">Q409</f>
        <v>10.2972987232247</v>
      </c>
      <c r="Z4" s="13" t="n">
        <f aca="false">R409</f>
        <v>4.60691839453414</v>
      </c>
      <c r="AA4" s="13" t="n">
        <f aca="false">S409</f>
        <v>0.617283950617284</v>
      </c>
    </row>
    <row r="5" customFormat="false" ht="15" hidden="false" customHeight="false" outlineLevel="0" collapsed="false">
      <c r="A5" s="2" t="s">
        <v>368</v>
      </c>
      <c r="B5" s="9" t="n">
        <v>1</v>
      </c>
      <c r="C5" s="9" t="n">
        <v>0</v>
      </c>
      <c r="E5" s="14" t="n">
        <v>0</v>
      </c>
      <c r="F5" s="14" t="n">
        <v>1</v>
      </c>
      <c r="H5" s="2" t="s">
        <v>369</v>
      </c>
      <c r="I5" s="13" t="n">
        <f aca="false">C409</f>
        <v>-5.78571428571428</v>
      </c>
      <c r="J5" s="10"/>
      <c r="X5" s="2" t="s">
        <v>370</v>
      </c>
      <c r="Y5" s="13" t="n">
        <f aca="false">R409</f>
        <v>4.60691839453414</v>
      </c>
      <c r="Z5" s="13" t="n">
        <f aca="false">T409</f>
        <v>5.70253970138229</v>
      </c>
      <c r="AA5" s="13" t="n">
        <f aca="false">U409</f>
        <v>0.771604938271605</v>
      </c>
    </row>
    <row r="6" customFormat="false" ht="15" hidden="false" customHeight="false" outlineLevel="0" collapsed="false">
      <c r="H6" s="2" t="s">
        <v>371</v>
      </c>
      <c r="I6" s="13" t="n">
        <f aca="false">D409</f>
        <v>11.9928571428571</v>
      </c>
      <c r="J6" s="10"/>
      <c r="X6" s="2" t="s">
        <v>372</v>
      </c>
      <c r="Y6" s="13" t="n">
        <f aca="false">S409</f>
        <v>0.617283950617284</v>
      </c>
      <c r="Z6" s="13" t="n">
        <f aca="false">U409</f>
        <v>0.771604938271605</v>
      </c>
      <c r="AA6" s="13" t="n">
        <f aca="false">V409</f>
        <v>2.77777777777778</v>
      </c>
    </row>
    <row r="7" customFormat="false" ht="15" hidden="false" customHeight="false" outlineLevel="0" collapsed="false">
      <c r="H7" s="2" t="s">
        <v>373</v>
      </c>
      <c r="I7" s="21" t="n">
        <f aca="false">MAX(ABS($B$4*B409*$B$4+$B$4*C409*$B$5+$B$5*C409*$B$4+$B$5*D409*$B$5-B409+$E$4),ABS($B$4*B409*$C$4+$B$4*C409*$C$5+$B$5*C409*$C$4+$B$5*D409*$C$5-C409+$F$4),ABS($C$4*B409*$C$4+$C$4*C409*$C$5+$C$5*C409*$C$4+$C$5*D409*$C$5-D409+$F$5))</f>
        <v>0</v>
      </c>
      <c r="J7" s="10" t="s">
        <v>374</v>
      </c>
    </row>
    <row r="8" customFormat="false" ht="15" hidden="false" customHeight="false" outlineLevel="0" collapsed="false">
      <c r="A8" s="8" t="s">
        <v>375</v>
      </c>
      <c r="B8" s="8" t="s">
        <v>366</v>
      </c>
      <c r="C8" s="8" t="s">
        <v>369</v>
      </c>
      <c r="D8" s="8" t="s">
        <v>371</v>
      </c>
      <c r="H8" s="2" t="s">
        <v>376</v>
      </c>
      <c r="I8" s="18" t="n">
        <f aca="false">IF(AND(I4&gt;0,I4*I6-I5^2&gt;0),1,0)</f>
        <v>1</v>
      </c>
      <c r="J8" s="10" t="s">
        <v>377</v>
      </c>
      <c r="P8" s="8" t="s">
        <v>375</v>
      </c>
      <c r="Q8" s="8" t="s">
        <v>366</v>
      </c>
      <c r="R8" s="8" t="s">
        <v>369</v>
      </c>
      <c r="S8" s="8" t="s">
        <v>378</v>
      </c>
      <c r="T8" s="8" t="s">
        <v>371</v>
      </c>
      <c r="U8" s="8" t="s">
        <v>379</v>
      </c>
      <c r="V8" s="8" t="s">
        <v>380</v>
      </c>
      <c r="X8" s="2" t="s">
        <v>381</v>
      </c>
      <c r="Y8" s="21" t="n">
        <f aca="false">MAX(ABS(Declarations!$B$20*Y4*Declarations!$B$20+Declarations!$B$20*Z4*Declarations!$B$21+Declarations!$B$20*AA4*Declarations!$B$22+Declarations!$B$21*Y5*Declarations!$B$20+Declarations!$B$21*Z5*Declarations!$B$21+Declarations!$B$21*AA5*Declarations!$B$22+Declarations!$B$22*Y6*Declarations!$B$20+Declarations!$B$22*Z6*Declarations!$B$21+Declarations!$B$22*AA6*Declarations!$B$22-Y4+1),ABS(Declarations!$B$20*Y4*Declarations!$C$20+Declarations!$B$20*Z4*Declarations!$C$21+Declarations!$B$20*AA4*Declarations!$C$22+Declarations!$B$21*Y5*Declarations!$C$20+Declarations!$B$21*Z5*Declarations!$C$21+Declarations!$B$21*AA5*Declarations!$C$22+Declarations!$B$22*Y6*Declarations!$C$20+Declarations!$B$22*Z6*Declarations!$C$21+Declarations!$B$22*AA6*Declarations!$C$22-Z4+0),ABS(Declarations!$B$20*Y4*Declarations!$D$20+Declarations!$B$20*Z4*Declarations!$D$21+Declarations!$B$20*AA4*Declarations!$D$22+Declarations!$B$21*Y5*Declarations!$D$20+Declarations!$B$21*Z5*Declarations!$D$21+Declarations!$B$21*AA5*Declarations!$D$22+Declarations!$B$22*Y6*Declarations!$D$20+Declarations!$B$22*Z6*Declarations!$D$21+Declarations!$B$22*AA6*Declarations!$D$22-AA4+0),ABS(Declarations!$C$20*Y4*Declarations!$B$20+Declarations!$C$20*Z4*Declarations!$B$21+Declarations!$C$20*AA4*Declarations!$B$22+Declarations!$C$21*Y5*Declarations!$B$20+Declarations!$C$21*Z5*Declarations!$B$21+Declarations!$C$21*AA5*Declarations!$B$22+Declarations!$C$22*Y6*Declarations!$B$20+Declarations!$C$22*Z6*Declarations!$B$21+Declarations!$C$22*AA6*Declarations!$B$22-Y5+0),ABS(Declarations!$C$20*Y4*Declarations!$C$20+Declarations!$C$20*Z4*Declarations!$C$21+Declarations!$C$20*AA4*Declarations!$C$22+Declarations!$C$21*Y5*Declarations!$C$20+Declarations!$C$21*Z5*Declarations!$C$21+Declarations!$C$21*AA5*Declarations!$C$22+Declarations!$C$22*Y6*Declarations!$C$20+Declarations!$C$22*Z6*Declarations!$C$21+Declarations!$C$22*AA6*Declarations!$C$22-Z5+1),ABS(Declarations!$C$20*Y4*Declarations!$D$20+Declarations!$C$20*Z4*Declarations!$D$21+Declarations!$C$20*AA4*Declarations!$D$22+Declarations!$C$21*Y5*Declarations!$D$20+Declarations!$C$21*Z5*Declarations!$D$21+Declarations!$C$21*AA5*Declarations!$D$22+Declarations!$C$22*Y6*Declarations!$D$20+Declarations!$C$22*Z6*Declarations!$D$21+Declarations!$C$22*AA6*Declarations!$D$22-AA5+0),ABS(Declarations!$D$20*Y4*Declarations!$B$20+Declarations!$D$20*Z4*Declarations!$B$21+Declarations!$D$20*AA4*Declarations!$B$22+Declarations!$D$21*Y5*Declarations!$B$20+Declarations!$D$21*Z5*Declarations!$B$21+Declarations!$D$21*AA5*Declarations!$B$22+Declarations!$D$22*Y6*Declarations!$B$20+Declarations!$D$22*Z6*Declarations!$B$21+Declarations!$D$22*AA6*Declarations!$B$22-Y6+0),ABS(Declarations!$D$20*Y4*Declarations!$C$20+Declarations!$D$20*Z4*Declarations!$C$21+Declarations!$D$20*AA4*Declarations!$C$22+Declarations!$D$21*Y5*Declarations!$C$20+Declarations!$D$21*Z5*Declarations!$C$21+Declarations!$D$21*AA5*Declarations!$C$22+Declarations!$D$22*Y6*Declarations!$C$20+Declarations!$D$22*Z6*Declarations!$C$21+Declarations!$D$22*AA6*Declarations!$C$22-Z6+0),ABS(Declarations!$D$20*Y4*Declarations!$D$20+Declarations!$D$20*Z4*Declarations!$D$21+Declarations!$D$20*AA4*Declarations!$D$22+Declarations!$D$21*Y5*Declarations!$D$20+Declarations!$D$21*Z5*Declarations!$D$21+Declarations!$D$21*AA5*Declarations!$D$22+Declarations!$D$22*Y6*Declarations!$D$20+Declarations!$D$22*Z6*Declarations!$D$21+Declarations!$D$22*AA6*Declarations!$D$22-AA6+1))</f>
        <v>0</v>
      </c>
    </row>
    <row r="9" customFormat="false" ht="15" hidden="false" customHeight="false" outlineLevel="0" collapsed="false">
      <c r="A9" s="18" t="n">
        <v>0</v>
      </c>
      <c r="B9" s="20" t="n">
        <f aca="false">$E$4</f>
        <v>1</v>
      </c>
      <c r="C9" s="20" t="n">
        <f aca="false">$F$4</f>
        <v>0</v>
      </c>
      <c r="D9" s="20" t="n">
        <f aca="false">$F$5</f>
        <v>1</v>
      </c>
      <c r="P9" s="18" t="n">
        <v>0</v>
      </c>
      <c r="Q9" s="20" t="n">
        <f aca="false">1</f>
        <v>1</v>
      </c>
      <c r="R9" s="20" t="n">
        <f aca="false">0</f>
        <v>0</v>
      </c>
      <c r="S9" s="20" t="n">
        <f aca="false">0</f>
        <v>0</v>
      </c>
      <c r="T9" s="20" t="n">
        <f aca="false">1</f>
        <v>1</v>
      </c>
      <c r="U9" s="20" t="n">
        <f aca="false">0</f>
        <v>0</v>
      </c>
      <c r="V9" s="20" t="n">
        <f aca="false">1</f>
        <v>1</v>
      </c>
      <c r="X9" s="2" t="s">
        <v>382</v>
      </c>
      <c r="Y9" s="18" t="n">
        <f aca="false">IF(AND(Y4&gt;0,Y4*Z5-Z4*Y5&gt;0,MDETERM(Y4:AA6)&gt;0),1,0)</f>
        <v>1</v>
      </c>
    </row>
    <row r="10" customFormat="false" ht="23.85" hidden="false" customHeight="false" outlineLevel="0" collapsed="false">
      <c r="A10" s="18" t="n">
        <v>1</v>
      </c>
      <c r="B10" s="20" t="n">
        <f aca="false">$B$4*B9*$B$4+$B$4*C9*$B$5+$B$5*C9*$B$4+$B$5*D9*$B$5+$E$4</f>
        <v>2.81</v>
      </c>
      <c r="C10" s="20" t="n">
        <f aca="false">$B$4*B9*$C$4+$B$4*C9*$C$5+$B$5*C9*$C$4+$B$5*D9*$C$5+$F$4</f>
        <v>-0.81</v>
      </c>
      <c r="D10" s="20" t="n">
        <f aca="false">$C$4*B9*$C$4+$C$4*C9*$C$5+$C$5*C9*$C$4+$C$5*D9*$C$5+$F$5</f>
        <v>1.81</v>
      </c>
      <c r="H10" s="8" t="s">
        <v>155</v>
      </c>
      <c r="I10" s="8" t="s">
        <v>383</v>
      </c>
      <c r="J10" s="8" t="s">
        <v>384</v>
      </c>
      <c r="K10" s="8" t="s">
        <v>385</v>
      </c>
      <c r="L10" s="8" t="s">
        <v>386</v>
      </c>
      <c r="M10" s="8" t="s">
        <v>387</v>
      </c>
      <c r="N10" s="8" t="s">
        <v>388</v>
      </c>
      <c r="P10" s="18" t="n">
        <v>1</v>
      </c>
      <c r="Q10" s="20" t="n">
        <f aca="false">Declarations!$B$20*Q9*Declarations!$B$20+Declarations!$B$20*R9*Declarations!$B$21+Declarations!$B$20*S9*Declarations!$B$22+Declarations!$B$21*R9*Declarations!$B$20+Declarations!$B$21*T9*Declarations!$B$21+Declarations!$B$21*U9*Declarations!$B$22+Declarations!$B$22*S9*Declarations!$B$20+Declarations!$B$22*U9*Declarations!$B$21+Declarations!$B$22*V9*Declarations!$B$22+1</f>
        <v>1.8225</v>
      </c>
      <c r="R10" s="20" t="n">
        <f aca="false">Declarations!$B$20*Q9*Declarations!$C$20+Declarations!$B$20*R9*Declarations!$C$21+Declarations!$B$20*S9*Declarations!$C$22+Declarations!$B$21*R9*Declarations!$C$20+Declarations!$B$21*T9*Declarations!$C$21+Declarations!$B$21*U9*Declarations!$C$22+Declarations!$B$22*S9*Declarations!$C$20+Declarations!$B$22*U9*Declarations!$C$21+Declarations!$B$22*V9*Declarations!$C$22+0</f>
        <v>0.135</v>
      </c>
      <c r="S10" s="20" t="n">
        <f aca="false">Declarations!$B$20*Q9*Declarations!$D$20+Declarations!$B$20*R9*Declarations!$D$21+Declarations!$B$20*S9*Declarations!$D$22+Declarations!$B$21*R9*Declarations!$D$20+Declarations!$B$21*T9*Declarations!$D$21+Declarations!$B$21*U9*Declarations!$D$22+Declarations!$B$22*S9*Declarations!$D$20+Declarations!$B$22*U9*Declarations!$D$21+Declarations!$B$22*V9*Declarations!$D$22+0</f>
        <v>0.04</v>
      </c>
      <c r="T10" s="20" t="n">
        <f aca="false">Declarations!$C$20*Q9*Declarations!$C$20+Declarations!$C$20*R9*Declarations!$C$21+Declarations!$C$20*S9*Declarations!$C$22+Declarations!$C$21*R9*Declarations!$C$20+Declarations!$C$21*T9*Declarations!$C$21+Declarations!$C$21*U9*Declarations!$C$22+Declarations!$C$22*S9*Declarations!$C$20+Declarations!$C$22*U9*Declarations!$C$21+Declarations!$C$22*V9*Declarations!$C$22+1</f>
        <v>1.735</v>
      </c>
      <c r="U10" s="20" t="n">
        <f aca="false">Declarations!$C$20*Q9*Declarations!$D$20+Declarations!$C$20*R9*Declarations!$D$21+Declarations!$C$20*S9*Declarations!$D$22+Declarations!$C$21*R9*Declarations!$D$20+Declarations!$C$21*T9*Declarations!$D$21+Declarations!$C$21*U9*Declarations!$D$22+Declarations!$C$22*S9*Declarations!$D$20+Declarations!$C$22*U9*Declarations!$D$21+Declarations!$C$22*V9*Declarations!$D$22+0</f>
        <v>0.08</v>
      </c>
      <c r="V10" s="20" t="n">
        <f aca="false">Declarations!$D$20*Q9*Declarations!$D$20+Declarations!$D$20*R9*Declarations!$D$21+Declarations!$D$20*S9*Declarations!$D$22+Declarations!$D$21*R9*Declarations!$D$20+Declarations!$D$21*T9*Declarations!$D$21+Declarations!$D$21*U9*Declarations!$D$22+Declarations!$D$22*S9*Declarations!$D$20+Declarations!$D$22*U9*Declarations!$D$21+Declarations!$D$22*V9*Declarations!$D$22+1</f>
        <v>1.64</v>
      </c>
    </row>
    <row r="11" customFormat="false" ht="23.85" hidden="false" customHeight="false" outlineLevel="0" collapsed="false">
      <c r="A11" s="18" t="n">
        <v>2</v>
      </c>
      <c r="B11" s="20" t="n">
        <f aca="false">$B$4*B10*$B$4+$B$4*C10*$B$5+$B$5*C10*$B$4+$B$5*D10*$B$5+$E$4</f>
        <v>3.6281</v>
      </c>
      <c r="C11" s="20" t="n">
        <f aca="false">$B$4*B10*$C$4+$B$4*C10*$C$5+$B$5*C10*$C$4+$B$5*D10*$C$5+$F$4</f>
        <v>-1.5471</v>
      </c>
      <c r="D11" s="20" t="n">
        <f aca="false">$C$4*B10*$C$4+$C$4*C10*$C$5+$C$5*C10*$C$4+$C$5*D10*$C$5+$F$5</f>
        <v>3.2761</v>
      </c>
      <c r="H11" s="18" t="n">
        <v>0</v>
      </c>
      <c r="I11" s="17" t="n">
        <f aca="false">Gap_d0</f>
        <v>-100</v>
      </c>
      <c r="J11" s="17" t="n">
        <v>0</v>
      </c>
      <c r="K11" s="18" t="n">
        <f aca="false">I11^2+J11^2</f>
        <v>10000</v>
      </c>
      <c r="L11" s="18" t="n">
        <f aca="false">$I$4*I11^2+2*$I$5*I11*J11+$I$6*J11^2</f>
        <v>135714.285714286</v>
      </c>
      <c r="P11" s="18" t="n">
        <v>2</v>
      </c>
      <c r="Q11" s="20" t="n">
        <f aca="false">Declarations!$B$20*Q10*Declarations!$B$20+Declarations!$B$20*R10*Declarations!$B$21+Declarations!$B$20*S10*Declarations!$B$22+Declarations!$B$21*R10*Declarations!$B$20+Declarations!$B$21*T10*Declarations!$B$21+Declarations!$B$21*U10*Declarations!$B$22+Declarations!$B$22*S10*Declarations!$B$20+Declarations!$B$22*U10*Declarations!$B$21+Declarations!$B$22*V10*Declarations!$B$22+1</f>
        <v>2.526375</v>
      </c>
      <c r="R11" s="20" t="n">
        <f aca="false">Declarations!$B$20*Q10*Declarations!$C$20+Declarations!$B$20*R10*Declarations!$C$21+Declarations!$B$20*S10*Declarations!$C$22+Declarations!$B$21*R10*Declarations!$C$20+Declarations!$B$21*T10*Declarations!$C$21+Declarations!$B$21*U10*Declarations!$C$22+Declarations!$B$22*S10*Declarations!$C$20+Declarations!$B$22*U10*Declarations!$C$21+Declarations!$B$22*V10*Declarations!$C$22+0</f>
        <v>0.3495375</v>
      </c>
      <c r="S11" s="20" t="n">
        <f aca="false">Declarations!$B$20*Q10*Declarations!$D$20+Declarations!$B$20*R10*Declarations!$D$21+Declarations!$B$20*S10*Declarations!$D$22+Declarations!$B$21*R10*Declarations!$D$20+Declarations!$B$21*T10*Declarations!$D$21+Declarations!$B$21*U10*Declarations!$D$22+Declarations!$B$22*S10*Declarations!$D$20+Declarations!$B$22*U10*Declarations!$D$21+Declarations!$B$22*V10*Declarations!$D$22+0</f>
        <v>0.1008</v>
      </c>
      <c r="T11" s="20" t="n">
        <f aca="false">Declarations!$C$20*Q10*Declarations!$C$20+Declarations!$C$20*R10*Declarations!$C$21+Declarations!$C$20*S10*Declarations!$C$22+Declarations!$C$21*R10*Declarations!$C$20+Declarations!$C$21*T10*Declarations!$C$21+Declarations!$C$21*U10*Declarations!$C$22+Declarations!$C$22*S10*Declarations!$C$20+Declarations!$C$22*U10*Declarations!$C$21+Declarations!$C$22*V10*Declarations!$C$22+1</f>
        <v>2.29996875</v>
      </c>
      <c r="U11" s="20" t="n">
        <f aca="false">Declarations!$C$20*Q10*Declarations!$D$20+Declarations!$C$20*R10*Declarations!$D$21+Declarations!$C$20*S10*Declarations!$D$22+Declarations!$C$21*R10*Declarations!$D$20+Declarations!$C$21*T10*Declarations!$D$21+Declarations!$C$21*U10*Declarations!$D$22+Declarations!$C$22*S10*Declarations!$D$20+Declarations!$C$22*U10*Declarations!$D$21+Declarations!$C$22*V10*Declarations!$D$22+0</f>
        <v>0.1872</v>
      </c>
      <c r="V11" s="20" t="n">
        <f aca="false">Declarations!$D$20*Q10*Declarations!$D$20+Declarations!$D$20*R10*Declarations!$D$21+Declarations!$D$20*S10*Declarations!$D$22+Declarations!$D$21*R10*Declarations!$D$20+Declarations!$D$21*T10*Declarations!$D$21+Declarations!$D$21*U10*Declarations!$D$22+Declarations!$D$22*S10*Declarations!$D$20+Declarations!$D$22*U10*Declarations!$D$21+Declarations!$D$22*V10*Declarations!$D$22+1</f>
        <v>2.0496</v>
      </c>
      <c r="X11" s="8" t="s">
        <v>158</v>
      </c>
      <c r="Y11" s="8" t="s">
        <v>389</v>
      </c>
      <c r="Z11" s="8" t="s">
        <v>51</v>
      </c>
      <c r="AA11" s="8" t="s">
        <v>52</v>
      </c>
      <c r="AB11" s="8" t="s">
        <v>390</v>
      </c>
      <c r="AC11" s="8" t="s">
        <v>391</v>
      </c>
      <c r="AD11" s="8" t="s">
        <v>392</v>
      </c>
      <c r="AE11" s="8" t="s">
        <v>388</v>
      </c>
    </row>
    <row r="12" customFormat="false" ht="15" hidden="false" customHeight="false" outlineLevel="0" collapsed="false">
      <c r="A12" s="18" t="n">
        <v>3</v>
      </c>
      <c r="B12" s="20" t="n">
        <f aca="false">$B$4*B11*$B$4+$B$4*C11*$B$5+$B$5*C11*$B$4+$B$5*D11*$B$5+$E$4</f>
        <v>4.430081</v>
      </c>
      <c r="C12" s="20" t="n">
        <f aca="false">$B$4*B11*$C$4+$B$4*C11*$C$5+$B$5*C11*$C$4+$B$5*D11*$C$5+$F$4</f>
        <v>-1.546371</v>
      </c>
      <c r="D12" s="20" t="n">
        <f aca="false">$C$4*B11*$C$4+$C$4*C11*$C$5+$C$5*C11*$C$4+$C$5*D11*$C$5+$F$5</f>
        <v>3.938761</v>
      </c>
      <c r="H12" s="18" t="n">
        <v>1</v>
      </c>
      <c r="I12" s="17" t="n">
        <f aca="false">$B$4*I11+$C$4*J11</f>
        <v>-90</v>
      </c>
      <c r="J12" s="17" t="n">
        <f aca="false">$B$5*I11+$C$5*J11</f>
        <v>-100</v>
      </c>
      <c r="K12" s="18" t="n">
        <f aca="false">I12^2+J12^2</f>
        <v>18100</v>
      </c>
      <c r="L12" s="18" t="n">
        <f aca="false">$I$4*I12^2+2*$I$5*I12*J12+$I$6*J12^2</f>
        <v>125714.285714286</v>
      </c>
      <c r="M12" s="18" t="n">
        <f aca="false">IF(K12&gt;K11+0.000000001,1,0)</f>
        <v>1</v>
      </c>
      <c r="N12" s="18" t="n">
        <f aca="false">IF(L12&gt;L11+0.000000001,1,0)</f>
        <v>0</v>
      </c>
      <c r="P12" s="18" t="n">
        <v>3</v>
      </c>
      <c r="Q12" s="20" t="n">
        <f aca="false">Declarations!$B$20*Q11*Declarations!$B$20+Declarations!$B$20*R11*Declarations!$B$21+Declarations!$B$20*S11*Declarations!$B$22+Declarations!$B$21*R11*Declarations!$B$20+Declarations!$B$21*T11*Declarations!$B$21+Declarations!$B$21*U11*Declarations!$B$22+Declarations!$B$22*S11*Declarations!$B$20+Declarations!$B$22*U11*Declarations!$B$21+Declarations!$B$22*V11*Declarations!$B$22+1</f>
        <v>3.1483481875</v>
      </c>
      <c r="R12" s="20" t="n">
        <f aca="false">Declarations!$B$20*Q11*Declarations!$C$20+Declarations!$B$20*R11*Declarations!$C$21+Declarations!$B$20*S11*Declarations!$C$22+Declarations!$B$21*R11*Declarations!$C$20+Declarations!$B$21*T11*Declarations!$C$21+Declarations!$B$21*U11*Declarations!$C$22+Declarations!$B$22*S11*Declarations!$C$20+Declarations!$B$22*U11*Declarations!$C$21+Declarations!$B$22*V11*Declarations!$C$22+0</f>
        <v>0.60772809375</v>
      </c>
      <c r="S12" s="20" t="n">
        <f aca="false">Declarations!$B$20*Q11*Declarations!$D$20+Declarations!$B$20*R11*Declarations!$D$21+Declarations!$B$20*S11*Declarations!$D$22+Declarations!$B$21*R11*Declarations!$D$20+Declarations!$B$21*T11*Declarations!$D$21+Declarations!$B$21*U11*Declarations!$D$22+Declarations!$B$22*S11*Declarations!$D$20+Declarations!$B$22*U11*Declarations!$D$21+Declarations!$B$22*V11*Declarations!$D$22+0</f>
        <v>0.169536</v>
      </c>
      <c r="T12" s="20" t="n">
        <f aca="false">Declarations!$C$20*Q11*Declarations!$C$20+Declarations!$C$20*R11*Declarations!$C$21+Declarations!$C$20*S11*Declarations!$C$22+Declarations!$C$21*R11*Declarations!$C$20+Declarations!$C$21*T11*Declarations!$C$21+Declarations!$C$21*U11*Declarations!$C$22+Declarations!$C$22*S11*Declarations!$C$20+Declarations!$C$22*U11*Declarations!$C$21+Declarations!$C$22*V11*Declarations!$C$22+1</f>
        <v>2.751082046875</v>
      </c>
      <c r="U12" s="20" t="n">
        <f aca="false">Declarations!$C$20*Q11*Declarations!$D$20+Declarations!$C$20*R11*Declarations!$D$21+Declarations!$C$20*S11*Declarations!$D$22+Declarations!$C$21*R11*Declarations!$D$20+Declarations!$C$21*T11*Declarations!$D$21+Declarations!$C$21*U11*Declarations!$D$22+Declarations!$C$22*S11*Declarations!$D$20+Declarations!$C$22*U11*Declarations!$D$21+Declarations!$C$22*V11*Declarations!$D$22+0</f>
        <v>0.295296</v>
      </c>
      <c r="V12" s="20" t="n">
        <f aca="false">Declarations!$D$20*Q11*Declarations!$D$20+Declarations!$D$20*R11*Declarations!$D$21+Declarations!$D$20*S11*Declarations!$D$22+Declarations!$D$21*R11*Declarations!$D$20+Declarations!$D$21*T11*Declarations!$D$21+Declarations!$D$21*U11*Declarations!$D$22+Declarations!$D$22*S11*Declarations!$D$20+Declarations!$D$22*U11*Declarations!$D$21+Declarations!$D$22*V11*Declarations!$D$22+1</f>
        <v>2.311744</v>
      </c>
      <c r="X12" s="18" t="n">
        <v>0</v>
      </c>
      <c r="Y12" s="12" t="n">
        <f aca="false">Superposition!H6-PolicyMap!I8</f>
        <v>-34</v>
      </c>
      <c r="Z12" s="12" t="n">
        <f aca="false">Superposition!I6-PolicyMap!I9</f>
        <v>-32</v>
      </c>
      <c r="AA12" s="12" t="n">
        <f aca="false">Superposition!J6-PolicyMap!I10</f>
        <v>2.99999999999996</v>
      </c>
      <c r="AB12" s="12" t="n">
        <f aca="false">Y12^2+Z12^2+AA12^2</f>
        <v>2189</v>
      </c>
      <c r="AC12" s="12" t="n">
        <f aca="false">$Y$4*Y12^2+$Z$5*Z12^2+$AA$6*AA12^2+2*$Z$4*Y12*Z12+2*$AA$4*Y12*AA12+2*$AA$5*Z12*AA12</f>
        <v>27518.6583306954</v>
      </c>
    </row>
    <row r="13" customFormat="false" ht="15" hidden="false" customHeight="false" outlineLevel="0" collapsed="false">
      <c r="A13" s="18" t="n">
        <v>4</v>
      </c>
      <c r="B13" s="20" t="n">
        <f aca="false">$B$4*B12*$B$4+$B$4*C12*$B$5+$B$5*C12*$B$4+$B$5*D12*$B$5+$E$4</f>
        <v>5.74365881</v>
      </c>
      <c r="C13" s="20" t="n">
        <f aca="false">$B$4*B12*$C$4+$B$4*C12*$C$5+$B$5*C12*$C$4+$B$5*D12*$C$5+$F$4</f>
        <v>-2.19663171</v>
      </c>
      <c r="D13" s="20" t="n">
        <f aca="false">$C$4*B12*$C$4+$C$4*C12*$C$5+$C$5*C12*$C$4+$C$5*D12*$C$5+$F$5</f>
        <v>4.58836561</v>
      </c>
      <c r="H13" s="18" t="n">
        <v>2</v>
      </c>
      <c r="I13" s="17" t="n">
        <f aca="false">$B$4*I12+$C$4*J12</f>
        <v>8.99999999999999</v>
      </c>
      <c r="J13" s="17" t="n">
        <f aca="false">$B$5*I12+$C$5*J12</f>
        <v>-90</v>
      </c>
      <c r="K13" s="18" t="n">
        <f aca="false">I13^2+J13^2</f>
        <v>8181</v>
      </c>
      <c r="L13" s="18" t="n">
        <f aca="false">$I$4*I13^2+2*$I$5*I13*J13+$I$6*J13^2</f>
        <v>107614.285714286</v>
      </c>
      <c r="M13" s="18" t="n">
        <f aca="false">IF(K13&gt;K12+0.000000001,1,0)</f>
        <v>0</v>
      </c>
      <c r="N13" s="18" t="n">
        <f aca="false">IF(L13&gt;L12+0.000000001,1,0)</f>
        <v>0</v>
      </c>
      <c r="P13" s="18" t="n">
        <v>4</v>
      </c>
      <c r="Q13" s="20" t="n">
        <f aca="false">Declarations!$B$20*Q12*Declarations!$B$20+Declarations!$B$20*R12*Declarations!$B$21+Declarations!$B$20*S12*Declarations!$B$22+Declarations!$B$21*R12*Declarations!$B$20+Declarations!$B$21*T12*Declarations!$B$21+Declarations!$B$21*U12*Declarations!$B$22+Declarations!$B$22*S12*Declarations!$B$20+Declarations!$B$22*U12*Declarations!$B$21+Declarations!$B$22*V12*Declarations!$B$22+1</f>
        <v>3.71105446921875</v>
      </c>
      <c r="R13" s="20" t="n">
        <f aca="false">Declarations!$B$20*Q12*Declarations!$C$20+Declarations!$B$20*R12*Declarations!$C$21+Declarations!$B$20*S12*Declarations!$C$22+Declarations!$B$21*R12*Declarations!$C$20+Declarations!$B$21*T12*Declarations!$C$21+Declarations!$B$21*U12*Declarations!$C$22+Declarations!$B$22*S12*Declarations!$C$20+Declarations!$B$22*U12*Declarations!$C$21+Declarations!$B$22*V12*Declarations!$C$22+0</f>
        <v>0.886212114609375</v>
      </c>
      <c r="S13" s="20" t="n">
        <f aca="false">Declarations!$B$20*Q12*Declarations!$D$20+Declarations!$B$20*R12*Declarations!$D$21+Declarations!$B$20*S12*Declarations!$D$22+Declarations!$B$21*R12*Declarations!$D$20+Declarations!$B$21*T12*Declarations!$D$21+Declarations!$B$21*U12*Declarations!$D$22+Declarations!$B$22*S12*Declarations!$D$20+Declarations!$B$22*U12*Declarations!$D$21+Declarations!$B$22*V12*Declarations!$D$22+0</f>
        <v>0.23815936</v>
      </c>
      <c r="T13" s="20" t="n">
        <f aca="false">Declarations!$C$20*Q12*Declarations!$C$20+Declarations!$C$20*R12*Declarations!$C$21+Declarations!$C$20*S12*Declarations!$C$22+Declarations!$C$21*R12*Declarations!$C$20+Declarations!$C$21*T12*Declarations!$C$21+Declarations!$C$21*U12*Declarations!$C$22+Declarations!$C$22*S12*Declarations!$C$20+Declarations!$C$22*U12*Declarations!$C$21+Declarations!$C$22*V12*Declarations!$C$22+1</f>
        <v>3.12219765730469</v>
      </c>
      <c r="U13" s="20" t="n">
        <f aca="false">Declarations!$C$20*Q12*Declarations!$D$20+Declarations!$C$20*R12*Declarations!$D$21+Declarations!$C$20*S12*Declarations!$D$22+Declarations!$C$21*R12*Declarations!$D$20+Declarations!$C$21*T12*Declarations!$D$21+Declarations!$C$21*U12*Declarations!$D$22+Declarations!$C$22*S12*Declarations!$D$20+Declarations!$C$22*U12*Declarations!$D$21+Declarations!$C$22*V12*Declarations!$D$22+0</f>
        <v>0.39252224</v>
      </c>
      <c r="V13" s="20" t="n">
        <f aca="false">Declarations!$D$20*Q12*Declarations!$D$20+Declarations!$D$20*R12*Declarations!$D$21+Declarations!$D$20*S12*Declarations!$D$22+Declarations!$D$21*R12*Declarations!$D$20+Declarations!$D$21*T12*Declarations!$D$21+Declarations!$D$21*U12*Declarations!$D$22+Declarations!$D$22*S12*Declarations!$D$20+Declarations!$D$22*U12*Declarations!$D$21+Declarations!$D$22*V12*Declarations!$D$22+1</f>
        <v>2.47951616</v>
      </c>
      <c r="X13" s="18" t="n">
        <v>1</v>
      </c>
      <c r="Y13" s="12" t="n">
        <f aca="false">Superposition!H7-PolicyMap!I8</f>
        <v>-32.2</v>
      </c>
      <c r="Z13" s="12" t="n">
        <f aca="false">Superposition!I7-PolicyMap!I9</f>
        <v>-30.6</v>
      </c>
      <c r="AA13" s="12" t="n">
        <f aca="false">Superposition!J7-PolicyMap!I10</f>
        <v>-2.50000000000004</v>
      </c>
      <c r="AB13" s="12" t="n">
        <f aca="false">Y13^2+Z13^2+AA13^2</f>
        <v>1979.45000000001</v>
      </c>
      <c r="AC13" s="12" t="n">
        <f aca="false">$Y$4*Y13^2+$Z$5*Z13^2+$AA$6*AA13^2+2*$Z$4*Y13*Z13+2*$AA$4*Y13*AA13+2*$AA$5*Z13*AA13</f>
        <v>25329.6583306954</v>
      </c>
      <c r="AD13" s="18" t="n">
        <f aca="false">IF(AB13&gt;AB12+0.000000001,1,0)</f>
        <v>0</v>
      </c>
      <c r="AE13" s="18" t="n">
        <f aca="false">IF(AC13&gt;AC12+0.000000001,1,0)</f>
        <v>0</v>
      </c>
    </row>
    <row r="14" customFormat="false" ht="15" hidden="false" customHeight="false" outlineLevel="0" collapsed="false">
      <c r="A14" s="18" t="n">
        <v>5</v>
      </c>
      <c r="B14" s="20" t="n">
        <f aca="false">$B$4*B13*$B$4+$B$4*C13*$B$5+$B$5*C13*$B$4+$B$5*D13*$B$5+$E$4</f>
        <v>6.2867921681</v>
      </c>
      <c r="C14" s="20" t="n">
        <f aca="false">$B$4*B13*$C$4+$B$4*C13*$C$5+$B$5*C13*$C$4+$B$5*D13*$C$5+$F$4</f>
        <v>-2.6753950971</v>
      </c>
      <c r="D14" s="20" t="n">
        <f aca="false">$C$4*B13*$C$4+$C$4*C13*$C$5+$C$5*C13*$C$4+$C$5*D13*$C$5+$F$5</f>
        <v>5.6523636361</v>
      </c>
      <c r="H14" s="18" t="n">
        <v>3</v>
      </c>
      <c r="I14" s="17" t="n">
        <f aca="false">$B$4*I13+$C$4*J13</f>
        <v>89.1</v>
      </c>
      <c r="J14" s="17" t="n">
        <f aca="false">$B$5*I13+$C$5*J13</f>
        <v>8.99999999999999</v>
      </c>
      <c r="K14" s="18" t="n">
        <f aca="false">I14^2+J14^2</f>
        <v>8019.80999999999</v>
      </c>
      <c r="L14" s="18" t="n">
        <f aca="false">$I$4*I14^2+2*$I$5*I14*J14+$I$6*J14^2</f>
        <v>99433.2857142855</v>
      </c>
      <c r="M14" s="18" t="n">
        <f aca="false">IF(K14&gt;K13+0.000000001,1,0)</f>
        <v>0</v>
      </c>
      <c r="N14" s="18" t="n">
        <f aca="false">IF(L14&gt;L13+0.000000001,1,0)</f>
        <v>0</v>
      </c>
      <c r="P14" s="18" t="n">
        <v>5</v>
      </c>
      <c r="Q14" s="20" t="n">
        <f aca="false">Declarations!$B$20*Q13*Declarations!$B$20+Declarations!$B$20*R13*Declarations!$B$21+Declarations!$B$20*S13*Declarations!$B$22+Declarations!$B$21*R13*Declarations!$B$20+Declarations!$B$21*T13*Declarations!$B$21+Declarations!$B$21*U13*Declarations!$B$22+Declarations!$B$22*S13*Declarations!$B$20+Declarations!$B$22*U13*Declarations!$B$21+Declarations!$B$22*V13*Declarations!$B$22+1</f>
        <v>4.22825263246992</v>
      </c>
      <c r="R14" s="20" t="n">
        <f aca="false">Declarations!$B$20*Q13*Declarations!$C$20+Declarations!$B$20*R13*Declarations!$C$21+Declarations!$B$20*S13*Declarations!$C$22+Declarations!$B$21*R13*Declarations!$C$20+Declarations!$B$21*T13*Declarations!$C$21+Declarations!$B$21*U13*Declarations!$C$22+Declarations!$B$22*S13*Declarations!$C$20+Declarations!$B$22*U13*Declarations!$C$21+Declarations!$B$22*V13*Declarations!$C$22+0</f>
        <v>1.16980231943496</v>
      </c>
      <c r="S14" s="20" t="n">
        <f aca="false">Declarations!$B$20*Q13*Declarations!$D$20+Declarations!$B$20*R13*Declarations!$D$21+Declarations!$B$20*S13*Declarations!$D$22+Declarations!$B$21*R13*Declarations!$D$20+Declarations!$B$21*T13*Declarations!$D$21+Declarations!$B$21*U13*Declarations!$D$22+Declarations!$B$22*S13*Declarations!$D$20+Declarations!$B$22*U13*Declarations!$D$21+Declarations!$B$22*V13*Declarations!$D$22+0</f>
        <v>0.3020571648</v>
      </c>
      <c r="T14" s="20" t="n">
        <f aca="false">Declarations!$C$20*Q13*Declarations!$C$20+Declarations!$C$20*R13*Declarations!$C$21+Declarations!$C$20*S13*Declarations!$C$22+Declarations!$C$21*R13*Declarations!$C$20+Declarations!$C$21*T13*Declarations!$C$21+Declarations!$C$21*U13*Declarations!$C$22+Declarations!$C$22*S13*Declarations!$C$20+Declarations!$C$22*U13*Declarations!$C$21+Declarations!$C$22*V13*Declarations!$C$22+1</f>
        <v>3.43429900931748</v>
      </c>
      <c r="U14" s="20" t="n">
        <f aca="false">Declarations!$C$20*Q13*Declarations!$D$20+Declarations!$C$20*R13*Declarations!$D$21+Declarations!$C$20*S13*Declarations!$D$22+Declarations!$C$21*R13*Declarations!$D$20+Declarations!$C$21*T13*Declarations!$D$21+Declarations!$C$21*U13*Declarations!$D$22+Declarations!$C$22*S13*Declarations!$D$20+Declarations!$C$22*U13*Declarations!$D$21+Declarations!$C$22*V13*Declarations!$D$22+0</f>
        <v>0.4748027904</v>
      </c>
      <c r="V14" s="20" t="n">
        <f aca="false">Declarations!$D$20*Q13*Declarations!$D$20+Declarations!$D$20*R13*Declarations!$D$21+Declarations!$D$20*S13*Declarations!$D$22+Declarations!$D$21*R13*Declarations!$D$20+Declarations!$D$21*T13*Declarations!$D$21+Declarations!$D$21*U13*Declarations!$D$22+Declarations!$D$22*S13*Declarations!$D$20+Declarations!$D$22*U13*Declarations!$D$21+Declarations!$D$22*V13*Declarations!$D$22+1</f>
        <v>2.5868903424</v>
      </c>
      <c r="X14" s="18" t="n">
        <v>2</v>
      </c>
      <c r="Y14" s="12" t="n">
        <f aca="false">Superposition!H8-PolicyMap!I8</f>
        <v>-30.51</v>
      </c>
      <c r="Z14" s="12" t="n">
        <f aca="false">Superposition!I8-PolicyMap!I9</f>
        <v>-29.23</v>
      </c>
      <c r="AA14" s="12" t="n">
        <f aca="false">Superposition!J8-PolicyMap!I10</f>
        <v>-6.67000000000004</v>
      </c>
      <c r="AB14" s="12" t="n">
        <f aca="false">Y14^2+Z14^2+AA14^2</f>
        <v>1829.74190000001</v>
      </c>
      <c r="AC14" s="12" t="n">
        <f aca="false">$Y$4*Y14^2+$Z$5*Z14^2+$AA$6*AA14^2+2*$Z$4*Y14*Z14+2*$AA$4*Y14*AA14+2*$AA$5*Z14*AA14</f>
        <v>23350.2083306954</v>
      </c>
      <c r="AD14" s="18" t="n">
        <f aca="false">IF(AB14&gt;AB13+0.000000001,1,0)</f>
        <v>0</v>
      </c>
      <c r="AE14" s="18" t="n">
        <f aca="false">IF(AC14&gt;AC13+0.000000001,1,0)</f>
        <v>0</v>
      </c>
    </row>
    <row r="15" customFormat="false" ht="15" hidden="false" customHeight="false" outlineLevel="0" collapsed="false">
      <c r="A15" s="18" t="n">
        <v>6</v>
      </c>
      <c r="B15" s="20" t="n">
        <f aca="false">$B$4*B14*$B$4+$B$4*C14*$B$5+$B$5*C14*$B$4+$B$5*D14*$B$5+$E$4</f>
        <v>6.928954117481</v>
      </c>
      <c r="C15" s="20" t="n">
        <f aca="false">$B$4*B14*$C$4+$B$4*C14*$C$5+$B$5*C14*$C$4+$B$5*D14*$C$5+$F$4</f>
        <v>-2.684446068771</v>
      </c>
      <c r="D15" s="20" t="n">
        <f aca="false">$C$4*B14*$C$4+$C$4*C14*$C$5+$C$5*C14*$C$4+$C$5*D14*$C$5+$F$5</f>
        <v>6.092301656161</v>
      </c>
      <c r="H15" s="18" t="n">
        <v>4</v>
      </c>
      <c r="I15" s="17" t="n">
        <f aca="false">$B$4*I14+$C$4*J14</f>
        <v>72.09</v>
      </c>
      <c r="J15" s="17" t="n">
        <f aca="false">$B$5*I14+$C$5*J14</f>
        <v>89.1</v>
      </c>
      <c r="K15" s="18" t="n">
        <f aca="false">I15^2+J15^2</f>
        <v>13135.7781</v>
      </c>
      <c r="L15" s="18" t="n">
        <f aca="false">$I$4*I15^2+2*$I$5*I15*J15+$I$6*J15^2</f>
        <v>91413.4757142855</v>
      </c>
      <c r="M15" s="18" t="n">
        <f aca="false">IF(K15&gt;K14+0.000000001,1,0)</f>
        <v>1</v>
      </c>
      <c r="N15" s="18" t="n">
        <f aca="false">IF(L15&gt;L14+0.000000001,1,0)</f>
        <v>0</v>
      </c>
      <c r="P15" s="18" t="n">
        <v>6</v>
      </c>
      <c r="Q15" s="20" t="n">
        <f aca="false">Declarations!$B$20*Q14*Declarations!$B$20+Declarations!$B$20*R14*Declarations!$B$21+Declarations!$B$20*S14*Declarations!$B$22+Declarations!$B$21*R14*Declarations!$B$20+Declarations!$B$21*T14*Declarations!$B$21+Declarations!$B$21*U14*Declarations!$B$22+Declarations!$B$22*S14*Declarations!$B$20+Declarations!$B$22*U14*Declarations!$B$21+Declarations!$B$22*V14*Declarations!$B$22+1</f>
        <v>4.7081924384841</v>
      </c>
      <c r="R15" s="20" t="n">
        <f aca="false">Declarations!$B$20*Q14*Declarations!$C$20+Declarations!$B$20*R14*Declarations!$C$21+Declarations!$B$20*S14*Declarations!$C$22+Declarations!$B$21*R14*Declarations!$C$20+Declarations!$B$21*T14*Declarations!$C$21+Declarations!$B$21*U14*Declarations!$C$22+Declarations!$B$22*S14*Declarations!$C$20+Declarations!$B$22*U14*Declarations!$C$21+Declarations!$B$22*V14*Declarations!$C$22+0</f>
        <v>1.44873645617005</v>
      </c>
      <c r="S15" s="20" t="n">
        <f aca="false">Declarations!$B$20*Q14*Declarations!$D$20+Declarations!$B$20*R14*Declarations!$D$21+Declarations!$B$20*S14*Declarations!$D$22+Declarations!$B$21*R14*Declarations!$D$20+Declarations!$B$21*T14*Declarations!$D$21+Declarations!$B$21*U14*Declarations!$D$22+Declarations!$B$22*S14*Declarations!$D$20+Declarations!$B$22*U14*Declarations!$D$21+Declarations!$B$22*V14*Declarations!$D$22+0</f>
        <v>0.358940995584</v>
      </c>
      <c r="T15" s="20" t="n">
        <f aca="false">Declarations!$C$20*Q14*Declarations!$C$20+Declarations!$C$20*R14*Declarations!$C$21+Declarations!$C$20*S14*Declarations!$C$22+Declarations!$C$21*R14*Declarations!$C$20+Declarations!$C$21*T14*Declarations!$C$21+Declarations!$C$21*U14*Declarations!$C$22+Declarations!$C$22*S14*Declarations!$C$20+Declarations!$C$22*U14*Declarations!$C$21+Declarations!$C$22*V14*Declarations!$C$22+1</f>
        <v>3.70089081240503</v>
      </c>
      <c r="U15" s="20" t="n">
        <f aca="false">Declarations!$C$20*Q14*Declarations!$D$20+Declarations!$C$20*R14*Declarations!$D$21+Declarations!$C$20*S14*Declarations!$D$22+Declarations!$C$21*R14*Declarations!$D$20+Declarations!$C$21*T14*Declarations!$D$21+Declarations!$C$21*U14*Declarations!$D$22+Declarations!$C$22*S14*Declarations!$D$20+Declarations!$C$22*U14*Declarations!$D$21+Declarations!$C$22*V14*Declarations!$D$22+0</f>
        <v>0.541899411456</v>
      </c>
      <c r="V15" s="20" t="n">
        <f aca="false">Declarations!$D$20*Q14*Declarations!$D$20+Declarations!$D$20*R14*Declarations!$D$21+Declarations!$D$20*S14*Declarations!$D$22+Declarations!$D$21*R14*Declarations!$D$20+Declarations!$D$21*T14*Declarations!$D$21+Declarations!$D$21*U14*Declarations!$D$22+Declarations!$D$22*S14*Declarations!$D$20+Declarations!$D$22*U14*Declarations!$D$21+Declarations!$D$22*V14*Declarations!$D$22+1</f>
        <v>2.655609819136</v>
      </c>
      <c r="X15" s="18" t="n">
        <v>3</v>
      </c>
      <c r="Y15" s="12" t="n">
        <f aca="false">Superposition!H9-PolicyMap!I8</f>
        <v>-28.9205</v>
      </c>
      <c r="Z15" s="12" t="n">
        <f aca="false">Superposition!I9-PolicyMap!I9</f>
        <v>-27.8965</v>
      </c>
      <c r="AA15" s="12" t="n">
        <f aca="false">Superposition!J9-PolicyMap!I10</f>
        <v>-9.78450000000003</v>
      </c>
      <c r="AB15" s="12" t="n">
        <f aca="false">Y15^2+Z15^2+AA15^2</f>
        <v>1710.34647275001</v>
      </c>
      <c r="AC15" s="12" t="n">
        <f aca="false">$Y$4*Y15^2+$Z$5*Z15^2+$AA$6*AA15^2+2*$Z$4*Y15*Z15+2*$AA$4*Y15*AA15+2*$AA$5*Z15*AA15</f>
        <v>21520.4664306954</v>
      </c>
      <c r="AD15" s="18" t="n">
        <f aca="false">IF(AB15&gt;AB14+0.000000001,1,0)</f>
        <v>0</v>
      </c>
      <c r="AE15" s="18" t="n">
        <f aca="false">IF(AC15&gt;AC14+0.000000001,1,0)</f>
        <v>0</v>
      </c>
    </row>
    <row r="16" customFormat="false" ht="15" hidden="false" customHeight="false" outlineLevel="0" collapsed="false">
      <c r="A16" s="18" t="n">
        <v>7</v>
      </c>
      <c r="B16" s="20" t="n">
        <f aca="false">$B$4*B15*$B$4+$B$4*C15*$B$5+$B$5*C15*$B$4+$B$5*D15*$B$5+$E$4</f>
        <v>7.87275156753281</v>
      </c>
      <c r="C16" s="20" t="n">
        <f aca="false">$B$4*B15*$C$4+$B$4*C15*$C$5+$B$5*C15*$C$4+$B$5*D15*$C$5+$F$4</f>
        <v>-3.19645137326571</v>
      </c>
      <c r="D16" s="20" t="n">
        <f aca="false">$C$4*B15*$C$4+$C$4*C15*$C$5+$C$5*C15*$C$4+$C$5*D15*$C$5+$F$5</f>
        <v>6.61245283515961</v>
      </c>
      <c r="H16" s="18" t="n">
        <v>5</v>
      </c>
      <c r="I16" s="17" t="n">
        <f aca="false">$B$4*I15+$C$4*J15</f>
        <v>-15.309</v>
      </c>
      <c r="J16" s="17" t="n">
        <f aca="false">$B$5*I15+$C$5*J15</f>
        <v>72.09</v>
      </c>
      <c r="K16" s="18" t="n">
        <f aca="false">I16^2+J16^2</f>
        <v>5431.333581</v>
      </c>
      <c r="L16" s="18" t="n">
        <f aca="false">$I$4*I16^2+2*$I$5*I16*J16+$I$6*J16^2</f>
        <v>78277.6976142855</v>
      </c>
      <c r="M16" s="18" t="n">
        <f aca="false">IF(K16&gt;K15+0.000000001,1,0)</f>
        <v>0</v>
      </c>
      <c r="N16" s="18" t="n">
        <f aca="false">IF(L16&gt;L15+0.000000001,1,0)</f>
        <v>0</v>
      </c>
      <c r="P16" s="18" t="n">
        <v>7</v>
      </c>
      <c r="Q16" s="20" t="n">
        <f aca="false">Declarations!$B$20*Q15*Declarations!$B$20+Declarations!$B$20*R15*Declarations!$B$21+Declarations!$B$20*S15*Declarations!$B$22+Declarations!$B$21*R15*Declarations!$B$20+Declarations!$B$21*T15*Declarations!$B$21+Declarations!$B$21*U15*Declarations!$B$22+Declarations!$B$22*S15*Declarations!$B$20+Declarations!$B$22*U15*Declarations!$B$21+Declarations!$B$22*V15*Declarations!$B$22+1</f>
        <v>5.15578005367174</v>
      </c>
      <c r="R16" s="20" t="n">
        <f aca="false">Declarations!$B$20*Q15*Declarations!$C$20+Declarations!$B$20*R15*Declarations!$C$21+Declarations!$B$20*S15*Declarations!$C$22+Declarations!$B$21*R15*Declarations!$C$20+Declarations!$B$21*T15*Declarations!$C$21+Declarations!$B$21*U15*Declarations!$C$22+Declarations!$B$22*S15*Declarations!$C$20+Declarations!$B$22*U15*Declarations!$C$21+Declarations!$B$22*V15*Declarations!$C$22+0</f>
        <v>1.71690126032579</v>
      </c>
      <c r="S16" s="20" t="n">
        <f aca="false">Declarations!$B$20*Q15*Declarations!$D$20+Declarations!$B$20*R15*Declarations!$D$21+Declarations!$B$20*S15*Declarations!$D$22+Declarations!$B$21*R15*Declarations!$D$20+Declarations!$B$21*T15*Declarations!$D$21+Declarations!$B$21*U15*Declarations!$D$22+Declarations!$B$22*S15*Declarations!$D$20+Declarations!$B$22*U15*Declarations!$D$21+Declarations!$B$22*V15*Declarations!$D$22+0</f>
        <v>0.4080138625024</v>
      </c>
      <c r="T16" s="20" t="n">
        <f aca="false">Declarations!$C$20*Q15*Declarations!$C$20+Declarations!$C$20*R15*Declarations!$C$21+Declarations!$C$20*S15*Declarations!$C$22+Declarations!$C$21*R15*Declarations!$C$20+Declarations!$C$21*T15*Declarations!$C$21+Declarations!$C$21*U15*Declarations!$C$22+Declarations!$C$22*S15*Declarations!$C$20+Declarations!$C$22*U15*Declarations!$C$21+Declarations!$C$22*V15*Declarations!$C$22+1</f>
        <v>3.93107509992802</v>
      </c>
      <c r="U16" s="20" t="n">
        <f aca="false">Declarations!$C$20*Q15*Declarations!$D$20+Declarations!$C$20*R15*Declarations!$D$21+Declarations!$C$20*S15*Declarations!$D$22+Declarations!$C$21*R15*Declarations!$D$20+Declarations!$C$21*T15*Declarations!$D$21+Declarations!$C$21*U15*Declarations!$D$22+Declarations!$C$22*S15*Declarations!$D$20+Declarations!$C$22*U15*Declarations!$D$21+Declarations!$C$22*V15*Declarations!$D$22+0</f>
        <v>0.59529802514432</v>
      </c>
      <c r="V16" s="20" t="n">
        <f aca="false">Declarations!$D$20*Q15*Declarations!$D$20+Declarations!$D$20*R15*Declarations!$D$21+Declarations!$D$20*S15*Declarations!$D$22+Declarations!$D$21*R15*Declarations!$D$20+Declarations!$D$21*T15*Declarations!$D$21+Declarations!$D$21*U15*Declarations!$D$22+Declarations!$D$22*S15*Declarations!$D$20+Declarations!$D$22*U15*Declarations!$D$21+Declarations!$D$22*V15*Declarations!$D$22+1</f>
        <v>2.69959028424704</v>
      </c>
      <c r="X16" s="18" t="n">
        <v>4</v>
      </c>
      <c r="Y16" s="12" t="n">
        <f aca="false">Superposition!H10-PolicyMap!I8</f>
        <v>-27.4232750000001</v>
      </c>
      <c r="Z16" s="12" t="n">
        <f aca="false">Superposition!I10-PolicyMap!I9</f>
        <v>-26.604075</v>
      </c>
      <c r="AA16" s="12" t="n">
        <f aca="false">Superposition!J10-PolicyMap!I10</f>
        <v>-12.063275</v>
      </c>
      <c r="AB16" s="12" t="n">
        <f aca="false">Y16^2+Z16^2+AA16^2</f>
        <v>1605.33542205688</v>
      </c>
      <c r="AC16" s="12" t="n">
        <f aca="false">$Y$4*Y16^2+$Z$5*Z16^2+$AA$6*AA16^2+2*$Z$4*Y16*Z16+2*$AA$4*Y16*AA16+2*$AA$5*Z16*AA16</f>
        <v>19810.1199579454</v>
      </c>
      <c r="AD16" s="18" t="n">
        <f aca="false">IF(AB16&gt;AB15+0.000000001,1,0)</f>
        <v>0</v>
      </c>
      <c r="AE16" s="18" t="n">
        <f aca="false">IF(AC16&gt;AC15+0.000000001,1,0)</f>
        <v>0</v>
      </c>
    </row>
    <row r="17" customFormat="false" ht="15" hidden="false" customHeight="false" outlineLevel="0" collapsed="false">
      <c r="A17" s="18" t="n">
        <v>8</v>
      </c>
      <c r="B17" s="20" t="n">
        <f aca="false">$B$4*B16*$B$4+$B$4*C16*$B$5+$B$5*C16*$B$4+$B$5*D16*$B$5+$E$4</f>
        <v>8.23576913298291</v>
      </c>
      <c r="C17" s="20" t="n">
        <f aca="false">$B$4*B16*$C$4+$B$4*C16*$C$5+$B$5*C16*$C$4+$B$5*D16*$C$5+$F$4</f>
        <v>-3.50012253376244</v>
      </c>
      <c r="D17" s="20" t="n">
        <f aca="false">$C$4*B16*$C$4+$C$4*C16*$C$5+$C$5*C16*$C$4+$C$5*D16*$C$5+$F$5</f>
        <v>7.37692876970157</v>
      </c>
      <c r="H17" s="18" t="n">
        <v>6</v>
      </c>
      <c r="I17" s="17" t="n">
        <f aca="false">$B$4*I16+$C$4*J16</f>
        <v>-78.6590999999999</v>
      </c>
      <c r="J17" s="17" t="n">
        <f aca="false">$B$5*I16+$C$5*J16</f>
        <v>-15.309</v>
      </c>
      <c r="K17" s="18" t="n">
        <f aca="false">I17^2+J17^2</f>
        <v>6421.61949380999</v>
      </c>
      <c r="L17" s="18" t="n">
        <f aca="false">$I$4*I17^2+2*$I$5*I17*J17+$I$6*J17^2</f>
        <v>72846.3640332855</v>
      </c>
      <c r="M17" s="18" t="n">
        <f aca="false">IF(K17&gt;K16+0.000000001,1,0)</f>
        <v>1</v>
      </c>
      <c r="N17" s="18" t="n">
        <f aca="false">IF(L17&gt;L16+0.000000001,1,0)</f>
        <v>0</v>
      </c>
      <c r="P17" s="18" t="n">
        <v>8</v>
      </c>
      <c r="Q17" s="20" t="n">
        <f aca="false">Declarations!$B$20*Q16*Declarations!$B$20+Declarations!$B$20*R16*Declarations!$B$21+Declarations!$B$20*S16*Declarations!$B$22+Declarations!$B$21*R16*Declarations!$B$20+Declarations!$B$21*T16*Declarations!$B$21+Declarations!$B$21*U16*Declarations!$B$22+Declarations!$B$22*S16*Declarations!$B$20+Declarations!$B$22*U16*Declarations!$B$21+Declarations!$B$22*V16*Declarations!$B$22+1</f>
        <v>5.57395802491931</v>
      </c>
      <c r="R17" s="20" t="n">
        <f aca="false">Declarations!$B$20*Q16*Declarations!$C$20+Declarations!$B$20*R16*Declarations!$C$21+Declarations!$B$20*S16*Declarations!$C$22+Declarations!$B$21*R16*Declarations!$C$20+Declarations!$B$21*T16*Declarations!$C$21+Declarations!$B$21*U16*Declarations!$C$22+Declarations!$B$22*S16*Declarations!$C$20+Declarations!$B$22*U16*Declarations!$C$21+Declarations!$B$22*V16*Declarations!$C$22+0</f>
        <v>1.97065783638275</v>
      </c>
      <c r="S17" s="20" t="n">
        <f aca="false">Declarations!$B$20*Q16*Declarations!$D$20+Declarations!$B$20*R16*Declarations!$D$21+Declarations!$B$20*S16*Declarations!$D$22+Declarations!$B$21*R16*Declarations!$D$20+Declarations!$B$21*T16*Declarations!$D$21+Declarations!$B$21*U16*Declarations!$D$22+Declarations!$B$22*S16*Declarations!$D$20+Declarations!$B$22*U16*Declarations!$D$21+Declarations!$B$22*V16*Declarations!$D$22+0</f>
        <v>0.449377434383155</v>
      </c>
      <c r="T17" s="20" t="n">
        <f aca="false">Declarations!$C$20*Q16*Declarations!$C$20+Declarations!$C$20*R16*Declarations!$C$21+Declarations!$C$20*S16*Declarations!$C$22+Declarations!$C$21*R16*Declarations!$C$20+Declarations!$C$21*T16*Declarations!$C$21+Declarations!$C$21*U16*Declarations!$C$22+Declarations!$C$22*S16*Declarations!$C$20+Declarations!$C$22*U16*Declarations!$C$21+Declarations!$C$22*V16*Declarations!$C$22+1</f>
        <v>4.13130452270189</v>
      </c>
      <c r="U17" s="20" t="n">
        <f aca="false">Declarations!$C$20*Q16*Declarations!$D$20+Declarations!$C$20*R16*Declarations!$D$21+Declarations!$C$20*S16*Declarations!$D$22+Declarations!$C$21*R16*Declarations!$D$20+Declarations!$C$21*T16*Declarations!$D$21+Declarations!$C$21*U16*Declarations!$D$22+Declarations!$C$22*S16*Declarations!$D$20+Declarations!$C$22*U16*Declarations!$D$21+Declarations!$C$22*V16*Declarations!$D$22+0</f>
        <v>0.637090434337997</v>
      </c>
      <c r="V17" s="20" t="n">
        <f aca="false">Declarations!$D$20*Q16*Declarations!$D$20+Declarations!$D$20*R16*Declarations!$D$21+Declarations!$D$20*S16*Declarations!$D$22+Declarations!$D$21*R16*Declarations!$D$20+Declarations!$D$21*T16*Declarations!$D$21+Declarations!$D$21*U16*Declarations!$D$22+Declarations!$D$22*S16*Declarations!$D$20+Declarations!$D$22*U16*Declarations!$D$21+Declarations!$D$22*V16*Declarations!$D$22+1</f>
        <v>2.72773778191811</v>
      </c>
      <c r="X17" s="18" t="n">
        <v>5</v>
      </c>
      <c r="Y17" s="12" t="n">
        <f aca="false">Superposition!H11-PolicyMap!I8</f>
        <v>-26.0111512500001</v>
      </c>
      <c r="Z17" s="12" t="n">
        <f aca="false">Superposition!I11-PolicyMap!I9</f>
        <v>-25.35579125</v>
      </c>
      <c r="AA17" s="12" t="n">
        <f aca="false">Superposition!J11-PolicyMap!I10</f>
        <v>-13.68219125</v>
      </c>
      <c r="AB17" s="12" t="n">
        <f aca="false">Y17^2+Z17^2+AA17^2</f>
        <v>1506.69849666554</v>
      </c>
      <c r="AC17" s="12" t="n">
        <f aca="false">$Y$4*Y17^2+$Z$5*Z17^2+$AA$6*AA17^2+2*$Z$4*Y17*Z17+2*$AA$4*Y17*AA17+2*$AA$5*Z17*AA17</f>
        <v>18204.7845358886</v>
      </c>
      <c r="AD17" s="18" t="n">
        <f aca="false">IF(AB17&gt;AB16+0.000000001,1,0)</f>
        <v>0</v>
      </c>
      <c r="AE17" s="18" t="n">
        <f aca="false">IF(AC17&gt;AC16+0.000000001,1,0)</f>
        <v>0</v>
      </c>
    </row>
    <row r="18" customFormat="false" ht="15" hidden="false" customHeight="false" outlineLevel="0" collapsed="false">
      <c r="A18" s="18" t="n">
        <v>9</v>
      </c>
      <c r="B18" s="20" t="n">
        <f aca="false">$B$4*B17*$B$4+$B$4*C17*$B$5+$B$5*C17*$B$4+$B$5*D17*$B$5+$E$4</f>
        <v>8.74768120664534</v>
      </c>
      <c r="C18" s="20" t="n">
        <f aca="false">$B$4*B17*$C$4+$B$4*C17*$C$5+$B$5*C17*$C$4+$B$5*D17*$C$5+$F$4</f>
        <v>-3.52086271732996</v>
      </c>
      <c r="D18" s="20" t="n">
        <f aca="false">$C$4*B17*$C$4+$C$4*C17*$C$5+$C$5*C17*$C$4+$C$5*D17*$C$5+$F$5</f>
        <v>7.67097299771615</v>
      </c>
      <c r="H18" s="18" t="n">
        <v>7</v>
      </c>
      <c r="I18" s="17" t="n">
        <f aca="false">$B$4*I17+$C$4*J17</f>
        <v>-57.01509</v>
      </c>
      <c r="J18" s="17" t="n">
        <f aca="false">$B$5*I17+$C$5*J17</f>
        <v>-78.6590999999999</v>
      </c>
      <c r="K18" s="18" t="n">
        <f aca="false">I18^2+J18^2</f>
        <v>9437.97450051809</v>
      </c>
      <c r="L18" s="18" t="n">
        <f aca="false">$I$4*I18^2+2*$I$5*I18*J18+$I$6*J18^2</f>
        <v>66424.7445394755</v>
      </c>
      <c r="M18" s="18" t="n">
        <f aca="false">IF(K18&gt;K17+0.000000001,1,0)</f>
        <v>1</v>
      </c>
      <c r="N18" s="18" t="n">
        <f aca="false">IF(L18&gt;L17+0.000000001,1,0)</f>
        <v>0</v>
      </c>
      <c r="P18" s="18" t="n">
        <v>9</v>
      </c>
      <c r="Q18" s="20" t="n">
        <f aca="false">Declarations!$B$20*Q17*Declarations!$B$20+Declarations!$B$20*R17*Declarations!$B$21+Declarations!$B$20*S17*Declarations!$B$22+Declarations!$B$21*R17*Declarations!$B$20+Declarations!$B$21*T17*Declarations!$B$21+Declarations!$B$21*U17*Declarations!$B$22+Declarations!$B$22*S17*Declarations!$B$20+Declarations!$B$22*U17*Declarations!$B$21+Declarations!$B$22*V17*Declarations!$B$22+1</f>
        <v>5.96457167385322</v>
      </c>
      <c r="R18" s="20" t="n">
        <f aca="false">Declarations!$B$20*Q17*Declarations!$C$20+Declarations!$B$20*R17*Declarations!$C$21+Declarations!$B$20*S17*Declarations!$C$22+Declarations!$B$21*R17*Declarations!$C$20+Declarations!$B$21*T17*Declarations!$C$21+Declarations!$B$21*U17*Declarations!$C$22+Declarations!$B$22*S17*Declarations!$C$20+Declarations!$B$22*U17*Declarations!$C$21+Declarations!$B$22*V17*Declarations!$C$22+0</f>
        <v>2.20804887895853</v>
      </c>
      <c r="S18" s="20" t="n">
        <f aca="false">Declarations!$B$20*Q17*Declarations!$D$20+Declarations!$B$20*R17*Declarations!$D$21+Declarations!$B$20*S17*Declarations!$D$22+Declarations!$B$21*R17*Declarations!$D$20+Declarations!$B$21*T17*Declarations!$D$21+Declarations!$B$21*U17*Declarations!$D$22+Declarations!$B$22*S17*Declarations!$D$20+Declarations!$B$22*U17*Declarations!$D$21+Declarations!$B$22*V17*Declarations!$D$22+0</f>
        <v>0.483628498779636</v>
      </c>
      <c r="T18" s="20" t="n">
        <f aca="false">Declarations!$C$20*Q17*Declarations!$C$20+Declarations!$C$20*R17*Declarations!$C$21+Declarations!$C$20*S17*Declarations!$C$22+Declarations!$C$21*R17*Declarations!$C$20+Declarations!$C$21*T17*Declarations!$C$21+Declarations!$C$21*U17*Declarations!$C$22+Declarations!$C$22*S17*Declarations!$C$20+Declarations!$C$22*U17*Declarations!$C$21+Declarations!$C$22*V17*Declarations!$C$22+1</f>
        <v>4.30638485480742</v>
      </c>
      <c r="U18" s="20" t="n">
        <f aca="false">Declarations!$C$20*Q17*Declarations!$D$20+Declarations!$C$20*R17*Declarations!$D$21+Declarations!$C$20*S17*Declarations!$D$22+Declarations!$C$21*R17*Declarations!$D$20+Declarations!$C$21*T17*Declarations!$D$21+Declarations!$C$21*U17*Declarations!$D$22+Declarations!$C$22*S17*Declarations!$D$20+Declarations!$C$22*U17*Declarations!$D$21+Declarations!$C$22*V17*Declarations!$D$22+0</f>
        <v>0.669415615278613</v>
      </c>
      <c r="V18" s="20" t="n">
        <f aca="false">Declarations!$D$20*Q17*Declarations!$D$20+Declarations!$D$20*R17*Declarations!$D$21+Declarations!$D$20*S17*Declarations!$D$22+Declarations!$D$21*R17*Declarations!$D$20+Declarations!$D$21*T17*Declarations!$D$21+Declarations!$D$21*U17*Declarations!$D$22+Declarations!$D$22*S17*Declarations!$D$20+Declarations!$D$22*U17*Declarations!$D$21+Declarations!$D$22*V17*Declarations!$D$22+1</f>
        <v>2.74575218042759</v>
      </c>
      <c r="X18" s="18" t="n">
        <v>6</v>
      </c>
      <c r="Y18" s="12" t="n">
        <f aca="false">Superposition!H12-PolicyMap!I8</f>
        <v>-24.6778256875001</v>
      </c>
      <c r="Z18" s="12" t="n">
        <f aca="false">Superposition!I12-PolicyMap!I9</f>
        <v>-24.1535376875</v>
      </c>
      <c r="AA18" s="12" t="n">
        <f aca="false">Superposition!J12-PolicyMap!I10</f>
        <v>-14.7818896875</v>
      </c>
      <c r="AB18" s="12" t="n">
        <f aca="false">Y18^2+Z18^2+AA18^2</f>
        <v>1410.89272621754</v>
      </c>
      <c r="AC18" s="12" t="n">
        <f aca="false">$Y$4*Y18^2+$Z$5*Z18^2+$AA$6*AA18^2+2*$Z$4*Y18*Z18+2*$AA$4*Y18*AA18+2*$AA$5*Z18*AA18</f>
        <v>16698.086039223</v>
      </c>
      <c r="AD18" s="18" t="n">
        <f aca="false">IF(AB18&gt;AB17+0.000000001,1,0)</f>
        <v>0</v>
      </c>
      <c r="AE18" s="18" t="n">
        <f aca="false">IF(AC18&gt;AC17+0.000000001,1,0)</f>
        <v>0</v>
      </c>
    </row>
    <row r="19" customFormat="false" ht="15" hidden="false" customHeight="false" outlineLevel="0" collapsed="false">
      <c r="A19" s="18" t="n">
        <v>10</v>
      </c>
      <c r="B19" s="20" t="n">
        <f aca="false">$B$4*B18*$B$4+$B$4*C18*$B$5+$B$5*C18*$B$4+$B$5*D18*$B$5+$E$4</f>
        <v>9.41904188390495</v>
      </c>
      <c r="C19" s="20" t="n">
        <f aca="false">$B$4*B18*$C$4+$B$4*C18*$C$5+$B$5*C18*$C$4+$B$5*D18*$C$5+$F$4</f>
        <v>-3.91684533178576</v>
      </c>
      <c r="D19" s="20" t="n">
        <f aca="false">$C$4*B18*$C$4+$C$4*C18*$C$5+$C$5*C18*$C$4+$C$5*D18*$C$5+$F$5</f>
        <v>8.08562177738273</v>
      </c>
      <c r="H19" s="18" t="n">
        <v>8</v>
      </c>
      <c r="I19" s="17" t="n">
        <f aca="false">$B$4*I18+$C$4*J18</f>
        <v>19.4796089999999</v>
      </c>
      <c r="J19" s="17" t="n">
        <f aca="false">$B$5*I18+$C$5*J18</f>
        <v>-57.01509</v>
      </c>
      <c r="K19" s="18" t="n">
        <f aca="false">I19^2+J19^2</f>
        <v>3630.17565450098</v>
      </c>
      <c r="L19" s="18" t="n">
        <f aca="false">$I$4*I19^2+2*$I$5*I19*J19+$I$6*J19^2</f>
        <v>56986.7700389575</v>
      </c>
      <c r="M19" s="18" t="n">
        <f aca="false">IF(K19&gt;K18+0.000000001,1,0)</f>
        <v>0</v>
      </c>
      <c r="N19" s="18" t="n">
        <f aca="false">IF(L19&gt;L18+0.000000001,1,0)</f>
        <v>0</v>
      </c>
      <c r="P19" s="18" t="n">
        <v>10</v>
      </c>
      <c r="Q19" s="20" t="n">
        <f aca="false">Declarations!$B$20*Q18*Declarations!$B$20+Declarations!$B$20*R18*Declarations!$B$21+Declarations!$B$20*S18*Declarations!$B$22+Declarations!$B$21*R18*Declarations!$B$20+Declarations!$B$21*T18*Declarations!$B$21+Declarations!$B$21*U18*Declarations!$B$22+Declarations!$B$22*S18*Declarations!$B$20+Declarations!$B$22*U18*Declarations!$B$21+Declarations!$B$22*V18*Declarations!$B$22+1</f>
        <v>6.32890080407574</v>
      </c>
      <c r="R19" s="20" t="n">
        <f aca="false">Declarations!$B$20*Q18*Declarations!$C$20+Declarations!$B$20*R18*Declarations!$C$21+Declarations!$B$20*S18*Declarations!$C$22+Declarations!$B$21*R18*Declarations!$C$20+Declarations!$B$21*T18*Declarations!$C$21+Declarations!$B$21*U18*Declarations!$C$22+Declarations!$B$22*S18*Declarations!$C$20+Declarations!$B$22*U18*Declarations!$C$21+Declarations!$B$22*V18*Declarations!$C$22+0</f>
        <v>2.42825479162147</v>
      </c>
      <c r="S19" s="20" t="n">
        <f aca="false">Declarations!$B$20*Q18*Declarations!$D$20+Declarations!$B$20*R18*Declarations!$D$21+Declarations!$B$20*S18*Declarations!$D$22+Declarations!$B$21*R18*Declarations!$D$20+Declarations!$B$21*T18*Declarations!$D$21+Declarations!$B$21*U18*Declarations!$D$22+Declarations!$B$22*S18*Declarations!$D$20+Declarations!$B$22*U18*Declarations!$D$21+Declarations!$B$22*V18*Declarations!$D$22+0</f>
        <v>0.511595855560731</v>
      </c>
      <c r="T19" s="20" t="n">
        <f aca="false">Declarations!$C$20*Q18*Declarations!$C$20+Declarations!$C$20*R18*Declarations!$C$21+Declarations!$C$20*S18*Declarations!$C$22+Declarations!$C$21*R18*Declarations!$C$20+Declarations!$C$21*T18*Declarations!$C$21+Declarations!$C$21*U18*Declarations!$C$22+Declarations!$C$22*S18*Declarations!$C$20+Declarations!$C$22*U18*Declarations!$C$21+Declarations!$C$22*V18*Declarations!$C$22+1</f>
        <v>4.46005310288391</v>
      </c>
      <c r="U19" s="20" t="n">
        <f aca="false">Declarations!$C$20*Q18*Declarations!$D$20+Declarations!$C$20*R18*Declarations!$D$21+Declarations!$C$20*S18*Declarations!$D$22+Declarations!$C$21*R18*Declarations!$D$20+Declarations!$C$21*T18*Declarations!$D$21+Declarations!$C$21*U18*Declarations!$D$22+Declarations!$C$22*S18*Declarations!$D$20+Declarations!$C$22*U18*Declarations!$D$21+Declarations!$C$22*V18*Declarations!$D$22+0</f>
        <v>0.694207932774849</v>
      </c>
      <c r="V19" s="20" t="n">
        <f aca="false">Declarations!$D$20*Q18*Declarations!$D$20+Declarations!$D$20*R18*Declarations!$D$21+Declarations!$D$20*S18*Declarations!$D$22+Declarations!$D$21*R18*Declarations!$D$20+Declarations!$D$21*T18*Declarations!$D$21+Declarations!$D$21*U18*Declarations!$D$22+Declarations!$D$22*S18*Declarations!$D$20+Declarations!$D$22*U18*Declarations!$D$21+Declarations!$D$22*V18*Declarations!$D$22+1</f>
        <v>2.75728139547366</v>
      </c>
      <c r="X19" s="18" t="n">
        <v>7</v>
      </c>
      <c r="Y19" s="12" t="n">
        <f aca="false">Superposition!H13-PolicyMap!I8</f>
        <v>-23.4177200031251</v>
      </c>
      <c r="Z19" s="12" t="n">
        <f aca="false">Superposition!I13-PolicyMap!I9</f>
        <v>-22.998289603125</v>
      </c>
      <c r="AA19" s="12" t="n">
        <f aca="false">Superposition!J13-PolicyMap!I10</f>
        <v>-15.474756803125</v>
      </c>
      <c r="AB19" s="12" t="n">
        <f aca="false">Y19^2+Z19^2+AA19^2</f>
        <v>1316.77903292984</v>
      </c>
      <c r="AC19" s="12" t="n">
        <f aca="false">$Y$4*Y19^2+$Z$5*Z19^2+$AA$6*AA19^2+2*$Z$4*Y19*Z19+2*$AA$4*Y19*AA19+2*$AA$5*Z19*AA19</f>
        <v>15287.1933130055</v>
      </c>
      <c r="AD19" s="18" t="n">
        <f aca="false">IF(AB19&gt;AB18+0.000000001,1,0)</f>
        <v>0</v>
      </c>
      <c r="AE19" s="18" t="n">
        <f aca="false">IF(AC19&gt;AC18+0.000000001,1,0)</f>
        <v>0</v>
      </c>
    </row>
    <row r="20" customFormat="false" ht="15" hidden="false" customHeight="false" outlineLevel="0" collapsed="false">
      <c r="A20" s="18" t="n">
        <v>11</v>
      </c>
      <c r="B20" s="20" t="n">
        <f aca="false">$B$4*B19*$B$4+$B$4*C19*$B$5+$B$5*C19*$B$4+$B$5*D19*$B$5+$E$4</f>
        <v>9.66472410613136</v>
      </c>
      <c r="C20" s="20" t="n">
        <f aca="false">$B$4*B19*$C$4+$B$4*C19*$C$5+$B$5*C19*$C$4+$B$5*D19*$C$5+$F$4</f>
        <v>-4.10426312735582</v>
      </c>
      <c r="D20" s="20" t="n">
        <f aca="false">$C$4*B19*$C$4+$C$4*C19*$C$5+$C$5*C19*$C$4+$C$5*D19*$C$5+$F$5</f>
        <v>8.62942392596301</v>
      </c>
      <c r="H20" s="18" t="n">
        <v>9</v>
      </c>
      <c r="I20" s="17" t="n">
        <f aca="false">$B$4*I19+$C$4*J19</f>
        <v>68.8452290999999</v>
      </c>
      <c r="J20" s="17" t="n">
        <f aca="false">$B$5*I19+$C$5*J19</f>
        <v>19.4796089999999</v>
      </c>
      <c r="K20" s="18" t="n">
        <f aca="false">I20^2+J20^2</f>
        <v>5119.12073662436</v>
      </c>
      <c r="L20" s="18" t="n">
        <f aca="false">$I$4*I20^2+2*$I$5*I20*J20+$I$6*J20^2</f>
        <v>53356.5943844565</v>
      </c>
      <c r="M20" s="18" t="n">
        <f aca="false">IF(K20&gt;K19+0.000000001,1,0)</f>
        <v>1</v>
      </c>
      <c r="N20" s="18" t="n">
        <f aca="false">IF(L20&gt;L19+0.000000001,1,0)</f>
        <v>0</v>
      </c>
      <c r="P20" s="18" t="n">
        <v>11</v>
      </c>
      <c r="Q20" s="20" t="n">
        <f aca="false">Declarations!$B$20*Q19*Declarations!$B$20+Declarations!$B$20*R19*Declarations!$B$21+Declarations!$B$20*S19*Declarations!$B$22+Declarations!$B$21*R19*Declarations!$B$20+Declarations!$B$21*T19*Declarations!$B$21+Declarations!$B$21*U19*Declarations!$B$22+Declarations!$B$22*S19*Declarations!$B$20+Declarations!$B$22*U19*Declarations!$B$21+Declarations!$B$22*V19*Declarations!$B$22+1</f>
        <v>6.66797495463895</v>
      </c>
      <c r="R20" s="20" t="n">
        <f aca="false">Declarations!$B$20*Q19*Declarations!$C$20+Declarations!$B$20*R19*Declarations!$C$21+Declarations!$B$20*S19*Declarations!$C$22+Declarations!$B$21*R19*Declarations!$C$20+Declarations!$B$21*T19*Declarations!$C$21+Declarations!$B$21*U19*Declarations!$C$22+Declarations!$B$22*S19*Declarations!$C$20+Declarations!$B$22*U19*Declarations!$C$21+Declarations!$B$22*V19*Declarations!$C$22+0</f>
        <v>2.63121617956449</v>
      </c>
      <c r="S20" s="20" t="n">
        <f aca="false">Declarations!$B$20*Q19*Declarations!$D$20+Declarations!$B$20*R19*Declarations!$D$21+Declarations!$B$20*S19*Declarations!$D$22+Declarations!$B$21*R19*Declarations!$D$20+Declarations!$B$21*T19*Declarations!$D$21+Declarations!$B$21*U19*Declarations!$D$22+Declarations!$B$22*S19*Declarations!$D$20+Declarations!$B$22*U19*Declarations!$D$21+Declarations!$B$22*V19*Declarations!$D$22+0</f>
        <v>0.53417690644466</v>
      </c>
      <c r="T20" s="20" t="n">
        <f aca="false">Declarations!$C$20*Q19*Declarations!$C$20+Declarations!$C$20*R19*Declarations!$C$21+Declarations!$C$20*S19*Declarations!$C$22+Declarations!$C$21*R19*Declarations!$C$20+Declarations!$C$21*T19*Declarations!$C$21+Declarations!$C$21*U19*Declarations!$C$22+Declarations!$C$22*S19*Declarations!$C$20+Declarations!$C$22*U19*Declarations!$C$21+Declarations!$C$22*V19*Declarations!$C$22+1</f>
        <v>4.59531639721371</v>
      </c>
      <c r="U20" s="20" t="n">
        <f aca="false">Declarations!$C$20*Q19*Declarations!$D$20+Declarations!$C$20*R19*Declarations!$D$21+Declarations!$C$20*S19*Declarations!$D$22+Declarations!$C$21*R19*Declarations!$D$20+Declarations!$C$21*T19*Declarations!$D$21+Declarations!$C$21*U19*Declarations!$D$22+Declarations!$C$22*S19*Declarations!$D$20+Declarations!$C$22*U19*Declarations!$D$21+Declarations!$C$22*V19*Declarations!$D$22+0</f>
        <v>0.713107740147219</v>
      </c>
      <c r="V20" s="20" t="n">
        <f aca="false">Declarations!$D$20*Q19*Declarations!$D$20+Declarations!$D$20*R19*Declarations!$D$21+Declarations!$D$20*S19*Declarations!$D$22+Declarations!$D$21*R19*Declarations!$D$20+Declarations!$D$21*T19*Declarations!$D$21+Declarations!$D$21*U19*Declarations!$D$22+Declarations!$D$22*S19*Declarations!$D$20+Declarations!$D$22*U19*Declarations!$D$21+Declarations!$D$22*V19*Declarations!$D$22+1</f>
        <v>2.76466009310314</v>
      </c>
      <c r="X20" s="18" t="n">
        <v>8</v>
      </c>
      <c r="Y20" s="12" t="n">
        <f aca="false">Superposition!H14-PolicyMap!I8</f>
        <v>-22.2258624829688</v>
      </c>
      <c r="Z20" s="12" t="n">
        <f aca="false">Superposition!I14-PolicyMap!I9</f>
        <v>-21.8903181629688</v>
      </c>
      <c r="AA20" s="12" t="n">
        <f aca="false">Superposition!J14-PolicyMap!I10</f>
        <v>-15.8505204029688</v>
      </c>
      <c r="AB20" s="12" t="n">
        <f aca="false">Y20^2+Z20^2+AA20^2</f>
        <v>1224.41398943277</v>
      </c>
      <c r="AC20" s="12" t="n">
        <f aca="false">$Y$4*Y20^2+$Z$5*Z20^2+$AA$6*AA20^2+2*$Z$4*Y20*Z20+2*$AA$4*Y20*AA20+2*$AA$5*Z20*AA20</f>
        <v>13970.4142800757</v>
      </c>
      <c r="AD20" s="18" t="n">
        <f aca="false">IF(AB20&gt;AB19+0.000000001,1,0)</f>
        <v>0</v>
      </c>
      <c r="AE20" s="18" t="n">
        <f aca="false">IF(AC20&gt;AC19+0.000000001,1,0)</f>
        <v>0</v>
      </c>
    </row>
    <row r="21" customFormat="false" ht="15" hidden="false" customHeight="false" outlineLevel="0" collapsed="false">
      <c r="A21" s="18" t="n">
        <v>12</v>
      </c>
      <c r="B21" s="20" t="n">
        <f aca="false">$B$4*B20*$B$4+$B$4*C20*$B$5+$B$5*C20*$B$4+$B$5*D20*$B$5+$E$4</f>
        <v>10.0701768226889</v>
      </c>
      <c r="C21" s="20" t="n">
        <f aca="false">$B$4*B20*$C$4+$B$4*C20*$C$5+$B$5*C20*$C$4+$B$5*D20*$C$5+$F$4</f>
        <v>-4.13458971134616</v>
      </c>
      <c r="D21" s="20" t="n">
        <f aca="false">$C$4*B20*$C$4+$C$4*C20*$C$5+$C$5*C20*$C$4+$C$5*D20*$C$5+$F$5</f>
        <v>8.8284265259664</v>
      </c>
      <c r="H21" s="18" t="n">
        <v>10</v>
      </c>
      <c r="I21" s="17" t="n">
        <f aca="false">$B$4*I20+$C$4*J20</f>
        <v>44.42905809</v>
      </c>
      <c r="J21" s="17" t="n">
        <f aca="false">$B$5*I20+$C$5*J20</f>
        <v>68.8452290999999</v>
      </c>
      <c r="K21" s="18" t="n">
        <f aca="false">I21^2+J21^2</f>
        <v>6713.60677259607</v>
      </c>
      <c r="L21" s="18" t="n">
        <f aca="false">$I$4*I21^2+2*$I$5*I21*J21+$I$6*J21^2</f>
        <v>48237.4736478321</v>
      </c>
      <c r="M21" s="18" t="n">
        <f aca="false">IF(K21&gt;K20+0.000000001,1,0)</f>
        <v>1</v>
      </c>
      <c r="N21" s="18" t="n">
        <f aca="false">IF(L21&gt;L20+0.000000001,1,0)</f>
        <v>0</v>
      </c>
      <c r="P21" s="18" t="n">
        <v>12</v>
      </c>
      <c r="Q21" s="20" t="n">
        <f aca="false">Declarations!$B$20*Q20*Declarations!$B$20+Declarations!$B$20*R20*Declarations!$B$21+Declarations!$B$20*S20*Declarations!$B$22+Declarations!$B$21*R20*Declarations!$B$20+Declarations!$B$21*T20*Declarations!$B$21+Declarations!$B$21*U20*Declarations!$B$22+Declarations!$B$22*S20*Declarations!$B$20+Declarations!$B$22*U20*Declarations!$B$21+Declarations!$B$22*V20*Declarations!$B$22+1</f>
        <v>6.98275043876555</v>
      </c>
      <c r="R21" s="20" t="n">
        <f aca="false">Declarations!$B$20*Q20*Declarations!$C$20+Declarations!$B$20*R20*Declarations!$C$21+Declarations!$B$20*S20*Declarations!$C$22+Declarations!$B$21*R20*Declarations!$C$20+Declarations!$B$21*T20*Declarations!$C$21+Declarations!$B$21*U20*Declarations!$C$22+Declarations!$B$22*S20*Declarations!$C$20+Declarations!$B$22*U20*Declarations!$C$21+Declarations!$B$22*V20*Declarations!$C$22+0</f>
        <v>2.81737004565595</v>
      </c>
      <c r="S21" s="20" t="n">
        <f aca="false">Declarations!$B$20*Q20*Declarations!$D$20+Declarations!$B$20*R20*Declarations!$D$21+Declarations!$B$20*S20*Declarations!$D$22+Declarations!$B$21*R20*Declarations!$D$20+Declarations!$B$21*T20*Declarations!$D$21+Declarations!$B$21*U20*Declarations!$D$22+Declarations!$B$22*S20*Declarations!$D$20+Declarations!$B$22*U20*Declarations!$D$21+Declarations!$B$22*V20*Declarations!$D$22+0</f>
        <v>0.552242395576059</v>
      </c>
      <c r="T21" s="20" t="n">
        <f aca="false">Declarations!$C$20*Q20*Declarations!$C$20+Declarations!$C$20*R20*Declarations!$C$21+Declarations!$C$20*S20*Declarations!$C$22+Declarations!$C$21*R20*Declarations!$C$20+Declarations!$C$21*T20*Declarations!$C$21+Declarations!$C$21*U20*Declarations!$C$22+Declarations!$C$22*S20*Declarations!$C$20+Declarations!$C$22*U20*Declarations!$C$21+Declarations!$C$22*V20*Declarations!$C$22+1</f>
        <v>4.71465609545699</v>
      </c>
      <c r="U21" s="20" t="n">
        <f aca="false">Declarations!$C$20*Q20*Declarations!$D$20+Declarations!$C$20*R20*Declarations!$D$21+Declarations!$C$20*S20*Declarations!$D$22+Declarations!$C$21*R20*Declarations!$D$20+Declarations!$C$21*T20*Declarations!$D$21+Declarations!$C$21*U20*Declarations!$D$22+Declarations!$C$22*S20*Declarations!$D$20+Declarations!$C$22*U20*Declarations!$D$21+Declarations!$C$22*V20*Declarations!$D$22+0</f>
        <v>0.727453147006147</v>
      </c>
      <c r="V21" s="20" t="n">
        <f aca="false">Declarations!$D$20*Q20*Declarations!$D$20+Declarations!$D$20*R20*Declarations!$D$21+Declarations!$D$20*S20*Declarations!$D$22+Declarations!$D$21*R20*Declarations!$D$20+Declarations!$D$21*T20*Declarations!$D$21+Declarations!$D$21*U20*Declarations!$D$22+Declarations!$D$22*S20*Declarations!$D$20+Declarations!$D$22*U20*Declarations!$D$21+Declarations!$D$22*V20*Declarations!$D$22+1</f>
        <v>2.76938245958601</v>
      </c>
      <c r="X21" s="18" t="n">
        <v>9</v>
      </c>
      <c r="Y21" s="12" t="n">
        <f aca="false">Superposition!H15-PolicyMap!I8</f>
        <v>-21.0977921428204</v>
      </c>
      <c r="Z21" s="12" t="n">
        <f aca="false">Superposition!I15-PolicyMap!I9</f>
        <v>-20.8293566868204</v>
      </c>
      <c r="AA21" s="12" t="n">
        <f aca="false">Superposition!J15-PolicyMap!I10</f>
        <v>-15.9807412628203</v>
      </c>
      <c r="AB21" s="12" t="n">
        <f aca="false">Y21^2+Z21^2+AA21^2</f>
        <v>1134.36302459765</v>
      </c>
      <c r="AC21" s="12" t="n">
        <f aca="false">$Y$4*Y21^2+$Z$5*Z21^2+$AA$6*AA21^2+2*$Z$4*Y21*Z21+2*$AA$4*Y21*AA21+2*$AA$5*Z21*AA21</f>
        <v>12746.0002906429</v>
      </c>
      <c r="AD21" s="18" t="n">
        <f aca="false">IF(AB21&gt;AB20+0.000000001,1,0)</f>
        <v>0</v>
      </c>
      <c r="AE21" s="18" t="n">
        <f aca="false">IF(AC21&gt;AC20+0.000000001,1,0)</f>
        <v>0</v>
      </c>
    </row>
    <row r="22" customFormat="false" ht="15" hidden="false" customHeight="false" outlineLevel="0" collapsed="false">
      <c r="A22" s="18" t="n">
        <v>13</v>
      </c>
      <c r="B22" s="20" t="n">
        <f aca="false">$B$4*B21*$B$4+$B$4*C21*$B$5+$B$5*C21*$B$4+$B$5*D21*$B$5+$E$4</f>
        <v>10.5430082719213</v>
      </c>
      <c r="C22" s="20" t="n">
        <f aca="false">$B$4*B21*$C$4+$B$4*C21*$C$5+$B$5*C21*$C$4+$B$5*D21*$C$5+$F$4</f>
        <v>-4.43571248616649</v>
      </c>
      <c r="D22" s="20" t="n">
        <f aca="false">$C$4*B21*$C$4+$C$4*C21*$C$5+$C$5*C21*$C$4+$C$5*D21*$C$5+$F$5</f>
        <v>9.15684322637803</v>
      </c>
      <c r="H22" s="18" t="n">
        <v>11</v>
      </c>
      <c r="I22" s="17" t="n">
        <f aca="false">$B$4*I21+$C$4*J21</f>
        <v>-21.9745539089999</v>
      </c>
      <c r="J22" s="17" t="n">
        <f aca="false">$B$5*I21+$C$5*J21</f>
        <v>44.42905809</v>
      </c>
      <c r="K22" s="18" t="n">
        <f aca="false">I22^2+J22^2</f>
        <v>2456.82222226414</v>
      </c>
      <c r="L22" s="18" t="n">
        <f aca="false">$I$4*I22^2+2*$I$5*I22*J22+$I$6*J22^2</f>
        <v>41523.8668752361</v>
      </c>
      <c r="M22" s="18" t="n">
        <f aca="false">IF(K22&gt;K21+0.000000001,1,0)</f>
        <v>0</v>
      </c>
      <c r="N22" s="18" t="n">
        <f aca="false">IF(L22&gt;L21+0.000000001,1,0)</f>
        <v>0</v>
      </c>
      <c r="P22" s="18" t="n">
        <v>13</v>
      </c>
      <c r="Q22" s="20" t="n">
        <f aca="false">Declarations!$B$20*Q21*Declarations!$B$20+Declarations!$B$20*R21*Declarations!$B$21+Declarations!$B$20*S21*Declarations!$B$22+Declarations!$B$21*R21*Declarations!$B$20+Declarations!$B$21*T21*Declarations!$B$21+Declarations!$B$21*U21*Declarations!$B$22+Declarations!$B$22*S21*Declarations!$B$20+Declarations!$B$22*U21*Declarations!$B$21+Declarations!$B$22*V21*Declarations!$B$22+1</f>
        <v>7.27420082779361</v>
      </c>
      <c r="R22" s="20" t="n">
        <f aca="false">Declarations!$B$20*Q21*Declarations!$C$20+Declarations!$B$20*R21*Declarations!$C$21+Declarations!$B$20*S21*Declarations!$C$22+Declarations!$B$21*R21*Declarations!$C$20+Declarations!$B$21*T21*Declarations!$C$21+Declarations!$B$21*U21*Declarations!$C$22+Declarations!$B$22*S21*Declarations!$C$20+Declarations!$B$22*U21*Declarations!$C$21+Declarations!$B$22*V21*Declarations!$C$22+0</f>
        <v>2.98746509711991</v>
      </c>
      <c r="S22" s="20" t="n">
        <f aca="false">Declarations!$B$20*Q21*Declarations!$D$20+Declarations!$B$20*R21*Declarations!$D$21+Declarations!$B$20*S21*Declarations!$D$22+Declarations!$B$21*R21*Declarations!$D$20+Declarations!$B$21*T21*Declarations!$D$21+Declarations!$B$21*U21*Declarations!$D$22+Declarations!$B$22*S21*Declarations!$D$20+Declarations!$B$22*U21*Declarations!$D$21+Declarations!$B$22*V21*Declarations!$D$22+0</f>
        <v>0.566586074958694</v>
      </c>
      <c r="T22" s="20" t="n">
        <f aca="false">Declarations!$C$20*Q21*Declarations!$C$20+Declarations!$C$20*R21*Declarations!$C$21+Declarations!$C$20*S21*Declarations!$C$22+Declarations!$C$21*R21*Declarations!$C$20+Declarations!$C$21*T21*Declarations!$C$21+Declarations!$C$21*U21*Declarations!$C$22+Declarations!$C$22*S21*Declarations!$C$20+Declarations!$C$22*U21*Declarations!$C$21+Declarations!$C$22*V21*Declarations!$C$22+1</f>
        <v>4.82015564248801</v>
      </c>
      <c r="U22" s="20" t="n">
        <f aca="false">Declarations!$C$20*Q21*Declarations!$D$20+Declarations!$C$20*R21*Declarations!$D$21+Declarations!$C$20*S21*Declarations!$D$22+Declarations!$C$21*R21*Declarations!$D$20+Declarations!$C$21*T21*Declarations!$D$21+Declarations!$C$21*U21*Declarations!$D$22+Declarations!$C$22*S21*Declarations!$D$20+Declarations!$C$22*U21*Declarations!$D$21+Declarations!$C$22*V21*Declarations!$D$22+0</f>
        <v>0.738308432554103</v>
      </c>
      <c r="V22" s="20" t="n">
        <f aca="false">Declarations!$D$20*Q21*Declarations!$D$20+Declarations!$D$20*R21*Declarations!$D$21+Declarations!$D$20*S21*Declarations!$D$22+Declarations!$D$21*R21*Declarations!$D$20+Declarations!$D$21*T21*Declarations!$D$21+Declarations!$D$21*U21*Declarations!$D$22+Declarations!$D$22*S21*Declarations!$D$20+Declarations!$D$22*U21*Declarations!$D$21+Declarations!$D$22*V21*Declarations!$D$22+1</f>
        <v>2.77240477413505</v>
      </c>
      <c r="X22" s="18" t="n">
        <v>10</v>
      </c>
      <c r="Y22" s="12" t="n">
        <f aca="false">Superposition!H16-PolicyMap!I8</f>
        <v>-20.0294807628794</v>
      </c>
      <c r="Z22" s="12" t="n">
        <f aca="false">Superposition!I16-PolicyMap!I9</f>
        <v>-19.8147323980793</v>
      </c>
      <c r="AA22" s="12" t="n">
        <f aca="false">Superposition!J16-PolicyMap!I10</f>
        <v>-15.9224182860793</v>
      </c>
      <c r="AB22" s="12" t="n">
        <f aca="false">Y22^2+Z22^2+AA22^2</f>
        <v>1047.32712371492</v>
      </c>
      <c r="AC22" s="12" t="n">
        <f aca="false">$Y$4*Y22^2+$Z$5*Z22^2+$AA$6*AA22^2+2*$Z$4*Y22*Z22+2*$AA$4*Y22*AA22+2*$AA$5*Z22*AA22</f>
        <v>11611.6372660452</v>
      </c>
      <c r="AD22" s="18" t="n">
        <f aca="false">IF(AB22&gt;AB21+0.000000001,1,0)</f>
        <v>0</v>
      </c>
      <c r="AE22" s="18" t="n">
        <f aca="false">IF(AC22&gt;AC21+0.000000001,1,0)</f>
        <v>0</v>
      </c>
    </row>
    <row r="23" customFormat="false" ht="15" hidden="false" customHeight="false" outlineLevel="0" collapsed="false">
      <c r="A23" s="18" t="n">
        <v>14</v>
      </c>
      <c r="B23" s="20" t="n">
        <f aca="false">$B$4*B22*$B$4+$B$4*C22*$B$5+$B$5*C22*$B$4+$B$5*D22*$B$5+$E$4</f>
        <v>10.7123974515346</v>
      </c>
      <c r="C23" s="20" t="n">
        <f aca="false">$B$4*B22*$C$4+$B$4*C22*$C$5+$B$5*C22*$C$4+$B$5*D22*$C$5+$F$4</f>
        <v>-4.54769546270645</v>
      </c>
      <c r="D23" s="20" t="n">
        <f aca="false">$C$4*B22*$C$4+$C$4*C22*$C$5+$C$5*C22*$C$4+$C$5*D22*$C$5+$F$5</f>
        <v>9.53983670025629</v>
      </c>
      <c r="H23" s="18" t="n">
        <v>12</v>
      </c>
      <c r="I23" s="17" t="n">
        <f aca="false">$B$4*I22+$C$4*J22</f>
        <v>-59.7632507990999</v>
      </c>
      <c r="J23" s="17" t="n">
        <f aca="false">$B$5*I22+$C$5*J22</f>
        <v>-21.9745539089999</v>
      </c>
      <c r="K23" s="18" t="n">
        <f aca="false">I23^2+J23^2</f>
        <v>4054.52716557566</v>
      </c>
      <c r="L23" s="18" t="n">
        <f aca="false">$I$4*I23^2+2*$I$5*I23*J23+$I$6*J23^2</f>
        <v>39067.0446529719</v>
      </c>
      <c r="M23" s="18" t="n">
        <f aca="false">IF(K23&gt;K22+0.000000001,1,0)</f>
        <v>1</v>
      </c>
      <c r="N23" s="18" t="n">
        <f aca="false">IF(L23&gt;L22+0.000000001,1,0)</f>
        <v>0</v>
      </c>
      <c r="P23" s="18" t="n">
        <v>14</v>
      </c>
      <c r="Q23" s="20" t="n">
        <f aca="false">Declarations!$B$20*Q22*Declarations!$B$20+Declarations!$B$20*R22*Declarations!$B$21+Declarations!$B$20*S22*Declarations!$B$22+Declarations!$B$21*R22*Declarations!$B$20+Declarations!$B$21*T22*Declarations!$B$21+Declarations!$B$21*U22*Declarations!$B$22+Declarations!$B$22*S22*Declarations!$B$20+Declarations!$B$22*U22*Declarations!$B$21+Declarations!$B$22*V22*Declarations!$B$22+1</f>
        <v>7.54335478742645</v>
      </c>
      <c r="R23" s="20" t="n">
        <f aca="false">Declarations!$B$20*Q22*Declarations!$C$20+Declarations!$B$20*R22*Declarations!$C$21+Declarations!$B$20*S22*Declarations!$C$22+Declarations!$B$21*R22*Declarations!$C$20+Declarations!$B$21*T22*Declarations!$C$21+Declarations!$B$21*U22*Declarations!$C$22+Declarations!$B$22*S22*Declarations!$C$20+Declarations!$B$22*U22*Declarations!$C$21+Declarations!$B$22*V22*Declarations!$C$22+0</f>
        <v>3.14243282015797</v>
      </c>
      <c r="S23" s="20" t="n">
        <f aca="false">Declarations!$B$20*Q22*Declarations!$D$20+Declarations!$B$20*R22*Declarations!$D$21+Declarations!$B$20*S22*Declarations!$D$22+Declarations!$B$21*R22*Declarations!$D$20+Declarations!$B$21*T22*Declarations!$D$21+Declarations!$B$21*U22*Declarations!$D$22+Declarations!$B$22*S22*Declarations!$D$20+Declarations!$B$22*U22*Declarations!$D$21+Declarations!$B$22*V22*Declarations!$D$22+0</f>
        <v>0.57790283953999</v>
      </c>
      <c r="T23" s="20" t="n">
        <f aca="false">Declarations!$C$20*Q22*Declarations!$C$20+Declarations!$C$20*R22*Declarations!$C$21+Declarations!$C$20*S22*Declarations!$C$22+Declarations!$C$21*R22*Declarations!$C$20+Declarations!$C$21*T22*Declarations!$C$21+Declarations!$C$21*U22*Declarations!$C$22+Declarations!$C$22*S22*Declarations!$C$20+Declarations!$C$22*U22*Declarations!$C$21+Declarations!$C$22*V22*Declarations!$C$22+1</f>
        <v>4.9135848290474</v>
      </c>
      <c r="U23" s="20" t="n">
        <f aca="false">Declarations!$C$20*Q22*Declarations!$D$20+Declarations!$C$20*R22*Declarations!$D$21+Declarations!$C$20*S22*Declarations!$D$22+Declarations!$C$21*R22*Declarations!$D$20+Declarations!$C$21*T22*Declarations!$D$21+Declarations!$C$21*U22*Declarations!$D$22+Declarations!$C$22*S22*Declarations!$D$20+Declarations!$C$22*U22*Declarations!$D$21+Declarations!$C$22*V22*Declarations!$D$22+0</f>
        <v>0.746505559065942</v>
      </c>
      <c r="V23" s="20" t="n">
        <f aca="false">Declarations!$D$20*Q22*Declarations!$D$20+Declarations!$D$20*R22*Declarations!$D$21+Declarations!$D$20*S22*Declarations!$D$22+Declarations!$D$21*R22*Declarations!$D$20+Declarations!$D$21*T22*Declarations!$D$21+Declarations!$D$21*U22*Declarations!$D$22+Declarations!$D$22*S22*Declarations!$D$20+Declarations!$D$22*U22*Declarations!$D$21+Declarations!$D$22*V22*Declarations!$D$22+1</f>
        <v>2.77433905544643</v>
      </c>
      <c r="X23" s="18" t="n">
        <v>11</v>
      </c>
      <c r="Y23" s="12" t="n">
        <f aca="false">Superposition!H17-PolicyMap!I8</f>
        <v>-19.0172693064954</v>
      </c>
      <c r="Z23" s="12" t="n">
        <f aca="false">Superposition!I17-PolicyMap!I9</f>
        <v>-18.8454706146554</v>
      </c>
      <c r="AA23" s="12" t="n">
        <f aca="false">Superposition!J17-PolicyMap!I10</f>
        <v>-15.7208819068154</v>
      </c>
      <c r="AB23" s="12" t="n">
        <f aca="false">Y23^2+Z23^2+AA23^2</f>
        <v>963.954422491646</v>
      </c>
      <c r="AC23" s="12" t="n">
        <f aca="false">$Y$4*Y23^2+$Z$5*Z23^2+$AA$6*AA23^2+2*$Z$4*Y23*Z23+2*$AA$4*Y23*AA23+2*$AA$5*Z23*AA23</f>
        <v>10564.3101423303</v>
      </c>
      <c r="AD23" s="18" t="n">
        <f aca="false">IF(AB23&gt;AB22+0.000000001,1,0)</f>
        <v>0</v>
      </c>
      <c r="AE23" s="18" t="n">
        <f aca="false">IF(AC23&gt;AC22+0.000000001,1,0)</f>
        <v>0</v>
      </c>
    </row>
    <row r="24" customFormat="false" ht="15" hidden="false" customHeight="false" outlineLevel="0" collapsed="false">
      <c r="A24" s="18" t="n">
        <v>15</v>
      </c>
      <c r="B24" s="20" t="n">
        <f aca="false">$B$4*B23*$B$4+$B$4*C23*$B$5+$B$5*C23*$B$4+$B$5*D23*$B$5+$E$4</f>
        <v>11.0310268031277</v>
      </c>
      <c r="C24" s="20" t="n">
        <f aca="false">$B$4*B23*$C$4+$B$4*C23*$C$5+$B$5*C23*$C$4+$B$5*D23*$C$5+$F$4</f>
        <v>-4.58411601930726</v>
      </c>
      <c r="D24" s="20" t="n">
        <f aca="false">$C$4*B23*$C$4+$C$4*C23*$C$5+$C$5*C23*$C$4+$C$5*D23*$C$5+$F$5</f>
        <v>9.67704193574306</v>
      </c>
      <c r="H24" s="18" t="n">
        <v>13</v>
      </c>
      <c r="I24" s="17" t="n">
        <f aca="false">$B$4*I23+$C$4*J23</f>
        <v>-34.00982720109</v>
      </c>
      <c r="J24" s="17" t="n">
        <f aca="false">$B$5*I23+$C$5*J23</f>
        <v>-59.7632507990999</v>
      </c>
      <c r="K24" s="18" t="n">
        <f aca="false">I24^2+J24^2</f>
        <v>4728.31449232412</v>
      </c>
      <c r="L24" s="18" t="n">
        <f aca="false">$I$4*I24^2+2*$I$5*I24*J24+$I$6*J24^2</f>
        <v>35012.5174873963</v>
      </c>
      <c r="M24" s="18" t="n">
        <f aca="false">IF(K24&gt;K23+0.000000001,1,0)</f>
        <v>1</v>
      </c>
      <c r="N24" s="18" t="n">
        <f aca="false">IF(L24&gt;L23+0.000000001,1,0)</f>
        <v>0</v>
      </c>
      <c r="P24" s="18" t="n">
        <v>15</v>
      </c>
      <c r="Q24" s="20" t="n">
        <f aca="false">Declarations!$B$20*Q23*Declarations!$B$20+Declarations!$B$20*R23*Declarations!$B$21+Declarations!$B$20*S23*Declarations!$B$22+Declarations!$B$21*R23*Declarations!$B$20+Declarations!$B$21*T23*Declarations!$B$21+Declarations!$B$21*U23*Declarations!$B$22+Declarations!$B$22*S23*Declarations!$B$20+Declarations!$B$22*U23*Declarations!$B$21+Declarations!$B$22*V23*Declarations!$B$22+1</f>
        <v>7.7913032925222</v>
      </c>
      <c r="R24" s="20" t="n">
        <f aca="false">Declarations!$B$20*Q23*Declarations!$C$20+Declarations!$B$20*R23*Declarations!$C$21+Declarations!$B$20*S23*Declarations!$C$22+Declarations!$B$21*R23*Declarations!$C$20+Declarations!$B$21*T23*Declarations!$C$21+Declarations!$B$21*U23*Declarations!$C$22+Declarations!$B$22*S23*Declarations!$C$20+Declarations!$B$22*U23*Declarations!$C$21+Declarations!$B$22*V23*Declarations!$C$22+0</f>
        <v>3.2832981972105</v>
      </c>
      <c r="S24" s="20" t="n">
        <f aca="false">Declarations!$B$20*Q23*Declarations!$D$20+Declarations!$B$20*R23*Declarations!$D$21+Declarations!$B$20*S23*Declarations!$D$22+Declarations!$B$21*R23*Declarations!$D$20+Declarations!$B$21*T23*Declarations!$D$21+Declarations!$B$21*U23*Declarations!$D$22+Declarations!$B$22*S23*Declarations!$D$20+Declarations!$B$22*U23*Declarations!$D$21+Declarations!$B$22*V23*Declarations!$D$22+0</f>
        <v>0.586784051411926</v>
      </c>
      <c r="T24" s="20" t="n">
        <f aca="false">Declarations!$C$20*Q23*Declarations!$C$20+Declarations!$C$20*R23*Declarations!$C$21+Declarations!$C$20*S23*Declarations!$C$22+Declarations!$C$21*R23*Declarations!$C$20+Declarations!$C$21*T23*Declarations!$C$21+Declarations!$C$21*U23*Declarations!$C$22+Declarations!$C$22*S23*Declarations!$C$20+Declarations!$C$22*U23*Declarations!$C$21+Declarations!$C$22*V23*Declarations!$C$22+1</f>
        <v>4.99645857965981</v>
      </c>
      <c r="U24" s="20" t="n">
        <f aca="false">Declarations!$C$20*Q23*Declarations!$D$20+Declarations!$C$20*R23*Declarations!$D$21+Declarations!$C$20*S23*Declarations!$D$22+Declarations!$C$21*R23*Declarations!$D$20+Declarations!$C$21*T23*Declarations!$D$21+Declarations!$C$21*U23*Declarations!$D$22+Declarations!$C$22*S23*Declarations!$D$20+Declarations!$C$22*U23*Declarations!$D$21+Declarations!$C$22*V23*Declarations!$D$22+0</f>
        <v>0.752687018182154</v>
      </c>
      <c r="V24" s="20" t="n">
        <f aca="false">Declarations!$D$20*Q23*Declarations!$D$20+Declarations!$D$20*R23*Declarations!$D$21+Declarations!$D$20*S23*Declarations!$D$22+Declarations!$D$21*R23*Declarations!$D$20+Declarations!$D$21*T23*Declarations!$D$21+Declarations!$D$21*U23*Declarations!$D$22+Declarations!$D$22*S23*Declarations!$D$20+Declarations!$D$22*U23*Declarations!$D$21+Declarations!$D$22*V23*Declarations!$D$22+1</f>
        <v>2.77557699548572</v>
      </c>
      <c r="X24" s="18" t="n">
        <v>12</v>
      </c>
      <c r="Y24" s="12" t="n">
        <f aca="false">Superposition!H18-PolicyMap!I8</f>
        <v>-18.0578159065786</v>
      </c>
      <c r="Z24" s="12" t="n">
        <f aca="false">Superposition!I18-PolicyMap!I9</f>
        <v>-17.9203769531066</v>
      </c>
      <c r="AA24" s="12" t="n">
        <f aca="false">Superposition!J18-PolicyMap!I10</f>
        <v>-15.4121160522426</v>
      </c>
      <c r="AB24" s="12" t="n">
        <f aca="false">Y24^2+Z24^2+AA24^2</f>
        <v>884.757946665112</v>
      </c>
      <c r="AC24" s="12" t="n">
        <f aca="false">$Y$4*Y24^2+$Z$5*Z24^2+$AA$6*AA24^2+2*$Z$4*Y24*Z24+2*$AA$4*Y24*AA24+2*$AA$5*Z24*AA24</f>
        <v>9600.35571983868</v>
      </c>
      <c r="AD24" s="18" t="n">
        <f aca="false">IF(AB24&gt;AB23+0.000000001,1,0)</f>
        <v>0</v>
      </c>
      <c r="AE24" s="18" t="n">
        <f aca="false">IF(AC24&gt;AC23+0.000000001,1,0)</f>
        <v>0</v>
      </c>
    </row>
    <row r="25" customFormat="false" ht="15" hidden="false" customHeight="false" outlineLevel="0" collapsed="false">
      <c r="A25" s="18" t="n">
        <v>16</v>
      </c>
      <c r="B25" s="20" t="n">
        <f aca="false">$B$4*B24*$B$4+$B$4*C24*$B$5+$B$5*C24*$B$4+$B$5*D24*$B$5+$E$4</f>
        <v>11.3607648115235</v>
      </c>
      <c r="C25" s="20" t="n">
        <f aca="false">$B$4*B24*$C$4+$B$4*C24*$C$5+$B$5*C24*$C$4+$B$5*D24*$C$5+$F$4</f>
        <v>-4.80942729315694</v>
      </c>
      <c r="D25" s="20" t="n">
        <f aca="false">$C$4*B24*$C$4+$C$4*C24*$C$5+$C$5*C24*$C$4+$C$5*D24*$C$5+$F$5</f>
        <v>9.93513171053347</v>
      </c>
      <c r="H25" s="18" t="n">
        <v>14</v>
      </c>
      <c r="I25" s="17" t="n">
        <f aca="false">$B$4*I24+$C$4*J24</f>
        <v>23.1780812382089</v>
      </c>
      <c r="J25" s="17" t="n">
        <f aca="false">$B$5*I24+$C$5*J24</f>
        <v>-34.00982720109</v>
      </c>
      <c r="K25" s="18" t="n">
        <f aca="false">I25^2+J25^2</f>
        <v>1693.89179613301</v>
      </c>
      <c r="L25" s="18" t="n">
        <f aca="false">$I$4*I25^2+2*$I$5*I25*J25+$I$6*J25^2</f>
        <v>30284.2029950721</v>
      </c>
      <c r="M25" s="18" t="n">
        <f aca="false">IF(K25&gt;K24+0.000000001,1,0)</f>
        <v>0</v>
      </c>
      <c r="N25" s="18" t="n">
        <f aca="false">IF(L25&gt;L24+0.000000001,1,0)</f>
        <v>0</v>
      </c>
      <c r="P25" s="18" t="n">
        <v>16</v>
      </c>
      <c r="Q25" s="20" t="n">
        <f aca="false">Declarations!$B$20*Q24*Declarations!$B$20+Declarations!$B$20*R24*Declarations!$B$21+Declarations!$B$20*S24*Declarations!$B$22+Declarations!$B$21*R24*Declarations!$B$20+Declarations!$B$21*T24*Declarations!$B$21+Declarations!$B$21*U24*Declarations!$B$22+Declarations!$B$22*S24*Declarations!$B$20+Declarations!$B$22*U24*Declarations!$B$21+Declarations!$B$22*V24*Declarations!$B$22+1</f>
        <v>8.01919030553508</v>
      </c>
      <c r="R25" s="20" t="n">
        <f aca="false">Declarations!$B$20*Q24*Declarations!$C$20+Declarations!$B$20*R24*Declarations!$C$21+Declarations!$B$20*S24*Declarations!$C$22+Declarations!$B$21*R24*Declarations!$C$20+Declarations!$B$21*T24*Declarations!$C$21+Declarations!$B$21*U24*Declarations!$C$22+Declarations!$B$22*S24*Declarations!$C$20+Declarations!$B$22*U24*Declarations!$C$21+Declarations!$B$22*V24*Declarations!$C$22+0</f>
        <v>3.41111871747426</v>
      </c>
      <c r="S25" s="20" t="n">
        <f aca="false">Declarations!$B$20*Q24*Declarations!$D$20+Declarations!$B$20*R24*Declarations!$D$21+Declarations!$B$20*S24*Declarations!$D$22+Declarations!$B$21*R24*Declarations!$D$20+Declarations!$B$21*T24*Declarations!$D$21+Declarations!$B$21*U24*Declarations!$D$22+Declarations!$B$22*S24*Declarations!$D$20+Declarations!$B$22*U24*Declarations!$D$21+Declarations!$B$22*V24*Declarations!$D$22+0</f>
        <v>0.593722558290587</v>
      </c>
      <c r="T25" s="20" t="n">
        <f aca="false">Declarations!$C$20*Q24*Declarations!$C$20+Declarations!$C$20*R24*Declarations!$C$21+Declarations!$C$20*S24*Declarations!$C$22+Declarations!$C$21*R24*Declarations!$C$20+Declarations!$C$21*T24*Declarations!$C$21+Declarations!$C$21*U24*Declarations!$C$22+Declarations!$C$22*S24*Declarations!$C$20+Declarations!$C$22*U24*Declarations!$C$21+Declarations!$C$22*V24*Declarations!$C$22+1</f>
        <v>5.07008033235836</v>
      </c>
      <c r="U25" s="20" t="n">
        <f aca="false">Declarations!$C$20*Q24*Declarations!$D$20+Declarations!$C$20*R24*Declarations!$D$21+Declarations!$C$20*S24*Declarations!$D$22+Declarations!$C$21*R24*Declarations!$D$20+Declarations!$C$21*T24*Declarations!$D$21+Declarations!$C$21*U24*Declarations!$D$22+Declarations!$C$22*S24*Declarations!$D$20+Declarations!$C$22*U24*Declarations!$D$21+Declarations!$C$22*V24*Declarations!$D$22+0</f>
        <v>0.757344694059199</v>
      </c>
      <c r="V25" s="20" t="n">
        <f aca="false">Declarations!$D$20*Q24*Declarations!$D$20+Declarations!$D$20*R24*Declarations!$D$21+Declarations!$D$20*S24*Declarations!$D$22+Declarations!$D$21*R24*Declarations!$D$20+Declarations!$D$21*T24*Declarations!$D$21+Declarations!$D$21*U24*Declarations!$D$22+Declarations!$D$22*S24*Declarations!$D$20+Declarations!$D$22*U24*Declarations!$D$21+Declarations!$D$22*V24*Declarations!$D$22+1</f>
        <v>2.77636927711086</v>
      </c>
      <c r="X25" s="18" t="n">
        <v>13</v>
      </c>
      <c r="Y25" s="12" t="n">
        <f aca="false">Superposition!H19-PolicyMap!I8</f>
        <v>-17.1480531635761</v>
      </c>
      <c r="Z25" s="12" t="n">
        <f aca="false">Superposition!I19-PolicyMap!I9</f>
        <v>-17.0381020007985</v>
      </c>
      <c r="AA25" s="12" t="n">
        <f aca="false">Superposition!J19-PolicyMap!I10</f>
        <v>-15.0246213324337</v>
      </c>
      <c r="AB25" s="12" t="n">
        <f aca="false">Y25^2+Z25^2+AA25^2</f>
        <v>810.091893273467</v>
      </c>
      <c r="AC25" s="12" t="n">
        <f aca="false">$Y$4*Y25^2+$Z$5*Z25^2+$AA$6*AA25^2+2*$Z$4*Y25*Z25+2*$AA$4*Y25*AA25+2*$AA$5*Z25*AA25</f>
        <v>8715.59777317358</v>
      </c>
      <c r="AD25" s="18" t="n">
        <f aca="false">IF(AB25&gt;AB24+0.000000001,1,0)</f>
        <v>0</v>
      </c>
      <c r="AE25" s="18" t="n">
        <f aca="false">IF(AC25&gt;AC24+0.000000001,1,0)</f>
        <v>0</v>
      </c>
    </row>
    <row r="26" customFormat="false" ht="15" hidden="false" customHeight="false" outlineLevel="0" collapsed="false">
      <c r="A26" s="18" t="n">
        <v>17</v>
      </c>
      <c r="B26" s="20" t="n">
        <f aca="false">$B$4*B25*$B$4+$B$4*C25*$B$5+$B$5*C25*$B$4+$B$5*D25*$B$5+$E$4</f>
        <v>11.480382080185</v>
      </c>
      <c r="C26" s="20" t="n">
        <f aca="false">$B$4*B25*$C$4+$B$4*C25*$C$5+$B$5*C25*$C$4+$B$5*D25*$C$5+$F$4</f>
        <v>-4.87373493349276</v>
      </c>
      <c r="D26" s="20" t="n">
        <f aca="false">$C$4*B25*$C$4+$C$4*C25*$C$5+$C$5*C25*$C$4+$C$5*D25*$C$5+$F$5</f>
        <v>10.202219497334</v>
      </c>
      <c r="H26" s="18" t="n">
        <v>15</v>
      </c>
      <c r="I26" s="17" t="n">
        <f aca="false">$B$4*I25+$C$4*J25</f>
        <v>51.469117595369</v>
      </c>
      <c r="J26" s="17" t="n">
        <f aca="false">$B$5*I25+$C$5*J25</f>
        <v>23.1780812382089</v>
      </c>
      <c r="K26" s="18" t="n">
        <f aca="false">I26^2+J26^2</f>
        <v>3186.29351593094</v>
      </c>
      <c r="L26" s="18" t="n">
        <f aca="false">$I$4*I26^2+2*$I$5*I26*J26+$I$6*J26^2</f>
        <v>28590.3111989391</v>
      </c>
      <c r="M26" s="18" t="n">
        <f aca="false">IF(K26&gt;K25+0.000000001,1,0)</f>
        <v>1</v>
      </c>
      <c r="N26" s="18" t="n">
        <f aca="false">IF(L26&gt;L25+0.000000001,1,0)</f>
        <v>0</v>
      </c>
      <c r="P26" s="18" t="n">
        <v>17</v>
      </c>
      <c r="Q26" s="20" t="n">
        <f aca="false">Declarations!$B$20*Q25*Declarations!$B$20+Declarations!$B$20*R25*Declarations!$B$21+Declarations!$B$20*S25*Declarations!$B$22+Declarations!$B$21*R25*Declarations!$B$20+Declarations!$B$21*T25*Declarations!$B$21+Declarations!$B$21*U25*Declarations!$B$22+Declarations!$B$22*S25*Declarations!$B$20+Declarations!$B$22*U25*Declarations!$B$21+Declarations!$B$22*V25*Declarations!$B$22+1</f>
        <v>8.22819572033189</v>
      </c>
      <c r="R26" s="20" t="n">
        <f aca="false">Declarations!$B$20*Q25*Declarations!$C$20+Declarations!$B$20*R25*Declarations!$C$21+Declarations!$B$20*S25*Declarations!$C$22+Declarations!$B$21*R25*Declarations!$C$20+Declarations!$B$21*T25*Declarations!$C$21+Declarations!$B$21*U25*Declarations!$C$22+Declarations!$B$22*S25*Declarations!$C$20+Declarations!$B$22*U25*Declarations!$C$21+Declarations!$B$22*V25*Declarations!$C$22+0</f>
        <v>3.52694358392026</v>
      </c>
      <c r="S26" s="20" t="n">
        <f aca="false">Declarations!$B$20*Q25*Declarations!$D$20+Declarations!$B$20*R25*Declarations!$D$21+Declarations!$B$20*S25*Declarations!$D$22+Declarations!$B$21*R25*Declarations!$D$20+Declarations!$B$21*T25*Declarations!$D$21+Declarations!$B$21*U25*Declarations!$D$22+Declarations!$B$22*S25*Declarations!$D$20+Declarations!$B$22*U25*Declarations!$D$21+Declarations!$B$22*V25*Declarations!$D$22+0</f>
        <v>0.599122588578393</v>
      </c>
      <c r="T26" s="20" t="n">
        <f aca="false">Declarations!$C$20*Q25*Declarations!$C$20+Declarations!$C$20*R25*Declarations!$C$21+Declarations!$C$20*S25*Declarations!$C$22+Declarations!$C$21*R25*Declarations!$C$20+Declarations!$C$21*T25*Declarations!$C$21+Declarations!$C$21*U25*Declarations!$C$22+Declarations!$C$22*S25*Declarations!$C$20+Declarations!$C$22*U25*Declarations!$C$21+Declarations!$C$22*V25*Declarations!$C$22+1</f>
        <v>5.13557562322214</v>
      </c>
      <c r="U26" s="20" t="n">
        <f aca="false">Declarations!$C$20*Q25*Declarations!$D$20+Declarations!$C$20*R25*Declarations!$D$21+Declarations!$C$20*S25*Declarations!$D$22+Declarations!$C$21*R25*Declarations!$D$20+Declarations!$C$21*T25*Declarations!$D$21+Declarations!$C$21*U25*Declarations!$D$22+Declarations!$C$22*S25*Declarations!$D$20+Declarations!$C$22*U25*Declarations!$D$21+Declarations!$C$22*V25*Declarations!$D$22+0</f>
        <v>0.760852836460748</v>
      </c>
      <c r="V26" s="20" t="n">
        <f aca="false">Declarations!$D$20*Q25*Declarations!$D$20+Declarations!$D$20*R25*Declarations!$D$21+Declarations!$D$20*S25*Declarations!$D$22+Declarations!$D$21*R25*Declarations!$D$20+Declarations!$D$21*T25*Declarations!$D$21+Declarations!$D$21*U25*Declarations!$D$22+Declarations!$D$22*S25*Declarations!$D$20+Declarations!$D$22*U25*Declarations!$D$21+Declarations!$D$22*V25*Declarations!$D$22+1</f>
        <v>2.77687633735095</v>
      </c>
      <c r="X26" s="18" t="n">
        <v>14</v>
      </c>
      <c r="Y26" s="12" t="n">
        <f aca="false">Superposition!H20-PolicyMap!I8</f>
        <v>-16.2851529472584</v>
      </c>
      <c r="Z26" s="12" t="n">
        <f aca="false">Superposition!I20-PolicyMap!I9</f>
        <v>-16.1971920170363</v>
      </c>
      <c r="AA26" s="12" t="n">
        <f aca="false">Superposition!J20-PolicyMap!I10</f>
        <v>-14.5809099242056</v>
      </c>
      <c r="AB26" s="12" t="n">
        <f aca="false">Y26^2+Z26^2+AA26^2</f>
        <v>740.158169970142</v>
      </c>
      <c r="AC26" s="12" t="n">
        <f aca="false">$Y$4*Y26^2+$Z$5*Z26^2+$AA$6*AA26^2+2*$Z$4*Y26*Z26+2*$AA$4*Y26*AA26+2*$AA$5*Z26*AA26</f>
        <v>7905.50587990011</v>
      </c>
      <c r="AD26" s="18" t="n">
        <f aca="false">IF(AB26&gt;AB25+0.000000001,1,0)</f>
        <v>0</v>
      </c>
      <c r="AE26" s="18" t="n">
        <f aca="false">IF(AC26&gt;AC25+0.000000001,1,0)</f>
        <v>0</v>
      </c>
    </row>
    <row r="27" customFormat="false" ht="15" hidden="false" customHeight="false" outlineLevel="0" collapsed="false">
      <c r="A27" s="18" t="n">
        <v>18</v>
      </c>
      <c r="B27" s="20" t="n">
        <f aca="false">$B$4*B26*$B$4+$B$4*C26*$B$5+$B$5*C26*$B$4+$B$5*D26*$B$5+$E$4</f>
        <v>11.7286061019969</v>
      </c>
      <c r="C27" s="20" t="n">
        <f aca="false">$B$4*B26*$C$4+$B$4*C26*$C$5+$B$5*C26*$C$4+$B$5*D26*$C$5+$F$4</f>
        <v>-4.91274804480635</v>
      </c>
      <c r="D27" s="20" t="n">
        <f aca="false">$C$4*B26*$C$4+$C$4*C26*$C$5+$C$5*C26*$C$4+$C$5*D26*$C$5+$F$5</f>
        <v>10.2991094849498</v>
      </c>
      <c r="H27" s="18" t="n">
        <v>16</v>
      </c>
      <c r="I27" s="17" t="n">
        <f aca="false">$B$4*I26+$C$4*J26</f>
        <v>25.4619327214441</v>
      </c>
      <c r="J27" s="17" t="n">
        <f aca="false">$B$5*I26+$C$5*J26</f>
        <v>51.469117595369</v>
      </c>
      <c r="K27" s="18" t="n">
        <f aca="false">I27^2+J27^2</f>
        <v>3297.38008395727</v>
      </c>
      <c r="L27" s="18" t="n">
        <f aca="false">$I$4*I27^2+2*$I$5*I27*J27+$I$6*J27^2</f>
        <v>25404.0176830082</v>
      </c>
      <c r="M27" s="18" t="n">
        <f aca="false">IF(K27&gt;K26+0.000000001,1,0)</f>
        <v>1</v>
      </c>
      <c r="N27" s="18" t="n">
        <f aca="false">IF(L27&gt;L26+0.000000001,1,0)</f>
        <v>0</v>
      </c>
      <c r="P27" s="18" t="n">
        <v>18</v>
      </c>
      <c r="Q27" s="20" t="n">
        <f aca="false">Declarations!$B$20*Q26*Declarations!$B$20+Declarations!$B$20*R26*Declarations!$B$21+Declarations!$B$20*S26*Declarations!$B$22+Declarations!$B$21*R26*Declarations!$B$20+Declarations!$B$21*T26*Declarations!$B$21+Declarations!$B$21*U26*Declarations!$B$22+Declarations!$B$22*S26*Declarations!$B$20+Declarations!$B$22*U26*Declarations!$B$21+Declarations!$B$22*V26*Declarations!$B$22+1</f>
        <v>8.41951588698674</v>
      </c>
      <c r="R27" s="20" t="n">
        <f aca="false">Declarations!$B$20*Q26*Declarations!$C$20+Declarations!$B$20*R26*Declarations!$C$21+Declarations!$B$20*S26*Declarations!$C$22+Declarations!$B$21*R26*Declarations!$C$20+Declarations!$B$21*T26*Declarations!$C$21+Declarations!$B$21*U26*Declarations!$C$22+Declarations!$B$22*S26*Declarations!$C$20+Declarations!$B$22*U26*Declarations!$C$21+Declarations!$B$22*V26*Declarations!$C$22+0</f>
        <v>3.63178729005187</v>
      </c>
      <c r="S27" s="20" t="n">
        <f aca="false">Declarations!$B$20*Q26*Declarations!$D$20+Declarations!$B$20*R26*Declarations!$D$21+Declarations!$B$20*S26*Declarations!$D$22+Declarations!$B$21*R26*Declarations!$D$20+Declarations!$B$21*T26*Declarations!$D$21+Declarations!$B$21*U26*Declarations!$D$22+Declarations!$B$22*S26*Declarations!$D$20+Declarations!$B$22*U26*Declarations!$D$21+Declarations!$B$22*V26*Declarations!$D$22+0</f>
        <v>0.603311544187341</v>
      </c>
      <c r="T27" s="20" t="n">
        <f aca="false">Declarations!$C$20*Q26*Declarations!$C$20+Declarations!$C$20*R26*Declarations!$C$21+Declarations!$C$20*S26*Declarations!$C$22+Declarations!$C$21*R26*Declarations!$C$20+Declarations!$C$21*T26*Declarations!$C$21+Declarations!$C$21*U26*Declarations!$C$22+Declarations!$C$22*S26*Declarations!$C$20+Declarations!$C$22*U26*Declarations!$C$21+Declarations!$C$22*V26*Declarations!$C$22+1</f>
        <v>5.19391905316967</v>
      </c>
      <c r="U27" s="20" t="n">
        <f aca="false">Declarations!$C$20*Q26*Declarations!$D$20+Declarations!$C$20*R26*Declarations!$D$21+Declarations!$C$20*S26*Declarations!$D$22+Declarations!$C$21*R26*Declarations!$D$20+Declarations!$C$21*T26*Declarations!$D$21+Declarations!$C$21*U26*Declarations!$D$22+Declarations!$C$22*S26*Declarations!$D$20+Declarations!$C$22*U26*Declarations!$D$21+Declarations!$C$22*V26*Declarations!$D$22+0</f>
        <v>0.76349493932452</v>
      </c>
      <c r="V27" s="20" t="n">
        <f aca="false">Declarations!$D$20*Q26*Declarations!$D$20+Declarations!$D$20*R26*Declarations!$D$21+Declarations!$D$20*S26*Declarations!$D$22+Declarations!$D$21*R26*Declarations!$D$20+Declarations!$D$21*T26*Declarations!$D$21+Declarations!$D$21*U26*Declarations!$D$22+Declarations!$D$22*S26*Declarations!$D$20+Declarations!$D$22*U26*Declarations!$D$21+Declarations!$D$22*V26*Declarations!$D$22+1</f>
        <v>2.77720085590461</v>
      </c>
      <c r="X27" s="18" t="n">
        <v>15</v>
      </c>
      <c r="Y27" s="12" t="n">
        <f aca="false">Superposition!H21-PolicyMap!I8</f>
        <v>-15.4664972533844</v>
      </c>
      <c r="Z27" s="12" t="n">
        <f aca="false">Superposition!I21-PolicyMap!I9</f>
        <v>-15.3961285092067</v>
      </c>
      <c r="AA27" s="12" t="n">
        <f aca="false">Superposition!J21-PolicyMap!I10</f>
        <v>-14.098704788431</v>
      </c>
      <c r="AB27" s="12" t="n">
        <f aca="false">Y27^2+Z27^2+AA27^2</f>
        <v>675.026787072283</v>
      </c>
      <c r="AC27" s="12" t="n">
        <f aca="false">$Y$4*Y27^2+$Z$5*Z27^2+$AA$6*AA27^2+2*$Z$4*Y27*Z27+2*$AA$4*Y27*AA27+2*$AA$5*Z27*AA27</f>
        <v>7165.34770992997</v>
      </c>
      <c r="AD27" s="18" t="n">
        <f aca="false">IF(AB27&gt;AB26+0.000000001,1,0)</f>
        <v>0</v>
      </c>
      <c r="AE27" s="18" t="n">
        <f aca="false">IF(AC27&gt;AC26+0.000000001,1,0)</f>
        <v>0</v>
      </c>
    </row>
    <row r="28" customFormat="false" ht="15" hidden="false" customHeight="false" outlineLevel="0" collapsed="false">
      <c r="A28" s="18" t="n">
        <v>19</v>
      </c>
      <c r="B28" s="20" t="n">
        <f aca="false">$B$4*B27*$B$4+$B$4*C27*$B$5+$B$5*C27*$B$4+$B$5*D27*$B$5+$E$4</f>
        <v>11.9563339469159</v>
      </c>
      <c r="C28" s="20" t="n">
        <f aca="false">$B$4*B27*$C$4+$B$4*C27*$C$5+$B$5*C27*$C$4+$B$5*D27*$C$5+$F$4</f>
        <v>-5.07869770229175</v>
      </c>
      <c r="D28" s="20" t="n">
        <f aca="false">$C$4*B27*$C$4+$C$4*C27*$C$5+$C$5*C27*$C$4+$C$5*D27*$C$5+$F$5</f>
        <v>10.5001709426175</v>
      </c>
      <c r="H28" s="18" t="n">
        <v>17</v>
      </c>
      <c r="I28" s="17" t="n">
        <f aca="false">$B$4*I27+$C$4*J27</f>
        <v>-23.4064663865324</v>
      </c>
      <c r="J28" s="17" t="n">
        <f aca="false">$B$5*I27+$C$5*J27</f>
        <v>25.4619327214441</v>
      </c>
      <c r="K28" s="18" t="n">
        <f aca="false">I28^2+J28^2</f>
        <v>1196.17268661522</v>
      </c>
      <c r="L28" s="18" t="n">
        <f aca="false">$I$4*I28^2+2*$I$5*I28*J28+$I$6*J28^2</f>
        <v>22106.6375990509</v>
      </c>
      <c r="M28" s="18" t="n">
        <f aca="false">IF(K28&gt;K27+0.000000001,1,0)</f>
        <v>0</v>
      </c>
      <c r="N28" s="18" t="n">
        <f aca="false">IF(L28&gt;L27+0.000000001,1,0)</f>
        <v>0</v>
      </c>
      <c r="P28" s="18" t="n">
        <v>19</v>
      </c>
      <c r="Q28" s="20" t="n">
        <f aca="false">Declarations!$B$20*Q27*Declarations!$B$20+Declarations!$B$20*R27*Declarations!$B$21+Declarations!$B$20*S27*Declarations!$B$22+Declarations!$B$21*R27*Declarations!$B$20+Declarations!$B$21*T27*Declarations!$B$21+Declarations!$B$21*U27*Declarations!$B$22+Declarations!$B$22*S27*Declarations!$B$20+Declarations!$B$22*U27*Declarations!$B$21+Declarations!$B$22*V27*Declarations!$B$22+1</f>
        <v>8.59434476171016</v>
      </c>
      <c r="R28" s="20" t="n">
        <f aca="false">Declarations!$B$20*Q27*Declarations!$C$20+Declarations!$B$20*R27*Declarations!$C$21+Declarations!$B$20*S27*Declarations!$C$22+Declarations!$B$21*R27*Declarations!$C$20+Declarations!$B$21*T27*Declarations!$C$21+Declarations!$B$21*U27*Declarations!$C$22+Declarations!$B$22*S27*Declarations!$C$20+Declarations!$B$22*U27*Declarations!$C$21+Declarations!$B$22*V27*Declarations!$C$22+0</f>
        <v>3.72661335420515</v>
      </c>
      <c r="S28" s="20" t="n">
        <f aca="false">Declarations!$B$20*Q27*Declarations!$D$20+Declarations!$B$20*R27*Declarations!$D$21+Declarations!$B$20*S27*Declarations!$D$22+Declarations!$B$21*R27*Declarations!$D$20+Declarations!$B$21*T27*Declarations!$D$21+Declarations!$B$21*U27*Declarations!$D$22+Declarations!$B$22*S27*Declarations!$D$20+Declarations!$B$22*U27*Declarations!$D$21+Declarations!$B$22*V27*Declarations!$D$22+0</f>
        <v>0.606551941197032</v>
      </c>
      <c r="T28" s="20" t="n">
        <f aca="false">Declarations!$C$20*Q27*Declarations!$C$20+Declarations!$C$20*R27*Declarations!$C$21+Declarations!$C$20*S27*Declarations!$C$22+Declarations!$C$21*R27*Declarations!$C$20+Declarations!$C$21*T27*Declarations!$C$21+Declarations!$C$21*U27*Declarations!$C$22+Declarations!$C$22*S27*Declarations!$C$20+Declarations!$C$22*U27*Declarations!$C$21+Declarations!$C$22*V27*Declarations!$C$22+1</f>
        <v>5.24595648897305</v>
      </c>
      <c r="U28" s="20" t="n">
        <f aca="false">Declarations!$C$20*Q27*Declarations!$D$20+Declarations!$C$20*R27*Declarations!$D$21+Declarations!$C$20*S27*Declarations!$D$22+Declarations!$C$21*R27*Declarations!$D$20+Declarations!$C$21*T27*Declarations!$D$21+Declarations!$C$21*U27*Declarations!$D$22+Declarations!$C$22*S27*Declarations!$D$20+Declarations!$C$22*U27*Declarations!$D$21+Declarations!$C$22*V27*Declarations!$D$22+0</f>
        <v>0.765485088980536</v>
      </c>
      <c r="V28" s="20" t="n">
        <f aca="false">Declarations!$D$20*Q27*Declarations!$D$20+Declarations!$D$20*R27*Declarations!$D$21+Declarations!$D$20*S27*Declarations!$D$22+Declarations!$D$21*R27*Declarations!$D$20+Declarations!$D$21*T27*Declarations!$D$21+Declarations!$D$21*U27*Declarations!$D$22+Declarations!$D$22*S27*Declarations!$D$20+Declarations!$D$22*U27*Declarations!$D$21+Declarations!$D$22*V27*Declarations!$D$22+1</f>
        <v>2.77740854777895</v>
      </c>
      <c r="X28" s="18" t="n">
        <v>16</v>
      </c>
      <c r="Y28" s="12" t="n">
        <f aca="false">Superposition!H22-PolicyMap!I8</f>
        <v>-14.6896539535063</v>
      </c>
      <c r="Z28" s="12" t="n">
        <f aca="false">Superposition!I22-PolicyMap!I9</f>
        <v>-14.6333589581642</v>
      </c>
      <c r="AA28" s="12" t="n">
        <f aca="false">Superposition!J22-PolicyMap!I10</f>
        <v>-13.5919015443347</v>
      </c>
      <c r="AB28" s="12" t="n">
        <f aca="false">Y28^2+Z28^2+AA28^2</f>
        <v>614.660915263135</v>
      </c>
      <c r="AC28" s="12" t="n">
        <f aca="false">$Y$4*Y28^2+$Z$5*Z28^2+$AA$6*AA28^2+2*$Z$4*Y28*Z28+2*$AA$4*Y28*AA28+2*$AA$5*Z28*AA28</f>
        <v>6490.32092285769</v>
      </c>
      <c r="AD28" s="18" t="n">
        <f aca="false">IF(AB28&gt;AB27+0.000000001,1,0)</f>
        <v>0</v>
      </c>
      <c r="AE28" s="18" t="n">
        <f aca="false">IF(AC28&gt;AC27+0.000000001,1,0)</f>
        <v>0</v>
      </c>
    </row>
    <row r="29" customFormat="false" ht="15" hidden="false" customHeight="false" outlineLevel="0" collapsed="false">
      <c r="A29" s="18" t="n">
        <v>20</v>
      </c>
      <c r="B29" s="20" t="n">
        <f aca="false">$B$4*B28*$B$4+$B$4*C28*$B$5+$B$5*C28*$B$4+$B$5*D28*$B$5+$E$4</f>
        <v>12.0431455754942</v>
      </c>
      <c r="C29" s="20" t="n">
        <f aca="false">$B$4*B28*$C$4+$B$4*C28*$C$5+$B$5*C28*$C$4+$B$5*D28*$C$5+$F$4</f>
        <v>-5.11380256493928</v>
      </c>
      <c r="D29" s="20" t="n">
        <f aca="false">$C$4*B28*$C$4+$C$4*C28*$C$5+$C$5*C28*$C$4+$C$5*D28*$C$5+$F$5</f>
        <v>10.6846304970019</v>
      </c>
      <c r="H29" s="18" t="n">
        <v>18</v>
      </c>
      <c r="I29" s="17" t="n">
        <f aca="false">$B$4*I28+$C$4*J28</f>
        <v>-43.9815591971789</v>
      </c>
      <c r="J29" s="17" t="n">
        <f aca="false">$B$5*I28+$C$5*J28</f>
        <v>-23.4064663865324</v>
      </c>
      <c r="K29" s="18" t="n">
        <f aca="false">I29^2+J29^2</f>
        <v>2482.24021811883</v>
      </c>
      <c r="L29" s="18" t="n">
        <f aca="false">$I$4*I29^2+2*$I$5*I29*J29+$I$6*J29^2</f>
        <v>20910.4649124357</v>
      </c>
      <c r="M29" s="18" t="n">
        <f aca="false">IF(K29&gt;K28+0.000000001,1,0)</f>
        <v>1</v>
      </c>
      <c r="N29" s="18" t="n">
        <f aca="false">IF(L29&gt;L28+0.000000001,1,0)</f>
        <v>0</v>
      </c>
      <c r="P29" s="18" t="n">
        <v>20</v>
      </c>
      <c r="Q29" s="20" t="n">
        <f aca="false">Declarations!$B$20*Q28*Declarations!$B$20+Declarations!$B$20*R28*Declarations!$B$21+Declarations!$B$20*S28*Declarations!$B$22+Declarations!$B$21*R28*Declarations!$B$20+Declarations!$B$21*T28*Declarations!$B$21+Declarations!$B$21*U28*Declarations!$B$22+Declarations!$B$22*S28*Declarations!$B$20+Declarations!$B$22*U28*Declarations!$B$21+Declarations!$B$22*V28*Declarations!$B$22+1</f>
        <v>8.75385727259887</v>
      </c>
      <c r="R29" s="20" t="n">
        <f aca="false">Declarations!$B$20*Q28*Declarations!$C$20+Declarations!$B$20*R28*Declarations!$C$21+Declarations!$B$20*S28*Declarations!$C$22+Declarations!$B$21*R28*Declarations!$C$20+Declarations!$B$21*T28*Declarations!$C$21+Declarations!$B$21*U28*Declarations!$C$22+Declarations!$B$22*S28*Declarations!$C$20+Declarations!$B$22*U28*Declarations!$C$21+Declarations!$B$22*V28*Declarations!$C$22+0</f>
        <v>3.81232516304873</v>
      </c>
      <c r="S29" s="20" t="n">
        <f aca="false">Declarations!$B$20*Q28*Declarations!$D$20+Declarations!$B$20*R28*Declarations!$D$21+Declarations!$B$20*S28*Declarations!$D$22+Declarations!$B$21*R28*Declarations!$D$20+Declarations!$B$21*T28*Declarations!$D$21+Declarations!$B$21*U28*Declarations!$D$22+Declarations!$B$22*S28*Declarations!$D$20+Declarations!$B$22*U28*Declarations!$D$21+Declarations!$B$22*V28*Declarations!$D$22+0</f>
        <v>0.609052546691464</v>
      </c>
      <c r="T29" s="20" t="n">
        <f aca="false">Declarations!$C$20*Q28*Declarations!$C$20+Declarations!$C$20*R28*Declarations!$C$21+Declarations!$C$20*S28*Declarations!$C$22+Declarations!$C$21*R28*Declarations!$C$20+Declarations!$C$21*T28*Declarations!$C$21+Declarations!$C$21*U28*Declarations!$C$22+Declarations!$C$22*S28*Declarations!$C$20+Declarations!$C$22*U28*Declarations!$C$21+Declarations!$C$22*V28*Declarations!$C$22+1</f>
        <v>5.29242363031119</v>
      </c>
      <c r="U29" s="20" t="n">
        <f aca="false">Declarations!$C$20*Q28*Declarations!$D$20+Declarations!$C$20*R28*Declarations!$D$21+Declarations!$C$20*S28*Declarations!$D$22+Declarations!$C$21*R28*Declarations!$D$20+Declarations!$C$21*T28*Declarations!$D$21+Declarations!$C$21*U28*Declarations!$D$22+Declarations!$C$22*S28*Declarations!$D$20+Declarations!$C$22*U28*Declarations!$D$21+Declarations!$C$22*V28*Declarations!$D$22+0</f>
        <v>0.766984621976962</v>
      </c>
      <c r="V29" s="20" t="n">
        <f aca="false">Declarations!$D$20*Q28*Declarations!$D$20+Declarations!$D$20*R28*Declarations!$D$21+Declarations!$D$20*S28*Declarations!$D$22+Declarations!$D$21*R28*Declarations!$D$20+Declarations!$D$21*T28*Declarations!$D$21+Declarations!$D$21*U28*Declarations!$D$22+Declarations!$D$22*S28*Declarations!$D$20+Declarations!$D$22*U28*Declarations!$D$21+Declarations!$D$22*V28*Declarations!$D$22+1</f>
        <v>2.77754147057853</v>
      </c>
      <c r="X29" s="18" t="n">
        <v>17</v>
      </c>
      <c r="Y29" s="12" t="n">
        <f aca="false">Superposition!H23-PolicyMap!I8</f>
        <v>-13.9523565060639</v>
      </c>
      <c r="Z29" s="12" t="n">
        <f aca="false">Superposition!I23-PolicyMap!I9</f>
        <v>-13.9073205097902</v>
      </c>
      <c r="AA29" s="12" t="n">
        <f aca="false">Superposition!J23-PolicyMap!I10</f>
        <v>-13.0713398289595</v>
      </c>
      <c r="AB29" s="12" t="n">
        <f aca="false">Y29^2+Z29^2+AA29^2</f>
        <v>558.941740758476</v>
      </c>
      <c r="AC29" s="12" t="n">
        <f aca="false">$Y$4*Y29^2+$Z$5*Z29^2+$AA$6*AA29^2+2*$Z$4*Y29*Z29+2*$AA$4*Y29*AA29+2*$AA$5*Z29*AA29</f>
        <v>5875.66000759456</v>
      </c>
      <c r="AD29" s="18" t="n">
        <f aca="false">IF(AB29&gt;AB28+0.000000001,1,0)</f>
        <v>0</v>
      </c>
      <c r="AE29" s="18" t="n">
        <f aca="false">IF(AC29&gt;AC28+0.000000001,1,0)</f>
        <v>0</v>
      </c>
    </row>
    <row r="30" customFormat="false" ht="15" hidden="false" customHeight="false" outlineLevel="0" collapsed="false">
      <c r="A30" s="18" t="n">
        <v>21</v>
      </c>
      <c r="B30" s="20" t="n">
        <f aca="false">$B$4*B29*$B$4+$B$4*C29*$B$5+$B$5*C29*$B$4+$B$5*D29*$B$5+$E$4</f>
        <v>12.2347337962614</v>
      </c>
      <c r="C30" s="20" t="n">
        <f aca="false">$B$4*B29*$C$4+$B$4*C29*$C$5+$B$5*C29*$C$4+$B$5*D29*$C$5+$F$4</f>
        <v>-5.15252560770492</v>
      </c>
      <c r="D30" s="20" t="n">
        <f aca="false">$C$4*B29*$C$4+$C$4*C29*$C$5+$C$5*C29*$C$4+$C$5*D29*$C$5+$F$5</f>
        <v>10.7549479161503</v>
      </c>
      <c r="H30" s="18" t="n">
        <v>19</v>
      </c>
      <c r="I30" s="17" t="n">
        <f aca="false">$B$4*I29+$C$4*J29</f>
        <v>-18.5175835295818</v>
      </c>
      <c r="J30" s="17" t="n">
        <f aca="false">$B$5*I29+$C$5*J29</f>
        <v>-43.9815591971789</v>
      </c>
      <c r="K30" s="18" t="n">
        <f aca="false">I30^2+J30^2</f>
        <v>2277.27844918999</v>
      </c>
      <c r="L30" s="18" t="n">
        <f aca="false">$I$4*I30^2+2*$I$5*I30*J30+$I$6*J30^2</f>
        <v>18428.2246943169</v>
      </c>
      <c r="M30" s="18" t="n">
        <f aca="false">IF(K30&gt;K29+0.000000001,1,0)</f>
        <v>0</v>
      </c>
      <c r="N30" s="18" t="n">
        <f aca="false">IF(L30&gt;L29+0.000000001,1,0)</f>
        <v>0</v>
      </c>
      <c r="P30" s="18" t="n">
        <v>21</v>
      </c>
      <c r="Q30" s="20" t="n">
        <f aca="false">Declarations!$B$20*Q29*Declarations!$B$20+Declarations!$B$20*R29*Declarations!$B$21+Declarations!$B$20*S29*Declarations!$B$22+Declarations!$B$21*R29*Declarations!$B$20+Declarations!$B$21*T29*Declarations!$B$21+Declarations!$B$21*U29*Declarations!$B$22+Declarations!$B$22*S29*Declarations!$B$20+Declarations!$B$22*U29*Declarations!$B$21+Declarations!$B$22*V29*Declarations!$B$22+1</f>
        <v>8.89919558555542</v>
      </c>
      <c r="R30" s="20" t="n">
        <f aca="false">Declarations!$B$20*Q29*Declarations!$C$20+Declarations!$B$20*R29*Declarations!$C$21+Declarations!$B$20*S29*Declarations!$C$22+Declarations!$B$21*R29*Declarations!$C$20+Declarations!$B$21*T29*Declarations!$C$21+Declarations!$B$21*U29*Declarations!$C$22+Declarations!$B$22*S29*Declarations!$C$20+Declarations!$B$22*U29*Declarations!$C$21+Declarations!$B$22*V29*Declarations!$C$22+0</f>
        <v>3.88976172196657</v>
      </c>
      <c r="S30" s="20" t="n">
        <f aca="false">Declarations!$B$20*Q29*Declarations!$D$20+Declarations!$B$20*R29*Declarations!$D$21+Declarations!$B$20*S29*Declarations!$D$22+Declarations!$B$21*R29*Declarations!$D$20+Declarations!$B$21*T29*Declarations!$D$21+Declarations!$B$21*U29*Declarations!$D$22+Declarations!$B$22*S29*Declarations!$D$20+Declarations!$B$22*U29*Declarations!$D$21+Declarations!$B$22*V29*Declarations!$D$22+0</f>
        <v>0.610978262199152</v>
      </c>
      <c r="T30" s="20" t="n">
        <f aca="false">Declarations!$C$20*Q29*Declarations!$C$20+Declarations!$C$20*R29*Declarations!$C$21+Declarations!$C$20*S29*Declarations!$C$22+Declarations!$C$21*R29*Declarations!$C$20+Declarations!$C$21*T29*Declarations!$C$21+Declarations!$C$21*U29*Declarations!$C$22+Declarations!$C$22*S29*Declarations!$C$20+Declarations!$C$22*U29*Declarations!$C$21+Declarations!$C$22*V29*Declarations!$C$22+1</f>
        <v>5.33396168084926</v>
      </c>
      <c r="U30" s="20" t="n">
        <f aca="false">Declarations!$C$20*Q29*Declarations!$D$20+Declarations!$C$20*R29*Declarations!$D$21+Declarations!$C$20*S29*Declarations!$D$22+Declarations!$C$21*R29*Declarations!$D$20+Declarations!$C$21*T29*Declarations!$D$21+Declarations!$C$21*U29*Declarations!$D$22+Declarations!$C$22*S29*Declarations!$D$20+Declarations!$C$22*U29*Declarations!$D$21+Declarations!$C$22*V29*Declarations!$D$22+0</f>
        <v>0.768114962458275</v>
      </c>
      <c r="V30" s="20" t="n">
        <f aca="false">Declarations!$D$20*Q29*Declarations!$D$20+Declarations!$D$20*R29*Declarations!$D$21+Declarations!$D$20*S29*Declarations!$D$22+Declarations!$D$21*R29*Declarations!$D$20+Declarations!$D$21*T29*Declarations!$D$21+Declarations!$D$21*U29*Declarations!$D$22+Declarations!$D$22*S29*Declarations!$D$20+Declarations!$D$22*U29*Declarations!$D$21+Declarations!$D$22*V29*Declarations!$D$22+1</f>
        <v>2.77762654117026</v>
      </c>
      <c r="X30" s="18" t="n">
        <v>18</v>
      </c>
      <c r="Y30" s="12" t="n">
        <f aca="false">Superposition!H24-PolicyMap!I8</f>
        <v>-13.252486880947</v>
      </c>
      <c r="Z30" s="12" t="n">
        <f aca="false">Superposition!I24-PolicyMap!I9</f>
        <v>-13.216458083928</v>
      </c>
      <c r="AA30" s="12" t="n">
        <f aca="false">Superposition!J24-PolicyMap!I10</f>
        <v>-12.5454217394498</v>
      </c>
      <c r="AB30" s="12" t="n">
        <f aca="false">Y30^2+Z30^2+AA30^2</f>
        <v>507.690779434559</v>
      </c>
      <c r="AC30" s="12" t="n">
        <f aca="false">$Y$4*Y30^2+$Z$5*Z30^2+$AA$6*AA30^2+2*$Z$4*Y30*Z30+2*$AA$4*Y30*AA30+2*$AA$5*Z30*AA30</f>
        <v>5316.71826683609</v>
      </c>
      <c r="AD30" s="18" t="n">
        <f aca="false">IF(AB30&gt;AB29+0.000000001,1,0)</f>
        <v>0</v>
      </c>
      <c r="AE30" s="18" t="n">
        <f aca="false">IF(AC30&gt;AC29+0.000000001,1,0)</f>
        <v>0</v>
      </c>
    </row>
    <row r="31" customFormat="false" ht="15" hidden="false" customHeight="false" outlineLevel="0" collapsed="false">
      <c r="A31" s="18" t="n">
        <v>22</v>
      </c>
      <c r="B31" s="20" t="n">
        <f aca="false">$B$4*B30*$B$4+$B$4*C30*$B$5+$B$5*C30*$B$4+$B$5*D30*$B$5+$E$4</f>
        <v>12.3905361972532</v>
      </c>
      <c r="C31" s="20" t="n">
        <f aca="false">$B$4*B30*$C$4+$B$4*C30*$C$5+$B$5*C30*$C$4+$B$5*D30*$C$5+$F$4</f>
        <v>-5.27286132803732</v>
      </c>
      <c r="D31" s="20" t="n">
        <f aca="false">$C$4*B30*$C$4+$C$4*C30*$C$5+$C$5*C30*$C$4+$C$5*D30*$C$5+$F$5</f>
        <v>10.9101343749718</v>
      </c>
      <c r="H31" s="18" t="n">
        <v>20</v>
      </c>
      <c r="I31" s="17" t="n">
        <f aca="false">$B$4*I30+$C$4*J30</f>
        <v>22.9175781008374</v>
      </c>
      <c r="J31" s="17" t="n">
        <f aca="false">$B$5*I30+$C$5*J30</f>
        <v>-18.5175835295818</v>
      </c>
      <c r="K31" s="18" t="n">
        <f aca="false">I31^2+J31^2</f>
        <v>868.11628578302</v>
      </c>
      <c r="L31" s="18" t="n">
        <f aca="false">$I$4*I31^2+2*$I$5*I31*J31+$I$6*J31^2</f>
        <v>16150.9462451269</v>
      </c>
      <c r="M31" s="18" t="n">
        <f aca="false">IF(K31&gt;K30+0.000000001,1,0)</f>
        <v>0</v>
      </c>
      <c r="N31" s="18" t="n">
        <f aca="false">IF(L31&gt;L30+0.000000001,1,0)</f>
        <v>0</v>
      </c>
      <c r="P31" s="18" t="n">
        <v>22</v>
      </c>
      <c r="Q31" s="20" t="n">
        <f aca="false">Declarations!$B$20*Q30*Declarations!$B$20+Declarations!$B$20*R30*Declarations!$B$21+Declarations!$B$20*S30*Declarations!$B$22+Declarations!$B$21*R30*Declarations!$B$20+Declarations!$B$21*T30*Declarations!$B$21+Declarations!$B$21*U30*Declarations!$B$22+Declarations!$B$22*S30*Declarations!$B$20+Declarations!$B$22*U30*Declarations!$B$21+Declarations!$B$22*V30*Declarations!$B$22+1</f>
        <v>9.0314584106378</v>
      </c>
      <c r="R31" s="20" t="n">
        <f aca="false">Declarations!$B$20*Q30*Declarations!$C$20+Declarations!$B$20*R30*Declarations!$C$21+Declarations!$B$20*S30*Declarations!$C$22+Declarations!$B$21*R30*Declarations!$C$20+Declarations!$B$21*T30*Declarations!$C$21+Declarations!$B$21*U30*Declarations!$C$22+Declarations!$B$22*S30*Declarations!$C$20+Declarations!$B$22*U30*Declarations!$C$21+Declarations!$B$22*V30*Declarations!$C$22+0</f>
        <v>3.95969672762477</v>
      </c>
      <c r="S31" s="20" t="n">
        <f aca="false">Declarations!$B$20*Q30*Declarations!$D$20+Declarations!$B$20*R30*Declarations!$D$21+Declarations!$B$20*S30*Declarations!$D$22+Declarations!$B$21*R30*Declarations!$D$20+Declarations!$B$21*T30*Declarations!$D$21+Declarations!$B$21*U30*Declarations!$D$22+Declarations!$B$22*S30*Declarations!$D$20+Declarations!$B$22*U30*Declarations!$D$21+Declarations!$B$22*V30*Declarations!$D$22+0</f>
        <v>0.612458607426862</v>
      </c>
      <c r="T31" s="20" t="n">
        <f aca="false">Declarations!$C$20*Q30*Declarations!$C$20+Declarations!$C$20*R30*Declarations!$C$21+Declarations!$C$20*S30*Declarations!$C$22+Declarations!$C$21*R30*Declarations!$C$20+Declarations!$C$21*T30*Declarations!$C$21+Declarations!$C$21*U30*Declarations!$C$22+Declarations!$C$22*S30*Declarations!$C$20+Declarations!$C$22*U30*Declarations!$C$21+Declarations!$C$22*V30*Declarations!$C$22+1</f>
        <v>5.37113064139624</v>
      </c>
      <c r="U31" s="20" t="n">
        <f aca="false">Declarations!$C$20*Q30*Declarations!$D$20+Declarations!$C$20*R30*Declarations!$D$21+Declarations!$C$20*S30*Declarations!$D$22+Declarations!$C$21*R30*Declarations!$D$20+Declarations!$C$21*T30*Declarations!$D$21+Declarations!$C$21*U30*Declarations!$D$22+Declarations!$C$22*S30*Declarations!$D$20+Declarations!$C$22*U30*Declarations!$D$21+Declarations!$C$22*V30*Declarations!$D$22+0</f>
        <v>0.768967428253213</v>
      </c>
      <c r="V31" s="20" t="n">
        <f aca="false">Declarations!$D$20*Q30*Declarations!$D$20+Declarations!$D$20*R30*Declarations!$D$21+Declarations!$D$20*S30*Declarations!$D$22+Declarations!$D$21*R30*Declarations!$D$20+Declarations!$D$21*T30*Declarations!$D$21+Declarations!$D$21*U30*Declarations!$D$22+Declarations!$D$22*S30*Declarations!$D$20+Declarations!$D$22*U30*Declarations!$D$21+Declarations!$D$22*V30*Declarations!$D$22+1</f>
        <v>2.77768098634897</v>
      </c>
      <c r="X31" s="18" t="n">
        <v>19</v>
      </c>
      <c r="Y31" s="12" t="n">
        <f aca="false">Superposition!H25-PolicyMap!I8</f>
        <v>-12.5880610970487</v>
      </c>
      <c r="Z31" s="12" t="n">
        <f aca="false">Superposition!I25-PolicyMap!I9</f>
        <v>-12.5592380594335</v>
      </c>
      <c r="AA31" s="12" t="n">
        <f aca="false">Superposition!J25-PolicyMap!I10</f>
        <v>-12.020607544</v>
      </c>
      <c r="AB31" s="12" t="n">
        <f aca="false">Y31^2+Z31^2+AA31^2</f>
        <v>460.688748543425</v>
      </c>
      <c r="AC31" s="12" t="n">
        <f aca="false">$Y$4*Y31^2+$Z$5*Z31^2+$AA$6*AA31^2+2*$Z$4*Y31*Z31+2*$AA$4*Y31*AA31+2*$AA$5*Z31*AA31</f>
        <v>4809.02748740153</v>
      </c>
      <c r="AD31" s="18" t="n">
        <f aca="false">IF(AB31&gt;AB30+0.000000001,1,0)</f>
        <v>0</v>
      </c>
      <c r="AE31" s="18" t="n">
        <f aca="false">IF(AC31&gt;AC30+0.000000001,1,0)</f>
        <v>0</v>
      </c>
    </row>
    <row r="32" customFormat="false" ht="15" hidden="false" customHeight="false" outlineLevel="0" collapsed="false">
      <c r="A32" s="18" t="n">
        <v>23</v>
      </c>
      <c r="B32" s="20" t="n">
        <f aca="false">$B$4*B31*$B$4+$B$4*C31*$B$5+$B$5*C31*$B$4+$B$5*D31*$B$5+$E$4</f>
        <v>12.4553183042796</v>
      </c>
      <c r="C32" s="20" t="n">
        <f aca="false">$B$4*B31*$C$4+$B$4*C31*$C$5+$B$5*C31*$C$4+$B$5*D31*$C$5+$F$4</f>
        <v>-5.29075912454148</v>
      </c>
      <c r="D32" s="20" t="n">
        <f aca="false">$C$4*B31*$C$4+$C$4*C31*$C$5+$C$5*C31*$C$4+$C$5*D31*$C$5+$F$5</f>
        <v>11.0363343197751</v>
      </c>
      <c r="H32" s="18" t="n">
        <v>21</v>
      </c>
      <c r="I32" s="17" t="n">
        <f aca="false">$B$4*I31+$C$4*J31</f>
        <v>37.2916454673773</v>
      </c>
      <c r="J32" s="17" t="n">
        <f aca="false">$B$5*I31+$C$5*J31</f>
        <v>22.9175781008374</v>
      </c>
      <c r="K32" s="18" t="n">
        <f aca="false">I32^2+J32^2</f>
        <v>1915.88220767254</v>
      </c>
      <c r="L32" s="18" t="n">
        <f aca="false">$I$4*I32^2+2*$I$5*I32*J32+$I$6*J32^2</f>
        <v>15282.8299593439</v>
      </c>
      <c r="M32" s="18" t="n">
        <f aca="false">IF(K32&gt;K31+0.000000001,1,0)</f>
        <v>1</v>
      </c>
      <c r="N32" s="18" t="n">
        <f aca="false">IF(L32&gt;L31+0.000000001,1,0)</f>
        <v>0</v>
      </c>
      <c r="P32" s="18" t="n">
        <v>23</v>
      </c>
      <c r="Q32" s="20" t="n">
        <f aca="false">Declarations!$B$20*Q31*Declarations!$B$20+Declarations!$B$20*R31*Declarations!$B$21+Declarations!$B$20*S31*Declarations!$B$22+Declarations!$B$21*R31*Declarations!$B$20+Declarations!$B$21*T31*Declarations!$B$21+Declarations!$B$21*U31*Declarations!$B$22+Declarations!$B$22*S31*Declarations!$B$20+Declarations!$B$22*U31*Declarations!$B$21+Declarations!$B$22*V31*Declarations!$B$22+1</f>
        <v>9.15169318141986</v>
      </c>
      <c r="R32" s="20" t="n">
        <f aca="false">Declarations!$B$20*Q31*Declarations!$C$20+Declarations!$B$20*R31*Declarations!$C$21+Declarations!$B$20*S31*Declarations!$C$22+Declarations!$B$21*R31*Declarations!$C$20+Declarations!$B$21*T31*Declarations!$C$21+Declarations!$B$21*U31*Declarations!$C$22+Declarations!$B$22*S31*Declarations!$C$20+Declarations!$B$22*U31*Declarations!$C$21+Declarations!$B$22*V31*Declarations!$C$22+0</f>
        <v>4.02283982937048</v>
      </c>
      <c r="S32" s="20" t="n">
        <f aca="false">Declarations!$B$20*Q31*Declarations!$D$20+Declarations!$B$20*R31*Declarations!$D$21+Declarations!$B$20*S31*Declarations!$D$22+Declarations!$B$21*R31*Declarations!$D$20+Declarations!$B$21*T31*Declarations!$D$21+Declarations!$B$21*U31*Declarations!$D$22+Declarations!$B$22*S31*Declarations!$D$20+Declarations!$B$22*U31*Declarations!$D$21+Declarations!$B$22*V31*Declarations!$D$22+0</f>
        <v>0.613594831061556</v>
      </c>
      <c r="T32" s="20" t="n">
        <f aca="false">Declarations!$C$20*Q31*Declarations!$C$20+Declarations!$C$20*R31*Declarations!$C$21+Declarations!$C$20*S31*Declarations!$C$22+Declarations!$C$21*R31*Declarations!$C$20+Declarations!$C$21*T31*Declarations!$C$21+Declarations!$C$21*U31*Declarations!$C$22+Declarations!$C$22*S31*Declarations!$C$20+Declarations!$C$22*U31*Declarations!$C$21+Declarations!$C$22*V31*Declarations!$C$22+1</f>
        <v>5.40442061502429</v>
      </c>
      <c r="U32" s="20" t="n">
        <f aca="false">Declarations!$C$20*Q31*Declarations!$D$20+Declarations!$C$20*R31*Declarations!$D$21+Declarations!$C$20*S31*Declarations!$D$22+Declarations!$C$21*R31*Declarations!$D$20+Declarations!$C$21*T31*Declarations!$D$21+Declarations!$C$21*U31*Declarations!$D$22+Declarations!$C$22*S31*Declarations!$D$20+Declarations!$C$22*U31*Declarations!$D$21+Declarations!$C$22*V31*Declarations!$D$22+0</f>
        <v>0.769610674417177</v>
      </c>
      <c r="V32" s="20" t="n">
        <f aca="false">Declarations!$D$20*Q31*Declarations!$D$20+Declarations!$D$20*R31*Declarations!$D$21+Declarations!$D$20*S31*Declarations!$D$22+Declarations!$D$21*R31*Declarations!$D$20+Declarations!$D$21*T31*Declarations!$D$21+Declarations!$D$21*U31*Declarations!$D$22+Declarations!$D$22*S31*Declarations!$D$20+Declarations!$D$22*U31*Declarations!$D$21+Declarations!$D$22*V31*Declarations!$D$22+1</f>
        <v>2.77771583126334</v>
      </c>
      <c r="X32" s="18" t="n">
        <v>20</v>
      </c>
      <c r="Y32" s="12" t="n">
        <f aca="false">Superposition!H26-PolicyMap!I8</f>
        <v>-11.9572168903155</v>
      </c>
      <c r="Z32" s="12" t="n">
        <f aca="false">Superposition!I26-PolicyMap!I9</f>
        <v>-11.9341584602234</v>
      </c>
      <c r="AA32" s="12" t="n">
        <f aca="false">Superposition!J26-PolicyMap!I10</f>
        <v>-11.5018128959958</v>
      </c>
      <c r="AB32" s="12" t="n">
        <f aca="false">Y32^2+Z32^2+AA32^2</f>
        <v>417.690873810263</v>
      </c>
      <c r="AC32" s="12" t="n">
        <f aca="false">$Y$4*Y32^2+$Z$5*Z32^2+$AA$6*AA32^2+2*$Z$4*Y32*Z32+2*$AA$4*Y32*AA32+2*$AA$5*Z32*AA32</f>
        <v>4348.3387388581</v>
      </c>
      <c r="AD32" s="18" t="n">
        <f aca="false">IF(AB32&gt;AB31+0.000000001,1,0)</f>
        <v>0</v>
      </c>
      <c r="AE32" s="18" t="n">
        <f aca="false">IF(AC32&gt;AC31+0.000000001,1,0)</f>
        <v>0</v>
      </c>
    </row>
    <row r="33" customFormat="false" ht="15" hidden="false" customHeight="false" outlineLevel="0" collapsed="false">
      <c r="A33" s="18" t="n">
        <v>24</v>
      </c>
      <c r="B33" s="20" t="n">
        <f aca="false">$B$4*B32*$B$4+$B$4*C32*$B$5+$B$5*C32*$B$4+$B$5*D32*$B$5+$E$4</f>
        <v>12.6017757220669</v>
      </c>
      <c r="C33" s="20" t="n">
        <f aca="false">$B$4*B32*$C$4+$B$4*C32*$C$5+$B$5*C32*$C$4+$B$5*D32*$C$5+$F$4</f>
        <v>-5.32712461437918</v>
      </c>
      <c r="D33" s="20" t="n">
        <f aca="false">$C$4*B32*$C$4+$C$4*C32*$C$5+$C$5*C32*$C$4+$C$5*D32*$C$5+$F$5</f>
        <v>11.0888078264665</v>
      </c>
      <c r="H33" s="18" t="n">
        <v>22</v>
      </c>
      <c r="I33" s="17" t="n">
        <f aca="false">$B$4*I32+$C$4*J32</f>
        <v>12.9366606298859</v>
      </c>
      <c r="J33" s="17" t="n">
        <f aca="false">$B$5*I32+$C$5*J32</f>
        <v>37.2916454673773</v>
      </c>
      <c r="K33" s="18" t="n">
        <f aca="false">I33^2+J33^2</f>
        <v>1558.0240099174</v>
      </c>
      <c r="L33" s="18" t="n">
        <f aca="false">$I$4*I33^2+2*$I$5*I33*J33+$I$6*J33^2</f>
        <v>13366.9477516713</v>
      </c>
      <c r="M33" s="18" t="n">
        <f aca="false">IF(K33&gt;K32+0.000000001,1,0)</f>
        <v>0</v>
      </c>
      <c r="N33" s="18" t="n">
        <f aca="false">IF(L33&gt;L32+0.000000001,1,0)</f>
        <v>0</v>
      </c>
      <c r="P33" s="18" t="n">
        <v>24</v>
      </c>
      <c r="Q33" s="20" t="n">
        <f aca="false">Declarations!$B$20*Q32*Declarations!$B$20+Declarations!$B$20*R32*Declarations!$B$21+Declarations!$B$20*S32*Declarations!$B$22+Declarations!$B$21*R32*Declarations!$B$20+Declarations!$B$21*T32*Declarations!$B$21+Declarations!$B$21*U32*Declarations!$B$22+Declarations!$B$22*S32*Declarations!$B$20+Declarations!$B$22*U32*Declarations!$B$21+Declarations!$B$22*V32*Declarations!$B$22+1</f>
        <v>9.26089078350488</v>
      </c>
      <c r="R33" s="20" t="n">
        <f aca="false">Declarations!$B$20*Q32*Declarations!$C$20+Declarations!$B$20*R32*Declarations!$C$21+Declarations!$B$20*S32*Declarations!$C$22+Declarations!$B$21*R32*Declarations!$C$20+Declarations!$B$21*T32*Declarations!$C$21+Declarations!$B$21*U32*Declarations!$C$22+Declarations!$B$22*S32*Declarations!$C$20+Declarations!$B$22*U32*Declarations!$C$21+Declarations!$B$22*V32*Declarations!$C$22+0</f>
        <v>4.07983927549264</v>
      </c>
      <c r="S33" s="20" t="n">
        <f aca="false">Declarations!$B$20*Q32*Declarations!$D$20+Declarations!$B$20*R32*Declarations!$D$21+Declarations!$B$20*S32*Declarations!$D$22+Declarations!$B$21*R32*Declarations!$D$20+Declarations!$B$21*T32*Declarations!$D$21+Declarations!$B$21*U32*Declarations!$D$22+Declarations!$B$22*S32*Declarations!$D$20+Declarations!$B$22*U32*Declarations!$D$21+Declarations!$B$22*V32*Declarations!$D$22+0</f>
        <v>0.614465765568228</v>
      </c>
      <c r="T33" s="20" t="n">
        <f aca="false">Declarations!$C$20*Q32*Declarations!$C$20+Declarations!$C$20*R32*Declarations!$C$21+Declarations!$C$20*S32*Declarations!$C$22+Declarations!$C$21*R32*Declarations!$C$20+Declarations!$C$21*T32*Declarations!$C$21+Declarations!$C$21*U32*Declarations!$C$22+Declarations!$C$22*S32*Declarations!$C$20+Declarations!$C$22*U32*Declarations!$C$21+Declarations!$C$22*V32*Declarations!$C$22+1</f>
        <v>5.43426143407926</v>
      </c>
      <c r="U33" s="20" t="n">
        <f aca="false">Declarations!$C$20*Q32*Declarations!$D$20+Declarations!$C$20*R32*Declarations!$D$21+Declarations!$C$20*S32*Declarations!$D$22+Declarations!$C$21*R32*Declarations!$D$20+Declarations!$C$21*T32*Declarations!$D$21+Declarations!$C$21*U32*Declarations!$D$22+Declarations!$C$22*S32*Declarations!$D$20+Declarations!$C$22*U32*Declarations!$D$21+Declarations!$C$22*V32*Declarations!$D$22+0</f>
        <v>0.77009631834721</v>
      </c>
      <c r="V33" s="20" t="n">
        <f aca="false">Declarations!$D$20*Q32*Declarations!$D$20+Declarations!$D$20*R32*Declarations!$D$21+Declarations!$D$20*S32*Declarations!$D$22+Declarations!$D$21*R32*Declarations!$D$20+Declarations!$D$21*T32*Declarations!$D$21+Declarations!$D$21*U32*Declarations!$D$22+Declarations!$D$22*S32*Declarations!$D$20+Declarations!$D$22*U32*Declarations!$D$21+Declarations!$D$22*V32*Declarations!$D$22+1</f>
        <v>2.77773813200854</v>
      </c>
    </row>
    <row r="34" customFormat="false" ht="15" hidden="false" customHeight="false" outlineLevel="0" collapsed="false">
      <c r="A34" s="18" t="n">
        <v>25</v>
      </c>
      <c r="B34" s="20" t="n">
        <f aca="false">$B$4*B33*$B$4+$B$4*C33*$B$5+$B$5*C33*$B$4+$B$5*D33*$B$5+$E$4</f>
        <v>12.7074218554582</v>
      </c>
      <c r="C34" s="20" t="n">
        <f aca="false">$B$4*B33*$C$4+$B$4*C33*$C$5+$B$5*C33*$C$4+$B$5*D33*$C$5+$F$4</f>
        <v>-5.41302618193294</v>
      </c>
      <c r="D34" s="20" t="n">
        <f aca="false">$C$4*B33*$C$4+$C$4*C33*$C$5+$C$5*C33*$C$4+$C$5*D33*$C$5+$F$5</f>
        <v>11.2074383348742</v>
      </c>
      <c r="H34" s="18" t="n">
        <v>23</v>
      </c>
      <c r="I34" s="17" t="n">
        <f aca="false">$B$4*I33+$C$4*J33</f>
        <v>-21.9194863537422</v>
      </c>
      <c r="J34" s="17" t="n">
        <f aca="false">$B$5*I33+$C$5*J33</f>
        <v>12.9366606298859</v>
      </c>
      <c r="K34" s="18" t="n">
        <f aca="false">I34^2+J34^2</f>
        <v>647.821070264731</v>
      </c>
      <c r="L34" s="18" t="n">
        <f aca="false">$I$4*I34^2+2*$I$5*I34*J34+$I$6*J34^2</f>
        <v>11808.9237417539</v>
      </c>
      <c r="M34" s="18" t="n">
        <f aca="false">IF(K34&gt;K33+0.000000001,1,0)</f>
        <v>0</v>
      </c>
      <c r="N34" s="18" t="n">
        <f aca="false">IF(L34&gt;L33+0.000000001,1,0)</f>
        <v>0</v>
      </c>
      <c r="P34" s="18" t="n">
        <v>25</v>
      </c>
      <c r="Q34" s="20" t="n">
        <f aca="false">Declarations!$B$20*Q33*Declarations!$B$20+Declarations!$B$20*R33*Declarations!$B$21+Declarations!$B$20*S33*Declarations!$B$22+Declarations!$B$21*R33*Declarations!$B$20+Declarations!$B$21*T33*Declarations!$B$21+Declarations!$B$21*U33*Declarations!$B$22+Declarations!$B$22*S33*Declarations!$B$20+Declarations!$B$22*U33*Declarations!$B$21+Declarations!$B$22*V33*Declarations!$B$22+1</f>
        <v>9.35998244598305</v>
      </c>
      <c r="R34" s="20" t="n">
        <f aca="false">Declarations!$B$20*Q33*Declarations!$C$20+Declarations!$B$20*R33*Declarations!$C$21+Declarations!$B$20*S33*Declarations!$C$22+Declarations!$B$21*R33*Declarations!$C$20+Declarations!$B$21*T33*Declarations!$C$21+Declarations!$B$21*U33*Declarations!$C$22+Declarations!$B$22*S33*Declarations!$C$20+Declarations!$B$22*U33*Declarations!$C$21+Declarations!$B$22*V33*Declarations!$C$22+0</f>
        <v>4.13128537997212</v>
      </c>
      <c r="S34" s="20" t="n">
        <f aca="false">Declarations!$B$20*Q33*Declarations!$D$20+Declarations!$B$20*R33*Declarations!$D$21+Declarations!$B$20*S33*Declarations!$D$22+Declarations!$B$21*R33*Declarations!$D$20+Declarations!$B$21*T33*Declarations!$D$21+Declarations!$B$21*U33*Declarations!$D$22+Declarations!$B$22*S33*Declarations!$D$20+Declarations!$B$22*U33*Declarations!$D$21+Declarations!$B$22*V33*Declarations!$D$22+0</f>
        <v>0.615132581957243</v>
      </c>
      <c r="T34" s="20" t="n">
        <f aca="false">Declarations!$C$20*Q33*Declarations!$C$20+Declarations!$C$20*R33*Declarations!$C$21+Declarations!$C$20*S33*Declarations!$C$22+Declarations!$C$21*R33*Declarations!$C$20+Declarations!$C$21*T33*Declarations!$C$21+Declarations!$C$21*U33*Declarations!$C$22+Declarations!$C$22*S33*Declarations!$C$20+Declarations!$C$22*U33*Declarations!$C$21+Declarations!$C$22*V33*Declarations!$C$22+1</f>
        <v>5.46103086459269</v>
      </c>
      <c r="U34" s="20" t="n">
        <f aca="false">Declarations!$C$20*Q33*Declarations!$D$20+Declarations!$C$20*R33*Declarations!$D$21+Declarations!$C$20*S33*Declarations!$D$22+Declarations!$C$21*R33*Declarations!$D$20+Declarations!$C$21*T33*Declarations!$D$21+Declarations!$C$21*U33*Declarations!$D$22+Declarations!$C$22*S33*Declarations!$D$20+Declarations!$C$22*U33*Declarations!$D$21+Declarations!$C$22*V33*Declarations!$D$22+0</f>
        <v>0.770463177659515</v>
      </c>
      <c r="V34" s="20" t="n">
        <f aca="false">Declarations!$D$20*Q33*Declarations!$D$20+Declarations!$D$20*R33*Declarations!$D$21+Declarations!$D$20*S33*Declarations!$D$22+Declarations!$D$21*R33*Declarations!$D$20+Declarations!$D$21*T33*Declarations!$D$21+Declarations!$D$21*U33*Declarations!$D$22+Declarations!$D$22*S33*Declarations!$D$20+Declarations!$D$22*U33*Declarations!$D$21+Declarations!$D$22*V33*Declarations!$D$22+1</f>
        <v>2.77775240448546</v>
      </c>
      <c r="X34" s="4" t="s">
        <v>393</v>
      </c>
      <c r="AD34" s="18" t="n">
        <f aca="false">SUM(AD13:AD32)</f>
        <v>0</v>
      </c>
      <c r="AE34" s="18" t="n">
        <f aca="false">SUM(AE13:AE32)</f>
        <v>0</v>
      </c>
    </row>
    <row r="35" customFormat="false" ht="15" hidden="false" customHeight="false" outlineLevel="0" collapsed="false">
      <c r="A35" s="18" t="n">
        <v>26</v>
      </c>
      <c r="B35" s="20" t="n">
        <f aca="false">$B$4*B34*$B$4+$B$4*C34*$B$5+$B$5*C34*$B$4+$B$5*D34*$B$5+$E$4</f>
        <v>12.757002910316</v>
      </c>
      <c r="C35" s="20" t="n">
        <f aca="false">$B$4*B34*$C$4+$B$4*C34*$C$5+$B$5*C34*$C$4+$B$5*D34*$C$5+$F$4</f>
        <v>-5.42128813918149</v>
      </c>
      <c r="D35" s="20" t="n">
        <f aca="false">$C$4*B34*$C$4+$C$4*C34*$C$5+$C$5*C34*$C$4+$C$5*D34*$C$5+$F$5</f>
        <v>11.2930117029211</v>
      </c>
      <c r="H35" s="18" t="n">
        <v>24</v>
      </c>
      <c r="I35" s="17" t="n">
        <f aca="false">$B$4*I34+$C$4*J34</f>
        <v>-31.3705322852653</v>
      </c>
      <c r="J35" s="17" t="n">
        <f aca="false">$B$5*I34+$C$5*J34</f>
        <v>-21.9194863537422</v>
      </c>
      <c r="K35" s="18" t="n">
        <f aca="false">I35^2+J35^2</f>
        <v>1464.57417787276</v>
      </c>
      <c r="L35" s="18" t="n">
        <f aca="false">$I$4*I35^2+2*$I$5*I35*J35+$I$6*J35^2</f>
        <v>11161.1026714892</v>
      </c>
      <c r="M35" s="18" t="n">
        <f aca="false">IF(K35&gt;K34+0.000000001,1,0)</f>
        <v>1</v>
      </c>
      <c r="N35" s="18" t="n">
        <f aca="false">IF(L35&gt;L34+0.000000001,1,0)</f>
        <v>0</v>
      </c>
      <c r="P35" s="18" t="n">
        <v>26</v>
      </c>
      <c r="Q35" s="20" t="n">
        <f aca="false">Declarations!$B$20*Q34*Declarations!$B$20+Declarations!$B$20*R34*Declarations!$B$21+Declarations!$B$20*S34*Declarations!$B$22+Declarations!$B$21*R34*Declarations!$B$20+Declarations!$B$21*T34*Declarations!$B$21+Declarations!$B$21*U34*Declarations!$B$22+Declarations!$B$22*S34*Declarations!$B$20+Declarations!$B$22*U34*Declarations!$B$21+Declarations!$B$22*V34*Declarations!$B$22+1</f>
        <v>9.44983840345114</v>
      </c>
      <c r="R35" s="20" t="n">
        <f aca="false">Declarations!$B$20*Q34*Declarations!$C$20+Declarations!$B$20*R34*Declarations!$C$21+Declarations!$B$20*S34*Declarations!$C$22+Declarations!$B$21*R34*Declarations!$C$20+Declarations!$B$21*T34*Declarations!$C$21+Declarations!$B$21*U34*Declarations!$C$22+Declarations!$B$22*S34*Declarations!$C$20+Declarations!$B$22*U34*Declarations!$C$21+Declarations!$B$22*V34*Declarations!$C$22+0</f>
        <v>4.17771441881874</v>
      </c>
      <c r="S35" s="20" t="n">
        <f aca="false">Declarations!$B$20*Q34*Declarations!$D$20+Declarations!$B$20*R34*Declarations!$D$21+Declarations!$B$20*S34*Declarations!$D$22+Declarations!$B$21*R34*Declarations!$D$20+Declarations!$B$21*T34*Declarations!$D$21+Declarations!$B$21*U34*Declarations!$D$22+Declarations!$B$22*S34*Declarations!$D$20+Declarations!$B$22*U34*Declarations!$D$21+Declarations!$B$22*V34*Declarations!$D$22+0</f>
        <v>0.615642609401394</v>
      </c>
      <c r="T35" s="20" t="n">
        <f aca="false">Declarations!$C$20*Q34*Declarations!$C$20+Declarations!$C$20*R34*Declarations!$C$21+Declarations!$C$20*S34*Declarations!$C$22+Declarations!$C$21*R34*Declarations!$C$20+Declarations!$C$21*T34*Declarations!$C$21+Declarations!$C$21*U34*Declarations!$C$22+Declarations!$C$22*S34*Declarations!$C$20+Declarations!$C$22*U34*Declarations!$C$21+Declarations!$C$22*V34*Declarations!$C$22+1</f>
        <v>5.48506160314735</v>
      </c>
      <c r="U35" s="20" t="n">
        <f aca="false">Declarations!$C$20*Q34*Declarations!$D$20+Declarations!$C$20*R34*Declarations!$D$21+Declarations!$C$20*S34*Declarations!$D$22+Declarations!$C$21*R34*Declarations!$D$20+Declarations!$C$21*T34*Declarations!$D$21+Declarations!$C$21*U34*Declarations!$D$22+Declarations!$C$22*S34*Declarations!$D$20+Declarations!$C$22*U34*Declarations!$D$21+Declarations!$C$22*V34*Declarations!$D$22+0</f>
        <v>0.770740456445597</v>
      </c>
      <c r="V35" s="20" t="n">
        <f aca="false">Declarations!$D$20*Q34*Declarations!$D$20+Declarations!$D$20*R34*Declarations!$D$21+Declarations!$D$20*S34*Declarations!$D$22+Declarations!$D$21*R34*Declarations!$D$20+Declarations!$D$21*T34*Declarations!$D$21+Declarations!$D$21*U34*Declarations!$D$22+Declarations!$D$22*S34*Declarations!$D$20+Declarations!$D$22*U34*Declarations!$D$21+Declarations!$D$22*V34*Declarations!$D$22+1</f>
        <v>2.7777615388707</v>
      </c>
    </row>
    <row r="36" customFormat="false" ht="15" hidden="false" customHeight="false" outlineLevel="0" collapsed="false">
      <c r="A36" s="18" t="n">
        <v>27</v>
      </c>
      <c r="B36" s="20" t="n">
        <f aca="false">$B$4*B35*$B$4+$B$4*C35*$B$5+$B$5*C35*$B$4+$B$5*D35*$B$5+$E$4</f>
        <v>12.8678654097504</v>
      </c>
      <c r="C36" s="20" t="n">
        <f aca="false">$B$4*B35*$C$4+$B$4*C35*$C$5+$B$5*C35*$C$4+$B$5*D35*$C$5+$F$4</f>
        <v>-5.45401303209266</v>
      </c>
      <c r="D36" s="20" t="n">
        <f aca="false">$C$4*B35*$C$4+$C$4*C35*$C$5+$C$5*C35*$C$4+$C$5*D35*$C$5+$F$5</f>
        <v>11.333172357356</v>
      </c>
      <c r="H36" s="18" t="n">
        <v>25</v>
      </c>
      <c r="I36" s="17" t="n">
        <f aca="false">$B$4*I35+$C$4*J35</f>
        <v>-8.50594133837079</v>
      </c>
      <c r="J36" s="17" t="n">
        <f aca="false">$B$5*I35+$C$5*J35</f>
        <v>-31.3705322852653</v>
      </c>
      <c r="K36" s="18" t="n">
        <f aca="false">I36^2+J36^2</f>
        <v>1056.46133391268</v>
      </c>
      <c r="L36" s="18" t="n">
        <f aca="false">$I$4*I36^2+2*$I$5*I36*J36+$I$6*J36^2</f>
        <v>9696.52849361644</v>
      </c>
      <c r="M36" s="18" t="n">
        <f aca="false">IF(K36&gt;K35+0.000000001,1,0)</f>
        <v>0</v>
      </c>
      <c r="N36" s="18" t="n">
        <f aca="false">IF(L36&gt;L35+0.000000001,1,0)</f>
        <v>0</v>
      </c>
      <c r="P36" s="18" t="n">
        <v>27</v>
      </c>
      <c r="Q36" s="20" t="n">
        <f aca="false">Declarations!$B$20*Q35*Declarations!$B$20+Declarations!$B$20*R35*Declarations!$B$21+Declarations!$B$20*S35*Declarations!$B$22+Declarations!$B$21*R35*Declarations!$B$20+Declarations!$B$21*T35*Declarations!$B$21+Declarations!$B$21*U35*Declarations!$B$22+Declarations!$B$22*S35*Declarations!$B$20+Declarations!$B$22*U35*Declarations!$B$21+Declarations!$B$22*V35*Declarations!$B$22+1</f>
        <v>9.53126796147203</v>
      </c>
      <c r="R36" s="20" t="n">
        <f aca="false">Declarations!$B$20*Q35*Declarations!$C$20+Declarations!$B$20*R35*Declarations!$C$21+Declarations!$B$20*S35*Declarations!$C$22+Declarations!$B$21*R35*Declarations!$C$20+Declarations!$B$21*T35*Declarations!$C$21+Declarations!$B$21*U35*Declarations!$C$22+Declarations!$B$22*S35*Declarations!$C$20+Declarations!$B$22*U35*Declarations!$C$21+Declarations!$B$22*V35*Declarations!$C$22+0</f>
        <v>4.21961268994064</v>
      </c>
      <c r="S36" s="20" t="n">
        <f aca="false">Declarations!$B$20*Q35*Declarations!$D$20+Declarations!$B$20*R35*Declarations!$D$21+Declarations!$B$20*S35*Declarations!$D$22+Declarations!$B$21*R35*Declarations!$D$20+Declarations!$B$21*T35*Declarations!$D$21+Declarations!$B$21*U35*Declarations!$D$22+Declarations!$B$22*S35*Declarations!$D$20+Declarations!$B$22*U35*Declarations!$D$21+Declarations!$B$22*V35*Declarations!$D$22+0</f>
        <v>0.61603237683948</v>
      </c>
      <c r="T36" s="20" t="n">
        <f aca="false">Declarations!$C$20*Q35*Declarations!$C$20+Declarations!$C$20*R35*Declarations!$C$21+Declarations!$C$20*S35*Declarations!$C$22+Declarations!$C$21*R35*Declarations!$C$20+Declarations!$C$21*T35*Declarations!$C$21+Declarations!$C$21*U35*Declarations!$C$22+Declarations!$C$22*S35*Declarations!$C$20+Declarations!$C$22*U35*Declarations!$C$21+Declarations!$C$22*V35*Declarations!$C$22+1</f>
        <v>5.50664724896066</v>
      </c>
      <c r="U36" s="20" t="n">
        <f aca="false">Declarations!$C$20*Q35*Declarations!$D$20+Declarations!$C$20*R35*Declarations!$D$21+Declarations!$C$20*S35*Declarations!$D$22+Declarations!$C$21*R35*Declarations!$D$20+Declarations!$C$21*T35*Declarations!$D$21+Declarations!$C$21*U35*Declarations!$D$22+Declarations!$C$22*S35*Declarations!$D$20+Declarations!$C$22*U35*Declarations!$D$21+Declarations!$C$22*V35*Declarations!$D$22+0</f>
        <v>0.770950137868718</v>
      </c>
      <c r="V36" s="20" t="n">
        <f aca="false">Declarations!$D$20*Q35*Declarations!$D$20+Declarations!$D$20*R35*Declarations!$D$21+Declarations!$D$20*S35*Declarations!$D$22+Declarations!$D$21*R35*Declarations!$D$20+Declarations!$D$21*T35*Declarations!$D$21+Declarations!$D$21*U35*Declarations!$D$22+Declarations!$D$22*S35*Declarations!$D$20+Declarations!$D$22*U35*Declarations!$D$21+Declarations!$D$22*V35*Declarations!$D$22+1</f>
        <v>2.77776738487725</v>
      </c>
    </row>
    <row r="37" customFormat="false" ht="15" hidden="false" customHeight="false" outlineLevel="0" collapsed="false">
      <c r="A37" s="18" t="n">
        <v>28</v>
      </c>
      <c r="B37" s="20" t="n">
        <f aca="false">$B$4*B36*$B$4+$B$4*C36*$B$5+$B$5*C36*$B$4+$B$5*D36*$B$5+$E$4</f>
        <v>12.9389198814871</v>
      </c>
      <c r="C37" s="20" t="n">
        <f aca="false">$B$4*B36*$C$4+$B$4*C36*$C$5+$B$5*C36*$C$4+$B$5*D36*$C$5+$F$4</f>
        <v>-5.51435925301447</v>
      </c>
      <c r="D37" s="20" t="n">
        <f aca="false">$C$4*B36*$C$4+$C$4*C36*$C$5+$C$5*C36*$C$4+$C$5*D36*$C$5+$F$5</f>
        <v>11.4229709818979</v>
      </c>
      <c r="H37" s="18" t="n">
        <v>26</v>
      </c>
      <c r="I37" s="17" t="n">
        <f aca="false">$B$4*I36+$C$4*J36</f>
        <v>20.5781318522051</v>
      </c>
      <c r="J37" s="17" t="n">
        <f aca="false">$B$5*I36+$C$5*J36</f>
        <v>-8.50594133837079</v>
      </c>
      <c r="K37" s="18" t="n">
        <f aca="false">I37^2+J37^2</f>
        <v>495.810548578542</v>
      </c>
      <c r="L37" s="18" t="n">
        <f aca="false">$I$4*I37^2+2*$I$5*I37*J37+$I$6*J37^2</f>
        <v>8640.06715970376</v>
      </c>
      <c r="M37" s="18" t="n">
        <f aca="false">IF(K37&gt;K36+0.000000001,1,0)</f>
        <v>0</v>
      </c>
      <c r="N37" s="18" t="n">
        <f aca="false">IF(L37&gt;L36+0.000000001,1,0)</f>
        <v>0</v>
      </c>
      <c r="P37" s="18" t="n">
        <v>28</v>
      </c>
      <c r="Q37" s="20" t="n">
        <f aca="false">Declarations!$B$20*Q36*Declarations!$B$20+Declarations!$B$20*R36*Declarations!$B$21+Declarations!$B$20*S36*Declarations!$B$22+Declarations!$B$21*R36*Declarations!$B$20+Declarations!$B$21*T36*Declarations!$B$21+Declarations!$B$21*U36*Declarations!$B$22+Declarations!$B$22*S36*Declarations!$B$20+Declarations!$B$22*U36*Declarations!$B$21+Declarations!$B$22*V36*Declarations!$B$22+1</f>
        <v>9.6050206392277</v>
      </c>
      <c r="R37" s="20" t="n">
        <f aca="false">Declarations!$B$20*Q36*Declarations!$C$20+Declarations!$B$20*R36*Declarations!$C$21+Declarations!$B$20*S36*Declarations!$C$22+Declarations!$B$21*R36*Declarations!$C$20+Declarations!$B$21*T36*Declarations!$C$21+Declarations!$B$21*U36*Declarations!$C$22+Declarations!$B$22*S36*Declarations!$C$20+Declarations!$B$22*U36*Declarations!$C$21+Declarations!$B$22*V36*Declarations!$C$22+0</f>
        <v>4.25742055970233</v>
      </c>
      <c r="S37" s="20" t="n">
        <f aca="false">Declarations!$B$20*Q36*Declarations!$D$20+Declarations!$B$20*R36*Declarations!$D$21+Declarations!$B$20*S36*Declarations!$D$22+Declarations!$B$21*R36*Declarations!$D$20+Declarations!$B$21*T36*Declarations!$D$21+Declarations!$B$21*U36*Declarations!$D$22+Declarations!$B$22*S36*Declarations!$D$20+Declarations!$B$22*U36*Declarations!$D$21+Declarations!$B$22*V36*Declarations!$D$22+0</f>
        <v>0.616330017749013</v>
      </c>
      <c r="T37" s="20" t="n">
        <f aca="false">Declarations!$C$20*Q36*Declarations!$C$20+Declarations!$C$20*R36*Declarations!$C$21+Declarations!$C$20*S36*Declarations!$C$22+Declarations!$C$21*R36*Declarations!$C$20+Declarations!$C$21*T36*Declarations!$C$21+Declarations!$C$21*U36*Declarations!$C$22+Declarations!$C$22*S36*Declarations!$C$20+Declarations!$C$22*U36*Declarations!$C$21+Declarations!$C$22*V36*Declarations!$C$22+1</f>
        <v>5.52604740697756</v>
      </c>
      <c r="U37" s="20" t="n">
        <f aca="false">Declarations!$C$20*Q36*Declarations!$D$20+Declarations!$C$20*R36*Declarations!$D$21+Declarations!$C$20*S36*Declarations!$D$22+Declarations!$C$21*R36*Declarations!$D$20+Declarations!$C$21*T36*Declarations!$D$21+Declarations!$C$21*U36*Declarations!$D$22+Declarations!$C$22*S36*Declarations!$D$20+Declarations!$C$22*U36*Declarations!$D$21+Declarations!$C$22*V36*Declarations!$D$22+0</f>
        <v>0.771108779614487</v>
      </c>
      <c r="V37" s="20" t="n">
        <f aca="false">Declarations!$D$20*Q36*Declarations!$D$20+Declarations!$D$20*R36*Declarations!$D$21+Declarations!$D$20*S36*Declarations!$D$22+Declarations!$D$21*R36*Declarations!$D$20+Declarations!$D$21*T36*Declarations!$D$21+Declarations!$D$21*U36*Declarations!$D$22+Declarations!$D$22*S36*Declarations!$D$20+Declarations!$D$22*U36*Declarations!$D$21+Declarations!$D$22*V36*Declarations!$D$22+1</f>
        <v>2.77777112632144</v>
      </c>
    </row>
    <row r="38" customFormat="false" ht="15" hidden="false" customHeight="false" outlineLevel="0" collapsed="false">
      <c r="A38" s="18" t="n">
        <v>29</v>
      </c>
      <c r="B38" s="20" t="n">
        <f aca="false">$B$4*B37*$B$4+$B$4*C37*$B$5+$B$5*C37*$B$4+$B$5*D37*$B$5+$E$4</f>
        <v>12.9776494304763</v>
      </c>
      <c r="C38" s="20" t="n">
        <f aca="false">$B$4*B37*$C$4+$B$4*C37*$C$5+$B$5*C37*$C$4+$B$5*D37*$C$5+$F$4</f>
        <v>-5.51760177629151</v>
      </c>
      <c r="D38" s="20" t="n">
        <f aca="false">$C$4*B37*$C$4+$C$4*C37*$C$5+$C$5*C37*$C$4+$C$5*D37*$C$5+$F$5</f>
        <v>11.4805251040045</v>
      </c>
      <c r="H38" s="18" t="n">
        <v>27</v>
      </c>
      <c r="I38" s="17" t="n">
        <f aca="false">$B$4*I37+$C$4*J37</f>
        <v>26.1756658715183</v>
      </c>
      <c r="J38" s="17" t="n">
        <f aca="false">$B$5*I37+$C$5*J37</f>
        <v>20.5781318522051</v>
      </c>
      <c r="K38" s="18" t="n">
        <f aca="false">I38^2+J38^2</f>
        <v>1108.6249943441</v>
      </c>
      <c r="L38" s="18" t="n">
        <f aca="false">$I$4*I38^2+2*$I$5*I38*J38+$I$6*J38^2</f>
        <v>8144.25661112522</v>
      </c>
      <c r="M38" s="18" t="n">
        <f aca="false">IF(K38&gt;K37+0.000000001,1,0)</f>
        <v>1</v>
      </c>
      <c r="N38" s="18" t="n">
        <f aca="false">IF(L38&gt;L37+0.000000001,1,0)</f>
        <v>0</v>
      </c>
      <c r="P38" s="18" t="n">
        <v>29</v>
      </c>
      <c r="Q38" s="20" t="n">
        <f aca="false">Declarations!$B$20*Q37*Declarations!$B$20+Declarations!$B$20*R37*Declarations!$B$21+Declarations!$B$20*S37*Declarations!$B$22+Declarations!$B$21*R37*Declarations!$B$20+Declarations!$B$21*T37*Declarations!$B$21+Declarations!$B$21*U37*Declarations!$B$22+Declarations!$B$22*S37*Declarations!$B$20+Declarations!$B$22*U37*Declarations!$B$21+Declarations!$B$22*V37*Declarations!$B$22+1</f>
        <v>9.67178810979999</v>
      </c>
      <c r="R38" s="20" t="n">
        <f aca="false">Declarations!$B$20*Q37*Declarations!$C$20+Declarations!$B$20*R37*Declarations!$C$21+Declarations!$B$20*S37*Declarations!$C$22+Declarations!$B$21*R37*Declarations!$C$20+Declarations!$B$21*T37*Declarations!$C$21+Declarations!$B$21*U37*Declarations!$C$22+Declarations!$B$22*S37*Declarations!$C$20+Declarations!$B$22*U37*Declarations!$C$21+Declarations!$B$22*V37*Declarations!$C$22+0</f>
        <v>4.29153638253229</v>
      </c>
      <c r="S38" s="20" t="n">
        <f aca="false">Declarations!$B$20*Q37*Declarations!$D$20+Declarations!$B$20*R37*Declarations!$D$21+Declarations!$B$20*S37*Declarations!$D$22+Declarations!$B$21*R37*Declarations!$D$20+Declarations!$B$21*T37*Declarations!$D$21+Declarations!$B$21*U37*Declarations!$D$22+Declarations!$B$22*S37*Declarations!$D$20+Declarations!$B$22*U37*Declarations!$D$21+Declarations!$B$22*V37*Declarations!$D$22+0</f>
        <v>0.616557160201306</v>
      </c>
      <c r="T38" s="20" t="n">
        <f aca="false">Declarations!$C$20*Q37*Declarations!$C$20+Declarations!$C$20*R37*Declarations!$C$21+Declarations!$C$20*S37*Declarations!$C$22+Declarations!$C$21*R37*Declarations!$C$20+Declarations!$C$21*T37*Declarations!$C$21+Declarations!$C$21*U37*Declarations!$C$22+Declarations!$C$22*S37*Declarations!$C$20+Declarations!$C$22*U37*Declarations!$C$21+Declarations!$C$22*V37*Declarations!$C$22+1</f>
        <v>5.54349205468922</v>
      </c>
      <c r="U38" s="20" t="n">
        <f aca="false">Declarations!$C$20*Q37*Declarations!$D$20+Declarations!$C$20*R37*Declarations!$D$21+Declarations!$C$20*S37*Declarations!$D$22+Declarations!$C$21*R37*Declarations!$D$20+Declarations!$C$21*T37*Declarations!$D$21+Declarations!$C$21*U37*Declarations!$D$22+Declarations!$C$22*S37*Declarations!$D$20+Declarations!$C$22*U37*Declarations!$D$21+Declarations!$C$22*V37*Declarations!$D$22+0</f>
        <v>0.771228860953527</v>
      </c>
      <c r="V38" s="20" t="n">
        <f aca="false">Declarations!$D$20*Q37*Declarations!$D$20+Declarations!$D$20*R37*Declarations!$D$21+Declarations!$D$20*S37*Declarations!$D$22+Declarations!$D$21*R37*Declarations!$D$20+Declarations!$D$21*T37*Declarations!$D$21+Declarations!$D$21*U37*Declarations!$D$22+Declarations!$D$22*S37*Declarations!$D$20+Declarations!$D$22*U37*Declarations!$D$21+Declarations!$D$22*V37*Declarations!$D$22+1</f>
        <v>2.77777352084572</v>
      </c>
    </row>
    <row r="39" customFormat="false" ht="15" hidden="false" customHeight="false" outlineLevel="0" collapsed="false">
      <c r="A39" s="18" t="n">
        <v>30</v>
      </c>
      <c r="B39" s="20" t="n">
        <f aca="false">$B$4*B38*$B$4+$B$4*C38*$B$5+$B$5*C38*$B$4+$B$5*D38*$B$5+$E$4</f>
        <v>13.0607379453657</v>
      </c>
      <c r="C39" s="20" t="n">
        <f aca="false">$B$4*B38*$C$4+$B$4*C38*$C$5+$B$5*C38*$C$4+$B$5*D38*$C$5+$F$4</f>
        <v>-5.54605444002348</v>
      </c>
      <c r="D39" s="20" t="n">
        <f aca="false">$C$4*B38*$C$4+$C$4*C38*$C$5+$C$5*C38*$C$4+$C$5*D38*$C$5+$F$5</f>
        <v>11.5118960386858</v>
      </c>
      <c r="H39" s="18" t="n">
        <v>28</v>
      </c>
      <c r="I39" s="17" t="n">
        <f aca="false">$B$4*I38+$C$4*J38</f>
        <v>5.03778061738188</v>
      </c>
      <c r="J39" s="17" t="n">
        <f aca="false">$B$5*I38+$C$5*J38</f>
        <v>26.1756658715183</v>
      </c>
      <c r="K39" s="18" t="n">
        <f aca="false">I39^2+J39^2</f>
        <v>710.544717366235</v>
      </c>
      <c r="L39" s="18" t="n">
        <f aca="false">$I$4*I39^2+2*$I$5*I39*J39+$I$6*J39^2</f>
        <v>7035.63161678112</v>
      </c>
      <c r="M39" s="18" t="n">
        <f aca="false">IF(K39&gt;K38+0.000000001,1,0)</f>
        <v>0</v>
      </c>
      <c r="N39" s="18" t="n">
        <f aca="false">IF(L39&gt;L38+0.000000001,1,0)</f>
        <v>0</v>
      </c>
      <c r="P39" s="18" t="n">
        <v>30</v>
      </c>
      <c r="Q39" s="20" t="n">
        <f aca="false">Declarations!$B$20*Q38*Declarations!$B$20+Declarations!$B$20*R38*Declarations!$B$21+Declarations!$B$20*S38*Declarations!$B$22+Declarations!$B$21*R38*Declarations!$B$20+Declarations!$B$21*T38*Declarations!$B$21+Declarations!$B$21*U38*Declarations!$B$22+Declarations!$B$22*S38*Declarations!$B$20+Declarations!$B$22*U38*Declarations!$B$21+Declarations!$B$22*V38*Declarations!$B$22+1</f>
        <v>9.73220670517047</v>
      </c>
      <c r="R39" s="20" t="n">
        <f aca="false">Declarations!$B$20*Q38*Declarations!$C$20+Declarations!$B$20*R38*Declarations!$C$21+Declarations!$B$20*S38*Declarations!$C$22+Declarations!$B$21*R38*Declarations!$C$20+Declarations!$B$21*T38*Declarations!$C$21+Declarations!$B$21*U38*Declarations!$C$22+Declarations!$B$22*S38*Declarations!$C$20+Declarations!$B$22*U38*Declarations!$C$21+Declarations!$B$22*V38*Declarations!$C$22+0</f>
        <v>4.32232022426236</v>
      </c>
      <c r="S39" s="20" t="n">
        <f aca="false">Declarations!$B$20*Q38*Declarations!$D$20+Declarations!$B$20*R38*Declarations!$D$21+Declarations!$B$20*S38*Declarations!$D$22+Declarations!$B$21*R38*Declarations!$D$20+Declarations!$B$21*T38*Declarations!$D$21+Declarations!$B$21*U38*Declarations!$D$22+Declarations!$B$22*S38*Declarations!$D$20+Declarations!$B$22*U38*Declarations!$D$21+Declarations!$B$22*V38*Declarations!$D$22+0</f>
        <v>0.616730405055051</v>
      </c>
      <c r="T39" s="20" t="n">
        <f aca="false">Declarations!$C$20*Q38*Declarations!$C$20+Declarations!$C$20*R38*Declarations!$C$21+Declarations!$C$20*S38*Declarations!$C$22+Declarations!$C$21*R38*Declarations!$C$20+Declarations!$C$21*T38*Declarations!$C$21+Declarations!$C$21*U38*Declarations!$C$22+Declarations!$C$22*S38*Declarations!$C$20+Declarations!$C$22*U38*Declarations!$C$21+Declarations!$C$22*V38*Declarations!$C$22+1</f>
        <v>5.55918528547528</v>
      </c>
      <c r="U39" s="20" t="n">
        <f aca="false">Declarations!$C$20*Q38*Declarations!$D$20+Declarations!$C$20*R38*Declarations!$D$21+Declarations!$C$20*S38*Declarations!$D$22+Declarations!$C$21*R38*Declarations!$D$20+Declarations!$C$21*T38*Declarations!$D$21+Declarations!$C$21*U38*Declarations!$D$22+Declarations!$C$22*S38*Declarations!$D$20+Declarations!$C$22*U38*Declarations!$D$21+Declarations!$C$22*V38*Declarations!$D$22+0</f>
        <v>0.771319793524108</v>
      </c>
      <c r="V39" s="20" t="n">
        <f aca="false">Declarations!$D$20*Q38*Declarations!$D$20+Declarations!$D$20*R38*Declarations!$D$21+Declarations!$D$20*S38*Declarations!$D$22+Declarations!$D$21*R38*Declarations!$D$20+Declarations!$D$21*T38*Declarations!$D$21+Declarations!$D$21*U38*Declarations!$D$22+Declarations!$D$22*S38*Declarations!$D$20+Declarations!$D$22*U38*Declarations!$D$21+Declarations!$D$22*V38*Declarations!$D$22+1</f>
        <v>2.77777505334126</v>
      </c>
    </row>
    <row r="40" customFormat="false" ht="15" hidden="false" customHeight="false" outlineLevel="0" collapsed="false">
      <c r="A40" s="18" t="n">
        <v>31</v>
      </c>
      <c r="B40" s="20" t="n">
        <f aca="false">$B$4*B39*$B$4+$B$4*C39*$B$5+$B$5*C39*$B$4+$B$5*D39*$B$5+$E$4</f>
        <v>13.1081957823897</v>
      </c>
      <c r="C40" s="20" t="n">
        <f aca="false">$B$4*B39*$C$4+$B$4*C39*$C$5+$B$5*C39*$C$4+$B$5*D39*$C$5+$F$4</f>
        <v>-5.58774873972505</v>
      </c>
      <c r="D40" s="20" t="n">
        <f aca="false">$C$4*B39*$C$4+$C$4*C39*$C$5+$C$5*C39*$C$4+$C$5*D39*$C$5+$F$5</f>
        <v>11.5791977357462</v>
      </c>
      <c r="H40" s="18" t="n">
        <v>29</v>
      </c>
      <c r="I40" s="17" t="n">
        <f aca="false">$B$4*I39+$C$4*J39</f>
        <v>-19.0240967287228</v>
      </c>
      <c r="J40" s="17" t="n">
        <f aca="false">$B$5*I39+$C$5*J39</f>
        <v>5.03778061738188</v>
      </c>
      <c r="K40" s="18" t="n">
        <f aca="false">I40^2+J40^2</f>
        <v>387.295489892668</v>
      </c>
      <c r="L40" s="18" t="n">
        <f aca="false">$I$4*I40^2+2*$I$5*I40*J40+$I$6*J40^2</f>
        <v>6325.08689941488</v>
      </c>
      <c r="M40" s="18" t="n">
        <f aca="false">IF(K40&gt;K39+0.000000001,1,0)</f>
        <v>0</v>
      </c>
      <c r="N40" s="18" t="n">
        <f aca="false">IF(L40&gt;L39+0.000000001,1,0)</f>
        <v>0</v>
      </c>
      <c r="P40" s="18" t="n">
        <v>31</v>
      </c>
      <c r="Q40" s="20" t="n">
        <f aca="false">Declarations!$B$20*Q39*Declarations!$B$20+Declarations!$B$20*R39*Declarations!$B$21+Declarations!$B$20*S39*Declarations!$B$22+Declarations!$B$21*R39*Declarations!$B$20+Declarations!$B$21*T39*Declarations!$B$21+Declarations!$B$21*U39*Declarations!$B$22+Declarations!$B$22*S39*Declarations!$B$20+Declarations!$B$22*U39*Declarations!$B$21+Declarations!$B$22*V39*Declarations!$B$22+1</f>
        <v>9.7868602964336</v>
      </c>
      <c r="R40" s="20" t="n">
        <f aca="false">Declarations!$B$20*Q39*Declarations!$C$20+Declarations!$B$20*R39*Declarations!$C$21+Declarations!$B$20*S39*Declarations!$C$22+Declarations!$B$21*R39*Declarations!$C$20+Declarations!$B$21*T39*Declarations!$C$21+Declarations!$B$21*U39*Declarations!$C$22+Declarations!$B$22*S39*Declarations!$C$20+Declarations!$B$22*U39*Declarations!$C$21+Declarations!$B$22*V39*Declarations!$C$22+0</f>
        <v>4.3500973505744</v>
      </c>
      <c r="S40" s="20" t="n">
        <f aca="false">Declarations!$B$20*Q39*Declarations!$D$20+Declarations!$B$20*R39*Declarations!$D$21+Declarations!$B$20*S39*Declarations!$D$22+Declarations!$B$21*R39*Declarations!$D$20+Declarations!$B$21*T39*Declarations!$D$21+Declarations!$B$21*U39*Declarations!$D$22+Declarations!$B$22*S39*Declarations!$D$20+Declarations!$B$22*U39*Declarations!$D$21+Declarations!$B$22*V39*Declarations!$D$22+0</f>
        <v>0.616862477255216</v>
      </c>
      <c r="T40" s="20" t="n">
        <f aca="false">Declarations!$C$20*Q39*Declarations!$C$20+Declarations!$C$20*R39*Declarations!$C$21+Declarations!$C$20*S39*Declarations!$C$22+Declarations!$C$21*R39*Declarations!$C$20+Declarations!$C$21*T39*Declarations!$C$21+Declarations!$C$21*U39*Declarations!$C$22+Declarations!$C$22*S39*Declarations!$C$20+Declarations!$C$22*U39*Declarations!$C$21+Declarations!$C$22*V39*Declarations!$C$22+1</f>
        <v>5.57330852406417</v>
      </c>
      <c r="U40" s="20" t="n">
        <f aca="false">Declarations!$C$20*Q39*Declarations!$D$20+Declarations!$C$20*R39*Declarations!$D$21+Declarations!$C$20*S39*Declarations!$D$22+Declarations!$C$21*R39*Declarations!$D$20+Declarations!$C$21*T39*Declarations!$D$21+Declarations!$C$21*U39*Declarations!$D$22+Declarations!$C$22*S39*Declarations!$D$20+Declarations!$C$22*U39*Declarations!$D$21+Declarations!$C$22*V39*Declarations!$D$22+0</f>
        <v>0.771388680065896</v>
      </c>
      <c r="V40" s="20" t="n">
        <f aca="false">Declarations!$D$20*Q39*Declarations!$D$20+Declarations!$D$20*R39*Declarations!$D$21+Declarations!$D$20*S39*Declarations!$D$22+Declarations!$D$21*R39*Declarations!$D$20+Declarations!$D$21*T39*Declarations!$D$21+Declarations!$D$21*U39*Declarations!$D$22+Declarations!$D$22*S39*Declarations!$D$20+Declarations!$D$22*U39*Declarations!$D$21+Declarations!$D$22*V39*Declarations!$D$22+1</f>
        <v>2.77777603413841</v>
      </c>
    </row>
    <row r="41" customFormat="false" ht="15" hidden="false" customHeight="false" outlineLevel="0" collapsed="false">
      <c r="A41" s="18" t="n">
        <v>32</v>
      </c>
      <c r="B41" s="20" t="n">
        <f aca="false">$B$4*B40*$B$4+$B$4*C40*$B$5+$B$5*C40*$B$4+$B$5*D40*$B$5+$E$4</f>
        <v>13.1388885879768</v>
      </c>
      <c r="C41" s="20" t="n">
        <f aca="false">$B$4*B40*$C$4+$B$4*C40*$C$5+$B$5*C40*$C$4+$B$5*D40*$C$5+$F$4</f>
        <v>-5.58866471798315</v>
      </c>
      <c r="D41" s="20" t="n">
        <f aca="false">$C$4*B40*$C$4+$C$4*C40*$C$5+$C$5*C40*$C$4+$C$5*D40*$C$5+$F$5</f>
        <v>11.6176385837357</v>
      </c>
      <c r="H41" s="18" t="n">
        <v>30</v>
      </c>
      <c r="I41" s="17" t="n">
        <f aca="false">$B$4*I40+$C$4*J40</f>
        <v>-21.6556896114942</v>
      </c>
      <c r="J41" s="17" t="n">
        <f aca="false">$B$5*I40+$C$5*J40</f>
        <v>-19.0240967287228</v>
      </c>
      <c r="K41" s="18" t="n">
        <f aca="false">I41^2+J41^2</f>
        <v>830.885148893176</v>
      </c>
      <c r="L41" s="18" t="n">
        <f aca="false">$I$4*I41^2+2*$I$5*I41*J41+$I$6*J41^2</f>
        <v>5937.79140952222</v>
      </c>
      <c r="M41" s="18" t="n">
        <f aca="false">IF(K41&gt;K40+0.000000001,1,0)</f>
        <v>1</v>
      </c>
      <c r="N41" s="18" t="n">
        <f aca="false">IF(L41&gt;L40+0.000000001,1,0)</f>
        <v>0</v>
      </c>
      <c r="P41" s="18" t="n">
        <v>32</v>
      </c>
      <c r="Q41" s="20" t="n">
        <f aca="false">Declarations!$B$20*Q40*Declarations!$B$20+Declarations!$B$20*R40*Declarations!$B$21+Declarations!$B$20*S40*Declarations!$B$22+Declarations!$B$21*R40*Declarations!$B$20+Declarations!$B$21*T40*Declarations!$B$21+Declarations!$B$21*U40*Declarations!$B$22+Declarations!$B$22*S40*Declarations!$B$20+Declarations!$B$22*U40*Declarations!$B$21+Declarations!$B$22*V40*Declarations!$B$22+1</f>
        <v>9.83628339829423</v>
      </c>
      <c r="R41" s="20" t="n">
        <f aca="false">Declarations!$B$20*Q40*Declarations!$C$20+Declarations!$B$20*R40*Declarations!$C$21+Declarations!$B$20*S40*Declarations!$C$22+Declarations!$B$21*R40*Declarations!$C$20+Declarations!$B$21*T40*Declarations!$C$21+Declarations!$B$21*U40*Declarations!$C$22+Declarations!$B$22*S40*Declarations!$C$20+Declarations!$B$22*U40*Declarations!$C$21+Declarations!$B$22*V40*Declarations!$C$22+0</f>
        <v>4.37516146284751</v>
      </c>
      <c r="S41" s="20" t="n">
        <f aca="false">Declarations!$B$20*Q40*Declarations!$D$20+Declarations!$B$20*R40*Declarations!$D$21+Declarations!$B$20*S40*Declarations!$D$22+Declarations!$B$21*R40*Declarations!$D$20+Declarations!$B$21*T40*Declarations!$D$21+Declarations!$B$21*U40*Declarations!$D$22+Declarations!$B$22*S40*Declarations!$D$20+Declarations!$B$22*U40*Declarations!$D$21+Declarations!$B$22*V40*Declarations!$D$22+0</f>
        <v>0.616963119394564</v>
      </c>
      <c r="T41" s="20" t="n">
        <f aca="false">Declarations!$C$20*Q40*Declarations!$C$20+Declarations!$C$20*R40*Declarations!$C$21+Declarations!$C$20*S40*Declarations!$C$22+Declarations!$C$21*R40*Declarations!$C$20+Declarations!$C$21*T40*Declarations!$C$21+Declarations!$C$21*U40*Declarations!$C$22+Declarations!$C$22*S40*Declarations!$C$20+Declarations!$C$22*U40*Declarations!$C$21+Declarations!$C$22*V40*Declarations!$C$22+1</f>
        <v>5.58602329490141</v>
      </c>
      <c r="U41" s="20" t="n">
        <f aca="false">Declarations!$C$20*Q40*Declarations!$D$20+Declarations!$C$20*R40*Declarations!$D$21+Declarations!$C$20*S40*Declarations!$D$22+Declarations!$C$21*R40*Declarations!$D$20+Declarations!$C$21*T40*Declarations!$D$21+Declarations!$C$21*U40*Declarations!$D$22+Declarations!$C$22*S40*Declarations!$D$20+Declarations!$C$22*U40*Declarations!$D$21+Declarations!$C$22*V40*Declarations!$D$22+0</f>
        <v>0.771440884266091</v>
      </c>
      <c r="V41" s="20" t="n">
        <f aca="false">Declarations!$D$20*Q40*Declarations!$D$20+Declarations!$D$20*R40*Declarations!$D$21+Declarations!$D$20*S40*Declarations!$D$22+Declarations!$D$21*R40*Declarations!$D$20+Declarations!$D$21*T40*Declarations!$D$21+Declarations!$D$21*U40*Declarations!$D$22+Declarations!$D$22*S40*Declarations!$D$20+Declarations!$D$22*U40*Declarations!$D$21+Declarations!$D$22*V40*Declarations!$D$22+1</f>
        <v>2.77777666184858</v>
      </c>
    </row>
    <row r="42" customFormat="false" ht="15" hidden="false" customHeight="false" outlineLevel="0" collapsed="false">
      <c r="A42" s="18" t="n">
        <v>33</v>
      </c>
      <c r="B42" s="20" t="n">
        <f aca="false">$B$4*B41*$B$4+$B$4*C41*$B$5+$B$5*C41*$B$4+$B$5*D41*$B$5+$E$4</f>
        <v>13.2005418476272</v>
      </c>
      <c r="C42" s="20" t="n">
        <f aca="false">$B$4*B41*$C$4+$B$4*C41*$C$5+$B$5*C41*$C$4+$B$5*D41*$C$5+$F$4</f>
        <v>-5.61270151007636</v>
      </c>
      <c r="D42" s="20" t="n">
        <f aca="false">$C$4*B41*$C$4+$C$4*C41*$C$5+$C$5*C41*$C$4+$C$5*D41*$C$5+$F$5</f>
        <v>11.6424997562612</v>
      </c>
      <c r="H42" s="18" t="n">
        <v>31</v>
      </c>
      <c r="I42" s="17" t="n">
        <f aca="false">$B$4*I41+$C$4*J41</f>
        <v>-2.36843359449428</v>
      </c>
      <c r="J42" s="17" t="n">
        <f aca="false">$B$5*I41+$C$5*J41</f>
        <v>-21.6556896114942</v>
      </c>
      <c r="K42" s="18" t="n">
        <f aca="false">I42^2+J42^2</f>
        <v>474.578370240906</v>
      </c>
      <c r="L42" s="18" t="n">
        <f aca="false">$I$4*I42^2+2*$I$5*I42*J42+$I$6*J42^2</f>
        <v>5106.90626062904</v>
      </c>
      <c r="M42" s="18" t="n">
        <f aca="false">IF(K42&gt;K41+0.000000001,1,0)</f>
        <v>0</v>
      </c>
      <c r="N42" s="18" t="n">
        <f aca="false">IF(L42&gt;L41+0.000000001,1,0)</f>
        <v>0</v>
      </c>
      <c r="P42" s="18" t="n">
        <v>33</v>
      </c>
      <c r="Q42" s="20" t="n">
        <f aca="false">Declarations!$B$20*Q41*Declarations!$B$20+Declarations!$B$20*R41*Declarations!$B$21+Declarations!$B$20*S41*Declarations!$B$22+Declarations!$B$21*R41*Declarations!$B$20+Declarations!$B$21*T41*Declarations!$B$21+Declarations!$B$21*U41*Declarations!$B$22+Declarations!$B$22*S41*Declarations!$B$20+Declarations!$B$22*U41*Declarations!$B$21+Declarations!$B$22*V41*Declarations!$B$22+1</f>
        <v>9.88096438012268</v>
      </c>
      <c r="R42" s="20" t="n">
        <f aca="false">Declarations!$B$20*Q41*Declarations!$C$20+Declarations!$B$20*R41*Declarations!$C$21+Declarations!$B$20*S41*Declarations!$C$22+Declarations!$B$21*R41*Declarations!$C$20+Declarations!$B$21*T41*Declarations!$C$21+Declarations!$B$21*U41*Declarations!$C$22+Declarations!$B$22*S41*Declarations!$C$20+Declarations!$B$22*U41*Declarations!$C$21+Declarations!$B$22*V41*Declarations!$C$22+0</f>
        <v>4.39777767765965</v>
      </c>
      <c r="S42" s="20" t="n">
        <f aca="false">Declarations!$B$20*Q41*Declarations!$D$20+Declarations!$B$20*R41*Declarations!$D$21+Declarations!$B$20*S41*Declarations!$D$22+Declarations!$B$21*R41*Declarations!$D$20+Declarations!$B$21*T41*Declarations!$D$21+Declarations!$B$21*U41*Declarations!$D$22+Declarations!$B$22*S41*Declarations!$D$20+Declarations!$B$22*U41*Declarations!$D$21+Declarations!$B$22*V41*Declarations!$D$22+0</f>
        <v>0.617039783179316</v>
      </c>
      <c r="T42" s="20" t="n">
        <f aca="false">Declarations!$C$20*Q41*Declarations!$C$20+Declarations!$C$20*R41*Declarations!$C$21+Declarations!$C$20*S41*Declarations!$C$22+Declarations!$C$21*R41*Declarations!$C$20+Declarations!$C$21*T41*Declarations!$C$21+Declarations!$C$21*U41*Declarations!$C$22+Declarations!$C$22*S41*Declarations!$C$20+Declarations!$C$22*U41*Declarations!$C$21+Declarations!$C$22*V41*Declarations!$C$22+1</f>
        <v>5.59747361154171</v>
      </c>
      <c r="U42" s="20" t="n">
        <f aca="false">Declarations!$C$20*Q41*Declarations!$D$20+Declarations!$C$20*R41*Declarations!$D$21+Declarations!$C$20*S41*Declarations!$D$22+Declarations!$C$21*R41*Declarations!$D$20+Declarations!$C$21*T41*Declarations!$D$21+Declarations!$C$21*U41*Declarations!$D$22+Declarations!$C$22*S41*Declarations!$D$20+Declarations!$C$22*U41*Declarations!$D$21+Declarations!$C$22*V41*Declarations!$D$22+0</f>
        <v>0.771480459024611</v>
      </c>
      <c r="V42" s="20" t="n">
        <f aca="false">Declarations!$D$20*Q41*Declarations!$D$20+Declarations!$D$20*R41*Declarations!$D$21+Declarations!$D$20*S41*Declarations!$D$22+Declarations!$D$21*R41*Declarations!$D$20+Declarations!$D$21*T41*Declarations!$D$21+Declarations!$D$21*U41*Declarations!$D$22+Declarations!$D$22*S41*Declarations!$D$20+Declarations!$D$22*U41*Declarations!$D$21+Declarations!$D$22*V41*Declarations!$D$22+1</f>
        <v>2.77777706358309</v>
      </c>
    </row>
    <row r="43" customFormat="false" ht="15" hidden="false" customHeight="false" outlineLevel="0" collapsed="false">
      <c r="A43" s="18" t="n">
        <v>34</v>
      </c>
      <c r="B43" s="20" t="n">
        <f aca="false">$B$4*B42*$B$4+$B$4*C42*$B$5+$B$5*C42*$B$4+$B$5*D42*$B$5+$E$4</f>
        <v>13.2320759347018</v>
      </c>
      <c r="C43" s="20" t="n">
        <f aca="false">$B$4*B42*$C$4+$B$4*C42*$C$5+$B$5*C42*$C$4+$B$5*D42*$C$5+$F$4</f>
        <v>-5.64100753750932</v>
      </c>
      <c r="D43" s="20" t="n">
        <f aca="false">$C$4*B42*$C$4+$C$4*C42*$C$5+$C$5*C42*$C$4+$C$5*D42*$C$5+$F$5</f>
        <v>11.692438896578</v>
      </c>
      <c r="H43" s="18" t="n">
        <v>32</v>
      </c>
      <c r="I43" s="17" t="n">
        <f aca="false">$B$4*I42+$C$4*J42</f>
        <v>17.3585304152999</v>
      </c>
      <c r="J43" s="17" t="n">
        <f aca="false">$B$5*I42+$C$5*J42</f>
        <v>-2.36843359449428</v>
      </c>
      <c r="K43" s="18" t="n">
        <f aca="false">I43^2+J43^2</f>
        <v>306.928055870421</v>
      </c>
      <c r="L43" s="18" t="n">
        <f aca="false">$I$4*I43^2+2*$I$5*I43*J43+$I$6*J43^2</f>
        <v>4632.32789038813</v>
      </c>
      <c r="M43" s="18" t="n">
        <f aca="false">IF(K43&gt;K42+0.000000001,1,0)</f>
        <v>0</v>
      </c>
      <c r="N43" s="18" t="n">
        <f aca="false">IF(L43&gt;L42+0.000000001,1,0)</f>
        <v>0</v>
      </c>
      <c r="P43" s="18" t="n">
        <v>34</v>
      </c>
      <c r="Q43" s="20" t="n">
        <f aca="false">Declarations!$B$20*Q42*Declarations!$B$20+Declarations!$B$20*R42*Declarations!$B$21+Declarations!$B$20*S42*Declarations!$B$22+Declarations!$B$21*R42*Declarations!$B$20+Declarations!$B$21*T42*Declarations!$B$21+Declarations!$B$21*U42*Declarations!$B$22+Declarations!$B$22*S42*Declarations!$B$20+Declarations!$B$22*U42*Declarations!$B$21+Declarations!$B$22*V42*Declarations!$B$22+1</f>
        <v>9.92134869372887</v>
      </c>
      <c r="R43" s="20" t="n">
        <f aca="false">Declarations!$B$20*Q42*Declarations!$C$20+Declarations!$B$20*R42*Declarations!$C$21+Declarations!$B$20*S42*Declarations!$C$22+Declarations!$B$21*R42*Declarations!$C$20+Declarations!$B$21*T42*Declarations!$C$21+Declarations!$B$21*U42*Declarations!$C$22+Declarations!$B$22*S42*Declarations!$C$20+Declarations!$B$22*U42*Declarations!$C$21+Declarations!$B$22*V42*Declarations!$C$22+0</f>
        <v>4.41818525524529</v>
      </c>
      <c r="S43" s="20" t="n">
        <f aca="false">Declarations!$B$20*Q42*Declarations!$D$20+Declarations!$B$20*R42*Declarations!$D$21+Declarations!$B$20*S42*Declarations!$D$22+Declarations!$B$21*R42*Declarations!$D$20+Declarations!$B$21*T42*Declarations!$D$21+Declarations!$B$21*U42*Declarations!$D$22+Declarations!$B$22*S42*Declarations!$D$20+Declarations!$B$22*U42*Declarations!$D$21+Declarations!$B$22*V42*Declarations!$D$22+0</f>
        <v>0.6170981631544</v>
      </c>
      <c r="T43" s="20" t="n">
        <f aca="false">Declarations!$C$20*Q42*Declarations!$C$20+Declarations!$C$20*R42*Declarations!$C$21+Declarations!$C$20*S42*Declarations!$C$22+Declarations!$C$21*R42*Declarations!$C$20+Declarations!$C$21*T42*Declarations!$C$21+Declarations!$C$21*U42*Declarations!$C$22+Declarations!$C$22*S42*Declarations!$C$20+Declarations!$C$22*U42*Declarations!$C$21+Declarations!$C$22*V42*Declarations!$C$22+1</f>
        <v>5.60778804439207</v>
      </c>
      <c r="U43" s="20" t="n">
        <f aca="false">Declarations!$C$20*Q42*Declarations!$D$20+Declarations!$C$20*R42*Declarations!$D$21+Declarations!$C$20*S42*Declarations!$D$22+Declarations!$C$21*R42*Declarations!$D$20+Declarations!$C$21*T42*Declarations!$D$21+Declarations!$C$21*U42*Declarations!$D$22+Declarations!$C$22*S42*Declarations!$D$20+Declarations!$C$22*U42*Declarations!$D$21+Declarations!$C$22*V42*Declarations!$D$22+0</f>
        <v>0.771510468550556</v>
      </c>
      <c r="V43" s="20" t="n">
        <f aca="false">Declarations!$D$20*Q42*Declarations!$D$20+Declarations!$D$20*R42*Declarations!$D$21+Declarations!$D$20*S42*Declarations!$D$22+Declarations!$D$21*R42*Declarations!$D$20+Declarations!$D$21*T42*Declarations!$D$21+Declarations!$D$21*U42*Declarations!$D$22+Declarations!$D$22*S42*Declarations!$D$20+Declarations!$D$22*U42*Declarations!$D$21+Declarations!$D$22*V42*Declarations!$D$22+1</f>
        <v>2.77777732069318</v>
      </c>
    </row>
    <row r="44" customFormat="false" ht="15" hidden="false" customHeight="false" outlineLevel="0" collapsed="false">
      <c r="A44" s="18" t="n">
        <v>35</v>
      </c>
      <c r="B44" s="20" t="n">
        <f aca="false">$B$4*B43*$B$4+$B$4*C43*$B$5+$B$5*C43*$B$4+$B$5*D43*$B$5+$E$4</f>
        <v>13.2566068361697</v>
      </c>
      <c r="C44" s="20" t="n">
        <f aca="false">$B$4*B43*$C$4+$B$4*C43*$C$5+$B$5*C43*$C$4+$B$5*D43*$C$5+$F$4</f>
        <v>-5.64107472335006</v>
      </c>
      <c r="D44" s="20" t="n">
        <f aca="false">$C$4*B43*$C$4+$C$4*C43*$C$5+$C$5*C43*$C$4+$C$5*D43*$C$5+$F$5</f>
        <v>11.7179815071085</v>
      </c>
      <c r="H44" s="18" t="n">
        <v>33</v>
      </c>
      <c r="I44" s="17" t="n">
        <f aca="false">$B$4*I43+$C$4*J43</f>
        <v>17.7542676088148</v>
      </c>
      <c r="J44" s="17" t="n">
        <f aca="false">$B$5*I43+$C$5*J43</f>
        <v>17.3585304152999</v>
      </c>
      <c r="K44" s="18" t="n">
        <f aca="false">I44^2+J44^2</f>
        <v>616.532596504301</v>
      </c>
      <c r="L44" s="18" t="n">
        <f aca="false">$I$4*I44^2+2*$I$5*I44*J44+$I$6*J44^2</f>
        <v>4325.39983451772</v>
      </c>
      <c r="M44" s="18" t="n">
        <f aca="false">IF(K44&gt;K43+0.000000001,1,0)</f>
        <v>1</v>
      </c>
      <c r="N44" s="18" t="n">
        <f aca="false">IF(L44&gt;L43+0.000000001,1,0)</f>
        <v>0</v>
      </c>
      <c r="P44" s="18" t="n">
        <v>35</v>
      </c>
      <c r="Q44" s="20" t="n">
        <f aca="false">Declarations!$B$20*Q43*Declarations!$B$20+Declarations!$B$20*R43*Declarations!$B$21+Declarations!$B$20*S43*Declarations!$B$22+Declarations!$B$21*R43*Declarations!$B$20+Declarations!$B$21*T43*Declarations!$B$21+Declarations!$B$21*U43*Declarations!$B$22+Declarations!$B$22*S43*Declarations!$B$20+Declarations!$B$22*U43*Declarations!$B$21+Declarations!$B$22*V43*Declarations!$B$22+1</f>
        <v>9.9578420509796</v>
      </c>
      <c r="R44" s="20" t="n">
        <f aca="false">Declarations!$B$20*Q43*Declarations!$C$20+Declarations!$B$20*R43*Declarations!$C$21+Declarations!$B$20*S43*Declarations!$C$22+Declarations!$B$21*R43*Declarations!$C$20+Declarations!$B$21*T43*Declarations!$C$21+Declarations!$B$21*U43*Declarations!$C$22+Declarations!$B$22*S43*Declarations!$C$20+Declarations!$B$22*U43*Declarations!$C$21+Declarations!$B$22*V43*Declarations!$C$22+0</f>
        <v>4.43660008782415</v>
      </c>
      <c r="S44" s="20" t="n">
        <f aca="false">Declarations!$B$20*Q43*Declarations!$D$20+Declarations!$B$20*R43*Declarations!$D$21+Declarations!$B$20*S43*Declarations!$D$22+Declarations!$B$21*R43*Declarations!$D$20+Declarations!$B$21*T43*Declarations!$D$21+Declarations!$B$21*U43*Declarations!$D$22+Declarations!$B$22*S43*Declarations!$D$20+Declarations!$B$22*U43*Declarations!$D$21+Declarations!$B$22*V43*Declarations!$D$22+0</f>
        <v>0.61714260778294</v>
      </c>
      <c r="T44" s="20" t="n">
        <f aca="false">Declarations!$C$20*Q43*Declarations!$C$20+Declarations!$C$20*R43*Declarations!$C$21+Declarations!$C$20*S43*Declarations!$C$22+Declarations!$C$21*R43*Declarations!$C$20+Declarations!$C$21*T43*Declarations!$C$21+Declarations!$C$21*U43*Declarations!$C$22+Declarations!$C$22*S43*Declarations!$C$20+Declarations!$C$22*U43*Declarations!$C$21+Declarations!$C$22*V43*Declarations!$C$22+1</f>
        <v>5.61708151499551</v>
      </c>
      <c r="U44" s="20" t="n">
        <f aca="false">Declarations!$C$20*Q43*Declarations!$D$20+Declarations!$C$20*R43*Declarations!$D$21+Declarations!$C$20*S43*Declarations!$D$22+Declarations!$C$21*R43*Declarations!$D$20+Declarations!$C$21*T43*Declarations!$D$21+Declarations!$C$21*U43*Declarations!$D$22+Declarations!$C$22*S43*Declarations!$D$20+Declarations!$C$22*U43*Declarations!$D$21+Declarations!$C$22*V43*Declarations!$D$22+0</f>
        <v>0.771533230796008</v>
      </c>
      <c r="V44" s="20" t="n">
        <f aca="false">Declarations!$D$20*Q43*Declarations!$D$20+Declarations!$D$20*R43*Declarations!$D$21+Declarations!$D$20*S43*Declarations!$D$22+Declarations!$D$21*R43*Declarations!$D$20+Declarations!$D$21*T43*Declarations!$D$21+Declarations!$D$21*U43*Declarations!$D$22+Declarations!$D$22*S43*Declarations!$D$20+Declarations!$D$22*U43*Declarations!$D$21+Declarations!$D$22*V43*Declarations!$D$22+1</f>
        <v>2.77777748524364</v>
      </c>
    </row>
    <row r="45" customFormat="false" ht="15" hidden="false" customHeight="false" outlineLevel="0" collapsed="false">
      <c r="A45" s="18" t="n">
        <v>36</v>
      </c>
      <c r="B45" s="20" t="n">
        <f aca="false">$B$4*B44*$B$4+$B$4*C44*$B$5+$B$5*C44*$B$4+$B$5*D44*$B$5+$E$4</f>
        <v>13.3018985423758</v>
      </c>
      <c r="C45" s="20" t="n">
        <f aca="false">$B$4*B44*$C$4+$B$4*C44*$C$5+$B$5*C44*$C$4+$B$5*D44*$C$5+$F$4</f>
        <v>-5.66088428628242</v>
      </c>
      <c r="D45" s="20" t="n">
        <f aca="false">$C$4*B44*$C$4+$C$4*C44*$C$5+$C$5*C44*$C$4+$C$5*D44*$C$5+$F$5</f>
        <v>11.7378515372975</v>
      </c>
      <c r="H45" s="18" t="n">
        <v>34</v>
      </c>
      <c r="I45" s="17" t="n">
        <f aca="false">$B$4*I44+$C$4*J44</f>
        <v>0.356163474163379</v>
      </c>
      <c r="J45" s="17" t="n">
        <f aca="false">$B$5*I44+$C$5*J44</f>
        <v>17.7542676088148</v>
      </c>
      <c r="K45" s="18" t="n">
        <f aca="false">I45^2+J45^2</f>
        <v>315.340870745737</v>
      </c>
      <c r="L45" s="18" t="n">
        <f aca="false">$I$4*I45^2+2*$I$5*I45*J45+$I$6*J45^2</f>
        <v>3708.86723801341</v>
      </c>
      <c r="M45" s="18" t="n">
        <f aca="false">IF(K45&gt;K44+0.000000001,1,0)</f>
        <v>0</v>
      </c>
      <c r="N45" s="18" t="n">
        <f aca="false">IF(L45&gt;L44+0.000000001,1,0)</f>
        <v>0</v>
      </c>
      <c r="P45" s="18" t="n">
        <v>36</v>
      </c>
      <c r="Q45" s="20" t="n">
        <f aca="false">Declarations!$B$20*Q44*Declarations!$B$20+Declarations!$B$20*R44*Declarations!$B$21+Declarations!$B$20*S44*Declarations!$B$22+Declarations!$B$21*R44*Declarations!$B$20+Declarations!$B$21*T44*Declarations!$B$21+Declarations!$B$21*U44*Declarations!$B$22+Declarations!$B$22*S44*Declarations!$B$20+Declarations!$B$22*U44*Declarations!$B$21+Declarations!$B$22*V44*Declarations!$B$22+1</f>
        <v>9.99081350297331</v>
      </c>
      <c r="R45" s="20" t="n">
        <f aca="false">Declarations!$B$20*Q44*Declarations!$C$20+Declarations!$B$20*R44*Declarations!$C$21+Declarations!$B$20*S44*Declarations!$C$22+Declarations!$B$21*R44*Declarations!$C$20+Declarations!$B$21*T44*Declarations!$C$21+Declarations!$B$21*U44*Declarations!$C$22+Declarations!$B$22*S44*Declarations!$C$20+Declarations!$B$22*U44*Declarations!$C$21+Declarations!$B$22*V44*Declarations!$C$22+0</f>
        <v>4.45321696195623</v>
      </c>
      <c r="S45" s="20" t="n">
        <f aca="false">Declarations!$B$20*Q44*Declarations!$D$20+Declarations!$B$20*R44*Declarations!$D$21+Declarations!$B$20*S44*Declarations!$D$22+Declarations!$B$21*R44*Declarations!$D$20+Declarations!$B$21*T44*Declarations!$D$21+Declarations!$B$21*U44*Declarations!$D$22+Declarations!$B$22*S44*Declarations!$D$20+Declarations!$B$22*U44*Declarations!$D$21+Declarations!$B$22*V44*Declarations!$D$22+0</f>
        <v>0.617176435477143</v>
      </c>
      <c r="T45" s="20" t="n">
        <f aca="false">Declarations!$C$20*Q44*Declarations!$C$20+Declarations!$C$20*R44*Declarations!$C$21+Declarations!$C$20*S44*Declarations!$C$22+Declarations!$C$21*R44*Declarations!$C$20+Declarations!$C$21*T44*Declarations!$C$21+Declarations!$C$21*U44*Declarations!$C$22+Declarations!$C$22*S44*Declarations!$C$20+Declarations!$C$22*U44*Declarations!$C$21+Declarations!$C$22*V44*Declarations!$C$22+1</f>
        <v>5.62545685734235</v>
      </c>
      <c r="U45" s="20" t="n">
        <f aca="false">Declarations!$C$20*Q44*Declarations!$D$20+Declarations!$C$20*R44*Declarations!$D$21+Declarations!$C$20*S44*Declarations!$D$22+Declarations!$C$21*R44*Declarations!$D$20+Declarations!$C$21*T44*Declarations!$D$21+Declarations!$C$21*U44*Declarations!$D$22+Declarations!$C$22*S44*Declarations!$D$20+Declarations!$C$22*U44*Declarations!$D$21+Declarations!$C$22*V44*Declarations!$D$22+0</f>
        <v>0.771550500072094</v>
      </c>
      <c r="V45" s="20" t="n">
        <f aca="false">Declarations!$D$20*Q44*Declarations!$D$20+Declarations!$D$20*R44*Declarations!$D$21+Declarations!$D$20*S44*Declarations!$D$22+Declarations!$D$21*R44*Declarations!$D$20+Declarations!$D$21*T44*Declarations!$D$21+Declarations!$D$21*U44*Declarations!$D$22+Declarations!$D$22*S44*Declarations!$D$20+Declarations!$D$22*U44*Declarations!$D$21+Declarations!$D$22*V44*Declarations!$D$22+1</f>
        <v>2.77777759055593</v>
      </c>
    </row>
    <row r="46" customFormat="false" ht="15" hidden="false" customHeight="false" outlineLevel="0" collapsed="false">
      <c r="A46" s="18" t="n">
        <v>37</v>
      </c>
      <c r="B46" s="20" t="n">
        <f aca="false">$B$4*B45*$B$4+$B$4*C45*$B$5+$B$5*C45*$B$4+$B$5*D45*$B$5+$E$4</f>
        <v>13.3227976413135</v>
      </c>
      <c r="C46" s="20" t="n">
        <f aca="false">$B$4*B45*$C$4+$B$4*C45*$C$5+$B$5*C45*$C$4+$B$5*D45*$C$5+$F$4</f>
        <v>-5.67974196167023</v>
      </c>
      <c r="D46" s="20" t="n">
        <f aca="false">$C$4*B45*$C$4+$C$4*C45*$C$5+$C$5*C45*$C$4+$C$5*D45*$C$5+$F$5</f>
        <v>11.7745378193244</v>
      </c>
      <c r="H46" s="18" t="n">
        <v>35</v>
      </c>
      <c r="I46" s="17" t="n">
        <f aca="false">$B$4*I45+$C$4*J45</f>
        <v>-15.6582937211862</v>
      </c>
      <c r="J46" s="17" t="n">
        <f aca="false">$B$5*I45+$C$5*J45</f>
        <v>0.356163474163379</v>
      </c>
      <c r="K46" s="18" t="n">
        <f aca="false">I46^2+J46^2</f>
        <v>245.309014679269</v>
      </c>
      <c r="L46" s="18" t="n">
        <f aca="false">$I$4*I46^2+2*$I$5*I46*J46+$I$6*J46^2</f>
        <v>3393.52636726768</v>
      </c>
      <c r="M46" s="18" t="n">
        <f aca="false">IF(K46&gt;K45+0.000000001,1,0)</f>
        <v>0</v>
      </c>
      <c r="N46" s="18" t="n">
        <f aca="false">IF(L46&gt;L45+0.000000001,1,0)</f>
        <v>0</v>
      </c>
      <c r="P46" s="18" t="n">
        <v>37</v>
      </c>
      <c r="Q46" s="20" t="n">
        <f aca="false">Declarations!$B$20*Q45*Declarations!$B$20+Declarations!$B$20*R45*Declarations!$B$21+Declarations!$B$20*S45*Declarations!$B$22+Declarations!$B$21*R45*Declarations!$B$20+Declarations!$B$21*T45*Declarations!$B$21+Declarations!$B$21*U45*Declarations!$B$22+Declarations!$B$22*S45*Declarations!$B$20+Declarations!$B$22*U45*Declarations!$B$21+Declarations!$B$22*V45*Declarations!$B$22+1</f>
        <v>10.020598387304</v>
      </c>
      <c r="R46" s="20" t="n">
        <f aca="false">Declarations!$B$20*Q45*Declarations!$C$20+Declarations!$B$20*R45*Declarations!$C$21+Declarations!$B$20*S45*Declarations!$C$22+Declarations!$B$21*R45*Declarations!$C$20+Declarations!$B$21*T45*Declarations!$C$21+Declarations!$B$21*U45*Declarations!$C$22+Declarations!$B$22*S45*Declarations!$C$20+Declarations!$B$22*U45*Declarations!$C$21+Declarations!$B$22*V45*Declarations!$C$22+0</f>
        <v>4.4682116107024</v>
      </c>
      <c r="S46" s="20" t="n">
        <f aca="false">Declarations!$B$20*Q45*Declarations!$D$20+Declarations!$B$20*R45*Declarations!$D$21+Declarations!$B$20*S45*Declarations!$D$22+Declarations!$B$21*R45*Declarations!$D$20+Declarations!$B$21*T45*Declarations!$D$21+Declarations!$B$21*U45*Declarations!$D$22+Declarations!$B$22*S45*Declarations!$D$20+Declarations!$B$22*U45*Declarations!$D$21+Declarations!$B$22*V45*Declarations!$D$22+0</f>
        <v>0.617202177171547</v>
      </c>
      <c r="T46" s="20" t="n">
        <f aca="false">Declarations!$C$20*Q45*Declarations!$C$20+Declarations!$C$20*R45*Declarations!$C$21+Declarations!$C$20*S45*Declarations!$C$22+Declarations!$C$21*R45*Declarations!$C$20+Declarations!$C$21*T45*Declarations!$C$21+Declarations!$C$21*U45*Declarations!$C$22+Declarations!$C$22*S45*Declarations!$C$20+Declarations!$C$22*U45*Declarations!$C$21+Declarations!$C$22*V45*Declarations!$C$22+1</f>
        <v>5.63300618022615</v>
      </c>
      <c r="U46" s="20" t="n">
        <f aca="false">Declarations!$C$20*Q45*Declarations!$D$20+Declarations!$C$20*R45*Declarations!$D$21+Declarations!$C$20*S45*Declarations!$D$22+Declarations!$C$21*R45*Declarations!$D$20+Declarations!$C$21*T45*Declarations!$D$21+Declarations!$C$21*U45*Declarations!$D$22+Declarations!$C$22*S45*Declarations!$D$20+Declarations!$C$22*U45*Declarations!$D$21+Declarations!$C$22*V45*Declarations!$D$22+0</f>
        <v>0.771563604712584</v>
      </c>
      <c r="V46" s="20" t="n">
        <f aca="false">Declarations!$D$20*Q45*Declarations!$D$20+Declarations!$D$20*R45*Declarations!$D$21+Declarations!$D$20*S45*Declarations!$D$22+Declarations!$D$21*R45*Declarations!$D$20+Declarations!$D$21*T45*Declarations!$D$21+Declarations!$D$21*U45*Declarations!$D$22+Declarations!$D$22*S45*Declarations!$D$20+Declarations!$D$22*U45*Declarations!$D$21+Declarations!$D$22*V45*Declarations!$D$22+1</f>
        <v>2.77777765795579</v>
      </c>
    </row>
    <row r="47" customFormat="false" ht="15" hidden="false" customHeight="false" outlineLevel="0" collapsed="false">
      <c r="A47" s="18" t="n">
        <v>38</v>
      </c>
      <c r="B47" s="20" t="n">
        <f aca="false">$B$4*B46*$B$4+$B$4*C46*$B$5+$B$5*C46*$B$4+$B$5*D46*$B$5+$E$4</f>
        <v>13.3424683777819</v>
      </c>
      <c r="C47" s="20" t="n">
        <f aca="false">$B$4*B46*$C$4+$B$4*C46*$C$5+$B$5*C46*$C$4+$B$5*D46*$C$5+$F$4</f>
        <v>-5.67969832396075</v>
      </c>
      <c r="D47" s="20" t="n">
        <f aca="false">$C$4*B46*$C$4+$C$4*C46*$C$5+$C$5*C46*$C$4+$C$5*D46*$C$5+$F$5</f>
        <v>11.791466089464</v>
      </c>
      <c r="H47" s="18" t="n">
        <v>36</v>
      </c>
      <c r="I47" s="17" t="n">
        <f aca="false">$B$4*I46+$C$4*J46</f>
        <v>-14.4130114758147</v>
      </c>
      <c r="J47" s="17" t="n">
        <f aca="false">$B$5*I46+$C$5*J46</f>
        <v>-15.6582937211862</v>
      </c>
      <c r="K47" s="18" t="n">
        <f aca="false">I47^2+J47^2</f>
        <v>452.917062060906</v>
      </c>
      <c r="L47" s="18" t="n">
        <f aca="false">$I$4*I47^2+2*$I$5*I47*J47+$I$6*J47^2</f>
        <v>3148.21735258841</v>
      </c>
      <c r="M47" s="18" t="n">
        <f aca="false">IF(K47&gt;K46+0.000000001,1,0)</f>
        <v>1</v>
      </c>
      <c r="N47" s="18" t="n">
        <f aca="false">IF(L47&gt;L46+0.000000001,1,0)</f>
        <v>0</v>
      </c>
      <c r="P47" s="18" t="n">
        <v>38</v>
      </c>
      <c r="Q47" s="20" t="n">
        <f aca="false">Declarations!$B$20*Q46*Declarations!$B$20+Declarations!$B$20*R46*Declarations!$B$21+Declarations!$B$20*S46*Declarations!$B$22+Declarations!$B$21*R46*Declarations!$B$20+Declarations!$B$21*T46*Declarations!$B$21+Declarations!$B$21*U46*Declarations!$B$22+Declarations!$B$22*S46*Declarations!$B$20+Declarations!$B$22*U46*Declarations!$B$21+Declarations!$B$22*V46*Declarations!$B$22+1</f>
        <v>10.0475011215824</v>
      </c>
      <c r="R47" s="20" t="n">
        <f aca="false">Declarations!$B$20*Q46*Declarations!$C$20+Declarations!$B$20*R46*Declarations!$C$21+Declarations!$B$20*S46*Declarations!$C$22+Declarations!$B$21*R46*Declarations!$C$20+Declarations!$B$21*T46*Declarations!$C$21+Declarations!$B$21*U46*Declarations!$C$22+Declarations!$B$22*S46*Declarations!$C$20+Declarations!$B$22*U46*Declarations!$C$21+Declarations!$B$22*V46*Declarations!$C$22+0</f>
        <v>4.4817425719143</v>
      </c>
      <c r="S47" s="20" t="n">
        <f aca="false">Declarations!$B$20*Q46*Declarations!$D$20+Declarations!$B$20*R46*Declarations!$D$21+Declarations!$B$20*S46*Declarations!$D$22+Declarations!$B$21*R46*Declarations!$D$20+Declarations!$B$21*T46*Declarations!$D$21+Declarations!$B$21*U46*Declarations!$D$22+Declarations!$B$22*S46*Declarations!$D$20+Declarations!$B$22*U46*Declarations!$D$21+Declarations!$B$22*V46*Declarations!$D$22+0</f>
        <v>0.617221762258753</v>
      </c>
      <c r="T47" s="20" t="n">
        <f aca="false">Declarations!$C$20*Q46*Declarations!$C$20+Declarations!$C$20*R46*Declarations!$C$21+Declarations!$C$20*S46*Declarations!$C$22+Declarations!$C$21*R46*Declarations!$C$20+Declarations!$C$21*T46*Declarations!$C$21+Declarations!$C$21*U46*Declarations!$C$22+Declarations!$C$22*S46*Declarations!$C$20+Declarations!$C$22*U46*Declarations!$C$21+Declarations!$C$22*V46*Declarations!$C$22+1</f>
        <v>5.63981205924377</v>
      </c>
      <c r="U47" s="20" t="n">
        <f aca="false">Declarations!$C$20*Q46*Declarations!$D$20+Declarations!$C$20*R46*Declarations!$D$21+Declarations!$C$20*S46*Declarations!$D$22+Declarations!$C$21*R46*Declarations!$D$20+Declarations!$C$21*T46*Declarations!$D$21+Declarations!$C$21*U46*Declarations!$D$22+Declarations!$C$22*S46*Declarations!$D$20+Declarations!$C$22*U46*Declarations!$D$21+Declarations!$C$22*V46*Declarations!$D$22+0</f>
        <v>0.771573550927882</v>
      </c>
      <c r="V47" s="20" t="n">
        <f aca="false">Declarations!$D$20*Q46*Declarations!$D$20+Declarations!$D$20*R46*Declarations!$D$21+Declarations!$D$20*S46*Declarations!$D$22+Declarations!$D$21*R46*Declarations!$D$20+Declarations!$D$21*T46*Declarations!$D$21+Declarations!$D$21*U46*Declarations!$D$22+Declarations!$D$22*S46*Declarations!$D$20+Declarations!$D$22*U46*Declarations!$D$21+Declarations!$D$22*V46*Declarations!$D$22+1</f>
        <v>2.77777770109171</v>
      </c>
    </row>
    <row r="48" customFormat="false" ht="15" hidden="false" customHeight="false" outlineLevel="0" collapsed="false">
      <c r="A48" s="18" t="n">
        <v>39</v>
      </c>
      <c r="B48" s="20" t="n">
        <f aca="false">$B$4*B47*$B$4+$B$4*C47*$B$5+$B$5*C47*$B$4+$B$5*D47*$B$5+$E$4</f>
        <v>13.375408492338</v>
      </c>
      <c r="C48" s="20" t="n">
        <f aca="false">$B$4*B47*$C$4+$B$4*C47*$C$5+$B$5*C47*$C$4+$B$5*D47*$C$5+$F$4</f>
        <v>-5.6956708944387</v>
      </c>
      <c r="D48" s="20" t="n">
        <f aca="false">$C$4*B47*$C$4+$C$4*C47*$C$5+$C$5*C47*$C$4+$C$5*D47*$C$5+$F$5</f>
        <v>11.8073993860034</v>
      </c>
      <c r="H48" s="18" t="n">
        <v>37</v>
      </c>
      <c r="I48" s="17" t="n">
        <f aca="false">$B$4*I47+$C$4*J47</f>
        <v>1.12075402083443</v>
      </c>
      <c r="J48" s="17" t="n">
        <f aca="false">$B$5*I47+$C$5*J47</f>
        <v>-14.4130114758147</v>
      </c>
      <c r="K48" s="18" t="n">
        <f aca="false">I48^2+J48^2</f>
        <v>208.990989377182</v>
      </c>
      <c r="L48" s="18" t="n">
        <f aca="false">$I$4*I48^2+2*$I$5*I48*J48+$I$6*J48^2</f>
        <v>2695.3002905275</v>
      </c>
      <c r="M48" s="18" t="n">
        <f aca="false">IF(K48&gt;K47+0.000000001,1,0)</f>
        <v>0</v>
      </c>
      <c r="N48" s="18" t="n">
        <f aca="false">IF(L48&gt;L47+0.000000001,1,0)</f>
        <v>0</v>
      </c>
      <c r="P48" s="18" t="n">
        <v>39</v>
      </c>
      <c r="Q48" s="20" t="n">
        <f aca="false">Declarations!$B$20*Q47*Declarations!$B$20+Declarations!$B$20*R47*Declarations!$B$21+Declarations!$B$20*S47*Declarations!$B$22+Declarations!$B$21*R47*Declarations!$B$20+Declarations!$B$21*T47*Declarations!$B$21+Declarations!$B$21*U47*Declarations!$B$22+Declarations!$B$22*S47*Declarations!$B$20+Declarations!$B$22*U47*Declarations!$B$21+Declarations!$B$22*V47*Declarations!$B$22+1</f>
        <v>10.071797830384</v>
      </c>
      <c r="R48" s="20" t="n">
        <f aca="false">Declarations!$B$20*Q47*Declarations!$C$20+Declarations!$B$20*R47*Declarations!$C$21+Declarations!$B$20*S47*Declarations!$C$22+Declarations!$B$21*R47*Declarations!$C$20+Declarations!$B$21*T47*Declarations!$C$21+Declarations!$B$21*U47*Declarations!$C$22+Declarations!$B$22*S47*Declarations!$C$20+Declarations!$B$22*U47*Declarations!$C$21+Declarations!$B$22*V47*Declarations!$C$22+0</f>
        <v>4.49395286881905</v>
      </c>
      <c r="S48" s="20" t="n">
        <f aca="false">Declarations!$B$20*Q47*Declarations!$D$20+Declarations!$B$20*R47*Declarations!$D$21+Declarations!$B$20*S47*Declarations!$D$22+Declarations!$B$21*R47*Declarations!$D$20+Declarations!$B$21*T47*Declarations!$D$21+Declarations!$B$21*U47*Declarations!$D$22+Declarations!$B$22*S47*Declarations!$D$20+Declarations!$B$22*U47*Declarations!$D$21+Declarations!$B$22*V47*Declarations!$D$22+0</f>
        <v>0.617236660944201</v>
      </c>
      <c r="T48" s="20" t="n">
        <f aca="false">Declarations!$C$20*Q47*Declarations!$C$20+Declarations!$C$20*R47*Declarations!$C$21+Declarations!$C$20*S47*Declarations!$C$22+Declarations!$C$21*R47*Declarations!$C$20+Declarations!$C$21*T47*Declarations!$C$21+Declarations!$C$21*U47*Declarations!$C$22+Declarations!$C$22*S47*Declarations!$C$20+Declarations!$C$22*U47*Declarations!$C$21+Declarations!$C$22*V47*Declarations!$C$22+1</f>
        <v>5.64594858251154</v>
      </c>
      <c r="U48" s="20" t="n">
        <f aca="false">Declarations!$C$20*Q47*Declarations!$D$20+Declarations!$C$20*R47*Declarations!$D$21+Declarations!$C$20*S47*Declarations!$D$22+Declarations!$C$21*R47*Declarations!$D$20+Declarations!$C$21*T47*Declarations!$D$21+Declarations!$C$21*U47*Declarations!$D$22+Declarations!$C$22*S47*Declarations!$D$20+Declarations!$C$22*U47*Declarations!$D$21+Declarations!$C$22*V47*Declarations!$D$22+0</f>
        <v>0.771581101208647</v>
      </c>
      <c r="V48" s="20" t="n">
        <f aca="false">Declarations!$D$20*Q47*Declarations!$D$20+Declarations!$D$20*R47*Declarations!$D$21+Declarations!$D$20*S47*Declarations!$D$22+Declarations!$D$21*R47*Declarations!$D$20+Declarations!$D$21*T47*Declarations!$D$21+Declarations!$D$21*U47*Declarations!$D$22+Declarations!$D$22*S47*Declarations!$D$20+Declarations!$D$22*U47*Declarations!$D$21+Declarations!$D$22*V47*Declarations!$D$22+1</f>
        <v>2.77777772869869</v>
      </c>
    </row>
    <row r="49" customFormat="false" ht="15" hidden="false" customHeight="false" outlineLevel="0" collapsed="false">
      <c r="A49" s="18" t="n">
        <v>40</v>
      </c>
      <c r="B49" s="20" t="n">
        <f aca="false">$B$4*B48*$B$4+$B$4*C48*$B$5+$B$5*C48*$B$4+$B$5*D48*$B$5+$E$4</f>
        <v>13.3892726548075</v>
      </c>
      <c r="C49" s="20" t="n">
        <f aca="false">$B$4*B48*$C$4+$B$4*C48*$C$5+$B$5*C48*$C$4+$B$5*D48*$C$5+$F$4</f>
        <v>-5.70797707379893</v>
      </c>
      <c r="D49" s="20" t="n">
        <f aca="false">$C$4*B48*$C$4+$C$4*C48*$C$5+$C$5*C48*$C$4+$C$5*D48*$C$5+$F$5</f>
        <v>11.8340808787938</v>
      </c>
      <c r="H49" s="18" t="n">
        <v>38</v>
      </c>
      <c r="I49" s="17" t="n">
        <f aca="false">$B$4*I48+$C$4*J48</f>
        <v>13.9803889469842</v>
      </c>
      <c r="J49" s="17" t="n">
        <f aca="false">$B$5*I48+$C$5*J48</f>
        <v>1.12075402083443</v>
      </c>
      <c r="K49" s="18" t="n">
        <f aca="false">I49^2+J49^2</f>
        <v>196.707364684174</v>
      </c>
      <c r="L49" s="18" t="n">
        <f aca="false">$I$4*I49^2+2*$I$5*I49*J49+$I$6*J49^2</f>
        <v>2486.30930115032</v>
      </c>
      <c r="M49" s="18" t="n">
        <f aca="false">IF(K49&gt;K48+0.000000001,1,0)</f>
        <v>0</v>
      </c>
      <c r="N49" s="18" t="n">
        <f aca="false">IF(L49&gt;L48+0.000000001,1,0)</f>
        <v>0</v>
      </c>
      <c r="P49" s="18" t="n">
        <v>40</v>
      </c>
      <c r="Q49" s="20" t="n">
        <f aca="false">Declarations!$B$20*Q48*Declarations!$B$20+Declarations!$B$20*R48*Declarations!$B$21+Declarations!$B$20*S48*Declarations!$B$22+Declarations!$B$21*R48*Declarations!$B$20+Declarations!$B$21*T48*Declarations!$B$21+Declarations!$B$21*U48*Declarations!$B$22+Declarations!$B$22*S48*Declarations!$B$20+Declarations!$B$22*U48*Declarations!$B$21+Declarations!$B$22*V48*Declarations!$B$22+1</f>
        <v>10.0937387996424</v>
      </c>
      <c r="R49" s="20" t="n">
        <f aca="false">Declarations!$B$20*Q48*Declarations!$C$20+Declarations!$B$20*R48*Declarations!$C$21+Declarations!$B$20*S48*Declarations!$C$22+Declarations!$B$21*R48*Declarations!$C$20+Declarations!$B$21*T48*Declarations!$C$21+Declarations!$B$21*U48*Declarations!$C$22+Declarations!$B$22*S48*Declarations!$C$20+Declarations!$B$22*U48*Declarations!$C$21+Declarations!$B$22*V48*Declarations!$C$22+0</f>
        <v>4.50497152846571</v>
      </c>
      <c r="S49" s="20" t="n">
        <f aca="false">Declarations!$B$20*Q48*Declarations!$D$20+Declarations!$B$20*R48*Declarations!$D$21+Declarations!$B$20*S48*Declarations!$D$22+Declarations!$B$21*R48*Declarations!$D$20+Declarations!$B$21*T48*Declarations!$D$21+Declarations!$B$21*U48*Declarations!$D$22+Declarations!$B$22*S48*Declarations!$D$20+Declarations!$B$22*U48*Declarations!$D$21+Declarations!$B$22*V48*Declarations!$D$22+0</f>
        <v>0.617247993124464</v>
      </c>
      <c r="T49" s="20" t="n">
        <f aca="false">Declarations!$C$20*Q48*Declarations!$C$20+Declarations!$C$20*R48*Declarations!$C$21+Declarations!$C$20*S48*Declarations!$C$22+Declarations!$C$21*R48*Declarations!$C$20+Declarations!$C$21*T48*Declarations!$C$21+Declarations!$C$21*U48*Declarations!$C$22+Declarations!$C$22*S48*Declarations!$C$20+Declarations!$C$22*U48*Declarations!$C$21+Declarations!$C$22*V48*Declarations!$C$22+1</f>
        <v>5.65148227039206</v>
      </c>
      <c r="U49" s="20" t="n">
        <f aca="false">Declarations!$C$20*Q48*Declarations!$D$20+Declarations!$C$20*R48*Declarations!$D$21+Declarations!$C$20*S48*Declarations!$D$22+Declarations!$C$21*R48*Declarations!$D$20+Declarations!$C$21*T48*Declarations!$D$21+Declarations!$C$21*U48*Declarations!$D$22+Declarations!$C$22*S48*Declarations!$D$20+Declarations!$C$22*U48*Declarations!$D$21+Declarations!$C$22*V48*Declarations!$D$22+0</f>
        <v>0.771586833555543</v>
      </c>
      <c r="V49" s="20" t="n">
        <f aca="false">Declarations!$D$20*Q48*Declarations!$D$20+Declarations!$D$20*R48*Declarations!$D$21+Declarations!$D$20*S48*Declarations!$D$22+Declarations!$D$21*R48*Declarations!$D$20+Declarations!$D$21*T48*Declarations!$D$21+Declarations!$D$21*U48*Declarations!$D$22+Declarations!$D$22*S48*Declarations!$D$20+Declarations!$D$22*U48*Declarations!$D$21+Declarations!$D$22*V48*Declarations!$D$22+1</f>
        <v>2.77777774636716</v>
      </c>
    </row>
    <row r="50" customFormat="false" ht="15" hidden="false" customHeight="false" outlineLevel="0" collapsed="false">
      <c r="A50" s="18" t="n">
        <v>41</v>
      </c>
      <c r="B50" s="20" t="n">
        <f aca="false">$B$4*B49*$B$4+$B$4*C49*$B$5+$B$5*C49*$B$4+$B$5*D49*$B$5+$E$4</f>
        <v>13.4050329963497</v>
      </c>
      <c r="C50" s="20" t="n">
        <f aca="false">$B$4*B49*$C$4+$B$4*C49*$C$5+$B$5*C49*$C$4+$B$5*D49*$C$5+$F$4</f>
        <v>-5.70813148397502</v>
      </c>
      <c r="D50" s="20" t="n">
        <f aca="false">$C$4*B49*$C$4+$C$4*C49*$C$5+$C$5*C49*$C$4+$C$5*D49*$C$5+$F$5</f>
        <v>11.8453108503941</v>
      </c>
      <c r="H50" s="18" t="n">
        <v>39</v>
      </c>
      <c r="I50" s="17" t="n">
        <f aca="false">$B$4*I49+$C$4*J49</f>
        <v>11.5736714335348</v>
      </c>
      <c r="J50" s="17" t="n">
        <f aca="false">$B$5*I49+$C$5*J49</f>
        <v>13.9803889469842</v>
      </c>
      <c r="K50" s="18" t="n">
        <f aca="false">I50^2+J50^2</f>
        <v>329.401145560376</v>
      </c>
      <c r="L50" s="18" t="n">
        <f aca="false">$I$4*I50^2+2*$I$5*I50*J50+$I$6*J50^2</f>
        <v>2289.60193646615</v>
      </c>
      <c r="M50" s="18" t="n">
        <f aca="false">IF(K50&gt;K49+0.000000001,1,0)</f>
        <v>1</v>
      </c>
      <c r="N50" s="18" t="n">
        <f aca="false">IF(L50&gt;L49+0.000000001,1,0)</f>
        <v>0</v>
      </c>
      <c r="P50" s="18" t="n">
        <v>41</v>
      </c>
      <c r="Q50" s="20" t="n">
        <f aca="false">Declarations!$B$20*Q49*Declarations!$B$20+Declarations!$B$20*R49*Declarations!$B$21+Declarations!$B$20*S49*Declarations!$B$22+Declarations!$B$21*R49*Declarations!$B$20+Declarations!$B$21*T49*Declarations!$B$21+Declarations!$B$21*U49*Declarations!$B$22+Declarations!$B$22*S49*Declarations!$B$20+Declarations!$B$22*U49*Declarations!$B$21+Declarations!$B$22*V49*Declarations!$B$22+1</f>
        <v>10.1135507576208</v>
      </c>
      <c r="R50" s="20" t="n">
        <f aca="false">Declarations!$B$20*Q49*Declarations!$C$20+Declarations!$B$20*R49*Declarations!$C$21+Declarations!$B$20*S49*Declarations!$C$22+Declarations!$B$21*R49*Declarations!$C$20+Declarations!$B$21*T49*Declarations!$C$21+Declarations!$B$21*U49*Declarations!$C$22+Declarations!$B$22*S49*Declarations!$C$20+Declarations!$B$22*U49*Declarations!$C$21+Declarations!$B$22*V49*Declarations!$C$22+0</f>
        <v>4.51491495274335</v>
      </c>
      <c r="S50" s="20" t="n">
        <f aca="false">Declarations!$B$20*Q49*Declarations!$D$20+Declarations!$B$20*R49*Declarations!$D$21+Declarations!$B$20*S49*Declarations!$D$22+Declarations!$B$21*R49*Declarations!$D$20+Declarations!$B$21*T49*Declarations!$D$21+Declarations!$B$21*U49*Declarations!$D$22+Declarations!$B$22*S49*Declarations!$D$20+Declarations!$B$22*U49*Declarations!$D$21+Declarations!$B$22*V49*Declarations!$D$22+0</f>
        <v>0.617256611588744</v>
      </c>
      <c r="T50" s="20" t="n">
        <f aca="false">Declarations!$C$20*Q49*Declarations!$C$20+Declarations!$C$20*R49*Declarations!$C$21+Declarations!$C$20*S49*Declarations!$C$22+Declarations!$C$21*R49*Declarations!$C$20+Declarations!$C$21*T49*Declarations!$C$21+Declarations!$C$21*U49*Declarations!$C$22+Declarations!$C$22*S49*Declarations!$C$20+Declarations!$C$22*U49*Declarations!$C$21+Declarations!$C$22*V49*Declarations!$C$22+1</f>
        <v>5.65647288637632</v>
      </c>
      <c r="U50" s="20" t="n">
        <f aca="false">Declarations!$C$20*Q49*Declarations!$D$20+Declarations!$C$20*R49*Declarations!$D$21+Declarations!$C$20*S49*Declarations!$D$22+Declarations!$C$21*R49*Declarations!$D$20+Declarations!$C$21*T49*Declarations!$D$21+Declarations!$C$21*U49*Declarations!$D$22+Declarations!$C$22*S49*Declarations!$D$20+Declarations!$C$22*U49*Declarations!$D$21+Declarations!$C$22*V49*Declarations!$D$22+0</f>
        <v>0.771591186252121</v>
      </c>
      <c r="V50" s="20" t="n">
        <f aca="false">Declarations!$D$20*Q49*Declarations!$D$20+Declarations!$D$20*R49*Declarations!$D$21+Declarations!$D$20*S49*Declarations!$D$22+Declarations!$D$21*R49*Declarations!$D$20+Declarations!$D$21*T49*Declarations!$D$21+Declarations!$D$21*U49*Declarations!$D$22+Declarations!$D$22*S49*Declarations!$D$20+Declarations!$D$22*U49*Declarations!$D$21+Declarations!$D$22*V49*Declarations!$D$22+1</f>
        <v>2.77777775767499</v>
      </c>
    </row>
    <row r="51" customFormat="false" ht="15" hidden="false" customHeight="false" outlineLevel="0" collapsed="false">
      <c r="A51" s="18" t="n">
        <v>42</v>
      </c>
      <c r="B51" s="20" t="n">
        <f aca="false">$B$4*B50*$B$4+$B$4*C50*$B$5+$B$5*C50*$B$4+$B$5*D50*$B$5+$E$4</f>
        <v>13.4287509062823</v>
      </c>
      <c r="C51" s="20" t="n">
        <f aca="false">$B$4*B50*$C$4+$B$4*C50*$C$5+$B$5*C50*$C$4+$B$5*D50*$C$5+$F$4</f>
        <v>-5.72075839146577</v>
      </c>
      <c r="D51" s="20" t="n">
        <f aca="false">$C$4*B50*$C$4+$C$4*C50*$C$5+$C$5*C50*$C$4+$C$5*D50*$C$5+$F$5</f>
        <v>11.8580767270433</v>
      </c>
      <c r="H51" s="18" t="n">
        <v>40</v>
      </c>
      <c r="I51" s="17" t="n">
        <f aca="false">$B$4*I50+$C$4*J50</f>
        <v>-2.16604576210446</v>
      </c>
      <c r="J51" s="17" t="n">
        <f aca="false">$B$5*I50+$C$5*J50</f>
        <v>11.5736714335348</v>
      </c>
      <c r="K51" s="18" t="n">
        <f aca="false">I51^2+J51^2</f>
        <v>138.64162469495</v>
      </c>
      <c r="L51" s="18" t="n">
        <f aca="false">$I$4*I51^2+2*$I$5*I51*J51+$I$6*J51^2</f>
        <v>1960.20079090577</v>
      </c>
      <c r="M51" s="18" t="n">
        <f aca="false">IF(K51&gt;K50+0.000000001,1,0)</f>
        <v>0</v>
      </c>
      <c r="N51" s="18" t="n">
        <f aca="false">IF(L51&gt;L50+0.000000001,1,0)</f>
        <v>0</v>
      </c>
      <c r="P51" s="18" t="n">
        <v>42</v>
      </c>
      <c r="Q51" s="20" t="n">
        <f aca="false">Declarations!$B$20*Q50*Declarations!$B$20+Declarations!$B$20*R50*Declarations!$B$21+Declarations!$B$20*S50*Declarations!$B$22+Declarations!$B$21*R50*Declarations!$B$20+Declarations!$B$21*T50*Declarations!$B$21+Declarations!$B$21*U50*Declarations!$B$22+Declarations!$B$22*S50*Declarations!$B$20+Declarations!$B$22*U50*Declarations!$B$21+Declarations!$B$22*V50*Declarations!$B$22+1</f>
        <v>10.1314389853301</v>
      </c>
      <c r="R51" s="20" t="n">
        <f aca="false">Declarations!$B$20*Q50*Declarations!$C$20+Declarations!$B$20*R50*Declarations!$C$21+Declarations!$B$20*S50*Declarations!$C$22+Declarations!$B$21*R50*Declarations!$C$20+Declarations!$B$21*T50*Declarations!$C$21+Declarations!$B$21*U50*Declarations!$C$22+Declarations!$B$22*S50*Declarations!$C$20+Declarations!$B$22*U50*Declarations!$C$21+Declarations!$B$22*V50*Declarations!$C$22+0</f>
        <v>4.52388815568587</v>
      </c>
      <c r="S51" s="20" t="n">
        <f aca="false">Declarations!$B$20*Q50*Declarations!$D$20+Declarations!$B$20*R50*Declarations!$D$21+Declarations!$B$20*S50*Declarations!$D$22+Declarations!$B$21*R50*Declarations!$D$20+Declarations!$B$21*T50*Declarations!$D$21+Declarations!$B$21*U50*Declarations!$D$22+Declarations!$B$22*S50*Declarations!$D$20+Declarations!$B$22*U50*Declarations!$D$21+Declarations!$B$22*V50*Declarations!$D$22+0</f>
        <v>0.617263165551065</v>
      </c>
      <c r="T51" s="20" t="n">
        <f aca="false">Declarations!$C$20*Q50*Declarations!$C$20+Declarations!$C$20*R50*Declarations!$C$21+Declarations!$C$20*S50*Declarations!$C$22+Declarations!$C$21*R50*Declarations!$C$20+Declarations!$C$21*T50*Declarations!$C$21+Declarations!$C$21*U50*Declarations!$C$22+Declarations!$C$22*S50*Declarations!$C$20+Declarations!$C$22*U50*Declarations!$C$21+Declarations!$C$22*V50*Declarations!$C$22+1</f>
        <v>5.66097415363962</v>
      </c>
      <c r="U51" s="20" t="n">
        <f aca="false">Declarations!$C$20*Q50*Declarations!$D$20+Declarations!$C$20*R50*Declarations!$D$21+Declarations!$C$20*S50*Declarations!$D$22+Declarations!$C$21*R50*Declarations!$D$20+Declarations!$C$21*T50*Declarations!$D$21+Declarations!$C$21*U50*Declarations!$D$22+Declarations!$C$22*S50*Declarations!$D$20+Declarations!$C$22*U50*Declarations!$D$21+Declarations!$C$22*V50*Declarations!$D$22+0</f>
        <v>0.771594491728991</v>
      </c>
      <c r="V51" s="20" t="n">
        <f aca="false">Declarations!$D$20*Q50*Declarations!$D$20+Declarations!$D$20*R50*Declarations!$D$21+Declarations!$D$20*S50*Declarations!$D$22+Declarations!$D$21*R50*Declarations!$D$20+Declarations!$D$21*T50*Declarations!$D$21+Declarations!$D$21*U50*Declarations!$D$22+Declarations!$D$22*S50*Declarations!$D$20+Declarations!$D$22*U50*Declarations!$D$21+Declarations!$D$22*V50*Declarations!$D$22+1</f>
        <v>2.77777776491199</v>
      </c>
    </row>
    <row r="52" customFormat="false" ht="15" hidden="false" customHeight="false" outlineLevel="0" collapsed="false">
      <c r="A52" s="18" t="n">
        <v>43</v>
      </c>
      <c r="B52" s="20" t="n">
        <f aca="false">$B$4*B51*$B$4+$B$4*C51*$B$5+$B$5*C51*$B$4+$B$5*D51*$B$5+$E$4</f>
        <v>13.4379998564936</v>
      </c>
      <c r="C52" s="20" t="n">
        <f aca="false">$B$4*B51*$C$4+$B$4*C51*$C$5+$B$5*C51*$C$4+$B$5*D51*$C$5+$F$4</f>
        <v>-5.72860568176948</v>
      </c>
      <c r="D52" s="20" t="n">
        <f aca="false">$C$4*B51*$C$4+$C$4*C51*$C$5+$C$5*C51*$C$4+$C$5*D51*$C$5+$F$5</f>
        <v>11.8772882340887</v>
      </c>
      <c r="P52" s="18" t="n">
        <v>43</v>
      </c>
      <c r="Q52" s="20" t="n">
        <f aca="false">Declarations!$B$20*Q51*Declarations!$B$20+Declarations!$B$20*R51*Declarations!$B$21+Declarations!$B$20*S51*Declarations!$B$22+Declarations!$B$21*R51*Declarations!$B$20+Declarations!$B$21*T51*Declarations!$B$21+Declarations!$B$21*U51*Declarations!$B$22+Declarations!$B$22*S51*Declarations!$B$20+Declarations!$B$22*U51*Declarations!$B$21+Declarations!$B$22*V51*Declarations!$B$22+1</f>
        <v>10.1475892619064</v>
      </c>
      <c r="R52" s="20" t="n">
        <f aca="false">Declarations!$B$20*Q51*Declarations!$C$20+Declarations!$B$20*R51*Declarations!$C$21+Declarations!$B$20*S51*Declarations!$C$22+Declarations!$B$21*R51*Declarations!$C$20+Declarations!$B$21*T51*Declarations!$C$21+Declarations!$B$21*U51*Declarations!$C$22+Declarations!$B$22*S51*Declarations!$C$20+Declarations!$B$22*U51*Declarations!$C$21+Declarations!$B$22*V51*Declarations!$C$22+0</f>
        <v>4.53198587973115</v>
      </c>
      <c r="S52" s="20" t="n">
        <f aca="false">Declarations!$B$20*Q51*Declarations!$D$20+Declarations!$B$20*R51*Declarations!$D$21+Declarations!$B$20*S51*Declarations!$D$22+Declarations!$B$21*R51*Declarations!$D$20+Declarations!$B$21*T51*Declarations!$D$21+Declarations!$B$21*U51*Declarations!$D$22+Declarations!$B$22*S51*Declarations!$D$20+Declarations!$B$22*U51*Declarations!$D$21+Declarations!$B$22*V51*Declarations!$D$22+0</f>
        <v>0.617268149131566</v>
      </c>
      <c r="T52" s="20" t="n">
        <f aca="false">Declarations!$C$20*Q51*Declarations!$C$20+Declarations!$C$20*R51*Declarations!$C$21+Declarations!$C$20*S51*Declarations!$C$22+Declarations!$C$21*R51*Declarations!$C$20+Declarations!$C$21*T51*Declarations!$C$21+Declarations!$C$21*U51*Declarations!$C$22+Declarations!$C$22*S51*Declarations!$C$20+Declarations!$C$22*U51*Declarations!$C$21+Declarations!$C$22*V51*Declarations!$C$22+1</f>
        <v>5.66503438959981</v>
      </c>
      <c r="U52" s="20" t="n">
        <f aca="false">Declarations!$C$20*Q51*Declarations!$D$20+Declarations!$C$20*R51*Declarations!$D$21+Declarations!$C$20*S51*Declarations!$D$22+Declarations!$C$21*R51*Declarations!$D$20+Declarations!$C$21*T51*Declarations!$D$21+Declarations!$C$21*U51*Declarations!$D$22+Declarations!$C$22*S51*Declarations!$D$20+Declarations!$C$22*U51*Declarations!$D$21+Declarations!$C$22*V51*Declarations!$D$22+0</f>
        <v>0.771597002190716</v>
      </c>
      <c r="V52" s="20" t="n">
        <f aca="false">Declarations!$D$20*Q51*Declarations!$D$20+Declarations!$D$20*R51*Declarations!$D$21+Declarations!$D$20*S51*Declarations!$D$22+Declarations!$D$21*R51*Declarations!$D$20+Declarations!$D$21*T51*Declarations!$D$21+Declarations!$D$21*U51*Declarations!$D$22+Declarations!$D$22*S51*Declarations!$D$20+Declarations!$D$22*U51*Declarations!$D$21+Declarations!$D$22*V51*Declarations!$D$22+1</f>
        <v>2.77777776954367</v>
      </c>
    </row>
    <row r="53" customFormat="false" ht="15" hidden="false" customHeight="false" outlineLevel="0" collapsed="false">
      <c r="A53" s="18" t="n">
        <v>44</v>
      </c>
      <c r="B53" s="20" t="n">
        <f aca="false">$B$4*B52*$B$4+$B$4*C52*$B$5+$B$5*C52*$B$4+$B$5*D52*$B$5+$E$4</f>
        <v>13.4505778906634</v>
      </c>
      <c r="C53" s="20" t="n">
        <f aca="false">$B$4*B52*$C$4+$B$4*C52*$C$5+$B$5*C52*$C$4+$B$5*D52*$C$5+$F$4</f>
        <v>-5.72903477016726</v>
      </c>
      <c r="D53" s="20" t="n">
        <f aca="false">$C$4*B52*$C$4+$C$4*C52*$C$5+$C$5*C52*$C$4+$C$5*D52*$C$5+$F$5</f>
        <v>11.8847798837598</v>
      </c>
      <c r="H53" s="4" t="s">
        <v>394</v>
      </c>
      <c r="M53" s="18" t="n">
        <f aca="false">SUM(M12:M51)</f>
        <v>18</v>
      </c>
      <c r="N53" s="18" t="n">
        <f aca="false">SUM(N12:N51)</f>
        <v>0</v>
      </c>
      <c r="P53" s="18" t="n">
        <v>44</v>
      </c>
      <c r="Q53" s="20" t="n">
        <f aca="false">Declarations!$B$20*Q52*Declarations!$B$20+Declarations!$B$20*R52*Declarations!$B$21+Declarations!$B$20*S52*Declarations!$B$22+Declarations!$B$21*R52*Declarations!$B$20+Declarations!$B$21*T52*Declarations!$B$21+Declarations!$B$21*U52*Declarations!$B$22+Declarations!$B$22*S52*Declarations!$B$20+Declarations!$B$22*U52*Declarations!$B$21+Declarations!$B$22*V52*Declarations!$B$22+1</f>
        <v>10.1621696522594</v>
      </c>
      <c r="R53" s="20" t="n">
        <f aca="false">Declarations!$B$20*Q52*Declarations!$C$20+Declarations!$B$20*R52*Declarations!$C$21+Declarations!$B$20*S52*Declarations!$C$22+Declarations!$B$21*R52*Declarations!$C$20+Declarations!$B$21*T52*Declarations!$C$21+Declarations!$B$21*U52*Declarations!$C$22+Declarations!$B$22*S52*Declarations!$C$20+Declarations!$B$22*U52*Declarations!$C$21+Declarations!$B$22*V52*Declarations!$C$22+0</f>
        <v>4.53929360255216</v>
      </c>
      <c r="S53" s="20" t="n">
        <f aca="false">Declarations!$B$20*Q52*Declarations!$D$20+Declarations!$B$20*R52*Declarations!$D$21+Declarations!$B$20*S52*Declarations!$D$22+Declarations!$B$21*R52*Declarations!$D$20+Declarations!$B$21*T52*Declarations!$D$21+Declarations!$B$21*U52*Declarations!$D$22+Declarations!$B$22*S52*Declarations!$D$20+Declarations!$B$22*U52*Declarations!$D$21+Declarations!$B$22*V52*Declarations!$D$22+0</f>
        <v>0.617271938331732</v>
      </c>
      <c r="T53" s="20" t="n">
        <f aca="false">Declarations!$C$20*Q52*Declarations!$C$20+Declarations!$C$20*R52*Declarations!$C$21+Declarations!$C$20*S52*Declarations!$C$22+Declarations!$C$21*R52*Declarations!$C$20+Declarations!$C$21*T52*Declarations!$C$21+Declarations!$C$21*U52*Declarations!$C$22+Declarations!$C$22*S52*Declarations!$C$20+Declarations!$C$22*U52*Declarations!$C$21+Declarations!$C$22*V52*Declarations!$C$22+1</f>
        <v>5.66869706897695</v>
      </c>
      <c r="U53" s="20" t="n">
        <f aca="false">Declarations!$C$20*Q52*Declarations!$D$20+Declarations!$C$20*R52*Declarations!$D$21+Declarations!$C$20*S52*Declarations!$D$22+Declarations!$C$21*R52*Declarations!$D$20+Declarations!$C$21*T52*Declarations!$D$21+Declarations!$C$21*U52*Declarations!$D$22+Declarations!$C$22*S52*Declarations!$D$20+Declarations!$C$22*U52*Declarations!$D$21+Declarations!$C$22*V52*Declarations!$D$22+0</f>
        <v>0.771598909018443</v>
      </c>
      <c r="V53" s="20" t="n">
        <f aca="false">Declarations!$D$20*Q52*Declarations!$D$20+Declarations!$D$20*R52*Declarations!$D$21+Declarations!$D$20*S52*Declarations!$D$22+Declarations!$D$21*R52*Declarations!$D$20+Declarations!$D$21*T52*Declarations!$D$21+Declarations!$D$21*U52*Declarations!$D$22+Declarations!$D$22*S52*Declarations!$D$20+Declarations!$D$22*U52*Declarations!$D$21+Declarations!$D$22*V52*Declarations!$D$22+1</f>
        <v>2.77777777250795</v>
      </c>
    </row>
    <row r="54" customFormat="false" ht="15" hidden="false" customHeight="false" outlineLevel="0" collapsed="false">
      <c r="A54" s="18" t="n">
        <v>45</v>
      </c>
      <c r="B54" s="20" t="n">
        <f aca="false">$B$4*B53*$B$4+$B$4*C53*$B$5+$B$5*C53*$B$4+$B$5*D53*$B$5+$E$4</f>
        <v>13.4674853888961</v>
      </c>
      <c r="C54" s="20" t="n">
        <f aca="false">$B$4*B53*$C$4+$B$4*C53*$C$5+$B$5*C53*$C$4+$B$5*D53*$C$5+$F$4</f>
        <v>-5.73883679828682</v>
      </c>
      <c r="D54" s="20" t="n">
        <f aca="false">$C$4*B53*$C$4+$C$4*C53*$C$5+$C$5*C53*$C$4+$C$5*D53*$C$5+$F$5</f>
        <v>11.8949680914374</v>
      </c>
      <c r="P54" s="18" t="n">
        <v>45</v>
      </c>
      <c r="Q54" s="20" t="n">
        <f aca="false">Declarations!$B$20*Q53*Declarations!$B$20+Declarations!$B$20*R53*Declarations!$B$21+Declarations!$B$20*S53*Declarations!$B$22+Declarations!$B$21*R53*Declarations!$B$20+Declarations!$B$21*T53*Declarations!$B$21+Declarations!$B$21*U53*Declarations!$B$22+Declarations!$B$22*S53*Declarations!$B$20+Declarations!$B$22*U53*Declarations!$B$21+Declarations!$B$22*V53*Declarations!$B$22+1</f>
        <v>10.1753321454506</v>
      </c>
      <c r="R54" s="20" t="n">
        <f aca="false">Declarations!$B$20*Q53*Declarations!$C$20+Declarations!$B$20*R53*Declarations!$C$21+Declarations!$B$20*S53*Declarations!$C$22+Declarations!$B$21*R53*Declarations!$C$20+Declarations!$B$21*T53*Declarations!$C$21+Declarations!$B$21*U53*Declarations!$C$22+Declarations!$B$22*S53*Declarations!$C$20+Declarations!$B$22*U53*Declarations!$C$21+Declarations!$B$22*V53*Declarations!$C$22+0</f>
        <v>4.54588844506157</v>
      </c>
      <c r="S54" s="20" t="n">
        <f aca="false">Declarations!$B$20*Q53*Declarations!$D$20+Declarations!$B$20*R53*Declarations!$D$21+Declarations!$B$20*S53*Declarations!$D$22+Declarations!$B$21*R53*Declarations!$D$20+Declarations!$B$21*T53*Declarations!$D$21+Declarations!$B$21*U53*Declarations!$D$22+Declarations!$B$22*S53*Declarations!$D$20+Declarations!$B$22*U53*Declarations!$D$21+Declarations!$B$22*V53*Declarations!$D$22+0</f>
        <v>0.61727481922064</v>
      </c>
      <c r="T54" s="20" t="n">
        <f aca="false">Declarations!$C$20*Q53*Declarations!$C$20+Declarations!$C$20*R53*Declarations!$C$21+Declarations!$C$20*S53*Declarations!$C$22+Declarations!$C$21*R53*Declarations!$C$20+Declarations!$C$21*T53*Declarations!$C$21+Declarations!$C$21*U53*Declarations!$C$22+Declarations!$C$22*S53*Declarations!$C$20+Declarations!$C$22*U53*Declarations!$C$21+Declarations!$C$22*V53*Declarations!$C$22+1</f>
        <v>5.67200132432496</v>
      </c>
      <c r="U54" s="20" t="n">
        <f aca="false">Declarations!$C$20*Q53*Declarations!$D$20+Declarations!$C$20*R53*Declarations!$D$21+Declarations!$C$20*S53*Declarations!$D$22+Declarations!$C$21*R53*Declarations!$D$20+Declarations!$C$21*T53*Declarations!$D$21+Declarations!$C$21*U53*Declarations!$D$22+Declarations!$C$22*S53*Declarations!$D$20+Declarations!$C$22*U53*Declarations!$D$21+Declarations!$C$22*V53*Declarations!$D$22+0</f>
        <v>0.771600357466447</v>
      </c>
      <c r="V54" s="20" t="n">
        <f aca="false">Declarations!$D$20*Q53*Declarations!$D$20+Declarations!$D$20*R53*Declarations!$D$21+Declarations!$D$20*S53*Declarations!$D$22+Declarations!$D$21*R53*Declarations!$D$20+Declarations!$D$21*T53*Declarations!$D$21+Declarations!$D$21*U53*Declarations!$D$22+Declarations!$D$22*S53*Declarations!$D$20+Declarations!$D$22*U53*Declarations!$D$21+Declarations!$D$22*V53*Declarations!$D$22+1</f>
        <v>2.77777777440509</v>
      </c>
    </row>
    <row r="55" customFormat="false" ht="15" hidden="false" customHeight="false" outlineLevel="0" collapsed="false">
      <c r="A55" s="18" t="n">
        <v>46</v>
      </c>
      <c r="B55" s="20" t="n">
        <f aca="false">$B$4*B54*$B$4+$B$4*C54*$B$5+$B$5*C54*$B$4+$B$5*D54*$B$5+$E$4</f>
        <v>13.4737250195269</v>
      </c>
      <c r="C55" s="20" t="n">
        <f aca="false">$B$4*B54*$C$4+$B$4*C54*$C$5+$B$5*C54*$C$4+$B$5*D54*$C$5+$F$4</f>
        <v>-5.74371004654768</v>
      </c>
      <c r="D55" s="20" t="n">
        <f aca="false">$C$4*B54*$C$4+$C$4*C54*$C$5+$C$5*C54*$C$4+$C$5*D54*$C$5+$F$5</f>
        <v>11.9086631650058</v>
      </c>
      <c r="H55" s="10" t="s">
        <v>395</v>
      </c>
      <c r="P55" s="18" t="n">
        <v>46</v>
      </c>
      <c r="Q55" s="20" t="n">
        <f aca="false">Declarations!$B$20*Q54*Declarations!$B$20+Declarations!$B$20*R54*Declarations!$B$21+Declarations!$B$20*S54*Declarations!$B$22+Declarations!$B$21*R54*Declarations!$B$20+Declarations!$B$21*T54*Declarations!$B$21+Declarations!$B$21*U54*Declarations!$B$22+Declarations!$B$22*S54*Declarations!$B$20+Declarations!$B$22*U54*Declarations!$B$21+Declarations!$B$22*V54*Declarations!$B$22+1</f>
        <v>10.1872141529098</v>
      </c>
      <c r="R55" s="20" t="n">
        <f aca="false">Declarations!$B$20*Q54*Declarations!$C$20+Declarations!$B$20*R54*Declarations!$C$21+Declarations!$B$20*S54*Declarations!$C$22+Declarations!$B$21*R54*Declarations!$C$20+Declarations!$B$21*T54*Declarations!$C$21+Declarations!$B$21*U54*Declarations!$C$22+Declarations!$B$22*S54*Declarations!$C$20+Declarations!$B$22*U54*Declarations!$C$21+Declarations!$B$22*V54*Declarations!$C$22+0</f>
        <v>4.55183999022723</v>
      </c>
      <c r="S55" s="20" t="n">
        <f aca="false">Declarations!$B$20*Q54*Declarations!$D$20+Declarations!$B$20*R54*Declarations!$D$21+Declarations!$B$20*S54*Declarations!$D$22+Declarations!$B$21*R54*Declarations!$D$20+Declarations!$B$21*T54*Declarations!$D$21+Declarations!$B$21*U54*Declarations!$D$22+Declarations!$B$22*S54*Declarations!$D$20+Declarations!$B$22*U54*Declarations!$D$21+Declarations!$B$22*V54*Declarations!$D$22+0</f>
        <v>0.617277009412381</v>
      </c>
      <c r="T55" s="20" t="n">
        <f aca="false">Declarations!$C$20*Q54*Declarations!$C$20+Declarations!$C$20*R54*Declarations!$C$21+Declarations!$C$20*S54*Declarations!$C$22+Declarations!$C$21*R54*Declarations!$C$20+Declarations!$C$21*T54*Declarations!$C$21+Declarations!$C$21*U54*Declarations!$C$22+Declarations!$C$22*S54*Declarations!$C$20+Declarations!$C$22*U54*Declarations!$C$21+Declarations!$C$22*V54*Declarations!$C$22+1</f>
        <v>5.6749823917242</v>
      </c>
      <c r="U55" s="20" t="n">
        <f aca="false">Declarations!$C$20*Q54*Declarations!$D$20+Declarations!$C$20*R54*Declarations!$D$21+Declarations!$C$20*S54*Declarations!$D$22+Declarations!$C$21*R54*Declarations!$D$20+Declarations!$C$21*T54*Declarations!$D$21+Declarations!$C$21*U54*Declarations!$D$22+Declarations!$C$22*S54*Declarations!$D$20+Declarations!$C$22*U54*Declarations!$D$21+Declarations!$C$22*V54*Declarations!$D$22+0</f>
        <v>0.771601457798417</v>
      </c>
      <c r="V55" s="20" t="n">
        <f aca="false">Declarations!$D$20*Q54*Declarations!$D$20+Declarations!$D$20*R54*Declarations!$D$21+Declarations!$D$20*S54*Declarations!$D$22+Declarations!$D$21*R54*Declarations!$D$20+Declarations!$D$21*T54*Declarations!$D$21+Declarations!$D$21*U54*Declarations!$D$22+Declarations!$D$22*S54*Declarations!$D$20+Declarations!$D$22*U54*Declarations!$D$21+Declarations!$D$22*V54*Declarations!$D$22+1</f>
        <v>2.77777777561926</v>
      </c>
    </row>
    <row r="56" customFormat="false" ht="15" hidden="false" customHeight="false" outlineLevel="0" collapsed="false">
      <c r="A56" s="18" t="n">
        <v>47</v>
      </c>
      <c r="B56" s="20" t="n">
        <f aca="false">$B$4*B55*$B$4+$B$4*C55*$B$5+$B$5*C55*$B$4+$B$5*D55*$B$5+$E$4</f>
        <v>13.4837023470368</v>
      </c>
      <c r="C56" s="20" t="n">
        <f aca="false">$B$4*B55*$C$4+$B$4*C55*$C$5+$B$5*C55*$C$4+$B$5*D55*$C$5+$F$4</f>
        <v>-5.74437822392387</v>
      </c>
      <c r="D56" s="20" t="n">
        <f aca="false">$C$4*B55*$C$4+$C$4*C55*$C$5+$C$5*C55*$C$4+$C$5*D55*$C$5+$F$5</f>
        <v>11.9137172658168</v>
      </c>
      <c r="P56" s="18" t="n">
        <v>47</v>
      </c>
      <c r="Q56" s="20" t="n">
        <f aca="false">Declarations!$B$20*Q55*Declarations!$B$20+Declarations!$B$20*R55*Declarations!$B$21+Declarations!$B$20*S55*Declarations!$B$22+Declarations!$B$21*R55*Declarations!$B$20+Declarations!$B$21*T55*Declarations!$B$21+Declarations!$B$21*U55*Declarations!$B$22+Declarations!$B$22*S55*Declarations!$B$20+Declarations!$B$22*U55*Declarations!$B$21+Declarations!$B$22*V55*Declarations!$B$22+1</f>
        <v>10.1979398758793</v>
      </c>
      <c r="R56" s="20" t="n">
        <f aca="false">Declarations!$B$20*Q55*Declarations!$C$20+Declarations!$B$20*R55*Declarations!$C$21+Declarations!$B$20*S55*Declarations!$C$22+Declarations!$B$21*R55*Declarations!$C$20+Declarations!$B$21*T55*Declarations!$C$21+Declarations!$B$21*U55*Declarations!$C$22+Declarations!$B$22*S55*Declarations!$C$20+Declarations!$B$22*U55*Declarations!$C$21+Declarations!$B$22*V55*Declarations!$C$22+0</f>
        <v>4.55721102143562</v>
      </c>
      <c r="S56" s="20" t="n">
        <f aca="false">Declarations!$B$20*Q55*Declarations!$D$20+Declarations!$B$20*R55*Declarations!$D$21+Declarations!$B$20*S55*Declarations!$D$22+Declarations!$B$21*R55*Declarations!$D$20+Declarations!$B$21*T55*Declarations!$D$21+Declarations!$B$21*U55*Declarations!$D$22+Declarations!$B$22*S55*Declarations!$D$20+Declarations!$B$22*U55*Declarations!$D$21+Declarations!$B$22*V55*Declarations!$D$22+0</f>
        <v>0.617278674425558</v>
      </c>
      <c r="T56" s="20" t="n">
        <f aca="false">Declarations!$C$20*Q55*Declarations!$C$20+Declarations!$C$20*R55*Declarations!$C$21+Declarations!$C$20*S55*Declarations!$C$22+Declarations!$C$21*R55*Declarations!$C$20+Declarations!$C$21*T55*Declarations!$C$21+Declarations!$C$21*U55*Declarations!$C$22+Declarations!$C$22*S55*Declarations!$C$20+Declarations!$C$22*U55*Declarations!$C$21+Declarations!$C$22*V55*Declarations!$C$22+1</f>
        <v>5.67767200824837</v>
      </c>
      <c r="U56" s="20" t="n">
        <f aca="false">Declarations!$C$20*Q55*Declarations!$D$20+Declarations!$C$20*R55*Declarations!$D$21+Declarations!$C$20*S55*Declarations!$D$22+Declarations!$C$21*R55*Declarations!$D$20+Declarations!$C$21*T55*Declarations!$D$21+Declarations!$C$21*U55*Declarations!$D$22+Declarations!$C$22*S55*Declarations!$D$20+Declarations!$C$22*U55*Declarations!$D$21+Declarations!$C$22*V55*Declarations!$D$22+0</f>
        <v>0.771602293728959</v>
      </c>
      <c r="V56" s="20" t="n">
        <f aca="false">Declarations!$D$20*Q55*Declarations!$D$20+Declarations!$D$20*R55*Declarations!$D$21+Declarations!$D$20*S55*Declarations!$D$22+Declarations!$D$21*R55*Declarations!$D$20+Declarations!$D$21*T55*Declarations!$D$21+Declarations!$D$21*U55*Declarations!$D$22+Declarations!$D$22*S55*Declarations!$D$20+Declarations!$D$22*U55*Declarations!$D$21+Declarations!$D$22*V55*Declarations!$D$22+1</f>
        <v>2.77777777639632</v>
      </c>
    </row>
    <row r="57" customFormat="false" ht="15" hidden="false" customHeight="false" outlineLevel="0" collapsed="false">
      <c r="A57" s="18" t="n">
        <v>48</v>
      </c>
      <c r="B57" s="20" t="n">
        <f aca="false">$B$4*B56*$B$4+$B$4*C56*$B$5+$B$5*C56*$B$4+$B$5*D56*$B$5+$E$4</f>
        <v>13.4956353638536</v>
      </c>
      <c r="C57" s="20" t="n">
        <f aca="false">$B$4*B56*$C$4+$B$4*C56*$C$5+$B$5*C56*$C$4+$B$5*D56*$C$5+$F$4</f>
        <v>-5.75185849956831</v>
      </c>
      <c r="D57" s="20" t="n">
        <f aca="false">$C$4*B56*$C$4+$C$4*C56*$C$5+$C$5*C56*$C$4+$C$5*D56*$C$5+$F$5</f>
        <v>11.9217989010998</v>
      </c>
      <c r="P57" s="18" t="n">
        <v>48</v>
      </c>
      <c r="Q57" s="20" t="n">
        <f aca="false">Declarations!$B$20*Q56*Declarations!$B$20+Declarations!$B$20*R56*Declarations!$B$21+Declarations!$B$20*S56*Declarations!$B$22+Declarations!$B$21*R56*Declarations!$B$20+Declarations!$B$21*T56*Declarations!$B$21+Declarations!$B$21*U56*Declarations!$B$22+Declarations!$B$22*S56*Declarations!$B$20+Declarations!$B$22*U56*Declarations!$B$21+Declarations!$B$22*V56*Declarations!$B$22+1</f>
        <v>10.2076215514797</v>
      </c>
      <c r="R57" s="20" t="n">
        <f aca="false">Declarations!$B$20*Q56*Declarations!$C$20+Declarations!$B$20*R56*Declarations!$C$21+Declarations!$B$20*S56*Declarations!$C$22+Declarations!$B$21*R56*Declarations!$C$20+Declarations!$B$21*T56*Declarations!$C$21+Declarations!$B$21*U56*Declarations!$C$22+Declarations!$B$22*S56*Declarations!$C$20+Declarations!$B$22*U56*Declarations!$C$21+Declarations!$B$22*V56*Declarations!$C$22+0</f>
        <v>4.56205818830823</v>
      </c>
      <c r="S57" s="20" t="n">
        <f aca="false">Declarations!$B$20*Q56*Declarations!$D$20+Declarations!$B$20*R56*Declarations!$D$21+Declarations!$B$20*S56*Declarations!$D$22+Declarations!$B$21*R56*Declarations!$D$20+Declarations!$B$21*T56*Declarations!$D$21+Declarations!$B$21*U56*Declarations!$D$22+Declarations!$B$22*S56*Declarations!$D$20+Declarations!$B$22*U56*Declarations!$D$21+Declarations!$B$22*V56*Declarations!$D$22+0</f>
        <v>0.617279940140571</v>
      </c>
      <c r="T57" s="20" t="n">
        <f aca="false">Declarations!$C$20*Q56*Declarations!$C$20+Declarations!$C$20*R56*Declarations!$C$21+Declarations!$C$20*S56*Declarations!$C$22+Declarations!$C$21*R56*Declarations!$C$20+Declarations!$C$21*T56*Declarations!$C$21+Declarations!$C$21*U56*Declarations!$C$22+Declarations!$C$22*S56*Declarations!$C$20+Declarations!$C$22*U56*Declarations!$C$21+Declarations!$C$22*V56*Declarations!$C$22+1</f>
        <v>5.68009876691331</v>
      </c>
      <c r="U57" s="20" t="n">
        <f aca="false">Declarations!$C$20*Q56*Declarations!$D$20+Declarations!$C$20*R56*Declarations!$D$21+Declarations!$C$20*S56*Declarations!$D$22+Declarations!$C$21*R56*Declarations!$D$20+Declarations!$C$21*T56*Declarations!$D$21+Declarations!$C$21*U56*Declarations!$D$22+Declarations!$C$22*S56*Declarations!$D$20+Declarations!$C$22*U56*Declarations!$D$21+Declarations!$C$22*V56*Declarations!$D$22+0</f>
        <v>0.771602928824421</v>
      </c>
      <c r="V57" s="20" t="n">
        <f aca="false">Declarations!$D$20*Q56*Declarations!$D$20+Declarations!$D$20*R56*Declarations!$D$21+Declarations!$D$20*S56*Declarations!$D$22+Declarations!$D$21*R56*Declarations!$D$20+Declarations!$D$21*T56*Declarations!$D$21+Declarations!$D$21*U56*Declarations!$D$22+Declarations!$D$22*S56*Declarations!$D$20+Declarations!$D$22*U56*Declarations!$D$21+Declarations!$D$22*V56*Declarations!$D$22+1</f>
        <v>2.77777777689365</v>
      </c>
    </row>
    <row r="58" customFormat="false" ht="15" hidden="false" customHeight="false" outlineLevel="0" collapsed="false">
      <c r="A58" s="18" t="n">
        <v>49</v>
      </c>
      <c r="B58" s="20" t="n">
        <f aca="false">$B$4*B57*$B$4+$B$4*C57*$B$5+$B$5*C57*$B$4+$B$5*D57*$B$5+$E$4</f>
        <v>13.4999182465983</v>
      </c>
      <c r="C58" s="20" t="n">
        <f aca="false">$B$4*B57*$C$4+$B$4*C57*$C$5+$B$5*C57*$C$4+$B$5*D57*$C$5+$F$4</f>
        <v>-5.75479199510995</v>
      </c>
      <c r="D58" s="20" t="n">
        <f aca="false">$C$4*B57*$C$4+$C$4*C57*$C$5+$C$5*C57*$C$4+$C$5*D57*$C$5+$F$5</f>
        <v>11.9314646447214</v>
      </c>
      <c r="P58" s="18" t="n">
        <v>49</v>
      </c>
      <c r="Q58" s="20" t="n">
        <f aca="false">Declarations!$B$20*Q57*Declarations!$B$20+Declarations!$B$20*R57*Declarations!$B$21+Declarations!$B$20*S57*Declarations!$B$22+Declarations!$B$21*R57*Declarations!$B$20+Declarations!$B$21*T57*Declarations!$B$21+Declarations!$B$21*U57*Declarations!$B$22+Declarations!$B$22*S57*Declarations!$B$20+Declarations!$B$22*U57*Declarations!$B$21+Declarations!$B$22*V57*Declarations!$B$22+1</f>
        <v>10.2163605866063</v>
      </c>
      <c r="R58" s="20" t="n">
        <f aca="false">Declarations!$B$20*Q57*Declarations!$C$20+Declarations!$B$20*R57*Declarations!$C$21+Declarations!$B$20*S57*Declarations!$C$22+Declarations!$B$21*R57*Declarations!$C$20+Declarations!$B$21*T57*Declarations!$C$21+Declarations!$B$21*U57*Declarations!$C$22+Declarations!$B$22*S57*Declarations!$C$20+Declarations!$B$22*U57*Declarations!$C$21+Declarations!$B$22*V57*Declarations!$C$22+0</f>
        <v>4.5664326071123</v>
      </c>
      <c r="S58" s="20" t="n">
        <f aca="false">Declarations!$B$20*Q57*Declarations!$D$20+Declarations!$B$20*R57*Declarations!$D$21+Declarations!$B$20*S57*Declarations!$D$22+Declarations!$B$21*R57*Declarations!$D$20+Declarations!$B$21*T57*Declarations!$D$21+Declarations!$B$21*U57*Declarations!$D$22+Declarations!$B$22*S57*Declarations!$D$20+Declarations!$B$22*U57*Declarations!$D$21+Declarations!$B$22*V57*Declarations!$D$22+0</f>
        <v>0.617280902282911</v>
      </c>
      <c r="T58" s="20" t="n">
        <f aca="false">Declarations!$C$20*Q57*Declarations!$C$20+Declarations!$C$20*R57*Declarations!$C$21+Declarations!$C$20*S57*Declarations!$C$22+Declarations!$C$21*R57*Declarations!$C$20+Declarations!$C$21*T57*Declarations!$C$21+Declarations!$C$21*U57*Declarations!$C$22+Declarations!$C$22*S57*Declarations!$C$20+Declarations!$C$22*U57*Declarations!$C$21+Declarations!$C$22*V57*Declarations!$C$22+1</f>
        <v>5.68228843405026</v>
      </c>
      <c r="U58" s="20" t="n">
        <f aca="false">Declarations!$C$20*Q57*Declarations!$D$20+Declarations!$C$20*R57*Declarations!$D$21+Declarations!$C$20*S57*Declarations!$D$22+Declarations!$C$21*R57*Declarations!$D$20+Declarations!$C$21*T57*Declarations!$D$21+Declarations!$C$21*U57*Declarations!$D$22+Declarations!$C$22*S57*Declarations!$D$20+Declarations!$C$22*U57*Declarations!$D$21+Declarations!$C$22*V57*Declarations!$D$22+0</f>
        <v>0.771603411357721</v>
      </c>
      <c r="V58" s="20" t="n">
        <f aca="false">Declarations!$D$20*Q57*Declarations!$D$20+Declarations!$D$20*R57*Declarations!$D$21+Declarations!$D$20*S57*Declarations!$D$22+Declarations!$D$21*R57*Declarations!$D$20+Declarations!$D$21*T57*Declarations!$D$21+Declarations!$D$21*U57*Declarations!$D$22+Declarations!$D$22*S57*Declarations!$D$20+Declarations!$D$22*U57*Declarations!$D$21+Declarations!$D$22*V57*Declarations!$D$22+1</f>
        <v>2.77777777721193</v>
      </c>
    </row>
    <row r="59" customFormat="false" ht="15" hidden="false" customHeight="false" outlineLevel="0" collapsed="false">
      <c r="A59" s="18" t="n">
        <v>50</v>
      </c>
      <c r="B59" s="20" t="n">
        <f aca="false">$B$4*B58*$B$4+$B$4*C58*$B$5+$B$5*C58*$B$4+$B$5*D58*$B$5+$E$4</f>
        <v>13.5077728332681</v>
      </c>
      <c r="C59" s="20" t="n">
        <f aca="false">$B$4*B58*$C$4+$B$4*C58*$C$5+$B$5*C58*$C$4+$B$5*D58*$C$5+$F$4</f>
        <v>-5.75562098414564</v>
      </c>
      <c r="D59" s="20" t="n">
        <f aca="false">$C$4*B58*$C$4+$C$4*C58*$C$5+$C$5*C58*$C$4+$C$5*D58*$C$5+$F$5</f>
        <v>11.9349337797446</v>
      </c>
      <c r="P59" s="18" t="n">
        <v>50</v>
      </c>
      <c r="Q59" s="20" t="n">
        <f aca="false">Declarations!$B$20*Q58*Declarations!$B$20+Declarations!$B$20*R58*Declarations!$B$21+Declarations!$B$20*S58*Declarations!$B$22+Declarations!$B$21*R58*Declarations!$B$20+Declarations!$B$21*T58*Declarations!$B$21+Declarations!$B$21*U58*Declarations!$B$22+Declarations!$B$22*S58*Declarations!$B$20+Declarations!$B$22*U58*Declarations!$B$21+Declarations!$B$22*V58*Declarations!$B$22+1</f>
        <v>10.2242485885339</v>
      </c>
      <c r="R59" s="20" t="n">
        <f aca="false">Declarations!$B$20*Q58*Declarations!$C$20+Declarations!$B$20*R58*Declarations!$C$21+Declarations!$B$20*S58*Declarations!$C$22+Declarations!$B$21*R58*Declarations!$C$20+Declarations!$B$21*T58*Declarations!$C$21+Declarations!$B$21*U58*Declarations!$C$22+Declarations!$B$22*S58*Declarations!$C$20+Declarations!$B$22*U58*Declarations!$C$21+Declarations!$B$22*V58*Declarations!$C$22+0</f>
        <v>4.57038040221154</v>
      </c>
      <c r="S59" s="20" t="n">
        <f aca="false">Declarations!$B$20*Q58*Declarations!$D$20+Declarations!$B$20*R58*Declarations!$D$21+Declarations!$B$20*S58*Declarations!$D$22+Declarations!$B$21*R58*Declarations!$D$20+Declarations!$B$21*T58*Declarations!$D$21+Declarations!$B$21*U58*Declarations!$D$22+Declarations!$B$22*S58*Declarations!$D$20+Declarations!$B$22*U58*Declarations!$D$21+Declarations!$B$22*V58*Declarations!$D$22+0</f>
        <v>0.617281633640791</v>
      </c>
      <c r="T59" s="20" t="n">
        <f aca="false">Declarations!$C$20*Q58*Declarations!$C$20+Declarations!$C$20*R58*Declarations!$C$21+Declarations!$C$20*S58*Declarations!$C$22+Declarations!$C$21*R58*Declarations!$C$20+Declarations!$C$21*T58*Declarations!$C$21+Declarations!$C$21*U58*Declarations!$C$22+Declarations!$C$22*S58*Declarations!$C$20+Declarations!$C$22*U58*Declarations!$C$21+Declarations!$C$22*V58*Declarations!$C$22+1</f>
        <v>5.68426423339813</v>
      </c>
      <c r="U59" s="20" t="n">
        <f aca="false">Declarations!$C$20*Q58*Declarations!$D$20+Declarations!$C$20*R58*Declarations!$D$21+Declarations!$C$20*S58*Declarations!$D$22+Declarations!$C$21*R58*Declarations!$D$20+Declarations!$C$21*T58*Declarations!$D$21+Declarations!$C$21*U58*Declarations!$D$22+Declarations!$C$22*S58*Declarations!$D$20+Declarations!$C$22*U58*Declarations!$D$21+Declarations!$C$22*V58*Declarations!$D$22+0</f>
        <v>0.771603777991521</v>
      </c>
      <c r="V59" s="20" t="n">
        <f aca="false">Declarations!$D$20*Q58*Declarations!$D$20+Declarations!$D$20*R58*Declarations!$D$21+Declarations!$D$20*S58*Declarations!$D$22+Declarations!$D$21*R58*Declarations!$D$20+Declarations!$D$21*T58*Declarations!$D$21+Declarations!$D$21*U58*Declarations!$D$22+Declarations!$D$22*S58*Declarations!$D$20+Declarations!$D$22*U58*Declarations!$D$21+Declarations!$D$22*V58*Declarations!$D$22+1</f>
        <v>2.77777777741564</v>
      </c>
    </row>
    <row r="60" customFormat="false" ht="15" hidden="false" customHeight="false" outlineLevel="0" collapsed="false">
      <c r="A60" s="18" t="n">
        <v>51</v>
      </c>
      <c r="B60" s="20" t="n">
        <f aca="false">$B$4*B59*$B$4+$B$4*C59*$B$5+$B$5*C59*$B$4+$B$5*D59*$B$5+$E$4</f>
        <v>13.5161120032296</v>
      </c>
      <c r="C60" s="20" t="n">
        <f aca="false">$B$4*B59*$C$4+$B$4*C59*$C$5+$B$5*C59*$C$4+$B$5*D59*$C$5+$F$4</f>
        <v>-5.76123710921609</v>
      </c>
      <c r="D60" s="20" t="n">
        <f aca="false">$C$4*B59*$C$4+$C$4*C59*$C$5+$C$5*C59*$C$4+$C$5*D59*$C$5+$F$5</f>
        <v>11.9412959949472</v>
      </c>
      <c r="P60" s="18" t="n">
        <v>51</v>
      </c>
      <c r="Q60" s="20" t="n">
        <f aca="false">Declarations!$B$20*Q59*Declarations!$B$20+Declarations!$B$20*R59*Declarations!$B$21+Declarations!$B$20*S59*Declarations!$B$22+Declarations!$B$21*R59*Declarations!$B$20+Declarations!$B$21*T59*Declarations!$B$21+Declarations!$B$21*U59*Declarations!$B$22+Declarations!$B$22*S59*Declarations!$B$20+Declarations!$B$22*U59*Declarations!$B$21+Declarations!$B$22*V59*Declarations!$B$22+1</f>
        <v>10.2313683006956</v>
      </c>
      <c r="R60" s="20" t="n">
        <f aca="false">Declarations!$B$20*Q59*Declarations!$C$20+Declarations!$B$20*R59*Declarations!$C$21+Declarations!$B$20*S59*Declarations!$C$22+Declarations!$B$21*R59*Declarations!$C$20+Declarations!$B$21*T59*Declarations!$C$21+Declarations!$B$21*U59*Declarations!$C$22+Declarations!$B$22*S59*Declarations!$C$20+Declarations!$B$22*U59*Declarations!$C$21+Declarations!$B$22*V59*Declarations!$C$22+0</f>
        <v>4.57394319436916</v>
      </c>
      <c r="S60" s="20" t="n">
        <f aca="false">Declarations!$B$20*Q59*Declarations!$D$20+Declarations!$B$20*R59*Declarations!$D$21+Declarations!$B$20*S59*Declarations!$D$22+Declarations!$B$21*R59*Declarations!$D$20+Declarations!$B$21*T59*Declarations!$D$21+Declarations!$B$21*U59*Declarations!$D$22+Declarations!$B$22*S59*Declarations!$D$20+Declarations!$B$22*U59*Declarations!$D$21+Declarations!$B$22*V59*Declarations!$D$22+0</f>
        <v>0.617282189557317</v>
      </c>
      <c r="T60" s="20" t="n">
        <f aca="false">Declarations!$C$20*Q59*Declarations!$C$20+Declarations!$C$20*R59*Declarations!$C$21+Declarations!$C$20*S59*Declarations!$C$22+Declarations!$C$21*R59*Declarations!$C$20+Declarations!$C$21*T59*Declarations!$C$21+Declarations!$C$21*U59*Declarations!$C$22+Declarations!$C$22*S59*Declarations!$C$20+Declarations!$C$22*U59*Declarations!$C$21+Declarations!$C$22*V59*Declarations!$C$22+1</f>
        <v>5.68604710065859</v>
      </c>
      <c r="U60" s="20" t="n">
        <f aca="false">Declarations!$C$20*Q59*Declarations!$D$20+Declarations!$C$20*R59*Declarations!$D$21+Declarations!$C$20*S59*Declarations!$D$22+Declarations!$C$21*R59*Declarations!$D$20+Declarations!$C$21*T59*Declarations!$D$21+Declarations!$C$21*U59*Declarations!$D$22+Declarations!$C$22*S59*Declarations!$D$20+Declarations!$C$22*U59*Declarations!$D$21+Declarations!$C$22*V59*Declarations!$D$22+0</f>
        <v>0.771604056573117</v>
      </c>
      <c r="V60" s="20" t="n">
        <f aca="false">Declarations!$D$20*Q59*Declarations!$D$20+Declarations!$D$20*R59*Declarations!$D$21+Declarations!$D$20*S59*Declarations!$D$22+Declarations!$D$21*R59*Declarations!$D$20+Declarations!$D$21*T59*Declarations!$D$21+Declarations!$D$21*U59*Declarations!$D$22+Declarations!$D$22*S59*Declarations!$D$20+Declarations!$D$22*U59*Declarations!$D$21+Declarations!$D$22*V59*Declarations!$D$22+1</f>
        <v>2.77777777754601</v>
      </c>
    </row>
    <row r="61" customFormat="false" ht="15" hidden="false" customHeight="false" outlineLevel="0" collapsed="false">
      <c r="A61" s="18" t="n">
        <v>52</v>
      </c>
      <c r="B61" s="20" t="n">
        <f aca="false">$B$4*B60*$B$4+$B$4*C60*$B$5+$B$5*C60*$B$4+$B$5*D60*$B$5+$E$4</f>
        <v>13.5191199209742</v>
      </c>
      <c r="C61" s="20" t="n">
        <f aca="false">$B$4*B60*$C$4+$B$4*C60*$C$5+$B$5*C60*$C$4+$B$5*D60*$C$5+$F$4</f>
        <v>-5.7629373243215</v>
      </c>
      <c r="D61" s="20" t="n">
        <f aca="false">$C$4*B60*$C$4+$C$4*C60*$C$5+$C$5*C60*$C$4+$C$5*D60*$C$5+$F$5</f>
        <v>11.948050722616</v>
      </c>
      <c r="P61" s="18" t="n">
        <v>52</v>
      </c>
      <c r="Q61" s="20" t="n">
        <f aca="false">Declarations!$B$20*Q60*Declarations!$B$20+Declarations!$B$20*R60*Declarations!$B$21+Declarations!$B$20*S60*Declarations!$B$22+Declarations!$B$21*R60*Declarations!$B$20+Declarations!$B$21*T60*Declarations!$B$21+Declarations!$B$21*U60*Declarations!$B$22+Declarations!$B$22*S60*Declarations!$B$20+Declarations!$B$22*U60*Declarations!$B$21+Declarations!$B$22*V60*Declarations!$B$22+1</f>
        <v>10.2377944516262</v>
      </c>
      <c r="R61" s="20" t="n">
        <f aca="false">Declarations!$B$20*Q60*Declarations!$C$20+Declarations!$B$20*R60*Declarations!$C$21+Declarations!$B$20*S60*Declarations!$C$22+Declarations!$B$21*R60*Declarations!$C$20+Declarations!$B$21*T60*Declarations!$C$21+Declarations!$B$21*U60*Declarations!$C$22+Declarations!$B$22*S60*Declarations!$C$20+Declarations!$B$22*U60*Declarations!$C$21+Declarations!$B$22*V60*Declarations!$C$22+0</f>
        <v>4.5771585411434</v>
      </c>
      <c r="S61" s="20" t="n">
        <f aca="false">Declarations!$B$20*Q60*Declarations!$D$20+Declarations!$B$20*R60*Declarations!$D$21+Declarations!$B$20*S60*Declarations!$D$22+Declarations!$B$21*R60*Declarations!$D$20+Declarations!$B$21*T60*Declarations!$D$21+Declarations!$B$21*U60*Declarations!$D$22+Declarations!$B$22*S60*Declarations!$D$20+Declarations!$B$22*U60*Declarations!$D$21+Declarations!$B$22*V60*Declarations!$D$22+0</f>
        <v>0.617282612108958</v>
      </c>
      <c r="T61" s="20" t="n">
        <f aca="false">Declarations!$C$20*Q60*Declarations!$C$20+Declarations!$C$20*R60*Declarations!$C$21+Declarations!$C$20*S60*Declarations!$C$22+Declarations!$C$21*R60*Declarations!$C$20+Declarations!$C$21*T60*Declarations!$C$21+Declarations!$C$21*U60*Declarations!$C$22+Declarations!$C$22*S60*Declarations!$C$20+Declarations!$C$22*U60*Declarations!$C$21+Declarations!$C$22*V60*Declarations!$C$22+1</f>
        <v>5.68765591178741</v>
      </c>
      <c r="U61" s="20" t="n">
        <f aca="false">Declarations!$C$20*Q60*Declarations!$D$20+Declarations!$C$20*R60*Declarations!$D$21+Declarations!$C$20*S60*Declarations!$D$22+Declarations!$C$21*R60*Declarations!$D$20+Declarations!$C$21*T60*Declarations!$D$21+Declarations!$C$21*U60*Declarations!$D$22+Declarations!$C$22*S60*Declarations!$D$20+Declarations!$C$22*U60*Declarations!$D$21+Declarations!$C$22*V60*Declarations!$D$22+0</f>
        <v>0.771604268255693</v>
      </c>
      <c r="V61" s="20" t="n">
        <f aca="false">Declarations!$D$20*Q60*Declarations!$D$20+Declarations!$D$20*R60*Declarations!$D$21+Declarations!$D$20*S60*Declarations!$D$22+Declarations!$D$21*R60*Declarations!$D$20+Declarations!$D$21*T60*Declarations!$D$21+Declarations!$D$21*U60*Declarations!$D$22+Declarations!$D$22*S60*Declarations!$D$20+Declarations!$D$22*U60*Declarations!$D$21+Declarations!$D$22*V60*Declarations!$D$22+1</f>
        <v>2.77777777762945</v>
      </c>
    </row>
    <row r="62" customFormat="false" ht="15" hidden="false" customHeight="false" outlineLevel="0" collapsed="false">
      <c r="A62" s="18" t="n">
        <v>53</v>
      </c>
      <c r="B62" s="20" t="n">
        <f aca="false">$B$4*B61*$B$4+$B$4*C61*$B$5+$B$5*C61*$B$4+$B$5*D61*$B$5+$E$4</f>
        <v>13.5252506748264</v>
      </c>
      <c r="C62" s="20" t="n">
        <f aca="false">$B$4*B61*$C$4+$B$4*C61*$C$5+$B$5*C61*$C$4+$B$5*D61*$C$5+$F$4</f>
        <v>-5.76384354409974</v>
      </c>
      <c r="D62" s="20" t="n">
        <f aca="false">$C$4*B61*$C$4+$C$4*C61*$C$5+$C$5*C61*$C$4+$C$5*D61*$C$5+$F$5</f>
        <v>11.9504871359891</v>
      </c>
      <c r="P62" s="18" t="n">
        <v>53</v>
      </c>
      <c r="Q62" s="20" t="n">
        <f aca="false">Declarations!$B$20*Q61*Declarations!$B$20+Declarations!$B$20*R61*Declarations!$B$21+Declarations!$B$20*S61*Declarations!$B$22+Declarations!$B$21*R61*Declarations!$B$20+Declarations!$B$21*T61*Declarations!$B$21+Declarations!$B$21*U61*Declarations!$B$22+Declarations!$B$22*S61*Declarations!$B$20+Declarations!$B$22*U61*Declarations!$B$21+Declarations!$B$22*V61*Declarations!$B$22+1</f>
        <v>10.2435945245574</v>
      </c>
      <c r="R62" s="20" t="n">
        <f aca="false">Declarations!$B$20*Q61*Declarations!$C$20+Declarations!$B$20*R61*Declarations!$C$21+Declarations!$B$20*S61*Declarations!$C$22+Declarations!$B$21*R61*Declarations!$C$20+Declarations!$B$21*T61*Declarations!$C$21+Declarations!$B$21*U61*Declarations!$C$22+Declarations!$B$22*S61*Declarations!$C$20+Declarations!$B$22*U61*Declarations!$C$21+Declarations!$B$22*V61*Declarations!$C$22+0</f>
        <v>4.58006033409718</v>
      </c>
      <c r="S62" s="20" t="n">
        <f aca="false">Declarations!$B$20*Q61*Declarations!$D$20+Declarations!$B$20*R61*Declarations!$D$21+Declarations!$B$20*S61*Declarations!$D$22+Declarations!$B$21*R61*Declarations!$D$20+Declarations!$B$21*T61*Declarations!$D$21+Declarations!$B$21*U61*Declarations!$D$22+Declarations!$B$22*S61*Declarations!$D$20+Declarations!$B$22*U61*Declarations!$D$21+Declarations!$B$22*V61*Declarations!$D$22+0</f>
        <v>0.617282933284083</v>
      </c>
      <c r="T62" s="20" t="n">
        <f aca="false">Declarations!$C$20*Q61*Declarations!$C$20+Declarations!$C$20*R61*Declarations!$C$21+Declarations!$C$20*S61*Declarations!$C$22+Declarations!$C$21*R61*Declarations!$C$20+Declarations!$C$21*T61*Declarations!$C$21+Declarations!$C$21*U61*Declarations!$C$22+Declarations!$C$22*S61*Declarations!$C$20+Declarations!$C$22*U61*Declarations!$C$21+Declarations!$C$22*V61*Declarations!$C$22+1</f>
        <v>5.68910768789351</v>
      </c>
      <c r="U62" s="20" t="n">
        <f aca="false">Declarations!$C$20*Q61*Declarations!$D$20+Declarations!$C$20*R61*Declarations!$D$21+Declarations!$C$20*S61*Declarations!$D$22+Declarations!$C$21*R61*Declarations!$D$20+Declarations!$C$21*T61*Declarations!$D$21+Declarations!$C$21*U61*Declarations!$D$22+Declarations!$C$22*S61*Declarations!$D$20+Declarations!$C$22*U61*Declarations!$D$21+Declarations!$C$22*V61*Declarations!$D$22+0</f>
        <v>0.771604429108585</v>
      </c>
      <c r="V62" s="20" t="n">
        <f aca="false">Declarations!$D$20*Q61*Declarations!$D$20+Declarations!$D$20*R61*Declarations!$D$21+Declarations!$D$20*S61*Declarations!$D$22+Declarations!$D$21*R61*Declarations!$D$20+Declarations!$D$21*T61*Declarations!$D$21+Declarations!$D$21*U61*Declarations!$D$22+Declarations!$D$22*S61*Declarations!$D$20+Declarations!$D$22*U61*Declarations!$D$21+Declarations!$D$22*V61*Declarations!$D$22+1</f>
        <v>2.77777777768285</v>
      </c>
    </row>
    <row r="63" customFormat="false" ht="15" hidden="false" customHeight="false" outlineLevel="0" collapsed="false">
      <c r="A63" s="18" t="n">
        <v>54</v>
      </c>
      <c r="B63" s="20" t="n">
        <f aca="false">$B$4*B62*$B$4+$B$4*C62*$B$5+$B$5*C62*$B$4+$B$5*D62*$B$5+$E$4</f>
        <v>13.5310218032189</v>
      </c>
      <c r="C63" s="20" t="n">
        <f aca="false">$B$4*B62*$C$4+$B$4*C62*$C$5+$B$5*C62*$C$4+$B$5*D62*$C$5+$F$4</f>
        <v>-5.76799385691959</v>
      </c>
      <c r="D63" s="20" t="n">
        <f aca="false">$C$4*B62*$C$4+$C$4*C62*$C$5+$C$5*C62*$C$4+$C$5*D62*$C$5+$F$5</f>
        <v>11.9554530466094</v>
      </c>
      <c r="P63" s="18" t="n">
        <v>54</v>
      </c>
      <c r="Q63" s="20" t="n">
        <f aca="false">Declarations!$B$20*Q62*Declarations!$B$20+Declarations!$B$20*R62*Declarations!$B$21+Declarations!$B$20*S62*Declarations!$B$22+Declarations!$B$21*R62*Declarations!$B$20+Declarations!$B$21*T62*Declarations!$B$21+Declarations!$B$21*U62*Declarations!$B$22+Declarations!$B$22*S62*Declarations!$B$20+Declarations!$B$22*U62*Declarations!$B$21+Declarations!$B$22*V62*Declarations!$B$22+1</f>
        <v>10.2488294546388</v>
      </c>
      <c r="R63" s="20" t="n">
        <f aca="false">Declarations!$B$20*Q62*Declarations!$C$20+Declarations!$B$20*R62*Declarations!$C$21+Declarations!$B$20*S62*Declarations!$C$22+Declarations!$B$21*R62*Declarations!$C$20+Declarations!$B$21*T62*Declarations!$C$21+Declarations!$B$21*U62*Declarations!$C$22+Declarations!$B$22*S62*Declarations!$C$20+Declarations!$B$22*U62*Declarations!$C$21+Declarations!$B$22*V62*Declarations!$C$22+0</f>
        <v>4.58267915707625</v>
      </c>
      <c r="S63" s="20" t="n">
        <f aca="false">Declarations!$B$20*Q62*Declarations!$D$20+Declarations!$B$20*R62*Declarations!$D$21+Declarations!$B$20*S62*Declarations!$D$22+Declarations!$B$21*R62*Declarations!$D$20+Declarations!$B$21*T62*Declarations!$D$21+Declarations!$B$21*U62*Declarations!$D$22+Declarations!$B$22*S62*Declarations!$D$20+Declarations!$B$22*U62*Declarations!$D$21+Declarations!$B$22*V62*Declarations!$D$22+0</f>
        <v>0.617283177400541</v>
      </c>
      <c r="T63" s="20" t="n">
        <f aca="false">Declarations!$C$20*Q62*Declarations!$C$20+Declarations!$C$20*R62*Declarations!$C$21+Declarations!$C$20*S62*Declarations!$C$22+Declarations!$C$21*R62*Declarations!$C$20+Declarations!$C$21*T62*Declarations!$C$21+Declarations!$C$21*U62*Declarations!$C$22+Declarations!$C$22*S62*Declarations!$C$20+Declarations!$C$22*U62*Declarations!$C$21+Declarations!$C$22*V62*Declarations!$C$22+1</f>
        <v>5.69041777927084</v>
      </c>
      <c r="U63" s="20" t="n">
        <f aca="false">Declarations!$C$20*Q62*Declarations!$D$20+Declarations!$C$20*R62*Declarations!$D$21+Declarations!$C$20*S62*Declarations!$D$22+Declarations!$C$21*R62*Declarations!$D$20+Declarations!$C$21*T62*Declarations!$D$21+Declarations!$C$21*U62*Declarations!$D$22+Declarations!$C$22*S62*Declarations!$D$20+Declarations!$C$22*U62*Declarations!$D$21+Declarations!$C$22*V62*Declarations!$D$22+0</f>
        <v>0.771604551339829</v>
      </c>
      <c r="V63" s="20" t="n">
        <f aca="false">Declarations!$D$20*Q62*Declarations!$D$20+Declarations!$D$20*R62*Declarations!$D$21+Declarations!$D$20*S62*Declarations!$D$22+Declarations!$D$21*R62*Declarations!$D$20+Declarations!$D$21*T62*Declarations!$D$21+Declarations!$D$21*U62*Declarations!$D$22+Declarations!$D$22*S62*Declarations!$D$20+Declarations!$D$22*U62*Declarations!$D$21+Declarations!$D$22*V62*Declarations!$D$22+1</f>
        <v>2.77777777771702</v>
      </c>
    </row>
    <row r="64" customFormat="false" ht="15" hidden="false" customHeight="false" outlineLevel="0" collapsed="false">
      <c r="A64" s="18" t="n">
        <v>55</v>
      </c>
      <c r="B64" s="20" t="n">
        <f aca="false">$B$4*B63*$B$4+$B$4*C63*$B$5+$B$5*C63*$B$4+$B$5*D63*$B$5+$E$4</f>
        <v>13.5331917647614</v>
      </c>
      <c r="C64" s="20" t="n">
        <f aca="false">$B$4*B63*$C$4+$B$4*C63*$C$5+$B$5*C63*$C$4+$B$5*D63*$C$5+$F$4</f>
        <v>-5.76893318937968</v>
      </c>
      <c r="D64" s="20" t="n">
        <f aca="false">$C$4*B63*$C$4+$C$4*C63*$C$5+$C$5*C63*$C$4+$C$5*D63*$C$5+$F$5</f>
        <v>11.9601276606073</v>
      </c>
      <c r="P64" s="18" t="n">
        <v>55</v>
      </c>
      <c r="Q64" s="20" t="n">
        <f aca="false">Declarations!$B$20*Q63*Declarations!$B$20+Declarations!$B$20*R63*Declarations!$B$21+Declarations!$B$20*S63*Declarations!$B$22+Declarations!$B$21*R63*Declarations!$B$20+Declarations!$B$21*T63*Declarations!$B$21+Declarations!$B$21*U63*Declarations!$B$22+Declarations!$B$22*S63*Declarations!$B$20+Declarations!$B$22*U63*Declarations!$B$21+Declarations!$B$22*V63*Declarations!$B$22+1</f>
        <v>10.2535542602476</v>
      </c>
      <c r="R64" s="20" t="n">
        <f aca="false">Declarations!$B$20*Q63*Declarations!$C$20+Declarations!$B$20*R63*Declarations!$C$21+Declarations!$B$20*S63*Declarations!$C$22+Declarations!$B$21*R63*Declarations!$C$20+Declarations!$B$21*T63*Declarations!$C$21+Declarations!$B$21*U63*Declarations!$C$22+Declarations!$B$22*S63*Declarations!$C$20+Declarations!$B$22*U63*Declarations!$C$21+Declarations!$B$22*V63*Declarations!$C$22+0</f>
        <v>4.58504260938896</v>
      </c>
      <c r="S64" s="20" t="n">
        <f aca="false">Declarations!$B$20*Q63*Declarations!$D$20+Declarations!$B$20*R63*Declarations!$D$21+Declarations!$B$20*S63*Declarations!$D$22+Declarations!$B$21*R63*Declarations!$D$20+Declarations!$B$21*T63*Declarations!$D$21+Declarations!$B$21*U63*Declarations!$D$22+Declarations!$B$22*S63*Declarations!$D$20+Declarations!$B$22*U63*Declarations!$D$21+Declarations!$B$22*V63*Declarations!$D$22+0</f>
        <v>0.617283362944256</v>
      </c>
      <c r="T64" s="20" t="n">
        <f aca="false">Declarations!$C$20*Q63*Declarations!$C$20+Declarations!$C$20*R63*Declarations!$C$21+Declarations!$C$20*S63*Declarations!$C$22+Declarations!$C$21*R63*Declarations!$C$20+Declarations!$C$21*T63*Declarations!$C$21+Declarations!$C$21*U63*Declarations!$C$22+Declarations!$C$22*S63*Declarations!$C$20+Declarations!$C$22*U63*Declarations!$C$21+Declarations!$C$22*V63*Declarations!$C$22+1</f>
        <v>5.69160003079021</v>
      </c>
      <c r="U64" s="20" t="n">
        <f aca="false">Declarations!$C$20*Q63*Declarations!$D$20+Declarations!$C$20*R63*Declarations!$D$21+Declarations!$C$20*S63*Declarations!$D$22+Declarations!$C$21*R63*Declarations!$D$20+Declarations!$C$21*T63*Declarations!$D$21+Declarations!$C$21*U63*Declarations!$D$22+Declarations!$C$22*S63*Declarations!$D$20+Declarations!$C$22*U63*Declarations!$D$21+Declarations!$C$22*V63*Declarations!$D$22+0</f>
        <v>0.771604644224467</v>
      </c>
      <c r="V64" s="20" t="n">
        <f aca="false">Declarations!$D$20*Q63*Declarations!$D$20+Declarations!$D$20*R63*Declarations!$D$21+Declarations!$D$20*S63*Declarations!$D$22+Declarations!$D$21*R63*Declarations!$D$20+Declarations!$D$21*T63*Declarations!$D$21+Declarations!$D$21*U63*Declarations!$D$22+Declarations!$D$22*S63*Declarations!$D$20+Declarations!$D$22*U63*Declarations!$D$21+Declarations!$D$22*V63*Declarations!$D$22+1</f>
        <v>2.77777777773889</v>
      </c>
    </row>
    <row r="65" customFormat="false" ht="15" hidden="false" customHeight="false" outlineLevel="0" collapsed="false">
      <c r="A65" s="18" t="n">
        <v>56</v>
      </c>
      <c r="B65" s="20" t="n">
        <f aca="false">$B$4*B64*$B$4+$B$4*C64*$B$5+$B$5*C64*$B$4+$B$5*D64*$B$5+$E$4</f>
        <v>13.5379332491806</v>
      </c>
      <c r="C65" s="20" t="n">
        <f aca="false">$B$4*B64*$C$4+$B$4*C64*$C$5+$B$5*C64*$C$4+$B$5*D64*$C$5+$F$4</f>
        <v>-5.76984545901502</v>
      </c>
      <c r="D65" s="20" t="n">
        <f aca="false">$C$4*B64*$C$4+$C$4*C64*$C$5+$C$5*C64*$C$4+$C$5*D64*$C$5+$F$5</f>
        <v>11.9618853294567</v>
      </c>
      <c r="P65" s="18" t="n">
        <v>56</v>
      </c>
      <c r="Q65" s="20" t="n">
        <f aca="false">Declarations!$B$20*Q64*Declarations!$B$20+Declarations!$B$20*R64*Declarations!$B$21+Declarations!$B$20*S64*Declarations!$B$22+Declarations!$B$21*R64*Declarations!$B$20+Declarations!$B$21*T64*Declarations!$B$21+Declarations!$B$21*U64*Declarations!$B$22+Declarations!$B$22*S64*Declarations!$B$20+Declarations!$B$22*U64*Declarations!$B$21+Declarations!$B$22*V64*Declarations!$B$22+1</f>
        <v>10.25781861435</v>
      </c>
      <c r="R65" s="20" t="n">
        <f aca="false">Declarations!$B$20*Q64*Declarations!$C$20+Declarations!$B$20*R64*Declarations!$C$21+Declarations!$B$20*S64*Declarations!$C$22+Declarations!$B$21*R64*Declarations!$C$20+Declarations!$B$21*T64*Declarations!$C$21+Declarations!$B$21*U64*Declarations!$C$22+Declarations!$B$22*S64*Declarations!$C$20+Declarations!$B$22*U64*Declarations!$C$21+Declarations!$B$22*V64*Declarations!$C$22+0</f>
        <v>4.58717559734063</v>
      </c>
      <c r="S65" s="20" t="n">
        <f aca="false">Declarations!$B$20*Q64*Declarations!$D$20+Declarations!$B$20*R64*Declarations!$D$21+Declarations!$B$20*S64*Declarations!$D$22+Declarations!$B$21*R64*Declarations!$D$20+Declarations!$B$21*T64*Declarations!$D$21+Declarations!$B$21*U64*Declarations!$D$22+Declarations!$B$22*S64*Declarations!$D$20+Declarations!$B$22*U64*Declarations!$D$21+Declarations!$B$22*V64*Declarations!$D$22+0</f>
        <v>0.617283503967378</v>
      </c>
      <c r="T65" s="20" t="n">
        <f aca="false">Declarations!$C$20*Q64*Declarations!$C$20+Declarations!$C$20*R64*Declarations!$C$21+Declarations!$C$20*S64*Declarations!$C$22+Declarations!$C$21*R64*Declarations!$C$20+Declarations!$C$21*T64*Declarations!$C$21+Declarations!$C$21*U64*Declarations!$C$22+Declarations!$C$22*S64*Declarations!$C$20+Declarations!$C$22*U64*Declarations!$C$21+Declarations!$C$22*V64*Declarations!$C$22+1</f>
        <v>5.6926669306196</v>
      </c>
      <c r="U65" s="20" t="n">
        <f aca="false">Declarations!$C$20*Q64*Declarations!$D$20+Declarations!$C$20*R64*Declarations!$D$21+Declarations!$C$20*S64*Declarations!$D$22+Declarations!$C$21*R64*Declarations!$D$20+Declarations!$C$21*T64*Declarations!$D$21+Declarations!$C$21*U64*Declarations!$D$22+Declarations!$C$22*S64*Declarations!$D$20+Declarations!$C$22*U64*Declarations!$D$21+Declarations!$C$22*V64*Declarations!$D$22+0</f>
        <v>0.771604714809519</v>
      </c>
      <c r="V65" s="20" t="n">
        <f aca="false">Declarations!$D$20*Q64*Declarations!$D$20+Declarations!$D$20*R64*Declarations!$D$21+Declarations!$D$20*S64*Declarations!$D$22+Declarations!$D$21*R64*Declarations!$D$20+Declarations!$D$21*T64*Declarations!$D$21+Declarations!$D$21*U64*Declarations!$D$22+Declarations!$D$22*S64*Declarations!$D$20+Declarations!$D$22*U64*Declarations!$D$21+Declarations!$D$22*V64*Declarations!$D$22+1</f>
        <v>2.77777777775289</v>
      </c>
    </row>
    <row r="66" customFormat="false" ht="15" hidden="false" customHeight="false" outlineLevel="0" collapsed="false">
      <c r="A66" s="18" t="n">
        <v>57</v>
      </c>
      <c r="B66" s="20" t="n">
        <f aca="false">$B$4*B65*$B$4+$B$4*C65*$B$5+$B$5*C65*$B$4+$B$5*D65*$B$5+$E$4</f>
        <v>13.541889435066</v>
      </c>
      <c r="C66" s="20" t="n">
        <f aca="false">$B$4*B65*$C$4+$B$4*C65*$C$5+$B$5*C65*$C$4+$B$5*D65*$C$5+$F$4</f>
        <v>-5.77286501872279</v>
      </c>
      <c r="D66" s="20" t="n">
        <f aca="false">$C$4*B65*$C$4+$C$4*C65*$C$5+$C$5*C65*$C$4+$C$5*D65*$C$5+$F$5</f>
        <v>11.9657259318363</v>
      </c>
      <c r="P66" s="18" t="n">
        <v>57</v>
      </c>
      <c r="Q66" s="20" t="n">
        <f aca="false">Declarations!$B$20*Q65*Declarations!$B$20+Declarations!$B$20*R65*Declarations!$B$21+Declarations!$B$20*S65*Declarations!$B$22+Declarations!$B$21*R65*Declarations!$B$20+Declarations!$B$21*T65*Declarations!$B$21+Declarations!$B$21*U65*Declarations!$B$22+Declarations!$B$22*S65*Declarations!$B$20+Declarations!$B$22*U65*Declarations!$B$21+Declarations!$B$22*V65*Declarations!$B$22+1</f>
        <v>10.2616673614006</v>
      </c>
      <c r="R66" s="20" t="n">
        <f aca="false">Declarations!$B$20*Q65*Declarations!$C$20+Declarations!$B$20*R65*Declarations!$C$21+Declarations!$B$20*S65*Declarations!$C$22+Declarations!$B$21*R65*Declarations!$C$20+Declarations!$B$21*T65*Declarations!$C$21+Declarations!$B$21*U65*Declarations!$C$22+Declarations!$B$22*S65*Declarations!$C$20+Declarations!$B$22*U65*Declarations!$C$21+Declarations!$B$22*V65*Declarations!$C$22+0</f>
        <v>4.58910059723395</v>
      </c>
      <c r="S66" s="20" t="n">
        <f aca="false">Declarations!$B$20*Q65*Declarations!$D$20+Declarations!$B$20*R65*Declarations!$D$21+Declarations!$B$20*S65*Declarations!$D$22+Declarations!$B$21*R65*Declarations!$D$20+Declarations!$B$21*T65*Declarations!$D$21+Declarations!$B$21*U65*Declarations!$D$22+Declarations!$B$22*S65*Declarations!$D$20+Declarations!$B$22*U65*Declarations!$D$21+Declarations!$B$22*V65*Declarations!$D$22+0</f>
        <v>0.617283611151389</v>
      </c>
      <c r="T66" s="20" t="n">
        <f aca="false">Declarations!$C$20*Q65*Declarations!$C$20+Declarations!$C$20*R65*Declarations!$C$21+Declarations!$C$20*S65*Declarations!$C$22+Declarations!$C$21*R65*Declarations!$C$20+Declarations!$C$21*T65*Declarations!$C$21+Declarations!$C$21*U65*Declarations!$C$22+Declarations!$C$22*S65*Declarations!$C$20+Declarations!$C$22*U65*Declarations!$C$21+Declarations!$C$22*V65*Declarations!$C$22+1</f>
        <v>5.69362974401731</v>
      </c>
      <c r="U66" s="20" t="n">
        <f aca="false">Declarations!$C$20*Q65*Declarations!$D$20+Declarations!$C$20*R65*Declarations!$D$21+Declarations!$C$20*S65*Declarations!$D$22+Declarations!$C$21*R65*Declarations!$D$20+Declarations!$C$21*T65*Declarations!$D$21+Declarations!$C$21*U65*Declarations!$D$22+Declarations!$C$22*S65*Declarations!$D$20+Declarations!$C$22*U65*Declarations!$D$21+Declarations!$C$22*V65*Declarations!$D$22+0</f>
        <v>0.7716047684494</v>
      </c>
      <c r="V66" s="20" t="n">
        <f aca="false">Declarations!$D$20*Q65*Declarations!$D$20+Declarations!$D$20*R65*Declarations!$D$21+Declarations!$D$20*S65*Declarations!$D$22+Declarations!$D$21*R65*Declarations!$D$20+Declarations!$D$21*T65*Declarations!$D$21+Declarations!$D$21*U65*Declarations!$D$22+Declarations!$D$22*S65*Declarations!$D$20+Declarations!$D$22*U65*Declarations!$D$21+Declarations!$D$22*V65*Declarations!$D$22+1</f>
        <v>2.77777777776185</v>
      </c>
    </row>
    <row r="67" customFormat="false" ht="15" hidden="false" customHeight="false" outlineLevel="0" collapsed="false">
      <c r="A67" s="18" t="n">
        <v>58</v>
      </c>
      <c r="B67" s="20" t="n">
        <f aca="false">$B$4*B66*$B$4+$B$4*C66*$B$5+$B$5*C66*$B$4+$B$5*D66*$B$5+$E$4</f>
        <v>13.5434993405388</v>
      </c>
      <c r="C67" s="20" t="n">
        <f aca="false">$B$4*B66*$C$4+$B$4*C66*$C$5+$B$5*C66*$C$4+$B$5*D66*$C$5+$F$4</f>
        <v>-5.77335192555295</v>
      </c>
      <c r="D67" s="20" t="n">
        <f aca="false">$C$4*B66*$C$4+$C$4*C66*$C$5+$C$5*C66*$C$4+$C$5*D66*$C$5+$F$5</f>
        <v>11.9689304424035</v>
      </c>
      <c r="P67" s="18" t="n">
        <v>58</v>
      </c>
      <c r="Q67" s="20" t="n">
        <f aca="false">Declarations!$B$20*Q66*Declarations!$B$20+Declarations!$B$20*R66*Declarations!$B$21+Declarations!$B$20*S66*Declarations!$B$22+Declarations!$B$21*R66*Declarations!$B$20+Declarations!$B$21*T66*Declarations!$B$21+Declarations!$B$21*U66*Declarations!$B$22+Declarations!$B$22*S66*Declarations!$B$20+Declarations!$B$22*U66*Declarations!$B$21+Declarations!$B$22*V66*Declarations!$B$22+1</f>
        <v>10.2651409848093</v>
      </c>
      <c r="R67" s="20" t="n">
        <f aca="false">Declarations!$B$20*Q66*Declarations!$C$20+Declarations!$B$20*R66*Declarations!$C$21+Declarations!$B$20*S66*Declarations!$C$22+Declarations!$B$21*R66*Declarations!$C$20+Declarations!$B$21*T66*Declarations!$C$21+Declarations!$B$21*U66*Declarations!$C$22+Declarations!$B$22*S66*Declarations!$C$20+Declarations!$B$22*U66*Declarations!$C$21+Declarations!$B$22*V66*Declarations!$C$22+0</f>
        <v>4.59083789263854</v>
      </c>
      <c r="S67" s="20" t="n">
        <f aca="false">Declarations!$B$20*Q66*Declarations!$D$20+Declarations!$B$20*R66*Declarations!$D$21+Declarations!$B$20*S66*Declarations!$D$22+Declarations!$B$21*R66*Declarations!$D$20+Declarations!$B$21*T66*Declarations!$D$21+Declarations!$B$21*U66*Declarations!$D$22+Declarations!$B$22*S66*Declarations!$D$20+Declarations!$B$22*U66*Declarations!$D$21+Declarations!$B$22*V66*Declarations!$D$22+0</f>
        <v>0.617283692615426</v>
      </c>
      <c r="T67" s="20" t="n">
        <f aca="false">Declarations!$C$20*Q66*Declarations!$C$20+Declarations!$C$20*R66*Declarations!$C$21+Declarations!$C$20*S66*Declarations!$C$22+Declarations!$C$21*R66*Declarations!$C$20+Declarations!$C$21*T66*Declarations!$C$21+Declarations!$C$21*U66*Declarations!$C$22+Declarations!$C$22*S66*Declarations!$C$20+Declarations!$C$22*U66*Declarations!$C$21+Declarations!$C$22*V66*Declarations!$C$22+1</f>
        <v>5.69449863374642</v>
      </c>
      <c r="U67" s="20" t="n">
        <f aca="false">Declarations!$C$20*Q66*Declarations!$D$20+Declarations!$C$20*R66*Declarations!$D$21+Declarations!$C$20*S66*Declarations!$D$22+Declarations!$C$21*R66*Declarations!$D$20+Declarations!$C$21*T66*Declarations!$D$21+Declarations!$C$21*U66*Declarations!$D$22+Declarations!$C$22*S66*Declarations!$D$20+Declarations!$C$22*U66*Declarations!$D$21+Declarations!$C$22*V66*Declarations!$D$22+0</f>
        <v>0.771604809212595</v>
      </c>
      <c r="V67" s="20" t="n">
        <f aca="false">Declarations!$D$20*Q66*Declarations!$D$20+Declarations!$D$20*R66*Declarations!$D$21+Declarations!$D$20*S66*Declarations!$D$22+Declarations!$D$21*R66*Declarations!$D$20+Declarations!$D$21*T66*Declarations!$D$21+Declarations!$D$21*U66*Declarations!$D$22+Declarations!$D$22*S66*Declarations!$D$20+Declarations!$D$22*U66*Declarations!$D$21+Declarations!$D$22*V66*Declarations!$D$22+1</f>
        <v>2.77777777776759</v>
      </c>
    </row>
    <row r="68" customFormat="false" ht="15" hidden="false" customHeight="false" outlineLevel="0" collapsed="false">
      <c r="A68" s="18" t="n">
        <v>59</v>
      </c>
      <c r="B68" s="20" t="n">
        <f aca="false">$B$4*B67*$B$4+$B$4*C67*$B$5+$B$5*C67*$B$4+$B$5*D67*$B$5+$E$4</f>
        <v>13.5471314422445</v>
      </c>
      <c r="C68" s="20" t="n">
        <f aca="false">$B$4*B67*$C$4+$B$4*C67*$C$5+$B$5*C67*$C$4+$B$5*D67*$C$5+$F$4</f>
        <v>-5.77421773283873</v>
      </c>
      <c r="D68" s="20" t="n">
        <f aca="false">$C$4*B67*$C$4+$C$4*C67*$C$5+$C$5*C67*$C$4+$C$5*D67*$C$5+$F$5</f>
        <v>11.9702344658364</v>
      </c>
      <c r="P68" s="18" t="n">
        <v>59</v>
      </c>
      <c r="Q68" s="20" t="n">
        <f aca="false">Declarations!$B$20*Q67*Declarations!$B$20+Declarations!$B$20*R67*Declarations!$B$21+Declarations!$B$20*S67*Declarations!$B$22+Declarations!$B$21*R67*Declarations!$B$20+Declarations!$B$21*T67*Declarations!$B$21+Declarations!$B$21*U67*Declarations!$B$22+Declarations!$B$22*S67*Declarations!$B$20+Declarations!$B$22*U67*Declarations!$B$21+Declarations!$B$22*V67*Declarations!$B$22+1</f>
        <v>10.2682760295798</v>
      </c>
      <c r="R68" s="20" t="n">
        <f aca="false">Declarations!$B$20*Q67*Declarations!$C$20+Declarations!$B$20*R67*Declarations!$C$21+Declarations!$B$20*S67*Declarations!$C$22+Declarations!$B$21*R67*Declarations!$C$20+Declarations!$B$21*T67*Declarations!$C$21+Declarations!$B$21*U67*Declarations!$C$22+Declarations!$B$22*S67*Declarations!$C$20+Declarations!$B$22*U67*Declarations!$C$21+Declarations!$B$22*V67*Declarations!$C$22+0</f>
        <v>4.59240578845597</v>
      </c>
      <c r="S68" s="20" t="n">
        <f aca="false">Declarations!$B$20*Q67*Declarations!$D$20+Declarations!$B$20*R67*Declarations!$D$21+Declarations!$B$20*S67*Declarations!$D$22+Declarations!$B$21*R67*Declarations!$D$20+Declarations!$B$21*T67*Declarations!$D$21+Declarations!$B$21*U67*Declarations!$D$22+Declarations!$B$22*S67*Declarations!$D$20+Declarations!$B$22*U67*Declarations!$D$21+Declarations!$B$22*V67*Declarations!$D$22+0</f>
        <v>0.617283754530818</v>
      </c>
      <c r="T68" s="20" t="n">
        <f aca="false">Declarations!$C$20*Q67*Declarations!$C$20+Declarations!$C$20*R67*Declarations!$C$21+Declarations!$C$20*S67*Declarations!$C$22+Declarations!$C$21*R67*Declarations!$C$20+Declarations!$C$21*T67*Declarations!$C$21+Declarations!$C$21*U67*Declarations!$C$22+Declarations!$C$22*S67*Declarations!$C$20+Declarations!$C$22*U67*Declarations!$C$21+Declarations!$C$22*V67*Declarations!$C$22+1</f>
        <v>5.69528276848806</v>
      </c>
      <c r="U68" s="20" t="n">
        <f aca="false">Declarations!$C$20*Q67*Declarations!$D$20+Declarations!$C$20*R67*Declarations!$D$21+Declarations!$C$20*S67*Declarations!$D$22+Declarations!$C$21*R67*Declarations!$D$20+Declarations!$C$21*T67*Declarations!$D$21+Declarations!$C$21*U67*Declarations!$D$22+Declarations!$C$22*S67*Declarations!$D$20+Declarations!$C$22*U67*Declarations!$D$21+Declarations!$C$22*V67*Declarations!$D$22+0</f>
        <v>0.771604840190589</v>
      </c>
      <c r="V68" s="20" t="n">
        <f aca="false">Declarations!$D$20*Q67*Declarations!$D$20+Declarations!$D$20*R67*Declarations!$D$21+Declarations!$D$20*S67*Declarations!$D$22+Declarations!$D$21*R67*Declarations!$D$20+Declarations!$D$21*T67*Declarations!$D$21+Declarations!$D$21*U67*Declarations!$D$22+Declarations!$D$22*S67*Declarations!$D$20+Declarations!$D$22*U67*Declarations!$D$21+Declarations!$D$22*V67*Declarations!$D$22+1</f>
        <v>2.77777777777125</v>
      </c>
    </row>
    <row r="69" customFormat="false" ht="15" hidden="false" customHeight="false" outlineLevel="0" collapsed="false">
      <c r="A69" s="18" t="n">
        <v>60</v>
      </c>
      <c r="B69" s="20" t="n">
        <f aca="false">$B$4*B68*$B$4+$B$4*C68*$B$5+$B$5*C68*$B$4+$B$5*D68*$B$5+$E$4</f>
        <v>13.5498190149447</v>
      </c>
      <c r="C69" s="20" t="n">
        <f aca="false">$B$4*B68*$C$4+$B$4*C68*$C$5+$B$5*C68*$C$4+$B$5*D68*$C$5+$F$4</f>
        <v>-5.77638050866321</v>
      </c>
      <c r="D69" s="20" t="n">
        <f aca="false">$C$4*B68*$C$4+$C$4*C68*$C$5+$C$5*C68*$C$4+$C$5*D68*$C$5+$F$5</f>
        <v>11.9731764682181</v>
      </c>
      <c r="P69" s="18" t="n">
        <v>60</v>
      </c>
      <c r="Q69" s="20" t="n">
        <f aca="false">Declarations!$B$20*Q68*Declarations!$B$20+Declarations!$B$20*R68*Declarations!$B$21+Declarations!$B$20*S68*Declarations!$B$22+Declarations!$B$21*R68*Declarations!$B$20+Declarations!$B$21*T68*Declarations!$B$21+Declarations!$B$21*U68*Declarations!$B$22+Declarations!$B$22*S68*Declarations!$B$20+Declarations!$B$22*U68*Declarations!$B$21+Declarations!$B$22*V68*Declarations!$B$22+1</f>
        <v>10.2711054843207</v>
      </c>
      <c r="R69" s="20" t="n">
        <f aca="false">Declarations!$B$20*Q68*Declarations!$C$20+Declarations!$B$20*R68*Declarations!$C$21+Declarations!$B$20*S68*Declarations!$C$22+Declarations!$B$21*R68*Declarations!$C$20+Declarations!$B$21*T68*Declarations!$C$21+Declarations!$B$21*U68*Declarations!$C$22+Declarations!$B$22*S68*Declarations!$C$20+Declarations!$B$22*U68*Declarations!$C$21+Declarations!$B$22*V68*Declarations!$C$22+0</f>
        <v>4.59382080405664</v>
      </c>
      <c r="S69" s="20" t="n">
        <f aca="false">Declarations!$B$20*Q68*Declarations!$D$20+Declarations!$B$20*R68*Declarations!$D$21+Declarations!$B$20*S68*Declarations!$D$22+Declarations!$B$21*R68*Declarations!$D$20+Declarations!$B$21*T68*Declarations!$D$21+Declarations!$B$21*U68*Declarations!$D$22+Declarations!$B$22*S68*Declarations!$D$20+Declarations!$B$22*U68*Declarations!$D$21+Declarations!$B$22*V68*Declarations!$D$22+0</f>
        <v>0.617283801588286</v>
      </c>
      <c r="T69" s="20" t="n">
        <f aca="false">Declarations!$C$20*Q68*Declarations!$C$20+Declarations!$C$20*R68*Declarations!$C$21+Declarations!$C$20*S68*Declarations!$C$22+Declarations!$C$21*R68*Declarations!$C$20+Declarations!$C$21*T68*Declarations!$C$21+Declarations!$C$21*U68*Declarations!$C$22+Declarations!$C$22*S68*Declarations!$C$20+Declarations!$C$22*U68*Declarations!$C$21+Declarations!$C$22*V68*Declarations!$C$22+1</f>
        <v>5.69599042048075</v>
      </c>
      <c r="U69" s="20" t="n">
        <f aca="false">Declarations!$C$20*Q68*Declarations!$D$20+Declarations!$C$20*R68*Declarations!$D$21+Declarations!$C$20*S68*Declarations!$D$22+Declarations!$C$21*R68*Declarations!$D$20+Declarations!$C$21*T68*Declarations!$D$21+Declarations!$C$21*U68*Declarations!$D$22+Declarations!$C$22*S68*Declarations!$D$20+Declarations!$C$22*U68*Declarations!$D$21+Declarations!$C$22*V68*Declarations!$D$22+0</f>
        <v>0.771604863732534</v>
      </c>
      <c r="V69" s="20" t="n">
        <f aca="false">Declarations!$D$20*Q68*Declarations!$D$20+Declarations!$D$20*R68*Declarations!$D$21+Declarations!$D$20*S68*Declarations!$D$22+Declarations!$D$21*R68*Declarations!$D$20+Declarations!$D$21*T68*Declarations!$D$21+Declarations!$D$21*U68*Declarations!$D$22+Declarations!$D$22*S68*Declarations!$D$20+Declarations!$D$22*U68*Declarations!$D$21+Declarations!$D$22*V68*Declarations!$D$22+1</f>
        <v>2.7777777777736</v>
      </c>
    </row>
    <row r="70" customFormat="false" ht="15" hidden="false" customHeight="false" outlineLevel="0" collapsed="false">
      <c r="A70" s="18" t="n">
        <v>61</v>
      </c>
      <c r="B70" s="20" t="n">
        <f aca="false">$B$4*B69*$B$4+$B$4*C69*$B$5+$B$5*C69*$B$4+$B$5*D69*$B$5+$E$4</f>
        <v>13.5510449547295</v>
      </c>
      <c r="C70" s="20" t="n">
        <f aca="false">$B$4*B69*$C$4+$B$4*C69*$C$5+$B$5*C69*$C$4+$B$5*D69*$C$5+$F$4</f>
        <v>-5.77661094430835</v>
      </c>
      <c r="D70" s="20" t="n">
        <f aca="false">$C$4*B69*$C$4+$C$4*C69*$C$5+$C$5*C69*$C$4+$C$5*D69*$C$5+$F$5</f>
        <v>11.9753534021052</v>
      </c>
      <c r="P70" s="18" t="n">
        <v>61</v>
      </c>
      <c r="Q70" s="20" t="n">
        <f aca="false">Declarations!$B$20*Q69*Declarations!$B$20+Declarations!$B$20*R69*Declarations!$B$21+Declarations!$B$20*S69*Declarations!$B$22+Declarations!$B$21*R69*Declarations!$B$20+Declarations!$B$21*T69*Declarations!$B$21+Declarations!$B$21*U69*Declarations!$B$22+Declarations!$B$22*S69*Declarations!$B$20+Declarations!$B$22*U69*Declarations!$B$21+Declarations!$B$22*V69*Declarations!$B$22+1</f>
        <v>10.2736591264595</v>
      </c>
      <c r="R70" s="20" t="n">
        <f aca="false">Declarations!$B$20*Q69*Declarations!$C$20+Declarations!$B$20*R69*Declarations!$C$21+Declarations!$B$20*S69*Declarations!$C$22+Declarations!$B$21*R69*Declarations!$C$20+Declarations!$B$21*T69*Declarations!$C$21+Declarations!$B$21*U69*Declarations!$C$22+Declarations!$B$22*S69*Declarations!$C$20+Declarations!$B$22*U69*Declarations!$C$21+Declarations!$B$22*V69*Declarations!$C$22+0</f>
        <v>4.59509784754065</v>
      </c>
      <c r="S70" s="20" t="n">
        <f aca="false">Declarations!$B$20*Q69*Declarations!$D$20+Declarations!$B$20*R69*Declarations!$D$21+Declarations!$B$20*S69*Declarations!$D$22+Declarations!$B$21*R69*Declarations!$D$20+Declarations!$B$21*T69*Declarations!$D$21+Declarations!$B$21*U69*Declarations!$D$22+Declarations!$B$22*S69*Declarations!$D$20+Declarations!$B$22*U69*Declarations!$D$21+Declarations!$B$22*V69*Declarations!$D$22+0</f>
        <v>0.617283837353113</v>
      </c>
      <c r="T70" s="20" t="n">
        <f aca="false">Declarations!$C$20*Q69*Declarations!$C$20+Declarations!$C$20*R69*Declarations!$C$21+Declarations!$C$20*S69*Declarations!$C$22+Declarations!$C$21*R69*Declarations!$C$20+Declarations!$C$21*T69*Declarations!$C$21+Declarations!$C$21*U69*Declarations!$C$22+Declarations!$C$22*S69*Declarations!$C$20+Declarations!$C$22*U69*Declarations!$C$21+Declarations!$C$22*V69*Declarations!$C$22+1</f>
        <v>5.69662905348111</v>
      </c>
      <c r="U70" s="20" t="n">
        <f aca="false">Declarations!$C$20*Q69*Declarations!$D$20+Declarations!$C$20*R69*Declarations!$D$21+Declarations!$C$20*S69*Declarations!$D$22+Declarations!$C$21*R69*Declarations!$D$20+Declarations!$C$21*T69*Declarations!$D$21+Declarations!$C$21*U69*Declarations!$D$22+Declarations!$C$22*S69*Declarations!$D$20+Declarations!$C$22*U69*Declarations!$D$21+Declarations!$C$22*V69*Declarations!$D$22+0</f>
        <v>0.771604881623543</v>
      </c>
      <c r="V70" s="20" t="n">
        <f aca="false">Declarations!$D$20*Q69*Declarations!$D$20+Declarations!$D$20*R69*Declarations!$D$21+Declarations!$D$20*S69*Declarations!$D$22+Declarations!$D$21*R69*Declarations!$D$20+Declarations!$D$21*T69*Declarations!$D$21+Declarations!$D$21*U69*Declarations!$D$22+Declarations!$D$22*S69*Declarations!$D$20+Declarations!$D$22*U69*Declarations!$D$21+Declarations!$D$22*V69*Declarations!$D$22+1</f>
        <v>2.77777777777511</v>
      </c>
    </row>
    <row r="71" customFormat="false" ht="15" hidden="false" customHeight="false" outlineLevel="0" collapsed="false">
      <c r="A71" s="18" t="n">
        <v>62</v>
      </c>
      <c r="B71" s="20" t="n">
        <f aca="false">$B$4*B70*$B$4+$B$4*C70*$B$5+$B$5*C70*$B$4+$B$5*D70*$B$5+$E$4</f>
        <v>13.5538001156811</v>
      </c>
      <c r="C71" s="20" t="n">
        <f aca="false">$B$4*B70*$C$4+$B$4*C70*$C$5+$B$5*C70*$C$4+$B$5*D70*$C$5+$F$4</f>
        <v>-5.7773965634534</v>
      </c>
      <c r="D71" s="20" t="n">
        <f aca="false">$C$4*B70*$C$4+$C$4*C70*$C$5+$C$5*C70*$C$4+$C$5*D70*$C$5+$F$5</f>
        <v>11.9763464133309</v>
      </c>
      <c r="P71" s="18" t="n">
        <v>62</v>
      </c>
      <c r="Q71" s="20" t="n">
        <f aca="false">Declarations!$B$20*Q70*Declarations!$B$20+Declarations!$B$20*R70*Declarations!$B$21+Declarations!$B$20*S70*Declarations!$B$22+Declarations!$B$21*R70*Declarations!$B$20+Declarations!$B$21*T70*Declarations!$B$21+Declarations!$B$21*U70*Declarations!$B$22+Declarations!$B$22*S70*Declarations!$B$20+Declarations!$B$22*U70*Declarations!$B$21+Declarations!$B$22*V70*Declarations!$B$22+1</f>
        <v>10.2759638341468</v>
      </c>
      <c r="R71" s="20" t="n">
        <f aca="false">Declarations!$B$20*Q70*Declarations!$C$20+Declarations!$B$20*R70*Declarations!$C$21+Declarations!$B$20*S70*Declarations!$C$22+Declarations!$B$21*R70*Declarations!$C$20+Declarations!$B$21*T70*Declarations!$C$21+Declarations!$B$21*U70*Declarations!$C$22+Declarations!$B$22*S70*Declarations!$C$20+Declarations!$B$22*U70*Declarations!$C$21+Declarations!$B$22*V70*Declarations!$C$22+0</f>
        <v>4.59625037297215</v>
      </c>
      <c r="S71" s="20" t="n">
        <f aca="false">Declarations!$B$20*Q70*Declarations!$D$20+Declarations!$B$20*R70*Declarations!$D$21+Declarations!$B$20*S70*Declarations!$D$22+Declarations!$B$21*R70*Declarations!$D$20+Declarations!$B$21*T70*Declarations!$D$21+Declarations!$B$21*U70*Declarations!$D$22+Declarations!$B$22*S70*Declarations!$D$20+Declarations!$B$22*U70*Declarations!$D$21+Declarations!$B$22*V70*Declarations!$D$22+0</f>
        <v>0.617283864535129</v>
      </c>
      <c r="T71" s="20" t="n">
        <f aca="false">Declarations!$C$20*Q70*Declarations!$C$20+Declarations!$C$20*R70*Declarations!$C$21+Declarations!$C$20*S70*Declarations!$C$22+Declarations!$C$21*R70*Declarations!$C$20+Declarations!$C$21*T70*Declarations!$C$21+Declarations!$C$21*U70*Declarations!$C$22+Declarations!$C$22*S70*Declarations!$C$20+Declarations!$C$22*U70*Declarations!$C$21+Declarations!$C$22*V70*Declarations!$C$22+1</f>
        <v>5.69720540202449</v>
      </c>
      <c r="U71" s="20" t="n">
        <f aca="false">Declarations!$C$20*Q70*Declarations!$D$20+Declarations!$C$20*R70*Declarations!$D$21+Declarations!$C$20*S70*Declarations!$D$22+Declarations!$C$21*R70*Declarations!$D$20+Declarations!$C$21*T70*Declarations!$D$21+Declarations!$C$21*U70*Declarations!$D$22+Declarations!$C$22*S70*Declarations!$D$20+Declarations!$C$22*U70*Declarations!$D$21+Declarations!$C$22*V70*Declarations!$D$22+0</f>
        <v>0.771604895220142</v>
      </c>
      <c r="V71" s="20" t="n">
        <f aca="false">Declarations!$D$20*Q70*Declarations!$D$20+Declarations!$D$20*R70*Declarations!$D$21+Declarations!$D$20*S70*Declarations!$D$22+Declarations!$D$21*R70*Declarations!$D$20+Declarations!$D$21*T70*Declarations!$D$21+Declarations!$D$21*U70*Declarations!$D$22+Declarations!$D$22*S70*Declarations!$D$20+Declarations!$D$22*U70*Declarations!$D$21+Declarations!$D$22*V70*Declarations!$D$22+1</f>
        <v>2.77777777777607</v>
      </c>
    </row>
    <row r="72" customFormat="false" ht="15" hidden="false" customHeight="false" outlineLevel="0" collapsed="false">
      <c r="A72" s="18" t="n">
        <v>63</v>
      </c>
      <c r="B72" s="20" t="n">
        <f aca="false">$B$4*B71*$B$4+$B$4*C71*$B$5+$B$5*C71*$B$4+$B$5*D71*$B$5+$E$4</f>
        <v>13.5556106928165</v>
      </c>
      <c r="C72" s="20" t="n">
        <f aca="false">$B$4*B71*$C$4+$B$4*C71*$C$5+$B$5*C71*$C$4+$B$5*D71*$C$5+$F$4</f>
        <v>-5.77892118659365</v>
      </c>
      <c r="D72" s="20" t="n">
        <f aca="false">$C$4*B71*$C$4+$C$4*C71*$C$5+$C$5*C71*$C$4+$C$5*D71*$C$5+$F$5</f>
        <v>11.9785780937017</v>
      </c>
      <c r="P72" s="18" t="n">
        <v>63</v>
      </c>
      <c r="Q72" s="20" t="n">
        <f aca="false">Declarations!$B$20*Q71*Declarations!$B$20+Declarations!$B$20*R71*Declarations!$B$21+Declarations!$B$20*S71*Declarations!$B$22+Declarations!$B$21*R71*Declarations!$B$20+Declarations!$B$21*T71*Declarations!$B$21+Declarations!$B$21*U71*Declarations!$B$22+Declarations!$B$22*S71*Declarations!$B$20+Declarations!$B$22*U71*Declarations!$B$21+Declarations!$B$22*V71*Declarations!$B$22+1</f>
        <v>10.2780438680189</v>
      </c>
      <c r="R72" s="20" t="n">
        <f aca="false">Declarations!$B$20*Q71*Declarations!$C$20+Declarations!$B$20*R71*Declarations!$C$21+Declarations!$B$20*S71*Declarations!$C$22+Declarations!$B$21*R71*Declarations!$C$20+Declarations!$B$21*T71*Declarations!$C$21+Declarations!$B$21*U71*Declarations!$C$22+Declarations!$B$22*S71*Declarations!$C$20+Declarations!$B$22*U71*Declarations!$C$21+Declarations!$B$22*V71*Declarations!$C$22+0</f>
        <v>4.59729052225468</v>
      </c>
      <c r="S72" s="20" t="n">
        <f aca="false">Declarations!$B$20*Q71*Declarations!$D$20+Declarations!$B$20*R71*Declarations!$D$21+Declarations!$B$20*S71*Declarations!$D$22+Declarations!$B$21*R71*Declarations!$D$20+Declarations!$B$21*T71*Declarations!$D$21+Declarations!$B$21*U71*Declarations!$D$22+Declarations!$B$22*S71*Declarations!$D$20+Declarations!$B$22*U71*Declarations!$D$21+Declarations!$B$22*V71*Declarations!$D$22+0</f>
        <v>0.617283885193947</v>
      </c>
      <c r="T72" s="20" t="n">
        <f aca="false">Declarations!$C$20*Q71*Declarations!$C$20+Declarations!$C$20*R71*Declarations!$C$21+Declarations!$C$20*S71*Declarations!$C$22+Declarations!$C$21*R71*Declarations!$C$20+Declarations!$C$21*T71*Declarations!$C$21+Declarations!$C$21*U71*Declarations!$C$22+Declarations!$C$22*S71*Declarations!$C$20+Declarations!$C$22*U71*Declarations!$C$21+Declarations!$C$22*V71*Declarations!$C$22+1</f>
        <v>5.69772554286123</v>
      </c>
      <c r="U72" s="20" t="n">
        <f aca="false">Declarations!$C$20*Q71*Declarations!$D$20+Declarations!$C$20*R71*Declarations!$D$21+Declarations!$C$20*S71*Declarations!$D$22+Declarations!$C$21*R71*Declarations!$D$20+Declarations!$C$21*T71*Declarations!$D$21+Declarations!$C$21*U71*Declarations!$D$22+Declarations!$C$22*S71*Declarations!$D$20+Declarations!$C$22*U71*Declarations!$D$21+Declarations!$C$22*V71*Declarations!$D$22+0</f>
        <v>0.771604905553187</v>
      </c>
      <c r="V72" s="20" t="n">
        <f aca="false">Declarations!$D$20*Q71*Declarations!$D$20+Declarations!$D$20*R71*Declarations!$D$21+Declarations!$D$20*S71*Declarations!$D$22+Declarations!$D$21*R71*Declarations!$D$20+Declarations!$D$21*T71*Declarations!$D$21+Declarations!$D$21*U71*Declarations!$D$22+Declarations!$D$22*S71*Declarations!$D$20+Declarations!$D$22*U71*Declarations!$D$21+Declarations!$D$22*V71*Declarations!$D$22+1</f>
        <v>2.77777777777668</v>
      </c>
    </row>
    <row r="73" customFormat="false" ht="15" hidden="false" customHeight="false" outlineLevel="0" collapsed="false">
      <c r="A73" s="18" t="n">
        <v>64</v>
      </c>
      <c r="B73" s="20" t="n">
        <f aca="false">$B$4*B72*$B$4+$B$4*C72*$B$5+$B$5*C72*$B$4+$B$5*D72*$B$5+$E$4</f>
        <v>13.5565646190145</v>
      </c>
      <c r="C73" s="20" t="n">
        <f aca="false">$B$4*B72*$C$4+$B$4*C72*$C$5+$B$5*C72*$C$4+$B$5*D72*$C$5+$F$4</f>
        <v>-5.77901559324708</v>
      </c>
      <c r="D73" s="20" t="n">
        <f aca="false">$C$4*B72*$C$4+$C$4*C72*$C$5+$C$5*C72*$C$4+$C$5*D72*$C$5+$F$5</f>
        <v>11.9800446611814</v>
      </c>
      <c r="P73" s="18" t="n">
        <v>64</v>
      </c>
      <c r="Q73" s="20" t="n">
        <f aca="false">Declarations!$B$20*Q72*Declarations!$B$20+Declarations!$B$20*R72*Declarations!$B$21+Declarations!$B$20*S72*Declarations!$B$22+Declarations!$B$21*R72*Declarations!$B$20+Declarations!$B$21*T72*Declarations!$B$21+Declarations!$B$21*U72*Declarations!$B$22+Declarations!$B$22*S72*Declarations!$B$20+Declarations!$B$22*U72*Declarations!$B$21+Declarations!$B$22*V72*Declarations!$B$22+1</f>
        <v>10.2799211256972</v>
      </c>
      <c r="R73" s="20" t="n">
        <f aca="false">Declarations!$B$20*Q72*Declarations!$C$20+Declarations!$B$20*R72*Declarations!$C$21+Declarations!$B$20*S72*Declarations!$C$22+Declarations!$B$21*R72*Declarations!$C$20+Declarations!$B$21*T72*Declarations!$C$21+Declarations!$B$21*U72*Declarations!$C$22+Declarations!$B$22*S72*Declarations!$C$20+Declarations!$B$22*U72*Declarations!$C$21+Declarations!$B$22*V72*Declarations!$C$22+0</f>
        <v>4.59822925315102</v>
      </c>
      <c r="S73" s="20" t="n">
        <f aca="false">Declarations!$B$20*Q72*Declarations!$D$20+Declarations!$B$20*R72*Declarations!$D$21+Declarations!$B$20*S72*Declarations!$D$22+Declarations!$B$21*R72*Declarations!$D$20+Declarations!$B$21*T72*Declarations!$D$21+Declarations!$B$21*U72*Declarations!$D$22+Declarations!$B$22*S72*Declarations!$D$20+Declarations!$B$22*U72*Declarations!$D$21+Declarations!$B$22*V72*Declarations!$D$22+0</f>
        <v>0.617283900894964</v>
      </c>
      <c r="T73" s="20" t="n">
        <f aca="false">Declarations!$C$20*Q72*Declarations!$C$20+Declarations!$C$20*R72*Declarations!$C$21+Declarations!$C$20*S72*Declarations!$C$22+Declarations!$C$21*R72*Declarations!$C$20+Declarations!$C$21*T72*Declarations!$C$21+Declarations!$C$21*U72*Declarations!$C$22+Declarations!$C$22*S72*Declarations!$C$20+Declarations!$C$22*U72*Declarations!$C$21+Declarations!$C$22*V72*Declarations!$C$22+1</f>
        <v>5.69819495935268</v>
      </c>
      <c r="U73" s="20" t="n">
        <f aca="false">Declarations!$C$20*Q72*Declarations!$D$20+Declarations!$C$20*R72*Declarations!$D$21+Declarations!$C$20*S72*Declarations!$D$22+Declarations!$C$21*R72*Declarations!$D$20+Declarations!$C$21*T72*Declarations!$D$21+Declarations!$C$21*U72*Declarations!$D$22+Declarations!$C$22*S72*Declarations!$D$20+Declarations!$C$22*U72*Declarations!$D$21+Declarations!$C$22*V72*Declarations!$D$22+0</f>
        <v>0.77160491340606</v>
      </c>
      <c r="V73" s="20" t="n">
        <f aca="false">Declarations!$D$20*Q72*Declarations!$D$20+Declarations!$D$20*R72*Declarations!$D$21+Declarations!$D$20*S72*Declarations!$D$22+Declarations!$D$21*R72*Declarations!$D$20+Declarations!$D$21*T72*Declarations!$D$21+Declarations!$D$21*U72*Declarations!$D$22+Declarations!$D$22*S72*Declarations!$D$20+Declarations!$D$22*U72*Declarations!$D$21+Declarations!$D$22*V72*Declarations!$D$22+1</f>
        <v>2.77777777777708</v>
      </c>
    </row>
    <row r="74" customFormat="false" ht="15" hidden="false" customHeight="false" outlineLevel="0" collapsed="false">
      <c r="A74" s="18" t="n">
        <v>65</v>
      </c>
      <c r="B74" s="20" t="n">
        <f aca="false">$B$4*B73*$B$4+$B$4*C73*$B$5+$B$5*C73*$B$4+$B$5*D73*$B$5+$E$4</f>
        <v>13.5586339347384</v>
      </c>
      <c r="C74" s="20" t="n">
        <f aca="false">$B$4*B73*$C$4+$B$4*C73*$C$5+$B$5*C73*$C$4+$B$5*D73*$C$5+$F$4</f>
        <v>-5.77970330747938</v>
      </c>
      <c r="D74" s="20" t="n">
        <f aca="false">$C$4*B73*$C$4+$C$4*C73*$C$5+$C$5*C73*$C$4+$C$5*D73*$C$5+$F$5</f>
        <v>11.9808173414017</v>
      </c>
      <c r="P74" s="18" t="n">
        <v>65</v>
      </c>
      <c r="Q74" s="20" t="n">
        <f aca="false">Declarations!$B$20*Q73*Declarations!$B$20+Declarations!$B$20*R73*Declarations!$B$21+Declarations!$B$20*S73*Declarations!$B$22+Declarations!$B$21*R73*Declarations!$B$20+Declarations!$B$21*T73*Declarations!$B$21+Declarations!$B$21*U73*Declarations!$B$22+Declarations!$B$22*S73*Declarations!$B$20+Declarations!$B$22*U73*Declarations!$B$21+Declarations!$B$22*V73*Declarations!$B$22+1</f>
        <v>10.2816153716345</v>
      </c>
      <c r="R74" s="20" t="n">
        <f aca="false">Declarations!$B$20*Q73*Declarations!$C$20+Declarations!$B$20*R73*Declarations!$C$21+Declarations!$B$20*S73*Declarations!$C$22+Declarations!$B$21*R73*Declarations!$C$20+Declarations!$B$21*T73*Declarations!$C$21+Declarations!$B$21*U73*Declarations!$C$22+Declarations!$B$22*S73*Declarations!$C$20+Declarations!$B$22*U73*Declarations!$C$21+Declarations!$B$22*V73*Declarations!$C$22+0</f>
        <v>4.59907645480313</v>
      </c>
      <c r="S74" s="20" t="n">
        <f aca="false">Declarations!$B$20*Q73*Declarations!$D$20+Declarations!$B$20*R73*Declarations!$D$21+Declarations!$B$20*S73*Declarations!$D$22+Declarations!$B$21*R73*Declarations!$D$20+Declarations!$B$21*T73*Declarations!$D$21+Declarations!$B$21*U73*Declarations!$D$22+Declarations!$B$22*S73*Declarations!$D$20+Declarations!$B$22*U73*Declarations!$D$21+Declarations!$B$22*V73*Declarations!$D$22+0</f>
        <v>0.617283912827942</v>
      </c>
      <c r="T74" s="20" t="n">
        <f aca="false">Declarations!$C$20*Q73*Declarations!$C$20+Declarations!$C$20*R73*Declarations!$C$21+Declarations!$C$20*S73*Declarations!$C$22+Declarations!$C$21*R73*Declarations!$C$20+Declarations!$C$21*T73*Declarations!$C$21+Declarations!$C$21*U73*Declarations!$C$22+Declarations!$C$22*S73*Declarations!$C$20+Declarations!$C$22*U73*Declarations!$C$21+Declarations!$C$22*V73*Declarations!$C$22+1</f>
        <v>5.69861859953014</v>
      </c>
      <c r="U74" s="20" t="n">
        <f aca="false">Declarations!$C$20*Q73*Declarations!$D$20+Declarations!$C$20*R73*Declarations!$D$21+Declarations!$C$20*S73*Declarations!$D$22+Declarations!$C$21*R73*Declarations!$D$20+Declarations!$C$21*T73*Declarations!$D$21+Declarations!$C$21*U73*Declarations!$D$22+Declarations!$C$22*S73*Declarations!$D$20+Declarations!$C$22*U73*Declarations!$D$21+Declarations!$C$22*V73*Declarations!$D$22+0</f>
        <v>0.771604919374086</v>
      </c>
      <c r="V74" s="20" t="n">
        <f aca="false">Declarations!$D$20*Q73*Declarations!$D$20+Declarations!$D$20*R73*Declarations!$D$21+Declarations!$D$20*S73*Declarations!$D$22+Declarations!$D$21*R73*Declarations!$D$20+Declarations!$D$21*T73*Declarations!$D$21+Declarations!$D$21*U73*Declarations!$D$22+Declarations!$D$22*S73*Declarations!$D$20+Declarations!$D$22*U73*Declarations!$D$21+Declarations!$D$22*V73*Declarations!$D$22+1</f>
        <v>2.77777777777733</v>
      </c>
    </row>
    <row r="75" customFormat="false" ht="15" hidden="false" customHeight="false" outlineLevel="0" collapsed="false">
      <c r="A75" s="18" t="n">
        <v>66</v>
      </c>
      <c r="B75" s="20" t="n">
        <f aca="false">$B$4*B74*$B$4+$B$4*C74*$B$5+$B$5*C74*$B$4+$B$5*D74*$B$5+$E$4</f>
        <v>13.559844875077</v>
      </c>
      <c r="C75" s="20" t="n">
        <f aca="false">$B$4*B74*$C$4+$B$4*C74*$C$5+$B$5*C74*$C$4+$B$5*D74*$C$5+$F$4</f>
        <v>-5.78076051040664</v>
      </c>
      <c r="D75" s="20" t="n">
        <f aca="false">$C$4*B74*$C$4+$C$4*C74*$C$5+$C$5*C74*$C$4+$C$5*D74*$C$5+$F$5</f>
        <v>11.9824934871381</v>
      </c>
      <c r="P75" s="18" t="n">
        <v>66</v>
      </c>
      <c r="Q75" s="20" t="n">
        <f aca="false">Declarations!$B$20*Q74*Declarations!$B$20+Declarations!$B$20*R74*Declarations!$B$21+Declarations!$B$20*S74*Declarations!$B$22+Declarations!$B$21*R74*Declarations!$B$20+Declarations!$B$21*T74*Declarations!$B$21+Declarations!$B$21*U74*Declarations!$B$22+Declarations!$B$22*S74*Declarations!$B$20+Declarations!$B$22*U74*Declarations!$B$21+Declarations!$B$22*V74*Declarations!$B$22+1</f>
        <v>10.2831444446765</v>
      </c>
      <c r="R75" s="20" t="n">
        <f aca="false">Declarations!$B$20*Q74*Declarations!$C$20+Declarations!$B$20*R74*Declarations!$C$21+Declarations!$B$20*S74*Declarations!$C$22+Declarations!$B$21*R74*Declarations!$C$20+Declarations!$B$21*T74*Declarations!$C$21+Declarations!$B$21*U74*Declarations!$C$22+Declarations!$B$22*S74*Declarations!$C$20+Declarations!$B$22*U74*Declarations!$C$21+Declarations!$B$22*V74*Declarations!$C$22+0</f>
        <v>4.59984105197464</v>
      </c>
      <c r="S75" s="20" t="n">
        <f aca="false">Declarations!$B$20*Q74*Declarations!$D$20+Declarations!$B$20*R74*Declarations!$D$21+Declarations!$B$20*S74*Declarations!$D$22+Declarations!$B$21*R74*Declarations!$D$20+Declarations!$B$21*T74*Declarations!$D$21+Declarations!$B$21*U74*Declarations!$D$22+Declarations!$B$22*S74*Declarations!$D$20+Declarations!$B$22*U74*Declarations!$D$21+Declarations!$B$22*V74*Declarations!$D$22+0</f>
        <v>0.617283921897139</v>
      </c>
      <c r="T75" s="20" t="n">
        <f aca="false">Declarations!$C$20*Q74*Declarations!$C$20+Declarations!$C$20*R74*Declarations!$C$21+Declarations!$C$20*S74*Declarations!$C$22+Declarations!$C$21*R74*Declarations!$C$20+Declarations!$C$21*T74*Declarations!$C$21+Declarations!$C$21*U74*Declarations!$C$22+Declarations!$C$22*S74*Declarations!$C$20+Declarations!$C$22*U74*Declarations!$C$21+Declarations!$C$22*V74*Declarations!$C$22+1</f>
        <v>5.69900092844753</v>
      </c>
      <c r="U75" s="20" t="n">
        <f aca="false">Declarations!$C$20*Q74*Declarations!$D$20+Declarations!$C$20*R74*Declarations!$D$21+Declarations!$C$20*S74*Declarations!$D$22+Declarations!$C$21*R74*Declarations!$D$20+Declarations!$C$21*T74*Declarations!$D$21+Declarations!$C$21*U74*Declarations!$D$22+Declarations!$C$22*S74*Declarations!$D$20+Declarations!$C$22*U74*Declarations!$D$21+Declarations!$C$22*V74*Declarations!$D$22+0</f>
        <v>0.771604923909682</v>
      </c>
      <c r="V75" s="20" t="n">
        <f aca="false">Declarations!$D$20*Q74*Declarations!$D$20+Declarations!$D$20*R74*Declarations!$D$21+Declarations!$D$20*S74*Declarations!$D$22+Declarations!$D$21*R74*Declarations!$D$20+Declarations!$D$21*T74*Declarations!$D$21+Declarations!$D$21*U74*Declarations!$D$22+Declarations!$D$22*S74*Declarations!$D$20+Declarations!$D$22*U74*Declarations!$D$21+Declarations!$D$22*V74*Declarations!$D$22+1</f>
        <v>2.77777777777749</v>
      </c>
    </row>
    <row r="76" customFormat="false" ht="15" hidden="false" customHeight="false" outlineLevel="0" collapsed="false">
      <c r="A76" s="18" t="n">
        <v>67</v>
      </c>
      <c r="B76" s="20" t="n">
        <f aca="false">$B$4*B75*$B$4+$B$4*C75*$B$5+$B$5*C75*$B$4+$B$5*D75*$B$5+$E$4</f>
        <v>13.5605989172185</v>
      </c>
      <c r="C76" s="20" t="n">
        <f aca="false">$B$4*B75*$C$4+$B$4*C75*$C$5+$B$5*C75*$C$4+$B$5*D75*$C$5+$F$4</f>
        <v>-5.78078988944635</v>
      </c>
      <c r="D76" s="20" t="n">
        <f aca="false">$C$4*B75*$C$4+$C$4*C75*$C$5+$C$5*C75*$C$4+$C$5*D75*$C$5+$F$5</f>
        <v>11.9834743488123</v>
      </c>
      <c r="P76" s="18" t="n">
        <v>67</v>
      </c>
      <c r="Q76" s="20" t="n">
        <f aca="false">Declarations!$B$20*Q75*Declarations!$B$20+Declarations!$B$20*R75*Declarations!$B$21+Declarations!$B$20*S75*Declarations!$B$22+Declarations!$B$21*R75*Declarations!$B$20+Declarations!$B$21*T75*Declarations!$B$21+Declarations!$B$21*U75*Declarations!$B$22+Declarations!$B$22*S75*Declarations!$B$20+Declarations!$B$22*U75*Declarations!$B$21+Declarations!$B$22*V75*Declarations!$B$22+1</f>
        <v>10.2845244454822</v>
      </c>
      <c r="R76" s="20" t="n">
        <f aca="false">Declarations!$B$20*Q75*Declarations!$C$20+Declarations!$B$20*R75*Declarations!$C$21+Declarations!$B$20*S75*Declarations!$C$22+Declarations!$B$21*R75*Declarations!$C$20+Declarations!$B$21*T75*Declarations!$C$21+Declarations!$B$21*U75*Declarations!$C$22+Declarations!$B$22*S75*Declarations!$C$20+Declarations!$B$22*U75*Declarations!$C$21+Declarations!$B$22*V75*Declarations!$C$22+0</f>
        <v>4.60053109911858</v>
      </c>
      <c r="S76" s="20" t="n">
        <f aca="false">Declarations!$B$20*Q75*Declarations!$D$20+Declarations!$B$20*R75*Declarations!$D$21+Declarations!$B$20*S75*Declarations!$D$22+Declarations!$B$21*R75*Declarations!$D$20+Declarations!$B$21*T75*Declarations!$D$21+Declarations!$B$21*U75*Declarations!$D$22+Declarations!$B$22*S75*Declarations!$D$20+Declarations!$B$22*U75*Declarations!$D$21+Declarations!$B$22*V75*Declarations!$D$22+0</f>
        <v>0.617283928789814</v>
      </c>
      <c r="T76" s="20" t="n">
        <f aca="false">Declarations!$C$20*Q75*Declarations!$C$20+Declarations!$C$20*R75*Declarations!$C$21+Declarations!$C$20*S75*Declarations!$C$22+Declarations!$C$21*R75*Declarations!$C$20+Declarations!$C$21*T75*Declarations!$C$21+Declarations!$C$21*U75*Declarations!$C$22+Declarations!$C$22*S75*Declarations!$C$20+Declarations!$C$22*U75*Declarations!$C$21+Declarations!$C$22*V75*Declarations!$C$22+1</f>
        <v>5.69934597539427</v>
      </c>
      <c r="U76" s="20" t="n">
        <f aca="false">Declarations!$C$20*Q75*Declarations!$D$20+Declarations!$C$20*R75*Declarations!$D$21+Declarations!$C$20*S75*Declarations!$D$22+Declarations!$C$21*R75*Declarations!$D$20+Declarations!$C$21*T75*Declarations!$D$21+Declarations!$C$21*U75*Declarations!$D$22+Declarations!$C$22*S75*Declarations!$D$20+Declarations!$C$22*U75*Declarations!$D$21+Declarations!$C$22*V75*Declarations!$D$22+0</f>
        <v>0.771604927356669</v>
      </c>
      <c r="V76" s="20" t="n">
        <f aca="false">Declarations!$D$20*Q75*Declarations!$D$20+Declarations!$D$20*R75*Declarations!$D$21+Declarations!$D$20*S75*Declarations!$D$22+Declarations!$D$21*R75*Declarations!$D$20+Declarations!$D$21*T75*Declarations!$D$21+Declarations!$D$21*U75*Declarations!$D$22+Declarations!$D$22*S75*Declarations!$D$20+Declarations!$D$22*U75*Declarations!$D$21+Declarations!$D$22*V75*Declarations!$D$22+1</f>
        <v>2.77777777777759</v>
      </c>
    </row>
    <row r="77" customFormat="false" ht="15" hidden="false" customHeight="false" outlineLevel="0" collapsed="false">
      <c r="A77" s="18" t="n">
        <v>68</v>
      </c>
      <c r="B77" s="20" t="n">
        <f aca="false">$B$4*B76*$B$4+$B$4*C76*$B$5+$B$5*C76*$B$4+$B$5*D76*$B$5+$E$4</f>
        <v>13.5621376707558</v>
      </c>
      <c r="C77" s="20" t="n">
        <f aca="false">$B$4*B76*$C$4+$B$4*C76*$C$5+$B$5*C76*$C$4+$B$5*D76*$C$5+$F$4</f>
        <v>-5.78137422244523</v>
      </c>
      <c r="D77" s="20" t="n">
        <f aca="false">$C$4*B76*$C$4+$C$4*C76*$C$5+$C$5*C76*$C$4+$C$5*D76*$C$5+$F$5</f>
        <v>11.9840851229469</v>
      </c>
      <c r="P77" s="18" t="n">
        <v>68</v>
      </c>
      <c r="Q77" s="20" t="n">
        <f aca="false">Declarations!$B$20*Q76*Declarations!$B$20+Declarations!$B$20*R76*Declarations!$B$21+Declarations!$B$20*S76*Declarations!$B$22+Declarations!$B$21*R76*Declarations!$B$20+Declarations!$B$21*T76*Declarations!$B$21+Declarations!$B$21*U76*Declarations!$B$22+Declarations!$B$22*S76*Declarations!$B$20+Declarations!$B$22*U76*Declarations!$B$21+Declarations!$B$22*V76*Declarations!$B$22+1</f>
        <v>10.2857699057449</v>
      </c>
      <c r="R77" s="20" t="n">
        <f aca="false">Declarations!$B$20*Q76*Declarations!$C$20+Declarations!$B$20*R76*Declarations!$C$21+Declarations!$B$20*S76*Declarations!$C$22+Declarations!$B$21*R76*Declarations!$C$20+Declarations!$B$21*T76*Declarations!$C$21+Declarations!$B$21*U76*Declarations!$C$22+Declarations!$B$22*S76*Declarations!$C$20+Declarations!$B$22*U76*Declarations!$C$21+Declarations!$B$22*V76*Declarations!$C$22+0</f>
        <v>4.60115386526469</v>
      </c>
      <c r="S77" s="20" t="n">
        <f aca="false">Declarations!$B$20*Q76*Declarations!$D$20+Declarations!$B$20*R76*Declarations!$D$21+Declarations!$B$20*S76*Declarations!$D$22+Declarations!$B$21*R76*Declarations!$D$20+Declarations!$B$21*T76*Declarations!$D$21+Declarations!$B$21*U76*Declarations!$D$22+Declarations!$B$22*S76*Declarations!$D$20+Declarations!$B$22*U76*Declarations!$D$21+Declarations!$B$22*V76*Declarations!$D$22+0</f>
        <v>0.617283934028304</v>
      </c>
      <c r="T77" s="20" t="n">
        <f aca="false">Declarations!$C$20*Q76*Declarations!$C$20+Declarations!$C$20*R76*Declarations!$C$21+Declarations!$C$20*S76*Declarations!$C$22+Declarations!$C$21*R76*Declarations!$C$20+Declarations!$C$21*T76*Declarations!$C$21+Declarations!$C$21*U76*Declarations!$C$22+Declarations!$C$22*S76*Declarations!$C$20+Declarations!$C$22*U76*Declarations!$C$21+Declarations!$C$22*V76*Declarations!$C$22+1</f>
        <v>5.69965737647745</v>
      </c>
      <c r="U77" s="20" t="n">
        <f aca="false">Declarations!$C$20*Q76*Declarations!$D$20+Declarations!$C$20*R76*Declarations!$D$21+Declarations!$C$20*S76*Declarations!$D$22+Declarations!$C$21*R76*Declarations!$D$20+Declarations!$C$21*T76*Declarations!$D$21+Declarations!$C$21*U76*Declarations!$D$22+Declarations!$C$22*S76*Declarations!$D$20+Declarations!$C$22*U76*Declarations!$D$21+Declarations!$C$22*V76*Declarations!$D$22+0</f>
        <v>0.771604929976335</v>
      </c>
      <c r="V77" s="20" t="n">
        <f aca="false">Declarations!$D$20*Q76*Declarations!$D$20+Declarations!$D$20*R76*Declarations!$D$21+Declarations!$D$20*S76*Declarations!$D$22+Declarations!$D$21*R76*Declarations!$D$20+Declarations!$D$21*T76*Declarations!$D$21+Declarations!$D$21*U76*Declarations!$D$22+Declarations!$D$22*S76*Declarations!$D$20+Declarations!$D$22*U76*Declarations!$D$21+Declarations!$D$22*V76*Declarations!$D$22+1</f>
        <v>2.77777777777766</v>
      </c>
    </row>
    <row r="78" customFormat="false" ht="15" hidden="false" customHeight="false" outlineLevel="0" collapsed="false">
      <c r="A78" s="18" t="n">
        <v>69</v>
      </c>
      <c r="B78" s="20" t="n">
        <f aca="false">$B$4*B77*$B$4+$B$4*C77*$B$5+$B$5*C77*$B$4+$B$5*D77*$B$5+$E$4</f>
        <v>13.5629430358578</v>
      </c>
      <c r="C78" s="20" t="n">
        <f aca="false">$B$4*B77*$C$4+$B$4*C77*$C$5+$B$5*C77*$C$4+$B$5*D77*$C$5+$F$4</f>
        <v>-5.78209471311153</v>
      </c>
      <c r="D78" s="20" t="n">
        <f aca="false">$C$4*B77*$C$4+$C$4*C77*$C$5+$C$5*C77*$C$4+$C$5*D77*$C$5+$F$5</f>
        <v>11.9853315133122</v>
      </c>
      <c r="P78" s="18" t="n">
        <v>69</v>
      </c>
      <c r="Q78" s="20" t="n">
        <f aca="false">Declarations!$B$20*Q77*Declarations!$B$20+Declarations!$B$20*R77*Declarations!$B$21+Declarations!$B$20*S77*Declarations!$B$22+Declarations!$B$21*R77*Declarations!$B$20+Declarations!$B$21*T77*Declarations!$B$21+Declarations!$B$21*U77*Declarations!$B$22+Declarations!$B$22*S77*Declarations!$B$20+Declarations!$B$22*U77*Declarations!$B$21+Declarations!$B$22*V77*Declarations!$B$22+1</f>
        <v>10.2868939409726</v>
      </c>
      <c r="R78" s="20" t="n">
        <f aca="false">Declarations!$B$20*Q77*Declarations!$C$20+Declarations!$B$20*R77*Declarations!$C$21+Declarations!$B$20*S77*Declarations!$C$22+Declarations!$B$21*R77*Declarations!$C$20+Declarations!$B$21*T77*Declarations!$C$21+Declarations!$B$21*U77*Declarations!$C$22+Declarations!$B$22*S77*Declarations!$C$20+Declarations!$B$22*U77*Declarations!$C$21+Declarations!$B$22*V77*Declarations!$C$22+0</f>
        <v>4.60171591062318</v>
      </c>
      <c r="S78" s="20" t="n">
        <f aca="false">Declarations!$B$20*Q77*Declarations!$D$20+Declarations!$B$20*R77*Declarations!$D$21+Declarations!$B$20*S77*Declarations!$D$22+Declarations!$B$21*R77*Declarations!$D$20+Declarations!$B$21*T77*Declarations!$D$21+Declarations!$B$21*U77*Declarations!$D$22+Declarations!$B$22*S77*Declarations!$D$20+Declarations!$B$22*U77*Declarations!$D$21+Declarations!$B$22*V77*Declarations!$D$22+0</f>
        <v>0.617283938009592</v>
      </c>
      <c r="T78" s="20" t="n">
        <f aca="false">Declarations!$C$20*Q77*Declarations!$C$20+Declarations!$C$20*R77*Declarations!$C$21+Declarations!$C$20*S77*Declarations!$C$22+Declarations!$C$21*R77*Declarations!$C$20+Declarations!$C$21*T77*Declarations!$C$21+Declarations!$C$21*U77*Declarations!$C$22+Declarations!$C$22*S77*Declarations!$C$20+Declarations!$C$22*U77*Declarations!$C$21+Declarations!$C$22*V77*Declarations!$C$22+1</f>
        <v>5.69993841303086</v>
      </c>
      <c r="U78" s="20" t="n">
        <f aca="false">Declarations!$C$20*Q77*Declarations!$D$20+Declarations!$C$20*R77*Declarations!$D$21+Declarations!$C$20*S77*Declarations!$D$22+Declarations!$C$21*R77*Declarations!$D$20+Declarations!$C$21*T77*Declarations!$D$21+Declarations!$C$21*U77*Declarations!$D$22+Declarations!$C$22*S77*Declarations!$D$20+Declarations!$C$22*U77*Declarations!$D$21+Declarations!$C$22*V77*Declarations!$D$22+0</f>
        <v>0.771604931967253</v>
      </c>
      <c r="V78" s="20" t="n">
        <f aca="false">Declarations!$D$20*Q77*Declarations!$D$20+Declarations!$D$20*R77*Declarations!$D$21+Declarations!$D$20*S77*Declarations!$D$22+Declarations!$D$21*R77*Declarations!$D$20+Declarations!$D$21*T77*Declarations!$D$21+Declarations!$D$21*U77*Declarations!$D$22+Declarations!$D$22*S77*Declarations!$D$20+Declarations!$D$22*U77*Declarations!$D$21+Declarations!$D$22*V77*Declarations!$D$22+1</f>
        <v>2.7777777777777</v>
      </c>
    </row>
    <row r="79" customFormat="false" ht="15" hidden="false" customHeight="false" outlineLevel="0" collapsed="false">
      <c r="A79" s="18" t="n">
        <v>70</v>
      </c>
      <c r="B79" s="20" t="n">
        <f aca="false">$B$4*B78*$B$4+$B$4*C78*$B$5+$B$5*C78*$B$4+$B$5*D78*$B$5+$E$4</f>
        <v>13.5635448887563</v>
      </c>
      <c r="C79" s="20" t="n">
        <f aca="false">$B$4*B78*$C$4+$B$4*C78*$C$5+$B$5*C78*$C$4+$B$5*D78*$C$5+$F$4</f>
        <v>-5.78209861724442</v>
      </c>
      <c r="D79" s="20" t="n">
        <f aca="false">$C$4*B78*$C$4+$C$4*C78*$C$5+$C$5*C78*$C$4+$C$5*D78*$C$5+$F$5</f>
        <v>11.9859838590448</v>
      </c>
      <c r="P79" s="18" t="n">
        <v>70</v>
      </c>
      <c r="Q79" s="20" t="n">
        <f aca="false">Declarations!$B$20*Q78*Declarations!$B$20+Declarations!$B$20*R78*Declarations!$B$21+Declarations!$B$20*S78*Declarations!$B$22+Declarations!$B$21*R78*Declarations!$B$20+Declarations!$B$21*T78*Declarations!$B$21+Declarations!$B$21*U78*Declarations!$B$22+Declarations!$B$22*S78*Declarations!$B$20+Declarations!$B$22*U78*Declarations!$B$21+Declarations!$B$22*V78*Declarations!$B$22+1</f>
        <v>10.2879083884152</v>
      </c>
      <c r="R79" s="20" t="n">
        <f aca="false">Declarations!$B$20*Q78*Declarations!$C$20+Declarations!$B$20*R78*Declarations!$C$21+Declarations!$B$20*S78*Declarations!$C$22+Declarations!$B$21*R78*Declarations!$C$20+Declarations!$B$21*T78*Declarations!$C$21+Declarations!$B$21*U78*Declarations!$C$22+Declarations!$B$22*S78*Declarations!$C$20+Declarations!$B$22*U78*Declarations!$C$21+Declarations!$B$22*V78*Declarations!$C$22+0</f>
        <v>4.60222315571429</v>
      </c>
      <c r="S79" s="20" t="n">
        <f aca="false">Declarations!$B$20*Q78*Declarations!$D$20+Declarations!$B$20*R78*Declarations!$D$21+Declarations!$B$20*S78*Declarations!$D$22+Declarations!$B$21*R78*Declarations!$D$20+Declarations!$B$21*T78*Declarations!$D$21+Declarations!$B$21*U78*Declarations!$D$22+Declarations!$B$22*S78*Declarations!$D$20+Declarations!$B$22*U78*Declarations!$D$21+Declarations!$B$22*V78*Declarations!$D$22+0</f>
        <v>0.617283941035395</v>
      </c>
      <c r="T79" s="20" t="n">
        <f aca="false">Declarations!$C$20*Q78*Declarations!$C$20+Declarations!$C$20*R78*Declarations!$C$21+Declarations!$C$20*S78*Declarations!$C$22+Declarations!$C$21*R78*Declarations!$C$20+Declarations!$C$21*T78*Declarations!$C$21+Declarations!$C$21*U78*Declarations!$C$22+Declarations!$C$22*S78*Declarations!$C$20+Declarations!$C$22*U78*Declarations!$C$21+Declarations!$C$22*V78*Declarations!$C$22+1</f>
        <v>5.7001920462625</v>
      </c>
      <c r="U79" s="20" t="n">
        <f aca="false">Declarations!$C$20*Q78*Declarations!$D$20+Declarations!$C$20*R78*Declarations!$D$21+Declarations!$C$20*S78*Declarations!$D$22+Declarations!$C$21*R78*Declarations!$D$20+Declarations!$C$21*T78*Declarations!$D$21+Declarations!$C$21*U78*Declarations!$D$22+Declarations!$C$22*S78*Declarations!$D$20+Declarations!$C$22*U78*Declarations!$D$21+Declarations!$C$22*V78*Declarations!$D$22+0</f>
        <v>0.771604933480332</v>
      </c>
      <c r="V79" s="20" t="n">
        <f aca="false">Declarations!$D$20*Q78*Declarations!$D$20+Declarations!$D$20*R78*Declarations!$D$21+Declarations!$D$20*S78*Declarations!$D$22+Declarations!$D$21*R78*Declarations!$D$20+Declarations!$D$21*T78*Declarations!$D$21+Declarations!$D$21*U78*Declarations!$D$22+Declarations!$D$22*S78*Declarations!$D$20+Declarations!$D$22*U78*Declarations!$D$21+Declarations!$D$22*V78*Declarations!$D$22+1</f>
        <v>2.77777777777773</v>
      </c>
    </row>
    <row r="80" customFormat="false" ht="15" hidden="false" customHeight="false" outlineLevel="0" collapsed="false">
      <c r="A80" s="18" t="n">
        <v>71</v>
      </c>
      <c r="B80" s="20" t="n">
        <f aca="false">$B$4*B79*$B$4+$B$4*C79*$B$5+$B$5*C79*$B$4+$B$5*D79*$B$5+$E$4</f>
        <v>13.5646777078974</v>
      </c>
      <c r="C80" s="20" t="n">
        <f aca="false">$B$4*B79*$C$4+$B$4*C79*$C$5+$B$5*C79*$C$4+$B$5*D79*$C$5+$F$4</f>
        <v>-5.78258260437261</v>
      </c>
      <c r="D80" s="20" t="n">
        <f aca="false">$C$4*B79*$C$4+$C$4*C79*$C$5+$C$5*C79*$C$4+$C$5*D79*$C$5+$F$5</f>
        <v>11.9864713598926</v>
      </c>
      <c r="P80" s="18" t="n">
        <v>71</v>
      </c>
      <c r="Q80" s="20" t="n">
        <f aca="false">Declarations!$B$20*Q79*Declarations!$B$20+Declarations!$B$20*R79*Declarations!$B$21+Declarations!$B$20*S79*Declarations!$B$22+Declarations!$B$21*R79*Declarations!$B$20+Declarations!$B$21*T79*Declarations!$B$21+Declarations!$B$21*U79*Declarations!$B$22+Declarations!$B$22*S79*Declarations!$B$20+Declarations!$B$22*U79*Declarations!$B$21+Declarations!$B$22*V79*Declarations!$B$22+1</f>
        <v>10.28882393158</v>
      </c>
      <c r="R80" s="20" t="n">
        <f aca="false">Declarations!$B$20*Q79*Declarations!$C$20+Declarations!$B$20*R79*Declarations!$C$21+Declarations!$B$20*S79*Declarations!$C$22+Declarations!$B$21*R79*Declarations!$C$20+Declarations!$B$21*T79*Declarations!$C$21+Declarations!$B$21*U79*Declarations!$C$22+Declarations!$B$22*S79*Declarations!$C$20+Declarations!$B$22*U79*Declarations!$C$21+Declarations!$B$22*V79*Declarations!$C$22+0</f>
        <v>4.60268094375338</v>
      </c>
      <c r="S80" s="20" t="n">
        <f aca="false">Declarations!$B$20*Q79*Declarations!$D$20+Declarations!$B$20*R79*Declarations!$D$21+Declarations!$B$20*S79*Declarations!$D$22+Declarations!$B$21*R79*Declarations!$D$20+Declarations!$B$21*T79*Declarations!$D$21+Declarations!$B$21*U79*Declarations!$D$22+Declarations!$B$22*S79*Declarations!$D$20+Declarations!$B$22*U79*Declarations!$D$21+Declarations!$B$22*V79*Declarations!$D$22+0</f>
        <v>0.61728394333502</v>
      </c>
      <c r="T80" s="20" t="n">
        <f aca="false">Declarations!$C$20*Q79*Declarations!$C$20+Declarations!$C$20*R79*Declarations!$C$21+Declarations!$C$20*S79*Declarations!$C$22+Declarations!$C$21*R79*Declarations!$C$20+Declarations!$C$21*T79*Declarations!$C$21+Declarations!$C$21*U79*Declarations!$C$22+Declarations!$C$22*S79*Declarations!$C$20+Declarations!$C$22*U79*Declarations!$C$21+Declarations!$C$22*V79*Declarations!$C$22+1</f>
        <v>5.7004209485112</v>
      </c>
      <c r="U80" s="20" t="n">
        <f aca="false">Declarations!$C$20*Q79*Declarations!$D$20+Declarations!$C$20*R79*Declarations!$D$21+Declarations!$C$20*S79*Declarations!$D$22+Declarations!$C$21*R79*Declarations!$D$20+Declarations!$C$21*T79*Declarations!$D$21+Declarations!$C$21*U79*Declarations!$D$22+Declarations!$C$22*S79*Declarations!$D$20+Declarations!$C$22*U79*Declarations!$D$21+Declarations!$C$22*V79*Declarations!$D$22+0</f>
        <v>0.77160493463026</v>
      </c>
      <c r="V80" s="20" t="n">
        <f aca="false">Declarations!$D$20*Q79*Declarations!$D$20+Declarations!$D$20*R79*Declarations!$D$21+Declarations!$D$20*S79*Declarations!$D$22+Declarations!$D$21*R79*Declarations!$D$20+Declarations!$D$21*T79*Declarations!$D$21+Declarations!$D$21*U79*Declarations!$D$22+Declarations!$D$22*S79*Declarations!$D$20+Declarations!$D$22*U79*Declarations!$D$21+Declarations!$D$22*V79*Declarations!$D$22+1</f>
        <v>2.77777777777775</v>
      </c>
    </row>
    <row r="81" customFormat="false" ht="15" hidden="false" customHeight="false" outlineLevel="0" collapsed="false">
      <c r="A81" s="18" t="n">
        <v>72</v>
      </c>
      <c r="B81" s="20" t="n">
        <f aca="false">$B$4*B80*$B$4+$B$4*C80*$B$5+$B$5*C80*$B$4+$B$5*D80*$B$5+$E$4</f>
        <v>13.5652116154188</v>
      </c>
      <c r="C81" s="20" t="n">
        <f aca="false">$B$4*B80*$C$4+$B$4*C80*$C$5+$B$5*C80*$C$4+$B$5*D80*$C$5+$F$4</f>
        <v>-5.78306459946157</v>
      </c>
      <c r="D81" s="20" t="n">
        <f aca="false">$C$4*B80*$C$4+$C$4*C80*$C$5+$C$5*C80*$C$4+$C$5*D80*$C$5+$F$5</f>
        <v>11.9873889433969</v>
      </c>
      <c r="P81" s="18" t="n">
        <v>72</v>
      </c>
      <c r="Q81" s="20" t="n">
        <f aca="false">Declarations!$B$20*Q80*Declarations!$B$20+Declarations!$B$20*R80*Declarations!$B$21+Declarations!$B$20*S80*Declarations!$B$22+Declarations!$B$21*R80*Declarations!$B$20+Declarations!$B$21*T80*Declarations!$B$21+Declarations!$B$21*U80*Declarations!$B$22+Declarations!$B$22*S80*Declarations!$B$20+Declarations!$B$22*U80*Declarations!$B$21+Declarations!$B$22*V80*Declarations!$B$22+1</f>
        <v>10.2896502126314</v>
      </c>
      <c r="R81" s="20" t="n">
        <f aca="false">Declarations!$B$20*Q80*Declarations!$C$20+Declarations!$B$20*R80*Declarations!$C$21+Declarations!$B$20*S80*Declarations!$C$22+Declarations!$B$21*R80*Declarations!$C$20+Declarations!$B$21*T80*Declarations!$C$21+Declarations!$B$21*U80*Declarations!$C$22+Declarations!$B$22*S80*Declarations!$C$20+Declarations!$B$22*U80*Declarations!$C$21+Declarations!$B$22*V80*Declarations!$C$22+0</f>
        <v>4.60309409695012</v>
      </c>
      <c r="S81" s="20" t="n">
        <f aca="false">Declarations!$B$20*Q80*Declarations!$D$20+Declarations!$B$20*R80*Declarations!$D$21+Declarations!$B$20*S80*Declarations!$D$22+Declarations!$B$21*R80*Declarations!$D$20+Declarations!$B$21*T80*Declarations!$D$21+Declarations!$B$21*U80*Declarations!$D$22+Declarations!$B$22*S80*Declarations!$D$20+Declarations!$B$22*U80*Declarations!$D$21+Declarations!$B$22*V80*Declarations!$D$22+0</f>
        <v>0.617283945082745</v>
      </c>
      <c r="T81" s="20" t="n">
        <f aca="false">Declarations!$C$20*Q80*Declarations!$C$20+Declarations!$C$20*R80*Declarations!$C$21+Declarations!$C$20*S80*Declarations!$C$22+Declarations!$C$21*R80*Declarations!$C$20+Declarations!$C$21*T80*Declarations!$C$21+Declarations!$C$21*U80*Declarations!$C$22+Declarations!$C$22*S80*Declarations!$C$20+Declarations!$C$22*U80*Declarations!$C$21+Declarations!$C$22*V80*Declarations!$C$22+1</f>
        <v>5.7006275314456</v>
      </c>
      <c r="U81" s="20" t="n">
        <f aca="false">Declarations!$C$20*Q80*Declarations!$D$20+Declarations!$C$20*R80*Declarations!$D$21+Declarations!$C$20*S80*Declarations!$D$22+Declarations!$C$21*R80*Declarations!$D$20+Declarations!$C$21*T80*Declarations!$D$21+Declarations!$C$21*U80*Declarations!$D$22+Declarations!$C$22*S80*Declarations!$D$20+Declarations!$C$22*U80*Declarations!$D$21+Declarations!$C$22*V80*Declarations!$D$22+0</f>
        <v>0.771604935504197</v>
      </c>
      <c r="V81" s="20" t="n">
        <f aca="false">Declarations!$D$20*Q80*Declarations!$D$20+Declarations!$D$20*R80*Declarations!$D$21+Declarations!$D$20*S80*Declarations!$D$22+Declarations!$D$21*R80*Declarations!$D$20+Declarations!$D$21*T80*Declarations!$D$21+Declarations!$D$21*U80*Declarations!$D$22+Declarations!$D$22*S80*Declarations!$D$20+Declarations!$D$22*U80*Declarations!$D$21+Declarations!$D$22*V80*Declarations!$D$22+1</f>
        <v>2.77777777777776</v>
      </c>
    </row>
    <row r="82" customFormat="false" ht="15" hidden="false" customHeight="false" outlineLevel="0" collapsed="false">
      <c r="A82" s="18" t="n">
        <v>73</v>
      </c>
      <c r="B82" s="20" t="n">
        <f aca="false">$B$4*B81*$B$4+$B$4*C81*$B$5+$B$5*C81*$B$4+$B$5*D81*$B$5+$E$4</f>
        <v>13.5656940728553</v>
      </c>
      <c r="C82" s="20" t="n">
        <f aca="false">$B$4*B81*$C$4+$B$4*C81*$C$5+$B$5*C81*$C$4+$B$5*D81*$C$5+$F$4</f>
        <v>-5.78306326897382</v>
      </c>
      <c r="D82" s="20" t="n">
        <f aca="false">$C$4*B81*$C$4+$C$4*C81*$C$5+$C$5*C81*$C$4+$C$5*D81*$C$5+$F$5</f>
        <v>11.9878214084892</v>
      </c>
      <c r="P82" s="18" t="n">
        <v>73</v>
      </c>
      <c r="Q82" s="20" t="n">
        <f aca="false">Declarations!$B$20*Q81*Declarations!$B$20+Declarations!$B$20*R81*Declarations!$B$21+Declarations!$B$20*S81*Declarations!$B$22+Declarations!$B$21*R81*Declarations!$B$20+Declarations!$B$21*T81*Declarations!$B$21+Declarations!$B$21*U81*Declarations!$B$22+Declarations!$B$22*S81*Declarations!$B$20+Declarations!$B$22*U81*Declarations!$B$21+Declarations!$B$22*V81*Declarations!$B$22+1</f>
        <v>10.2903959338538</v>
      </c>
      <c r="R82" s="20" t="n">
        <f aca="false">Declarations!$B$20*Q81*Declarations!$C$20+Declarations!$B$20*R81*Declarations!$C$21+Declarations!$B$20*S81*Declarations!$C$22+Declarations!$B$21*R81*Declarations!$C$20+Declarations!$B$21*T81*Declarations!$C$21+Declarations!$B$21*U81*Declarations!$C$22+Declarations!$B$22*S81*Declarations!$C$20+Declarations!$B$22*U81*Declarations!$C$21+Declarations!$B$22*V81*Declarations!$C$22+0</f>
        <v>4.6034669673159</v>
      </c>
      <c r="S82" s="20" t="n">
        <f aca="false">Declarations!$B$20*Q81*Declarations!$D$20+Declarations!$B$20*R81*Declarations!$D$21+Declarations!$B$20*S81*Declarations!$D$22+Declarations!$B$21*R81*Declarations!$D$20+Declarations!$B$21*T81*Declarations!$D$21+Declarations!$B$21*U81*Declarations!$D$22+Declarations!$B$22*S81*Declarations!$D$20+Declarations!$B$22*U81*Declarations!$D$21+Declarations!$B$22*V81*Declarations!$D$22+0</f>
        <v>0.617283946411023</v>
      </c>
      <c r="T82" s="20" t="n">
        <f aca="false">Declarations!$C$20*Q81*Declarations!$C$20+Declarations!$C$20*R81*Declarations!$C$21+Declarations!$C$20*S81*Declarations!$C$22+Declarations!$C$21*R81*Declarations!$C$20+Declarations!$C$21*T81*Declarations!$C$21+Declarations!$C$21*U81*Declarations!$C$22+Declarations!$C$22*S81*Declarations!$C$20+Declarations!$C$22*U81*Declarations!$C$21+Declarations!$C$22*V81*Declarations!$C$22+1</f>
        <v>5.7008139715061</v>
      </c>
      <c r="U82" s="20" t="n">
        <f aca="false">Declarations!$C$20*Q81*Declarations!$D$20+Declarations!$C$20*R81*Declarations!$D$21+Declarations!$C$20*S81*Declarations!$D$22+Declarations!$C$21*R81*Declarations!$D$20+Declarations!$C$21*T81*Declarations!$D$21+Declarations!$C$21*U81*Declarations!$D$22+Declarations!$C$22*S81*Declarations!$D$20+Declarations!$C$22*U81*Declarations!$D$21+Declarations!$C$22*V81*Declarations!$D$22+0</f>
        <v>0.771604936168385</v>
      </c>
      <c r="V82" s="20" t="n">
        <f aca="false">Declarations!$D$20*Q81*Declarations!$D$20+Declarations!$D$20*R81*Declarations!$D$21+Declarations!$D$20*S81*Declarations!$D$22+Declarations!$D$21*R81*Declarations!$D$20+Declarations!$D$21*T81*Declarations!$D$21+Declarations!$D$21*U81*Declarations!$D$22+Declarations!$D$22*S81*Declarations!$D$20+Declarations!$D$22*U81*Declarations!$D$21+Declarations!$D$22*V81*Declarations!$D$22+1</f>
        <v>2.77777777777777</v>
      </c>
    </row>
    <row r="83" customFormat="false" ht="15" hidden="false" customHeight="false" outlineLevel="0" collapsed="false">
      <c r="A83" s="18" t="n">
        <v>74</v>
      </c>
      <c r="B83" s="20" t="n">
        <f aca="false">$B$4*B82*$B$4+$B$4*C82*$B$5+$B$5*C82*$B$4+$B$5*D82*$B$5+$E$4</f>
        <v>13.5665197233492</v>
      </c>
      <c r="C83" s="20" t="n">
        <f aca="false">$B$4*B82*$C$4+$B$4*C82*$C$5+$B$5*C82*$C$4+$B$5*D82*$C$5+$F$4</f>
        <v>-5.78345525693637</v>
      </c>
      <c r="D83" s="20" t="n">
        <f aca="false">$C$4*B82*$C$4+$C$4*C82*$C$5+$C$5*C82*$C$4+$C$5*D82*$C$5+$F$5</f>
        <v>11.9882121990128</v>
      </c>
      <c r="P83" s="18" t="n">
        <v>74</v>
      </c>
      <c r="Q83" s="20" t="n">
        <f aca="false">Declarations!$B$20*Q82*Declarations!$B$20+Declarations!$B$20*R82*Declarations!$B$21+Declarations!$B$20*S82*Declarations!$B$22+Declarations!$B$21*R82*Declarations!$B$20+Declarations!$B$21*T82*Declarations!$B$21+Declarations!$B$21*U82*Declarations!$B$22+Declarations!$B$22*S82*Declarations!$B$20+Declarations!$B$22*U82*Declarations!$B$21+Declarations!$B$22*V82*Declarations!$B$22+1</f>
        <v>10.2910689492367</v>
      </c>
      <c r="R83" s="20" t="n">
        <f aca="false">Declarations!$B$20*Q82*Declarations!$C$20+Declarations!$B$20*R82*Declarations!$C$21+Declarations!$B$20*S82*Declarations!$C$22+Declarations!$B$21*R82*Declarations!$C$20+Declarations!$B$21*T82*Declarations!$C$21+Declarations!$B$21*U82*Declarations!$C$22+Declarations!$B$22*S82*Declarations!$C$20+Declarations!$B$22*U82*Declarations!$C$21+Declarations!$B$22*V82*Declarations!$C$22+0</f>
        <v>4.60380348251543</v>
      </c>
      <c r="S83" s="20" t="n">
        <f aca="false">Declarations!$B$20*Q82*Declarations!$D$20+Declarations!$B$20*R82*Declarations!$D$21+Declarations!$B$20*S82*Declarations!$D$22+Declarations!$B$21*R82*Declarations!$D$20+Declarations!$B$21*T82*Declarations!$D$21+Declarations!$B$21*U82*Declarations!$D$22+Declarations!$B$22*S82*Declarations!$D$20+Declarations!$B$22*U82*Declarations!$D$21+Declarations!$B$22*V82*Declarations!$D$22+0</f>
        <v>0.617283947420518</v>
      </c>
      <c r="T83" s="20" t="n">
        <f aca="false">Declarations!$C$20*Q82*Declarations!$C$20+Declarations!$C$20*R82*Declarations!$C$21+Declarations!$C$20*S82*Declarations!$C$22+Declarations!$C$21*R82*Declarations!$C$20+Declarations!$C$21*T82*Declarations!$C$21+Declarations!$C$21*U82*Declarations!$C$22+Declarations!$C$22*S82*Declarations!$C$20+Declarations!$C$22*U82*Declarations!$C$21+Declarations!$C$22*V82*Declarations!$C$22+1</f>
        <v>5.70098223286016</v>
      </c>
      <c r="U83" s="20" t="n">
        <f aca="false">Declarations!$C$20*Q82*Declarations!$D$20+Declarations!$C$20*R82*Declarations!$D$21+Declarations!$C$20*S82*Declarations!$D$22+Declarations!$C$21*R82*Declarations!$D$20+Declarations!$C$21*T82*Declarations!$D$21+Declarations!$C$21*U82*Declarations!$D$22+Declarations!$C$22*S82*Declarations!$D$20+Declarations!$C$22*U82*Declarations!$D$21+Declarations!$C$22*V82*Declarations!$D$22+0</f>
        <v>0.771604936673164</v>
      </c>
      <c r="V83" s="20" t="n">
        <f aca="false">Declarations!$D$20*Q82*Declarations!$D$20+Declarations!$D$20*R82*Declarations!$D$21+Declarations!$D$20*S82*Declarations!$D$22+Declarations!$D$21*R82*Declarations!$D$20+Declarations!$D$21*T82*Declarations!$D$21+Declarations!$D$21*U82*Declarations!$D$22+Declarations!$D$22*S82*Declarations!$D$20+Declarations!$D$22*U82*Declarations!$D$21+Declarations!$D$22*V82*Declarations!$D$22+1</f>
        <v>2.77777777777777</v>
      </c>
    </row>
    <row r="84" customFormat="false" ht="15" hidden="false" customHeight="false" outlineLevel="0" collapsed="false">
      <c r="A84" s="18" t="n">
        <v>75</v>
      </c>
      <c r="B84" s="20" t="n">
        <f aca="false">$B$4*B83*$B$4+$B$4*C83*$B$5+$B$5*C83*$B$4+$B$5*D83*$B$5+$E$4</f>
        <v>13.5668737124402</v>
      </c>
      <c r="C84" s="20" t="n">
        <f aca="false">$B$4*B83*$C$4+$B$4*C83*$C$5+$B$5*C83*$C$4+$B$5*D83*$C$5+$F$4</f>
        <v>-5.78377124467009</v>
      </c>
      <c r="D84" s="20" t="n">
        <f aca="false">$C$4*B83*$C$4+$C$4*C83*$C$5+$C$5*C83*$C$4+$C$5*D83*$C$5+$F$5</f>
        <v>11.9888809759128</v>
      </c>
      <c r="P84" s="18" t="n">
        <v>75</v>
      </c>
      <c r="Q84" s="20" t="n">
        <f aca="false">Declarations!$B$20*Q83*Declarations!$B$20+Declarations!$B$20*R83*Declarations!$B$21+Declarations!$B$20*S83*Declarations!$B$22+Declarations!$B$21*R83*Declarations!$B$20+Declarations!$B$21*T83*Declarations!$B$21+Declarations!$B$21*U83*Declarations!$B$22+Declarations!$B$22*S83*Declarations!$B$20+Declarations!$B$22*U83*Declarations!$B$21+Declarations!$B$22*V83*Declarations!$B$22+1</f>
        <v>10.2916763471421</v>
      </c>
      <c r="R84" s="20" t="n">
        <f aca="false">Declarations!$B$20*Q83*Declarations!$C$20+Declarations!$B$20*R83*Declarations!$C$21+Declarations!$B$20*S83*Declarations!$C$22+Declarations!$B$21*R83*Declarations!$C$20+Declarations!$B$21*T83*Declarations!$C$21+Declarations!$B$21*U83*Declarations!$C$22+Declarations!$B$22*S83*Declarations!$C$20+Declarations!$B$22*U83*Declarations!$C$21+Declarations!$B$22*V83*Declarations!$C$22+0</f>
        <v>4.60410718724627</v>
      </c>
      <c r="S84" s="20" t="n">
        <f aca="false">Declarations!$B$20*Q83*Declarations!$D$20+Declarations!$B$20*R83*Declarations!$D$21+Declarations!$B$20*S83*Declarations!$D$22+Declarations!$B$21*R83*Declarations!$D$20+Declarations!$B$21*T83*Declarations!$D$21+Declarations!$B$21*U83*Declarations!$D$22+Declarations!$B$22*S83*Declarations!$D$20+Declarations!$B$22*U83*Declarations!$D$21+Declarations!$B$22*V83*Declarations!$D$22+0</f>
        <v>0.617283948187737</v>
      </c>
      <c r="T84" s="20" t="n">
        <f aca="false">Declarations!$C$20*Q83*Declarations!$C$20+Declarations!$C$20*R83*Declarations!$C$21+Declarations!$C$20*S83*Declarations!$C$22+Declarations!$C$21*R83*Declarations!$C$20+Declarations!$C$21*T83*Declarations!$C$21+Declarations!$C$21*U83*Declarations!$C$22+Declarations!$C$22*S83*Declarations!$C$20+Declarations!$C$22*U83*Declarations!$C$21+Declarations!$C$22*V83*Declarations!$C$22+1</f>
        <v>5.70113408811479</v>
      </c>
      <c r="U84" s="20" t="n">
        <f aca="false">Declarations!$C$20*Q83*Declarations!$D$20+Declarations!$C$20*R83*Declarations!$D$21+Declarations!$C$20*S83*Declarations!$D$22+Declarations!$C$21*R83*Declarations!$D$20+Declarations!$C$21*T83*Declarations!$D$21+Declarations!$C$21*U83*Declarations!$D$22+Declarations!$C$22*S83*Declarations!$D$20+Declarations!$C$22*U83*Declarations!$D$21+Declarations!$C$22*V83*Declarations!$D$22+0</f>
        <v>0.771604937056794</v>
      </c>
      <c r="V84" s="20" t="n">
        <f aca="false">Declarations!$D$20*Q83*Declarations!$D$20+Declarations!$D$20*R83*Declarations!$D$21+Declarations!$D$20*S83*Declarations!$D$22+Declarations!$D$21*R83*Declarations!$D$20+Declarations!$D$21*T83*Declarations!$D$21+Declarations!$D$21*U83*Declarations!$D$22+Declarations!$D$22*S83*Declarations!$D$20+Declarations!$D$22*U83*Declarations!$D$21+Declarations!$D$22*V83*Declarations!$D$22+1</f>
        <v>2.77777777777777</v>
      </c>
    </row>
    <row r="85" customFormat="false" ht="15" hidden="false" customHeight="false" outlineLevel="0" collapsed="false">
      <c r="A85" s="18" t="n">
        <v>76</v>
      </c>
      <c r="B85" s="20" t="n">
        <f aca="false">$B$4*B84*$B$4+$B$4*C84*$B$5+$B$5*C84*$B$4+$B$5*D84*$B$5+$E$4</f>
        <v>13.5672604425832</v>
      </c>
      <c r="C85" s="20" t="n">
        <f aca="false">$B$4*B84*$C$4+$B$4*C84*$C$5+$B$5*C84*$C$4+$B$5*D84*$C$5+$F$4</f>
        <v>-5.78377358687345</v>
      </c>
      <c r="D85" s="20" t="n">
        <f aca="false">$C$4*B84*$C$4+$C$4*C84*$C$5+$C$5*C84*$C$4+$C$5*D84*$C$5+$F$5</f>
        <v>11.9891677070765</v>
      </c>
      <c r="P85" s="18" t="n">
        <v>76</v>
      </c>
      <c r="Q85" s="20" t="n">
        <f aca="false">Declarations!$B$20*Q84*Declarations!$B$20+Declarations!$B$20*R84*Declarations!$B$21+Declarations!$B$20*S84*Declarations!$B$22+Declarations!$B$21*R84*Declarations!$B$20+Declarations!$B$21*T84*Declarations!$B$21+Declarations!$B$21*U84*Declarations!$B$22+Declarations!$B$22*S84*Declarations!$B$20+Declarations!$B$22*U84*Declarations!$B$21+Declarations!$B$22*V84*Declarations!$B$22+1</f>
        <v>10.2922245249225</v>
      </c>
      <c r="R85" s="20" t="n">
        <f aca="false">Declarations!$B$20*Q84*Declarations!$C$20+Declarations!$B$20*R84*Declarations!$C$21+Declarations!$B$20*S84*Declarations!$C$22+Declarations!$B$21*R84*Declarations!$C$20+Declarations!$B$21*T84*Declarations!$C$21+Declarations!$B$21*U84*Declarations!$C$22+Declarations!$B$22*S84*Declarations!$C$20+Declarations!$B$22*U84*Declarations!$C$21+Declarations!$B$22*V84*Declarations!$C$22+0</f>
        <v>4.60438128058252</v>
      </c>
      <c r="S85" s="20" t="n">
        <f aca="false">Declarations!$B$20*Q84*Declarations!$D$20+Declarations!$B$20*R84*Declarations!$D$21+Declarations!$B$20*S84*Declarations!$D$22+Declarations!$B$21*R84*Declarations!$D$20+Declarations!$B$21*T84*Declarations!$D$21+Declarations!$B$21*U84*Declarations!$D$22+Declarations!$B$22*S84*Declarations!$D$20+Declarations!$B$22*U84*Declarations!$D$21+Declarations!$B$22*V84*Declarations!$D$22+0</f>
        <v>0.617283948770825</v>
      </c>
      <c r="T85" s="20" t="n">
        <f aca="false">Declarations!$C$20*Q84*Declarations!$C$20+Declarations!$C$20*R84*Declarations!$C$21+Declarations!$C$20*S84*Declarations!$C$22+Declarations!$C$21*R84*Declarations!$C$20+Declarations!$C$21*T84*Declarations!$C$21+Declarations!$C$21*U84*Declarations!$C$22+Declarations!$C$22*S84*Declarations!$C$20+Declarations!$C$22*U84*Declarations!$C$21+Declarations!$C$22*V84*Declarations!$C$22+1</f>
        <v>5.70127113700603</v>
      </c>
      <c r="U85" s="20" t="n">
        <f aca="false">Declarations!$C$20*Q84*Declarations!$D$20+Declarations!$C$20*R84*Declarations!$D$21+Declarations!$C$20*S84*Declarations!$D$22+Declarations!$C$21*R84*Declarations!$D$20+Declarations!$C$21*T84*Declarations!$D$21+Declarations!$C$21*U84*Declarations!$D$22+Declarations!$C$22*S84*Declarations!$D$20+Declarations!$C$22*U84*Declarations!$D$21+Declarations!$C$22*V84*Declarations!$D$22+0</f>
        <v>0.771604937348351</v>
      </c>
      <c r="V85" s="20" t="n">
        <f aca="false">Declarations!$D$20*Q84*Declarations!$D$20+Declarations!$D$20*R84*Declarations!$D$21+Declarations!$D$20*S84*Declarations!$D$22+Declarations!$D$21*R84*Declarations!$D$20+Declarations!$D$21*T84*Declarations!$D$21+Declarations!$D$21*U84*Declarations!$D$22+Declarations!$D$22*S84*Declarations!$D$20+Declarations!$D$22*U84*Declarations!$D$21+Declarations!$D$22*V84*Declarations!$D$22+1</f>
        <v>2.77777777777777</v>
      </c>
    </row>
    <row r="86" customFormat="false" ht="15" hidden="false" customHeight="false" outlineLevel="0" collapsed="false">
      <c r="A86" s="18" t="n">
        <v>77</v>
      </c>
      <c r="B86" s="20" t="n">
        <f aca="false">$B$4*B85*$B$4+$B$4*C85*$B$5+$B$5*C85*$B$4+$B$5*D85*$B$5+$E$4</f>
        <v>13.5678562091967</v>
      </c>
      <c r="C86" s="20" t="n">
        <f aca="false">$B$4*B85*$C$4+$B$4*C85*$C$5+$B$5*C85*$C$4+$B$5*D85*$C$5+$F$4</f>
        <v>-5.78408473030628</v>
      </c>
      <c r="D86" s="20" t="n">
        <f aca="false">$C$4*B85*$C$4+$C$4*C85*$C$5+$C$5*C85*$C$4+$C$5*D85*$C$5+$F$5</f>
        <v>11.9894809584924</v>
      </c>
      <c r="P86" s="18" t="n">
        <v>77</v>
      </c>
      <c r="Q86" s="20" t="n">
        <f aca="false">Declarations!$B$20*Q85*Declarations!$B$20+Declarations!$B$20*R85*Declarations!$B$21+Declarations!$B$20*S85*Declarations!$B$22+Declarations!$B$21*R85*Declarations!$B$20+Declarations!$B$21*T85*Declarations!$B$21+Declarations!$B$21*U85*Declarations!$B$22+Declarations!$B$22*S85*Declarations!$B$20+Declarations!$B$22*U85*Declarations!$B$21+Declarations!$B$22*V85*Declarations!$B$22+1</f>
        <v>10.2927192562694</v>
      </c>
      <c r="R86" s="20" t="n">
        <f aca="false">Declarations!$B$20*Q85*Declarations!$C$20+Declarations!$B$20*R85*Declarations!$C$21+Declarations!$B$20*S85*Declarations!$C$22+Declarations!$B$21*R85*Declarations!$C$20+Declarations!$B$21*T85*Declarations!$C$21+Declarations!$B$21*U85*Declarations!$C$22+Declarations!$B$22*S85*Declarations!$C$20+Declarations!$B$22*U85*Declarations!$C$21+Declarations!$B$22*V85*Declarations!$C$22+0</f>
        <v>4.60462864967654</v>
      </c>
      <c r="S86" s="20" t="n">
        <f aca="false">Declarations!$B$20*Q85*Declarations!$D$20+Declarations!$B$20*R85*Declarations!$D$21+Declarations!$B$20*S85*Declarations!$D$22+Declarations!$B$21*R85*Declarations!$D$20+Declarations!$B$21*T85*Declarations!$D$21+Declarations!$B$21*U85*Declarations!$D$22+Declarations!$B$22*S85*Declarations!$D$20+Declarations!$B$22*U85*Declarations!$D$21+Declarations!$B$22*V85*Declarations!$D$22+0</f>
        <v>0.617283949213973</v>
      </c>
      <c r="T86" s="20" t="n">
        <f aca="false">Declarations!$C$20*Q85*Declarations!$C$20+Declarations!$C$20*R85*Declarations!$C$21+Declarations!$C$20*S85*Declarations!$C$22+Declarations!$C$21*R85*Declarations!$C$20+Declarations!$C$21*T85*Declarations!$C$21+Declarations!$C$21*U85*Declarations!$C$22+Declarations!$C$22*S85*Declarations!$C$20+Declarations!$C$22*U85*Declarations!$C$21+Declarations!$C$22*V85*Declarations!$C$22+1</f>
        <v>5.70139482326338</v>
      </c>
      <c r="U86" s="20" t="n">
        <f aca="false">Declarations!$C$20*Q85*Declarations!$D$20+Declarations!$C$20*R85*Declarations!$D$21+Declarations!$C$20*S85*Declarations!$D$22+Declarations!$C$21*R85*Declarations!$D$20+Declarations!$C$21*T85*Declarations!$D$21+Declarations!$C$21*U85*Declarations!$D$22+Declarations!$C$22*S85*Declarations!$D$20+Declarations!$C$22*U85*Declarations!$D$21+Declarations!$C$22*V85*Declarations!$D$22+0</f>
        <v>0.771604937569933</v>
      </c>
      <c r="V86" s="20" t="n">
        <f aca="false">Declarations!$D$20*Q85*Declarations!$D$20+Declarations!$D$20*R85*Declarations!$D$21+Declarations!$D$20*S85*Declarations!$D$22+Declarations!$D$21*R85*Declarations!$D$20+Declarations!$D$21*T85*Declarations!$D$21+Declarations!$D$21*U85*Declarations!$D$22+Declarations!$D$22*S85*Declarations!$D$20+Declarations!$D$22*U85*Declarations!$D$21+Declarations!$D$22*V85*Declarations!$D$22+1</f>
        <v>2.77777777777778</v>
      </c>
    </row>
    <row r="87" customFormat="false" ht="15" hidden="false" customHeight="false" outlineLevel="0" collapsed="false">
      <c r="A87" s="18" t="n">
        <v>78</v>
      </c>
      <c r="B87" s="20" t="n">
        <f aca="false">$B$4*B86*$B$4+$B$4*C86*$B$5+$B$5*C86*$B$4+$B$5*D86*$B$5+$E$4</f>
        <v>13.5680919733904</v>
      </c>
      <c r="C87" s="20" t="n">
        <f aca="false">$B$4*B86*$C$4+$B$4*C86*$C$5+$B$5*C86*$C$4+$B$5*D86*$C$5+$F$4</f>
        <v>-5.78428727217368</v>
      </c>
      <c r="D87" s="20" t="n">
        <f aca="false">$C$4*B86*$C$4+$C$4*C86*$C$5+$C$5*C86*$C$4+$C$5*D86*$C$5+$F$5</f>
        <v>11.9899635294493</v>
      </c>
      <c r="P87" s="18" t="n">
        <v>78</v>
      </c>
      <c r="Q87" s="20" t="n">
        <f aca="false">Declarations!$B$20*Q86*Declarations!$B$20+Declarations!$B$20*R86*Declarations!$B$21+Declarations!$B$20*S86*Declarations!$B$22+Declarations!$B$21*R86*Declarations!$B$20+Declarations!$B$21*T86*Declarations!$B$21+Declarations!$B$21*U86*Declarations!$B$22+Declarations!$B$22*S86*Declarations!$B$20+Declarations!$B$22*U86*Declarations!$B$21+Declarations!$B$22*V86*Declarations!$B$22+1</f>
        <v>10.2931657520021</v>
      </c>
      <c r="R87" s="20" t="n">
        <f aca="false">Declarations!$B$20*Q86*Declarations!$C$20+Declarations!$B$20*R86*Declarations!$C$21+Declarations!$B$20*S86*Declarations!$C$22+Declarations!$B$21*R86*Declarations!$C$20+Declarations!$B$21*T86*Declarations!$C$21+Declarations!$B$21*U86*Declarations!$C$22+Declarations!$B$22*S86*Declarations!$C$20+Declarations!$B$22*U86*Declarations!$C$21+Declarations!$B$22*V86*Declarations!$C$22+0</f>
        <v>4.60485190017405</v>
      </c>
      <c r="S87" s="20" t="n">
        <f aca="false">Declarations!$B$20*Q86*Declarations!$D$20+Declarations!$B$20*R86*Declarations!$D$21+Declarations!$B$20*S86*Declarations!$D$22+Declarations!$B$21*R86*Declarations!$D$20+Declarations!$B$21*T86*Declarations!$D$21+Declarations!$B$21*U86*Declarations!$D$22+Declarations!$B$22*S86*Declarations!$D$20+Declarations!$B$22*U86*Declarations!$D$21+Declarations!$B$22*V86*Declarations!$D$22+0</f>
        <v>0.617283949550766</v>
      </c>
      <c r="T87" s="20" t="n">
        <f aca="false">Declarations!$C$20*Q86*Declarations!$C$20+Declarations!$C$20*R86*Declarations!$C$21+Declarations!$C$20*S86*Declarations!$C$22+Declarations!$C$21*R86*Declarations!$C$20+Declarations!$C$21*T86*Declarations!$C$21+Declarations!$C$21*U86*Declarations!$C$22+Declarations!$C$22*S86*Declarations!$C$20+Declarations!$C$22*U86*Declarations!$C$21+Declarations!$C$22*V86*Declarations!$C$22+1</f>
        <v>5.70150644982778</v>
      </c>
      <c r="U87" s="20" t="n">
        <f aca="false">Declarations!$C$20*Q86*Declarations!$D$20+Declarations!$C$20*R86*Declarations!$D$21+Declarations!$C$20*S86*Declarations!$D$22+Declarations!$C$21*R86*Declarations!$D$20+Declarations!$C$21*T86*Declarations!$D$21+Declarations!$C$21*U86*Declarations!$D$22+Declarations!$C$22*S86*Declarations!$D$20+Declarations!$C$22*U86*Declarations!$D$21+Declarations!$C$22*V86*Declarations!$D$22+0</f>
        <v>0.771604937738336</v>
      </c>
      <c r="V87" s="20" t="n">
        <f aca="false">Declarations!$D$20*Q86*Declarations!$D$20+Declarations!$D$20*R86*Declarations!$D$21+Declarations!$D$20*S86*Declarations!$D$22+Declarations!$D$21*R86*Declarations!$D$20+Declarations!$D$21*T86*Declarations!$D$21+Declarations!$D$21*U86*Declarations!$D$22+Declarations!$D$22*S86*Declarations!$D$20+Declarations!$D$22*U86*Declarations!$D$21+Declarations!$D$22*V86*Declarations!$D$22+1</f>
        <v>2.77777777777778</v>
      </c>
    </row>
    <row r="88" customFormat="false" ht="15" hidden="false" customHeight="false" outlineLevel="0" collapsed="false">
      <c r="A88" s="18" t="n">
        <v>79</v>
      </c>
      <c r="B88" s="20" t="n">
        <f aca="false">$B$4*B87*$B$4+$B$4*C87*$B$5+$B$5*C87*$B$4+$B$5*D87*$B$5+$E$4</f>
        <v>13.5684009379829</v>
      </c>
      <c r="C88" s="20" t="n">
        <f aca="false">$B$4*B87*$C$4+$B$4*C87*$C$5+$B$5*C87*$C$4+$B$5*D87*$C$5+$F$4</f>
        <v>-5.78429595348992</v>
      </c>
      <c r="D88" s="20" t="n">
        <f aca="false">$C$4*B87*$C$4+$C$4*C87*$C$5+$C$5*C87*$C$4+$C$5*D87*$C$5+$F$5</f>
        <v>11.9901544984462</v>
      </c>
      <c r="P88" s="18" t="n">
        <v>79</v>
      </c>
      <c r="Q88" s="20" t="n">
        <f aca="false">Declarations!$B$20*Q87*Declarations!$B$20+Declarations!$B$20*R87*Declarations!$B$21+Declarations!$B$20*S87*Declarations!$B$22+Declarations!$B$21*R87*Declarations!$B$20+Declarations!$B$21*T87*Declarations!$B$21+Declarations!$B$21*U87*Declarations!$B$22+Declarations!$B$22*S87*Declarations!$B$20+Declarations!$B$22*U87*Declarations!$B$21+Declarations!$B$22*V87*Declarations!$B$22+1</f>
        <v>10.2935687149327</v>
      </c>
      <c r="R88" s="20" t="n">
        <f aca="false">Declarations!$B$20*Q87*Declarations!$C$20+Declarations!$B$20*R87*Declarations!$C$21+Declarations!$B$20*S87*Declarations!$C$22+Declarations!$B$21*R87*Declarations!$C$20+Declarations!$B$21*T87*Declarations!$C$21+Declarations!$B$21*U87*Declarations!$C$22+Declarations!$B$22*S87*Declarations!$C$20+Declarations!$B$22*U87*Declarations!$C$21+Declarations!$B$22*V87*Declarations!$C$22+0</f>
        <v>4.60505338366307</v>
      </c>
      <c r="S88" s="20" t="n">
        <f aca="false">Declarations!$B$20*Q87*Declarations!$D$20+Declarations!$B$20*R87*Declarations!$D$21+Declarations!$B$20*S87*Declarations!$D$22+Declarations!$B$21*R87*Declarations!$D$20+Declarations!$B$21*T87*Declarations!$D$21+Declarations!$B$21*U87*Declarations!$D$22+Declarations!$B$22*S87*Declarations!$D$20+Declarations!$B$22*U87*Declarations!$D$21+Declarations!$B$22*V87*Declarations!$D$22+0</f>
        <v>0.61728394980673</v>
      </c>
      <c r="T88" s="20" t="n">
        <f aca="false">Declarations!$C$20*Q87*Declarations!$C$20+Declarations!$C$20*R87*Declarations!$C$21+Declarations!$C$20*S87*Declarations!$C$22+Declarations!$C$21*R87*Declarations!$C$20+Declarations!$C$21*T87*Declarations!$C$21+Declarations!$C$21*U87*Declarations!$C$22+Declarations!$C$22*S87*Declarations!$C$20+Declarations!$C$22*U87*Declarations!$C$21+Declarations!$C$22*V87*Declarations!$C$22+1</f>
        <v>5.70160719258417</v>
      </c>
      <c r="U88" s="20" t="n">
        <f aca="false">Declarations!$C$20*Q87*Declarations!$D$20+Declarations!$C$20*R87*Declarations!$D$21+Declarations!$C$20*S87*Declarations!$D$22+Declarations!$C$21*R87*Declarations!$D$20+Declarations!$C$21*T87*Declarations!$D$21+Declarations!$C$21*U87*Declarations!$D$22+Declarations!$C$22*S87*Declarations!$D$20+Declarations!$C$22*U87*Declarations!$D$21+Declarations!$C$22*V87*Declarations!$D$22+0</f>
        <v>0.771604937866321</v>
      </c>
      <c r="V88" s="20" t="n">
        <f aca="false">Declarations!$D$20*Q87*Declarations!$D$20+Declarations!$D$20*R87*Declarations!$D$21+Declarations!$D$20*S87*Declarations!$D$22+Declarations!$D$21*R87*Declarations!$D$20+Declarations!$D$21*T87*Declarations!$D$21+Declarations!$D$21*U87*Declarations!$D$22+Declarations!$D$22*S87*Declarations!$D$20+Declarations!$D$22*U87*Declarations!$D$21+Declarations!$D$22*V87*Declarations!$D$22+1</f>
        <v>2.77777777777778</v>
      </c>
    </row>
    <row r="89" customFormat="false" ht="15" hidden="false" customHeight="false" outlineLevel="0" collapsed="false">
      <c r="A89" s="18" t="n">
        <v>80</v>
      </c>
      <c r="B89" s="20" t="n">
        <f aca="false">$B$4*B88*$B$4+$B$4*C88*$B$5+$B$5*C88*$B$4+$B$5*D88*$B$5+$E$4</f>
        <v>13.5688265419306</v>
      </c>
      <c r="C89" s="20" t="n">
        <f aca="false">$B$4*B88*$C$4+$B$4*C88*$C$5+$B$5*C88*$C$4+$B$5*D88*$C$5+$F$4</f>
        <v>-5.78453840162525</v>
      </c>
      <c r="D89" s="20" t="n">
        <f aca="false">$C$4*B88*$C$4+$C$4*C88*$C$5+$C$5*C88*$C$4+$C$5*D88*$C$5+$F$5</f>
        <v>11.9904047597662</v>
      </c>
      <c r="P89" s="18" t="n">
        <v>80</v>
      </c>
      <c r="Q89" s="20" t="n">
        <f aca="false">Declarations!$B$20*Q88*Declarations!$B$20+Declarations!$B$20*R88*Declarations!$B$21+Declarations!$B$20*S88*Declarations!$B$22+Declarations!$B$21*R88*Declarations!$B$20+Declarations!$B$21*T88*Declarations!$B$21+Declarations!$B$21*U88*Declarations!$B$22+Declarations!$B$22*S88*Declarations!$B$20+Declarations!$B$22*U88*Declarations!$B$21+Declarations!$B$22*V88*Declarations!$B$22+1</f>
        <v>10.2939323893864</v>
      </c>
      <c r="R89" s="20" t="n">
        <f aca="false">Declarations!$B$20*Q88*Declarations!$C$20+Declarations!$B$20*R88*Declarations!$C$21+Declarations!$B$20*S88*Declarations!$C$22+Declarations!$B$21*R88*Declarations!$C$20+Declarations!$B$21*T88*Declarations!$C$21+Declarations!$B$21*U88*Declarations!$C$22+Declarations!$B$22*S88*Declarations!$C$20+Declarations!$B$22*U88*Declarations!$C$21+Declarations!$B$22*V88*Declarations!$C$22+0</f>
        <v>4.60523522244618</v>
      </c>
      <c r="S89" s="20" t="n">
        <f aca="false">Declarations!$B$20*Q88*Declarations!$D$20+Declarations!$B$20*R88*Declarations!$D$21+Declarations!$B$20*S88*Declarations!$D$22+Declarations!$B$21*R88*Declarations!$D$20+Declarations!$B$21*T88*Declarations!$D$21+Declarations!$B$21*U88*Declarations!$D$22+Declarations!$B$22*S88*Declarations!$D$20+Declarations!$B$22*U88*Declarations!$D$21+Declarations!$B$22*V88*Declarations!$D$22+0</f>
        <v>0.617283950001262</v>
      </c>
      <c r="T89" s="20" t="n">
        <f aca="false">Declarations!$C$20*Q88*Declarations!$C$20+Declarations!$C$20*R88*Declarations!$C$21+Declarations!$C$20*S88*Declarations!$C$22+Declarations!$C$21*R88*Declarations!$C$20+Declarations!$C$21*T88*Declarations!$C$21+Declarations!$C$21*U88*Declarations!$C$22+Declarations!$C$22*S88*Declarations!$C$20+Declarations!$C$22*U88*Declarations!$C$21+Declarations!$C$22*V88*Declarations!$C$22+1</f>
        <v>5.70169811275388</v>
      </c>
      <c r="U89" s="20" t="n">
        <f aca="false">Declarations!$C$20*Q88*Declarations!$D$20+Declarations!$C$20*R88*Declarations!$D$21+Declarations!$C$20*S88*Declarations!$D$22+Declarations!$C$21*R88*Declarations!$D$20+Declarations!$C$21*T88*Declarations!$D$21+Declarations!$C$21*U88*Declarations!$D$22+Declarations!$C$22*S88*Declarations!$D$20+Declarations!$C$22*U88*Declarations!$D$21+Declarations!$C$22*V88*Declarations!$D$22+0</f>
        <v>0.77160493796359</v>
      </c>
      <c r="V89" s="20" t="n">
        <f aca="false">Declarations!$D$20*Q88*Declarations!$D$20+Declarations!$D$20*R88*Declarations!$D$21+Declarations!$D$20*S88*Declarations!$D$22+Declarations!$D$21*R88*Declarations!$D$20+Declarations!$D$21*T88*Declarations!$D$21+Declarations!$D$21*U88*Declarations!$D$22+Declarations!$D$22*S88*Declarations!$D$20+Declarations!$D$22*U88*Declarations!$D$21+Declarations!$D$22*V88*Declarations!$D$22+1</f>
        <v>2.77777777777778</v>
      </c>
    </row>
    <row r="90" customFormat="false" ht="15" hidden="false" customHeight="false" outlineLevel="0" collapsed="false">
      <c r="A90" s="18" t="n">
        <v>81</v>
      </c>
      <c r="B90" s="20" t="n">
        <f aca="false">$B$4*B89*$B$4+$B$4*C89*$B$5+$B$5*C89*$B$4+$B$5*D89*$B$5+$E$4</f>
        <v>13.5689851358045</v>
      </c>
      <c r="C90" s="20" t="n">
        <f aca="false">$B$4*B89*$C$4+$B$4*C89*$C$5+$B$5*C89*$C$4+$B$5*D89*$C$5+$F$4</f>
        <v>-5.78466493750102</v>
      </c>
      <c r="D90" s="20" t="n">
        <f aca="false">$C$4*B89*$C$4+$C$4*C89*$C$5+$C$5*C89*$C$4+$C$5*D89*$C$5+$F$5</f>
        <v>11.9907494989637</v>
      </c>
      <c r="P90" s="18" t="n">
        <v>81</v>
      </c>
      <c r="Q90" s="20" t="n">
        <f aca="false">Declarations!$B$20*Q89*Declarations!$B$20+Declarations!$B$20*R89*Declarations!$B$21+Declarations!$B$20*S89*Declarations!$B$22+Declarations!$B$21*R89*Declarations!$B$20+Declarations!$B$21*T89*Declarations!$B$21+Declarations!$B$21*U89*Declarations!$B$22+Declarations!$B$22*S89*Declarations!$B$20+Declarations!$B$22*U89*Declarations!$B$21+Declarations!$B$22*V89*Declarations!$B$22+1</f>
        <v>10.294260605895</v>
      </c>
      <c r="R90" s="20" t="n">
        <f aca="false">Declarations!$B$20*Q89*Declarations!$C$20+Declarations!$B$20*R89*Declarations!$C$21+Declarations!$B$20*S89*Declarations!$C$22+Declarations!$B$21*R89*Declarations!$C$20+Declarations!$B$21*T89*Declarations!$C$21+Declarations!$B$21*U89*Declarations!$C$22+Declarations!$B$22*S89*Declarations!$C$20+Declarations!$B$22*U89*Declarations!$C$21+Declarations!$B$22*V89*Declarations!$C$22+0</f>
        <v>4.60539933189712</v>
      </c>
      <c r="S90" s="20" t="n">
        <f aca="false">Declarations!$B$20*Q89*Declarations!$D$20+Declarations!$B$20*R89*Declarations!$D$21+Declarations!$B$20*S89*Declarations!$D$22+Declarations!$B$21*R89*Declarations!$D$20+Declarations!$B$21*T89*Declarations!$D$21+Declarations!$B$21*U89*Declarations!$D$22+Declarations!$B$22*S89*Declarations!$D$20+Declarations!$B$22*U89*Declarations!$D$21+Declarations!$B$22*V89*Declarations!$D$22+0</f>
        <v>0.617283950149107</v>
      </c>
      <c r="T90" s="20" t="n">
        <f aca="false">Declarations!$C$20*Q89*Declarations!$C$20+Declarations!$C$20*R89*Declarations!$C$21+Declarations!$C$20*S89*Declarations!$C$22+Declarations!$C$21*R89*Declarations!$C$20+Declarations!$C$21*T89*Declarations!$C$21+Declarations!$C$21*U89*Declarations!$C$22+Declarations!$C$22*S89*Declarations!$C$20+Declarations!$C$22*U89*Declarations!$C$21+Declarations!$C$22*V89*Declarations!$C$22+1</f>
        <v>5.70178016807767</v>
      </c>
      <c r="U90" s="20" t="n">
        <f aca="false">Declarations!$C$20*Q89*Declarations!$D$20+Declarations!$C$20*R89*Declarations!$D$21+Declarations!$C$20*S89*Declarations!$D$22+Declarations!$C$21*R89*Declarations!$D$20+Declarations!$C$21*T89*Declarations!$D$21+Declarations!$C$21*U89*Declarations!$D$22+Declarations!$C$22*S89*Declarations!$D$20+Declarations!$C$22*U89*Declarations!$D$21+Declarations!$C$22*V89*Declarations!$D$22+0</f>
        <v>0.771604938037514</v>
      </c>
      <c r="V90" s="20" t="n">
        <f aca="false">Declarations!$D$20*Q89*Declarations!$D$20+Declarations!$D$20*R89*Declarations!$D$21+Declarations!$D$20*S89*Declarations!$D$22+Declarations!$D$21*R89*Declarations!$D$20+Declarations!$D$21*T89*Declarations!$D$21+Declarations!$D$21*U89*Declarations!$D$22+Declarations!$D$22*S89*Declarations!$D$20+Declarations!$D$22*U89*Declarations!$D$21+Declarations!$D$22*V89*Declarations!$D$22+1</f>
        <v>2.77777777777778</v>
      </c>
    </row>
    <row r="91" customFormat="false" ht="15" hidden="false" customHeight="false" outlineLevel="0" collapsed="false">
      <c r="A91" s="18" t="n">
        <v>82</v>
      </c>
      <c r="B91" s="20" t="n">
        <f aca="false">$B$4*B90*$B$4+$B$4*C90*$B$5+$B$5*C90*$B$4+$B$5*D90*$B$5+$E$4</f>
        <v>13.5692305714635</v>
      </c>
      <c r="C91" s="20" t="n">
        <f aca="false">$B$4*B90*$C$4+$B$4*C90*$C$5+$B$5*C90*$C$4+$B$5*D90*$C$5+$F$4</f>
        <v>-5.7846795162507</v>
      </c>
      <c r="D91" s="20" t="n">
        <f aca="false">$C$4*B90*$C$4+$C$4*C90*$C$5+$C$5*C90*$C$4+$C$5*D90*$C$5+$F$5</f>
        <v>11.9908779600016</v>
      </c>
      <c r="P91" s="18" t="n">
        <v>82</v>
      </c>
      <c r="Q91" s="20" t="n">
        <f aca="false">Declarations!$B$20*Q90*Declarations!$B$20+Declarations!$B$20*R90*Declarations!$B$21+Declarations!$B$20*S90*Declarations!$B$22+Declarations!$B$21*R90*Declarations!$B$20+Declarations!$B$21*T90*Declarations!$B$21+Declarations!$B$21*U90*Declarations!$B$22+Declarations!$B$22*S90*Declarations!$B$20+Declarations!$B$22*U90*Declarations!$B$21+Declarations!$B$22*V90*Declarations!$B$22+1</f>
        <v>10.2945568215354</v>
      </c>
      <c r="R91" s="20" t="n">
        <f aca="false">Declarations!$B$20*Q90*Declarations!$C$20+Declarations!$B$20*R90*Declarations!$C$21+Declarations!$B$20*S90*Declarations!$C$22+Declarations!$B$21*R90*Declarations!$C$20+Declarations!$B$21*T90*Declarations!$C$21+Declarations!$B$21*U90*Declarations!$C$22+Declarations!$B$22*S90*Declarations!$C$20+Declarations!$B$22*U90*Declarations!$C$21+Declarations!$B$22*V90*Declarations!$C$22+0</f>
        <v>4.60554744063731</v>
      </c>
      <c r="S91" s="20" t="n">
        <f aca="false">Declarations!$B$20*Q90*Declarations!$D$20+Declarations!$B$20*R90*Declarations!$D$21+Declarations!$B$20*S90*Declarations!$D$22+Declarations!$B$21*R90*Declarations!$D$20+Declarations!$B$21*T90*Declarations!$D$21+Declarations!$B$21*U90*Declarations!$D$22+Declarations!$B$22*S90*Declarations!$D$20+Declarations!$B$22*U90*Declarations!$D$21+Declarations!$B$22*V90*Declarations!$D$22+0</f>
        <v>0.61728395026147</v>
      </c>
      <c r="T91" s="20" t="n">
        <f aca="false">Declarations!$C$20*Q90*Declarations!$C$20+Declarations!$C$20*R90*Declarations!$C$21+Declarations!$C$20*S90*Declarations!$C$22+Declarations!$C$21*R90*Declarations!$C$20+Declarations!$C$21*T90*Declarations!$C$21+Declarations!$C$21*U90*Declarations!$C$22+Declarations!$C$22*S90*Declarations!$C$20+Declarations!$C$22*U90*Declarations!$C$21+Declarations!$C$22*V90*Declarations!$C$22+1</f>
        <v>5.70185422290775</v>
      </c>
      <c r="U91" s="20" t="n">
        <f aca="false">Declarations!$C$20*Q90*Declarations!$D$20+Declarations!$C$20*R90*Declarations!$D$21+Declarations!$C$20*S90*Declarations!$D$22+Declarations!$C$21*R90*Declarations!$D$20+Declarations!$C$21*T90*Declarations!$D$21+Declarations!$C$21*U90*Declarations!$D$22+Declarations!$C$22*S90*Declarations!$D$20+Declarations!$C$22*U90*Declarations!$D$21+Declarations!$C$22*V90*Declarations!$D$22+0</f>
        <v>0.771604938093696</v>
      </c>
      <c r="V91" s="20" t="n">
        <f aca="false">Declarations!$D$20*Q90*Declarations!$D$20+Declarations!$D$20*R90*Declarations!$D$21+Declarations!$D$20*S90*Declarations!$D$22+Declarations!$D$21*R90*Declarations!$D$20+Declarations!$D$21*T90*Declarations!$D$21+Declarations!$D$21*U90*Declarations!$D$22+Declarations!$D$22*S90*Declarations!$D$20+Declarations!$D$22*U90*Declarations!$D$21+Declarations!$D$22*V90*Declarations!$D$22+1</f>
        <v>2.77777777777778</v>
      </c>
    </row>
    <row r="92" customFormat="false" ht="15" hidden="false" customHeight="false" outlineLevel="0" collapsed="false">
      <c r="A92" s="18" t="n">
        <v>83</v>
      </c>
      <c r="B92" s="20" t="n">
        <f aca="false">$B$4*B91*$B$4+$B$4*C91*$B$5+$B$5*C91*$B$4+$B$5*D91*$B$5+$E$4</f>
        <v>13.5695315936358</v>
      </c>
      <c r="C92" s="20" t="n">
        <f aca="false">$B$4*B91*$C$4+$B$4*C91*$C$5+$B$5*C91*$C$4+$B$5*D91*$C$5+$F$4</f>
        <v>-5.78486519825983</v>
      </c>
      <c r="D92" s="20" t="n">
        <f aca="false">$C$4*B91*$C$4+$C$4*C91*$C$5+$C$5*C91*$C$4+$C$5*D91*$C$5+$F$5</f>
        <v>11.9910767628855</v>
      </c>
      <c r="P92" s="18" t="n">
        <v>83</v>
      </c>
      <c r="Q92" s="20" t="n">
        <f aca="false">Declarations!$B$20*Q91*Declarations!$B$20+Declarations!$B$20*R91*Declarations!$B$21+Declarations!$B$20*S91*Declarations!$B$22+Declarations!$B$21*R91*Declarations!$B$20+Declarations!$B$21*T91*Declarations!$B$21+Declarations!$B$21*U91*Declarations!$B$22+Declarations!$B$22*S91*Declarations!$B$20+Declarations!$B$22*U91*Declarations!$B$21+Declarations!$B$22*V91*Declarations!$B$22+1</f>
        <v>10.2948241563364</v>
      </c>
      <c r="R92" s="20" t="n">
        <f aca="false">Declarations!$B$20*Q91*Declarations!$C$20+Declarations!$B$20*R91*Declarations!$C$21+Declarations!$B$20*S91*Declarations!$C$22+Declarations!$B$21*R91*Declarations!$C$20+Declarations!$B$21*T91*Declarations!$C$21+Declarations!$B$21*U91*Declarations!$C$22+Declarations!$B$22*S91*Declarations!$C$20+Declarations!$B$22*U91*Declarations!$C$21+Declarations!$B$22*V91*Declarations!$C$22+0</f>
        <v>4.60568110874498</v>
      </c>
      <c r="S92" s="20" t="n">
        <f aca="false">Declarations!$B$20*Q91*Declarations!$D$20+Declarations!$B$20*R91*Declarations!$D$21+Declarations!$B$20*S91*Declarations!$D$22+Declarations!$B$21*R91*Declarations!$D$20+Declarations!$B$21*T91*Declarations!$D$21+Declarations!$B$21*U91*Declarations!$D$22+Declarations!$B$22*S91*Declarations!$D$20+Declarations!$B$22*U91*Declarations!$D$21+Declarations!$B$22*V91*Declarations!$D$22+0</f>
        <v>0.617283950346865</v>
      </c>
      <c r="T92" s="20" t="n">
        <f aca="false">Declarations!$C$20*Q91*Declarations!$C$20+Declarations!$C$20*R91*Declarations!$C$21+Declarations!$C$20*S91*Declarations!$C$22+Declarations!$C$21*R91*Declarations!$C$20+Declarations!$C$21*T91*Declarations!$C$21+Declarations!$C$21*U91*Declarations!$C$22+Declarations!$C$22*S91*Declarations!$C$20+Declarations!$C$22*U91*Declarations!$C$21+Declarations!$C$22*V91*Declarations!$C$22+1</f>
        <v>5.70192105731518</v>
      </c>
      <c r="U92" s="20" t="n">
        <f aca="false">Declarations!$C$20*Q91*Declarations!$D$20+Declarations!$C$20*R91*Declarations!$D$21+Declarations!$C$20*S91*Declarations!$D$22+Declarations!$C$21*R91*Declarations!$D$20+Declarations!$C$21*T91*Declarations!$D$21+Declarations!$C$21*U91*Declarations!$D$22+Declarations!$C$22*S91*Declarations!$D$20+Declarations!$C$22*U91*Declarations!$D$21+Declarations!$C$22*V91*Declarations!$D$22+0</f>
        <v>0.771604938136394</v>
      </c>
      <c r="V92" s="20" t="n">
        <f aca="false">Declarations!$D$20*Q91*Declarations!$D$20+Declarations!$D$20*R91*Declarations!$D$21+Declarations!$D$20*S91*Declarations!$D$22+Declarations!$D$21*R91*Declarations!$D$20+Declarations!$D$21*T91*Declarations!$D$21+Declarations!$D$21*U91*Declarations!$D$22+Declarations!$D$22*S91*Declarations!$D$20+Declarations!$D$22*U91*Declarations!$D$21+Declarations!$D$22*V91*Declarations!$D$22+1</f>
        <v>2.77777777777778</v>
      </c>
    </row>
    <row r="93" customFormat="false" ht="15" hidden="false" customHeight="false" outlineLevel="0" collapsed="false">
      <c r="A93" s="18" t="n">
        <v>84</v>
      </c>
      <c r="B93" s="20" t="n">
        <f aca="false">$B$4*B92*$B$4+$B$4*C92*$B$5+$B$5*C92*$B$4+$B$5*D92*$B$5+$E$4</f>
        <v>13.5696399968628</v>
      </c>
      <c r="C93" s="20" t="n">
        <f aca="false">$B$4*B92*$C$4+$B$4*C92*$C$5+$B$5*C92*$C$4+$B$5*D92*$C$5+$F$4</f>
        <v>-5.78494191241116</v>
      </c>
      <c r="D93" s="20" t="n">
        <f aca="false">$C$4*B92*$C$4+$C$4*C92*$C$5+$C$5*C92*$C$4+$C$5*D92*$C$5+$F$5</f>
        <v>11.991320590845</v>
      </c>
      <c r="P93" s="18" t="n">
        <v>84</v>
      </c>
      <c r="Q93" s="20" t="n">
        <f aca="false">Declarations!$B$20*Q92*Declarations!$B$20+Declarations!$B$20*R92*Declarations!$B$21+Declarations!$B$20*S92*Declarations!$B$22+Declarations!$B$21*R92*Declarations!$B$20+Declarations!$B$21*T92*Declarations!$B$21+Declarations!$B$21*U92*Declarations!$B$22+Declarations!$B$22*S92*Declarations!$B$20+Declarations!$B$22*U92*Declarations!$B$21+Declarations!$B$22*V92*Declarations!$B$22+1</f>
        <v>10.2950654261368</v>
      </c>
      <c r="R93" s="20" t="n">
        <f aca="false">Declarations!$B$20*Q92*Declarations!$C$20+Declarations!$B$20*R92*Declarations!$C$21+Declarations!$B$20*S92*Declarations!$C$22+Declarations!$B$21*R92*Declarations!$C$20+Declarations!$B$21*T92*Declarations!$C$21+Declarations!$B$21*U92*Declarations!$C$22+Declarations!$B$22*S92*Declarations!$C$20+Declarations!$B$22*U92*Declarations!$C$21+Declarations!$B$22*V92*Declarations!$C$22+0</f>
        <v>4.6058017441887</v>
      </c>
      <c r="S93" s="20" t="n">
        <f aca="false">Declarations!$B$20*Q92*Declarations!$D$20+Declarations!$B$20*R92*Declarations!$D$21+Declarations!$B$20*S92*Declarations!$D$22+Declarations!$B$21*R92*Declarations!$D$20+Declarations!$B$21*T92*Declarations!$D$21+Declarations!$B$21*U92*Declarations!$D$22+Declarations!$B$22*S92*Declarations!$D$20+Declarations!$B$22*U92*Declarations!$D$21+Declarations!$B$22*V92*Declarations!$D$22+0</f>
        <v>0.617283950411766</v>
      </c>
      <c r="T93" s="20" t="n">
        <f aca="false">Declarations!$C$20*Q92*Declarations!$C$20+Declarations!$C$20*R92*Declarations!$C$21+Declarations!$C$20*S92*Declarations!$C$22+Declarations!$C$21*R92*Declarations!$C$20+Declarations!$C$21*T92*Declarations!$C$21+Declarations!$C$21*U92*Declarations!$C$22+Declarations!$C$22*S92*Declarations!$C$20+Declarations!$C$22*U92*Declarations!$C$21+Declarations!$C$22*V92*Declarations!$C$22+1</f>
        <v>5.70198137530882</v>
      </c>
      <c r="U93" s="20" t="n">
        <f aca="false">Declarations!$C$20*Q92*Declarations!$D$20+Declarations!$C$20*R92*Declarations!$D$21+Declarations!$C$20*S92*Declarations!$D$22+Declarations!$C$21*R92*Declarations!$D$20+Declarations!$C$21*T92*Declarations!$D$21+Declarations!$C$21*U92*Declarations!$D$22+Declarations!$C$22*S92*Declarations!$D$20+Declarations!$C$22*U92*Declarations!$D$21+Declarations!$C$22*V92*Declarations!$D$22+0</f>
        <v>0.771604938168845</v>
      </c>
      <c r="V93" s="20" t="n">
        <f aca="false">Declarations!$D$20*Q92*Declarations!$D$20+Declarations!$D$20*R92*Declarations!$D$21+Declarations!$D$20*S92*Declarations!$D$22+Declarations!$D$21*R92*Declarations!$D$20+Declarations!$D$21*T92*Declarations!$D$21+Declarations!$D$21*U92*Declarations!$D$22+Declarations!$D$22*S92*Declarations!$D$20+Declarations!$D$22*U92*Declarations!$D$21+Declarations!$D$22*V92*Declarations!$D$22+1</f>
        <v>2.77777777777778</v>
      </c>
    </row>
    <row r="94" customFormat="false" ht="15" hidden="false" customHeight="false" outlineLevel="0" collapsed="false">
      <c r="A94" s="18" t="n">
        <v>85</v>
      </c>
      <c r="B94" s="20" t="n">
        <f aca="false">$B$4*B93*$B$4+$B$4*C93*$B$5+$B$5*C93*$B$4+$B$5*D93*$B$5+$E$4</f>
        <v>13.5698335459638</v>
      </c>
      <c r="C94" s="20" t="n">
        <f aca="false">$B$4*B93*$C$4+$B$4*C93*$C$5+$B$5*C93*$C$4+$B$5*D93*$C$5+$F$4</f>
        <v>-5.78496067628881</v>
      </c>
      <c r="D94" s="20" t="n">
        <f aca="false">$C$4*B93*$C$4+$C$4*C93*$C$5+$C$5*C93*$C$4+$C$5*D93*$C$5+$F$5</f>
        <v>11.9914083974589</v>
      </c>
      <c r="P94" s="18" t="n">
        <v>85</v>
      </c>
      <c r="Q94" s="20" t="n">
        <f aca="false">Declarations!$B$20*Q93*Declarations!$B$20+Declarations!$B$20*R93*Declarations!$B$21+Declarations!$B$20*S93*Declarations!$B$22+Declarations!$B$21*R93*Declarations!$B$20+Declarations!$B$21*T93*Declarations!$B$21+Declarations!$B$21*U93*Declarations!$B$22+Declarations!$B$22*S93*Declarations!$B$20+Declarations!$B$22*U93*Declarations!$B$21+Declarations!$B$22*V93*Declarations!$B$22+1</f>
        <v>10.295283172241</v>
      </c>
      <c r="R94" s="20" t="n">
        <f aca="false">Declarations!$B$20*Q93*Declarations!$C$20+Declarations!$B$20*R93*Declarations!$C$21+Declarations!$B$20*S93*Declarations!$C$22+Declarations!$B$21*R93*Declarations!$C$20+Declarations!$B$21*T93*Declarations!$C$21+Declarations!$B$21*U93*Declarations!$C$22+Declarations!$B$22*S93*Declarations!$C$20+Declarations!$B$22*U93*Declarations!$C$21+Declarations!$B$22*V93*Declarations!$C$22+0</f>
        <v>4.60591061765854</v>
      </c>
      <c r="S94" s="20" t="n">
        <f aca="false">Declarations!$B$20*Q93*Declarations!$D$20+Declarations!$B$20*R93*Declarations!$D$21+Declarations!$B$20*S93*Declarations!$D$22+Declarations!$B$21*R93*Declarations!$D$20+Declarations!$B$21*T93*Declarations!$D$21+Declarations!$B$21*U93*Declarations!$D$22+Declarations!$B$22*S93*Declarations!$D$20+Declarations!$B$22*U93*Declarations!$D$21+Declarations!$B$22*V93*Declarations!$D$22+0</f>
        <v>0.61728395046109</v>
      </c>
      <c r="T94" s="20" t="n">
        <f aca="false">Declarations!$C$20*Q93*Declarations!$C$20+Declarations!$C$20*R93*Declarations!$C$21+Declarations!$C$20*S93*Declarations!$C$22+Declarations!$C$21*R93*Declarations!$C$20+Declarations!$C$21*T93*Declarations!$C$21+Declarations!$C$21*U93*Declarations!$C$22+Declarations!$C$22*S93*Declarations!$C$20+Declarations!$C$22*U93*Declarations!$C$21+Declarations!$C$22*V93*Declarations!$C$22+1</f>
        <v>5.7020358122526</v>
      </c>
      <c r="U94" s="20" t="n">
        <f aca="false">Declarations!$C$20*Q93*Declarations!$D$20+Declarations!$C$20*R93*Declarations!$D$21+Declarations!$C$20*S93*Declarations!$D$22+Declarations!$C$21*R93*Declarations!$D$20+Declarations!$C$21*T93*Declarations!$D$21+Declarations!$C$21*U93*Declarations!$D$22+Declarations!$C$22*S93*Declarations!$D$20+Declarations!$C$22*U93*Declarations!$D$21+Declarations!$C$22*V93*Declarations!$D$22+0</f>
        <v>0.771604938193507</v>
      </c>
      <c r="V94" s="20" t="n">
        <f aca="false">Declarations!$D$20*Q93*Declarations!$D$20+Declarations!$D$20*R93*Declarations!$D$21+Declarations!$D$20*S93*Declarations!$D$22+Declarations!$D$21*R93*Declarations!$D$20+Declarations!$D$21*T93*Declarations!$D$21+Declarations!$D$21*U93*Declarations!$D$22+Declarations!$D$22*S93*Declarations!$D$20+Declarations!$D$22*U93*Declarations!$D$21+Declarations!$D$22*V93*Declarations!$D$22+1</f>
        <v>2.77777777777778</v>
      </c>
    </row>
    <row r="95" customFormat="false" ht="15" hidden="false" customHeight="false" outlineLevel="0" collapsed="false">
      <c r="A95" s="18" t="n">
        <v>86</v>
      </c>
      <c r="B95" s="20" t="n">
        <f aca="false">$B$4*B94*$B$4+$B$4*C94*$B$5+$B$5*C94*$B$4+$B$5*D94*$B$5+$E$4</f>
        <v>13.5700443523697</v>
      </c>
      <c r="C95" s="20" t="n">
        <f aca="false">$B$4*B94*$C$4+$B$4*C94*$C$5+$B$5*C94*$C$4+$B$5*D94*$C$5+$F$4</f>
        <v>-5.78510056357072</v>
      </c>
      <c r="D95" s="20" t="n">
        <f aca="false">$C$4*B94*$C$4+$C$4*C94*$C$5+$C$5*C94*$C$4+$C$5*D94*$C$5+$F$5</f>
        <v>11.9915651722306</v>
      </c>
      <c r="P95" s="18" t="n">
        <v>86</v>
      </c>
      <c r="Q95" s="20" t="n">
        <f aca="false">Declarations!$B$20*Q94*Declarations!$B$20+Declarations!$B$20*R94*Declarations!$B$21+Declarations!$B$20*S94*Declarations!$B$22+Declarations!$B$21*R94*Declarations!$B$20+Declarations!$B$21*T94*Declarations!$B$21+Declarations!$B$21*U94*Declarations!$B$22+Declarations!$B$22*S94*Declarations!$B$20+Declarations!$B$22*U94*Declarations!$B$21+Declarations!$B$22*V94*Declarations!$B$22+1</f>
        <v>10.2954796881842</v>
      </c>
      <c r="R95" s="20" t="n">
        <f aca="false">Declarations!$B$20*Q94*Declarations!$C$20+Declarations!$B$20*R94*Declarations!$C$21+Declarations!$B$20*S94*Declarations!$C$22+Declarations!$B$21*R94*Declarations!$C$20+Declarations!$B$21*T94*Declarations!$C$21+Declarations!$B$21*U94*Declarations!$C$22+Declarations!$B$22*S94*Declarations!$C$20+Declarations!$B$22*U94*Declarations!$C$21+Declarations!$B$22*V94*Declarations!$C$22+0</f>
        <v>4.6060088759511</v>
      </c>
      <c r="S95" s="20" t="n">
        <f aca="false">Declarations!$B$20*Q94*Declarations!$D$20+Declarations!$B$20*R94*Declarations!$D$21+Declarations!$B$20*S94*Declarations!$D$22+Declarations!$B$21*R94*Declarations!$D$20+Declarations!$B$21*T94*Declarations!$D$21+Declarations!$B$21*U94*Declarations!$D$22+Declarations!$B$22*S94*Declarations!$D$20+Declarations!$B$22*U94*Declarations!$D$21+Declarations!$B$22*V94*Declarations!$D$22+0</f>
        <v>0.617283950498577</v>
      </c>
      <c r="T95" s="20" t="n">
        <f aca="false">Declarations!$C$20*Q94*Declarations!$C$20+Declarations!$C$20*R94*Declarations!$C$21+Declarations!$C$20*S94*Declarations!$C$22+Declarations!$C$21*R94*Declarations!$C$20+Declarations!$C$21*T94*Declarations!$C$21+Declarations!$C$21*U94*Declarations!$C$22+Declarations!$C$22*S94*Declarations!$C$20+Declarations!$C$22*U94*Declarations!$C$21+Declarations!$C$22*V94*Declarations!$C$22+1</f>
        <v>5.70208494155937</v>
      </c>
      <c r="U95" s="20" t="n">
        <f aca="false">Declarations!$C$20*Q94*Declarations!$D$20+Declarations!$C$20*R94*Declarations!$D$21+Declarations!$C$20*S94*Declarations!$D$22+Declarations!$C$21*R94*Declarations!$D$20+Declarations!$C$21*T94*Declarations!$D$21+Declarations!$C$21*U94*Declarations!$D$22+Declarations!$C$22*S94*Declarations!$D$20+Declarations!$C$22*U94*Declarations!$D$21+Declarations!$C$22*V94*Declarations!$D$22+0</f>
        <v>0.771604938212251</v>
      </c>
      <c r="V95" s="20" t="n">
        <f aca="false">Declarations!$D$20*Q94*Declarations!$D$20+Declarations!$D$20*R94*Declarations!$D$21+Declarations!$D$20*S94*Declarations!$D$22+Declarations!$D$21*R94*Declarations!$D$20+Declarations!$D$21*T94*Declarations!$D$21+Declarations!$D$21*U94*Declarations!$D$22+Declarations!$D$22*S94*Declarations!$D$20+Declarations!$D$22*U94*Declarations!$D$21+Declarations!$D$22*V94*Declarations!$D$22+1</f>
        <v>2.77777777777778</v>
      </c>
    </row>
    <row r="96" customFormat="false" ht="15" hidden="false" customHeight="false" outlineLevel="0" collapsed="false">
      <c r="A96" s="18" t="n">
        <v>87</v>
      </c>
      <c r="B96" s="20" t="n">
        <f aca="false">$B$4*B95*$B$4+$B$4*C95*$B$5+$B$5*C95*$B$4+$B$5*D95*$B$5+$E$4</f>
        <v>13.5701200832228</v>
      </c>
      <c r="C96" s="20" t="n">
        <f aca="false">$B$4*B95*$C$4+$B$4*C95*$C$5+$B$5*C95*$C$4+$B$5*D95*$C$5+$F$4</f>
        <v>-5.78514541820576</v>
      </c>
      <c r="D96" s="20" t="n">
        <f aca="false">$C$4*B95*$C$4+$C$4*C95*$C$5+$C$5*C95*$C$4+$C$5*D95*$C$5+$F$5</f>
        <v>11.9917359254194</v>
      </c>
      <c r="P96" s="18" t="n">
        <v>87</v>
      </c>
      <c r="Q96" s="20" t="n">
        <f aca="false">Declarations!$B$20*Q95*Declarations!$B$20+Declarations!$B$20*R95*Declarations!$B$21+Declarations!$B$20*S95*Declarations!$B$22+Declarations!$B$21*R95*Declarations!$B$20+Declarations!$B$21*T95*Declarations!$B$21+Declarations!$B$21*U95*Declarations!$B$22+Declarations!$B$22*S95*Declarations!$B$20+Declarations!$B$22*U95*Declarations!$B$21+Declarations!$B$22*V95*Declarations!$B$22+1</f>
        <v>10.2956570438874</v>
      </c>
      <c r="R96" s="20" t="n">
        <f aca="false">Declarations!$B$20*Q95*Declarations!$C$20+Declarations!$B$20*R95*Declarations!$C$21+Declarations!$B$20*S95*Declarations!$C$22+Declarations!$B$21*R95*Declarations!$C$20+Declarations!$B$21*T95*Declarations!$C$21+Declarations!$B$21*U95*Declarations!$C$22+Declarations!$B$22*S95*Declarations!$C$20+Declarations!$B$22*U95*Declarations!$C$21+Declarations!$B$22*V95*Declarations!$C$22+0</f>
        <v>4.60609755404933</v>
      </c>
      <c r="S96" s="20" t="n">
        <f aca="false">Declarations!$B$20*Q95*Declarations!$D$20+Declarations!$B$20*R95*Declarations!$D$21+Declarations!$B$20*S95*Declarations!$D$22+Declarations!$B$21*R95*Declarations!$D$20+Declarations!$B$21*T95*Declarations!$D$21+Declarations!$B$21*U95*Declarations!$D$22+Declarations!$B$22*S95*Declarations!$D$20+Declarations!$B$22*U95*Declarations!$D$21+Declarations!$B$22*V95*Declarations!$D$22+0</f>
        <v>0.617283950527066</v>
      </c>
      <c r="T96" s="20" t="n">
        <f aca="false">Declarations!$C$20*Q95*Declarations!$C$20+Declarations!$C$20*R95*Declarations!$C$21+Declarations!$C$20*S95*Declarations!$C$22+Declarations!$C$21*R95*Declarations!$C$20+Declarations!$C$21*T95*Declarations!$C$21+Declarations!$C$21*U95*Declarations!$C$22+Declarations!$C$22*S95*Declarations!$C$20+Declarations!$C$22*U95*Declarations!$C$21+Declarations!$C$22*V95*Declarations!$C$22+1</f>
        <v>5.70212928073179</v>
      </c>
      <c r="U96" s="20" t="n">
        <f aca="false">Declarations!$C$20*Q95*Declarations!$D$20+Declarations!$C$20*R95*Declarations!$D$21+Declarations!$C$20*S95*Declarations!$D$22+Declarations!$C$21*R95*Declarations!$D$20+Declarations!$C$21*T95*Declarations!$D$21+Declarations!$C$21*U95*Declarations!$D$22+Declarations!$C$22*S95*Declarations!$D$20+Declarations!$C$22*U95*Declarations!$D$21+Declarations!$C$22*V95*Declarations!$D$22+0</f>
        <v>0.771604938226496</v>
      </c>
      <c r="V96" s="20" t="n">
        <f aca="false">Declarations!$D$20*Q95*Declarations!$D$20+Declarations!$D$20*R95*Declarations!$D$21+Declarations!$D$20*S95*Declarations!$D$22+Declarations!$D$21*R95*Declarations!$D$20+Declarations!$D$21*T95*Declarations!$D$21+Declarations!$D$21*U95*Declarations!$D$22+Declarations!$D$22*S95*Declarations!$D$20+Declarations!$D$22*U95*Declarations!$D$21+Declarations!$D$22*V95*Declarations!$D$22+1</f>
        <v>2.77777777777778</v>
      </c>
    </row>
    <row r="97" customFormat="false" ht="15" hidden="false" customHeight="false" outlineLevel="0" collapsed="false">
      <c r="A97" s="18" t="n">
        <v>88</v>
      </c>
      <c r="B97" s="20" t="n">
        <f aca="false">$B$4*B96*$B$4+$B$4*C96*$B$5+$B$5*C96*$B$4+$B$5*D96*$B$5+$E$4</f>
        <v>13.5702714400595</v>
      </c>
      <c r="C97" s="20" t="n">
        <f aca="false">$B$4*B96*$C$4+$B$4*C96*$C$5+$B$5*C96*$C$4+$B$5*D96*$C$5+$F$4</f>
        <v>-5.78516639102525</v>
      </c>
      <c r="D97" s="20" t="n">
        <f aca="false">$C$4*B96*$C$4+$C$4*C96*$C$5+$C$5*C96*$C$4+$C$5*D96*$C$5+$F$5</f>
        <v>11.9917972674104</v>
      </c>
      <c r="P97" s="18" t="n">
        <v>88</v>
      </c>
      <c r="Q97" s="20" t="n">
        <f aca="false">Declarations!$B$20*Q96*Declarations!$B$20+Declarations!$B$20*R96*Declarations!$B$21+Declarations!$B$20*S96*Declarations!$B$22+Declarations!$B$21*R96*Declarations!$B$20+Declarations!$B$21*T96*Declarations!$B$21+Declarations!$B$21*U96*Declarations!$B$22+Declarations!$B$22*S96*Declarations!$B$20+Declarations!$B$22*U96*Declarations!$B$21+Declarations!$B$22*V96*Declarations!$B$22+1</f>
        <v>10.2958171074591</v>
      </c>
      <c r="R97" s="20" t="n">
        <f aca="false">Declarations!$B$20*Q96*Declarations!$C$20+Declarations!$B$20*R96*Declarations!$C$21+Declarations!$B$20*S96*Declarations!$C$22+Declarations!$B$21*R96*Declarations!$C$20+Declarations!$B$21*T96*Declarations!$C$21+Declarations!$B$21*U96*Declarations!$C$22+Declarations!$B$22*S96*Declarations!$C$20+Declarations!$B$22*U96*Declarations!$C$21+Declarations!$B$22*V96*Declarations!$C$22+0</f>
        <v>4.60617758602465</v>
      </c>
      <c r="S97" s="20" t="n">
        <f aca="false">Declarations!$B$20*Q96*Declarations!$D$20+Declarations!$B$20*R96*Declarations!$D$21+Declarations!$B$20*S96*Declarations!$D$22+Declarations!$B$21*R96*Declarations!$D$20+Declarations!$B$21*T96*Declarations!$D$21+Declarations!$B$21*U96*Declarations!$D$22+Declarations!$B$22*S96*Declarations!$D$20+Declarations!$B$22*U96*Declarations!$D$21+Declarations!$B$22*V96*Declarations!$D$22+0</f>
        <v>0.617283950548719</v>
      </c>
      <c r="T97" s="20" t="n">
        <f aca="false">Declarations!$C$20*Q96*Declarations!$C$20+Declarations!$C$20*R96*Declarations!$C$21+Declarations!$C$20*S96*Declarations!$C$22+Declarations!$C$21*R96*Declarations!$C$20+Declarations!$C$21*T96*Declarations!$C$21+Declarations!$C$21*U96*Declarations!$C$22+Declarations!$C$22*S96*Declarations!$C$20+Declarations!$C$22*U96*Declarations!$C$21+Declarations!$C$22*V96*Declarations!$C$22+1</f>
        <v>5.70216929681418</v>
      </c>
      <c r="U97" s="20" t="n">
        <f aca="false">Declarations!$C$20*Q96*Declarations!$D$20+Declarations!$C$20*R96*Declarations!$D$21+Declarations!$C$20*S96*Declarations!$D$22+Declarations!$C$21*R96*Declarations!$D$20+Declarations!$C$21*T96*Declarations!$D$21+Declarations!$C$21*U96*Declarations!$D$22+Declarations!$C$22*S96*Declarations!$D$20+Declarations!$C$22*U96*Declarations!$D$21+Declarations!$C$22*V96*Declarations!$D$22+0</f>
        <v>0.771604938237322</v>
      </c>
      <c r="V97" s="20" t="n">
        <f aca="false">Declarations!$D$20*Q96*Declarations!$D$20+Declarations!$D$20*R96*Declarations!$D$21+Declarations!$D$20*S96*Declarations!$D$22+Declarations!$D$21*R96*Declarations!$D$20+Declarations!$D$21*T96*Declarations!$D$21+Declarations!$D$21*U96*Declarations!$D$22+Declarations!$D$22*S96*Declarations!$D$20+Declarations!$D$22*U96*Declarations!$D$21+Declarations!$D$22*V96*Declarations!$D$22+1</f>
        <v>2.77777777777778</v>
      </c>
    </row>
    <row r="98" customFormat="false" ht="15" hidden="false" customHeight="false" outlineLevel="0" collapsed="false">
      <c r="A98" s="18" t="n">
        <v>89</v>
      </c>
      <c r="B98" s="20" t="n">
        <f aca="false">$B$4*B97*$B$4+$B$4*C97*$B$5+$B$5*C97*$B$4+$B$5*D97*$B$5+$E$4</f>
        <v>13.5704176300132</v>
      </c>
      <c r="C98" s="20" t="n">
        <f aca="false">$B$4*B97*$C$4+$B$4*C97*$C$5+$B$5*C97*$C$4+$B$5*D97*$C$5+$F$4</f>
        <v>-5.78527011452545</v>
      </c>
      <c r="D98" s="20" t="n">
        <f aca="false">$C$4*B97*$C$4+$C$4*C97*$C$5+$C$5*C97*$C$4+$C$5*D97*$C$5+$F$5</f>
        <v>11.9919198664482</v>
      </c>
      <c r="P98" s="18" t="n">
        <v>89</v>
      </c>
      <c r="Q98" s="20" t="n">
        <f aca="false">Declarations!$B$20*Q97*Declarations!$B$20+Declarations!$B$20*R97*Declarations!$B$21+Declarations!$B$20*S97*Declarations!$B$22+Declarations!$B$21*R97*Declarations!$B$20+Declarations!$B$21*T97*Declarations!$B$21+Declarations!$B$21*U97*Declarations!$B$22+Declarations!$B$22*S97*Declarations!$B$20+Declarations!$B$22*U97*Declarations!$B$21+Declarations!$B$22*V97*Declarations!$B$22+1</f>
        <v>10.2959615648707</v>
      </c>
      <c r="R98" s="20" t="n">
        <f aca="false">Declarations!$B$20*Q97*Declarations!$C$20+Declarations!$B$20*R97*Declarations!$C$21+Declarations!$B$20*S97*Declarations!$C$22+Declarations!$B$21*R97*Declarations!$C$20+Declarations!$B$21*T97*Declarations!$C$21+Declarations!$B$21*U97*Declarations!$C$22+Declarations!$B$22*S97*Declarations!$C$20+Declarations!$B$22*U97*Declarations!$C$21+Declarations!$B$22*V97*Declarations!$C$22+0</f>
        <v>4.60624981487595</v>
      </c>
      <c r="S98" s="20" t="n">
        <f aca="false">Declarations!$B$20*Q97*Declarations!$D$20+Declarations!$B$20*R97*Declarations!$D$21+Declarations!$B$20*S97*Declarations!$D$22+Declarations!$B$21*R97*Declarations!$D$20+Declarations!$B$21*T97*Declarations!$D$21+Declarations!$B$21*U97*Declarations!$D$22+Declarations!$B$22*S97*Declarations!$D$20+Declarations!$B$22*U97*Declarations!$D$21+Declarations!$B$22*V97*Declarations!$D$22+0</f>
        <v>0.617283950565174</v>
      </c>
      <c r="T98" s="20" t="n">
        <f aca="false">Declarations!$C$20*Q97*Declarations!$C$20+Declarations!$C$20*R97*Declarations!$C$21+Declarations!$C$20*S97*Declarations!$C$22+Declarations!$C$21*R97*Declarations!$C$20+Declarations!$C$21*T97*Declarations!$C$21+Declarations!$C$21*U97*Declarations!$C$22+Declarations!$C$22*S97*Declarations!$C$20+Declarations!$C$22*U97*Declarations!$C$21+Declarations!$C$22*V97*Declarations!$C$22+1</f>
        <v>5.7022054113126</v>
      </c>
      <c r="U98" s="20" t="n">
        <f aca="false">Declarations!$C$20*Q97*Declarations!$D$20+Declarations!$C$20*R97*Declarations!$D$21+Declarations!$C$20*S97*Declarations!$D$22+Declarations!$C$21*R97*Declarations!$D$20+Declarations!$C$21*T97*Declarations!$D$21+Declarations!$C$21*U97*Declarations!$D$22+Declarations!$C$22*S97*Declarations!$D$20+Declarations!$C$22*U97*Declarations!$D$21+Declarations!$C$22*V97*Declarations!$D$22+0</f>
        <v>0.77160493824555</v>
      </c>
      <c r="V98" s="20" t="n">
        <f aca="false">Declarations!$D$20*Q97*Declarations!$D$20+Declarations!$D$20*R97*Declarations!$D$21+Declarations!$D$20*S97*Declarations!$D$22+Declarations!$D$21*R97*Declarations!$D$20+Declarations!$D$21*T97*Declarations!$D$21+Declarations!$D$21*U97*Declarations!$D$22+Declarations!$D$22*S97*Declarations!$D$20+Declarations!$D$22*U97*Declarations!$D$21+Declarations!$D$22*V97*Declarations!$D$22+1</f>
        <v>2.77777777777778</v>
      </c>
    </row>
    <row r="99" customFormat="false" ht="15" hidden="false" customHeight="false" outlineLevel="0" collapsed="false">
      <c r="A99" s="18" t="n">
        <v>90</v>
      </c>
      <c r="B99" s="20" t="n">
        <f aca="false">$B$4*B98*$B$4+$B$4*C98*$B$5+$B$5*C98*$B$4+$B$5*D98*$B$5+$E$4</f>
        <v>13.570471940613</v>
      </c>
      <c r="C99" s="20" t="n">
        <f aca="false">$B$4*B98*$C$4+$B$4*C98*$C$5+$B$5*C98*$C$4+$B$5*D98*$C$5+$F$4</f>
        <v>-5.78529517723776</v>
      </c>
      <c r="D99" s="20" t="n">
        <f aca="false">$C$4*B98*$C$4+$C$4*C98*$C$5+$C$5*C98*$C$4+$C$5*D98*$C$5+$F$5</f>
        <v>11.9920382803107</v>
      </c>
      <c r="P99" s="18" t="n">
        <v>90</v>
      </c>
      <c r="Q99" s="20" t="n">
        <f aca="false">Declarations!$B$20*Q98*Declarations!$B$20+Declarations!$B$20*R98*Declarations!$B$21+Declarations!$B$20*S98*Declarations!$B$22+Declarations!$B$21*R98*Declarations!$B$20+Declarations!$B$21*T98*Declarations!$B$21+Declarations!$B$21*U98*Declarations!$B$22+Declarations!$B$22*S98*Declarations!$B$20+Declarations!$B$22*U98*Declarations!$B$21+Declarations!$B$22*V98*Declarations!$B$22+1</f>
        <v>10.2960919377138</v>
      </c>
      <c r="R99" s="20" t="n">
        <f aca="false">Declarations!$B$20*Q98*Declarations!$C$20+Declarations!$B$20*R98*Declarations!$C$21+Declarations!$B$20*S98*Declarations!$C$22+Declarations!$B$21*R98*Declarations!$C$20+Declarations!$B$21*T98*Declarations!$C$21+Declarations!$B$21*U98*Declarations!$C$22+Declarations!$B$22*S98*Declarations!$C$20+Declarations!$B$22*U98*Declarations!$C$21+Declarations!$B$22*V98*Declarations!$C$22+0</f>
        <v>4.6063150014093</v>
      </c>
      <c r="S99" s="20" t="n">
        <f aca="false">Declarations!$B$20*Q98*Declarations!$D$20+Declarations!$B$20*R98*Declarations!$D$21+Declarations!$B$20*S98*Declarations!$D$22+Declarations!$B$21*R98*Declarations!$D$20+Declarations!$B$21*T98*Declarations!$D$21+Declarations!$B$21*U98*Declarations!$D$22+Declarations!$B$22*S98*Declarations!$D$20+Declarations!$B$22*U98*Declarations!$D$21+Declarations!$B$22*V98*Declarations!$D$22+0</f>
        <v>0.617283950577681</v>
      </c>
      <c r="T99" s="20" t="n">
        <f aca="false">Declarations!$C$20*Q98*Declarations!$C$20+Declarations!$C$20*R98*Declarations!$C$21+Declarations!$C$20*S98*Declarations!$C$22+Declarations!$C$21*R98*Declarations!$C$20+Declarations!$C$21*T98*Declarations!$C$21+Declarations!$C$21*U98*Declarations!$C$22+Declarations!$C$22*S98*Declarations!$C$20+Declarations!$C$22*U98*Declarations!$C$21+Declarations!$C$22*V98*Declarations!$C$22+1</f>
        <v>5.70223800463516</v>
      </c>
      <c r="U99" s="20" t="n">
        <f aca="false">Declarations!$C$20*Q98*Declarations!$D$20+Declarations!$C$20*R98*Declarations!$D$21+Declarations!$C$20*S98*Declarations!$D$22+Declarations!$C$21*R98*Declarations!$D$20+Declarations!$C$21*T98*Declarations!$D$21+Declarations!$C$21*U98*Declarations!$D$22+Declarations!$C$22*S98*Declarations!$D$20+Declarations!$C$22*U98*Declarations!$D$21+Declarations!$C$22*V98*Declarations!$D$22+0</f>
        <v>0.771604938251803</v>
      </c>
      <c r="V99" s="20" t="n">
        <f aca="false">Declarations!$D$20*Q98*Declarations!$D$20+Declarations!$D$20*R98*Declarations!$D$21+Declarations!$D$20*S98*Declarations!$D$22+Declarations!$D$21*R98*Declarations!$D$20+Declarations!$D$21*T98*Declarations!$D$21+Declarations!$D$21*U98*Declarations!$D$22+Declarations!$D$22*S98*Declarations!$D$20+Declarations!$D$22*U98*Declarations!$D$21+Declarations!$D$22*V98*Declarations!$D$22+1</f>
        <v>2.77777777777778</v>
      </c>
    </row>
    <row r="100" customFormat="false" ht="15" hidden="false" customHeight="false" outlineLevel="0" collapsed="false">
      <c r="A100" s="18" t="n">
        <v>91</v>
      </c>
      <c r="B100" s="20" t="n">
        <f aca="false">$B$4*B99*$B$4+$B$4*C99*$B$5+$B$5*C99*$B$4+$B$5*D99*$B$5+$E$4</f>
        <v>13.5705892331793</v>
      </c>
      <c r="C100" s="20" t="n">
        <f aca="false">$B$4*B99*$C$4+$B$4*C99*$C$5+$B$5*C99*$C$4+$B$5*D99*$C$5+$F$4</f>
        <v>-5.78531661238257</v>
      </c>
      <c r="D100" s="20" t="n">
        <f aca="false">$C$4*B99*$C$4+$C$4*C99*$C$5+$C$5*C99*$C$4+$C$5*D99*$C$5+$F$5</f>
        <v>11.9920822718966</v>
      </c>
      <c r="P100" s="18" t="n">
        <v>91</v>
      </c>
      <c r="Q100" s="20" t="n">
        <f aca="false">Declarations!$B$20*Q99*Declarations!$B$20+Declarations!$B$20*R99*Declarations!$B$21+Declarations!$B$20*S99*Declarations!$B$22+Declarations!$B$21*R99*Declarations!$B$20+Declarations!$B$21*T99*Declarations!$B$21+Declarations!$B$21*U99*Declarations!$B$22+Declarations!$B$22*S99*Declarations!$B$20+Declarations!$B$22*U99*Declarations!$B$21+Declarations!$B$22*V99*Declarations!$B$22+1</f>
        <v>10.2962095992272</v>
      </c>
      <c r="R100" s="20" t="n">
        <f aca="false">Declarations!$B$20*Q99*Declarations!$C$20+Declarations!$B$20*R99*Declarations!$C$21+Declarations!$B$20*S99*Declarations!$C$22+Declarations!$B$21*R99*Declarations!$C$20+Declarations!$B$21*T99*Declarations!$C$21+Declarations!$B$21*U99*Declarations!$C$22+Declarations!$B$22*S99*Declarations!$C$20+Declarations!$B$22*U99*Declarations!$C$21+Declarations!$B$22*V99*Declarations!$C$22+0</f>
        <v>4.60637383225181</v>
      </c>
      <c r="S100" s="20" t="n">
        <f aca="false">Declarations!$B$20*Q99*Declarations!$D$20+Declarations!$B$20*R99*Declarations!$D$21+Declarations!$B$20*S99*Declarations!$D$22+Declarations!$B$21*R99*Declarations!$D$20+Declarations!$B$21*T99*Declarations!$D$21+Declarations!$B$21*U99*Declarations!$D$22+Declarations!$B$22*S99*Declarations!$D$20+Declarations!$B$22*U99*Declarations!$D$21+Declarations!$B$22*V99*Declarations!$D$22+0</f>
        <v>0.617283950587186</v>
      </c>
      <c r="T100" s="20" t="n">
        <f aca="false">Declarations!$C$20*Q99*Declarations!$C$20+Declarations!$C$20*R99*Declarations!$C$21+Declarations!$C$20*S99*Declarations!$C$22+Declarations!$C$21*R99*Declarations!$C$20+Declarations!$C$21*T99*Declarations!$C$21+Declarations!$C$21*U99*Declarations!$C$22+Declarations!$C$22*S99*Declarations!$C$20+Declarations!$C$22*U99*Declarations!$C$21+Declarations!$C$22*V99*Declarations!$C$22+1</f>
        <v>5.70226742009934</v>
      </c>
      <c r="U100" s="20" t="n">
        <f aca="false">Declarations!$C$20*Q99*Declarations!$D$20+Declarations!$C$20*R99*Declarations!$D$21+Declarations!$C$20*S99*Declarations!$D$22+Declarations!$C$21*R99*Declarations!$D$20+Declarations!$C$21*T99*Declarations!$D$21+Declarations!$C$21*U99*Declarations!$D$22+Declarations!$C$22*S99*Declarations!$D$20+Declarations!$C$22*U99*Declarations!$D$21+Declarations!$C$22*V99*Declarations!$D$22+0</f>
        <v>0.771604938256556</v>
      </c>
      <c r="V100" s="20" t="n">
        <f aca="false">Declarations!$D$20*Q99*Declarations!$D$20+Declarations!$D$20*R99*Declarations!$D$21+Declarations!$D$20*S99*Declarations!$D$22+Declarations!$D$21*R99*Declarations!$D$20+Declarations!$D$21*T99*Declarations!$D$21+Declarations!$D$21*U99*Declarations!$D$22+Declarations!$D$22*S99*Declarations!$D$20+Declarations!$D$22*U99*Declarations!$D$21+Declarations!$D$22*V99*Declarations!$D$22+1</f>
        <v>2.77777777777778</v>
      </c>
    </row>
    <row r="101" customFormat="false" ht="15" hidden="false" customHeight="false" outlineLevel="0" collapsed="false">
      <c r="A101" s="18" t="n">
        <v>92</v>
      </c>
      <c r="B101" s="20" t="n">
        <f aca="false">$B$4*B100*$B$4+$B$4*C100*$B$5+$B$5*C100*$B$4+$B$5*D100*$B$5+$E$4</f>
        <v>13.5706896484831</v>
      </c>
      <c r="C101" s="20" t="n">
        <f aca="false">$B$4*B100*$C$4+$B$4*C100*$C$5+$B$5*C100*$C$4+$B$5*D100*$C$5+$F$4</f>
        <v>-5.78539232773088</v>
      </c>
      <c r="D101" s="20" t="n">
        <f aca="false">$C$4*B100*$C$4+$C$4*C100*$C$5+$C$5*C100*$C$4+$C$5*D100*$C$5+$F$5</f>
        <v>11.9921772788752</v>
      </c>
      <c r="P101" s="18" t="n">
        <v>92</v>
      </c>
      <c r="Q101" s="20" t="n">
        <f aca="false">Declarations!$B$20*Q100*Declarations!$B$20+Declarations!$B$20*R100*Declarations!$B$21+Declarations!$B$20*S100*Declarations!$B$22+Declarations!$B$21*R100*Declarations!$B$20+Declarations!$B$21*T100*Declarations!$B$21+Declarations!$B$21*U100*Declarations!$B$22+Declarations!$B$22*S100*Declarations!$B$20+Declarations!$B$22*U100*Declarations!$B$21+Declarations!$B$22*V100*Declarations!$B$22+1</f>
        <v>10.2963157887602</v>
      </c>
      <c r="R101" s="20" t="n">
        <f aca="false">Declarations!$B$20*Q100*Declarations!$C$20+Declarations!$B$20*R100*Declarations!$C$21+Declarations!$B$20*S100*Declarations!$C$22+Declarations!$B$21*R100*Declarations!$C$20+Declarations!$B$21*T100*Declarations!$C$21+Declarations!$B$21*U100*Declarations!$C$22+Declarations!$B$22*S100*Declarations!$C$20+Declarations!$B$22*U100*Declarations!$C$21+Declarations!$B$22*V100*Declarations!$C$22+0</f>
        <v>4.60642692708424</v>
      </c>
      <c r="S101" s="20" t="n">
        <f aca="false">Declarations!$B$20*Q100*Declarations!$D$20+Declarations!$B$20*R100*Declarations!$D$21+Declarations!$B$20*S100*Declarations!$D$22+Declarations!$B$21*R100*Declarations!$D$20+Declarations!$B$21*T100*Declarations!$D$21+Declarations!$B$21*U100*Declarations!$D$22+Declarations!$B$22*S100*Declarations!$D$20+Declarations!$B$22*U100*Declarations!$D$21+Declarations!$B$22*V100*Declarations!$D$22+0</f>
        <v>0.617283950594409</v>
      </c>
      <c r="T101" s="20" t="n">
        <f aca="false">Declarations!$C$20*Q100*Declarations!$C$20+Declarations!$C$20*R100*Declarations!$C$21+Declarations!$C$20*S100*Declarations!$C$22+Declarations!$C$21*R100*Declarations!$C$20+Declarations!$C$21*T100*Declarations!$C$21+Declarations!$C$21*U100*Declarations!$C$22+Declarations!$C$22*S100*Declarations!$C$20+Declarations!$C$22*U100*Declarations!$C$21+Declarations!$C$22*V100*Declarations!$C$22+1</f>
        <v>5.70229396754851</v>
      </c>
      <c r="U101" s="20" t="n">
        <f aca="false">Declarations!$C$20*Q100*Declarations!$D$20+Declarations!$C$20*R100*Declarations!$D$21+Declarations!$C$20*S100*Declarations!$D$22+Declarations!$C$21*R100*Declarations!$D$20+Declarations!$C$21*T100*Declarations!$D$21+Declarations!$C$21*U100*Declarations!$D$22+Declarations!$C$22*S100*Declarations!$D$20+Declarations!$C$22*U100*Declarations!$D$21+Declarations!$C$22*V100*Declarations!$D$22+0</f>
        <v>0.771604938260167</v>
      </c>
      <c r="V101" s="20" t="n">
        <f aca="false">Declarations!$D$20*Q100*Declarations!$D$20+Declarations!$D$20*R100*Declarations!$D$21+Declarations!$D$20*S100*Declarations!$D$22+Declarations!$D$21*R100*Declarations!$D$20+Declarations!$D$21*T100*Declarations!$D$21+Declarations!$D$21*U100*Declarations!$D$22+Declarations!$D$22*S100*Declarations!$D$20+Declarations!$D$22*U100*Declarations!$D$21+Declarations!$D$22*V100*Declarations!$D$22+1</f>
        <v>2.77777777777778</v>
      </c>
    </row>
    <row r="102" customFormat="false" ht="15" hidden="false" customHeight="false" outlineLevel="0" collapsed="false">
      <c r="A102" s="18" t="n">
        <v>93</v>
      </c>
      <c r="B102" s="20" t="n">
        <f aca="false">$B$4*B101*$B$4+$B$4*C101*$B$5+$B$5*C101*$B$4+$B$5*D101*$B$5+$E$4</f>
        <v>13.5707297042309</v>
      </c>
      <c r="C102" s="20" t="n">
        <f aca="false">$B$4*B101*$C$4+$B$4*C101*$C$5+$B$5*C101*$C$4+$B$5*D101*$C$5+$F$4</f>
        <v>-5.78540552031353</v>
      </c>
      <c r="D102" s="20" t="n">
        <f aca="false">$C$4*B101*$C$4+$C$4*C101*$C$5+$C$5*C101*$C$4+$C$5*D101*$C$5+$F$5</f>
        <v>11.9922586152713</v>
      </c>
      <c r="P102" s="18" t="n">
        <v>93</v>
      </c>
      <c r="Q102" s="20" t="n">
        <f aca="false">Declarations!$B$20*Q101*Declarations!$B$20+Declarations!$B$20*R101*Declarations!$B$21+Declarations!$B$20*S101*Declarations!$B$22+Declarations!$B$21*R101*Declarations!$B$20+Declarations!$B$21*T101*Declarations!$B$21+Declarations!$B$21*U101*Declarations!$B$22+Declarations!$B$22*S101*Declarations!$B$20+Declarations!$B$22*U101*Declarations!$B$21+Declarations!$B$22*V101*Declarations!$B$22+1</f>
        <v>10.2964116248269</v>
      </c>
      <c r="R102" s="20" t="n">
        <f aca="false">Declarations!$B$20*Q101*Declarations!$C$20+Declarations!$B$20*R101*Declarations!$C$21+Declarations!$B$20*S101*Declarations!$C$22+Declarations!$B$21*R101*Declarations!$C$20+Declarations!$B$21*T101*Declarations!$C$21+Declarations!$B$21*U101*Declarations!$C$22+Declarations!$B$22*S101*Declarations!$C$20+Declarations!$B$22*U101*Declarations!$C$21+Declarations!$B$22*V101*Declarations!$C$22+0</f>
        <v>4.60647484516822</v>
      </c>
      <c r="S102" s="20" t="n">
        <f aca="false">Declarations!$B$20*Q101*Declarations!$D$20+Declarations!$B$20*R101*Declarations!$D$21+Declarations!$B$20*S101*Declarations!$D$22+Declarations!$B$21*R101*Declarations!$D$20+Declarations!$B$21*T101*Declarations!$D$21+Declarations!$B$21*U101*Declarations!$D$22+Declarations!$B$22*S101*Declarations!$D$20+Declarations!$B$22*U101*Declarations!$D$21+Declarations!$B$22*V101*Declarations!$D$22+0</f>
        <v>0.617283950599899</v>
      </c>
      <c r="T102" s="20" t="n">
        <f aca="false">Declarations!$C$20*Q101*Declarations!$C$20+Declarations!$C$20*R101*Declarations!$C$21+Declarations!$C$20*S101*Declarations!$C$22+Declarations!$C$21*R101*Declarations!$C$20+Declarations!$C$21*T101*Declarations!$C$21+Declarations!$C$21*U101*Declarations!$C$22+Declarations!$C$22*S101*Declarations!$C$20+Declarations!$C$22*U101*Declarations!$C$21+Declarations!$C$22*V101*Declarations!$C$22+1</f>
        <v>5.70231792661581</v>
      </c>
      <c r="U102" s="20" t="n">
        <f aca="false">Declarations!$C$20*Q101*Declarations!$D$20+Declarations!$C$20*R101*Declarations!$D$21+Declarations!$C$20*S101*Declarations!$D$22+Declarations!$C$21*R101*Declarations!$D$20+Declarations!$C$21*T101*Declarations!$D$21+Declarations!$C$21*U101*Declarations!$D$22+Declarations!$C$22*S101*Declarations!$D$20+Declarations!$C$22*U101*Declarations!$D$21+Declarations!$C$22*V101*Declarations!$D$22+0</f>
        <v>0.771604938262912</v>
      </c>
      <c r="V102" s="20" t="n">
        <f aca="false">Declarations!$D$20*Q101*Declarations!$D$20+Declarations!$D$20*R101*Declarations!$D$21+Declarations!$D$20*S101*Declarations!$D$22+Declarations!$D$21*R101*Declarations!$D$20+Declarations!$D$21*T101*Declarations!$D$21+Declarations!$D$21*U101*Declarations!$D$22+Declarations!$D$22*S101*Declarations!$D$20+Declarations!$D$22*U101*Declarations!$D$21+Declarations!$D$22*V101*Declarations!$D$22+1</f>
        <v>2.77777777777778</v>
      </c>
    </row>
    <row r="103" customFormat="false" ht="15" hidden="false" customHeight="false" outlineLevel="0" collapsed="false">
      <c r="A103" s="18" t="n">
        <v>94</v>
      </c>
      <c r="B103" s="20" t="n">
        <f aca="false">$B$4*B102*$B$4+$B$4*C102*$B$5+$B$5*C102*$B$4+$B$5*D102*$B$5+$E$4</f>
        <v>13.570819739134</v>
      </c>
      <c r="C103" s="20" t="n">
        <f aca="false">$B$4*B102*$C$4+$B$4*C102*$C$5+$B$5*C102*$C$4+$B$5*D102*$C$5+$F$4</f>
        <v>-5.78542609214488</v>
      </c>
      <c r="D103" s="20" t="n">
        <f aca="false">$C$4*B102*$C$4+$C$4*C102*$C$5+$C$5*C102*$C$4+$C$5*D102*$C$5+$F$5</f>
        <v>11.9922910604271</v>
      </c>
      <c r="P103" s="18" t="n">
        <v>94</v>
      </c>
      <c r="Q103" s="20" t="n">
        <f aca="false">Declarations!$B$20*Q102*Declarations!$B$20+Declarations!$B$20*R102*Declarations!$B$21+Declarations!$B$20*S102*Declarations!$B$22+Declarations!$B$21*R102*Declarations!$B$20+Declarations!$B$21*T102*Declarations!$B$21+Declarations!$B$21*U102*Declarations!$B$22+Declarations!$B$22*S102*Declarations!$B$20+Declarations!$B$22*U102*Declarations!$B$21+Declarations!$B$22*V102*Declarations!$B$22+1</f>
        <v>10.2964981168873</v>
      </c>
      <c r="R103" s="20" t="n">
        <f aca="false">Declarations!$B$20*Q102*Declarations!$C$20+Declarations!$B$20*R102*Declarations!$C$21+Declarations!$B$20*S102*Declarations!$C$22+Declarations!$B$21*R102*Declarations!$C$20+Declarations!$B$21*T102*Declarations!$C$21+Declarations!$B$21*U102*Declarations!$C$22+Declarations!$B$22*S102*Declarations!$C$20+Declarations!$B$22*U102*Declarations!$C$21+Declarations!$B$22*V102*Declarations!$C$22+0</f>
        <v>4.60651809123727</v>
      </c>
      <c r="S103" s="20" t="n">
        <f aca="false">Declarations!$B$20*Q102*Declarations!$D$20+Declarations!$B$20*R102*Declarations!$D$21+Declarations!$B$20*S102*Declarations!$D$22+Declarations!$B$21*R102*Declarations!$D$20+Declarations!$B$21*T102*Declarations!$D$21+Declarations!$B$21*U102*Declarations!$D$22+Declarations!$B$22*S102*Declarations!$D$20+Declarations!$B$22*U102*Declarations!$D$21+Declarations!$B$22*V102*Declarations!$D$22+0</f>
        <v>0.617283950604072</v>
      </c>
      <c r="T103" s="20" t="n">
        <f aca="false">Declarations!$C$20*Q102*Declarations!$C$20+Declarations!$C$20*R102*Declarations!$C$21+Declarations!$C$20*S102*Declarations!$C$22+Declarations!$C$21*R102*Declarations!$C$20+Declarations!$C$21*T102*Declarations!$C$21+Declarations!$C$21*U102*Declarations!$C$22+Declarations!$C$22*S102*Declarations!$C$20+Declarations!$C$22*U102*Declarations!$C$21+Declarations!$C$22*V102*Declarations!$C$22+1</f>
        <v>5.70233954966976</v>
      </c>
      <c r="U103" s="20" t="n">
        <f aca="false">Declarations!$C$20*Q102*Declarations!$D$20+Declarations!$C$20*R102*Declarations!$D$21+Declarations!$C$20*S102*Declarations!$D$22+Declarations!$C$21*R102*Declarations!$D$20+Declarations!$C$21*T102*Declarations!$D$21+Declarations!$C$21*U102*Declarations!$D$22+Declarations!$C$22*S102*Declarations!$D$20+Declarations!$C$22*U102*Declarations!$D$21+Declarations!$C$22*V102*Declarations!$D$22+0</f>
        <v>0.771604938264999</v>
      </c>
      <c r="V103" s="20" t="n">
        <f aca="false">Declarations!$D$20*Q102*Declarations!$D$20+Declarations!$D$20*R102*Declarations!$D$21+Declarations!$D$20*S102*Declarations!$D$22+Declarations!$D$21*R102*Declarations!$D$20+Declarations!$D$21*T102*Declarations!$D$21+Declarations!$D$21*U102*Declarations!$D$22+Declarations!$D$22*S102*Declarations!$D$20+Declarations!$D$22*U102*Declarations!$D$21+Declarations!$D$22*V102*Declarations!$D$22+1</f>
        <v>2.77777777777778</v>
      </c>
    </row>
    <row r="104" customFormat="false" ht="15" hidden="false" customHeight="false" outlineLevel="0" collapsed="false">
      <c r="A104" s="18" t="n">
        <v>95</v>
      </c>
      <c r="B104" s="20" t="n">
        <f aca="false">$B$4*B103*$B$4+$B$4*C103*$B$5+$B$5*C103*$B$4+$B$5*D103*$B$5+$E$4</f>
        <v>13.5708880832648</v>
      </c>
      <c r="C104" s="20" t="n">
        <f aca="false">$B$4*B103*$C$4+$B$4*C103*$C$5+$B$5*C103*$C$4+$B$5*D103*$C$5+$F$4</f>
        <v>-5.78548050576817</v>
      </c>
      <c r="D104" s="20" t="n">
        <f aca="false">$C$4*B103*$C$4+$C$4*C103*$C$5+$C$5*C103*$C$4+$C$5*D103*$C$5+$F$5</f>
        <v>11.9923639886986</v>
      </c>
      <c r="P104" s="18" t="n">
        <v>95</v>
      </c>
      <c r="Q104" s="20" t="n">
        <f aca="false">Declarations!$B$20*Q103*Declarations!$B$20+Declarations!$B$20*R103*Declarations!$B$21+Declarations!$B$20*S103*Declarations!$B$22+Declarations!$B$21*R103*Declarations!$B$20+Declarations!$B$21*T103*Declarations!$B$21+Declarations!$B$21*U103*Declarations!$B$22+Declarations!$B$22*S103*Declarations!$B$20+Declarations!$B$22*U103*Declarations!$B$21+Declarations!$B$22*V103*Declarations!$B$22+1</f>
        <v>10.2965761759796</v>
      </c>
      <c r="R104" s="20" t="n">
        <f aca="false">Declarations!$B$20*Q103*Declarations!$C$20+Declarations!$B$20*R103*Declarations!$C$21+Declarations!$B$20*S103*Declarations!$C$22+Declarations!$B$21*R103*Declarations!$C$20+Declarations!$B$21*T103*Declarations!$C$21+Declarations!$B$21*U103*Declarations!$C$22+Declarations!$B$22*S103*Declarations!$C$20+Declarations!$B$22*U103*Declarations!$C$21+Declarations!$B$22*V103*Declarations!$C$22+0</f>
        <v>4.60655712081324</v>
      </c>
      <c r="S104" s="20" t="n">
        <f aca="false">Declarations!$B$20*Q103*Declarations!$D$20+Declarations!$B$20*R103*Declarations!$D$21+Declarations!$B$20*S103*Declarations!$D$22+Declarations!$B$21*R103*Declarations!$D$20+Declarations!$B$21*T103*Declarations!$D$21+Declarations!$B$21*U103*Declarations!$D$22+Declarations!$B$22*S103*Declarations!$D$20+Declarations!$B$22*U103*Declarations!$D$21+Declarations!$B$22*V103*Declarations!$D$22+0</f>
        <v>0.617283950607243</v>
      </c>
      <c r="T104" s="20" t="n">
        <f aca="false">Declarations!$C$20*Q103*Declarations!$C$20+Declarations!$C$20*R103*Declarations!$C$21+Declarations!$C$20*S103*Declarations!$C$22+Declarations!$C$21*R103*Declarations!$C$20+Declarations!$C$21*T103*Declarations!$C$21+Declarations!$C$21*U103*Declarations!$C$22+Declarations!$C$22*S103*Declarations!$C$20+Declarations!$C$22*U103*Declarations!$C$21+Declarations!$C$22*V103*Declarations!$C$22+1</f>
        <v>5.70235906447266</v>
      </c>
      <c r="U104" s="20" t="n">
        <f aca="false">Declarations!$C$20*Q103*Declarations!$D$20+Declarations!$C$20*R103*Declarations!$D$21+Declarations!$C$20*S103*Declarations!$D$22+Declarations!$C$21*R103*Declarations!$D$20+Declarations!$C$21*T103*Declarations!$D$21+Declarations!$C$21*U103*Declarations!$D$22+Declarations!$C$22*S103*Declarations!$D$20+Declarations!$C$22*U103*Declarations!$D$21+Declarations!$C$22*V103*Declarations!$D$22+0</f>
        <v>0.771604938266584</v>
      </c>
      <c r="V104" s="20" t="n">
        <f aca="false">Declarations!$D$20*Q103*Declarations!$D$20+Declarations!$D$20*R103*Declarations!$D$21+Declarations!$D$20*S103*Declarations!$D$22+Declarations!$D$21*R103*Declarations!$D$20+Declarations!$D$21*T103*Declarations!$D$21+Declarations!$D$21*U103*Declarations!$D$22+Declarations!$D$22*S103*Declarations!$D$20+Declarations!$D$22*U103*Declarations!$D$21+Declarations!$D$22*V103*Declarations!$D$22+1</f>
        <v>2.77777777777778</v>
      </c>
    </row>
    <row r="105" customFormat="false" ht="15" hidden="false" customHeight="false" outlineLevel="0" collapsed="false">
      <c r="A105" s="18" t="n">
        <v>96</v>
      </c>
      <c r="B105" s="20" t="n">
        <f aca="false">$B$4*B104*$B$4+$B$4*C104*$B$5+$B$5*C104*$B$4+$B$5*D104*$B$5+$E$4</f>
        <v>13.5709184257604</v>
      </c>
      <c r="C105" s="20" t="n">
        <f aca="false">$B$4*B104*$C$4+$B$4*C104*$C$5+$B$5*C104*$C$4+$B$5*D104*$C$5+$F$4</f>
        <v>-5.78548689225317</v>
      </c>
      <c r="D105" s="20" t="n">
        <f aca="false">$C$4*B104*$C$4+$C$4*C104*$C$5+$C$5*C104*$C$4+$C$5*D104*$C$5+$F$5</f>
        <v>11.9924193474445</v>
      </c>
      <c r="P105" s="18" t="n">
        <v>96</v>
      </c>
      <c r="Q105" s="20" t="n">
        <f aca="false">Declarations!$B$20*Q104*Declarations!$B$20+Declarations!$B$20*R104*Declarations!$B$21+Declarations!$B$20*S104*Declarations!$B$22+Declarations!$B$21*R104*Declarations!$B$20+Declarations!$B$21*T104*Declarations!$B$21+Declarations!$B$21*U104*Declarations!$B$22+Declarations!$B$22*S104*Declarations!$B$20+Declarations!$B$22*U104*Declarations!$B$21+Declarations!$B$22*V104*Declarations!$B$22+1</f>
        <v>10.2966466243164</v>
      </c>
      <c r="R105" s="20" t="n">
        <f aca="false">Declarations!$B$20*Q104*Declarations!$C$20+Declarations!$B$20*R104*Declarations!$C$21+Declarations!$B$20*S104*Declarations!$C$22+Declarations!$B$21*R104*Declarations!$C$20+Declarations!$B$21*T104*Declarations!$C$21+Declarations!$B$21*U104*Declarations!$C$22+Declarations!$B$22*S104*Declarations!$C$20+Declarations!$B$22*U104*Declarations!$C$21+Declarations!$B$22*V104*Declarations!$C$22+0</f>
        <v>4.60659234500451</v>
      </c>
      <c r="S105" s="20" t="n">
        <f aca="false">Declarations!$B$20*Q104*Declarations!$D$20+Declarations!$B$20*R104*Declarations!$D$21+Declarations!$B$20*S104*Declarations!$D$22+Declarations!$B$21*R104*Declarations!$D$20+Declarations!$B$21*T104*Declarations!$D$21+Declarations!$B$21*U104*Declarations!$D$22+Declarations!$B$22*S104*Declarations!$D$20+Declarations!$B$22*U104*Declarations!$D$21+Declarations!$B$22*V104*Declarations!$D$22+0</f>
        <v>0.617283950609653</v>
      </c>
      <c r="T105" s="20" t="n">
        <f aca="false">Declarations!$C$20*Q104*Declarations!$C$20+Declarations!$C$20*R104*Declarations!$C$21+Declarations!$C$20*S104*Declarations!$C$22+Declarations!$C$21*R104*Declarations!$C$20+Declarations!$C$21*T104*Declarations!$C$21+Declarations!$C$21*U104*Declarations!$C$22+Declarations!$C$22*S104*Declarations!$C$20+Declarations!$C$22*U104*Declarations!$C$21+Declarations!$C$22*V104*Declarations!$C$22+1</f>
        <v>5.70237667657974</v>
      </c>
      <c r="U105" s="20" t="n">
        <f aca="false">Declarations!$C$20*Q104*Declarations!$D$20+Declarations!$C$20*R104*Declarations!$D$21+Declarations!$C$20*S104*Declarations!$D$22+Declarations!$C$21*R104*Declarations!$D$20+Declarations!$C$21*T104*Declarations!$D$21+Declarations!$C$21*U104*Declarations!$D$22+Declarations!$C$22*S104*Declarations!$D$20+Declarations!$C$22*U104*Declarations!$D$21+Declarations!$C$22*V104*Declarations!$D$22+0</f>
        <v>0.771604938267789</v>
      </c>
      <c r="V105" s="20" t="n">
        <f aca="false">Declarations!$D$20*Q104*Declarations!$D$20+Declarations!$D$20*R104*Declarations!$D$21+Declarations!$D$20*S104*Declarations!$D$22+Declarations!$D$21*R104*Declarations!$D$20+Declarations!$D$21*T104*Declarations!$D$21+Declarations!$D$21*U104*Declarations!$D$22+Declarations!$D$22*S104*Declarations!$D$20+Declarations!$D$22*U104*Declarations!$D$21+Declarations!$D$22*V104*Declarations!$D$22+1</f>
        <v>2.77777777777778</v>
      </c>
    </row>
    <row r="106" customFormat="false" ht="15" hidden="false" customHeight="false" outlineLevel="0" collapsed="false">
      <c r="A106" s="18" t="n">
        <v>97</v>
      </c>
      <c r="B106" s="20" t="n">
        <f aca="false">$B$4*B105*$B$4+$B$4*C105*$B$5+$B$5*C105*$B$4+$B$5*D105*$B$5+$E$4</f>
        <v>13.5709868662547</v>
      </c>
      <c r="C106" s="20" t="n">
        <f aca="false">$B$4*B105*$C$4+$B$4*C105*$C$5+$B$5*C105*$C$4+$B$5*D105*$C$5+$F$4</f>
        <v>-5.78550572183805</v>
      </c>
      <c r="D106" s="20" t="n">
        <f aca="false">$C$4*B105*$C$4+$C$4*C105*$C$5+$C$5*C105*$C$4+$C$5*D105*$C$5+$F$5</f>
        <v>11.9924439248659</v>
      </c>
      <c r="P106" s="18" t="n">
        <v>97</v>
      </c>
      <c r="Q106" s="20" t="n">
        <f aca="false">Declarations!$B$20*Q105*Declarations!$B$20+Declarations!$B$20*R105*Declarations!$B$21+Declarations!$B$20*S105*Declarations!$B$22+Declarations!$B$21*R105*Declarations!$B$20+Declarations!$B$21*T105*Declarations!$B$21+Declarations!$B$21*U105*Declarations!$B$22+Declarations!$B$22*S105*Declarations!$B$20+Declarations!$B$22*U105*Declarations!$B$21+Declarations!$B$22*V105*Declarations!$B$22+1</f>
        <v>10.2967102039448</v>
      </c>
      <c r="R106" s="20" t="n">
        <f aca="false">Declarations!$B$20*Q105*Declarations!$C$20+Declarations!$B$20*R105*Declarations!$C$21+Declarations!$B$20*S105*Declarations!$C$22+Declarations!$B$21*R105*Declarations!$C$20+Declarations!$B$21*T105*Declarations!$C$21+Declarations!$B$21*U105*Declarations!$C$22+Declarations!$B$22*S105*Declarations!$C$20+Declarations!$B$22*U105*Declarations!$C$21+Declarations!$B$22*V105*Declarations!$C$22+0</f>
        <v>4.60662413483632</v>
      </c>
      <c r="S106" s="20" t="n">
        <f aca="false">Declarations!$B$20*Q105*Declarations!$D$20+Declarations!$B$20*R105*Declarations!$D$21+Declarations!$B$20*S105*Declarations!$D$22+Declarations!$B$21*R105*Declarations!$D$20+Declarations!$B$21*T105*Declarations!$D$21+Declarations!$B$21*U105*Declarations!$D$22+Declarations!$B$22*S105*Declarations!$D$20+Declarations!$B$22*U105*Declarations!$D$21+Declarations!$B$22*V105*Declarations!$D$22+0</f>
        <v>0.617283950611484</v>
      </c>
      <c r="T106" s="20" t="n">
        <f aca="false">Declarations!$C$20*Q105*Declarations!$C$20+Declarations!$C$20*R105*Declarations!$C$21+Declarations!$C$20*S105*Declarations!$C$22+Declarations!$C$21*R105*Declarations!$C$20+Declarations!$C$21*T105*Declarations!$C$21+Declarations!$C$21*U105*Declarations!$C$22+Declarations!$C$22*S105*Declarations!$C$20+Declarations!$C$22*U105*Declarations!$C$21+Declarations!$C$22*V105*Declarations!$C$22+1</f>
        <v>5.70239257150443</v>
      </c>
      <c r="U106" s="20" t="n">
        <f aca="false">Declarations!$C$20*Q105*Declarations!$D$20+Declarations!$C$20*R105*Declarations!$D$21+Declarations!$C$20*S105*Declarations!$D$22+Declarations!$C$21*R105*Declarations!$D$20+Declarations!$C$21*T105*Declarations!$D$21+Declarations!$C$21*U105*Declarations!$D$22+Declarations!$C$22*S105*Declarations!$D$20+Declarations!$C$22*U105*Declarations!$D$21+Declarations!$C$22*V105*Declarations!$D$22+0</f>
        <v>0.771604938268705</v>
      </c>
      <c r="V106" s="20" t="n">
        <f aca="false">Declarations!$D$20*Q105*Declarations!$D$20+Declarations!$D$20*R105*Declarations!$D$21+Declarations!$D$20*S105*Declarations!$D$22+Declarations!$D$21*R105*Declarations!$D$20+Declarations!$D$21*T105*Declarations!$D$21+Declarations!$D$21*U105*Declarations!$D$22+Declarations!$D$22*S105*Declarations!$D$20+Declarations!$D$22*U105*Declarations!$D$21+Declarations!$D$22*V105*Declarations!$D$22+1</f>
        <v>2.77777777777778</v>
      </c>
    </row>
    <row r="107" customFormat="false" ht="15" hidden="false" customHeight="false" outlineLevel="0" collapsed="false">
      <c r="A107" s="18" t="n">
        <v>98</v>
      </c>
      <c r="B107" s="20" t="n">
        <f aca="false">$B$4*B106*$B$4+$B$4*C106*$B$5+$B$5*C106*$B$4+$B$5*D106*$B$5+$E$4</f>
        <v>13.5710329872237</v>
      </c>
      <c r="C107" s="20" t="n">
        <f aca="false">$B$4*B106*$C$4+$B$4*C106*$C$5+$B$5*C106*$C$4+$B$5*D106*$C$5+$F$4</f>
        <v>-5.78554421201208</v>
      </c>
      <c r="D107" s="20" t="n">
        <f aca="false">$C$4*B106*$C$4+$C$4*C106*$C$5+$C$5*C106*$C$4+$C$5*D106*$C$5+$F$5</f>
        <v>11.9924993616663</v>
      </c>
      <c r="P107" s="18" t="n">
        <v>98</v>
      </c>
      <c r="Q107" s="20" t="n">
        <f aca="false">Declarations!$B$20*Q106*Declarations!$B$20+Declarations!$B$20*R106*Declarations!$B$21+Declarations!$B$20*S106*Declarations!$B$22+Declarations!$B$21*R106*Declarations!$B$20+Declarations!$B$21*T106*Declarations!$B$21+Declarations!$B$21*U106*Declarations!$B$22+Declarations!$B$22*S106*Declarations!$B$20+Declarations!$B$22*U106*Declarations!$B$21+Declarations!$B$22*V106*Declarations!$B$22+1</f>
        <v>10.2967675845631</v>
      </c>
      <c r="R107" s="20" t="n">
        <f aca="false">Declarations!$B$20*Q106*Declarations!$C$20+Declarations!$B$20*R106*Declarations!$C$21+Declarations!$B$20*S106*Declarations!$C$22+Declarations!$B$21*R106*Declarations!$C$20+Declarations!$B$21*T106*Declarations!$C$21+Declarations!$B$21*U106*Declarations!$C$22+Declarations!$B$22*S106*Declarations!$C$20+Declarations!$B$22*U106*Declarations!$C$21+Declarations!$B$22*V106*Declarations!$C$22+0</f>
        <v>4.60665282515892</v>
      </c>
      <c r="S107" s="20" t="n">
        <f aca="false">Declarations!$B$20*Q106*Declarations!$D$20+Declarations!$B$20*R106*Declarations!$D$21+Declarations!$B$20*S106*Declarations!$D$22+Declarations!$B$21*R106*Declarations!$D$20+Declarations!$B$21*T106*Declarations!$D$21+Declarations!$B$21*U106*Declarations!$D$22+Declarations!$B$22*S106*Declarations!$D$20+Declarations!$B$22*U106*Declarations!$D$21+Declarations!$B$22*V106*Declarations!$D$22+0</f>
        <v>0.617283950612876</v>
      </c>
      <c r="T107" s="20" t="n">
        <f aca="false">Declarations!$C$20*Q106*Declarations!$C$20+Declarations!$C$20*R106*Declarations!$C$21+Declarations!$C$20*S106*Declarations!$C$22+Declarations!$C$21*R106*Declarations!$C$20+Declarations!$C$21*T106*Declarations!$C$21+Declarations!$C$21*U106*Declarations!$C$22+Declarations!$C$22*S106*Declarations!$C$20+Declarations!$C$22*U106*Declarations!$C$21+Declarations!$C$22*V106*Declarations!$C$22+1</f>
        <v>5.70240691667247</v>
      </c>
      <c r="U107" s="20" t="n">
        <f aca="false">Declarations!$C$20*Q106*Declarations!$D$20+Declarations!$C$20*R106*Declarations!$D$21+Declarations!$C$20*S106*Declarations!$D$22+Declarations!$C$21*R106*Declarations!$D$20+Declarations!$C$21*T106*Declarations!$D$21+Declarations!$C$21*U106*Declarations!$D$22+Declarations!$C$22*S106*Declarations!$D$20+Declarations!$C$22*U106*Declarations!$D$21+Declarations!$C$22*V106*Declarations!$D$22+0</f>
        <v>0.771604938269401</v>
      </c>
      <c r="V107" s="20" t="n">
        <f aca="false">Declarations!$D$20*Q106*Declarations!$D$20+Declarations!$D$20*R106*Declarations!$D$21+Declarations!$D$20*S106*Declarations!$D$22+Declarations!$D$21*R106*Declarations!$D$20+Declarations!$D$21*T106*Declarations!$D$21+Declarations!$D$21*U106*Declarations!$D$22+Declarations!$D$22*S106*Declarations!$D$20+Declarations!$D$22*U106*Declarations!$D$21+Declarations!$D$22*V106*Declarations!$D$22+1</f>
        <v>2.77777777777778</v>
      </c>
    </row>
    <row r="108" customFormat="false" ht="15" hidden="false" customHeight="false" outlineLevel="0" collapsed="false">
      <c r="A108" s="18" t="n">
        <v>99</v>
      </c>
      <c r="B108" s="20" t="n">
        <f aca="false">$B$4*B107*$B$4+$B$4*C107*$B$5+$B$5*C107*$B$4+$B$5*D107*$B$5+$E$4</f>
        <v>13.5710564996958</v>
      </c>
      <c r="C108" s="20" t="n">
        <f aca="false">$B$4*B107*$C$4+$B$4*C107*$C$5+$B$5*C107*$C$4+$B$5*D107*$C$5+$F$4</f>
        <v>-5.78554692884035</v>
      </c>
      <c r="D108" s="20" t="n">
        <f aca="false">$C$4*B107*$C$4+$C$4*C107*$C$5+$C$5*C107*$C$4+$C$5*D107*$C$5+$F$5</f>
        <v>11.9925367196512</v>
      </c>
      <c r="P108" s="18" t="n">
        <v>99</v>
      </c>
      <c r="Q108" s="20" t="n">
        <f aca="false">Declarations!$B$20*Q107*Declarations!$B$20+Declarations!$B$20*R107*Declarations!$B$21+Declarations!$B$20*S107*Declarations!$B$22+Declarations!$B$21*R107*Declarations!$B$20+Declarations!$B$21*T107*Declarations!$B$21+Declarations!$B$21*U107*Declarations!$B$22+Declarations!$B$22*S107*Declarations!$B$20+Declarations!$B$22*U107*Declarations!$B$21+Declarations!$B$22*V107*Declarations!$B$22+1</f>
        <v>10.2968193705737</v>
      </c>
      <c r="R108" s="20" t="n">
        <f aca="false">Declarations!$B$20*Q107*Declarations!$C$20+Declarations!$B$20*R107*Declarations!$C$21+Declarations!$B$20*S107*Declarations!$C$22+Declarations!$B$21*R107*Declarations!$C$20+Declarations!$B$21*T107*Declarations!$C$21+Declarations!$B$21*U107*Declarations!$C$22+Declarations!$B$22*S107*Declarations!$C$20+Declarations!$B$22*U107*Declarations!$C$21+Declarations!$B$22*V107*Declarations!$C$22+0</f>
        <v>4.60667871817459</v>
      </c>
      <c r="S108" s="20" t="n">
        <f aca="false">Declarations!$B$20*Q107*Declarations!$D$20+Declarations!$B$20*R107*Declarations!$D$21+Declarations!$B$20*S107*Declarations!$D$22+Declarations!$B$21*R107*Declarations!$D$20+Declarations!$B$21*T107*Declarations!$D$21+Declarations!$B$21*U107*Declarations!$D$22+Declarations!$B$22*S107*Declarations!$D$20+Declarations!$B$22*U107*Declarations!$D$21+Declarations!$B$22*V107*Declarations!$D$22+0</f>
        <v>0.617283950613934</v>
      </c>
      <c r="T108" s="20" t="n">
        <f aca="false">Declarations!$C$20*Q107*Declarations!$C$20+Declarations!$C$20*R107*Declarations!$C$21+Declarations!$C$20*S107*Declarations!$C$22+Declarations!$C$21*R107*Declarations!$C$20+Declarations!$C$21*T107*Declarations!$C$21+Declarations!$C$21*U107*Declarations!$C$22+Declarations!$C$22*S107*Declarations!$C$20+Declarations!$C$22*U107*Declarations!$C$21+Declarations!$C$22*V107*Declarations!$C$22+1</f>
        <v>5.70241986318548</v>
      </c>
      <c r="U108" s="20" t="n">
        <f aca="false">Declarations!$C$20*Q107*Declarations!$D$20+Declarations!$C$20*R107*Declarations!$D$21+Declarations!$C$20*S107*Declarations!$D$22+Declarations!$C$21*R107*Declarations!$D$20+Declarations!$C$21*T107*Declarations!$D$21+Declarations!$C$21*U107*Declarations!$D$22+Declarations!$C$22*S107*Declarations!$D$20+Declarations!$C$22*U107*Declarations!$D$21+Declarations!$C$22*V107*Declarations!$D$22+0</f>
        <v>0.77160493826993</v>
      </c>
      <c r="V108" s="20" t="n">
        <f aca="false">Declarations!$D$20*Q107*Declarations!$D$20+Declarations!$D$20*R107*Declarations!$D$21+Declarations!$D$20*S107*Declarations!$D$22+Declarations!$D$21*R107*Declarations!$D$20+Declarations!$D$21*T107*Declarations!$D$21+Declarations!$D$21*U107*Declarations!$D$22+Declarations!$D$22*S107*Declarations!$D$20+Declarations!$D$22*U107*Declarations!$D$21+Declarations!$D$22*V107*Declarations!$D$22+1</f>
        <v>2.77777777777778</v>
      </c>
    </row>
    <row r="109" customFormat="false" ht="15" hidden="false" customHeight="false" outlineLevel="0" collapsed="false">
      <c r="A109" s="18" t="n">
        <v>100</v>
      </c>
      <c r="B109" s="20" t="n">
        <f aca="false">$B$4*B108*$B$4+$B$4*C108*$B$5+$B$5*C108*$B$4+$B$5*D108*$B$5+$E$4</f>
        <v>13.5711080124922</v>
      </c>
      <c r="C109" s="20" t="n">
        <f aca="false">$B$4*B108*$C$4+$B$4*C108*$C$5+$B$5*C108*$C$4+$B$5*D108*$C$5+$F$4</f>
        <v>-5.78556352879729</v>
      </c>
      <c r="D109" s="20" t="n">
        <f aca="false">$C$4*B108*$C$4+$C$4*C108*$C$5+$C$5*C108*$C$4+$C$5*D108*$C$5+$F$5</f>
        <v>11.9925557647536</v>
      </c>
      <c r="P109" s="18" t="n">
        <v>100</v>
      </c>
      <c r="Q109" s="20" t="n">
        <f aca="false">Declarations!$B$20*Q108*Declarations!$B$20+Declarations!$B$20*R108*Declarations!$B$21+Declarations!$B$20*S108*Declarations!$B$22+Declarations!$B$21*R108*Declarations!$B$20+Declarations!$B$21*T108*Declarations!$B$21+Declarations!$B$21*U108*Declarations!$B$22+Declarations!$B$22*S108*Declarations!$B$20+Declarations!$B$22*U108*Declarations!$B$21+Declarations!$B$22*V108*Declarations!$B$22+1</f>
        <v>10.2968661074504</v>
      </c>
      <c r="R109" s="20" t="n">
        <f aca="false">Declarations!$B$20*Q108*Declarations!$C$20+Declarations!$B$20*R108*Declarations!$C$21+Declarations!$B$20*S108*Declarations!$C$22+Declarations!$B$21*R108*Declarations!$C$20+Declarations!$B$21*T108*Declarations!$C$21+Declarations!$B$21*U108*Declarations!$C$22+Declarations!$B$22*S108*Declarations!$C$20+Declarations!$B$22*U108*Declarations!$C$21+Declarations!$B$22*V108*Declarations!$C$22+0</f>
        <v>4.60670208662087</v>
      </c>
      <c r="S109" s="20" t="n">
        <f aca="false">Declarations!$B$20*Q108*Declarations!$D$20+Declarations!$B$20*R108*Declarations!$D$21+Declarations!$B$20*S108*Declarations!$D$22+Declarations!$B$21*R108*Declarations!$D$20+Declarations!$B$21*T108*Declarations!$D$21+Declarations!$B$21*U108*Declarations!$D$22+Declarations!$B$22*S108*Declarations!$D$20+Declarations!$B$22*U108*Declarations!$D$21+Declarations!$B$22*V108*Declarations!$D$22+0</f>
        <v>0.617283950614738</v>
      </c>
      <c r="T109" s="20" t="n">
        <f aca="false">Declarations!$C$20*Q108*Declarations!$C$20+Declarations!$C$20*R108*Declarations!$C$21+Declarations!$C$20*S108*Declarations!$C$22+Declarations!$C$21*R108*Declarations!$C$20+Declarations!$C$21*T108*Declarations!$C$21+Declarations!$C$21*U108*Declarations!$C$22+Declarations!$C$22*S108*Declarations!$C$20+Declarations!$C$22*U108*Declarations!$C$21+Declarations!$C$22*V108*Declarations!$C$22+1</f>
        <v>5.70243154741259</v>
      </c>
      <c r="U109" s="20" t="n">
        <f aca="false">Declarations!$C$20*Q108*Declarations!$D$20+Declarations!$C$20*R108*Declarations!$D$21+Declarations!$C$20*S108*Declarations!$D$22+Declarations!$C$21*R108*Declarations!$D$20+Declarations!$C$21*T108*Declarations!$D$21+Declarations!$C$21*U108*Declarations!$D$22+Declarations!$C$22*S108*Declarations!$D$20+Declarations!$C$22*U108*Declarations!$D$21+Declarations!$C$22*V108*Declarations!$D$22+0</f>
        <v>0.771604938270332</v>
      </c>
      <c r="V109" s="20" t="n">
        <f aca="false">Declarations!$D$20*Q108*Declarations!$D$20+Declarations!$D$20*R108*Declarations!$D$21+Declarations!$D$20*S108*Declarations!$D$22+Declarations!$D$21*R108*Declarations!$D$20+Declarations!$D$21*T108*Declarations!$D$21+Declarations!$D$21*U108*Declarations!$D$22+Declarations!$D$22*S108*Declarations!$D$20+Declarations!$D$22*U108*Declarations!$D$21+Declarations!$D$22*V108*Declarations!$D$22+1</f>
        <v>2.77777777777778</v>
      </c>
    </row>
    <row r="110" customFormat="false" ht="15" hidden="false" customHeight="false" outlineLevel="0" collapsed="false">
      <c r="A110" s="18" t="n">
        <v>101</v>
      </c>
      <c r="B110" s="20" t="n">
        <f aca="false">$B$4*B109*$B$4+$B$4*C109*$B$5+$B$5*C109*$B$4+$B$5*D109*$B$5+$E$4</f>
        <v>13.5711389030372</v>
      </c>
      <c r="C110" s="20" t="n">
        <f aca="false">$B$4*B109*$C$4+$B$4*C109*$C$5+$B$5*C109*$C$4+$B$5*D109*$C$5+$F$4</f>
        <v>-5.78559031420111</v>
      </c>
      <c r="D110" s="20" t="n">
        <f aca="false">$C$4*B109*$C$4+$C$4*C109*$C$5+$C$5*C109*$C$4+$C$5*D109*$C$5+$F$5</f>
        <v>11.9925974901187</v>
      </c>
      <c r="P110" s="18" t="n">
        <v>101</v>
      </c>
      <c r="Q110" s="20" t="n">
        <f aca="false">Declarations!$B$20*Q109*Declarations!$B$20+Declarations!$B$20*R109*Declarations!$B$21+Declarations!$B$20*S109*Declarations!$B$22+Declarations!$B$21*R109*Declarations!$B$20+Declarations!$B$21*T109*Declarations!$B$21+Declarations!$B$21*U109*Declarations!$B$22+Declarations!$B$22*S109*Declarations!$B$20+Declarations!$B$22*U109*Declarations!$B$21+Declarations!$B$22*V109*Declarations!$B$22+1</f>
        <v>10.2969082874832</v>
      </c>
      <c r="R110" s="20" t="n">
        <f aca="false">Declarations!$B$20*Q109*Declarations!$C$20+Declarations!$B$20*R109*Declarations!$C$21+Declarations!$B$20*S109*Declarations!$C$22+Declarations!$B$21*R109*Declarations!$C$20+Declarations!$B$21*T109*Declarations!$C$21+Declarations!$B$21*U109*Declarations!$C$22+Declarations!$B$22*S109*Declarations!$C$20+Declarations!$B$22*U109*Declarations!$C$21+Declarations!$B$22*V109*Declarations!$C$22+0</f>
        <v>4.60672317664335</v>
      </c>
      <c r="S110" s="20" t="n">
        <f aca="false">Declarations!$B$20*Q109*Declarations!$D$20+Declarations!$B$20*R109*Declarations!$D$21+Declarations!$B$20*S109*Declarations!$D$22+Declarations!$B$21*R109*Declarations!$D$20+Declarations!$B$21*T109*Declarations!$D$21+Declarations!$B$21*U109*Declarations!$D$22+Declarations!$B$22*S109*Declarations!$D$20+Declarations!$B$22*U109*Declarations!$D$21+Declarations!$B$22*V109*Declarations!$D$22+0</f>
        <v>0.617283950615349</v>
      </c>
      <c r="T110" s="20" t="n">
        <f aca="false">Declarations!$C$20*Q109*Declarations!$C$20+Declarations!$C$20*R109*Declarations!$C$21+Declarations!$C$20*S109*Declarations!$C$22+Declarations!$C$21*R109*Declarations!$C$20+Declarations!$C$21*T109*Declarations!$C$21+Declarations!$C$21*U109*Declarations!$C$22+Declarations!$C$22*S109*Declarations!$C$20+Declarations!$C$22*U109*Declarations!$C$21+Declarations!$C$22*V109*Declarations!$C$22+1</f>
        <v>5.70244209242688</v>
      </c>
      <c r="U110" s="20" t="n">
        <f aca="false">Declarations!$C$20*Q109*Declarations!$D$20+Declarations!$C$20*R109*Declarations!$D$21+Declarations!$C$20*S109*Declarations!$D$22+Declarations!$C$21*R109*Declarations!$D$20+Declarations!$C$21*T109*Declarations!$D$21+Declarations!$C$21*U109*Declarations!$D$22+Declarations!$C$22*S109*Declarations!$D$20+Declarations!$C$22*U109*Declarations!$D$21+Declarations!$C$22*V109*Declarations!$D$22+0</f>
        <v>0.771604938270638</v>
      </c>
      <c r="V110" s="20" t="n">
        <f aca="false">Declarations!$D$20*Q109*Declarations!$D$20+Declarations!$D$20*R109*Declarations!$D$21+Declarations!$D$20*S109*Declarations!$D$22+Declarations!$D$21*R109*Declarations!$D$20+Declarations!$D$21*T109*Declarations!$D$21+Declarations!$D$21*U109*Declarations!$D$22+Declarations!$D$22*S109*Declarations!$D$20+Declarations!$D$22*U109*Declarations!$D$21+Declarations!$D$22*V109*Declarations!$D$22+1</f>
        <v>2.77777777777778</v>
      </c>
    </row>
    <row r="111" customFormat="false" ht="15" hidden="false" customHeight="false" outlineLevel="0" collapsed="false">
      <c r="A111" s="18" t="n">
        <v>102</v>
      </c>
      <c r="B111" s="20" t="n">
        <f aca="false">$B$4*B110*$B$4+$B$4*C110*$B$5+$B$5*C110*$B$4+$B$5*D110*$B$5+$E$4</f>
        <v>13.5711574360168</v>
      </c>
      <c r="C111" s="20" t="n">
        <f aca="false">$B$4*B110*$C$4+$B$4*C110*$C$5+$B$5*C110*$C$4+$B$5*D110*$C$5+$F$4</f>
        <v>-5.78559122867909</v>
      </c>
      <c r="D111" s="20" t="n">
        <f aca="false">$C$4*B110*$C$4+$C$4*C110*$C$5+$C$5*C110*$C$4+$C$5*D110*$C$5+$F$5</f>
        <v>11.9926225114601</v>
      </c>
      <c r="P111" s="18" t="n">
        <v>102</v>
      </c>
      <c r="Q111" s="20" t="n">
        <f aca="false">Declarations!$B$20*Q110*Declarations!$B$20+Declarations!$B$20*R110*Declarations!$B$21+Declarations!$B$20*S110*Declarations!$B$22+Declarations!$B$21*R110*Declarations!$B$20+Declarations!$B$21*T110*Declarations!$B$21+Declarations!$B$21*U110*Declarations!$B$22+Declarations!$B$22*S110*Declarations!$B$20+Declarations!$B$22*U110*Declarations!$B$21+Declarations!$B$22*V110*Declarations!$B$22+1</f>
        <v>10.296946354964</v>
      </c>
      <c r="R111" s="20" t="n">
        <f aca="false">Declarations!$B$20*Q110*Declarations!$C$20+Declarations!$B$20*R110*Declarations!$C$21+Declarations!$B$20*S110*Declarations!$C$22+Declarations!$B$21*R110*Declarations!$C$20+Declarations!$B$21*T110*Declarations!$C$21+Declarations!$B$21*U110*Declarations!$C$22+Declarations!$B$22*S110*Declarations!$C$20+Declarations!$B$22*U110*Declarations!$C$21+Declarations!$B$22*V110*Declarations!$C$22+0</f>
        <v>4.60674221038843</v>
      </c>
      <c r="S111" s="20" t="n">
        <f aca="false">Declarations!$B$20*Q110*Declarations!$D$20+Declarations!$B$20*R110*Declarations!$D$21+Declarations!$B$20*S110*Declarations!$D$22+Declarations!$B$21*R110*Declarations!$D$20+Declarations!$B$21*T110*Declarations!$D$21+Declarations!$B$21*U110*Declarations!$D$22+Declarations!$B$22*S110*Declarations!$D$20+Declarations!$B$22*U110*Declarations!$D$21+Declarations!$B$22*V110*Declarations!$D$22+0</f>
        <v>0.617283950615814</v>
      </c>
      <c r="T111" s="20" t="n">
        <f aca="false">Declarations!$C$20*Q110*Declarations!$C$20+Declarations!$C$20*R110*Declarations!$C$21+Declarations!$C$20*S110*Declarations!$C$22+Declarations!$C$21*R110*Declarations!$C$20+Declarations!$C$21*T110*Declarations!$C$21+Declarations!$C$21*U110*Declarations!$C$22+Declarations!$C$22*S110*Declarations!$C$20+Declarations!$C$22*U110*Declarations!$C$21+Declarations!$C$22*V110*Declarations!$C$22+1</f>
        <v>5.70245160930175</v>
      </c>
      <c r="U111" s="20" t="n">
        <f aca="false">Declarations!$C$20*Q110*Declarations!$D$20+Declarations!$C$20*R110*Declarations!$D$21+Declarations!$C$20*S110*Declarations!$D$22+Declarations!$C$21*R110*Declarations!$D$20+Declarations!$C$21*T110*Declarations!$D$21+Declarations!$C$21*U110*Declarations!$D$22+Declarations!$C$22*S110*Declarations!$D$20+Declarations!$C$22*U110*Declarations!$D$21+Declarations!$C$22*V110*Declarations!$D$22+0</f>
        <v>0.77160493827087</v>
      </c>
      <c r="V111" s="20" t="n">
        <f aca="false">Declarations!$D$20*Q110*Declarations!$D$20+Declarations!$D$20*R110*Declarations!$D$21+Declarations!$D$20*S110*Declarations!$D$22+Declarations!$D$21*R110*Declarations!$D$20+Declarations!$D$21*T110*Declarations!$D$21+Declarations!$D$21*U110*Declarations!$D$22+Declarations!$D$22*S110*Declarations!$D$20+Declarations!$D$22*U110*Declarations!$D$21+Declarations!$D$22*V110*Declarations!$D$22+1</f>
        <v>2.77777777777778</v>
      </c>
    </row>
    <row r="112" customFormat="false" ht="15" hidden="false" customHeight="false" outlineLevel="0" collapsed="false">
      <c r="A112" s="18" t="n">
        <v>103</v>
      </c>
      <c r="B112" s="20" t="n">
        <f aca="false">$B$4*B111*$B$4+$B$4*C111*$B$5+$B$5*C111*$B$4+$B$5*D111*$B$5+$E$4</f>
        <v>13.5711958230113</v>
      </c>
      <c r="C112" s="20" t="n">
        <f aca="false">$B$4*B111*$C$4+$B$4*C111*$C$5+$B$5*C111*$C$4+$B$5*D111*$C$5+$F$4</f>
        <v>-5.78560541736239</v>
      </c>
      <c r="D112" s="20" t="n">
        <f aca="false">$C$4*B111*$C$4+$C$4*C111*$C$5+$C$5*C111*$C$4+$C$5*D111*$C$5+$F$5</f>
        <v>11.9926375231736</v>
      </c>
      <c r="P112" s="18" t="n">
        <v>103</v>
      </c>
      <c r="Q112" s="20" t="n">
        <f aca="false">Declarations!$B$20*Q111*Declarations!$B$20+Declarations!$B$20*R111*Declarations!$B$21+Declarations!$B$20*S111*Declarations!$B$22+Declarations!$B$21*R111*Declarations!$B$20+Declarations!$B$21*T111*Declarations!$B$21+Declarations!$B$21*U111*Declarations!$B$22+Declarations!$B$22*S111*Declarations!$B$20+Declarations!$B$22*U111*Declarations!$B$21+Declarations!$B$22*V111*Declarations!$B$22+1</f>
        <v>10.2969807108663</v>
      </c>
      <c r="R112" s="20" t="n">
        <f aca="false">Declarations!$B$20*Q111*Declarations!$C$20+Declarations!$B$20*R111*Declarations!$C$21+Declarations!$B$20*S111*Declarations!$C$22+Declarations!$B$21*R111*Declarations!$C$20+Declarations!$B$21*T111*Declarations!$C$21+Declarations!$B$21*U111*Declarations!$C$22+Declarations!$B$22*S111*Declarations!$C$20+Declarations!$B$22*U111*Declarations!$C$21+Declarations!$B$22*V111*Declarations!$C$22+0</f>
        <v>4.60675938834319</v>
      </c>
      <c r="S112" s="20" t="n">
        <f aca="false">Declarations!$B$20*Q111*Declarations!$D$20+Declarations!$B$20*R111*Declarations!$D$21+Declarations!$B$20*S111*Declarations!$D$22+Declarations!$B$21*R111*Declarations!$D$20+Declarations!$B$21*T111*Declarations!$D$21+Declarations!$B$21*U111*Declarations!$D$22+Declarations!$B$22*S111*Declarations!$D$20+Declarations!$B$22*U111*Declarations!$D$21+Declarations!$B$22*V111*Declarations!$D$22+0</f>
        <v>0.617283950616167</v>
      </c>
      <c r="T112" s="20" t="n">
        <f aca="false">Declarations!$C$20*Q111*Declarations!$C$20+Declarations!$C$20*R111*Declarations!$C$21+Declarations!$C$20*S111*Declarations!$C$22+Declarations!$C$21*R111*Declarations!$C$20+Declarations!$C$21*T111*Declarations!$C$21+Declarations!$C$21*U111*Declarations!$C$22+Declarations!$C$22*S111*Declarations!$C$20+Declarations!$C$22*U111*Declarations!$C$21+Declarations!$C$22*V111*Declarations!$C$22+1</f>
        <v>5.70246019828093</v>
      </c>
      <c r="U112" s="20" t="n">
        <f aca="false">Declarations!$C$20*Q111*Declarations!$D$20+Declarations!$C$20*R111*Declarations!$D$21+Declarations!$C$20*S111*Declarations!$D$22+Declarations!$C$21*R111*Declarations!$D$20+Declarations!$C$21*T111*Declarations!$D$21+Declarations!$C$21*U111*Declarations!$D$22+Declarations!$C$22*S111*Declarations!$D$20+Declarations!$C$22*U111*Declarations!$D$21+Declarations!$C$22*V111*Declarations!$D$22+0</f>
        <v>0.771604938271046</v>
      </c>
      <c r="V112" s="20" t="n">
        <f aca="false">Declarations!$D$20*Q111*Declarations!$D$20+Declarations!$D$20*R111*Declarations!$D$21+Declarations!$D$20*S111*Declarations!$D$22+Declarations!$D$21*R111*Declarations!$D$20+Declarations!$D$21*T111*Declarations!$D$21+Declarations!$D$21*U111*Declarations!$D$22+Declarations!$D$22*S111*Declarations!$D$20+Declarations!$D$22*U111*Declarations!$D$21+Declarations!$D$22*V111*Declarations!$D$22+1</f>
        <v>2.77777777777778</v>
      </c>
    </row>
    <row r="113" customFormat="false" ht="15" hidden="false" customHeight="false" outlineLevel="0" collapsed="false">
      <c r="A113" s="18" t="n">
        <v>104</v>
      </c>
      <c r="B113" s="20" t="n">
        <f aca="false">$B$4*B112*$B$4+$B$4*C112*$B$5+$B$5*C112*$B$4+$B$5*D112*$B$5+$E$4</f>
        <v>13.5712163885604</v>
      </c>
      <c r="C113" s="20" t="n">
        <f aca="false">$B$4*B112*$C$4+$B$4*C112*$C$5+$B$5*C112*$C$4+$B$5*D112*$C$5+$F$4</f>
        <v>-5.785623741013</v>
      </c>
      <c r="D113" s="20" t="n">
        <f aca="false">$C$4*B112*$C$4+$C$4*C112*$C$5+$C$5*C112*$C$4+$C$5*D112*$C$5+$F$5</f>
        <v>11.9926686166392</v>
      </c>
      <c r="P113" s="18" t="n">
        <v>104</v>
      </c>
      <c r="Q113" s="20" t="n">
        <f aca="false">Declarations!$B$20*Q112*Declarations!$B$20+Declarations!$B$20*R112*Declarations!$B$21+Declarations!$B$20*S112*Declarations!$B$22+Declarations!$B$21*R112*Declarations!$B$20+Declarations!$B$21*T112*Declarations!$B$21+Declarations!$B$21*U112*Declarations!$B$22+Declarations!$B$22*S112*Declarations!$B$20+Declarations!$B$22*U112*Declarations!$B$21+Declarations!$B$22*V112*Declarations!$B$22+1</f>
        <v>10.2970117170689</v>
      </c>
      <c r="R113" s="20" t="n">
        <f aca="false">Declarations!$B$20*Q112*Declarations!$C$20+Declarations!$B$20*R112*Declarations!$C$21+Declarations!$B$20*S112*Declarations!$C$22+Declarations!$B$21*R112*Declarations!$C$20+Declarations!$B$21*T112*Declarations!$C$21+Declarations!$B$21*U112*Declarations!$C$22+Declarations!$B$22*S112*Declarations!$C$20+Declarations!$B$22*U112*Declarations!$C$21+Declarations!$B$22*V112*Declarations!$C$22+0</f>
        <v>4.60677489144723</v>
      </c>
      <c r="S113" s="20" t="n">
        <f aca="false">Declarations!$B$20*Q112*Declarations!$D$20+Declarations!$B$20*R112*Declarations!$D$21+Declarations!$B$20*S112*Declarations!$D$22+Declarations!$B$21*R112*Declarations!$D$20+Declarations!$B$21*T112*Declarations!$D$21+Declarations!$B$21*U112*Declarations!$D$22+Declarations!$B$22*S112*Declarations!$D$20+Declarations!$B$22*U112*Declarations!$D$21+Declarations!$B$22*V112*Declarations!$D$22+0</f>
        <v>0.617283950616435</v>
      </c>
      <c r="T113" s="20" t="n">
        <f aca="false">Declarations!$C$20*Q112*Declarations!$C$20+Declarations!$C$20*R112*Declarations!$C$21+Declarations!$C$20*S112*Declarations!$C$22+Declarations!$C$21*R112*Declarations!$C$20+Declarations!$C$21*T112*Declarations!$C$21+Declarations!$C$21*U112*Declarations!$C$22+Declarations!$C$22*S112*Declarations!$C$20+Declarations!$C$22*U112*Declarations!$C$21+Declarations!$C$22*V112*Declarations!$C$22+1</f>
        <v>5.70246794983432</v>
      </c>
      <c r="U113" s="20" t="n">
        <f aca="false">Declarations!$C$20*Q112*Declarations!$D$20+Declarations!$C$20*R112*Declarations!$D$21+Declarations!$C$20*S112*Declarations!$D$22+Declarations!$C$21*R112*Declarations!$D$20+Declarations!$C$21*T112*Declarations!$D$21+Declarations!$C$21*U112*Declarations!$D$22+Declarations!$C$22*S112*Declarations!$D$20+Declarations!$C$22*U112*Declarations!$D$21+Declarations!$C$22*V112*Declarations!$D$22+0</f>
        <v>0.77160493827118</v>
      </c>
      <c r="V113" s="20" t="n">
        <f aca="false">Declarations!$D$20*Q112*Declarations!$D$20+Declarations!$D$20*R112*Declarations!$D$21+Declarations!$D$20*S112*Declarations!$D$22+Declarations!$D$21*R112*Declarations!$D$20+Declarations!$D$21*T112*Declarations!$D$21+Declarations!$D$21*U112*Declarations!$D$22+Declarations!$D$22*S112*Declarations!$D$20+Declarations!$D$22*U112*Declarations!$D$21+Declarations!$D$22*V112*Declarations!$D$22+1</f>
        <v>2.77777777777778</v>
      </c>
    </row>
    <row r="114" customFormat="false" ht="15" hidden="false" customHeight="false" outlineLevel="0" collapsed="false">
      <c r="A114" s="18" t="n">
        <v>105</v>
      </c>
      <c r="B114" s="20" t="n">
        <f aca="false">$B$4*B113*$B$4+$B$4*C113*$B$5+$B$5*C113*$B$4+$B$5*D113*$B$5+$E$4</f>
        <v>13.5712311575497</v>
      </c>
      <c r="C114" s="20" t="n">
        <f aca="false">$B$4*B113*$C$4+$B$4*C113*$C$5+$B$5*C113*$C$4+$B$5*D113*$C$5+$F$4</f>
        <v>-5.78562390782224</v>
      </c>
      <c r="D114" s="20" t="n">
        <f aca="false">$C$4*B113*$C$4+$C$4*C113*$C$5+$C$5*C113*$C$4+$C$5*D113*$C$5+$F$5</f>
        <v>11.9926852747339</v>
      </c>
      <c r="P114" s="18" t="n">
        <v>105</v>
      </c>
      <c r="Q114" s="20" t="n">
        <f aca="false">Declarations!$B$20*Q113*Declarations!$B$20+Declarations!$B$20*R113*Declarations!$B$21+Declarations!$B$20*S113*Declarations!$B$22+Declarations!$B$21*R113*Declarations!$B$20+Declarations!$B$21*T113*Declarations!$B$21+Declarations!$B$21*U113*Declarations!$B$22+Declarations!$B$22*S113*Declarations!$B$20+Declarations!$B$22*U113*Declarations!$B$21+Declarations!$B$22*V113*Declarations!$B$22+1</f>
        <v>10.2970397001673</v>
      </c>
      <c r="R114" s="20" t="n">
        <f aca="false">Declarations!$B$20*Q113*Declarations!$C$20+Declarations!$B$20*R113*Declarations!$C$21+Declarations!$B$20*S113*Declarations!$C$22+Declarations!$B$21*R113*Declarations!$C$20+Declarations!$B$21*T113*Declarations!$C$21+Declarations!$B$21*U113*Declarations!$C$22+Declarations!$B$22*S113*Declarations!$C$20+Declarations!$B$22*U113*Declarations!$C$21+Declarations!$B$22*V113*Declarations!$C$22+0</f>
        <v>4.60678888299853</v>
      </c>
      <c r="S114" s="20" t="n">
        <f aca="false">Declarations!$B$20*Q113*Declarations!$D$20+Declarations!$B$20*R113*Declarations!$D$21+Declarations!$B$20*S113*Declarations!$D$22+Declarations!$B$21*R113*Declarations!$D$20+Declarations!$B$21*T113*Declarations!$D$21+Declarations!$B$21*U113*Declarations!$D$22+Declarations!$B$22*S113*Declarations!$D$20+Declarations!$B$22*U113*Declarations!$D$21+Declarations!$B$22*V113*Declarations!$D$22+0</f>
        <v>0.617283950616639</v>
      </c>
      <c r="T114" s="20" t="n">
        <f aca="false">Declarations!$C$20*Q113*Declarations!$C$20+Declarations!$C$20*R113*Declarations!$C$21+Declarations!$C$20*S113*Declarations!$C$22+Declarations!$C$21*R113*Declarations!$C$20+Declarations!$C$21*T113*Declarations!$C$21+Declarations!$C$21*U113*Declarations!$C$22+Declarations!$C$22*S113*Declarations!$C$20+Declarations!$C$22*U113*Declarations!$C$21+Declarations!$C$22*V113*Declarations!$C$22+1</f>
        <v>5.70247494561103</v>
      </c>
      <c r="U114" s="20" t="n">
        <f aca="false">Declarations!$C$20*Q113*Declarations!$D$20+Declarations!$C$20*R113*Declarations!$D$21+Declarations!$C$20*S113*Declarations!$D$22+Declarations!$C$21*R113*Declarations!$D$20+Declarations!$C$21*T113*Declarations!$D$21+Declarations!$C$21*U113*Declarations!$D$22+Declarations!$C$22*S113*Declarations!$D$20+Declarations!$C$22*U113*Declarations!$D$21+Declarations!$C$22*V113*Declarations!$D$22+0</f>
        <v>0.771604938271282</v>
      </c>
      <c r="V114" s="20" t="n">
        <f aca="false">Declarations!$D$20*Q113*Declarations!$D$20+Declarations!$D$20*R113*Declarations!$D$21+Declarations!$D$20*S113*Declarations!$D$22+Declarations!$D$21*R113*Declarations!$D$20+Declarations!$D$21*T113*Declarations!$D$21+Declarations!$D$21*U113*Declarations!$D$22+Declarations!$D$22*S113*Declarations!$D$20+Declarations!$D$22*U113*Declarations!$D$21+Declarations!$D$22*V113*Declarations!$D$22+1</f>
        <v>2.77777777777778</v>
      </c>
    </row>
    <row r="115" customFormat="false" ht="15" hidden="false" customHeight="false" outlineLevel="0" collapsed="false">
      <c r="A115" s="18" t="n">
        <v>106</v>
      </c>
      <c r="B115" s="20" t="n">
        <f aca="false">$B$4*B114*$B$4+$B$4*C114*$B$5+$B$5*C114*$B$4+$B$5*D114*$B$5+$E$4</f>
        <v>13.5712594782692</v>
      </c>
      <c r="C115" s="20" t="n">
        <f aca="false">$B$4*B114*$C$4+$B$4*C114*$C$5+$B$5*C114*$C$4+$B$5*D114*$C$5+$F$4</f>
        <v>-5.78563572057523</v>
      </c>
      <c r="D115" s="20" t="n">
        <f aca="false">$C$4*B114*$C$4+$C$4*C114*$C$5+$C$5*C114*$C$4+$C$5*D114*$C$5+$F$5</f>
        <v>11.9926972376153</v>
      </c>
      <c r="P115" s="18" t="n">
        <v>106</v>
      </c>
      <c r="Q115" s="20" t="n">
        <f aca="false">Declarations!$B$20*Q114*Declarations!$B$20+Declarations!$B$20*R114*Declarations!$B$21+Declarations!$B$20*S114*Declarations!$B$22+Declarations!$B$21*R114*Declarations!$B$20+Declarations!$B$21*T114*Declarations!$B$21+Declarations!$B$21*U114*Declarations!$B$22+Declarations!$B$22*S114*Declarations!$B$20+Declarations!$B$22*U114*Declarations!$B$21+Declarations!$B$22*V114*Declarations!$B$22+1</f>
        <v>10.297064954914</v>
      </c>
      <c r="R115" s="20" t="n">
        <f aca="false">Declarations!$B$20*Q114*Declarations!$C$20+Declarations!$B$20*R114*Declarations!$C$21+Declarations!$B$20*S114*Declarations!$C$22+Declarations!$B$21*R114*Declarations!$C$20+Declarations!$B$21*T114*Declarations!$C$21+Declarations!$B$21*U114*Declarations!$C$22+Declarations!$B$22*S114*Declarations!$C$20+Declarations!$B$22*U114*Declarations!$C$21+Declarations!$B$22*V114*Declarations!$C$22+0</f>
        <v>4.60680151037351</v>
      </c>
      <c r="S115" s="20" t="n">
        <f aca="false">Declarations!$B$20*Q114*Declarations!$D$20+Declarations!$B$20*R114*Declarations!$D$21+Declarations!$B$20*S114*Declarations!$D$22+Declarations!$B$21*R114*Declarations!$D$20+Declarations!$B$21*T114*Declarations!$D$21+Declarations!$B$21*U114*Declarations!$D$22+Declarations!$B$22*S114*Declarations!$D$20+Declarations!$B$22*U114*Declarations!$D$21+Declarations!$B$22*V114*Declarations!$D$22+0</f>
        <v>0.617283950616794</v>
      </c>
      <c r="T115" s="20" t="n">
        <f aca="false">Declarations!$C$20*Q114*Declarations!$C$20+Declarations!$C$20*R114*Declarations!$C$21+Declarations!$C$20*S114*Declarations!$C$22+Declarations!$C$21*R114*Declarations!$C$20+Declarations!$C$21*T114*Declarations!$C$21+Declarations!$C$21*U114*Declarations!$C$22+Declarations!$C$22*S114*Declarations!$C$20+Declarations!$C$22*U114*Declarations!$C$21+Declarations!$C$22*V114*Declarations!$C$22+1</f>
        <v>5.70248125929932</v>
      </c>
      <c r="U115" s="20" t="n">
        <f aca="false">Declarations!$C$20*Q114*Declarations!$D$20+Declarations!$C$20*R114*Declarations!$D$21+Declarations!$C$20*S114*Declarations!$D$22+Declarations!$C$21*R114*Declarations!$D$20+Declarations!$C$21*T114*Declarations!$D$21+Declarations!$C$21*U114*Declarations!$D$22+Declarations!$C$22*S114*Declarations!$D$20+Declarations!$C$22*U114*Declarations!$D$21+Declarations!$C$22*V114*Declarations!$D$22+0</f>
        <v>0.77160493827136</v>
      </c>
      <c r="V115" s="20" t="n">
        <f aca="false">Declarations!$D$20*Q114*Declarations!$D$20+Declarations!$D$20*R114*Declarations!$D$21+Declarations!$D$20*S114*Declarations!$D$22+Declarations!$D$21*R114*Declarations!$D$20+Declarations!$D$21*T114*Declarations!$D$21+Declarations!$D$21*U114*Declarations!$D$22+Declarations!$D$22*S114*Declarations!$D$20+Declarations!$D$22*U114*Declarations!$D$21+Declarations!$D$22*V114*Declarations!$D$22+1</f>
        <v>2.77777777777778</v>
      </c>
    </row>
    <row r="116" customFormat="false" ht="15" hidden="false" customHeight="false" outlineLevel="0" collapsed="false">
      <c r="A116" s="18" t="n">
        <v>107</v>
      </c>
      <c r="B116" s="20" t="n">
        <f aca="false">$B$4*B115*$B$4+$B$4*C115*$B$5+$B$5*C115*$B$4+$B$5*D115*$B$5+$E$4</f>
        <v>13.5712731179779</v>
      </c>
      <c r="C116" s="20" t="n">
        <f aca="false">$B$4*B115*$C$4+$B$4*C115*$C$5+$B$5*C115*$C$4+$B$5*D115*$C$5+$F$4</f>
        <v>-5.78564802888031</v>
      </c>
      <c r="D116" s="20" t="n">
        <f aca="false">$C$4*B115*$C$4+$C$4*C115*$C$5+$C$5*C115*$C$4+$C$5*D115*$C$5+$F$5</f>
        <v>11.992720177398</v>
      </c>
      <c r="P116" s="18" t="n">
        <v>107</v>
      </c>
      <c r="Q116" s="20" t="n">
        <f aca="false">Declarations!$B$20*Q115*Declarations!$B$20+Declarations!$B$20*R115*Declarations!$B$21+Declarations!$B$20*S115*Declarations!$B$22+Declarations!$B$21*R115*Declarations!$B$20+Declarations!$B$21*T115*Declarations!$B$21+Declarations!$B$21*U115*Declarations!$B$22+Declarations!$B$22*S115*Declarations!$B$20+Declarations!$B$22*U115*Declarations!$B$21+Declarations!$B$22*V115*Declarations!$B$22+1</f>
        <v>10.2970877473233</v>
      </c>
      <c r="R116" s="20" t="n">
        <f aca="false">Declarations!$B$20*Q115*Declarations!$C$20+Declarations!$B$20*R115*Declarations!$C$21+Declarations!$B$20*S115*Declarations!$C$22+Declarations!$B$21*R115*Declarations!$C$20+Declarations!$B$21*T115*Declarations!$C$21+Declarations!$B$21*U115*Declarations!$C$22+Declarations!$B$22*S115*Declarations!$C$20+Declarations!$B$22*U115*Declarations!$C$21+Declarations!$B$22*V115*Declarations!$C$22+0</f>
        <v>4.60681290657936</v>
      </c>
      <c r="S116" s="20" t="n">
        <f aca="false">Declarations!$B$20*Q115*Declarations!$D$20+Declarations!$B$20*R115*Declarations!$D$21+Declarations!$B$20*S115*Declarations!$D$22+Declarations!$B$21*R115*Declarations!$D$20+Declarations!$B$21*T115*Declarations!$D$21+Declarations!$B$21*U115*Declarations!$D$22+Declarations!$B$22*S115*Declarations!$D$20+Declarations!$B$22*U115*Declarations!$D$21+Declarations!$B$22*V115*Declarations!$D$22+0</f>
        <v>0.617283950616911</v>
      </c>
      <c r="T116" s="20" t="n">
        <f aca="false">Declarations!$C$20*Q115*Declarations!$C$20+Declarations!$C$20*R115*Declarations!$C$21+Declarations!$C$20*S115*Declarations!$C$22+Declarations!$C$21*R115*Declarations!$C$20+Declarations!$C$21*T115*Declarations!$C$21+Declarations!$C$21*U115*Declarations!$C$22+Declarations!$C$22*S115*Declarations!$C$20+Declarations!$C$22*U115*Declarations!$C$21+Declarations!$C$22*V115*Declarations!$C$22+1</f>
        <v>5.70248695740287</v>
      </c>
      <c r="U116" s="20" t="n">
        <f aca="false">Declarations!$C$20*Q115*Declarations!$D$20+Declarations!$C$20*R115*Declarations!$D$21+Declarations!$C$20*S115*Declarations!$D$22+Declarations!$C$21*R115*Declarations!$D$20+Declarations!$C$21*T115*Declarations!$D$21+Declarations!$C$21*U115*Declarations!$D$22+Declarations!$C$22*S115*Declarations!$D$20+Declarations!$C$22*U115*Declarations!$D$21+Declarations!$C$22*V115*Declarations!$D$22+0</f>
        <v>0.771604938271419</v>
      </c>
      <c r="V116" s="20" t="n">
        <f aca="false">Declarations!$D$20*Q115*Declarations!$D$20+Declarations!$D$20*R115*Declarations!$D$21+Declarations!$D$20*S115*Declarations!$D$22+Declarations!$D$21*R115*Declarations!$D$20+Declarations!$D$21*T115*Declarations!$D$21+Declarations!$D$21*U115*Declarations!$D$22+Declarations!$D$22*S115*Declarations!$D$20+Declarations!$D$22*U115*Declarations!$D$21+Declarations!$D$22*V115*Declarations!$D$22+1</f>
        <v>2.77777777777778</v>
      </c>
    </row>
    <row r="117" customFormat="false" ht="15" hidden="false" customHeight="false" outlineLevel="0" collapsed="false">
      <c r="A117" s="18" t="n">
        <v>108</v>
      </c>
      <c r="B117" s="20" t="n">
        <f aca="false">$B$4*B116*$B$4+$B$4*C116*$B$5+$B$5*C116*$B$4+$B$5*D116*$B$5+$E$4</f>
        <v>13.5712849509755</v>
      </c>
      <c r="C117" s="20" t="n">
        <f aca="false">$B$4*B116*$C$4+$B$4*C116*$C$5+$B$5*C116*$C$4+$B$5*D116*$C$5+$F$4</f>
        <v>-5.78564799956978</v>
      </c>
      <c r="D117" s="20" t="n">
        <f aca="false">$C$4*B116*$C$4+$C$4*C116*$C$5+$C$5*C116*$C$4+$C$5*D116*$C$5+$F$5</f>
        <v>11.9927312255621</v>
      </c>
      <c r="P117" s="18" t="n">
        <v>108</v>
      </c>
      <c r="Q117" s="20" t="n">
        <f aca="false">Declarations!$B$20*Q116*Declarations!$B$20+Declarations!$B$20*R116*Declarations!$B$21+Declarations!$B$20*S116*Declarations!$B$22+Declarations!$B$21*R116*Declarations!$B$20+Declarations!$B$21*T116*Declarations!$B$21+Declarations!$B$21*U116*Declarations!$B$22+Declarations!$B$22*S116*Declarations!$B$20+Declarations!$B$22*U116*Declarations!$B$21+Declarations!$B$22*V116*Declarations!$B$22+1</f>
        <v>10.2971083174728</v>
      </c>
      <c r="R117" s="20" t="n">
        <f aca="false">Declarations!$B$20*Q116*Declarations!$C$20+Declarations!$B$20*R116*Declarations!$C$21+Declarations!$B$20*S116*Declarations!$C$22+Declarations!$B$21*R116*Declarations!$C$20+Declarations!$B$21*T116*Declarations!$C$21+Declarations!$B$21*U116*Declarations!$C$22+Declarations!$B$22*S116*Declarations!$C$20+Declarations!$B$22*U116*Declarations!$C$21+Declarations!$B$22*V116*Declarations!$C$22+0</f>
        <v>4.6068231916551</v>
      </c>
      <c r="S117" s="20" t="n">
        <f aca="false">Declarations!$B$20*Q116*Declarations!$D$20+Declarations!$B$20*R116*Declarations!$D$21+Declarations!$B$20*S116*Declarations!$D$22+Declarations!$B$21*R116*Declarations!$D$20+Declarations!$B$21*T116*Declarations!$D$21+Declarations!$B$21*U116*Declarations!$D$22+Declarations!$B$22*S116*Declarations!$D$20+Declarations!$B$22*U116*Declarations!$D$21+Declarations!$B$22*V116*Declarations!$D$22+0</f>
        <v>0.617283950617001</v>
      </c>
      <c r="T117" s="20" t="n">
        <f aca="false">Declarations!$C$20*Q116*Declarations!$C$20+Declarations!$C$20*R116*Declarations!$C$21+Declarations!$C$20*S116*Declarations!$C$22+Declarations!$C$21*R116*Declarations!$C$20+Declarations!$C$21*T116*Declarations!$C$21+Declarations!$C$21*U116*Declarations!$C$22+Declarations!$C$22*S116*Declarations!$C$20+Declarations!$C$22*U116*Declarations!$C$21+Declarations!$C$22*V116*Declarations!$C$22+1</f>
        <v>5.70249209994122</v>
      </c>
      <c r="U117" s="20" t="n">
        <f aca="false">Declarations!$C$20*Q116*Declarations!$D$20+Declarations!$C$20*R116*Declarations!$D$21+Declarations!$C$20*S116*Declarations!$D$22+Declarations!$C$21*R116*Declarations!$D$20+Declarations!$C$21*T116*Declarations!$D$21+Declarations!$C$21*U116*Declarations!$D$22+Declarations!$C$22*S116*Declarations!$D$20+Declarations!$C$22*U116*Declarations!$D$21+Declarations!$C$22*V116*Declarations!$D$22+0</f>
        <v>0.771604938271463</v>
      </c>
      <c r="V117" s="20" t="n">
        <f aca="false">Declarations!$D$20*Q116*Declarations!$D$20+Declarations!$D$20*R116*Declarations!$D$21+Declarations!$D$20*S116*Declarations!$D$22+Declarations!$D$21*R116*Declarations!$D$20+Declarations!$D$21*T116*Declarations!$D$21+Declarations!$D$21*U116*Declarations!$D$22+Declarations!$D$22*S116*Declarations!$D$20+Declarations!$D$22*U116*Declarations!$D$21+Declarations!$D$22*V116*Declarations!$D$22+1</f>
        <v>2.77777777777778</v>
      </c>
    </row>
    <row r="118" customFormat="false" ht="15" hidden="false" customHeight="false" outlineLevel="0" collapsed="false">
      <c r="A118" s="18" t="n">
        <v>109</v>
      </c>
      <c r="B118" s="20" t="n">
        <f aca="false">$B$4*B117*$B$4+$B$4*C117*$B$5+$B$5*C117*$B$4+$B$5*D117*$B$5+$E$4</f>
        <v>13.5713056366266</v>
      </c>
      <c r="C118" s="20" t="n">
        <f aca="false">$B$4*B117*$C$4+$B$4*C117*$C$5+$B$5*C117*$C$4+$B$5*D117*$C$5+$F$4</f>
        <v>-5.78565761067737</v>
      </c>
      <c r="D118" s="20" t="n">
        <f aca="false">$C$4*B117*$C$4+$C$4*C117*$C$5+$C$5*C117*$C$4+$C$5*D117*$C$5+$F$5</f>
        <v>11.9927408102902</v>
      </c>
      <c r="P118" s="18" t="n">
        <v>109</v>
      </c>
      <c r="Q118" s="20" t="n">
        <f aca="false">Declarations!$B$20*Q117*Declarations!$B$20+Declarations!$B$20*R117*Declarations!$B$21+Declarations!$B$20*S117*Declarations!$B$22+Declarations!$B$21*R117*Declarations!$B$20+Declarations!$B$21*T117*Declarations!$B$21+Declarations!$B$21*U117*Declarations!$B$22+Declarations!$B$22*S117*Declarations!$B$20+Declarations!$B$22*U117*Declarations!$B$21+Declarations!$B$22*V117*Declarations!$B$22+1</f>
        <v>10.297126882033</v>
      </c>
      <c r="R118" s="20" t="n">
        <f aca="false">Declarations!$B$20*Q117*Declarations!$C$20+Declarations!$B$20*R117*Declarations!$C$21+Declarations!$B$20*S117*Declarations!$C$22+Declarations!$B$21*R117*Declarations!$C$20+Declarations!$B$21*T117*Declarations!$C$21+Declarations!$B$21*U117*Declarations!$C$22+Declarations!$B$22*S117*Declarations!$C$20+Declarations!$B$22*U117*Declarations!$C$21+Declarations!$B$22*V117*Declarations!$C$22+0</f>
        <v>4.60683247393593</v>
      </c>
      <c r="S118" s="20" t="n">
        <f aca="false">Declarations!$B$20*Q117*Declarations!$D$20+Declarations!$B$20*R117*Declarations!$D$21+Declarations!$B$20*S117*Declarations!$D$22+Declarations!$B$21*R117*Declarations!$D$20+Declarations!$B$21*T117*Declarations!$D$21+Declarations!$B$21*U117*Declarations!$D$22+Declarations!$B$22*S117*Declarations!$D$20+Declarations!$B$22*U117*Declarations!$D$21+Declarations!$B$22*V117*Declarations!$D$22+0</f>
        <v>0.617283950617069</v>
      </c>
      <c r="T118" s="20" t="n">
        <f aca="false">Declarations!$C$20*Q117*Declarations!$C$20+Declarations!$C$20*R117*Declarations!$C$21+Declarations!$C$20*S117*Declarations!$C$22+Declarations!$C$21*R117*Declarations!$C$20+Declarations!$C$21*T117*Declarations!$C$21+Declarations!$C$21*U117*Declarations!$C$22+Declarations!$C$22*S117*Declarations!$C$20+Declarations!$C$22*U117*Declarations!$C$21+Declarations!$C$22*V117*Declarations!$C$22+1</f>
        <v>5.70249674108199</v>
      </c>
      <c r="U118" s="20" t="n">
        <f aca="false">Declarations!$C$20*Q117*Declarations!$D$20+Declarations!$C$20*R117*Declarations!$D$21+Declarations!$C$20*S117*Declarations!$D$22+Declarations!$C$21*R117*Declarations!$D$20+Declarations!$C$21*T117*Declarations!$D$21+Declarations!$C$21*U117*Declarations!$D$22+Declarations!$C$22*S117*Declarations!$D$20+Declarations!$C$22*U117*Declarations!$D$21+Declarations!$C$22*V117*Declarations!$D$22+0</f>
        <v>0.771604938271497</v>
      </c>
      <c r="V118" s="20" t="n">
        <f aca="false">Declarations!$D$20*Q117*Declarations!$D$20+Declarations!$D$20*R117*Declarations!$D$21+Declarations!$D$20*S117*Declarations!$D$22+Declarations!$D$21*R117*Declarations!$D$20+Declarations!$D$21*T117*Declarations!$D$21+Declarations!$D$21*U117*Declarations!$D$22+Declarations!$D$22*S117*Declarations!$D$20+Declarations!$D$22*U117*Declarations!$D$21+Declarations!$D$22*V117*Declarations!$D$22+1</f>
        <v>2.77777777777778</v>
      </c>
    </row>
    <row r="119" customFormat="false" ht="15" hidden="false" customHeight="false" outlineLevel="0" collapsed="false">
      <c r="A119" s="18" t="n">
        <v>110</v>
      </c>
      <c r="B119" s="20" t="n">
        <f aca="false">$B$4*B118*$B$4+$B$4*C118*$B$5+$B$5*C118*$B$4+$B$5*D118*$B$5+$E$4</f>
        <v>13.5713146767385</v>
      </c>
      <c r="C119" s="20" t="n">
        <f aca="false">$B$4*B118*$C$4+$B$4*C118*$C$5+$B$5*C118*$C$4+$B$5*D118*$C$5+$F$4</f>
        <v>-5.78566571605793</v>
      </c>
      <c r="D119" s="20" t="n">
        <f aca="false">$C$4*B118*$C$4+$C$4*C118*$C$5+$C$5*C118*$C$4+$C$5*D118*$C$5+$F$5</f>
        <v>11.9927575656676</v>
      </c>
      <c r="P119" s="18" t="n">
        <v>110</v>
      </c>
      <c r="Q119" s="20" t="n">
        <f aca="false">Declarations!$B$20*Q118*Declarations!$B$20+Declarations!$B$20*R118*Declarations!$B$21+Declarations!$B$20*S118*Declarations!$B$22+Declarations!$B$21*R118*Declarations!$B$20+Declarations!$B$21*T118*Declarations!$B$21+Declarations!$B$21*U118*Declarations!$B$22+Declarations!$B$22*S118*Declarations!$B$20+Declarations!$B$22*U118*Declarations!$B$21+Declarations!$B$22*V118*Declarations!$B$22+1</f>
        <v>10.2971436365487</v>
      </c>
      <c r="R119" s="20" t="n">
        <f aca="false">Declarations!$B$20*Q118*Declarations!$C$20+Declarations!$B$20*R118*Declarations!$C$21+Declarations!$B$20*S118*Declarations!$C$22+Declarations!$B$21*R118*Declarations!$C$20+Declarations!$B$21*T118*Declarations!$C$21+Declarations!$B$21*U118*Declarations!$C$22+Declarations!$B$22*S118*Declarations!$C$20+Declarations!$B$22*U118*Declarations!$C$21+Declarations!$B$22*V118*Declarations!$C$22+0</f>
        <v>4.60684085119434</v>
      </c>
      <c r="S119" s="20" t="n">
        <f aca="false">Declarations!$B$20*Q118*Declarations!$D$20+Declarations!$B$20*R118*Declarations!$D$21+Declarations!$B$20*S118*Declarations!$D$22+Declarations!$B$21*R118*Declarations!$D$20+Declarations!$B$21*T118*Declarations!$D$21+Declarations!$B$21*U118*Declarations!$D$22+Declarations!$B$22*S118*Declarations!$D$20+Declarations!$B$22*U118*Declarations!$D$21+Declarations!$B$22*V118*Declarations!$D$22+0</f>
        <v>0.617283950617121</v>
      </c>
      <c r="T119" s="20" t="n">
        <f aca="false">Declarations!$C$20*Q118*Declarations!$C$20+Declarations!$C$20*R118*Declarations!$C$21+Declarations!$C$20*S118*Declarations!$C$22+Declarations!$C$21*R118*Declarations!$C$20+Declarations!$C$21*T118*Declarations!$C$21+Declarations!$C$21*U118*Declarations!$C$22+Declarations!$C$22*S118*Declarations!$C$20+Declarations!$C$22*U118*Declarations!$C$21+Declarations!$C$22*V118*Declarations!$C$22+1</f>
        <v>5.70250092971148</v>
      </c>
      <c r="U119" s="20" t="n">
        <f aca="false">Declarations!$C$20*Q118*Declarations!$D$20+Declarations!$C$20*R118*Declarations!$D$21+Declarations!$C$20*S118*Declarations!$D$22+Declarations!$C$21*R118*Declarations!$D$20+Declarations!$C$21*T118*Declarations!$D$21+Declarations!$C$21*U118*Declarations!$D$22+Declarations!$C$22*S118*Declarations!$D$20+Declarations!$C$22*U118*Declarations!$D$21+Declarations!$C$22*V118*Declarations!$D$22+0</f>
        <v>0.771604938271523</v>
      </c>
      <c r="V119" s="20" t="n">
        <f aca="false">Declarations!$D$20*Q118*Declarations!$D$20+Declarations!$D$20*R118*Declarations!$D$21+Declarations!$D$20*S118*Declarations!$D$22+Declarations!$D$21*R118*Declarations!$D$20+Declarations!$D$21*T118*Declarations!$D$21+Declarations!$D$21*U118*Declarations!$D$22+Declarations!$D$22*S118*Declarations!$D$20+Declarations!$D$22*U118*Declarations!$D$21+Declarations!$D$22*V118*Declarations!$D$22+1</f>
        <v>2.77777777777778</v>
      </c>
    </row>
    <row r="120" customFormat="false" ht="15" hidden="false" customHeight="false" outlineLevel="0" collapsed="false">
      <c r="A120" s="18" t="n">
        <v>111</v>
      </c>
      <c r="B120" s="20" t="n">
        <f aca="false">$B$4*B119*$B$4+$B$4*C119*$B$5+$B$5*C119*$B$4+$B$5*D119*$B$5+$E$4</f>
        <v>13.5713241649214</v>
      </c>
      <c r="C120" s="20" t="n">
        <f aca="false">$B$4*B119*$C$4+$B$4*C119*$C$5+$B$5*C119*$C$4+$B$5*D119*$C$5+$F$4</f>
        <v>-5.78566574370602</v>
      </c>
      <c r="D120" s="20" t="n">
        <f aca="false">$C$4*B119*$C$4+$C$4*C119*$C$5+$C$5*C119*$C$4+$C$5*D119*$C$5+$F$5</f>
        <v>11.9927648881582</v>
      </c>
      <c r="P120" s="18" t="n">
        <v>111</v>
      </c>
      <c r="Q120" s="20" t="n">
        <f aca="false">Declarations!$B$20*Q119*Declarations!$B$20+Declarations!$B$20*R119*Declarations!$B$21+Declarations!$B$20*S119*Declarations!$B$22+Declarations!$B$21*R119*Declarations!$B$20+Declarations!$B$21*T119*Declarations!$B$21+Declarations!$B$21*U119*Declarations!$B$22+Declarations!$B$22*S119*Declarations!$B$20+Declarations!$B$22*U119*Declarations!$B$21+Declarations!$B$22*V119*Declarations!$B$22+1</f>
        <v>10.2971587574993</v>
      </c>
      <c r="R120" s="20" t="n">
        <f aca="false">Declarations!$B$20*Q119*Declarations!$C$20+Declarations!$B$20*R119*Declarations!$C$21+Declarations!$B$20*S119*Declarations!$C$22+Declarations!$B$21*R119*Declarations!$C$20+Declarations!$B$21*T119*Declarations!$C$21+Declarations!$B$21*U119*Declarations!$C$22+Declarations!$B$22*S119*Declarations!$C$20+Declarations!$B$22*U119*Declarations!$C$21+Declarations!$B$22*V119*Declarations!$C$22+0</f>
        <v>4.60684841167004</v>
      </c>
      <c r="S120" s="20" t="n">
        <f aca="false">Declarations!$B$20*Q119*Declarations!$D$20+Declarations!$B$20*R119*Declarations!$D$21+Declarations!$B$20*S119*Declarations!$D$22+Declarations!$B$21*R119*Declarations!$D$20+Declarations!$B$21*T119*Declarations!$D$21+Declarations!$B$21*U119*Declarations!$D$22+Declarations!$B$22*S119*Declarations!$D$20+Declarations!$B$22*U119*Declarations!$D$21+Declarations!$B$22*V119*Declarations!$D$22+0</f>
        <v>0.61728395061716</v>
      </c>
      <c r="T120" s="20" t="n">
        <f aca="false">Declarations!$C$20*Q119*Declarations!$C$20+Declarations!$C$20*R119*Declarations!$C$21+Declarations!$C$20*S119*Declarations!$C$22+Declarations!$C$21*R119*Declarations!$C$20+Declarations!$C$21*T119*Declarations!$C$21+Declarations!$C$21*U119*Declarations!$C$22+Declarations!$C$22*S119*Declarations!$C$20+Declarations!$C$22*U119*Declarations!$C$21+Declarations!$C$22*V119*Declarations!$C$22+1</f>
        <v>5.70250470994954</v>
      </c>
      <c r="U120" s="20" t="n">
        <f aca="false">Declarations!$C$20*Q119*Declarations!$D$20+Declarations!$C$20*R119*Declarations!$D$21+Declarations!$C$20*S119*Declarations!$D$22+Declarations!$C$21*R119*Declarations!$D$20+Declarations!$C$21*T119*Declarations!$D$21+Declarations!$C$21*U119*Declarations!$D$22+Declarations!$C$22*S119*Declarations!$D$20+Declarations!$C$22*U119*Declarations!$D$21+Declarations!$C$22*V119*Declarations!$D$22+0</f>
        <v>0.771604938271543</v>
      </c>
      <c r="V120" s="20" t="n">
        <f aca="false">Declarations!$D$20*Q119*Declarations!$D$20+Declarations!$D$20*R119*Declarations!$D$21+Declarations!$D$20*S119*Declarations!$D$22+Declarations!$D$21*R119*Declarations!$D$20+Declarations!$D$21*T119*Declarations!$D$21+Declarations!$D$21*U119*Declarations!$D$22+Declarations!$D$22*S119*Declarations!$D$20+Declarations!$D$22*U119*Declarations!$D$21+Declarations!$D$22*V119*Declarations!$D$22+1</f>
        <v>2.77777777777778</v>
      </c>
    </row>
    <row r="121" customFormat="false" ht="15" hidden="false" customHeight="false" outlineLevel="0" collapsed="false">
      <c r="A121" s="18" t="n">
        <v>112</v>
      </c>
      <c r="B121" s="20" t="n">
        <f aca="false">$B$4*B120*$B$4+$B$4*C120*$B$5+$B$5*C120*$B$4+$B$5*D120*$B$5+$E$4</f>
        <v>13.5713391230737</v>
      </c>
      <c r="C121" s="20" t="n">
        <f aca="false">$B$4*B120*$C$4+$B$4*C120*$C$5+$B$5*C120*$C$4+$B$5*D120*$C$5+$F$4</f>
        <v>-5.78567340425095</v>
      </c>
      <c r="D121" s="20" t="n">
        <f aca="false">$C$4*B120*$C$4+$C$4*C120*$C$5+$C$5*C120*$C$4+$C$5*D120*$C$5+$F$5</f>
        <v>11.9927725735864</v>
      </c>
      <c r="P121" s="18" t="n">
        <v>112</v>
      </c>
      <c r="Q121" s="20" t="n">
        <f aca="false">Declarations!$B$20*Q120*Declarations!$B$20+Declarations!$B$20*R120*Declarations!$B$21+Declarations!$B$20*S120*Declarations!$B$22+Declarations!$B$21*R120*Declarations!$B$20+Declarations!$B$21*T120*Declarations!$B$21+Declarations!$B$21*U120*Declarations!$B$22+Declarations!$B$22*S120*Declarations!$B$20+Declarations!$B$22*U120*Declarations!$B$21+Declarations!$B$22*V120*Declarations!$B$22+1</f>
        <v>10.2971724041572</v>
      </c>
      <c r="R121" s="20" t="n">
        <f aca="false">Declarations!$B$20*Q120*Declarations!$C$20+Declarations!$B$20*R120*Declarations!$C$21+Declarations!$B$20*S120*Declarations!$C$22+Declarations!$B$21*R120*Declarations!$C$20+Declarations!$B$21*T120*Declarations!$C$21+Declarations!$B$21*U120*Declarations!$C$22+Declarations!$B$22*S120*Declarations!$C$20+Declarations!$B$22*U120*Declarations!$C$21+Declarations!$B$22*V120*Declarations!$C$22+0</f>
        <v>4.60685523499934</v>
      </c>
      <c r="S121" s="20" t="n">
        <f aca="false">Declarations!$B$20*Q120*Declarations!$D$20+Declarations!$B$20*R120*Declarations!$D$21+Declarations!$B$20*S120*Declarations!$D$22+Declarations!$B$21*R120*Declarations!$D$20+Declarations!$B$21*T120*Declarations!$D$21+Declarations!$B$21*U120*Declarations!$D$22+Declarations!$B$22*S120*Declarations!$D$20+Declarations!$B$22*U120*Declarations!$D$21+Declarations!$B$22*V120*Declarations!$D$22+0</f>
        <v>0.61728395061719</v>
      </c>
      <c r="T121" s="20" t="n">
        <f aca="false">Declarations!$C$20*Q120*Declarations!$C$20+Declarations!$C$20*R120*Declarations!$C$21+Declarations!$C$20*S120*Declarations!$C$22+Declarations!$C$21*R120*Declarations!$C$20+Declarations!$C$21*T120*Declarations!$C$21+Declarations!$C$21*U120*Declarations!$C$22+Declarations!$C$22*S120*Declarations!$C$20+Declarations!$C$22*U120*Declarations!$C$21+Declarations!$C$22*V120*Declarations!$C$22+1</f>
        <v>5.70250812161436</v>
      </c>
      <c r="U121" s="20" t="n">
        <f aca="false">Declarations!$C$20*Q120*Declarations!$D$20+Declarations!$C$20*R120*Declarations!$D$21+Declarations!$C$20*S120*Declarations!$D$22+Declarations!$C$21*R120*Declarations!$D$20+Declarations!$C$21*T120*Declarations!$D$21+Declarations!$C$21*U120*Declarations!$D$22+Declarations!$C$22*S120*Declarations!$D$20+Declarations!$C$22*U120*Declarations!$D$21+Declarations!$C$22*V120*Declarations!$D$22+0</f>
        <v>0.771604938271558</v>
      </c>
      <c r="V121" s="20" t="n">
        <f aca="false">Declarations!$D$20*Q120*Declarations!$D$20+Declarations!$D$20*R120*Declarations!$D$21+Declarations!$D$20*S120*Declarations!$D$22+Declarations!$D$21*R120*Declarations!$D$20+Declarations!$D$21*T120*Declarations!$D$21+Declarations!$D$21*U120*Declarations!$D$22+Declarations!$D$22*S120*Declarations!$D$20+Declarations!$D$22*U120*Declarations!$D$21+Declarations!$D$22*V120*Declarations!$D$22+1</f>
        <v>2.77777777777778</v>
      </c>
    </row>
    <row r="122" customFormat="false" ht="15" hidden="false" customHeight="false" outlineLevel="0" collapsed="false">
      <c r="A122" s="18" t="n">
        <v>113</v>
      </c>
      <c r="B122" s="20" t="n">
        <f aca="false">$B$4*B121*$B$4+$B$4*C121*$B$5+$B$5*C121*$B$4+$B$5*D121*$B$5+$E$4</f>
        <v>13.5713451356243</v>
      </c>
      <c r="C122" s="20" t="n">
        <f aca="false">$B$4*B121*$C$4+$B$4*C121*$C$5+$B$5*C121*$C$4+$B$5*D121*$C$5+$F$4</f>
        <v>-5.78567862586383</v>
      </c>
      <c r="D122" s="20" t="n">
        <f aca="false">$C$4*B121*$C$4+$C$4*C121*$C$5+$C$5*C121*$C$4+$C$5*D121*$C$5+$F$5</f>
        <v>11.9927846896897</v>
      </c>
      <c r="P122" s="18" t="n">
        <v>113</v>
      </c>
      <c r="Q122" s="20" t="n">
        <f aca="false">Declarations!$B$20*Q121*Declarations!$B$20+Declarations!$B$20*R121*Declarations!$B$21+Declarations!$B$20*S121*Declarations!$B$22+Declarations!$B$21*R121*Declarations!$B$20+Declarations!$B$21*T121*Declarations!$B$21+Declarations!$B$21*U121*Declarations!$B$22+Declarations!$B$22*S121*Declarations!$B$20+Declarations!$B$22*U121*Declarations!$B$21+Declarations!$B$22*V121*Declarations!$B$22+1</f>
        <v>10.2971847202661</v>
      </c>
      <c r="R122" s="20" t="n">
        <f aca="false">Declarations!$B$20*Q121*Declarations!$C$20+Declarations!$B$20*R121*Declarations!$C$21+Declarations!$B$20*S121*Declarations!$C$22+Declarations!$B$21*R121*Declarations!$C$20+Declarations!$B$21*T121*Declarations!$C$21+Declarations!$B$21*U121*Declarations!$C$22+Declarations!$B$22*S121*Declarations!$C$20+Declarations!$B$22*U121*Declarations!$C$21+Declarations!$B$22*V121*Declarations!$C$22+0</f>
        <v>4.60686139305402</v>
      </c>
      <c r="S122" s="20" t="n">
        <f aca="false">Declarations!$B$20*Q121*Declarations!$D$20+Declarations!$B$20*R121*Declarations!$D$21+Declarations!$B$20*S121*Declarations!$D$22+Declarations!$B$21*R121*Declarations!$D$20+Declarations!$B$21*T121*Declarations!$D$21+Declarations!$B$21*U121*Declarations!$D$22+Declarations!$B$22*S121*Declarations!$D$20+Declarations!$B$22*U121*Declarations!$D$21+Declarations!$B$22*V121*Declarations!$D$22+0</f>
        <v>0.617283950617212</v>
      </c>
      <c r="T122" s="20" t="n">
        <f aca="false">Declarations!$C$20*Q121*Declarations!$C$20+Declarations!$C$20*R121*Declarations!$C$21+Declarations!$C$20*S121*Declarations!$C$22+Declarations!$C$21*R121*Declarations!$C$20+Declarations!$C$21*T121*Declarations!$C$21+Declarations!$C$21*U121*Declarations!$C$22+Declarations!$C$22*S121*Declarations!$C$20+Declarations!$C$22*U121*Declarations!$C$21+Declarations!$C$22*V121*Declarations!$C$22+1</f>
        <v>5.70251120064182</v>
      </c>
      <c r="U122" s="20" t="n">
        <f aca="false">Declarations!$C$20*Q121*Declarations!$D$20+Declarations!$C$20*R121*Declarations!$D$21+Declarations!$C$20*S121*Declarations!$D$22+Declarations!$C$21*R121*Declarations!$D$20+Declarations!$C$21*T121*Declarations!$D$21+Declarations!$C$21*U121*Declarations!$D$22+Declarations!$C$22*S121*Declarations!$D$20+Declarations!$C$22*U121*Declarations!$D$21+Declarations!$C$22*V121*Declarations!$D$22+0</f>
        <v>0.771604938271569</v>
      </c>
      <c r="V122" s="20" t="n">
        <f aca="false">Declarations!$D$20*Q121*Declarations!$D$20+Declarations!$D$20*R121*Declarations!$D$21+Declarations!$D$20*S121*Declarations!$D$22+Declarations!$D$21*R121*Declarations!$D$20+Declarations!$D$21*T121*Declarations!$D$21+Declarations!$D$21*U121*Declarations!$D$22+Declarations!$D$22*S121*Declarations!$D$20+Declarations!$D$22*U121*Declarations!$D$21+Declarations!$D$22*V121*Declarations!$D$22+1</f>
        <v>2.77777777777778</v>
      </c>
    </row>
    <row r="123" customFormat="false" ht="15" hidden="false" customHeight="false" outlineLevel="0" collapsed="false">
      <c r="A123" s="18" t="n">
        <v>114</v>
      </c>
      <c r="B123" s="20" t="n">
        <f aca="false">$B$4*B122*$B$4+$B$4*C122*$B$5+$B$5*C122*$B$4+$B$5*D122*$B$5+$E$4</f>
        <v>13.5713527229905</v>
      </c>
      <c r="C123" s="20" t="n">
        <f aca="false">$B$4*B122*$C$4+$B$4*C122*$C$5+$B$5*C122*$C$4+$B$5*D122*$C$5+$F$4</f>
        <v>-5.78567879657827</v>
      </c>
      <c r="D123" s="20" t="n">
        <f aca="false">$C$4*B122*$C$4+$C$4*C122*$C$5+$C$5*C122*$C$4+$C$5*D122*$C$5+$F$5</f>
        <v>11.9927895598557</v>
      </c>
      <c r="P123" s="18" t="n">
        <v>114</v>
      </c>
      <c r="Q123" s="20" t="n">
        <f aca="false">Declarations!$B$20*Q122*Declarations!$B$20+Declarations!$B$20*R122*Declarations!$B$21+Declarations!$B$20*S122*Declarations!$B$22+Declarations!$B$21*R122*Declarations!$B$20+Declarations!$B$21*T122*Declarations!$B$21+Declarations!$B$21*U122*Declarations!$B$22+Declarations!$B$22*S122*Declarations!$B$20+Declarations!$B$22*U122*Declarations!$B$21+Declarations!$B$22*V122*Declarations!$B$22+1</f>
        <v>10.2971958355544</v>
      </c>
      <c r="R123" s="20" t="n">
        <f aca="false">Declarations!$B$20*Q122*Declarations!$C$20+Declarations!$B$20*R122*Declarations!$C$21+Declarations!$B$20*S122*Declarations!$C$22+Declarations!$B$21*R122*Declarations!$C$20+Declarations!$B$21*T122*Declarations!$C$21+Declarations!$B$21*U122*Declarations!$C$22+Declarations!$B$22*S122*Declarations!$C$20+Declarations!$B$22*U122*Declarations!$C$21+Declarations!$B$22*V122*Declarations!$C$22+0</f>
        <v>4.60686695069836</v>
      </c>
      <c r="S123" s="20" t="n">
        <f aca="false">Declarations!$B$20*Q122*Declarations!$D$20+Declarations!$B$20*R122*Declarations!$D$21+Declarations!$B$20*S122*Declarations!$D$22+Declarations!$B$21*R122*Declarations!$D$20+Declarations!$B$21*T122*Declarations!$D$21+Declarations!$B$21*U122*Declarations!$D$22+Declarations!$B$22*S122*Declarations!$D$20+Declarations!$B$22*U122*Declarations!$D$21+Declarations!$B$22*V122*Declarations!$D$22+0</f>
        <v>0.61728395061723</v>
      </c>
      <c r="T123" s="20" t="n">
        <f aca="false">Declarations!$C$20*Q122*Declarations!$C$20+Declarations!$C$20*R122*Declarations!$C$21+Declarations!$C$20*S122*Declarations!$C$22+Declarations!$C$21*R122*Declarations!$C$20+Declarations!$C$21*T122*Declarations!$C$21+Declarations!$C$21*U122*Declarations!$C$22+Declarations!$C$22*S122*Declarations!$C$20+Declarations!$C$22*U122*Declarations!$C$21+Declarations!$C$22*V122*Declarations!$C$22+1</f>
        <v>5.70251397946409</v>
      </c>
      <c r="U123" s="20" t="n">
        <f aca="false">Declarations!$C$20*Q122*Declarations!$D$20+Declarations!$C$20*R122*Declarations!$D$21+Declarations!$C$20*S122*Declarations!$D$22+Declarations!$C$21*R122*Declarations!$D$20+Declarations!$C$21*T122*Declarations!$D$21+Declarations!$C$21*U122*Declarations!$D$22+Declarations!$C$22*S122*Declarations!$D$20+Declarations!$C$22*U122*Declarations!$D$21+Declarations!$C$22*V122*Declarations!$D$22+0</f>
        <v>0.771604938271578</v>
      </c>
      <c r="V123" s="20" t="n">
        <f aca="false">Declarations!$D$20*Q122*Declarations!$D$20+Declarations!$D$20*R122*Declarations!$D$21+Declarations!$D$20*S122*Declarations!$D$22+Declarations!$D$21*R122*Declarations!$D$20+Declarations!$D$21*T122*Declarations!$D$21+Declarations!$D$21*U122*Declarations!$D$22+Declarations!$D$22*S122*Declarations!$D$20+Declarations!$D$22*U122*Declarations!$D$21+Declarations!$D$22*V122*Declarations!$D$22+1</f>
        <v>2.77777777777778</v>
      </c>
    </row>
    <row r="124" customFormat="false" ht="15" hidden="false" customHeight="false" outlineLevel="0" collapsed="false">
      <c r="A124" s="18" t="n">
        <v>115</v>
      </c>
      <c r="B124" s="20" t="n">
        <f aca="false">$B$4*B123*$B$4+$B$4*C123*$B$5+$B$5*C123*$B$4+$B$5*D123*$B$5+$E$4</f>
        <v>13.5713634316371</v>
      </c>
      <c r="C124" s="20" t="n">
        <f aca="false">$B$4*B123*$C$4+$B$4*C123*$C$5+$B$5*C123*$C$4+$B$5*D123*$C$5+$F$4</f>
        <v>-5.78568478870187</v>
      </c>
      <c r="D124" s="20" t="n">
        <f aca="false">$C$4*B123*$C$4+$C$4*C123*$C$5+$C$5*C123*$C$4+$C$5*D123*$C$5+$F$5</f>
        <v>11.9927957056223</v>
      </c>
      <c r="P124" s="18" t="n">
        <v>115</v>
      </c>
      <c r="Q124" s="20" t="n">
        <f aca="false">Declarations!$B$20*Q123*Declarations!$B$20+Declarations!$B$20*R123*Declarations!$B$21+Declarations!$B$20*S123*Declarations!$B$22+Declarations!$B$21*R123*Declarations!$B$20+Declarations!$B$21*T123*Declarations!$B$21+Declarations!$B$21*U123*Declarations!$B$22+Declarations!$B$22*S123*Declarations!$B$20+Declarations!$B$22*U123*Declarations!$B$21+Declarations!$B$22*V123*Declarations!$B$22+1</f>
        <v>10.2972058671021</v>
      </c>
      <c r="R124" s="20" t="n">
        <f aca="false">Declarations!$B$20*Q123*Declarations!$C$20+Declarations!$B$20*R123*Declarations!$C$21+Declarations!$B$20*S123*Declarations!$C$22+Declarations!$B$21*R123*Declarations!$C$20+Declarations!$B$21*T123*Declarations!$C$21+Declarations!$B$21*U123*Declarations!$C$22+Declarations!$B$22*S123*Declarations!$C$20+Declarations!$B$22*U123*Declarations!$C$21+Declarations!$B$22*V123*Declarations!$C$22+0</f>
        <v>4.60687196647237</v>
      </c>
      <c r="S124" s="20" t="n">
        <f aca="false">Declarations!$B$20*Q123*Declarations!$D$20+Declarations!$B$20*R123*Declarations!$D$21+Declarations!$B$20*S123*Declarations!$D$22+Declarations!$B$21*R123*Declarations!$D$20+Declarations!$B$21*T123*Declarations!$D$21+Declarations!$B$21*U123*Declarations!$D$22+Declarations!$B$22*S123*Declarations!$D$20+Declarations!$B$22*U123*Declarations!$D$21+Declarations!$B$22*V123*Declarations!$D$22+0</f>
        <v>0.617283950617243</v>
      </c>
      <c r="T124" s="20" t="n">
        <f aca="false">Declarations!$C$20*Q123*Declarations!$C$20+Declarations!$C$20*R123*Declarations!$C$21+Declarations!$C$20*S123*Declarations!$C$22+Declarations!$C$21*R123*Declarations!$C$20+Declarations!$C$21*T123*Declarations!$C$21+Declarations!$C$21*U123*Declarations!$C$22+Declarations!$C$22*S123*Declarations!$C$20+Declarations!$C$22*U123*Declarations!$C$21+Declarations!$C$22*V123*Declarations!$C$22+1</f>
        <v>5.70251648735117</v>
      </c>
      <c r="U124" s="20" t="n">
        <f aca="false">Declarations!$C$20*Q123*Declarations!$D$20+Declarations!$C$20*R123*Declarations!$D$21+Declarations!$C$20*S123*Declarations!$D$22+Declarations!$C$21*R123*Declarations!$D$20+Declarations!$C$21*T123*Declarations!$D$21+Declarations!$C$21*U123*Declarations!$D$22+Declarations!$C$22*S123*Declarations!$D$20+Declarations!$C$22*U123*Declarations!$D$21+Declarations!$C$22*V123*Declarations!$D$22+0</f>
        <v>0.771604938271584</v>
      </c>
      <c r="V124" s="20" t="n">
        <f aca="false">Declarations!$D$20*Q123*Declarations!$D$20+Declarations!$D$20*R123*Declarations!$D$21+Declarations!$D$20*S123*Declarations!$D$22+Declarations!$D$21*R123*Declarations!$D$20+Declarations!$D$21*T123*Declarations!$D$21+Declarations!$D$21*U123*Declarations!$D$22+Declarations!$D$22*S123*Declarations!$D$20+Declarations!$D$22*U123*Declarations!$D$21+Declarations!$D$22*V123*Declarations!$D$22+1</f>
        <v>2.77777777777778</v>
      </c>
    </row>
    <row r="125" customFormat="false" ht="15" hidden="false" customHeight="false" outlineLevel="0" collapsed="false">
      <c r="A125" s="18" t="n">
        <v>116</v>
      </c>
      <c r="B125" s="20" t="n">
        <f aca="false">$B$4*B124*$B$4+$B$4*C124*$B$5+$B$5*C124*$B$4+$B$5*D124*$B$5+$E$4</f>
        <v>13.571367465585</v>
      </c>
      <c r="C125" s="20" t="n">
        <f aca="false">$B$4*B124*$C$4+$B$4*C124*$C$5+$B$5*C124*$C$4+$B$5*D124*$C$5+$F$4</f>
        <v>-5.7856880697944</v>
      </c>
      <c r="D125" s="20" t="n">
        <f aca="false">$C$4*B124*$C$4+$C$4*C124*$C$5+$C$5*C124*$C$4+$C$5*D124*$C$5+$F$5</f>
        <v>11.9928043796261</v>
      </c>
      <c r="P125" s="18" t="n">
        <v>116</v>
      </c>
      <c r="Q125" s="20" t="n">
        <f aca="false">Declarations!$B$20*Q124*Declarations!$B$20+Declarations!$B$20*R124*Declarations!$B$21+Declarations!$B$20*S124*Declarations!$B$22+Declarations!$B$21*R124*Declarations!$B$20+Declarations!$B$21*T124*Declarations!$B$21+Declarations!$B$21*U124*Declarations!$B$22+Declarations!$B$22*S124*Declarations!$B$20+Declarations!$B$22*U124*Declarations!$B$21+Declarations!$B$22*V124*Declarations!$B$22+1</f>
        <v>10.2972149205739</v>
      </c>
      <c r="R125" s="20" t="n">
        <f aca="false">Declarations!$B$20*Q124*Declarations!$C$20+Declarations!$B$20*R124*Declarations!$C$21+Declarations!$B$20*S124*Declarations!$C$22+Declarations!$B$21*R124*Declarations!$C$20+Declarations!$B$21*T124*Declarations!$C$21+Declarations!$B$21*U124*Declarations!$C$22+Declarations!$B$22*S124*Declarations!$C$20+Declarations!$B$22*U124*Declarations!$C$21+Declarations!$B$22*V124*Declarations!$C$22+0</f>
        <v>4.60687649320842</v>
      </c>
      <c r="S125" s="20" t="n">
        <f aca="false">Declarations!$B$20*Q124*Declarations!$D$20+Declarations!$B$20*R124*Declarations!$D$21+Declarations!$B$20*S124*Declarations!$D$22+Declarations!$B$21*R124*Declarations!$D$20+Declarations!$B$21*T124*Declarations!$D$21+Declarations!$B$21*U124*Declarations!$D$22+Declarations!$B$22*S124*Declarations!$D$20+Declarations!$B$22*U124*Declarations!$D$21+Declarations!$B$22*V124*Declarations!$D$22+0</f>
        <v>0.617283950617253</v>
      </c>
      <c r="T125" s="20" t="n">
        <f aca="false">Declarations!$C$20*Q124*Declarations!$C$20+Declarations!$C$20*R124*Declarations!$C$21+Declarations!$C$20*S124*Declarations!$C$22+Declarations!$C$21*R124*Declarations!$C$20+Declarations!$C$21*T124*Declarations!$C$21+Declarations!$C$21*U124*Declarations!$C$22+Declarations!$C$22*S124*Declarations!$C$20+Declarations!$C$22*U124*Declarations!$C$21+Declarations!$C$22*V124*Declarations!$C$22+1</f>
        <v>5.70251875071925</v>
      </c>
      <c r="U125" s="20" t="n">
        <f aca="false">Declarations!$C$20*Q124*Declarations!$D$20+Declarations!$C$20*R124*Declarations!$D$21+Declarations!$C$20*S124*Declarations!$D$22+Declarations!$C$21*R124*Declarations!$D$20+Declarations!$C$21*T124*Declarations!$D$21+Declarations!$C$21*U124*Declarations!$D$22+Declarations!$C$22*S124*Declarations!$D$20+Declarations!$C$22*U124*Declarations!$D$21+Declarations!$C$22*V124*Declarations!$D$22+0</f>
        <v>0.771604938271589</v>
      </c>
      <c r="V125" s="20" t="n">
        <f aca="false">Declarations!$D$20*Q124*Declarations!$D$20+Declarations!$D$20*R124*Declarations!$D$21+Declarations!$D$20*S124*Declarations!$D$22+Declarations!$D$21*R124*Declarations!$D$20+Declarations!$D$21*T124*Declarations!$D$21+Declarations!$D$21*U124*Declarations!$D$22+Declarations!$D$22*S124*Declarations!$D$20+Declarations!$D$22*U124*Declarations!$D$21+Declarations!$D$22*V124*Declarations!$D$22+1</f>
        <v>2.77777777777778</v>
      </c>
    </row>
    <row r="126" customFormat="false" ht="15" hidden="false" customHeight="false" outlineLevel="0" collapsed="false">
      <c r="A126" s="18" t="n">
        <v>117</v>
      </c>
      <c r="B126" s="20" t="n">
        <f aca="false">$B$4*B125*$B$4+$B$4*C125*$B$5+$B$5*C125*$B$4+$B$5*D125*$B$5+$E$4</f>
        <v>13.57137350112</v>
      </c>
      <c r="C126" s="20" t="n">
        <f aca="false">$B$4*B125*$C$4+$B$4*C125*$C$5+$B$5*C125*$C$4+$B$5*D125*$C$5+$F$4</f>
        <v>-5.78568838430891</v>
      </c>
      <c r="D126" s="20" t="n">
        <f aca="false">$C$4*B125*$C$4+$C$4*C125*$C$5+$C$5*C125*$C$4+$C$5*D125*$C$5+$F$5</f>
        <v>11.9928076471239</v>
      </c>
      <c r="P126" s="18" t="n">
        <v>117</v>
      </c>
      <c r="Q126" s="20" t="n">
        <f aca="false">Declarations!$B$20*Q125*Declarations!$B$20+Declarations!$B$20*R125*Declarations!$B$21+Declarations!$B$20*S125*Declarations!$B$22+Declarations!$B$21*R125*Declarations!$B$20+Declarations!$B$21*T125*Declarations!$B$21+Declarations!$B$21*U125*Declarations!$B$22+Declarations!$B$22*S125*Declarations!$B$20+Declarations!$B$22*U125*Declarations!$B$21+Declarations!$B$22*V125*Declarations!$B$22+1</f>
        <v>10.2972230913323</v>
      </c>
      <c r="R126" s="20" t="n">
        <f aca="false">Declarations!$B$20*Q125*Declarations!$C$20+Declarations!$B$20*R125*Declarations!$C$21+Declarations!$B$20*S125*Declarations!$C$22+Declarations!$B$21*R125*Declarations!$C$20+Declarations!$B$21*T125*Declarations!$C$21+Declarations!$B$21*U125*Declarations!$C$22+Declarations!$B$22*S125*Declarations!$C$20+Declarations!$B$22*U125*Declarations!$C$21+Declarations!$B$22*V125*Declarations!$C$22+0</f>
        <v>4.60688057858769</v>
      </c>
      <c r="S126" s="20" t="n">
        <f aca="false">Declarations!$B$20*Q125*Declarations!$D$20+Declarations!$B$20*R125*Declarations!$D$21+Declarations!$B$20*S125*Declarations!$D$22+Declarations!$B$21*R125*Declarations!$D$20+Declarations!$B$21*T125*Declarations!$D$21+Declarations!$B$21*U125*Declarations!$D$22+Declarations!$B$22*S125*Declarations!$D$20+Declarations!$B$22*U125*Declarations!$D$21+Declarations!$B$22*V125*Declarations!$D$22+0</f>
        <v>0.61728395061726</v>
      </c>
      <c r="T126" s="20" t="n">
        <f aca="false">Declarations!$C$20*Q125*Declarations!$C$20+Declarations!$C$20*R125*Declarations!$C$21+Declarations!$C$20*S125*Declarations!$C$22+Declarations!$C$21*R125*Declarations!$C$20+Declarations!$C$21*T125*Declarations!$C$21+Declarations!$C$21*U125*Declarations!$C$22+Declarations!$C$22*S125*Declarations!$C$20+Declarations!$C$22*U125*Declarations!$C$21+Declarations!$C$22*V125*Declarations!$C$22+1</f>
        <v>5.70252079340893</v>
      </c>
      <c r="U126" s="20" t="n">
        <f aca="false">Declarations!$C$20*Q125*Declarations!$D$20+Declarations!$C$20*R125*Declarations!$D$21+Declarations!$C$20*S125*Declarations!$D$22+Declarations!$C$21*R125*Declarations!$D$20+Declarations!$C$21*T125*Declarations!$D$21+Declarations!$C$21*U125*Declarations!$D$22+Declarations!$C$22*S125*Declarations!$D$20+Declarations!$C$22*U125*Declarations!$D$21+Declarations!$C$22*V125*Declarations!$D$22+0</f>
        <v>0.771604938271593</v>
      </c>
      <c r="V126" s="20" t="n">
        <f aca="false">Declarations!$D$20*Q125*Declarations!$D$20+Declarations!$D$20*R125*Declarations!$D$21+Declarations!$D$20*S125*Declarations!$D$22+Declarations!$D$21*R125*Declarations!$D$20+Declarations!$D$21*T125*Declarations!$D$21+Declarations!$D$21*U125*Declarations!$D$22+Declarations!$D$22*S125*Declarations!$D$20+Declarations!$D$22*U125*Declarations!$D$21+Declarations!$D$22*V125*Declarations!$D$22+1</f>
        <v>2.77777777777778</v>
      </c>
    </row>
    <row r="127" customFormat="false" ht="15" hidden="false" customHeight="false" outlineLevel="0" collapsed="false">
      <c r="A127" s="18" t="n">
        <v>118</v>
      </c>
      <c r="B127" s="20" t="n">
        <f aca="false">$B$4*B126*$B$4+$B$4*C126*$B$5+$B$5*C126*$B$4+$B$5*D126*$B$5+$E$4</f>
        <v>13.5713810912751</v>
      </c>
      <c r="C127" s="20" t="n">
        <f aca="false">$B$4*B126*$C$4+$B$4*C126*$C$5+$B$5*C126*$C$4+$B$5*D126*$C$5+$F$4</f>
        <v>-5.78569299002921</v>
      </c>
      <c r="D127" s="20" t="n">
        <f aca="false">$C$4*B126*$C$4+$C$4*C126*$C$5+$C$5*C126*$C$4+$C$5*D126*$C$5+$F$5</f>
        <v>11.9928125359072</v>
      </c>
      <c r="P127" s="18" t="n">
        <v>118</v>
      </c>
      <c r="Q127" s="20" t="n">
        <f aca="false">Declarations!$B$20*Q126*Declarations!$B$20+Declarations!$B$20*R126*Declarations!$B$21+Declarations!$B$20*S126*Declarations!$B$22+Declarations!$B$21*R126*Declarations!$B$20+Declarations!$B$21*T126*Declarations!$B$21+Declarations!$B$21*U126*Declarations!$B$22+Declarations!$B$22*S126*Declarations!$B$20+Declarations!$B$22*U126*Declarations!$B$21+Declarations!$B$22*V126*Declarations!$B$22+1</f>
        <v>10.2972304654418</v>
      </c>
      <c r="R127" s="20" t="n">
        <f aca="false">Declarations!$B$20*Q126*Declarations!$C$20+Declarations!$B$20*R126*Declarations!$C$21+Declarations!$B$20*S126*Declarations!$C$22+Declarations!$B$21*R126*Declarations!$C$20+Declarations!$B$21*T126*Declarations!$C$21+Declarations!$B$21*U126*Declarations!$C$22+Declarations!$B$22*S126*Declarations!$C$20+Declarations!$B$22*U126*Declarations!$C$21+Declarations!$B$22*V126*Declarations!$C$22+0</f>
        <v>4.60688426564248</v>
      </c>
      <c r="S127" s="20" t="n">
        <f aca="false">Declarations!$B$20*Q126*Declarations!$D$20+Declarations!$B$20*R126*Declarations!$D$21+Declarations!$B$20*S126*Declarations!$D$22+Declarations!$B$21*R126*Declarations!$D$20+Declarations!$B$21*T126*Declarations!$D$21+Declarations!$B$21*U126*Declarations!$D$22+Declarations!$B$22*S126*Declarations!$D$20+Declarations!$B$22*U126*Declarations!$D$21+Declarations!$B$22*V126*Declarations!$D$22+0</f>
        <v>0.617283950617266</v>
      </c>
      <c r="T127" s="20" t="n">
        <f aca="false">Declarations!$C$20*Q126*Declarations!$C$20+Declarations!$C$20*R126*Declarations!$C$21+Declarations!$C$20*S126*Declarations!$C$22+Declarations!$C$21*R126*Declarations!$C$20+Declarations!$C$21*T126*Declarations!$C$21+Declarations!$C$21*U126*Declarations!$C$22+Declarations!$C$22*S126*Declarations!$C$20+Declarations!$C$22*U126*Declarations!$C$21+Declarations!$C$22*V126*Declarations!$C$22+1</f>
        <v>5.70252263693635</v>
      </c>
      <c r="U127" s="20" t="n">
        <f aca="false">Declarations!$C$20*Q126*Declarations!$D$20+Declarations!$C$20*R126*Declarations!$D$21+Declarations!$C$20*S126*Declarations!$D$22+Declarations!$C$21*R126*Declarations!$D$20+Declarations!$C$21*T126*Declarations!$D$21+Declarations!$C$21*U126*Declarations!$D$22+Declarations!$C$22*S126*Declarations!$D$20+Declarations!$C$22*U126*Declarations!$D$21+Declarations!$C$22*V126*Declarations!$D$22+0</f>
        <v>0.771604938271596</v>
      </c>
      <c r="V127" s="20" t="n">
        <f aca="false">Declarations!$D$20*Q126*Declarations!$D$20+Declarations!$D$20*R126*Declarations!$D$21+Declarations!$D$20*S126*Declarations!$D$22+Declarations!$D$21*R126*Declarations!$D$20+Declarations!$D$21*T126*Declarations!$D$21+Declarations!$D$21*U126*Declarations!$D$22+Declarations!$D$22*S126*Declarations!$D$20+Declarations!$D$22*U126*Declarations!$D$21+Declarations!$D$22*V126*Declarations!$D$22+1</f>
        <v>2.77777777777778</v>
      </c>
    </row>
    <row r="128" customFormat="false" ht="15" hidden="false" customHeight="false" outlineLevel="0" collapsed="false">
      <c r="A128" s="18" t="n">
        <v>119</v>
      </c>
      <c r="B128" s="20" t="n">
        <f aca="false">$B$4*B127*$B$4+$B$4*C127*$B$5+$B$5*C127*$B$4+$B$5*D127*$B$5+$E$4</f>
        <v>13.5713838377875</v>
      </c>
      <c r="C128" s="20" t="n">
        <f aca="false">$B$4*B127*$C$4+$B$4*C127*$C$5+$B$5*C127*$C$4+$B$5*D127*$C$5+$F$4</f>
        <v>-5.78569499290651</v>
      </c>
      <c r="D128" s="20" t="n">
        <f aca="false">$C$4*B127*$C$4+$C$4*C127*$C$5+$C$5*C127*$C$4+$C$5*D127*$C$5+$F$5</f>
        <v>11.9928186839328</v>
      </c>
      <c r="P128" s="18" t="n">
        <v>119</v>
      </c>
      <c r="Q128" s="20" t="n">
        <f aca="false">Declarations!$B$20*Q127*Declarations!$B$20+Declarations!$B$20*R127*Declarations!$B$21+Declarations!$B$20*S127*Declarations!$B$22+Declarations!$B$21*R127*Declarations!$B$20+Declarations!$B$21*T127*Declarations!$B$21+Declarations!$B$21*U127*Declarations!$B$22+Declarations!$B$22*S127*Declarations!$B$20+Declarations!$B$22*U127*Declarations!$B$21+Declarations!$B$22*V127*Declarations!$B$22+1</f>
        <v>10.2972371205756</v>
      </c>
      <c r="R128" s="20" t="n">
        <f aca="false">Declarations!$B$20*Q127*Declarations!$C$20+Declarations!$B$20*R127*Declarations!$C$21+Declarations!$B$20*S127*Declarations!$C$22+Declarations!$B$21*R127*Declarations!$C$20+Declarations!$B$21*T127*Declarations!$C$21+Declarations!$B$21*U127*Declarations!$C$22+Declarations!$B$22*S127*Declarations!$C$20+Declarations!$B$22*U127*Declarations!$C$21+Declarations!$B$22*V127*Declarations!$C$22+0</f>
        <v>4.60688759320942</v>
      </c>
      <c r="S128" s="20" t="n">
        <f aca="false">Declarations!$B$20*Q127*Declarations!$D$20+Declarations!$B$20*R127*Declarations!$D$21+Declarations!$B$20*S127*Declarations!$D$22+Declarations!$B$21*R127*Declarations!$D$20+Declarations!$B$21*T127*Declarations!$D$21+Declarations!$B$21*U127*Declarations!$D$22+Declarations!$B$22*S127*Declarations!$D$20+Declarations!$B$22*U127*Declarations!$D$21+Declarations!$B$22*V127*Declarations!$D$22+0</f>
        <v>0.617283950617271</v>
      </c>
      <c r="T128" s="20" t="n">
        <f aca="false">Declarations!$C$20*Q127*Declarations!$C$20+Declarations!$C$20*R127*Declarations!$C$21+Declarations!$C$20*S127*Declarations!$C$22+Declarations!$C$21*R127*Declarations!$C$20+Declarations!$C$21*T127*Declarations!$C$21+Declarations!$C$21*U127*Declarations!$C$22+Declarations!$C$22*S127*Declarations!$C$20+Declarations!$C$22*U127*Declarations!$C$21+Declarations!$C$22*V127*Declarations!$C$22+1</f>
        <v>5.70252430071985</v>
      </c>
      <c r="U128" s="20" t="n">
        <f aca="false">Declarations!$C$20*Q127*Declarations!$D$20+Declarations!$C$20*R127*Declarations!$D$21+Declarations!$C$20*S127*Declarations!$D$22+Declarations!$C$21*R127*Declarations!$D$20+Declarations!$C$21*T127*Declarations!$D$21+Declarations!$C$21*U127*Declarations!$D$22+Declarations!$C$22*S127*Declarations!$D$20+Declarations!$C$22*U127*Declarations!$D$21+Declarations!$C$22*V127*Declarations!$D$22+0</f>
        <v>0.771604938271598</v>
      </c>
      <c r="V128" s="20" t="n">
        <f aca="false">Declarations!$D$20*Q127*Declarations!$D$20+Declarations!$D$20*R127*Declarations!$D$21+Declarations!$D$20*S127*Declarations!$D$22+Declarations!$D$21*R127*Declarations!$D$20+Declarations!$D$21*T127*Declarations!$D$21+Declarations!$D$21*U127*Declarations!$D$22+Declarations!$D$22*S127*Declarations!$D$20+Declarations!$D$22*U127*Declarations!$D$21+Declarations!$D$22*V127*Declarations!$D$22+1</f>
        <v>2.77777777777778</v>
      </c>
    </row>
    <row r="129" customFormat="false" ht="15" hidden="false" customHeight="false" outlineLevel="0" collapsed="false">
      <c r="A129" s="18" t="n">
        <v>120</v>
      </c>
      <c r="B129" s="20" t="n">
        <f aca="false">$B$4*B128*$B$4+$B$4*C128*$B$5+$B$5*C128*$B$4+$B$5*D128*$B$5+$E$4</f>
        <v>13.5713886053089</v>
      </c>
      <c r="C129" s="20" t="n">
        <f aca="false">$B$4*B128*$C$4+$B$4*C128*$C$5+$B$5*C128*$C$4+$B$5*D128*$C$5+$F$4</f>
        <v>-5.78569541499198</v>
      </c>
      <c r="D129" s="20" t="n">
        <f aca="false">$C$4*B128*$C$4+$C$4*C128*$C$5+$C$5*C128*$C$4+$C$5*D128*$C$5+$F$5</f>
        <v>11.9928209086078</v>
      </c>
      <c r="P129" s="18" t="n">
        <v>120</v>
      </c>
      <c r="Q129" s="20" t="n">
        <f aca="false">Declarations!$B$20*Q128*Declarations!$B$20+Declarations!$B$20*R128*Declarations!$B$21+Declarations!$B$20*S128*Declarations!$B$22+Declarations!$B$21*R128*Declarations!$B$20+Declarations!$B$21*T128*Declarations!$B$21+Declarations!$B$21*U128*Declarations!$B$22+Declarations!$B$22*S128*Declarations!$B$20+Declarations!$B$22*U128*Declarations!$B$21+Declarations!$B$22*V128*Declarations!$B$22+1</f>
        <v>10.2972431268338</v>
      </c>
      <c r="R129" s="20" t="n">
        <f aca="false">Declarations!$B$20*Q128*Declarations!$C$20+Declarations!$B$20*R128*Declarations!$C$21+Declarations!$B$20*S128*Declarations!$C$22+Declarations!$B$21*R128*Declarations!$C$20+Declarations!$B$21*T128*Declarations!$C$21+Declarations!$B$21*U128*Declarations!$C$22+Declarations!$B$22*S128*Declarations!$C$20+Declarations!$B$22*U128*Declarations!$C$21+Declarations!$B$22*V128*Declarations!$C$22+0</f>
        <v>4.60689059633859</v>
      </c>
      <c r="S129" s="20" t="n">
        <f aca="false">Declarations!$B$20*Q128*Declarations!$D$20+Declarations!$B$20*R128*Declarations!$D$21+Declarations!$B$20*S128*Declarations!$D$22+Declarations!$B$21*R128*Declarations!$D$20+Declarations!$B$21*T128*Declarations!$D$21+Declarations!$B$21*U128*Declarations!$D$22+Declarations!$B$22*S128*Declarations!$D$20+Declarations!$B$22*U128*Declarations!$D$21+Declarations!$B$22*V128*Declarations!$D$22+0</f>
        <v>0.617283950617274</v>
      </c>
      <c r="T129" s="20" t="n">
        <f aca="false">Declarations!$C$20*Q128*Declarations!$C$20+Declarations!$C$20*R128*Declarations!$C$21+Declarations!$C$20*S128*Declarations!$C$22+Declarations!$C$21*R128*Declarations!$C$20+Declarations!$C$21*T128*Declarations!$C$21+Declarations!$C$21*U128*Declarations!$C$22+Declarations!$C$22*S128*Declarations!$C$20+Declarations!$C$22*U128*Declarations!$C$21+Declarations!$C$22*V128*Declarations!$C$22+1</f>
        <v>5.70252580228445</v>
      </c>
      <c r="U129" s="20" t="n">
        <f aca="false">Declarations!$C$20*Q128*Declarations!$D$20+Declarations!$C$20*R128*Declarations!$D$21+Declarations!$C$20*S128*Declarations!$D$22+Declarations!$C$21*R128*Declarations!$D$20+Declarations!$C$21*T128*Declarations!$D$21+Declarations!$C$21*U128*Declarations!$D$22+Declarations!$C$22*S128*Declarations!$D$20+Declarations!$C$22*U128*Declarations!$D$21+Declarations!$C$22*V128*Declarations!$D$22+0</f>
        <v>0.7716049382716</v>
      </c>
      <c r="V129" s="20" t="n">
        <f aca="false">Declarations!$D$20*Q128*Declarations!$D$20+Declarations!$D$20*R128*Declarations!$D$21+Declarations!$D$20*S128*Declarations!$D$22+Declarations!$D$21*R128*Declarations!$D$20+Declarations!$D$21*T128*Declarations!$D$21+Declarations!$D$21*U128*Declarations!$D$22+Declarations!$D$22*S128*Declarations!$D$20+Declarations!$D$22*U128*Declarations!$D$21+Declarations!$D$22*V128*Declarations!$D$22+1</f>
        <v>2.77777777777778</v>
      </c>
    </row>
    <row r="130" customFormat="false" ht="15" hidden="false" customHeight="false" outlineLevel="0" collapsed="false">
      <c r="A130" s="18" t="n">
        <v>121</v>
      </c>
      <c r="B130" s="20" t="n">
        <f aca="false">$B$4*B129*$B$4+$B$4*C129*$B$5+$B$5*C129*$B$4+$B$5*D129*$B$5+$E$4</f>
        <v>13.5713939319225</v>
      </c>
      <c r="C130" s="20" t="n">
        <f aca="false">$B$4*B129*$C$4+$B$4*C129*$C$5+$B$5*C129*$C$4+$B$5*D129*$C$5+$F$4</f>
        <v>-5.78569889680744</v>
      </c>
      <c r="D130" s="20" t="n">
        <f aca="false">$C$4*B129*$C$4+$C$4*C129*$C$5+$C$5*C129*$C$4+$C$5*D129*$C$5+$F$5</f>
        <v>11.9928247703002</v>
      </c>
      <c r="P130" s="18" t="n">
        <v>121</v>
      </c>
      <c r="Q130" s="20" t="n">
        <f aca="false">Declarations!$B$20*Q129*Declarations!$B$20+Declarations!$B$20*R129*Declarations!$B$21+Declarations!$B$20*S129*Declarations!$B$22+Declarations!$B$21*R129*Declarations!$B$20+Declarations!$B$21*T129*Declarations!$B$21+Declarations!$B$21*U129*Declarations!$B$22+Declarations!$B$22*S129*Declarations!$B$20+Declarations!$B$22*U129*Declarations!$B$21+Declarations!$B$22*V129*Declarations!$B$22+1</f>
        <v>10.2972485474819</v>
      </c>
      <c r="R130" s="20" t="n">
        <f aca="false">Declarations!$B$20*Q129*Declarations!$C$20+Declarations!$B$20*R129*Declarations!$C$21+Declarations!$B$20*S129*Declarations!$C$22+Declarations!$B$21*R129*Declarations!$C$20+Declarations!$B$21*T129*Declarations!$C$21+Declarations!$B$21*U129*Declarations!$C$22+Declarations!$B$22*S129*Declarations!$C$20+Declarations!$B$22*U129*Declarations!$C$21+Declarations!$B$22*V129*Declarations!$C$22+0</f>
        <v>4.60689330666266</v>
      </c>
      <c r="S130" s="20" t="n">
        <f aca="false">Declarations!$B$20*Q129*Declarations!$D$20+Declarations!$B$20*R129*Declarations!$D$21+Declarations!$B$20*S129*Declarations!$D$22+Declarations!$B$21*R129*Declarations!$D$20+Declarations!$B$21*T129*Declarations!$D$21+Declarations!$B$21*U129*Declarations!$D$22+Declarations!$B$22*S129*Declarations!$D$20+Declarations!$B$22*U129*Declarations!$D$21+Declarations!$B$22*V129*Declarations!$D$22+0</f>
        <v>0.617283950617276</v>
      </c>
      <c r="T130" s="20" t="n">
        <f aca="false">Declarations!$C$20*Q129*Declarations!$C$20+Declarations!$C$20*R129*Declarations!$C$21+Declarations!$C$20*S129*Declarations!$C$22+Declarations!$C$21*R129*Declarations!$C$20+Declarations!$C$21*T129*Declarations!$C$21+Declarations!$C$21*U129*Declarations!$C$22+Declarations!$C$22*S129*Declarations!$C$20+Declarations!$C$22*U129*Declarations!$C$21+Declarations!$C$22*V129*Declarations!$C$22+1</f>
        <v>5.70252715744651</v>
      </c>
      <c r="U130" s="20" t="n">
        <f aca="false">Declarations!$C$20*Q129*Declarations!$D$20+Declarations!$C$20*R129*Declarations!$D$21+Declarations!$C$20*S129*Declarations!$D$22+Declarations!$C$21*R129*Declarations!$D$20+Declarations!$C$21*T129*Declarations!$D$21+Declarations!$C$21*U129*Declarations!$D$22+Declarations!$C$22*S129*Declarations!$D$20+Declarations!$C$22*U129*Declarations!$D$21+Declarations!$C$22*V129*Declarations!$D$22+0</f>
        <v>0.771604938271601</v>
      </c>
      <c r="V130" s="20" t="n">
        <f aca="false">Declarations!$D$20*Q129*Declarations!$D$20+Declarations!$D$20*R129*Declarations!$D$21+Declarations!$D$20*S129*Declarations!$D$22+Declarations!$D$21*R129*Declarations!$D$20+Declarations!$D$21*T129*Declarations!$D$21+Declarations!$D$21*U129*Declarations!$D$22+Declarations!$D$22*S129*Declarations!$D$20+Declarations!$D$22*U129*Declarations!$D$21+Declarations!$D$22*V129*Declarations!$D$22+1</f>
        <v>2.77777777777778</v>
      </c>
    </row>
    <row r="131" customFormat="false" ht="15" hidden="false" customHeight="false" outlineLevel="0" collapsed="false">
      <c r="A131" s="18" t="n">
        <v>122</v>
      </c>
      <c r="B131" s="20" t="n">
        <f aca="false">$B$4*B130*$B$4+$B$4*C130*$B$5+$B$5*C130*$B$4+$B$5*D130*$B$5+$E$4</f>
        <v>13.571395840904</v>
      </c>
      <c r="C131" s="20" t="n">
        <f aca="false">$B$4*B130*$C$4+$B$4*C130*$C$5+$B$5*C130*$C$4+$B$5*D130*$C$5+$F$4</f>
        <v>-5.78570007773053</v>
      </c>
      <c r="D131" s="20" t="n">
        <f aca="false">$C$4*B130*$C$4+$C$4*C130*$C$5+$C$5*C130*$C$4+$C$5*D130*$C$5+$F$5</f>
        <v>11.9928290848572</v>
      </c>
      <c r="P131" s="18" t="n">
        <v>122</v>
      </c>
      <c r="Q131" s="20" t="n">
        <f aca="false">Declarations!$B$20*Q130*Declarations!$B$20+Declarations!$B$20*R130*Declarations!$B$21+Declarations!$B$20*S130*Declarations!$B$22+Declarations!$B$21*R130*Declarations!$B$20+Declarations!$B$21*T130*Declarations!$B$21+Declarations!$B$21*U130*Declarations!$B$22+Declarations!$B$22*S130*Declarations!$B$20+Declarations!$B$22*U130*Declarations!$B$21+Declarations!$B$22*V130*Declarations!$B$22+1</f>
        <v>10.2972534396168</v>
      </c>
      <c r="R131" s="20" t="n">
        <f aca="false">Declarations!$B$20*Q130*Declarations!$C$20+Declarations!$B$20*R130*Declarations!$C$21+Declarations!$B$20*S130*Declarations!$C$22+Declarations!$B$21*R130*Declarations!$C$20+Declarations!$B$21*T130*Declarations!$C$21+Declarations!$B$21*U130*Declarations!$C$22+Declarations!$B$22*S130*Declarations!$C$20+Declarations!$B$22*U130*Declarations!$C$21+Declarations!$B$22*V130*Declarations!$C$22+0</f>
        <v>4.60689575273013</v>
      </c>
      <c r="S131" s="20" t="n">
        <f aca="false">Declarations!$B$20*Q130*Declarations!$D$20+Declarations!$B$20*R130*Declarations!$D$21+Declarations!$B$20*S130*Declarations!$D$22+Declarations!$B$21*R130*Declarations!$D$20+Declarations!$B$21*T130*Declarations!$D$21+Declarations!$B$21*U130*Declarations!$D$22+Declarations!$B$22*S130*Declarations!$D$20+Declarations!$B$22*U130*Declarations!$D$21+Declarations!$B$22*V130*Declarations!$D$22+0</f>
        <v>0.617283950617278</v>
      </c>
      <c r="T131" s="20" t="n">
        <f aca="false">Declarations!$C$20*Q130*Declarations!$C$20+Declarations!$C$20*R130*Declarations!$C$21+Declarations!$C$20*S130*Declarations!$C$22+Declarations!$C$21*R130*Declarations!$C$20+Declarations!$C$21*T130*Declarations!$C$21+Declarations!$C$21*U130*Declarations!$C$22+Declarations!$C$22*S130*Declarations!$C$20+Declarations!$C$22*U130*Declarations!$C$21+Declarations!$C$22*V130*Declarations!$C$22+1</f>
        <v>5.70252838048025</v>
      </c>
      <c r="U131" s="20" t="n">
        <f aca="false">Declarations!$C$20*Q130*Declarations!$D$20+Declarations!$C$20*R130*Declarations!$D$21+Declarations!$C$20*S130*Declarations!$D$22+Declarations!$C$21*R130*Declarations!$D$20+Declarations!$C$21*T130*Declarations!$D$21+Declarations!$C$21*U130*Declarations!$D$22+Declarations!$C$22*S130*Declarations!$D$20+Declarations!$C$22*U130*Declarations!$D$21+Declarations!$C$22*V130*Declarations!$D$22+0</f>
        <v>0.771604938271602</v>
      </c>
      <c r="V131" s="20" t="n">
        <f aca="false">Declarations!$D$20*Q130*Declarations!$D$20+Declarations!$D$20*R130*Declarations!$D$21+Declarations!$D$20*S130*Declarations!$D$22+Declarations!$D$21*R130*Declarations!$D$20+Declarations!$D$21*T130*Declarations!$D$21+Declarations!$D$21*U130*Declarations!$D$22+Declarations!$D$22*S130*Declarations!$D$20+Declarations!$D$22*U130*Declarations!$D$21+Declarations!$D$22*V130*Declarations!$D$22+1</f>
        <v>2.77777777777778</v>
      </c>
    </row>
    <row r="132" customFormat="false" ht="15" hidden="false" customHeight="false" outlineLevel="0" collapsed="false">
      <c r="A132" s="18" t="n">
        <v>123</v>
      </c>
      <c r="B132" s="20" t="n">
        <f aca="false">$B$4*B131*$B$4+$B$4*C131*$B$5+$B$5*C131*$B$4+$B$5*D131*$B$5+$E$4</f>
        <v>13.5713995760746</v>
      </c>
      <c r="C132" s="20" t="n">
        <f aca="false">$B$4*B131*$C$4+$B$4*C131*$C$5+$B$5*C131*$C$4+$B$5*D131*$C$5+$F$4</f>
        <v>-5.7857005611748</v>
      </c>
      <c r="D132" s="20" t="n">
        <f aca="false">$C$4*B131*$C$4+$C$4*C131*$C$5+$C$5*C131*$C$4+$C$5*D131*$C$5+$F$5</f>
        <v>11.9928306311323</v>
      </c>
      <c r="P132" s="18" t="n">
        <v>123</v>
      </c>
      <c r="Q132" s="20" t="n">
        <f aca="false">Declarations!$B$20*Q131*Declarations!$B$20+Declarations!$B$20*R131*Declarations!$B$21+Declarations!$B$20*S131*Declarations!$B$22+Declarations!$B$21*R131*Declarations!$B$20+Declarations!$B$21*T131*Declarations!$B$21+Declarations!$B$21*U131*Declarations!$B$22+Declarations!$B$22*S131*Declarations!$B$20+Declarations!$B$22*U131*Declarations!$B$21+Declarations!$B$22*V131*Declarations!$B$22+1</f>
        <v>10.2972578547685</v>
      </c>
      <c r="R132" s="20" t="n">
        <f aca="false">Declarations!$B$20*Q131*Declarations!$C$20+Declarations!$B$20*R131*Declarations!$C$21+Declarations!$B$20*S131*Declarations!$C$22+Declarations!$B$21*R131*Declarations!$C$20+Declarations!$B$21*T131*Declarations!$C$21+Declarations!$B$21*U131*Declarations!$C$22+Declarations!$B$22*S131*Declarations!$C$20+Declarations!$B$22*U131*Declarations!$C$21+Declarations!$B$22*V131*Declarations!$C$22+0</f>
        <v>4.60689796030603</v>
      </c>
      <c r="S132" s="20" t="n">
        <f aca="false">Declarations!$B$20*Q131*Declarations!$D$20+Declarations!$B$20*R131*Declarations!$D$21+Declarations!$B$20*S131*Declarations!$D$22+Declarations!$B$21*R131*Declarations!$D$20+Declarations!$B$21*T131*Declarations!$D$21+Declarations!$B$21*U131*Declarations!$D$22+Declarations!$B$22*S131*Declarations!$D$20+Declarations!$B$22*U131*Declarations!$D$21+Declarations!$B$22*V131*Declarations!$D$22+0</f>
        <v>0.61728395061728</v>
      </c>
      <c r="T132" s="20" t="n">
        <f aca="false">Declarations!$C$20*Q131*Declarations!$C$20+Declarations!$C$20*R131*Declarations!$C$21+Declarations!$C$20*S131*Declarations!$C$22+Declarations!$C$21*R131*Declarations!$C$20+Declarations!$C$21*T131*Declarations!$C$21+Declarations!$C$21*U131*Declarations!$C$22+Declarations!$C$22*S131*Declarations!$C$20+Declarations!$C$22*U131*Declarations!$C$21+Declarations!$C$22*V131*Declarations!$C$22+1</f>
        <v>5.70252948426821</v>
      </c>
      <c r="U132" s="20" t="n">
        <f aca="false">Declarations!$C$20*Q131*Declarations!$D$20+Declarations!$C$20*R131*Declarations!$D$21+Declarations!$C$20*S131*Declarations!$D$22+Declarations!$C$21*R131*Declarations!$D$20+Declarations!$C$21*T131*Declarations!$D$21+Declarations!$C$21*U131*Declarations!$D$22+Declarations!$C$22*S131*Declarations!$D$20+Declarations!$C$22*U131*Declarations!$D$21+Declarations!$C$22*V131*Declarations!$D$22+0</f>
        <v>0.771604938271603</v>
      </c>
      <c r="V132" s="20" t="n">
        <f aca="false">Declarations!$D$20*Q131*Declarations!$D$20+Declarations!$D$20*R131*Declarations!$D$21+Declarations!$D$20*S131*Declarations!$D$22+Declarations!$D$21*R131*Declarations!$D$20+Declarations!$D$21*T131*Declarations!$D$21+Declarations!$D$21*U131*Declarations!$D$22+Declarations!$D$22*S131*Declarations!$D$20+Declarations!$D$22*U131*Declarations!$D$21+Declarations!$D$22*V131*Declarations!$D$22+1</f>
        <v>2.77777777777778</v>
      </c>
    </row>
    <row r="133" customFormat="false" ht="15" hidden="false" customHeight="false" outlineLevel="0" collapsed="false">
      <c r="A133" s="18" t="n">
        <v>124</v>
      </c>
      <c r="B133" s="20" t="n">
        <f aca="false">$B$4*B132*$B$4+$B$4*C132*$B$5+$B$5*C132*$B$4+$B$5*D132*$B$5+$E$4</f>
        <v>13.571403277638</v>
      </c>
      <c r="C133" s="20" t="n">
        <f aca="false">$B$4*B132*$C$4+$B$4*C132*$C$5+$B$5*C132*$C$4+$B$5*D132*$C$5+$F$4</f>
        <v>-5.78570315156306</v>
      </c>
      <c r="D133" s="20" t="n">
        <f aca="false">$C$4*B132*$C$4+$C$4*C132*$C$5+$C$5*C132*$C$4+$C$5*D132*$C$5+$F$5</f>
        <v>11.9928336566204</v>
      </c>
      <c r="P133" s="18" t="n">
        <v>124</v>
      </c>
      <c r="Q133" s="20" t="n">
        <f aca="false">Declarations!$B$20*Q132*Declarations!$B$20+Declarations!$B$20*R132*Declarations!$B$21+Declarations!$B$20*S132*Declarations!$B$22+Declarations!$B$21*R132*Declarations!$B$20+Declarations!$B$21*T132*Declarations!$B$21+Declarations!$B$21*U132*Declarations!$B$22+Declarations!$B$22*S132*Declarations!$B$20+Declarations!$B$22*U132*Declarations!$B$21+Declarations!$B$22*V132*Declarations!$B$22+1</f>
        <v>10.297261839443</v>
      </c>
      <c r="R133" s="20" t="n">
        <f aca="false">Declarations!$B$20*Q132*Declarations!$C$20+Declarations!$B$20*R132*Declarations!$C$21+Declarations!$B$20*S132*Declarations!$C$22+Declarations!$B$21*R132*Declarations!$C$20+Declarations!$B$21*T132*Declarations!$C$21+Declarations!$B$21*U132*Declarations!$C$22+Declarations!$B$22*S132*Declarations!$C$20+Declarations!$B$22*U132*Declarations!$C$21+Declarations!$B$22*V132*Declarations!$C$22+0</f>
        <v>4.60689995264327</v>
      </c>
      <c r="S133" s="20" t="n">
        <f aca="false">Declarations!$B$20*Q132*Declarations!$D$20+Declarations!$B$20*R132*Declarations!$D$21+Declarations!$B$20*S132*Declarations!$D$22+Declarations!$B$21*R132*Declarations!$D$20+Declarations!$B$21*T132*Declarations!$D$21+Declarations!$B$21*U132*Declarations!$D$22+Declarations!$B$22*S132*Declarations!$D$20+Declarations!$B$22*U132*Declarations!$D$21+Declarations!$B$22*V132*Declarations!$D$22+0</f>
        <v>0.617283950617281</v>
      </c>
      <c r="T133" s="20" t="n">
        <f aca="false">Declarations!$C$20*Q132*Declarations!$C$20+Declarations!$C$20*R132*Declarations!$C$21+Declarations!$C$20*S132*Declarations!$C$22+Declarations!$C$21*R132*Declarations!$C$20+Declarations!$C$21*T132*Declarations!$C$21+Declarations!$C$21*U132*Declarations!$C$22+Declarations!$C$22*S132*Declarations!$C$20+Declarations!$C$22*U132*Declarations!$C$21+Declarations!$C$22*V132*Declarations!$C$22+1</f>
        <v>5.70253048043684</v>
      </c>
      <c r="U133" s="20" t="n">
        <f aca="false">Declarations!$C$20*Q132*Declarations!$D$20+Declarations!$C$20*R132*Declarations!$D$21+Declarations!$C$20*S132*Declarations!$D$22+Declarations!$C$21*R132*Declarations!$D$20+Declarations!$C$21*T132*Declarations!$D$21+Declarations!$C$21*U132*Declarations!$D$22+Declarations!$C$22*S132*Declarations!$D$20+Declarations!$C$22*U132*Declarations!$D$21+Declarations!$C$22*V132*Declarations!$D$22+0</f>
        <v>0.771604938271603</v>
      </c>
      <c r="V133" s="20" t="n">
        <f aca="false">Declarations!$D$20*Q132*Declarations!$D$20+Declarations!$D$20*R132*Declarations!$D$21+Declarations!$D$20*S132*Declarations!$D$22+Declarations!$D$21*R132*Declarations!$D$20+Declarations!$D$21*T132*Declarations!$D$21+Declarations!$D$21*U132*Declarations!$D$22+Declarations!$D$22*S132*Declarations!$D$20+Declarations!$D$22*U132*Declarations!$D$21+Declarations!$D$22*V132*Declarations!$D$22+1</f>
        <v>2.77777777777778</v>
      </c>
    </row>
    <row r="134" customFormat="false" ht="15" hidden="false" customHeight="false" outlineLevel="0" collapsed="false">
      <c r="A134" s="18" t="n">
        <v>125</v>
      </c>
      <c r="B134" s="20" t="n">
        <f aca="false">$B$4*B133*$B$4+$B$4*C133*$B$5+$B$5*C133*$B$4+$B$5*D133*$B$5+$E$4</f>
        <v>13.5714046386937</v>
      </c>
      <c r="C134" s="20" t="n">
        <f aca="false">$B$4*B133*$C$4+$B$4*C133*$C$5+$B$5*C133*$C$4+$B$5*D133*$C$5+$F$4</f>
        <v>-5.78570381848004</v>
      </c>
      <c r="D134" s="20" t="n">
        <f aca="false">$C$4*B133*$C$4+$C$4*C133*$C$5+$C$5*C133*$C$4+$C$5*D133*$C$5+$F$5</f>
        <v>11.9928366548868</v>
      </c>
      <c r="P134" s="18" t="n">
        <v>125</v>
      </c>
      <c r="Q134" s="20" t="n">
        <f aca="false">Declarations!$B$20*Q133*Declarations!$B$20+Declarations!$B$20*R133*Declarations!$B$21+Declarations!$B$20*S133*Declarations!$B$22+Declarations!$B$21*R133*Declarations!$B$20+Declarations!$B$21*T133*Declarations!$B$21+Declarations!$B$21*U133*Declarations!$B$22+Declarations!$B$22*S133*Declarations!$B$20+Declarations!$B$22*U133*Declarations!$B$21+Declarations!$B$22*V133*Declarations!$B$22+1</f>
        <v>10.2972654356117</v>
      </c>
      <c r="R134" s="20" t="n">
        <f aca="false">Declarations!$B$20*Q133*Declarations!$C$20+Declarations!$B$20*R133*Declarations!$C$21+Declarations!$B$20*S133*Declarations!$C$22+Declarations!$B$21*R133*Declarations!$C$20+Declarations!$B$21*T133*Declarations!$C$21+Declarations!$B$21*U133*Declarations!$C$22+Declarations!$B$22*S133*Declarations!$C$20+Declarations!$B$22*U133*Declarations!$C$21+Declarations!$B$22*V133*Declarations!$C$22+0</f>
        <v>4.60690175072763</v>
      </c>
      <c r="S134" s="20" t="n">
        <f aca="false">Declarations!$B$20*Q133*Declarations!$D$20+Declarations!$B$20*R133*Declarations!$D$21+Declarations!$B$20*S133*Declarations!$D$22+Declarations!$B$21*R133*Declarations!$D$20+Declarations!$B$21*T133*Declarations!$D$21+Declarations!$B$21*U133*Declarations!$D$22+Declarations!$B$22*S133*Declarations!$D$20+Declarations!$B$22*U133*Declarations!$D$21+Declarations!$B$22*V133*Declarations!$D$22+0</f>
        <v>0.617283950617282</v>
      </c>
      <c r="T134" s="20" t="n">
        <f aca="false">Declarations!$C$20*Q133*Declarations!$C$20+Declarations!$C$20*R133*Declarations!$C$21+Declarations!$C$20*S133*Declarations!$C$22+Declarations!$C$21*R133*Declarations!$C$20+Declarations!$C$21*T133*Declarations!$C$21+Declarations!$C$21*U133*Declarations!$C$22+Declarations!$C$22*S133*Declarations!$C$20+Declarations!$C$22*U133*Declarations!$C$21+Declarations!$C$22*V133*Declarations!$C$22+1</f>
        <v>5.70253137947902</v>
      </c>
      <c r="U134" s="20" t="n">
        <f aca="false">Declarations!$C$20*Q133*Declarations!$D$20+Declarations!$C$20*R133*Declarations!$D$21+Declarations!$C$20*S133*Declarations!$D$22+Declarations!$C$21*R133*Declarations!$D$20+Declarations!$C$21*T133*Declarations!$D$21+Declarations!$C$21*U133*Declarations!$D$22+Declarations!$C$22*S133*Declarations!$D$20+Declarations!$C$22*U133*Declarations!$D$21+Declarations!$C$22*V133*Declarations!$D$22+0</f>
        <v>0.771604938271604</v>
      </c>
      <c r="V134" s="20" t="n">
        <f aca="false">Declarations!$D$20*Q133*Declarations!$D$20+Declarations!$D$20*R133*Declarations!$D$21+Declarations!$D$20*S133*Declarations!$D$22+Declarations!$D$21*R133*Declarations!$D$20+Declarations!$D$21*T133*Declarations!$D$21+Declarations!$D$21*U133*Declarations!$D$22+Declarations!$D$22*S133*Declarations!$D$20+Declarations!$D$22*U133*Declarations!$D$21+Declarations!$D$22*V133*Declarations!$D$22+1</f>
        <v>2.77777777777778</v>
      </c>
    </row>
    <row r="135" customFormat="false" ht="15" hidden="false" customHeight="false" outlineLevel="0" collapsed="false">
      <c r="A135" s="18" t="n">
        <v>126</v>
      </c>
      <c r="B135" s="20" t="n">
        <f aca="false">$B$4*B134*$B$4+$B$4*C134*$B$5+$B$5*C134*$B$4+$B$5*D134*$B$5+$E$4</f>
        <v>13.5714075389646</v>
      </c>
      <c r="C135" s="20" t="n">
        <f aca="false">$B$4*B134*$C$4+$B$4*C134*$C$5+$B$5*C134*$C$4+$B$5*D134*$C$5+$F$4</f>
        <v>-5.78570432070983</v>
      </c>
      <c r="D135" s="20" t="n">
        <f aca="false">$C$4*B134*$C$4+$C$4*C134*$C$5+$C$5*C134*$C$4+$C$5*D134*$C$5+$F$5</f>
        <v>11.9928377573419</v>
      </c>
      <c r="P135" s="18" t="n">
        <v>126</v>
      </c>
      <c r="Q135" s="20" t="n">
        <f aca="false">Declarations!$B$20*Q134*Declarations!$B$20+Declarations!$B$20*R134*Declarations!$B$21+Declarations!$B$20*S134*Declarations!$B$22+Declarations!$B$21*R134*Declarations!$B$20+Declarations!$B$21*T134*Declarations!$B$21+Declarations!$B$21*U134*Declarations!$B$22+Declarations!$B$22*S134*Declarations!$B$20+Declarations!$B$22*U134*Declarations!$B$21+Declarations!$B$22*V134*Declarations!$B$22+1</f>
        <v>10.297268681154</v>
      </c>
      <c r="R135" s="20" t="n">
        <f aca="false">Declarations!$B$20*Q134*Declarations!$C$20+Declarations!$B$20*R134*Declarations!$C$21+Declarations!$B$20*S134*Declarations!$C$22+Declarations!$B$21*R134*Declarations!$C$20+Declarations!$B$21*T134*Declarations!$C$21+Declarations!$B$21*U134*Declarations!$C$22+Declarations!$B$22*S134*Declarations!$C$20+Declarations!$B$22*U134*Declarations!$C$21+Declarations!$B$22*V134*Declarations!$C$22+0</f>
        <v>4.60690337349877</v>
      </c>
      <c r="S135" s="20" t="n">
        <f aca="false">Declarations!$B$20*Q134*Declarations!$D$20+Declarations!$B$20*R134*Declarations!$D$21+Declarations!$B$20*S134*Declarations!$D$22+Declarations!$B$21*R134*Declarations!$D$20+Declarations!$B$21*T134*Declarations!$D$21+Declarations!$B$21*U134*Declarations!$D$22+Declarations!$B$22*S134*Declarations!$D$20+Declarations!$B$22*U134*Declarations!$D$21+Declarations!$B$22*V134*Declarations!$D$22+0</f>
        <v>0.617283950617282</v>
      </c>
      <c r="T135" s="20" t="n">
        <f aca="false">Declarations!$C$20*Q134*Declarations!$C$20+Declarations!$C$20*R134*Declarations!$C$21+Declarations!$C$20*S134*Declarations!$C$22+Declarations!$C$21*R134*Declarations!$C$20+Declarations!$C$21*T134*Declarations!$C$21+Declarations!$C$21*U134*Declarations!$C$22+Declarations!$C$22*S134*Declarations!$C$20+Declarations!$C$22*U134*Declarations!$C$21+Declarations!$C$22*V134*Declarations!$C$22+1</f>
        <v>5.70253219086459</v>
      </c>
      <c r="U135" s="20" t="n">
        <f aca="false">Declarations!$C$20*Q134*Declarations!$D$20+Declarations!$C$20*R134*Declarations!$D$21+Declarations!$C$20*S134*Declarations!$D$22+Declarations!$C$21*R134*Declarations!$D$20+Declarations!$C$21*T134*Declarations!$D$21+Declarations!$C$21*U134*Declarations!$D$22+Declarations!$C$22*S134*Declarations!$D$20+Declarations!$C$22*U134*Declarations!$D$21+Declarations!$C$22*V134*Declarations!$D$22+0</f>
        <v>0.771604938271604</v>
      </c>
      <c r="V135" s="20" t="n">
        <f aca="false">Declarations!$D$20*Q134*Declarations!$D$20+Declarations!$D$20*R134*Declarations!$D$21+Declarations!$D$20*S134*Declarations!$D$22+Declarations!$D$21*R134*Declarations!$D$20+Declarations!$D$21*T134*Declarations!$D$21+Declarations!$D$21*U134*Declarations!$D$22+Declarations!$D$22*S134*Declarations!$D$20+Declarations!$D$22*U134*Declarations!$D$21+Declarations!$D$22*V134*Declarations!$D$22+1</f>
        <v>2.77777777777778</v>
      </c>
    </row>
    <row r="136" customFormat="false" ht="15" hidden="false" customHeight="false" outlineLevel="0" collapsed="false">
      <c r="A136" s="18" t="n">
        <v>127</v>
      </c>
      <c r="B136" s="20" t="n">
        <f aca="false">$B$4*B135*$B$4+$B$4*C135*$B$5+$B$5*C135*$B$4+$B$5*D135*$B$5+$E$4</f>
        <v>13.5714100866255</v>
      </c>
      <c r="C136" s="20" t="n">
        <f aca="false">$B$4*B135*$C$4+$B$4*C135*$C$5+$B$5*C135*$C$4+$B$5*D135*$C$5+$F$4</f>
        <v>-5.78570621792247</v>
      </c>
      <c r="D136" s="20" t="n">
        <f aca="false">$C$4*B135*$C$4+$C$4*C135*$C$5+$C$5*C135*$C$4+$C$5*D135*$C$5+$F$5</f>
        <v>11.9928401065613</v>
      </c>
      <c r="P136" s="18" t="n">
        <v>127</v>
      </c>
      <c r="Q136" s="20" t="n">
        <f aca="false">Declarations!$B$20*Q135*Declarations!$B$20+Declarations!$B$20*R135*Declarations!$B$21+Declarations!$B$20*S135*Declarations!$B$22+Declarations!$B$21*R135*Declarations!$B$20+Declarations!$B$21*T135*Declarations!$B$21+Declarations!$B$21*U135*Declarations!$B$22+Declarations!$B$22*S135*Declarations!$B$20+Declarations!$B$22*U135*Declarations!$B$21+Declarations!$B$22*V135*Declarations!$B$22+1</f>
        <v>10.2972716102558</v>
      </c>
      <c r="R136" s="20" t="n">
        <f aca="false">Declarations!$B$20*Q135*Declarations!$C$20+Declarations!$B$20*R135*Declarations!$C$21+Declarations!$B$20*S135*Declarations!$C$22+Declarations!$B$21*R135*Declarations!$C$20+Declarations!$B$21*T135*Declarations!$C$21+Declarations!$B$21*U135*Declarations!$C$22+Declarations!$B$22*S135*Declarations!$C$20+Declarations!$B$22*U135*Declarations!$C$21+Declarations!$B$22*V135*Declarations!$C$22+0</f>
        <v>4.60690483804972</v>
      </c>
      <c r="S136" s="20" t="n">
        <f aca="false">Declarations!$B$20*Q135*Declarations!$D$20+Declarations!$B$20*R135*Declarations!$D$21+Declarations!$B$20*S135*Declarations!$D$22+Declarations!$B$21*R135*Declarations!$D$20+Declarations!$B$21*T135*Declarations!$D$21+Declarations!$B$21*U135*Declarations!$D$22+Declarations!$B$22*S135*Declarations!$D$20+Declarations!$B$22*U135*Declarations!$D$21+Declarations!$B$22*V135*Declarations!$D$22+0</f>
        <v>0.617283950617283</v>
      </c>
      <c r="T136" s="20" t="n">
        <f aca="false">Declarations!$C$20*Q135*Declarations!$C$20+Declarations!$C$20*R135*Declarations!$C$21+Declarations!$C$20*S135*Declarations!$C$22+Declarations!$C$21*R135*Declarations!$C$20+Declarations!$C$21*T135*Declarations!$C$21+Declarations!$C$21*U135*Declarations!$C$22+Declarations!$C$22*S135*Declarations!$C$20+Declarations!$C$22*U135*Declarations!$C$21+Declarations!$C$22*V135*Declarations!$C$22+1</f>
        <v>5.70253292314007</v>
      </c>
      <c r="U136" s="20" t="n">
        <f aca="false">Declarations!$C$20*Q135*Declarations!$D$20+Declarations!$C$20*R135*Declarations!$D$21+Declarations!$C$20*S135*Declarations!$D$22+Declarations!$C$21*R135*Declarations!$D$20+Declarations!$C$21*T135*Declarations!$D$21+Declarations!$C$21*U135*Declarations!$D$22+Declarations!$C$22*S135*Declarations!$D$20+Declarations!$C$22*U135*Declarations!$D$21+Declarations!$C$22*V135*Declarations!$D$22+0</f>
        <v>0.771604938271604</v>
      </c>
      <c r="V136" s="20" t="n">
        <f aca="false">Declarations!$D$20*Q135*Declarations!$D$20+Declarations!$D$20*R135*Declarations!$D$21+Declarations!$D$20*S135*Declarations!$D$22+Declarations!$D$21*R135*Declarations!$D$20+Declarations!$D$21*T135*Declarations!$D$21+Declarations!$D$21*U135*Declarations!$D$22+Declarations!$D$22*S135*Declarations!$D$20+Declarations!$D$22*U135*Declarations!$D$21+Declarations!$D$22*V135*Declarations!$D$22+1</f>
        <v>2.77777777777778</v>
      </c>
    </row>
    <row r="137" customFormat="false" ht="15" hidden="false" customHeight="false" outlineLevel="0" collapsed="false">
      <c r="A137" s="18" t="n">
        <v>128</v>
      </c>
      <c r="B137" s="20" t="n">
        <f aca="false">$B$4*B136*$B$4+$B$4*C136*$B$5+$B$5*C136*$B$4+$B$5*D136*$B$5+$E$4</f>
        <v>13.5714110844675</v>
      </c>
      <c r="C137" s="20" t="n">
        <f aca="false">$B$4*B136*$C$4+$B$4*C136*$C$5+$B$5*C136*$C$4+$B$5*D136*$C$5+$F$4</f>
        <v>-5.78570657403642</v>
      </c>
      <c r="D137" s="20" t="n">
        <f aca="false">$C$4*B136*$C$4+$C$4*C136*$C$5+$C$5*C136*$C$4+$C$5*D136*$C$5+$F$5</f>
        <v>11.9928421701666</v>
      </c>
      <c r="P137" s="18" t="n">
        <v>128</v>
      </c>
      <c r="Q137" s="20" t="n">
        <f aca="false">Declarations!$B$20*Q136*Declarations!$B$20+Declarations!$B$20*R136*Declarations!$B$21+Declarations!$B$20*S136*Declarations!$B$22+Declarations!$B$21*R136*Declarations!$B$20+Declarations!$B$21*T136*Declarations!$B$21+Declarations!$B$21*U136*Declarations!$B$22+Declarations!$B$22*S136*Declarations!$B$20+Declarations!$B$22*U136*Declarations!$B$21+Declarations!$B$22*V136*Declarations!$B$22+1</f>
        <v>10.2972742537703</v>
      </c>
      <c r="R137" s="20" t="n">
        <f aca="false">Declarations!$B$20*Q136*Declarations!$C$20+Declarations!$B$20*R136*Declarations!$C$21+Declarations!$B$20*S136*Declarations!$C$22+Declarations!$B$21*R136*Declarations!$C$20+Declarations!$B$21*T136*Declarations!$C$21+Declarations!$B$21*U136*Declarations!$C$22+Declarations!$B$22*S136*Declarations!$C$20+Declarations!$B$22*U136*Declarations!$C$21+Declarations!$B$22*V136*Declarations!$C$22+0</f>
        <v>4.60690615980695</v>
      </c>
      <c r="S137" s="20" t="n">
        <f aca="false">Declarations!$B$20*Q136*Declarations!$D$20+Declarations!$B$20*R136*Declarations!$D$21+Declarations!$B$20*S136*Declarations!$D$22+Declarations!$B$21*R136*Declarations!$D$20+Declarations!$B$21*T136*Declarations!$D$21+Declarations!$B$21*U136*Declarations!$D$22+Declarations!$B$22*S136*Declarations!$D$20+Declarations!$B$22*U136*Declarations!$D$21+Declarations!$B$22*V136*Declarations!$D$22+0</f>
        <v>0.617283950617283</v>
      </c>
      <c r="T137" s="20" t="n">
        <f aca="false">Declarations!$C$20*Q136*Declarations!$C$20+Declarations!$C$20*R136*Declarations!$C$21+Declarations!$C$20*S136*Declarations!$C$22+Declarations!$C$21*R136*Declarations!$C$20+Declarations!$C$21*T136*Declarations!$C$21+Declarations!$C$21*U136*Declarations!$C$22+Declarations!$C$22*S136*Declarations!$C$20+Declarations!$C$22*U136*Declarations!$C$21+Declarations!$C$22*V136*Declarations!$C$22+1</f>
        <v>5.70253358401869</v>
      </c>
      <c r="U137" s="20" t="n">
        <f aca="false">Declarations!$C$20*Q136*Declarations!$D$20+Declarations!$C$20*R136*Declarations!$D$21+Declarations!$C$20*S136*Declarations!$D$22+Declarations!$C$21*R136*Declarations!$D$20+Declarations!$C$21*T136*Declarations!$D$21+Declarations!$C$21*U136*Declarations!$D$22+Declarations!$C$22*S136*Declarations!$D$20+Declarations!$C$22*U136*Declarations!$D$21+Declarations!$C$22*V136*Declarations!$D$22+0</f>
        <v>0.771604938271605</v>
      </c>
      <c r="V137" s="20" t="n">
        <f aca="false">Declarations!$D$20*Q136*Declarations!$D$20+Declarations!$D$20*R136*Declarations!$D$21+Declarations!$D$20*S136*Declarations!$D$22+Declarations!$D$21*R136*Declarations!$D$20+Declarations!$D$21*T136*Declarations!$D$21+Declarations!$D$21*U136*Declarations!$D$22+Declarations!$D$22*S136*Declarations!$D$20+Declarations!$D$22*U136*Declarations!$D$21+Declarations!$D$22*V136*Declarations!$D$22+1</f>
        <v>2.77777777777778</v>
      </c>
    </row>
    <row r="138" customFormat="false" ht="15" hidden="false" customHeight="false" outlineLevel="0" collapsed="false">
      <c r="A138" s="18" t="n">
        <v>129</v>
      </c>
      <c r="B138" s="20" t="n">
        <f aca="false">$B$4*B137*$B$4+$B$4*C137*$B$5+$B$5*C137*$B$4+$B$5*D137*$B$5+$E$4</f>
        <v>13.5714133153198</v>
      </c>
      <c r="C138" s="20" t="n">
        <f aca="false">$B$4*B137*$C$4+$B$4*C137*$C$5+$B$5*C137*$C$4+$B$5*D137*$C$5+$F$4</f>
        <v>-5.78570706178591</v>
      </c>
      <c r="D138" s="20" t="n">
        <f aca="false">$C$4*B137*$C$4+$C$4*C137*$C$5+$C$5*C137*$C$4+$C$5*D137*$C$5+$F$5</f>
        <v>11.9928429784187</v>
      </c>
      <c r="P138" s="18" t="n">
        <v>129</v>
      </c>
      <c r="Q138" s="20" t="n">
        <f aca="false">Declarations!$B$20*Q137*Declarations!$B$20+Declarations!$B$20*R137*Declarations!$B$21+Declarations!$B$20*S137*Declarations!$B$22+Declarations!$B$21*R137*Declarations!$B$20+Declarations!$B$21*T137*Declarations!$B$21+Declarations!$B$21*U137*Declarations!$B$22+Declarations!$B$22*S137*Declarations!$B$20+Declarations!$B$22*U137*Declarations!$B$21+Declarations!$B$22*V137*Declarations!$B$22+1</f>
        <v>10.2972766395421</v>
      </c>
      <c r="R138" s="20" t="n">
        <f aca="false">Declarations!$B$20*Q137*Declarations!$C$20+Declarations!$B$20*R137*Declarations!$C$21+Declarations!$B$20*S137*Declarations!$C$22+Declarations!$B$21*R137*Declarations!$C$20+Declarations!$B$21*T137*Declarations!$C$21+Declarations!$B$21*U137*Declarations!$C$22+Declarations!$B$22*S137*Declarations!$C$20+Declarations!$B$22*U137*Declarations!$C$21+Declarations!$B$22*V137*Declarations!$C$22+0</f>
        <v>4.60690735269285</v>
      </c>
      <c r="S138" s="20" t="n">
        <f aca="false">Declarations!$B$20*Q137*Declarations!$D$20+Declarations!$B$20*R137*Declarations!$D$21+Declarations!$B$20*S137*Declarations!$D$22+Declarations!$B$21*R137*Declarations!$D$20+Declarations!$B$21*T137*Declarations!$D$21+Declarations!$B$21*U137*Declarations!$D$22+Declarations!$B$22*S137*Declarations!$D$20+Declarations!$B$22*U137*Declarations!$D$21+Declarations!$B$22*V137*Declarations!$D$22+0</f>
        <v>0.617283950617283</v>
      </c>
      <c r="T138" s="20" t="n">
        <f aca="false">Declarations!$C$20*Q137*Declarations!$C$20+Declarations!$C$20*R137*Declarations!$C$21+Declarations!$C$20*S137*Declarations!$C$22+Declarations!$C$21*R137*Declarations!$C$20+Declarations!$C$21*T137*Declarations!$C$21+Declarations!$C$21*U137*Declarations!$C$22+Declarations!$C$22*S137*Declarations!$C$20+Declarations!$C$22*U137*Declarations!$C$21+Declarations!$C$22*V137*Declarations!$C$22+1</f>
        <v>5.70253418046164</v>
      </c>
      <c r="U138" s="20" t="n">
        <f aca="false">Declarations!$C$20*Q137*Declarations!$D$20+Declarations!$C$20*R137*Declarations!$D$21+Declarations!$C$20*S137*Declarations!$D$22+Declarations!$C$21*R137*Declarations!$D$20+Declarations!$C$21*T137*Declarations!$D$21+Declarations!$C$21*U137*Declarations!$D$22+Declarations!$C$22*S137*Declarations!$D$20+Declarations!$C$22*U137*Declarations!$D$21+Declarations!$C$22*V137*Declarations!$D$22+0</f>
        <v>0.771604938271605</v>
      </c>
      <c r="V138" s="20" t="n">
        <f aca="false">Declarations!$D$20*Q137*Declarations!$D$20+Declarations!$D$20*R137*Declarations!$D$21+Declarations!$D$20*S137*Declarations!$D$22+Declarations!$D$21*R137*Declarations!$D$20+Declarations!$D$21*T137*Declarations!$D$21+Declarations!$D$21*U137*Declarations!$D$22+Declarations!$D$22*S137*Declarations!$D$20+Declarations!$D$22*U137*Declarations!$D$21+Declarations!$D$22*V137*Declarations!$D$22+1</f>
        <v>2.77777777777778</v>
      </c>
    </row>
    <row r="139" customFormat="false" ht="15" hidden="false" customHeight="false" outlineLevel="0" collapsed="false">
      <c r="A139" s="18" t="n">
        <v>130</v>
      </c>
      <c r="B139" s="20" t="n">
        <f aca="false">$B$4*B138*$B$4+$B$4*C138*$B$5+$B$5*C138*$B$4+$B$5*D138*$B$5+$E$4</f>
        <v>13.5714150526131</v>
      </c>
      <c r="C139" s="20" t="n">
        <f aca="false">$B$4*B138*$C$4+$B$4*C138*$C$5+$B$5*C138*$C$4+$B$5*D138*$C$5+$F$4</f>
        <v>-5.7857084298017</v>
      </c>
      <c r="D139" s="20" t="n">
        <f aca="false">$C$4*B138*$C$4+$C$4*C138*$C$5+$C$5*C138*$C$4+$C$5*D138*$C$5+$F$5</f>
        <v>11.992844785409</v>
      </c>
      <c r="P139" s="18" t="n">
        <v>130</v>
      </c>
      <c r="Q139" s="20" t="n">
        <f aca="false">Declarations!$B$20*Q138*Declarations!$B$20+Declarations!$B$20*R138*Declarations!$B$21+Declarations!$B$20*S138*Declarations!$B$22+Declarations!$B$21*R138*Declarations!$B$20+Declarations!$B$21*T138*Declarations!$B$21+Declarations!$B$21*U138*Declarations!$B$22+Declarations!$B$22*S138*Declarations!$B$20+Declarations!$B$22*U138*Declarations!$B$21+Declarations!$B$22*V138*Declarations!$B$22+1</f>
        <v>10.2972787927011</v>
      </c>
      <c r="R139" s="20" t="n">
        <f aca="false">Declarations!$B$20*Q138*Declarations!$C$20+Declarations!$B$20*R138*Declarations!$C$21+Declarations!$B$20*S138*Declarations!$C$22+Declarations!$B$21*R138*Declarations!$C$20+Declarations!$B$21*T138*Declarations!$C$21+Declarations!$B$21*U138*Declarations!$C$22+Declarations!$B$22*S138*Declarations!$C$20+Declarations!$B$22*U138*Declarations!$C$21+Declarations!$B$22*V138*Declarations!$C$22+0</f>
        <v>4.60690842927238</v>
      </c>
      <c r="S139" s="20" t="n">
        <f aca="false">Declarations!$B$20*Q138*Declarations!$D$20+Declarations!$B$20*R138*Declarations!$D$21+Declarations!$B$20*S138*Declarations!$D$22+Declarations!$B$21*R138*Declarations!$D$20+Declarations!$B$21*T138*Declarations!$D$21+Declarations!$B$21*U138*Declarations!$D$22+Declarations!$B$22*S138*Declarations!$D$20+Declarations!$B$22*U138*Declarations!$D$21+Declarations!$B$22*V138*Declarations!$D$22+0</f>
        <v>0.617283950617284</v>
      </c>
      <c r="T139" s="20" t="n">
        <f aca="false">Declarations!$C$20*Q138*Declarations!$C$20+Declarations!$C$20*R138*Declarations!$C$21+Declarations!$C$20*S138*Declarations!$C$22+Declarations!$C$21*R138*Declarations!$C$20+Declarations!$C$21*T138*Declarations!$C$21+Declarations!$C$21*U138*Declarations!$C$22+Declarations!$C$22*S138*Declarations!$C$20+Declarations!$C$22*U138*Declarations!$C$21+Declarations!$C$22*V138*Declarations!$C$22+1</f>
        <v>5.70253471875141</v>
      </c>
      <c r="U139" s="20" t="n">
        <f aca="false">Declarations!$C$20*Q138*Declarations!$D$20+Declarations!$C$20*R138*Declarations!$D$21+Declarations!$C$20*S138*Declarations!$D$22+Declarations!$C$21*R138*Declarations!$D$20+Declarations!$C$21*T138*Declarations!$D$21+Declarations!$C$21*U138*Declarations!$D$22+Declarations!$C$22*S138*Declarations!$D$20+Declarations!$C$22*U138*Declarations!$D$21+Declarations!$C$22*V138*Declarations!$D$22+0</f>
        <v>0.771604938271605</v>
      </c>
      <c r="V139" s="20" t="n">
        <f aca="false">Declarations!$D$20*Q138*Declarations!$D$20+Declarations!$D$20*R138*Declarations!$D$21+Declarations!$D$20*S138*Declarations!$D$22+Declarations!$D$21*R138*Declarations!$D$20+Declarations!$D$21*T138*Declarations!$D$21+Declarations!$D$21*U138*Declarations!$D$22+Declarations!$D$22*S138*Declarations!$D$20+Declarations!$D$22*U138*Declarations!$D$21+Declarations!$D$22*V138*Declarations!$D$22+1</f>
        <v>2.77777777777778</v>
      </c>
    </row>
    <row r="140" customFormat="false" ht="15" hidden="false" customHeight="false" outlineLevel="0" collapsed="false">
      <c r="A140" s="18" t="n">
        <v>131</v>
      </c>
      <c r="B140" s="20" t="n">
        <f aca="false">$B$4*B139*$B$4+$B$4*C139*$B$5+$B$5*C139*$B$4+$B$5*D139*$B$5+$E$4</f>
        <v>13.5714158043825</v>
      </c>
      <c r="C140" s="20" t="n">
        <f aca="false">$B$4*B139*$C$4+$B$4*C139*$C$5+$B$5*C139*$C$4+$B$5*D139*$C$5+$F$4</f>
        <v>-5.78570860579506</v>
      </c>
      <c r="D140" s="20" t="n">
        <f aca="false">$C$4*B139*$C$4+$C$4*C139*$C$5+$C$5*C139*$C$4+$C$5*D139*$C$5+$F$5</f>
        <v>11.9928461926166</v>
      </c>
      <c r="P140" s="18" t="n">
        <v>131</v>
      </c>
      <c r="Q140" s="20" t="n">
        <f aca="false">Declarations!$B$20*Q139*Declarations!$B$20+Declarations!$B$20*R139*Declarations!$B$21+Declarations!$B$20*S139*Declarations!$B$22+Declarations!$B$21*R139*Declarations!$B$20+Declarations!$B$21*T139*Declarations!$B$21+Declarations!$B$21*U139*Declarations!$B$22+Declarations!$B$22*S139*Declarations!$B$20+Declarations!$B$22*U139*Declarations!$B$21+Declarations!$B$22*V139*Declarations!$B$22+1</f>
        <v>10.2972807359272</v>
      </c>
      <c r="R140" s="20" t="n">
        <f aca="false">Declarations!$B$20*Q139*Declarations!$C$20+Declarations!$B$20*R139*Declarations!$C$21+Declarations!$B$20*S139*Declarations!$C$22+Declarations!$B$21*R139*Declarations!$C$20+Declarations!$B$21*T139*Declarations!$C$21+Declarations!$B$21*U139*Declarations!$C$22+Declarations!$B$22*S139*Declarations!$C$20+Declarations!$B$22*U139*Declarations!$C$21+Declarations!$B$22*V139*Declarations!$C$22+0</f>
        <v>4.6069094008854</v>
      </c>
      <c r="S140" s="20" t="n">
        <f aca="false">Declarations!$B$20*Q139*Declarations!$D$20+Declarations!$B$20*R139*Declarations!$D$21+Declarations!$B$20*S139*Declarations!$D$22+Declarations!$B$21*R139*Declarations!$D$20+Declarations!$B$21*T139*Declarations!$D$21+Declarations!$B$21*U139*Declarations!$D$22+Declarations!$B$22*S139*Declarations!$D$20+Declarations!$B$22*U139*Declarations!$D$21+Declarations!$B$22*V139*Declarations!$D$22+0</f>
        <v>0.617283950617284</v>
      </c>
      <c r="T140" s="20" t="n">
        <f aca="false">Declarations!$C$20*Q139*Declarations!$C$20+Declarations!$C$20*R139*Declarations!$C$21+Declarations!$C$20*S139*Declarations!$C$22+Declarations!$C$21*R139*Declarations!$C$20+Declarations!$C$21*T139*Declarations!$C$21+Declarations!$C$21*U139*Declarations!$C$22+Declarations!$C$22*S139*Declarations!$C$20+Declarations!$C$22*U139*Declarations!$C$21+Declarations!$C$22*V139*Declarations!$C$22+1</f>
        <v>5.70253520455792</v>
      </c>
      <c r="U140" s="20" t="n">
        <f aca="false">Declarations!$C$20*Q139*Declarations!$D$20+Declarations!$C$20*R139*Declarations!$D$21+Declarations!$C$20*S139*Declarations!$D$22+Declarations!$C$21*R139*Declarations!$D$20+Declarations!$C$21*T139*Declarations!$D$21+Declarations!$C$21*U139*Declarations!$D$22+Declarations!$C$22*S139*Declarations!$D$20+Declarations!$C$22*U139*Declarations!$D$21+Declarations!$C$22*V139*Declarations!$D$22+0</f>
        <v>0.771604938271605</v>
      </c>
      <c r="V140" s="20" t="n">
        <f aca="false">Declarations!$D$20*Q139*Declarations!$D$20+Declarations!$D$20*R139*Declarations!$D$21+Declarations!$D$20*S139*Declarations!$D$22+Declarations!$D$21*R139*Declarations!$D$20+Declarations!$D$21*T139*Declarations!$D$21+Declarations!$D$21*U139*Declarations!$D$22+Declarations!$D$22*S139*Declarations!$D$20+Declarations!$D$22*U139*Declarations!$D$21+Declarations!$D$22*V139*Declarations!$D$22+1</f>
        <v>2.77777777777778</v>
      </c>
    </row>
    <row r="141" customFormat="false" ht="15" hidden="false" customHeight="false" outlineLevel="0" collapsed="false">
      <c r="A141" s="18" t="n">
        <v>132</v>
      </c>
      <c r="B141" s="20" t="n">
        <f aca="false">$B$4*B140*$B$4+$B$4*C140*$B$5+$B$5*C140*$B$4+$B$5*D140*$B$5+$E$4</f>
        <v>13.5714175037353</v>
      </c>
      <c r="C141" s="20" t="n">
        <f aca="false">$B$4*B140*$C$4+$B$4*C140*$C$5+$B$5*C140*$C$4+$B$5*D140*$C$5+$F$4</f>
        <v>-5.78570905633431</v>
      </c>
      <c r="D141" s="20" t="n">
        <f aca="false">$C$4*B140*$C$4+$C$4*C140*$C$5+$C$5*C140*$C$4+$C$5*D140*$C$5+$F$5</f>
        <v>11.9928468015499</v>
      </c>
      <c r="P141" s="18" t="n">
        <v>132</v>
      </c>
      <c r="Q141" s="20" t="n">
        <f aca="false">Declarations!$B$20*Q140*Declarations!$B$20+Declarations!$B$20*R140*Declarations!$B$21+Declarations!$B$20*S140*Declarations!$B$22+Declarations!$B$21*R140*Declarations!$B$20+Declarations!$B$21*T140*Declarations!$B$21+Declarations!$B$21*U140*Declarations!$B$22+Declarations!$B$22*S140*Declarations!$B$20+Declarations!$B$22*U140*Declarations!$B$21+Declarations!$B$22*V140*Declarations!$B$22+1</f>
        <v>10.2972824896887</v>
      </c>
      <c r="R141" s="20" t="n">
        <f aca="false">Declarations!$B$20*Q140*Declarations!$C$20+Declarations!$B$20*R140*Declarations!$C$21+Declarations!$B$20*S140*Declarations!$C$22+Declarations!$B$21*R140*Declarations!$C$20+Declarations!$B$21*T140*Declarations!$C$21+Declarations!$B$21*U140*Declarations!$C$22+Declarations!$B$22*S140*Declarations!$C$20+Declarations!$B$22*U140*Declarations!$C$21+Declarations!$B$22*V140*Declarations!$C$22+0</f>
        <v>4.60691027776615</v>
      </c>
      <c r="S141" s="20" t="n">
        <f aca="false">Declarations!$B$20*Q140*Declarations!$D$20+Declarations!$B$20*R140*Declarations!$D$21+Declarations!$B$20*S140*Declarations!$D$22+Declarations!$B$21*R140*Declarations!$D$20+Declarations!$B$21*T140*Declarations!$D$21+Declarations!$B$21*U140*Declarations!$D$22+Declarations!$B$22*S140*Declarations!$D$20+Declarations!$B$22*U140*Declarations!$D$21+Declarations!$B$22*V140*Declarations!$D$22+0</f>
        <v>0.617283950617284</v>
      </c>
      <c r="T141" s="20" t="n">
        <f aca="false">Declarations!$C$20*Q140*Declarations!$C$20+Declarations!$C$20*R140*Declarations!$C$21+Declarations!$C$20*S140*Declarations!$C$22+Declarations!$C$21*R140*Declarations!$C$20+Declarations!$C$21*T140*Declarations!$C$21+Declarations!$C$21*U140*Declarations!$C$22+Declarations!$C$22*S140*Declarations!$C$20+Declarations!$C$22*U140*Declarations!$C$21+Declarations!$C$22*V140*Declarations!$C$22+1</f>
        <v>5.7025356429983</v>
      </c>
      <c r="U141" s="20" t="n">
        <f aca="false">Declarations!$C$20*Q140*Declarations!$D$20+Declarations!$C$20*R140*Declarations!$D$21+Declarations!$C$20*S140*Declarations!$D$22+Declarations!$C$21*R140*Declarations!$D$20+Declarations!$C$21*T140*Declarations!$D$21+Declarations!$C$21*U140*Declarations!$D$22+Declarations!$C$22*S140*Declarations!$D$20+Declarations!$C$22*U140*Declarations!$D$21+Declarations!$C$22*V140*Declarations!$D$22+0</f>
        <v>0.771604938271605</v>
      </c>
      <c r="V141" s="20" t="n">
        <f aca="false">Declarations!$D$20*Q140*Declarations!$D$20+Declarations!$D$20*R140*Declarations!$D$21+Declarations!$D$20*S140*Declarations!$D$22+Declarations!$D$21*R140*Declarations!$D$20+Declarations!$D$21*T140*Declarations!$D$21+Declarations!$D$21*U140*Declarations!$D$22+Declarations!$D$22*S140*Declarations!$D$20+Declarations!$D$22*U140*Declarations!$D$21+Declarations!$D$22*V140*Declarations!$D$22+1</f>
        <v>2.77777777777778</v>
      </c>
    </row>
    <row r="142" customFormat="false" ht="15" hidden="false" customHeight="false" outlineLevel="0" collapsed="false">
      <c r="A142" s="18" t="n">
        <v>133</v>
      </c>
      <c r="B142" s="20" t="n">
        <f aca="false">$B$4*B141*$B$4+$B$4*C141*$B$5+$B$5*C141*$B$4+$B$5*D141*$B$5+$E$4</f>
        <v>13.5714186781737</v>
      </c>
      <c r="C142" s="20" t="n">
        <f aca="false">$B$4*B141*$C$4+$B$4*C141*$C$5+$B$5*C141*$C$4+$B$5*D141*$C$5+$F$4</f>
        <v>-5.78571002732475</v>
      </c>
      <c r="D142" s="20" t="n">
        <f aca="false">$C$4*B141*$C$4+$C$4*C141*$C$5+$C$5*C141*$C$4+$C$5*D141*$C$5+$F$5</f>
        <v>11.9928481780256</v>
      </c>
      <c r="P142" s="18" t="n">
        <v>133</v>
      </c>
      <c r="Q142" s="20" t="n">
        <f aca="false">Declarations!$B$20*Q141*Declarations!$B$20+Declarations!$B$20*R141*Declarations!$B$21+Declarations!$B$20*S141*Declarations!$B$22+Declarations!$B$21*R141*Declarations!$B$20+Declarations!$B$21*T141*Declarations!$B$21+Declarations!$B$21*U141*Declarations!$B$22+Declarations!$B$22*S141*Declarations!$B$20+Declarations!$B$22*U141*Declarations!$B$21+Declarations!$B$22*V141*Declarations!$B$22+1</f>
        <v>10.2972840724585</v>
      </c>
      <c r="R142" s="20" t="n">
        <f aca="false">Declarations!$B$20*Q141*Declarations!$C$20+Declarations!$B$20*R141*Declarations!$C$21+Declarations!$B$20*S141*Declarations!$C$22+Declarations!$B$21*R141*Declarations!$C$20+Declarations!$B$21*T141*Declarations!$C$21+Declarations!$B$21*U141*Declarations!$C$22+Declarations!$B$22*S141*Declarations!$C$20+Declarations!$B$22*U141*Declarations!$C$21+Declarations!$B$22*V141*Declarations!$C$22+0</f>
        <v>4.60691106915103</v>
      </c>
      <c r="S142" s="20" t="n">
        <f aca="false">Declarations!$B$20*Q141*Declarations!$D$20+Declarations!$B$20*R141*Declarations!$D$21+Declarations!$B$20*S141*Declarations!$D$22+Declarations!$B$21*R141*Declarations!$D$20+Declarations!$B$21*T141*Declarations!$D$21+Declarations!$B$21*U141*Declarations!$D$22+Declarations!$B$22*S141*Declarations!$D$20+Declarations!$B$22*U141*Declarations!$D$21+Declarations!$B$22*V141*Declarations!$D$22+0</f>
        <v>0.617283950617284</v>
      </c>
      <c r="T142" s="20" t="n">
        <f aca="false">Declarations!$C$20*Q141*Declarations!$C$20+Declarations!$C$20*R141*Declarations!$C$21+Declarations!$C$20*S141*Declarations!$C$22+Declarations!$C$21*R141*Declarations!$C$20+Declarations!$C$21*T141*Declarations!$C$21+Declarations!$C$21*U141*Declarations!$C$22+Declarations!$C$22*S141*Declarations!$C$20+Declarations!$C$22*U141*Declarations!$C$21+Declarations!$C$22*V141*Declarations!$C$22+1</f>
        <v>5.70253603869074</v>
      </c>
      <c r="U142" s="20" t="n">
        <f aca="false">Declarations!$C$20*Q141*Declarations!$D$20+Declarations!$C$20*R141*Declarations!$D$21+Declarations!$C$20*S141*Declarations!$D$22+Declarations!$C$21*R141*Declarations!$D$20+Declarations!$C$21*T141*Declarations!$D$21+Declarations!$C$21*U141*Declarations!$D$22+Declarations!$C$22*S141*Declarations!$D$20+Declarations!$C$22*U141*Declarations!$D$21+Declarations!$C$22*V141*Declarations!$D$22+0</f>
        <v>0.771604938271605</v>
      </c>
      <c r="V142" s="20" t="n">
        <f aca="false">Declarations!$D$20*Q141*Declarations!$D$20+Declarations!$D$20*R141*Declarations!$D$21+Declarations!$D$20*S141*Declarations!$D$22+Declarations!$D$21*R141*Declarations!$D$20+Declarations!$D$21*T141*Declarations!$D$21+Declarations!$D$21*U141*Declarations!$D$22+Declarations!$D$22*S141*Declarations!$D$20+Declarations!$D$22*U141*Declarations!$D$21+Declarations!$D$22*V141*Declarations!$D$22+1</f>
        <v>2.77777777777778</v>
      </c>
    </row>
    <row r="143" customFormat="false" ht="15" hidden="false" customHeight="false" outlineLevel="0" collapsed="false">
      <c r="A143" s="18" t="n">
        <v>134</v>
      </c>
      <c r="B143" s="20" t="n">
        <f aca="false">$B$4*B142*$B$4+$B$4*C142*$B$5+$B$5*C142*$B$4+$B$5*D142*$B$5+$E$4</f>
        <v>13.5714192581618</v>
      </c>
      <c r="C143" s="20" t="n">
        <f aca="false">$B$4*B142*$C$4+$B$4*C142*$C$5+$B$5*C142*$C$4+$B$5*D142*$C$5+$F$4</f>
        <v>-5.78571010472845</v>
      </c>
      <c r="D143" s="20" t="n">
        <f aca="false">$C$4*B142*$C$4+$C$4*C142*$C$5+$C$5*C142*$C$4+$C$5*D142*$C$5+$F$5</f>
        <v>11.9928491293207</v>
      </c>
      <c r="P143" s="18" t="n">
        <v>134</v>
      </c>
      <c r="Q143" s="20" t="n">
        <f aca="false">Declarations!$B$20*Q142*Declarations!$B$20+Declarations!$B$20*R142*Declarations!$B$21+Declarations!$B$20*S142*Declarations!$B$22+Declarations!$B$21*R142*Declarations!$B$20+Declarations!$B$21*T142*Declarations!$B$21+Declarations!$B$21*U142*Declarations!$B$22+Declarations!$B$22*S142*Declarations!$B$20+Declarations!$B$22*U142*Declarations!$B$21+Declarations!$B$22*V142*Declarations!$B$22+1</f>
        <v>10.2972855009082</v>
      </c>
      <c r="R143" s="20" t="n">
        <f aca="false">Declarations!$B$20*Q142*Declarations!$C$20+Declarations!$B$20*R142*Declarations!$C$21+Declarations!$B$20*S142*Declarations!$C$22+Declarations!$B$21*R142*Declarations!$C$20+Declarations!$B$21*T142*Declarations!$C$21+Declarations!$B$21*U142*Declarations!$C$22+Declarations!$B$22*S142*Declarations!$C$20+Declarations!$B$22*U142*Declarations!$C$21+Declarations!$B$22*V142*Declarations!$C$22+0</f>
        <v>4.60691178337588</v>
      </c>
      <c r="S143" s="20" t="n">
        <f aca="false">Declarations!$B$20*Q142*Declarations!$D$20+Declarations!$B$20*R142*Declarations!$D$21+Declarations!$B$20*S142*Declarations!$D$22+Declarations!$B$21*R142*Declarations!$D$20+Declarations!$B$21*T142*Declarations!$D$21+Declarations!$B$21*U142*Declarations!$D$22+Declarations!$B$22*S142*Declarations!$D$20+Declarations!$B$22*U142*Declarations!$D$21+Declarations!$B$22*V142*Declarations!$D$22+0</f>
        <v>0.617283950617284</v>
      </c>
      <c r="T143" s="20" t="n">
        <f aca="false">Declarations!$C$20*Q142*Declarations!$C$20+Declarations!$C$20*R142*Declarations!$C$21+Declarations!$C$20*S142*Declarations!$C$22+Declarations!$C$21*R142*Declarations!$C$20+Declarations!$C$21*T142*Declarations!$C$21+Declarations!$C$21*U142*Declarations!$C$22+Declarations!$C$22*S142*Declarations!$C$20+Declarations!$C$22*U142*Declarations!$C$21+Declarations!$C$22*V142*Declarations!$C$22+1</f>
        <v>5.70253639580316</v>
      </c>
      <c r="U143" s="20" t="n">
        <f aca="false">Declarations!$C$20*Q142*Declarations!$D$20+Declarations!$C$20*R142*Declarations!$D$21+Declarations!$C$20*S142*Declarations!$D$22+Declarations!$C$21*R142*Declarations!$D$20+Declarations!$C$21*T142*Declarations!$D$21+Declarations!$C$21*U142*Declarations!$D$22+Declarations!$C$22*S142*Declarations!$D$20+Declarations!$C$22*U142*Declarations!$D$21+Declarations!$C$22*V142*Declarations!$D$22+0</f>
        <v>0.771604938271605</v>
      </c>
      <c r="V143" s="20" t="n">
        <f aca="false">Declarations!$D$20*Q142*Declarations!$D$20+Declarations!$D$20*R142*Declarations!$D$21+Declarations!$D$20*S142*Declarations!$D$22+Declarations!$D$21*R142*Declarations!$D$20+Declarations!$D$21*T142*Declarations!$D$21+Declarations!$D$21*U142*Declarations!$D$22+Declarations!$D$22*S142*Declarations!$D$20+Declarations!$D$22*U142*Declarations!$D$21+Declarations!$D$22*V142*Declarations!$D$22+1</f>
        <v>2.77777777777778</v>
      </c>
    </row>
    <row r="144" customFormat="false" ht="15" hidden="false" customHeight="false" outlineLevel="0" collapsed="false">
      <c r="A144" s="18" t="n">
        <v>135</v>
      </c>
      <c r="B144" s="20" t="n">
        <f aca="false">$B$4*B143*$B$4+$B$4*C143*$B$5+$B$5*C143*$B$4+$B$5*D143*$B$5+$E$4</f>
        <v>13.5714205399206</v>
      </c>
      <c r="C144" s="20" t="n">
        <f aca="false">$B$4*B143*$C$4+$B$4*C143*$C$5+$B$5*C143*$C$4+$B$5*D143*$C$5+$F$4</f>
        <v>-5.78571050485545</v>
      </c>
      <c r="D144" s="20" t="n">
        <f aca="false">$C$4*B143*$C$4+$C$4*C143*$C$5+$C$5*C143*$C$4+$C$5*D143*$C$5+$F$5</f>
        <v>11.9928495991111</v>
      </c>
      <c r="P144" s="18" t="n">
        <v>135</v>
      </c>
      <c r="Q144" s="20" t="n">
        <f aca="false">Declarations!$B$20*Q143*Declarations!$B$20+Declarations!$B$20*R143*Declarations!$B$21+Declarations!$B$20*S143*Declarations!$B$22+Declarations!$B$21*R143*Declarations!$B$20+Declarations!$B$21*T143*Declarations!$B$21+Declarations!$B$21*U143*Declarations!$B$22+Declarations!$B$22*S143*Declarations!$B$20+Declarations!$B$22*U143*Declarations!$B$21+Declarations!$B$22*V143*Declarations!$B$22+1</f>
        <v>10.297286790084</v>
      </c>
      <c r="R144" s="20" t="n">
        <f aca="false">Declarations!$B$20*Q143*Declarations!$C$20+Declarations!$B$20*R143*Declarations!$C$21+Declarations!$B$20*S143*Declarations!$C$22+Declarations!$B$21*R143*Declarations!$C$20+Declarations!$B$21*T143*Declarations!$C$21+Declarations!$B$21*U143*Declarations!$C$22+Declarations!$B$22*S143*Declarations!$C$20+Declarations!$B$22*U143*Declarations!$C$21+Declarations!$B$22*V143*Declarations!$C$22+0</f>
        <v>4.60691242796381</v>
      </c>
      <c r="S144" s="20" t="n">
        <f aca="false">Declarations!$B$20*Q143*Declarations!$D$20+Declarations!$B$20*R143*Declarations!$D$21+Declarations!$B$20*S143*Declarations!$D$22+Declarations!$B$21*R143*Declarations!$D$20+Declarations!$B$21*T143*Declarations!$D$21+Declarations!$B$21*U143*Declarations!$D$22+Declarations!$B$22*S143*Declarations!$D$20+Declarations!$B$22*U143*Declarations!$D$21+Declarations!$B$22*V143*Declarations!$D$22+0</f>
        <v>0.617283950617284</v>
      </c>
      <c r="T144" s="20" t="n">
        <f aca="false">Declarations!$C$20*Q143*Declarations!$C$20+Declarations!$C$20*R143*Declarations!$C$21+Declarations!$C$20*S143*Declarations!$C$22+Declarations!$C$21*R143*Declarations!$C$20+Declarations!$C$21*T143*Declarations!$C$21+Declarations!$C$21*U143*Declarations!$C$22+Declarations!$C$22*S143*Declarations!$C$20+Declarations!$C$22*U143*Declarations!$C$21+Declarations!$C$22*V143*Declarations!$C$22+1</f>
        <v>5.70253671809713</v>
      </c>
      <c r="U144" s="20" t="n">
        <f aca="false">Declarations!$C$20*Q143*Declarations!$D$20+Declarations!$C$20*R143*Declarations!$D$21+Declarations!$C$20*S143*Declarations!$D$22+Declarations!$C$21*R143*Declarations!$D$20+Declarations!$C$21*T143*Declarations!$D$21+Declarations!$C$21*U143*Declarations!$D$22+Declarations!$C$22*S143*Declarations!$D$20+Declarations!$C$22*U143*Declarations!$D$21+Declarations!$C$22*V143*Declarations!$D$22+0</f>
        <v>0.771604938271605</v>
      </c>
      <c r="V144" s="20" t="n">
        <f aca="false">Declarations!$D$20*Q143*Declarations!$D$20+Declarations!$D$20*R143*Declarations!$D$21+Declarations!$D$20*S143*Declarations!$D$22+Declarations!$D$21*R143*Declarations!$D$20+Declarations!$D$21*T143*Declarations!$D$21+Declarations!$D$21*U143*Declarations!$D$22+Declarations!$D$22*S143*Declarations!$D$20+Declarations!$D$22*U143*Declarations!$D$21+Declarations!$D$22*V143*Declarations!$D$22+1</f>
        <v>2.77777777777778</v>
      </c>
    </row>
    <row r="145" customFormat="false" ht="15" hidden="false" customHeight="false" outlineLevel="0" collapsed="false">
      <c r="A145" s="18" t="n">
        <v>136</v>
      </c>
      <c r="B145" s="20" t="n">
        <f aca="false">$B$4*B144*$B$4+$B$4*C144*$B$5+$B$5*C144*$B$4+$B$5*D144*$B$5+$E$4</f>
        <v>13.5714213277069</v>
      </c>
      <c r="C145" s="20" t="n">
        <f aca="false">$B$4*B144*$C$4+$B$4*C144*$C$5+$B$5*C144*$C$4+$B$5*D144*$C$5+$F$4</f>
        <v>-5.78571118296575</v>
      </c>
      <c r="D145" s="20" t="n">
        <f aca="false">$C$4*B144*$C$4+$C$4*C144*$C$5+$C$5*C144*$C$4+$C$5*D144*$C$5+$F$5</f>
        <v>11.9928506373357</v>
      </c>
      <c r="P145" s="18" t="n">
        <v>136</v>
      </c>
      <c r="Q145" s="20" t="n">
        <f aca="false">Declarations!$B$20*Q144*Declarations!$B$20+Declarations!$B$20*R144*Declarations!$B$21+Declarations!$B$20*S144*Declarations!$B$22+Declarations!$B$21*R144*Declarations!$B$20+Declarations!$B$21*T144*Declarations!$B$21+Declarations!$B$21*U144*Declarations!$B$22+Declarations!$B$22*S144*Declarations!$B$20+Declarations!$B$22*U144*Declarations!$B$21+Declarations!$B$22*V144*Declarations!$B$22+1</f>
        <v>10.2972879535652</v>
      </c>
      <c r="R145" s="20" t="n">
        <f aca="false">Declarations!$B$20*Q144*Declarations!$C$20+Declarations!$B$20*R144*Declarations!$C$21+Declarations!$B$20*S144*Declarations!$C$22+Declarations!$B$21*R144*Declarations!$C$20+Declarations!$B$21*T144*Declarations!$C$21+Declarations!$B$21*U144*Declarations!$C$22+Declarations!$B$22*S144*Declarations!$C$20+Declarations!$B$22*U144*Declarations!$C$21+Declarations!$B$22*V144*Declarations!$C$22+0</f>
        <v>4.60691300970442</v>
      </c>
      <c r="S145" s="20" t="n">
        <f aca="false">Declarations!$B$20*Q144*Declarations!$D$20+Declarations!$B$20*R144*Declarations!$D$21+Declarations!$B$20*S144*Declarations!$D$22+Declarations!$B$21*R144*Declarations!$D$20+Declarations!$B$21*T144*Declarations!$D$21+Declarations!$B$21*U144*Declarations!$D$22+Declarations!$B$22*S144*Declarations!$D$20+Declarations!$B$22*U144*Declarations!$D$21+Declarations!$B$22*V144*Declarations!$D$22+0</f>
        <v>0.617283950617284</v>
      </c>
      <c r="T145" s="20" t="n">
        <f aca="false">Declarations!$C$20*Q144*Declarations!$C$20+Declarations!$C$20*R144*Declarations!$C$21+Declarations!$C$20*S144*Declarations!$C$22+Declarations!$C$21*R144*Declarations!$C$20+Declarations!$C$21*T144*Declarations!$C$21+Declarations!$C$21*U144*Declarations!$C$22+Declarations!$C$22*S144*Declarations!$C$20+Declarations!$C$22*U144*Declarations!$C$21+Declarations!$C$22*V144*Declarations!$C$22+1</f>
        <v>5.70253700896743</v>
      </c>
      <c r="U145" s="20" t="n">
        <f aca="false">Declarations!$C$20*Q144*Declarations!$D$20+Declarations!$C$20*R144*Declarations!$D$21+Declarations!$C$20*S144*Declarations!$D$22+Declarations!$C$21*R144*Declarations!$D$20+Declarations!$C$21*T144*Declarations!$D$21+Declarations!$C$21*U144*Declarations!$D$22+Declarations!$C$22*S144*Declarations!$D$20+Declarations!$C$22*U144*Declarations!$D$21+Declarations!$C$22*V144*Declarations!$D$22+0</f>
        <v>0.771604938271605</v>
      </c>
      <c r="V145" s="20" t="n">
        <f aca="false">Declarations!$D$20*Q144*Declarations!$D$20+Declarations!$D$20*R144*Declarations!$D$21+Declarations!$D$20*S144*Declarations!$D$22+Declarations!$D$21*R144*Declarations!$D$20+Declarations!$D$21*T144*Declarations!$D$21+Declarations!$D$21*U144*Declarations!$D$22+Declarations!$D$22*S144*Declarations!$D$20+Declarations!$D$22*U144*Declarations!$D$21+Declarations!$D$22*V144*Declarations!$D$22+1</f>
        <v>2.77777777777778</v>
      </c>
    </row>
    <row r="146" customFormat="false" ht="15" hidden="false" customHeight="false" outlineLevel="0" collapsed="false">
      <c r="A146" s="18" t="n">
        <v>137</v>
      </c>
      <c r="B146" s="20" t="n">
        <f aca="false">$B$4*B145*$B$4+$B$4*C145*$B$5+$B$5*C145*$B$4+$B$5*D145*$B$5+$E$4</f>
        <v>13.5714217834399</v>
      </c>
      <c r="C146" s="20" t="n">
        <f aca="false">$B$4*B145*$C$4+$B$4*C145*$C$5+$B$5*C145*$C$4+$B$5*D145*$C$5+$F$4</f>
        <v>-5.78571121077341</v>
      </c>
      <c r="D146" s="20" t="n">
        <f aca="false">$C$4*B145*$C$4+$C$4*C145*$C$5+$C$5*C145*$C$4+$C$5*D145*$C$5+$F$5</f>
        <v>11.9928512754426</v>
      </c>
      <c r="P146" s="18" t="n">
        <v>137</v>
      </c>
      <c r="Q146" s="20" t="n">
        <f aca="false">Declarations!$B$20*Q145*Declarations!$B$20+Declarations!$B$20*R145*Declarations!$B$21+Declarations!$B$20*S145*Declarations!$B$22+Declarations!$B$21*R145*Declarations!$B$20+Declarations!$B$21*T145*Declarations!$B$21+Declarations!$B$21*U145*Declarations!$B$22+Declarations!$B$22*S145*Declarations!$B$20+Declarations!$B$22*U145*Declarations!$B$21+Declarations!$B$22*V145*Declarations!$B$22+1</f>
        <v>10.297289003607</v>
      </c>
      <c r="R146" s="20" t="n">
        <f aca="false">Declarations!$B$20*Q145*Declarations!$C$20+Declarations!$B$20*R145*Declarations!$C$21+Declarations!$B$20*S145*Declarations!$C$22+Declarations!$B$21*R145*Declarations!$C$20+Declarations!$B$21*T145*Declarations!$C$21+Declarations!$B$21*U145*Declarations!$C$22+Declarations!$B$22*S145*Declarations!$C$20+Declarations!$B$22*U145*Declarations!$C$21+Declarations!$B$22*V145*Declarations!$C$22+0</f>
        <v>4.60691353472532</v>
      </c>
      <c r="S146" s="20" t="n">
        <f aca="false">Declarations!$B$20*Q145*Declarations!$D$20+Declarations!$B$20*R145*Declarations!$D$21+Declarations!$B$20*S145*Declarations!$D$22+Declarations!$B$21*R145*Declarations!$D$20+Declarations!$B$21*T145*Declarations!$D$21+Declarations!$B$21*U145*Declarations!$D$22+Declarations!$B$22*S145*Declarations!$D$20+Declarations!$B$22*U145*Declarations!$D$21+Declarations!$B$22*V145*Declarations!$D$22+0</f>
        <v>0.617283950617284</v>
      </c>
      <c r="T146" s="20" t="n">
        <f aca="false">Declarations!$C$20*Q145*Declarations!$C$20+Declarations!$C$20*R145*Declarations!$C$21+Declarations!$C$20*S145*Declarations!$C$22+Declarations!$C$21*R145*Declarations!$C$20+Declarations!$C$21*T145*Declarations!$C$21+Declarations!$C$21*U145*Declarations!$C$22+Declarations!$C$22*S145*Declarations!$C$20+Declarations!$C$22*U145*Declarations!$C$21+Declarations!$C$22*V145*Declarations!$C$22+1</f>
        <v>5.70253727147788</v>
      </c>
      <c r="U146" s="20" t="n">
        <f aca="false">Declarations!$C$20*Q145*Declarations!$D$20+Declarations!$C$20*R145*Declarations!$D$21+Declarations!$C$20*S145*Declarations!$D$22+Declarations!$C$21*R145*Declarations!$D$20+Declarations!$C$21*T145*Declarations!$D$21+Declarations!$C$21*U145*Declarations!$D$22+Declarations!$C$22*S145*Declarations!$D$20+Declarations!$C$22*U145*Declarations!$D$21+Declarations!$C$22*V145*Declarations!$D$22+0</f>
        <v>0.771604938271605</v>
      </c>
      <c r="V146" s="20" t="n">
        <f aca="false">Declarations!$D$20*Q145*Declarations!$D$20+Declarations!$D$20*R145*Declarations!$D$21+Declarations!$D$20*S145*Declarations!$D$22+Declarations!$D$21*R145*Declarations!$D$20+Declarations!$D$21*T145*Declarations!$D$21+Declarations!$D$21*U145*Declarations!$D$22+Declarations!$D$22*S145*Declarations!$D$20+Declarations!$D$22*U145*Declarations!$D$21+Declarations!$D$22*V145*Declarations!$D$22+1</f>
        <v>2.77777777777778</v>
      </c>
    </row>
    <row r="147" customFormat="false" ht="15" hidden="false" customHeight="false" outlineLevel="0" collapsed="false">
      <c r="A147" s="18" t="n">
        <v>138</v>
      </c>
      <c r="B147" s="20" t="n">
        <f aca="false">$B$4*B146*$B$4+$B$4*C146*$B$5+$B$5*C146*$B$4+$B$5*D146*$B$5+$E$4</f>
        <v>13.5714227406368</v>
      </c>
      <c r="C147" s="20" t="n">
        <f aca="false">$B$4*B146*$C$4+$B$4*C146*$C$5+$B$5*C146*$C$4+$B$5*D146*$C$5+$F$4</f>
        <v>-5.78571155489024</v>
      </c>
      <c r="D147" s="20" t="n">
        <f aca="false">$C$4*B146*$C$4+$C$4*C146*$C$5+$C$5*C146*$C$4+$C$5*D146*$C$5+$F$5</f>
        <v>11.9928516445863</v>
      </c>
      <c r="P147" s="18" t="n">
        <v>138</v>
      </c>
      <c r="Q147" s="20" t="n">
        <f aca="false">Declarations!$B$20*Q146*Declarations!$B$20+Declarations!$B$20*R146*Declarations!$B$21+Declarations!$B$20*S146*Declarations!$B$22+Declarations!$B$21*R146*Declarations!$B$20+Declarations!$B$21*T146*Declarations!$B$21+Declarations!$B$21*U146*Declarations!$B$22+Declarations!$B$22*S146*Declarations!$B$20+Declarations!$B$22*U146*Declarations!$B$21+Declarations!$B$22*V146*Declarations!$B$22+1</f>
        <v>10.2972899512697</v>
      </c>
      <c r="R147" s="20" t="n">
        <f aca="false">Declarations!$B$20*Q146*Declarations!$C$20+Declarations!$B$20*R146*Declarations!$C$21+Declarations!$B$20*S146*Declarations!$C$22+Declarations!$B$21*R146*Declarations!$C$20+Declarations!$B$21*T146*Declarations!$C$21+Declarations!$B$21*U146*Declarations!$C$22+Declarations!$B$22*S146*Declarations!$C$20+Declarations!$B$22*U146*Declarations!$C$21+Declarations!$B$22*V146*Declarations!$C$22+0</f>
        <v>4.60691400855668</v>
      </c>
      <c r="S147" s="20" t="n">
        <f aca="false">Declarations!$B$20*Q146*Declarations!$D$20+Declarations!$B$20*R146*Declarations!$D$21+Declarations!$B$20*S146*Declarations!$D$22+Declarations!$B$21*R146*Declarations!$D$20+Declarations!$B$21*T146*Declarations!$D$21+Declarations!$B$21*U146*Declarations!$D$22+Declarations!$B$22*S146*Declarations!$D$20+Declarations!$B$22*U146*Declarations!$D$21+Declarations!$B$22*V146*Declarations!$D$22+0</f>
        <v>0.617283950617284</v>
      </c>
      <c r="T147" s="20" t="n">
        <f aca="false">Declarations!$C$20*Q146*Declarations!$C$20+Declarations!$C$20*R146*Declarations!$C$21+Declarations!$C$20*S146*Declarations!$C$22+Declarations!$C$21*R146*Declarations!$C$20+Declarations!$C$21*T146*Declarations!$C$21+Declarations!$C$21*U146*Declarations!$C$22+Declarations!$C$22*S146*Declarations!$C$20+Declarations!$C$22*U146*Declarations!$C$21+Declarations!$C$22*V146*Declarations!$C$22+1</f>
        <v>5.70253750839356</v>
      </c>
      <c r="U147" s="20" t="n">
        <f aca="false">Declarations!$C$20*Q146*Declarations!$D$20+Declarations!$C$20*R146*Declarations!$D$21+Declarations!$C$20*S146*Declarations!$D$22+Declarations!$C$21*R146*Declarations!$D$20+Declarations!$C$21*T146*Declarations!$D$21+Declarations!$C$21*U146*Declarations!$D$22+Declarations!$C$22*S146*Declarations!$D$20+Declarations!$C$22*U146*Declarations!$D$21+Declarations!$C$22*V146*Declarations!$D$22+0</f>
        <v>0.771604938271605</v>
      </c>
      <c r="V147" s="20" t="n">
        <f aca="false">Declarations!$D$20*Q146*Declarations!$D$20+Declarations!$D$20*R146*Declarations!$D$21+Declarations!$D$20*S146*Declarations!$D$22+Declarations!$D$21*R146*Declarations!$D$20+Declarations!$D$21*T146*Declarations!$D$21+Declarations!$D$21*U146*Declarations!$D$22+Declarations!$D$22*S146*Declarations!$D$20+Declarations!$D$22*U146*Declarations!$D$21+Declarations!$D$22*V146*Declarations!$D$22+1</f>
        <v>2.77777777777778</v>
      </c>
    </row>
    <row r="148" customFormat="false" ht="15" hidden="false" customHeight="false" outlineLevel="0" collapsed="false">
      <c r="A148" s="18" t="n">
        <v>139</v>
      </c>
      <c r="B148" s="20" t="n">
        <f aca="false">$B$4*B147*$B$4+$B$4*C147*$B$5+$B$5*C147*$B$4+$B$5*D147*$B$5+$E$4</f>
        <v>13.5714232656997</v>
      </c>
      <c r="C148" s="20" t="n">
        <f aca="false">$B$4*B147*$C$4+$B$4*C147*$C$5+$B$5*C147*$C$4+$B$5*D147*$C$5+$F$4</f>
        <v>-5.78571202051456</v>
      </c>
      <c r="D148" s="20" t="n">
        <f aca="false">$C$4*B147*$C$4+$C$4*C147*$C$5+$C$5*C147*$C$4+$C$5*D147*$C$5+$F$5</f>
        <v>11.9928524199158</v>
      </c>
      <c r="P148" s="18" t="n">
        <v>139</v>
      </c>
      <c r="Q148" s="20" t="n">
        <f aca="false">Declarations!$B$20*Q147*Declarations!$B$20+Declarations!$B$20*R147*Declarations!$B$21+Declarations!$B$20*S147*Declarations!$B$22+Declarations!$B$21*R147*Declarations!$B$20+Declarations!$B$21*T147*Declarations!$B$21+Declarations!$B$21*U147*Declarations!$B$22+Declarations!$B$22*S147*Declarations!$B$20+Declarations!$B$22*U147*Declarations!$B$21+Declarations!$B$22*V147*Declarations!$B$22+1</f>
        <v>10.2972908065353</v>
      </c>
      <c r="R148" s="20" t="n">
        <f aca="false">Declarations!$B$20*Q147*Declarations!$C$20+Declarations!$B$20*R147*Declarations!$C$21+Declarations!$B$20*S147*Declarations!$C$22+Declarations!$B$21*R147*Declarations!$C$20+Declarations!$B$21*T147*Declarations!$C$21+Declarations!$B$21*U147*Declarations!$C$22+Declarations!$B$22*S147*Declarations!$C$20+Declarations!$B$22*U147*Declarations!$C$21+Declarations!$B$22*V147*Declarations!$C$22+0</f>
        <v>4.60691443618948</v>
      </c>
      <c r="S148" s="20" t="n">
        <f aca="false">Declarations!$B$20*Q147*Declarations!$D$20+Declarations!$B$20*R147*Declarations!$D$21+Declarations!$B$20*S147*Declarations!$D$22+Declarations!$B$21*R147*Declarations!$D$20+Declarations!$B$21*T147*Declarations!$D$21+Declarations!$B$21*U147*Declarations!$D$22+Declarations!$B$22*S147*Declarations!$D$20+Declarations!$B$22*U147*Declarations!$D$21+Declarations!$B$22*V147*Declarations!$D$22+0</f>
        <v>0.617283950617284</v>
      </c>
      <c r="T148" s="20" t="n">
        <f aca="false">Declarations!$C$20*Q147*Declarations!$C$20+Declarations!$C$20*R147*Declarations!$C$21+Declarations!$C$20*S147*Declarations!$C$22+Declarations!$C$21*R147*Declarations!$C$20+Declarations!$C$21*T147*Declarations!$C$21+Declarations!$C$21*U147*Declarations!$C$22+Declarations!$C$22*S147*Declarations!$C$20+Declarations!$C$22*U147*Declarations!$C$21+Declarations!$C$22*V147*Declarations!$C$22+1</f>
        <v>5.70253772220996</v>
      </c>
      <c r="U148" s="20" t="n">
        <f aca="false">Declarations!$C$20*Q147*Declarations!$D$20+Declarations!$C$20*R147*Declarations!$D$21+Declarations!$C$20*S147*Declarations!$D$22+Declarations!$C$21*R147*Declarations!$D$20+Declarations!$C$21*T147*Declarations!$D$21+Declarations!$C$21*U147*Declarations!$D$22+Declarations!$C$22*S147*Declarations!$D$20+Declarations!$C$22*U147*Declarations!$D$21+Declarations!$C$22*V147*Declarations!$D$22+0</f>
        <v>0.771604938271605</v>
      </c>
      <c r="V148" s="20" t="n">
        <f aca="false">Declarations!$D$20*Q147*Declarations!$D$20+Declarations!$D$20*R147*Declarations!$D$21+Declarations!$D$20*S147*Declarations!$D$22+Declarations!$D$21*R147*Declarations!$D$20+Declarations!$D$21*T147*Declarations!$D$21+Declarations!$D$21*U147*Declarations!$D$22+Declarations!$D$22*S147*Declarations!$D$20+Declarations!$D$22*U147*Declarations!$D$21+Declarations!$D$22*V147*Declarations!$D$22+1</f>
        <v>2.77777777777778</v>
      </c>
    </row>
    <row r="149" customFormat="false" ht="15" hidden="false" customHeight="false" outlineLevel="0" collapsed="false">
      <c r="A149" s="18" t="n">
        <v>140</v>
      </c>
      <c r="B149" s="20" t="n">
        <f aca="false">$B$4*B148*$B$4+$B$4*C148*$B$5+$B$5*C148*$B$4+$B$5*D148*$B$5+$E$4</f>
        <v>13.5714236282063</v>
      </c>
      <c r="C149" s="20" t="n">
        <f aca="false">$B$4*B148*$C$4+$B$4*C148*$C$5+$B$5*C148*$C$4+$B$5*D148*$C$5+$F$4</f>
        <v>-5.78571202675362</v>
      </c>
      <c r="D149" s="20" t="n">
        <f aca="false">$C$4*B148*$C$4+$C$4*C148*$C$5+$C$5*C148*$C$4+$C$5*D148*$C$5+$F$5</f>
        <v>11.9928528452167</v>
      </c>
      <c r="P149" s="18" t="n">
        <v>140</v>
      </c>
      <c r="Q149" s="20" t="n">
        <f aca="false">Declarations!$B$20*Q148*Declarations!$B$20+Declarations!$B$20*R148*Declarations!$B$21+Declarations!$B$20*S148*Declarations!$B$22+Declarations!$B$21*R148*Declarations!$B$20+Declarations!$B$21*T148*Declarations!$B$21+Declarations!$B$21*U148*Declarations!$B$22+Declarations!$B$22*S148*Declarations!$B$20+Declarations!$B$22*U148*Declarations!$B$21+Declarations!$B$22*V148*Declarations!$B$22+1</f>
        <v>10.2972915784126</v>
      </c>
      <c r="R149" s="20" t="n">
        <f aca="false">Declarations!$B$20*Q148*Declarations!$C$20+Declarations!$B$20*R148*Declarations!$C$21+Declarations!$B$20*S148*Declarations!$C$22+Declarations!$B$21*R148*Declarations!$C$20+Declarations!$B$21*T148*Declarations!$C$21+Declarations!$B$21*U148*Declarations!$C$22+Declarations!$B$22*S148*Declarations!$C$20+Declarations!$B$22*U148*Declarations!$C$21+Declarations!$B$22*V148*Declarations!$C$22+0</f>
        <v>4.60691482212809</v>
      </c>
      <c r="S149" s="20" t="n">
        <f aca="false">Declarations!$B$20*Q148*Declarations!$D$20+Declarations!$B$20*R148*Declarations!$D$21+Declarations!$B$20*S148*Declarations!$D$22+Declarations!$B$21*R148*Declarations!$D$20+Declarations!$B$21*T148*Declarations!$D$21+Declarations!$B$21*U148*Declarations!$D$22+Declarations!$B$22*S148*Declarations!$D$20+Declarations!$B$22*U148*Declarations!$D$21+Declarations!$B$22*V148*Declarations!$D$22+0</f>
        <v>0.617283950617284</v>
      </c>
      <c r="T149" s="20" t="n">
        <f aca="false">Declarations!$C$20*Q148*Declarations!$C$20+Declarations!$C$20*R148*Declarations!$C$21+Declarations!$C$20*S148*Declarations!$C$22+Declarations!$C$21*R148*Declarations!$C$20+Declarations!$C$21*T148*Declarations!$C$21+Declarations!$C$21*U148*Declarations!$C$22+Declarations!$C$22*S148*Declarations!$C$20+Declarations!$C$22*U148*Declarations!$C$21+Declarations!$C$22*V148*Declarations!$C$22+1</f>
        <v>5.70253791517927</v>
      </c>
      <c r="U149" s="20" t="n">
        <f aca="false">Declarations!$C$20*Q148*Declarations!$D$20+Declarations!$C$20*R148*Declarations!$D$21+Declarations!$C$20*S148*Declarations!$D$22+Declarations!$C$21*R148*Declarations!$D$20+Declarations!$C$21*T148*Declarations!$D$21+Declarations!$C$21*U148*Declarations!$D$22+Declarations!$C$22*S148*Declarations!$D$20+Declarations!$C$22*U148*Declarations!$D$21+Declarations!$C$22*V148*Declarations!$D$22+0</f>
        <v>0.771604938271605</v>
      </c>
      <c r="V149" s="20" t="n">
        <f aca="false">Declarations!$D$20*Q148*Declarations!$D$20+Declarations!$D$20*R148*Declarations!$D$21+Declarations!$D$20*S148*Declarations!$D$22+Declarations!$D$21*R148*Declarations!$D$20+Declarations!$D$21*T148*Declarations!$D$21+Declarations!$D$21*U148*Declarations!$D$22+Declarations!$D$22*S148*Declarations!$D$20+Declarations!$D$22*U148*Declarations!$D$21+Declarations!$D$22*V148*Declarations!$D$22+1</f>
        <v>2.77777777777778</v>
      </c>
    </row>
    <row r="150" customFormat="false" ht="15" hidden="false" customHeight="false" outlineLevel="0" collapsed="false">
      <c r="A150" s="18" t="n">
        <v>141</v>
      </c>
      <c r="B150" s="20" t="n">
        <f aca="false">$B$4*B149*$B$4+$B$4*C149*$B$5+$B$5*C149*$B$4+$B$5*D149*$B$5+$E$4</f>
        <v>13.5714243359073</v>
      </c>
      <c r="C150" s="20" t="n">
        <f aca="false">$B$4*B149*$C$4+$B$4*C149*$C$5+$B$5*C149*$C$4+$B$5*D149*$C$5+$F$4</f>
        <v>-5.78571231476884</v>
      </c>
      <c r="D150" s="20" t="n">
        <f aca="false">$C$4*B149*$C$4+$C$4*C149*$C$5+$C$5*C149*$C$4+$C$5*D149*$C$5+$F$5</f>
        <v>11.9928531388471</v>
      </c>
      <c r="P150" s="18" t="n">
        <v>141</v>
      </c>
      <c r="Q150" s="20" t="n">
        <f aca="false">Declarations!$B$20*Q149*Declarations!$B$20+Declarations!$B$20*R149*Declarations!$B$21+Declarations!$B$20*S149*Declarations!$B$22+Declarations!$B$21*R149*Declarations!$B$20+Declarations!$B$21*T149*Declarations!$B$21+Declarations!$B$21*U149*Declarations!$B$22+Declarations!$B$22*S149*Declarations!$B$20+Declarations!$B$22*U149*Declarations!$B$21+Declarations!$B$22*V149*Declarations!$B$22+1</f>
        <v>10.2972922750317</v>
      </c>
      <c r="R150" s="20" t="n">
        <f aca="false">Declarations!$B$20*Q149*Declarations!$C$20+Declarations!$B$20*R149*Declarations!$C$21+Declarations!$B$20*S149*Declarations!$C$22+Declarations!$B$21*R149*Declarations!$C$20+Declarations!$B$21*T149*Declarations!$C$21+Declarations!$B$21*U149*Declarations!$C$22+Declarations!$B$22*S149*Declarations!$C$20+Declarations!$B$22*U149*Declarations!$C$21+Declarations!$B$22*V149*Declarations!$C$22+0</f>
        <v>4.60691517043768</v>
      </c>
      <c r="S150" s="20" t="n">
        <f aca="false">Declarations!$B$20*Q149*Declarations!$D$20+Declarations!$B$20*R149*Declarations!$D$21+Declarations!$B$20*S149*Declarations!$D$22+Declarations!$B$21*R149*Declarations!$D$20+Declarations!$B$21*T149*Declarations!$D$21+Declarations!$B$21*U149*Declarations!$D$22+Declarations!$B$22*S149*Declarations!$D$20+Declarations!$B$22*U149*Declarations!$D$21+Declarations!$B$22*V149*Declarations!$D$22+0</f>
        <v>0.617283950617284</v>
      </c>
      <c r="T150" s="20" t="n">
        <f aca="false">Declarations!$C$20*Q149*Declarations!$C$20+Declarations!$C$20*R149*Declarations!$C$21+Declarations!$C$20*S149*Declarations!$C$22+Declarations!$C$21*R149*Declarations!$C$20+Declarations!$C$21*T149*Declarations!$C$21+Declarations!$C$21*U149*Declarations!$C$22+Declarations!$C$22*S149*Declarations!$C$20+Declarations!$C$22*U149*Declarations!$C$21+Declarations!$C$22*V149*Declarations!$C$22+1</f>
        <v>5.70253808933406</v>
      </c>
      <c r="U150" s="20" t="n">
        <f aca="false">Declarations!$C$20*Q149*Declarations!$D$20+Declarations!$C$20*R149*Declarations!$D$21+Declarations!$C$20*S149*Declarations!$D$22+Declarations!$C$21*R149*Declarations!$D$20+Declarations!$C$21*T149*Declarations!$D$21+Declarations!$C$21*U149*Declarations!$D$22+Declarations!$C$22*S149*Declarations!$D$20+Declarations!$C$22*U149*Declarations!$D$21+Declarations!$C$22*V149*Declarations!$D$22+0</f>
        <v>0.771604938271605</v>
      </c>
      <c r="V150" s="20" t="n">
        <f aca="false">Declarations!$D$20*Q149*Declarations!$D$20+Declarations!$D$20*R149*Declarations!$D$21+Declarations!$D$20*S149*Declarations!$D$22+Declarations!$D$21*R149*Declarations!$D$20+Declarations!$D$21*T149*Declarations!$D$21+Declarations!$D$21*U149*Declarations!$D$22+Declarations!$D$22*S149*Declarations!$D$20+Declarations!$D$22*U149*Declarations!$D$21+Declarations!$D$22*V149*Declarations!$D$22+1</f>
        <v>2.77777777777778</v>
      </c>
    </row>
    <row r="151" customFormat="false" ht="15" hidden="false" customHeight="false" outlineLevel="0" collapsed="false">
      <c r="A151" s="18" t="n">
        <v>142</v>
      </c>
      <c r="B151" s="20" t="n">
        <f aca="false">$B$4*B150*$B$4+$B$4*C150*$B$5+$B$5*C150*$B$4+$B$5*D150*$B$5+$E$4</f>
        <v>13.5714246843481</v>
      </c>
      <c r="C151" s="20" t="n">
        <f aca="false">$B$4*B150*$C$4+$B$4*C150*$C$5+$B$5*C150*$C$4+$B$5*D150*$C$5+$F$4</f>
        <v>-5.78571262879296</v>
      </c>
      <c r="D151" s="20" t="n">
        <f aca="false">$C$4*B150*$C$4+$C$4*C150*$C$5+$C$5*C150*$C$4+$C$5*D150*$C$5+$F$5</f>
        <v>11.9928537120849</v>
      </c>
      <c r="P151" s="18" t="n">
        <v>142</v>
      </c>
      <c r="Q151" s="20" t="n">
        <f aca="false">Declarations!$B$20*Q150*Declarations!$B$20+Declarations!$B$20*R150*Declarations!$B$21+Declarations!$B$20*S150*Declarations!$B$22+Declarations!$B$21*R150*Declarations!$B$20+Declarations!$B$21*T150*Declarations!$B$21+Declarations!$B$21*U150*Declarations!$B$22+Declarations!$B$22*S150*Declarations!$B$20+Declarations!$B$22*U150*Declarations!$B$21+Declarations!$B$22*V150*Declarations!$B$22+1</f>
        <v>10.2972929037305</v>
      </c>
      <c r="R151" s="20" t="n">
        <f aca="false">Declarations!$B$20*Q150*Declarations!$C$20+Declarations!$B$20*R150*Declarations!$C$21+Declarations!$B$20*S150*Declarations!$C$22+Declarations!$B$21*R150*Declarations!$C$20+Declarations!$B$21*T150*Declarations!$C$21+Declarations!$B$21*U150*Declarations!$C$22+Declarations!$B$22*S150*Declarations!$C$20+Declarations!$B$22*U150*Declarations!$C$21+Declarations!$B$22*V150*Declarations!$C$22+0</f>
        <v>4.60691548478708</v>
      </c>
      <c r="S151" s="20" t="n">
        <f aca="false">Declarations!$B$20*Q150*Declarations!$D$20+Declarations!$B$20*R150*Declarations!$D$21+Declarations!$B$20*S150*Declarations!$D$22+Declarations!$B$21*R150*Declarations!$D$20+Declarations!$B$21*T150*Declarations!$D$21+Declarations!$B$21*U150*Declarations!$D$22+Declarations!$B$22*S150*Declarations!$D$20+Declarations!$B$22*U150*Declarations!$D$21+Declarations!$B$22*V150*Declarations!$D$22+0</f>
        <v>0.617283950617284</v>
      </c>
      <c r="T151" s="20" t="n">
        <f aca="false">Declarations!$C$20*Q150*Declarations!$C$20+Declarations!$C$20*R150*Declarations!$C$21+Declarations!$C$20*S150*Declarations!$C$22+Declarations!$C$21*R150*Declarations!$C$20+Declarations!$C$21*T150*Declarations!$C$21+Declarations!$C$21*U150*Declarations!$C$22+Declarations!$C$22*S150*Declarations!$C$20+Declarations!$C$22*U150*Declarations!$C$21+Declarations!$C$22*V150*Declarations!$C$22+1</f>
        <v>5.70253824650876</v>
      </c>
      <c r="U151" s="20" t="n">
        <f aca="false">Declarations!$C$20*Q150*Declarations!$D$20+Declarations!$C$20*R150*Declarations!$D$21+Declarations!$C$20*S150*Declarations!$D$22+Declarations!$C$21*R150*Declarations!$D$20+Declarations!$C$21*T150*Declarations!$D$21+Declarations!$C$21*U150*Declarations!$D$22+Declarations!$C$22*S150*Declarations!$D$20+Declarations!$C$22*U150*Declarations!$D$21+Declarations!$C$22*V150*Declarations!$D$22+0</f>
        <v>0.771604938271605</v>
      </c>
      <c r="V151" s="20" t="n">
        <f aca="false">Declarations!$D$20*Q150*Declarations!$D$20+Declarations!$D$20*R150*Declarations!$D$21+Declarations!$D$20*S150*Declarations!$D$22+Declarations!$D$21*R150*Declarations!$D$20+Declarations!$D$21*T150*Declarations!$D$21+Declarations!$D$21*U150*Declarations!$D$22+Declarations!$D$22*S150*Declarations!$D$20+Declarations!$D$22*U150*Declarations!$D$21+Declarations!$D$22*V150*Declarations!$D$22+1</f>
        <v>2.77777777777778</v>
      </c>
    </row>
    <row r="152" customFormat="false" ht="15" hidden="false" customHeight="false" outlineLevel="0" collapsed="false">
      <c r="A152" s="18" t="n">
        <v>143</v>
      </c>
      <c r="B152" s="20" t="n">
        <f aca="false">$B$4*B151*$B$4+$B$4*C151*$B$5+$B$5*C151*$B$4+$B$5*D151*$B$5+$E$4</f>
        <v>13.5714249745796</v>
      </c>
      <c r="C152" s="20" t="n">
        <f aca="false">$B$4*B151*$C$4+$B$4*C151*$C$5+$B$5*C151*$C$4+$B$5*D151*$C$5+$F$4</f>
        <v>-5.7857126284083</v>
      </c>
      <c r="D152" s="20" t="n">
        <f aca="false">$C$4*B151*$C$4+$C$4*C151*$C$5+$C$5*C151*$C$4+$C$5*D151*$C$5+$F$5</f>
        <v>11.992853994322</v>
      </c>
      <c r="P152" s="18" t="n">
        <v>143</v>
      </c>
      <c r="Q152" s="20" t="n">
        <f aca="false">Declarations!$B$20*Q151*Declarations!$B$20+Declarations!$B$20*R151*Declarations!$B$21+Declarations!$B$20*S151*Declarations!$B$22+Declarations!$B$21*R151*Declarations!$B$20+Declarations!$B$21*T151*Declarations!$B$21+Declarations!$B$21*U151*Declarations!$B$22+Declarations!$B$22*S151*Declarations!$B$20+Declarations!$B$22*U151*Declarations!$B$21+Declarations!$B$22*V151*Declarations!$B$22+1</f>
        <v>10.2972934711312</v>
      </c>
      <c r="R152" s="20" t="n">
        <f aca="false">Declarations!$B$20*Q151*Declarations!$C$20+Declarations!$B$20*R151*Declarations!$C$21+Declarations!$B$20*S151*Declarations!$C$22+Declarations!$B$21*R151*Declarations!$C$20+Declarations!$B$21*T151*Declarations!$C$21+Declarations!$B$21*U151*Declarations!$C$22+Declarations!$B$22*S151*Declarations!$C$20+Declarations!$B$22*U151*Declarations!$C$21+Declarations!$B$22*V151*Declarations!$C$22+0</f>
        <v>4.60691576848742</v>
      </c>
      <c r="S152" s="20" t="n">
        <f aca="false">Declarations!$B$20*Q151*Declarations!$D$20+Declarations!$B$20*R151*Declarations!$D$21+Declarations!$B$20*S151*Declarations!$D$22+Declarations!$B$21*R151*Declarations!$D$20+Declarations!$B$21*T151*Declarations!$D$21+Declarations!$B$21*U151*Declarations!$D$22+Declarations!$B$22*S151*Declarations!$D$20+Declarations!$B$22*U151*Declarations!$D$21+Declarations!$B$22*V151*Declarations!$D$22+0</f>
        <v>0.617283950617284</v>
      </c>
      <c r="T152" s="20" t="n">
        <f aca="false">Declarations!$C$20*Q151*Declarations!$C$20+Declarations!$C$20*R151*Declarations!$C$21+Declarations!$C$20*S151*Declarations!$C$22+Declarations!$C$21*R151*Declarations!$C$20+Declarations!$C$21*T151*Declarations!$C$21+Declarations!$C$21*U151*Declarations!$C$22+Declarations!$C$22*S151*Declarations!$C$20+Declarations!$C$22*U151*Declarations!$C$21+Declarations!$C$22*V151*Declarations!$C$22+1</f>
        <v>5.70253838835893</v>
      </c>
      <c r="U152" s="20" t="n">
        <f aca="false">Declarations!$C$20*Q151*Declarations!$D$20+Declarations!$C$20*R151*Declarations!$D$21+Declarations!$C$20*S151*Declarations!$D$22+Declarations!$C$21*R151*Declarations!$D$20+Declarations!$C$21*T151*Declarations!$D$21+Declarations!$C$21*U151*Declarations!$D$22+Declarations!$C$22*S151*Declarations!$D$20+Declarations!$C$22*U151*Declarations!$D$21+Declarations!$C$22*V151*Declarations!$D$22+0</f>
        <v>0.771604938271605</v>
      </c>
      <c r="V152" s="20" t="n">
        <f aca="false">Declarations!$D$20*Q151*Declarations!$D$20+Declarations!$D$20*R151*Declarations!$D$21+Declarations!$D$20*S151*Declarations!$D$22+Declarations!$D$21*R151*Declarations!$D$20+Declarations!$D$21*T151*Declarations!$D$21+Declarations!$D$21*U151*Declarations!$D$22+Declarations!$D$22*S151*Declarations!$D$20+Declarations!$D$22*U151*Declarations!$D$21+Declarations!$D$22*V151*Declarations!$D$22+1</f>
        <v>2.77777777777778</v>
      </c>
    </row>
    <row r="153" customFormat="false" ht="15" hidden="false" customHeight="false" outlineLevel="0" collapsed="false">
      <c r="A153" s="18" t="n">
        <v>144</v>
      </c>
      <c r="B153" s="20" t="n">
        <f aca="false">$B$4*B152*$B$4+$B$4*C152*$B$5+$B$5*C152*$B$4+$B$5*D152*$B$5+$E$4</f>
        <v>13.5714254925965</v>
      </c>
      <c r="C153" s="20" t="n">
        <f aca="false">$B$4*B152*$C$4+$B$4*C152*$C$5+$B$5*C152*$C$4+$B$5*D152*$C$5+$F$4</f>
        <v>-5.78571286384197</v>
      </c>
      <c r="D153" s="20" t="n">
        <f aca="false">$C$4*B152*$C$4+$C$4*C152*$C$5+$C$5*C152*$C$4+$C$5*D152*$C$5+$F$5</f>
        <v>11.9928542294094</v>
      </c>
      <c r="P153" s="18" t="n">
        <v>144</v>
      </c>
      <c r="Q153" s="20" t="n">
        <f aca="false">Declarations!$B$20*Q152*Declarations!$B$20+Declarations!$B$20*R152*Declarations!$B$21+Declarations!$B$20*S152*Declarations!$B$22+Declarations!$B$21*R152*Declarations!$B$20+Declarations!$B$21*T152*Declarations!$B$21+Declarations!$B$21*U152*Declarations!$B$22+Declarations!$B$22*S152*Declarations!$B$20+Declarations!$B$22*U152*Declarations!$B$21+Declarations!$B$22*V152*Declarations!$B$22+1</f>
        <v>10.2972939832103</v>
      </c>
      <c r="R153" s="20" t="n">
        <f aca="false">Declarations!$B$20*Q152*Declarations!$C$20+Declarations!$B$20*R152*Declarations!$C$21+Declarations!$B$20*S152*Declarations!$C$22+Declarations!$B$21*R152*Declarations!$C$20+Declarations!$B$21*T152*Declarations!$C$21+Declarations!$B$21*U152*Declarations!$C$22+Declarations!$B$22*S152*Declarations!$C$20+Declarations!$B$22*U152*Declarations!$C$21+Declarations!$B$22*V152*Declarations!$C$22+0</f>
        <v>4.60691602452698</v>
      </c>
      <c r="S153" s="20" t="n">
        <f aca="false">Declarations!$B$20*Q152*Declarations!$D$20+Declarations!$B$20*R152*Declarations!$D$21+Declarations!$B$20*S152*Declarations!$D$22+Declarations!$B$21*R152*Declarations!$D$20+Declarations!$B$21*T152*Declarations!$D$21+Declarations!$B$21*U152*Declarations!$D$22+Declarations!$B$22*S152*Declarations!$D$20+Declarations!$B$22*U152*Declarations!$D$21+Declarations!$B$22*V152*Declarations!$D$22+0</f>
        <v>0.617283950617284</v>
      </c>
      <c r="T153" s="20" t="n">
        <f aca="false">Declarations!$C$20*Q152*Declarations!$C$20+Declarations!$C$20*R152*Declarations!$C$21+Declarations!$C$20*S152*Declarations!$C$22+Declarations!$C$21*R152*Declarations!$C$20+Declarations!$C$21*T152*Declarations!$C$21+Declarations!$C$21*U152*Declarations!$C$22+Declarations!$C$22*S152*Declarations!$C$20+Declarations!$C$22*U152*Declarations!$C$21+Declarations!$C$22*V152*Declarations!$C$22+1</f>
        <v>5.70253851637871</v>
      </c>
      <c r="U153" s="20" t="n">
        <f aca="false">Declarations!$C$20*Q152*Declarations!$D$20+Declarations!$C$20*R152*Declarations!$D$21+Declarations!$C$20*S152*Declarations!$D$22+Declarations!$C$21*R152*Declarations!$D$20+Declarations!$C$21*T152*Declarations!$D$21+Declarations!$C$21*U152*Declarations!$D$22+Declarations!$C$22*S152*Declarations!$D$20+Declarations!$C$22*U152*Declarations!$D$21+Declarations!$C$22*V152*Declarations!$D$22+0</f>
        <v>0.771604938271605</v>
      </c>
      <c r="V153" s="20" t="n">
        <f aca="false">Declarations!$D$20*Q152*Declarations!$D$20+Declarations!$D$20*R152*Declarations!$D$21+Declarations!$D$20*S152*Declarations!$D$22+Declarations!$D$21*R152*Declarations!$D$20+Declarations!$D$21*T152*Declarations!$D$21+Declarations!$D$21*U152*Declarations!$D$22+Declarations!$D$22*S152*Declarations!$D$20+Declarations!$D$22*U152*Declarations!$D$21+Declarations!$D$22*V152*Declarations!$D$22+1</f>
        <v>2.77777777777778</v>
      </c>
    </row>
    <row r="154" customFormat="false" ht="15" hidden="false" customHeight="false" outlineLevel="0" collapsed="false">
      <c r="A154" s="18" t="n">
        <v>145</v>
      </c>
      <c r="B154" s="20" t="n">
        <f aca="false">$B$4*B153*$B$4+$B$4*C153*$B$5+$B$5*C153*$B$4+$B$5*D153*$B$5+$E$4</f>
        <v>13.571425723497</v>
      </c>
      <c r="C154" s="20" t="n">
        <f aca="false">$B$4*B153*$C$4+$B$4*C153*$C$5+$B$5*C153*$C$4+$B$5*D153*$C$5+$F$4</f>
        <v>-5.78571307154536</v>
      </c>
      <c r="D154" s="20" t="n">
        <f aca="false">$C$4*B153*$C$4+$C$4*C153*$C$5+$C$5*C153*$C$4+$C$5*D153*$C$5+$F$5</f>
        <v>11.9928546490031</v>
      </c>
      <c r="P154" s="18" t="n">
        <v>145</v>
      </c>
      <c r="Q154" s="20" t="n">
        <f aca="false">Declarations!$B$20*Q153*Declarations!$B$20+Declarations!$B$20*R153*Declarations!$B$21+Declarations!$B$20*S153*Declarations!$B$22+Declarations!$B$21*R153*Declarations!$B$20+Declarations!$B$21*T153*Declarations!$B$21+Declarations!$B$21*U153*Declarations!$B$22+Declarations!$B$22*S153*Declarations!$B$20+Declarations!$B$22*U153*Declarations!$B$21+Declarations!$B$22*V153*Declarations!$B$22+1</f>
        <v>10.2972944453617</v>
      </c>
      <c r="R154" s="20" t="n">
        <f aca="false">Declarations!$B$20*Q153*Declarations!$C$20+Declarations!$B$20*R153*Declarations!$C$21+Declarations!$B$20*S153*Declarations!$C$22+Declarations!$B$21*R153*Declarations!$C$20+Declarations!$B$21*T153*Declarations!$C$21+Declarations!$B$21*U153*Declarations!$C$22+Declarations!$B$22*S153*Declarations!$C$20+Declarations!$B$22*U153*Declarations!$C$21+Declarations!$B$22*V153*Declarations!$C$22+0</f>
        <v>4.60691625560268</v>
      </c>
      <c r="S154" s="20" t="n">
        <f aca="false">Declarations!$B$20*Q153*Declarations!$D$20+Declarations!$B$20*R153*Declarations!$D$21+Declarations!$B$20*S153*Declarations!$D$22+Declarations!$B$21*R153*Declarations!$D$20+Declarations!$B$21*T153*Declarations!$D$21+Declarations!$B$21*U153*Declarations!$D$22+Declarations!$B$22*S153*Declarations!$D$20+Declarations!$B$22*U153*Declarations!$D$21+Declarations!$B$22*V153*Declarations!$D$22+0</f>
        <v>0.617283950617284</v>
      </c>
      <c r="T154" s="20" t="n">
        <f aca="false">Declarations!$C$20*Q153*Declarations!$C$20+Declarations!$C$20*R153*Declarations!$C$21+Declarations!$C$20*S153*Declarations!$C$22+Declarations!$C$21*R153*Declarations!$C$20+Declarations!$C$21*T153*Declarations!$C$21+Declarations!$C$21*U153*Declarations!$C$22+Declarations!$C$22*S153*Declarations!$C$20+Declarations!$C$22*U153*Declarations!$C$21+Declarations!$C$22*V153*Declarations!$C$22+1</f>
        <v>5.70253863191656</v>
      </c>
      <c r="U154" s="20" t="n">
        <f aca="false">Declarations!$C$20*Q153*Declarations!$D$20+Declarations!$C$20*R153*Declarations!$D$21+Declarations!$C$20*S153*Declarations!$D$22+Declarations!$C$21*R153*Declarations!$D$20+Declarations!$C$21*T153*Declarations!$D$21+Declarations!$C$21*U153*Declarations!$D$22+Declarations!$C$22*S153*Declarations!$D$20+Declarations!$C$22*U153*Declarations!$D$21+Declarations!$C$22*V153*Declarations!$D$22+0</f>
        <v>0.771604938271605</v>
      </c>
      <c r="V154" s="20" t="n">
        <f aca="false">Declarations!$D$20*Q153*Declarations!$D$20+Declarations!$D$20*R153*Declarations!$D$21+Declarations!$D$20*S153*Declarations!$D$22+Declarations!$D$21*R153*Declarations!$D$20+Declarations!$D$21*T153*Declarations!$D$21+Declarations!$D$21*U153*Declarations!$D$22+Declarations!$D$22*S153*Declarations!$D$20+Declarations!$D$22*U153*Declarations!$D$21+Declarations!$D$22*V153*Declarations!$D$22+1</f>
        <v>2.77777777777778</v>
      </c>
    </row>
    <row r="155" customFormat="false" ht="15" hidden="false" customHeight="false" outlineLevel="0" collapsed="false">
      <c r="A155" s="18" t="n">
        <v>146</v>
      </c>
      <c r="B155" s="20" t="n">
        <f aca="false">$B$4*B154*$B$4+$B$4*C154*$B$5+$B$5*C154*$B$4+$B$5*D154*$B$5+$E$4</f>
        <v>13.5714259562541</v>
      </c>
      <c r="C155" s="20" t="n">
        <f aca="false">$B$4*B154*$C$4+$B$4*C154*$C$5+$B$5*C154*$C$4+$B$5*D154*$C$5+$F$4</f>
        <v>-5.78571307164177</v>
      </c>
      <c r="D155" s="20" t="n">
        <f aca="false">$C$4*B154*$C$4+$C$4*C154*$C$5+$C$5*C154*$C$4+$C$5*D154*$C$5+$F$5</f>
        <v>11.9928548360326</v>
      </c>
      <c r="P155" s="18" t="n">
        <v>146</v>
      </c>
      <c r="Q155" s="20" t="n">
        <f aca="false">Declarations!$B$20*Q154*Declarations!$B$20+Declarations!$B$20*R154*Declarations!$B$21+Declarations!$B$20*S154*Declarations!$B$22+Declarations!$B$21*R154*Declarations!$B$20+Declarations!$B$21*T154*Declarations!$B$21+Declarations!$B$21*U154*Declarations!$B$22+Declarations!$B$22*S154*Declarations!$B$20+Declarations!$B$22*U154*Declarations!$B$21+Declarations!$B$22*V154*Declarations!$B$22+1</f>
        <v>10.2972948624534</v>
      </c>
      <c r="R155" s="20" t="n">
        <f aca="false">Declarations!$B$20*Q154*Declarations!$C$20+Declarations!$B$20*R154*Declarations!$C$21+Declarations!$B$20*S154*Declarations!$C$22+Declarations!$B$21*R154*Declarations!$C$20+Declarations!$B$21*T154*Declarations!$C$21+Declarations!$B$21*U154*Declarations!$C$22+Declarations!$B$22*S154*Declarations!$C$20+Declarations!$B$22*U154*Declarations!$C$21+Declarations!$B$22*V154*Declarations!$C$22+0</f>
        <v>4.60691646414849</v>
      </c>
      <c r="S155" s="20" t="n">
        <f aca="false">Declarations!$B$20*Q154*Declarations!$D$20+Declarations!$B$20*R154*Declarations!$D$21+Declarations!$B$20*S154*Declarations!$D$22+Declarations!$B$21*R154*Declarations!$D$20+Declarations!$B$21*T154*Declarations!$D$21+Declarations!$B$21*U154*Declarations!$D$22+Declarations!$B$22*S154*Declarations!$D$20+Declarations!$B$22*U154*Declarations!$D$21+Declarations!$B$22*V154*Declarations!$D$22+0</f>
        <v>0.617283950617284</v>
      </c>
      <c r="T155" s="20" t="n">
        <f aca="false">Declarations!$C$20*Q154*Declarations!$C$20+Declarations!$C$20*R154*Declarations!$C$21+Declarations!$C$20*S154*Declarations!$C$22+Declarations!$C$21*R154*Declarations!$C$20+Declarations!$C$21*T154*Declarations!$C$21+Declarations!$C$21*U154*Declarations!$C$22+Declarations!$C$22*S154*Declarations!$C$20+Declarations!$C$22*U154*Declarations!$C$21+Declarations!$C$22*V154*Declarations!$C$22+1</f>
        <v>5.70253873618947</v>
      </c>
      <c r="U155" s="20" t="n">
        <f aca="false">Declarations!$C$20*Q154*Declarations!$D$20+Declarations!$C$20*R154*Declarations!$D$21+Declarations!$C$20*S154*Declarations!$D$22+Declarations!$C$21*R154*Declarations!$D$20+Declarations!$C$21*T154*Declarations!$D$21+Declarations!$C$21*U154*Declarations!$D$22+Declarations!$C$22*S154*Declarations!$D$20+Declarations!$C$22*U154*Declarations!$D$21+Declarations!$C$22*V154*Declarations!$D$22+0</f>
        <v>0.771604938271605</v>
      </c>
      <c r="V155" s="20" t="n">
        <f aca="false">Declarations!$D$20*Q154*Declarations!$D$20+Declarations!$D$20*R154*Declarations!$D$21+Declarations!$D$20*S154*Declarations!$D$22+Declarations!$D$21*R154*Declarations!$D$20+Declarations!$D$21*T154*Declarations!$D$21+Declarations!$D$21*U154*Declarations!$D$22+Declarations!$D$22*S154*Declarations!$D$20+Declarations!$D$22*U154*Declarations!$D$21+Declarations!$D$22*V154*Declarations!$D$22+1</f>
        <v>2.77777777777778</v>
      </c>
    </row>
    <row r="156" customFormat="false" ht="15" hidden="false" customHeight="false" outlineLevel="0" collapsed="false">
      <c r="A156" s="18" t="n">
        <v>147</v>
      </c>
      <c r="B156" s="20" t="n">
        <f aca="false">$B$4*B155*$B$4+$B$4*C155*$B$5+$B$5*C155*$B$4+$B$5*D155*$B$5+$E$4</f>
        <v>13.5714263316432</v>
      </c>
      <c r="C156" s="20" t="n">
        <f aca="false">$B$4*B155*$C$4+$B$4*C155*$C$5+$B$5*C155*$C$4+$B$5*D155*$C$5+$F$4</f>
        <v>-5.78571326008821</v>
      </c>
      <c r="D156" s="20" t="n">
        <f aca="false">$C$4*B155*$C$4+$C$4*C155*$C$5+$C$5*C155*$C$4+$C$5*D155*$C$5+$F$5</f>
        <v>11.9928550245658</v>
      </c>
      <c r="P156" s="18" t="n">
        <v>147</v>
      </c>
      <c r="Q156" s="20" t="n">
        <f aca="false">Declarations!$B$20*Q155*Declarations!$B$20+Declarations!$B$20*R155*Declarations!$B$21+Declarations!$B$20*S155*Declarations!$B$22+Declarations!$B$21*R155*Declarations!$B$20+Declarations!$B$21*T155*Declarations!$B$21+Declarations!$B$21*U155*Declarations!$B$22+Declarations!$B$22*S155*Declarations!$B$20+Declarations!$B$22*U155*Declarations!$B$21+Declarations!$B$22*V155*Declarations!$B$22+1</f>
        <v>10.2972952388786</v>
      </c>
      <c r="R156" s="20" t="n">
        <f aca="false">Declarations!$B$20*Q155*Declarations!$C$20+Declarations!$B$20*R155*Declarations!$C$21+Declarations!$B$20*S155*Declarations!$C$22+Declarations!$B$21*R155*Declarations!$C$20+Declarations!$B$21*T155*Declarations!$C$21+Declarations!$B$21*U155*Declarations!$C$22+Declarations!$B$22*S155*Declarations!$C$20+Declarations!$B$22*U155*Declarations!$C$21+Declarations!$B$22*V155*Declarations!$C$22+0</f>
        <v>4.60691665236109</v>
      </c>
      <c r="S156" s="20" t="n">
        <f aca="false">Declarations!$B$20*Q155*Declarations!$D$20+Declarations!$B$20*R155*Declarations!$D$21+Declarations!$B$20*S155*Declarations!$D$22+Declarations!$B$21*R155*Declarations!$D$20+Declarations!$B$21*T155*Declarations!$D$21+Declarations!$B$21*U155*Declarations!$D$22+Declarations!$B$22*S155*Declarations!$D$20+Declarations!$B$22*U155*Declarations!$D$21+Declarations!$B$22*V155*Declarations!$D$22+0</f>
        <v>0.617283950617284</v>
      </c>
      <c r="T156" s="20" t="n">
        <f aca="false">Declarations!$C$20*Q155*Declarations!$C$20+Declarations!$C$20*R155*Declarations!$C$21+Declarations!$C$20*S155*Declarations!$C$22+Declarations!$C$21*R155*Declarations!$C$20+Declarations!$C$21*T155*Declarations!$C$21+Declarations!$C$21*U155*Declarations!$C$22+Declarations!$C$22*S155*Declarations!$C$20+Declarations!$C$22*U155*Declarations!$C$21+Declarations!$C$22*V155*Declarations!$C$22+1</f>
        <v>5.70253883029577</v>
      </c>
      <c r="U156" s="20" t="n">
        <f aca="false">Declarations!$C$20*Q155*Declarations!$D$20+Declarations!$C$20*R155*Declarations!$D$21+Declarations!$C$20*S155*Declarations!$D$22+Declarations!$C$21*R155*Declarations!$D$20+Declarations!$C$21*T155*Declarations!$D$21+Declarations!$C$21*U155*Declarations!$D$22+Declarations!$C$22*S155*Declarations!$D$20+Declarations!$C$22*U155*Declarations!$D$21+Declarations!$C$22*V155*Declarations!$D$22+0</f>
        <v>0.771604938271605</v>
      </c>
      <c r="V156" s="20" t="n">
        <f aca="false">Declarations!$D$20*Q155*Declarations!$D$20+Declarations!$D$20*R155*Declarations!$D$21+Declarations!$D$20*S155*Declarations!$D$22+Declarations!$D$21*R155*Declarations!$D$20+Declarations!$D$21*T155*Declarations!$D$21+Declarations!$D$21*U155*Declarations!$D$22+Declarations!$D$22*S155*Declarations!$D$20+Declarations!$D$22*U155*Declarations!$D$21+Declarations!$D$22*V155*Declarations!$D$22+1</f>
        <v>2.77777777777778</v>
      </c>
    </row>
    <row r="157" customFormat="false" ht="15" hidden="false" customHeight="false" outlineLevel="0" collapsed="false">
      <c r="A157" s="18" t="n">
        <v>148</v>
      </c>
      <c r="B157" s="20" t="n">
        <f aca="false">$B$4*B156*$B$4+$B$4*C156*$B$5+$B$5*C156*$B$4+$B$5*D156*$B$5+$E$4</f>
        <v>13.571426485038</v>
      </c>
      <c r="C157" s="20" t="n">
        <f aca="false">$B$4*B156*$C$4+$B$4*C156*$C$5+$B$5*C156*$C$4+$B$5*D156*$C$5+$F$4</f>
        <v>-5.78571339455161</v>
      </c>
      <c r="D157" s="20" t="n">
        <f aca="false">$C$4*B156*$C$4+$C$4*C156*$C$5+$C$5*C156*$C$4+$C$5*D156*$C$5+$F$5</f>
        <v>11.992855328631</v>
      </c>
      <c r="P157" s="18" t="n">
        <v>148</v>
      </c>
      <c r="Q157" s="20" t="n">
        <f aca="false">Declarations!$B$20*Q156*Declarations!$B$20+Declarations!$B$20*R156*Declarations!$B$21+Declarations!$B$20*S156*Declarations!$B$22+Declarations!$B$21*R156*Declarations!$B$20+Declarations!$B$21*T156*Declarations!$B$21+Declarations!$B$21*U156*Declarations!$B$22+Declarations!$B$22*S156*Declarations!$B$20+Declarations!$B$22*U156*Declarations!$B$21+Declarations!$B$22*V156*Declarations!$B$22+1</f>
        <v>10.2972955786023</v>
      </c>
      <c r="R157" s="20" t="n">
        <f aca="false">Declarations!$B$20*Q156*Declarations!$C$20+Declarations!$B$20*R156*Declarations!$C$21+Declarations!$B$20*S156*Declarations!$C$22+Declarations!$B$21*R156*Declarations!$C$20+Declarations!$B$21*T156*Declarations!$C$21+Declarations!$B$21*U156*Declarations!$C$22+Declarations!$B$22*S156*Declarations!$C$20+Declarations!$B$22*U156*Declarations!$C$21+Declarations!$B$22*V156*Declarations!$C$22+0</f>
        <v>4.60691682222297</v>
      </c>
      <c r="S157" s="20" t="n">
        <f aca="false">Declarations!$B$20*Q156*Declarations!$D$20+Declarations!$B$20*R156*Declarations!$D$21+Declarations!$B$20*S156*Declarations!$D$22+Declarations!$B$21*R156*Declarations!$D$20+Declarations!$B$21*T156*Declarations!$D$21+Declarations!$B$21*U156*Declarations!$D$22+Declarations!$B$22*S156*Declarations!$D$20+Declarations!$B$22*U156*Declarations!$D$21+Declarations!$B$22*V156*Declarations!$D$22+0</f>
        <v>0.617283950617284</v>
      </c>
      <c r="T157" s="20" t="n">
        <f aca="false">Declarations!$C$20*Q156*Declarations!$C$20+Declarations!$C$20*R156*Declarations!$C$21+Declarations!$C$20*S156*Declarations!$C$22+Declarations!$C$21*R156*Declarations!$C$20+Declarations!$C$21*T156*Declarations!$C$21+Declarations!$C$21*U156*Declarations!$C$22+Declarations!$C$22*S156*Declarations!$C$20+Declarations!$C$22*U156*Declarations!$C$21+Declarations!$C$22*V156*Declarations!$C$22+1</f>
        <v>5.7025389152267</v>
      </c>
      <c r="U157" s="20" t="n">
        <f aca="false">Declarations!$C$20*Q156*Declarations!$D$20+Declarations!$C$20*R156*Declarations!$D$21+Declarations!$C$20*S156*Declarations!$D$22+Declarations!$C$21*R156*Declarations!$D$20+Declarations!$C$21*T156*Declarations!$D$21+Declarations!$C$21*U156*Declarations!$D$22+Declarations!$C$22*S156*Declarations!$D$20+Declarations!$C$22*U156*Declarations!$D$21+Declarations!$C$22*V156*Declarations!$D$22+0</f>
        <v>0.771604938271605</v>
      </c>
      <c r="V157" s="20" t="n">
        <f aca="false">Declarations!$D$20*Q156*Declarations!$D$20+Declarations!$D$20*R156*Declarations!$D$21+Declarations!$D$20*S156*Declarations!$D$22+Declarations!$D$21*R156*Declarations!$D$20+Declarations!$D$21*T156*Declarations!$D$21+Declarations!$D$21*U156*Declarations!$D$22+Declarations!$D$22*S156*Declarations!$D$20+Declarations!$D$22*U156*Declarations!$D$21+Declarations!$D$22*V156*Declarations!$D$22+1</f>
        <v>2.77777777777778</v>
      </c>
    </row>
    <row r="158" customFormat="false" ht="15" hidden="false" customHeight="false" outlineLevel="0" collapsed="false">
      <c r="A158" s="18" t="n">
        <v>149</v>
      </c>
      <c r="B158" s="20" t="n">
        <f aca="false">$B$4*B157*$B$4+$B$4*C157*$B$5+$B$5*C157*$B$4+$B$5*D157*$B$5+$E$4</f>
        <v>13.5714266713189</v>
      </c>
      <c r="C158" s="20" t="n">
        <f aca="false">$B$4*B157*$C$4+$B$4*C157*$C$5+$B$5*C157*$C$4+$B$5*D157*$C$5+$F$4</f>
        <v>-5.78571339778434</v>
      </c>
      <c r="D158" s="20" t="n">
        <f aca="false">$C$4*B157*$C$4+$C$4*C157*$C$5+$C$5*C157*$C$4+$C$5*D157*$C$5+$F$5</f>
        <v>11.9928554528808</v>
      </c>
      <c r="P158" s="18" t="n">
        <v>149</v>
      </c>
      <c r="Q158" s="20" t="n">
        <f aca="false">Declarations!$B$20*Q157*Declarations!$B$20+Declarations!$B$20*R157*Declarations!$B$21+Declarations!$B$20*S157*Declarations!$B$22+Declarations!$B$21*R157*Declarations!$B$20+Declarations!$B$21*T157*Declarations!$B$21+Declarations!$B$21*U157*Declarations!$B$22+Declarations!$B$22*S157*Declarations!$B$20+Declarations!$B$22*U157*Declarations!$B$21+Declarations!$B$22*V157*Declarations!$B$22+1</f>
        <v>10.297295885203</v>
      </c>
      <c r="R158" s="20" t="n">
        <f aca="false">Declarations!$B$20*Q157*Declarations!$C$20+Declarations!$B$20*R157*Declarations!$C$21+Declarations!$B$20*S157*Declarations!$C$22+Declarations!$B$21*R157*Declarations!$C$20+Declarations!$B$21*T157*Declarations!$C$21+Declarations!$B$21*U157*Declarations!$C$22+Declarations!$B$22*S157*Declarations!$C$20+Declarations!$B$22*U157*Declarations!$C$21+Declarations!$B$22*V157*Declarations!$C$22+0</f>
        <v>4.60691697552331</v>
      </c>
      <c r="S158" s="20" t="n">
        <f aca="false">Declarations!$B$20*Q157*Declarations!$D$20+Declarations!$B$20*R157*Declarations!$D$21+Declarations!$B$20*S157*Declarations!$D$22+Declarations!$B$21*R157*Declarations!$D$20+Declarations!$B$21*T157*Declarations!$D$21+Declarations!$B$21*U157*Declarations!$D$22+Declarations!$B$22*S157*Declarations!$D$20+Declarations!$B$22*U157*Declarations!$D$21+Declarations!$B$22*V157*Declarations!$D$22+0</f>
        <v>0.617283950617284</v>
      </c>
      <c r="T158" s="20" t="n">
        <f aca="false">Declarations!$C$20*Q157*Declarations!$C$20+Declarations!$C$20*R157*Declarations!$C$21+Declarations!$C$20*S157*Declarations!$C$22+Declarations!$C$21*R157*Declarations!$C$20+Declarations!$C$21*T157*Declarations!$C$21+Declarations!$C$21*U157*Declarations!$C$22+Declarations!$C$22*S157*Declarations!$C$20+Declarations!$C$22*U157*Declarations!$C$21+Declarations!$C$22*V157*Declarations!$C$22+1</f>
        <v>5.70253899187687</v>
      </c>
      <c r="U158" s="20" t="n">
        <f aca="false">Declarations!$C$20*Q157*Declarations!$D$20+Declarations!$C$20*R157*Declarations!$D$21+Declarations!$C$20*S157*Declarations!$D$22+Declarations!$C$21*R157*Declarations!$D$20+Declarations!$C$21*T157*Declarations!$D$21+Declarations!$C$21*U157*Declarations!$D$22+Declarations!$C$22*S157*Declarations!$D$20+Declarations!$C$22*U157*Declarations!$D$21+Declarations!$C$22*V157*Declarations!$D$22+0</f>
        <v>0.771604938271605</v>
      </c>
      <c r="V158" s="20" t="n">
        <f aca="false">Declarations!$D$20*Q157*Declarations!$D$20+Declarations!$D$20*R157*Declarations!$D$21+Declarations!$D$20*S157*Declarations!$D$22+Declarations!$D$21*R157*Declarations!$D$20+Declarations!$D$21*T157*Declarations!$D$21+Declarations!$D$21*U157*Declarations!$D$22+Declarations!$D$22*S157*Declarations!$D$20+Declarations!$D$22*U157*Declarations!$D$21+Declarations!$D$22*V157*Declarations!$D$22+1</f>
        <v>2.77777777777778</v>
      </c>
    </row>
    <row r="159" customFormat="false" ht="15" hidden="false" customHeight="false" outlineLevel="0" collapsed="false">
      <c r="A159" s="18" t="n">
        <v>150</v>
      </c>
      <c r="B159" s="20" t="n">
        <f aca="false">$B$4*B158*$B$4+$B$4*C158*$B$5+$B$5*C158*$B$4+$B$5*D158*$B$5+$E$4</f>
        <v>13.5714269406373</v>
      </c>
      <c r="C159" s="20" t="n">
        <f aca="false">$B$4*B158*$C$4+$B$4*C158*$C$5+$B$5*C158*$C$4+$B$5*D158*$C$5+$F$4</f>
        <v>-5.78571354576239</v>
      </c>
      <c r="D159" s="20" t="n">
        <f aca="false">$C$4*B158*$C$4+$C$4*C158*$C$5+$C$5*C158*$C$4+$C$5*D158*$C$5+$F$5</f>
        <v>11.9928556037683</v>
      </c>
      <c r="P159" s="18" t="n">
        <v>150</v>
      </c>
      <c r="Q159" s="20" t="n">
        <f aca="false">Declarations!$B$20*Q158*Declarations!$B$20+Declarations!$B$20*R158*Declarations!$B$21+Declarations!$B$20*S158*Declarations!$B$22+Declarations!$B$21*R158*Declarations!$B$20+Declarations!$B$21*T158*Declarations!$B$21+Declarations!$B$21*U158*Declarations!$B$22+Declarations!$B$22*S158*Declarations!$B$20+Declarations!$B$22*U158*Declarations!$B$21+Declarations!$B$22*V158*Declarations!$B$22+1</f>
        <v>10.2972961619101</v>
      </c>
      <c r="R159" s="20" t="n">
        <f aca="false">Declarations!$B$20*Q158*Declarations!$C$20+Declarations!$B$20*R158*Declarations!$C$21+Declarations!$B$20*S158*Declarations!$C$22+Declarations!$B$21*R158*Declarations!$C$20+Declarations!$B$21*T158*Declarations!$C$21+Declarations!$B$21*U158*Declarations!$C$22+Declarations!$B$22*S158*Declarations!$C$20+Declarations!$B$22*U158*Declarations!$C$21+Declarations!$B$22*V158*Declarations!$C$22+0</f>
        <v>4.60691711387686</v>
      </c>
      <c r="S159" s="20" t="n">
        <f aca="false">Declarations!$B$20*Q158*Declarations!$D$20+Declarations!$B$20*R158*Declarations!$D$21+Declarations!$B$20*S158*Declarations!$D$22+Declarations!$B$21*R158*Declarations!$D$20+Declarations!$B$21*T158*Declarations!$D$21+Declarations!$B$21*U158*Declarations!$D$22+Declarations!$B$22*S158*Declarations!$D$20+Declarations!$B$22*U158*Declarations!$D$21+Declarations!$B$22*V158*Declarations!$D$22+0</f>
        <v>0.617283950617284</v>
      </c>
      <c r="T159" s="20" t="n">
        <f aca="false">Declarations!$C$20*Q158*Declarations!$C$20+Declarations!$C$20*R158*Declarations!$C$21+Declarations!$C$20*S158*Declarations!$C$22+Declarations!$C$21*R158*Declarations!$C$20+Declarations!$C$21*T158*Declarations!$C$21+Declarations!$C$21*U158*Declarations!$C$22+Declarations!$C$22*S158*Declarations!$C$20+Declarations!$C$22*U158*Declarations!$C$21+Declarations!$C$22*V158*Declarations!$C$22+1</f>
        <v>5.70253906105365</v>
      </c>
      <c r="U159" s="20" t="n">
        <f aca="false">Declarations!$C$20*Q158*Declarations!$D$20+Declarations!$C$20*R158*Declarations!$D$21+Declarations!$C$20*S158*Declarations!$D$22+Declarations!$C$21*R158*Declarations!$D$20+Declarations!$C$21*T158*Declarations!$D$21+Declarations!$C$21*U158*Declarations!$D$22+Declarations!$C$22*S158*Declarations!$D$20+Declarations!$C$22*U158*Declarations!$D$21+Declarations!$C$22*V158*Declarations!$D$22+0</f>
        <v>0.771604938271605</v>
      </c>
      <c r="V159" s="20" t="n">
        <f aca="false">Declarations!$D$20*Q158*Declarations!$D$20+Declarations!$D$20*R158*Declarations!$D$21+Declarations!$D$20*S158*Declarations!$D$22+Declarations!$D$21*R158*Declarations!$D$20+Declarations!$D$21*T158*Declarations!$D$21+Declarations!$D$21*U158*Declarations!$D$22+Declarations!$D$22*S158*Declarations!$D$20+Declarations!$D$22*U158*Declarations!$D$21+Declarations!$D$22*V158*Declarations!$D$22+1</f>
        <v>2.77777777777778</v>
      </c>
    </row>
    <row r="160" customFormat="false" ht="15" hidden="false" customHeight="false" outlineLevel="0" collapsed="false">
      <c r="A160" s="18" t="n">
        <v>151</v>
      </c>
      <c r="B160" s="20" t="n">
        <f aca="false">$B$4*B159*$B$4+$B$4*C159*$B$5+$B$5*C159*$B$4+$B$5*D159*$B$5+$E$4</f>
        <v>13.5714270433122</v>
      </c>
      <c r="C160" s="20" t="n">
        <f aca="false">$B$4*B159*$C$4+$B$4*C159*$C$5+$B$5*C159*$C$4+$B$5*D159*$C$5+$F$4</f>
        <v>-5.78571363073004</v>
      </c>
      <c r="D160" s="20" t="n">
        <f aca="false">$C$4*B159*$C$4+$C$4*C159*$C$5+$C$5*C159*$C$4+$C$5*D159*$C$5+$F$5</f>
        <v>11.9928558219162</v>
      </c>
      <c r="P160" s="18" t="n">
        <v>151</v>
      </c>
      <c r="Q160" s="20" t="n">
        <f aca="false">Declarations!$B$20*Q159*Declarations!$B$20+Declarations!$B$20*R159*Declarations!$B$21+Declarations!$B$20*S159*Declarations!$B$22+Declarations!$B$21*R159*Declarations!$B$20+Declarations!$B$21*T159*Declarations!$B$21+Declarations!$B$21*U159*Declarations!$B$22+Declarations!$B$22*S159*Declarations!$B$20+Declarations!$B$22*U159*Declarations!$B$21+Declarations!$B$22*V159*Declarations!$B$22+1</f>
        <v>10.2972964116383</v>
      </c>
      <c r="R160" s="20" t="n">
        <f aca="false">Declarations!$B$20*Q159*Declarations!$C$20+Declarations!$B$20*R159*Declarations!$C$21+Declarations!$B$20*S159*Declarations!$C$22+Declarations!$B$21*R159*Declarations!$C$20+Declarations!$B$21*T159*Declarations!$C$21+Declarations!$B$21*U159*Declarations!$C$22+Declarations!$B$22*S159*Declarations!$C$20+Declarations!$B$22*U159*Declarations!$C$21+Declarations!$B$22*V159*Declarations!$C$22+0</f>
        <v>4.60691723874095</v>
      </c>
      <c r="S160" s="20" t="n">
        <f aca="false">Declarations!$B$20*Q159*Declarations!$D$20+Declarations!$B$20*R159*Declarations!$D$21+Declarations!$B$20*S159*Declarations!$D$22+Declarations!$B$21*R159*Declarations!$D$20+Declarations!$B$21*T159*Declarations!$D$21+Declarations!$B$21*U159*Declarations!$D$22+Declarations!$B$22*S159*Declarations!$D$20+Declarations!$B$22*U159*Declarations!$D$21+Declarations!$B$22*V159*Declarations!$D$22+0</f>
        <v>0.617283950617284</v>
      </c>
      <c r="T160" s="20" t="n">
        <f aca="false">Declarations!$C$20*Q159*Declarations!$C$20+Declarations!$C$20*R159*Declarations!$C$21+Declarations!$C$20*S159*Declarations!$C$22+Declarations!$C$21*R159*Declarations!$C$20+Declarations!$C$21*T159*Declarations!$C$21+Declarations!$C$21*U159*Declarations!$C$22+Declarations!$C$22*S159*Declarations!$C$20+Declarations!$C$22*U159*Declarations!$C$21+Declarations!$C$22*V159*Declarations!$C$22+1</f>
        <v>5.70253912348569</v>
      </c>
      <c r="U160" s="20" t="n">
        <f aca="false">Declarations!$C$20*Q159*Declarations!$D$20+Declarations!$C$20*R159*Declarations!$D$21+Declarations!$C$20*S159*Declarations!$D$22+Declarations!$C$21*R159*Declarations!$D$20+Declarations!$C$21*T159*Declarations!$D$21+Declarations!$C$21*U159*Declarations!$D$22+Declarations!$C$22*S159*Declarations!$D$20+Declarations!$C$22*U159*Declarations!$D$21+Declarations!$C$22*V159*Declarations!$D$22+0</f>
        <v>0.771604938271605</v>
      </c>
      <c r="V160" s="20" t="n">
        <f aca="false">Declarations!$D$20*Q159*Declarations!$D$20+Declarations!$D$20*R159*Declarations!$D$21+Declarations!$D$20*S159*Declarations!$D$22+Declarations!$D$21*R159*Declarations!$D$20+Declarations!$D$21*T159*Declarations!$D$21+Declarations!$D$21*U159*Declarations!$D$22+Declarations!$D$22*S159*Declarations!$D$20+Declarations!$D$22*U159*Declarations!$D$21+Declarations!$D$22*V159*Declarations!$D$22+1</f>
        <v>2.77777777777778</v>
      </c>
    </row>
    <row r="161" customFormat="false" ht="15" hidden="false" customHeight="false" outlineLevel="0" collapsed="false">
      <c r="A161" s="18" t="n">
        <v>152</v>
      </c>
      <c r="B161" s="20" t="n">
        <f aca="false">$B$4*B160*$B$4+$B$4*C160*$B$5+$B$5*C160*$B$4+$B$5*D160*$B$5+$E$4</f>
        <v>13.571427191685</v>
      </c>
      <c r="C161" s="20" t="n">
        <f aca="false">$B$4*B160*$C$4+$B$4*C160*$C$5+$B$5*C160*$C$4+$B$5*D160*$C$5+$F$4</f>
        <v>-5.78571363742584</v>
      </c>
      <c r="D161" s="20" t="n">
        <f aca="false">$C$4*B160*$C$4+$C$4*C160*$C$5+$C$5*C160*$C$4+$C$5*D160*$C$5+$F$5</f>
        <v>11.9928559050829</v>
      </c>
      <c r="P161" s="18" t="n">
        <v>152</v>
      </c>
      <c r="Q161" s="20" t="n">
        <f aca="false">Declarations!$B$20*Q160*Declarations!$B$20+Declarations!$B$20*R160*Declarations!$B$21+Declarations!$B$20*S160*Declarations!$B$22+Declarations!$B$21*R160*Declarations!$B$20+Declarations!$B$21*T160*Declarations!$B$21+Declarations!$B$21*U160*Declarations!$B$22+Declarations!$B$22*S160*Declarations!$B$20+Declarations!$B$22*U160*Declarations!$B$21+Declarations!$B$22*V160*Declarations!$B$22+1</f>
        <v>10.2972966370179</v>
      </c>
      <c r="R161" s="20" t="n">
        <f aca="false">Declarations!$B$20*Q160*Declarations!$C$20+Declarations!$B$20*R160*Declarations!$C$21+Declarations!$B$20*S160*Declarations!$C$22+Declarations!$B$21*R160*Declarations!$C$20+Declarations!$B$21*T160*Declarations!$C$21+Declarations!$B$21*U160*Declarations!$C$22+Declarations!$B$22*S160*Declarations!$C$20+Declarations!$B$22*U160*Declarations!$C$21+Declarations!$B$22*V160*Declarations!$C$22+0</f>
        <v>4.60691735143078</v>
      </c>
      <c r="S161" s="20" t="n">
        <f aca="false">Declarations!$B$20*Q160*Declarations!$D$20+Declarations!$B$20*R160*Declarations!$D$21+Declarations!$B$20*S160*Declarations!$D$22+Declarations!$B$21*R160*Declarations!$D$20+Declarations!$B$21*T160*Declarations!$D$21+Declarations!$B$21*U160*Declarations!$D$22+Declarations!$B$22*S160*Declarations!$D$20+Declarations!$B$22*U160*Declarations!$D$21+Declarations!$B$22*V160*Declarations!$D$22+0</f>
        <v>0.617283950617284</v>
      </c>
      <c r="T161" s="20" t="n">
        <f aca="false">Declarations!$C$20*Q160*Declarations!$C$20+Declarations!$C$20*R160*Declarations!$C$21+Declarations!$C$20*S160*Declarations!$C$22+Declarations!$C$21*R160*Declarations!$C$20+Declarations!$C$21*T160*Declarations!$C$21+Declarations!$C$21*U160*Declarations!$C$22+Declarations!$C$22*S160*Declarations!$C$20+Declarations!$C$22*U160*Declarations!$C$21+Declarations!$C$22*V160*Declarations!$C$22+1</f>
        <v>5.70253917983061</v>
      </c>
      <c r="U161" s="20" t="n">
        <f aca="false">Declarations!$C$20*Q160*Declarations!$D$20+Declarations!$C$20*R160*Declarations!$D$21+Declarations!$C$20*S160*Declarations!$D$22+Declarations!$C$21*R160*Declarations!$D$20+Declarations!$C$21*T160*Declarations!$D$21+Declarations!$C$21*U160*Declarations!$D$22+Declarations!$C$22*S160*Declarations!$D$20+Declarations!$C$22*U160*Declarations!$D$21+Declarations!$C$22*V160*Declarations!$D$22+0</f>
        <v>0.771604938271605</v>
      </c>
      <c r="V161" s="20" t="n">
        <f aca="false">Declarations!$D$20*Q160*Declarations!$D$20+Declarations!$D$20*R160*Declarations!$D$21+Declarations!$D$20*S160*Declarations!$D$22+Declarations!$D$21*R160*Declarations!$D$20+Declarations!$D$21*T160*Declarations!$D$21+Declarations!$D$21*U160*Declarations!$D$22+Declarations!$D$22*S160*Declarations!$D$20+Declarations!$D$22*U160*Declarations!$D$21+Declarations!$D$22*V160*Declarations!$D$22+1</f>
        <v>2.77777777777778</v>
      </c>
    </row>
    <row r="162" customFormat="false" ht="15" hidden="false" customHeight="false" outlineLevel="0" collapsed="false">
      <c r="A162" s="18" t="n">
        <v>153</v>
      </c>
      <c r="B162" s="20" t="n">
        <f aca="false">$B$4*B161*$B$4+$B$4*C161*$B$5+$B$5*C161*$B$4+$B$5*D161*$B$5+$E$4</f>
        <v>13.5714273829812</v>
      </c>
      <c r="C162" s="20" t="n">
        <f aca="false">$B$4*B161*$C$4+$B$4*C161*$C$5+$B$5*C161*$C$4+$B$5*D161*$C$5+$F$4</f>
        <v>-5.78571375158159</v>
      </c>
      <c r="D162" s="20" t="n">
        <f aca="false">$C$4*B161*$C$4+$C$4*C161*$C$5+$C$5*C161*$C$4+$C$5*D161*$C$5+$F$5</f>
        <v>11.9928560252648</v>
      </c>
      <c r="P162" s="18" t="n">
        <v>153</v>
      </c>
      <c r="Q162" s="20" t="n">
        <f aca="false">Declarations!$B$20*Q161*Declarations!$B$20+Declarations!$B$20*R161*Declarations!$B$21+Declarations!$B$20*S161*Declarations!$B$22+Declarations!$B$21*R161*Declarations!$B$20+Declarations!$B$21*T161*Declarations!$B$21+Declarations!$B$21*U161*Declarations!$B$22+Declarations!$B$22*S161*Declarations!$B$20+Declarations!$B$22*U161*Declarations!$B$21+Declarations!$B$22*V161*Declarations!$B$22+1</f>
        <v>10.2972968404231</v>
      </c>
      <c r="R162" s="20" t="n">
        <f aca="false">Declarations!$B$20*Q161*Declarations!$C$20+Declarations!$B$20*R161*Declarations!$C$21+Declarations!$B$20*S161*Declarations!$C$22+Declarations!$B$21*R161*Declarations!$C$20+Declarations!$B$21*T161*Declarations!$C$21+Declarations!$B$21*U161*Declarations!$C$22+Declarations!$B$22*S161*Declarations!$C$20+Declarations!$B$22*U161*Declarations!$C$21+Declarations!$B$22*V161*Declarations!$C$22+0</f>
        <v>4.60691745313336</v>
      </c>
      <c r="S162" s="20" t="n">
        <f aca="false">Declarations!$B$20*Q161*Declarations!$D$20+Declarations!$B$20*R161*Declarations!$D$21+Declarations!$B$20*S161*Declarations!$D$22+Declarations!$B$21*R161*Declarations!$D$20+Declarations!$B$21*T161*Declarations!$D$21+Declarations!$B$21*U161*Declarations!$D$22+Declarations!$B$22*S161*Declarations!$D$20+Declarations!$B$22*U161*Declarations!$D$21+Declarations!$B$22*V161*Declarations!$D$22+0</f>
        <v>0.617283950617284</v>
      </c>
      <c r="T162" s="20" t="n">
        <f aca="false">Declarations!$C$20*Q161*Declarations!$C$20+Declarations!$C$20*R161*Declarations!$C$21+Declarations!$C$20*S161*Declarations!$C$22+Declarations!$C$21*R161*Declarations!$C$20+Declarations!$C$21*T161*Declarations!$C$21+Declarations!$C$21*U161*Declarations!$C$22+Declarations!$C$22*S161*Declarations!$C$20+Declarations!$C$22*U161*Declarations!$C$21+Declarations!$C$22*V161*Declarations!$C$22+1</f>
        <v>5.7025392306819</v>
      </c>
      <c r="U162" s="20" t="n">
        <f aca="false">Declarations!$C$20*Q161*Declarations!$D$20+Declarations!$C$20*R161*Declarations!$D$21+Declarations!$C$20*S161*Declarations!$D$22+Declarations!$C$21*R161*Declarations!$D$20+Declarations!$C$21*T161*Declarations!$D$21+Declarations!$C$21*U161*Declarations!$D$22+Declarations!$C$22*S161*Declarations!$D$20+Declarations!$C$22*U161*Declarations!$D$21+Declarations!$C$22*V161*Declarations!$D$22+0</f>
        <v>0.771604938271605</v>
      </c>
      <c r="V162" s="20" t="n">
        <f aca="false">Declarations!$D$20*Q161*Declarations!$D$20+Declarations!$D$20*R161*Declarations!$D$21+Declarations!$D$20*S161*Declarations!$D$22+Declarations!$D$21*R161*Declarations!$D$20+Declarations!$D$21*T161*Declarations!$D$21+Declarations!$D$21*U161*Declarations!$D$22+Declarations!$D$22*S161*Declarations!$D$20+Declarations!$D$22*U161*Declarations!$D$21+Declarations!$D$22*V161*Declarations!$D$22+1</f>
        <v>2.77777777777778</v>
      </c>
    </row>
    <row r="163" customFormat="false" ht="15" hidden="false" customHeight="false" outlineLevel="0" collapsed="false">
      <c r="A163" s="18" t="n">
        <v>154</v>
      </c>
      <c r="B163" s="20" t="n">
        <f aca="false">$B$4*B162*$B$4+$B$4*C162*$B$5+$B$5*C162*$B$4+$B$5*D162*$B$5+$E$4</f>
        <v>13.5714274526328</v>
      </c>
      <c r="C163" s="20" t="n">
        <f aca="false">$B$4*B162*$C$4+$B$4*C162*$C$5+$B$5*C162*$C$4+$B$5*D162*$C$5+$F$4</f>
        <v>-5.78571380379135</v>
      </c>
      <c r="D163" s="20" t="n">
        <f aca="false">$C$4*B162*$C$4+$C$4*C162*$C$5+$C$5*C162*$C$4+$C$5*D162*$C$5+$F$5</f>
        <v>11.9928561802148</v>
      </c>
      <c r="P163" s="18" t="n">
        <v>154</v>
      </c>
      <c r="Q163" s="20" t="n">
        <f aca="false">Declarations!$B$20*Q162*Declarations!$B$20+Declarations!$B$20*R162*Declarations!$B$21+Declarations!$B$20*S162*Declarations!$B$22+Declarations!$B$21*R162*Declarations!$B$20+Declarations!$B$21*T162*Declarations!$B$21+Declarations!$B$21*U162*Declarations!$B$22+Declarations!$B$22*S162*Declarations!$B$20+Declarations!$B$22*U162*Declarations!$B$21+Declarations!$B$22*V162*Declarations!$B$22+1</f>
        <v>10.2972970239963</v>
      </c>
      <c r="R163" s="20" t="n">
        <f aca="false">Declarations!$B$20*Q162*Declarations!$C$20+Declarations!$B$20*R162*Declarations!$C$21+Declarations!$B$20*S162*Declarations!$C$22+Declarations!$B$21*R162*Declarations!$C$20+Declarations!$B$21*T162*Declarations!$C$21+Declarations!$B$21*U162*Declarations!$C$22+Declarations!$B$22*S162*Declarations!$C$20+Declarations!$B$22*U162*Declarations!$C$21+Declarations!$B$22*V162*Declarations!$C$22+0</f>
        <v>4.60691754491994</v>
      </c>
      <c r="S163" s="20" t="n">
        <f aca="false">Declarations!$B$20*Q162*Declarations!$D$20+Declarations!$B$20*R162*Declarations!$D$21+Declarations!$B$20*S162*Declarations!$D$22+Declarations!$B$21*R162*Declarations!$D$20+Declarations!$B$21*T162*Declarations!$D$21+Declarations!$B$21*U162*Declarations!$D$22+Declarations!$B$22*S162*Declarations!$D$20+Declarations!$B$22*U162*Declarations!$D$21+Declarations!$B$22*V162*Declarations!$D$22+0</f>
        <v>0.617283950617284</v>
      </c>
      <c r="T163" s="20" t="n">
        <f aca="false">Declarations!$C$20*Q162*Declarations!$C$20+Declarations!$C$20*R162*Declarations!$C$21+Declarations!$C$20*S162*Declarations!$C$22+Declarations!$C$21*R162*Declarations!$C$20+Declarations!$C$21*T162*Declarations!$C$21+Declarations!$C$21*U162*Declarations!$C$22+Declarations!$C$22*S162*Declarations!$C$20+Declarations!$C$22*U162*Declarations!$C$21+Declarations!$C$22*V162*Declarations!$C$22+1</f>
        <v>5.70253927657519</v>
      </c>
      <c r="U163" s="20" t="n">
        <f aca="false">Declarations!$C$20*Q162*Declarations!$D$20+Declarations!$C$20*R162*Declarations!$D$21+Declarations!$C$20*S162*Declarations!$D$22+Declarations!$C$21*R162*Declarations!$D$20+Declarations!$C$21*T162*Declarations!$D$21+Declarations!$C$21*U162*Declarations!$D$22+Declarations!$C$22*S162*Declarations!$D$20+Declarations!$C$22*U162*Declarations!$D$21+Declarations!$C$22*V162*Declarations!$D$22+0</f>
        <v>0.771604938271605</v>
      </c>
      <c r="V163" s="20" t="n">
        <f aca="false">Declarations!$D$20*Q162*Declarations!$D$20+Declarations!$D$20*R162*Declarations!$D$21+Declarations!$D$20*S162*Declarations!$D$22+Declarations!$D$21*R162*Declarations!$D$20+Declarations!$D$21*T162*Declarations!$D$21+Declarations!$D$21*U162*Declarations!$D$22+Declarations!$D$22*S162*Declarations!$D$20+Declarations!$D$22*U162*Declarations!$D$21+Declarations!$D$22*V162*Declarations!$D$22+1</f>
        <v>2.77777777777778</v>
      </c>
    </row>
    <row r="164" customFormat="false" ht="15" hidden="false" customHeight="false" outlineLevel="0" collapsed="false">
      <c r="A164" s="18" t="n">
        <v>155</v>
      </c>
      <c r="B164" s="20" t="n">
        <f aca="false">$B$4*B163*$B$4+$B$4*C163*$B$5+$B$5*C163*$B$4+$B$5*D163*$B$5+$E$4</f>
        <v>13.5714275700229</v>
      </c>
      <c r="C164" s="20" t="n">
        <f aca="false">$B$4*B163*$C$4+$B$4*C163*$C$5+$B$5*C163*$C$4+$B$5*D163*$C$5+$F$4</f>
        <v>-5.78571381322032</v>
      </c>
      <c r="D164" s="20" t="n">
        <f aca="false">$C$4*B163*$C$4+$C$4*C163*$C$5+$C$5*C163*$C$4+$C$5*D163*$C$5+$F$5</f>
        <v>11.9928562366325</v>
      </c>
      <c r="P164" s="18" t="n">
        <v>155</v>
      </c>
      <c r="Q164" s="20" t="n">
        <f aca="false">Declarations!$B$20*Q163*Declarations!$B$20+Declarations!$B$20*R163*Declarations!$B$21+Declarations!$B$20*S163*Declarations!$B$22+Declarations!$B$21*R163*Declarations!$B$20+Declarations!$B$21*T163*Declarations!$B$21+Declarations!$B$21*U163*Declarations!$B$22+Declarations!$B$22*S163*Declarations!$B$20+Declarations!$B$22*U163*Declarations!$B$21+Declarations!$B$22*V163*Declarations!$B$22+1</f>
        <v>10.297297189671</v>
      </c>
      <c r="R164" s="20" t="n">
        <f aca="false">Declarations!$B$20*Q163*Declarations!$C$20+Declarations!$B$20*R163*Declarations!$C$21+Declarations!$B$20*S163*Declarations!$C$22+Declarations!$B$21*R163*Declarations!$C$20+Declarations!$B$21*T163*Declarations!$C$21+Declarations!$B$21*U163*Declarations!$C$22+Declarations!$B$22*S163*Declarations!$C$20+Declarations!$B$22*U163*Declarations!$C$21+Declarations!$B$22*V163*Declarations!$C$22+0</f>
        <v>4.60691762775732</v>
      </c>
      <c r="S164" s="20" t="n">
        <f aca="false">Declarations!$B$20*Q163*Declarations!$D$20+Declarations!$B$20*R163*Declarations!$D$21+Declarations!$B$20*S163*Declarations!$D$22+Declarations!$B$21*R163*Declarations!$D$20+Declarations!$B$21*T163*Declarations!$D$21+Declarations!$B$21*U163*Declarations!$D$22+Declarations!$B$22*S163*Declarations!$D$20+Declarations!$B$22*U163*Declarations!$D$21+Declarations!$B$22*V163*Declarations!$D$22+0</f>
        <v>0.617283950617284</v>
      </c>
      <c r="T164" s="20" t="n">
        <f aca="false">Declarations!$C$20*Q163*Declarations!$C$20+Declarations!$C$20*R163*Declarations!$C$21+Declarations!$C$20*S163*Declarations!$C$22+Declarations!$C$21*R163*Declarations!$C$20+Declarations!$C$21*T163*Declarations!$C$21+Declarations!$C$21*U163*Declarations!$C$22+Declarations!$C$22*S163*Declarations!$C$20+Declarations!$C$22*U163*Declarations!$C$21+Declarations!$C$22*V163*Declarations!$C$22+1</f>
        <v>5.70253931799388</v>
      </c>
      <c r="U164" s="20" t="n">
        <f aca="false">Declarations!$C$20*Q163*Declarations!$D$20+Declarations!$C$20*R163*Declarations!$D$21+Declarations!$C$20*S163*Declarations!$D$22+Declarations!$C$21*R163*Declarations!$D$20+Declarations!$C$21*T163*Declarations!$D$21+Declarations!$C$21*U163*Declarations!$D$22+Declarations!$C$22*S163*Declarations!$D$20+Declarations!$C$22*U163*Declarations!$D$21+Declarations!$C$22*V163*Declarations!$D$22+0</f>
        <v>0.771604938271605</v>
      </c>
      <c r="V164" s="20" t="n">
        <f aca="false">Declarations!$D$20*Q163*Declarations!$D$20+Declarations!$D$20*R163*Declarations!$D$21+Declarations!$D$20*S163*Declarations!$D$22+Declarations!$D$21*R163*Declarations!$D$20+Declarations!$D$21*T163*Declarations!$D$21+Declarations!$D$21*U163*Declarations!$D$22+Declarations!$D$22*S163*Declarations!$D$20+Declarations!$D$22*U163*Declarations!$D$21+Declarations!$D$22*V163*Declarations!$D$22+1</f>
        <v>2.77777777777778</v>
      </c>
    </row>
    <row r="165" customFormat="false" ht="15" hidden="false" customHeight="false" outlineLevel="0" collapsed="false">
      <c r="A165" s="18" t="n">
        <v>156</v>
      </c>
      <c r="B165" s="20" t="n">
        <f aca="false">$B$4*B164*$B$4+$B$4*C164*$B$5+$B$5*C164*$B$4+$B$5*D164*$B$5+$E$4</f>
        <v>13.5714277045545</v>
      </c>
      <c r="C165" s="20" t="n">
        <f aca="false">$B$4*B164*$C$4+$B$4*C164*$C$5+$B$5*C164*$C$4+$B$5*D164*$C$5+$F$4</f>
        <v>-5.78571389982025</v>
      </c>
      <c r="D165" s="20" t="n">
        <f aca="false">$C$4*B164*$C$4+$C$4*C164*$C$5+$C$5*C164*$C$4+$C$5*D164*$C$5+$F$5</f>
        <v>11.9928563317185</v>
      </c>
      <c r="P165" s="18" t="n">
        <v>156</v>
      </c>
      <c r="Q165" s="20" t="n">
        <f aca="false">Declarations!$B$20*Q164*Declarations!$B$20+Declarations!$B$20*R164*Declarations!$B$21+Declarations!$B$20*S164*Declarations!$B$22+Declarations!$B$21*R164*Declarations!$B$20+Declarations!$B$21*T164*Declarations!$B$21+Declarations!$B$21*U164*Declarations!$B$22+Declarations!$B$22*S164*Declarations!$B$20+Declarations!$B$22*U164*Declarations!$B$21+Declarations!$B$22*V164*Declarations!$B$22+1</f>
        <v>10.2972973391925</v>
      </c>
      <c r="R165" s="20" t="n">
        <f aca="false">Declarations!$B$20*Q164*Declarations!$C$20+Declarations!$B$20*R164*Declarations!$C$21+Declarations!$B$20*S164*Declarations!$C$22+Declarations!$B$21*R164*Declarations!$C$20+Declarations!$B$21*T164*Declarations!$C$21+Declarations!$B$21*U164*Declarations!$C$22+Declarations!$B$22*S164*Declarations!$C$20+Declarations!$B$22*U164*Declarations!$C$21+Declarations!$B$22*V164*Declarations!$C$22+0</f>
        <v>4.60691770251806</v>
      </c>
      <c r="S165" s="20" t="n">
        <f aca="false">Declarations!$B$20*Q164*Declarations!$D$20+Declarations!$B$20*R164*Declarations!$D$21+Declarations!$B$20*S164*Declarations!$D$22+Declarations!$B$21*R164*Declarations!$D$20+Declarations!$B$21*T164*Declarations!$D$21+Declarations!$B$21*U164*Declarations!$D$22+Declarations!$B$22*S164*Declarations!$D$20+Declarations!$B$22*U164*Declarations!$D$21+Declarations!$B$22*V164*Declarations!$D$22+0</f>
        <v>0.617283950617284</v>
      </c>
      <c r="T165" s="20" t="n">
        <f aca="false">Declarations!$C$20*Q164*Declarations!$C$20+Declarations!$C$20*R164*Declarations!$C$21+Declarations!$C$20*S164*Declarations!$C$22+Declarations!$C$21*R164*Declarations!$C$20+Declarations!$C$21*T164*Declarations!$C$21+Declarations!$C$21*U164*Declarations!$C$22+Declarations!$C$22*S164*Declarations!$C$20+Declarations!$C$22*U164*Declarations!$C$21+Declarations!$C$22*V164*Declarations!$C$22+1</f>
        <v>5.70253935537425</v>
      </c>
      <c r="U165" s="20" t="n">
        <f aca="false">Declarations!$C$20*Q164*Declarations!$D$20+Declarations!$C$20*R164*Declarations!$D$21+Declarations!$C$20*S164*Declarations!$D$22+Declarations!$C$21*R164*Declarations!$D$20+Declarations!$C$21*T164*Declarations!$D$21+Declarations!$C$21*U164*Declarations!$D$22+Declarations!$C$22*S164*Declarations!$D$20+Declarations!$C$22*U164*Declarations!$D$21+Declarations!$C$22*V164*Declarations!$D$22+0</f>
        <v>0.771604938271605</v>
      </c>
      <c r="V165" s="20" t="n">
        <f aca="false">Declarations!$D$20*Q164*Declarations!$D$20+Declarations!$D$20*R164*Declarations!$D$21+Declarations!$D$20*S164*Declarations!$D$22+Declarations!$D$21*R164*Declarations!$D$20+Declarations!$D$21*T164*Declarations!$D$21+Declarations!$D$21*U164*Declarations!$D$22+Declarations!$D$22*S164*Declarations!$D$20+Declarations!$D$22*U164*Declarations!$D$21+Declarations!$D$22*V164*Declarations!$D$22+1</f>
        <v>2.77777777777778</v>
      </c>
    </row>
    <row r="166" customFormat="false" ht="15" hidden="false" customHeight="false" outlineLevel="0" collapsed="false">
      <c r="A166" s="18" t="n">
        <v>157</v>
      </c>
      <c r="B166" s="20" t="n">
        <f aca="false">$B$4*B165*$B$4+$B$4*C165*$B$5+$B$5*C165*$B$4+$B$5*D165*$B$5+$E$4</f>
        <v>13.5714277527312</v>
      </c>
      <c r="C166" s="20" t="n">
        <f aca="false">$B$4*B165*$C$4+$B$4*C165*$C$5+$B$5*C165*$C$4+$B$5*D165*$C$5+$F$4</f>
        <v>-5.78571393085091</v>
      </c>
      <c r="D166" s="20" t="n">
        <f aca="false">$C$4*B165*$C$4+$C$4*C165*$C$5+$C$5*C165*$C$4+$C$5*D165*$C$5+$F$5</f>
        <v>11.9928564406891</v>
      </c>
      <c r="P166" s="18" t="n">
        <v>157</v>
      </c>
      <c r="Q166" s="20" t="n">
        <f aca="false">Declarations!$B$20*Q165*Declarations!$B$20+Declarations!$B$20*R165*Declarations!$B$21+Declarations!$B$20*S165*Declarations!$B$22+Declarations!$B$21*R165*Declarations!$B$20+Declarations!$B$21*T165*Declarations!$B$21+Declarations!$B$21*U165*Declarations!$B$22+Declarations!$B$22*S165*Declarations!$B$20+Declarations!$B$22*U165*Declarations!$B$21+Declarations!$B$22*V165*Declarations!$B$22+1</f>
        <v>10.2972974741356</v>
      </c>
      <c r="R166" s="20" t="n">
        <f aca="false">Declarations!$B$20*Q165*Declarations!$C$20+Declarations!$B$20*R165*Declarations!$C$21+Declarations!$B$20*S165*Declarations!$C$22+Declarations!$B$21*R165*Declarations!$C$20+Declarations!$B$21*T165*Declarations!$C$21+Declarations!$B$21*U165*Declarations!$C$22+Declarations!$B$22*S165*Declarations!$C$20+Declarations!$B$22*U165*Declarations!$C$21+Declarations!$B$22*V165*Declarations!$C$22+0</f>
        <v>4.60691776998963</v>
      </c>
      <c r="S166" s="20" t="n">
        <f aca="false">Declarations!$B$20*Q165*Declarations!$D$20+Declarations!$B$20*R165*Declarations!$D$21+Declarations!$B$20*S165*Declarations!$D$22+Declarations!$B$21*R165*Declarations!$D$20+Declarations!$B$21*T165*Declarations!$D$21+Declarations!$B$21*U165*Declarations!$D$22+Declarations!$B$22*S165*Declarations!$D$20+Declarations!$B$22*U165*Declarations!$D$21+Declarations!$B$22*V165*Declarations!$D$22+0</f>
        <v>0.617283950617284</v>
      </c>
      <c r="T166" s="20" t="n">
        <f aca="false">Declarations!$C$20*Q165*Declarations!$C$20+Declarations!$C$20*R165*Declarations!$C$21+Declarations!$C$20*S165*Declarations!$C$22+Declarations!$C$21*R165*Declarations!$C$20+Declarations!$C$21*T165*Declarations!$C$21+Declarations!$C$21*U165*Declarations!$C$22+Declarations!$C$22*S165*Declarations!$C$20+Declarations!$C$22*U165*Declarations!$C$21+Declarations!$C$22*V165*Declarations!$C$22+1</f>
        <v>5.70253938911004</v>
      </c>
      <c r="U166" s="20" t="n">
        <f aca="false">Declarations!$C$20*Q165*Declarations!$D$20+Declarations!$C$20*R165*Declarations!$D$21+Declarations!$C$20*S165*Declarations!$D$22+Declarations!$C$21*R165*Declarations!$D$20+Declarations!$C$21*T165*Declarations!$D$21+Declarations!$C$21*U165*Declarations!$D$22+Declarations!$C$22*S165*Declarations!$D$20+Declarations!$C$22*U165*Declarations!$D$21+Declarations!$C$22*V165*Declarations!$D$22+0</f>
        <v>0.771604938271605</v>
      </c>
      <c r="V166" s="20" t="n">
        <f aca="false">Declarations!$D$20*Q165*Declarations!$D$20+Declarations!$D$20*R165*Declarations!$D$21+Declarations!$D$20*S165*Declarations!$D$22+Declarations!$D$21*R165*Declarations!$D$20+Declarations!$D$21*T165*Declarations!$D$21+Declarations!$D$21*U165*Declarations!$D$22+Declarations!$D$22*S165*Declarations!$D$20+Declarations!$D$22*U165*Declarations!$D$21+Declarations!$D$22*V165*Declarations!$D$22+1</f>
        <v>2.77777777777778</v>
      </c>
    </row>
    <row r="167" customFormat="false" ht="15" hidden="false" customHeight="false" outlineLevel="0" collapsed="false">
      <c r="A167" s="18" t="n">
        <v>158</v>
      </c>
      <c r="B167" s="20" t="n">
        <f aca="false">$B$4*B166*$B$4+$B$4*C166*$B$5+$B$5*C166*$B$4+$B$5*D166*$B$5+$E$4</f>
        <v>13.5714278448698</v>
      </c>
      <c r="C167" s="20" t="n">
        <f aca="false">$B$4*B166*$C$4+$B$4*C166*$C$5+$B$5*C166*$C$4+$B$5*D166*$C$5+$F$4</f>
        <v>-5.78571394194647</v>
      </c>
      <c r="D167" s="20" t="n">
        <f aca="false">$C$4*B166*$C$4+$C$4*C166*$C$5+$C$5*C166*$C$4+$C$5*D166*$C$5+$F$5</f>
        <v>11.9928564797123</v>
      </c>
      <c r="P167" s="18" t="n">
        <v>158</v>
      </c>
      <c r="Q167" s="20" t="n">
        <f aca="false">Declarations!$B$20*Q166*Declarations!$B$20+Declarations!$B$20*R166*Declarations!$B$21+Declarations!$B$20*S166*Declarations!$B$22+Declarations!$B$21*R166*Declarations!$B$20+Declarations!$B$21*T166*Declarations!$B$21+Declarations!$B$21*U166*Declarations!$B$22+Declarations!$B$22*S166*Declarations!$B$20+Declarations!$B$22*U166*Declarations!$B$21+Declarations!$B$22*V166*Declarations!$B$22+1</f>
        <v>10.2972975959218</v>
      </c>
      <c r="R167" s="20" t="n">
        <f aca="false">Declarations!$B$20*Q166*Declarations!$C$20+Declarations!$B$20*R166*Declarations!$C$21+Declarations!$B$20*S166*Declarations!$C$22+Declarations!$B$21*R166*Declarations!$C$20+Declarations!$B$21*T166*Declarations!$C$21+Declarations!$B$21*U166*Declarations!$C$22+Declarations!$B$22*S166*Declarations!$C$20+Declarations!$B$22*U166*Declarations!$C$21+Declarations!$B$22*V166*Declarations!$C$22+0</f>
        <v>4.60691783088272</v>
      </c>
      <c r="S167" s="20" t="n">
        <f aca="false">Declarations!$B$20*Q166*Declarations!$D$20+Declarations!$B$20*R166*Declarations!$D$21+Declarations!$B$20*S166*Declarations!$D$22+Declarations!$B$21*R166*Declarations!$D$20+Declarations!$B$21*T166*Declarations!$D$21+Declarations!$B$21*U166*Declarations!$D$22+Declarations!$B$22*S166*Declarations!$D$20+Declarations!$B$22*U166*Declarations!$D$21+Declarations!$B$22*V166*Declarations!$D$22+0</f>
        <v>0.617283950617284</v>
      </c>
      <c r="T167" s="20" t="n">
        <f aca="false">Declarations!$C$20*Q166*Declarations!$C$20+Declarations!$C$20*R166*Declarations!$C$21+Declarations!$C$20*S166*Declarations!$C$22+Declarations!$C$21*R166*Declarations!$C$20+Declarations!$C$21*T166*Declarations!$C$21+Declarations!$C$21*U166*Declarations!$C$22+Declarations!$C$22*S166*Declarations!$C$20+Declarations!$C$22*U166*Declarations!$C$21+Declarations!$C$22*V166*Declarations!$C$22+1</f>
        <v>5.70253941955658</v>
      </c>
      <c r="U167" s="20" t="n">
        <f aca="false">Declarations!$C$20*Q166*Declarations!$D$20+Declarations!$C$20*R166*Declarations!$D$21+Declarations!$C$20*S166*Declarations!$D$22+Declarations!$C$21*R166*Declarations!$D$20+Declarations!$C$21*T166*Declarations!$D$21+Declarations!$C$21*U166*Declarations!$D$22+Declarations!$C$22*S166*Declarations!$D$20+Declarations!$C$22*U166*Declarations!$D$21+Declarations!$C$22*V166*Declarations!$D$22+0</f>
        <v>0.771604938271605</v>
      </c>
      <c r="V167" s="20" t="n">
        <f aca="false">Declarations!$D$20*Q166*Declarations!$D$20+Declarations!$D$20*R166*Declarations!$D$21+Declarations!$D$20*S166*Declarations!$D$22+Declarations!$D$21*R166*Declarations!$D$20+Declarations!$D$21*T166*Declarations!$D$21+Declarations!$D$21*U166*Declarations!$D$22+Declarations!$D$22*S166*Declarations!$D$20+Declarations!$D$22*U166*Declarations!$D$21+Declarations!$D$22*V166*Declarations!$D$22+1</f>
        <v>2.77777777777778</v>
      </c>
    </row>
    <row r="168" customFormat="false" ht="15" hidden="false" customHeight="false" outlineLevel="0" collapsed="false">
      <c r="A168" s="18" t="n">
        <v>159</v>
      </c>
      <c r="B168" s="20" t="n">
        <f aca="false">$B$4*B167*$B$4+$B$4*C167*$B$5+$B$5*C167*$B$4+$B$5*D167*$B$5+$E$4</f>
        <v>13.5714279385532</v>
      </c>
      <c r="C168" s="20" t="n">
        <f aca="false">$B$4*B167*$C$4+$B$4*C167*$C$5+$B$5*C167*$C$4+$B$5*D167*$C$5+$F$4</f>
        <v>-5.7857140065927</v>
      </c>
      <c r="D168" s="20" t="n">
        <f aca="false">$C$4*B167*$C$4+$C$4*C167*$C$5+$C$5*C167*$C$4+$C$5*D167*$C$5+$F$5</f>
        <v>11.9928565543445</v>
      </c>
      <c r="P168" s="18" t="n">
        <v>159</v>
      </c>
      <c r="Q168" s="20" t="n">
        <f aca="false">Declarations!$B$20*Q167*Declarations!$B$20+Declarations!$B$20*R167*Declarations!$B$21+Declarations!$B$20*S167*Declarations!$B$22+Declarations!$B$21*R167*Declarations!$B$20+Declarations!$B$21*T167*Declarations!$B$21+Declarations!$B$21*U167*Declarations!$B$22+Declarations!$B$22*S167*Declarations!$B$20+Declarations!$B$22*U167*Declarations!$B$21+Declarations!$B$22*V167*Declarations!$B$22+1</f>
        <v>10.2972977058338</v>
      </c>
      <c r="R168" s="20" t="n">
        <f aca="false">Declarations!$B$20*Q167*Declarations!$C$20+Declarations!$B$20*R167*Declarations!$C$21+Declarations!$B$20*S167*Declarations!$C$22+Declarations!$B$21*R167*Declarations!$C$20+Declarations!$B$21*T167*Declarations!$C$21+Declarations!$B$21*U167*Declarations!$C$22+Declarations!$B$22*S167*Declarations!$C$20+Declarations!$B$22*U167*Declarations!$C$21+Declarations!$B$22*V167*Declarations!$C$22+0</f>
        <v>4.60691788583873</v>
      </c>
      <c r="S168" s="20" t="n">
        <f aca="false">Declarations!$B$20*Q167*Declarations!$D$20+Declarations!$B$20*R167*Declarations!$D$21+Declarations!$B$20*S167*Declarations!$D$22+Declarations!$B$21*R167*Declarations!$D$20+Declarations!$B$21*T167*Declarations!$D$21+Declarations!$B$21*U167*Declarations!$D$22+Declarations!$B$22*S167*Declarations!$D$20+Declarations!$B$22*U167*Declarations!$D$21+Declarations!$B$22*V167*Declarations!$D$22+0</f>
        <v>0.617283950617284</v>
      </c>
      <c r="T168" s="20" t="n">
        <f aca="false">Declarations!$C$20*Q167*Declarations!$C$20+Declarations!$C$20*R167*Declarations!$C$21+Declarations!$C$20*S167*Declarations!$C$22+Declarations!$C$21*R167*Declarations!$C$20+Declarations!$C$21*T167*Declarations!$C$21+Declarations!$C$21*U167*Declarations!$C$22+Declarations!$C$22*S167*Declarations!$C$20+Declarations!$C$22*U167*Declarations!$C$21+Declarations!$C$22*V167*Declarations!$C$22+1</f>
        <v>5.70253944703459</v>
      </c>
      <c r="U168" s="20" t="n">
        <f aca="false">Declarations!$C$20*Q167*Declarations!$D$20+Declarations!$C$20*R167*Declarations!$D$21+Declarations!$C$20*S167*Declarations!$D$22+Declarations!$C$21*R167*Declarations!$D$20+Declarations!$C$21*T167*Declarations!$D$21+Declarations!$C$21*U167*Declarations!$D$22+Declarations!$C$22*S167*Declarations!$D$20+Declarations!$C$22*U167*Declarations!$D$21+Declarations!$C$22*V167*Declarations!$D$22+0</f>
        <v>0.771604938271605</v>
      </c>
      <c r="V168" s="20" t="n">
        <f aca="false">Declarations!$D$20*Q167*Declarations!$D$20+Declarations!$D$20*R167*Declarations!$D$21+Declarations!$D$20*S167*Declarations!$D$22+Declarations!$D$21*R167*Declarations!$D$20+Declarations!$D$21*T167*Declarations!$D$21+Declarations!$D$21*U167*Declarations!$D$22+Declarations!$D$22*S167*Declarations!$D$20+Declarations!$D$22*U167*Declarations!$D$21+Declarations!$D$22*V167*Declarations!$D$22+1</f>
        <v>2.77777777777778</v>
      </c>
    </row>
    <row r="169" customFormat="false" ht="15" hidden="false" customHeight="false" outlineLevel="0" collapsed="false">
      <c r="A169" s="18" t="n">
        <v>160</v>
      </c>
      <c r="B169" s="20" t="n">
        <f aca="false">$B$4*B168*$B$4+$B$4*C168*$B$5+$B$5*C168*$B$4+$B$5*D168*$B$5+$E$4</f>
        <v>13.5714279727057</v>
      </c>
      <c r="C169" s="20" t="n">
        <f aca="false">$B$4*B168*$C$4+$B$4*C168*$C$5+$B$5*C168*$C$4+$B$5*D168*$C$5+$F$4</f>
        <v>-5.78571402429463</v>
      </c>
      <c r="D169" s="20" t="n">
        <f aca="false">$C$4*B168*$C$4+$C$4*C168*$C$5+$C$5*C168*$C$4+$C$5*D168*$C$5+$F$5</f>
        <v>11.9928566302281</v>
      </c>
      <c r="P169" s="18" t="n">
        <v>160</v>
      </c>
      <c r="Q169" s="20" t="n">
        <f aca="false">Declarations!$B$20*Q168*Declarations!$B$20+Declarations!$B$20*R168*Declarations!$B$21+Declarations!$B$20*S168*Declarations!$B$22+Declarations!$B$21*R168*Declarations!$B$20+Declarations!$B$21*T168*Declarations!$B$21+Declarations!$B$21*U168*Declarations!$B$22+Declarations!$B$22*S168*Declarations!$B$20+Declarations!$B$22*U168*Declarations!$B$21+Declarations!$B$22*V168*Declarations!$B$22+1</f>
        <v>10.2972978050295</v>
      </c>
      <c r="R169" s="20" t="n">
        <f aca="false">Declarations!$B$20*Q168*Declarations!$C$20+Declarations!$B$20*R168*Declarations!$C$21+Declarations!$B$20*S168*Declarations!$C$22+Declarations!$B$21*R168*Declarations!$C$20+Declarations!$B$21*T168*Declarations!$C$21+Declarations!$B$21*U168*Declarations!$C$22+Declarations!$B$22*S168*Declarations!$C$20+Declarations!$B$22*U168*Declarations!$C$21+Declarations!$B$22*V168*Declarations!$C$22+0</f>
        <v>4.60691793543654</v>
      </c>
      <c r="S169" s="20" t="n">
        <f aca="false">Declarations!$B$20*Q168*Declarations!$D$20+Declarations!$B$20*R168*Declarations!$D$21+Declarations!$B$20*S168*Declarations!$D$22+Declarations!$B$21*R168*Declarations!$D$20+Declarations!$B$21*T168*Declarations!$D$21+Declarations!$B$21*U168*Declarations!$D$22+Declarations!$B$22*S168*Declarations!$D$20+Declarations!$B$22*U168*Declarations!$D$21+Declarations!$B$22*V168*Declarations!$D$22+0</f>
        <v>0.617283950617284</v>
      </c>
      <c r="T169" s="20" t="n">
        <f aca="false">Declarations!$C$20*Q168*Declarations!$C$20+Declarations!$C$20*R168*Declarations!$C$21+Declarations!$C$20*S168*Declarations!$C$22+Declarations!$C$21*R168*Declarations!$C$20+Declarations!$C$21*T168*Declarations!$C$21+Declarations!$C$21*U168*Declarations!$C$22+Declarations!$C$22*S168*Declarations!$C$20+Declarations!$C$22*U168*Declarations!$C$21+Declarations!$C$22*V168*Declarations!$C$22+1</f>
        <v>5.70253947183349</v>
      </c>
      <c r="U169" s="20" t="n">
        <f aca="false">Declarations!$C$20*Q168*Declarations!$D$20+Declarations!$C$20*R168*Declarations!$D$21+Declarations!$C$20*S168*Declarations!$D$22+Declarations!$C$21*R168*Declarations!$D$20+Declarations!$C$21*T168*Declarations!$D$21+Declarations!$C$21*U168*Declarations!$D$22+Declarations!$C$22*S168*Declarations!$D$20+Declarations!$C$22*U168*Declarations!$D$21+Declarations!$C$22*V168*Declarations!$D$22+0</f>
        <v>0.771604938271605</v>
      </c>
      <c r="V169" s="20" t="n">
        <f aca="false">Declarations!$D$20*Q168*Declarations!$D$20+Declarations!$D$20*R168*Declarations!$D$21+Declarations!$D$20*S168*Declarations!$D$22+Declarations!$D$21*R168*Declarations!$D$20+Declarations!$D$21*T168*Declarations!$D$21+Declarations!$D$21*U168*Declarations!$D$22+Declarations!$D$22*S168*Declarations!$D$20+Declarations!$D$22*U168*Declarations!$D$21+Declarations!$D$22*V168*Declarations!$D$22+1</f>
        <v>2.77777777777778</v>
      </c>
    </row>
    <row r="170" customFormat="false" ht="15" hidden="false" customHeight="false" outlineLevel="0" collapsed="false">
      <c r="A170" s="18" t="n">
        <v>161</v>
      </c>
      <c r="B170" s="20" t="n">
        <f aca="false">$B$4*B169*$B$4+$B$4*C169*$B$5+$B$5*C169*$B$4+$B$5*D169*$B$5+$E$4</f>
        <v>13.5714280443894</v>
      </c>
      <c r="C170" s="20" t="n">
        <f aca="false">$B$4*B169*$C$4+$B$4*C169*$C$5+$B$5*C169*$C$4+$B$5*D169*$C$5+$F$4</f>
        <v>-5.78571403602647</v>
      </c>
      <c r="D170" s="20" t="n">
        <f aca="false">$C$4*B169*$C$4+$C$4*C169*$C$5+$C$5*C169*$C$4+$C$5*D169*$C$5+$F$5</f>
        <v>11.9928566578916</v>
      </c>
      <c r="P170" s="18" t="n">
        <v>161</v>
      </c>
      <c r="Q170" s="20" t="n">
        <f aca="false">Declarations!$B$20*Q169*Declarations!$B$20+Declarations!$B$20*R169*Declarations!$B$21+Declarations!$B$20*S169*Declarations!$B$22+Declarations!$B$21*R169*Declarations!$B$20+Declarations!$B$21*T169*Declarations!$B$21+Declarations!$B$21*U169*Declarations!$B$22+Declarations!$B$22*S169*Declarations!$B$20+Declarations!$B$22*U169*Declarations!$B$21+Declarations!$B$22*V169*Declarations!$B$22+1</f>
        <v>10.2972978945535</v>
      </c>
      <c r="R170" s="20" t="n">
        <f aca="false">Declarations!$B$20*Q169*Declarations!$C$20+Declarations!$B$20*R169*Declarations!$C$21+Declarations!$B$20*S169*Declarations!$C$22+Declarations!$B$21*R169*Declarations!$C$20+Declarations!$B$21*T169*Declarations!$C$21+Declarations!$B$21*U169*Declarations!$C$22+Declarations!$B$22*S169*Declarations!$C$20+Declarations!$B$22*U169*Declarations!$C$21+Declarations!$B$22*V169*Declarations!$C$22+0</f>
        <v>4.60691798019855</v>
      </c>
      <c r="S170" s="20" t="n">
        <f aca="false">Declarations!$B$20*Q169*Declarations!$D$20+Declarations!$B$20*R169*Declarations!$D$21+Declarations!$B$20*S169*Declarations!$D$22+Declarations!$B$21*R169*Declarations!$D$20+Declarations!$B$21*T169*Declarations!$D$21+Declarations!$B$21*U169*Declarations!$D$22+Declarations!$B$22*S169*Declarations!$D$20+Declarations!$B$22*U169*Declarations!$D$21+Declarations!$B$22*V169*Declarations!$D$22+0</f>
        <v>0.617283950617284</v>
      </c>
      <c r="T170" s="20" t="n">
        <f aca="false">Declarations!$C$20*Q169*Declarations!$C$20+Declarations!$C$20*R169*Declarations!$C$21+Declarations!$C$20*S169*Declarations!$C$22+Declarations!$C$21*R169*Declarations!$C$20+Declarations!$C$21*T169*Declarations!$C$21+Declarations!$C$21*U169*Declarations!$C$22+Declarations!$C$22*S169*Declarations!$C$20+Declarations!$C$22*U169*Declarations!$C$21+Declarations!$C$22*V169*Declarations!$C$22+1</f>
        <v>5.7025394942145</v>
      </c>
      <c r="U170" s="20" t="n">
        <f aca="false">Declarations!$C$20*Q169*Declarations!$D$20+Declarations!$C$20*R169*Declarations!$D$21+Declarations!$C$20*S169*Declarations!$D$22+Declarations!$C$21*R169*Declarations!$D$20+Declarations!$C$21*T169*Declarations!$D$21+Declarations!$C$21*U169*Declarations!$D$22+Declarations!$C$22*S169*Declarations!$D$20+Declarations!$C$22*U169*Declarations!$D$21+Declarations!$C$22*V169*Declarations!$D$22+0</f>
        <v>0.771604938271605</v>
      </c>
      <c r="V170" s="20" t="n">
        <f aca="false">Declarations!$D$20*Q169*Declarations!$D$20+Declarations!$D$20*R169*Declarations!$D$21+Declarations!$D$20*S169*Declarations!$D$22+Declarations!$D$21*R169*Declarations!$D$20+Declarations!$D$21*T169*Declarations!$D$21+Declarations!$D$21*U169*Declarations!$D$22+Declarations!$D$22*S169*Declarations!$D$20+Declarations!$D$22*U169*Declarations!$D$21+Declarations!$D$22*V169*Declarations!$D$22+1</f>
        <v>2.77777777777778</v>
      </c>
    </row>
    <row r="171" customFormat="false" ht="15" hidden="false" customHeight="false" outlineLevel="0" collapsed="false">
      <c r="A171" s="18" t="n">
        <v>162</v>
      </c>
      <c r="B171" s="20" t="n">
        <f aca="false">$B$4*B170*$B$4+$B$4*C170*$B$5+$B$5*C170*$B$4+$B$5*D170*$B$5+$E$4</f>
        <v>13.5714281089994</v>
      </c>
      <c r="C171" s="20" t="n">
        <f aca="false">$B$4*B170*$C$4+$B$4*C170*$C$5+$B$5*C170*$C$4+$B$5*D170*$C$5+$F$4</f>
        <v>-5.78571408353156</v>
      </c>
      <c r="D171" s="20" t="n">
        <f aca="false">$C$4*B170*$C$4+$C$4*C170*$C$5+$C$5*C170*$C$4+$C$5*D170*$C$5+$F$5</f>
        <v>11.9928567159554</v>
      </c>
      <c r="P171" s="18" t="n">
        <v>162</v>
      </c>
      <c r="Q171" s="20" t="n">
        <f aca="false">Declarations!$B$20*Q170*Declarations!$B$20+Declarations!$B$20*R170*Declarations!$B$21+Declarations!$B$20*S170*Declarations!$B$22+Declarations!$B$21*R170*Declarations!$B$20+Declarations!$B$21*T170*Declarations!$B$21+Declarations!$B$21*U170*Declarations!$B$22+Declarations!$B$22*S170*Declarations!$B$20+Declarations!$B$22*U170*Declarations!$B$21+Declarations!$B$22*V170*Declarations!$B$22+1</f>
        <v>10.2972979753489</v>
      </c>
      <c r="R171" s="20" t="n">
        <f aca="false">Declarations!$B$20*Q170*Declarations!$C$20+Declarations!$B$20*R170*Declarations!$C$21+Declarations!$B$20*S170*Declarations!$C$22+Declarations!$B$21*R170*Declarations!$C$20+Declarations!$B$21*T170*Declarations!$C$21+Declarations!$B$21*U170*Declarations!$C$22+Declarations!$B$22*S170*Declarations!$C$20+Declarations!$B$22*U170*Declarations!$C$21+Declarations!$B$22*V170*Declarations!$C$22+0</f>
        <v>4.60691802059627</v>
      </c>
      <c r="S171" s="20" t="n">
        <f aca="false">Declarations!$B$20*Q170*Declarations!$D$20+Declarations!$B$20*R170*Declarations!$D$21+Declarations!$B$20*S170*Declarations!$D$22+Declarations!$B$21*R170*Declarations!$D$20+Declarations!$B$21*T170*Declarations!$D$21+Declarations!$B$21*U170*Declarations!$D$22+Declarations!$B$22*S170*Declarations!$D$20+Declarations!$B$22*U170*Declarations!$D$21+Declarations!$B$22*V170*Declarations!$D$22+0</f>
        <v>0.617283950617284</v>
      </c>
      <c r="T171" s="20" t="n">
        <f aca="false">Declarations!$C$20*Q170*Declarations!$C$20+Declarations!$C$20*R170*Declarations!$C$21+Declarations!$C$20*S170*Declarations!$C$22+Declarations!$C$21*R170*Declarations!$C$20+Declarations!$C$21*T170*Declarations!$C$21+Declarations!$C$21*U170*Declarations!$C$22+Declarations!$C$22*S170*Declarations!$C$20+Declarations!$C$22*U170*Declarations!$C$21+Declarations!$C$22*V170*Declarations!$C$22+1</f>
        <v>5.70253951441336</v>
      </c>
      <c r="U171" s="20" t="n">
        <f aca="false">Declarations!$C$20*Q170*Declarations!$D$20+Declarations!$C$20*R170*Declarations!$D$21+Declarations!$C$20*S170*Declarations!$D$22+Declarations!$C$21*R170*Declarations!$D$20+Declarations!$C$21*T170*Declarations!$D$21+Declarations!$C$21*U170*Declarations!$D$22+Declarations!$C$22*S170*Declarations!$D$20+Declarations!$C$22*U170*Declarations!$D$21+Declarations!$C$22*V170*Declarations!$D$22+0</f>
        <v>0.771604938271605</v>
      </c>
      <c r="V171" s="20" t="n">
        <f aca="false">Declarations!$D$20*Q170*Declarations!$D$20+Declarations!$D$20*R170*Declarations!$D$21+Declarations!$D$20*S170*Declarations!$D$22+Declarations!$D$21*R170*Declarations!$D$20+Declarations!$D$21*T170*Declarations!$D$21+Declarations!$D$21*U170*Declarations!$D$22+Declarations!$D$22*S170*Declarations!$D$20+Declarations!$D$22*U170*Declarations!$D$21+Declarations!$D$22*V170*Declarations!$D$22+1</f>
        <v>2.77777777777778</v>
      </c>
    </row>
    <row r="172" customFormat="false" ht="15" hidden="false" customHeight="false" outlineLevel="0" collapsed="false">
      <c r="A172" s="18" t="n">
        <v>163</v>
      </c>
      <c r="B172" s="20" t="n">
        <f aca="false">$B$4*B171*$B$4+$B$4*C171*$B$5+$B$5*C171*$B$4+$B$5*D171*$B$5+$E$4</f>
        <v>13.5714281338881</v>
      </c>
      <c r="C172" s="20" t="n">
        <f aca="false">$B$4*B171*$C$4+$B$4*C171*$C$5+$B$5*C171*$C$4+$B$5*D171*$C$5+$F$4</f>
        <v>-5.78571409311109</v>
      </c>
      <c r="D172" s="20" t="n">
        <f aca="false">$C$4*B171*$C$4+$C$4*C171*$C$5+$C$5*C171*$C$4+$C$5*D171*$C$5+$F$5</f>
        <v>11.9928567682895</v>
      </c>
      <c r="P172" s="18" t="n">
        <v>163</v>
      </c>
      <c r="Q172" s="20" t="n">
        <f aca="false">Declarations!$B$20*Q171*Declarations!$B$20+Declarations!$B$20*R171*Declarations!$B$21+Declarations!$B$20*S171*Declarations!$B$22+Declarations!$B$21*R171*Declarations!$B$20+Declarations!$B$21*T171*Declarations!$B$21+Declarations!$B$21*U171*Declarations!$B$22+Declarations!$B$22*S171*Declarations!$B$20+Declarations!$B$22*U171*Declarations!$B$21+Declarations!$B$22*V171*Declarations!$B$22+1</f>
        <v>10.2972980482668</v>
      </c>
      <c r="R172" s="20" t="n">
        <f aca="false">Declarations!$B$20*Q171*Declarations!$C$20+Declarations!$B$20*R171*Declarations!$C$21+Declarations!$B$20*S171*Declarations!$C$22+Declarations!$B$21*R171*Declarations!$C$20+Declarations!$B$21*T171*Declarations!$C$21+Declarations!$B$21*U171*Declarations!$C$22+Declarations!$B$22*S171*Declarations!$C$20+Declarations!$B$22*U171*Declarations!$C$21+Declarations!$B$22*V171*Declarations!$C$22+0</f>
        <v>4.60691805705522</v>
      </c>
      <c r="S172" s="20" t="n">
        <f aca="false">Declarations!$B$20*Q171*Declarations!$D$20+Declarations!$B$20*R171*Declarations!$D$21+Declarations!$B$20*S171*Declarations!$D$22+Declarations!$B$21*R171*Declarations!$D$20+Declarations!$B$21*T171*Declarations!$D$21+Declarations!$B$21*U171*Declarations!$D$22+Declarations!$B$22*S171*Declarations!$D$20+Declarations!$B$22*U171*Declarations!$D$21+Declarations!$B$22*V171*Declarations!$D$22+0</f>
        <v>0.617283950617284</v>
      </c>
      <c r="T172" s="20" t="n">
        <f aca="false">Declarations!$C$20*Q171*Declarations!$C$20+Declarations!$C$20*R171*Declarations!$C$21+Declarations!$C$20*S171*Declarations!$C$22+Declarations!$C$21*R171*Declarations!$C$20+Declarations!$C$21*T171*Declarations!$C$21+Declarations!$C$21*U171*Declarations!$C$22+Declarations!$C$22*S171*Declarations!$C$20+Declarations!$C$22*U171*Declarations!$C$21+Declarations!$C$22*V171*Declarations!$C$22+1</f>
        <v>5.70253953264283</v>
      </c>
      <c r="U172" s="20" t="n">
        <f aca="false">Declarations!$C$20*Q171*Declarations!$D$20+Declarations!$C$20*R171*Declarations!$D$21+Declarations!$C$20*S171*Declarations!$D$22+Declarations!$C$21*R171*Declarations!$D$20+Declarations!$C$21*T171*Declarations!$D$21+Declarations!$C$21*U171*Declarations!$D$22+Declarations!$C$22*S171*Declarations!$D$20+Declarations!$C$22*U171*Declarations!$D$21+Declarations!$C$22*V171*Declarations!$D$22+0</f>
        <v>0.771604938271605</v>
      </c>
      <c r="V172" s="20" t="n">
        <f aca="false">Declarations!$D$20*Q171*Declarations!$D$20+Declarations!$D$20*R171*Declarations!$D$21+Declarations!$D$20*S171*Declarations!$D$22+Declarations!$D$21*R171*Declarations!$D$20+Declarations!$D$21*T171*Declarations!$D$21+Declarations!$D$21*U171*Declarations!$D$22+Declarations!$D$22*S171*Declarations!$D$20+Declarations!$D$22*U171*Declarations!$D$21+Declarations!$D$22*V171*Declarations!$D$22+1</f>
        <v>2.77777777777778</v>
      </c>
    </row>
    <row r="173" customFormat="false" ht="15" hidden="false" customHeight="false" outlineLevel="0" collapsed="false">
      <c r="A173" s="18" t="n">
        <v>164</v>
      </c>
      <c r="B173" s="20" t="n">
        <f aca="false">$B$4*B172*$B$4+$B$4*C172*$B$5+$B$5*C172*$B$4+$B$5*D172*$B$5+$E$4</f>
        <v>13.5714281891389</v>
      </c>
      <c r="C173" s="20" t="n">
        <f aca="false">$B$4*B172*$C$4+$B$4*C172*$C$5+$B$5*C172*$C$4+$B$5*D172*$C$5+$F$4</f>
        <v>-5.78571410464935</v>
      </c>
      <c r="D173" s="20" t="n">
        <f aca="false">$C$4*B172*$C$4+$C$4*C172*$C$5+$C$5*C172*$C$4+$C$5*D172*$C$5+$F$5</f>
        <v>11.9928567884493</v>
      </c>
      <c r="P173" s="18" t="n">
        <v>164</v>
      </c>
      <c r="Q173" s="20" t="n">
        <f aca="false">Declarations!$B$20*Q172*Declarations!$B$20+Declarations!$B$20*R172*Declarations!$B$21+Declarations!$B$20*S172*Declarations!$B$22+Declarations!$B$21*R172*Declarations!$B$20+Declarations!$B$21*T172*Declarations!$B$21+Declarations!$B$21*U172*Declarations!$B$22+Declarations!$B$22*S172*Declarations!$B$20+Declarations!$B$22*U172*Declarations!$B$21+Declarations!$B$22*V172*Declarations!$B$22+1</f>
        <v>10.2972981140752</v>
      </c>
      <c r="R173" s="20" t="n">
        <f aca="false">Declarations!$B$20*Q172*Declarations!$C$20+Declarations!$B$20*R172*Declarations!$C$21+Declarations!$B$20*S172*Declarations!$C$22+Declarations!$B$21*R172*Declarations!$C$20+Declarations!$B$21*T172*Declarations!$C$21+Declarations!$B$21*U172*Declarations!$C$22+Declarations!$B$22*S172*Declarations!$C$20+Declarations!$B$22*U172*Declarations!$C$21+Declarations!$B$22*V172*Declarations!$C$22+0</f>
        <v>4.60691808995941</v>
      </c>
      <c r="S173" s="20" t="n">
        <f aca="false">Declarations!$B$20*Q172*Declarations!$D$20+Declarations!$B$20*R172*Declarations!$D$21+Declarations!$B$20*S172*Declarations!$D$22+Declarations!$B$21*R172*Declarations!$D$20+Declarations!$B$21*T172*Declarations!$D$21+Declarations!$B$21*U172*Declarations!$D$22+Declarations!$B$22*S172*Declarations!$D$20+Declarations!$B$22*U172*Declarations!$D$21+Declarations!$B$22*V172*Declarations!$D$22+0</f>
        <v>0.617283950617284</v>
      </c>
      <c r="T173" s="20" t="n">
        <f aca="false">Declarations!$C$20*Q172*Declarations!$C$20+Declarations!$C$20*R172*Declarations!$C$21+Declarations!$C$20*S172*Declarations!$C$22+Declarations!$C$21*R172*Declarations!$C$20+Declarations!$C$21*T172*Declarations!$C$21+Declarations!$C$21*U172*Declarations!$C$22+Declarations!$C$22*S172*Declarations!$C$20+Declarations!$C$22*U172*Declarations!$C$21+Declarations!$C$22*V172*Declarations!$C$22+1</f>
        <v>5.70253954909493</v>
      </c>
      <c r="U173" s="20" t="n">
        <f aca="false">Declarations!$C$20*Q172*Declarations!$D$20+Declarations!$C$20*R172*Declarations!$D$21+Declarations!$C$20*S172*Declarations!$D$22+Declarations!$C$21*R172*Declarations!$D$20+Declarations!$C$21*T172*Declarations!$D$21+Declarations!$C$21*U172*Declarations!$D$22+Declarations!$C$22*S172*Declarations!$D$20+Declarations!$C$22*U172*Declarations!$D$21+Declarations!$C$22*V172*Declarations!$D$22+0</f>
        <v>0.771604938271605</v>
      </c>
      <c r="V173" s="20" t="n">
        <f aca="false">Declarations!$D$20*Q172*Declarations!$D$20+Declarations!$D$20*R172*Declarations!$D$21+Declarations!$D$20*S172*Declarations!$D$22+Declarations!$D$21*R172*Declarations!$D$20+Declarations!$D$21*T172*Declarations!$D$21+Declarations!$D$21*U172*Declarations!$D$22+Declarations!$D$22*S172*Declarations!$D$20+Declarations!$D$22*U172*Declarations!$D$21+Declarations!$D$22*V172*Declarations!$D$22+1</f>
        <v>2.77777777777778</v>
      </c>
    </row>
    <row r="174" customFormat="false" ht="15" hidden="false" customHeight="false" outlineLevel="0" collapsed="false">
      <c r="A174" s="18" t="n">
        <v>165</v>
      </c>
      <c r="B174" s="20" t="n">
        <f aca="false">$B$4*B173*$B$4+$B$4*C173*$B$5+$B$5*C173*$B$4+$B$5*D173*$B$5+$E$4</f>
        <v>13.571428233283</v>
      </c>
      <c r="C174" s="20" t="n">
        <f aca="false">$B$4*B173*$C$4+$B$4*C173*$C$5+$B$5*C173*$C$4+$B$5*D173*$C$5+$F$4</f>
        <v>-5.78571413901806</v>
      </c>
      <c r="D174" s="20" t="n">
        <f aca="false">$C$4*B173*$C$4+$C$4*C173*$C$5+$C$5*C173*$C$4+$C$5*D173*$C$5+$F$5</f>
        <v>11.9928568332025</v>
      </c>
      <c r="P174" s="18" t="n">
        <v>165</v>
      </c>
      <c r="Q174" s="20" t="n">
        <f aca="false">Declarations!$B$20*Q173*Declarations!$B$20+Declarations!$B$20*R173*Declarations!$B$21+Declarations!$B$20*S173*Declarations!$B$22+Declarations!$B$21*R173*Declarations!$B$20+Declarations!$B$21*T173*Declarations!$B$21+Declarations!$B$21*U173*Declarations!$B$22+Declarations!$B$22*S173*Declarations!$B$20+Declarations!$B$22*U173*Declarations!$B$21+Declarations!$B$22*V173*Declarations!$B$22+1</f>
        <v>10.2972981734673</v>
      </c>
      <c r="R174" s="20" t="n">
        <f aca="false">Declarations!$B$20*Q173*Declarations!$C$20+Declarations!$B$20*R173*Declarations!$C$21+Declarations!$B$20*S173*Declarations!$C$22+Declarations!$B$21*R173*Declarations!$C$20+Declarations!$B$21*T173*Declarations!$C$21+Declarations!$B$21*U173*Declarations!$C$22+Declarations!$B$22*S173*Declarations!$C$20+Declarations!$B$22*U173*Declarations!$C$21+Declarations!$B$22*V173*Declarations!$C$22+0</f>
        <v>4.60691811965545</v>
      </c>
      <c r="S174" s="20" t="n">
        <f aca="false">Declarations!$B$20*Q173*Declarations!$D$20+Declarations!$B$20*R173*Declarations!$D$21+Declarations!$B$20*S173*Declarations!$D$22+Declarations!$B$21*R173*Declarations!$D$20+Declarations!$B$21*T173*Declarations!$D$21+Declarations!$B$21*U173*Declarations!$D$22+Declarations!$B$22*S173*Declarations!$D$20+Declarations!$B$22*U173*Declarations!$D$21+Declarations!$B$22*V173*Declarations!$D$22+0</f>
        <v>0.617283950617284</v>
      </c>
      <c r="T174" s="20" t="n">
        <f aca="false">Declarations!$C$20*Q173*Declarations!$C$20+Declarations!$C$20*R173*Declarations!$C$21+Declarations!$C$20*S173*Declarations!$C$22+Declarations!$C$21*R173*Declarations!$C$20+Declarations!$C$21*T173*Declarations!$C$21+Declarations!$C$21*U173*Declarations!$C$22+Declarations!$C$22*S173*Declarations!$C$20+Declarations!$C$22*U173*Declarations!$C$21+Declarations!$C$22*V173*Declarations!$C$22+1</f>
        <v>5.70253956394295</v>
      </c>
      <c r="U174" s="20" t="n">
        <f aca="false">Declarations!$C$20*Q173*Declarations!$D$20+Declarations!$C$20*R173*Declarations!$D$21+Declarations!$C$20*S173*Declarations!$D$22+Declarations!$C$21*R173*Declarations!$D$20+Declarations!$C$21*T173*Declarations!$D$21+Declarations!$C$21*U173*Declarations!$D$22+Declarations!$C$22*S173*Declarations!$D$20+Declarations!$C$22*U173*Declarations!$D$21+Declarations!$C$22*V173*Declarations!$D$22+0</f>
        <v>0.771604938271605</v>
      </c>
      <c r="V174" s="20" t="n">
        <f aca="false">Declarations!$D$20*Q173*Declarations!$D$20+Declarations!$D$20*R173*Declarations!$D$21+Declarations!$D$20*S173*Declarations!$D$22+Declarations!$D$21*R173*Declarations!$D$20+Declarations!$D$21*T173*Declarations!$D$21+Declarations!$D$21*U173*Declarations!$D$22+Declarations!$D$22*S173*Declarations!$D$20+Declarations!$D$22*U173*Declarations!$D$21+Declarations!$D$22*V173*Declarations!$D$22+1</f>
        <v>2.77777777777778</v>
      </c>
    </row>
    <row r="175" customFormat="false" ht="15" hidden="false" customHeight="false" outlineLevel="0" collapsed="false">
      <c r="A175" s="18" t="n">
        <v>166</v>
      </c>
      <c r="B175" s="20" t="n">
        <f aca="false">$B$4*B174*$B$4+$B$4*C174*$B$5+$B$5*C174*$B$4+$B$5*D174*$B$5+$E$4</f>
        <v>13.5714282519292</v>
      </c>
      <c r="C175" s="20" t="n">
        <f aca="false">$B$4*B174*$C$4+$B$4*C174*$C$5+$B$5*C174*$C$4+$B$5*D174*$C$5+$F$4</f>
        <v>-5.78571414384296</v>
      </c>
      <c r="D175" s="20" t="n">
        <f aca="false">$C$4*B174*$C$4+$C$4*C174*$C$5+$C$5*C174*$C$4+$C$5*D174*$C$5+$F$5</f>
        <v>11.9928568689592</v>
      </c>
      <c r="P175" s="18" t="n">
        <v>166</v>
      </c>
      <c r="Q175" s="20" t="n">
        <f aca="false">Declarations!$B$20*Q174*Declarations!$B$20+Declarations!$B$20*R174*Declarations!$B$21+Declarations!$B$20*S174*Declarations!$B$22+Declarations!$B$21*R174*Declarations!$B$20+Declarations!$B$21*T174*Declarations!$B$21+Declarations!$B$21*U174*Declarations!$B$22+Declarations!$B$22*S174*Declarations!$B$20+Declarations!$B$22*U174*Declarations!$B$21+Declarations!$B$22*V174*Declarations!$B$22+1</f>
        <v>10.2972982270686</v>
      </c>
      <c r="R175" s="20" t="n">
        <f aca="false">Declarations!$B$20*Q174*Declarations!$C$20+Declarations!$B$20*R174*Declarations!$C$21+Declarations!$B$20*S174*Declarations!$C$22+Declarations!$B$21*R174*Declarations!$C$20+Declarations!$B$21*T174*Declarations!$C$21+Declarations!$B$21*U174*Declarations!$C$22+Declarations!$B$22*S174*Declarations!$C$20+Declarations!$B$22*U174*Declarations!$C$21+Declarations!$B$22*V174*Declarations!$C$22+0</f>
        <v>4.60691814645612</v>
      </c>
      <c r="S175" s="20" t="n">
        <f aca="false">Declarations!$B$20*Q174*Declarations!$D$20+Declarations!$B$20*R174*Declarations!$D$21+Declarations!$B$20*S174*Declarations!$D$22+Declarations!$B$21*R174*Declarations!$D$20+Declarations!$B$21*T174*Declarations!$D$21+Declarations!$B$21*U174*Declarations!$D$22+Declarations!$B$22*S174*Declarations!$D$20+Declarations!$B$22*U174*Declarations!$D$21+Declarations!$B$22*V174*Declarations!$D$22+0</f>
        <v>0.617283950617284</v>
      </c>
      <c r="T175" s="20" t="n">
        <f aca="false">Declarations!$C$20*Q174*Declarations!$C$20+Declarations!$C$20*R174*Declarations!$C$21+Declarations!$C$20*S174*Declarations!$C$22+Declarations!$C$21*R174*Declarations!$C$20+Declarations!$C$21*T174*Declarations!$C$21+Declarations!$C$21*U174*Declarations!$C$22+Declarations!$C$22*S174*Declarations!$C$20+Declarations!$C$22*U174*Declarations!$C$21+Declarations!$C$22*V174*Declarations!$C$22+1</f>
        <v>5.70253957734328</v>
      </c>
      <c r="U175" s="20" t="n">
        <f aca="false">Declarations!$C$20*Q174*Declarations!$D$20+Declarations!$C$20*R174*Declarations!$D$21+Declarations!$C$20*S174*Declarations!$D$22+Declarations!$C$21*R174*Declarations!$D$20+Declarations!$C$21*T174*Declarations!$D$21+Declarations!$C$21*U174*Declarations!$D$22+Declarations!$C$22*S174*Declarations!$D$20+Declarations!$C$22*U174*Declarations!$D$21+Declarations!$C$22*V174*Declarations!$D$22+0</f>
        <v>0.771604938271605</v>
      </c>
      <c r="V175" s="20" t="n">
        <f aca="false">Declarations!$D$20*Q174*Declarations!$D$20+Declarations!$D$20*R174*Declarations!$D$21+Declarations!$D$20*S174*Declarations!$D$22+Declarations!$D$21*R174*Declarations!$D$20+Declarations!$D$21*T174*Declarations!$D$21+Declarations!$D$21*U174*Declarations!$D$22+Declarations!$D$22*S174*Declarations!$D$20+Declarations!$D$22*U174*Declarations!$D$21+Declarations!$D$22*V174*Declarations!$D$22+1</f>
        <v>2.77777777777778</v>
      </c>
    </row>
    <row r="176" customFormat="false" ht="15" hidden="false" customHeight="false" outlineLevel="0" collapsed="false">
      <c r="A176" s="18" t="n">
        <v>167</v>
      </c>
      <c r="B176" s="20" t="n">
        <f aca="false">$B$4*B175*$B$4+$B$4*C175*$B$5+$B$5*C175*$B$4+$B$5*D175*$B$5+$E$4</f>
        <v>13.5714282941045</v>
      </c>
      <c r="C176" s="20" t="n">
        <f aca="false">$B$4*B175*$C$4+$B$4*C175*$C$5+$B$5*C175*$C$4+$B$5*D175*$C$5+$F$4</f>
        <v>-5.78571415460397</v>
      </c>
      <c r="D176" s="20" t="n">
        <f aca="false">$C$4*B175*$C$4+$C$4*C175*$C$5+$C$5*C175*$C$4+$C$5*D175*$C$5+$F$5</f>
        <v>11.9928568840626</v>
      </c>
      <c r="P176" s="18" t="n">
        <v>167</v>
      </c>
      <c r="Q176" s="20" t="n">
        <f aca="false">Declarations!$B$20*Q175*Declarations!$B$20+Declarations!$B$20*R175*Declarations!$B$21+Declarations!$B$20*S175*Declarations!$B$22+Declarations!$B$21*R175*Declarations!$B$20+Declarations!$B$21*T175*Declarations!$B$21+Declarations!$B$21*U175*Declarations!$B$22+Declarations!$B$22*S175*Declarations!$B$20+Declarations!$B$22*U175*Declarations!$B$21+Declarations!$B$22*V175*Declarations!$B$22+1</f>
        <v>10.2972982754438</v>
      </c>
      <c r="R176" s="20" t="n">
        <f aca="false">Declarations!$B$20*Q175*Declarations!$C$20+Declarations!$B$20*R175*Declarations!$C$21+Declarations!$B$20*S175*Declarations!$C$22+Declarations!$B$21*R175*Declarations!$C$20+Declarations!$B$21*T175*Declarations!$C$21+Declarations!$B$21*U175*Declarations!$C$22+Declarations!$B$22*S175*Declarations!$C$20+Declarations!$B$22*U175*Declarations!$C$21+Declarations!$B$22*V175*Declarations!$C$22+0</f>
        <v>4.60691817064373</v>
      </c>
      <c r="S176" s="20" t="n">
        <f aca="false">Declarations!$B$20*Q175*Declarations!$D$20+Declarations!$B$20*R175*Declarations!$D$21+Declarations!$B$20*S175*Declarations!$D$22+Declarations!$B$21*R175*Declarations!$D$20+Declarations!$B$21*T175*Declarations!$D$21+Declarations!$B$21*U175*Declarations!$D$22+Declarations!$B$22*S175*Declarations!$D$20+Declarations!$B$22*U175*Declarations!$D$21+Declarations!$B$22*V175*Declarations!$D$22+0</f>
        <v>0.617283950617284</v>
      </c>
      <c r="T176" s="20" t="n">
        <f aca="false">Declarations!$C$20*Q175*Declarations!$C$20+Declarations!$C$20*R175*Declarations!$C$21+Declarations!$C$20*S175*Declarations!$C$22+Declarations!$C$21*R175*Declarations!$C$20+Declarations!$C$21*T175*Declarations!$C$21+Declarations!$C$21*U175*Declarations!$C$22+Declarations!$C$22*S175*Declarations!$C$20+Declarations!$C$22*U175*Declarations!$C$21+Declarations!$C$22*V175*Declarations!$C$22+1</f>
        <v>5.70253958943709</v>
      </c>
      <c r="U176" s="20" t="n">
        <f aca="false">Declarations!$C$20*Q175*Declarations!$D$20+Declarations!$C$20*R175*Declarations!$D$21+Declarations!$C$20*S175*Declarations!$D$22+Declarations!$C$21*R175*Declarations!$D$20+Declarations!$C$21*T175*Declarations!$D$21+Declarations!$C$21*U175*Declarations!$D$22+Declarations!$C$22*S175*Declarations!$D$20+Declarations!$C$22*U175*Declarations!$D$21+Declarations!$C$22*V175*Declarations!$D$22+0</f>
        <v>0.771604938271605</v>
      </c>
      <c r="V176" s="20" t="n">
        <f aca="false">Declarations!$D$20*Q175*Declarations!$D$20+Declarations!$D$20*R175*Declarations!$D$21+Declarations!$D$20*S175*Declarations!$D$22+Declarations!$D$21*R175*Declarations!$D$20+Declarations!$D$21*T175*Declarations!$D$21+Declarations!$D$21*U175*Declarations!$D$22+Declarations!$D$22*S175*Declarations!$D$20+Declarations!$D$22*U175*Declarations!$D$21+Declarations!$D$22*V175*Declarations!$D$22+1</f>
        <v>2.77777777777778</v>
      </c>
    </row>
    <row r="177" customFormat="false" ht="15" hidden="false" customHeight="false" outlineLevel="0" collapsed="false">
      <c r="A177" s="18" t="n">
        <v>168</v>
      </c>
      <c r="B177" s="20" t="n">
        <f aca="false">$B$4*B176*$B$4+$B$4*C176*$B$5+$B$5*C176*$B$4+$B$5*D176*$B$5+$E$4</f>
        <v>13.5714283240001</v>
      </c>
      <c r="C177" s="20" t="n">
        <f aca="false">$B$4*B176*$C$4+$B$4*C176*$C$5+$B$5*C176*$C$4+$B$5*D176*$C$5+$F$4</f>
        <v>-5.78571417908109</v>
      </c>
      <c r="D177" s="20" t="n">
        <f aca="false">$C$4*B176*$C$4+$C$4*C176*$C$5+$C$5*C176*$C$4+$C$5*D176*$C$5+$F$5</f>
        <v>11.9928569182247</v>
      </c>
      <c r="P177" s="18" t="n">
        <v>168</v>
      </c>
      <c r="Q177" s="20" t="n">
        <f aca="false">Declarations!$B$20*Q176*Declarations!$B$20+Declarations!$B$20*R176*Declarations!$B$21+Declarations!$B$20*S176*Declarations!$B$22+Declarations!$B$21*R176*Declarations!$B$20+Declarations!$B$21*T176*Declarations!$B$21+Declarations!$B$21*U176*Declarations!$B$22+Declarations!$B$22*S176*Declarations!$B$20+Declarations!$B$22*U176*Declarations!$B$21+Declarations!$B$22*V176*Declarations!$B$22+1</f>
        <v>10.2972983191025</v>
      </c>
      <c r="R177" s="20" t="n">
        <f aca="false">Declarations!$B$20*Q176*Declarations!$C$20+Declarations!$B$20*R176*Declarations!$C$21+Declarations!$B$20*S176*Declarations!$C$22+Declarations!$B$21*R176*Declarations!$C$20+Declarations!$B$21*T176*Declarations!$C$21+Declarations!$B$21*U176*Declarations!$C$22+Declarations!$B$22*S176*Declarations!$C$20+Declarations!$B$22*U176*Declarations!$C$21+Declarations!$B$22*V176*Declarations!$C$22+0</f>
        <v>4.60691819247304</v>
      </c>
      <c r="S177" s="20" t="n">
        <f aca="false">Declarations!$B$20*Q176*Declarations!$D$20+Declarations!$B$20*R176*Declarations!$D$21+Declarations!$B$20*S176*Declarations!$D$22+Declarations!$B$21*R176*Declarations!$D$20+Declarations!$B$21*T176*Declarations!$D$21+Declarations!$B$21*U176*Declarations!$D$22+Declarations!$B$22*S176*Declarations!$D$20+Declarations!$B$22*U176*Declarations!$D$21+Declarations!$B$22*V176*Declarations!$D$22+0</f>
        <v>0.617283950617284</v>
      </c>
      <c r="T177" s="20" t="n">
        <f aca="false">Declarations!$C$20*Q176*Declarations!$C$20+Declarations!$C$20*R176*Declarations!$C$21+Declarations!$C$20*S176*Declarations!$C$22+Declarations!$C$21*R176*Declarations!$C$20+Declarations!$C$21*T176*Declarations!$C$21+Declarations!$C$21*U176*Declarations!$C$22+Declarations!$C$22*S176*Declarations!$C$20+Declarations!$C$22*U176*Declarations!$C$21+Declarations!$C$22*V176*Declarations!$C$22+1</f>
        <v>5.70253960035174</v>
      </c>
      <c r="U177" s="20" t="n">
        <f aca="false">Declarations!$C$20*Q176*Declarations!$D$20+Declarations!$C$20*R176*Declarations!$D$21+Declarations!$C$20*S176*Declarations!$D$22+Declarations!$C$21*R176*Declarations!$D$20+Declarations!$C$21*T176*Declarations!$D$21+Declarations!$C$21*U176*Declarations!$D$22+Declarations!$C$22*S176*Declarations!$D$20+Declarations!$C$22*U176*Declarations!$D$21+Declarations!$C$22*V176*Declarations!$D$22+0</f>
        <v>0.771604938271605</v>
      </c>
      <c r="V177" s="20" t="n">
        <f aca="false">Declarations!$D$20*Q176*Declarations!$D$20+Declarations!$D$20*R176*Declarations!$D$21+Declarations!$D$20*S176*Declarations!$D$22+Declarations!$D$21*R176*Declarations!$D$20+Declarations!$D$21*T176*Declarations!$D$21+Declarations!$D$21*U176*Declarations!$D$22+Declarations!$D$22*S176*Declarations!$D$20+Declarations!$D$22*U176*Declarations!$D$21+Declarations!$D$22*V176*Declarations!$D$22+1</f>
        <v>2.77777777777778</v>
      </c>
    </row>
    <row r="178" customFormat="false" ht="15" hidden="false" customHeight="false" outlineLevel="0" collapsed="false">
      <c r="A178" s="18" t="n">
        <v>169</v>
      </c>
      <c r="B178" s="20" t="n">
        <f aca="false">$B$4*B177*$B$4+$B$4*C177*$B$5+$B$5*C177*$B$4+$B$5*D177*$B$5+$E$4</f>
        <v>13.5714283383188</v>
      </c>
      <c r="C178" s="20" t="n">
        <f aca="false">$B$4*B177*$C$4+$B$4*C177*$C$5+$B$5*C177*$C$4+$B$5*D177*$C$5+$F$4</f>
        <v>-5.78571418126714</v>
      </c>
      <c r="D178" s="20" t="n">
        <f aca="false">$C$4*B177*$C$4+$C$4*C177*$C$5+$C$5*C177*$C$4+$C$5*D177*$C$5+$F$5</f>
        <v>11.9928569424401</v>
      </c>
      <c r="P178" s="18" t="n">
        <v>169</v>
      </c>
      <c r="Q178" s="20" t="n">
        <f aca="false">Declarations!$B$20*Q177*Declarations!$B$20+Declarations!$B$20*R177*Declarations!$B$21+Declarations!$B$20*S177*Declarations!$B$22+Declarations!$B$21*R177*Declarations!$B$20+Declarations!$B$21*T177*Declarations!$B$21+Declarations!$B$21*U177*Declarations!$B$22+Declarations!$B$22*S177*Declarations!$B$20+Declarations!$B$22*U177*Declarations!$B$21+Declarations!$B$22*V177*Declarations!$B$22+1</f>
        <v>10.2972983585044</v>
      </c>
      <c r="R178" s="20" t="n">
        <f aca="false">Declarations!$B$20*Q177*Declarations!$C$20+Declarations!$B$20*R177*Declarations!$C$21+Declarations!$B$20*S177*Declarations!$C$22+Declarations!$B$21*R177*Declarations!$C$20+Declarations!$B$21*T177*Declarations!$C$21+Declarations!$B$21*U177*Declarations!$C$22+Declarations!$B$22*S177*Declarations!$C$20+Declarations!$B$22*U177*Declarations!$C$21+Declarations!$B$22*V177*Declarations!$C$22+0</f>
        <v>4.606918212174</v>
      </c>
      <c r="S178" s="20" t="n">
        <f aca="false">Declarations!$B$20*Q177*Declarations!$D$20+Declarations!$B$20*R177*Declarations!$D$21+Declarations!$B$20*S177*Declarations!$D$22+Declarations!$B$21*R177*Declarations!$D$20+Declarations!$B$21*T177*Declarations!$D$21+Declarations!$B$21*U177*Declarations!$D$22+Declarations!$B$22*S177*Declarations!$D$20+Declarations!$B$22*U177*Declarations!$D$21+Declarations!$B$22*V177*Declarations!$D$22+0</f>
        <v>0.617283950617284</v>
      </c>
      <c r="T178" s="20" t="n">
        <f aca="false">Declarations!$C$20*Q177*Declarations!$C$20+Declarations!$C$20*R177*Declarations!$C$21+Declarations!$C$20*S177*Declarations!$C$22+Declarations!$C$21*R177*Declarations!$C$20+Declarations!$C$21*T177*Declarations!$C$21+Declarations!$C$21*U177*Declarations!$C$22+Declarations!$C$22*S177*Declarations!$C$20+Declarations!$C$22*U177*Declarations!$C$21+Declarations!$C$22*V177*Declarations!$C$22+1</f>
        <v>5.70253961020222</v>
      </c>
      <c r="U178" s="20" t="n">
        <f aca="false">Declarations!$C$20*Q177*Declarations!$D$20+Declarations!$C$20*R177*Declarations!$D$21+Declarations!$C$20*S177*Declarations!$D$22+Declarations!$C$21*R177*Declarations!$D$20+Declarations!$C$21*T177*Declarations!$D$21+Declarations!$C$21*U177*Declarations!$D$22+Declarations!$C$22*S177*Declarations!$D$20+Declarations!$C$22*U177*Declarations!$D$21+Declarations!$C$22*V177*Declarations!$D$22+0</f>
        <v>0.771604938271605</v>
      </c>
      <c r="V178" s="20" t="n">
        <f aca="false">Declarations!$D$20*Q177*Declarations!$D$20+Declarations!$D$20*R177*Declarations!$D$21+Declarations!$D$20*S177*Declarations!$D$22+Declarations!$D$21*R177*Declarations!$D$20+Declarations!$D$21*T177*Declarations!$D$21+Declarations!$D$21*U177*Declarations!$D$22+Declarations!$D$22*S177*Declarations!$D$20+Declarations!$D$22*U177*Declarations!$D$21+Declarations!$D$22*V177*Declarations!$D$22+1</f>
        <v>2.77777777777778</v>
      </c>
    </row>
    <row r="179" customFormat="false" ht="15" hidden="false" customHeight="false" outlineLevel="0" collapsed="false">
      <c r="A179" s="18" t="n">
        <v>170</v>
      </c>
      <c r="B179" s="20" t="n">
        <f aca="false">$B$4*B178*$B$4+$B$4*C178*$B$5+$B$5*C178*$B$4+$B$5*D178*$B$5+$E$4</f>
        <v>13.5714283701975</v>
      </c>
      <c r="C179" s="20" t="n">
        <f aca="false">$B$4*B178*$C$4+$B$4*C178*$C$5+$B$5*C178*$C$4+$B$5*D178*$C$5+$F$4</f>
        <v>-5.78571419089782</v>
      </c>
      <c r="D179" s="20" t="n">
        <f aca="false">$C$4*B178*$C$4+$C$4*C178*$C$5+$C$5*C178*$C$4+$C$5*D178*$C$5+$F$5</f>
        <v>11.9928569540382</v>
      </c>
      <c r="P179" s="18" t="n">
        <v>170</v>
      </c>
      <c r="Q179" s="20" t="n">
        <f aca="false">Declarations!$B$20*Q178*Declarations!$B$20+Declarations!$B$20*R178*Declarations!$B$21+Declarations!$B$20*S178*Declarations!$B$22+Declarations!$B$21*R178*Declarations!$B$20+Declarations!$B$21*T178*Declarations!$B$21+Declarations!$B$21*U178*Declarations!$B$22+Declarations!$B$22*S178*Declarations!$B$20+Declarations!$B$22*U178*Declarations!$B$21+Declarations!$B$22*V178*Declarations!$B$22+1</f>
        <v>10.2972983940646</v>
      </c>
      <c r="R179" s="20" t="n">
        <f aca="false">Declarations!$B$20*Q178*Declarations!$C$20+Declarations!$B$20*R178*Declarations!$C$21+Declarations!$B$20*S178*Declarations!$C$22+Declarations!$B$21*R178*Declarations!$C$20+Declarations!$B$21*T178*Declarations!$C$21+Declarations!$B$21*U178*Declarations!$C$22+Declarations!$B$22*S178*Declarations!$C$20+Declarations!$B$22*U178*Declarations!$C$21+Declarations!$B$22*V178*Declarations!$C$22+0</f>
        <v>4.60691822995411</v>
      </c>
      <c r="S179" s="20" t="n">
        <f aca="false">Declarations!$B$20*Q178*Declarations!$D$20+Declarations!$B$20*R178*Declarations!$D$21+Declarations!$B$20*S178*Declarations!$D$22+Declarations!$B$21*R178*Declarations!$D$20+Declarations!$B$21*T178*Declarations!$D$21+Declarations!$B$21*U178*Declarations!$D$22+Declarations!$B$22*S178*Declarations!$D$20+Declarations!$B$22*U178*Declarations!$D$21+Declarations!$B$22*V178*Declarations!$D$22+0</f>
        <v>0.617283950617284</v>
      </c>
      <c r="T179" s="20" t="n">
        <f aca="false">Declarations!$C$20*Q178*Declarations!$C$20+Declarations!$C$20*R178*Declarations!$C$21+Declarations!$C$20*S178*Declarations!$C$22+Declarations!$C$21*R178*Declarations!$C$20+Declarations!$C$21*T178*Declarations!$C$21+Declarations!$C$21*U178*Declarations!$C$22+Declarations!$C$22*S178*Declarations!$C$20+Declarations!$C$22*U178*Declarations!$C$21+Declarations!$C$22*V178*Declarations!$C$22+1</f>
        <v>5.70253961909228</v>
      </c>
      <c r="U179" s="20" t="n">
        <f aca="false">Declarations!$C$20*Q178*Declarations!$D$20+Declarations!$C$20*R178*Declarations!$D$21+Declarations!$C$20*S178*Declarations!$D$22+Declarations!$C$21*R178*Declarations!$D$20+Declarations!$C$21*T178*Declarations!$D$21+Declarations!$C$21*U178*Declarations!$D$22+Declarations!$C$22*S178*Declarations!$D$20+Declarations!$C$22*U178*Declarations!$D$21+Declarations!$C$22*V178*Declarations!$D$22+0</f>
        <v>0.771604938271605</v>
      </c>
      <c r="V179" s="20" t="n">
        <f aca="false">Declarations!$D$20*Q178*Declarations!$D$20+Declarations!$D$20*R178*Declarations!$D$21+Declarations!$D$20*S178*Declarations!$D$22+Declarations!$D$21*R178*Declarations!$D$20+Declarations!$D$21*T178*Declarations!$D$21+Declarations!$D$21*U178*Declarations!$D$22+Declarations!$D$22*S178*Declarations!$D$20+Declarations!$D$22*U178*Declarations!$D$21+Declarations!$D$22*V178*Declarations!$D$22+1</f>
        <v>2.77777777777778</v>
      </c>
    </row>
    <row r="180" customFormat="false" ht="15" hidden="false" customHeight="false" outlineLevel="0" collapsed="false">
      <c r="A180" s="18" t="n">
        <v>171</v>
      </c>
      <c r="B180" s="20" t="n">
        <f aca="false">$B$4*B179*$B$4+$B$4*C179*$B$5+$B$5*C179*$B$4+$B$5*D179*$B$5+$E$4</f>
        <v>13.5714283902822</v>
      </c>
      <c r="C180" s="20" t="n">
        <f aca="false">$B$4*B179*$C$4+$B$4*C179*$C$5+$B$5*C179*$C$4+$B$5*D179*$C$5+$F$4</f>
        <v>-5.78571420805195</v>
      </c>
      <c r="D180" s="20" t="n">
        <f aca="false">$C$4*B179*$C$4+$C$4*C179*$C$5+$C$5*C179*$C$4+$C$5*D179*$C$5+$F$5</f>
        <v>11.99285697986</v>
      </c>
      <c r="P180" s="18" t="n">
        <v>171</v>
      </c>
      <c r="Q180" s="20" t="n">
        <f aca="false">Declarations!$B$20*Q179*Declarations!$B$20+Declarations!$B$20*R179*Declarations!$B$21+Declarations!$B$20*S179*Declarations!$B$22+Declarations!$B$21*R179*Declarations!$B$20+Declarations!$B$21*T179*Declarations!$B$21+Declarations!$B$21*U179*Declarations!$B$22+Declarations!$B$22*S179*Declarations!$B$20+Declarations!$B$22*U179*Declarations!$B$21+Declarations!$B$22*V179*Declarations!$B$22+1</f>
        <v>10.2972984261577</v>
      </c>
      <c r="R180" s="20" t="n">
        <f aca="false">Declarations!$B$20*Q179*Declarations!$C$20+Declarations!$B$20*R179*Declarations!$C$21+Declarations!$B$20*S179*Declarations!$C$22+Declarations!$B$21*R179*Declarations!$C$20+Declarations!$B$21*T179*Declarations!$C$21+Declarations!$B$21*U179*Declarations!$C$22+Declarations!$B$22*S179*Declarations!$C$20+Declarations!$B$22*U179*Declarations!$C$21+Declarations!$B$22*V179*Declarations!$C$22+0</f>
        <v>4.60691824600067</v>
      </c>
      <c r="S180" s="20" t="n">
        <f aca="false">Declarations!$B$20*Q179*Declarations!$D$20+Declarations!$B$20*R179*Declarations!$D$21+Declarations!$B$20*S179*Declarations!$D$22+Declarations!$B$21*R179*Declarations!$D$20+Declarations!$B$21*T179*Declarations!$D$21+Declarations!$B$21*U179*Declarations!$D$22+Declarations!$B$22*S179*Declarations!$D$20+Declarations!$B$22*U179*Declarations!$D$21+Declarations!$B$22*V179*Declarations!$D$22+0</f>
        <v>0.617283950617284</v>
      </c>
      <c r="T180" s="20" t="n">
        <f aca="false">Declarations!$C$20*Q179*Declarations!$C$20+Declarations!$C$20*R179*Declarations!$C$21+Declarations!$C$20*S179*Declarations!$C$22+Declarations!$C$21*R179*Declarations!$C$20+Declarations!$C$21*T179*Declarations!$C$21+Declarations!$C$21*U179*Declarations!$C$22+Declarations!$C$22*S179*Declarations!$C$20+Declarations!$C$22*U179*Declarations!$C$21+Declarations!$C$22*V179*Declarations!$C$22+1</f>
        <v>5.70253962711556</v>
      </c>
      <c r="U180" s="20" t="n">
        <f aca="false">Declarations!$C$20*Q179*Declarations!$D$20+Declarations!$C$20*R179*Declarations!$D$21+Declarations!$C$20*S179*Declarations!$D$22+Declarations!$C$21*R179*Declarations!$D$20+Declarations!$C$21*T179*Declarations!$D$21+Declarations!$C$21*U179*Declarations!$D$22+Declarations!$C$22*S179*Declarations!$D$20+Declarations!$C$22*U179*Declarations!$D$21+Declarations!$C$22*V179*Declarations!$D$22+0</f>
        <v>0.771604938271605</v>
      </c>
      <c r="V180" s="20" t="n">
        <f aca="false">Declarations!$D$20*Q179*Declarations!$D$20+Declarations!$D$20*R179*Declarations!$D$21+Declarations!$D$20*S179*Declarations!$D$22+Declarations!$D$21*R179*Declarations!$D$20+Declarations!$D$21*T179*Declarations!$D$21+Declarations!$D$21*U179*Declarations!$D$22+Declarations!$D$22*S179*Declarations!$D$20+Declarations!$D$22*U179*Declarations!$D$21+Declarations!$D$22*V179*Declarations!$D$22+1</f>
        <v>2.77777777777778</v>
      </c>
    </row>
    <row r="181" customFormat="false" ht="15" hidden="false" customHeight="false" outlineLevel="0" collapsed="false">
      <c r="A181" s="18" t="n">
        <v>172</v>
      </c>
      <c r="B181" s="20" t="n">
        <f aca="false">$B$4*B180*$B$4+$B$4*C180*$B$5+$B$5*C180*$B$4+$B$5*D180*$B$5+$E$4</f>
        <v>13.571428401495</v>
      </c>
      <c r="C181" s="20" t="n">
        <f aca="false">$B$4*B180*$C$4+$B$4*C180*$C$5+$B$5*C180*$C$4+$B$5*D180*$C$5+$F$4</f>
        <v>-5.78571420888179</v>
      </c>
      <c r="D181" s="20" t="n">
        <f aca="false">$C$4*B180*$C$4+$C$4*C180*$C$5+$C$5*C180*$C$4+$C$5*D180*$C$5+$F$5</f>
        <v>11.9928569961285</v>
      </c>
      <c r="P181" s="18" t="n">
        <v>172</v>
      </c>
      <c r="Q181" s="20" t="n">
        <f aca="false">Declarations!$B$20*Q180*Declarations!$B$20+Declarations!$B$20*R180*Declarations!$B$21+Declarations!$B$20*S180*Declarations!$B$22+Declarations!$B$21*R180*Declarations!$B$20+Declarations!$B$21*T180*Declarations!$B$21+Declarations!$B$21*U180*Declarations!$B$22+Declarations!$B$22*S180*Declarations!$B$20+Declarations!$B$22*U180*Declarations!$B$21+Declarations!$B$22*V180*Declarations!$B$22+1</f>
        <v>10.2972984551217</v>
      </c>
      <c r="R181" s="20" t="n">
        <f aca="false">Declarations!$B$20*Q180*Declarations!$C$20+Declarations!$B$20*R180*Declarations!$C$21+Declarations!$B$20*S180*Declarations!$C$22+Declarations!$B$21*R180*Declarations!$C$20+Declarations!$B$21*T180*Declarations!$C$21+Declarations!$B$21*U180*Declarations!$C$22+Declarations!$B$22*S180*Declarations!$C$20+Declarations!$B$22*U180*Declarations!$C$21+Declarations!$B$22*V180*Declarations!$C$22+0</f>
        <v>4.60691826048268</v>
      </c>
      <c r="S181" s="20" t="n">
        <f aca="false">Declarations!$B$20*Q180*Declarations!$D$20+Declarations!$B$20*R180*Declarations!$D$21+Declarations!$B$20*S180*Declarations!$D$22+Declarations!$B$21*R180*Declarations!$D$20+Declarations!$B$21*T180*Declarations!$D$21+Declarations!$B$21*U180*Declarations!$D$22+Declarations!$B$22*S180*Declarations!$D$20+Declarations!$B$22*U180*Declarations!$D$21+Declarations!$B$22*V180*Declarations!$D$22+0</f>
        <v>0.617283950617284</v>
      </c>
      <c r="T181" s="20" t="n">
        <f aca="false">Declarations!$C$20*Q180*Declarations!$C$20+Declarations!$C$20*R180*Declarations!$C$21+Declarations!$C$20*S180*Declarations!$C$22+Declarations!$C$21*R180*Declarations!$C$20+Declarations!$C$21*T180*Declarations!$C$21+Declarations!$C$21*U180*Declarations!$C$22+Declarations!$C$22*S180*Declarations!$C$20+Declarations!$C$22*U180*Declarations!$C$21+Declarations!$C$22*V180*Declarations!$C$22+1</f>
        <v>5.70253963435656</v>
      </c>
      <c r="U181" s="20" t="n">
        <f aca="false">Declarations!$C$20*Q180*Declarations!$D$20+Declarations!$C$20*R180*Declarations!$D$21+Declarations!$C$20*S180*Declarations!$D$22+Declarations!$C$21*R180*Declarations!$D$20+Declarations!$C$21*T180*Declarations!$D$21+Declarations!$C$21*U180*Declarations!$D$22+Declarations!$C$22*S180*Declarations!$D$20+Declarations!$C$22*U180*Declarations!$D$21+Declarations!$C$22*V180*Declarations!$D$22+0</f>
        <v>0.771604938271605</v>
      </c>
      <c r="V181" s="20" t="n">
        <f aca="false">Declarations!$D$20*Q180*Declarations!$D$20+Declarations!$D$20*R180*Declarations!$D$21+Declarations!$D$20*S180*Declarations!$D$22+Declarations!$D$21*R180*Declarations!$D$20+Declarations!$D$21*T180*Declarations!$D$21+Declarations!$D$21*U180*Declarations!$D$22+Declarations!$D$22*S180*Declarations!$D$20+Declarations!$D$22*U180*Declarations!$D$21+Declarations!$D$22*V180*Declarations!$D$22+1</f>
        <v>2.77777777777778</v>
      </c>
    </row>
    <row r="182" customFormat="false" ht="15" hidden="false" customHeight="false" outlineLevel="0" collapsed="false">
      <c r="A182" s="18" t="n">
        <v>173</v>
      </c>
      <c r="B182" s="20" t="n">
        <f aca="false">$B$4*B181*$B$4+$B$4*C181*$B$5+$B$5*C181*$B$4+$B$5*D181*$B$5+$E$4</f>
        <v>13.5714284253523</v>
      </c>
      <c r="C182" s="20" t="n">
        <f aca="false">$B$4*B181*$C$4+$B$4*C181*$C$5+$B$5*C181*$C$4+$B$5*D181*$C$5+$F$4</f>
        <v>-5.78571421721736</v>
      </c>
      <c r="D182" s="20" t="n">
        <f aca="false">$C$4*B181*$C$4+$C$4*C181*$C$5+$C$5*C181*$C$4+$C$5*D181*$C$5+$F$5</f>
        <v>11.992857005211</v>
      </c>
      <c r="P182" s="18" t="n">
        <v>173</v>
      </c>
      <c r="Q182" s="20" t="n">
        <f aca="false">Declarations!$B$20*Q181*Declarations!$B$20+Declarations!$B$20*R181*Declarations!$B$21+Declarations!$B$20*S181*Declarations!$B$22+Declarations!$B$21*R181*Declarations!$B$20+Declarations!$B$21*T181*Declarations!$B$21+Declarations!$B$21*U181*Declarations!$B$22+Declarations!$B$22*S181*Declarations!$B$20+Declarations!$B$22*U181*Declarations!$B$21+Declarations!$B$22*V181*Declarations!$B$22+1</f>
        <v>10.2972984812618</v>
      </c>
      <c r="R182" s="20" t="n">
        <f aca="false">Declarations!$B$20*Q181*Declarations!$C$20+Declarations!$B$20*R181*Declarations!$C$21+Declarations!$B$20*S181*Declarations!$C$22+Declarations!$B$21*R181*Declarations!$C$20+Declarations!$B$21*T181*Declarations!$C$21+Declarations!$B$21*U181*Declarations!$C$22+Declarations!$B$22*S181*Declarations!$C$20+Declarations!$B$22*U181*Declarations!$C$21+Declarations!$B$22*V181*Declarations!$C$22+0</f>
        <v>4.6069182735527</v>
      </c>
      <c r="S182" s="20" t="n">
        <f aca="false">Declarations!$B$20*Q181*Declarations!$D$20+Declarations!$B$20*R181*Declarations!$D$21+Declarations!$B$20*S181*Declarations!$D$22+Declarations!$B$21*R181*Declarations!$D$20+Declarations!$B$21*T181*Declarations!$D$21+Declarations!$B$21*U181*Declarations!$D$22+Declarations!$B$22*S181*Declarations!$D$20+Declarations!$B$22*U181*Declarations!$D$21+Declarations!$B$22*V181*Declarations!$D$22+0</f>
        <v>0.617283950617284</v>
      </c>
      <c r="T182" s="20" t="n">
        <f aca="false">Declarations!$C$20*Q181*Declarations!$C$20+Declarations!$C$20*R181*Declarations!$C$21+Declarations!$C$20*S181*Declarations!$C$22+Declarations!$C$21*R181*Declarations!$C$20+Declarations!$C$21*T181*Declarations!$C$21+Declarations!$C$21*U181*Declarations!$C$22+Declarations!$C$22*S181*Declarations!$C$20+Declarations!$C$22*U181*Declarations!$C$21+Declarations!$C$22*V181*Declarations!$C$22+1</f>
        <v>5.70253964089157</v>
      </c>
      <c r="U182" s="20" t="n">
        <f aca="false">Declarations!$C$20*Q181*Declarations!$D$20+Declarations!$C$20*R181*Declarations!$D$21+Declarations!$C$20*S181*Declarations!$D$22+Declarations!$C$21*R181*Declarations!$D$20+Declarations!$C$21*T181*Declarations!$D$21+Declarations!$C$21*U181*Declarations!$D$22+Declarations!$C$22*S181*Declarations!$D$20+Declarations!$C$22*U181*Declarations!$D$21+Declarations!$C$22*V181*Declarations!$D$22+0</f>
        <v>0.771604938271605</v>
      </c>
      <c r="V182" s="20" t="n">
        <f aca="false">Declarations!$D$20*Q181*Declarations!$D$20+Declarations!$D$20*R181*Declarations!$D$21+Declarations!$D$20*S181*Declarations!$D$22+Declarations!$D$21*R181*Declarations!$D$20+Declarations!$D$21*T181*Declarations!$D$21+Declarations!$D$21*U181*Declarations!$D$22+Declarations!$D$22*S181*Declarations!$D$20+Declarations!$D$22*U181*Declarations!$D$21+Declarations!$D$22*V181*Declarations!$D$22+1</f>
        <v>2.77777777777778</v>
      </c>
    </row>
    <row r="183" customFormat="false" ht="15" hidden="false" customHeight="false" outlineLevel="0" collapsed="false">
      <c r="A183" s="18" t="n">
        <v>174</v>
      </c>
      <c r="B183" s="20" t="n">
        <f aca="false">$B$4*B182*$B$4+$B$4*C182*$B$5+$B$5*C182*$B$4+$B$5*D182*$B$5+$E$4</f>
        <v>13.5714284387551</v>
      </c>
      <c r="C183" s="20" t="n">
        <f aca="false">$B$4*B182*$C$4+$B$4*C182*$C$5+$B$5*C182*$C$4+$B$5*D182*$C$5+$F$4</f>
        <v>-5.78571422903973</v>
      </c>
      <c r="D183" s="20" t="n">
        <f aca="false">$C$4*B182*$C$4+$C$4*C182*$C$5+$C$5*C182*$C$4+$C$5*D182*$C$5+$F$5</f>
        <v>11.9928570245354</v>
      </c>
      <c r="P183" s="18" t="n">
        <v>174</v>
      </c>
      <c r="Q183" s="20" t="n">
        <f aca="false">Declarations!$B$20*Q182*Declarations!$B$20+Declarations!$B$20*R182*Declarations!$B$21+Declarations!$B$20*S182*Declarations!$B$22+Declarations!$B$21*R182*Declarations!$B$20+Declarations!$B$21*T182*Declarations!$B$21+Declarations!$B$21*U182*Declarations!$B$22+Declarations!$B$22*S182*Declarations!$B$20+Declarations!$B$22*U182*Declarations!$B$21+Declarations!$B$22*V182*Declarations!$B$22+1</f>
        <v>10.2972985048532</v>
      </c>
      <c r="R183" s="20" t="n">
        <f aca="false">Declarations!$B$20*Q182*Declarations!$C$20+Declarations!$B$20*R182*Declarations!$C$21+Declarations!$B$20*S182*Declarations!$C$22+Declarations!$B$21*R182*Declarations!$C$20+Declarations!$B$21*T182*Declarations!$C$21+Declarations!$B$21*U182*Declarations!$C$22+Declarations!$B$22*S182*Declarations!$C$20+Declarations!$B$22*U182*Declarations!$C$21+Declarations!$B$22*V182*Declarations!$C$22+0</f>
        <v>4.60691828534839</v>
      </c>
      <c r="S183" s="20" t="n">
        <f aca="false">Declarations!$B$20*Q182*Declarations!$D$20+Declarations!$B$20*R182*Declarations!$D$21+Declarations!$B$20*S182*Declarations!$D$22+Declarations!$B$21*R182*Declarations!$D$20+Declarations!$B$21*T182*Declarations!$D$21+Declarations!$B$21*U182*Declarations!$D$22+Declarations!$B$22*S182*Declarations!$D$20+Declarations!$B$22*U182*Declarations!$D$21+Declarations!$B$22*V182*Declarations!$D$22+0</f>
        <v>0.617283950617284</v>
      </c>
      <c r="T183" s="20" t="n">
        <f aca="false">Declarations!$C$20*Q182*Declarations!$C$20+Declarations!$C$20*R182*Declarations!$C$21+Declarations!$C$20*S182*Declarations!$C$22+Declarations!$C$21*R182*Declarations!$C$20+Declarations!$C$21*T182*Declarations!$C$21+Declarations!$C$21*U182*Declarations!$C$22+Declarations!$C$22*S182*Declarations!$C$20+Declarations!$C$22*U182*Declarations!$C$21+Declarations!$C$22*V182*Declarations!$C$22+1</f>
        <v>5.70253964678942</v>
      </c>
      <c r="U183" s="20" t="n">
        <f aca="false">Declarations!$C$20*Q182*Declarations!$D$20+Declarations!$C$20*R182*Declarations!$D$21+Declarations!$C$20*S182*Declarations!$D$22+Declarations!$C$21*R182*Declarations!$D$20+Declarations!$C$21*T182*Declarations!$D$21+Declarations!$C$21*U182*Declarations!$D$22+Declarations!$C$22*S182*Declarations!$D$20+Declarations!$C$22*U182*Declarations!$D$21+Declarations!$C$22*V182*Declarations!$D$22+0</f>
        <v>0.771604938271605</v>
      </c>
      <c r="V183" s="20" t="n">
        <f aca="false">Declarations!$D$20*Q182*Declarations!$D$20+Declarations!$D$20*R182*Declarations!$D$21+Declarations!$D$20*S182*Declarations!$D$22+Declarations!$D$21*R182*Declarations!$D$20+Declarations!$D$21*T182*Declarations!$D$21+Declarations!$D$21*U182*Declarations!$D$22+Declarations!$D$22*S182*Declarations!$D$20+Declarations!$D$22*U182*Declarations!$D$21+Declarations!$D$22*V182*Declarations!$D$22+1</f>
        <v>2.77777777777778</v>
      </c>
    </row>
    <row r="184" customFormat="false" ht="15" hidden="false" customHeight="false" outlineLevel="0" collapsed="false">
      <c r="A184" s="18" t="n">
        <v>175</v>
      </c>
      <c r="B184" s="20" t="n">
        <f aca="false">$B$4*B183*$B$4+$B$4*C183*$B$5+$B$5*C183*$B$4+$B$5*D183*$B$5+$E$4</f>
        <v>13.5714284476555</v>
      </c>
      <c r="C184" s="20" t="n">
        <f aca="false">$B$4*B183*$C$4+$B$4*C183*$C$5+$B$5*C183*$C$4+$B$5*D183*$C$5+$F$4</f>
        <v>-5.78571422925585</v>
      </c>
      <c r="D184" s="20" t="n">
        <f aca="false">$C$4*B183*$C$4+$C$4*C183*$C$5+$C$5*C183*$C$4+$C$5*D183*$C$5+$F$5</f>
        <v>11.9928570353916</v>
      </c>
      <c r="P184" s="18" t="n">
        <v>175</v>
      </c>
      <c r="Q184" s="20" t="n">
        <f aca="false">Declarations!$B$20*Q183*Declarations!$B$20+Declarations!$B$20*R183*Declarations!$B$21+Declarations!$B$20*S183*Declarations!$B$22+Declarations!$B$21*R183*Declarations!$B$20+Declarations!$B$21*T183*Declarations!$B$21+Declarations!$B$21*U183*Declarations!$B$22+Declarations!$B$22*S183*Declarations!$B$20+Declarations!$B$22*U183*Declarations!$B$21+Declarations!$B$22*V183*Declarations!$B$22+1</f>
        <v>10.2972985261444</v>
      </c>
      <c r="R184" s="20" t="n">
        <f aca="false">Declarations!$B$20*Q183*Declarations!$C$20+Declarations!$B$20*R183*Declarations!$C$21+Declarations!$B$20*S183*Declarations!$C$22+Declarations!$B$21*R183*Declarations!$C$20+Declarations!$B$21*T183*Declarations!$C$21+Declarations!$B$21*U183*Declarations!$C$22+Declarations!$B$22*S183*Declarations!$C$20+Declarations!$B$22*U183*Declarations!$C$21+Declarations!$B$22*V183*Declarations!$C$22+0</f>
        <v>4.606918295994</v>
      </c>
      <c r="S184" s="20" t="n">
        <f aca="false">Declarations!$B$20*Q183*Declarations!$D$20+Declarations!$B$20*R183*Declarations!$D$21+Declarations!$B$20*S183*Declarations!$D$22+Declarations!$B$21*R183*Declarations!$D$20+Declarations!$B$21*T183*Declarations!$D$21+Declarations!$B$21*U183*Declarations!$D$22+Declarations!$B$22*S183*Declarations!$D$20+Declarations!$B$22*U183*Declarations!$D$21+Declarations!$B$22*V183*Declarations!$D$22+0</f>
        <v>0.617283950617284</v>
      </c>
      <c r="T184" s="20" t="n">
        <f aca="false">Declarations!$C$20*Q183*Declarations!$C$20+Declarations!$C$20*R183*Declarations!$C$21+Declarations!$C$20*S183*Declarations!$C$22+Declarations!$C$21*R183*Declarations!$C$20+Declarations!$C$21*T183*Declarations!$C$21+Declarations!$C$21*U183*Declarations!$C$22+Declarations!$C$22*S183*Declarations!$C$20+Declarations!$C$22*U183*Declarations!$C$21+Declarations!$C$22*V183*Declarations!$C$22+1</f>
        <v>5.70253965211222</v>
      </c>
      <c r="U184" s="20" t="n">
        <f aca="false">Declarations!$C$20*Q183*Declarations!$D$20+Declarations!$C$20*R183*Declarations!$D$21+Declarations!$C$20*S183*Declarations!$D$22+Declarations!$C$21*R183*Declarations!$D$20+Declarations!$C$21*T183*Declarations!$D$21+Declarations!$C$21*U183*Declarations!$D$22+Declarations!$C$22*S183*Declarations!$D$20+Declarations!$C$22*U183*Declarations!$D$21+Declarations!$C$22*V183*Declarations!$D$22+0</f>
        <v>0.771604938271605</v>
      </c>
      <c r="V184" s="20" t="n">
        <f aca="false">Declarations!$D$20*Q183*Declarations!$D$20+Declarations!$D$20*R183*Declarations!$D$21+Declarations!$D$20*S183*Declarations!$D$22+Declarations!$D$21*R183*Declarations!$D$20+Declarations!$D$21*T183*Declarations!$D$21+Declarations!$D$21*U183*Declarations!$D$22+Declarations!$D$22*S183*Declarations!$D$20+Declarations!$D$22*U183*Declarations!$D$21+Declarations!$D$22*V183*Declarations!$D$22+1</f>
        <v>2.77777777777778</v>
      </c>
    </row>
    <row r="185" customFormat="false" ht="15" hidden="false" customHeight="false" outlineLevel="0" collapsed="false">
      <c r="A185" s="18" t="n">
        <v>176</v>
      </c>
      <c r="B185" s="20" t="n">
        <f aca="false">$B$4*B184*$B$4+$B$4*C184*$B$5+$B$5*C184*$B$4+$B$5*D184*$B$5+$E$4</f>
        <v>13.571428465332</v>
      </c>
      <c r="C185" s="20" t="n">
        <f aca="false">$B$4*B184*$C$4+$B$4*C184*$C$5+$B$5*C184*$C$4+$B$5*D184*$C$5+$F$4</f>
        <v>-5.78571423627065</v>
      </c>
      <c r="D185" s="20" t="n">
        <f aca="false">$C$4*B184*$C$4+$C$4*C184*$C$5+$C$5*C184*$C$4+$C$5*D184*$C$5+$F$5</f>
        <v>11.9928570426009</v>
      </c>
      <c r="P185" s="18" t="n">
        <v>176</v>
      </c>
      <c r="Q185" s="20" t="n">
        <f aca="false">Declarations!$B$20*Q184*Declarations!$B$20+Declarations!$B$20*R184*Declarations!$B$21+Declarations!$B$20*S184*Declarations!$B$22+Declarations!$B$21*R184*Declarations!$B$20+Declarations!$B$21*T184*Declarations!$B$21+Declarations!$B$21*U184*Declarations!$B$22+Declarations!$B$22*S184*Declarations!$B$20+Declarations!$B$22*U184*Declarations!$B$21+Declarations!$B$22*V184*Declarations!$B$22+1</f>
        <v>10.2972985453597</v>
      </c>
      <c r="R185" s="20" t="n">
        <f aca="false">Declarations!$B$20*Q184*Declarations!$C$20+Declarations!$B$20*R184*Declarations!$C$21+Declarations!$B$20*S184*Declarations!$C$22+Declarations!$B$21*R184*Declarations!$C$20+Declarations!$B$21*T184*Declarations!$C$21+Declarations!$B$21*U184*Declarations!$C$22+Declarations!$B$22*S184*Declarations!$C$20+Declarations!$B$22*U184*Declarations!$C$21+Declarations!$B$22*V184*Declarations!$C$22+0</f>
        <v>4.60691830560166</v>
      </c>
      <c r="S185" s="20" t="n">
        <f aca="false">Declarations!$B$20*Q184*Declarations!$D$20+Declarations!$B$20*R184*Declarations!$D$21+Declarations!$B$20*S184*Declarations!$D$22+Declarations!$B$21*R184*Declarations!$D$20+Declarations!$B$21*T184*Declarations!$D$21+Declarations!$B$21*U184*Declarations!$D$22+Declarations!$B$22*S184*Declarations!$D$20+Declarations!$B$22*U184*Declarations!$D$21+Declarations!$B$22*V184*Declarations!$D$22+0</f>
        <v>0.617283950617284</v>
      </c>
      <c r="T185" s="20" t="n">
        <f aca="false">Declarations!$C$20*Q184*Declarations!$C$20+Declarations!$C$20*R184*Declarations!$C$21+Declarations!$C$20*S184*Declarations!$C$22+Declarations!$C$21*R184*Declarations!$C$20+Declarations!$C$21*T184*Declarations!$C$21+Declarations!$C$21*U184*Declarations!$C$22+Declarations!$C$22*S184*Declarations!$C$20+Declarations!$C$22*U184*Declarations!$C$21+Declarations!$C$22*V184*Declarations!$C$22+1</f>
        <v>5.70253965691605</v>
      </c>
      <c r="U185" s="20" t="n">
        <f aca="false">Declarations!$C$20*Q184*Declarations!$D$20+Declarations!$C$20*R184*Declarations!$D$21+Declarations!$C$20*S184*Declarations!$D$22+Declarations!$C$21*R184*Declarations!$D$20+Declarations!$C$21*T184*Declarations!$D$21+Declarations!$C$21*U184*Declarations!$D$22+Declarations!$C$22*S184*Declarations!$D$20+Declarations!$C$22*U184*Declarations!$D$21+Declarations!$C$22*V184*Declarations!$D$22+0</f>
        <v>0.771604938271605</v>
      </c>
      <c r="V185" s="20" t="n">
        <f aca="false">Declarations!$D$20*Q184*Declarations!$D$20+Declarations!$D$20*R184*Declarations!$D$21+Declarations!$D$20*S184*Declarations!$D$22+Declarations!$D$21*R184*Declarations!$D$20+Declarations!$D$21*T184*Declarations!$D$21+Declarations!$D$21*U184*Declarations!$D$22+Declarations!$D$22*S184*Declarations!$D$20+Declarations!$D$22*U184*Declarations!$D$21+Declarations!$D$22*V184*Declarations!$D$22+1</f>
        <v>2.77777777777778</v>
      </c>
    </row>
    <row r="186" customFormat="false" ht="15" hidden="false" customHeight="false" outlineLevel="0" collapsed="false">
      <c r="A186" s="18" t="n">
        <v>177</v>
      </c>
      <c r="B186" s="20" t="n">
        <f aca="false">$B$4*B185*$B$4+$B$4*C185*$B$5+$B$5*C185*$B$4+$B$5*D185*$B$5+$E$4</f>
        <v>13.5714284742327</v>
      </c>
      <c r="C186" s="20" t="n">
        <f aca="false">$B$4*B185*$C$4+$B$4*C185*$C$5+$B$5*C185*$C$4+$B$5*D185*$C$5+$F$4</f>
        <v>-5.78571424427533</v>
      </c>
      <c r="D186" s="20" t="n">
        <f aca="false">$C$4*B185*$C$4+$C$4*C185*$C$5+$C$5*C185*$C$4+$C$5*D185*$C$5+$F$5</f>
        <v>11.9928570569189</v>
      </c>
      <c r="P186" s="18" t="n">
        <v>177</v>
      </c>
      <c r="Q186" s="20" t="n">
        <f aca="false">Declarations!$B$20*Q185*Declarations!$B$20+Declarations!$B$20*R185*Declarations!$B$21+Declarations!$B$20*S185*Declarations!$B$22+Declarations!$B$21*R185*Declarations!$B$20+Declarations!$B$21*T185*Declarations!$B$21+Declarations!$B$21*U185*Declarations!$B$22+Declarations!$B$22*S185*Declarations!$B$20+Declarations!$B$22*U185*Declarations!$B$21+Declarations!$B$22*V185*Declarations!$B$22+1</f>
        <v>10.2972985627015</v>
      </c>
      <c r="R186" s="20" t="n">
        <f aca="false">Declarations!$B$20*Q185*Declarations!$C$20+Declarations!$B$20*R185*Declarations!$C$21+Declarations!$B$20*S185*Declarations!$C$22+Declarations!$B$21*R185*Declarations!$C$20+Declarations!$B$21*T185*Declarations!$C$21+Declarations!$B$21*U185*Declarations!$C$22+Declarations!$B$22*S185*Declarations!$C$20+Declarations!$B$22*U185*Declarations!$C$21+Declarations!$B$22*V185*Declarations!$C$22+0</f>
        <v>4.60691831427258</v>
      </c>
      <c r="S186" s="20" t="n">
        <f aca="false">Declarations!$B$20*Q185*Declarations!$D$20+Declarations!$B$20*R185*Declarations!$D$21+Declarations!$B$20*S185*Declarations!$D$22+Declarations!$B$21*R185*Declarations!$D$20+Declarations!$B$21*T185*Declarations!$D$21+Declarations!$B$21*U185*Declarations!$D$22+Declarations!$B$22*S185*Declarations!$D$20+Declarations!$B$22*U185*Declarations!$D$21+Declarations!$B$22*V185*Declarations!$D$22+0</f>
        <v>0.617283950617284</v>
      </c>
      <c r="T186" s="20" t="n">
        <f aca="false">Declarations!$C$20*Q185*Declarations!$C$20+Declarations!$C$20*R185*Declarations!$C$21+Declarations!$C$20*S185*Declarations!$C$22+Declarations!$C$21*R185*Declarations!$C$20+Declarations!$C$21*T185*Declarations!$C$21+Declarations!$C$21*U185*Declarations!$C$22+Declarations!$C$22*S185*Declarations!$C$20+Declarations!$C$22*U185*Declarations!$C$21+Declarations!$C$22*V185*Declarations!$C$22+1</f>
        <v>5.70253966125151</v>
      </c>
      <c r="U186" s="20" t="n">
        <f aca="false">Declarations!$C$20*Q185*Declarations!$D$20+Declarations!$C$20*R185*Declarations!$D$21+Declarations!$C$20*S185*Declarations!$D$22+Declarations!$C$21*R185*Declarations!$D$20+Declarations!$C$21*T185*Declarations!$D$21+Declarations!$C$21*U185*Declarations!$D$22+Declarations!$C$22*S185*Declarations!$D$20+Declarations!$C$22*U185*Declarations!$D$21+Declarations!$C$22*V185*Declarations!$D$22+0</f>
        <v>0.771604938271605</v>
      </c>
      <c r="V186" s="20" t="n">
        <f aca="false">Declarations!$D$20*Q185*Declarations!$D$20+Declarations!$D$20*R185*Declarations!$D$21+Declarations!$D$20*S185*Declarations!$D$22+Declarations!$D$21*R185*Declarations!$D$20+Declarations!$D$21*T185*Declarations!$D$21+Declarations!$D$21*U185*Declarations!$D$22+Declarations!$D$22*S185*Declarations!$D$20+Declarations!$D$22*U185*Declarations!$D$21+Declarations!$D$22*V185*Declarations!$D$22+1</f>
        <v>2.77777777777778</v>
      </c>
    </row>
    <row r="187" customFormat="false" ht="15" hidden="false" customHeight="false" outlineLevel="0" collapsed="false">
      <c r="A187" s="18" t="n">
        <v>178</v>
      </c>
      <c r="B187" s="20" t="n">
        <f aca="false">$B$4*B186*$B$4+$B$4*C186*$B$5+$B$5*C186*$B$4+$B$5*D186*$B$5+$E$4</f>
        <v>13.5714284813518</v>
      </c>
      <c r="C187" s="20" t="n">
        <f aca="false">$B$4*B186*$C$4+$B$4*C186*$C$5+$B$5*C186*$C$4+$B$5*D186*$C$5+$F$4</f>
        <v>-5.78571424428066</v>
      </c>
      <c r="D187" s="20" t="n">
        <f aca="false">$C$4*B186*$C$4+$C$4*C186*$C$5+$C$5*C186*$C$4+$C$5*D186*$C$5+$F$5</f>
        <v>11.9928570641285</v>
      </c>
      <c r="P187" s="18" t="n">
        <v>178</v>
      </c>
      <c r="Q187" s="20" t="n">
        <f aca="false">Declarations!$B$20*Q186*Declarations!$B$20+Declarations!$B$20*R186*Declarations!$B$21+Declarations!$B$20*S186*Declarations!$B$22+Declarations!$B$21*R186*Declarations!$B$20+Declarations!$B$21*T186*Declarations!$B$21+Declarations!$B$21*U186*Declarations!$B$22+Declarations!$B$22*S186*Declarations!$B$20+Declarations!$B$22*U186*Declarations!$B$21+Declarations!$B$22*V186*Declarations!$B$22+1</f>
        <v>10.2972985783525</v>
      </c>
      <c r="R187" s="20" t="n">
        <f aca="false">Declarations!$B$20*Q186*Declarations!$C$20+Declarations!$B$20*R186*Declarations!$C$21+Declarations!$B$20*S186*Declarations!$C$22+Declarations!$B$21*R186*Declarations!$C$20+Declarations!$B$21*T186*Declarations!$C$21+Declarations!$B$21*U186*Declarations!$C$22+Declarations!$B$22*S186*Declarations!$C$20+Declarations!$B$22*U186*Declarations!$C$21+Declarations!$B$22*V186*Declarations!$C$22+0</f>
        <v>4.60691832209808</v>
      </c>
      <c r="S187" s="20" t="n">
        <f aca="false">Declarations!$B$20*Q186*Declarations!$D$20+Declarations!$B$20*R186*Declarations!$D$21+Declarations!$B$20*S186*Declarations!$D$22+Declarations!$B$21*R186*Declarations!$D$20+Declarations!$B$21*T186*Declarations!$D$21+Declarations!$B$21*U186*Declarations!$D$22+Declarations!$B$22*S186*Declarations!$D$20+Declarations!$B$22*U186*Declarations!$D$21+Declarations!$B$22*V186*Declarations!$D$22+0</f>
        <v>0.617283950617284</v>
      </c>
      <c r="T187" s="20" t="n">
        <f aca="false">Declarations!$C$20*Q186*Declarations!$C$20+Declarations!$C$20*R186*Declarations!$C$21+Declarations!$C$20*S186*Declarations!$C$22+Declarations!$C$21*R186*Declarations!$C$20+Declarations!$C$21*T186*Declarations!$C$21+Declarations!$C$21*U186*Declarations!$C$22+Declarations!$C$22*S186*Declarations!$C$20+Declarations!$C$22*U186*Declarations!$C$21+Declarations!$C$22*V186*Declarations!$C$22+1</f>
        <v>5.70253966516426</v>
      </c>
      <c r="U187" s="20" t="n">
        <f aca="false">Declarations!$C$20*Q186*Declarations!$D$20+Declarations!$C$20*R186*Declarations!$D$21+Declarations!$C$20*S186*Declarations!$D$22+Declarations!$C$21*R186*Declarations!$D$20+Declarations!$C$21*T186*Declarations!$D$21+Declarations!$C$21*U186*Declarations!$D$22+Declarations!$C$22*S186*Declarations!$D$20+Declarations!$C$22*U186*Declarations!$D$21+Declarations!$C$22*V186*Declarations!$D$22+0</f>
        <v>0.771604938271605</v>
      </c>
      <c r="V187" s="20" t="n">
        <f aca="false">Declarations!$D$20*Q186*Declarations!$D$20+Declarations!$D$20*R186*Declarations!$D$21+Declarations!$D$20*S186*Declarations!$D$22+Declarations!$D$21*R186*Declarations!$D$20+Declarations!$D$21*T186*Declarations!$D$21+Declarations!$D$21*U186*Declarations!$D$22+Declarations!$D$22*S186*Declarations!$D$20+Declarations!$D$22*U186*Declarations!$D$21+Declarations!$D$22*V186*Declarations!$D$22+1</f>
        <v>2.77777777777778</v>
      </c>
    </row>
    <row r="188" customFormat="false" ht="15" hidden="false" customHeight="false" outlineLevel="0" collapsed="false">
      <c r="A188" s="18" t="n">
        <v>179</v>
      </c>
      <c r="B188" s="20" t="n">
        <f aca="false">$B$4*B187*$B$4+$B$4*C187*$B$5+$B$5*C187*$B$4+$B$5*D187*$B$5+$E$4</f>
        <v>13.5714284943182</v>
      </c>
      <c r="C188" s="20" t="n">
        <f aca="false">$B$4*B187*$C$4+$B$4*C187*$C$5+$B$5*C187*$C$4+$B$5*D187*$C$5+$F$4</f>
        <v>-5.78571425004234</v>
      </c>
      <c r="D188" s="20" t="n">
        <f aca="false">$C$4*B187*$C$4+$C$4*C187*$C$5+$C$5*C187*$C$4+$C$5*D187*$C$5+$F$5</f>
        <v>11.9928570698949</v>
      </c>
      <c r="P188" s="18" t="n">
        <v>179</v>
      </c>
      <c r="Q188" s="20" t="n">
        <f aca="false">Declarations!$B$20*Q187*Declarations!$B$20+Declarations!$B$20*R187*Declarations!$B$21+Declarations!$B$20*S187*Declarations!$B$22+Declarations!$B$21*R187*Declarations!$B$20+Declarations!$B$21*T187*Declarations!$B$21+Declarations!$B$21*U187*Declarations!$B$22+Declarations!$B$22*S187*Declarations!$B$20+Declarations!$B$22*U187*Declarations!$B$21+Declarations!$B$22*V187*Declarations!$B$22+1</f>
        <v>10.2972985924776</v>
      </c>
      <c r="R188" s="20" t="n">
        <f aca="false">Declarations!$B$20*Q187*Declarations!$C$20+Declarations!$B$20*R187*Declarations!$C$21+Declarations!$B$20*S187*Declarations!$C$22+Declarations!$B$21*R187*Declarations!$C$20+Declarations!$B$21*T187*Declarations!$C$21+Declarations!$B$21*U187*Declarations!$C$22+Declarations!$B$22*S187*Declarations!$C$20+Declarations!$B$22*U187*Declarations!$C$21+Declarations!$B$22*V187*Declarations!$C$22+0</f>
        <v>4.6069183291606</v>
      </c>
      <c r="S188" s="20" t="n">
        <f aca="false">Declarations!$B$20*Q187*Declarations!$D$20+Declarations!$B$20*R187*Declarations!$D$21+Declarations!$B$20*S187*Declarations!$D$22+Declarations!$B$21*R187*Declarations!$D$20+Declarations!$B$21*T187*Declarations!$D$21+Declarations!$B$21*U187*Declarations!$D$22+Declarations!$B$22*S187*Declarations!$D$20+Declarations!$B$22*U187*Declarations!$D$21+Declarations!$B$22*V187*Declarations!$D$22+0</f>
        <v>0.617283950617284</v>
      </c>
      <c r="T188" s="20" t="n">
        <f aca="false">Declarations!$C$20*Q187*Declarations!$C$20+Declarations!$C$20*R187*Declarations!$C$21+Declarations!$C$20*S187*Declarations!$C$22+Declarations!$C$21*R187*Declarations!$C$20+Declarations!$C$21*T187*Declarations!$C$21+Declarations!$C$21*U187*Declarations!$C$22+Declarations!$C$22*S187*Declarations!$C$20+Declarations!$C$22*U187*Declarations!$C$21+Declarations!$C$22*V187*Declarations!$C$22+1</f>
        <v>5.70253966869552</v>
      </c>
      <c r="U188" s="20" t="n">
        <f aca="false">Declarations!$C$20*Q187*Declarations!$D$20+Declarations!$C$20*R187*Declarations!$D$21+Declarations!$C$20*S187*Declarations!$D$22+Declarations!$C$21*R187*Declarations!$D$20+Declarations!$C$21*T187*Declarations!$D$21+Declarations!$C$21*U187*Declarations!$D$22+Declarations!$C$22*S187*Declarations!$D$20+Declarations!$C$22*U187*Declarations!$D$21+Declarations!$C$22*V187*Declarations!$D$22+0</f>
        <v>0.771604938271605</v>
      </c>
      <c r="V188" s="20" t="n">
        <f aca="false">Declarations!$D$20*Q187*Declarations!$D$20+Declarations!$D$20*R187*Declarations!$D$21+Declarations!$D$20*S187*Declarations!$D$22+Declarations!$D$21*R187*Declarations!$D$20+Declarations!$D$21*T187*Declarations!$D$21+Declarations!$D$21*U187*Declarations!$D$22+Declarations!$D$22*S187*Declarations!$D$20+Declarations!$D$22*U187*Declarations!$D$21+Declarations!$D$22*V187*Declarations!$D$22+1</f>
        <v>2.77777777777778</v>
      </c>
    </row>
    <row r="189" customFormat="false" ht="15" hidden="false" customHeight="false" outlineLevel="0" collapsed="false">
      <c r="A189" s="18" t="n">
        <v>180</v>
      </c>
      <c r="B189" s="20" t="n">
        <f aca="false">$B$4*B188*$B$4+$B$4*C188*$B$5+$B$5*C188*$B$4+$B$5*D188*$B$5+$E$4</f>
        <v>13.5714285002165</v>
      </c>
      <c r="C189" s="20" t="n">
        <f aca="false">$B$4*B188*$C$4+$B$4*C188*$C$5+$B$5*C188*$C$4+$B$5*D188*$C$5+$F$4</f>
        <v>-5.78571425535964</v>
      </c>
      <c r="D189" s="20" t="n">
        <f aca="false">$C$4*B188*$C$4+$C$4*C188*$C$5+$C$5*C188*$C$4+$C$5*D188*$C$5+$F$5</f>
        <v>11.9928570803977</v>
      </c>
      <c r="P189" s="18" t="n">
        <v>180</v>
      </c>
      <c r="Q189" s="20" t="n">
        <f aca="false">Declarations!$B$20*Q188*Declarations!$B$20+Declarations!$B$20*R188*Declarations!$B$21+Declarations!$B$20*S188*Declarations!$B$22+Declarations!$B$21*R188*Declarations!$B$20+Declarations!$B$21*T188*Declarations!$B$21+Declarations!$B$21*U188*Declarations!$B$22+Declarations!$B$22*S188*Declarations!$B$20+Declarations!$B$22*U188*Declarations!$B$21+Declarations!$B$22*V188*Declarations!$B$22+1</f>
        <v>10.2972986052254</v>
      </c>
      <c r="R189" s="20" t="n">
        <f aca="false">Declarations!$B$20*Q188*Declarations!$C$20+Declarations!$B$20*R188*Declarations!$C$21+Declarations!$B$20*S188*Declarations!$C$22+Declarations!$B$21*R188*Declarations!$C$20+Declarations!$B$21*T188*Declarations!$C$21+Declarations!$B$21*U188*Declarations!$C$22+Declarations!$B$22*S188*Declarations!$C$20+Declarations!$B$22*U188*Declarations!$C$21+Declarations!$B$22*V188*Declarations!$C$22+0</f>
        <v>4.60691833553452</v>
      </c>
      <c r="S189" s="20" t="n">
        <f aca="false">Declarations!$B$20*Q188*Declarations!$D$20+Declarations!$B$20*R188*Declarations!$D$21+Declarations!$B$20*S188*Declarations!$D$22+Declarations!$B$21*R188*Declarations!$D$20+Declarations!$B$21*T188*Declarations!$D$21+Declarations!$B$21*U188*Declarations!$D$22+Declarations!$B$22*S188*Declarations!$D$20+Declarations!$B$22*U188*Declarations!$D$21+Declarations!$B$22*V188*Declarations!$D$22+0</f>
        <v>0.617283950617284</v>
      </c>
      <c r="T189" s="20" t="n">
        <f aca="false">Declarations!$C$20*Q188*Declarations!$C$20+Declarations!$C$20*R188*Declarations!$C$21+Declarations!$C$20*S188*Declarations!$C$22+Declarations!$C$21*R188*Declarations!$C$20+Declarations!$C$21*T188*Declarations!$C$21+Declarations!$C$21*U188*Declarations!$C$22+Declarations!$C$22*S188*Declarations!$C$20+Declarations!$C$22*U188*Declarations!$C$21+Declarations!$C$22*V188*Declarations!$C$22+1</f>
        <v>5.70253967188248</v>
      </c>
      <c r="U189" s="20" t="n">
        <f aca="false">Declarations!$C$20*Q188*Declarations!$D$20+Declarations!$C$20*R188*Declarations!$D$21+Declarations!$C$20*S188*Declarations!$D$22+Declarations!$C$21*R188*Declarations!$D$20+Declarations!$C$21*T188*Declarations!$D$21+Declarations!$C$21*U188*Declarations!$D$22+Declarations!$C$22*S188*Declarations!$D$20+Declarations!$C$22*U188*Declarations!$D$21+Declarations!$C$22*V188*Declarations!$D$22+0</f>
        <v>0.771604938271605</v>
      </c>
      <c r="V189" s="20" t="n">
        <f aca="false">Declarations!$D$20*Q188*Declarations!$D$20+Declarations!$D$20*R188*Declarations!$D$21+Declarations!$D$20*S188*Declarations!$D$22+Declarations!$D$21*R188*Declarations!$D$20+Declarations!$D$21*T188*Declarations!$D$21+Declarations!$D$21*U188*Declarations!$D$22+Declarations!$D$22*S188*Declarations!$D$20+Declarations!$D$22*U188*Declarations!$D$21+Declarations!$D$22*V188*Declarations!$D$22+1</f>
        <v>2.77777777777778</v>
      </c>
    </row>
    <row r="190" customFormat="false" ht="15" hidden="false" customHeight="false" outlineLevel="0" collapsed="false">
      <c r="A190" s="18" t="n">
        <v>181</v>
      </c>
      <c r="B190" s="20" t="n">
        <f aca="false">$B$4*B189*$B$4+$B$4*C189*$B$5+$B$5*C189*$B$4+$B$5*D189*$B$5+$E$4</f>
        <v>13.5714285059257</v>
      </c>
      <c r="C190" s="20" t="n">
        <f aca="false">$B$4*B189*$C$4+$B$4*C189*$C$5+$B$5*C189*$C$4+$B$5*D189*$C$5+$F$4</f>
        <v>-5.78571425535166</v>
      </c>
      <c r="D190" s="20" t="n">
        <f aca="false">$C$4*B189*$C$4+$C$4*C189*$C$5+$C$5*C189*$C$4+$C$5*D189*$C$5+$F$5</f>
        <v>11.9928570851753</v>
      </c>
      <c r="P190" s="18" t="n">
        <v>181</v>
      </c>
      <c r="Q190" s="20" t="n">
        <f aca="false">Declarations!$B$20*Q189*Declarations!$B$20+Declarations!$B$20*R189*Declarations!$B$21+Declarations!$B$20*S189*Declarations!$B$22+Declarations!$B$21*R189*Declarations!$B$20+Declarations!$B$21*T189*Declarations!$B$21+Declarations!$B$21*U189*Declarations!$B$22+Declarations!$B$22*S189*Declarations!$B$20+Declarations!$B$22*U189*Declarations!$B$21+Declarations!$B$22*V189*Declarations!$B$22+1</f>
        <v>10.2972986167303</v>
      </c>
      <c r="R190" s="20" t="n">
        <f aca="false">Declarations!$B$20*Q189*Declarations!$C$20+Declarations!$B$20*R189*Declarations!$C$21+Declarations!$B$20*S189*Declarations!$C$22+Declarations!$B$21*R189*Declarations!$C$20+Declarations!$B$21*T189*Declarations!$C$21+Declarations!$B$21*U189*Declarations!$C$22+Declarations!$B$22*S189*Declarations!$C$20+Declarations!$B$22*U189*Declarations!$C$21+Declarations!$B$22*V189*Declarations!$C$22+0</f>
        <v>4.60691834128698</v>
      </c>
      <c r="S190" s="20" t="n">
        <f aca="false">Declarations!$B$20*Q189*Declarations!$D$20+Declarations!$B$20*R189*Declarations!$D$21+Declarations!$B$20*S189*Declarations!$D$22+Declarations!$B$21*R189*Declarations!$D$20+Declarations!$B$21*T189*Declarations!$D$21+Declarations!$B$21*U189*Declarations!$D$22+Declarations!$B$22*S189*Declarations!$D$20+Declarations!$B$22*U189*Declarations!$D$21+Declarations!$B$22*V189*Declarations!$D$22+0</f>
        <v>0.617283950617284</v>
      </c>
      <c r="T190" s="20" t="n">
        <f aca="false">Declarations!$C$20*Q189*Declarations!$C$20+Declarations!$C$20*R189*Declarations!$C$21+Declarations!$C$20*S189*Declarations!$C$22+Declarations!$C$21*R189*Declarations!$C$20+Declarations!$C$21*T189*Declarations!$C$21+Declarations!$C$21*U189*Declarations!$C$22+Declarations!$C$22*S189*Declarations!$C$20+Declarations!$C$22*U189*Declarations!$C$21+Declarations!$C$22*V189*Declarations!$C$22+1</f>
        <v>5.70253967475871</v>
      </c>
      <c r="U190" s="20" t="n">
        <f aca="false">Declarations!$C$20*Q189*Declarations!$D$20+Declarations!$C$20*R189*Declarations!$D$21+Declarations!$C$20*S189*Declarations!$D$22+Declarations!$C$21*R189*Declarations!$D$20+Declarations!$C$21*T189*Declarations!$D$21+Declarations!$C$21*U189*Declarations!$D$22+Declarations!$C$22*S189*Declarations!$D$20+Declarations!$C$22*U189*Declarations!$D$21+Declarations!$C$22*V189*Declarations!$D$22+0</f>
        <v>0.771604938271605</v>
      </c>
      <c r="V190" s="20" t="n">
        <f aca="false">Declarations!$D$20*Q189*Declarations!$D$20+Declarations!$D$20*R189*Declarations!$D$21+Declarations!$D$20*S189*Declarations!$D$22+Declarations!$D$21*R189*Declarations!$D$20+Declarations!$D$21*T189*Declarations!$D$21+Declarations!$D$21*U189*Declarations!$D$22+Declarations!$D$22*S189*Declarations!$D$20+Declarations!$D$22*U189*Declarations!$D$21+Declarations!$D$22*V189*Declarations!$D$22+1</f>
        <v>2.77777777777778</v>
      </c>
    </row>
    <row r="191" customFormat="false" ht="15" hidden="false" customHeight="false" outlineLevel="0" collapsed="false">
      <c r="A191" s="18" t="n">
        <v>182</v>
      </c>
      <c r="B191" s="20" t="n">
        <f aca="false">$B$4*B190*$B$4+$B$4*C190*$B$5+$B$5*C190*$B$4+$B$5*D190*$B$5+$E$4</f>
        <v>13.5714285153422</v>
      </c>
      <c r="C191" s="20" t="n">
        <f aca="false">$B$4*B190*$C$4+$B$4*C190*$C$5+$B$5*C190*$C$4+$B$5*D190*$C$5+$F$4</f>
        <v>-5.78571425998335</v>
      </c>
      <c r="D191" s="20" t="n">
        <f aca="false">$C$4*B190*$C$4+$C$4*C190*$C$5+$C$5*C190*$C$4+$C$5*D190*$C$5+$F$5</f>
        <v>11.9928570897998</v>
      </c>
      <c r="P191" s="18" t="n">
        <v>182</v>
      </c>
      <c r="Q191" s="20" t="n">
        <f aca="false">Declarations!$B$20*Q190*Declarations!$B$20+Declarations!$B$20*R190*Declarations!$B$21+Declarations!$B$20*S190*Declarations!$B$22+Declarations!$B$21*R190*Declarations!$B$20+Declarations!$B$21*T190*Declarations!$B$21+Declarations!$B$21*U190*Declarations!$B$22+Declarations!$B$22*S190*Declarations!$B$20+Declarations!$B$22*U190*Declarations!$B$21+Declarations!$B$22*V190*Declarations!$B$22+1</f>
        <v>10.2972986271135</v>
      </c>
      <c r="R191" s="20" t="n">
        <f aca="false">Declarations!$B$20*Q190*Declarations!$C$20+Declarations!$B$20*R190*Declarations!$C$21+Declarations!$B$20*S190*Declarations!$C$22+Declarations!$B$21*R190*Declarations!$C$20+Declarations!$B$21*T190*Declarations!$C$21+Declarations!$B$21*U190*Declarations!$C$22+Declarations!$B$22*S190*Declarations!$C$20+Declarations!$B$22*U190*Declarations!$C$21+Declarations!$B$22*V190*Declarations!$C$22+0</f>
        <v>4.60691834647858</v>
      </c>
      <c r="S191" s="20" t="n">
        <f aca="false">Declarations!$B$20*Q190*Declarations!$D$20+Declarations!$B$20*R190*Declarations!$D$21+Declarations!$B$20*S190*Declarations!$D$22+Declarations!$B$21*R190*Declarations!$D$20+Declarations!$B$21*T190*Declarations!$D$21+Declarations!$B$21*U190*Declarations!$D$22+Declarations!$B$22*S190*Declarations!$D$20+Declarations!$B$22*U190*Declarations!$D$21+Declarations!$B$22*V190*Declarations!$D$22+0</f>
        <v>0.617283950617284</v>
      </c>
      <c r="T191" s="20" t="n">
        <f aca="false">Declarations!$C$20*Q190*Declarations!$C$20+Declarations!$C$20*R190*Declarations!$C$21+Declarations!$C$20*S190*Declarations!$C$22+Declarations!$C$21*R190*Declarations!$C$20+Declarations!$C$21*T190*Declarations!$C$21+Declarations!$C$21*U190*Declarations!$C$22+Declarations!$C$22*S190*Declarations!$C$20+Declarations!$C$22*U190*Declarations!$C$21+Declarations!$C$22*V190*Declarations!$C$22+1</f>
        <v>5.70253967735451</v>
      </c>
      <c r="U191" s="20" t="n">
        <f aca="false">Declarations!$C$20*Q190*Declarations!$D$20+Declarations!$C$20*R190*Declarations!$D$21+Declarations!$C$20*S190*Declarations!$D$22+Declarations!$C$21*R190*Declarations!$D$20+Declarations!$C$21*T190*Declarations!$D$21+Declarations!$C$21*U190*Declarations!$D$22+Declarations!$C$22*S190*Declarations!$D$20+Declarations!$C$22*U190*Declarations!$D$21+Declarations!$C$22*V190*Declarations!$D$22+0</f>
        <v>0.771604938271605</v>
      </c>
      <c r="V191" s="20" t="n">
        <f aca="false">Declarations!$D$20*Q190*Declarations!$D$20+Declarations!$D$20*R190*Declarations!$D$21+Declarations!$D$20*S190*Declarations!$D$22+Declarations!$D$21*R190*Declarations!$D$20+Declarations!$D$21*T190*Declarations!$D$21+Declarations!$D$21*U190*Declarations!$D$22+Declarations!$D$22*S190*Declarations!$D$20+Declarations!$D$22*U190*Declarations!$D$21+Declarations!$D$22*V190*Declarations!$D$22+1</f>
        <v>2.77777777777778</v>
      </c>
    </row>
    <row r="192" customFormat="false" ht="15" hidden="false" customHeight="false" outlineLevel="0" collapsed="false">
      <c r="A192" s="18" t="n">
        <v>183</v>
      </c>
      <c r="B192" s="20" t="n">
        <f aca="false">$B$4*B191*$B$4+$B$4*C191*$B$5+$B$5*C191*$B$4+$B$5*D191*$B$5+$E$4</f>
        <v>13.571428519257</v>
      </c>
      <c r="C192" s="20" t="n">
        <f aca="false">$B$4*B191*$C$4+$B$4*C191*$C$5+$B$5*C191*$C$4+$B$5*D191*$C$5+$F$4</f>
        <v>-5.78571426344216</v>
      </c>
      <c r="D192" s="20" t="n">
        <f aca="false">$C$4*B191*$C$4+$C$4*C191*$C$5+$C$5*C191*$C$4+$C$5*D191*$C$5+$F$5</f>
        <v>11.9928570974272</v>
      </c>
      <c r="P192" s="18" t="n">
        <v>183</v>
      </c>
      <c r="Q192" s="20" t="n">
        <f aca="false">Declarations!$B$20*Q191*Declarations!$B$20+Declarations!$B$20*R191*Declarations!$B$21+Declarations!$B$20*S191*Declarations!$B$22+Declarations!$B$21*R191*Declarations!$B$20+Declarations!$B$21*T191*Declarations!$B$21+Declarations!$B$21*U191*Declarations!$B$22+Declarations!$B$22*S191*Declarations!$B$20+Declarations!$B$22*U191*Declarations!$B$21+Declarations!$B$22*V191*Declarations!$B$22+1</f>
        <v>10.2972986364844</v>
      </c>
      <c r="R192" s="20" t="n">
        <f aca="false">Declarations!$B$20*Q191*Declarations!$C$20+Declarations!$B$20*R191*Declarations!$C$21+Declarations!$B$20*S191*Declarations!$C$22+Declarations!$B$21*R191*Declarations!$C$20+Declarations!$B$21*T191*Declarations!$C$21+Declarations!$B$21*U191*Declarations!$C$22+Declarations!$B$22*S191*Declarations!$C$20+Declarations!$B$22*U191*Declarations!$C$21+Declarations!$B$22*V191*Declarations!$C$22+0</f>
        <v>4.606918351164</v>
      </c>
      <c r="S192" s="20" t="n">
        <f aca="false">Declarations!$B$20*Q191*Declarations!$D$20+Declarations!$B$20*R191*Declarations!$D$21+Declarations!$B$20*S191*Declarations!$D$22+Declarations!$B$21*R191*Declarations!$D$20+Declarations!$B$21*T191*Declarations!$D$21+Declarations!$B$21*U191*Declarations!$D$22+Declarations!$B$22*S191*Declarations!$D$20+Declarations!$B$22*U191*Declarations!$D$21+Declarations!$B$22*V191*Declarations!$D$22+0</f>
        <v>0.617283950617284</v>
      </c>
      <c r="T192" s="20" t="n">
        <f aca="false">Declarations!$C$20*Q191*Declarations!$C$20+Declarations!$C$20*R191*Declarations!$C$21+Declarations!$C$20*S191*Declarations!$C$22+Declarations!$C$21*R191*Declarations!$C$20+Declarations!$C$21*T191*Declarations!$C$21+Declarations!$C$21*U191*Declarations!$C$22+Declarations!$C$22*S191*Declarations!$C$20+Declarations!$C$22*U191*Declarations!$C$21+Declarations!$C$22*V191*Declarations!$C$22+1</f>
        <v>5.70253967969722</v>
      </c>
      <c r="U192" s="20" t="n">
        <f aca="false">Declarations!$C$20*Q191*Declarations!$D$20+Declarations!$C$20*R191*Declarations!$D$21+Declarations!$C$20*S191*Declarations!$D$22+Declarations!$C$21*R191*Declarations!$D$20+Declarations!$C$21*T191*Declarations!$D$21+Declarations!$C$21*U191*Declarations!$D$22+Declarations!$C$22*S191*Declarations!$D$20+Declarations!$C$22*U191*Declarations!$D$21+Declarations!$C$22*V191*Declarations!$D$22+0</f>
        <v>0.771604938271605</v>
      </c>
      <c r="V192" s="20" t="n">
        <f aca="false">Declarations!$D$20*Q191*Declarations!$D$20+Declarations!$D$20*R191*Declarations!$D$21+Declarations!$D$20*S191*Declarations!$D$22+Declarations!$D$21*R191*Declarations!$D$20+Declarations!$D$21*T191*Declarations!$D$21+Declarations!$D$21*U191*Declarations!$D$22+Declarations!$D$22*S191*Declarations!$D$20+Declarations!$D$22*U191*Declarations!$D$21+Declarations!$D$22*V191*Declarations!$D$22+1</f>
        <v>2.77777777777778</v>
      </c>
    </row>
    <row r="193" customFormat="false" ht="15" hidden="false" customHeight="false" outlineLevel="0" collapsed="false">
      <c r="A193" s="18" t="n">
        <v>184</v>
      </c>
      <c r="B193" s="20" t="n">
        <f aca="false">$B$4*B192*$B$4+$B$4*C192*$B$5+$B$5*C192*$B$4+$B$5*D192*$B$5+$E$4</f>
        <v>13.5714285238294</v>
      </c>
      <c r="C193" s="20" t="n">
        <f aca="false">$B$4*B192*$C$4+$B$4*C192*$C$5+$B$5*C192*$C$4+$B$5*D192*$C$5+$F$4</f>
        <v>-5.78571426350022</v>
      </c>
      <c r="D193" s="20" t="n">
        <f aca="false">$C$4*B192*$C$4+$C$4*C192*$C$5+$C$5*C192*$C$4+$C$5*D192*$C$5+$F$5</f>
        <v>11.9928571005982</v>
      </c>
      <c r="P193" s="18" t="n">
        <v>184</v>
      </c>
      <c r="Q193" s="20" t="n">
        <f aca="false">Declarations!$B$20*Q192*Declarations!$B$20+Declarations!$B$20*R192*Declarations!$B$21+Declarations!$B$20*S192*Declarations!$B$22+Declarations!$B$21*R192*Declarations!$B$20+Declarations!$B$21*T192*Declarations!$B$21+Declarations!$B$21*U192*Declarations!$B$22+Declarations!$B$22*S192*Declarations!$B$20+Declarations!$B$22*U192*Declarations!$B$21+Declarations!$B$22*V192*Declarations!$B$22+1</f>
        <v>10.2972986449415</v>
      </c>
      <c r="R193" s="20" t="n">
        <f aca="false">Declarations!$B$20*Q192*Declarations!$C$20+Declarations!$B$20*R192*Declarations!$C$21+Declarations!$B$20*S192*Declarations!$C$22+Declarations!$B$21*R192*Declarations!$C$20+Declarations!$B$21*T192*Declarations!$C$21+Declarations!$B$21*U192*Declarations!$C$22+Declarations!$B$22*S192*Declarations!$C$20+Declarations!$B$22*U192*Declarations!$C$21+Declarations!$B$22*V192*Declarations!$C$22+0</f>
        <v>4.60691835539259</v>
      </c>
      <c r="S193" s="20" t="n">
        <f aca="false">Declarations!$B$20*Q192*Declarations!$D$20+Declarations!$B$20*R192*Declarations!$D$21+Declarations!$B$20*S192*Declarations!$D$22+Declarations!$B$21*R192*Declarations!$D$20+Declarations!$B$21*T192*Declarations!$D$21+Declarations!$B$21*U192*Declarations!$D$22+Declarations!$B$22*S192*Declarations!$D$20+Declarations!$B$22*U192*Declarations!$D$21+Declarations!$B$22*V192*Declarations!$D$22+0</f>
        <v>0.617283950617284</v>
      </c>
      <c r="T193" s="20" t="n">
        <f aca="false">Declarations!$C$20*Q192*Declarations!$C$20+Declarations!$C$20*R192*Declarations!$C$21+Declarations!$C$20*S192*Declarations!$C$22+Declarations!$C$21*R192*Declarations!$C$20+Declarations!$C$21*T192*Declarations!$C$21+Declarations!$C$21*U192*Declarations!$C$22+Declarations!$C$22*S192*Declarations!$C$20+Declarations!$C$22*U192*Declarations!$C$21+Declarations!$C$22*V192*Declarations!$C$22+1</f>
        <v>5.70253968181152</v>
      </c>
      <c r="U193" s="20" t="n">
        <f aca="false">Declarations!$C$20*Q192*Declarations!$D$20+Declarations!$C$20*R192*Declarations!$D$21+Declarations!$C$20*S192*Declarations!$D$22+Declarations!$C$21*R192*Declarations!$D$20+Declarations!$C$21*T192*Declarations!$D$21+Declarations!$C$21*U192*Declarations!$D$22+Declarations!$C$22*S192*Declarations!$D$20+Declarations!$C$22*U192*Declarations!$D$21+Declarations!$C$22*V192*Declarations!$D$22+0</f>
        <v>0.771604938271605</v>
      </c>
      <c r="V193" s="20" t="n">
        <f aca="false">Declarations!$D$20*Q192*Declarations!$D$20+Declarations!$D$20*R192*Declarations!$D$21+Declarations!$D$20*S192*Declarations!$D$22+Declarations!$D$21*R192*Declarations!$D$20+Declarations!$D$21*T192*Declarations!$D$21+Declarations!$D$21*U192*Declarations!$D$22+Declarations!$D$22*S192*Declarations!$D$20+Declarations!$D$22*U192*Declarations!$D$21+Declarations!$D$22*V192*Declarations!$D$22+1</f>
        <v>2.77777777777778</v>
      </c>
    </row>
    <row r="194" customFormat="false" ht="15" hidden="false" customHeight="false" outlineLevel="0" collapsed="false">
      <c r="A194" s="18" t="n">
        <v>185</v>
      </c>
      <c r="B194" s="20" t="n">
        <f aca="false">$B$4*B193*$B$4+$B$4*C193*$B$5+$B$5*C193*$B$4+$B$5*D193*$B$5+$E$4</f>
        <v>13.5714285305996</v>
      </c>
      <c r="C194" s="20" t="n">
        <f aca="false">$B$4*B193*$C$4+$B$4*C193*$C$5+$B$5*C193*$C$4+$B$5*D193*$C$5+$F$4</f>
        <v>-5.78571426715165</v>
      </c>
      <c r="D194" s="20" t="n">
        <f aca="false">$C$4*B193*$C$4+$C$4*C193*$C$5+$C$5*C193*$C$4+$C$5*D193*$C$5+$F$5</f>
        <v>11.9928571043018</v>
      </c>
      <c r="P194" s="18" t="n">
        <v>185</v>
      </c>
      <c r="Q194" s="20" t="n">
        <f aca="false">Declarations!$B$20*Q193*Declarations!$B$20+Declarations!$B$20*R193*Declarations!$B$21+Declarations!$B$20*S193*Declarations!$B$22+Declarations!$B$21*R193*Declarations!$B$20+Declarations!$B$21*T193*Declarations!$B$21+Declarations!$B$21*U193*Declarations!$B$22+Declarations!$B$22*S193*Declarations!$B$20+Declarations!$B$22*U193*Declarations!$B$21+Declarations!$B$22*V193*Declarations!$B$22+1</f>
        <v>10.2972986525742</v>
      </c>
      <c r="R194" s="20" t="n">
        <f aca="false">Declarations!$B$20*Q193*Declarations!$C$20+Declarations!$B$20*R193*Declarations!$C$21+Declarations!$B$20*S193*Declarations!$C$22+Declarations!$B$21*R193*Declarations!$C$20+Declarations!$B$21*T193*Declarations!$C$21+Declarations!$B$21*U193*Declarations!$C$22+Declarations!$B$22*S193*Declarations!$C$20+Declarations!$B$22*U193*Declarations!$C$21+Declarations!$B$22*V193*Declarations!$C$22+0</f>
        <v>4.60691835920889</v>
      </c>
      <c r="S194" s="20" t="n">
        <f aca="false">Declarations!$B$20*Q193*Declarations!$D$20+Declarations!$B$20*R193*Declarations!$D$21+Declarations!$B$20*S193*Declarations!$D$22+Declarations!$B$21*R193*Declarations!$D$20+Declarations!$B$21*T193*Declarations!$D$21+Declarations!$B$21*U193*Declarations!$D$22+Declarations!$B$22*S193*Declarations!$D$20+Declarations!$B$22*U193*Declarations!$D$21+Declarations!$B$22*V193*Declarations!$D$22+0</f>
        <v>0.617283950617284</v>
      </c>
      <c r="T194" s="20" t="n">
        <f aca="false">Declarations!$C$20*Q193*Declarations!$C$20+Declarations!$C$20*R193*Declarations!$C$21+Declarations!$C$20*S193*Declarations!$C$22+Declarations!$C$21*R193*Declarations!$C$20+Declarations!$C$21*T193*Declarations!$C$21+Declarations!$C$21*U193*Declarations!$C$22+Declarations!$C$22*S193*Declarations!$C$20+Declarations!$C$22*U193*Declarations!$C$21+Declarations!$C$22*V193*Declarations!$C$22+1</f>
        <v>5.70253968371967</v>
      </c>
      <c r="U194" s="20" t="n">
        <f aca="false">Declarations!$C$20*Q193*Declarations!$D$20+Declarations!$C$20*R193*Declarations!$D$21+Declarations!$C$20*S193*Declarations!$D$22+Declarations!$C$21*R193*Declarations!$D$20+Declarations!$C$21*T193*Declarations!$D$21+Declarations!$C$21*U193*Declarations!$D$22+Declarations!$C$22*S193*Declarations!$D$20+Declarations!$C$22*U193*Declarations!$D$21+Declarations!$C$22*V193*Declarations!$D$22+0</f>
        <v>0.771604938271605</v>
      </c>
      <c r="V194" s="20" t="n">
        <f aca="false">Declarations!$D$20*Q193*Declarations!$D$20+Declarations!$D$20*R193*Declarations!$D$21+Declarations!$D$20*S193*Declarations!$D$22+Declarations!$D$21*R193*Declarations!$D$20+Declarations!$D$21*T193*Declarations!$D$21+Declarations!$D$21*U193*Declarations!$D$22+Declarations!$D$22*S193*Declarations!$D$20+Declarations!$D$22*U193*Declarations!$D$21+Declarations!$D$22*V193*Declarations!$D$22+1</f>
        <v>2.77777777777778</v>
      </c>
    </row>
    <row r="195" customFormat="false" ht="15" hidden="false" customHeight="false" outlineLevel="0" collapsed="false">
      <c r="A195" s="18" t="n">
        <v>186</v>
      </c>
      <c r="B195" s="20" t="n">
        <f aca="false">$B$4*B194*$B$4+$B$4*C194*$B$5+$B$5*C194*$B$4+$B$5*D194*$B$5+$E$4</f>
        <v>13.5714285332146</v>
      </c>
      <c r="C195" s="20" t="n">
        <f aca="false">$B$4*B194*$C$4+$B$4*C194*$C$5+$B$5*C194*$C$4+$B$5*D194*$C$5+$F$4</f>
        <v>-5.7857142693492</v>
      </c>
      <c r="D195" s="20" t="n">
        <f aca="false">$C$4*B194*$C$4+$C$4*C194*$C$5+$C$5*C194*$C$4+$C$5*D194*$C$5+$F$5</f>
        <v>11.9928571097857</v>
      </c>
      <c r="P195" s="18" t="n">
        <v>186</v>
      </c>
      <c r="Q195" s="20" t="n">
        <f aca="false">Declarations!$B$20*Q194*Declarations!$B$20+Declarations!$B$20*R194*Declarations!$B$21+Declarations!$B$20*S194*Declarations!$B$22+Declarations!$B$21*R194*Declarations!$B$20+Declarations!$B$21*T194*Declarations!$B$21+Declarations!$B$21*U194*Declarations!$B$22+Declarations!$B$22*S194*Declarations!$B$20+Declarations!$B$22*U194*Declarations!$B$21+Declarations!$B$22*V194*Declarations!$B$22+1</f>
        <v>10.2972986594626</v>
      </c>
      <c r="R195" s="20" t="n">
        <f aca="false">Declarations!$B$20*Q194*Declarations!$C$20+Declarations!$B$20*R194*Declarations!$C$21+Declarations!$B$20*S194*Declarations!$C$22+Declarations!$B$21*R194*Declarations!$C$20+Declarations!$B$21*T194*Declarations!$C$21+Declarations!$B$21*U194*Declarations!$C$22+Declarations!$B$22*S194*Declarations!$C$20+Declarations!$B$22*U194*Declarations!$C$21+Declarations!$B$22*V194*Declarations!$C$22+0</f>
        <v>4.6069183626531</v>
      </c>
      <c r="S195" s="20" t="n">
        <f aca="false">Declarations!$B$20*Q194*Declarations!$D$20+Declarations!$B$20*R194*Declarations!$D$21+Declarations!$B$20*S194*Declarations!$D$22+Declarations!$B$21*R194*Declarations!$D$20+Declarations!$B$21*T194*Declarations!$D$21+Declarations!$B$21*U194*Declarations!$D$22+Declarations!$B$22*S194*Declarations!$D$20+Declarations!$B$22*U194*Declarations!$D$21+Declarations!$B$22*V194*Declarations!$D$22+0</f>
        <v>0.617283950617284</v>
      </c>
      <c r="T195" s="20" t="n">
        <f aca="false">Declarations!$C$20*Q194*Declarations!$C$20+Declarations!$C$20*R194*Declarations!$C$21+Declarations!$C$20*S194*Declarations!$C$22+Declarations!$C$21*R194*Declarations!$C$20+Declarations!$C$21*T194*Declarations!$C$21+Declarations!$C$21*U194*Declarations!$C$22+Declarations!$C$22*S194*Declarations!$C$20+Declarations!$C$22*U194*Declarations!$C$21+Declarations!$C$22*V194*Declarations!$C$22+1</f>
        <v>5.70253968544177</v>
      </c>
      <c r="U195" s="20" t="n">
        <f aca="false">Declarations!$C$20*Q194*Declarations!$D$20+Declarations!$C$20*R194*Declarations!$D$21+Declarations!$C$20*S194*Declarations!$D$22+Declarations!$C$21*R194*Declarations!$D$20+Declarations!$C$21*T194*Declarations!$D$21+Declarations!$C$21*U194*Declarations!$D$22+Declarations!$C$22*S194*Declarations!$D$20+Declarations!$C$22*U194*Declarations!$D$21+Declarations!$C$22*V194*Declarations!$D$22+0</f>
        <v>0.771604938271605</v>
      </c>
      <c r="V195" s="20" t="n">
        <f aca="false">Declarations!$D$20*Q194*Declarations!$D$20+Declarations!$D$20*R194*Declarations!$D$21+Declarations!$D$20*S194*Declarations!$D$22+Declarations!$D$21*R194*Declarations!$D$20+Declarations!$D$21*T194*Declarations!$D$21+Declarations!$D$21*U194*Declarations!$D$22+Declarations!$D$22*S194*Declarations!$D$20+Declarations!$D$22*U194*Declarations!$D$21+Declarations!$D$22*V194*Declarations!$D$22+1</f>
        <v>2.77777777777778</v>
      </c>
    </row>
    <row r="196" customFormat="false" ht="15" hidden="false" customHeight="false" outlineLevel="0" collapsed="false">
      <c r="A196" s="18" t="n">
        <v>187</v>
      </c>
      <c r="B196" s="20" t="n">
        <f aca="false">$B$4*B195*$B$4+$B$4*C195*$B$5+$B$5*C195*$B$4+$B$5*D195*$B$5+$E$4</f>
        <v>13.5714285368609</v>
      </c>
      <c r="C196" s="20" t="n">
        <f aca="false">$B$4*B195*$C$4+$B$4*C195*$C$5+$B$5*C195*$C$4+$B$5*D195*$C$5+$F$4</f>
        <v>-5.78571426948951</v>
      </c>
      <c r="D196" s="20" t="n">
        <f aca="false">$C$4*B195*$C$4+$C$4*C195*$C$5+$C$5*C195*$C$4+$C$5*D195*$C$5+$F$5</f>
        <v>11.9928571119038</v>
      </c>
      <c r="P196" s="18" t="n">
        <v>187</v>
      </c>
      <c r="Q196" s="20" t="n">
        <f aca="false">Declarations!$B$20*Q195*Declarations!$B$20+Declarations!$B$20*R195*Declarations!$B$21+Declarations!$B$20*S195*Declarations!$B$22+Declarations!$B$21*R195*Declarations!$B$20+Declarations!$B$21*T195*Declarations!$B$21+Declarations!$B$21*U195*Declarations!$B$22+Declarations!$B$22*S195*Declarations!$B$20+Declarations!$B$22*U195*Declarations!$B$21+Declarations!$B$22*V195*Declarations!$B$22+1</f>
        <v>10.2972986656794</v>
      </c>
      <c r="R196" s="20" t="n">
        <f aca="false">Declarations!$B$20*Q195*Declarations!$C$20+Declarations!$B$20*R195*Declarations!$C$21+Declarations!$B$20*S195*Declarations!$C$22+Declarations!$B$21*R195*Declarations!$C$20+Declarations!$B$21*T195*Declarations!$C$21+Declarations!$B$21*U195*Declarations!$C$22+Declarations!$B$22*S195*Declarations!$C$20+Declarations!$B$22*U195*Declarations!$C$21+Declarations!$B$22*V195*Declarations!$C$22+0</f>
        <v>4.6069183657615</v>
      </c>
      <c r="S196" s="20" t="n">
        <f aca="false">Declarations!$B$20*Q195*Declarations!$D$20+Declarations!$B$20*R195*Declarations!$D$21+Declarations!$B$20*S195*Declarations!$D$22+Declarations!$B$21*R195*Declarations!$D$20+Declarations!$B$21*T195*Declarations!$D$21+Declarations!$B$21*U195*Declarations!$D$22+Declarations!$B$22*S195*Declarations!$D$20+Declarations!$B$22*U195*Declarations!$D$21+Declarations!$B$22*V195*Declarations!$D$22+0</f>
        <v>0.617283950617284</v>
      </c>
      <c r="T196" s="20" t="n">
        <f aca="false">Declarations!$C$20*Q195*Declarations!$C$20+Declarations!$C$20*R195*Declarations!$C$21+Declarations!$C$20*S195*Declarations!$C$22+Declarations!$C$21*R195*Declarations!$C$20+Declarations!$C$21*T195*Declarations!$C$21+Declarations!$C$21*U195*Declarations!$C$22+Declarations!$C$22*S195*Declarations!$C$20+Declarations!$C$22*U195*Declarations!$C$21+Declarations!$C$22*V195*Declarations!$C$22+1</f>
        <v>5.70253968699597</v>
      </c>
      <c r="U196" s="20" t="n">
        <f aca="false">Declarations!$C$20*Q195*Declarations!$D$20+Declarations!$C$20*R195*Declarations!$D$21+Declarations!$C$20*S195*Declarations!$D$22+Declarations!$C$21*R195*Declarations!$D$20+Declarations!$C$21*T195*Declarations!$D$21+Declarations!$C$21*U195*Declarations!$D$22+Declarations!$C$22*S195*Declarations!$D$20+Declarations!$C$22*U195*Declarations!$D$21+Declarations!$C$22*V195*Declarations!$D$22+0</f>
        <v>0.771604938271605</v>
      </c>
      <c r="V196" s="20" t="n">
        <f aca="false">Declarations!$D$20*Q195*Declarations!$D$20+Declarations!$D$20*R195*Declarations!$D$21+Declarations!$D$20*S195*Declarations!$D$22+Declarations!$D$21*R195*Declarations!$D$20+Declarations!$D$21*T195*Declarations!$D$21+Declarations!$D$21*U195*Declarations!$D$22+Declarations!$D$22*S195*Declarations!$D$20+Declarations!$D$22*U195*Declarations!$D$21+Declarations!$D$22*V195*Declarations!$D$22+1</f>
        <v>2.77777777777778</v>
      </c>
    </row>
    <row r="197" customFormat="false" ht="15" hidden="false" customHeight="false" outlineLevel="0" collapsed="false">
      <c r="A197" s="18" t="n">
        <v>188</v>
      </c>
      <c r="B197" s="20" t="n">
        <f aca="false">$B$4*B196*$B$4+$B$4*C196*$B$5+$B$5*C196*$B$4+$B$5*D196*$B$5+$E$4</f>
        <v>13.57142854168</v>
      </c>
      <c r="C197" s="20" t="n">
        <f aca="false">$B$4*B196*$C$4+$B$4*C196*$C$5+$B$5*C196*$C$4+$B$5*D196*$C$5+$F$4</f>
        <v>-5.78571427231678</v>
      </c>
      <c r="D197" s="20" t="n">
        <f aca="false">$C$4*B196*$C$4+$C$4*C196*$C$5+$C$5*C196*$C$4+$C$5*D196*$C$5+$F$5</f>
        <v>11.9928571148573</v>
      </c>
      <c r="P197" s="18" t="n">
        <v>188</v>
      </c>
      <c r="Q197" s="20" t="n">
        <f aca="false">Declarations!$B$20*Q196*Declarations!$B$20+Declarations!$B$20*R196*Declarations!$B$21+Declarations!$B$20*S196*Declarations!$B$22+Declarations!$B$21*R196*Declarations!$B$20+Declarations!$B$21*T196*Declarations!$B$21+Declarations!$B$21*U196*Declarations!$B$22+Declarations!$B$22*S196*Declarations!$B$20+Declarations!$B$22*U196*Declarations!$B$21+Declarations!$B$22*V196*Declarations!$B$22+1</f>
        <v>10.29729867129</v>
      </c>
      <c r="R197" s="20" t="n">
        <f aca="false">Declarations!$B$20*Q196*Declarations!$C$20+Declarations!$B$20*R196*Declarations!$C$21+Declarations!$B$20*S196*Declarations!$C$22+Declarations!$B$21*R196*Declarations!$C$20+Declarations!$B$21*T196*Declarations!$C$21+Declarations!$B$21*U196*Declarations!$C$22+Declarations!$B$22*S196*Declarations!$C$20+Declarations!$B$22*U196*Declarations!$C$21+Declarations!$B$22*V196*Declarations!$C$22+0</f>
        <v>4.60691836856683</v>
      </c>
      <c r="S197" s="20" t="n">
        <f aca="false">Declarations!$B$20*Q196*Declarations!$D$20+Declarations!$B$20*R196*Declarations!$D$21+Declarations!$B$20*S196*Declarations!$D$22+Declarations!$B$21*R196*Declarations!$D$20+Declarations!$B$21*T196*Declarations!$D$21+Declarations!$B$21*U196*Declarations!$D$22+Declarations!$B$22*S196*Declarations!$D$20+Declarations!$B$22*U196*Declarations!$D$21+Declarations!$B$22*V196*Declarations!$D$22+0</f>
        <v>0.617283950617284</v>
      </c>
      <c r="T197" s="20" t="n">
        <f aca="false">Declarations!$C$20*Q196*Declarations!$C$20+Declarations!$C$20*R196*Declarations!$C$21+Declarations!$C$20*S196*Declarations!$C$22+Declarations!$C$21*R196*Declarations!$C$20+Declarations!$C$21*T196*Declarations!$C$21+Declarations!$C$21*U196*Declarations!$C$22+Declarations!$C$22*S196*Declarations!$C$20+Declarations!$C$22*U196*Declarations!$C$21+Declarations!$C$22*V196*Declarations!$C$22+1</f>
        <v>5.70253968839864</v>
      </c>
      <c r="U197" s="20" t="n">
        <f aca="false">Declarations!$C$20*Q196*Declarations!$D$20+Declarations!$C$20*R196*Declarations!$D$21+Declarations!$C$20*S196*Declarations!$D$22+Declarations!$C$21*R196*Declarations!$D$20+Declarations!$C$21*T196*Declarations!$D$21+Declarations!$C$21*U196*Declarations!$D$22+Declarations!$C$22*S196*Declarations!$D$20+Declarations!$C$22*U196*Declarations!$D$21+Declarations!$C$22*V196*Declarations!$D$22+0</f>
        <v>0.771604938271605</v>
      </c>
      <c r="V197" s="20" t="n">
        <f aca="false">Declarations!$D$20*Q196*Declarations!$D$20+Declarations!$D$20*R196*Declarations!$D$21+Declarations!$D$20*S196*Declarations!$D$22+Declarations!$D$21*R196*Declarations!$D$20+Declarations!$D$21*T196*Declarations!$D$21+Declarations!$D$21*U196*Declarations!$D$22+Declarations!$D$22*S196*Declarations!$D$20+Declarations!$D$22*U196*Declarations!$D$21+Declarations!$D$22*V196*Declarations!$D$22+1</f>
        <v>2.77777777777778</v>
      </c>
    </row>
    <row r="198" customFormat="false" ht="15" hidden="false" customHeight="false" outlineLevel="0" collapsed="false">
      <c r="A198" s="18" t="n">
        <v>189</v>
      </c>
      <c r="B198" s="20" t="n">
        <f aca="false">$B$4*B197*$B$4+$B$4*C197*$B$5+$B$5*C197*$B$4+$B$5*D197*$B$5+$E$4</f>
        <v>13.5714285434479</v>
      </c>
      <c r="C198" s="20" t="n">
        <f aca="false">$B$4*B197*$C$4+$B$4*C197*$C$5+$B$5*C197*$C$4+$B$5*D197*$C$5+$F$4</f>
        <v>-5.7857142736757</v>
      </c>
      <c r="D198" s="20" t="n">
        <f aca="false">$C$4*B197*$C$4+$C$4*C197*$C$5+$C$5*C197*$C$4+$C$5*D197*$C$5+$F$5</f>
        <v>11.9928571187608</v>
      </c>
      <c r="P198" s="18" t="n">
        <v>189</v>
      </c>
      <c r="Q198" s="20" t="n">
        <f aca="false">Declarations!$B$20*Q197*Declarations!$B$20+Declarations!$B$20*R197*Declarations!$B$21+Declarations!$B$20*S197*Declarations!$B$22+Declarations!$B$21*R197*Declarations!$B$20+Declarations!$B$21*T197*Declarations!$B$21+Declarations!$B$21*U197*Declarations!$B$22+Declarations!$B$22*S197*Declarations!$B$20+Declarations!$B$22*U197*Declarations!$B$21+Declarations!$B$22*V197*Declarations!$B$22+1</f>
        <v>10.2972986763537</v>
      </c>
      <c r="R198" s="20" t="n">
        <f aca="false">Declarations!$B$20*Q197*Declarations!$C$20+Declarations!$B$20*R197*Declarations!$C$21+Declarations!$B$20*S197*Declarations!$C$22+Declarations!$B$21*R197*Declarations!$C$20+Declarations!$B$21*T197*Declarations!$C$21+Declarations!$B$21*U197*Declarations!$C$22+Declarations!$B$22*S197*Declarations!$C$20+Declarations!$B$22*U197*Declarations!$C$21+Declarations!$B$22*V197*Declarations!$C$22+0</f>
        <v>4.60691837109864</v>
      </c>
      <c r="S198" s="20" t="n">
        <f aca="false">Declarations!$B$20*Q197*Declarations!$D$20+Declarations!$B$20*R197*Declarations!$D$21+Declarations!$B$20*S197*Declarations!$D$22+Declarations!$B$21*R197*Declarations!$D$20+Declarations!$B$21*T197*Declarations!$D$21+Declarations!$B$21*U197*Declarations!$D$22+Declarations!$B$22*S197*Declarations!$D$20+Declarations!$B$22*U197*Declarations!$D$21+Declarations!$B$22*V197*Declarations!$D$22+0</f>
        <v>0.617283950617284</v>
      </c>
      <c r="T198" s="20" t="n">
        <f aca="false">Declarations!$C$20*Q197*Declarations!$C$20+Declarations!$C$20*R197*Declarations!$C$21+Declarations!$C$20*S197*Declarations!$C$22+Declarations!$C$21*R197*Declarations!$C$20+Declarations!$C$21*T197*Declarations!$C$21+Declarations!$C$21*U197*Declarations!$C$22+Declarations!$C$22*S197*Declarations!$C$20+Declarations!$C$22*U197*Declarations!$C$21+Declarations!$C$22*V197*Declarations!$C$22+1</f>
        <v>5.70253968966455</v>
      </c>
      <c r="U198" s="20" t="n">
        <f aca="false">Declarations!$C$20*Q197*Declarations!$D$20+Declarations!$C$20*R197*Declarations!$D$21+Declarations!$C$20*S197*Declarations!$D$22+Declarations!$C$21*R197*Declarations!$D$20+Declarations!$C$21*T197*Declarations!$D$21+Declarations!$C$21*U197*Declarations!$D$22+Declarations!$C$22*S197*Declarations!$D$20+Declarations!$C$22*U197*Declarations!$D$21+Declarations!$C$22*V197*Declarations!$D$22+0</f>
        <v>0.771604938271605</v>
      </c>
      <c r="V198" s="20" t="n">
        <f aca="false">Declarations!$D$20*Q197*Declarations!$D$20+Declarations!$D$20*R197*Declarations!$D$21+Declarations!$D$20*S197*Declarations!$D$22+Declarations!$D$21*R197*Declarations!$D$20+Declarations!$D$21*T197*Declarations!$D$21+Declarations!$D$21*U197*Declarations!$D$22+Declarations!$D$22*S197*Declarations!$D$20+Declarations!$D$22*U197*Declarations!$D$21+Declarations!$D$22*V197*Declarations!$D$22+1</f>
        <v>2.77777777777778</v>
      </c>
    </row>
    <row r="199" customFormat="false" ht="15" hidden="false" customHeight="false" outlineLevel="0" collapsed="false">
      <c r="A199" s="18" t="n">
        <v>190</v>
      </c>
      <c r="B199" s="20" t="n">
        <f aca="false">$B$4*B198*$B$4+$B$4*C198*$B$5+$B$5*C198*$B$4+$B$5*D198*$B$5+$E$4</f>
        <v>13.5714285463374</v>
      </c>
      <c r="C199" s="20" t="n">
        <f aca="false">$B$4*B198*$C$4+$B$4*C198*$C$5+$B$5*C198*$C$4+$B$5*D198*$C$5+$F$4</f>
        <v>-5.7857142738847</v>
      </c>
      <c r="D199" s="20" t="n">
        <f aca="false">$C$4*B198*$C$4+$C$4*C198*$C$5+$C$5*C198*$C$4+$C$5*D198*$C$5+$F$5</f>
        <v>11.9928571201928</v>
      </c>
      <c r="P199" s="18" t="n">
        <v>190</v>
      </c>
      <c r="Q199" s="20" t="n">
        <f aca="false">Declarations!$B$20*Q198*Declarations!$B$20+Declarations!$B$20*R198*Declarations!$B$21+Declarations!$B$20*S198*Declarations!$B$22+Declarations!$B$21*R198*Declarations!$B$20+Declarations!$B$21*T198*Declarations!$B$21+Declarations!$B$21*U198*Declarations!$B$22+Declarations!$B$22*S198*Declarations!$B$20+Declarations!$B$22*U198*Declarations!$B$21+Declarations!$B$22*V198*Declarations!$B$22+1</f>
        <v>10.2972986809236</v>
      </c>
      <c r="R199" s="20" t="n">
        <f aca="false">Declarations!$B$20*Q198*Declarations!$C$20+Declarations!$B$20*R198*Declarations!$C$21+Declarations!$B$20*S198*Declarations!$C$22+Declarations!$B$21*R198*Declarations!$C$20+Declarations!$B$21*T198*Declarations!$C$21+Declarations!$B$21*U198*Declarations!$C$22+Declarations!$B$22*S198*Declarations!$C$20+Declarations!$B$22*U198*Declarations!$C$21+Declarations!$B$22*V198*Declarations!$C$22+0</f>
        <v>4.60691837338361</v>
      </c>
      <c r="S199" s="20" t="n">
        <f aca="false">Declarations!$B$20*Q198*Declarations!$D$20+Declarations!$B$20*R198*Declarations!$D$21+Declarations!$B$20*S198*Declarations!$D$22+Declarations!$B$21*R198*Declarations!$D$20+Declarations!$B$21*T198*Declarations!$D$21+Declarations!$B$21*U198*Declarations!$D$22+Declarations!$B$22*S198*Declarations!$D$20+Declarations!$B$22*U198*Declarations!$D$21+Declarations!$B$22*V198*Declarations!$D$22+0</f>
        <v>0.617283950617284</v>
      </c>
      <c r="T199" s="20" t="n">
        <f aca="false">Declarations!$C$20*Q198*Declarations!$C$20+Declarations!$C$20*R198*Declarations!$C$21+Declarations!$C$20*S198*Declarations!$C$22+Declarations!$C$21*R198*Declarations!$C$20+Declarations!$C$21*T198*Declarations!$C$21+Declarations!$C$21*U198*Declarations!$C$22+Declarations!$C$22*S198*Declarations!$C$20+Declarations!$C$22*U198*Declarations!$C$21+Declarations!$C$22*V198*Declarations!$C$22+1</f>
        <v>5.70253969080703</v>
      </c>
      <c r="U199" s="20" t="n">
        <f aca="false">Declarations!$C$20*Q198*Declarations!$D$20+Declarations!$C$20*R198*Declarations!$D$21+Declarations!$C$20*S198*Declarations!$D$22+Declarations!$C$21*R198*Declarations!$D$20+Declarations!$C$21*T198*Declarations!$D$21+Declarations!$C$21*U198*Declarations!$D$22+Declarations!$C$22*S198*Declarations!$D$20+Declarations!$C$22*U198*Declarations!$D$21+Declarations!$C$22*V198*Declarations!$D$22+0</f>
        <v>0.771604938271605</v>
      </c>
      <c r="V199" s="20" t="n">
        <f aca="false">Declarations!$D$20*Q198*Declarations!$D$20+Declarations!$D$20*R198*Declarations!$D$21+Declarations!$D$20*S198*Declarations!$D$22+Declarations!$D$21*R198*Declarations!$D$20+Declarations!$D$21*T198*Declarations!$D$21+Declarations!$D$21*U198*Declarations!$D$22+Declarations!$D$22*S198*Declarations!$D$20+Declarations!$D$22*U198*Declarations!$D$21+Declarations!$D$22*V198*Declarations!$D$22+1</f>
        <v>2.77777777777778</v>
      </c>
    </row>
    <row r="200" customFormat="false" ht="15" hidden="false" customHeight="false" outlineLevel="0" collapsed="false">
      <c r="A200" s="18" t="n">
        <v>191</v>
      </c>
      <c r="B200" s="20" t="n">
        <f aca="false">$B$4*B199*$B$4+$B$4*C199*$B$5+$B$5*C199*$B$4+$B$5*D199*$B$5+$E$4</f>
        <v>13.5714285497336</v>
      </c>
      <c r="C200" s="20" t="n">
        <f aca="false">$B$4*B199*$C$4+$B$4*C199*$C$5+$B$5*C199*$C$4+$B$5*D199*$C$5+$F$4</f>
        <v>-5.78571427603704</v>
      </c>
      <c r="D200" s="20" t="n">
        <f aca="false">$C$4*B199*$C$4+$C$4*C199*$C$5+$C$5*C199*$C$4+$C$5*D199*$C$5+$F$5</f>
        <v>11.9928571225333</v>
      </c>
      <c r="P200" s="18" t="n">
        <v>191</v>
      </c>
      <c r="Q200" s="20" t="n">
        <f aca="false">Declarations!$B$20*Q199*Declarations!$B$20+Declarations!$B$20*R199*Declarations!$B$21+Declarations!$B$20*S199*Declarations!$B$22+Declarations!$B$21*R199*Declarations!$B$20+Declarations!$B$21*T199*Declarations!$B$21+Declarations!$B$21*U199*Declarations!$B$22+Declarations!$B$22*S199*Declarations!$B$20+Declarations!$B$22*U199*Declarations!$B$21+Declarations!$B$22*V199*Declarations!$B$22+1</f>
        <v>10.2972986850479</v>
      </c>
      <c r="R200" s="20" t="n">
        <f aca="false">Declarations!$B$20*Q199*Declarations!$C$20+Declarations!$B$20*R199*Declarations!$C$21+Declarations!$B$20*S199*Declarations!$C$22+Declarations!$B$21*R199*Declarations!$C$20+Declarations!$B$21*T199*Declarations!$C$21+Declarations!$B$21*U199*Declarations!$C$22+Declarations!$B$22*S199*Declarations!$C$20+Declarations!$B$22*U199*Declarations!$C$21+Declarations!$B$22*V199*Declarations!$C$22+0</f>
        <v>4.60691837544578</v>
      </c>
      <c r="S200" s="20" t="n">
        <f aca="false">Declarations!$B$20*Q199*Declarations!$D$20+Declarations!$B$20*R199*Declarations!$D$21+Declarations!$B$20*S199*Declarations!$D$22+Declarations!$B$21*R199*Declarations!$D$20+Declarations!$B$21*T199*Declarations!$D$21+Declarations!$B$21*U199*Declarations!$D$22+Declarations!$B$22*S199*Declarations!$D$20+Declarations!$B$22*U199*Declarations!$D$21+Declarations!$B$22*V199*Declarations!$D$22+0</f>
        <v>0.617283950617284</v>
      </c>
      <c r="T200" s="20" t="n">
        <f aca="false">Declarations!$C$20*Q199*Declarations!$C$20+Declarations!$C$20*R199*Declarations!$C$21+Declarations!$C$20*S199*Declarations!$C$22+Declarations!$C$21*R199*Declarations!$C$20+Declarations!$C$21*T199*Declarations!$C$21+Declarations!$C$21*U199*Declarations!$C$22+Declarations!$C$22*S199*Declarations!$C$20+Declarations!$C$22*U199*Declarations!$C$21+Declarations!$C$22*V199*Declarations!$C$22+1</f>
        <v>5.70253969183811</v>
      </c>
      <c r="U200" s="20" t="n">
        <f aca="false">Declarations!$C$20*Q199*Declarations!$D$20+Declarations!$C$20*R199*Declarations!$D$21+Declarations!$C$20*S199*Declarations!$D$22+Declarations!$C$21*R199*Declarations!$D$20+Declarations!$C$21*T199*Declarations!$D$21+Declarations!$C$21*U199*Declarations!$D$22+Declarations!$C$22*S199*Declarations!$D$20+Declarations!$C$22*U199*Declarations!$D$21+Declarations!$C$22*V199*Declarations!$D$22+0</f>
        <v>0.771604938271605</v>
      </c>
      <c r="V200" s="20" t="n">
        <f aca="false">Declarations!$D$20*Q199*Declarations!$D$20+Declarations!$D$20*R199*Declarations!$D$21+Declarations!$D$20*S199*Declarations!$D$22+Declarations!$D$21*R199*Declarations!$D$20+Declarations!$D$21*T199*Declarations!$D$21+Declarations!$D$21*U199*Declarations!$D$22+Declarations!$D$22*S199*Declarations!$D$20+Declarations!$D$22*U199*Declarations!$D$21+Declarations!$D$22*V199*Declarations!$D$22+1</f>
        <v>2.77777777777778</v>
      </c>
    </row>
    <row r="201" customFormat="false" ht="15" hidden="false" customHeight="false" outlineLevel="0" collapsed="false">
      <c r="A201" s="18" t="n">
        <v>192</v>
      </c>
      <c r="B201" s="20" t="n">
        <f aca="false">$B$4*B200*$B$4+$B$4*C200*$B$5+$B$5*C200*$B$4+$B$5*D200*$B$5+$E$4</f>
        <v>13.5714285509508</v>
      </c>
      <c r="C201" s="20" t="n">
        <f aca="false">$B$4*B200*$C$4+$B$4*C200*$C$5+$B$5*C200*$C$4+$B$5*D200*$C$5+$F$4</f>
        <v>-5.78571427685091</v>
      </c>
      <c r="D201" s="20" t="n">
        <f aca="false">$C$4*B200*$C$4+$C$4*C200*$C$5+$C$5*C200*$C$4+$C$5*D200*$C$5+$F$5</f>
        <v>11.9928571252843</v>
      </c>
      <c r="P201" s="18" t="n">
        <v>192</v>
      </c>
      <c r="Q201" s="20" t="n">
        <f aca="false">Declarations!$B$20*Q200*Declarations!$B$20+Declarations!$B$20*R200*Declarations!$B$21+Declarations!$B$20*S200*Declarations!$B$22+Declarations!$B$21*R200*Declarations!$B$20+Declarations!$B$21*T200*Declarations!$B$21+Declarations!$B$21*U200*Declarations!$B$22+Declarations!$B$22*S200*Declarations!$B$20+Declarations!$B$22*U200*Declarations!$B$21+Declarations!$B$22*V200*Declarations!$B$22+1</f>
        <v>10.2972986887702</v>
      </c>
      <c r="R201" s="20" t="n">
        <f aca="false">Declarations!$B$20*Q200*Declarations!$C$20+Declarations!$B$20*R200*Declarations!$C$21+Declarations!$B$20*S200*Declarations!$C$22+Declarations!$B$21*R200*Declarations!$C$20+Declarations!$B$21*T200*Declarations!$C$21+Declarations!$B$21*U200*Declarations!$C$22+Declarations!$B$22*S200*Declarations!$C$20+Declarations!$B$22*U200*Declarations!$C$21+Declarations!$B$22*V200*Declarations!$C$22+0</f>
        <v>4.6069183773069</v>
      </c>
      <c r="S201" s="20" t="n">
        <f aca="false">Declarations!$B$20*Q200*Declarations!$D$20+Declarations!$B$20*R200*Declarations!$D$21+Declarations!$B$20*S200*Declarations!$D$22+Declarations!$B$21*R200*Declarations!$D$20+Declarations!$B$21*T200*Declarations!$D$21+Declarations!$B$21*U200*Declarations!$D$22+Declarations!$B$22*S200*Declarations!$D$20+Declarations!$B$22*U200*Declarations!$D$21+Declarations!$B$22*V200*Declarations!$D$22+0</f>
        <v>0.617283950617284</v>
      </c>
      <c r="T201" s="20" t="n">
        <f aca="false">Declarations!$C$20*Q200*Declarations!$C$20+Declarations!$C$20*R200*Declarations!$C$21+Declarations!$C$20*S200*Declarations!$C$22+Declarations!$C$21*R200*Declarations!$C$20+Declarations!$C$21*T200*Declarations!$C$21+Declarations!$C$21*U200*Declarations!$C$22+Declarations!$C$22*S200*Declarations!$C$20+Declarations!$C$22*U200*Declarations!$C$21+Declarations!$C$22*V200*Declarations!$C$22+1</f>
        <v>5.70253969276867</v>
      </c>
      <c r="U201" s="20" t="n">
        <f aca="false">Declarations!$C$20*Q200*Declarations!$D$20+Declarations!$C$20*R200*Declarations!$D$21+Declarations!$C$20*S200*Declarations!$D$22+Declarations!$C$21*R200*Declarations!$D$20+Declarations!$C$21*T200*Declarations!$D$21+Declarations!$C$21*U200*Declarations!$D$22+Declarations!$C$22*S200*Declarations!$D$20+Declarations!$C$22*U200*Declarations!$D$21+Declarations!$C$22*V200*Declarations!$D$22+0</f>
        <v>0.771604938271605</v>
      </c>
      <c r="V201" s="20" t="n">
        <f aca="false">Declarations!$D$20*Q200*Declarations!$D$20+Declarations!$D$20*R200*Declarations!$D$21+Declarations!$D$20*S200*Declarations!$D$22+Declarations!$D$21*R200*Declarations!$D$20+Declarations!$D$21*T200*Declarations!$D$21+Declarations!$D$21*U200*Declarations!$D$22+Declarations!$D$22*S200*Declarations!$D$20+Declarations!$D$22*U200*Declarations!$D$21+Declarations!$D$22*V200*Declarations!$D$22+1</f>
        <v>2.77777777777778</v>
      </c>
    </row>
    <row r="202" customFormat="false" ht="15" hidden="false" customHeight="false" outlineLevel="0" collapsed="false">
      <c r="A202" s="18" t="n">
        <v>193</v>
      </c>
      <c r="B202" s="20" t="n">
        <f aca="false">$B$4*B201*$B$4+$B$4*C201*$B$5+$B$5*C201*$B$4+$B$5*D201*$B$5+$E$4</f>
        <v>13.5714285532228</v>
      </c>
      <c r="C202" s="20" t="n">
        <f aca="false">$B$4*B201*$C$4+$B$4*C201*$C$5+$B$5*C201*$C$4+$B$5*D201*$C$5+$F$4</f>
        <v>-5.78571427710436</v>
      </c>
      <c r="D202" s="20" t="n">
        <f aca="false">$C$4*B201*$C$4+$C$4*C201*$C$5+$C$5*C201*$C$4+$C$5*D201*$C$5+$F$5</f>
        <v>11.9928571262702</v>
      </c>
      <c r="P202" s="18" t="n">
        <v>193</v>
      </c>
      <c r="Q202" s="20" t="n">
        <f aca="false">Declarations!$B$20*Q201*Declarations!$B$20+Declarations!$B$20*R201*Declarations!$B$21+Declarations!$B$20*S201*Declarations!$B$22+Declarations!$B$21*R201*Declarations!$B$20+Declarations!$B$21*T201*Declarations!$B$21+Declarations!$B$21*U201*Declarations!$B$22+Declarations!$B$22*S201*Declarations!$B$20+Declarations!$B$22*U201*Declarations!$B$21+Declarations!$B$22*V201*Declarations!$B$22+1</f>
        <v>10.2972986921295</v>
      </c>
      <c r="R202" s="20" t="n">
        <f aca="false">Declarations!$B$20*Q201*Declarations!$C$20+Declarations!$B$20*R201*Declarations!$C$21+Declarations!$B$20*S201*Declarations!$C$22+Declarations!$B$21*R201*Declarations!$C$20+Declarations!$B$21*T201*Declarations!$C$21+Declarations!$B$21*U201*Declarations!$C$22+Declarations!$B$22*S201*Declarations!$C$20+Declarations!$B$22*U201*Declarations!$C$21+Declarations!$B$22*V201*Declarations!$C$22+0</f>
        <v>4.60691837898655</v>
      </c>
      <c r="S202" s="20" t="n">
        <f aca="false">Declarations!$B$20*Q201*Declarations!$D$20+Declarations!$B$20*R201*Declarations!$D$21+Declarations!$B$20*S201*Declarations!$D$22+Declarations!$B$21*R201*Declarations!$D$20+Declarations!$B$21*T201*Declarations!$D$21+Declarations!$B$21*U201*Declarations!$D$22+Declarations!$B$22*S201*Declarations!$D$20+Declarations!$B$22*U201*Declarations!$D$21+Declarations!$B$22*V201*Declarations!$D$22+0</f>
        <v>0.617283950617284</v>
      </c>
      <c r="T202" s="20" t="n">
        <f aca="false">Declarations!$C$20*Q201*Declarations!$C$20+Declarations!$C$20*R201*Declarations!$C$21+Declarations!$C$20*S201*Declarations!$C$22+Declarations!$C$21*R201*Declarations!$C$20+Declarations!$C$21*T201*Declarations!$C$21+Declarations!$C$21*U201*Declarations!$C$22+Declarations!$C$22*S201*Declarations!$C$20+Declarations!$C$22*U201*Declarations!$C$21+Declarations!$C$22*V201*Declarations!$C$22+1</f>
        <v>5.7025396936085</v>
      </c>
      <c r="U202" s="20" t="n">
        <f aca="false">Declarations!$C$20*Q201*Declarations!$D$20+Declarations!$C$20*R201*Declarations!$D$21+Declarations!$C$20*S201*Declarations!$D$22+Declarations!$C$21*R201*Declarations!$D$20+Declarations!$C$21*T201*Declarations!$D$21+Declarations!$C$21*U201*Declarations!$D$22+Declarations!$C$22*S201*Declarations!$D$20+Declarations!$C$22*U201*Declarations!$D$21+Declarations!$C$22*V201*Declarations!$D$22+0</f>
        <v>0.771604938271605</v>
      </c>
      <c r="V202" s="20" t="n">
        <f aca="false">Declarations!$D$20*Q201*Declarations!$D$20+Declarations!$D$20*R201*Declarations!$D$21+Declarations!$D$20*S201*Declarations!$D$22+Declarations!$D$21*R201*Declarations!$D$20+Declarations!$D$21*T201*Declarations!$D$21+Declarations!$D$21*U201*Declarations!$D$22+Declarations!$D$22*S201*Declarations!$D$20+Declarations!$D$22*U201*Declarations!$D$21+Declarations!$D$22*V201*Declarations!$D$22+1</f>
        <v>2.77777777777778</v>
      </c>
    </row>
    <row r="203" customFormat="false" ht="15" hidden="false" customHeight="false" outlineLevel="0" collapsed="false">
      <c r="A203" s="18" t="n">
        <v>194</v>
      </c>
      <c r="B203" s="20" t="n">
        <f aca="false">$B$4*B202*$B$4+$B$4*C202*$B$5+$B$5*C202*$B$4+$B$5*D202*$B$5+$E$4</f>
        <v>13.5714285555928</v>
      </c>
      <c r="C203" s="20" t="n">
        <f aca="false">$B$4*B202*$C$4+$B$4*C202*$C$5+$B$5*C202*$C$4+$B$5*D202*$C$5+$F$4</f>
        <v>-5.78571427871654</v>
      </c>
      <c r="D203" s="20" t="n">
        <f aca="false">$C$4*B202*$C$4+$C$4*C202*$C$5+$C$5*C202*$C$4+$C$5*D202*$C$5+$F$5</f>
        <v>11.9928571281105</v>
      </c>
      <c r="P203" s="18" t="n">
        <v>194</v>
      </c>
      <c r="Q203" s="20" t="n">
        <f aca="false">Declarations!$B$20*Q202*Declarations!$B$20+Declarations!$B$20*R202*Declarations!$B$21+Declarations!$B$20*S202*Declarations!$B$22+Declarations!$B$21*R202*Declarations!$B$20+Declarations!$B$21*T202*Declarations!$B$21+Declarations!$B$21*U202*Declarations!$B$22+Declarations!$B$22*S202*Declarations!$B$20+Declarations!$B$22*U202*Declarations!$B$21+Declarations!$B$22*V202*Declarations!$B$22+1</f>
        <v>10.2972986951613</v>
      </c>
      <c r="R203" s="20" t="n">
        <f aca="false">Declarations!$B$20*Q202*Declarations!$C$20+Declarations!$B$20*R202*Declarations!$C$21+Declarations!$B$20*S202*Declarations!$C$22+Declarations!$B$21*R202*Declarations!$C$20+Declarations!$B$21*T202*Declarations!$C$21+Declarations!$B$21*U202*Declarations!$C$22+Declarations!$B$22*S202*Declarations!$C$20+Declarations!$B$22*U202*Declarations!$C$21+Declarations!$B$22*V202*Declarations!$C$22+0</f>
        <v>4.60691838050245</v>
      </c>
      <c r="S203" s="20" t="n">
        <f aca="false">Declarations!$B$20*Q202*Declarations!$D$20+Declarations!$B$20*R202*Declarations!$D$21+Declarations!$B$20*S202*Declarations!$D$22+Declarations!$B$21*R202*Declarations!$D$20+Declarations!$B$21*T202*Declarations!$D$21+Declarations!$B$21*U202*Declarations!$D$22+Declarations!$B$22*S202*Declarations!$D$20+Declarations!$B$22*U202*Declarations!$D$21+Declarations!$B$22*V202*Declarations!$D$22+0</f>
        <v>0.617283950617284</v>
      </c>
      <c r="T203" s="20" t="n">
        <f aca="false">Declarations!$C$20*Q202*Declarations!$C$20+Declarations!$C$20*R202*Declarations!$C$21+Declarations!$C$20*S202*Declarations!$C$22+Declarations!$C$21*R202*Declarations!$C$20+Declarations!$C$21*T202*Declarations!$C$21+Declarations!$C$21*U202*Declarations!$C$22+Declarations!$C$22*S202*Declarations!$C$20+Declarations!$C$22*U202*Declarations!$C$21+Declarations!$C$22*V202*Declarations!$C$22+1</f>
        <v>5.70253969436645</v>
      </c>
      <c r="U203" s="20" t="n">
        <f aca="false">Declarations!$C$20*Q202*Declarations!$D$20+Declarations!$C$20*R202*Declarations!$D$21+Declarations!$C$20*S202*Declarations!$D$22+Declarations!$C$21*R202*Declarations!$D$20+Declarations!$C$21*T202*Declarations!$D$21+Declarations!$C$21*U202*Declarations!$D$22+Declarations!$C$22*S202*Declarations!$D$20+Declarations!$C$22*U202*Declarations!$D$21+Declarations!$C$22*V202*Declarations!$D$22+0</f>
        <v>0.771604938271605</v>
      </c>
      <c r="V203" s="20" t="n">
        <f aca="false">Declarations!$D$20*Q202*Declarations!$D$20+Declarations!$D$20*R202*Declarations!$D$21+Declarations!$D$20*S202*Declarations!$D$22+Declarations!$D$21*R202*Declarations!$D$20+Declarations!$D$21*T202*Declarations!$D$21+Declarations!$D$21*U202*Declarations!$D$22+Declarations!$D$22*S202*Declarations!$D$20+Declarations!$D$22*U202*Declarations!$D$21+Declarations!$D$22*V202*Declarations!$D$22+1</f>
        <v>2.77777777777778</v>
      </c>
    </row>
    <row r="204" customFormat="false" ht="15" hidden="false" customHeight="false" outlineLevel="0" collapsed="false">
      <c r="A204" s="18" t="n">
        <v>195</v>
      </c>
      <c r="B204" s="20" t="n">
        <f aca="false">$B$4*B203*$B$4+$B$4*C203*$B$5+$B$5*C203*$B$4+$B$5*D203*$B$5+$E$4</f>
        <v>13.5714285564509</v>
      </c>
      <c r="C204" s="20" t="n">
        <f aca="false">$B$4*B203*$C$4+$B$4*C203*$C$5+$B$5*C203*$C$4+$B$5*D203*$C$5+$F$4</f>
        <v>-5.78571427918528</v>
      </c>
      <c r="D204" s="20" t="n">
        <f aca="false">$C$4*B203*$C$4+$C$4*C203*$C$5+$C$5*C203*$C$4+$C$5*D203*$C$5+$F$5</f>
        <v>11.9928571300302</v>
      </c>
      <c r="P204" s="18" t="n">
        <v>195</v>
      </c>
      <c r="Q204" s="20" t="n">
        <f aca="false">Declarations!$B$20*Q203*Declarations!$B$20+Declarations!$B$20*R203*Declarations!$B$21+Declarations!$B$20*S203*Declarations!$B$22+Declarations!$B$21*R203*Declarations!$B$20+Declarations!$B$21*T203*Declarations!$B$21+Declarations!$B$21*U203*Declarations!$B$22+Declarations!$B$22*S203*Declarations!$B$20+Declarations!$B$22*U203*Declarations!$B$21+Declarations!$B$22*V203*Declarations!$B$22+1</f>
        <v>10.2972986978974</v>
      </c>
      <c r="R204" s="20" t="n">
        <f aca="false">Declarations!$B$20*Q203*Declarations!$C$20+Declarations!$B$20*R203*Declarations!$C$21+Declarations!$B$20*S203*Declarations!$C$22+Declarations!$B$21*R203*Declarations!$C$20+Declarations!$B$21*T203*Declarations!$C$21+Declarations!$B$21*U203*Declarations!$C$22+Declarations!$B$22*S203*Declarations!$C$20+Declarations!$B$22*U203*Declarations!$C$21+Declarations!$B$22*V203*Declarations!$C$22+0</f>
        <v>4.60691838187054</v>
      </c>
      <c r="S204" s="20" t="n">
        <f aca="false">Declarations!$B$20*Q203*Declarations!$D$20+Declarations!$B$20*R203*Declarations!$D$21+Declarations!$B$20*S203*Declarations!$D$22+Declarations!$B$21*R203*Declarations!$D$20+Declarations!$B$21*T203*Declarations!$D$21+Declarations!$B$21*U203*Declarations!$D$22+Declarations!$B$22*S203*Declarations!$D$20+Declarations!$B$22*U203*Declarations!$D$21+Declarations!$B$22*V203*Declarations!$D$22+0</f>
        <v>0.617283950617284</v>
      </c>
      <c r="T204" s="20" t="n">
        <f aca="false">Declarations!$C$20*Q203*Declarations!$C$20+Declarations!$C$20*R203*Declarations!$C$21+Declarations!$C$20*S203*Declarations!$C$22+Declarations!$C$21*R203*Declarations!$C$20+Declarations!$C$21*T203*Declarations!$C$21+Declarations!$C$21*U203*Declarations!$C$22+Declarations!$C$22*S203*Declarations!$C$20+Declarations!$C$22*U203*Declarations!$C$21+Declarations!$C$22*V203*Declarations!$C$22+1</f>
        <v>5.70253969505049</v>
      </c>
      <c r="U204" s="20" t="n">
        <f aca="false">Declarations!$C$20*Q203*Declarations!$D$20+Declarations!$C$20*R203*Declarations!$D$21+Declarations!$C$20*S203*Declarations!$D$22+Declarations!$C$21*R203*Declarations!$D$20+Declarations!$C$21*T203*Declarations!$D$21+Declarations!$C$21*U203*Declarations!$D$22+Declarations!$C$22*S203*Declarations!$D$20+Declarations!$C$22*U203*Declarations!$D$21+Declarations!$C$22*V203*Declarations!$D$22+0</f>
        <v>0.771604938271605</v>
      </c>
      <c r="V204" s="20" t="n">
        <f aca="false">Declarations!$D$20*Q203*Declarations!$D$20+Declarations!$D$20*R203*Declarations!$D$21+Declarations!$D$20*S203*Declarations!$D$22+Declarations!$D$21*R203*Declarations!$D$20+Declarations!$D$21*T203*Declarations!$D$21+Declarations!$D$21*U203*Declarations!$D$22+Declarations!$D$22*S203*Declarations!$D$20+Declarations!$D$22*U203*Declarations!$D$21+Declarations!$D$22*V203*Declarations!$D$22+1</f>
        <v>2.77777777777778</v>
      </c>
    </row>
    <row r="205" customFormat="false" ht="15" hidden="false" customHeight="false" outlineLevel="0" collapsed="false">
      <c r="A205" s="18" t="n">
        <v>196</v>
      </c>
      <c r="B205" s="20" t="n">
        <f aca="false">$B$4*B204*$B$4+$B$4*C204*$B$5+$B$5*C204*$B$4+$B$5*D204*$B$5+$E$4</f>
        <v>13.5714285582219</v>
      </c>
      <c r="C205" s="20" t="n">
        <f aca="false">$B$4*B204*$C$4+$B$4*C204*$C$5+$B$5*C204*$C$4+$B$5*D204*$C$5+$F$4</f>
        <v>-5.78571427945844</v>
      </c>
      <c r="D205" s="20" t="n">
        <f aca="false">$C$4*B204*$C$4+$C$4*C204*$C$5+$C$5*C204*$C$4+$C$5*D204*$C$5+$F$5</f>
        <v>11.9928571307252</v>
      </c>
      <c r="P205" s="18" t="n">
        <v>196</v>
      </c>
      <c r="Q205" s="20" t="n">
        <f aca="false">Declarations!$B$20*Q204*Declarations!$B$20+Declarations!$B$20*R204*Declarations!$B$21+Declarations!$B$20*S204*Declarations!$B$22+Declarations!$B$21*R204*Declarations!$B$20+Declarations!$B$21*T204*Declarations!$B$21+Declarations!$B$21*U204*Declarations!$B$22+Declarations!$B$22*S204*Declarations!$B$20+Declarations!$B$22*U204*Declarations!$B$21+Declarations!$B$22*V204*Declarations!$B$22+1</f>
        <v>10.2972987003669</v>
      </c>
      <c r="R205" s="20" t="n">
        <f aca="false">Declarations!$B$20*Q204*Declarations!$C$20+Declarations!$B$20*R204*Declarations!$C$21+Declarations!$B$20*S204*Declarations!$C$22+Declarations!$B$21*R204*Declarations!$C$20+Declarations!$B$21*T204*Declarations!$C$21+Declarations!$B$21*U204*Declarations!$C$22+Declarations!$B$22*S204*Declarations!$C$20+Declarations!$B$22*U204*Declarations!$C$21+Declarations!$B$22*V204*Declarations!$C$22+0</f>
        <v>4.60691838310524</v>
      </c>
      <c r="S205" s="20" t="n">
        <f aca="false">Declarations!$B$20*Q204*Declarations!$D$20+Declarations!$B$20*R204*Declarations!$D$21+Declarations!$B$20*S204*Declarations!$D$22+Declarations!$B$21*R204*Declarations!$D$20+Declarations!$B$21*T204*Declarations!$D$21+Declarations!$B$21*U204*Declarations!$D$22+Declarations!$B$22*S204*Declarations!$D$20+Declarations!$B$22*U204*Declarations!$D$21+Declarations!$B$22*V204*Declarations!$D$22+0</f>
        <v>0.617283950617284</v>
      </c>
      <c r="T205" s="20" t="n">
        <f aca="false">Declarations!$C$20*Q204*Declarations!$C$20+Declarations!$C$20*R204*Declarations!$C$21+Declarations!$C$20*S204*Declarations!$C$22+Declarations!$C$21*R204*Declarations!$C$20+Declarations!$C$21*T204*Declarations!$C$21+Declarations!$C$21*U204*Declarations!$C$22+Declarations!$C$22*S204*Declarations!$C$20+Declarations!$C$22*U204*Declarations!$C$21+Declarations!$C$22*V204*Declarations!$C$22+1</f>
        <v>5.70253969566784</v>
      </c>
      <c r="U205" s="20" t="n">
        <f aca="false">Declarations!$C$20*Q204*Declarations!$D$20+Declarations!$C$20*R204*Declarations!$D$21+Declarations!$C$20*S204*Declarations!$D$22+Declarations!$C$21*R204*Declarations!$D$20+Declarations!$C$21*T204*Declarations!$D$21+Declarations!$C$21*U204*Declarations!$D$22+Declarations!$C$22*S204*Declarations!$D$20+Declarations!$C$22*U204*Declarations!$D$21+Declarations!$C$22*V204*Declarations!$D$22+0</f>
        <v>0.771604938271605</v>
      </c>
      <c r="V205" s="20" t="n">
        <f aca="false">Declarations!$D$20*Q204*Declarations!$D$20+Declarations!$D$20*R204*Declarations!$D$21+Declarations!$D$20*S204*Declarations!$D$22+Declarations!$D$21*R204*Declarations!$D$20+Declarations!$D$21*T204*Declarations!$D$21+Declarations!$D$21*U204*Declarations!$D$22+Declarations!$D$22*S204*Declarations!$D$20+Declarations!$D$22*U204*Declarations!$D$21+Declarations!$D$22*V204*Declarations!$D$22+1</f>
        <v>2.77777777777778</v>
      </c>
    </row>
    <row r="206" customFormat="false" ht="15" hidden="false" customHeight="false" outlineLevel="0" collapsed="false">
      <c r="A206" s="18" t="n">
        <v>197</v>
      </c>
      <c r="B206" s="20" t="n">
        <f aca="false">$B$4*B205*$B$4+$B$4*C205*$B$5+$B$5*C205*$B$4+$B$5*D205*$B$5+$E$4</f>
        <v>13.5714285598597</v>
      </c>
      <c r="C206" s="20" t="n">
        <f aca="false">$B$4*B205*$C$4+$B$4*C205*$C$5+$B$5*C205*$C$4+$B$5*D205*$C$5+$F$4</f>
        <v>-5.7857142806471</v>
      </c>
      <c r="D206" s="20" t="n">
        <f aca="false">$C$4*B205*$C$4+$C$4*C205*$C$5+$C$5*C205*$C$4+$C$5*D205*$C$5+$F$5</f>
        <v>11.9928571321597</v>
      </c>
      <c r="P206" s="18" t="n">
        <v>197</v>
      </c>
      <c r="Q206" s="20" t="n">
        <f aca="false">Declarations!$B$20*Q205*Declarations!$B$20+Declarations!$B$20*R205*Declarations!$B$21+Declarations!$B$20*S205*Declarations!$B$22+Declarations!$B$21*R205*Declarations!$B$20+Declarations!$B$21*T205*Declarations!$B$21+Declarations!$B$21*U205*Declarations!$B$22+Declarations!$B$22*S205*Declarations!$B$20+Declarations!$B$22*U205*Declarations!$B$21+Declarations!$B$22*V205*Declarations!$B$22+1</f>
        <v>10.2972987025955</v>
      </c>
      <c r="R206" s="20" t="n">
        <f aca="false">Declarations!$B$20*Q205*Declarations!$C$20+Declarations!$B$20*R205*Declarations!$C$21+Declarations!$B$20*S205*Declarations!$C$22+Declarations!$B$21*R205*Declarations!$C$20+Declarations!$B$21*T205*Declarations!$C$21+Declarations!$B$21*U205*Declarations!$C$22+Declarations!$B$22*S205*Declarations!$C$20+Declarations!$B$22*U205*Declarations!$C$21+Declarations!$B$22*V205*Declarations!$C$22+0</f>
        <v>4.60691838421956</v>
      </c>
      <c r="S206" s="20" t="n">
        <f aca="false">Declarations!$B$20*Q205*Declarations!$D$20+Declarations!$B$20*R205*Declarations!$D$21+Declarations!$B$20*S205*Declarations!$D$22+Declarations!$B$21*R205*Declarations!$D$20+Declarations!$B$21*T205*Declarations!$D$21+Declarations!$B$21*U205*Declarations!$D$22+Declarations!$B$22*S205*Declarations!$D$20+Declarations!$B$22*U205*Declarations!$D$21+Declarations!$B$22*V205*Declarations!$D$22+0</f>
        <v>0.617283950617284</v>
      </c>
      <c r="T206" s="20" t="n">
        <f aca="false">Declarations!$C$20*Q205*Declarations!$C$20+Declarations!$C$20*R205*Declarations!$C$21+Declarations!$C$20*S205*Declarations!$C$22+Declarations!$C$21*R205*Declarations!$C$20+Declarations!$C$21*T205*Declarations!$C$21+Declarations!$C$21*U205*Declarations!$C$22+Declarations!$C$22*S205*Declarations!$C$20+Declarations!$C$22*U205*Declarations!$C$21+Declarations!$C$22*V205*Declarations!$C$22+1</f>
        <v>5.702539696225</v>
      </c>
      <c r="U206" s="20" t="n">
        <f aca="false">Declarations!$C$20*Q205*Declarations!$D$20+Declarations!$C$20*R205*Declarations!$D$21+Declarations!$C$20*S205*Declarations!$D$22+Declarations!$C$21*R205*Declarations!$D$20+Declarations!$C$21*T205*Declarations!$D$21+Declarations!$C$21*U205*Declarations!$D$22+Declarations!$C$22*S205*Declarations!$D$20+Declarations!$C$22*U205*Declarations!$D$21+Declarations!$C$22*V205*Declarations!$D$22+0</f>
        <v>0.771604938271605</v>
      </c>
      <c r="V206" s="20" t="n">
        <f aca="false">Declarations!$D$20*Q205*Declarations!$D$20+Declarations!$D$20*R205*Declarations!$D$21+Declarations!$D$20*S205*Declarations!$D$22+Declarations!$D$21*R205*Declarations!$D$20+Declarations!$D$21*T205*Declarations!$D$21+Declarations!$D$21*U205*Declarations!$D$22+Declarations!$D$22*S205*Declarations!$D$20+Declarations!$D$22*U205*Declarations!$D$21+Declarations!$D$22*V205*Declarations!$D$22+1</f>
        <v>2.77777777777778</v>
      </c>
    </row>
    <row r="207" customFormat="false" ht="15" hidden="false" customHeight="false" outlineLevel="0" collapsed="false">
      <c r="A207" s="18" t="n">
        <v>198</v>
      </c>
      <c r="B207" s="20" t="n">
        <f aca="false">$B$4*B206*$B$4+$B$4*C206*$B$5+$B$5*C206*$B$4+$B$5*D206*$B$5+$E$4</f>
        <v>13.5714285604813</v>
      </c>
      <c r="C207" s="20" t="n">
        <f aca="false">$B$4*B206*$C$4+$B$4*C206*$C$5+$B$5*C206*$C$4+$B$5*D206*$C$5+$F$4</f>
        <v>-5.78571428090396</v>
      </c>
      <c r="D207" s="20" t="n">
        <f aca="false">$C$4*B206*$C$4+$C$4*C206*$C$5+$C$5*C206*$C$4+$C$5*D206*$C$5+$F$5</f>
        <v>11.9928571334864</v>
      </c>
      <c r="P207" s="18" t="n">
        <v>198</v>
      </c>
      <c r="Q207" s="20" t="n">
        <f aca="false">Declarations!$B$20*Q206*Declarations!$B$20+Declarations!$B$20*R206*Declarations!$B$21+Declarations!$B$20*S206*Declarations!$B$22+Declarations!$B$21*R206*Declarations!$B$20+Declarations!$B$21*T206*Declarations!$B$21+Declarations!$B$21*U206*Declarations!$B$22+Declarations!$B$22*S206*Declarations!$B$20+Declarations!$B$22*U206*Declarations!$B$21+Declarations!$B$22*V206*Declarations!$B$22+1</f>
        <v>10.2972987046068</v>
      </c>
      <c r="R207" s="20" t="n">
        <f aca="false">Declarations!$B$20*Q206*Declarations!$C$20+Declarations!$B$20*R206*Declarations!$C$21+Declarations!$B$20*S206*Declarations!$C$22+Declarations!$B$21*R206*Declarations!$C$20+Declarations!$B$21*T206*Declarations!$C$21+Declarations!$B$21*U206*Declarations!$C$22+Declarations!$B$22*S206*Declarations!$C$20+Declarations!$B$22*U206*Declarations!$C$21+Declarations!$B$22*V206*Declarations!$C$22+0</f>
        <v>4.60691838522523</v>
      </c>
      <c r="S207" s="20" t="n">
        <f aca="false">Declarations!$B$20*Q206*Declarations!$D$20+Declarations!$B$20*R206*Declarations!$D$21+Declarations!$B$20*S206*Declarations!$D$22+Declarations!$B$21*R206*Declarations!$D$20+Declarations!$B$21*T206*Declarations!$D$21+Declarations!$B$21*U206*Declarations!$D$22+Declarations!$B$22*S206*Declarations!$D$20+Declarations!$B$22*U206*Declarations!$D$21+Declarations!$B$22*V206*Declarations!$D$22+0</f>
        <v>0.617283950617284</v>
      </c>
      <c r="T207" s="20" t="n">
        <f aca="false">Declarations!$C$20*Q206*Declarations!$C$20+Declarations!$C$20*R206*Declarations!$C$21+Declarations!$C$20*S206*Declarations!$C$22+Declarations!$C$21*R206*Declarations!$C$20+Declarations!$C$21*T206*Declarations!$C$21+Declarations!$C$21*U206*Declarations!$C$22+Declarations!$C$22*S206*Declarations!$C$20+Declarations!$C$22*U206*Declarations!$C$21+Declarations!$C$22*V206*Declarations!$C$22+1</f>
        <v>5.70253969672784</v>
      </c>
      <c r="U207" s="20" t="n">
        <f aca="false">Declarations!$C$20*Q206*Declarations!$D$20+Declarations!$C$20*R206*Declarations!$D$21+Declarations!$C$20*S206*Declarations!$D$22+Declarations!$C$21*R206*Declarations!$D$20+Declarations!$C$21*T206*Declarations!$D$21+Declarations!$C$21*U206*Declarations!$D$22+Declarations!$C$22*S206*Declarations!$D$20+Declarations!$C$22*U206*Declarations!$D$21+Declarations!$C$22*V206*Declarations!$D$22+0</f>
        <v>0.771604938271605</v>
      </c>
      <c r="V207" s="20" t="n">
        <f aca="false">Declarations!$D$20*Q206*Declarations!$D$20+Declarations!$D$20*R206*Declarations!$D$21+Declarations!$D$20*S206*Declarations!$D$22+Declarations!$D$21*R206*Declarations!$D$20+Declarations!$D$21*T206*Declarations!$D$21+Declarations!$D$21*U206*Declarations!$D$22+Declarations!$D$22*S206*Declarations!$D$20+Declarations!$D$22*U206*Declarations!$D$21+Declarations!$D$22*V206*Declarations!$D$22+1</f>
        <v>2.77777777777778</v>
      </c>
    </row>
    <row r="208" customFormat="false" ht="15" hidden="false" customHeight="false" outlineLevel="0" collapsed="false">
      <c r="A208" s="18" t="n">
        <v>199</v>
      </c>
      <c r="B208" s="20" t="n">
        <f aca="false">$B$4*B207*$B$4+$B$4*C207*$B$5+$B$5*C207*$B$4+$B$5*D207*$B$5+$E$4</f>
        <v>13.5714285618491</v>
      </c>
      <c r="C208" s="20" t="n">
        <f aca="false">$B$4*B207*$C$4+$B$4*C207*$C$5+$B$5*C207*$C$4+$B$5*D207*$C$5+$F$4</f>
        <v>-5.78571428117627</v>
      </c>
      <c r="D208" s="20" t="n">
        <f aca="false">$C$4*B207*$C$4+$C$4*C207*$C$5+$C$5*C207*$C$4+$C$5*D207*$C$5+$F$5</f>
        <v>11.9928571339898</v>
      </c>
      <c r="P208" s="18" t="n">
        <v>199</v>
      </c>
      <c r="Q208" s="20" t="n">
        <f aca="false">Declarations!$B$20*Q207*Declarations!$B$20+Declarations!$B$20*R207*Declarations!$B$21+Declarations!$B$20*S207*Declarations!$B$22+Declarations!$B$21*R207*Declarations!$B$20+Declarations!$B$21*T207*Declarations!$B$21+Declarations!$B$21*U207*Declarations!$B$22+Declarations!$B$22*S207*Declarations!$B$20+Declarations!$B$22*U207*Declarations!$B$21+Declarations!$B$22*V207*Declarations!$B$22+1</f>
        <v>10.2972987064221</v>
      </c>
      <c r="R208" s="20" t="n">
        <f aca="false">Declarations!$B$20*Q207*Declarations!$C$20+Declarations!$B$20*R207*Declarations!$C$21+Declarations!$B$20*S207*Declarations!$C$22+Declarations!$B$21*R207*Declarations!$C$20+Declarations!$B$21*T207*Declarations!$C$21+Declarations!$B$21*U207*Declarations!$C$22+Declarations!$B$22*S207*Declarations!$C$20+Declarations!$B$22*U207*Declarations!$C$21+Declarations!$B$22*V207*Declarations!$C$22+0</f>
        <v>4.60691838613285</v>
      </c>
      <c r="S208" s="20" t="n">
        <f aca="false">Declarations!$B$20*Q207*Declarations!$D$20+Declarations!$B$20*R207*Declarations!$D$21+Declarations!$B$20*S207*Declarations!$D$22+Declarations!$B$21*R207*Declarations!$D$20+Declarations!$B$21*T207*Declarations!$D$21+Declarations!$B$21*U207*Declarations!$D$22+Declarations!$B$22*S207*Declarations!$D$20+Declarations!$B$22*U207*Declarations!$D$21+Declarations!$B$22*V207*Declarations!$D$22+0</f>
        <v>0.617283950617284</v>
      </c>
      <c r="T208" s="20" t="n">
        <f aca="false">Declarations!$C$20*Q207*Declarations!$C$20+Declarations!$C$20*R207*Declarations!$C$21+Declarations!$C$20*S207*Declarations!$C$22+Declarations!$C$21*R207*Declarations!$C$20+Declarations!$C$21*T207*Declarations!$C$21+Declarations!$C$21*U207*Declarations!$C$22+Declarations!$C$22*S207*Declarations!$C$20+Declarations!$C$22*U207*Declarations!$C$21+Declarations!$C$22*V207*Declarations!$C$22+1</f>
        <v>5.70253969718165</v>
      </c>
      <c r="U208" s="20" t="n">
        <f aca="false">Declarations!$C$20*Q207*Declarations!$D$20+Declarations!$C$20*R207*Declarations!$D$21+Declarations!$C$20*S207*Declarations!$D$22+Declarations!$C$21*R207*Declarations!$D$20+Declarations!$C$21*T207*Declarations!$D$21+Declarations!$C$21*U207*Declarations!$D$22+Declarations!$C$22*S207*Declarations!$D$20+Declarations!$C$22*U207*Declarations!$D$21+Declarations!$C$22*V207*Declarations!$D$22+0</f>
        <v>0.771604938271605</v>
      </c>
      <c r="V208" s="20" t="n">
        <f aca="false">Declarations!$D$20*Q207*Declarations!$D$20+Declarations!$D$20*R207*Declarations!$D$21+Declarations!$D$20*S207*Declarations!$D$22+Declarations!$D$21*R207*Declarations!$D$20+Declarations!$D$21*T207*Declarations!$D$21+Declarations!$D$21*U207*Declarations!$D$22+Declarations!$D$22*S207*Declarations!$D$20+Declarations!$D$22*U207*Declarations!$D$21+Declarations!$D$22*V207*Declarations!$D$22+1</f>
        <v>2.77777777777778</v>
      </c>
    </row>
    <row r="209" customFormat="false" ht="15" hidden="false" customHeight="false" outlineLevel="0" collapsed="false">
      <c r="A209" s="18" t="n">
        <v>200</v>
      </c>
      <c r="B209" s="20" t="n">
        <f aca="false">$B$4*B208*$B$4+$B$4*C208*$B$5+$B$5*C208*$B$4+$B$5*D208*$B$5+$E$4</f>
        <v>13.5714285629703</v>
      </c>
      <c r="C209" s="20" t="n">
        <f aca="false">$B$4*B208*$C$4+$B$4*C208*$C$5+$B$5*C208*$C$4+$B$5*D208*$C$5+$F$4</f>
        <v>-5.78571428203909</v>
      </c>
      <c r="D209" s="20" t="n">
        <f aca="false">$C$4*B208*$C$4+$C$4*C208*$C$5+$C$5*C208*$C$4+$C$5*D208*$C$5+$F$5</f>
        <v>11.9928571350977</v>
      </c>
      <c r="P209" s="18" t="n">
        <v>200</v>
      </c>
      <c r="Q209" s="20" t="n">
        <f aca="false">Declarations!$B$20*Q208*Declarations!$B$20+Declarations!$B$20*R208*Declarations!$B$21+Declarations!$B$20*S208*Declarations!$B$22+Declarations!$B$21*R208*Declarations!$B$20+Declarations!$B$21*T208*Declarations!$B$21+Declarations!$B$21*U208*Declarations!$B$22+Declarations!$B$22*S208*Declarations!$B$20+Declarations!$B$22*U208*Declarations!$B$21+Declarations!$B$22*V208*Declarations!$B$22+1</f>
        <v>10.2972987080603</v>
      </c>
      <c r="R209" s="20" t="n">
        <f aca="false">Declarations!$B$20*Q208*Declarations!$C$20+Declarations!$B$20*R208*Declarations!$C$21+Declarations!$B$20*S208*Declarations!$C$22+Declarations!$B$21*R208*Declarations!$C$20+Declarations!$B$21*T208*Declarations!$C$21+Declarations!$B$21*U208*Declarations!$C$22+Declarations!$B$22*S208*Declarations!$C$20+Declarations!$B$22*U208*Declarations!$C$21+Declarations!$B$22*V208*Declarations!$C$22+0</f>
        <v>4.60691838695197</v>
      </c>
      <c r="S209" s="20" t="n">
        <f aca="false">Declarations!$B$20*Q208*Declarations!$D$20+Declarations!$B$20*R208*Declarations!$D$21+Declarations!$B$20*S208*Declarations!$D$22+Declarations!$B$21*R208*Declarations!$D$20+Declarations!$B$21*T208*Declarations!$D$21+Declarations!$B$21*U208*Declarations!$D$22+Declarations!$B$22*S208*Declarations!$D$20+Declarations!$B$22*U208*Declarations!$D$21+Declarations!$B$22*V208*Declarations!$D$22+0</f>
        <v>0.617283950617284</v>
      </c>
      <c r="T209" s="20" t="n">
        <f aca="false">Declarations!$C$20*Q208*Declarations!$C$20+Declarations!$C$20*R208*Declarations!$C$21+Declarations!$C$20*S208*Declarations!$C$22+Declarations!$C$21*R208*Declarations!$C$20+Declarations!$C$21*T208*Declarations!$C$21+Declarations!$C$21*U208*Declarations!$C$22+Declarations!$C$22*S208*Declarations!$C$20+Declarations!$C$22*U208*Declarations!$C$21+Declarations!$C$22*V208*Declarations!$C$22+1</f>
        <v>5.70253969759121</v>
      </c>
      <c r="U209" s="20" t="n">
        <f aca="false">Declarations!$C$20*Q208*Declarations!$D$20+Declarations!$C$20*R208*Declarations!$D$21+Declarations!$C$20*S208*Declarations!$D$22+Declarations!$C$21*R208*Declarations!$D$20+Declarations!$C$21*T208*Declarations!$D$21+Declarations!$C$21*U208*Declarations!$D$22+Declarations!$C$22*S208*Declarations!$D$20+Declarations!$C$22*U208*Declarations!$D$21+Declarations!$C$22*V208*Declarations!$D$22+0</f>
        <v>0.771604938271605</v>
      </c>
      <c r="V209" s="20" t="n">
        <f aca="false">Declarations!$D$20*Q208*Declarations!$D$20+Declarations!$D$20*R208*Declarations!$D$21+Declarations!$D$20*S208*Declarations!$D$22+Declarations!$D$21*R208*Declarations!$D$20+Declarations!$D$21*T208*Declarations!$D$21+Declarations!$D$21*U208*Declarations!$D$22+Declarations!$D$22*S208*Declarations!$D$20+Declarations!$D$22*U208*Declarations!$D$21+Declarations!$D$22*V208*Declarations!$D$22+1</f>
        <v>2.77777777777778</v>
      </c>
    </row>
    <row r="210" customFormat="false" ht="15" hidden="false" customHeight="false" outlineLevel="0" collapsed="false">
      <c r="A210" s="18" t="n">
        <v>201</v>
      </c>
      <c r="B210" s="20" t="n">
        <f aca="false">$B$4*B209*$B$4+$B$4*C209*$B$5+$B$5*C209*$B$4+$B$5*D209*$B$5+$E$4</f>
        <v>13.5714285634333</v>
      </c>
      <c r="C210" s="20" t="n">
        <f aca="false">$B$4*B209*$C$4+$B$4*C209*$C$5+$B$5*C209*$C$4+$B$5*D209*$C$5+$F$4</f>
        <v>-5.78571428217074</v>
      </c>
      <c r="D210" s="20" t="n">
        <f aca="false">$C$4*B209*$C$4+$C$4*C209*$C$5+$C$5*C209*$C$4+$C$5*D209*$C$5+$F$5</f>
        <v>11.9928571360059</v>
      </c>
      <c r="P210" s="18" t="n">
        <v>201</v>
      </c>
      <c r="Q210" s="20" t="n">
        <f aca="false">Declarations!$B$20*Q209*Declarations!$B$20+Declarations!$B$20*R209*Declarations!$B$21+Declarations!$B$20*S209*Declarations!$B$22+Declarations!$B$21*R209*Declarations!$B$20+Declarations!$B$21*T209*Declarations!$B$21+Declarations!$B$21*U209*Declarations!$B$22+Declarations!$B$22*S209*Declarations!$B$20+Declarations!$B$22*U209*Declarations!$B$21+Declarations!$B$22*V209*Declarations!$B$22+1</f>
        <v>10.2972987095388</v>
      </c>
      <c r="R210" s="20" t="n">
        <f aca="false">Declarations!$B$20*Q209*Declarations!$C$20+Declarations!$B$20*R209*Declarations!$C$21+Declarations!$B$20*S209*Declarations!$C$22+Declarations!$B$21*R209*Declarations!$C$20+Declarations!$B$21*T209*Declarations!$C$21+Declarations!$B$21*U209*Declarations!$C$22+Declarations!$B$22*S209*Declarations!$C$20+Declarations!$B$22*U209*Declarations!$C$21+Declarations!$B$22*V209*Declarations!$C$22+0</f>
        <v>4.60691838769123</v>
      </c>
      <c r="S210" s="20" t="n">
        <f aca="false">Declarations!$B$20*Q209*Declarations!$D$20+Declarations!$B$20*R209*Declarations!$D$21+Declarations!$B$20*S209*Declarations!$D$22+Declarations!$B$21*R209*Declarations!$D$20+Declarations!$B$21*T209*Declarations!$D$21+Declarations!$B$21*U209*Declarations!$D$22+Declarations!$B$22*S209*Declarations!$D$20+Declarations!$B$22*U209*Declarations!$D$21+Declarations!$B$22*V209*Declarations!$D$22+0</f>
        <v>0.617283950617284</v>
      </c>
      <c r="T210" s="20" t="n">
        <f aca="false">Declarations!$C$20*Q209*Declarations!$C$20+Declarations!$C$20*R209*Declarations!$C$21+Declarations!$C$20*S209*Declarations!$C$22+Declarations!$C$21*R209*Declarations!$C$20+Declarations!$C$21*T209*Declarations!$C$21+Declarations!$C$21*U209*Declarations!$C$22+Declarations!$C$22*S209*Declarations!$C$20+Declarations!$C$22*U209*Declarations!$C$21+Declarations!$C$22*V209*Declarations!$C$22+1</f>
        <v>5.70253969796084</v>
      </c>
      <c r="U210" s="20" t="n">
        <f aca="false">Declarations!$C$20*Q209*Declarations!$D$20+Declarations!$C$20*R209*Declarations!$D$21+Declarations!$C$20*S209*Declarations!$D$22+Declarations!$C$21*R209*Declarations!$D$20+Declarations!$C$21*T209*Declarations!$D$21+Declarations!$C$21*U209*Declarations!$D$22+Declarations!$C$22*S209*Declarations!$D$20+Declarations!$C$22*U209*Declarations!$D$21+Declarations!$C$22*V209*Declarations!$D$22+0</f>
        <v>0.771604938271605</v>
      </c>
      <c r="V210" s="20" t="n">
        <f aca="false">Declarations!$D$20*Q209*Declarations!$D$20+Declarations!$D$20*R209*Declarations!$D$21+Declarations!$D$20*S209*Declarations!$D$22+Declarations!$D$21*R209*Declarations!$D$20+Declarations!$D$21*T209*Declarations!$D$21+Declarations!$D$21*U209*Declarations!$D$22+Declarations!$D$22*S209*Declarations!$D$20+Declarations!$D$22*U209*Declarations!$D$21+Declarations!$D$22*V209*Declarations!$D$22+1</f>
        <v>2.77777777777778</v>
      </c>
    </row>
    <row r="211" customFormat="false" ht="15" hidden="false" customHeight="false" outlineLevel="0" collapsed="false">
      <c r="A211" s="18" t="n">
        <v>202</v>
      </c>
      <c r="B211" s="20" t="n">
        <f aca="false">$B$4*B210*$B$4+$B$4*C210*$B$5+$B$5*C210*$B$4+$B$5*D210*$B$5+$E$4</f>
        <v>13.5714285644796</v>
      </c>
      <c r="C211" s="20" t="n">
        <f aca="false">$B$4*B210*$C$4+$B$4*C210*$C$5+$B$5*C210*$C$4+$B$5*D210*$C$5+$F$4</f>
        <v>-5.7857142824273</v>
      </c>
      <c r="D211" s="20" t="n">
        <f aca="false">$C$4*B210*$C$4+$C$4*C210*$C$5+$C$5*C210*$C$4+$C$5*D210*$C$5+$F$5</f>
        <v>11.992857136381</v>
      </c>
      <c r="P211" s="18" t="n">
        <v>202</v>
      </c>
      <c r="Q211" s="20" t="n">
        <f aca="false">Declarations!$B$20*Q210*Declarations!$B$20+Declarations!$B$20*R210*Declarations!$B$21+Declarations!$B$20*S210*Declarations!$B$22+Declarations!$B$21*R210*Declarations!$B$20+Declarations!$B$21*T210*Declarations!$B$21+Declarations!$B$21*U210*Declarations!$B$22+Declarations!$B$22*S210*Declarations!$B$20+Declarations!$B$22*U210*Declarations!$B$21+Declarations!$B$22*V210*Declarations!$B$22+1</f>
        <v>10.2972987108732</v>
      </c>
      <c r="R211" s="20" t="n">
        <f aca="false">Declarations!$B$20*Q210*Declarations!$C$20+Declarations!$B$20*R210*Declarations!$C$21+Declarations!$B$20*S210*Declarations!$C$22+Declarations!$B$21*R210*Declarations!$C$20+Declarations!$B$21*T210*Declarations!$C$21+Declarations!$B$21*U210*Declarations!$C$22+Declarations!$B$22*S210*Declarations!$C$20+Declarations!$B$22*U210*Declarations!$C$21+Declarations!$B$22*V210*Declarations!$C$22+0</f>
        <v>4.60691838835842</v>
      </c>
      <c r="S211" s="20" t="n">
        <f aca="false">Declarations!$B$20*Q210*Declarations!$D$20+Declarations!$B$20*R210*Declarations!$D$21+Declarations!$B$20*S210*Declarations!$D$22+Declarations!$B$21*R210*Declarations!$D$20+Declarations!$B$21*T210*Declarations!$D$21+Declarations!$B$21*U210*Declarations!$D$22+Declarations!$B$22*S210*Declarations!$D$20+Declarations!$B$22*U210*Declarations!$D$21+Declarations!$B$22*V210*Declarations!$D$22+0</f>
        <v>0.617283950617284</v>
      </c>
      <c r="T211" s="20" t="n">
        <f aca="false">Declarations!$C$20*Q210*Declarations!$C$20+Declarations!$C$20*R210*Declarations!$C$21+Declarations!$C$20*S210*Declarations!$C$22+Declarations!$C$21*R210*Declarations!$C$20+Declarations!$C$21*T210*Declarations!$C$21+Declarations!$C$21*U210*Declarations!$C$22+Declarations!$C$22*S210*Declarations!$C$20+Declarations!$C$22*U210*Declarations!$C$21+Declarations!$C$22*V210*Declarations!$C$22+1</f>
        <v>5.70253969829443</v>
      </c>
      <c r="U211" s="20" t="n">
        <f aca="false">Declarations!$C$20*Q210*Declarations!$D$20+Declarations!$C$20*R210*Declarations!$D$21+Declarations!$C$20*S210*Declarations!$D$22+Declarations!$C$21*R210*Declarations!$D$20+Declarations!$C$21*T210*Declarations!$D$21+Declarations!$C$21*U210*Declarations!$D$22+Declarations!$C$22*S210*Declarations!$D$20+Declarations!$C$22*U210*Declarations!$D$21+Declarations!$C$22*V210*Declarations!$D$22+0</f>
        <v>0.771604938271605</v>
      </c>
      <c r="V211" s="20" t="n">
        <f aca="false">Declarations!$D$20*Q210*Declarations!$D$20+Declarations!$D$20*R210*Declarations!$D$21+Declarations!$D$20*S210*Declarations!$D$22+Declarations!$D$21*R210*Declarations!$D$20+Declarations!$D$21*T210*Declarations!$D$21+Declarations!$D$21*U210*Declarations!$D$22+Declarations!$D$22*S210*Declarations!$D$20+Declarations!$D$22*U210*Declarations!$D$21+Declarations!$D$22*V210*Declarations!$D$22+1</f>
        <v>2.77777777777778</v>
      </c>
    </row>
    <row r="212" customFormat="false" ht="15" hidden="false" customHeight="false" outlineLevel="0" collapsed="false">
      <c r="A212" s="18" t="n">
        <v>203</v>
      </c>
      <c r="B212" s="20" t="n">
        <f aca="false">$B$4*B211*$B$4+$B$4*C211*$B$5+$B$5*C211*$B$4+$B$5*D211*$B$5+$E$4</f>
        <v>13.5714285652403</v>
      </c>
      <c r="C212" s="20" t="n">
        <f aca="false">$B$4*B211*$C$4+$B$4*C211*$C$5+$B$5*C211*$C$4+$B$5*D211*$C$5+$F$4</f>
        <v>-5.78571428304387</v>
      </c>
      <c r="D212" s="20" t="n">
        <f aca="false">$C$4*B211*$C$4+$C$4*C211*$C$5+$C$5*C211*$C$4+$C$5*D211*$C$5+$F$5</f>
        <v>11.9928571372284</v>
      </c>
      <c r="P212" s="18" t="n">
        <v>203</v>
      </c>
      <c r="Q212" s="20" t="n">
        <f aca="false">Declarations!$B$20*Q211*Declarations!$B$20+Declarations!$B$20*R211*Declarations!$B$21+Declarations!$B$20*S211*Declarations!$B$22+Declarations!$B$21*R211*Declarations!$B$20+Declarations!$B$21*T211*Declarations!$B$21+Declarations!$B$21*U211*Declarations!$B$22+Declarations!$B$22*S211*Declarations!$B$20+Declarations!$B$22*U211*Declarations!$B$21+Declarations!$B$22*V211*Declarations!$B$22+1</f>
        <v>10.2972987120775</v>
      </c>
      <c r="R212" s="20" t="n">
        <f aca="false">Declarations!$B$20*Q211*Declarations!$C$20+Declarations!$B$20*R211*Declarations!$C$21+Declarations!$B$20*S211*Declarations!$C$22+Declarations!$B$21*R211*Declarations!$C$20+Declarations!$B$21*T211*Declarations!$C$21+Declarations!$B$21*U211*Declarations!$C$22+Declarations!$B$22*S211*Declarations!$C$20+Declarations!$B$22*U211*Declarations!$C$21+Declarations!$B$22*V211*Declarations!$C$22+0</f>
        <v>4.60691838896055</v>
      </c>
      <c r="S212" s="20" t="n">
        <f aca="false">Declarations!$B$20*Q211*Declarations!$D$20+Declarations!$B$20*R211*Declarations!$D$21+Declarations!$B$20*S211*Declarations!$D$22+Declarations!$B$21*R211*Declarations!$D$20+Declarations!$B$21*T211*Declarations!$D$21+Declarations!$B$21*U211*Declarations!$D$22+Declarations!$B$22*S211*Declarations!$D$20+Declarations!$B$22*U211*Declarations!$D$21+Declarations!$B$22*V211*Declarations!$D$22+0</f>
        <v>0.617283950617284</v>
      </c>
      <c r="T212" s="20" t="n">
        <f aca="false">Declarations!$C$20*Q211*Declarations!$C$20+Declarations!$C$20*R211*Declarations!$C$21+Declarations!$C$20*S211*Declarations!$C$22+Declarations!$C$21*R211*Declarations!$C$20+Declarations!$C$21*T211*Declarations!$C$21+Declarations!$C$21*U211*Declarations!$C$22+Declarations!$C$22*S211*Declarations!$C$20+Declarations!$C$22*U211*Declarations!$C$21+Declarations!$C$22*V211*Declarations!$C$22+1</f>
        <v>5.7025396985955</v>
      </c>
      <c r="U212" s="20" t="n">
        <f aca="false">Declarations!$C$20*Q211*Declarations!$D$20+Declarations!$C$20*R211*Declarations!$D$21+Declarations!$C$20*S211*Declarations!$D$22+Declarations!$C$21*R211*Declarations!$D$20+Declarations!$C$21*T211*Declarations!$D$21+Declarations!$C$21*U211*Declarations!$D$22+Declarations!$C$22*S211*Declarations!$D$20+Declarations!$C$22*U211*Declarations!$D$21+Declarations!$C$22*V211*Declarations!$D$22+0</f>
        <v>0.771604938271605</v>
      </c>
      <c r="V212" s="20" t="n">
        <f aca="false">Declarations!$D$20*Q211*Declarations!$D$20+Declarations!$D$20*R211*Declarations!$D$21+Declarations!$D$20*S211*Declarations!$D$22+Declarations!$D$21*R211*Declarations!$D$20+Declarations!$D$21*T211*Declarations!$D$21+Declarations!$D$21*U211*Declarations!$D$22+Declarations!$D$22*S211*Declarations!$D$20+Declarations!$D$22*U211*Declarations!$D$21+Declarations!$D$22*V211*Declarations!$D$22+1</f>
        <v>2.77777777777778</v>
      </c>
    </row>
    <row r="213" customFormat="false" ht="15" hidden="false" customHeight="false" outlineLevel="0" collapsed="false">
      <c r="A213" s="18" t="n">
        <v>204</v>
      </c>
      <c r="B213" s="20" t="n">
        <f aca="false">$B$4*B212*$B$4+$B$4*C212*$B$5+$B$5*C212*$B$4+$B$5*D212*$B$5+$E$4</f>
        <v>13.5714285655941</v>
      </c>
      <c r="C213" s="20" t="n">
        <f aca="false">$B$4*B212*$C$4+$B$4*C212*$C$5+$B$5*C212*$C$4+$B$5*D212*$C$5+$F$4</f>
        <v>-5.78571428310513</v>
      </c>
      <c r="D213" s="20" t="n">
        <f aca="false">$C$4*B212*$C$4+$C$4*C212*$C$5+$C$5*C212*$C$4+$C$5*D212*$C$5+$F$5</f>
        <v>11.9928571378446</v>
      </c>
      <c r="P213" s="18" t="n">
        <v>204</v>
      </c>
      <c r="Q213" s="20" t="n">
        <f aca="false">Declarations!$B$20*Q212*Declarations!$B$20+Declarations!$B$20*R212*Declarations!$B$21+Declarations!$B$20*S212*Declarations!$B$22+Declarations!$B$21*R212*Declarations!$B$20+Declarations!$B$21*T212*Declarations!$B$21+Declarations!$B$21*U212*Declarations!$B$22+Declarations!$B$22*S212*Declarations!$B$20+Declarations!$B$22*U212*Declarations!$B$21+Declarations!$B$22*V212*Declarations!$B$22+1</f>
        <v>10.2972987131643</v>
      </c>
      <c r="R213" s="20" t="n">
        <f aca="false">Declarations!$B$20*Q212*Declarations!$C$20+Declarations!$B$20*R212*Declarations!$C$21+Declarations!$B$20*S212*Declarations!$C$22+Declarations!$B$21*R212*Declarations!$C$20+Declarations!$B$21*T212*Declarations!$C$21+Declarations!$B$21*U212*Declarations!$C$22+Declarations!$B$22*S212*Declarations!$C$20+Declarations!$B$22*U212*Declarations!$C$21+Declarations!$B$22*V212*Declarations!$C$22+0</f>
        <v>4.60691838950398</v>
      </c>
      <c r="S213" s="20" t="n">
        <f aca="false">Declarations!$B$20*Q212*Declarations!$D$20+Declarations!$B$20*R212*Declarations!$D$21+Declarations!$B$20*S212*Declarations!$D$22+Declarations!$B$21*R212*Declarations!$D$20+Declarations!$B$21*T212*Declarations!$D$21+Declarations!$B$21*U212*Declarations!$D$22+Declarations!$B$22*S212*Declarations!$D$20+Declarations!$B$22*U212*Declarations!$D$21+Declarations!$B$22*V212*Declarations!$D$22+0</f>
        <v>0.617283950617284</v>
      </c>
      <c r="T213" s="20" t="n">
        <f aca="false">Declarations!$C$20*Q212*Declarations!$C$20+Declarations!$C$20*R212*Declarations!$C$21+Declarations!$C$20*S212*Declarations!$C$22+Declarations!$C$21*R212*Declarations!$C$20+Declarations!$C$21*T212*Declarations!$C$21+Declarations!$C$21*U212*Declarations!$C$22+Declarations!$C$22*S212*Declarations!$C$20+Declarations!$C$22*U212*Declarations!$C$21+Declarations!$C$22*V212*Declarations!$C$22+1</f>
        <v>5.70253969886721</v>
      </c>
      <c r="U213" s="20" t="n">
        <f aca="false">Declarations!$C$20*Q212*Declarations!$D$20+Declarations!$C$20*R212*Declarations!$D$21+Declarations!$C$20*S212*Declarations!$D$22+Declarations!$C$21*R212*Declarations!$D$20+Declarations!$C$21*T212*Declarations!$D$21+Declarations!$C$21*U212*Declarations!$D$22+Declarations!$C$22*S212*Declarations!$D$20+Declarations!$C$22*U212*Declarations!$D$21+Declarations!$C$22*V212*Declarations!$D$22+0</f>
        <v>0.771604938271605</v>
      </c>
      <c r="V213" s="20" t="n">
        <f aca="false">Declarations!$D$20*Q212*Declarations!$D$20+Declarations!$D$20*R212*Declarations!$D$21+Declarations!$D$20*S212*Declarations!$D$22+Declarations!$D$21*R212*Declarations!$D$20+Declarations!$D$21*T212*Declarations!$D$21+Declarations!$D$21*U212*Declarations!$D$22+Declarations!$D$22*S212*Declarations!$D$20+Declarations!$D$22*U212*Declarations!$D$21+Declarations!$D$22*V212*Declarations!$D$22+1</f>
        <v>2.77777777777778</v>
      </c>
    </row>
    <row r="214" customFormat="false" ht="15" hidden="false" customHeight="false" outlineLevel="0" collapsed="false">
      <c r="A214" s="18" t="n">
        <v>205</v>
      </c>
      <c r="B214" s="20" t="n">
        <f aca="false">$B$4*B213*$B$4+$B$4*C213*$B$5+$B$5*C213*$B$4+$B$5*D213*$B$5+$E$4</f>
        <v>13.5714285663866</v>
      </c>
      <c r="C214" s="20" t="n">
        <f aca="false">$B$4*B213*$C$4+$B$4*C213*$C$5+$B$5*C213*$C$4+$B$5*D213*$C$5+$F$4</f>
        <v>-5.78571428333659</v>
      </c>
      <c r="D214" s="20" t="n">
        <f aca="false">$C$4*B213*$C$4+$C$4*C213*$C$5+$C$5*C213*$C$4+$C$5*D213*$C$5+$F$5</f>
        <v>11.9928571381312</v>
      </c>
      <c r="P214" s="18" t="n">
        <v>205</v>
      </c>
      <c r="Q214" s="20" t="n">
        <f aca="false">Declarations!$B$20*Q213*Declarations!$B$20+Declarations!$B$20*R213*Declarations!$B$21+Declarations!$B$20*S213*Declarations!$B$22+Declarations!$B$21*R213*Declarations!$B$20+Declarations!$B$21*T213*Declarations!$B$21+Declarations!$B$21*U213*Declarations!$B$22+Declarations!$B$22*S213*Declarations!$B$20+Declarations!$B$22*U213*Declarations!$B$21+Declarations!$B$22*V213*Declarations!$B$22+1</f>
        <v>10.2972987141452</v>
      </c>
      <c r="R214" s="20" t="n">
        <f aca="false">Declarations!$B$20*Q213*Declarations!$C$20+Declarations!$B$20*R213*Declarations!$C$21+Declarations!$B$20*S213*Declarations!$C$22+Declarations!$B$21*R213*Declarations!$C$20+Declarations!$B$21*T213*Declarations!$C$21+Declarations!$B$21*U213*Declarations!$C$22+Declarations!$B$22*S213*Declarations!$C$20+Declarations!$B$22*U213*Declarations!$C$21+Declarations!$B$22*V213*Declarations!$C$22+0</f>
        <v>4.60691838999442</v>
      </c>
      <c r="S214" s="20" t="n">
        <f aca="false">Declarations!$B$20*Q213*Declarations!$D$20+Declarations!$B$20*R213*Declarations!$D$21+Declarations!$B$20*S213*Declarations!$D$22+Declarations!$B$21*R213*Declarations!$D$20+Declarations!$B$21*T213*Declarations!$D$21+Declarations!$B$21*U213*Declarations!$D$22+Declarations!$B$22*S213*Declarations!$D$20+Declarations!$B$22*U213*Declarations!$D$21+Declarations!$B$22*V213*Declarations!$D$22+0</f>
        <v>0.617283950617284</v>
      </c>
      <c r="T214" s="20" t="n">
        <f aca="false">Declarations!$C$20*Q213*Declarations!$C$20+Declarations!$C$20*R213*Declarations!$C$21+Declarations!$C$20*S213*Declarations!$C$22+Declarations!$C$21*R213*Declarations!$C$20+Declarations!$C$21*T213*Declarations!$C$21+Declarations!$C$21*U213*Declarations!$C$22+Declarations!$C$22*S213*Declarations!$C$20+Declarations!$C$22*U213*Declarations!$C$21+Declarations!$C$22*V213*Declarations!$C$22+1</f>
        <v>5.70253969911243</v>
      </c>
      <c r="U214" s="20" t="n">
        <f aca="false">Declarations!$C$20*Q213*Declarations!$D$20+Declarations!$C$20*R213*Declarations!$D$21+Declarations!$C$20*S213*Declarations!$D$22+Declarations!$C$21*R213*Declarations!$D$20+Declarations!$C$21*T213*Declarations!$D$21+Declarations!$C$21*U213*Declarations!$D$22+Declarations!$C$22*S213*Declarations!$D$20+Declarations!$C$22*U213*Declarations!$D$21+Declarations!$C$22*V213*Declarations!$D$22+0</f>
        <v>0.771604938271605</v>
      </c>
      <c r="V214" s="20" t="n">
        <f aca="false">Declarations!$D$20*Q213*Declarations!$D$20+Declarations!$D$20*R213*Declarations!$D$21+Declarations!$D$20*S213*Declarations!$D$22+Declarations!$D$21*R213*Declarations!$D$20+Declarations!$D$21*T213*Declarations!$D$21+Declarations!$D$21*U213*Declarations!$D$22+Declarations!$D$22*S213*Declarations!$D$20+Declarations!$D$22*U213*Declarations!$D$21+Declarations!$D$22*V213*Declarations!$D$22+1</f>
        <v>2.77777777777778</v>
      </c>
    </row>
    <row r="215" customFormat="false" ht="15" hidden="false" customHeight="false" outlineLevel="0" collapsed="false">
      <c r="A215" s="18" t="n">
        <v>206</v>
      </c>
      <c r="B215" s="20" t="n">
        <f aca="false">$B$4*B214*$B$4+$B$4*C214*$B$5+$B$5*C214*$B$4+$B$5*D214*$B$5+$E$4</f>
        <v>13.5714285668985</v>
      </c>
      <c r="C215" s="20" t="n">
        <f aca="false">$B$4*B214*$C$4+$B$4*C214*$C$5+$B$5*C214*$C$4+$B$5*D214*$C$5+$F$4</f>
        <v>-5.7857142837702</v>
      </c>
      <c r="D215" s="20" t="n">
        <f aca="false">$C$4*B214*$C$4+$C$4*C214*$C$5+$C$5*C214*$C$4+$C$5*D214*$C$5+$F$5</f>
        <v>11.9928571387731</v>
      </c>
      <c r="P215" s="18" t="n">
        <v>206</v>
      </c>
      <c r="Q215" s="20" t="n">
        <f aca="false">Declarations!$B$20*Q214*Declarations!$B$20+Declarations!$B$20*R214*Declarations!$B$21+Declarations!$B$20*S214*Declarations!$B$22+Declarations!$B$21*R214*Declarations!$B$20+Declarations!$B$21*T214*Declarations!$B$21+Declarations!$B$21*U214*Declarations!$B$22+Declarations!$B$22*S214*Declarations!$B$20+Declarations!$B$22*U214*Declarations!$B$21+Declarations!$B$22*V214*Declarations!$B$22+1</f>
        <v>10.2972987150305</v>
      </c>
      <c r="R215" s="20" t="n">
        <f aca="false">Declarations!$B$20*Q214*Declarations!$C$20+Declarations!$B$20*R214*Declarations!$C$21+Declarations!$B$20*S214*Declarations!$C$22+Declarations!$B$21*R214*Declarations!$C$20+Declarations!$B$21*T214*Declarations!$C$21+Declarations!$B$21*U214*Declarations!$C$22+Declarations!$B$22*S214*Declarations!$C$20+Declarations!$B$22*U214*Declarations!$C$21+Declarations!$B$22*V214*Declarations!$C$22+0</f>
        <v>4.60691839043704</v>
      </c>
      <c r="S215" s="20" t="n">
        <f aca="false">Declarations!$B$20*Q214*Declarations!$D$20+Declarations!$B$20*R214*Declarations!$D$21+Declarations!$B$20*S214*Declarations!$D$22+Declarations!$B$21*R214*Declarations!$D$20+Declarations!$B$21*T214*Declarations!$D$21+Declarations!$B$21*U214*Declarations!$D$22+Declarations!$B$22*S214*Declarations!$D$20+Declarations!$B$22*U214*Declarations!$D$21+Declarations!$B$22*V214*Declarations!$D$22+0</f>
        <v>0.617283950617284</v>
      </c>
      <c r="T215" s="20" t="n">
        <f aca="false">Declarations!$C$20*Q214*Declarations!$C$20+Declarations!$C$20*R214*Declarations!$C$21+Declarations!$C$20*S214*Declarations!$C$22+Declarations!$C$21*R214*Declarations!$C$20+Declarations!$C$21*T214*Declarations!$C$21+Declarations!$C$21*U214*Declarations!$C$22+Declarations!$C$22*S214*Declarations!$C$20+Declarations!$C$22*U214*Declarations!$C$21+Declarations!$C$22*V214*Declarations!$C$22+1</f>
        <v>5.70253969933374</v>
      </c>
      <c r="U215" s="20" t="n">
        <f aca="false">Declarations!$C$20*Q214*Declarations!$D$20+Declarations!$C$20*R214*Declarations!$D$21+Declarations!$C$20*S214*Declarations!$D$22+Declarations!$C$21*R214*Declarations!$D$20+Declarations!$C$21*T214*Declarations!$D$21+Declarations!$C$21*U214*Declarations!$D$22+Declarations!$C$22*S214*Declarations!$D$20+Declarations!$C$22*U214*Declarations!$D$21+Declarations!$C$22*V214*Declarations!$D$22+0</f>
        <v>0.771604938271605</v>
      </c>
      <c r="V215" s="20" t="n">
        <f aca="false">Declarations!$D$20*Q214*Declarations!$D$20+Declarations!$D$20*R214*Declarations!$D$21+Declarations!$D$20*S214*Declarations!$D$22+Declarations!$D$21*R214*Declarations!$D$20+Declarations!$D$21*T214*Declarations!$D$21+Declarations!$D$21*U214*Declarations!$D$22+Declarations!$D$22*S214*Declarations!$D$20+Declarations!$D$22*U214*Declarations!$D$21+Declarations!$D$22*V214*Declarations!$D$22+1</f>
        <v>2.77777777777778</v>
      </c>
    </row>
    <row r="216" customFormat="false" ht="15" hidden="false" customHeight="false" outlineLevel="0" collapsed="false">
      <c r="A216" s="18" t="n">
        <v>207</v>
      </c>
      <c r="B216" s="20" t="n">
        <f aca="false">$B$4*B215*$B$4+$B$4*C215*$B$5+$B$5*C215*$B$4+$B$5*D215*$B$5+$E$4</f>
        <v>13.5714285671745</v>
      </c>
      <c r="C216" s="20" t="n">
        <f aca="false">$B$4*B215*$C$4+$B$4*C215*$C$5+$B$5*C215*$C$4+$B$5*D215*$C$5+$F$4</f>
        <v>-5.78571428379459</v>
      </c>
      <c r="D216" s="20" t="n">
        <f aca="false">$C$4*B215*$C$4+$C$4*C215*$C$5+$C$5*C215*$C$4+$C$5*D215*$C$5+$F$5</f>
        <v>11.9928571391878</v>
      </c>
      <c r="P216" s="18" t="n">
        <v>207</v>
      </c>
      <c r="Q216" s="20" t="n">
        <f aca="false">Declarations!$B$20*Q215*Declarations!$B$20+Declarations!$B$20*R215*Declarations!$B$21+Declarations!$B$20*S215*Declarations!$B$22+Declarations!$B$21*R215*Declarations!$B$20+Declarations!$B$21*T215*Declarations!$B$21+Declarations!$B$21*U215*Declarations!$B$22+Declarations!$B$22*S215*Declarations!$B$20+Declarations!$B$22*U215*Declarations!$B$21+Declarations!$B$22*V215*Declarations!$B$22+1</f>
        <v>10.2972987158294</v>
      </c>
      <c r="R216" s="20" t="n">
        <f aca="false">Declarations!$B$20*Q215*Declarations!$C$20+Declarations!$B$20*R215*Declarations!$C$21+Declarations!$B$20*S215*Declarations!$C$22+Declarations!$B$21*R215*Declarations!$C$20+Declarations!$B$21*T215*Declarations!$C$21+Declarations!$B$21*U215*Declarations!$C$22+Declarations!$B$22*S215*Declarations!$C$20+Declarations!$B$22*U215*Declarations!$C$21+Declarations!$B$22*V215*Declarations!$C$22+0</f>
        <v>4.60691839083651</v>
      </c>
      <c r="S216" s="20" t="n">
        <f aca="false">Declarations!$B$20*Q215*Declarations!$D$20+Declarations!$B$20*R215*Declarations!$D$21+Declarations!$B$20*S215*Declarations!$D$22+Declarations!$B$21*R215*Declarations!$D$20+Declarations!$B$21*T215*Declarations!$D$21+Declarations!$B$21*U215*Declarations!$D$22+Declarations!$B$22*S215*Declarations!$D$20+Declarations!$B$22*U215*Declarations!$D$21+Declarations!$B$22*V215*Declarations!$D$22+0</f>
        <v>0.617283950617284</v>
      </c>
      <c r="T216" s="20" t="n">
        <f aca="false">Declarations!$C$20*Q215*Declarations!$C$20+Declarations!$C$20*R215*Declarations!$C$21+Declarations!$C$20*S215*Declarations!$C$22+Declarations!$C$21*R215*Declarations!$C$20+Declarations!$C$21*T215*Declarations!$C$21+Declarations!$C$21*U215*Declarations!$C$22+Declarations!$C$22*S215*Declarations!$C$20+Declarations!$C$22*U215*Declarations!$C$21+Declarations!$C$22*V215*Declarations!$C$22+1</f>
        <v>5.70253969953347</v>
      </c>
      <c r="U216" s="20" t="n">
        <f aca="false">Declarations!$C$20*Q215*Declarations!$D$20+Declarations!$C$20*R215*Declarations!$D$21+Declarations!$C$20*S215*Declarations!$D$22+Declarations!$C$21*R215*Declarations!$D$20+Declarations!$C$21*T215*Declarations!$D$21+Declarations!$C$21*U215*Declarations!$D$22+Declarations!$C$22*S215*Declarations!$D$20+Declarations!$C$22*U215*Declarations!$D$21+Declarations!$C$22*V215*Declarations!$D$22+0</f>
        <v>0.771604938271605</v>
      </c>
      <c r="V216" s="20" t="n">
        <f aca="false">Declarations!$D$20*Q215*Declarations!$D$20+Declarations!$D$20*R215*Declarations!$D$21+Declarations!$D$20*S215*Declarations!$D$22+Declarations!$D$21*R215*Declarations!$D$20+Declarations!$D$21*T215*Declarations!$D$21+Declarations!$D$21*U215*Declarations!$D$22+Declarations!$D$22*S215*Declarations!$D$20+Declarations!$D$22*U215*Declarations!$D$21+Declarations!$D$22*V215*Declarations!$D$22+1</f>
        <v>2.77777777777778</v>
      </c>
    </row>
    <row r="217" customFormat="false" ht="15" hidden="false" customHeight="false" outlineLevel="0" collapsed="false">
      <c r="A217" s="18" t="n">
        <v>208</v>
      </c>
      <c r="B217" s="20" t="n">
        <f aca="false">$B$4*B216*$B$4+$B$4*C216*$B$5+$B$5*C216*$B$4+$B$5*D216*$B$5+$E$4</f>
        <v>13.5714285677689</v>
      </c>
      <c r="C217" s="20" t="n">
        <f aca="false">$B$4*B216*$C$4+$B$4*C216*$C$5+$B$5*C216*$C$4+$B$5*D216*$C$5+$F$4</f>
        <v>-5.78571428399624</v>
      </c>
      <c r="D217" s="20" t="n">
        <f aca="false">$C$4*B216*$C$4+$C$4*C216*$C$5+$C$5*C216*$C$4+$C$5*D216*$C$5+$F$5</f>
        <v>11.9928571394114</v>
      </c>
      <c r="P217" s="18" t="n">
        <v>208</v>
      </c>
      <c r="Q217" s="20" t="n">
        <f aca="false">Declarations!$B$20*Q216*Declarations!$B$20+Declarations!$B$20*R216*Declarations!$B$21+Declarations!$B$20*S216*Declarations!$B$22+Declarations!$B$21*R216*Declarations!$B$20+Declarations!$B$21*T216*Declarations!$B$21+Declarations!$B$21*U216*Declarations!$B$22+Declarations!$B$22*S216*Declarations!$B$20+Declarations!$B$22*U216*Declarations!$B$21+Declarations!$B$22*V216*Declarations!$B$22+1</f>
        <v>10.2972987165504</v>
      </c>
      <c r="R217" s="20" t="n">
        <f aca="false">Declarations!$B$20*Q216*Declarations!$C$20+Declarations!$B$20*R216*Declarations!$C$21+Declarations!$B$20*S216*Declarations!$C$22+Declarations!$B$21*R216*Declarations!$C$20+Declarations!$B$21*T216*Declarations!$C$21+Declarations!$B$21*U216*Declarations!$C$22+Declarations!$B$22*S216*Declarations!$C$20+Declarations!$B$22*U216*Declarations!$C$21+Declarations!$B$22*V216*Declarations!$C$22+0</f>
        <v>4.60691839119703</v>
      </c>
      <c r="S217" s="20" t="n">
        <f aca="false">Declarations!$B$20*Q216*Declarations!$D$20+Declarations!$B$20*R216*Declarations!$D$21+Declarations!$B$20*S216*Declarations!$D$22+Declarations!$B$21*R216*Declarations!$D$20+Declarations!$B$21*T216*Declarations!$D$21+Declarations!$B$21*U216*Declarations!$D$22+Declarations!$B$22*S216*Declarations!$D$20+Declarations!$B$22*U216*Declarations!$D$21+Declarations!$B$22*V216*Declarations!$D$22+0</f>
        <v>0.617283950617284</v>
      </c>
      <c r="T217" s="20" t="n">
        <f aca="false">Declarations!$C$20*Q216*Declarations!$C$20+Declarations!$C$20*R216*Declarations!$C$21+Declarations!$C$20*S216*Declarations!$C$22+Declarations!$C$21*R216*Declarations!$C$20+Declarations!$C$21*T216*Declarations!$C$21+Declarations!$C$21*U216*Declarations!$C$22+Declarations!$C$22*S216*Declarations!$C$20+Declarations!$C$22*U216*Declarations!$C$21+Declarations!$C$22*V216*Declarations!$C$22+1</f>
        <v>5.70253969971373</v>
      </c>
      <c r="U217" s="20" t="n">
        <f aca="false">Declarations!$C$20*Q216*Declarations!$D$20+Declarations!$C$20*R216*Declarations!$D$21+Declarations!$C$20*S216*Declarations!$D$22+Declarations!$C$21*R216*Declarations!$D$20+Declarations!$C$21*T216*Declarations!$D$21+Declarations!$C$21*U216*Declarations!$D$22+Declarations!$C$22*S216*Declarations!$D$20+Declarations!$C$22*U216*Declarations!$D$21+Declarations!$C$22*V216*Declarations!$D$22+0</f>
        <v>0.771604938271605</v>
      </c>
      <c r="V217" s="20" t="n">
        <f aca="false">Declarations!$D$20*Q216*Declarations!$D$20+Declarations!$D$20*R216*Declarations!$D$21+Declarations!$D$20*S216*Declarations!$D$22+Declarations!$D$21*R216*Declarations!$D$20+Declarations!$D$21*T216*Declarations!$D$21+Declarations!$D$21*U216*Declarations!$D$22+Declarations!$D$22*S216*Declarations!$D$20+Declarations!$D$22*U216*Declarations!$D$21+Declarations!$D$22*V216*Declarations!$D$22+1</f>
        <v>2.77777777777778</v>
      </c>
    </row>
    <row r="218" customFormat="false" ht="15" hidden="false" customHeight="false" outlineLevel="0" collapsed="false">
      <c r="A218" s="18" t="n">
        <v>209</v>
      </c>
      <c r="B218" s="20" t="n">
        <f aca="false">$B$4*B217*$B$4+$B$4*C217*$B$5+$B$5*C217*$B$4+$B$5*D217*$B$5+$E$4</f>
        <v>13.5714285681109</v>
      </c>
      <c r="C218" s="20" t="n">
        <f aca="false">$B$4*B217*$C$4+$B$4*C217*$C$5+$B$5*C217*$C$4+$B$5*D217*$C$5+$F$4</f>
        <v>-5.78571428429618</v>
      </c>
      <c r="D218" s="20" t="n">
        <f aca="false">$C$4*B217*$C$4+$C$4*C217*$C$5+$C$5*C217*$C$4+$C$5*D217*$C$5+$F$5</f>
        <v>11.9928571398928</v>
      </c>
      <c r="P218" s="18" t="n">
        <v>209</v>
      </c>
      <c r="Q218" s="20" t="n">
        <f aca="false">Declarations!$B$20*Q217*Declarations!$B$20+Declarations!$B$20*R217*Declarations!$B$21+Declarations!$B$20*S217*Declarations!$B$22+Declarations!$B$21*R217*Declarations!$B$20+Declarations!$B$21*T217*Declarations!$B$21+Declarations!$B$21*U217*Declarations!$B$22+Declarations!$B$22*S217*Declarations!$B$20+Declarations!$B$22*U217*Declarations!$B$21+Declarations!$B$22*V217*Declarations!$B$22+1</f>
        <v>10.2972987172012</v>
      </c>
      <c r="R218" s="20" t="n">
        <f aca="false">Declarations!$B$20*Q217*Declarations!$C$20+Declarations!$B$20*R217*Declarations!$C$21+Declarations!$B$20*S217*Declarations!$C$22+Declarations!$B$21*R217*Declarations!$C$20+Declarations!$B$21*T217*Declarations!$C$21+Declarations!$B$21*U217*Declarations!$C$22+Declarations!$B$22*S217*Declarations!$C$20+Declarations!$B$22*U217*Declarations!$C$21+Declarations!$B$22*V217*Declarations!$C$22+0</f>
        <v>4.6069183915224</v>
      </c>
      <c r="S218" s="20" t="n">
        <f aca="false">Declarations!$B$20*Q217*Declarations!$D$20+Declarations!$B$20*R217*Declarations!$D$21+Declarations!$B$20*S217*Declarations!$D$22+Declarations!$B$21*R217*Declarations!$D$20+Declarations!$B$21*T217*Declarations!$D$21+Declarations!$B$21*U217*Declarations!$D$22+Declarations!$B$22*S217*Declarations!$D$20+Declarations!$B$22*U217*Declarations!$D$21+Declarations!$B$22*V217*Declarations!$D$22+0</f>
        <v>0.617283950617284</v>
      </c>
      <c r="T218" s="20" t="n">
        <f aca="false">Declarations!$C$20*Q217*Declarations!$C$20+Declarations!$C$20*R217*Declarations!$C$21+Declarations!$C$20*S217*Declarations!$C$22+Declarations!$C$21*R217*Declarations!$C$20+Declarations!$C$21*T217*Declarations!$C$21+Declarations!$C$21*U217*Declarations!$C$22+Declarations!$C$22*S217*Declarations!$C$20+Declarations!$C$22*U217*Declarations!$C$21+Declarations!$C$22*V217*Declarations!$C$22+1</f>
        <v>5.70253969987642</v>
      </c>
      <c r="U218" s="20" t="n">
        <f aca="false">Declarations!$C$20*Q217*Declarations!$D$20+Declarations!$C$20*R217*Declarations!$D$21+Declarations!$C$20*S217*Declarations!$D$22+Declarations!$C$21*R217*Declarations!$D$20+Declarations!$C$21*T217*Declarations!$D$21+Declarations!$C$21*U217*Declarations!$D$22+Declarations!$C$22*S217*Declarations!$D$20+Declarations!$C$22*U217*Declarations!$D$21+Declarations!$C$22*V217*Declarations!$D$22+0</f>
        <v>0.771604938271605</v>
      </c>
      <c r="V218" s="20" t="n">
        <f aca="false">Declarations!$D$20*Q217*Declarations!$D$20+Declarations!$D$20*R217*Declarations!$D$21+Declarations!$D$20*S217*Declarations!$D$22+Declarations!$D$21*R217*Declarations!$D$20+Declarations!$D$21*T217*Declarations!$D$21+Declarations!$D$21*U217*Declarations!$D$22+Declarations!$D$22*S217*Declarations!$D$20+Declarations!$D$22*U217*Declarations!$D$21+Declarations!$D$22*V217*Declarations!$D$22+1</f>
        <v>2.77777777777778</v>
      </c>
    </row>
    <row r="219" customFormat="false" ht="15" hidden="false" customHeight="false" outlineLevel="0" collapsed="false">
      <c r="A219" s="18" t="n">
        <v>210</v>
      </c>
      <c r="B219" s="20" t="n">
        <f aca="false">$B$4*B218*$B$4+$B$4*C218*$B$5+$B$5*C218*$B$4+$B$5*D218*$B$5+$E$4</f>
        <v>13.5714285683295</v>
      </c>
      <c r="C219" s="20" t="n">
        <f aca="false">$B$4*B218*$C$4+$B$4*C218*$C$5+$B$5*C218*$C$4+$B$5*D218*$C$5+$F$4</f>
        <v>-5.7857142843033</v>
      </c>
      <c r="D219" s="20" t="n">
        <f aca="false">$C$4*B218*$C$4+$C$4*C218*$C$5+$C$5*C218*$C$4+$C$5*D218*$C$5+$F$5</f>
        <v>11.9928571401699</v>
      </c>
      <c r="P219" s="18" t="n">
        <v>210</v>
      </c>
      <c r="Q219" s="20" t="n">
        <f aca="false">Declarations!$B$20*Q218*Declarations!$B$20+Declarations!$B$20*R218*Declarations!$B$21+Declarations!$B$20*S218*Declarations!$B$22+Declarations!$B$21*R218*Declarations!$B$20+Declarations!$B$21*T218*Declarations!$B$21+Declarations!$B$21*U218*Declarations!$B$22+Declarations!$B$22*S218*Declarations!$B$20+Declarations!$B$22*U218*Declarations!$B$21+Declarations!$B$22*V218*Declarations!$B$22+1</f>
        <v>10.2972987177885</v>
      </c>
      <c r="R219" s="20" t="n">
        <f aca="false">Declarations!$B$20*Q218*Declarations!$C$20+Declarations!$B$20*R218*Declarations!$C$21+Declarations!$B$20*S218*Declarations!$C$22+Declarations!$B$21*R218*Declarations!$C$20+Declarations!$B$21*T218*Declarations!$C$21+Declarations!$B$21*U218*Declarations!$C$22+Declarations!$B$22*S218*Declarations!$C$20+Declarations!$B$22*U218*Declarations!$C$21+Declarations!$B$22*V218*Declarations!$C$22+0</f>
        <v>4.60691839181604</v>
      </c>
      <c r="S219" s="20" t="n">
        <f aca="false">Declarations!$B$20*Q218*Declarations!$D$20+Declarations!$B$20*R218*Declarations!$D$21+Declarations!$B$20*S218*Declarations!$D$22+Declarations!$B$21*R218*Declarations!$D$20+Declarations!$B$21*T218*Declarations!$D$21+Declarations!$B$21*U218*Declarations!$D$22+Declarations!$B$22*S218*Declarations!$D$20+Declarations!$B$22*U218*Declarations!$D$21+Declarations!$B$22*V218*Declarations!$D$22+0</f>
        <v>0.617283950617284</v>
      </c>
      <c r="T219" s="20" t="n">
        <f aca="false">Declarations!$C$20*Q218*Declarations!$C$20+Declarations!$C$20*R218*Declarations!$C$21+Declarations!$C$20*S218*Declarations!$C$22+Declarations!$C$21*R218*Declarations!$C$20+Declarations!$C$21*T218*Declarations!$C$21+Declarations!$C$21*U218*Declarations!$C$22+Declarations!$C$22*S218*Declarations!$C$20+Declarations!$C$22*U218*Declarations!$C$21+Declarations!$C$22*V218*Declarations!$C$22+1</f>
        <v>5.70253970002324</v>
      </c>
      <c r="U219" s="20" t="n">
        <f aca="false">Declarations!$C$20*Q218*Declarations!$D$20+Declarations!$C$20*R218*Declarations!$D$21+Declarations!$C$20*S218*Declarations!$D$22+Declarations!$C$21*R218*Declarations!$D$20+Declarations!$C$21*T218*Declarations!$D$21+Declarations!$C$21*U218*Declarations!$D$22+Declarations!$C$22*S218*Declarations!$D$20+Declarations!$C$22*U218*Declarations!$D$21+Declarations!$C$22*V218*Declarations!$D$22+0</f>
        <v>0.771604938271605</v>
      </c>
      <c r="V219" s="20" t="n">
        <f aca="false">Declarations!$D$20*Q218*Declarations!$D$20+Declarations!$D$20*R218*Declarations!$D$21+Declarations!$D$20*S218*Declarations!$D$22+Declarations!$D$21*R218*Declarations!$D$20+Declarations!$D$21*T218*Declarations!$D$21+Declarations!$D$21*U218*Declarations!$D$22+Declarations!$D$22*S218*Declarations!$D$20+Declarations!$D$22*U218*Declarations!$D$21+Declarations!$D$22*V218*Declarations!$D$22+1</f>
        <v>2.77777777777778</v>
      </c>
    </row>
    <row r="220" customFormat="false" ht="15" hidden="false" customHeight="false" outlineLevel="0" collapsed="false">
      <c r="A220" s="18" t="n">
        <v>211</v>
      </c>
      <c r="B220" s="20" t="n">
        <f aca="false">$B$4*B219*$B$4+$B$4*C219*$B$5+$B$5*C219*$B$4+$B$5*D219*$B$5+$E$4</f>
        <v>13.5714285687708</v>
      </c>
      <c r="C220" s="20" t="n">
        <f aca="false">$B$4*B219*$C$4+$B$4*C219*$C$5+$B$5*C219*$C$4+$B$5*D219*$C$5+$F$4</f>
        <v>-5.78571428447395</v>
      </c>
      <c r="D220" s="20" t="n">
        <f aca="false">$C$4*B219*$C$4+$C$4*C219*$C$5+$C$5*C219*$C$4+$C$5*D219*$C$5+$F$5</f>
        <v>11.9928571403469</v>
      </c>
      <c r="P220" s="18" t="n">
        <v>211</v>
      </c>
      <c r="Q220" s="20" t="n">
        <f aca="false">Declarations!$B$20*Q219*Declarations!$B$20+Declarations!$B$20*R219*Declarations!$B$21+Declarations!$B$20*S219*Declarations!$B$22+Declarations!$B$21*R219*Declarations!$B$20+Declarations!$B$21*T219*Declarations!$B$21+Declarations!$B$21*U219*Declarations!$B$22+Declarations!$B$22*S219*Declarations!$B$20+Declarations!$B$22*U219*Declarations!$B$21+Declarations!$B$22*V219*Declarations!$B$22+1</f>
        <v>10.2972987183185</v>
      </c>
      <c r="R220" s="20" t="n">
        <f aca="false">Declarations!$B$20*Q219*Declarations!$C$20+Declarations!$B$20*R219*Declarations!$C$21+Declarations!$B$20*S219*Declarations!$C$22+Declarations!$B$21*R219*Declarations!$C$20+Declarations!$B$21*T219*Declarations!$C$21+Declarations!$B$21*U219*Declarations!$C$22+Declarations!$B$22*S219*Declarations!$C$20+Declarations!$B$22*U219*Declarations!$C$21+Declarations!$B$22*V219*Declarations!$C$22+0</f>
        <v>4.60691839208106</v>
      </c>
      <c r="S220" s="20" t="n">
        <f aca="false">Declarations!$B$20*Q219*Declarations!$D$20+Declarations!$B$20*R219*Declarations!$D$21+Declarations!$B$20*S219*Declarations!$D$22+Declarations!$B$21*R219*Declarations!$D$20+Declarations!$B$21*T219*Declarations!$D$21+Declarations!$B$21*U219*Declarations!$D$22+Declarations!$B$22*S219*Declarations!$D$20+Declarations!$B$22*U219*Declarations!$D$21+Declarations!$B$22*V219*Declarations!$D$22+0</f>
        <v>0.617283950617284</v>
      </c>
      <c r="T220" s="20" t="n">
        <f aca="false">Declarations!$C$20*Q219*Declarations!$C$20+Declarations!$C$20*R219*Declarations!$C$21+Declarations!$C$20*S219*Declarations!$C$22+Declarations!$C$21*R219*Declarations!$C$20+Declarations!$C$21*T219*Declarations!$C$21+Declarations!$C$21*U219*Declarations!$C$22+Declarations!$C$22*S219*Declarations!$C$20+Declarations!$C$22*U219*Declarations!$C$21+Declarations!$C$22*V219*Declarations!$C$22+1</f>
        <v>5.70253970015575</v>
      </c>
      <c r="U220" s="20" t="n">
        <f aca="false">Declarations!$C$20*Q219*Declarations!$D$20+Declarations!$C$20*R219*Declarations!$D$21+Declarations!$C$20*S219*Declarations!$D$22+Declarations!$C$21*R219*Declarations!$D$20+Declarations!$C$21*T219*Declarations!$D$21+Declarations!$C$21*U219*Declarations!$D$22+Declarations!$C$22*S219*Declarations!$D$20+Declarations!$C$22*U219*Declarations!$D$21+Declarations!$C$22*V219*Declarations!$D$22+0</f>
        <v>0.771604938271605</v>
      </c>
      <c r="V220" s="20" t="n">
        <f aca="false">Declarations!$D$20*Q219*Declarations!$D$20+Declarations!$D$20*R219*Declarations!$D$21+Declarations!$D$20*S219*Declarations!$D$22+Declarations!$D$21*R219*Declarations!$D$20+Declarations!$D$21*T219*Declarations!$D$21+Declarations!$D$21*U219*Declarations!$D$22+Declarations!$D$22*S219*Declarations!$D$20+Declarations!$D$22*U219*Declarations!$D$21+Declarations!$D$22*V219*Declarations!$D$22+1</f>
        <v>2.77777777777778</v>
      </c>
    </row>
    <row r="221" customFormat="false" ht="15" hidden="false" customHeight="false" outlineLevel="0" collapsed="false">
      <c r="A221" s="18" t="n">
        <v>212</v>
      </c>
      <c r="B221" s="20" t="n">
        <f aca="false">$B$4*B220*$B$4+$B$4*C220*$B$5+$B$5*C220*$B$4+$B$5*D220*$B$5+$E$4</f>
        <v>13.5714285689982</v>
      </c>
      <c r="C221" s="20" t="n">
        <f aca="false">$B$4*B220*$C$4+$B$4*C220*$C$5+$B$5*C220*$C$4+$B$5*D220*$C$5+$F$4</f>
        <v>-5.78571428467782</v>
      </c>
      <c r="D221" s="20" t="n">
        <f aca="false">$C$4*B220*$C$4+$C$4*C220*$C$5+$C$5*C220*$C$4+$C$5*D220*$C$5+$F$5</f>
        <v>11.9928571407044</v>
      </c>
      <c r="P221" s="18" t="n">
        <v>212</v>
      </c>
      <c r="Q221" s="20" t="n">
        <f aca="false">Declarations!$B$20*Q220*Declarations!$B$20+Declarations!$B$20*R220*Declarations!$B$21+Declarations!$B$20*S220*Declarations!$B$22+Declarations!$B$21*R220*Declarations!$B$20+Declarations!$B$21*T220*Declarations!$B$21+Declarations!$B$21*U220*Declarations!$B$22+Declarations!$B$22*S220*Declarations!$B$20+Declarations!$B$22*U220*Declarations!$B$21+Declarations!$B$22*V220*Declarations!$B$22+1</f>
        <v>10.2972987187968</v>
      </c>
      <c r="R221" s="20" t="n">
        <f aca="false">Declarations!$B$20*Q220*Declarations!$C$20+Declarations!$B$20*R220*Declarations!$C$21+Declarations!$B$20*S220*Declarations!$C$22+Declarations!$B$21*R220*Declarations!$C$20+Declarations!$B$21*T220*Declarations!$C$21+Declarations!$B$21*U220*Declarations!$C$22+Declarations!$B$22*S220*Declarations!$C$20+Declarations!$B$22*U220*Declarations!$C$21+Declarations!$B$22*V220*Declarations!$C$22+0</f>
        <v>4.60691839232023</v>
      </c>
      <c r="S221" s="20" t="n">
        <f aca="false">Declarations!$B$20*Q220*Declarations!$D$20+Declarations!$B$20*R220*Declarations!$D$21+Declarations!$B$20*S220*Declarations!$D$22+Declarations!$B$21*R220*Declarations!$D$20+Declarations!$B$21*T220*Declarations!$D$21+Declarations!$B$21*U220*Declarations!$D$22+Declarations!$B$22*S220*Declarations!$D$20+Declarations!$B$22*U220*Declarations!$D$21+Declarations!$B$22*V220*Declarations!$D$22+0</f>
        <v>0.617283950617284</v>
      </c>
      <c r="T221" s="20" t="n">
        <f aca="false">Declarations!$C$20*Q220*Declarations!$C$20+Declarations!$C$20*R220*Declarations!$C$21+Declarations!$C$20*S220*Declarations!$C$22+Declarations!$C$21*R220*Declarations!$C$20+Declarations!$C$21*T220*Declarations!$C$21+Declarations!$C$21*U220*Declarations!$C$22+Declarations!$C$22*S220*Declarations!$C$20+Declarations!$C$22*U220*Declarations!$C$21+Declarations!$C$22*V220*Declarations!$C$22+1</f>
        <v>5.70253970027534</v>
      </c>
      <c r="U221" s="20" t="n">
        <f aca="false">Declarations!$C$20*Q220*Declarations!$D$20+Declarations!$C$20*R220*Declarations!$D$21+Declarations!$C$20*S220*Declarations!$D$22+Declarations!$C$21*R220*Declarations!$D$20+Declarations!$C$21*T220*Declarations!$D$21+Declarations!$C$21*U220*Declarations!$D$22+Declarations!$C$22*S220*Declarations!$D$20+Declarations!$C$22*U220*Declarations!$D$21+Declarations!$C$22*V220*Declarations!$D$22+0</f>
        <v>0.771604938271605</v>
      </c>
      <c r="V221" s="20" t="n">
        <f aca="false">Declarations!$D$20*Q220*Declarations!$D$20+Declarations!$D$20*R220*Declarations!$D$21+Declarations!$D$20*S220*Declarations!$D$22+Declarations!$D$21*R220*Declarations!$D$20+Declarations!$D$21*T220*Declarations!$D$21+Declarations!$D$21*U220*Declarations!$D$22+Declarations!$D$22*S220*Declarations!$D$20+Declarations!$D$22*U220*Declarations!$D$21+Declarations!$D$22*V220*Declarations!$D$22+1</f>
        <v>2.77777777777778</v>
      </c>
    </row>
    <row r="222" customFormat="false" ht="15" hidden="false" customHeight="false" outlineLevel="0" collapsed="false">
      <c r="A222" s="18" t="n">
        <v>213</v>
      </c>
      <c r="B222" s="20" t="n">
        <f aca="false">$B$4*B221*$B$4+$B$4*C221*$B$5+$B$5*C221*$B$4+$B$5*D221*$B$5+$E$4</f>
        <v>13.5714285691728</v>
      </c>
      <c r="C222" s="20" t="n">
        <f aca="false">$B$4*B221*$C$4+$B$4*C221*$C$5+$B$5*C221*$C$4+$B$5*D221*$C$5+$F$4</f>
        <v>-5.78571428467849</v>
      </c>
      <c r="D222" s="20" t="n">
        <f aca="false">$C$4*B221*$C$4+$C$4*C221*$C$5+$C$5*C221*$C$4+$C$5*D221*$C$5+$F$5</f>
        <v>11.9928571408885</v>
      </c>
      <c r="P222" s="18" t="n">
        <v>213</v>
      </c>
      <c r="Q222" s="20" t="n">
        <f aca="false">Declarations!$B$20*Q221*Declarations!$B$20+Declarations!$B$20*R221*Declarations!$B$21+Declarations!$B$20*S221*Declarations!$B$22+Declarations!$B$21*R221*Declarations!$B$20+Declarations!$B$21*T221*Declarations!$B$21+Declarations!$B$21*U221*Declarations!$B$22+Declarations!$B$22*S221*Declarations!$B$20+Declarations!$B$22*U221*Declarations!$B$21+Declarations!$B$22*V221*Declarations!$B$22+1</f>
        <v>10.2972987192286</v>
      </c>
      <c r="R222" s="20" t="n">
        <f aca="false">Declarations!$B$20*Q221*Declarations!$C$20+Declarations!$B$20*R221*Declarations!$C$21+Declarations!$B$20*S221*Declarations!$C$22+Declarations!$B$21*R221*Declarations!$C$20+Declarations!$B$21*T221*Declarations!$C$21+Declarations!$B$21*U221*Declarations!$C$22+Declarations!$B$22*S221*Declarations!$C$20+Declarations!$B$22*U221*Declarations!$C$21+Declarations!$B$22*V221*Declarations!$C$22+0</f>
        <v>4.60691839253609</v>
      </c>
      <c r="S222" s="20" t="n">
        <f aca="false">Declarations!$B$20*Q221*Declarations!$D$20+Declarations!$B$20*R221*Declarations!$D$21+Declarations!$B$20*S221*Declarations!$D$22+Declarations!$B$21*R221*Declarations!$D$20+Declarations!$B$21*T221*Declarations!$D$21+Declarations!$B$21*U221*Declarations!$D$22+Declarations!$B$22*S221*Declarations!$D$20+Declarations!$B$22*U221*Declarations!$D$21+Declarations!$B$22*V221*Declarations!$D$22+0</f>
        <v>0.617283950617284</v>
      </c>
      <c r="T222" s="20" t="n">
        <f aca="false">Declarations!$C$20*Q221*Declarations!$C$20+Declarations!$C$20*R221*Declarations!$C$21+Declarations!$C$20*S221*Declarations!$C$22+Declarations!$C$21*R221*Declarations!$C$20+Declarations!$C$21*T221*Declarations!$C$21+Declarations!$C$21*U221*Declarations!$C$22+Declarations!$C$22*S221*Declarations!$C$20+Declarations!$C$22*U221*Declarations!$C$21+Declarations!$C$22*V221*Declarations!$C$22+1</f>
        <v>5.70253970038326</v>
      </c>
      <c r="U222" s="20" t="n">
        <f aca="false">Declarations!$C$20*Q221*Declarations!$D$20+Declarations!$C$20*R221*Declarations!$D$21+Declarations!$C$20*S221*Declarations!$D$22+Declarations!$C$21*R221*Declarations!$D$20+Declarations!$C$21*T221*Declarations!$D$21+Declarations!$C$21*U221*Declarations!$D$22+Declarations!$C$22*S221*Declarations!$D$20+Declarations!$C$22*U221*Declarations!$D$21+Declarations!$C$22*V221*Declarations!$D$22+0</f>
        <v>0.771604938271605</v>
      </c>
      <c r="V222" s="20" t="n">
        <f aca="false">Declarations!$D$20*Q221*Declarations!$D$20+Declarations!$D$20*R221*Declarations!$D$21+Declarations!$D$20*S221*Declarations!$D$22+Declarations!$D$21*R221*Declarations!$D$20+Declarations!$D$21*T221*Declarations!$D$21+Declarations!$D$21*U221*Declarations!$D$22+Declarations!$D$22*S221*Declarations!$D$20+Declarations!$D$22*U221*Declarations!$D$21+Declarations!$D$22*V221*Declarations!$D$22+1</f>
        <v>2.77777777777778</v>
      </c>
    </row>
    <row r="223" customFormat="false" ht="15" hidden="false" customHeight="false" outlineLevel="0" collapsed="false">
      <c r="A223" s="18" t="n">
        <v>214</v>
      </c>
      <c r="B223" s="20" t="n">
        <f aca="false">$B$4*B222*$B$4+$B$4*C222*$B$5+$B$5*C222*$B$4+$B$5*D222*$B$5+$E$4</f>
        <v>13.5714285694972</v>
      </c>
      <c r="C223" s="20" t="n">
        <f aca="false">$B$4*B222*$C$4+$B$4*C222*$C$5+$B$5*C222*$C$4+$B$5*D222*$C$5+$F$4</f>
        <v>-5.78571428481935</v>
      </c>
      <c r="D223" s="20" t="n">
        <f aca="false">$C$4*B222*$C$4+$C$4*C222*$C$5+$C$5*C222*$C$4+$C$5*D222*$C$5+$F$5</f>
        <v>11.99285714103</v>
      </c>
      <c r="P223" s="18" t="n">
        <v>214</v>
      </c>
      <c r="Q223" s="20" t="n">
        <f aca="false">Declarations!$B$20*Q222*Declarations!$B$20+Declarations!$B$20*R222*Declarations!$B$21+Declarations!$B$20*S222*Declarations!$B$22+Declarations!$B$21*R222*Declarations!$B$20+Declarations!$B$21*T222*Declarations!$B$21+Declarations!$B$21*U222*Declarations!$B$22+Declarations!$B$22*S222*Declarations!$B$20+Declarations!$B$22*U222*Declarations!$B$21+Declarations!$B$22*V222*Declarations!$B$22+1</f>
        <v>10.2972987196182</v>
      </c>
      <c r="R223" s="20" t="n">
        <f aca="false">Declarations!$B$20*Q222*Declarations!$C$20+Declarations!$B$20*R222*Declarations!$C$21+Declarations!$B$20*S222*Declarations!$C$22+Declarations!$B$21*R222*Declarations!$C$20+Declarations!$B$21*T222*Declarations!$C$21+Declarations!$B$21*U222*Declarations!$C$22+Declarations!$B$22*S222*Declarations!$C$20+Declarations!$B$22*U222*Declarations!$C$21+Declarations!$B$22*V222*Declarations!$C$22+0</f>
        <v>4.6069183927309</v>
      </c>
      <c r="S223" s="20" t="n">
        <f aca="false">Declarations!$B$20*Q222*Declarations!$D$20+Declarations!$B$20*R222*Declarations!$D$21+Declarations!$B$20*S222*Declarations!$D$22+Declarations!$B$21*R222*Declarations!$D$20+Declarations!$B$21*T222*Declarations!$D$21+Declarations!$B$21*U222*Declarations!$D$22+Declarations!$B$22*S222*Declarations!$D$20+Declarations!$B$22*U222*Declarations!$D$21+Declarations!$B$22*V222*Declarations!$D$22+0</f>
        <v>0.617283950617284</v>
      </c>
      <c r="T223" s="20" t="n">
        <f aca="false">Declarations!$C$20*Q222*Declarations!$C$20+Declarations!$C$20*R222*Declarations!$C$21+Declarations!$C$20*S222*Declarations!$C$22+Declarations!$C$21*R222*Declarations!$C$20+Declarations!$C$21*T222*Declarations!$C$21+Declarations!$C$21*U222*Declarations!$C$22+Declarations!$C$22*S222*Declarations!$C$20+Declarations!$C$22*U222*Declarations!$C$21+Declarations!$C$22*V222*Declarations!$C$22+1</f>
        <v>5.70253970048067</v>
      </c>
      <c r="U223" s="20" t="n">
        <f aca="false">Declarations!$C$20*Q222*Declarations!$D$20+Declarations!$C$20*R222*Declarations!$D$21+Declarations!$C$20*S222*Declarations!$D$22+Declarations!$C$21*R222*Declarations!$D$20+Declarations!$C$21*T222*Declarations!$D$21+Declarations!$C$21*U222*Declarations!$D$22+Declarations!$C$22*S222*Declarations!$D$20+Declarations!$C$22*U222*Declarations!$D$21+Declarations!$C$22*V222*Declarations!$D$22+0</f>
        <v>0.771604938271605</v>
      </c>
      <c r="V223" s="20" t="n">
        <f aca="false">Declarations!$D$20*Q222*Declarations!$D$20+Declarations!$D$20*R222*Declarations!$D$21+Declarations!$D$20*S222*Declarations!$D$22+Declarations!$D$21*R222*Declarations!$D$20+Declarations!$D$21*T222*Declarations!$D$21+Declarations!$D$21*U222*Declarations!$D$22+Declarations!$D$22*S222*Declarations!$D$20+Declarations!$D$22*U222*Declarations!$D$21+Declarations!$D$22*V222*Declarations!$D$22+1</f>
        <v>2.77777777777778</v>
      </c>
    </row>
    <row r="224" customFormat="false" ht="15" hidden="false" customHeight="false" outlineLevel="0" collapsed="false">
      <c r="A224" s="18" t="n">
        <v>215</v>
      </c>
      <c r="B224" s="20" t="n">
        <f aca="false">$B$4*B223*$B$4+$B$4*C223*$B$5+$B$5*C223*$B$4+$B$5*D223*$B$5+$E$4</f>
        <v>13.5714285696479</v>
      </c>
      <c r="C224" s="20" t="n">
        <f aca="false">$B$4*B223*$C$4+$B$4*C223*$C$5+$B$5*C223*$C$4+$B$5*D223*$C$5+$F$4</f>
        <v>-5.78571428495535</v>
      </c>
      <c r="D224" s="20" t="n">
        <f aca="false">$C$4*B223*$C$4+$C$4*C223*$C$5+$C$5*C223*$C$4+$C$5*D223*$C$5+$F$5</f>
        <v>11.9928571412928</v>
      </c>
      <c r="P224" s="18" t="n">
        <v>215</v>
      </c>
      <c r="Q224" s="20" t="n">
        <f aca="false">Declarations!$B$20*Q223*Declarations!$B$20+Declarations!$B$20*R223*Declarations!$B$21+Declarations!$B$20*S223*Declarations!$B$22+Declarations!$B$21*R223*Declarations!$B$20+Declarations!$B$21*T223*Declarations!$B$21+Declarations!$B$21*U223*Declarations!$B$22+Declarations!$B$22*S223*Declarations!$B$20+Declarations!$B$22*U223*Declarations!$B$21+Declarations!$B$22*V223*Declarations!$B$22+1</f>
        <v>10.2972987199698</v>
      </c>
      <c r="R224" s="20" t="n">
        <f aca="false">Declarations!$B$20*Q223*Declarations!$C$20+Declarations!$B$20*R223*Declarations!$C$21+Declarations!$B$20*S223*Declarations!$C$22+Declarations!$B$21*R223*Declarations!$C$20+Declarations!$B$21*T223*Declarations!$C$21+Declarations!$B$21*U223*Declarations!$C$22+Declarations!$B$22*S223*Declarations!$C$20+Declarations!$B$22*U223*Declarations!$C$21+Declarations!$B$22*V223*Declarations!$C$22+0</f>
        <v>4.60691839290671</v>
      </c>
      <c r="S224" s="20" t="n">
        <f aca="false">Declarations!$B$20*Q223*Declarations!$D$20+Declarations!$B$20*R223*Declarations!$D$21+Declarations!$B$20*S223*Declarations!$D$22+Declarations!$B$21*R223*Declarations!$D$20+Declarations!$B$21*T223*Declarations!$D$21+Declarations!$B$21*U223*Declarations!$D$22+Declarations!$B$22*S223*Declarations!$D$20+Declarations!$B$22*U223*Declarations!$D$21+Declarations!$B$22*V223*Declarations!$D$22+0</f>
        <v>0.617283950617284</v>
      </c>
      <c r="T224" s="20" t="n">
        <f aca="false">Declarations!$C$20*Q223*Declarations!$C$20+Declarations!$C$20*R223*Declarations!$C$21+Declarations!$C$20*S223*Declarations!$C$22+Declarations!$C$21*R223*Declarations!$C$20+Declarations!$C$21*T223*Declarations!$C$21+Declarations!$C$21*U223*Declarations!$C$22+Declarations!$C$22*S223*Declarations!$C$20+Declarations!$C$22*U223*Declarations!$C$21+Declarations!$C$22*V223*Declarations!$C$22+1</f>
        <v>5.70253970056858</v>
      </c>
      <c r="U224" s="20" t="n">
        <f aca="false">Declarations!$C$20*Q223*Declarations!$D$20+Declarations!$C$20*R223*Declarations!$D$21+Declarations!$C$20*S223*Declarations!$D$22+Declarations!$C$21*R223*Declarations!$D$20+Declarations!$C$21*T223*Declarations!$D$21+Declarations!$C$21*U223*Declarations!$D$22+Declarations!$C$22*S223*Declarations!$D$20+Declarations!$C$22*U223*Declarations!$D$21+Declarations!$C$22*V223*Declarations!$D$22+0</f>
        <v>0.771604938271605</v>
      </c>
      <c r="V224" s="20" t="n">
        <f aca="false">Declarations!$D$20*Q223*Declarations!$D$20+Declarations!$D$20*R223*Declarations!$D$21+Declarations!$D$20*S223*Declarations!$D$22+Declarations!$D$21*R223*Declarations!$D$20+Declarations!$D$21*T223*Declarations!$D$21+Declarations!$D$21*U223*Declarations!$D$22+Declarations!$D$22*S223*Declarations!$D$20+Declarations!$D$22*U223*Declarations!$D$21+Declarations!$D$22*V223*Declarations!$D$22+1</f>
        <v>2.77777777777778</v>
      </c>
    </row>
    <row r="225" customFormat="false" ht="15" hidden="false" customHeight="false" outlineLevel="0" collapsed="false">
      <c r="A225" s="18" t="n">
        <v>216</v>
      </c>
      <c r="B225" s="20" t="n">
        <f aca="false">$B$4*B224*$B$4+$B$4*C224*$B$5+$B$5*C224*$B$4+$B$5*D224*$B$5+$E$4</f>
        <v>13.571428569788</v>
      </c>
      <c r="C225" s="20" t="n">
        <f aca="false">$B$4*B224*$C$4+$B$4*C224*$C$5+$B$5*C224*$C$4+$B$5*D224*$C$5+$F$4</f>
        <v>-5.785714284955</v>
      </c>
      <c r="D225" s="20" t="n">
        <f aca="false">$C$4*B224*$C$4+$C$4*C224*$C$5+$C$5*C224*$C$4+$C$5*D224*$C$5+$F$5</f>
        <v>11.9928571414148</v>
      </c>
      <c r="P225" s="18" t="n">
        <v>216</v>
      </c>
      <c r="Q225" s="20" t="n">
        <f aca="false">Declarations!$B$20*Q224*Declarations!$B$20+Declarations!$B$20*R224*Declarations!$B$21+Declarations!$B$20*S224*Declarations!$B$22+Declarations!$B$21*R224*Declarations!$B$20+Declarations!$B$21*T224*Declarations!$B$21+Declarations!$B$21*U224*Declarations!$B$22+Declarations!$B$22*S224*Declarations!$B$20+Declarations!$B$22*U224*Declarations!$B$21+Declarations!$B$22*V224*Declarations!$B$22+1</f>
        <v>10.2972987202872</v>
      </c>
      <c r="R225" s="20" t="n">
        <f aca="false">Declarations!$B$20*Q224*Declarations!$C$20+Declarations!$B$20*R224*Declarations!$C$21+Declarations!$B$20*S224*Declarations!$C$22+Declarations!$B$21*R224*Declarations!$C$20+Declarations!$B$21*T224*Declarations!$C$21+Declarations!$B$21*U224*Declarations!$C$22+Declarations!$B$22*S224*Declarations!$C$20+Declarations!$B$22*U224*Declarations!$C$21+Declarations!$B$22*V224*Declarations!$C$22+0</f>
        <v>4.60691839306539</v>
      </c>
      <c r="S225" s="20" t="n">
        <f aca="false">Declarations!$B$20*Q224*Declarations!$D$20+Declarations!$B$20*R224*Declarations!$D$21+Declarations!$B$20*S224*Declarations!$D$22+Declarations!$B$21*R224*Declarations!$D$20+Declarations!$B$21*T224*Declarations!$D$21+Declarations!$B$21*U224*Declarations!$D$22+Declarations!$B$22*S224*Declarations!$D$20+Declarations!$B$22*U224*Declarations!$D$21+Declarations!$B$22*V224*Declarations!$D$22+0</f>
        <v>0.617283950617284</v>
      </c>
      <c r="T225" s="20" t="n">
        <f aca="false">Declarations!$C$20*Q224*Declarations!$C$20+Declarations!$C$20*R224*Declarations!$C$21+Declarations!$C$20*S224*Declarations!$C$22+Declarations!$C$21*R224*Declarations!$C$20+Declarations!$C$21*T224*Declarations!$C$21+Declarations!$C$21*U224*Declarations!$C$22+Declarations!$C$22*S224*Declarations!$C$20+Declarations!$C$22*U224*Declarations!$C$21+Declarations!$C$22*V224*Declarations!$C$22+1</f>
        <v>5.70253970064792</v>
      </c>
      <c r="U225" s="20" t="n">
        <f aca="false">Declarations!$C$20*Q224*Declarations!$D$20+Declarations!$C$20*R224*Declarations!$D$21+Declarations!$C$20*S224*Declarations!$D$22+Declarations!$C$21*R224*Declarations!$D$20+Declarations!$C$21*T224*Declarations!$D$21+Declarations!$C$21*U224*Declarations!$D$22+Declarations!$C$22*S224*Declarations!$D$20+Declarations!$C$22*U224*Declarations!$D$21+Declarations!$C$22*V224*Declarations!$D$22+0</f>
        <v>0.771604938271605</v>
      </c>
      <c r="V225" s="20" t="n">
        <f aca="false">Declarations!$D$20*Q224*Declarations!$D$20+Declarations!$D$20*R224*Declarations!$D$21+Declarations!$D$20*S224*Declarations!$D$22+Declarations!$D$21*R224*Declarations!$D$20+Declarations!$D$21*T224*Declarations!$D$21+Declarations!$D$21*U224*Declarations!$D$22+Declarations!$D$22*S224*Declarations!$D$20+Declarations!$D$22*U224*Declarations!$D$21+Declarations!$D$22*V224*Declarations!$D$22+1</f>
        <v>2.77777777777778</v>
      </c>
    </row>
    <row r="226" customFormat="false" ht="15" hidden="false" customHeight="false" outlineLevel="0" collapsed="false">
      <c r="A226" s="18" t="n">
        <v>217</v>
      </c>
      <c r="B226" s="20" t="n">
        <f aca="false">$B$4*B225*$B$4+$B$4*C225*$B$5+$B$5*C225*$B$4+$B$5*D225*$B$5+$E$4</f>
        <v>13.5714285700241</v>
      </c>
      <c r="C226" s="20" t="n">
        <f aca="false">$B$4*B225*$C$4+$B$4*C225*$C$5+$B$5*C225*$C$4+$B$5*D225*$C$5+$F$4</f>
        <v>-5.78571428506874</v>
      </c>
      <c r="D226" s="20" t="n">
        <f aca="false">$C$4*B225*$C$4+$C$4*C225*$C$5+$C$5*C225*$C$4+$C$5*D225*$C$5+$F$5</f>
        <v>11.9928571415282</v>
      </c>
      <c r="P226" s="18" t="n">
        <v>217</v>
      </c>
      <c r="Q226" s="20" t="n">
        <f aca="false">Declarations!$B$20*Q225*Declarations!$B$20+Declarations!$B$20*R225*Declarations!$B$21+Declarations!$B$20*S225*Declarations!$B$22+Declarations!$B$21*R225*Declarations!$B$20+Declarations!$B$21*T225*Declarations!$B$21+Declarations!$B$21*U225*Declarations!$B$22+Declarations!$B$22*S225*Declarations!$B$20+Declarations!$B$22*U225*Declarations!$B$21+Declarations!$B$22*V225*Declarations!$B$22+1</f>
        <v>10.2972987205736</v>
      </c>
      <c r="R226" s="20" t="n">
        <f aca="false">Declarations!$B$20*Q225*Declarations!$C$20+Declarations!$B$20*R225*Declarations!$C$21+Declarations!$B$20*S225*Declarations!$C$22+Declarations!$B$21*R225*Declarations!$C$20+Declarations!$B$21*T225*Declarations!$C$21+Declarations!$B$21*U225*Declarations!$C$22+Declarations!$B$22*S225*Declarations!$C$20+Declarations!$B$22*U225*Declarations!$C$21+Declarations!$B$22*V225*Declarations!$C$22+0</f>
        <v>4.60691839320859</v>
      </c>
      <c r="S226" s="20" t="n">
        <f aca="false">Declarations!$B$20*Q225*Declarations!$D$20+Declarations!$B$20*R225*Declarations!$D$21+Declarations!$B$20*S225*Declarations!$D$22+Declarations!$B$21*R225*Declarations!$D$20+Declarations!$B$21*T225*Declarations!$D$21+Declarations!$B$21*U225*Declarations!$D$22+Declarations!$B$22*S225*Declarations!$D$20+Declarations!$B$22*U225*Declarations!$D$21+Declarations!$B$22*V225*Declarations!$D$22+0</f>
        <v>0.617283950617284</v>
      </c>
      <c r="T226" s="20" t="n">
        <f aca="false">Declarations!$C$20*Q225*Declarations!$C$20+Declarations!$C$20*R225*Declarations!$C$21+Declarations!$C$20*S225*Declarations!$C$22+Declarations!$C$21*R225*Declarations!$C$20+Declarations!$C$21*T225*Declarations!$C$21+Declarations!$C$21*U225*Declarations!$C$22+Declarations!$C$22*S225*Declarations!$C$20+Declarations!$C$22*U225*Declarations!$C$21+Declarations!$C$22*V225*Declarations!$C$22+1</f>
        <v>5.70253970071952</v>
      </c>
      <c r="U226" s="20" t="n">
        <f aca="false">Declarations!$C$20*Q225*Declarations!$D$20+Declarations!$C$20*R225*Declarations!$D$21+Declarations!$C$20*S225*Declarations!$D$22+Declarations!$C$21*R225*Declarations!$D$20+Declarations!$C$21*T225*Declarations!$D$21+Declarations!$C$21*U225*Declarations!$D$22+Declarations!$C$22*S225*Declarations!$D$20+Declarations!$C$22*U225*Declarations!$D$21+Declarations!$C$22*V225*Declarations!$D$22+0</f>
        <v>0.771604938271605</v>
      </c>
      <c r="V226" s="20" t="n">
        <f aca="false">Declarations!$D$20*Q225*Declarations!$D$20+Declarations!$D$20*R225*Declarations!$D$21+Declarations!$D$20*S225*Declarations!$D$22+Declarations!$D$21*R225*Declarations!$D$20+Declarations!$D$21*T225*Declarations!$D$21+Declarations!$D$21*U225*Declarations!$D$22+Declarations!$D$22*S225*Declarations!$D$20+Declarations!$D$22*U225*Declarations!$D$21+Declarations!$D$22*V225*Declarations!$D$22+1</f>
        <v>2.77777777777778</v>
      </c>
    </row>
    <row r="227" customFormat="false" ht="15" hidden="false" customHeight="false" outlineLevel="0" collapsed="false">
      <c r="A227" s="18" t="n">
        <v>218</v>
      </c>
      <c r="B227" s="20" t="n">
        <f aca="false">$B$4*B226*$B$4+$B$4*C226*$B$5+$B$5*C226*$B$4+$B$5*D226*$B$5+$E$4</f>
        <v>13.571428570124</v>
      </c>
      <c r="C227" s="20" t="n">
        <f aca="false">$B$4*B226*$C$4+$B$4*C226*$C$5+$B$5*C226*$C$4+$B$5*D226*$C$5+$F$4</f>
        <v>-5.78571428515762</v>
      </c>
      <c r="D227" s="20" t="n">
        <f aca="false">$C$4*B226*$C$4+$C$4*C226*$C$5+$C$5*C226*$C$4+$C$5*D226*$C$5+$F$5</f>
        <v>11.9928571417195</v>
      </c>
      <c r="P227" s="18" t="n">
        <v>218</v>
      </c>
      <c r="Q227" s="20" t="n">
        <f aca="false">Declarations!$B$20*Q226*Declarations!$B$20+Declarations!$B$20*R226*Declarations!$B$21+Declarations!$B$20*S226*Declarations!$B$22+Declarations!$B$21*R226*Declarations!$B$20+Declarations!$B$21*T226*Declarations!$B$21+Declarations!$B$21*U226*Declarations!$B$22+Declarations!$B$22*S226*Declarations!$B$20+Declarations!$B$22*U226*Declarations!$B$21+Declarations!$B$22*V226*Declarations!$B$22+1</f>
        <v>10.297298720832</v>
      </c>
      <c r="R227" s="20" t="n">
        <f aca="false">Declarations!$B$20*Q226*Declarations!$C$20+Declarations!$B$20*R226*Declarations!$C$21+Declarations!$B$20*S226*Declarations!$C$22+Declarations!$B$21*R226*Declarations!$C$20+Declarations!$B$21*T226*Declarations!$C$21+Declarations!$B$21*U226*Declarations!$C$22+Declarations!$B$22*S226*Declarations!$C$20+Declarations!$B$22*U226*Declarations!$C$21+Declarations!$B$22*V226*Declarations!$C$22+0</f>
        <v>4.60691839333783</v>
      </c>
      <c r="S227" s="20" t="n">
        <f aca="false">Declarations!$B$20*Q226*Declarations!$D$20+Declarations!$B$20*R226*Declarations!$D$21+Declarations!$B$20*S226*Declarations!$D$22+Declarations!$B$21*R226*Declarations!$D$20+Declarations!$B$21*T226*Declarations!$D$21+Declarations!$B$21*U226*Declarations!$D$22+Declarations!$B$22*S226*Declarations!$D$20+Declarations!$B$22*U226*Declarations!$D$21+Declarations!$B$22*V226*Declarations!$D$22+0</f>
        <v>0.617283950617284</v>
      </c>
      <c r="T227" s="20" t="n">
        <f aca="false">Declarations!$C$20*Q226*Declarations!$C$20+Declarations!$C$20*R226*Declarations!$C$21+Declarations!$C$20*S226*Declarations!$C$22+Declarations!$C$21*R226*Declarations!$C$20+Declarations!$C$21*T226*Declarations!$C$21+Declarations!$C$21*U226*Declarations!$C$22+Declarations!$C$22*S226*Declarations!$C$20+Declarations!$C$22*U226*Declarations!$C$21+Declarations!$C$22*V226*Declarations!$C$22+1</f>
        <v>5.70253970078414</v>
      </c>
      <c r="U227" s="20" t="n">
        <f aca="false">Declarations!$C$20*Q226*Declarations!$D$20+Declarations!$C$20*R226*Declarations!$D$21+Declarations!$C$20*S226*Declarations!$D$22+Declarations!$C$21*R226*Declarations!$D$20+Declarations!$C$21*T226*Declarations!$D$21+Declarations!$C$21*U226*Declarations!$D$22+Declarations!$C$22*S226*Declarations!$D$20+Declarations!$C$22*U226*Declarations!$D$21+Declarations!$C$22*V226*Declarations!$D$22+0</f>
        <v>0.771604938271605</v>
      </c>
      <c r="V227" s="20" t="n">
        <f aca="false">Declarations!$D$20*Q226*Declarations!$D$20+Declarations!$D$20*R226*Declarations!$D$21+Declarations!$D$20*S226*Declarations!$D$22+Declarations!$D$21*R226*Declarations!$D$20+Declarations!$D$21*T226*Declarations!$D$21+Declarations!$D$21*U226*Declarations!$D$22+Declarations!$D$22*S226*Declarations!$D$20+Declarations!$D$22*U226*Declarations!$D$21+Declarations!$D$22*V226*Declarations!$D$22+1</f>
        <v>2.77777777777778</v>
      </c>
    </row>
    <row r="228" customFormat="false" ht="15" hidden="false" customHeight="false" outlineLevel="0" collapsed="false">
      <c r="A228" s="18" t="n">
        <v>219</v>
      </c>
      <c r="B228" s="20" t="n">
        <f aca="false">$B$4*B227*$B$4+$B$4*C227*$B$5+$B$5*C227*$B$4+$B$5*D227*$B$5+$E$4</f>
        <v>13.5714285702362</v>
      </c>
      <c r="C228" s="20" t="n">
        <f aca="false">$B$4*B227*$C$4+$B$4*C227*$C$5+$B$5*C227*$C$4+$B$5*D227*$C$5+$F$4</f>
        <v>-5.78571428515858</v>
      </c>
      <c r="D228" s="20" t="n">
        <f aca="false">$C$4*B227*$C$4+$C$4*C227*$C$5+$C$5*C227*$C$4+$C$5*D227*$C$5+$F$5</f>
        <v>11.9928571418004</v>
      </c>
      <c r="P228" s="18" t="n">
        <v>219</v>
      </c>
      <c r="Q228" s="20" t="n">
        <f aca="false">Declarations!$B$20*Q227*Declarations!$B$20+Declarations!$B$20*R227*Declarations!$B$21+Declarations!$B$20*S227*Declarations!$B$22+Declarations!$B$21*R227*Declarations!$B$20+Declarations!$B$21*T227*Declarations!$B$21+Declarations!$B$21*U227*Declarations!$B$22+Declarations!$B$22*S227*Declarations!$B$20+Declarations!$B$22*U227*Declarations!$B$21+Declarations!$B$22*V227*Declarations!$B$22+1</f>
        <v>10.2972987210653</v>
      </c>
      <c r="R228" s="20" t="n">
        <f aca="false">Declarations!$B$20*Q227*Declarations!$C$20+Declarations!$B$20*R227*Declarations!$C$21+Declarations!$B$20*S227*Declarations!$C$22+Declarations!$B$21*R227*Declarations!$C$20+Declarations!$B$21*T227*Declarations!$C$21+Declarations!$B$21*U227*Declarations!$C$22+Declarations!$B$22*S227*Declarations!$C$20+Declarations!$B$22*U227*Declarations!$C$21+Declarations!$B$22*V227*Declarations!$C$22+0</f>
        <v>4.60691839345447</v>
      </c>
      <c r="S228" s="20" t="n">
        <f aca="false">Declarations!$B$20*Q227*Declarations!$D$20+Declarations!$B$20*R227*Declarations!$D$21+Declarations!$B$20*S227*Declarations!$D$22+Declarations!$B$21*R227*Declarations!$D$20+Declarations!$B$21*T227*Declarations!$D$21+Declarations!$B$21*U227*Declarations!$D$22+Declarations!$B$22*S227*Declarations!$D$20+Declarations!$B$22*U227*Declarations!$D$21+Declarations!$B$22*V227*Declarations!$D$22+0</f>
        <v>0.617283950617284</v>
      </c>
      <c r="T228" s="20" t="n">
        <f aca="false">Declarations!$C$20*Q227*Declarations!$C$20+Declarations!$C$20*R227*Declarations!$C$21+Declarations!$C$20*S227*Declarations!$C$22+Declarations!$C$21*R227*Declarations!$C$20+Declarations!$C$21*T227*Declarations!$C$21+Declarations!$C$21*U227*Declarations!$C$22+Declarations!$C$22*S227*Declarations!$C$20+Declarations!$C$22*U227*Declarations!$C$21+Declarations!$C$22*V227*Declarations!$C$22+1</f>
        <v>5.70253970084246</v>
      </c>
      <c r="U228" s="20" t="n">
        <f aca="false">Declarations!$C$20*Q227*Declarations!$D$20+Declarations!$C$20*R227*Declarations!$D$21+Declarations!$C$20*S227*Declarations!$D$22+Declarations!$C$21*R227*Declarations!$D$20+Declarations!$C$21*T227*Declarations!$D$21+Declarations!$C$21*U227*Declarations!$D$22+Declarations!$C$22*S227*Declarations!$D$20+Declarations!$C$22*U227*Declarations!$D$21+Declarations!$C$22*V227*Declarations!$D$22+0</f>
        <v>0.771604938271605</v>
      </c>
      <c r="V228" s="20" t="n">
        <f aca="false">Declarations!$D$20*Q227*Declarations!$D$20+Declarations!$D$20*R227*Declarations!$D$21+Declarations!$D$20*S227*Declarations!$D$22+Declarations!$D$21*R227*Declarations!$D$20+Declarations!$D$21*T227*Declarations!$D$21+Declarations!$D$21*U227*Declarations!$D$22+Declarations!$D$22*S227*Declarations!$D$20+Declarations!$D$22*U227*Declarations!$D$21+Declarations!$D$22*V227*Declarations!$D$22+1</f>
        <v>2.77777777777778</v>
      </c>
    </row>
    <row r="229" customFormat="false" ht="15" hidden="false" customHeight="false" outlineLevel="0" collapsed="false">
      <c r="A229" s="18" t="n">
        <v>220</v>
      </c>
      <c r="B229" s="20" t="n">
        <f aca="false">$B$4*B228*$B$4+$B$4*C228*$B$5+$B$5*C228*$B$4+$B$5*D228*$B$5+$E$4</f>
        <v>13.5714285704063</v>
      </c>
      <c r="C229" s="20" t="n">
        <f aca="false">$B$4*B228*$C$4+$B$4*C228*$C$5+$B$5*C228*$C$4+$B$5*D228*$C$5+$F$4</f>
        <v>-5.78571428524861</v>
      </c>
      <c r="D229" s="20" t="n">
        <f aca="false">$C$4*B228*$C$4+$C$4*C228*$C$5+$C$5*C228*$C$4+$C$5*D228*$C$5+$F$5</f>
        <v>11.9928571418913</v>
      </c>
      <c r="P229" s="18" t="n">
        <v>220</v>
      </c>
      <c r="Q229" s="20" t="n">
        <f aca="false">Declarations!$B$20*Q228*Declarations!$B$20+Declarations!$B$20*R228*Declarations!$B$21+Declarations!$B$20*S228*Declarations!$B$22+Declarations!$B$21*R228*Declarations!$B$20+Declarations!$B$21*T228*Declarations!$B$21+Declarations!$B$21*U228*Declarations!$B$22+Declarations!$B$22*S228*Declarations!$B$20+Declarations!$B$22*U228*Declarations!$B$21+Declarations!$B$22*V228*Declarations!$B$22+1</f>
        <v>10.2972987212759</v>
      </c>
      <c r="R229" s="20" t="n">
        <f aca="false">Declarations!$B$20*Q228*Declarations!$C$20+Declarations!$B$20*R228*Declarations!$C$21+Declarations!$B$20*S228*Declarations!$C$22+Declarations!$B$21*R228*Declarations!$C$20+Declarations!$B$21*T228*Declarations!$C$21+Declarations!$B$21*U228*Declarations!$C$22+Declarations!$B$22*S228*Declarations!$C$20+Declarations!$B$22*U228*Declarations!$C$21+Declarations!$B$22*V228*Declarations!$C$22+0</f>
        <v>4.60691839355974</v>
      </c>
      <c r="S229" s="20" t="n">
        <f aca="false">Declarations!$B$20*Q228*Declarations!$D$20+Declarations!$B$20*R228*Declarations!$D$21+Declarations!$B$20*S228*Declarations!$D$22+Declarations!$B$21*R228*Declarations!$D$20+Declarations!$B$21*T228*Declarations!$D$21+Declarations!$B$21*U228*Declarations!$D$22+Declarations!$B$22*S228*Declarations!$D$20+Declarations!$B$22*U228*Declarations!$D$21+Declarations!$B$22*V228*Declarations!$D$22+0</f>
        <v>0.617283950617284</v>
      </c>
      <c r="T229" s="20" t="n">
        <f aca="false">Declarations!$C$20*Q228*Declarations!$C$20+Declarations!$C$20*R228*Declarations!$C$21+Declarations!$C$20*S228*Declarations!$C$22+Declarations!$C$21*R228*Declarations!$C$20+Declarations!$C$21*T228*Declarations!$C$21+Declarations!$C$21*U228*Declarations!$C$22+Declarations!$C$22*S228*Declarations!$C$20+Declarations!$C$22*U228*Declarations!$C$21+Declarations!$C$22*V228*Declarations!$C$22+1</f>
        <v>5.70253970089509</v>
      </c>
      <c r="U229" s="20" t="n">
        <f aca="false">Declarations!$C$20*Q228*Declarations!$D$20+Declarations!$C$20*R228*Declarations!$D$21+Declarations!$C$20*S228*Declarations!$D$22+Declarations!$C$21*R228*Declarations!$D$20+Declarations!$C$21*T228*Declarations!$D$21+Declarations!$C$21*U228*Declarations!$D$22+Declarations!$C$22*S228*Declarations!$D$20+Declarations!$C$22*U228*Declarations!$D$21+Declarations!$C$22*V228*Declarations!$D$22+0</f>
        <v>0.771604938271605</v>
      </c>
      <c r="V229" s="20" t="n">
        <f aca="false">Declarations!$D$20*Q228*Declarations!$D$20+Declarations!$D$20*R228*Declarations!$D$21+Declarations!$D$20*S228*Declarations!$D$22+Declarations!$D$21*R228*Declarations!$D$20+Declarations!$D$21*T228*Declarations!$D$21+Declarations!$D$21*U228*Declarations!$D$22+Declarations!$D$22*S228*Declarations!$D$20+Declarations!$D$22*U228*Declarations!$D$21+Declarations!$D$22*V228*Declarations!$D$22+1</f>
        <v>2.77777777777778</v>
      </c>
    </row>
    <row r="230" customFormat="false" ht="15" hidden="false" customHeight="false" outlineLevel="0" collapsed="false">
      <c r="A230" s="18" t="n">
        <v>221</v>
      </c>
      <c r="B230" s="20" t="n">
        <f aca="false">$B$4*B229*$B$4+$B$4*C229*$B$5+$B$5*C229*$B$4+$B$5*D229*$B$5+$E$4</f>
        <v>13.5714285704729</v>
      </c>
      <c r="C230" s="20" t="n">
        <f aca="false">$B$4*B229*$C$4+$B$4*C229*$C$5+$B$5*C229*$C$4+$B$5*D229*$C$5+$F$4</f>
        <v>-5.78571428530537</v>
      </c>
      <c r="D230" s="20" t="n">
        <f aca="false">$C$4*B229*$C$4+$C$4*C229*$C$5+$C$5*C229*$C$4+$C$5*D229*$C$5+$F$5</f>
        <v>11.9928571420291</v>
      </c>
      <c r="P230" s="18" t="n">
        <v>221</v>
      </c>
      <c r="Q230" s="20" t="n">
        <f aca="false">Declarations!$B$20*Q229*Declarations!$B$20+Declarations!$B$20*R229*Declarations!$B$21+Declarations!$B$20*S229*Declarations!$B$22+Declarations!$B$21*R229*Declarations!$B$20+Declarations!$B$21*T229*Declarations!$B$21+Declarations!$B$21*U229*Declarations!$B$22+Declarations!$B$22*S229*Declarations!$B$20+Declarations!$B$22*U229*Declarations!$B$21+Declarations!$B$22*V229*Declarations!$B$22+1</f>
        <v>10.2972987214659</v>
      </c>
      <c r="R230" s="20" t="n">
        <f aca="false">Declarations!$B$20*Q229*Declarations!$C$20+Declarations!$B$20*R229*Declarations!$C$21+Declarations!$B$20*S229*Declarations!$C$22+Declarations!$B$21*R229*Declarations!$C$20+Declarations!$B$21*T229*Declarations!$C$21+Declarations!$B$21*U229*Declarations!$C$22+Declarations!$B$22*S229*Declarations!$C$20+Declarations!$B$22*U229*Declarations!$C$21+Declarations!$B$22*V229*Declarations!$C$22+0</f>
        <v>4.60691839365475</v>
      </c>
      <c r="S230" s="20" t="n">
        <f aca="false">Declarations!$B$20*Q229*Declarations!$D$20+Declarations!$B$20*R229*Declarations!$D$21+Declarations!$B$20*S229*Declarations!$D$22+Declarations!$B$21*R229*Declarations!$D$20+Declarations!$B$21*T229*Declarations!$D$21+Declarations!$B$21*U229*Declarations!$D$22+Declarations!$B$22*S229*Declarations!$D$20+Declarations!$B$22*U229*Declarations!$D$21+Declarations!$B$22*V229*Declarations!$D$22+0</f>
        <v>0.617283950617284</v>
      </c>
      <c r="T230" s="20" t="n">
        <f aca="false">Declarations!$C$20*Q229*Declarations!$C$20+Declarations!$C$20*R229*Declarations!$C$21+Declarations!$C$20*S229*Declarations!$C$22+Declarations!$C$21*R229*Declarations!$C$20+Declarations!$C$21*T229*Declarations!$C$21+Declarations!$C$21*U229*Declarations!$C$22+Declarations!$C$22*S229*Declarations!$C$20+Declarations!$C$22*U229*Declarations!$C$21+Declarations!$C$22*V229*Declarations!$C$22+1</f>
        <v>5.70253970094259</v>
      </c>
      <c r="U230" s="20" t="n">
        <f aca="false">Declarations!$C$20*Q229*Declarations!$D$20+Declarations!$C$20*R229*Declarations!$D$21+Declarations!$C$20*S229*Declarations!$D$22+Declarations!$C$21*R229*Declarations!$D$20+Declarations!$C$21*T229*Declarations!$D$21+Declarations!$C$21*U229*Declarations!$D$22+Declarations!$C$22*S229*Declarations!$D$20+Declarations!$C$22*U229*Declarations!$D$21+Declarations!$C$22*V229*Declarations!$D$22+0</f>
        <v>0.771604938271605</v>
      </c>
      <c r="V230" s="20" t="n">
        <f aca="false">Declarations!$D$20*Q229*Declarations!$D$20+Declarations!$D$20*R229*Declarations!$D$21+Declarations!$D$20*S229*Declarations!$D$22+Declarations!$D$21*R229*Declarations!$D$20+Declarations!$D$21*T229*Declarations!$D$21+Declarations!$D$21*U229*Declarations!$D$22+Declarations!$D$22*S229*Declarations!$D$20+Declarations!$D$22*U229*Declarations!$D$21+Declarations!$D$22*V229*Declarations!$D$22+1</f>
        <v>2.77777777777778</v>
      </c>
    </row>
    <row r="231" customFormat="false" ht="15" hidden="false" customHeight="false" outlineLevel="0" collapsed="false">
      <c r="A231" s="18" t="n">
        <v>222</v>
      </c>
      <c r="B231" s="20" t="n">
        <f aca="false">$B$4*B230*$B$4+$B$4*C230*$B$5+$B$5*C230*$B$4+$B$5*D230*$B$5+$E$4</f>
        <v>13.5714285705625</v>
      </c>
      <c r="C231" s="20" t="n">
        <f aca="false">$B$4*B230*$C$4+$B$4*C230*$C$5+$B$5*C230*$C$4+$B$5*D230*$C$5+$F$4</f>
        <v>-5.78571428530825</v>
      </c>
      <c r="D231" s="20" t="n">
        <f aca="false">$C$4*B230*$C$4+$C$4*C230*$C$5+$C$5*C230*$C$4+$C$5*D230*$C$5+$F$5</f>
        <v>11.9928571420831</v>
      </c>
      <c r="P231" s="18" t="n">
        <v>222</v>
      </c>
      <c r="Q231" s="20" t="n">
        <f aca="false">Declarations!$B$20*Q230*Declarations!$B$20+Declarations!$B$20*R230*Declarations!$B$21+Declarations!$B$20*S230*Declarations!$B$22+Declarations!$B$21*R230*Declarations!$B$20+Declarations!$B$21*T230*Declarations!$B$21+Declarations!$B$21*U230*Declarations!$B$22+Declarations!$B$22*S230*Declarations!$B$20+Declarations!$B$22*U230*Declarations!$B$21+Declarations!$B$22*V230*Declarations!$B$22+1</f>
        <v>10.2972987216374</v>
      </c>
      <c r="R231" s="20" t="n">
        <f aca="false">Declarations!$B$20*Q230*Declarations!$C$20+Declarations!$B$20*R230*Declarations!$C$21+Declarations!$B$20*S230*Declarations!$C$22+Declarations!$B$21*R230*Declarations!$C$20+Declarations!$B$21*T230*Declarations!$C$21+Declarations!$B$21*U230*Declarations!$C$22+Declarations!$B$22*S230*Declarations!$C$20+Declarations!$B$22*U230*Declarations!$C$21+Declarations!$B$22*V230*Declarations!$C$22+0</f>
        <v>4.60691839374049</v>
      </c>
      <c r="S231" s="20" t="n">
        <f aca="false">Declarations!$B$20*Q230*Declarations!$D$20+Declarations!$B$20*R230*Declarations!$D$21+Declarations!$B$20*S230*Declarations!$D$22+Declarations!$B$21*R230*Declarations!$D$20+Declarations!$B$21*T230*Declarations!$D$21+Declarations!$B$21*U230*Declarations!$D$22+Declarations!$B$22*S230*Declarations!$D$20+Declarations!$B$22*U230*Declarations!$D$21+Declarations!$B$22*V230*Declarations!$D$22+0</f>
        <v>0.617283950617284</v>
      </c>
      <c r="T231" s="20" t="n">
        <f aca="false">Declarations!$C$20*Q230*Declarations!$C$20+Declarations!$C$20*R230*Declarations!$C$21+Declarations!$C$20*S230*Declarations!$C$22+Declarations!$C$21*R230*Declarations!$C$20+Declarations!$C$21*T230*Declarations!$C$21+Declarations!$C$21*U230*Declarations!$C$22+Declarations!$C$22*S230*Declarations!$C$20+Declarations!$C$22*U230*Declarations!$C$21+Declarations!$C$22*V230*Declarations!$C$22+1</f>
        <v>5.70253970098547</v>
      </c>
      <c r="U231" s="20" t="n">
        <f aca="false">Declarations!$C$20*Q230*Declarations!$D$20+Declarations!$C$20*R230*Declarations!$D$21+Declarations!$C$20*S230*Declarations!$D$22+Declarations!$C$21*R230*Declarations!$D$20+Declarations!$C$21*T230*Declarations!$D$21+Declarations!$C$21*U230*Declarations!$D$22+Declarations!$C$22*S230*Declarations!$D$20+Declarations!$C$22*U230*Declarations!$D$21+Declarations!$C$22*V230*Declarations!$D$22+0</f>
        <v>0.771604938271605</v>
      </c>
      <c r="V231" s="20" t="n">
        <f aca="false">Declarations!$D$20*Q230*Declarations!$D$20+Declarations!$D$20*R230*Declarations!$D$21+Declarations!$D$20*S230*Declarations!$D$22+Declarations!$D$21*R230*Declarations!$D$20+Declarations!$D$21*T230*Declarations!$D$21+Declarations!$D$21*U230*Declarations!$D$22+Declarations!$D$22*S230*Declarations!$D$20+Declarations!$D$22*U230*Declarations!$D$21+Declarations!$D$22*V230*Declarations!$D$22+1</f>
        <v>2.77777777777778</v>
      </c>
    </row>
    <row r="232" customFormat="false" ht="15" hidden="false" customHeight="false" outlineLevel="0" collapsed="false">
      <c r="A232" s="18" t="n">
        <v>223</v>
      </c>
      <c r="B232" s="20" t="n">
        <f aca="false">$B$4*B231*$B$4+$B$4*C231*$B$5+$B$5*C231*$B$4+$B$5*D231*$B$5+$E$4</f>
        <v>13.5714285706839</v>
      </c>
      <c r="C232" s="20" t="n">
        <f aca="false">$B$4*B231*$C$4+$B$4*C231*$C$5+$B$5*C231*$C$4+$B$5*D231*$C$5+$F$4</f>
        <v>-5.78571428537822</v>
      </c>
      <c r="D232" s="20" t="n">
        <f aca="false">$C$4*B231*$C$4+$C$4*C231*$C$5+$C$5*C231*$C$4+$C$5*D231*$C$5+$F$5</f>
        <v>11.9928571421556</v>
      </c>
      <c r="P232" s="18" t="n">
        <v>223</v>
      </c>
      <c r="Q232" s="20" t="n">
        <f aca="false">Declarations!$B$20*Q231*Declarations!$B$20+Declarations!$B$20*R231*Declarations!$B$21+Declarations!$B$20*S231*Declarations!$B$22+Declarations!$B$21*R231*Declarations!$B$20+Declarations!$B$21*T231*Declarations!$B$21+Declarations!$B$21*U231*Declarations!$B$22+Declarations!$B$22*S231*Declarations!$B$20+Declarations!$B$22*U231*Declarations!$B$21+Declarations!$B$22*V231*Declarations!$B$22+1</f>
        <v>10.2972987217921</v>
      </c>
      <c r="R232" s="20" t="n">
        <f aca="false">Declarations!$B$20*Q231*Declarations!$C$20+Declarations!$B$20*R231*Declarations!$C$21+Declarations!$B$20*S231*Declarations!$C$22+Declarations!$B$21*R231*Declarations!$C$20+Declarations!$B$21*T231*Declarations!$C$21+Declarations!$B$21*U231*Declarations!$C$22+Declarations!$B$22*S231*Declarations!$C$20+Declarations!$B$22*U231*Declarations!$C$21+Declarations!$B$22*V231*Declarations!$C$22+0</f>
        <v>4.60691839381787</v>
      </c>
      <c r="S232" s="20" t="n">
        <f aca="false">Declarations!$B$20*Q231*Declarations!$D$20+Declarations!$B$20*R231*Declarations!$D$21+Declarations!$B$20*S231*Declarations!$D$22+Declarations!$B$21*R231*Declarations!$D$20+Declarations!$B$21*T231*Declarations!$D$21+Declarations!$B$21*U231*Declarations!$D$22+Declarations!$B$22*S231*Declarations!$D$20+Declarations!$B$22*U231*Declarations!$D$21+Declarations!$B$22*V231*Declarations!$D$22+0</f>
        <v>0.617283950617284</v>
      </c>
      <c r="T232" s="20" t="n">
        <f aca="false">Declarations!$C$20*Q231*Declarations!$C$20+Declarations!$C$20*R231*Declarations!$C$21+Declarations!$C$20*S231*Declarations!$C$22+Declarations!$C$21*R231*Declarations!$C$20+Declarations!$C$21*T231*Declarations!$C$21+Declarations!$C$21*U231*Declarations!$C$22+Declarations!$C$22*S231*Declarations!$C$20+Declarations!$C$22*U231*Declarations!$C$21+Declarations!$C$22*V231*Declarations!$C$22+1</f>
        <v>5.70253970102416</v>
      </c>
      <c r="U232" s="20" t="n">
        <f aca="false">Declarations!$C$20*Q231*Declarations!$D$20+Declarations!$C$20*R231*Declarations!$D$21+Declarations!$C$20*S231*Declarations!$D$22+Declarations!$C$21*R231*Declarations!$D$20+Declarations!$C$21*T231*Declarations!$D$21+Declarations!$C$21*U231*Declarations!$D$22+Declarations!$C$22*S231*Declarations!$D$20+Declarations!$C$22*U231*Declarations!$D$21+Declarations!$C$22*V231*Declarations!$D$22+0</f>
        <v>0.771604938271605</v>
      </c>
      <c r="V232" s="20" t="n">
        <f aca="false">Declarations!$D$20*Q231*Declarations!$D$20+Declarations!$D$20*R231*Declarations!$D$21+Declarations!$D$20*S231*Declarations!$D$22+Declarations!$D$21*R231*Declarations!$D$20+Declarations!$D$21*T231*Declarations!$D$21+Declarations!$D$21*U231*Declarations!$D$22+Declarations!$D$22*S231*Declarations!$D$20+Declarations!$D$22*U231*Declarations!$D$21+Declarations!$D$22*V231*Declarations!$D$22+1</f>
        <v>2.77777777777778</v>
      </c>
    </row>
    <row r="233" customFormat="false" ht="15" hidden="false" customHeight="false" outlineLevel="0" collapsed="false">
      <c r="A233" s="18" t="n">
        <v>224</v>
      </c>
      <c r="B233" s="20" t="n">
        <f aca="false">$B$4*B232*$B$4+$B$4*C232*$B$5+$B$5*C232*$B$4+$B$5*D232*$B$5+$E$4</f>
        <v>13.5714285707288</v>
      </c>
      <c r="C233" s="20" t="n">
        <f aca="false">$B$4*B232*$C$4+$B$4*C232*$C$5+$B$5*C232*$C$4+$B$5*D232*$C$5+$F$4</f>
        <v>-5.78571428541354</v>
      </c>
      <c r="D233" s="20" t="n">
        <f aca="false">$C$4*B232*$C$4+$C$4*C232*$C$5+$C$5*C232*$C$4+$C$5*D232*$C$5+$F$5</f>
        <v>11.9928571422539</v>
      </c>
      <c r="P233" s="18" t="n">
        <v>224</v>
      </c>
      <c r="Q233" s="20" t="n">
        <f aca="false">Declarations!$B$20*Q232*Declarations!$B$20+Declarations!$B$20*R232*Declarations!$B$21+Declarations!$B$20*S232*Declarations!$B$22+Declarations!$B$21*R232*Declarations!$B$20+Declarations!$B$21*T232*Declarations!$B$21+Declarations!$B$21*U232*Declarations!$B$22+Declarations!$B$22*S232*Declarations!$B$20+Declarations!$B$22*U232*Declarations!$B$21+Declarations!$B$22*V232*Declarations!$B$22+1</f>
        <v>10.2972987219318</v>
      </c>
      <c r="R233" s="20" t="n">
        <f aca="false">Declarations!$B$20*Q232*Declarations!$C$20+Declarations!$B$20*R232*Declarations!$C$21+Declarations!$B$20*S232*Declarations!$C$22+Declarations!$B$21*R232*Declarations!$C$20+Declarations!$B$21*T232*Declarations!$C$21+Declarations!$B$21*U232*Declarations!$C$22+Declarations!$B$22*S232*Declarations!$C$20+Declarations!$B$22*U232*Declarations!$C$21+Declarations!$B$22*V232*Declarations!$C$22+0</f>
        <v>4.60691839388771</v>
      </c>
      <c r="S233" s="20" t="n">
        <f aca="false">Declarations!$B$20*Q232*Declarations!$D$20+Declarations!$B$20*R232*Declarations!$D$21+Declarations!$B$20*S232*Declarations!$D$22+Declarations!$B$21*R232*Declarations!$D$20+Declarations!$B$21*T232*Declarations!$D$21+Declarations!$B$21*U232*Declarations!$D$22+Declarations!$B$22*S232*Declarations!$D$20+Declarations!$B$22*U232*Declarations!$D$21+Declarations!$B$22*V232*Declarations!$D$22+0</f>
        <v>0.617283950617284</v>
      </c>
      <c r="T233" s="20" t="n">
        <f aca="false">Declarations!$C$20*Q232*Declarations!$C$20+Declarations!$C$20*R232*Declarations!$C$21+Declarations!$C$20*S232*Declarations!$C$22+Declarations!$C$21*R232*Declarations!$C$20+Declarations!$C$21*T232*Declarations!$C$21+Declarations!$C$21*U232*Declarations!$C$22+Declarations!$C$22*S232*Declarations!$C$20+Declarations!$C$22*U232*Declarations!$C$21+Declarations!$C$22*V232*Declarations!$C$22+1</f>
        <v>5.70253970105908</v>
      </c>
      <c r="U233" s="20" t="n">
        <f aca="false">Declarations!$C$20*Q232*Declarations!$D$20+Declarations!$C$20*R232*Declarations!$D$21+Declarations!$C$20*S232*Declarations!$D$22+Declarations!$C$21*R232*Declarations!$D$20+Declarations!$C$21*T232*Declarations!$D$21+Declarations!$C$21*U232*Declarations!$D$22+Declarations!$C$22*S232*Declarations!$D$20+Declarations!$C$22*U232*Declarations!$D$21+Declarations!$C$22*V232*Declarations!$D$22+0</f>
        <v>0.771604938271605</v>
      </c>
      <c r="V233" s="20" t="n">
        <f aca="false">Declarations!$D$20*Q232*Declarations!$D$20+Declarations!$D$20*R232*Declarations!$D$21+Declarations!$D$20*S232*Declarations!$D$22+Declarations!$D$21*R232*Declarations!$D$20+Declarations!$D$21*T232*Declarations!$D$21+Declarations!$D$21*U232*Declarations!$D$22+Declarations!$D$22*S232*Declarations!$D$20+Declarations!$D$22*U232*Declarations!$D$21+Declarations!$D$22*V232*Declarations!$D$22+1</f>
        <v>2.77777777777778</v>
      </c>
    </row>
    <row r="234" customFormat="false" ht="15" hidden="false" customHeight="false" outlineLevel="0" collapsed="false">
      <c r="A234" s="18" t="n">
        <v>225</v>
      </c>
      <c r="B234" s="20" t="n">
        <f aca="false">$B$4*B233*$B$4+$B$4*C233*$B$5+$B$5*C233*$B$4+$B$5*D233*$B$5+$E$4</f>
        <v>13.5714285707999</v>
      </c>
      <c r="C234" s="20" t="n">
        <f aca="false">$B$4*B233*$C$4+$B$4*C233*$C$5+$B$5*C233*$C$4+$B$5*D233*$C$5+$F$4</f>
        <v>-5.78571428541813</v>
      </c>
      <c r="D234" s="20" t="n">
        <f aca="false">$C$4*B233*$C$4+$C$4*C233*$C$5+$C$5*C233*$C$4+$C$5*D233*$C$5+$F$5</f>
        <v>11.9928571422903</v>
      </c>
      <c r="P234" s="18" t="n">
        <v>225</v>
      </c>
      <c r="Q234" s="20" t="n">
        <f aca="false">Declarations!$B$20*Q233*Declarations!$B$20+Declarations!$B$20*R233*Declarations!$B$21+Declarations!$B$20*S233*Declarations!$B$22+Declarations!$B$21*R233*Declarations!$B$20+Declarations!$B$21*T233*Declarations!$B$21+Declarations!$B$21*U233*Declarations!$B$22+Declarations!$B$22*S233*Declarations!$B$20+Declarations!$B$22*U233*Declarations!$B$21+Declarations!$B$22*V233*Declarations!$B$22+1</f>
        <v>10.2972987220578</v>
      </c>
      <c r="R234" s="20" t="n">
        <f aca="false">Declarations!$B$20*Q233*Declarations!$C$20+Declarations!$B$20*R233*Declarations!$C$21+Declarations!$B$20*S233*Declarations!$C$22+Declarations!$B$21*R233*Declarations!$C$20+Declarations!$B$21*T233*Declarations!$C$21+Declarations!$B$21*U233*Declarations!$C$22+Declarations!$B$22*S233*Declarations!$C$20+Declarations!$B$22*U233*Declarations!$C$21+Declarations!$B$22*V233*Declarations!$C$22+0</f>
        <v>4.60691839395073</v>
      </c>
      <c r="S234" s="20" t="n">
        <f aca="false">Declarations!$B$20*Q233*Declarations!$D$20+Declarations!$B$20*R233*Declarations!$D$21+Declarations!$B$20*S233*Declarations!$D$22+Declarations!$B$21*R233*Declarations!$D$20+Declarations!$B$21*T233*Declarations!$D$21+Declarations!$B$21*U233*Declarations!$D$22+Declarations!$B$22*S233*Declarations!$D$20+Declarations!$B$22*U233*Declarations!$D$21+Declarations!$B$22*V233*Declarations!$D$22+0</f>
        <v>0.617283950617284</v>
      </c>
      <c r="T234" s="20" t="n">
        <f aca="false">Declarations!$C$20*Q233*Declarations!$C$20+Declarations!$C$20*R233*Declarations!$C$21+Declarations!$C$20*S233*Declarations!$C$22+Declarations!$C$21*R233*Declarations!$C$20+Declarations!$C$21*T233*Declarations!$C$21+Declarations!$C$21*U233*Declarations!$C$22+Declarations!$C$22*S233*Declarations!$C$20+Declarations!$C$22*U233*Declarations!$C$21+Declarations!$C$22*V233*Declarations!$C$22+1</f>
        <v>5.70253970109059</v>
      </c>
      <c r="U234" s="20" t="n">
        <f aca="false">Declarations!$C$20*Q233*Declarations!$D$20+Declarations!$C$20*R233*Declarations!$D$21+Declarations!$C$20*S233*Declarations!$D$22+Declarations!$C$21*R233*Declarations!$D$20+Declarations!$C$21*T233*Declarations!$D$21+Declarations!$C$21*U233*Declarations!$D$22+Declarations!$C$22*S233*Declarations!$D$20+Declarations!$C$22*U233*Declarations!$D$21+Declarations!$C$22*V233*Declarations!$D$22+0</f>
        <v>0.771604938271605</v>
      </c>
      <c r="V234" s="20" t="n">
        <f aca="false">Declarations!$D$20*Q233*Declarations!$D$20+Declarations!$D$20*R233*Declarations!$D$21+Declarations!$D$20*S233*Declarations!$D$22+Declarations!$D$21*R233*Declarations!$D$20+Declarations!$D$21*T233*Declarations!$D$21+Declarations!$D$21*U233*Declarations!$D$22+Declarations!$D$22*S233*Declarations!$D$20+Declarations!$D$22*U233*Declarations!$D$21+Declarations!$D$22*V233*Declarations!$D$22+1</f>
        <v>2.77777777777778</v>
      </c>
    </row>
    <row r="235" customFormat="false" ht="15" hidden="false" customHeight="false" outlineLevel="0" collapsed="false">
      <c r="A235" s="18" t="n">
        <v>226</v>
      </c>
      <c r="B235" s="20" t="n">
        <f aca="false">$B$4*B234*$B$4+$B$4*C234*$B$5+$B$5*C234*$B$4+$B$5*D234*$B$5+$E$4</f>
        <v>13.5714285708856</v>
      </c>
      <c r="C235" s="20" t="n">
        <f aca="false">$B$4*B234*$C$4+$B$4*C234*$C$5+$B$5*C234*$C$4+$B$5*D234*$C$5+$F$4</f>
        <v>-5.78571428547159</v>
      </c>
      <c r="D235" s="20" t="n">
        <f aca="false">$C$4*B234*$C$4+$C$4*C234*$C$5+$C$5*C234*$C$4+$C$5*D234*$C$5+$F$5</f>
        <v>11.9928571423479</v>
      </c>
      <c r="P235" s="18" t="n">
        <v>226</v>
      </c>
      <c r="Q235" s="20" t="n">
        <f aca="false">Declarations!$B$20*Q234*Declarations!$B$20+Declarations!$B$20*R234*Declarations!$B$21+Declarations!$B$20*S234*Declarations!$B$22+Declarations!$B$21*R234*Declarations!$B$20+Declarations!$B$21*T234*Declarations!$B$21+Declarations!$B$21*U234*Declarations!$B$22+Declarations!$B$22*S234*Declarations!$B$20+Declarations!$B$22*U234*Declarations!$B$21+Declarations!$B$22*V234*Declarations!$B$22+1</f>
        <v>10.2972987221716</v>
      </c>
      <c r="R235" s="20" t="n">
        <f aca="false">Declarations!$B$20*Q234*Declarations!$C$20+Declarations!$B$20*R234*Declarations!$C$21+Declarations!$B$20*S234*Declarations!$C$22+Declarations!$B$21*R234*Declarations!$C$20+Declarations!$B$21*T234*Declarations!$C$21+Declarations!$B$21*U234*Declarations!$C$22+Declarations!$B$22*S234*Declarations!$C$20+Declarations!$B$22*U234*Declarations!$C$21+Declarations!$B$22*V234*Declarations!$C$22+0</f>
        <v>4.60691839400762</v>
      </c>
      <c r="S235" s="20" t="n">
        <f aca="false">Declarations!$B$20*Q234*Declarations!$D$20+Declarations!$B$20*R234*Declarations!$D$21+Declarations!$B$20*S234*Declarations!$D$22+Declarations!$B$21*R234*Declarations!$D$20+Declarations!$B$21*T234*Declarations!$D$21+Declarations!$B$21*U234*Declarations!$D$22+Declarations!$B$22*S234*Declarations!$D$20+Declarations!$B$22*U234*Declarations!$D$21+Declarations!$B$22*V234*Declarations!$D$22+0</f>
        <v>0.617283950617284</v>
      </c>
      <c r="T235" s="20" t="n">
        <f aca="false">Declarations!$C$20*Q234*Declarations!$C$20+Declarations!$C$20*R234*Declarations!$C$21+Declarations!$C$20*S234*Declarations!$C$22+Declarations!$C$21*R234*Declarations!$C$20+Declarations!$C$21*T234*Declarations!$C$21+Declarations!$C$21*U234*Declarations!$C$22+Declarations!$C$22*S234*Declarations!$C$20+Declarations!$C$22*U234*Declarations!$C$21+Declarations!$C$22*V234*Declarations!$C$22+1</f>
        <v>5.70253970111903</v>
      </c>
      <c r="U235" s="20" t="n">
        <f aca="false">Declarations!$C$20*Q234*Declarations!$D$20+Declarations!$C$20*R234*Declarations!$D$21+Declarations!$C$20*S234*Declarations!$D$22+Declarations!$C$21*R234*Declarations!$D$20+Declarations!$C$21*T234*Declarations!$D$21+Declarations!$C$21*U234*Declarations!$D$22+Declarations!$C$22*S234*Declarations!$D$20+Declarations!$C$22*U234*Declarations!$D$21+Declarations!$C$22*V234*Declarations!$D$22+0</f>
        <v>0.771604938271605</v>
      </c>
      <c r="V235" s="20" t="n">
        <f aca="false">Declarations!$D$20*Q234*Declarations!$D$20+Declarations!$D$20*R234*Declarations!$D$21+Declarations!$D$20*S234*Declarations!$D$22+Declarations!$D$21*R234*Declarations!$D$20+Declarations!$D$21*T234*Declarations!$D$21+Declarations!$D$21*U234*Declarations!$D$22+Declarations!$D$22*S234*Declarations!$D$20+Declarations!$D$22*U234*Declarations!$D$21+Declarations!$D$22*V234*Declarations!$D$22+1</f>
        <v>2.77777777777778</v>
      </c>
    </row>
    <row r="236" customFormat="false" ht="15" hidden="false" customHeight="false" outlineLevel="0" collapsed="false">
      <c r="A236" s="18" t="n">
        <v>227</v>
      </c>
      <c r="B236" s="20" t="n">
        <f aca="false">$B$4*B235*$B$4+$B$4*C235*$B$5+$B$5*C235*$B$4+$B$5*D235*$B$5+$E$4</f>
        <v>13.5714285709164</v>
      </c>
      <c r="C236" s="20" t="n">
        <f aca="false">$B$4*B235*$C$4+$B$4*C235*$C$5+$B$5*C235*$C$4+$B$5*D235*$C$5+$F$4</f>
        <v>-5.7857142854929</v>
      </c>
      <c r="D236" s="20" t="n">
        <f aca="false">$C$4*B235*$C$4+$C$4*C235*$C$5+$C$5*C235*$C$4+$C$5*D235*$C$5+$F$5</f>
        <v>11.9928571424173</v>
      </c>
      <c r="P236" s="18" t="n">
        <v>227</v>
      </c>
      <c r="Q236" s="20" t="n">
        <f aca="false">Declarations!$B$20*Q235*Declarations!$B$20+Declarations!$B$20*R235*Declarations!$B$21+Declarations!$B$20*S235*Declarations!$B$22+Declarations!$B$21*R235*Declarations!$B$20+Declarations!$B$21*T235*Declarations!$B$21+Declarations!$B$21*U235*Declarations!$B$22+Declarations!$B$22*S235*Declarations!$B$20+Declarations!$B$22*U235*Declarations!$B$21+Declarations!$B$22*V235*Declarations!$B$22+1</f>
        <v>10.2972987222743</v>
      </c>
      <c r="R236" s="20" t="n">
        <f aca="false">Declarations!$B$20*Q235*Declarations!$C$20+Declarations!$B$20*R235*Declarations!$C$21+Declarations!$B$20*S235*Declarations!$C$22+Declarations!$B$21*R235*Declarations!$C$20+Declarations!$B$21*T235*Declarations!$C$21+Declarations!$B$21*U235*Declarations!$C$22+Declarations!$B$22*S235*Declarations!$C$20+Declarations!$B$22*U235*Declarations!$C$21+Declarations!$B$22*V235*Declarations!$C$22+0</f>
        <v>4.60691839405895</v>
      </c>
      <c r="S236" s="20" t="n">
        <f aca="false">Declarations!$B$20*Q235*Declarations!$D$20+Declarations!$B$20*R235*Declarations!$D$21+Declarations!$B$20*S235*Declarations!$D$22+Declarations!$B$21*R235*Declarations!$D$20+Declarations!$B$21*T235*Declarations!$D$21+Declarations!$B$21*U235*Declarations!$D$22+Declarations!$B$22*S235*Declarations!$D$20+Declarations!$B$22*U235*Declarations!$D$21+Declarations!$B$22*V235*Declarations!$D$22+0</f>
        <v>0.617283950617284</v>
      </c>
      <c r="T236" s="20" t="n">
        <f aca="false">Declarations!$C$20*Q235*Declarations!$C$20+Declarations!$C$20*R235*Declarations!$C$21+Declarations!$C$20*S235*Declarations!$C$22+Declarations!$C$21*R235*Declarations!$C$20+Declarations!$C$21*T235*Declarations!$C$21+Declarations!$C$21*U235*Declarations!$C$22+Declarations!$C$22*S235*Declarations!$C$20+Declarations!$C$22*U235*Declarations!$C$21+Declarations!$C$22*V235*Declarations!$C$22+1</f>
        <v>5.7025397011447</v>
      </c>
      <c r="U236" s="20" t="n">
        <f aca="false">Declarations!$C$20*Q235*Declarations!$D$20+Declarations!$C$20*R235*Declarations!$D$21+Declarations!$C$20*S235*Declarations!$D$22+Declarations!$C$21*R235*Declarations!$D$20+Declarations!$C$21*T235*Declarations!$D$21+Declarations!$C$21*U235*Declarations!$D$22+Declarations!$C$22*S235*Declarations!$D$20+Declarations!$C$22*U235*Declarations!$D$21+Declarations!$C$22*V235*Declarations!$D$22+0</f>
        <v>0.771604938271605</v>
      </c>
      <c r="V236" s="20" t="n">
        <f aca="false">Declarations!$D$20*Q235*Declarations!$D$20+Declarations!$D$20*R235*Declarations!$D$21+Declarations!$D$20*S235*Declarations!$D$22+Declarations!$D$21*R235*Declarations!$D$20+Declarations!$D$21*T235*Declarations!$D$21+Declarations!$D$21*U235*Declarations!$D$22+Declarations!$D$22*S235*Declarations!$D$20+Declarations!$D$22*U235*Declarations!$D$21+Declarations!$D$22*V235*Declarations!$D$22+1</f>
        <v>2.77777777777778</v>
      </c>
    </row>
    <row r="237" customFormat="false" ht="15" hidden="false" customHeight="false" outlineLevel="0" collapsed="false">
      <c r="A237" s="18" t="n">
        <v>228</v>
      </c>
      <c r="B237" s="20" t="n">
        <f aca="false">$B$4*B236*$B$4+$B$4*C236*$B$5+$B$5*C236*$B$4+$B$5*D236*$B$5+$E$4</f>
        <v>13.5714285709724</v>
      </c>
      <c r="C237" s="20" t="n">
        <f aca="false">$B$4*B236*$C$4+$B$4*C236*$C$5+$B$5*C236*$C$4+$B$5*D236*$C$5+$F$4</f>
        <v>-5.78571428549865</v>
      </c>
      <c r="D237" s="20" t="n">
        <f aca="false">$C$4*B236*$C$4+$C$4*C236*$C$5+$C$5*C236*$C$4+$C$5*D236*$C$5+$F$5</f>
        <v>11.9928571424423</v>
      </c>
      <c r="P237" s="18" t="n">
        <v>228</v>
      </c>
      <c r="Q237" s="20" t="n">
        <f aca="false">Declarations!$B$20*Q236*Declarations!$B$20+Declarations!$B$20*R236*Declarations!$B$21+Declarations!$B$20*S236*Declarations!$B$22+Declarations!$B$21*R236*Declarations!$B$20+Declarations!$B$21*T236*Declarations!$B$21+Declarations!$B$21*U236*Declarations!$B$22+Declarations!$B$22*S236*Declarations!$B$20+Declarations!$B$22*U236*Declarations!$B$21+Declarations!$B$22*V236*Declarations!$B$22+1</f>
        <v>10.2972987223669</v>
      </c>
      <c r="R237" s="20" t="n">
        <f aca="false">Declarations!$B$20*Q236*Declarations!$C$20+Declarations!$B$20*R236*Declarations!$C$21+Declarations!$B$20*S236*Declarations!$C$22+Declarations!$B$21*R236*Declarations!$C$20+Declarations!$B$21*T236*Declarations!$C$21+Declarations!$B$21*U236*Declarations!$C$22+Declarations!$B$22*S236*Declarations!$C$20+Declarations!$B$22*U236*Declarations!$C$21+Declarations!$B$22*V236*Declarations!$C$22+0</f>
        <v>4.60691839410528</v>
      </c>
      <c r="S237" s="20" t="n">
        <f aca="false">Declarations!$B$20*Q236*Declarations!$D$20+Declarations!$B$20*R236*Declarations!$D$21+Declarations!$B$20*S236*Declarations!$D$22+Declarations!$B$21*R236*Declarations!$D$20+Declarations!$B$21*T236*Declarations!$D$21+Declarations!$B$21*U236*Declarations!$D$22+Declarations!$B$22*S236*Declarations!$D$20+Declarations!$B$22*U236*Declarations!$D$21+Declarations!$B$22*V236*Declarations!$D$22+0</f>
        <v>0.617283950617284</v>
      </c>
      <c r="T237" s="20" t="n">
        <f aca="false">Declarations!$C$20*Q236*Declarations!$C$20+Declarations!$C$20*R236*Declarations!$C$21+Declarations!$C$20*S236*Declarations!$C$22+Declarations!$C$21*R236*Declarations!$C$20+Declarations!$C$21*T236*Declarations!$C$21+Declarations!$C$21*U236*Declarations!$C$22+Declarations!$C$22*S236*Declarations!$C$20+Declarations!$C$22*U236*Declarations!$C$21+Declarations!$C$22*V236*Declarations!$C$22+1</f>
        <v>5.70253970116786</v>
      </c>
      <c r="U237" s="20" t="n">
        <f aca="false">Declarations!$C$20*Q236*Declarations!$D$20+Declarations!$C$20*R236*Declarations!$D$21+Declarations!$C$20*S236*Declarations!$D$22+Declarations!$C$21*R236*Declarations!$D$20+Declarations!$C$21*T236*Declarations!$D$21+Declarations!$C$21*U236*Declarations!$D$22+Declarations!$C$22*S236*Declarations!$D$20+Declarations!$C$22*U236*Declarations!$D$21+Declarations!$C$22*V236*Declarations!$D$22+0</f>
        <v>0.771604938271605</v>
      </c>
      <c r="V237" s="20" t="n">
        <f aca="false">Declarations!$D$20*Q236*Declarations!$D$20+Declarations!$D$20*R236*Declarations!$D$21+Declarations!$D$20*S236*Declarations!$D$22+Declarations!$D$21*R236*Declarations!$D$20+Declarations!$D$21*T236*Declarations!$D$21+Declarations!$D$21*U236*Declarations!$D$22+Declarations!$D$22*S236*Declarations!$D$20+Declarations!$D$22*U236*Declarations!$D$21+Declarations!$D$22*V236*Declarations!$D$22+1</f>
        <v>2.77777777777778</v>
      </c>
    </row>
    <row r="238" customFormat="false" ht="15" hidden="false" customHeight="false" outlineLevel="0" collapsed="false">
      <c r="A238" s="18" t="n">
        <v>229</v>
      </c>
      <c r="B238" s="20" t="n">
        <f aca="false">$B$4*B237*$B$4+$B$4*C237*$B$5+$B$5*C237*$B$4+$B$5*D237*$B$5+$E$4</f>
        <v>13.5714285710323</v>
      </c>
      <c r="C238" s="20" t="n">
        <f aca="false">$B$4*B237*$C$4+$B$4*C237*$C$5+$B$5*C237*$C$4+$B$5*D237*$C$5+$F$4</f>
        <v>-5.78571428553883</v>
      </c>
      <c r="D238" s="20" t="n">
        <f aca="false">$C$4*B237*$C$4+$C$4*C237*$C$5+$C$5*C237*$C$4+$C$5*D237*$C$5+$F$5</f>
        <v>11.9928571424876</v>
      </c>
      <c r="P238" s="18" t="n">
        <v>229</v>
      </c>
      <c r="Q238" s="20" t="n">
        <f aca="false">Declarations!$B$20*Q237*Declarations!$B$20+Declarations!$B$20*R237*Declarations!$B$21+Declarations!$B$20*S237*Declarations!$B$22+Declarations!$B$21*R237*Declarations!$B$20+Declarations!$B$21*T237*Declarations!$B$21+Declarations!$B$21*U237*Declarations!$B$22+Declarations!$B$22*S237*Declarations!$B$20+Declarations!$B$22*U237*Declarations!$B$21+Declarations!$B$22*V237*Declarations!$B$22+1</f>
        <v>10.2972987224506</v>
      </c>
      <c r="R238" s="20" t="n">
        <f aca="false">Declarations!$B$20*Q237*Declarations!$C$20+Declarations!$B$20*R237*Declarations!$C$21+Declarations!$B$20*S237*Declarations!$C$22+Declarations!$B$21*R237*Declarations!$C$20+Declarations!$B$21*T237*Declarations!$C$21+Declarations!$B$21*U237*Declarations!$C$22+Declarations!$B$22*S237*Declarations!$C$20+Declarations!$B$22*U237*Declarations!$C$21+Declarations!$B$22*V237*Declarations!$C$22+0</f>
        <v>4.6069183941471</v>
      </c>
      <c r="S238" s="20" t="n">
        <f aca="false">Declarations!$B$20*Q237*Declarations!$D$20+Declarations!$B$20*R237*Declarations!$D$21+Declarations!$B$20*S237*Declarations!$D$22+Declarations!$B$21*R237*Declarations!$D$20+Declarations!$B$21*T237*Declarations!$D$21+Declarations!$B$21*U237*Declarations!$D$22+Declarations!$B$22*S237*Declarations!$D$20+Declarations!$B$22*U237*Declarations!$D$21+Declarations!$B$22*V237*Declarations!$D$22+0</f>
        <v>0.617283950617284</v>
      </c>
      <c r="T238" s="20" t="n">
        <f aca="false">Declarations!$C$20*Q237*Declarations!$C$20+Declarations!$C$20*R237*Declarations!$C$21+Declarations!$C$20*S237*Declarations!$C$22+Declarations!$C$21*R237*Declarations!$C$20+Declarations!$C$21*T237*Declarations!$C$21+Declarations!$C$21*U237*Declarations!$C$22+Declarations!$C$22*S237*Declarations!$C$20+Declarations!$C$22*U237*Declarations!$C$21+Declarations!$C$22*V237*Declarations!$C$22+1</f>
        <v>5.70253970118877</v>
      </c>
      <c r="U238" s="20" t="n">
        <f aca="false">Declarations!$C$20*Q237*Declarations!$D$20+Declarations!$C$20*R237*Declarations!$D$21+Declarations!$C$20*S237*Declarations!$D$22+Declarations!$C$21*R237*Declarations!$D$20+Declarations!$C$21*T237*Declarations!$D$21+Declarations!$C$21*U237*Declarations!$D$22+Declarations!$C$22*S237*Declarations!$D$20+Declarations!$C$22*U237*Declarations!$D$21+Declarations!$C$22*V237*Declarations!$D$22+0</f>
        <v>0.771604938271605</v>
      </c>
      <c r="V238" s="20" t="n">
        <f aca="false">Declarations!$D$20*Q237*Declarations!$D$20+Declarations!$D$20*R237*Declarations!$D$21+Declarations!$D$20*S237*Declarations!$D$22+Declarations!$D$21*R237*Declarations!$D$20+Declarations!$D$21*T237*Declarations!$D$21+Declarations!$D$21*U237*Declarations!$D$22+Declarations!$D$22*S237*Declarations!$D$20+Declarations!$D$22*U237*Declarations!$D$21+Declarations!$D$22*V237*Declarations!$D$22+1</f>
        <v>2.77777777777778</v>
      </c>
    </row>
    <row r="239" customFormat="false" ht="15" hidden="false" customHeight="false" outlineLevel="0" collapsed="false">
      <c r="A239" s="18" t="n">
        <v>230</v>
      </c>
      <c r="B239" s="20" t="n">
        <f aca="false">$B$4*B238*$B$4+$B$4*C238*$B$5+$B$5*C238*$B$4+$B$5*D238*$B$5+$E$4</f>
        <v>13.5714285710539</v>
      </c>
      <c r="C239" s="20" t="n">
        <f aca="false">$B$4*B238*$C$4+$B$4*C238*$C$5+$B$5*C238*$C$4+$B$5*D238*$C$5+$F$4</f>
        <v>-5.78571428555122</v>
      </c>
      <c r="D239" s="20" t="n">
        <f aca="false">$C$4*B238*$C$4+$C$4*C238*$C$5+$C$5*C238*$C$4+$C$5*D238*$C$5+$F$5</f>
        <v>11.9928571425362</v>
      </c>
      <c r="P239" s="18" t="n">
        <v>230</v>
      </c>
      <c r="Q239" s="20" t="n">
        <f aca="false">Declarations!$B$20*Q238*Declarations!$B$20+Declarations!$B$20*R238*Declarations!$B$21+Declarations!$B$20*S238*Declarations!$B$22+Declarations!$B$21*R238*Declarations!$B$20+Declarations!$B$21*T238*Declarations!$B$21+Declarations!$B$21*U238*Declarations!$B$22+Declarations!$B$22*S238*Declarations!$B$20+Declarations!$B$22*U238*Declarations!$B$21+Declarations!$B$22*V238*Declarations!$B$22+1</f>
        <v>10.297298722526</v>
      </c>
      <c r="R239" s="20" t="n">
        <f aca="false">Declarations!$B$20*Q238*Declarations!$C$20+Declarations!$B$20*R238*Declarations!$C$21+Declarations!$B$20*S238*Declarations!$C$22+Declarations!$B$21*R238*Declarations!$C$20+Declarations!$B$21*T238*Declarations!$C$21+Declarations!$B$21*U238*Declarations!$C$22+Declarations!$B$22*S238*Declarations!$C$20+Declarations!$B$22*U238*Declarations!$C$21+Declarations!$B$22*V238*Declarations!$C$22+0</f>
        <v>4.60691839418483</v>
      </c>
      <c r="S239" s="20" t="n">
        <f aca="false">Declarations!$B$20*Q238*Declarations!$D$20+Declarations!$B$20*R238*Declarations!$D$21+Declarations!$B$20*S238*Declarations!$D$22+Declarations!$B$21*R238*Declarations!$D$20+Declarations!$B$21*T238*Declarations!$D$21+Declarations!$B$21*U238*Declarations!$D$22+Declarations!$B$22*S238*Declarations!$D$20+Declarations!$B$22*U238*Declarations!$D$21+Declarations!$B$22*V238*Declarations!$D$22+0</f>
        <v>0.617283950617284</v>
      </c>
      <c r="T239" s="20" t="n">
        <f aca="false">Declarations!$C$20*Q238*Declarations!$C$20+Declarations!$C$20*R238*Declarations!$C$21+Declarations!$C$20*S238*Declarations!$C$22+Declarations!$C$21*R238*Declarations!$C$20+Declarations!$C$21*T238*Declarations!$C$21+Declarations!$C$21*U238*Declarations!$C$22+Declarations!$C$22*S238*Declarations!$C$20+Declarations!$C$22*U238*Declarations!$C$21+Declarations!$C$22*V238*Declarations!$C$22+1</f>
        <v>5.70253970120764</v>
      </c>
      <c r="U239" s="20" t="n">
        <f aca="false">Declarations!$C$20*Q238*Declarations!$D$20+Declarations!$C$20*R238*Declarations!$D$21+Declarations!$C$20*S238*Declarations!$D$22+Declarations!$C$21*R238*Declarations!$D$20+Declarations!$C$21*T238*Declarations!$D$21+Declarations!$C$21*U238*Declarations!$D$22+Declarations!$C$22*S238*Declarations!$D$20+Declarations!$C$22*U238*Declarations!$D$21+Declarations!$C$22*V238*Declarations!$D$22+0</f>
        <v>0.771604938271605</v>
      </c>
      <c r="V239" s="20" t="n">
        <f aca="false">Declarations!$D$20*Q238*Declarations!$D$20+Declarations!$D$20*R238*Declarations!$D$21+Declarations!$D$20*S238*Declarations!$D$22+Declarations!$D$21*R238*Declarations!$D$20+Declarations!$D$21*T238*Declarations!$D$21+Declarations!$D$21*U238*Declarations!$D$22+Declarations!$D$22*S238*Declarations!$D$20+Declarations!$D$22*U238*Declarations!$D$21+Declarations!$D$22*V238*Declarations!$D$22+1</f>
        <v>2.77777777777778</v>
      </c>
    </row>
    <row r="240" customFormat="false" ht="15" hidden="false" customHeight="false" outlineLevel="0" collapsed="false">
      <c r="A240" s="18" t="n">
        <v>231</v>
      </c>
      <c r="B240" s="20" t="n">
        <f aca="false">$B$4*B239*$B$4+$B$4*C239*$B$5+$B$5*C239*$B$4+$B$5*D239*$B$5+$E$4</f>
        <v>13.5714285710976</v>
      </c>
      <c r="C240" s="20" t="n">
        <f aca="false">$B$4*B239*$C$4+$B$4*C239*$C$5+$B$5*C239*$C$4+$B$5*D239*$C$5+$F$4</f>
        <v>-5.78571428555755</v>
      </c>
      <c r="D240" s="20" t="n">
        <f aca="false">$C$4*B239*$C$4+$C$4*C239*$C$5+$C$5*C239*$C$4+$C$5*D239*$C$5+$F$5</f>
        <v>11.9928571425536</v>
      </c>
      <c r="P240" s="18" t="n">
        <v>231</v>
      </c>
      <c r="Q240" s="20" t="n">
        <f aca="false">Declarations!$B$20*Q239*Declarations!$B$20+Declarations!$B$20*R239*Declarations!$B$21+Declarations!$B$20*S239*Declarations!$B$22+Declarations!$B$21*R239*Declarations!$B$20+Declarations!$B$21*T239*Declarations!$B$21+Declarations!$B$21*U239*Declarations!$B$22+Declarations!$B$22*S239*Declarations!$B$20+Declarations!$B$22*U239*Declarations!$B$21+Declarations!$B$22*V239*Declarations!$B$22+1</f>
        <v>10.2972987225942</v>
      </c>
      <c r="R240" s="20" t="n">
        <f aca="false">Declarations!$B$20*Q239*Declarations!$C$20+Declarations!$B$20*R239*Declarations!$C$21+Declarations!$B$20*S239*Declarations!$C$22+Declarations!$B$21*R239*Declarations!$C$20+Declarations!$B$21*T239*Declarations!$C$21+Declarations!$B$21*U239*Declarations!$C$22+Declarations!$B$22*S239*Declarations!$C$20+Declarations!$B$22*U239*Declarations!$C$21+Declarations!$B$22*V239*Declarations!$C$22+0</f>
        <v>4.60691839421889</v>
      </c>
      <c r="S240" s="20" t="n">
        <f aca="false">Declarations!$B$20*Q239*Declarations!$D$20+Declarations!$B$20*R239*Declarations!$D$21+Declarations!$B$20*S239*Declarations!$D$22+Declarations!$B$21*R239*Declarations!$D$20+Declarations!$B$21*T239*Declarations!$D$21+Declarations!$B$21*U239*Declarations!$D$22+Declarations!$B$22*S239*Declarations!$D$20+Declarations!$B$22*U239*Declarations!$D$21+Declarations!$B$22*V239*Declarations!$D$22+0</f>
        <v>0.617283950617284</v>
      </c>
      <c r="T240" s="20" t="n">
        <f aca="false">Declarations!$C$20*Q239*Declarations!$C$20+Declarations!$C$20*R239*Declarations!$C$21+Declarations!$C$20*S239*Declarations!$C$22+Declarations!$C$21*R239*Declarations!$C$20+Declarations!$C$21*T239*Declarations!$C$21+Declarations!$C$21*U239*Declarations!$C$22+Declarations!$C$22*S239*Declarations!$C$20+Declarations!$C$22*U239*Declarations!$C$21+Declarations!$C$22*V239*Declarations!$C$22+1</f>
        <v>5.70253970122467</v>
      </c>
      <c r="U240" s="20" t="n">
        <f aca="false">Declarations!$C$20*Q239*Declarations!$D$20+Declarations!$C$20*R239*Declarations!$D$21+Declarations!$C$20*S239*Declarations!$D$22+Declarations!$C$21*R239*Declarations!$D$20+Declarations!$C$21*T239*Declarations!$D$21+Declarations!$C$21*U239*Declarations!$D$22+Declarations!$C$22*S239*Declarations!$D$20+Declarations!$C$22*U239*Declarations!$D$21+Declarations!$C$22*V239*Declarations!$D$22+0</f>
        <v>0.771604938271605</v>
      </c>
      <c r="V240" s="20" t="n">
        <f aca="false">Declarations!$D$20*Q239*Declarations!$D$20+Declarations!$D$20*R239*Declarations!$D$21+Declarations!$D$20*S239*Declarations!$D$22+Declarations!$D$21*R239*Declarations!$D$20+Declarations!$D$21*T239*Declarations!$D$21+Declarations!$D$21*U239*Declarations!$D$22+Declarations!$D$22*S239*Declarations!$D$20+Declarations!$D$22*U239*Declarations!$D$21+Declarations!$D$22*V239*Declarations!$D$22+1</f>
        <v>2.77777777777778</v>
      </c>
    </row>
    <row r="241" customFormat="false" ht="15" hidden="false" customHeight="false" outlineLevel="0" collapsed="false">
      <c r="A241" s="18" t="n">
        <v>232</v>
      </c>
      <c r="B241" s="20" t="n">
        <f aca="false">$B$4*B240*$B$4+$B$4*C240*$B$5+$B$5*C240*$B$4+$B$5*D240*$B$5+$E$4</f>
        <v>13.5714285711391</v>
      </c>
      <c r="C241" s="20" t="n">
        <f aca="false">$B$4*B240*$C$4+$B$4*C240*$C$5+$B$5*C240*$C$4+$B$5*D240*$C$5+$F$4</f>
        <v>-5.78571428558728</v>
      </c>
      <c r="D241" s="20" t="n">
        <f aca="false">$C$4*B240*$C$4+$C$4*C240*$C$5+$C$5*C240*$C$4+$C$5*D240*$C$5+$F$5</f>
        <v>11.9928571425891</v>
      </c>
      <c r="P241" s="18" t="n">
        <v>232</v>
      </c>
      <c r="Q241" s="20" t="n">
        <f aca="false">Declarations!$B$20*Q240*Declarations!$B$20+Declarations!$B$20*R240*Declarations!$B$21+Declarations!$B$20*S240*Declarations!$B$22+Declarations!$B$21*R240*Declarations!$B$20+Declarations!$B$21*T240*Declarations!$B$21+Declarations!$B$21*U240*Declarations!$B$22+Declarations!$B$22*S240*Declarations!$B$20+Declarations!$B$22*U240*Declarations!$B$21+Declarations!$B$22*V240*Declarations!$B$22+1</f>
        <v>10.2972987226556</v>
      </c>
      <c r="R241" s="20" t="n">
        <f aca="false">Declarations!$B$20*Q240*Declarations!$C$20+Declarations!$B$20*R240*Declarations!$C$21+Declarations!$B$20*S240*Declarations!$C$22+Declarations!$B$21*R240*Declarations!$C$20+Declarations!$B$21*T240*Declarations!$C$21+Declarations!$B$21*U240*Declarations!$C$22+Declarations!$B$22*S240*Declarations!$C$20+Declarations!$B$22*U240*Declarations!$C$21+Declarations!$B$22*V240*Declarations!$C$22+0</f>
        <v>4.60691839424963</v>
      </c>
      <c r="S241" s="20" t="n">
        <f aca="false">Declarations!$B$20*Q240*Declarations!$D$20+Declarations!$B$20*R240*Declarations!$D$21+Declarations!$B$20*S240*Declarations!$D$22+Declarations!$B$21*R240*Declarations!$D$20+Declarations!$B$21*T240*Declarations!$D$21+Declarations!$B$21*U240*Declarations!$D$22+Declarations!$B$22*S240*Declarations!$D$20+Declarations!$B$22*U240*Declarations!$D$21+Declarations!$B$22*V240*Declarations!$D$22+0</f>
        <v>0.617283950617284</v>
      </c>
      <c r="T241" s="20" t="n">
        <f aca="false">Declarations!$C$20*Q240*Declarations!$C$20+Declarations!$C$20*R240*Declarations!$C$21+Declarations!$C$20*S240*Declarations!$C$22+Declarations!$C$21*R240*Declarations!$C$20+Declarations!$C$21*T240*Declarations!$C$21+Declarations!$C$21*U240*Declarations!$C$22+Declarations!$C$22*S240*Declarations!$C$20+Declarations!$C$22*U240*Declarations!$C$21+Declarations!$C$22*V240*Declarations!$C$22+1</f>
        <v>5.70253970124004</v>
      </c>
      <c r="U241" s="20" t="n">
        <f aca="false">Declarations!$C$20*Q240*Declarations!$D$20+Declarations!$C$20*R240*Declarations!$D$21+Declarations!$C$20*S240*Declarations!$D$22+Declarations!$C$21*R240*Declarations!$D$20+Declarations!$C$21*T240*Declarations!$D$21+Declarations!$C$21*U240*Declarations!$D$22+Declarations!$C$22*S240*Declarations!$D$20+Declarations!$C$22*U240*Declarations!$D$21+Declarations!$C$22*V240*Declarations!$D$22+0</f>
        <v>0.771604938271605</v>
      </c>
      <c r="V241" s="20" t="n">
        <f aca="false">Declarations!$D$20*Q240*Declarations!$D$20+Declarations!$D$20*R240*Declarations!$D$21+Declarations!$D$20*S240*Declarations!$D$22+Declarations!$D$21*R240*Declarations!$D$20+Declarations!$D$21*T240*Declarations!$D$21+Declarations!$D$21*U240*Declarations!$D$22+Declarations!$D$22*S240*Declarations!$D$20+Declarations!$D$22*U240*Declarations!$D$21+Declarations!$D$22*V240*Declarations!$D$22+1</f>
        <v>2.77777777777778</v>
      </c>
    </row>
    <row r="242" customFormat="false" ht="15" hidden="false" customHeight="false" outlineLevel="0" collapsed="false">
      <c r="A242" s="18" t="n">
        <v>233</v>
      </c>
      <c r="B242" s="20" t="n">
        <f aca="false">$B$4*B241*$B$4+$B$4*C241*$B$5+$B$5*C241*$B$4+$B$5*D241*$B$5+$E$4</f>
        <v>13.5714285711547</v>
      </c>
      <c r="C242" s="20" t="n">
        <f aca="false">$B$4*B241*$C$4+$B$4*C241*$C$5+$B$5*C241*$C$4+$B$5*D241*$C$5+$F$4</f>
        <v>-5.78571428559414</v>
      </c>
      <c r="D242" s="20" t="n">
        <f aca="false">$C$4*B241*$C$4+$C$4*C241*$C$5+$C$5*C241*$C$4+$C$5*D241*$C$5+$F$5</f>
        <v>11.9928571426227</v>
      </c>
      <c r="P242" s="18" t="n">
        <v>233</v>
      </c>
      <c r="Q242" s="20" t="n">
        <f aca="false">Declarations!$B$20*Q241*Declarations!$B$20+Declarations!$B$20*R241*Declarations!$B$21+Declarations!$B$20*S241*Declarations!$B$22+Declarations!$B$21*R241*Declarations!$B$20+Declarations!$B$21*T241*Declarations!$B$21+Declarations!$B$21*U241*Declarations!$B$22+Declarations!$B$22*S241*Declarations!$B$20+Declarations!$B$22*U241*Declarations!$B$21+Declarations!$B$22*V241*Declarations!$B$22+1</f>
        <v>10.2972987227111</v>
      </c>
      <c r="R242" s="20" t="n">
        <f aca="false">Declarations!$B$20*Q241*Declarations!$C$20+Declarations!$B$20*R241*Declarations!$C$21+Declarations!$B$20*S241*Declarations!$C$22+Declarations!$B$21*R241*Declarations!$C$20+Declarations!$B$21*T241*Declarations!$C$21+Declarations!$B$21*U241*Declarations!$C$22+Declarations!$B$22*S241*Declarations!$C$20+Declarations!$B$22*U241*Declarations!$C$21+Declarations!$B$22*V241*Declarations!$C$22+0</f>
        <v>4.60691839427737</v>
      </c>
      <c r="S242" s="20" t="n">
        <f aca="false">Declarations!$B$20*Q241*Declarations!$D$20+Declarations!$B$20*R241*Declarations!$D$21+Declarations!$B$20*S241*Declarations!$D$22+Declarations!$B$21*R241*Declarations!$D$20+Declarations!$B$21*T241*Declarations!$D$21+Declarations!$B$21*U241*Declarations!$D$22+Declarations!$B$22*S241*Declarations!$D$20+Declarations!$B$22*U241*Declarations!$D$21+Declarations!$B$22*V241*Declarations!$D$22+0</f>
        <v>0.617283950617284</v>
      </c>
      <c r="T242" s="20" t="n">
        <f aca="false">Declarations!$C$20*Q241*Declarations!$C$20+Declarations!$C$20*R241*Declarations!$C$21+Declarations!$C$20*S241*Declarations!$C$22+Declarations!$C$21*R241*Declarations!$C$20+Declarations!$C$21*T241*Declarations!$C$21+Declarations!$C$21*U241*Declarations!$C$22+Declarations!$C$22*S241*Declarations!$C$20+Declarations!$C$22*U241*Declarations!$C$21+Declarations!$C$22*V241*Declarations!$C$22+1</f>
        <v>5.70253970125391</v>
      </c>
      <c r="U242" s="20" t="n">
        <f aca="false">Declarations!$C$20*Q241*Declarations!$D$20+Declarations!$C$20*R241*Declarations!$D$21+Declarations!$C$20*S241*Declarations!$D$22+Declarations!$C$21*R241*Declarations!$D$20+Declarations!$C$21*T241*Declarations!$D$21+Declarations!$C$21*U241*Declarations!$D$22+Declarations!$C$22*S241*Declarations!$D$20+Declarations!$C$22*U241*Declarations!$D$21+Declarations!$C$22*V241*Declarations!$D$22+0</f>
        <v>0.771604938271605</v>
      </c>
      <c r="V242" s="20" t="n">
        <f aca="false">Declarations!$D$20*Q241*Declarations!$D$20+Declarations!$D$20*R241*Declarations!$D$21+Declarations!$D$20*S241*Declarations!$D$22+Declarations!$D$21*R241*Declarations!$D$20+Declarations!$D$21*T241*Declarations!$D$21+Declarations!$D$21*U241*Declarations!$D$22+Declarations!$D$22*S241*Declarations!$D$20+Declarations!$D$22*U241*Declarations!$D$21+Declarations!$D$22*V241*Declarations!$D$22+1</f>
        <v>2.77777777777778</v>
      </c>
    </row>
    <row r="243" customFormat="false" ht="15" hidden="false" customHeight="false" outlineLevel="0" collapsed="false">
      <c r="A243" s="18" t="n">
        <v>234</v>
      </c>
      <c r="B243" s="20" t="n">
        <f aca="false">$B$4*B242*$B$4+$B$4*C242*$B$5+$B$5*C242*$B$4+$B$5*D242*$B$5+$E$4</f>
        <v>13.5714285711885</v>
      </c>
      <c r="C243" s="20" t="n">
        <f aca="false">$B$4*B242*$C$4+$B$4*C242*$C$5+$B$5*C242*$C$4+$B$5*D242*$C$5+$F$4</f>
        <v>-5.78571428560055</v>
      </c>
      <c r="D243" s="20" t="n">
        <f aca="false">$C$4*B242*$C$4+$C$4*C242*$C$5+$C$5*C242*$C$4+$C$5*D242*$C$5+$F$5</f>
        <v>11.9928571426353</v>
      </c>
      <c r="P243" s="18" t="n">
        <v>234</v>
      </c>
      <c r="Q243" s="20" t="n">
        <f aca="false">Declarations!$B$20*Q242*Declarations!$B$20+Declarations!$B$20*R242*Declarations!$B$21+Declarations!$B$20*S242*Declarations!$B$22+Declarations!$B$21*R242*Declarations!$B$20+Declarations!$B$21*T242*Declarations!$B$21+Declarations!$B$21*U242*Declarations!$B$22+Declarations!$B$22*S242*Declarations!$B$20+Declarations!$B$22*U242*Declarations!$B$21+Declarations!$B$22*V242*Declarations!$B$22+1</f>
        <v>10.2972987227612</v>
      </c>
      <c r="R243" s="20" t="n">
        <f aca="false">Declarations!$B$20*Q242*Declarations!$C$20+Declarations!$B$20*R242*Declarations!$C$21+Declarations!$B$20*S242*Declarations!$C$22+Declarations!$B$21*R242*Declarations!$C$20+Declarations!$B$21*T242*Declarations!$C$21+Declarations!$B$21*U242*Declarations!$C$22+Declarations!$B$22*S242*Declarations!$C$20+Declarations!$B$22*U242*Declarations!$C$21+Declarations!$B$22*V242*Declarations!$C$22+0</f>
        <v>4.6069183943024</v>
      </c>
      <c r="S243" s="20" t="n">
        <f aca="false">Declarations!$B$20*Q242*Declarations!$D$20+Declarations!$B$20*R242*Declarations!$D$21+Declarations!$B$20*S242*Declarations!$D$22+Declarations!$B$21*R242*Declarations!$D$20+Declarations!$B$21*T242*Declarations!$D$21+Declarations!$B$21*U242*Declarations!$D$22+Declarations!$B$22*S242*Declarations!$D$20+Declarations!$B$22*U242*Declarations!$D$21+Declarations!$B$22*V242*Declarations!$D$22+0</f>
        <v>0.617283950617284</v>
      </c>
      <c r="T243" s="20" t="n">
        <f aca="false">Declarations!$C$20*Q242*Declarations!$C$20+Declarations!$C$20*R242*Declarations!$C$21+Declarations!$C$20*S242*Declarations!$C$22+Declarations!$C$21*R242*Declarations!$C$20+Declarations!$C$21*T242*Declarations!$C$21+Declarations!$C$21*U242*Declarations!$C$22+Declarations!$C$22*S242*Declarations!$C$20+Declarations!$C$22*U242*Declarations!$C$21+Declarations!$C$22*V242*Declarations!$C$22+1</f>
        <v>5.70253970126642</v>
      </c>
      <c r="U243" s="20" t="n">
        <f aca="false">Declarations!$C$20*Q242*Declarations!$D$20+Declarations!$C$20*R242*Declarations!$D$21+Declarations!$C$20*S242*Declarations!$D$22+Declarations!$C$21*R242*Declarations!$D$20+Declarations!$C$21*T242*Declarations!$D$21+Declarations!$C$21*U242*Declarations!$D$22+Declarations!$C$22*S242*Declarations!$D$20+Declarations!$C$22*U242*Declarations!$D$21+Declarations!$C$22*V242*Declarations!$D$22+0</f>
        <v>0.771604938271605</v>
      </c>
      <c r="V243" s="20" t="n">
        <f aca="false">Declarations!$D$20*Q242*Declarations!$D$20+Declarations!$D$20*R242*Declarations!$D$21+Declarations!$D$20*S242*Declarations!$D$22+Declarations!$D$21*R242*Declarations!$D$20+Declarations!$D$21*T242*Declarations!$D$21+Declarations!$D$21*U242*Declarations!$D$22+Declarations!$D$22*S242*Declarations!$D$20+Declarations!$D$22*U242*Declarations!$D$21+Declarations!$D$22*V242*Declarations!$D$22+1</f>
        <v>2.77777777777778</v>
      </c>
    </row>
    <row r="244" customFormat="false" ht="15" hidden="false" customHeight="false" outlineLevel="0" collapsed="false">
      <c r="A244" s="18" t="n">
        <v>235</v>
      </c>
      <c r="B244" s="20" t="n">
        <f aca="false">$B$4*B243*$B$4+$B$4*C243*$B$5+$B$5*C243*$B$4+$B$5*D243*$B$5+$E$4</f>
        <v>13.571428571217</v>
      </c>
      <c r="C244" s="20" t="n">
        <f aca="false">$B$4*B243*$C$4+$B$4*C243*$C$5+$B$5*C243*$C$4+$B$5*D243*$C$5+$F$4</f>
        <v>-5.7857142856222</v>
      </c>
      <c r="D244" s="20" t="n">
        <f aca="false">$C$4*B243*$C$4+$C$4*C243*$C$5+$C$5*C243*$C$4+$C$5*D243*$C$5+$F$5</f>
        <v>11.9928571426627</v>
      </c>
      <c r="P244" s="18" t="n">
        <v>235</v>
      </c>
      <c r="Q244" s="20" t="n">
        <f aca="false">Declarations!$B$20*Q243*Declarations!$B$20+Declarations!$B$20*R243*Declarations!$B$21+Declarations!$B$20*S243*Declarations!$B$22+Declarations!$B$21*R243*Declarations!$B$20+Declarations!$B$21*T243*Declarations!$B$21+Declarations!$B$21*U243*Declarations!$B$22+Declarations!$B$22*S243*Declarations!$B$20+Declarations!$B$22*U243*Declarations!$B$21+Declarations!$B$22*V243*Declarations!$B$22+1</f>
        <v>10.2972987228064</v>
      </c>
      <c r="R244" s="20" t="n">
        <f aca="false">Declarations!$B$20*Q243*Declarations!$C$20+Declarations!$B$20*R243*Declarations!$C$21+Declarations!$B$20*S243*Declarations!$C$22+Declarations!$B$21*R243*Declarations!$C$20+Declarations!$B$21*T243*Declarations!$C$21+Declarations!$B$21*U243*Declarations!$C$22+Declarations!$B$22*S243*Declarations!$C$20+Declarations!$B$22*U243*Declarations!$C$21+Declarations!$B$22*V243*Declarations!$C$22+0</f>
        <v>4.606918394325</v>
      </c>
      <c r="S244" s="20" t="n">
        <f aca="false">Declarations!$B$20*Q243*Declarations!$D$20+Declarations!$B$20*R243*Declarations!$D$21+Declarations!$B$20*S243*Declarations!$D$22+Declarations!$B$21*R243*Declarations!$D$20+Declarations!$B$21*T243*Declarations!$D$21+Declarations!$B$21*U243*Declarations!$D$22+Declarations!$B$22*S243*Declarations!$D$20+Declarations!$B$22*U243*Declarations!$D$21+Declarations!$B$22*V243*Declarations!$D$22+0</f>
        <v>0.617283950617284</v>
      </c>
      <c r="T244" s="20" t="n">
        <f aca="false">Declarations!$C$20*Q243*Declarations!$C$20+Declarations!$C$20*R243*Declarations!$C$21+Declarations!$C$20*S243*Declarations!$C$22+Declarations!$C$21*R243*Declarations!$C$20+Declarations!$C$21*T243*Declarations!$C$21+Declarations!$C$21*U243*Declarations!$C$22+Declarations!$C$22*S243*Declarations!$C$20+Declarations!$C$22*U243*Declarations!$C$21+Declarations!$C$22*V243*Declarations!$C$22+1</f>
        <v>5.70253970127772</v>
      </c>
      <c r="U244" s="20" t="n">
        <f aca="false">Declarations!$C$20*Q243*Declarations!$D$20+Declarations!$C$20*R243*Declarations!$D$21+Declarations!$C$20*S243*Declarations!$D$22+Declarations!$C$21*R243*Declarations!$D$20+Declarations!$C$21*T243*Declarations!$D$21+Declarations!$C$21*U243*Declarations!$D$22+Declarations!$C$22*S243*Declarations!$D$20+Declarations!$C$22*U243*Declarations!$D$21+Declarations!$C$22*V243*Declarations!$D$22+0</f>
        <v>0.771604938271605</v>
      </c>
      <c r="V244" s="20" t="n">
        <f aca="false">Declarations!$D$20*Q243*Declarations!$D$20+Declarations!$D$20*R243*Declarations!$D$21+Declarations!$D$20*S243*Declarations!$D$22+Declarations!$D$21*R243*Declarations!$D$20+Declarations!$D$21*T243*Declarations!$D$21+Declarations!$D$21*U243*Declarations!$D$22+Declarations!$D$22*S243*Declarations!$D$20+Declarations!$D$22*U243*Declarations!$D$21+Declarations!$D$22*V243*Declarations!$D$22+1</f>
        <v>2.77777777777778</v>
      </c>
    </row>
    <row r="245" customFormat="false" ht="15" hidden="false" customHeight="false" outlineLevel="0" collapsed="false">
      <c r="A245" s="18" t="n">
        <v>236</v>
      </c>
      <c r="B245" s="20" t="n">
        <f aca="false">$B$4*B244*$B$4+$B$4*C244*$B$5+$B$5*C244*$B$4+$B$5*D244*$B$5+$E$4</f>
        <v>13.5714285712285</v>
      </c>
      <c r="C245" s="20" t="n">
        <f aca="false">$B$4*B244*$C$4+$B$4*C244*$C$5+$B$5*C244*$C$4+$B$5*D244*$C$5+$F$4</f>
        <v>-5.78571428562578</v>
      </c>
      <c r="D245" s="20" t="n">
        <f aca="false">$C$4*B244*$C$4+$C$4*C244*$C$5+$C$5*C244*$C$4+$C$5*D244*$C$5+$F$5</f>
        <v>11.9928571426858</v>
      </c>
      <c r="P245" s="18" t="n">
        <v>236</v>
      </c>
      <c r="Q245" s="20" t="n">
        <f aca="false">Declarations!$B$20*Q244*Declarations!$B$20+Declarations!$B$20*R244*Declarations!$B$21+Declarations!$B$20*S244*Declarations!$B$22+Declarations!$B$21*R244*Declarations!$B$20+Declarations!$B$21*T244*Declarations!$B$21+Declarations!$B$21*U244*Declarations!$B$22+Declarations!$B$22*S244*Declarations!$B$20+Declarations!$B$22*U244*Declarations!$B$21+Declarations!$B$22*V244*Declarations!$B$22+1</f>
        <v>10.2972987228472</v>
      </c>
      <c r="R245" s="20" t="n">
        <f aca="false">Declarations!$B$20*Q244*Declarations!$C$20+Declarations!$B$20*R244*Declarations!$C$21+Declarations!$B$20*S244*Declarations!$C$22+Declarations!$B$21*R244*Declarations!$C$20+Declarations!$B$21*T244*Declarations!$C$21+Declarations!$B$21*U244*Declarations!$C$22+Declarations!$B$22*S244*Declarations!$C$20+Declarations!$B$22*U244*Declarations!$C$21+Declarations!$B$22*V244*Declarations!$C$22+0</f>
        <v>4.60691839434539</v>
      </c>
      <c r="S245" s="20" t="n">
        <f aca="false">Declarations!$B$20*Q244*Declarations!$D$20+Declarations!$B$20*R244*Declarations!$D$21+Declarations!$B$20*S244*Declarations!$D$22+Declarations!$B$21*R244*Declarations!$D$20+Declarations!$B$21*T244*Declarations!$D$21+Declarations!$B$21*U244*Declarations!$D$22+Declarations!$B$22*S244*Declarations!$D$20+Declarations!$B$22*U244*Declarations!$D$21+Declarations!$B$22*V244*Declarations!$D$22+0</f>
        <v>0.617283950617284</v>
      </c>
      <c r="T245" s="20" t="n">
        <f aca="false">Declarations!$C$20*Q244*Declarations!$C$20+Declarations!$C$20*R244*Declarations!$C$21+Declarations!$C$20*S244*Declarations!$C$22+Declarations!$C$21*R244*Declarations!$C$20+Declarations!$C$21*T244*Declarations!$C$21+Declarations!$C$21*U244*Declarations!$C$22+Declarations!$C$22*S244*Declarations!$C$20+Declarations!$C$22*U244*Declarations!$C$21+Declarations!$C$22*V244*Declarations!$C$22+1</f>
        <v>5.70253970128792</v>
      </c>
      <c r="U245" s="20" t="n">
        <f aca="false">Declarations!$C$20*Q244*Declarations!$D$20+Declarations!$C$20*R244*Declarations!$D$21+Declarations!$C$20*S244*Declarations!$D$22+Declarations!$C$21*R244*Declarations!$D$20+Declarations!$C$21*T244*Declarations!$D$21+Declarations!$C$21*U244*Declarations!$D$22+Declarations!$C$22*S244*Declarations!$D$20+Declarations!$C$22*U244*Declarations!$D$21+Declarations!$C$22*V244*Declarations!$D$22+0</f>
        <v>0.771604938271605</v>
      </c>
      <c r="V245" s="20" t="n">
        <f aca="false">Declarations!$D$20*Q244*Declarations!$D$20+Declarations!$D$20*R244*Declarations!$D$21+Declarations!$D$20*S244*Declarations!$D$22+Declarations!$D$21*R244*Declarations!$D$20+Declarations!$D$21*T244*Declarations!$D$21+Declarations!$D$21*U244*Declarations!$D$22+Declarations!$D$22*S244*Declarations!$D$20+Declarations!$D$22*U244*Declarations!$D$21+Declarations!$D$22*V244*Declarations!$D$22+1</f>
        <v>2.77777777777778</v>
      </c>
    </row>
    <row r="246" customFormat="false" ht="15" hidden="false" customHeight="false" outlineLevel="0" collapsed="false">
      <c r="A246" s="18" t="n">
        <v>237</v>
      </c>
      <c r="B246" s="20" t="n">
        <f aca="false">$B$4*B245*$B$4+$B$4*C245*$B$5+$B$5*C245*$B$4+$B$5*D245*$B$5+$E$4</f>
        <v>13.5714285712544</v>
      </c>
      <c r="C246" s="20" t="n">
        <f aca="false">$B$4*B245*$C$4+$B$4*C245*$C$5+$B$5*C245*$C$4+$B$5*D245*$C$5+$F$4</f>
        <v>-5.78571428563188</v>
      </c>
      <c r="D246" s="20" t="n">
        <f aca="false">$C$4*B245*$C$4+$C$4*C245*$C$5+$C$5*C245*$C$4+$C$5*D245*$C$5+$F$5</f>
        <v>11.9928571426951</v>
      </c>
      <c r="P246" s="18" t="n">
        <v>237</v>
      </c>
      <c r="Q246" s="20" t="n">
        <f aca="false">Declarations!$B$20*Q245*Declarations!$B$20+Declarations!$B$20*R245*Declarations!$B$21+Declarations!$B$20*S245*Declarations!$B$22+Declarations!$B$21*R245*Declarations!$B$20+Declarations!$B$21*T245*Declarations!$B$21+Declarations!$B$21*U245*Declarations!$B$22+Declarations!$B$22*S245*Declarations!$B$20+Declarations!$B$22*U245*Declarations!$B$21+Declarations!$B$22*V245*Declarations!$B$22+1</f>
        <v>10.297298722884</v>
      </c>
      <c r="R246" s="20" t="n">
        <f aca="false">Declarations!$B$20*Q245*Declarations!$C$20+Declarations!$B$20*R245*Declarations!$C$21+Declarations!$B$20*S245*Declarations!$C$22+Declarations!$B$21*R245*Declarations!$C$20+Declarations!$B$21*T245*Declarations!$C$21+Declarations!$B$21*U245*Declarations!$C$22+Declarations!$B$22*S245*Declarations!$C$20+Declarations!$B$22*U245*Declarations!$C$21+Declarations!$B$22*V245*Declarations!$C$22+0</f>
        <v>4.60691839436379</v>
      </c>
      <c r="S246" s="20" t="n">
        <f aca="false">Declarations!$B$20*Q245*Declarations!$D$20+Declarations!$B$20*R245*Declarations!$D$21+Declarations!$B$20*S245*Declarations!$D$22+Declarations!$B$21*R245*Declarations!$D$20+Declarations!$B$21*T245*Declarations!$D$21+Declarations!$B$21*U245*Declarations!$D$22+Declarations!$B$22*S245*Declarations!$D$20+Declarations!$B$22*U245*Declarations!$D$21+Declarations!$B$22*V245*Declarations!$D$22+0</f>
        <v>0.617283950617284</v>
      </c>
      <c r="T246" s="20" t="n">
        <f aca="false">Declarations!$C$20*Q245*Declarations!$C$20+Declarations!$C$20*R245*Declarations!$C$21+Declarations!$C$20*S245*Declarations!$C$22+Declarations!$C$21*R245*Declarations!$C$20+Declarations!$C$21*T245*Declarations!$C$21+Declarations!$C$21*U245*Declarations!$C$22+Declarations!$C$22*S245*Declarations!$C$20+Declarations!$C$22*U245*Declarations!$C$21+Declarations!$C$22*V245*Declarations!$C$22+1</f>
        <v>5.70253970129712</v>
      </c>
      <c r="U246" s="20" t="n">
        <f aca="false">Declarations!$C$20*Q245*Declarations!$D$20+Declarations!$C$20*R245*Declarations!$D$21+Declarations!$C$20*S245*Declarations!$D$22+Declarations!$C$21*R245*Declarations!$D$20+Declarations!$C$21*T245*Declarations!$D$21+Declarations!$C$21*U245*Declarations!$D$22+Declarations!$C$22*S245*Declarations!$D$20+Declarations!$C$22*U245*Declarations!$D$21+Declarations!$C$22*V245*Declarations!$D$22+0</f>
        <v>0.771604938271605</v>
      </c>
      <c r="V246" s="20" t="n">
        <f aca="false">Declarations!$D$20*Q245*Declarations!$D$20+Declarations!$D$20*R245*Declarations!$D$21+Declarations!$D$20*S245*Declarations!$D$22+Declarations!$D$21*R245*Declarations!$D$20+Declarations!$D$21*T245*Declarations!$D$21+Declarations!$D$21*U245*Declarations!$D$22+Declarations!$D$22*S245*Declarations!$D$20+Declarations!$D$22*U245*Declarations!$D$21+Declarations!$D$22*V245*Declarations!$D$22+1</f>
        <v>2.77777777777778</v>
      </c>
    </row>
    <row r="247" customFormat="false" ht="15" hidden="false" customHeight="false" outlineLevel="0" collapsed="false">
      <c r="A247" s="18" t="n">
        <v>238</v>
      </c>
      <c r="B247" s="20" t="n">
        <f aca="false">$B$4*B246*$B$4+$B$4*C246*$B$5+$B$5*C246*$B$4+$B$5*D246*$B$5+$E$4</f>
        <v>13.5714285712738</v>
      </c>
      <c r="C247" s="20" t="n">
        <f aca="false">$B$4*B246*$C$4+$B$4*C246*$C$5+$B$5*C246*$C$4+$B$5*D246*$C$5+$F$4</f>
        <v>-5.7857142856474</v>
      </c>
      <c r="D247" s="20" t="n">
        <f aca="false">$C$4*B246*$C$4+$C$4*C246*$C$5+$C$5*C246*$C$4+$C$5*D246*$C$5+$F$5</f>
        <v>11.9928571427161</v>
      </c>
      <c r="P247" s="18" t="n">
        <v>238</v>
      </c>
      <c r="Q247" s="20" t="n">
        <f aca="false">Declarations!$B$20*Q246*Declarations!$B$20+Declarations!$B$20*R246*Declarations!$B$21+Declarations!$B$20*S246*Declarations!$B$22+Declarations!$B$21*R246*Declarations!$B$20+Declarations!$B$21*T246*Declarations!$B$21+Declarations!$B$21*U246*Declarations!$B$22+Declarations!$B$22*S246*Declarations!$B$20+Declarations!$B$22*U246*Declarations!$B$21+Declarations!$B$22*V246*Declarations!$B$22+1</f>
        <v>10.2972987229172</v>
      </c>
      <c r="R247" s="20" t="n">
        <f aca="false">Declarations!$B$20*Q246*Declarations!$C$20+Declarations!$B$20*R246*Declarations!$C$21+Declarations!$B$20*S246*Declarations!$C$22+Declarations!$B$21*R246*Declarations!$C$20+Declarations!$B$21*T246*Declarations!$C$21+Declarations!$B$21*U246*Declarations!$C$22+Declarations!$B$22*S246*Declarations!$C$20+Declarations!$B$22*U246*Declarations!$C$21+Declarations!$B$22*V246*Declarations!$C$22+0</f>
        <v>4.6069183943804</v>
      </c>
      <c r="S247" s="20" t="n">
        <f aca="false">Declarations!$B$20*Q246*Declarations!$D$20+Declarations!$B$20*R246*Declarations!$D$21+Declarations!$B$20*S246*Declarations!$D$22+Declarations!$B$21*R246*Declarations!$D$20+Declarations!$B$21*T246*Declarations!$D$21+Declarations!$B$21*U246*Declarations!$D$22+Declarations!$B$22*S246*Declarations!$D$20+Declarations!$B$22*U246*Declarations!$D$21+Declarations!$B$22*V246*Declarations!$D$22+0</f>
        <v>0.617283950617284</v>
      </c>
      <c r="T247" s="20" t="n">
        <f aca="false">Declarations!$C$20*Q246*Declarations!$C$20+Declarations!$C$20*R246*Declarations!$C$21+Declarations!$C$20*S246*Declarations!$C$22+Declarations!$C$21*R246*Declarations!$C$20+Declarations!$C$21*T246*Declarations!$C$21+Declarations!$C$21*U246*Declarations!$C$22+Declarations!$C$22*S246*Declarations!$C$20+Declarations!$C$22*U246*Declarations!$C$21+Declarations!$C$22*V246*Declarations!$C$22+1</f>
        <v>5.70253970130542</v>
      </c>
      <c r="U247" s="20" t="n">
        <f aca="false">Declarations!$C$20*Q246*Declarations!$D$20+Declarations!$C$20*R246*Declarations!$D$21+Declarations!$C$20*S246*Declarations!$D$22+Declarations!$C$21*R246*Declarations!$D$20+Declarations!$C$21*T246*Declarations!$D$21+Declarations!$C$21*U246*Declarations!$D$22+Declarations!$C$22*S246*Declarations!$D$20+Declarations!$C$22*U246*Declarations!$D$21+Declarations!$C$22*V246*Declarations!$D$22+0</f>
        <v>0.771604938271605</v>
      </c>
      <c r="V247" s="20" t="n">
        <f aca="false">Declarations!$D$20*Q246*Declarations!$D$20+Declarations!$D$20*R246*Declarations!$D$21+Declarations!$D$20*S246*Declarations!$D$22+Declarations!$D$21*R246*Declarations!$D$20+Declarations!$D$21*T246*Declarations!$D$21+Declarations!$D$21*U246*Declarations!$D$22+Declarations!$D$22*S246*Declarations!$D$20+Declarations!$D$22*U246*Declarations!$D$21+Declarations!$D$22*V246*Declarations!$D$22+1</f>
        <v>2.77777777777778</v>
      </c>
    </row>
    <row r="248" customFormat="false" ht="15" hidden="false" customHeight="false" outlineLevel="0" collapsed="false">
      <c r="A248" s="18" t="n">
        <v>239</v>
      </c>
      <c r="B248" s="20" t="n">
        <f aca="false">$B$4*B247*$B$4+$B$4*C247*$B$5+$B$5*C247*$B$4+$B$5*D247*$B$5+$E$4</f>
        <v>13.5714285712825</v>
      </c>
      <c r="C248" s="20" t="n">
        <f aca="false">$B$4*B247*$C$4+$B$4*C247*$C$5+$B$5*C247*$C$4+$B$5*D247*$C$5+$F$4</f>
        <v>-5.78571428564911</v>
      </c>
      <c r="D248" s="20" t="n">
        <f aca="false">$C$4*B247*$C$4+$C$4*C247*$C$5+$C$5*C247*$C$4+$C$5*D247*$C$5+$F$5</f>
        <v>11.9928571427318</v>
      </c>
      <c r="P248" s="18" t="n">
        <v>239</v>
      </c>
      <c r="Q248" s="20" t="n">
        <f aca="false">Declarations!$B$20*Q247*Declarations!$B$20+Declarations!$B$20*R247*Declarations!$B$21+Declarations!$B$20*S247*Declarations!$B$22+Declarations!$B$21*R247*Declarations!$B$20+Declarations!$B$21*T247*Declarations!$B$21+Declarations!$B$21*U247*Declarations!$B$22+Declarations!$B$22*S247*Declarations!$B$20+Declarations!$B$22*U247*Declarations!$B$21+Declarations!$B$22*V247*Declarations!$B$22+1</f>
        <v>10.2972987229472</v>
      </c>
      <c r="R248" s="20" t="n">
        <f aca="false">Declarations!$B$20*Q247*Declarations!$C$20+Declarations!$B$20*R247*Declarations!$C$21+Declarations!$B$20*S247*Declarations!$C$22+Declarations!$B$21*R247*Declarations!$C$20+Declarations!$B$21*T247*Declarations!$C$21+Declarations!$B$21*U247*Declarations!$C$22+Declarations!$B$22*S247*Declarations!$C$20+Declarations!$B$22*U247*Declarations!$C$21+Declarations!$B$22*V247*Declarations!$C$22+0</f>
        <v>4.60691839439539</v>
      </c>
      <c r="S248" s="20" t="n">
        <f aca="false">Declarations!$B$20*Q247*Declarations!$D$20+Declarations!$B$20*R247*Declarations!$D$21+Declarations!$B$20*S247*Declarations!$D$22+Declarations!$B$21*R247*Declarations!$D$20+Declarations!$B$21*T247*Declarations!$D$21+Declarations!$B$21*U247*Declarations!$D$22+Declarations!$B$22*S247*Declarations!$D$20+Declarations!$B$22*U247*Declarations!$D$21+Declarations!$B$22*V247*Declarations!$D$22+0</f>
        <v>0.617283950617284</v>
      </c>
      <c r="T248" s="20" t="n">
        <f aca="false">Declarations!$C$20*Q247*Declarations!$C$20+Declarations!$C$20*R247*Declarations!$C$21+Declarations!$C$20*S247*Declarations!$C$22+Declarations!$C$21*R247*Declarations!$C$20+Declarations!$C$21*T247*Declarations!$C$21+Declarations!$C$21*U247*Declarations!$C$22+Declarations!$C$22*S247*Declarations!$C$20+Declarations!$C$22*U247*Declarations!$C$21+Declarations!$C$22*V247*Declarations!$C$22+1</f>
        <v>5.70253970131292</v>
      </c>
      <c r="U248" s="20" t="n">
        <f aca="false">Declarations!$C$20*Q247*Declarations!$D$20+Declarations!$C$20*R247*Declarations!$D$21+Declarations!$C$20*S247*Declarations!$D$22+Declarations!$C$21*R247*Declarations!$D$20+Declarations!$C$21*T247*Declarations!$D$21+Declarations!$C$21*U247*Declarations!$D$22+Declarations!$C$22*S247*Declarations!$D$20+Declarations!$C$22*U247*Declarations!$D$21+Declarations!$C$22*V247*Declarations!$D$22+0</f>
        <v>0.771604938271605</v>
      </c>
      <c r="V248" s="20" t="n">
        <f aca="false">Declarations!$D$20*Q247*Declarations!$D$20+Declarations!$D$20*R247*Declarations!$D$21+Declarations!$D$20*S247*Declarations!$D$22+Declarations!$D$21*R247*Declarations!$D$20+Declarations!$D$21*T247*Declarations!$D$21+Declarations!$D$21*U247*Declarations!$D$22+Declarations!$D$22*S247*Declarations!$D$20+Declarations!$D$22*U247*Declarations!$D$21+Declarations!$D$22*V247*Declarations!$D$22+1</f>
        <v>2.77777777777778</v>
      </c>
    </row>
    <row r="249" customFormat="false" ht="15" hidden="false" customHeight="false" outlineLevel="0" collapsed="false">
      <c r="A249" s="18" t="n">
        <v>240</v>
      </c>
      <c r="B249" s="20" t="n">
        <f aca="false">$B$4*B248*$B$4+$B$4*C248*$B$5+$B$5*C248*$B$4+$B$5*D248*$B$5+$E$4</f>
        <v>13.5714285713022</v>
      </c>
      <c r="C249" s="20" t="n">
        <f aca="false">$B$4*B248*$C$4+$B$4*C248*$C$5+$B$5*C248*$C$4+$B$5*D248*$C$5+$F$4</f>
        <v>-5.78571428565466</v>
      </c>
      <c r="D249" s="20" t="n">
        <f aca="false">$C$4*B248*$C$4+$C$4*C248*$C$5+$C$5*C248*$C$4+$C$5*D248*$C$5+$F$5</f>
        <v>11.9928571427389</v>
      </c>
      <c r="P249" s="18" t="n">
        <v>240</v>
      </c>
      <c r="Q249" s="20" t="n">
        <f aca="false">Declarations!$B$20*Q248*Declarations!$B$20+Declarations!$B$20*R248*Declarations!$B$21+Declarations!$B$20*S248*Declarations!$B$22+Declarations!$B$21*R248*Declarations!$B$20+Declarations!$B$21*T248*Declarations!$B$21+Declarations!$B$21*U248*Declarations!$B$22+Declarations!$B$22*S248*Declarations!$B$20+Declarations!$B$22*U248*Declarations!$B$21+Declarations!$B$22*V248*Declarations!$B$22+1</f>
        <v>10.2972987229742</v>
      </c>
      <c r="R249" s="20" t="n">
        <f aca="false">Declarations!$B$20*Q248*Declarations!$C$20+Declarations!$B$20*R248*Declarations!$C$21+Declarations!$B$20*S248*Declarations!$C$22+Declarations!$B$21*R248*Declarations!$C$20+Declarations!$B$21*T248*Declarations!$C$21+Declarations!$B$21*U248*Declarations!$C$22+Declarations!$B$22*S248*Declarations!$C$20+Declarations!$B$22*U248*Declarations!$C$21+Declarations!$B$22*V248*Declarations!$C$22+0</f>
        <v>4.60691839440892</v>
      </c>
      <c r="S249" s="20" t="n">
        <f aca="false">Declarations!$B$20*Q248*Declarations!$D$20+Declarations!$B$20*R248*Declarations!$D$21+Declarations!$B$20*S248*Declarations!$D$22+Declarations!$B$21*R248*Declarations!$D$20+Declarations!$B$21*T248*Declarations!$D$21+Declarations!$B$21*U248*Declarations!$D$22+Declarations!$B$22*S248*Declarations!$D$20+Declarations!$B$22*U248*Declarations!$D$21+Declarations!$B$22*V248*Declarations!$D$22+0</f>
        <v>0.617283950617284</v>
      </c>
      <c r="T249" s="20" t="n">
        <f aca="false">Declarations!$C$20*Q248*Declarations!$C$20+Declarations!$C$20*R248*Declarations!$C$21+Declarations!$C$20*S248*Declarations!$C$22+Declarations!$C$21*R248*Declarations!$C$20+Declarations!$C$21*T248*Declarations!$C$21+Declarations!$C$21*U248*Declarations!$C$22+Declarations!$C$22*S248*Declarations!$C$20+Declarations!$C$22*U248*Declarations!$C$21+Declarations!$C$22*V248*Declarations!$C$22+1</f>
        <v>5.70253970131968</v>
      </c>
      <c r="U249" s="20" t="n">
        <f aca="false">Declarations!$C$20*Q248*Declarations!$D$20+Declarations!$C$20*R248*Declarations!$D$21+Declarations!$C$20*S248*Declarations!$D$22+Declarations!$C$21*R248*Declarations!$D$20+Declarations!$C$21*T248*Declarations!$D$21+Declarations!$C$21*U248*Declarations!$D$22+Declarations!$C$22*S248*Declarations!$D$20+Declarations!$C$22*U248*Declarations!$D$21+Declarations!$C$22*V248*Declarations!$D$22+0</f>
        <v>0.771604938271605</v>
      </c>
      <c r="V249" s="20" t="n">
        <f aca="false">Declarations!$D$20*Q248*Declarations!$D$20+Declarations!$D$20*R248*Declarations!$D$21+Declarations!$D$20*S248*Declarations!$D$22+Declarations!$D$21*R248*Declarations!$D$20+Declarations!$D$21*T248*Declarations!$D$21+Declarations!$D$21*U248*Declarations!$D$22+Declarations!$D$22*S248*Declarations!$D$20+Declarations!$D$22*U248*Declarations!$D$21+Declarations!$D$22*V248*Declarations!$D$22+1</f>
        <v>2.77777777777778</v>
      </c>
    </row>
    <row r="250" customFormat="false" ht="15" hidden="false" customHeight="false" outlineLevel="0" collapsed="false">
      <c r="A250" s="18" t="n">
        <v>241</v>
      </c>
      <c r="B250" s="20" t="n">
        <f aca="false">$B$4*B249*$B$4+$B$4*C249*$B$5+$B$5*C249*$B$4+$B$5*D249*$B$5+$E$4</f>
        <v>13.5714285713153</v>
      </c>
      <c r="C250" s="20" t="n">
        <f aca="false">$B$4*B249*$C$4+$B$4*C249*$C$5+$B$5*C249*$C$4+$B$5*D249*$C$5+$F$4</f>
        <v>-5.78571428566561</v>
      </c>
      <c r="D250" s="20" t="n">
        <f aca="false">$C$4*B249*$C$4+$C$4*C249*$C$5+$C$5*C249*$C$4+$C$5*D249*$C$5+$F$5</f>
        <v>11.9928571427548</v>
      </c>
      <c r="P250" s="18" t="n">
        <v>241</v>
      </c>
      <c r="Q250" s="20" t="n">
        <f aca="false">Declarations!$B$20*Q249*Declarations!$B$20+Declarations!$B$20*R249*Declarations!$B$21+Declarations!$B$20*S249*Declarations!$B$22+Declarations!$B$21*R249*Declarations!$B$20+Declarations!$B$21*T249*Declarations!$B$21+Declarations!$B$21*U249*Declarations!$B$22+Declarations!$B$22*S249*Declarations!$B$20+Declarations!$B$22*U249*Declarations!$B$21+Declarations!$B$22*V249*Declarations!$B$22+1</f>
        <v>10.2972987229986</v>
      </c>
      <c r="R250" s="20" t="n">
        <f aca="false">Declarations!$B$20*Q249*Declarations!$C$20+Declarations!$B$20*R249*Declarations!$C$21+Declarations!$B$20*S249*Declarations!$C$22+Declarations!$B$21*R249*Declarations!$C$20+Declarations!$B$21*T249*Declarations!$C$21+Declarations!$B$21*U249*Declarations!$C$22+Declarations!$B$22*S249*Declarations!$C$20+Declarations!$B$22*U249*Declarations!$C$21+Declarations!$B$22*V249*Declarations!$C$22+0</f>
        <v>4.60691839442113</v>
      </c>
      <c r="S250" s="20" t="n">
        <f aca="false">Declarations!$B$20*Q249*Declarations!$D$20+Declarations!$B$20*R249*Declarations!$D$21+Declarations!$B$20*S249*Declarations!$D$22+Declarations!$B$21*R249*Declarations!$D$20+Declarations!$B$21*T249*Declarations!$D$21+Declarations!$B$21*U249*Declarations!$D$22+Declarations!$B$22*S249*Declarations!$D$20+Declarations!$B$22*U249*Declarations!$D$21+Declarations!$B$22*V249*Declarations!$D$22+0</f>
        <v>0.617283950617284</v>
      </c>
      <c r="T250" s="20" t="n">
        <f aca="false">Declarations!$C$20*Q249*Declarations!$C$20+Declarations!$C$20*R249*Declarations!$C$21+Declarations!$C$20*S249*Declarations!$C$22+Declarations!$C$21*R249*Declarations!$C$20+Declarations!$C$21*T249*Declarations!$C$21+Declarations!$C$21*U249*Declarations!$C$22+Declarations!$C$22*S249*Declarations!$C$20+Declarations!$C$22*U249*Declarations!$C$21+Declarations!$C$22*V249*Declarations!$C$22+1</f>
        <v>5.70253970132579</v>
      </c>
      <c r="U250" s="20" t="n">
        <f aca="false">Declarations!$C$20*Q249*Declarations!$D$20+Declarations!$C$20*R249*Declarations!$D$21+Declarations!$C$20*S249*Declarations!$D$22+Declarations!$C$21*R249*Declarations!$D$20+Declarations!$C$21*T249*Declarations!$D$21+Declarations!$C$21*U249*Declarations!$D$22+Declarations!$C$22*S249*Declarations!$D$20+Declarations!$C$22*U249*Declarations!$D$21+Declarations!$C$22*V249*Declarations!$D$22+0</f>
        <v>0.771604938271605</v>
      </c>
      <c r="V250" s="20" t="n">
        <f aca="false">Declarations!$D$20*Q249*Declarations!$D$20+Declarations!$D$20*R249*Declarations!$D$21+Declarations!$D$20*S249*Declarations!$D$22+Declarations!$D$21*R249*Declarations!$D$20+Declarations!$D$21*T249*Declarations!$D$21+Declarations!$D$21*U249*Declarations!$D$22+Declarations!$D$22*S249*Declarations!$D$20+Declarations!$D$22*U249*Declarations!$D$21+Declarations!$D$22*V249*Declarations!$D$22+1</f>
        <v>2.77777777777778</v>
      </c>
    </row>
    <row r="251" customFormat="false" ht="15" hidden="false" customHeight="false" outlineLevel="0" collapsed="false">
      <c r="A251" s="18" t="n">
        <v>242</v>
      </c>
      <c r="B251" s="20" t="n">
        <f aca="false">$B$4*B250*$B$4+$B$4*C250*$B$5+$B$5*C250*$B$4+$B$5*D250*$B$5+$E$4</f>
        <v>13.5714285713221</v>
      </c>
      <c r="C251" s="20" t="n">
        <f aca="false">$B$4*B250*$C$4+$B$4*C250*$C$5+$B$5*C250*$C$4+$B$5*D250*$C$5+$F$4</f>
        <v>-5.78571428566632</v>
      </c>
      <c r="D251" s="20" t="n">
        <f aca="false">$C$4*B250*$C$4+$C$4*C250*$C$5+$C$5*C250*$C$4+$C$5*D250*$C$5+$F$5</f>
        <v>11.9928571427654</v>
      </c>
      <c r="P251" s="18" t="n">
        <v>242</v>
      </c>
      <c r="Q251" s="20" t="n">
        <f aca="false">Declarations!$B$20*Q250*Declarations!$B$20+Declarations!$B$20*R250*Declarations!$B$21+Declarations!$B$20*S250*Declarations!$B$22+Declarations!$B$21*R250*Declarations!$B$20+Declarations!$B$21*T250*Declarations!$B$21+Declarations!$B$21*U250*Declarations!$B$22+Declarations!$B$22*S250*Declarations!$B$20+Declarations!$B$22*U250*Declarations!$B$21+Declarations!$B$22*V250*Declarations!$B$22+1</f>
        <v>10.2972987230207</v>
      </c>
      <c r="R251" s="20" t="n">
        <f aca="false">Declarations!$B$20*Q250*Declarations!$C$20+Declarations!$B$20*R250*Declarations!$C$21+Declarations!$B$20*S250*Declarations!$C$22+Declarations!$B$21*R250*Declarations!$C$20+Declarations!$B$21*T250*Declarations!$C$21+Declarations!$B$21*U250*Declarations!$C$22+Declarations!$B$22*S250*Declarations!$C$20+Declarations!$B$22*U250*Declarations!$C$21+Declarations!$B$22*V250*Declarations!$C$22+0</f>
        <v>4.60691839443215</v>
      </c>
      <c r="S251" s="20" t="n">
        <f aca="false">Declarations!$B$20*Q250*Declarations!$D$20+Declarations!$B$20*R250*Declarations!$D$21+Declarations!$B$20*S250*Declarations!$D$22+Declarations!$B$21*R250*Declarations!$D$20+Declarations!$B$21*T250*Declarations!$D$21+Declarations!$B$21*U250*Declarations!$D$22+Declarations!$B$22*S250*Declarations!$D$20+Declarations!$B$22*U250*Declarations!$D$21+Declarations!$B$22*V250*Declarations!$D$22+0</f>
        <v>0.617283950617284</v>
      </c>
      <c r="T251" s="20" t="n">
        <f aca="false">Declarations!$C$20*Q250*Declarations!$C$20+Declarations!$C$20*R250*Declarations!$C$21+Declarations!$C$20*S250*Declarations!$C$22+Declarations!$C$21*R250*Declarations!$C$20+Declarations!$C$21*T250*Declarations!$C$21+Declarations!$C$21*U250*Declarations!$C$22+Declarations!$C$22*S250*Declarations!$C$20+Declarations!$C$22*U250*Declarations!$C$21+Declarations!$C$22*V250*Declarations!$C$22+1</f>
        <v>5.7025397013313</v>
      </c>
      <c r="U251" s="20" t="n">
        <f aca="false">Declarations!$C$20*Q250*Declarations!$D$20+Declarations!$C$20*R250*Declarations!$D$21+Declarations!$C$20*S250*Declarations!$D$22+Declarations!$C$21*R250*Declarations!$D$20+Declarations!$C$21*T250*Declarations!$D$21+Declarations!$C$21*U250*Declarations!$D$22+Declarations!$C$22*S250*Declarations!$D$20+Declarations!$C$22*U250*Declarations!$D$21+Declarations!$C$22*V250*Declarations!$D$22+0</f>
        <v>0.771604938271605</v>
      </c>
      <c r="V251" s="20" t="n">
        <f aca="false">Declarations!$D$20*Q250*Declarations!$D$20+Declarations!$D$20*R250*Declarations!$D$21+Declarations!$D$20*S250*Declarations!$D$22+Declarations!$D$21*R250*Declarations!$D$20+Declarations!$D$21*T250*Declarations!$D$21+Declarations!$D$21*U250*Declarations!$D$22+Declarations!$D$22*S250*Declarations!$D$20+Declarations!$D$22*U250*Declarations!$D$21+Declarations!$D$22*V250*Declarations!$D$22+1</f>
        <v>2.77777777777778</v>
      </c>
    </row>
    <row r="252" customFormat="false" ht="15" hidden="false" customHeight="false" outlineLevel="0" collapsed="false">
      <c r="A252" s="18" t="n">
        <v>243</v>
      </c>
      <c r="B252" s="20" t="n">
        <f aca="false">$B$4*B251*$B$4+$B$4*C251*$B$5+$B$5*C251*$B$4+$B$5*D251*$B$5+$E$4</f>
        <v>13.5714285713369</v>
      </c>
      <c r="C252" s="20" t="n">
        <f aca="false">$B$4*B251*$C$4+$B$4*C251*$C$5+$B$5*C251*$C$4+$B$5*D251*$C$5+$F$4</f>
        <v>-5.78571428567119</v>
      </c>
      <c r="D252" s="20" t="n">
        <f aca="false">$C$4*B251*$C$4+$C$4*C251*$C$5+$C$5*C251*$C$4+$C$5*D251*$C$5+$F$5</f>
        <v>11.9928571427709</v>
      </c>
      <c r="P252" s="18" t="n">
        <v>243</v>
      </c>
      <c r="Q252" s="20" t="n">
        <f aca="false">Declarations!$B$20*Q251*Declarations!$B$20+Declarations!$B$20*R251*Declarations!$B$21+Declarations!$B$20*S251*Declarations!$B$22+Declarations!$B$21*R251*Declarations!$B$20+Declarations!$B$21*T251*Declarations!$B$21+Declarations!$B$21*U251*Declarations!$B$22+Declarations!$B$22*S251*Declarations!$B$20+Declarations!$B$22*U251*Declarations!$B$21+Declarations!$B$22*V251*Declarations!$B$22+1</f>
        <v>10.2972987230406</v>
      </c>
      <c r="R252" s="20" t="n">
        <f aca="false">Declarations!$B$20*Q251*Declarations!$C$20+Declarations!$B$20*R251*Declarations!$C$21+Declarations!$B$20*S251*Declarations!$C$22+Declarations!$B$21*R251*Declarations!$C$20+Declarations!$B$21*T251*Declarations!$C$21+Declarations!$B$21*U251*Declarations!$C$22+Declarations!$B$22*S251*Declarations!$C$20+Declarations!$B$22*U251*Declarations!$C$21+Declarations!$B$22*V251*Declarations!$C$22+0</f>
        <v>4.60691839444209</v>
      </c>
      <c r="S252" s="20" t="n">
        <f aca="false">Declarations!$B$20*Q251*Declarations!$D$20+Declarations!$B$20*R251*Declarations!$D$21+Declarations!$B$20*S251*Declarations!$D$22+Declarations!$B$21*R251*Declarations!$D$20+Declarations!$B$21*T251*Declarations!$D$21+Declarations!$B$21*U251*Declarations!$D$22+Declarations!$B$22*S251*Declarations!$D$20+Declarations!$B$22*U251*Declarations!$D$21+Declarations!$B$22*V251*Declarations!$D$22+0</f>
        <v>0.617283950617284</v>
      </c>
      <c r="T252" s="20" t="n">
        <f aca="false">Declarations!$C$20*Q251*Declarations!$C$20+Declarations!$C$20*R251*Declarations!$C$21+Declarations!$C$20*S251*Declarations!$C$22+Declarations!$C$21*R251*Declarations!$C$20+Declarations!$C$21*T251*Declarations!$C$21+Declarations!$C$21*U251*Declarations!$C$22+Declarations!$C$22*S251*Declarations!$C$20+Declarations!$C$22*U251*Declarations!$C$21+Declarations!$C$22*V251*Declarations!$C$22+1</f>
        <v>5.70253970133627</v>
      </c>
      <c r="U252" s="20" t="n">
        <f aca="false">Declarations!$C$20*Q251*Declarations!$D$20+Declarations!$C$20*R251*Declarations!$D$21+Declarations!$C$20*S251*Declarations!$D$22+Declarations!$C$21*R251*Declarations!$D$20+Declarations!$C$21*T251*Declarations!$D$21+Declarations!$C$21*U251*Declarations!$D$22+Declarations!$C$22*S251*Declarations!$D$20+Declarations!$C$22*U251*Declarations!$D$21+Declarations!$C$22*V251*Declarations!$D$22+0</f>
        <v>0.771604938271605</v>
      </c>
      <c r="V252" s="20" t="n">
        <f aca="false">Declarations!$D$20*Q251*Declarations!$D$20+Declarations!$D$20*R251*Declarations!$D$21+Declarations!$D$20*S251*Declarations!$D$22+Declarations!$D$21*R251*Declarations!$D$20+Declarations!$D$21*T251*Declarations!$D$21+Declarations!$D$21*U251*Declarations!$D$22+Declarations!$D$22*S251*Declarations!$D$20+Declarations!$D$22*U251*Declarations!$D$21+Declarations!$D$22*V251*Declarations!$D$22+1</f>
        <v>2.77777777777778</v>
      </c>
    </row>
    <row r="253" customFormat="false" ht="15" hidden="false" customHeight="false" outlineLevel="0" collapsed="false">
      <c r="A253" s="18" t="n">
        <v>244</v>
      </c>
      <c r="B253" s="20" t="n">
        <f aca="false">$B$4*B252*$B$4+$B$4*C252*$B$5+$B$5*C252*$B$4+$B$5*D252*$B$5+$E$4</f>
        <v>13.5714285713456</v>
      </c>
      <c r="C253" s="20" t="n">
        <f aca="false">$B$4*B252*$C$4+$B$4*C252*$C$5+$B$5*C252*$C$4+$B$5*D252*$C$5+$F$4</f>
        <v>-5.7857142856788</v>
      </c>
      <c r="D253" s="20" t="n">
        <f aca="false">$C$4*B252*$C$4+$C$4*C252*$C$5+$C$5*C252*$C$4+$C$5*D252*$C$5+$F$5</f>
        <v>11.9928571427829</v>
      </c>
      <c r="P253" s="18" t="n">
        <v>244</v>
      </c>
      <c r="Q253" s="20" t="n">
        <f aca="false">Declarations!$B$20*Q252*Declarations!$B$20+Declarations!$B$20*R252*Declarations!$B$21+Declarations!$B$20*S252*Declarations!$B$22+Declarations!$B$21*R252*Declarations!$B$20+Declarations!$B$21*T252*Declarations!$B$21+Declarations!$B$21*U252*Declarations!$B$22+Declarations!$B$22*S252*Declarations!$B$20+Declarations!$B$22*U252*Declarations!$B$21+Declarations!$B$22*V252*Declarations!$B$22+1</f>
        <v>10.2972987230585</v>
      </c>
      <c r="R253" s="20" t="n">
        <f aca="false">Declarations!$B$20*Q252*Declarations!$C$20+Declarations!$B$20*R252*Declarations!$C$21+Declarations!$B$20*S252*Declarations!$C$22+Declarations!$B$21*R252*Declarations!$C$20+Declarations!$B$21*T252*Declarations!$C$21+Declarations!$B$21*U252*Declarations!$C$22+Declarations!$B$22*S252*Declarations!$C$20+Declarations!$B$22*U252*Declarations!$C$21+Declarations!$B$22*V252*Declarations!$C$22+0</f>
        <v>4.60691839445107</v>
      </c>
      <c r="S253" s="20" t="n">
        <f aca="false">Declarations!$B$20*Q252*Declarations!$D$20+Declarations!$B$20*R252*Declarations!$D$21+Declarations!$B$20*S252*Declarations!$D$22+Declarations!$B$21*R252*Declarations!$D$20+Declarations!$B$21*T252*Declarations!$D$21+Declarations!$B$21*U252*Declarations!$D$22+Declarations!$B$22*S252*Declarations!$D$20+Declarations!$B$22*U252*Declarations!$D$21+Declarations!$B$22*V252*Declarations!$D$22+0</f>
        <v>0.617283950617284</v>
      </c>
      <c r="T253" s="20" t="n">
        <f aca="false">Declarations!$C$20*Q252*Declarations!$C$20+Declarations!$C$20*R252*Declarations!$C$21+Declarations!$C$20*S252*Declarations!$C$22+Declarations!$C$21*R252*Declarations!$C$20+Declarations!$C$21*T252*Declarations!$C$21+Declarations!$C$21*U252*Declarations!$C$22+Declarations!$C$22*S252*Declarations!$C$20+Declarations!$C$22*U252*Declarations!$C$21+Declarations!$C$22*V252*Declarations!$C$22+1</f>
        <v>5.70253970134076</v>
      </c>
      <c r="U253" s="20" t="n">
        <f aca="false">Declarations!$C$20*Q252*Declarations!$D$20+Declarations!$C$20*R252*Declarations!$D$21+Declarations!$C$20*S252*Declarations!$D$22+Declarations!$C$21*R252*Declarations!$D$20+Declarations!$C$21*T252*Declarations!$D$21+Declarations!$C$21*U252*Declarations!$D$22+Declarations!$C$22*S252*Declarations!$D$20+Declarations!$C$22*U252*Declarations!$D$21+Declarations!$C$22*V252*Declarations!$D$22+0</f>
        <v>0.771604938271605</v>
      </c>
      <c r="V253" s="20" t="n">
        <f aca="false">Declarations!$D$20*Q252*Declarations!$D$20+Declarations!$D$20*R252*Declarations!$D$21+Declarations!$D$20*S252*Declarations!$D$22+Declarations!$D$21*R252*Declarations!$D$20+Declarations!$D$21*T252*Declarations!$D$21+Declarations!$D$21*U252*Declarations!$D$22+Declarations!$D$22*S252*Declarations!$D$20+Declarations!$D$22*U252*Declarations!$D$21+Declarations!$D$22*V252*Declarations!$D$22+1</f>
        <v>2.77777777777778</v>
      </c>
    </row>
    <row r="254" customFormat="false" ht="15" hidden="false" customHeight="false" outlineLevel="0" collapsed="false">
      <c r="A254" s="18" t="n">
        <v>245</v>
      </c>
      <c r="B254" s="20" t="n">
        <f aca="false">$B$4*B253*$B$4+$B$4*C253*$B$5+$B$5*C253*$B$4+$B$5*D253*$B$5+$E$4</f>
        <v>13.571428571351</v>
      </c>
      <c r="C254" s="20" t="n">
        <f aca="false">$B$4*B253*$C$4+$B$4*C253*$C$5+$B$5*C253*$C$4+$B$5*D253*$C$5+$F$4</f>
        <v>-5.78571428567902</v>
      </c>
      <c r="D254" s="20" t="n">
        <f aca="false">$C$4*B253*$C$4+$C$4*C253*$C$5+$C$5*C253*$C$4+$C$5*D253*$C$5+$F$5</f>
        <v>11.9928571427899</v>
      </c>
      <c r="P254" s="18" t="n">
        <v>245</v>
      </c>
      <c r="Q254" s="20" t="n">
        <f aca="false">Declarations!$B$20*Q253*Declarations!$B$20+Declarations!$B$20*R253*Declarations!$B$21+Declarations!$B$20*S253*Declarations!$B$22+Declarations!$B$21*R253*Declarations!$B$20+Declarations!$B$21*T253*Declarations!$B$21+Declarations!$B$21*U253*Declarations!$B$22+Declarations!$B$22*S253*Declarations!$B$20+Declarations!$B$22*U253*Declarations!$B$21+Declarations!$B$22*V253*Declarations!$B$22+1</f>
        <v>10.2972987230747</v>
      </c>
      <c r="R254" s="20" t="n">
        <f aca="false">Declarations!$B$20*Q253*Declarations!$C$20+Declarations!$B$20*R253*Declarations!$C$21+Declarations!$B$20*S253*Declarations!$C$22+Declarations!$B$21*R253*Declarations!$C$20+Declarations!$B$21*T253*Declarations!$C$21+Declarations!$B$21*U253*Declarations!$C$22+Declarations!$B$22*S253*Declarations!$C$20+Declarations!$B$22*U253*Declarations!$C$21+Declarations!$B$22*V253*Declarations!$C$22+0</f>
        <v>4.60691839445917</v>
      </c>
      <c r="S254" s="20" t="n">
        <f aca="false">Declarations!$B$20*Q253*Declarations!$D$20+Declarations!$B$20*R253*Declarations!$D$21+Declarations!$B$20*S253*Declarations!$D$22+Declarations!$B$21*R253*Declarations!$D$20+Declarations!$B$21*T253*Declarations!$D$21+Declarations!$B$21*U253*Declarations!$D$22+Declarations!$B$22*S253*Declarations!$D$20+Declarations!$B$22*U253*Declarations!$D$21+Declarations!$B$22*V253*Declarations!$D$22+0</f>
        <v>0.617283950617284</v>
      </c>
      <c r="T254" s="20" t="n">
        <f aca="false">Declarations!$C$20*Q253*Declarations!$C$20+Declarations!$C$20*R253*Declarations!$C$21+Declarations!$C$20*S253*Declarations!$C$22+Declarations!$C$21*R253*Declarations!$C$20+Declarations!$C$21*T253*Declarations!$C$21+Declarations!$C$21*U253*Declarations!$C$22+Declarations!$C$22*S253*Declarations!$C$20+Declarations!$C$22*U253*Declarations!$C$21+Declarations!$C$22*V253*Declarations!$C$22+1</f>
        <v>5.70253970134481</v>
      </c>
      <c r="U254" s="20" t="n">
        <f aca="false">Declarations!$C$20*Q253*Declarations!$D$20+Declarations!$C$20*R253*Declarations!$D$21+Declarations!$C$20*S253*Declarations!$D$22+Declarations!$C$21*R253*Declarations!$D$20+Declarations!$C$21*T253*Declarations!$D$21+Declarations!$C$21*U253*Declarations!$D$22+Declarations!$C$22*S253*Declarations!$D$20+Declarations!$C$22*U253*Declarations!$D$21+Declarations!$C$22*V253*Declarations!$D$22+0</f>
        <v>0.771604938271605</v>
      </c>
      <c r="V254" s="20" t="n">
        <f aca="false">Declarations!$D$20*Q253*Declarations!$D$20+Declarations!$D$20*R253*Declarations!$D$21+Declarations!$D$20*S253*Declarations!$D$22+Declarations!$D$21*R253*Declarations!$D$20+Declarations!$D$21*T253*Declarations!$D$21+Declarations!$D$21*U253*Declarations!$D$22+Declarations!$D$22*S253*Declarations!$D$20+Declarations!$D$22*U253*Declarations!$D$21+Declarations!$D$22*V253*Declarations!$D$22+1</f>
        <v>2.77777777777778</v>
      </c>
    </row>
    <row r="255" customFormat="false" ht="15" hidden="false" customHeight="false" outlineLevel="0" collapsed="false">
      <c r="A255" s="18" t="n">
        <v>246</v>
      </c>
      <c r="B255" s="20" t="n">
        <f aca="false">$B$4*B254*$B$4+$B$4*C254*$B$5+$B$5*C254*$B$4+$B$5*D254*$B$5+$E$4</f>
        <v>13.571428571362</v>
      </c>
      <c r="C255" s="20" t="n">
        <f aca="false">$B$4*B254*$C$4+$B$4*C254*$C$5+$B$5*C254*$C$4+$B$5*D254*$C$5+$F$4</f>
        <v>-5.78571428568316</v>
      </c>
      <c r="D255" s="20" t="n">
        <f aca="false">$C$4*B254*$C$4+$C$4*C254*$C$5+$C$5*C254*$C$4+$C$5*D254*$C$5+$F$5</f>
        <v>11.9928571427943</v>
      </c>
      <c r="P255" s="18" t="n">
        <v>246</v>
      </c>
      <c r="Q255" s="20" t="n">
        <f aca="false">Declarations!$B$20*Q254*Declarations!$B$20+Declarations!$B$20*R254*Declarations!$B$21+Declarations!$B$20*S254*Declarations!$B$22+Declarations!$B$21*R254*Declarations!$B$20+Declarations!$B$21*T254*Declarations!$B$21+Declarations!$B$21*U254*Declarations!$B$22+Declarations!$B$22*S254*Declarations!$B$20+Declarations!$B$22*U254*Declarations!$B$21+Declarations!$B$22*V254*Declarations!$B$22+1</f>
        <v>10.2972987230893</v>
      </c>
      <c r="R255" s="20" t="n">
        <f aca="false">Declarations!$B$20*Q254*Declarations!$C$20+Declarations!$B$20*R254*Declarations!$C$21+Declarations!$B$20*S254*Declarations!$C$22+Declarations!$B$21*R254*Declarations!$C$20+Declarations!$B$21*T254*Declarations!$C$21+Declarations!$B$21*U254*Declarations!$C$22+Declarations!$B$22*S254*Declarations!$C$20+Declarations!$B$22*U254*Declarations!$C$21+Declarations!$B$22*V254*Declarations!$C$22+0</f>
        <v>4.60691839446648</v>
      </c>
      <c r="S255" s="20" t="n">
        <f aca="false">Declarations!$B$20*Q254*Declarations!$D$20+Declarations!$B$20*R254*Declarations!$D$21+Declarations!$B$20*S254*Declarations!$D$22+Declarations!$B$21*R254*Declarations!$D$20+Declarations!$B$21*T254*Declarations!$D$21+Declarations!$B$21*U254*Declarations!$D$22+Declarations!$B$22*S254*Declarations!$D$20+Declarations!$B$22*U254*Declarations!$D$21+Declarations!$B$22*V254*Declarations!$D$22+0</f>
        <v>0.617283950617284</v>
      </c>
      <c r="T255" s="20" t="n">
        <f aca="false">Declarations!$C$20*Q254*Declarations!$C$20+Declarations!$C$20*R254*Declarations!$C$21+Declarations!$C$20*S254*Declarations!$C$22+Declarations!$C$21*R254*Declarations!$C$20+Declarations!$C$21*T254*Declarations!$C$21+Declarations!$C$21*U254*Declarations!$C$22+Declarations!$C$22*S254*Declarations!$C$20+Declarations!$C$22*U254*Declarations!$C$21+Declarations!$C$22*V254*Declarations!$C$22+1</f>
        <v>5.70253970134846</v>
      </c>
      <c r="U255" s="20" t="n">
        <f aca="false">Declarations!$C$20*Q254*Declarations!$D$20+Declarations!$C$20*R254*Declarations!$D$21+Declarations!$C$20*S254*Declarations!$D$22+Declarations!$C$21*R254*Declarations!$D$20+Declarations!$C$21*T254*Declarations!$D$21+Declarations!$C$21*U254*Declarations!$D$22+Declarations!$C$22*S254*Declarations!$D$20+Declarations!$C$22*U254*Declarations!$D$21+Declarations!$C$22*V254*Declarations!$D$22+0</f>
        <v>0.771604938271605</v>
      </c>
      <c r="V255" s="20" t="n">
        <f aca="false">Declarations!$D$20*Q254*Declarations!$D$20+Declarations!$D$20*R254*Declarations!$D$21+Declarations!$D$20*S254*Declarations!$D$22+Declarations!$D$21*R254*Declarations!$D$20+Declarations!$D$21*T254*Declarations!$D$21+Declarations!$D$21*U254*Declarations!$D$22+Declarations!$D$22*S254*Declarations!$D$20+Declarations!$D$22*U254*Declarations!$D$21+Declarations!$D$22*V254*Declarations!$D$22+1</f>
        <v>2.77777777777778</v>
      </c>
    </row>
    <row r="256" customFormat="false" ht="15" hidden="false" customHeight="false" outlineLevel="0" collapsed="false">
      <c r="A256" s="18" t="n">
        <v>247</v>
      </c>
      <c r="B256" s="20" t="n">
        <f aca="false">$B$4*B255*$B$4+$B$4*C255*$B$5+$B$5*C255*$B$4+$B$5*D255*$B$5+$E$4</f>
        <v>13.5714285713678</v>
      </c>
      <c r="C256" s="20" t="n">
        <f aca="false">$B$4*B255*$C$4+$B$4*C255*$C$5+$B$5*C255*$C$4+$B$5*D255*$C$5+$F$4</f>
        <v>-5.78571428568836</v>
      </c>
      <c r="D256" s="20" t="n">
        <f aca="false">$C$4*B255*$C$4+$C$4*C255*$C$5+$C$5*C255*$C$4+$C$5*D255*$C$5+$F$5</f>
        <v>11.9928571428032</v>
      </c>
      <c r="P256" s="18" t="n">
        <v>247</v>
      </c>
      <c r="Q256" s="20" t="n">
        <f aca="false">Declarations!$B$20*Q255*Declarations!$B$20+Declarations!$B$20*R255*Declarations!$B$21+Declarations!$B$20*S255*Declarations!$B$22+Declarations!$B$21*R255*Declarations!$B$20+Declarations!$B$21*T255*Declarations!$B$21+Declarations!$B$21*U255*Declarations!$B$22+Declarations!$B$22*S255*Declarations!$B$20+Declarations!$B$22*U255*Declarations!$B$21+Declarations!$B$22*V255*Declarations!$B$22+1</f>
        <v>10.2972987231025</v>
      </c>
      <c r="R256" s="20" t="n">
        <f aca="false">Declarations!$B$20*Q255*Declarations!$C$20+Declarations!$B$20*R255*Declarations!$C$21+Declarations!$B$20*S255*Declarations!$C$22+Declarations!$B$21*R255*Declarations!$C$20+Declarations!$B$21*T255*Declarations!$C$21+Declarations!$B$21*U255*Declarations!$C$22+Declarations!$B$22*S255*Declarations!$C$20+Declarations!$B$22*U255*Declarations!$C$21+Declarations!$B$22*V255*Declarations!$C$22+0</f>
        <v>4.60691839447308</v>
      </c>
      <c r="S256" s="20" t="n">
        <f aca="false">Declarations!$B$20*Q255*Declarations!$D$20+Declarations!$B$20*R255*Declarations!$D$21+Declarations!$B$20*S255*Declarations!$D$22+Declarations!$B$21*R255*Declarations!$D$20+Declarations!$B$21*T255*Declarations!$D$21+Declarations!$B$21*U255*Declarations!$D$22+Declarations!$B$22*S255*Declarations!$D$20+Declarations!$B$22*U255*Declarations!$D$21+Declarations!$B$22*V255*Declarations!$D$22+0</f>
        <v>0.617283950617284</v>
      </c>
      <c r="T256" s="20" t="n">
        <f aca="false">Declarations!$C$20*Q255*Declarations!$C$20+Declarations!$C$20*R255*Declarations!$C$21+Declarations!$C$20*S255*Declarations!$C$22+Declarations!$C$21*R255*Declarations!$C$20+Declarations!$C$21*T255*Declarations!$C$21+Declarations!$C$21*U255*Declarations!$C$22+Declarations!$C$22*S255*Declarations!$C$20+Declarations!$C$22*U255*Declarations!$C$21+Declarations!$C$22*V255*Declarations!$C$22+1</f>
        <v>5.70253970135176</v>
      </c>
      <c r="U256" s="20" t="n">
        <f aca="false">Declarations!$C$20*Q255*Declarations!$D$20+Declarations!$C$20*R255*Declarations!$D$21+Declarations!$C$20*S255*Declarations!$D$22+Declarations!$C$21*R255*Declarations!$D$20+Declarations!$C$21*T255*Declarations!$D$21+Declarations!$C$21*U255*Declarations!$D$22+Declarations!$C$22*S255*Declarations!$D$20+Declarations!$C$22*U255*Declarations!$D$21+Declarations!$C$22*V255*Declarations!$D$22+0</f>
        <v>0.771604938271605</v>
      </c>
      <c r="V256" s="20" t="n">
        <f aca="false">Declarations!$D$20*Q255*Declarations!$D$20+Declarations!$D$20*R255*Declarations!$D$21+Declarations!$D$20*S255*Declarations!$D$22+Declarations!$D$21*R255*Declarations!$D$20+Declarations!$D$21*T255*Declarations!$D$21+Declarations!$D$21*U255*Declarations!$D$22+Declarations!$D$22*S255*Declarations!$D$20+Declarations!$D$22*U255*Declarations!$D$21+Declarations!$D$22*V255*Declarations!$D$22+1</f>
        <v>2.77777777777778</v>
      </c>
    </row>
    <row r="257" customFormat="false" ht="15" hidden="false" customHeight="false" outlineLevel="0" collapsed="false">
      <c r="A257" s="18" t="n">
        <v>248</v>
      </c>
      <c r="B257" s="20" t="n">
        <f aca="false">$B$4*B256*$B$4+$B$4*C256*$B$5+$B$5*C256*$B$4+$B$5*D256*$B$5+$E$4</f>
        <v>13.5714285713721</v>
      </c>
      <c r="C257" s="20" t="n">
        <f aca="false">$B$4*B256*$C$4+$B$4*C256*$C$5+$B$5*C256*$C$4+$B$5*D256*$C$5+$F$4</f>
        <v>-5.78571428568839</v>
      </c>
      <c r="D257" s="20" t="n">
        <f aca="false">$C$4*B256*$C$4+$C$4*C256*$C$5+$C$5*C256*$C$4+$C$5*D256*$C$5+$F$5</f>
        <v>11.9928571428079</v>
      </c>
      <c r="P257" s="18" t="n">
        <v>248</v>
      </c>
      <c r="Q257" s="20" t="n">
        <f aca="false">Declarations!$B$20*Q256*Declarations!$B$20+Declarations!$B$20*R256*Declarations!$B$21+Declarations!$B$20*S256*Declarations!$B$22+Declarations!$B$21*R256*Declarations!$B$20+Declarations!$B$21*T256*Declarations!$B$21+Declarations!$B$21*U256*Declarations!$B$22+Declarations!$B$22*S256*Declarations!$B$20+Declarations!$B$22*U256*Declarations!$B$21+Declarations!$B$22*V256*Declarations!$B$22+1</f>
        <v>10.2972987231144</v>
      </c>
      <c r="R257" s="20" t="n">
        <f aca="false">Declarations!$B$20*Q256*Declarations!$C$20+Declarations!$B$20*R256*Declarations!$C$21+Declarations!$B$20*S256*Declarations!$C$22+Declarations!$B$21*R256*Declarations!$C$20+Declarations!$B$21*T256*Declarations!$C$21+Declarations!$B$21*U256*Declarations!$C$22+Declarations!$B$22*S256*Declarations!$C$20+Declarations!$B$22*U256*Declarations!$C$21+Declarations!$B$22*V256*Declarations!$C$22+0</f>
        <v>4.60691839447903</v>
      </c>
      <c r="S257" s="20" t="n">
        <f aca="false">Declarations!$B$20*Q256*Declarations!$D$20+Declarations!$B$20*R256*Declarations!$D$21+Declarations!$B$20*S256*Declarations!$D$22+Declarations!$B$21*R256*Declarations!$D$20+Declarations!$B$21*T256*Declarations!$D$21+Declarations!$B$21*U256*Declarations!$D$22+Declarations!$B$22*S256*Declarations!$D$20+Declarations!$B$22*U256*Declarations!$D$21+Declarations!$B$22*V256*Declarations!$D$22+0</f>
        <v>0.617283950617284</v>
      </c>
      <c r="T257" s="20" t="n">
        <f aca="false">Declarations!$C$20*Q256*Declarations!$C$20+Declarations!$C$20*R256*Declarations!$C$21+Declarations!$C$20*S256*Declarations!$C$22+Declarations!$C$21*R256*Declarations!$C$20+Declarations!$C$21*T256*Declarations!$C$21+Declarations!$C$21*U256*Declarations!$C$22+Declarations!$C$22*S256*Declarations!$C$20+Declarations!$C$22*U256*Declarations!$C$21+Declarations!$C$22*V256*Declarations!$C$22+1</f>
        <v>5.70253970135474</v>
      </c>
      <c r="U257" s="20" t="n">
        <f aca="false">Declarations!$C$20*Q256*Declarations!$D$20+Declarations!$C$20*R256*Declarations!$D$21+Declarations!$C$20*S256*Declarations!$D$22+Declarations!$C$21*R256*Declarations!$D$20+Declarations!$C$21*T256*Declarations!$D$21+Declarations!$C$21*U256*Declarations!$D$22+Declarations!$C$22*S256*Declarations!$D$20+Declarations!$C$22*U256*Declarations!$D$21+Declarations!$C$22*V256*Declarations!$D$22+0</f>
        <v>0.771604938271605</v>
      </c>
      <c r="V257" s="20" t="n">
        <f aca="false">Declarations!$D$20*Q256*Declarations!$D$20+Declarations!$D$20*R256*Declarations!$D$21+Declarations!$D$20*S256*Declarations!$D$22+Declarations!$D$21*R256*Declarations!$D$20+Declarations!$D$21*T256*Declarations!$D$21+Declarations!$D$21*U256*Declarations!$D$22+Declarations!$D$22*S256*Declarations!$D$20+Declarations!$D$22*U256*Declarations!$D$21+Declarations!$D$22*V256*Declarations!$D$22+1</f>
        <v>2.77777777777778</v>
      </c>
    </row>
    <row r="258" customFormat="false" ht="15" hidden="false" customHeight="false" outlineLevel="0" collapsed="false">
      <c r="A258" s="18" t="n">
        <v>249</v>
      </c>
      <c r="B258" s="20" t="n">
        <f aca="false">$B$4*B257*$B$4+$B$4*C257*$B$5+$B$5*C257*$B$4+$B$5*D257*$B$5+$E$4</f>
        <v>13.5714285713802</v>
      </c>
      <c r="C258" s="20" t="n">
        <f aca="false">$B$4*B257*$C$4+$B$4*C257*$C$5+$B$5*C257*$C$4+$B$5*D257*$C$5+$F$4</f>
        <v>-5.78571428569183</v>
      </c>
      <c r="D258" s="20" t="n">
        <f aca="false">$C$4*B257*$C$4+$C$4*C257*$C$5+$C$5*C257*$C$4+$C$5*D257*$C$5+$F$5</f>
        <v>11.9928571428114</v>
      </c>
      <c r="P258" s="18" t="n">
        <v>249</v>
      </c>
      <c r="Q258" s="20" t="n">
        <f aca="false">Declarations!$B$20*Q257*Declarations!$B$20+Declarations!$B$20*R257*Declarations!$B$21+Declarations!$B$20*S257*Declarations!$B$22+Declarations!$B$21*R257*Declarations!$B$20+Declarations!$B$21*T257*Declarations!$B$21+Declarations!$B$21*U257*Declarations!$B$22+Declarations!$B$22*S257*Declarations!$B$20+Declarations!$B$22*U257*Declarations!$B$21+Declarations!$B$22*V257*Declarations!$B$22+1</f>
        <v>10.2972987231252</v>
      </c>
      <c r="R258" s="20" t="n">
        <f aca="false">Declarations!$B$20*Q257*Declarations!$C$20+Declarations!$B$20*R257*Declarations!$C$21+Declarations!$B$20*S257*Declarations!$C$22+Declarations!$B$21*R257*Declarations!$C$20+Declarations!$B$21*T257*Declarations!$C$21+Declarations!$B$21*U257*Declarations!$C$22+Declarations!$B$22*S257*Declarations!$C$20+Declarations!$B$22*U257*Declarations!$C$21+Declarations!$B$22*V257*Declarations!$C$22+0</f>
        <v>4.6069183944844</v>
      </c>
      <c r="S258" s="20" t="n">
        <f aca="false">Declarations!$B$20*Q257*Declarations!$D$20+Declarations!$B$20*R257*Declarations!$D$21+Declarations!$B$20*S257*Declarations!$D$22+Declarations!$B$21*R257*Declarations!$D$20+Declarations!$B$21*T257*Declarations!$D$21+Declarations!$B$21*U257*Declarations!$D$22+Declarations!$B$22*S257*Declarations!$D$20+Declarations!$B$22*U257*Declarations!$D$21+Declarations!$B$22*V257*Declarations!$D$22+0</f>
        <v>0.617283950617284</v>
      </c>
      <c r="T258" s="20" t="n">
        <f aca="false">Declarations!$C$20*Q257*Declarations!$C$20+Declarations!$C$20*R257*Declarations!$C$21+Declarations!$C$20*S257*Declarations!$C$22+Declarations!$C$21*R257*Declarations!$C$20+Declarations!$C$21*T257*Declarations!$C$21+Declarations!$C$21*U257*Declarations!$C$22+Declarations!$C$22*S257*Declarations!$C$20+Declarations!$C$22*U257*Declarations!$C$21+Declarations!$C$22*V257*Declarations!$C$22+1</f>
        <v>5.70253970135742</v>
      </c>
      <c r="U258" s="20" t="n">
        <f aca="false">Declarations!$C$20*Q257*Declarations!$D$20+Declarations!$C$20*R257*Declarations!$D$21+Declarations!$C$20*S257*Declarations!$D$22+Declarations!$C$21*R257*Declarations!$D$20+Declarations!$C$21*T257*Declarations!$D$21+Declarations!$C$21*U257*Declarations!$D$22+Declarations!$C$22*S257*Declarations!$D$20+Declarations!$C$22*U257*Declarations!$D$21+Declarations!$C$22*V257*Declarations!$D$22+0</f>
        <v>0.771604938271605</v>
      </c>
      <c r="V258" s="20" t="n">
        <f aca="false">Declarations!$D$20*Q257*Declarations!$D$20+Declarations!$D$20*R257*Declarations!$D$21+Declarations!$D$20*S257*Declarations!$D$22+Declarations!$D$21*R257*Declarations!$D$20+Declarations!$D$21*T257*Declarations!$D$21+Declarations!$D$21*U257*Declarations!$D$22+Declarations!$D$22*S257*Declarations!$D$20+Declarations!$D$22*U257*Declarations!$D$21+Declarations!$D$22*V257*Declarations!$D$22+1</f>
        <v>2.77777777777778</v>
      </c>
    </row>
    <row r="259" customFormat="false" ht="15" hidden="false" customHeight="false" outlineLevel="0" collapsed="false">
      <c r="A259" s="18" t="n">
        <v>250</v>
      </c>
      <c r="B259" s="20" t="n">
        <f aca="false">$B$4*B258*$B$4+$B$4*C258*$B$5+$B$5*C258*$B$4+$B$5*D258*$B$5+$E$4</f>
        <v>13.571428571384</v>
      </c>
      <c r="C259" s="20" t="n">
        <f aca="false">$B$4*B258*$C$4+$B$4*C258*$C$5+$B$5*C258*$C$4+$B$5*D258*$C$5+$F$4</f>
        <v>-5.7857142856953</v>
      </c>
      <c r="D259" s="20" t="n">
        <f aca="false">$C$4*B258*$C$4+$C$4*C258*$C$5+$C$5*C258*$C$4+$C$5*D258*$C$5+$F$5</f>
        <v>11.9928571428179</v>
      </c>
      <c r="P259" s="18" t="n">
        <v>250</v>
      </c>
      <c r="Q259" s="20" t="n">
        <f aca="false">Declarations!$B$20*Q258*Declarations!$B$20+Declarations!$B$20*R258*Declarations!$B$21+Declarations!$B$20*S258*Declarations!$B$22+Declarations!$B$21*R258*Declarations!$B$20+Declarations!$B$21*T258*Declarations!$B$21+Declarations!$B$21*U258*Declarations!$B$22+Declarations!$B$22*S258*Declarations!$B$20+Declarations!$B$22*U258*Declarations!$B$21+Declarations!$B$22*V258*Declarations!$B$22+1</f>
        <v>10.2972987231349</v>
      </c>
      <c r="R259" s="20" t="n">
        <f aca="false">Declarations!$B$20*Q258*Declarations!$C$20+Declarations!$B$20*R258*Declarations!$C$21+Declarations!$B$20*S258*Declarations!$C$22+Declarations!$B$21*R258*Declarations!$C$20+Declarations!$B$21*T258*Declarations!$C$21+Declarations!$B$21*U258*Declarations!$C$22+Declarations!$B$22*S258*Declarations!$C$20+Declarations!$B$22*U258*Declarations!$C$21+Declarations!$B$22*V258*Declarations!$C$22+0</f>
        <v>4.60691839448925</v>
      </c>
      <c r="S259" s="20" t="n">
        <f aca="false">Declarations!$B$20*Q258*Declarations!$D$20+Declarations!$B$20*R258*Declarations!$D$21+Declarations!$B$20*S258*Declarations!$D$22+Declarations!$B$21*R258*Declarations!$D$20+Declarations!$B$21*T258*Declarations!$D$21+Declarations!$B$21*U258*Declarations!$D$22+Declarations!$B$22*S258*Declarations!$D$20+Declarations!$B$22*U258*Declarations!$D$21+Declarations!$B$22*V258*Declarations!$D$22+0</f>
        <v>0.617283950617284</v>
      </c>
      <c r="T259" s="20" t="n">
        <f aca="false">Declarations!$C$20*Q258*Declarations!$C$20+Declarations!$C$20*R258*Declarations!$C$21+Declarations!$C$20*S258*Declarations!$C$22+Declarations!$C$21*R258*Declarations!$C$20+Declarations!$C$21*T258*Declarations!$C$21+Declarations!$C$21*U258*Declarations!$C$22+Declarations!$C$22*S258*Declarations!$C$20+Declarations!$C$22*U258*Declarations!$C$21+Declarations!$C$22*V258*Declarations!$C$22+1</f>
        <v>5.70253970135985</v>
      </c>
      <c r="U259" s="20" t="n">
        <f aca="false">Declarations!$C$20*Q258*Declarations!$D$20+Declarations!$C$20*R258*Declarations!$D$21+Declarations!$C$20*S258*Declarations!$D$22+Declarations!$C$21*R258*Declarations!$D$20+Declarations!$C$21*T258*Declarations!$D$21+Declarations!$C$21*U258*Declarations!$D$22+Declarations!$C$22*S258*Declarations!$D$20+Declarations!$C$22*U258*Declarations!$D$21+Declarations!$C$22*V258*Declarations!$D$22+0</f>
        <v>0.771604938271605</v>
      </c>
      <c r="V259" s="20" t="n">
        <f aca="false">Declarations!$D$20*Q258*Declarations!$D$20+Declarations!$D$20*R258*Declarations!$D$21+Declarations!$D$20*S258*Declarations!$D$22+Declarations!$D$21*R258*Declarations!$D$20+Declarations!$D$21*T258*Declarations!$D$21+Declarations!$D$21*U258*Declarations!$D$22+Declarations!$D$22*S258*Declarations!$D$20+Declarations!$D$22*U258*Declarations!$D$21+Declarations!$D$22*V258*Declarations!$D$22+1</f>
        <v>2.77777777777778</v>
      </c>
    </row>
    <row r="260" customFormat="false" ht="15" hidden="false" customHeight="false" outlineLevel="0" collapsed="false">
      <c r="A260" s="18" t="n">
        <v>251</v>
      </c>
      <c r="B260" s="20" t="n">
        <f aca="false">$B$4*B259*$B$4+$B$4*C259*$B$5+$B$5*C259*$B$4+$B$5*D259*$B$5+$E$4</f>
        <v>13.5714285713875</v>
      </c>
      <c r="C260" s="20" t="n">
        <f aca="false">$B$4*B259*$C$4+$B$4*C259*$C$5+$B$5*C259*$C$4+$B$5*D259*$C$5+$F$4</f>
        <v>-5.7857142856953</v>
      </c>
      <c r="D260" s="20" t="n">
        <f aca="false">$C$4*B259*$C$4+$C$4*C259*$C$5+$C$5*C259*$C$4+$C$5*D259*$C$5+$F$5</f>
        <v>11.9928571428211</v>
      </c>
      <c r="P260" s="18" t="n">
        <v>251</v>
      </c>
      <c r="Q260" s="20" t="n">
        <f aca="false">Declarations!$B$20*Q259*Declarations!$B$20+Declarations!$B$20*R259*Declarations!$B$21+Declarations!$B$20*S259*Declarations!$B$22+Declarations!$B$21*R259*Declarations!$B$20+Declarations!$B$21*T259*Declarations!$B$21+Declarations!$B$21*U259*Declarations!$B$22+Declarations!$B$22*S259*Declarations!$B$20+Declarations!$B$22*U259*Declarations!$B$21+Declarations!$B$22*V259*Declarations!$B$22+1</f>
        <v>10.2972987231436</v>
      </c>
      <c r="R260" s="20" t="n">
        <f aca="false">Declarations!$B$20*Q259*Declarations!$C$20+Declarations!$B$20*R259*Declarations!$C$21+Declarations!$B$20*S259*Declarations!$C$22+Declarations!$B$21*R259*Declarations!$C$20+Declarations!$B$21*T259*Declarations!$C$21+Declarations!$B$21*U259*Declarations!$C$22+Declarations!$B$22*S259*Declarations!$C$20+Declarations!$B$22*U259*Declarations!$C$21+Declarations!$B$22*V259*Declarations!$C$22+0</f>
        <v>4.60691839449363</v>
      </c>
      <c r="S260" s="20" t="n">
        <f aca="false">Declarations!$B$20*Q259*Declarations!$D$20+Declarations!$B$20*R259*Declarations!$D$21+Declarations!$B$20*S259*Declarations!$D$22+Declarations!$B$21*R259*Declarations!$D$20+Declarations!$B$21*T259*Declarations!$D$21+Declarations!$B$21*U259*Declarations!$D$22+Declarations!$B$22*S259*Declarations!$D$20+Declarations!$B$22*U259*Declarations!$D$21+Declarations!$B$22*V259*Declarations!$D$22+0</f>
        <v>0.617283950617284</v>
      </c>
      <c r="T260" s="20" t="n">
        <f aca="false">Declarations!$C$20*Q259*Declarations!$C$20+Declarations!$C$20*R259*Declarations!$C$21+Declarations!$C$20*S259*Declarations!$C$22+Declarations!$C$21*R259*Declarations!$C$20+Declarations!$C$21*T259*Declarations!$C$21+Declarations!$C$21*U259*Declarations!$C$22+Declarations!$C$22*S259*Declarations!$C$20+Declarations!$C$22*U259*Declarations!$C$21+Declarations!$C$22*V259*Declarations!$C$22+1</f>
        <v>5.70253970136204</v>
      </c>
      <c r="U260" s="20" t="n">
        <f aca="false">Declarations!$C$20*Q259*Declarations!$D$20+Declarations!$C$20*R259*Declarations!$D$21+Declarations!$C$20*S259*Declarations!$D$22+Declarations!$C$21*R259*Declarations!$D$20+Declarations!$C$21*T259*Declarations!$D$21+Declarations!$C$21*U259*Declarations!$D$22+Declarations!$C$22*S259*Declarations!$D$20+Declarations!$C$22*U259*Declarations!$D$21+Declarations!$C$22*V259*Declarations!$D$22+0</f>
        <v>0.771604938271605</v>
      </c>
      <c r="V260" s="20" t="n">
        <f aca="false">Declarations!$D$20*Q259*Declarations!$D$20+Declarations!$D$20*R259*Declarations!$D$21+Declarations!$D$20*S259*Declarations!$D$22+Declarations!$D$21*R259*Declarations!$D$20+Declarations!$D$21*T259*Declarations!$D$21+Declarations!$D$21*U259*Declarations!$D$22+Declarations!$D$22*S259*Declarations!$D$20+Declarations!$D$22*U259*Declarations!$D$21+Declarations!$D$22*V259*Declarations!$D$22+1</f>
        <v>2.77777777777778</v>
      </c>
    </row>
    <row r="261" customFormat="false" ht="15" hidden="false" customHeight="false" outlineLevel="0" collapsed="false">
      <c r="A261" s="18" t="n">
        <v>252</v>
      </c>
      <c r="B261" s="20" t="n">
        <f aca="false">$B$4*B260*$B$4+$B$4*C260*$B$5+$B$5*C260*$B$4+$B$5*D260*$B$5+$E$4</f>
        <v>13.5714285713934</v>
      </c>
      <c r="C261" s="20" t="n">
        <f aca="false">$B$4*B260*$C$4+$B$4*C260*$C$5+$B$5*C260*$C$4+$B$5*D260*$C$5+$F$4</f>
        <v>-5.78571428569808</v>
      </c>
      <c r="D261" s="20" t="n">
        <f aca="false">$C$4*B260*$C$4+$C$4*C260*$C$5+$C$5*C260*$C$4+$C$5*D260*$C$5+$F$5</f>
        <v>11.9928571428238</v>
      </c>
      <c r="P261" s="18" t="n">
        <v>252</v>
      </c>
      <c r="Q261" s="20" t="n">
        <f aca="false">Declarations!$B$20*Q260*Declarations!$B$20+Declarations!$B$20*R260*Declarations!$B$21+Declarations!$B$20*S260*Declarations!$B$22+Declarations!$B$21*R260*Declarations!$B$20+Declarations!$B$21*T260*Declarations!$B$21+Declarations!$B$21*U260*Declarations!$B$22+Declarations!$B$22*S260*Declarations!$B$20+Declarations!$B$22*U260*Declarations!$B$21+Declarations!$B$22*V260*Declarations!$B$22+1</f>
        <v>10.2972987231515</v>
      </c>
      <c r="R261" s="20" t="n">
        <f aca="false">Declarations!$B$20*Q260*Declarations!$C$20+Declarations!$B$20*R260*Declarations!$C$21+Declarations!$B$20*S260*Declarations!$C$22+Declarations!$B$21*R260*Declarations!$C$20+Declarations!$B$21*T260*Declarations!$C$21+Declarations!$B$21*U260*Declarations!$C$22+Declarations!$B$22*S260*Declarations!$C$20+Declarations!$B$22*U260*Declarations!$C$21+Declarations!$B$22*V260*Declarations!$C$22+0</f>
        <v>4.60691839449758</v>
      </c>
      <c r="S261" s="20" t="n">
        <f aca="false">Declarations!$B$20*Q260*Declarations!$D$20+Declarations!$B$20*R260*Declarations!$D$21+Declarations!$B$20*S260*Declarations!$D$22+Declarations!$B$21*R260*Declarations!$D$20+Declarations!$B$21*T260*Declarations!$D$21+Declarations!$B$21*U260*Declarations!$D$22+Declarations!$B$22*S260*Declarations!$D$20+Declarations!$B$22*U260*Declarations!$D$21+Declarations!$B$22*V260*Declarations!$D$22+0</f>
        <v>0.617283950617284</v>
      </c>
      <c r="T261" s="20" t="n">
        <f aca="false">Declarations!$C$20*Q260*Declarations!$C$20+Declarations!$C$20*R260*Declarations!$C$21+Declarations!$C$20*S260*Declarations!$C$22+Declarations!$C$21*R260*Declarations!$C$20+Declarations!$C$21*T260*Declarations!$C$21+Declarations!$C$21*U260*Declarations!$C$22+Declarations!$C$22*S260*Declarations!$C$20+Declarations!$C$22*U260*Declarations!$C$21+Declarations!$C$22*V260*Declarations!$C$22+1</f>
        <v>5.70253970136401</v>
      </c>
      <c r="U261" s="20" t="n">
        <f aca="false">Declarations!$C$20*Q260*Declarations!$D$20+Declarations!$C$20*R260*Declarations!$D$21+Declarations!$C$20*S260*Declarations!$D$22+Declarations!$C$21*R260*Declarations!$D$20+Declarations!$C$21*T260*Declarations!$D$21+Declarations!$C$21*U260*Declarations!$D$22+Declarations!$C$22*S260*Declarations!$D$20+Declarations!$C$22*U260*Declarations!$D$21+Declarations!$C$22*V260*Declarations!$D$22+0</f>
        <v>0.771604938271605</v>
      </c>
      <c r="V261" s="20" t="n">
        <f aca="false">Declarations!$D$20*Q260*Declarations!$D$20+Declarations!$D$20*R260*Declarations!$D$21+Declarations!$D$20*S260*Declarations!$D$22+Declarations!$D$21*R260*Declarations!$D$20+Declarations!$D$21*T260*Declarations!$D$21+Declarations!$D$21*U260*Declarations!$D$22+Declarations!$D$22*S260*Declarations!$D$20+Declarations!$D$22*U260*Declarations!$D$21+Declarations!$D$22*V260*Declarations!$D$22+1</f>
        <v>2.77777777777778</v>
      </c>
    </row>
    <row r="262" customFormat="false" ht="15" hidden="false" customHeight="false" outlineLevel="0" collapsed="false">
      <c r="A262" s="18" t="n">
        <v>253</v>
      </c>
      <c r="B262" s="20" t="n">
        <f aca="false">$B$4*B261*$B$4+$B$4*C261*$B$5+$B$5*C261*$B$4+$B$5*D261*$B$5+$E$4</f>
        <v>13.5714285713959</v>
      </c>
      <c r="C262" s="20" t="n">
        <f aca="false">$B$4*B261*$C$4+$B$4*C261*$C$5+$B$5*C261*$C$4+$B$5*D261*$C$5+$F$4</f>
        <v>-5.78571428570037</v>
      </c>
      <c r="D262" s="20" t="n">
        <f aca="false">$C$4*B261*$C$4+$C$4*C261*$C$5+$C$5*C261*$C$4+$C$5*D261*$C$5+$F$5</f>
        <v>11.9928571428286</v>
      </c>
      <c r="P262" s="18" t="n">
        <v>253</v>
      </c>
      <c r="Q262" s="20" t="n">
        <f aca="false">Declarations!$B$20*Q261*Declarations!$B$20+Declarations!$B$20*R261*Declarations!$B$21+Declarations!$B$20*S261*Declarations!$B$22+Declarations!$B$21*R261*Declarations!$B$20+Declarations!$B$21*T261*Declarations!$B$21+Declarations!$B$21*U261*Declarations!$B$22+Declarations!$B$22*S261*Declarations!$B$20+Declarations!$B$22*U261*Declarations!$B$21+Declarations!$B$22*V261*Declarations!$B$22+1</f>
        <v>10.2972987231587</v>
      </c>
      <c r="R262" s="20" t="n">
        <f aca="false">Declarations!$B$20*Q261*Declarations!$C$20+Declarations!$B$20*R261*Declarations!$C$21+Declarations!$B$20*S261*Declarations!$C$22+Declarations!$B$21*R261*Declarations!$C$20+Declarations!$B$21*T261*Declarations!$C$21+Declarations!$B$21*U261*Declarations!$C$22+Declarations!$B$22*S261*Declarations!$C$20+Declarations!$B$22*U261*Declarations!$C$21+Declarations!$B$22*V261*Declarations!$C$22+0</f>
        <v>4.60691839450115</v>
      </c>
      <c r="S262" s="20" t="n">
        <f aca="false">Declarations!$B$20*Q261*Declarations!$D$20+Declarations!$B$20*R261*Declarations!$D$21+Declarations!$B$20*S261*Declarations!$D$22+Declarations!$B$21*R261*Declarations!$D$20+Declarations!$B$21*T261*Declarations!$D$21+Declarations!$B$21*U261*Declarations!$D$22+Declarations!$B$22*S261*Declarations!$D$20+Declarations!$B$22*U261*Declarations!$D$21+Declarations!$B$22*V261*Declarations!$D$22+0</f>
        <v>0.617283950617284</v>
      </c>
      <c r="T262" s="20" t="n">
        <f aca="false">Declarations!$C$20*Q261*Declarations!$C$20+Declarations!$C$20*R261*Declarations!$C$21+Declarations!$C$20*S261*Declarations!$C$22+Declarations!$C$21*R261*Declarations!$C$20+Declarations!$C$21*T261*Declarations!$C$21+Declarations!$C$21*U261*Declarations!$C$22+Declarations!$C$22*S261*Declarations!$C$20+Declarations!$C$22*U261*Declarations!$C$21+Declarations!$C$22*V261*Declarations!$C$22+1</f>
        <v>5.70253970136579</v>
      </c>
      <c r="U262" s="20" t="n">
        <f aca="false">Declarations!$C$20*Q261*Declarations!$D$20+Declarations!$C$20*R261*Declarations!$D$21+Declarations!$C$20*S261*Declarations!$D$22+Declarations!$C$21*R261*Declarations!$D$20+Declarations!$C$21*T261*Declarations!$D$21+Declarations!$C$21*U261*Declarations!$D$22+Declarations!$C$22*S261*Declarations!$D$20+Declarations!$C$22*U261*Declarations!$D$21+Declarations!$C$22*V261*Declarations!$D$22+0</f>
        <v>0.771604938271605</v>
      </c>
      <c r="V262" s="20" t="n">
        <f aca="false">Declarations!$D$20*Q261*Declarations!$D$20+Declarations!$D$20*R261*Declarations!$D$21+Declarations!$D$20*S261*Declarations!$D$22+Declarations!$D$21*R261*Declarations!$D$20+Declarations!$D$21*T261*Declarations!$D$21+Declarations!$D$21*U261*Declarations!$D$22+Declarations!$D$22*S261*Declarations!$D$20+Declarations!$D$22*U261*Declarations!$D$21+Declarations!$D$22*V261*Declarations!$D$22+1</f>
        <v>2.77777777777778</v>
      </c>
    </row>
    <row r="263" customFormat="false" ht="15" hidden="false" customHeight="false" outlineLevel="0" collapsed="false">
      <c r="A263" s="18" t="n">
        <v>254</v>
      </c>
      <c r="B263" s="20" t="n">
        <f aca="false">$B$4*B262*$B$4+$B$4*C262*$B$5+$B$5*C262*$B$4+$B$5*D262*$B$5+$E$4</f>
        <v>13.5714285713987</v>
      </c>
      <c r="C263" s="20" t="n">
        <f aca="false">$B$4*B262*$C$4+$B$4*C262*$C$5+$B$5*C262*$C$4+$B$5*D262*$C$5+$F$4</f>
        <v>-5.78571428570038</v>
      </c>
      <c r="D263" s="20" t="n">
        <f aca="false">$C$4*B262*$C$4+$C$4*C262*$C$5+$C$5*C262*$C$4+$C$5*D262*$C$5+$F$5</f>
        <v>11.9928571428307</v>
      </c>
      <c r="P263" s="18" t="n">
        <v>254</v>
      </c>
      <c r="Q263" s="20" t="n">
        <f aca="false">Declarations!$B$20*Q262*Declarations!$B$20+Declarations!$B$20*R262*Declarations!$B$21+Declarations!$B$20*S262*Declarations!$B$22+Declarations!$B$21*R262*Declarations!$B$20+Declarations!$B$21*T262*Declarations!$B$21+Declarations!$B$21*U262*Declarations!$B$22+Declarations!$B$22*S262*Declarations!$B$20+Declarations!$B$22*U262*Declarations!$B$21+Declarations!$B$22*V262*Declarations!$B$22+1</f>
        <v>10.2972987231651</v>
      </c>
      <c r="R263" s="20" t="n">
        <f aca="false">Declarations!$B$20*Q262*Declarations!$C$20+Declarations!$B$20*R262*Declarations!$C$21+Declarations!$B$20*S262*Declarations!$C$22+Declarations!$B$21*R262*Declarations!$C$20+Declarations!$B$21*T262*Declarations!$C$21+Declarations!$B$21*U262*Declarations!$C$22+Declarations!$B$22*S262*Declarations!$C$20+Declarations!$B$22*U262*Declarations!$C$21+Declarations!$B$22*V262*Declarations!$C$22+0</f>
        <v>4.60691839450436</v>
      </c>
      <c r="S263" s="20" t="n">
        <f aca="false">Declarations!$B$20*Q262*Declarations!$D$20+Declarations!$B$20*R262*Declarations!$D$21+Declarations!$B$20*S262*Declarations!$D$22+Declarations!$B$21*R262*Declarations!$D$20+Declarations!$B$21*T262*Declarations!$D$21+Declarations!$B$21*U262*Declarations!$D$22+Declarations!$B$22*S262*Declarations!$D$20+Declarations!$B$22*U262*Declarations!$D$21+Declarations!$B$22*V262*Declarations!$D$22+0</f>
        <v>0.617283950617284</v>
      </c>
      <c r="T263" s="20" t="n">
        <f aca="false">Declarations!$C$20*Q262*Declarations!$C$20+Declarations!$C$20*R262*Declarations!$C$21+Declarations!$C$20*S262*Declarations!$C$22+Declarations!$C$21*R262*Declarations!$C$20+Declarations!$C$21*T262*Declarations!$C$21+Declarations!$C$21*U262*Declarations!$C$22+Declarations!$C$22*S262*Declarations!$C$20+Declarations!$C$22*U262*Declarations!$C$21+Declarations!$C$22*V262*Declarations!$C$22+1</f>
        <v>5.7025397013674</v>
      </c>
      <c r="U263" s="20" t="n">
        <f aca="false">Declarations!$C$20*Q262*Declarations!$D$20+Declarations!$C$20*R262*Declarations!$D$21+Declarations!$C$20*S262*Declarations!$D$22+Declarations!$C$21*R262*Declarations!$D$20+Declarations!$C$21*T262*Declarations!$D$21+Declarations!$C$21*U262*Declarations!$D$22+Declarations!$C$22*S262*Declarations!$D$20+Declarations!$C$22*U262*Declarations!$D$21+Declarations!$C$22*V262*Declarations!$D$22+0</f>
        <v>0.771604938271605</v>
      </c>
      <c r="V263" s="20" t="n">
        <f aca="false">Declarations!$D$20*Q262*Declarations!$D$20+Declarations!$D$20*R262*Declarations!$D$21+Declarations!$D$20*S262*Declarations!$D$22+Declarations!$D$21*R262*Declarations!$D$20+Declarations!$D$21*T262*Declarations!$D$21+Declarations!$D$21*U262*Declarations!$D$22+Declarations!$D$22*S262*Declarations!$D$20+Declarations!$D$22*U262*Declarations!$D$21+Declarations!$D$22*V262*Declarations!$D$22+1</f>
        <v>2.77777777777778</v>
      </c>
    </row>
    <row r="264" customFormat="false" ht="15" hidden="false" customHeight="false" outlineLevel="0" collapsed="false">
      <c r="A264" s="18" t="n">
        <v>255</v>
      </c>
      <c r="B264" s="20" t="n">
        <f aca="false">$B$4*B263*$B$4+$B$4*C263*$B$5+$B$5*C263*$B$4+$B$5*D263*$B$5+$E$4</f>
        <v>13.571428571403</v>
      </c>
      <c r="C264" s="20" t="n">
        <f aca="false">$B$4*B263*$C$4+$B$4*C263*$C$5+$B$5*C263*$C$4+$B$5*D263*$C$5+$F$4</f>
        <v>-5.7857142857026</v>
      </c>
      <c r="D264" s="20" t="n">
        <f aca="false">$C$4*B263*$C$4+$C$4*C263*$C$5+$C$5*C263*$C$4+$C$5*D263*$C$5+$F$5</f>
        <v>11.9928571428329</v>
      </c>
      <c r="P264" s="18" t="n">
        <v>255</v>
      </c>
      <c r="Q264" s="20" t="n">
        <f aca="false">Declarations!$B$20*Q263*Declarations!$B$20+Declarations!$B$20*R263*Declarations!$B$21+Declarations!$B$20*S263*Declarations!$B$22+Declarations!$B$21*R263*Declarations!$B$20+Declarations!$B$21*T263*Declarations!$B$21+Declarations!$B$21*U263*Declarations!$B$22+Declarations!$B$22*S263*Declarations!$B$20+Declarations!$B$22*U263*Declarations!$B$21+Declarations!$B$22*V263*Declarations!$B$22+1</f>
        <v>10.2972987231709</v>
      </c>
      <c r="R264" s="20" t="n">
        <f aca="false">Declarations!$B$20*Q263*Declarations!$C$20+Declarations!$B$20*R263*Declarations!$C$21+Declarations!$B$20*S263*Declarations!$C$22+Declarations!$B$21*R263*Declarations!$C$20+Declarations!$B$21*T263*Declarations!$C$21+Declarations!$B$21*U263*Declarations!$C$22+Declarations!$B$22*S263*Declarations!$C$20+Declarations!$B$22*U263*Declarations!$C$21+Declarations!$B$22*V263*Declarations!$C$22+0</f>
        <v>4.60691839450727</v>
      </c>
      <c r="S264" s="20" t="n">
        <f aca="false">Declarations!$B$20*Q263*Declarations!$D$20+Declarations!$B$20*R263*Declarations!$D$21+Declarations!$B$20*S263*Declarations!$D$22+Declarations!$B$21*R263*Declarations!$D$20+Declarations!$B$21*T263*Declarations!$D$21+Declarations!$B$21*U263*Declarations!$D$22+Declarations!$B$22*S263*Declarations!$D$20+Declarations!$B$22*U263*Declarations!$D$21+Declarations!$B$22*V263*Declarations!$D$22+0</f>
        <v>0.617283950617284</v>
      </c>
      <c r="T264" s="20" t="n">
        <f aca="false">Declarations!$C$20*Q263*Declarations!$C$20+Declarations!$C$20*R263*Declarations!$C$21+Declarations!$C$20*S263*Declarations!$C$22+Declarations!$C$21*R263*Declarations!$C$20+Declarations!$C$21*T263*Declarations!$C$21+Declarations!$C$21*U263*Declarations!$C$22+Declarations!$C$22*S263*Declarations!$C$20+Declarations!$C$22*U263*Declarations!$C$21+Declarations!$C$22*V263*Declarations!$C$22+1</f>
        <v>5.70253970136886</v>
      </c>
      <c r="U264" s="20" t="n">
        <f aca="false">Declarations!$C$20*Q263*Declarations!$D$20+Declarations!$C$20*R263*Declarations!$D$21+Declarations!$C$20*S263*Declarations!$D$22+Declarations!$C$21*R263*Declarations!$D$20+Declarations!$C$21*T263*Declarations!$D$21+Declarations!$C$21*U263*Declarations!$D$22+Declarations!$C$22*S263*Declarations!$D$20+Declarations!$C$22*U263*Declarations!$D$21+Declarations!$C$22*V263*Declarations!$D$22+0</f>
        <v>0.771604938271605</v>
      </c>
      <c r="V264" s="20" t="n">
        <f aca="false">Declarations!$D$20*Q263*Declarations!$D$20+Declarations!$D$20*R263*Declarations!$D$21+Declarations!$D$20*S263*Declarations!$D$22+Declarations!$D$21*R263*Declarations!$D$20+Declarations!$D$21*T263*Declarations!$D$21+Declarations!$D$21*U263*Declarations!$D$22+Declarations!$D$22*S263*Declarations!$D$20+Declarations!$D$22*U263*Declarations!$D$21+Declarations!$D$22*V263*Declarations!$D$22+1</f>
        <v>2.77777777777778</v>
      </c>
    </row>
    <row r="265" customFormat="false" ht="15" hidden="false" customHeight="false" outlineLevel="0" collapsed="false">
      <c r="A265" s="18" t="n">
        <v>256</v>
      </c>
      <c r="B265" s="20" t="n">
        <f aca="false">$B$4*B264*$B$4+$B$4*C264*$B$5+$B$5*C264*$B$4+$B$5*D264*$B$5+$E$4</f>
        <v>13.5714285714047</v>
      </c>
      <c r="C265" s="20" t="n">
        <f aca="false">$B$4*B264*$C$4+$B$4*C264*$C$5+$B$5*C264*$C$4+$B$5*D264*$C$5+$F$4</f>
        <v>-5.78571428570407</v>
      </c>
      <c r="D265" s="20" t="n">
        <f aca="false">$C$4*B264*$C$4+$C$4*C264*$C$5+$C$5*C264*$C$4+$C$5*D264*$C$5+$F$5</f>
        <v>11.9928571428364</v>
      </c>
      <c r="P265" s="18" t="n">
        <v>256</v>
      </c>
      <c r="Q265" s="20" t="n">
        <f aca="false">Declarations!$B$20*Q264*Declarations!$B$20+Declarations!$B$20*R264*Declarations!$B$21+Declarations!$B$20*S264*Declarations!$B$22+Declarations!$B$21*R264*Declarations!$B$20+Declarations!$B$21*T264*Declarations!$B$21+Declarations!$B$21*U264*Declarations!$B$22+Declarations!$B$22*S264*Declarations!$B$20+Declarations!$B$22*U264*Declarations!$B$21+Declarations!$B$22*V264*Declarations!$B$22+1</f>
        <v>10.2972987231762</v>
      </c>
      <c r="R265" s="20" t="n">
        <f aca="false">Declarations!$B$20*Q264*Declarations!$C$20+Declarations!$B$20*R264*Declarations!$C$21+Declarations!$B$20*S264*Declarations!$C$22+Declarations!$B$21*R264*Declarations!$C$20+Declarations!$B$21*T264*Declarations!$C$21+Declarations!$B$21*U264*Declarations!$C$22+Declarations!$B$22*S264*Declarations!$C$20+Declarations!$B$22*U264*Declarations!$C$21+Declarations!$B$22*V264*Declarations!$C$22+0</f>
        <v>4.60691839450989</v>
      </c>
      <c r="S265" s="20" t="n">
        <f aca="false">Declarations!$B$20*Q264*Declarations!$D$20+Declarations!$B$20*R264*Declarations!$D$21+Declarations!$B$20*S264*Declarations!$D$22+Declarations!$B$21*R264*Declarations!$D$20+Declarations!$B$21*T264*Declarations!$D$21+Declarations!$B$21*U264*Declarations!$D$22+Declarations!$B$22*S264*Declarations!$D$20+Declarations!$B$22*U264*Declarations!$D$21+Declarations!$B$22*V264*Declarations!$D$22+0</f>
        <v>0.617283950617284</v>
      </c>
      <c r="T265" s="20" t="n">
        <f aca="false">Declarations!$C$20*Q264*Declarations!$C$20+Declarations!$C$20*R264*Declarations!$C$21+Declarations!$C$20*S264*Declarations!$C$22+Declarations!$C$21*R264*Declarations!$C$20+Declarations!$C$21*T264*Declarations!$C$21+Declarations!$C$21*U264*Declarations!$C$22+Declarations!$C$22*S264*Declarations!$C$20+Declarations!$C$22*U264*Declarations!$C$21+Declarations!$C$22*V264*Declarations!$C$22+1</f>
        <v>5.70253970137017</v>
      </c>
      <c r="U265" s="20" t="n">
        <f aca="false">Declarations!$C$20*Q264*Declarations!$D$20+Declarations!$C$20*R264*Declarations!$D$21+Declarations!$C$20*S264*Declarations!$D$22+Declarations!$C$21*R264*Declarations!$D$20+Declarations!$C$21*T264*Declarations!$D$21+Declarations!$C$21*U264*Declarations!$D$22+Declarations!$C$22*S264*Declarations!$D$20+Declarations!$C$22*U264*Declarations!$D$21+Declarations!$C$22*V264*Declarations!$D$22+0</f>
        <v>0.771604938271605</v>
      </c>
      <c r="V265" s="20" t="n">
        <f aca="false">Declarations!$D$20*Q264*Declarations!$D$20+Declarations!$D$20*R264*Declarations!$D$21+Declarations!$D$20*S264*Declarations!$D$22+Declarations!$D$21*R264*Declarations!$D$20+Declarations!$D$21*T264*Declarations!$D$21+Declarations!$D$21*U264*Declarations!$D$22+Declarations!$D$22*S264*Declarations!$D$20+Declarations!$D$22*U264*Declarations!$D$21+Declarations!$D$22*V264*Declarations!$D$22+1</f>
        <v>2.77777777777778</v>
      </c>
    </row>
    <row r="266" customFormat="false" ht="15" hidden="false" customHeight="false" outlineLevel="0" collapsed="false">
      <c r="A266" s="18" t="n">
        <v>257</v>
      </c>
      <c r="B266" s="20" t="n">
        <f aca="false">$B$4*B265*$B$4+$B$4*C265*$B$5+$B$5*C265*$B$4+$B$5*D265*$B$5+$E$4</f>
        <v>13.5714285714069</v>
      </c>
      <c r="C266" s="20" t="n">
        <f aca="false">$B$4*B265*$C$4+$B$4*C265*$C$5+$B$5*C265*$C$4+$B$5*D265*$C$5+$F$4</f>
        <v>-5.78571428570412</v>
      </c>
      <c r="D266" s="20" t="n">
        <f aca="false">$C$4*B265*$C$4+$C$4*C265*$C$5+$C$5*C265*$C$4+$C$5*D265*$C$5+$F$5</f>
        <v>11.9928571428378</v>
      </c>
      <c r="P266" s="18" t="n">
        <v>257</v>
      </c>
      <c r="Q266" s="20" t="n">
        <f aca="false">Declarations!$B$20*Q265*Declarations!$B$20+Declarations!$B$20*R265*Declarations!$B$21+Declarations!$B$20*S265*Declarations!$B$22+Declarations!$B$21*R265*Declarations!$B$20+Declarations!$B$21*T265*Declarations!$B$21+Declarations!$B$21*U265*Declarations!$B$22+Declarations!$B$22*S265*Declarations!$B$20+Declarations!$B$22*U265*Declarations!$B$21+Declarations!$B$22*V265*Declarations!$B$22+1</f>
        <v>10.2972987231809</v>
      </c>
      <c r="R266" s="20" t="n">
        <f aca="false">Declarations!$B$20*Q265*Declarations!$C$20+Declarations!$B$20*R265*Declarations!$C$21+Declarations!$B$20*S265*Declarations!$C$22+Declarations!$B$21*R265*Declarations!$C$20+Declarations!$B$21*T265*Declarations!$C$21+Declarations!$B$21*U265*Declarations!$C$22+Declarations!$B$22*S265*Declarations!$C$20+Declarations!$B$22*U265*Declarations!$C$21+Declarations!$B$22*V265*Declarations!$C$22+0</f>
        <v>4.60691839451225</v>
      </c>
      <c r="S266" s="20" t="n">
        <f aca="false">Declarations!$B$20*Q265*Declarations!$D$20+Declarations!$B$20*R265*Declarations!$D$21+Declarations!$B$20*S265*Declarations!$D$22+Declarations!$B$21*R265*Declarations!$D$20+Declarations!$B$21*T265*Declarations!$D$21+Declarations!$B$21*U265*Declarations!$D$22+Declarations!$B$22*S265*Declarations!$D$20+Declarations!$B$22*U265*Declarations!$D$21+Declarations!$B$22*V265*Declarations!$D$22+0</f>
        <v>0.617283950617284</v>
      </c>
      <c r="T266" s="20" t="n">
        <f aca="false">Declarations!$C$20*Q265*Declarations!$C$20+Declarations!$C$20*R265*Declarations!$C$21+Declarations!$C$20*S265*Declarations!$C$22+Declarations!$C$21*R265*Declarations!$C$20+Declarations!$C$21*T265*Declarations!$C$21+Declarations!$C$21*U265*Declarations!$C$22+Declarations!$C$22*S265*Declarations!$C$20+Declarations!$C$22*U265*Declarations!$C$21+Declarations!$C$22*V265*Declarations!$C$22+1</f>
        <v>5.70253970137135</v>
      </c>
      <c r="U266" s="20" t="n">
        <f aca="false">Declarations!$C$20*Q265*Declarations!$D$20+Declarations!$C$20*R265*Declarations!$D$21+Declarations!$C$20*S265*Declarations!$D$22+Declarations!$C$21*R265*Declarations!$D$20+Declarations!$C$21*T265*Declarations!$D$21+Declarations!$C$21*U265*Declarations!$D$22+Declarations!$C$22*S265*Declarations!$D$20+Declarations!$C$22*U265*Declarations!$D$21+Declarations!$C$22*V265*Declarations!$D$22+0</f>
        <v>0.771604938271605</v>
      </c>
      <c r="V266" s="20" t="n">
        <f aca="false">Declarations!$D$20*Q265*Declarations!$D$20+Declarations!$D$20*R265*Declarations!$D$21+Declarations!$D$20*S265*Declarations!$D$22+Declarations!$D$21*R265*Declarations!$D$20+Declarations!$D$21*T265*Declarations!$D$21+Declarations!$D$21*U265*Declarations!$D$22+Declarations!$D$22*S265*Declarations!$D$20+Declarations!$D$22*U265*Declarations!$D$21+Declarations!$D$22*V265*Declarations!$D$22+1</f>
        <v>2.77777777777778</v>
      </c>
    </row>
    <row r="267" customFormat="false" ht="15" hidden="false" customHeight="false" outlineLevel="0" collapsed="false">
      <c r="A267" s="18" t="n">
        <v>258</v>
      </c>
      <c r="B267" s="20" t="n">
        <f aca="false">$B$4*B266*$B$4+$B$4*C266*$B$5+$B$5*C266*$B$4+$B$5*D266*$B$5+$E$4</f>
        <v>13.5714285714099</v>
      </c>
      <c r="C267" s="20" t="n">
        <f aca="false">$B$4*B266*$C$4+$B$4*C266*$C$5+$B$5*C266*$C$4+$B$5*D266*$C$5+$F$4</f>
        <v>-5.78571428570585</v>
      </c>
      <c r="D267" s="20" t="n">
        <f aca="false">$C$4*B266*$C$4+$C$4*C266*$C$5+$C$5*C266*$C$4+$C$5*D266*$C$5+$F$5</f>
        <v>11.9928571428396</v>
      </c>
      <c r="P267" s="18" t="n">
        <v>258</v>
      </c>
      <c r="Q267" s="20" t="n">
        <f aca="false">Declarations!$B$20*Q266*Declarations!$B$20+Declarations!$B$20*R266*Declarations!$B$21+Declarations!$B$20*S266*Declarations!$B$22+Declarations!$B$21*R266*Declarations!$B$20+Declarations!$B$21*T266*Declarations!$B$21+Declarations!$B$21*U266*Declarations!$B$22+Declarations!$B$22*S266*Declarations!$B$20+Declarations!$B$22*U266*Declarations!$B$21+Declarations!$B$22*V266*Declarations!$B$22+1</f>
        <v>10.2972987231851</v>
      </c>
      <c r="R267" s="20" t="n">
        <f aca="false">Declarations!$B$20*Q266*Declarations!$C$20+Declarations!$B$20*R266*Declarations!$C$21+Declarations!$B$20*S266*Declarations!$C$22+Declarations!$B$21*R266*Declarations!$C$20+Declarations!$B$21*T266*Declarations!$C$21+Declarations!$B$21*U266*Declarations!$C$22+Declarations!$B$22*S266*Declarations!$C$20+Declarations!$B$22*U266*Declarations!$C$21+Declarations!$B$22*V266*Declarations!$C$22+0</f>
        <v>4.60691839451439</v>
      </c>
      <c r="S267" s="20" t="n">
        <f aca="false">Declarations!$B$20*Q266*Declarations!$D$20+Declarations!$B$20*R266*Declarations!$D$21+Declarations!$B$20*S266*Declarations!$D$22+Declarations!$B$21*R266*Declarations!$D$20+Declarations!$B$21*T266*Declarations!$D$21+Declarations!$B$21*U266*Declarations!$D$22+Declarations!$B$22*S266*Declarations!$D$20+Declarations!$B$22*U266*Declarations!$D$21+Declarations!$B$22*V266*Declarations!$D$22+0</f>
        <v>0.617283950617284</v>
      </c>
      <c r="T267" s="20" t="n">
        <f aca="false">Declarations!$C$20*Q266*Declarations!$C$20+Declarations!$C$20*R266*Declarations!$C$21+Declarations!$C$20*S266*Declarations!$C$22+Declarations!$C$21*R266*Declarations!$C$20+Declarations!$C$21*T266*Declarations!$C$21+Declarations!$C$21*U266*Declarations!$C$22+Declarations!$C$22*S266*Declarations!$C$20+Declarations!$C$22*U266*Declarations!$C$21+Declarations!$C$22*V266*Declarations!$C$22+1</f>
        <v>5.70253970137241</v>
      </c>
      <c r="U267" s="20" t="n">
        <f aca="false">Declarations!$C$20*Q266*Declarations!$D$20+Declarations!$C$20*R266*Declarations!$D$21+Declarations!$C$20*S266*Declarations!$D$22+Declarations!$C$21*R266*Declarations!$D$20+Declarations!$C$21*T266*Declarations!$D$21+Declarations!$C$21*U266*Declarations!$D$22+Declarations!$C$22*S266*Declarations!$D$20+Declarations!$C$22*U266*Declarations!$D$21+Declarations!$C$22*V266*Declarations!$D$22+0</f>
        <v>0.771604938271605</v>
      </c>
      <c r="V267" s="20" t="n">
        <f aca="false">Declarations!$D$20*Q266*Declarations!$D$20+Declarations!$D$20*R266*Declarations!$D$21+Declarations!$D$20*S266*Declarations!$D$22+Declarations!$D$21*R266*Declarations!$D$20+Declarations!$D$21*T266*Declarations!$D$21+Declarations!$D$21*U266*Declarations!$D$22+Declarations!$D$22*S266*Declarations!$D$20+Declarations!$D$22*U266*Declarations!$D$21+Declarations!$D$22*V266*Declarations!$D$22+1</f>
        <v>2.77777777777778</v>
      </c>
    </row>
    <row r="268" customFormat="false" ht="15" hidden="false" customHeight="false" outlineLevel="0" collapsed="false">
      <c r="A268" s="18" t="n">
        <v>259</v>
      </c>
      <c r="B268" s="20" t="n">
        <f aca="false">$B$4*B267*$B$4+$B$4*C267*$B$5+$B$5*C267*$B$4+$B$5*D267*$B$5+$E$4</f>
        <v>13.5714285714111</v>
      </c>
      <c r="C268" s="20" t="n">
        <f aca="false">$B$4*B267*$C$4+$B$4*C267*$C$5+$B$5*C267*$C$4+$B$5*D267*$C$5+$F$4</f>
        <v>-5.78571428570677</v>
      </c>
      <c r="D268" s="20" t="n">
        <f aca="false">$C$4*B267*$C$4+$C$4*C267*$C$5+$C$5*C267*$C$4+$C$5*D267*$C$5+$F$5</f>
        <v>11.992857142842</v>
      </c>
      <c r="P268" s="18" t="n">
        <v>259</v>
      </c>
      <c r="Q268" s="20" t="n">
        <f aca="false">Declarations!$B$20*Q267*Declarations!$B$20+Declarations!$B$20*R267*Declarations!$B$21+Declarations!$B$20*S267*Declarations!$B$22+Declarations!$B$21*R267*Declarations!$B$20+Declarations!$B$21*T267*Declarations!$B$21+Declarations!$B$21*U267*Declarations!$B$22+Declarations!$B$22*S267*Declarations!$B$20+Declarations!$B$22*U267*Declarations!$B$21+Declarations!$B$22*V267*Declarations!$B$22+1</f>
        <v>10.297298723189</v>
      </c>
      <c r="R268" s="20" t="n">
        <f aca="false">Declarations!$B$20*Q267*Declarations!$C$20+Declarations!$B$20*R267*Declarations!$C$21+Declarations!$B$20*S267*Declarations!$C$22+Declarations!$B$21*R267*Declarations!$C$20+Declarations!$B$21*T267*Declarations!$C$21+Declarations!$B$21*U267*Declarations!$C$22+Declarations!$B$22*S267*Declarations!$C$20+Declarations!$B$22*U267*Declarations!$C$21+Declarations!$B$22*V267*Declarations!$C$22+0</f>
        <v>4.60691839451631</v>
      </c>
      <c r="S268" s="20" t="n">
        <f aca="false">Declarations!$B$20*Q267*Declarations!$D$20+Declarations!$B$20*R267*Declarations!$D$21+Declarations!$B$20*S267*Declarations!$D$22+Declarations!$B$21*R267*Declarations!$D$20+Declarations!$B$21*T267*Declarations!$D$21+Declarations!$B$21*U267*Declarations!$D$22+Declarations!$B$22*S267*Declarations!$D$20+Declarations!$B$22*U267*Declarations!$D$21+Declarations!$B$22*V267*Declarations!$D$22+0</f>
        <v>0.617283950617284</v>
      </c>
      <c r="T268" s="20" t="n">
        <f aca="false">Declarations!$C$20*Q267*Declarations!$C$20+Declarations!$C$20*R267*Declarations!$C$21+Declarations!$C$20*S267*Declarations!$C$22+Declarations!$C$21*R267*Declarations!$C$20+Declarations!$C$21*T267*Declarations!$C$21+Declarations!$C$21*U267*Declarations!$C$22+Declarations!$C$22*S267*Declarations!$C$20+Declarations!$C$22*U267*Declarations!$C$21+Declarations!$C$22*V267*Declarations!$C$22+1</f>
        <v>5.70253970137338</v>
      </c>
      <c r="U268" s="20" t="n">
        <f aca="false">Declarations!$C$20*Q267*Declarations!$D$20+Declarations!$C$20*R267*Declarations!$D$21+Declarations!$C$20*S267*Declarations!$D$22+Declarations!$C$21*R267*Declarations!$D$20+Declarations!$C$21*T267*Declarations!$D$21+Declarations!$C$21*U267*Declarations!$D$22+Declarations!$C$22*S267*Declarations!$D$20+Declarations!$C$22*U267*Declarations!$D$21+Declarations!$C$22*V267*Declarations!$D$22+0</f>
        <v>0.771604938271605</v>
      </c>
      <c r="V268" s="20" t="n">
        <f aca="false">Declarations!$D$20*Q267*Declarations!$D$20+Declarations!$D$20*R267*Declarations!$D$21+Declarations!$D$20*S267*Declarations!$D$22+Declarations!$D$21*R267*Declarations!$D$20+Declarations!$D$21*T267*Declarations!$D$21+Declarations!$D$21*U267*Declarations!$D$22+Declarations!$D$22*S267*Declarations!$D$20+Declarations!$D$22*U267*Declarations!$D$21+Declarations!$D$22*V267*Declarations!$D$22+1</f>
        <v>2.77777777777778</v>
      </c>
    </row>
    <row r="269" customFormat="false" ht="15" hidden="false" customHeight="false" outlineLevel="0" collapsed="false">
      <c r="A269" s="18" t="n">
        <v>260</v>
      </c>
      <c r="B269" s="20" t="n">
        <f aca="false">$B$4*B268*$B$4+$B$4*C268*$B$5+$B$5*C268*$B$4+$B$5*D268*$B$5+$E$4</f>
        <v>13.5714285714128</v>
      </c>
      <c r="C269" s="20" t="n">
        <f aca="false">$B$4*B268*$C$4+$B$4*C268*$C$5+$B$5*C268*$C$4+$B$5*D268*$C$5+$F$4</f>
        <v>-5.78571428570687</v>
      </c>
      <c r="D269" s="20" t="n">
        <f aca="false">$C$4*B268*$C$4+$C$4*C268*$C$5+$C$5*C268*$C$4+$C$5*D268*$C$5+$F$5</f>
        <v>11.992857142843</v>
      </c>
      <c r="P269" s="18" t="n">
        <v>260</v>
      </c>
      <c r="Q269" s="20" t="n">
        <f aca="false">Declarations!$B$20*Q268*Declarations!$B$20+Declarations!$B$20*R268*Declarations!$B$21+Declarations!$B$20*S268*Declarations!$B$22+Declarations!$B$21*R268*Declarations!$B$20+Declarations!$B$21*T268*Declarations!$B$21+Declarations!$B$21*U268*Declarations!$B$22+Declarations!$B$22*S268*Declarations!$B$20+Declarations!$B$22*U268*Declarations!$B$21+Declarations!$B$22*V268*Declarations!$B$22+1</f>
        <v>10.2972987231925</v>
      </c>
      <c r="R269" s="20" t="n">
        <f aca="false">Declarations!$B$20*Q268*Declarations!$C$20+Declarations!$B$20*R268*Declarations!$C$21+Declarations!$B$20*S268*Declarations!$C$22+Declarations!$B$21*R268*Declarations!$C$20+Declarations!$B$21*T268*Declarations!$C$21+Declarations!$B$21*U268*Declarations!$C$22+Declarations!$B$22*S268*Declarations!$C$20+Declarations!$B$22*U268*Declarations!$C$21+Declarations!$B$22*V268*Declarations!$C$22+0</f>
        <v>4.60691839451805</v>
      </c>
      <c r="S269" s="20" t="n">
        <f aca="false">Declarations!$B$20*Q268*Declarations!$D$20+Declarations!$B$20*R268*Declarations!$D$21+Declarations!$B$20*S268*Declarations!$D$22+Declarations!$B$21*R268*Declarations!$D$20+Declarations!$B$21*T268*Declarations!$D$21+Declarations!$B$21*U268*Declarations!$D$22+Declarations!$B$22*S268*Declarations!$D$20+Declarations!$B$22*U268*Declarations!$D$21+Declarations!$B$22*V268*Declarations!$D$22+0</f>
        <v>0.617283950617284</v>
      </c>
      <c r="T269" s="20" t="n">
        <f aca="false">Declarations!$C$20*Q268*Declarations!$C$20+Declarations!$C$20*R268*Declarations!$C$21+Declarations!$C$20*S268*Declarations!$C$22+Declarations!$C$21*R268*Declarations!$C$20+Declarations!$C$21*T268*Declarations!$C$21+Declarations!$C$21*U268*Declarations!$C$22+Declarations!$C$22*S268*Declarations!$C$20+Declarations!$C$22*U268*Declarations!$C$21+Declarations!$C$22*V268*Declarations!$C$22+1</f>
        <v>5.70253970137425</v>
      </c>
      <c r="U269" s="20" t="n">
        <f aca="false">Declarations!$C$20*Q268*Declarations!$D$20+Declarations!$C$20*R268*Declarations!$D$21+Declarations!$C$20*S268*Declarations!$D$22+Declarations!$C$21*R268*Declarations!$D$20+Declarations!$C$21*T268*Declarations!$D$21+Declarations!$C$21*U268*Declarations!$D$22+Declarations!$C$22*S268*Declarations!$D$20+Declarations!$C$22*U268*Declarations!$D$21+Declarations!$C$22*V268*Declarations!$D$22+0</f>
        <v>0.771604938271605</v>
      </c>
      <c r="V269" s="20" t="n">
        <f aca="false">Declarations!$D$20*Q268*Declarations!$D$20+Declarations!$D$20*R268*Declarations!$D$21+Declarations!$D$20*S268*Declarations!$D$22+Declarations!$D$21*R268*Declarations!$D$20+Declarations!$D$21*T268*Declarations!$D$21+Declarations!$D$21*U268*Declarations!$D$22+Declarations!$D$22*S268*Declarations!$D$20+Declarations!$D$22*U268*Declarations!$D$21+Declarations!$D$22*V268*Declarations!$D$22+1</f>
        <v>2.77777777777778</v>
      </c>
    </row>
    <row r="270" customFormat="false" ht="15" hidden="false" customHeight="false" outlineLevel="0" collapsed="false">
      <c r="A270" s="18" t="n">
        <v>261</v>
      </c>
      <c r="B270" s="20" t="n">
        <f aca="false">$B$4*B269*$B$4+$B$4*C269*$B$5+$B$5*C269*$B$4+$B$5*D269*$B$5+$E$4</f>
        <v>13.571428571415</v>
      </c>
      <c r="C270" s="20" t="n">
        <f aca="false">$B$4*B269*$C$4+$B$4*C269*$C$5+$B$5*C269*$C$4+$B$5*D269*$C$5+$F$4</f>
        <v>-5.78571428570819</v>
      </c>
      <c r="D270" s="20" t="n">
        <f aca="false">$C$4*B269*$C$4+$C$4*C269*$C$5+$C$5*C269*$C$4+$C$5*D269*$C$5+$F$5</f>
        <v>11.9928571428444</v>
      </c>
      <c r="P270" s="18" t="n">
        <v>261</v>
      </c>
      <c r="Q270" s="20" t="n">
        <f aca="false">Declarations!$B$20*Q269*Declarations!$B$20+Declarations!$B$20*R269*Declarations!$B$21+Declarations!$B$20*S269*Declarations!$B$22+Declarations!$B$21*R269*Declarations!$B$20+Declarations!$B$21*T269*Declarations!$B$21+Declarations!$B$21*U269*Declarations!$B$22+Declarations!$B$22*S269*Declarations!$B$20+Declarations!$B$22*U269*Declarations!$B$21+Declarations!$B$22*V269*Declarations!$B$22+1</f>
        <v>10.2972987231956</v>
      </c>
      <c r="R270" s="20" t="n">
        <f aca="false">Declarations!$B$20*Q269*Declarations!$C$20+Declarations!$B$20*R269*Declarations!$C$21+Declarations!$B$20*S269*Declarations!$C$22+Declarations!$B$21*R269*Declarations!$C$20+Declarations!$B$21*T269*Declarations!$C$21+Declarations!$B$21*U269*Declarations!$C$22+Declarations!$B$22*S269*Declarations!$C$20+Declarations!$B$22*U269*Declarations!$C$21+Declarations!$B$22*V269*Declarations!$C$22+0</f>
        <v>4.60691839451962</v>
      </c>
      <c r="S270" s="20" t="n">
        <f aca="false">Declarations!$B$20*Q269*Declarations!$D$20+Declarations!$B$20*R269*Declarations!$D$21+Declarations!$B$20*S269*Declarations!$D$22+Declarations!$B$21*R269*Declarations!$D$20+Declarations!$B$21*T269*Declarations!$D$21+Declarations!$B$21*U269*Declarations!$D$22+Declarations!$B$22*S269*Declarations!$D$20+Declarations!$B$22*U269*Declarations!$D$21+Declarations!$B$22*V269*Declarations!$D$22+0</f>
        <v>0.617283950617284</v>
      </c>
      <c r="T270" s="20" t="n">
        <f aca="false">Declarations!$C$20*Q269*Declarations!$C$20+Declarations!$C$20*R269*Declarations!$C$21+Declarations!$C$20*S269*Declarations!$C$22+Declarations!$C$21*R269*Declarations!$C$20+Declarations!$C$21*T269*Declarations!$C$21+Declarations!$C$21*U269*Declarations!$C$22+Declarations!$C$22*S269*Declarations!$C$20+Declarations!$C$22*U269*Declarations!$C$21+Declarations!$C$22*V269*Declarations!$C$22+1</f>
        <v>5.70253970137503</v>
      </c>
      <c r="U270" s="20" t="n">
        <f aca="false">Declarations!$C$20*Q269*Declarations!$D$20+Declarations!$C$20*R269*Declarations!$D$21+Declarations!$C$20*S269*Declarations!$D$22+Declarations!$C$21*R269*Declarations!$D$20+Declarations!$C$21*T269*Declarations!$D$21+Declarations!$C$21*U269*Declarations!$D$22+Declarations!$C$22*S269*Declarations!$D$20+Declarations!$C$22*U269*Declarations!$D$21+Declarations!$C$22*V269*Declarations!$D$22+0</f>
        <v>0.771604938271605</v>
      </c>
      <c r="V270" s="20" t="n">
        <f aca="false">Declarations!$D$20*Q269*Declarations!$D$20+Declarations!$D$20*R269*Declarations!$D$21+Declarations!$D$20*S269*Declarations!$D$22+Declarations!$D$21*R269*Declarations!$D$20+Declarations!$D$21*T269*Declarations!$D$21+Declarations!$D$21*U269*Declarations!$D$22+Declarations!$D$22*S269*Declarations!$D$20+Declarations!$D$22*U269*Declarations!$D$21+Declarations!$D$22*V269*Declarations!$D$22+1</f>
        <v>2.77777777777778</v>
      </c>
    </row>
    <row r="271" customFormat="false" ht="15" hidden="false" customHeight="false" outlineLevel="0" collapsed="false">
      <c r="A271" s="18" t="n">
        <v>262</v>
      </c>
      <c r="B271" s="20" t="n">
        <f aca="false">$B$4*B270*$B$4+$B$4*C270*$B$5+$B$5*C270*$B$4+$B$5*D270*$B$5+$E$4</f>
        <v>13.5714285714158</v>
      </c>
      <c r="C271" s="20" t="n">
        <f aca="false">$B$4*B270*$C$4+$B$4*C270*$C$5+$B$5*C270*$C$4+$B$5*D270*$C$5+$F$4</f>
        <v>-5.78571428570875</v>
      </c>
      <c r="D271" s="20" t="n">
        <f aca="false">$C$4*B270*$C$4+$C$4*C270*$C$5+$C$5*C270*$C$4+$C$5*D270*$C$5+$F$5</f>
        <v>11.9928571428461</v>
      </c>
      <c r="P271" s="18" t="n">
        <v>262</v>
      </c>
      <c r="Q271" s="20" t="n">
        <f aca="false">Declarations!$B$20*Q270*Declarations!$B$20+Declarations!$B$20*R270*Declarations!$B$21+Declarations!$B$20*S270*Declarations!$B$22+Declarations!$B$21*R270*Declarations!$B$20+Declarations!$B$21*T270*Declarations!$B$21+Declarations!$B$21*U270*Declarations!$B$22+Declarations!$B$22*S270*Declarations!$B$20+Declarations!$B$22*U270*Declarations!$B$21+Declarations!$B$22*V270*Declarations!$B$22+1</f>
        <v>10.2972987231984</v>
      </c>
      <c r="R271" s="20" t="n">
        <f aca="false">Declarations!$B$20*Q270*Declarations!$C$20+Declarations!$B$20*R270*Declarations!$C$21+Declarations!$B$20*S270*Declarations!$C$22+Declarations!$B$21*R270*Declarations!$C$20+Declarations!$B$21*T270*Declarations!$C$21+Declarations!$B$21*U270*Declarations!$C$22+Declarations!$B$22*S270*Declarations!$C$20+Declarations!$B$22*U270*Declarations!$C$21+Declarations!$B$22*V270*Declarations!$C$22+0</f>
        <v>4.60691839452103</v>
      </c>
      <c r="S271" s="20" t="n">
        <f aca="false">Declarations!$B$20*Q270*Declarations!$D$20+Declarations!$B$20*R270*Declarations!$D$21+Declarations!$B$20*S270*Declarations!$D$22+Declarations!$B$21*R270*Declarations!$D$20+Declarations!$B$21*T270*Declarations!$D$21+Declarations!$B$21*U270*Declarations!$D$22+Declarations!$B$22*S270*Declarations!$D$20+Declarations!$B$22*U270*Declarations!$D$21+Declarations!$B$22*V270*Declarations!$D$22+0</f>
        <v>0.617283950617284</v>
      </c>
      <c r="T271" s="20" t="n">
        <f aca="false">Declarations!$C$20*Q270*Declarations!$C$20+Declarations!$C$20*R270*Declarations!$C$21+Declarations!$C$20*S270*Declarations!$C$22+Declarations!$C$21*R270*Declarations!$C$20+Declarations!$C$21*T270*Declarations!$C$21+Declarations!$C$21*U270*Declarations!$C$22+Declarations!$C$22*S270*Declarations!$C$20+Declarations!$C$22*U270*Declarations!$C$21+Declarations!$C$22*V270*Declarations!$C$22+1</f>
        <v>5.70253970137574</v>
      </c>
      <c r="U271" s="20" t="n">
        <f aca="false">Declarations!$C$20*Q270*Declarations!$D$20+Declarations!$C$20*R270*Declarations!$D$21+Declarations!$C$20*S270*Declarations!$D$22+Declarations!$C$21*R270*Declarations!$D$20+Declarations!$C$21*T270*Declarations!$D$21+Declarations!$C$21*U270*Declarations!$D$22+Declarations!$C$22*S270*Declarations!$D$20+Declarations!$C$22*U270*Declarations!$D$21+Declarations!$C$22*V270*Declarations!$D$22+0</f>
        <v>0.771604938271605</v>
      </c>
      <c r="V271" s="20" t="n">
        <f aca="false">Declarations!$D$20*Q270*Declarations!$D$20+Declarations!$D$20*R270*Declarations!$D$21+Declarations!$D$20*S270*Declarations!$D$22+Declarations!$D$21*R270*Declarations!$D$20+Declarations!$D$21*T270*Declarations!$D$21+Declarations!$D$21*U270*Declarations!$D$22+Declarations!$D$22*S270*Declarations!$D$20+Declarations!$D$22*U270*Declarations!$D$21+Declarations!$D$22*V270*Declarations!$D$22+1</f>
        <v>2.77777777777778</v>
      </c>
    </row>
    <row r="272" customFormat="false" ht="15" hidden="false" customHeight="false" outlineLevel="0" collapsed="false">
      <c r="A272" s="18" t="n">
        <v>263</v>
      </c>
      <c r="B272" s="20" t="n">
        <f aca="false">$B$4*B271*$B$4+$B$4*C271*$B$5+$B$5*C271*$B$4+$B$5*D271*$B$5+$E$4</f>
        <v>13.5714285714171</v>
      </c>
      <c r="C272" s="20" t="n">
        <f aca="false">$B$4*B271*$C$4+$B$4*C271*$C$5+$B$5*C271*$C$4+$B$5*D271*$C$5+$F$4</f>
        <v>-5.78571428570888</v>
      </c>
      <c r="D272" s="20" t="n">
        <f aca="false">$C$4*B271*$C$4+$C$4*C271*$C$5+$C$5*C271*$C$4+$C$5*D271*$C$5+$F$5</f>
        <v>11.9928571428468</v>
      </c>
      <c r="P272" s="18" t="n">
        <v>263</v>
      </c>
      <c r="Q272" s="20" t="n">
        <f aca="false">Declarations!$B$20*Q271*Declarations!$B$20+Declarations!$B$20*R271*Declarations!$B$21+Declarations!$B$20*S271*Declarations!$B$22+Declarations!$B$21*R271*Declarations!$B$20+Declarations!$B$21*T271*Declarations!$B$21+Declarations!$B$21*U271*Declarations!$B$22+Declarations!$B$22*S271*Declarations!$B$20+Declarations!$B$22*U271*Declarations!$B$21+Declarations!$B$22*V271*Declarations!$B$22+1</f>
        <v>10.297298723201</v>
      </c>
      <c r="R272" s="20" t="n">
        <f aca="false">Declarations!$B$20*Q271*Declarations!$C$20+Declarations!$B$20*R271*Declarations!$C$21+Declarations!$B$20*S271*Declarations!$C$22+Declarations!$B$21*R271*Declarations!$C$20+Declarations!$B$21*T271*Declarations!$C$21+Declarations!$B$21*U271*Declarations!$C$22+Declarations!$B$22*S271*Declarations!$C$20+Declarations!$B$22*U271*Declarations!$C$21+Declarations!$B$22*V271*Declarations!$C$22+0</f>
        <v>4.60691839452231</v>
      </c>
      <c r="S272" s="20" t="n">
        <f aca="false">Declarations!$B$20*Q271*Declarations!$D$20+Declarations!$B$20*R271*Declarations!$D$21+Declarations!$B$20*S271*Declarations!$D$22+Declarations!$B$21*R271*Declarations!$D$20+Declarations!$B$21*T271*Declarations!$D$21+Declarations!$B$21*U271*Declarations!$D$22+Declarations!$B$22*S271*Declarations!$D$20+Declarations!$B$22*U271*Declarations!$D$21+Declarations!$B$22*V271*Declarations!$D$22+0</f>
        <v>0.617283950617284</v>
      </c>
      <c r="T272" s="20" t="n">
        <f aca="false">Declarations!$C$20*Q271*Declarations!$C$20+Declarations!$C$20*R271*Declarations!$C$21+Declarations!$C$20*S271*Declarations!$C$22+Declarations!$C$21*R271*Declarations!$C$20+Declarations!$C$21*T271*Declarations!$C$21+Declarations!$C$21*U271*Declarations!$C$22+Declarations!$C$22*S271*Declarations!$C$20+Declarations!$C$22*U271*Declarations!$C$21+Declarations!$C$22*V271*Declarations!$C$22+1</f>
        <v>5.70253970137638</v>
      </c>
      <c r="U272" s="20" t="n">
        <f aca="false">Declarations!$C$20*Q271*Declarations!$D$20+Declarations!$C$20*R271*Declarations!$D$21+Declarations!$C$20*S271*Declarations!$D$22+Declarations!$C$21*R271*Declarations!$D$20+Declarations!$C$21*T271*Declarations!$D$21+Declarations!$C$21*U271*Declarations!$D$22+Declarations!$C$22*S271*Declarations!$D$20+Declarations!$C$22*U271*Declarations!$D$21+Declarations!$C$22*V271*Declarations!$D$22+0</f>
        <v>0.771604938271605</v>
      </c>
      <c r="V272" s="20" t="n">
        <f aca="false">Declarations!$D$20*Q271*Declarations!$D$20+Declarations!$D$20*R271*Declarations!$D$21+Declarations!$D$20*S271*Declarations!$D$22+Declarations!$D$21*R271*Declarations!$D$20+Declarations!$D$21*T271*Declarations!$D$21+Declarations!$D$21*U271*Declarations!$D$22+Declarations!$D$22*S271*Declarations!$D$20+Declarations!$D$22*U271*Declarations!$D$21+Declarations!$D$22*V271*Declarations!$D$22+1</f>
        <v>2.77777777777778</v>
      </c>
    </row>
    <row r="273" customFormat="false" ht="15" hidden="false" customHeight="false" outlineLevel="0" collapsed="false">
      <c r="A273" s="18" t="n">
        <v>264</v>
      </c>
      <c r="B273" s="20" t="n">
        <f aca="false">$B$4*B272*$B$4+$B$4*C272*$B$5+$B$5*C272*$B$4+$B$5*D272*$B$5+$E$4</f>
        <v>13.5714285714186</v>
      </c>
      <c r="C273" s="20" t="n">
        <f aca="false">$B$4*B272*$C$4+$B$4*C272*$C$5+$B$5*C272*$C$4+$B$5*D272*$C$5+$F$4</f>
        <v>-5.78571428570988</v>
      </c>
      <c r="D273" s="20" t="n">
        <f aca="false">$C$4*B272*$C$4+$C$4*C272*$C$5+$C$5*C272*$C$4+$C$5*D272*$C$5+$F$5</f>
        <v>11.9928571428479</v>
      </c>
      <c r="P273" s="18" t="n">
        <v>264</v>
      </c>
      <c r="Q273" s="20" t="n">
        <f aca="false">Declarations!$B$20*Q272*Declarations!$B$20+Declarations!$B$20*R272*Declarations!$B$21+Declarations!$B$20*S272*Declarations!$B$22+Declarations!$B$21*R272*Declarations!$B$20+Declarations!$B$21*T272*Declarations!$B$21+Declarations!$B$21*U272*Declarations!$B$22+Declarations!$B$22*S272*Declarations!$B$20+Declarations!$B$22*U272*Declarations!$B$21+Declarations!$B$22*V272*Declarations!$B$22+1</f>
        <v>10.2972987232033</v>
      </c>
      <c r="R273" s="20" t="n">
        <f aca="false">Declarations!$B$20*Q272*Declarations!$C$20+Declarations!$B$20*R272*Declarations!$C$21+Declarations!$B$20*S272*Declarations!$C$22+Declarations!$B$21*R272*Declarations!$C$20+Declarations!$B$21*T272*Declarations!$C$21+Declarations!$B$21*U272*Declarations!$C$22+Declarations!$B$22*S272*Declarations!$C$20+Declarations!$B$22*U272*Declarations!$C$21+Declarations!$B$22*V272*Declarations!$C$22+0</f>
        <v>4.60691839452347</v>
      </c>
      <c r="S273" s="20" t="n">
        <f aca="false">Declarations!$B$20*Q272*Declarations!$D$20+Declarations!$B$20*R272*Declarations!$D$21+Declarations!$B$20*S272*Declarations!$D$22+Declarations!$B$21*R272*Declarations!$D$20+Declarations!$B$21*T272*Declarations!$D$21+Declarations!$B$21*U272*Declarations!$D$22+Declarations!$B$22*S272*Declarations!$D$20+Declarations!$B$22*U272*Declarations!$D$21+Declarations!$B$22*V272*Declarations!$D$22+0</f>
        <v>0.617283950617284</v>
      </c>
      <c r="T273" s="20" t="n">
        <f aca="false">Declarations!$C$20*Q272*Declarations!$C$20+Declarations!$C$20*R272*Declarations!$C$21+Declarations!$C$20*S272*Declarations!$C$22+Declarations!$C$21*R272*Declarations!$C$20+Declarations!$C$21*T272*Declarations!$C$21+Declarations!$C$21*U272*Declarations!$C$22+Declarations!$C$22*S272*Declarations!$C$20+Declarations!$C$22*U272*Declarations!$C$21+Declarations!$C$22*V272*Declarations!$C$22+1</f>
        <v>5.70253970137695</v>
      </c>
      <c r="U273" s="20" t="n">
        <f aca="false">Declarations!$C$20*Q272*Declarations!$D$20+Declarations!$C$20*R272*Declarations!$D$21+Declarations!$C$20*S272*Declarations!$D$22+Declarations!$C$21*R272*Declarations!$D$20+Declarations!$C$21*T272*Declarations!$D$21+Declarations!$C$21*U272*Declarations!$D$22+Declarations!$C$22*S272*Declarations!$D$20+Declarations!$C$22*U272*Declarations!$D$21+Declarations!$C$22*V272*Declarations!$D$22+0</f>
        <v>0.771604938271605</v>
      </c>
      <c r="V273" s="20" t="n">
        <f aca="false">Declarations!$D$20*Q272*Declarations!$D$20+Declarations!$D$20*R272*Declarations!$D$21+Declarations!$D$20*S272*Declarations!$D$22+Declarations!$D$21*R272*Declarations!$D$20+Declarations!$D$21*T272*Declarations!$D$21+Declarations!$D$21*U272*Declarations!$D$22+Declarations!$D$22*S272*Declarations!$D$20+Declarations!$D$22*U272*Declarations!$D$21+Declarations!$D$22*V272*Declarations!$D$22+1</f>
        <v>2.77777777777778</v>
      </c>
    </row>
    <row r="274" customFormat="false" ht="15" hidden="false" customHeight="false" outlineLevel="0" collapsed="false">
      <c r="A274" s="18" t="n">
        <v>265</v>
      </c>
      <c r="B274" s="20" t="n">
        <f aca="false">$B$4*B273*$B$4+$B$4*C273*$B$5+$B$5*C273*$B$4+$B$5*D273*$B$5+$E$4</f>
        <v>13.5714285714192</v>
      </c>
      <c r="C274" s="20" t="n">
        <f aca="false">$B$4*B273*$C$4+$B$4*C273*$C$5+$B$5*C273*$C$4+$B$5*D273*$C$5+$F$4</f>
        <v>-5.78571428571021</v>
      </c>
      <c r="D274" s="20" t="n">
        <f aca="false">$C$4*B273*$C$4+$C$4*C273*$C$5+$C$5*C273*$C$4+$C$5*D273*$C$5+$F$5</f>
        <v>11.9928571428491</v>
      </c>
      <c r="P274" s="18" t="n">
        <v>265</v>
      </c>
      <c r="Q274" s="20" t="n">
        <f aca="false">Declarations!$B$20*Q273*Declarations!$B$20+Declarations!$B$20*R273*Declarations!$B$21+Declarations!$B$20*S273*Declarations!$B$22+Declarations!$B$21*R273*Declarations!$B$20+Declarations!$B$21*T273*Declarations!$B$21+Declarations!$B$21*U273*Declarations!$B$22+Declarations!$B$22*S273*Declarations!$B$20+Declarations!$B$22*U273*Declarations!$B$21+Declarations!$B$22*V273*Declarations!$B$22+1</f>
        <v>10.2972987232054</v>
      </c>
      <c r="R274" s="20" t="n">
        <f aca="false">Declarations!$B$20*Q273*Declarations!$C$20+Declarations!$B$20*R273*Declarations!$C$21+Declarations!$B$20*S273*Declarations!$C$22+Declarations!$B$21*R273*Declarations!$C$20+Declarations!$B$21*T273*Declarations!$C$21+Declarations!$B$21*U273*Declarations!$C$22+Declarations!$B$22*S273*Declarations!$C$20+Declarations!$B$22*U273*Declarations!$C$21+Declarations!$B$22*V273*Declarations!$C$22+0</f>
        <v>4.60691839452451</v>
      </c>
      <c r="S274" s="20" t="n">
        <f aca="false">Declarations!$B$20*Q273*Declarations!$D$20+Declarations!$B$20*R273*Declarations!$D$21+Declarations!$B$20*S273*Declarations!$D$22+Declarations!$B$21*R273*Declarations!$D$20+Declarations!$B$21*T273*Declarations!$D$21+Declarations!$B$21*U273*Declarations!$D$22+Declarations!$B$22*S273*Declarations!$D$20+Declarations!$B$22*U273*Declarations!$D$21+Declarations!$B$22*V273*Declarations!$D$22+0</f>
        <v>0.617283950617284</v>
      </c>
      <c r="T274" s="20" t="n">
        <f aca="false">Declarations!$C$20*Q273*Declarations!$C$20+Declarations!$C$20*R273*Declarations!$C$21+Declarations!$C$20*S273*Declarations!$C$22+Declarations!$C$21*R273*Declarations!$C$20+Declarations!$C$21*T273*Declarations!$C$21+Declarations!$C$21*U273*Declarations!$C$22+Declarations!$C$22*S273*Declarations!$C$20+Declarations!$C$22*U273*Declarations!$C$21+Declarations!$C$22*V273*Declarations!$C$22+1</f>
        <v>5.70253970137747</v>
      </c>
      <c r="U274" s="20" t="n">
        <f aca="false">Declarations!$C$20*Q273*Declarations!$D$20+Declarations!$C$20*R273*Declarations!$D$21+Declarations!$C$20*S273*Declarations!$D$22+Declarations!$C$21*R273*Declarations!$D$20+Declarations!$C$21*T273*Declarations!$D$21+Declarations!$C$21*U273*Declarations!$D$22+Declarations!$C$22*S273*Declarations!$D$20+Declarations!$C$22*U273*Declarations!$D$21+Declarations!$C$22*V273*Declarations!$D$22+0</f>
        <v>0.771604938271605</v>
      </c>
      <c r="V274" s="20" t="n">
        <f aca="false">Declarations!$D$20*Q273*Declarations!$D$20+Declarations!$D$20*R273*Declarations!$D$21+Declarations!$D$20*S273*Declarations!$D$22+Declarations!$D$21*R273*Declarations!$D$20+Declarations!$D$21*T273*Declarations!$D$21+Declarations!$D$21*U273*Declarations!$D$22+Declarations!$D$22*S273*Declarations!$D$20+Declarations!$D$22*U273*Declarations!$D$21+Declarations!$D$22*V273*Declarations!$D$22+1</f>
        <v>2.77777777777778</v>
      </c>
    </row>
    <row r="275" customFormat="false" ht="15" hidden="false" customHeight="false" outlineLevel="0" collapsed="false">
      <c r="A275" s="18" t="n">
        <v>266</v>
      </c>
      <c r="B275" s="20" t="n">
        <f aca="false">$B$4*B274*$B$4+$B$4*C274*$B$5+$B$5*C274*$B$4+$B$5*D274*$B$5+$E$4</f>
        <v>13.5714285714203</v>
      </c>
      <c r="C275" s="20" t="n">
        <f aca="false">$B$4*B274*$C$4+$B$4*C274*$C$5+$B$5*C274*$C$4+$B$5*D274*$C$5+$F$4</f>
        <v>-5.78571428571035</v>
      </c>
      <c r="D275" s="20" t="n">
        <f aca="false">$C$4*B274*$C$4+$C$4*C274*$C$5+$C$5*C274*$C$4+$C$5*D274*$C$5+$F$5</f>
        <v>11.9928571428495</v>
      </c>
      <c r="P275" s="18" t="n">
        <v>266</v>
      </c>
      <c r="Q275" s="20" t="n">
        <f aca="false">Declarations!$B$20*Q274*Declarations!$B$20+Declarations!$B$20*R274*Declarations!$B$21+Declarations!$B$20*S274*Declarations!$B$22+Declarations!$B$21*R274*Declarations!$B$20+Declarations!$B$21*T274*Declarations!$B$21+Declarations!$B$21*U274*Declarations!$B$22+Declarations!$B$22*S274*Declarations!$B$20+Declarations!$B$22*U274*Declarations!$B$21+Declarations!$B$22*V274*Declarations!$B$22+1</f>
        <v>10.2972987232073</v>
      </c>
      <c r="R275" s="20" t="n">
        <f aca="false">Declarations!$B$20*Q274*Declarations!$C$20+Declarations!$B$20*R274*Declarations!$C$21+Declarations!$B$20*S274*Declarations!$C$22+Declarations!$B$21*R274*Declarations!$C$20+Declarations!$B$21*T274*Declarations!$C$21+Declarations!$B$21*U274*Declarations!$C$22+Declarations!$B$22*S274*Declarations!$C$20+Declarations!$B$22*U274*Declarations!$C$21+Declarations!$B$22*V274*Declarations!$C$22+0</f>
        <v>4.60691839452545</v>
      </c>
      <c r="S275" s="20" t="n">
        <f aca="false">Declarations!$B$20*Q274*Declarations!$D$20+Declarations!$B$20*R274*Declarations!$D$21+Declarations!$B$20*S274*Declarations!$D$22+Declarations!$B$21*R274*Declarations!$D$20+Declarations!$B$21*T274*Declarations!$D$21+Declarations!$B$21*U274*Declarations!$D$22+Declarations!$B$22*S274*Declarations!$D$20+Declarations!$B$22*U274*Declarations!$D$21+Declarations!$B$22*V274*Declarations!$D$22+0</f>
        <v>0.617283950617284</v>
      </c>
      <c r="T275" s="20" t="n">
        <f aca="false">Declarations!$C$20*Q274*Declarations!$C$20+Declarations!$C$20*R274*Declarations!$C$21+Declarations!$C$20*S274*Declarations!$C$22+Declarations!$C$21*R274*Declarations!$C$20+Declarations!$C$21*T274*Declarations!$C$21+Declarations!$C$21*U274*Declarations!$C$22+Declarations!$C$22*S274*Declarations!$C$20+Declarations!$C$22*U274*Declarations!$C$21+Declarations!$C$22*V274*Declarations!$C$22+1</f>
        <v>5.70253970137794</v>
      </c>
      <c r="U275" s="20" t="n">
        <f aca="false">Declarations!$C$20*Q274*Declarations!$D$20+Declarations!$C$20*R274*Declarations!$D$21+Declarations!$C$20*S274*Declarations!$D$22+Declarations!$C$21*R274*Declarations!$D$20+Declarations!$C$21*T274*Declarations!$D$21+Declarations!$C$21*U274*Declarations!$D$22+Declarations!$C$22*S274*Declarations!$D$20+Declarations!$C$22*U274*Declarations!$D$21+Declarations!$C$22*V274*Declarations!$D$22+0</f>
        <v>0.771604938271605</v>
      </c>
      <c r="V275" s="20" t="n">
        <f aca="false">Declarations!$D$20*Q274*Declarations!$D$20+Declarations!$D$20*R274*Declarations!$D$21+Declarations!$D$20*S274*Declarations!$D$22+Declarations!$D$21*R274*Declarations!$D$20+Declarations!$D$21*T274*Declarations!$D$21+Declarations!$D$21*U274*Declarations!$D$22+Declarations!$D$22*S274*Declarations!$D$20+Declarations!$D$22*U274*Declarations!$D$21+Declarations!$D$22*V274*Declarations!$D$22+1</f>
        <v>2.77777777777778</v>
      </c>
    </row>
    <row r="276" customFormat="false" ht="15" hidden="false" customHeight="false" outlineLevel="0" collapsed="false">
      <c r="A276" s="18" t="n">
        <v>267</v>
      </c>
      <c r="B276" s="20" t="n">
        <f aca="false">$B$4*B275*$B$4+$B$4*C275*$B$5+$B$5*C275*$B$4+$B$5*D275*$B$5+$E$4</f>
        <v>13.5714285714213</v>
      </c>
      <c r="C276" s="20" t="n">
        <f aca="false">$B$4*B275*$C$4+$B$4*C275*$C$5+$B$5*C275*$C$4+$B$5*D275*$C$5+$F$4</f>
        <v>-5.7857142857111</v>
      </c>
      <c r="D276" s="20" t="n">
        <f aca="false">$C$4*B275*$C$4+$C$4*C275*$C$5+$C$5*C275*$C$4+$C$5*D275*$C$5+$F$5</f>
        <v>11.9928571428504</v>
      </c>
      <c r="P276" s="18" t="n">
        <v>267</v>
      </c>
      <c r="Q276" s="20" t="n">
        <f aca="false">Declarations!$B$20*Q275*Declarations!$B$20+Declarations!$B$20*R275*Declarations!$B$21+Declarations!$B$20*S275*Declarations!$B$22+Declarations!$B$21*R275*Declarations!$B$20+Declarations!$B$21*T275*Declarations!$B$21+Declarations!$B$21*U275*Declarations!$B$22+Declarations!$B$22*S275*Declarations!$B$20+Declarations!$B$22*U275*Declarations!$B$21+Declarations!$B$22*V275*Declarations!$B$22+1</f>
        <v>10.297298723209</v>
      </c>
      <c r="R276" s="20" t="n">
        <f aca="false">Declarations!$B$20*Q275*Declarations!$C$20+Declarations!$B$20*R275*Declarations!$C$21+Declarations!$B$20*S275*Declarations!$C$22+Declarations!$B$21*R275*Declarations!$C$20+Declarations!$B$21*T275*Declarations!$C$21+Declarations!$B$21*U275*Declarations!$C$22+Declarations!$B$22*S275*Declarations!$C$20+Declarations!$B$22*U275*Declarations!$C$21+Declarations!$B$22*V275*Declarations!$C$22+0</f>
        <v>4.60691839452629</v>
      </c>
      <c r="S276" s="20" t="n">
        <f aca="false">Declarations!$B$20*Q275*Declarations!$D$20+Declarations!$B$20*R275*Declarations!$D$21+Declarations!$B$20*S275*Declarations!$D$22+Declarations!$B$21*R275*Declarations!$D$20+Declarations!$B$21*T275*Declarations!$D$21+Declarations!$B$21*U275*Declarations!$D$22+Declarations!$B$22*S275*Declarations!$D$20+Declarations!$B$22*U275*Declarations!$D$21+Declarations!$B$22*V275*Declarations!$D$22+0</f>
        <v>0.617283950617284</v>
      </c>
      <c r="T276" s="20" t="n">
        <f aca="false">Declarations!$C$20*Q275*Declarations!$C$20+Declarations!$C$20*R275*Declarations!$C$21+Declarations!$C$20*S275*Declarations!$C$22+Declarations!$C$21*R275*Declarations!$C$20+Declarations!$C$21*T275*Declarations!$C$21+Declarations!$C$21*U275*Declarations!$C$22+Declarations!$C$22*S275*Declarations!$C$20+Declarations!$C$22*U275*Declarations!$C$21+Declarations!$C$22*V275*Declarations!$C$22+1</f>
        <v>5.70253970137837</v>
      </c>
      <c r="U276" s="20" t="n">
        <f aca="false">Declarations!$C$20*Q275*Declarations!$D$20+Declarations!$C$20*R275*Declarations!$D$21+Declarations!$C$20*S275*Declarations!$D$22+Declarations!$C$21*R275*Declarations!$D$20+Declarations!$C$21*T275*Declarations!$D$21+Declarations!$C$21*U275*Declarations!$D$22+Declarations!$C$22*S275*Declarations!$D$20+Declarations!$C$22*U275*Declarations!$D$21+Declarations!$C$22*V275*Declarations!$D$22+0</f>
        <v>0.771604938271605</v>
      </c>
      <c r="V276" s="20" t="n">
        <f aca="false">Declarations!$D$20*Q275*Declarations!$D$20+Declarations!$D$20*R275*Declarations!$D$21+Declarations!$D$20*S275*Declarations!$D$22+Declarations!$D$21*R275*Declarations!$D$20+Declarations!$D$21*T275*Declarations!$D$21+Declarations!$D$21*U275*Declarations!$D$22+Declarations!$D$22*S275*Declarations!$D$20+Declarations!$D$22*U275*Declarations!$D$21+Declarations!$D$22*V275*Declarations!$D$22+1</f>
        <v>2.77777777777778</v>
      </c>
    </row>
    <row r="277" customFormat="false" ht="15" hidden="false" customHeight="false" outlineLevel="0" collapsed="false">
      <c r="A277" s="18" t="n">
        <v>268</v>
      </c>
      <c r="B277" s="20" t="n">
        <f aca="false">$B$4*B276*$B$4+$B$4*C276*$B$5+$B$5*C276*$B$4+$B$5*D276*$B$5+$E$4</f>
        <v>13.5714285714217</v>
      </c>
      <c r="C277" s="20" t="n">
        <f aca="false">$B$4*B276*$C$4+$B$4*C276*$C$5+$B$5*C276*$C$4+$B$5*D276*$C$5+$F$4</f>
        <v>-5.78571428571128</v>
      </c>
      <c r="D277" s="20" t="n">
        <f aca="false">$C$4*B276*$C$4+$C$4*C276*$C$5+$C$5*C276*$C$4+$C$5*D276*$C$5+$F$5</f>
        <v>11.9928571428513</v>
      </c>
      <c r="P277" s="18" t="n">
        <v>268</v>
      </c>
      <c r="Q277" s="20" t="n">
        <f aca="false">Declarations!$B$20*Q276*Declarations!$B$20+Declarations!$B$20*R276*Declarations!$B$21+Declarations!$B$20*S276*Declarations!$B$22+Declarations!$B$21*R276*Declarations!$B$20+Declarations!$B$21*T276*Declarations!$B$21+Declarations!$B$21*U276*Declarations!$B$22+Declarations!$B$22*S276*Declarations!$B$20+Declarations!$B$22*U276*Declarations!$B$21+Declarations!$B$22*V276*Declarations!$B$22+1</f>
        <v>10.2972987232105</v>
      </c>
      <c r="R277" s="20" t="n">
        <f aca="false">Declarations!$B$20*Q276*Declarations!$C$20+Declarations!$B$20*R276*Declarations!$C$21+Declarations!$B$20*S276*Declarations!$C$22+Declarations!$B$21*R276*Declarations!$C$20+Declarations!$B$21*T276*Declarations!$C$21+Declarations!$B$21*U276*Declarations!$C$22+Declarations!$B$22*S276*Declarations!$C$20+Declarations!$B$22*U276*Declarations!$C$21+Declarations!$B$22*V276*Declarations!$C$22+0</f>
        <v>4.60691839452706</v>
      </c>
      <c r="S277" s="20" t="n">
        <f aca="false">Declarations!$B$20*Q276*Declarations!$D$20+Declarations!$B$20*R276*Declarations!$D$21+Declarations!$B$20*S276*Declarations!$D$22+Declarations!$B$21*R276*Declarations!$D$20+Declarations!$B$21*T276*Declarations!$D$21+Declarations!$B$21*U276*Declarations!$D$22+Declarations!$B$22*S276*Declarations!$D$20+Declarations!$B$22*U276*Declarations!$D$21+Declarations!$B$22*V276*Declarations!$D$22+0</f>
        <v>0.617283950617284</v>
      </c>
      <c r="T277" s="20" t="n">
        <f aca="false">Declarations!$C$20*Q276*Declarations!$C$20+Declarations!$C$20*R276*Declarations!$C$21+Declarations!$C$20*S276*Declarations!$C$22+Declarations!$C$21*R276*Declarations!$C$20+Declarations!$C$21*T276*Declarations!$C$21+Declarations!$C$21*U276*Declarations!$C$22+Declarations!$C$22*S276*Declarations!$C$20+Declarations!$C$22*U276*Declarations!$C$21+Declarations!$C$22*V276*Declarations!$C$22+1</f>
        <v>5.70253970137875</v>
      </c>
      <c r="U277" s="20" t="n">
        <f aca="false">Declarations!$C$20*Q276*Declarations!$D$20+Declarations!$C$20*R276*Declarations!$D$21+Declarations!$C$20*S276*Declarations!$D$22+Declarations!$C$21*R276*Declarations!$D$20+Declarations!$C$21*T276*Declarations!$D$21+Declarations!$C$21*U276*Declarations!$D$22+Declarations!$C$22*S276*Declarations!$D$20+Declarations!$C$22*U276*Declarations!$D$21+Declarations!$C$22*V276*Declarations!$D$22+0</f>
        <v>0.771604938271605</v>
      </c>
      <c r="V277" s="20" t="n">
        <f aca="false">Declarations!$D$20*Q276*Declarations!$D$20+Declarations!$D$20*R276*Declarations!$D$21+Declarations!$D$20*S276*Declarations!$D$22+Declarations!$D$21*R276*Declarations!$D$20+Declarations!$D$21*T276*Declarations!$D$21+Declarations!$D$21*U276*Declarations!$D$22+Declarations!$D$22*S276*Declarations!$D$20+Declarations!$D$22*U276*Declarations!$D$21+Declarations!$D$22*V276*Declarations!$D$22+1</f>
        <v>2.77777777777778</v>
      </c>
    </row>
    <row r="278" customFormat="false" ht="15" hidden="false" customHeight="false" outlineLevel="0" collapsed="false">
      <c r="A278" s="18" t="n">
        <v>269</v>
      </c>
      <c r="B278" s="20" t="n">
        <f aca="false">$B$4*B277*$B$4+$B$4*C277*$B$5+$B$5*C277*$B$4+$B$5*D277*$B$5+$E$4</f>
        <v>13.5714285714225</v>
      </c>
      <c r="C278" s="20" t="n">
        <f aca="false">$B$4*B277*$C$4+$B$4*C277*$C$5+$B$5*C277*$C$4+$B$5*D277*$C$5+$F$4</f>
        <v>-5.78571428571143</v>
      </c>
      <c r="D278" s="20" t="n">
        <f aca="false">$C$4*B277*$C$4+$C$4*C277*$C$5+$C$5*C277*$C$4+$C$5*D277*$C$5+$F$5</f>
        <v>11.9928571428516</v>
      </c>
      <c r="P278" s="18" t="n">
        <v>269</v>
      </c>
      <c r="Q278" s="20" t="n">
        <f aca="false">Declarations!$B$20*Q277*Declarations!$B$20+Declarations!$B$20*R277*Declarations!$B$21+Declarations!$B$20*S277*Declarations!$B$22+Declarations!$B$21*R277*Declarations!$B$20+Declarations!$B$21*T277*Declarations!$B$21+Declarations!$B$21*U277*Declarations!$B$22+Declarations!$B$22*S277*Declarations!$B$20+Declarations!$B$22*U277*Declarations!$B$21+Declarations!$B$22*V277*Declarations!$B$22+1</f>
        <v>10.2972987232119</v>
      </c>
      <c r="R278" s="20" t="n">
        <f aca="false">Declarations!$B$20*Q277*Declarations!$C$20+Declarations!$B$20*R277*Declarations!$C$21+Declarations!$B$20*S277*Declarations!$C$22+Declarations!$B$21*R277*Declarations!$C$20+Declarations!$B$21*T277*Declarations!$C$21+Declarations!$B$21*U277*Declarations!$C$22+Declarations!$B$22*S277*Declarations!$C$20+Declarations!$B$22*U277*Declarations!$C$21+Declarations!$B$22*V277*Declarations!$C$22+0</f>
        <v>4.60691839452775</v>
      </c>
      <c r="S278" s="20" t="n">
        <f aca="false">Declarations!$B$20*Q277*Declarations!$D$20+Declarations!$B$20*R277*Declarations!$D$21+Declarations!$B$20*S277*Declarations!$D$22+Declarations!$B$21*R277*Declarations!$D$20+Declarations!$B$21*T277*Declarations!$D$21+Declarations!$B$21*U277*Declarations!$D$22+Declarations!$B$22*S277*Declarations!$D$20+Declarations!$B$22*U277*Declarations!$D$21+Declarations!$B$22*V277*Declarations!$D$22+0</f>
        <v>0.617283950617284</v>
      </c>
      <c r="T278" s="20" t="n">
        <f aca="false">Declarations!$C$20*Q277*Declarations!$C$20+Declarations!$C$20*R277*Declarations!$C$21+Declarations!$C$20*S277*Declarations!$C$22+Declarations!$C$21*R277*Declarations!$C$20+Declarations!$C$21*T277*Declarations!$C$21+Declarations!$C$21*U277*Declarations!$C$22+Declarations!$C$22*S277*Declarations!$C$20+Declarations!$C$22*U277*Declarations!$C$21+Declarations!$C$22*V277*Declarations!$C$22+1</f>
        <v>5.7025397013791</v>
      </c>
      <c r="U278" s="20" t="n">
        <f aca="false">Declarations!$C$20*Q277*Declarations!$D$20+Declarations!$C$20*R277*Declarations!$D$21+Declarations!$C$20*S277*Declarations!$D$22+Declarations!$C$21*R277*Declarations!$D$20+Declarations!$C$21*T277*Declarations!$D$21+Declarations!$C$21*U277*Declarations!$D$22+Declarations!$C$22*S277*Declarations!$D$20+Declarations!$C$22*U277*Declarations!$D$21+Declarations!$C$22*V277*Declarations!$D$22+0</f>
        <v>0.771604938271605</v>
      </c>
      <c r="V278" s="20" t="n">
        <f aca="false">Declarations!$D$20*Q277*Declarations!$D$20+Declarations!$D$20*R277*Declarations!$D$21+Declarations!$D$20*S277*Declarations!$D$22+Declarations!$D$21*R277*Declarations!$D$20+Declarations!$D$21*T277*Declarations!$D$21+Declarations!$D$21*U277*Declarations!$D$22+Declarations!$D$22*S277*Declarations!$D$20+Declarations!$D$22*U277*Declarations!$D$21+Declarations!$D$22*V277*Declarations!$D$22+1</f>
        <v>2.77777777777778</v>
      </c>
    </row>
    <row r="279" customFormat="false" ht="15" hidden="false" customHeight="false" outlineLevel="0" collapsed="false">
      <c r="A279" s="18" t="n">
        <v>270</v>
      </c>
      <c r="B279" s="20" t="n">
        <f aca="false">$B$4*B278*$B$4+$B$4*C278*$B$5+$B$5*C278*$B$4+$B$5*D278*$B$5+$E$4</f>
        <v>13.5714285714233</v>
      </c>
      <c r="C279" s="20" t="n">
        <f aca="false">$B$4*B278*$C$4+$B$4*C278*$C$5+$B$5*C278*$C$4+$B$5*D278*$C$5+$F$4</f>
        <v>-5.78571428571197</v>
      </c>
      <c r="D279" s="20" t="n">
        <f aca="false">$C$4*B278*$C$4+$C$4*C278*$C$5+$C$5*C278*$C$4+$C$5*D278*$C$5+$F$5</f>
        <v>11.9928571428523</v>
      </c>
      <c r="P279" s="18" t="n">
        <v>270</v>
      </c>
      <c r="Q279" s="20" t="n">
        <f aca="false">Declarations!$B$20*Q278*Declarations!$B$20+Declarations!$B$20*R278*Declarations!$B$21+Declarations!$B$20*S278*Declarations!$B$22+Declarations!$B$21*R278*Declarations!$B$20+Declarations!$B$21*T278*Declarations!$B$21+Declarations!$B$21*U278*Declarations!$B$22+Declarations!$B$22*S278*Declarations!$B$20+Declarations!$B$22*U278*Declarations!$B$21+Declarations!$B$22*V278*Declarations!$B$22+1</f>
        <v>10.2972987232131</v>
      </c>
      <c r="R279" s="20" t="n">
        <f aca="false">Declarations!$B$20*Q278*Declarations!$C$20+Declarations!$B$20*R278*Declarations!$C$21+Declarations!$B$20*S278*Declarations!$C$22+Declarations!$B$21*R278*Declarations!$C$20+Declarations!$B$21*T278*Declarations!$C$21+Declarations!$B$21*U278*Declarations!$C$22+Declarations!$B$22*S278*Declarations!$C$20+Declarations!$B$22*U278*Declarations!$C$21+Declarations!$B$22*V278*Declarations!$C$22+0</f>
        <v>4.60691839452837</v>
      </c>
      <c r="S279" s="20" t="n">
        <f aca="false">Declarations!$B$20*Q278*Declarations!$D$20+Declarations!$B$20*R278*Declarations!$D$21+Declarations!$B$20*S278*Declarations!$D$22+Declarations!$B$21*R278*Declarations!$D$20+Declarations!$B$21*T278*Declarations!$D$21+Declarations!$B$21*U278*Declarations!$D$22+Declarations!$B$22*S278*Declarations!$D$20+Declarations!$B$22*U278*Declarations!$D$21+Declarations!$B$22*V278*Declarations!$D$22+0</f>
        <v>0.617283950617284</v>
      </c>
      <c r="T279" s="20" t="n">
        <f aca="false">Declarations!$C$20*Q278*Declarations!$C$20+Declarations!$C$20*R278*Declarations!$C$21+Declarations!$C$20*S278*Declarations!$C$22+Declarations!$C$21*R278*Declarations!$C$20+Declarations!$C$21*T278*Declarations!$C$21+Declarations!$C$21*U278*Declarations!$C$22+Declarations!$C$22*S278*Declarations!$C$20+Declarations!$C$22*U278*Declarations!$C$21+Declarations!$C$22*V278*Declarations!$C$22+1</f>
        <v>5.70253970137941</v>
      </c>
      <c r="U279" s="20" t="n">
        <f aca="false">Declarations!$C$20*Q278*Declarations!$D$20+Declarations!$C$20*R278*Declarations!$D$21+Declarations!$C$20*S278*Declarations!$D$22+Declarations!$C$21*R278*Declarations!$D$20+Declarations!$C$21*T278*Declarations!$D$21+Declarations!$C$21*U278*Declarations!$D$22+Declarations!$C$22*S278*Declarations!$D$20+Declarations!$C$22*U278*Declarations!$D$21+Declarations!$C$22*V278*Declarations!$D$22+0</f>
        <v>0.771604938271605</v>
      </c>
      <c r="V279" s="20" t="n">
        <f aca="false">Declarations!$D$20*Q278*Declarations!$D$20+Declarations!$D$20*R278*Declarations!$D$21+Declarations!$D$20*S278*Declarations!$D$22+Declarations!$D$21*R278*Declarations!$D$20+Declarations!$D$21*T278*Declarations!$D$21+Declarations!$D$21*U278*Declarations!$D$22+Declarations!$D$22*S278*Declarations!$D$20+Declarations!$D$22*U278*Declarations!$D$21+Declarations!$D$22*V278*Declarations!$D$22+1</f>
        <v>2.77777777777778</v>
      </c>
    </row>
    <row r="280" customFormat="false" ht="15" hidden="false" customHeight="false" outlineLevel="0" collapsed="false">
      <c r="A280" s="18" t="n">
        <v>271</v>
      </c>
      <c r="B280" s="20" t="n">
        <f aca="false">$B$4*B279*$B$4+$B$4*C279*$B$5+$B$5*C279*$B$4+$B$5*D279*$B$5+$E$4</f>
        <v>13.5714285714236</v>
      </c>
      <c r="C280" s="20" t="n">
        <f aca="false">$B$4*B279*$C$4+$B$4*C279*$C$5+$B$5*C279*$C$4+$B$5*D279*$C$5+$F$4</f>
        <v>-5.78571428571207</v>
      </c>
      <c r="D280" s="20" t="n">
        <f aca="false">$C$4*B279*$C$4+$C$4*C279*$C$5+$C$5*C279*$C$4+$C$5*D279*$C$5+$F$5</f>
        <v>11.9928571428528</v>
      </c>
      <c r="P280" s="18" t="n">
        <v>271</v>
      </c>
      <c r="Q280" s="20" t="n">
        <f aca="false">Declarations!$B$20*Q279*Declarations!$B$20+Declarations!$B$20*R279*Declarations!$B$21+Declarations!$B$20*S279*Declarations!$B$22+Declarations!$B$21*R279*Declarations!$B$20+Declarations!$B$21*T279*Declarations!$B$21+Declarations!$B$21*U279*Declarations!$B$22+Declarations!$B$22*S279*Declarations!$B$20+Declarations!$B$22*U279*Declarations!$B$21+Declarations!$B$22*V279*Declarations!$B$22+1</f>
        <v>10.2972987232142</v>
      </c>
      <c r="R280" s="20" t="n">
        <f aca="false">Declarations!$B$20*Q279*Declarations!$C$20+Declarations!$B$20*R279*Declarations!$C$21+Declarations!$B$20*S279*Declarations!$C$22+Declarations!$B$21*R279*Declarations!$C$20+Declarations!$B$21*T279*Declarations!$C$21+Declarations!$B$21*U279*Declarations!$C$22+Declarations!$B$22*S279*Declarations!$C$20+Declarations!$B$22*U279*Declarations!$C$21+Declarations!$B$22*V279*Declarations!$C$22+0</f>
        <v>4.60691839452894</v>
      </c>
      <c r="S280" s="20" t="n">
        <f aca="false">Declarations!$B$20*Q279*Declarations!$D$20+Declarations!$B$20*R279*Declarations!$D$21+Declarations!$B$20*S279*Declarations!$D$22+Declarations!$B$21*R279*Declarations!$D$20+Declarations!$B$21*T279*Declarations!$D$21+Declarations!$B$21*U279*Declarations!$D$22+Declarations!$B$22*S279*Declarations!$D$20+Declarations!$B$22*U279*Declarations!$D$21+Declarations!$B$22*V279*Declarations!$D$22+0</f>
        <v>0.617283950617284</v>
      </c>
      <c r="T280" s="20" t="n">
        <f aca="false">Declarations!$C$20*Q279*Declarations!$C$20+Declarations!$C$20*R279*Declarations!$C$21+Declarations!$C$20*S279*Declarations!$C$22+Declarations!$C$21*R279*Declarations!$C$20+Declarations!$C$21*T279*Declarations!$C$21+Declarations!$C$21*U279*Declarations!$C$22+Declarations!$C$22*S279*Declarations!$C$20+Declarations!$C$22*U279*Declarations!$C$21+Declarations!$C$22*V279*Declarations!$C$22+1</f>
        <v>5.70253970137969</v>
      </c>
      <c r="U280" s="20" t="n">
        <f aca="false">Declarations!$C$20*Q279*Declarations!$D$20+Declarations!$C$20*R279*Declarations!$D$21+Declarations!$C$20*S279*Declarations!$D$22+Declarations!$C$21*R279*Declarations!$D$20+Declarations!$C$21*T279*Declarations!$D$21+Declarations!$C$21*U279*Declarations!$D$22+Declarations!$C$22*S279*Declarations!$D$20+Declarations!$C$22*U279*Declarations!$D$21+Declarations!$C$22*V279*Declarations!$D$22+0</f>
        <v>0.771604938271605</v>
      </c>
      <c r="V280" s="20" t="n">
        <f aca="false">Declarations!$D$20*Q279*Declarations!$D$20+Declarations!$D$20*R279*Declarations!$D$21+Declarations!$D$20*S279*Declarations!$D$22+Declarations!$D$21*R279*Declarations!$D$20+Declarations!$D$21*T279*Declarations!$D$21+Declarations!$D$21*U279*Declarations!$D$22+Declarations!$D$22*S279*Declarations!$D$20+Declarations!$D$22*U279*Declarations!$D$21+Declarations!$D$22*V279*Declarations!$D$22+1</f>
        <v>2.77777777777778</v>
      </c>
    </row>
    <row r="281" customFormat="false" ht="15" hidden="false" customHeight="false" outlineLevel="0" collapsed="false">
      <c r="A281" s="18" t="n">
        <v>272</v>
      </c>
      <c r="B281" s="20" t="n">
        <f aca="false">$B$4*B280*$B$4+$B$4*C280*$B$5+$B$5*C280*$B$4+$B$5*D280*$B$5+$E$4</f>
        <v>13.5714285714242</v>
      </c>
      <c r="C281" s="20" t="n">
        <f aca="false">$B$4*B280*$C$4+$B$4*C280*$C$5+$B$5*C280*$C$4+$B$5*D280*$C$5+$F$4</f>
        <v>-5.78571428571222</v>
      </c>
      <c r="D281" s="20" t="n">
        <f aca="false">$C$4*B280*$C$4+$C$4*C280*$C$5+$C$5*C280*$C$4+$C$5*D280*$C$5+$F$5</f>
        <v>11.9928571428531</v>
      </c>
      <c r="P281" s="18" t="n">
        <v>272</v>
      </c>
      <c r="Q281" s="20" t="n">
        <f aca="false">Declarations!$B$20*Q280*Declarations!$B$20+Declarations!$B$20*R280*Declarations!$B$21+Declarations!$B$20*S280*Declarations!$B$22+Declarations!$B$21*R280*Declarations!$B$20+Declarations!$B$21*T280*Declarations!$B$21+Declarations!$B$21*U280*Declarations!$B$22+Declarations!$B$22*S280*Declarations!$B$20+Declarations!$B$22*U280*Declarations!$B$21+Declarations!$B$22*V280*Declarations!$B$22+1</f>
        <v>10.2972987232153</v>
      </c>
      <c r="R281" s="20" t="n">
        <f aca="false">Declarations!$B$20*Q280*Declarations!$C$20+Declarations!$B$20*R280*Declarations!$C$21+Declarations!$B$20*S280*Declarations!$C$22+Declarations!$B$21*R280*Declarations!$C$20+Declarations!$B$21*T280*Declarations!$C$21+Declarations!$B$21*U280*Declarations!$C$22+Declarations!$B$22*S280*Declarations!$C$20+Declarations!$B$22*U280*Declarations!$C$21+Declarations!$B$22*V280*Declarations!$C$22+0</f>
        <v>4.60691839452944</v>
      </c>
      <c r="S281" s="20" t="n">
        <f aca="false">Declarations!$B$20*Q280*Declarations!$D$20+Declarations!$B$20*R280*Declarations!$D$21+Declarations!$B$20*S280*Declarations!$D$22+Declarations!$B$21*R280*Declarations!$D$20+Declarations!$B$21*T280*Declarations!$D$21+Declarations!$B$21*U280*Declarations!$D$22+Declarations!$B$22*S280*Declarations!$D$20+Declarations!$B$22*U280*Declarations!$D$21+Declarations!$B$22*V280*Declarations!$D$22+0</f>
        <v>0.617283950617284</v>
      </c>
      <c r="T281" s="20" t="n">
        <f aca="false">Declarations!$C$20*Q280*Declarations!$C$20+Declarations!$C$20*R280*Declarations!$C$21+Declarations!$C$20*S280*Declarations!$C$22+Declarations!$C$21*R280*Declarations!$C$20+Declarations!$C$21*T280*Declarations!$C$21+Declarations!$C$21*U280*Declarations!$C$22+Declarations!$C$22*S280*Declarations!$C$20+Declarations!$C$22*U280*Declarations!$C$21+Declarations!$C$22*V280*Declarations!$C$22+1</f>
        <v>5.70253970137994</v>
      </c>
      <c r="U281" s="20" t="n">
        <f aca="false">Declarations!$C$20*Q280*Declarations!$D$20+Declarations!$C$20*R280*Declarations!$D$21+Declarations!$C$20*S280*Declarations!$D$22+Declarations!$C$21*R280*Declarations!$D$20+Declarations!$C$21*T280*Declarations!$D$21+Declarations!$C$21*U280*Declarations!$D$22+Declarations!$C$22*S280*Declarations!$D$20+Declarations!$C$22*U280*Declarations!$D$21+Declarations!$C$22*V280*Declarations!$D$22+0</f>
        <v>0.771604938271605</v>
      </c>
      <c r="V281" s="20" t="n">
        <f aca="false">Declarations!$D$20*Q280*Declarations!$D$20+Declarations!$D$20*R280*Declarations!$D$21+Declarations!$D$20*S280*Declarations!$D$22+Declarations!$D$21*R280*Declarations!$D$20+Declarations!$D$21*T280*Declarations!$D$21+Declarations!$D$21*U280*Declarations!$D$22+Declarations!$D$22*S280*Declarations!$D$20+Declarations!$D$22*U280*Declarations!$D$21+Declarations!$D$22*V280*Declarations!$D$22+1</f>
        <v>2.77777777777778</v>
      </c>
    </row>
    <row r="282" customFormat="false" ht="15" hidden="false" customHeight="false" outlineLevel="0" collapsed="false">
      <c r="A282" s="18" t="n">
        <v>273</v>
      </c>
      <c r="B282" s="20" t="n">
        <f aca="false">$B$4*B281*$B$4+$B$4*C281*$B$5+$B$5*C281*$B$4+$B$5*D281*$B$5+$E$4</f>
        <v>13.5714285714247</v>
      </c>
      <c r="C282" s="20" t="n">
        <f aca="false">$B$4*B281*$C$4+$B$4*C281*$C$5+$B$5*C281*$C$4+$B$5*D281*$C$5+$F$4</f>
        <v>-5.7857142857126</v>
      </c>
      <c r="D282" s="20" t="n">
        <f aca="false">$C$4*B281*$C$4+$C$4*C281*$C$5+$C$5*C281*$C$4+$C$5*D281*$C$5+$F$5</f>
        <v>11.9928571428536</v>
      </c>
      <c r="P282" s="18" t="n">
        <v>273</v>
      </c>
      <c r="Q282" s="20" t="n">
        <f aca="false">Declarations!$B$20*Q281*Declarations!$B$20+Declarations!$B$20*R281*Declarations!$B$21+Declarations!$B$20*S281*Declarations!$B$22+Declarations!$B$21*R281*Declarations!$B$20+Declarations!$B$21*T281*Declarations!$B$21+Declarations!$B$21*U281*Declarations!$B$22+Declarations!$B$22*S281*Declarations!$B$20+Declarations!$B$22*U281*Declarations!$B$21+Declarations!$B$22*V281*Declarations!$B$22+1</f>
        <v>10.2972987232162</v>
      </c>
      <c r="R282" s="20" t="n">
        <f aca="false">Declarations!$B$20*Q281*Declarations!$C$20+Declarations!$B$20*R281*Declarations!$C$21+Declarations!$B$20*S281*Declarations!$C$22+Declarations!$B$21*R281*Declarations!$C$20+Declarations!$B$21*T281*Declarations!$C$21+Declarations!$B$21*U281*Declarations!$C$22+Declarations!$B$22*S281*Declarations!$C$20+Declarations!$B$22*U281*Declarations!$C$21+Declarations!$B$22*V281*Declarations!$C$22+0</f>
        <v>4.6069183945299</v>
      </c>
      <c r="S282" s="20" t="n">
        <f aca="false">Declarations!$B$20*Q281*Declarations!$D$20+Declarations!$B$20*R281*Declarations!$D$21+Declarations!$B$20*S281*Declarations!$D$22+Declarations!$B$21*R281*Declarations!$D$20+Declarations!$B$21*T281*Declarations!$D$21+Declarations!$B$21*U281*Declarations!$D$22+Declarations!$B$22*S281*Declarations!$D$20+Declarations!$B$22*U281*Declarations!$D$21+Declarations!$B$22*V281*Declarations!$D$22+0</f>
        <v>0.617283950617284</v>
      </c>
      <c r="T282" s="20" t="n">
        <f aca="false">Declarations!$C$20*Q281*Declarations!$C$20+Declarations!$C$20*R281*Declarations!$C$21+Declarations!$C$20*S281*Declarations!$C$22+Declarations!$C$21*R281*Declarations!$C$20+Declarations!$C$21*T281*Declarations!$C$21+Declarations!$C$21*U281*Declarations!$C$22+Declarations!$C$22*S281*Declarations!$C$20+Declarations!$C$22*U281*Declarations!$C$21+Declarations!$C$22*V281*Declarations!$C$22+1</f>
        <v>5.70253970138017</v>
      </c>
      <c r="U282" s="20" t="n">
        <f aca="false">Declarations!$C$20*Q281*Declarations!$D$20+Declarations!$C$20*R281*Declarations!$D$21+Declarations!$C$20*S281*Declarations!$D$22+Declarations!$C$21*R281*Declarations!$D$20+Declarations!$C$21*T281*Declarations!$D$21+Declarations!$C$21*U281*Declarations!$D$22+Declarations!$C$22*S281*Declarations!$D$20+Declarations!$C$22*U281*Declarations!$D$21+Declarations!$C$22*V281*Declarations!$D$22+0</f>
        <v>0.771604938271605</v>
      </c>
      <c r="V282" s="20" t="n">
        <f aca="false">Declarations!$D$20*Q281*Declarations!$D$20+Declarations!$D$20*R281*Declarations!$D$21+Declarations!$D$20*S281*Declarations!$D$22+Declarations!$D$21*R281*Declarations!$D$20+Declarations!$D$21*T281*Declarations!$D$21+Declarations!$D$21*U281*Declarations!$D$22+Declarations!$D$22*S281*Declarations!$D$20+Declarations!$D$22*U281*Declarations!$D$21+Declarations!$D$22*V281*Declarations!$D$22+1</f>
        <v>2.77777777777778</v>
      </c>
    </row>
    <row r="283" customFormat="false" ht="15" hidden="false" customHeight="false" outlineLevel="0" collapsed="false">
      <c r="A283" s="18" t="n">
        <v>274</v>
      </c>
      <c r="B283" s="20" t="n">
        <f aca="false">$B$4*B282*$B$4+$B$4*C282*$B$5+$B$5*C282*$B$4+$B$5*D282*$B$5+$E$4</f>
        <v>13.5714285714249</v>
      </c>
      <c r="C283" s="20" t="n">
        <f aca="false">$B$4*B282*$C$4+$B$4*C282*$C$5+$B$5*C282*$C$4+$B$5*D282*$C$5+$F$4</f>
        <v>-5.78571428571265</v>
      </c>
      <c r="D283" s="20" t="n">
        <f aca="false">$C$4*B282*$C$4+$C$4*C282*$C$5+$C$5*C282*$C$4+$C$5*D282*$C$5+$F$5</f>
        <v>11.992857142854</v>
      </c>
      <c r="P283" s="18" t="n">
        <v>274</v>
      </c>
      <c r="Q283" s="20" t="n">
        <f aca="false">Declarations!$B$20*Q282*Declarations!$B$20+Declarations!$B$20*R282*Declarations!$B$21+Declarations!$B$20*S282*Declarations!$B$22+Declarations!$B$21*R282*Declarations!$B$20+Declarations!$B$21*T282*Declarations!$B$21+Declarations!$B$21*U282*Declarations!$B$22+Declarations!$B$22*S282*Declarations!$B$20+Declarations!$B$22*U282*Declarations!$B$21+Declarations!$B$22*V282*Declarations!$B$22+1</f>
        <v>10.297298723217</v>
      </c>
      <c r="R283" s="20" t="n">
        <f aca="false">Declarations!$B$20*Q282*Declarations!$C$20+Declarations!$B$20*R282*Declarations!$C$21+Declarations!$B$20*S282*Declarations!$C$22+Declarations!$B$21*R282*Declarations!$C$20+Declarations!$B$21*T282*Declarations!$C$21+Declarations!$B$21*U282*Declarations!$C$22+Declarations!$B$22*S282*Declarations!$C$20+Declarations!$B$22*U282*Declarations!$C$21+Declarations!$B$22*V282*Declarations!$C$22+0</f>
        <v>4.60691839453031</v>
      </c>
      <c r="S283" s="20" t="n">
        <f aca="false">Declarations!$B$20*Q282*Declarations!$D$20+Declarations!$B$20*R282*Declarations!$D$21+Declarations!$B$20*S282*Declarations!$D$22+Declarations!$B$21*R282*Declarations!$D$20+Declarations!$B$21*T282*Declarations!$D$21+Declarations!$B$21*U282*Declarations!$D$22+Declarations!$B$22*S282*Declarations!$D$20+Declarations!$B$22*U282*Declarations!$D$21+Declarations!$B$22*V282*Declarations!$D$22+0</f>
        <v>0.617283950617284</v>
      </c>
      <c r="T283" s="20" t="n">
        <f aca="false">Declarations!$C$20*Q282*Declarations!$C$20+Declarations!$C$20*R282*Declarations!$C$21+Declarations!$C$20*S282*Declarations!$C$22+Declarations!$C$21*R282*Declarations!$C$20+Declarations!$C$21*T282*Declarations!$C$21+Declarations!$C$21*U282*Declarations!$C$22+Declarations!$C$22*S282*Declarations!$C$20+Declarations!$C$22*U282*Declarations!$C$21+Declarations!$C$22*V282*Declarations!$C$22+1</f>
        <v>5.70253970138038</v>
      </c>
      <c r="U283" s="20" t="n">
        <f aca="false">Declarations!$C$20*Q282*Declarations!$D$20+Declarations!$C$20*R282*Declarations!$D$21+Declarations!$C$20*S282*Declarations!$D$22+Declarations!$C$21*R282*Declarations!$D$20+Declarations!$C$21*T282*Declarations!$D$21+Declarations!$C$21*U282*Declarations!$D$22+Declarations!$C$22*S282*Declarations!$D$20+Declarations!$C$22*U282*Declarations!$D$21+Declarations!$C$22*V282*Declarations!$D$22+0</f>
        <v>0.771604938271605</v>
      </c>
      <c r="V283" s="20" t="n">
        <f aca="false">Declarations!$D$20*Q282*Declarations!$D$20+Declarations!$D$20*R282*Declarations!$D$21+Declarations!$D$20*S282*Declarations!$D$22+Declarations!$D$21*R282*Declarations!$D$20+Declarations!$D$21*T282*Declarations!$D$21+Declarations!$D$21*U282*Declarations!$D$22+Declarations!$D$22*S282*Declarations!$D$20+Declarations!$D$22*U282*Declarations!$D$21+Declarations!$D$22*V282*Declarations!$D$22+1</f>
        <v>2.77777777777778</v>
      </c>
    </row>
    <row r="284" customFormat="false" ht="15" hidden="false" customHeight="false" outlineLevel="0" collapsed="false">
      <c r="A284" s="18" t="n">
        <v>275</v>
      </c>
      <c r="B284" s="20" t="n">
        <f aca="false">$B$4*B283*$B$4+$B$4*C283*$B$5+$B$5*C283*$B$4+$B$5*D283*$B$5+$E$4</f>
        <v>13.5714285714254</v>
      </c>
      <c r="C284" s="20" t="n">
        <f aca="false">$B$4*B283*$C$4+$B$4*C283*$C$5+$B$5*C283*$C$4+$B$5*D283*$C$5+$F$4</f>
        <v>-5.78571428571279</v>
      </c>
      <c r="D284" s="20" t="n">
        <f aca="false">$C$4*B283*$C$4+$C$4*C283*$C$5+$C$5*C283*$C$4+$C$5*D283*$C$5+$F$5</f>
        <v>11.9928571428542</v>
      </c>
      <c r="P284" s="18" t="n">
        <v>275</v>
      </c>
      <c r="Q284" s="20" t="n">
        <f aca="false">Declarations!$B$20*Q283*Declarations!$B$20+Declarations!$B$20*R283*Declarations!$B$21+Declarations!$B$20*S283*Declarations!$B$22+Declarations!$B$21*R283*Declarations!$B$20+Declarations!$B$21*T283*Declarations!$B$21+Declarations!$B$21*U283*Declarations!$B$22+Declarations!$B$22*S283*Declarations!$B$20+Declarations!$B$22*U283*Declarations!$B$21+Declarations!$B$22*V283*Declarations!$B$22+1</f>
        <v>10.2972987232177</v>
      </c>
      <c r="R284" s="20" t="n">
        <f aca="false">Declarations!$B$20*Q283*Declarations!$C$20+Declarations!$B$20*R283*Declarations!$C$21+Declarations!$B$20*S283*Declarations!$C$22+Declarations!$B$21*R283*Declarations!$C$20+Declarations!$B$21*T283*Declarations!$C$21+Declarations!$B$21*U283*Declarations!$C$22+Declarations!$B$22*S283*Declarations!$C$20+Declarations!$B$22*U283*Declarations!$C$21+Declarations!$B$22*V283*Declarations!$C$22+0</f>
        <v>4.60691839453069</v>
      </c>
      <c r="S284" s="20" t="n">
        <f aca="false">Declarations!$B$20*Q283*Declarations!$D$20+Declarations!$B$20*R283*Declarations!$D$21+Declarations!$B$20*S283*Declarations!$D$22+Declarations!$B$21*R283*Declarations!$D$20+Declarations!$B$21*T283*Declarations!$D$21+Declarations!$B$21*U283*Declarations!$D$22+Declarations!$B$22*S283*Declarations!$D$20+Declarations!$B$22*U283*Declarations!$D$21+Declarations!$B$22*V283*Declarations!$D$22+0</f>
        <v>0.617283950617284</v>
      </c>
      <c r="T284" s="20" t="n">
        <f aca="false">Declarations!$C$20*Q283*Declarations!$C$20+Declarations!$C$20*R283*Declarations!$C$21+Declarations!$C$20*S283*Declarations!$C$22+Declarations!$C$21*R283*Declarations!$C$20+Declarations!$C$21*T283*Declarations!$C$21+Declarations!$C$21*U283*Declarations!$C$22+Declarations!$C$22*S283*Declarations!$C$20+Declarations!$C$22*U283*Declarations!$C$21+Declarations!$C$22*V283*Declarations!$C$22+1</f>
        <v>5.70253970138057</v>
      </c>
      <c r="U284" s="20" t="n">
        <f aca="false">Declarations!$C$20*Q283*Declarations!$D$20+Declarations!$C$20*R283*Declarations!$D$21+Declarations!$C$20*S283*Declarations!$D$22+Declarations!$C$21*R283*Declarations!$D$20+Declarations!$C$21*T283*Declarations!$D$21+Declarations!$C$21*U283*Declarations!$D$22+Declarations!$C$22*S283*Declarations!$D$20+Declarations!$C$22*U283*Declarations!$D$21+Declarations!$C$22*V283*Declarations!$D$22+0</f>
        <v>0.771604938271605</v>
      </c>
      <c r="V284" s="20" t="n">
        <f aca="false">Declarations!$D$20*Q283*Declarations!$D$20+Declarations!$D$20*R283*Declarations!$D$21+Declarations!$D$20*S283*Declarations!$D$22+Declarations!$D$21*R283*Declarations!$D$20+Declarations!$D$21*T283*Declarations!$D$21+Declarations!$D$21*U283*Declarations!$D$22+Declarations!$D$22*S283*Declarations!$D$20+Declarations!$D$22*U283*Declarations!$D$21+Declarations!$D$22*V283*Declarations!$D$22+1</f>
        <v>2.77777777777778</v>
      </c>
    </row>
    <row r="285" customFormat="false" ht="15" hidden="false" customHeight="false" outlineLevel="0" collapsed="false">
      <c r="A285" s="18" t="n">
        <v>276</v>
      </c>
      <c r="B285" s="20" t="n">
        <f aca="false">$B$4*B284*$B$4+$B$4*C284*$B$5+$B$5*C284*$B$4+$B$5*D284*$B$5+$E$4</f>
        <v>13.5714285714257</v>
      </c>
      <c r="C285" s="20" t="n">
        <f aca="false">$B$4*B284*$C$4+$B$4*C284*$C$5+$B$5*C284*$C$4+$B$5*D284*$C$5+$F$4</f>
        <v>-5.78571428571306</v>
      </c>
      <c r="D285" s="20" t="n">
        <f aca="false">$C$4*B284*$C$4+$C$4*C284*$C$5+$C$5*C284*$C$4+$C$5*D284*$C$5+$F$5</f>
        <v>11.9928571428546</v>
      </c>
      <c r="P285" s="18" t="n">
        <v>276</v>
      </c>
      <c r="Q285" s="20" t="n">
        <f aca="false">Declarations!$B$20*Q284*Declarations!$B$20+Declarations!$B$20*R284*Declarations!$B$21+Declarations!$B$20*S284*Declarations!$B$22+Declarations!$B$21*R284*Declarations!$B$20+Declarations!$B$21*T284*Declarations!$B$21+Declarations!$B$21*U284*Declarations!$B$22+Declarations!$B$22*S284*Declarations!$B$20+Declarations!$B$22*U284*Declarations!$B$21+Declarations!$B$22*V284*Declarations!$B$22+1</f>
        <v>10.2972987232184</v>
      </c>
      <c r="R285" s="20" t="n">
        <f aca="false">Declarations!$B$20*Q284*Declarations!$C$20+Declarations!$B$20*R284*Declarations!$C$21+Declarations!$B$20*S284*Declarations!$C$22+Declarations!$B$21*R284*Declarations!$C$20+Declarations!$B$21*T284*Declarations!$C$21+Declarations!$B$21*U284*Declarations!$C$22+Declarations!$B$22*S284*Declarations!$C$20+Declarations!$B$22*U284*Declarations!$C$21+Declarations!$B$22*V284*Declarations!$C$22+0</f>
        <v>4.60691839453102</v>
      </c>
      <c r="S285" s="20" t="n">
        <f aca="false">Declarations!$B$20*Q284*Declarations!$D$20+Declarations!$B$20*R284*Declarations!$D$21+Declarations!$B$20*S284*Declarations!$D$22+Declarations!$B$21*R284*Declarations!$D$20+Declarations!$B$21*T284*Declarations!$D$21+Declarations!$B$21*U284*Declarations!$D$22+Declarations!$B$22*S284*Declarations!$D$20+Declarations!$B$22*U284*Declarations!$D$21+Declarations!$B$22*V284*Declarations!$D$22+0</f>
        <v>0.617283950617284</v>
      </c>
      <c r="T285" s="20" t="n">
        <f aca="false">Declarations!$C$20*Q284*Declarations!$C$20+Declarations!$C$20*R284*Declarations!$C$21+Declarations!$C$20*S284*Declarations!$C$22+Declarations!$C$21*R284*Declarations!$C$20+Declarations!$C$21*T284*Declarations!$C$21+Declarations!$C$21*U284*Declarations!$C$22+Declarations!$C$22*S284*Declarations!$C$20+Declarations!$C$22*U284*Declarations!$C$21+Declarations!$C$22*V284*Declarations!$C$22+1</f>
        <v>5.70253970138073</v>
      </c>
      <c r="U285" s="20" t="n">
        <f aca="false">Declarations!$C$20*Q284*Declarations!$D$20+Declarations!$C$20*R284*Declarations!$D$21+Declarations!$C$20*S284*Declarations!$D$22+Declarations!$C$21*R284*Declarations!$D$20+Declarations!$C$21*T284*Declarations!$D$21+Declarations!$C$21*U284*Declarations!$D$22+Declarations!$C$22*S284*Declarations!$D$20+Declarations!$C$22*U284*Declarations!$D$21+Declarations!$C$22*V284*Declarations!$D$22+0</f>
        <v>0.771604938271605</v>
      </c>
      <c r="V285" s="20" t="n">
        <f aca="false">Declarations!$D$20*Q284*Declarations!$D$20+Declarations!$D$20*R284*Declarations!$D$21+Declarations!$D$20*S284*Declarations!$D$22+Declarations!$D$21*R284*Declarations!$D$20+Declarations!$D$21*T284*Declarations!$D$21+Declarations!$D$21*U284*Declarations!$D$22+Declarations!$D$22*S284*Declarations!$D$20+Declarations!$D$22*U284*Declarations!$D$21+Declarations!$D$22*V284*Declarations!$D$22+1</f>
        <v>2.77777777777778</v>
      </c>
    </row>
    <row r="286" customFormat="false" ht="15" hidden="false" customHeight="false" outlineLevel="0" collapsed="false">
      <c r="A286" s="18" t="n">
        <v>277</v>
      </c>
      <c r="B286" s="20" t="n">
        <f aca="false">$B$4*B285*$B$4+$B$4*C285*$B$5+$B$5*C285*$B$4+$B$5*D285*$B$5+$E$4</f>
        <v>13.5714285714259</v>
      </c>
      <c r="C286" s="20" t="n">
        <f aca="false">$B$4*B285*$C$4+$B$4*C285*$C$5+$B$5*C285*$C$4+$B$5*D285*$C$5+$F$4</f>
        <v>-5.78571428571308</v>
      </c>
      <c r="D286" s="20" t="n">
        <f aca="false">$C$4*B285*$C$4+$C$4*C285*$C$5+$C$5*C285*$C$4+$C$5*D285*$C$5+$F$5</f>
        <v>11.9928571428548</v>
      </c>
      <c r="P286" s="18" t="n">
        <v>277</v>
      </c>
      <c r="Q286" s="20" t="n">
        <f aca="false">Declarations!$B$20*Q285*Declarations!$B$20+Declarations!$B$20*R285*Declarations!$B$21+Declarations!$B$20*S285*Declarations!$B$22+Declarations!$B$21*R285*Declarations!$B$20+Declarations!$B$21*T285*Declarations!$B$21+Declarations!$B$21*U285*Declarations!$B$22+Declarations!$B$22*S285*Declarations!$B$20+Declarations!$B$22*U285*Declarations!$B$21+Declarations!$B$22*V285*Declarations!$B$22+1</f>
        <v>10.297298723219</v>
      </c>
      <c r="R286" s="20" t="n">
        <f aca="false">Declarations!$B$20*Q285*Declarations!$C$20+Declarations!$B$20*R285*Declarations!$C$21+Declarations!$B$20*S285*Declarations!$C$22+Declarations!$B$21*R285*Declarations!$C$20+Declarations!$B$21*T285*Declarations!$C$21+Declarations!$B$21*U285*Declarations!$C$22+Declarations!$B$22*S285*Declarations!$C$20+Declarations!$B$22*U285*Declarations!$C$21+Declarations!$B$22*V285*Declarations!$C$22+0</f>
        <v>4.60691839453133</v>
      </c>
      <c r="S286" s="20" t="n">
        <f aca="false">Declarations!$B$20*Q285*Declarations!$D$20+Declarations!$B$20*R285*Declarations!$D$21+Declarations!$B$20*S285*Declarations!$D$22+Declarations!$B$21*R285*Declarations!$D$20+Declarations!$B$21*T285*Declarations!$D$21+Declarations!$B$21*U285*Declarations!$D$22+Declarations!$B$22*S285*Declarations!$D$20+Declarations!$B$22*U285*Declarations!$D$21+Declarations!$B$22*V285*Declarations!$D$22+0</f>
        <v>0.617283950617284</v>
      </c>
      <c r="T286" s="20" t="n">
        <f aca="false">Declarations!$C$20*Q285*Declarations!$C$20+Declarations!$C$20*R285*Declarations!$C$21+Declarations!$C$20*S285*Declarations!$C$22+Declarations!$C$21*R285*Declarations!$C$20+Declarations!$C$21*T285*Declarations!$C$21+Declarations!$C$21*U285*Declarations!$C$22+Declarations!$C$22*S285*Declarations!$C$20+Declarations!$C$22*U285*Declarations!$C$21+Declarations!$C$22*V285*Declarations!$C$22+1</f>
        <v>5.70253970138089</v>
      </c>
      <c r="U286" s="20" t="n">
        <f aca="false">Declarations!$C$20*Q285*Declarations!$D$20+Declarations!$C$20*R285*Declarations!$D$21+Declarations!$C$20*S285*Declarations!$D$22+Declarations!$C$21*R285*Declarations!$D$20+Declarations!$C$21*T285*Declarations!$D$21+Declarations!$C$21*U285*Declarations!$D$22+Declarations!$C$22*S285*Declarations!$D$20+Declarations!$C$22*U285*Declarations!$D$21+Declarations!$C$22*V285*Declarations!$D$22+0</f>
        <v>0.771604938271605</v>
      </c>
      <c r="V286" s="20" t="n">
        <f aca="false">Declarations!$D$20*Q285*Declarations!$D$20+Declarations!$D$20*R285*Declarations!$D$21+Declarations!$D$20*S285*Declarations!$D$22+Declarations!$D$21*R285*Declarations!$D$20+Declarations!$D$21*T285*Declarations!$D$21+Declarations!$D$21*U285*Declarations!$D$22+Declarations!$D$22*S285*Declarations!$D$20+Declarations!$D$22*U285*Declarations!$D$21+Declarations!$D$22*V285*Declarations!$D$22+1</f>
        <v>2.77777777777778</v>
      </c>
    </row>
    <row r="287" customFormat="false" ht="15" hidden="false" customHeight="false" outlineLevel="0" collapsed="false">
      <c r="A287" s="18" t="n">
        <v>278</v>
      </c>
      <c r="B287" s="20" t="n">
        <f aca="false">$B$4*B286*$B$4+$B$4*C286*$B$5+$B$5*C286*$B$4+$B$5*D286*$B$5+$E$4</f>
        <v>13.5714285714263</v>
      </c>
      <c r="C287" s="20" t="n">
        <f aca="false">$B$4*B286*$C$4+$B$4*C286*$C$5+$B$5*C286*$C$4+$B$5*D286*$C$5+$F$4</f>
        <v>-5.7857142857132</v>
      </c>
      <c r="D287" s="20" t="n">
        <f aca="false">$C$4*B286*$C$4+$C$4*C286*$C$5+$C$5*C286*$C$4+$C$5*D286*$C$5+$F$5</f>
        <v>11.992857142855</v>
      </c>
      <c r="P287" s="18" t="n">
        <v>278</v>
      </c>
      <c r="Q287" s="20" t="n">
        <f aca="false">Declarations!$B$20*Q286*Declarations!$B$20+Declarations!$B$20*R286*Declarations!$B$21+Declarations!$B$20*S286*Declarations!$B$22+Declarations!$B$21*R286*Declarations!$B$20+Declarations!$B$21*T286*Declarations!$B$21+Declarations!$B$21*U286*Declarations!$B$22+Declarations!$B$22*S286*Declarations!$B$20+Declarations!$B$22*U286*Declarations!$B$21+Declarations!$B$22*V286*Declarations!$B$22+1</f>
        <v>10.2972987232196</v>
      </c>
      <c r="R287" s="20" t="n">
        <f aca="false">Declarations!$B$20*Q286*Declarations!$C$20+Declarations!$B$20*R286*Declarations!$C$21+Declarations!$B$20*S286*Declarations!$C$22+Declarations!$B$21*R286*Declarations!$C$20+Declarations!$B$21*T286*Declarations!$C$21+Declarations!$B$21*U286*Declarations!$C$22+Declarations!$B$22*S286*Declarations!$C$20+Declarations!$B$22*U286*Declarations!$C$21+Declarations!$B$22*V286*Declarations!$C$22+0</f>
        <v>4.6069183945316</v>
      </c>
      <c r="S287" s="20" t="n">
        <f aca="false">Declarations!$B$20*Q286*Declarations!$D$20+Declarations!$B$20*R286*Declarations!$D$21+Declarations!$B$20*S286*Declarations!$D$22+Declarations!$B$21*R286*Declarations!$D$20+Declarations!$B$21*T286*Declarations!$D$21+Declarations!$B$21*U286*Declarations!$D$22+Declarations!$B$22*S286*Declarations!$D$20+Declarations!$B$22*U286*Declarations!$D$21+Declarations!$B$22*V286*Declarations!$D$22+0</f>
        <v>0.617283950617284</v>
      </c>
      <c r="T287" s="20" t="n">
        <f aca="false">Declarations!$C$20*Q286*Declarations!$C$20+Declarations!$C$20*R286*Declarations!$C$21+Declarations!$C$20*S286*Declarations!$C$22+Declarations!$C$21*R286*Declarations!$C$20+Declarations!$C$21*T286*Declarations!$C$21+Declarations!$C$21*U286*Declarations!$C$22+Declarations!$C$22*S286*Declarations!$C$20+Declarations!$C$22*U286*Declarations!$C$21+Declarations!$C$22*V286*Declarations!$C$22+1</f>
        <v>5.70253970138102</v>
      </c>
      <c r="U287" s="20" t="n">
        <f aca="false">Declarations!$C$20*Q286*Declarations!$D$20+Declarations!$C$20*R286*Declarations!$D$21+Declarations!$C$20*S286*Declarations!$D$22+Declarations!$C$21*R286*Declarations!$D$20+Declarations!$C$21*T286*Declarations!$D$21+Declarations!$C$21*U286*Declarations!$D$22+Declarations!$C$22*S286*Declarations!$D$20+Declarations!$C$22*U286*Declarations!$D$21+Declarations!$C$22*V286*Declarations!$D$22+0</f>
        <v>0.771604938271605</v>
      </c>
      <c r="V287" s="20" t="n">
        <f aca="false">Declarations!$D$20*Q286*Declarations!$D$20+Declarations!$D$20*R286*Declarations!$D$21+Declarations!$D$20*S286*Declarations!$D$22+Declarations!$D$21*R286*Declarations!$D$20+Declarations!$D$21*T286*Declarations!$D$21+Declarations!$D$21*U286*Declarations!$D$22+Declarations!$D$22*S286*Declarations!$D$20+Declarations!$D$22*U286*Declarations!$D$21+Declarations!$D$22*V286*Declarations!$D$22+1</f>
        <v>2.77777777777778</v>
      </c>
    </row>
    <row r="288" customFormat="false" ht="15" hidden="false" customHeight="false" outlineLevel="0" collapsed="false">
      <c r="A288" s="18" t="n">
        <v>279</v>
      </c>
      <c r="B288" s="20" t="n">
        <f aca="false">$B$4*B287*$B$4+$B$4*C287*$B$5+$B$5*C287*$B$4+$B$5*D287*$B$5+$E$4</f>
        <v>13.5714285714265</v>
      </c>
      <c r="C288" s="20" t="n">
        <f aca="false">$B$4*B287*$C$4+$B$4*C287*$C$5+$B$5*C287*$C$4+$B$5*D287*$C$5+$F$4</f>
        <v>-5.78571428571339</v>
      </c>
      <c r="D288" s="20" t="n">
        <f aca="false">$C$4*B287*$C$4+$C$4*C287*$C$5+$C$5*C287*$C$4+$C$5*D287*$C$5+$F$5</f>
        <v>11.9928571428553</v>
      </c>
      <c r="P288" s="18" t="n">
        <v>279</v>
      </c>
      <c r="Q288" s="20" t="n">
        <f aca="false">Declarations!$B$20*Q287*Declarations!$B$20+Declarations!$B$20*R287*Declarations!$B$21+Declarations!$B$20*S287*Declarations!$B$22+Declarations!$B$21*R287*Declarations!$B$20+Declarations!$B$21*T287*Declarations!$B$21+Declarations!$B$21*U287*Declarations!$B$22+Declarations!$B$22*S287*Declarations!$B$20+Declarations!$B$22*U287*Declarations!$B$21+Declarations!$B$22*V287*Declarations!$B$22+1</f>
        <v>10.2972987232201</v>
      </c>
      <c r="R288" s="20" t="n">
        <f aca="false">Declarations!$B$20*Q287*Declarations!$C$20+Declarations!$B$20*R287*Declarations!$C$21+Declarations!$B$20*S287*Declarations!$C$22+Declarations!$B$21*R287*Declarations!$C$20+Declarations!$B$21*T287*Declarations!$C$21+Declarations!$B$21*U287*Declarations!$C$22+Declarations!$B$22*S287*Declarations!$C$20+Declarations!$B$22*U287*Declarations!$C$21+Declarations!$B$22*V287*Declarations!$C$22+0</f>
        <v>4.60691839453185</v>
      </c>
      <c r="S288" s="20" t="n">
        <f aca="false">Declarations!$B$20*Q287*Declarations!$D$20+Declarations!$B$20*R287*Declarations!$D$21+Declarations!$B$20*S287*Declarations!$D$22+Declarations!$B$21*R287*Declarations!$D$20+Declarations!$B$21*T287*Declarations!$D$21+Declarations!$B$21*U287*Declarations!$D$22+Declarations!$B$22*S287*Declarations!$D$20+Declarations!$B$22*U287*Declarations!$D$21+Declarations!$B$22*V287*Declarations!$D$22+0</f>
        <v>0.617283950617284</v>
      </c>
      <c r="T288" s="20" t="n">
        <f aca="false">Declarations!$C$20*Q287*Declarations!$C$20+Declarations!$C$20*R287*Declarations!$C$21+Declarations!$C$20*S287*Declarations!$C$22+Declarations!$C$21*R287*Declarations!$C$20+Declarations!$C$21*T287*Declarations!$C$21+Declarations!$C$21*U287*Declarations!$C$22+Declarations!$C$22*S287*Declarations!$C$20+Declarations!$C$22*U287*Declarations!$C$21+Declarations!$C$22*V287*Declarations!$C$22+1</f>
        <v>5.70253970138115</v>
      </c>
      <c r="U288" s="20" t="n">
        <f aca="false">Declarations!$C$20*Q287*Declarations!$D$20+Declarations!$C$20*R287*Declarations!$D$21+Declarations!$C$20*S287*Declarations!$D$22+Declarations!$C$21*R287*Declarations!$D$20+Declarations!$C$21*T287*Declarations!$D$21+Declarations!$C$21*U287*Declarations!$D$22+Declarations!$C$22*S287*Declarations!$D$20+Declarations!$C$22*U287*Declarations!$D$21+Declarations!$C$22*V287*Declarations!$D$22+0</f>
        <v>0.771604938271605</v>
      </c>
      <c r="V288" s="20" t="n">
        <f aca="false">Declarations!$D$20*Q287*Declarations!$D$20+Declarations!$D$20*R287*Declarations!$D$21+Declarations!$D$20*S287*Declarations!$D$22+Declarations!$D$21*R287*Declarations!$D$20+Declarations!$D$21*T287*Declarations!$D$21+Declarations!$D$21*U287*Declarations!$D$22+Declarations!$D$22*S287*Declarations!$D$20+Declarations!$D$22*U287*Declarations!$D$21+Declarations!$D$22*V287*Declarations!$D$22+1</f>
        <v>2.77777777777778</v>
      </c>
    </row>
    <row r="289" customFormat="false" ht="15" hidden="false" customHeight="false" outlineLevel="0" collapsed="false">
      <c r="A289" s="18" t="n">
        <v>280</v>
      </c>
      <c r="B289" s="20" t="n">
        <f aca="false">$B$4*B288*$B$4+$B$4*C288*$B$5+$B$5*C288*$B$4+$B$5*D288*$B$5+$E$4</f>
        <v>13.5714285714266</v>
      </c>
      <c r="C289" s="20" t="n">
        <f aca="false">$B$4*B288*$C$4+$B$4*C288*$C$5+$B$5*C288*$C$4+$B$5*D288*$C$5+$F$4</f>
        <v>-5.7857142857134</v>
      </c>
      <c r="D289" s="20" t="n">
        <f aca="false">$C$4*B288*$C$4+$C$4*C288*$C$5+$C$5*C288*$C$4+$C$5*D288*$C$5+$F$5</f>
        <v>11.9928571428555</v>
      </c>
      <c r="P289" s="18" t="n">
        <v>280</v>
      </c>
      <c r="Q289" s="20" t="n">
        <f aca="false">Declarations!$B$20*Q288*Declarations!$B$20+Declarations!$B$20*R288*Declarations!$B$21+Declarations!$B$20*S288*Declarations!$B$22+Declarations!$B$21*R288*Declarations!$B$20+Declarations!$B$21*T288*Declarations!$B$21+Declarations!$B$21*U288*Declarations!$B$22+Declarations!$B$22*S288*Declarations!$B$20+Declarations!$B$22*U288*Declarations!$B$21+Declarations!$B$22*V288*Declarations!$B$22+1</f>
        <v>10.2972987232205</v>
      </c>
      <c r="R289" s="20" t="n">
        <f aca="false">Declarations!$B$20*Q288*Declarations!$C$20+Declarations!$B$20*R288*Declarations!$C$21+Declarations!$B$20*S288*Declarations!$C$22+Declarations!$B$21*R288*Declarations!$C$20+Declarations!$B$21*T288*Declarations!$C$21+Declarations!$B$21*U288*Declarations!$C$22+Declarations!$B$22*S288*Declarations!$C$20+Declarations!$B$22*U288*Declarations!$C$21+Declarations!$B$22*V288*Declarations!$C$22+0</f>
        <v>4.60691839453207</v>
      </c>
      <c r="S289" s="20" t="n">
        <f aca="false">Declarations!$B$20*Q288*Declarations!$D$20+Declarations!$B$20*R288*Declarations!$D$21+Declarations!$B$20*S288*Declarations!$D$22+Declarations!$B$21*R288*Declarations!$D$20+Declarations!$B$21*T288*Declarations!$D$21+Declarations!$B$21*U288*Declarations!$D$22+Declarations!$B$22*S288*Declarations!$D$20+Declarations!$B$22*U288*Declarations!$D$21+Declarations!$B$22*V288*Declarations!$D$22+0</f>
        <v>0.617283950617284</v>
      </c>
      <c r="T289" s="20" t="n">
        <f aca="false">Declarations!$C$20*Q288*Declarations!$C$20+Declarations!$C$20*R288*Declarations!$C$21+Declarations!$C$20*S288*Declarations!$C$22+Declarations!$C$21*R288*Declarations!$C$20+Declarations!$C$21*T288*Declarations!$C$21+Declarations!$C$21*U288*Declarations!$C$22+Declarations!$C$22*S288*Declarations!$C$20+Declarations!$C$22*U288*Declarations!$C$21+Declarations!$C$22*V288*Declarations!$C$22+1</f>
        <v>5.70253970138126</v>
      </c>
      <c r="U289" s="20" t="n">
        <f aca="false">Declarations!$C$20*Q288*Declarations!$D$20+Declarations!$C$20*R288*Declarations!$D$21+Declarations!$C$20*S288*Declarations!$D$22+Declarations!$C$21*R288*Declarations!$D$20+Declarations!$C$21*T288*Declarations!$D$21+Declarations!$C$21*U288*Declarations!$D$22+Declarations!$C$22*S288*Declarations!$D$20+Declarations!$C$22*U288*Declarations!$D$21+Declarations!$C$22*V288*Declarations!$D$22+0</f>
        <v>0.771604938271605</v>
      </c>
      <c r="V289" s="20" t="n">
        <f aca="false">Declarations!$D$20*Q288*Declarations!$D$20+Declarations!$D$20*R288*Declarations!$D$21+Declarations!$D$20*S288*Declarations!$D$22+Declarations!$D$21*R288*Declarations!$D$20+Declarations!$D$21*T288*Declarations!$D$21+Declarations!$D$21*U288*Declarations!$D$22+Declarations!$D$22*S288*Declarations!$D$20+Declarations!$D$22*U288*Declarations!$D$21+Declarations!$D$22*V288*Declarations!$D$22+1</f>
        <v>2.77777777777778</v>
      </c>
    </row>
    <row r="290" customFormat="false" ht="15" hidden="false" customHeight="false" outlineLevel="0" collapsed="false">
      <c r="A290" s="18" t="n">
        <v>281</v>
      </c>
      <c r="B290" s="20" t="n">
        <f aca="false">$B$4*B289*$B$4+$B$4*C289*$B$5+$B$5*C289*$B$4+$B$5*D289*$B$5+$E$4</f>
        <v>13.5714285714269</v>
      </c>
      <c r="C290" s="20" t="n">
        <f aca="false">$B$4*B289*$C$4+$B$4*C289*$C$5+$B$5*C289*$C$4+$B$5*D289*$C$5+$F$4</f>
        <v>-5.7857142857135</v>
      </c>
      <c r="D290" s="20" t="n">
        <f aca="false">$C$4*B289*$C$4+$C$4*C289*$C$5+$C$5*C289*$C$4+$C$5*D289*$C$5+$F$5</f>
        <v>11.9928571428556</v>
      </c>
      <c r="P290" s="18" t="n">
        <v>281</v>
      </c>
      <c r="Q290" s="20" t="n">
        <f aca="false">Declarations!$B$20*Q289*Declarations!$B$20+Declarations!$B$20*R289*Declarations!$B$21+Declarations!$B$20*S289*Declarations!$B$22+Declarations!$B$21*R289*Declarations!$B$20+Declarations!$B$21*T289*Declarations!$B$21+Declarations!$B$21*U289*Declarations!$B$22+Declarations!$B$22*S289*Declarations!$B$20+Declarations!$B$22*U289*Declarations!$B$21+Declarations!$B$22*V289*Declarations!$B$22+1</f>
        <v>10.2972987232209</v>
      </c>
      <c r="R290" s="20" t="n">
        <f aca="false">Declarations!$B$20*Q289*Declarations!$C$20+Declarations!$B$20*R289*Declarations!$C$21+Declarations!$B$20*S289*Declarations!$C$22+Declarations!$B$21*R289*Declarations!$C$20+Declarations!$B$21*T289*Declarations!$C$21+Declarations!$B$21*U289*Declarations!$C$22+Declarations!$B$22*S289*Declarations!$C$20+Declarations!$B$22*U289*Declarations!$C$21+Declarations!$B$22*V289*Declarations!$C$22+0</f>
        <v>4.60691839453228</v>
      </c>
      <c r="S290" s="20" t="n">
        <f aca="false">Declarations!$B$20*Q289*Declarations!$D$20+Declarations!$B$20*R289*Declarations!$D$21+Declarations!$B$20*S289*Declarations!$D$22+Declarations!$B$21*R289*Declarations!$D$20+Declarations!$B$21*T289*Declarations!$D$21+Declarations!$B$21*U289*Declarations!$D$22+Declarations!$B$22*S289*Declarations!$D$20+Declarations!$B$22*U289*Declarations!$D$21+Declarations!$B$22*V289*Declarations!$D$22+0</f>
        <v>0.617283950617284</v>
      </c>
      <c r="T290" s="20" t="n">
        <f aca="false">Declarations!$C$20*Q289*Declarations!$C$20+Declarations!$C$20*R289*Declarations!$C$21+Declarations!$C$20*S289*Declarations!$C$22+Declarations!$C$21*R289*Declarations!$C$20+Declarations!$C$21*T289*Declarations!$C$21+Declarations!$C$21*U289*Declarations!$C$22+Declarations!$C$22*S289*Declarations!$C$20+Declarations!$C$22*U289*Declarations!$C$21+Declarations!$C$22*V289*Declarations!$C$22+1</f>
        <v>5.70253970138136</v>
      </c>
      <c r="U290" s="20" t="n">
        <f aca="false">Declarations!$C$20*Q289*Declarations!$D$20+Declarations!$C$20*R289*Declarations!$D$21+Declarations!$C$20*S289*Declarations!$D$22+Declarations!$C$21*R289*Declarations!$D$20+Declarations!$C$21*T289*Declarations!$D$21+Declarations!$C$21*U289*Declarations!$D$22+Declarations!$C$22*S289*Declarations!$D$20+Declarations!$C$22*U289*Declarations!$D$21+Declarations!$C$22*V289*Declarations!$D$22+0</f>
        <v>0.771604938271605</v>
      </c>
      <c r="V290" s="20" t="n">
        <f aca="false">Declarations!$D$20*Q289*Declarations!$D$20+Declarations!$D$20*R289*Declarations!$D$21+Declarations!$D$20*S289*Declarations!$D$22+Declarations!$D$21*R289*Declarations!$D$20+Declarations!$D$21*T289*Declarations!$D$21+Declarations!$D$21*U289*Declarations!$D$22+Declarations!$D$22*S289*Declarations!$D$20+Declarations!$D$22*U289*Declarations!$D$21+Declarations!$D$22*V289*Declarations!$D$22+1</f>
        <v>2.77777777777778</v>
      </c>
    </row>
    <row r="291" customFormat="false" ht="15" hidden="false" customHeight="false" outlineLevel="0" collapsed="false">
      <c r="A291" s="18" t="n">
        <v>282</v>
      </c>
      <c r="B291" s="20" t="n">
        <f aca="false">$B$4*B290*$B$4+$B$4*C290*$B$5+$B$5*C290*$B$4+$B$5*D290*$B$5+$E$4</f>
        <v>13.571428571427</v>
      </c>
      <c r="C291" s="20" t="n">
        <f aca="false">$B$4*B290*$C$4+$B$4*C290*$C$5+$B$5*C290*$C$4+$B$5*D290*$C$5+$F$4</f>
        <v>-5.78571428571363</v>
      </c>
      <c r="D291" s="20" t="n">
        <f aca="false">$C$4*B290*$C$4+$C$4*C290*$C$5+$C$5*C290*$C$4+$C$5*D290*$C$5+$F$5</f>
        <v>11.9928571428558</v>
      </c>
      <c r="P291" s="18" t="n">
        <v>282</v>
      </c>
      <c r="Q291" s="20" t="n">
        <f aca="false">Declarations!$B$20*Q290*Declarations!$B$20+Declarations!$B$20*R290*Declarations!$B$21+Declarations!$B$20*S290*Declarations!$B$22+Declarations!$B$21*R290*Declarations!$B$20+Declarations!$B$21*T290*Declarations!$B$21+Declarations!$B$21*U290*Declarations!$B$22+Declarations!$B$22*S290*Declarations!$B$20+Declarations!$B$22*U290*Declarations!$B$21+Declarations!$B$22*V290*Declarations!$B$22+1</f>
        <v>10.2972987232213</v>
      </c>
      <c r="R291" s="20" t="n">
        <f aca="false">Declarations!$B$20*Q290*Declarations!$C$20+Declarations!$B$20*R290*Declarations!$C$21+Declarations!$B$20*S290*Declarations!$C$22+Declarations!$B$21*R290*Declarations!$C$20+Declarations!$B$21*T290*Declarations!$C$21+Declarations!$B$21*U290*Declarations!$C$22+Declarations!$B$22*S290*Declarations!$C$20+Declarations!$B$22*U290*Declarations!$C$21+Declarations!$B$22*V290*Declarations!$C$22+0</f>
        <v>4.60691839453246</v>
      </c>
      <c r="S291" s="20" t="n">
        <f aca="false">Declarations!$B$20*Q290*Declarations!$D$20+Declarations!$B$20*R290*Declarations!$D$21+Declarations!$B$20*S290*Declarations!$D$22+Declarations!$B$21*R290*Declarations!$D$20+Declarations!$B$21*T290*Declarations!$D$21+Declarations!$B$21*U290*Declarations!$D$22+Declarations!$B$22*S290*Declarations!$D$20+Declarations!$B$22*U290*Declarations!$D$21+Declarations!$B$22*V290*Declarations!$D$22+0</f>
        <v>0.617283950617284</v>
      </c>
      <c r="T291" s="20" t="n">
        <f aca="false">Declarations!$C$20*Q290*Declarations!$C$20+Declarations!$C$20*R290*Declarations!$C$21+Declarations!$C$20*S290*Declarations!$C$22+Declarations!$C$21*R290*Declarations!$C$20+Declarations!$C$21*T290*Declarations!$C$21+Declarations!$C$21*U290*Declarations!$C$22+Declarations!$C$22*S290*Declarations!$C$20+Declarations!$C$22*U290*Declarations!$C$21+Declarations!$C$22*V290*Declarations!$C$22+1</f>
        <v>5.70253970138145</v>
      </c>
      <c r="U291" s="20" t="n">
        <f aca="false">Declarations!$C$20*Q290*Declarations!$D$20+Declarations!$C$20*R290*Declarations!$D$21+Declarations!$C$20*S290*Declarations!$D$22+Declarations!$C$21*R290*Declarations!$D$20+Declarations!$C$21*T290*Declarations!$D$21+Declarations!$C$21*U290*Declarations!$D$22+Declarations!$C$22*S290*Declarations!$D$20+Declarations!$C$22*U290*Declarations!$D$21+Declarations!$C$22*V290*Declarations!$D$22+0</f>
        <v>0.771604938271605</v>
      </c>
      <c r="V291" s="20" t="n">
        <f aca="false">Declarations!$D$20*Q290*Declarations!$D$20+Declarations!$D$20*R290*Declarations!$D$21+Declarations!$D$20*S290*Declarations!$D$22+Declarations!$D$21*R290*Declarations!$D$20+Declarations!$D$21*T290*Declarations!$D$21+Declarations!$D$21*U290*Declarations!$D$22+Declarations!$D$22*S290*Declarations!$D$20+Declarations!$D$22*U290*Declarations!$D$21+Declarations!$D$22*V290*Declarations!$D$22+1</f>
        <v>2.77777777777778</v>
      </c>
    </row>
    <row r="292" customFormat="false" ht="15" hidden="false" customHeight="false" outlineLevel="0" collapsed="false">
      <c r="A292" s="18" t="n">
        <v>283</v>
      </c>
      <c r="B292" s="20" t="n">
        <f aca="false">$B$4*B291*$B$4+$B$4*C291*$B$5+$B$5*C291*$B$4+$B$5*D291*$B$5+$E$4</f>
        <v>13.5714285714271</v>
      </c>
      <c r="C292" s="20" t="n">
        <f aca="false">$B$4*B291*$C$4+$B$4*C291*$C$5+$B$5*C291*$C$4+$B$5*D291*$C$5+$F$4</f>
        <v>-5.78571428571364</v>
      </c>
      <c r="D292" s="20" t="n">
        <f aca="false">$C$4*B291*$C$4+$C$4*C291*$C$5+$C$5*C291*$C$4+$C$5*D291*$C$5+$F$5</f>
        <v>11.9928571428559</v>
      </c>
      <c r="P292" s="18" t="n">
        <v>283</v>
      </c>
      <c r="Q292" s="20" t="n">
        <f aca="false">Declarations!$B$20*Q291*Declarations!$B$20+Declarations!$B$20*R291*Declarations!$B$21+Declarations!$B$20*S291*Declarations!$B$22+Declarations!$B$21*R291*Declarations!$B$20+Declarations!$B$21*T291*Declarations!$B$21+Declarations!$B$21*U291*Declarations!$B$22+Declarations!$B$22*S291*Declarations!$B$20+Declarations!$B$22*U291*Declarations!$B$21+Declarations!$B$22*V291*Declarations!$B$22+1</f>
        <v>10.2972987232216</v>
      </c>
      <c r="R292" s="20" t="n">
        <f aca="false">Declarations!$B$20*Q291*Declarations!$C$20+Declarations!$B$20*R291*Declarations!$C$21+Declarations!$B$20*S291*Declarations!$C$22+Declarations!$B$21*R291*Declarations!$C$20+Declarations!$B$21*T291*Declarations!$C$21+Declarations!$B$21*U291*Declarations!$C$22+Declarations!$B$22*S291*Declarations!$C$20+Declarations!$B$22*U291*Declarations!$C$21+Declarations!$B$22*V291*Declarations!$C$22+0</f>
        <v>4.60691839453262</v>
      </c>
      <c r="S292" s="20" t="n">
        <f aca="false">Declarations!$B$20*Q291*Declarations!$D$20+Declarations!$B$20*R291*Declarations!$D$21+Declarations!$B$20*S291*Declarations!$D$22+Declarations!$B$21*R291*Declarations!$D$20+Declarations!$B$21*T291*Declarations!$D$21+Declarations!$B$21*U291*Declarations!$D$22+Declarations!$B$22*S291*Declarations!$D$20+Declarations!$B$22*U291*Declarations!$D$21+Declarations!$B$22*V291*Declarations!$D$22+0</f>
        <v>0.617283950617284</v>
      </c>
      <c r="T292" s="20" t="n">
        <f aca="false">Declarations!$C$20*Q291*Declarations!$C$20+Declarations!$C$20*R291*Declarations!$C$21+Declarations!$C$20*S291*Declarations!$C$22+Declarations!$C$21*R291*Declarations!$C$20+Declarations!$C$21*T291*Declarations!$C$21+Declarations!$C$21*U291*Declarations!$C$22+Declarations!$C$22*S291*Declarations!$C$20+Declarations!$C$22*U291*Declarations!$C$21+Declarations!$C$22*V291*Declarations!$C$22+1</f>
        <v>5.70253970138153</v>
      </c>
      <c r="U292" s="20" t="n">
        <f aca="false">Declarations!$C$20*Q291*Declarations!$D$20+Declarations!$C$20*R291*Declarations!$D$21+Declarations!$C$20*S291*Declarations!$D$22+Declarations!$C$21*R291*Declarations!$D$20+Declarations!$C$21*T291*Declarations!$D$21+Declarations!$C$21*U291*Declarations!$D$22+Declarations!$C$22*S291*Declarations!$D$20+Declarations!$C$22*U291*Declarations!$D$21+Declarations!$C$22*V291*Declarations!$D$22+0</f>
        <v>0.771604938271605</v>
      </c>
      <c r="V292" s="20" t="n">
        <f aca="false">Declarations!$D$20*Q291*Declarations!$D$20+Declarations!$D$20*R291*Declarations!$D$21+Declarations!$D$20*S291*Declarations!$D$22+Declarations!$D$21*R291*Declarations!$D$20+Declarations!$D$21*T291*Declarations!$D$21+Declarations!$D$21*U291*Declarations!$D$22+Declarations!$D$22*S291*Declarations!$D$20+Declarations!$D$22*U291*Declarations!$D$21+Declarations!$D$22*V291*Declarations!$D$22+1</f>
        <v>2.77777777777778</v>
      </c>
    </row>
    <row r="293" customFormat="false" ht="15" hidden="false" customHeight="false" outlineLevel="0" collapsed="false">
      <c r="A293" s="18" t="n">
        <v>284</v>
      </c>
      <c r="B293" s="20" t="n">
        <f aca="false">$B$4*B292*$B$4+$B$4*C292*$B$5+$B$5*C292*$B$4+$B$5*D292*$B$5+$E$4</f>
        <v>13.5714285714273</v>
      </c>
      <c r="C293" s="20" t="n">
        <f aca="false">$B$4*B292*$C$4+$B$4*C292*$C$5+$B$5*C292*$C$4+$B$5*D292*$C$5+$F$4</f>
        <v>-5.78571428571372</v>
      </c>
      <c r="D293" s="20" t="n">
        <f aca="false">$C$4*B292*$C$4+$C$4*C292*$C$5+$C$5*C292*$C$4+$C$5*D292*$C$5+$F$5</f>
        <v>11.992857142856</v>
      </c>
      <c r="P293" s="18" t="n">
        <v>284</v>
      </c>
      <c r="Q293" s="20" t="n">
        <f aca="false">Declarations!$B$20*Q292*Declarations!$B$20+Declarations!$B$20*R292*Declarations!$B$21+Declarations!$B$20*S292*Declarations!$B$22+Declarations!$B$21*R292*Declarations!$B$20+Declarations!$B$21*T292*Declarations!$B$21+Declarations!$B$21*U292*Declarations!$B$22+Declarations!$B$22*S292*Declarations!$B$20+Declarations!$B$22*U292*Declarations!$B$21+Declarations!$B$22*V292*Declarations!$B$22+1</f>
        <v>10.2972987232219</v>
      </c>
      <c r="R293" s="20" t="n">
        <f aca="false">Declarations!$B$20*Q292*Declarations!$C$20+Declarations!$B$20*R292*Declarations!$C$21+Declarations!$B$20*S292*Declarations!$C$22+Declarations!$B$21*R292*Declarations!$C$20+Declarations!$B$21*T292*Declarations!$C$21+Declarations!$B$21*U292*Declarations!$C$22+Declarations!$B$22*S292*Declarations!$C$20+Declarations!$B$22*U292*Declarations!$C$21+Declarations!$B$22*V292*Declarations!$C$22+0</f>
        <v>4.60691839453277</v>
      </c>
      <c r="S293" s="20" t="n">
        <f aca="false">Declarations!$B$20*Q292*Declarations!$D$20+Declarations!$B$20*R292*Declarations!$D$21+Declarations!$B$20*S292*Declarations!$D$22+Declarations!$B$21*R292*Declarations!$D$20+Declarations!$B$21*T292*Declarations!$D$21+Declarations!$B$21*U292*Declarations!$D$22+Declarations!$B$22*S292*Declarations!$D$20+Declarations!$B$22*U292*Declarations!$D$21+Declarations!$B$22*V292*Declarations!$D$22+0</f>
        <v>0.617283950617284</v>
      </c>
      <c r="T293" s="20" t="n">
        <f aca="false">Declarations!$C$20*Q292*Declarations!$C$20+Declarations!$C$20*R292*Declarations!$C$21+Declarations!$C$20*S292*Declarations!$C$22+Declarations!$C$21*R292*Declarations!$C$20+Declarations!$C$21*T292*Declarations!$C$21+Declarations!$C$21*U292*Declarations!$C$22+Declarations!$C$22*S292*Declarations!$C$20+Declarations!$C$22*U292*Declarations!$C$21+Declarations!$C$22*V292*Declarations!$C$22+1</f>
        <v>5.70253970138161</v>
      </c>
      <c r="U293" s="20" t="n">
        <f aca="false">Declarations!$C$20*Q292*Declarations!$D$20+Declarations!$C$20*R292*Declarations!$D$21+Declarations!$C$20*S292*Declarations!$D$22+Declarations!$C$21*R292*Declarations!$D$20+Declarations!$C$21*T292*Declarations!$D$21+Declarations!$C$21*U292*Declarations!$D$22+Declarations!$C$22*S292*Declarations!$D$20+Declarations!$C$22*U292*Declarations!$D$21+Declarations!$C$22*V292*Declarations!$D$22+0</f>
        <v>0.771604938271605</v>
      </c>
      <c r="V293" s="20" t="n">
        <f aca="false">Declarations!$D$20*Q292*Declarations!$D$20+Declarations!$D$20*R292*Declarations!$D$21+Declarations!$D$20*S292*Declarations!$D$22+Declarations!$D$21*R292*Declarations!$D$20+Declarations!$D$21*T292*Declarations!$D$21+Declarations!$D$21*U292*Declarations!$D$22+Declarations!$D$22*S292*Declarations!$D$20+Declarations!$D$22*U292*Declarations!$D$21+Declarations!$D$22*V292*Declarations!$D$22+1</f>
        <v>2.77777777777778</v>
      </c>
    </row>
    <row r="294" customFormat="false" ht="15" hidden="false" customHeight="false" outlineLevel="0" collapsed="false">
      <c r="A294" s="18" t="n">
        <v>285</v>
      </c>
      <c r="B294" s="20" t="n">
        <f aca="false">$B$4*B293*$B$4+$B$4*C293*$B$5+$B$5*C293*$B$4+$B$5*D293*$B$5+$E$4</f>
        <v>13.5714285714274</v>
      </c>
      <c r="C294" s="20" t="n">
        <f aca="false">$B$4*B293*$C$4+$B$4*C293*$C$5+$B$5*C293*$C$4+$B$5*D293*$C$5+$F$4</f>
        <v>-5.7857142857138</v>
      </c>
      <c r="D294" s="20" t="n">
        <f aca="false">$C$4*B293*$C$4+$C$4*C293*$C$5+$C$5*C293*$C$4+$C$5*D293*$C$5+$F$5</f>
        <v>11.9928571428561</v>
      </c>
      <c r="P294" s="18" t="n">
        <v>285</v>
      </c>
      <c r="Q294" s="20" t="n">
        <f aca="false">Declarations!$B$20*Q293*Declarations!$B$20+Declarations!$B$20*R293*Declarations!$B$21+Declarations!$B$20*S293*Declarations!$B$22+Declarations!$B$21*R293*Declarations!$B$20+Declarations!$B$21*T293*Declarations!$B$21+Declarations!$B$21*U293*Declarations!$B$22+Declarations!$B$22*S293*Declarations!$B$20+Declarations!$B$22*U293*Declarations!$B$21+Declarations!$B$22*V293*Declarations!$B$22+1</f>
        <v>10.2972987232222</v>
      </c>
      <c r="R294" s="20" t="n">
        <f aca="false">Declarations!$B$20*Q293*Declarations!$C$20+Declarations!$B$20*R293*Declarations!$C$21+Declarations!$B$20*S293*Declarations!$C$22+Declarations!$B$21*R293*Declarations!$C$20+Declarations!$B$21*T293*Declarations!$C$21+Declarations!$B$21*U293*Declarations!$C$22+Declarations!$B$22*S293*Declarations!$C$20+Declarations!$B$22*U293*Declarations!$C$21+Declarations!$B$22*V293*Declarations!$C$22+0</f>
        <v>4.6069183945329</v>
      </c>
      <c r="S294" s="20" t="n">
        <f aca="false">Declarations!$B$20*Q293*Declarations!$D$20+Declarations!$B$20*R293*Declarations!$D$21+Declarations!$B$20*S293*Declarations!$D$22+Declarations!$B$21*R293*Declarations!$D$20+Declarations!$B$21*T293*Declarations!$D$21+Declarations!$B$21*U293*Declarations!$D$22+Declarations!$B$22*S293*Declarations!$D$20+Declarations!$B$22*U293*Declarations!$D$21+Declarations!$B$22*V293*Declarations!$D$22+0</f>
        <v>0.617283950617284</v>
      </c>
      <c r="T294" s="20" t="n">
        <f aca="false">Declarations!$C$20*Q293*Declarations!$C$20+Declarations!$C$20*R293*Declarations!$C$21+Declarations!$C$20*S293*Declarations!$C$22+Declarations!$C$21*R293*Declarations!$C$20+Declarations!$C$21*T293*Declarations!$C$21+Declarations!$C$21*U293*Declarations!$C$22+Declarations!$C$22*S293*Declarations!$C$20+Declarations!$C$22*U293*Declarations!$C$21+Declarations!$C$22*V293*Declarations!$C$22+1</f>
        <v>5.70253970138167</v>
      </c>
      <c r="U294" s="20" t="n">
        <f aca="false">Declarations!$C$20*Q293*Declarations!$D$20+Declarations!$C$20*R293*Declarations!$D$21+Declarations!$C$20*S293*Declarations!$D$22+Declarations!$C$21*R293*Declarations!$D$20+Declarations!$C$21*T293*Declarations!$D$21+Declarations!$C$21*U293*Declarations!$D$22+Declarations!$C$22*S293*Declarations!$D$20+Declarations!$C$22*U293*Declarations!$D$21+Declarations!$C$22*V293*Declarations!$D$22+0</f>
        <v>0.771604938271605</v>
      </c>
      <c r="V294" s="20" t="n">
        <f aca="false">Declarations!$D$20*Q293*Declarations!$D$20+Declarations!$D$20*R293*Declarations!$D$21+Declarations!$D$20*S293*Declarations!$D$22+Declarations!$D$21*R293*Declarations!$D$20+Declarations!$D$21*T293*Declarations!$D$21+Declarations!$D$21*U293*Declarations!$D$22+Declarations!$D$22*S293*Declarations!$D$20+Declarations!$D$22*U293*Declarations!$D$21+Declarations!$D$22*V293*Declarations!$D$22+1</f>
        <v>2.77777777777778</v>
      </c>
    </row>
    <row r="295" customFormat="false" ht="15" hidden="false" customHeight="false" outlineLevel="0" collapsed="false">
      <c r="A295" s="18" t="n">
        <v>286</v>
      </c>
      <c r="B295" s="20" t="n">
        <f aca="false">$B$4*B294*$B$4+$B$4*C294*$B$5+$B$5*C294*$B$4+$B$5*D294*$B$5+$E$4</f>
        <v>13.5714285714275</v>
      </c>
      <c r="C295" s="20" t="n">
        <f aca="false">$B$4*B294*$C$4+$B$4*C294*$C$5+$B$5*C294*$C$4+$B$5*D294*$C$5+$F$4</f>
        <v>-5.78571428571381</v>
      </c>
      <c r="D295" s="20" t="n">
        <f aca="false">$C$4*B294*$C$4+$C$4*C294*$C$5+$C$5*C294*$C$4+$C$5*D294*$C$5+$F$5</f>
        <v>11.9928571428562</v>
      </c>
      <c r="P295" s="18" t="n">
        <v>286</v>
      </c>
      <c r="Q295" s="20" t="n">
        <f aca="false">Declarations!$B$20*Q294*Declarations!$B$20+Declarations!$B$20*R294*Declarations!$B$21+Declarations!$B$20*S294*Declarations!$B$22+Declarations!$B$21*R294*Declarations!$B$20+Declarations!$B$21*T294*Declarations!$B$21+Declarations!$B$21*U294*Declarations!$B$22+Declarations!$B$22*S294*Declarations!$B$20+Declarations!$B$22*U294*Declarations!$B$21+Declarations!$B$22*V294*Declarations!$B$22+1</f>
        <v>10.2972987232224</v>
      </c>
      <c r="R295" s="20" t="n">
        <f aca="false">Declarations!$B$20*Q294*Declarations!$C$20+Declarations!$B$20*R294*Declarations!$C$21+Declarations!$B$20*S294*Declarations!$C$22+Declarations!$B$21*R294*Declarations!$C$20+Declarations!$B$21*T294*Declarations!$C$21+Declarations!$B$21*U294*Declarations!$C$22+Declarations!$B$22*S294*Declarations!$C$20+Declarations!$B$22*U294*Declarations!$C$21+Declarations!$B$22*V294*Declarations!$C$22+0</f>
        <v>4.60691839453302</v>
      </c>
      <c r="S295" s="20" t="n">
        <f aca="false">Declarations!$B$20*Q294*Declarations!$D$20+Declarations!$B$20*R294*Declarations!$D$21+Declarations!$B$20*S294*Declarations!$D$22+Declarations!$B$21*R294*Declarations!$D$20+Declarations!$B$21*T294*Declarations!$D$21+Declarations!$B$21*U294*Declarations!$D$22+Declarations!$B$22*S294*Declarations!$D$20+Declarations!$B$22*U294*Declarations!$D$21+Declarations!$B$22*V294*Declarations!$D$22+0</f>
        <v>0.617283950617284</v>
      </c>
      <c r="T295" s="20" t="n">
        <f aca="false">Declarations!$C$20*Q294*Declarations!$C$20+Declarations!$C$20*R294*Declarations!$C$21+Declarations!$C$20*S294*Declarations!$C$22+Declarations!$C$21*R294*Declarations!$C$20+Declarations!$C$21*T294*Declarations!$C$21+Declarations!$C$21*U294*Declarations!$C$22+Declarations!$C$22*S294*Declarations!$C$20+Declarations!$C$22*U294*Declarations!$C$21+Declarations!$C$22*V294*Declarations!$C$22+1</f>
        <v>5.70253970138173</v>
      </c>
      <c r="U295" s="20" t="n">
        <f aca="false">Declarations!$C$20*Q294*Declarations!$D$20+Declarations!$C$20*R294*Declarations!$D$21+Declarations!$C$20*S294*Declarations!$D$22+Declarations!$C$21*R294*Declarations!$D$20+Declarations!$C$21*T294*Declarations!$D$21+Declarations!$C$21*U294*Declarations!$D$22+Declarations!$C$22*S294*Declarations!$D$20+Declarations!$C$22*U294*Declarations!$D$21+Declarations!$C$22*V294*Declarations!$D$22+0</f>
        <v>0.771604938271605</v>
      </c>
      <c r="V295" s="20" t="n">
        <f aca="false">Declarations!$D$20*Q294*Declarations!$D$20+Declarations!$D$20*R294*Declarations!$D$21+Declarations!$D$20*S294*Declarations!$D$22+Declarations!$D$21*R294*Declarations!$D$20+Declarations!$D$21*T294*Declarations!$D$21+Declarations!$D$21*U294*Declarations!$D$22+Declarations!$D$22*S294*Declarations!$D$20+Declarations!$D$22*U294*Declarations!$D$21+Declarations!$D$22*V294*Declarations!$D$22+1</f>
        <v>2.77777777777778</v>
      </c>
    </row>
    <row r="296" customFormat="false" ht="15" hidden="false" customHeight="false" outlineLevel="0" collapsed="false">
      <c r="A296" s="18" t="n">
        <v>287</v>
      </c>
      <c r="B296" s="20" t="n">
        <f aca="false">$B$4*B295*$B$4+$B$4*C295*$B$5+$B$5*C295*$B$4+$B$5*D295*$B$5+$E$4</f>
        <v>13.5714285714277</v>
      </c>
      <c r="C296" s="20" t="n">
        <f aca="false">$B$4*B295*$C$4+$B$4*C295*$C$5+$B$5*C295*$C$4+$B$5*D295*$C$5+$F$4</f>
        <v>-5.78571428571387</v>
      </c>
      <c r="D296" s="20" t="n">
        <f aca="false">$C$4*B295*$C$4+$C$4*C295*$C$5+$C$5*C295*$C$4+$C$5*D295*$C$5+$F$5</f>
        <v>11.9928571428563</v>
      </c>
      <c r="P296" s="18" t="n">
        <v>287</v>
      </c>
      <c r="Q296" s="20" t="n">
        <f aca="false">Declarations!$B$20*Q295*Declarations!$B$20+Declarations!$B$20*R295*Declarations!$B$21+Declarations!$B$20*S295*Declarations!$B$22+Declarations!$B$21*R295*Declarations!$B$20+Declarations!$B$21*T295*Declarations!$B$21+Declarations!$B$21*U295*Declarations!$B$22+Declarations!$B$22*S295*Declarations!$B$20+Declarations!$B$22*U295*Declarations!$B$21+Declarations!$B$22*V295*Declarations!$B$22+1</f>
        <v>10.2972987232226</v>
      </c>
      <c r="R296" s="20" t="n">
        <f aca="false">Declarations!$B$20*Q295*Declarations!$C$20+Declarations!$B$20*R295*Declarations!$C$21+Declarations!$B$20*S295*Declarations!$C$22+Declarations!$B$21*R295*Declarations!$C$20+Declarations!$B$21*T295*Declarations!$C$21+Declarations!$B$21*U295*Declarations!$C$22+Declarations!$B$22*S295*Declarations!$C$20+Declarations!$B$22*U295*Declarations!$C$21+Declarations!$B$22*V295*Declarations!$C$22+0</f>
        <v>4.60691839453313</v>
      </c>
      <c r="S296" s="20" t="n">
        <f aca="false">Declarations!$B$20*Q295*Declarations!$D$20+Declarations!$B$20*R295*Declarations!$D$21+Declarations!$B$20*S295*Declarations!$D$22+Declarations!$B$21*R295*Declarations!$D$20+Declarations!$B$21*T295*Declarations!$D$21+Declarations!$B$21*U295*Declarations!$D$22+Declarations!$B$22*S295*Declarations!$D$20+Declarations!$B$22*U295*Declarations!$D$21+Declarations!$B$22*V295*Declarations!$D$22+0</f>
        <v>0.617283950617284</v>
      </c>
      <c r="T296" s="20" t="n">
        <f aca="false">Declarations!$C$20*Q295*Declarations!$C$20+Declarations!$C$20*R295*Declarations!$C$21+Declarations!$C$20*S295*Declarations!$C$22+Declarations!$C$21*R295*Declarations!$C$20+Declarations!$C$21*T295*Declarations!$C$21+Declarations!$C$21*U295*Declarations!$C$22+Declarations!$C$22*S295*Declarations!$C$20+Declarations!$C$22*U295*Declarations!$C$21+Declarations!$C$22*V295*Declarations!$C$22+1</f>
        <v>5.70253970138179</v>
      </c>
      <c r="U296" s="20" t="n">
        <f aca="false">Declarations!$C$20*Q295*Declarations!$D$20+Declarations!$C$20*R295*Declarations!$D$21+Declarations!$C$20*S295*Declarations!$D$22+Declarations!$C$21*R295*Declarations!$D$20+Declarations!$C$21*T295*Declarations!$D$21+Declarations!$C$21*U295*Declarations!$D$22+Declarations!$C$22*S295*Declarations!$D$20+Declarations!$C$22*U295*Declarations!$D$21+Declarations!$C$22*V295*Declarations!$D$22+0</f>
        <v>0.771604938271605</v>
      </c>
      <c r="V296" s="20" t="n">
        <f aca="false">Declarations!$D$20*Q295*Declarations!$D$20+Declarations!$D$20*R295*Declarations!$D$21+Declarations!$D$20*S295*Declarations!$D$22+Declarations!$D$21*R295*Declarations!$D$20+Declarations!$D$21*T295*Declarations!$D$21+Declarations!$D$21*U295*Declarations!$D$22+Declarations!$D$22*S295*Declarations!$D$20+Declarations!$D$22*U295*Declarations!$D$21+Declarations!$D$22*V295*Declarations!$D$22+1</f>
        <v>2.77777777777778</v>
      </c>
    </row>
    <row r="297" customFormat="false" ht="15" hidden="false" customHeight="false" outlineLevel="0" collapsed="false">
      <c r="A297" s="18" t="n">
        <v>288</v>
      </c>
      <c r="B297" s="20" t="n">
        <f aca="false">$B$4*B296*$B$4+$B$4*C296*$B$5+$B$5*C296*$B$4+$B$5*D296*$B$5+$E$4</f>
        <v>13.5714285714277</v>
      </c>
      <c r="C297" s="20" t="n">
        <f aca="false">$B$4*B296*$C$4+$B$4*C296*$C$5+$B$5*C296*$C$4+$B$5*D296*$C$5+$F$4</f>
        <v>-5.78571428571393</v>
      </c>
      <c r="D297" s="20" t="n">
        <f aca="false">$C$4*B296*$C$4+$C$4*C296*$C$5+$C$5*C296*$C$4+$C$5*D296*$C$5+$F$5</f>
        <v>11.9928571428564</v>
      </c>
      <c r="P297" s="18" t="n">
        <v>288</v>
      </c>
      <c r="Q297" s="20" t="n">
        <f aca="false">Declarations!$B$20*Q296*Declarations!$B$20+Declarations!$B$20*R296*Declarations!$B$21+Declarations!$B$20*S296*Declarations!$B$22+Declarations!$B$21*R296*Declarations!$B$20+Declarations!$B$21*T296*Declarations!$B$21+Declarations!$B$21*U296*Declarations!$B$22+Declarations!$B$22*S296*Declarations!$B$20+Declarations!$B$22*U296*Declarations!$B$21+Declarations!$B$22*V296*Declarations!$B$22+1</f>
        <v>10.2972987232228</v>
      </c>
      <c r="R297" s="20" t="n">
        <f aca="false">Declarations!$B$20*Q296*Declarations!$C$20+Declarations!$B$20*R296*Declarations!$C$21+Declarations!$B$20*S296*Declarations!$C$22+Declarations!$B$21*R296*Declarations!$C$20+Declarations!$B$21*T296*Declarations!$C$21+Declarations!$B$21*U296*Declarations!$C$22+Declarations!$B$22*S296*Declarations!$C$20+Declarations!$B$22*U296*Declarations!$C$21+Declarations!$B$22*V296*Declarations!$C$22+0</f>
        <v>4.60691839453323</v>
      </c>
      <c r="S297" s="20" t="n">
        <f aca="false">Declarations!$B$20*Q296*Declarations!$D$20+Declarations!$B$20*R296*Declarations!$D$21+Declarations!$B$20*S296*Declarations!$D$22+Declarations!$B$21*R296*Declarations!$D$20+Declarations!$B$21*T296*Declarations!$D$21+Declarations!$B$21*U296*Declarations!$D$22+Declarations!$B$22*S296*Declarations!$D$20+Declarations!$B$22*U296*Declarations!$D$21+Declarations!$B$22*V296*Declarations!$D$22+0</f>
        <v>0.617283950617284</v>
      </c>
      <c r="T297" s="20" t="n">
        <f aca="false">Declarations!$C$20*Q296*Declarations!$C$20+Declarations!$C$20*R296*Declarations!$C$21+Declarations!$C$20*S296*Declarations!$C$22+Declarations!$C$21*R296*Declarations!$C$20+Declarations!$C$21*T296*Declarations!$C$21+Declarations!$C$21*U296*Declarations!$C$22+Declarations!$C$22*S296*Declarations!$C$20+Declarations!$C$22*U296*Declarations!$C$21+Declarations!$C$22*V296*Declarations!$C$22+1</f>
        <v>5.70253970138184</v>
      </c>
      <c r="U297" s="20" t="n">
        <f aca="false">Declarations!$C$20*Q296*Declarations!$D$20+Declarations!$C$20*R296*Declarations!$D$21+Declarations!$C$20*S296*Declarations!$D$22+Declarations!$C$21*R296*Declarations!$D$20+Declarations!$C$21*T296*Declarations!$D$21+Declarations!$C$21*U296*Declarations!$D$22+Declarations!$C$22*S296*Declarations!$D$20+Declarations!$C$22*U296*Declarations!$D$21+Declarations!$C$22*V296*Declarations!$D$22+0</f>
        <v>0.771604938271605</v>
      </c>
      <c r="V297" s="20" t="n">
        <f aca="false">Declarations!$D$20*Q296*Declarations!$D$20+Declarations!$D$20*R296*Declarations!$D$21+Declarations!$D$20*S296*Declarations!$D$22+Declarations!$D$21*R296*Declarations!$D$20+Declarations!$D$21*T296*Declarations!$D$21+Declarations!$D$21*U296*Declarations!$D$22+Declarations!$D$22*S296*Declarations!$D$20+Declarations!$D$22*U296*Declarations!$D$21+Declarations!$D$22*V296*Declarations!$D$22+1</f>
        <v>2.77777777777778</v>
      </c>
    </row>
    <row r="298" customFormat="false" ht="15" hidden="false" customHeight="false" outlineLevel="0" collapsed="false">
      <c r="A298" s="18" t="n">
        <v>289</v>
      </c>
      <c r="B298" s="20" t="n">
        <f aca="false">$B$4*B297*$B$4+$B$4*C297*$B$5+$B$5*C297*$B$4+$B$5*D297*$B$5+$E$4</f>
        <v>13.5714285714278</v>
      </c>
      <c r="C298" s="20" t="n">
        <f aca="false">$B$4*B297*$C$4+$B$4*C297*$C$5+$B$5*C297*$C$4+$B$5*D297*$C$5+$F$4</f>
        <v>-5.78571428571393</v>
      </c>
      <c r="D298" s="20" t="n">
        <f aca="false">$C$4*B297*$C$4+$C$4*C297*$C$5+$C$5*C297*$C$4+$C$5*D297*$C$5+$F$5</f>
        <v>11.9928571428565</v>
      </c>
      <c r="P298" s="18" t="n">
        <v>289</v>
      </c>
      <c r="Q298" s="20" t="n">
        <f aca="false">Declarations!$B$20*Q297*Declarations!$B$20+Declarations!$B$20*R297*Declarations!$B$21+Declarations!$B$20*S297*Declarations!$B$22+Declarations!$B$21*R297*Declarations!$B$20+Declarations!$B$21*T297*Declarations!$B$21+Declarations!$B$21*U297*Declarations!$B$22+Declarations!$B$22*S297*Declarations!$B$20+Declarations!$B$22*U297*Declarations!$B$21+Declarations!$B$22*V297*Declarations!$B$22+1</f>
        <v>10.297298723223</v>
      </c>
      <c r="R298" s="20" t="n">
        <f aca="false">Declarations!$B$20*Q297*Declarations!$C$20+Declarations!$B$20*R297*Declarations!$C$21+Declarations!$B$20*S297*Declarations!$C$22+Declarations!$B$21*R297*Declarations!$C$20+Declarations!$B$21*T297*Declarations!$C$21+Declarations!$B$21*U297*Declarations!$C$22+Declarations!$B$22*S297*Declarations!$C$20+Declarations!$B$22*U297*Declarations!$C$21+Declarations!$B$22*V297*Declarations!$C$22+0</f>
        <v>4.60691839453332</v>
      </c>
      <c r="S298" s="20" t="n">
        <f aca="false">Declarations!$B$20*Q297*Declarations!$D$20+Declarations!$B$20*R297*Declarations!$D$21+Declarations!$B$20*S297*Declarations!$D$22+Declarations!$B$21*R297*Declarations!$D$20+Declarations!$B$21*T297*Declarations!$D$21+Declarations!$B$21*U297*Declarations!$D$22+Declarations!$B$22*S297*Declarations!$D$20+Declarations!$B$22*U297*Declarations!$D$21+Declarations!$B$22*V297*Declarations!$D$22+0</f>
        <v>0.617283950617284</v>
      </c>
      <c r="T298" s="20" t="n">
        <f aca="false">Declarations!$C$20*Q297*Declarations!$C$20+Declarations!$C$20*R297*Declarations!$C$21+Declarations!$C$20*S297*Declarations!$C$22+Declarations!$C$21*R297*Declarations!$C$20+Declarations!$C$21*T297*Declarations!$C$21+Declarations!$C$21*U297*Declarations!$C$22+Declarations!$C$22*S297*Declarations!$C$20+Declarations!$C$22*U297*Declarations!$C$21+Declarations!$C$22*V297*Declarations!$C$22+1</f>
        <v>5.70253970138188</v>
      </c>
      <c r="U298" s="20" t="n">
        <f aca="false">Declarations!$C$20*Q297*Declarations!$D$20+Declarations!$C$20*R297*Declarations!$D$21+Declarations!$C$20*S297*Declarations!$D$22+Declarations!$C$21*R297*Declarations!$D$20+Declarations!$C$21*T297*Declarations!$D$21+Declarations!$C$21*U297*Declarations!$D$22+Declarations!$C$22*S297*Declarations!$D$20+Declarations!$C$22*U297*Declarations!$D$21+Declarations!$C$22*V297*Declarations!$D$22+0</f>
        <v>0.771604938271605</v>
      </c>
      <c r="V298" s="20" t="n">
        <f aca="false">Declarations!$D$20*Q297*Declarations!$D$20+Declarations!$D$20*R297*Declarations!$D$21+Declarations!$D$20*S297*Declarations!$D$22+Declarations!$D$21*R297*Declarations!$D$20+Declarations!$D$21*T297*Declarations!$D$21+Declarations!$D$21*U297*Declarations!$D$22+Declarations!$D$22*S297*Declarations!$D$20+Declarations!$D$22*U297*Declarations!$D$21+Declarations!$D$22*V297*Declarations!$D$22+1</f>
        <v>2.77777777777778</v>
      </c>
    </row>
    <row r="299" customFormat="false" ht="15" hidden="false" customHeight="false" outlineLevel="0" collapsed="false">
      <c r="A299" s="18" t="n">
        <v>290</v>
      </c>
      <c r="B299" s="20" t="n">
        <f aca="false">$B$4*B298*$B$4+$B$4*C298*$B$5+$B$5*C298*$B$4+$B$5*D298*$B$5+$E$4</f>
        <v>13.5714285714279</v>
      </c>
      <c r="C299" s="20" t="n">
        <f aca="false">$B$4*B298*$C$4+$B$4*C298*$C$5+$B$5*C298*$C$4+$B$5*D298*$C$5+$F$4</f>
        <v>-5.78571428571399</v>
      </c>
      <c r="D299" s="20" t="n">
        <f aca="false">$C$4*B298*$C$4+$C$4*C298*$C$5+$C$5*C298*$C$4+$C$5*D298*$C$5+$F$5</f>
        <v>11.9928571428565</v>
      </c>
      <c r="P299" s="18" t="n">
        <v>290</v>
      </c>
      <c r="Q299" s="20" t="n">
        <f aca="false">Declarations!$B$20*Q298*Declarations!$B$20+Declarations!$B$20*R298*Declarations!$B$21+Declarations!$B$20*S298*Declarations!$B$22+Declarations!$B$21*R298*Declarations!$B$20+Declarations!$B$21*T298*Declarations!$B$21+Declarations!$B$21*U298*Declarations!$B$22+Declarations!$B$22*S298*Declarations!$B$20+Declarations!$B$22*U298*Declarations!$B$21+Declarations!$B$22*V298*Declarations!$B$22+1</f>
        <v>10.2972987232232</v>
      </c>
      <c r="R299" s="20" t="n">
        <f aca="false">Declarations!$B$20*Q298*Declarations!$C$20+Declarations!$B$20*R298*Declarations!$C$21+Declarations!$B$20*S298*Declarations!$C$22+Declarations!$B$21*R298*Declarations!$C$20+Declarations!$B$21*T298*Declarations!$C$21+Declarations!$B$21*U298*Declarations!$C$22+Declarations!$B$22*S298*Declarations!$C$20+Declarations!$B$22*U298*Declarations!$C$21+Declarations!$B$22*V298*Declarations!$C$22+0</f>
        <v>4.6069183945334</v>
      </c>
      <c r="S299" s="20" t="n">
        <f aca="false">Declarations!$B$20*Q298*Declarations!$D$20+Declarations!$B$20*R298*Declarations!$D$21+Declarations!$B$20*S298*Declarations!$D$22+Declarations!$B$21*R298*Declarations!$D$20+Declarations!$B$21*T298*Declarations!$D$21+Declarations!$B$21*U298*Declarations!$D$22+Declarations!$B$22*S298*Declarations!$D$20+Declarations!$B$22*U298*Declarations!$D$21+Declarations!$B$22*V298*Declarations!$D$22+0</f>
        <v>0.617283950617284</v>
      </c>
      <c r="T299" s="20" t="n">
        <f aca="false">Declarations!$C$20*Q298*Declarations!$C$20+Declarations!$C$20*R298*Declarations!$C$21+Declarations!$C$20*S298*Declarations!$C$22+Declarations!$C$21*R298*Declarations!$C$20+Declarations!$C$21*T298*Declarations!$C$21+Declarations!$C$21*U298*Declarations!$C$22+Declarations!$C$22*S298*Declarations!$C$20+Declarations!$C$22*U298*Declarations!$C$21+Declarations!$C$22*V298*Declarations!$C$22+1</f>
        <v>5.70253970138192</v>
      </c>
      <c r="U299" s="20" t="n">
        <f aca="false">Declarations!$C$20*Q298*Declarations!$D$20+Declarations!$C$20*R298*Declarations!$D$21+Declarations!$C$20*S298*Declarations!$D$22+Declarations!$C$21*R298*Declarations!$D$20+Declarations!$C$21*T298*Declarations!$D$21+Declarations!$C$21*U298*Declarations!$D$22+Declarations!$C$22*S298*Declarations!$D$20+Declarations!$C$22*U298*Declarations!$D$21+Declarations!$C$22*V298*Declarations!$D$22+0</f>
        <v>0.771604938271605</v>
      </c>
      <c r="V299" s="20" t="n">
        <f aca="false">Declarations!$D$20*Q298*Declarations!$D$20+Declarations!$D$20*R298*Declarations!$D$21+Declarations!$D$20*S298*Declarations!$D$22+Declarations!$D$21*R298*Declarations!$D$20+Declarations!$D$21*T298*Declarations!$D$21+Declarations!$D$21*U298*Declarations!$D$22+Declarations!$D$22*S298*Declarations!$D$20+Declarations!$D$22*U298*Declarations!$D$21+Declarations!$D$22*V298*Declarations!$D$22+1</f>
        <v>2.77777777777778</v>
      </c>
    </row>
    <row r="300" customFormat="false" ht="15" hidden="false" customHeight="false" outlineLevel="0" collapsed="false">
      <c r="A300" s="18" t="n">
        <v>291</v>
      </c>
      <c r="B300" s="20" t="n">
        <f aca="false">$B$4*B299*$B$4+$B$4*C299*$B$5+$B$5*C299*$B$4+$B$5*D299*$B$5+$E$4</f>
        <v>13.571428571428</v>
      </c>
      <c r="C300" s="20" t="n">
        <f aca="false">$B$4*B299*$C$4+$B$4*C299*$C$5+$B$5*C299*$C$4+$B$5*D299*$C$5+$F$4</f>
        <v>-5.78571428571402</v>
      </c>
      <c r="D300" s="20" t="n">
        <f aca="false">$C$4*B299*$C$4+$C$4*C299*$C$5+$C$5*C299*$C$4+$C$5*D299*$C$5+$F$5</f>
        <v>11.9928571428566</v>
      </c>
      <c r="P300" s="18" t="n">
        <v>291</v>
      </c>
      <c r="Q300" s="20" t="n">
        <f aca="false">Declarations!$B$20*Q299*Declarations!$B$20+Declarations!$B$20*R299*Declarations!$B$21+Declarations!$B$20*S299*Declarations!$B$22+Declarations!$B$21*R299*Declarations!$B$20+Declarations!$B$21*T299*Declarations!$B$21+Declarations!$B$21*U299*Declarations!$B$22+Declarations!$B$22*S299*Declarations!$B$20+Declarations!$B$22*U299*Declarations!$B$21+Declarations!$B$22*V299*Declarations!$B$22+1</f>
        <v>10.2972987232233</v>
      </c>
      <c r="R300" s="20" t="n">
        <f aca="false">Declarations!$B$20*Q299*Declarations!$C$20+Declarations!$B$20*R299*Declarations!$C$21+Declarations!$B$20*S299*Declarations!$C$22+Declarations!$B$21*R299*Declarations!$C$20+Declarations!$B$21*T299*Declarations!$C$21+Declarations!$B$21*U299*Declarations!$C$22+Declarations!$B$22*S299*Declarations!$C$20+Declarations!$B$22*U299*Declarations!$C$21+Declarations!$B$22*V299*Declarations!$C$22+0</f>
        <v>4.60691839453347</v>
      </c>
      <c r="S300" s="20" t="n">
        <f aca="false">Declarations!$B$20*Q299*Declarations!$D$20+Declarations!$B$20*R299*Declarations!$D$21+Declarations!$B$20*S299*Declarations!$D$22+Declarations!$B$21*R299*Declarations!$D$20+Declarations!$B$21*T299*Declarations!$D$21+Declarations!$B$21*U299*Declarations!$D$22+Declarations!$B$22*S299*Declarations!$D$20+Declarations!$B$22*U299*Declarations!$D$21+Declarations!$B$22*V299*Declarations!$D$22+0</f>
        <v>0.617283950617284</v>
      </c>
      <c r="T300" s="20" t="n">
        <f aca="false">Declarations!$C$20*Q299*Declarations!$C$20+Declarations!$C$20*R299*Declarations!$C$21+Declarations!$C$20*S299*Declarations!$C$22+Declarations!$C$21*R299*Declarations!$C$20+Declarations!$C$21*T299*Declarations!$C$21+Declarations!$C$21*U299*Declarations!$C$22+Declarations!$C$22*S299*Declarations!$C$20+Declarations!$C$22*U299*Declarations!$C$21+Declarations!$C$22*V299*Declarations!$C$22+1</f>
        <v>5.70253970138196</v>
      </c>
      <c r="U300" s="20" t="n">
        <f aca="false">Declarations!$C$20*Q299*Declarations!$D$20+Declarations!$C$20*R299*Declarations!$D$21+Declarations!$C$20*S299*Declarations!$D$22+Declarations!$C$21*R299*Declarations!$D$20+Declarations!$C$21*T299*Declarations!$D$21+Declarations!$C$21*U299*Declarations!$D$22+Declarations!$C$22*S299*Declarations!$D$20+Declarations!$C$22*U299*Declarations!$D$21+Declarations!$C$22*V299*Declarations!$D$22+0</f>
        <v>0.771604938271605</v>
      </c>
      <c r="V300" s="20" t="n">
        <f aca="false">Declarations!$D$20*Q299*Declarations!$D$20+Declarations!$D$20*R299*Declarations!$D$21+Declarations!$D$20*S299*Declarations!$D$22+Declarations!$D$21*R299*Declarations!$D$20+Declarations!$D$21*T299*Declarations!$D$21+Declarations!$D$21*U299*Declarations!$D$22+Declarations!$D$22*S299*Declarations!$D$20+Declarations!$D$22*U299*Declarations!$D$21+Declarations!$D$22*V299*Declarations!$D$22+1</f>
        <v>2.77777777777778</v>
      </c>
    </row>
    <row r="301" customFormat="false" ht="15" hidden="false" customHeight="false" outlineLevel="0" collapsed="false">
      <c r="A301" s="18" t="n">
        <v>292</v>
      </c>
      <c r="B301" s="20" t="n">
        <f aca="false">$B$4*B300*$B$4+$B$4*C300*$B$5+$B$5*C300*$B$4+$B$5*D300*$B$5+$E$4</f>
        <v>13.571428571428</v>
      </c>
      <c r="C301" s="20" t="n">
        <f aca="false">$B$4*B300*$C$4+$B$4*C300*$C$5+$B$5*C300*$C$4+$B$5*D300*$C$5+$F$4</f>
        <v>-5.78571428571402</v>
      </c>
      <c r="D301" s="20" t="n">
        <f aca="false">$C$4*B300*$C$4+$C$4*C300*$C$5+$C$5*C300*$C$4+$C$5*D300*$C$5+$F$5</f>
        <v>11.9928571428566</v>
      </c>
      <c r="P301" s="18" t="n">
        <v>292</v>
      </c>
      <c r="Q301" s="20" t="n">
        <f aca="false">Declarations!$B$20*Q300*Declarations!$B$20+Declarations!$B$20*R300*Declarations!$B$21+Declarations!$B$20*S300*Declarations!$B$22+Declarations!$B$21*R300*Declarations!$B$20+Declarations!$B$21*T300*Declarations!$B$21+Declarations!$B$21*U300*Declarations!$B$22+Declarations!$B$22*S300*Declarations!$B$20+Declarations!$B$22*U300*Declarations!$B$21+Declarations!$B$22*V300*Declarations!$B$22+1</f>
        <v>10.2972987232235</v>
      </c>
      <c r="R301" s="20" t="n">
        <f aca="false">Declarations!$B$20*Q300*Declarations!$C$20+Declarations!$B$20*R300*Declarations!$C$21+Declarations!$B$20*S300*Declarations!$C$22+Declarations!$B$21*R300*Declarations!$C$20+Declarations!$B$21*T300*Declarations!$C$21+Declarations!$B$21*U300*Declarations!$C$22+Declarations!$B$22*S300*Declarations!$C$20+Declarations!$B$22*U300*Declarations!$C$21+Declarations!$B$22*V300*Declarations!$C$22+0</f>
        <v>4.60691839453354</v>
      </c>
      <c r="S301" s="20" t="n">
        <f aca="false">Declarations!$B$20*Q300*Declarations!$D$20+Declarations!$B$20*R300*Declarations!$D$21+Declarations!$B$20*S300*Declarations!$D$22+Declarations!$B$21*R300*Declarations!$D$20+Declarations!$B$21*T300*Declarations!$D$21+Declarations!$B$21*U300*Declarations!$D$22+Declarations!$B$22*S300*Declarations!$D$20+Declarations!$B$22*U300*Declarations!$D$21+Declarations!$B$22*V300*Declarations!$D$22+0</f>
        <v>0.617283950617284</v>
      </c>
      <c r="T301" s="20" t="n">
        <f aca="false">Declarations!$C$20*Q300*Declarations!$C$20+Declarations!$C$20*R300*Declarations!$C$21+Declarations!$C$20*S300*Declarations!$C$22+Declarations!$C$21*R300*Declarations!$C$20+Declarations!$C$21*T300*Declarations!$C$21+Declarations!$C$21*U300*Declarations!$C$22+Declarations!$C$22*S300*Declarations!$C$20+Declarations!$C$22*U300*Declarations!$C$21+Declarations!$C$22*V300*Declarations!$C$22+1</f>
        <v>5.70253970138199</v>
      </c>
      <c r="U301" s="20" t="n">
        <f aca="false">Declarations!$C$20*Q300*Declarations!$D$20+Declarations!$C$20*R300*Declarations!$D$21+Declarations!$C$20*S300*Declarations!$D$22+Declarations!$C$21*R300*Declarations!$D$20+Declarations!$C$21*T300*Declarations!$D$21+Declarations!$C$21*U300*Declarations!$D$22+Declarations!$C$22*S300*Declarations!$D$20+Declarations!$C$22*U300*Declarations!$D$21+Declarations!$C$22*V300*Declarations!$D$22+0</f>
        <v>0.771604938271605</v>
      </c>
      <c r="V301" s="20" t="n">
        <f aca="false">Declarations!$D$20*Q300*Declarations!$D$20+Declarations!$D$20*R300*Declarations!$D$21+Declarations!$D$20*S300*Declarations!$D$22+Declarations!$D$21*R300*Declarations!$D$20+Declarations!$D$21*T300*Declarations!$D$21+Declarations!$D$21*U300*Declarations!$D$22+Declarations!$D$22*S300*Declarations!$D$20+Declarations!$D$22*U300*Declarations!$D$21+Declarations!$D$22*V300*Declarations!$D$22+1</f>
        <v>2.77777777777778</v>
      </c>
    </row>
    <row r="302" customFormat="false" ht="15" hidden="false" customHeight="false" outlineLevel="0" collapsed="false">
      <c r="A302" s="18" t="n">
        <v>293</v>
      </c>
      <c r="B302" s="20" t="n">
        <f aca="false">$B$4*B301*$B$4+$B$4*C301*$B$5+$B$5*C301*$B$4+$B$5*D301*$B$5+$E$4</f>
        <v>13.5714285714281</v>
      </c>
      <c r="C302" s="20" t="n">
        <f aca="false">$B$4*B301*$C$4+$B$4*C301*$C$5+$B$5*C301*$C$4+$B$5*D301*$C$5+$F$4</f>
        <v>-5.78571428571407</v>
      </c>
      <c r="D302" s="20" t="n">
        <f aca="false">$C$4*B301*$C$4+$C$4*C301*$C$5+$C$5*C301*$C$4+$C$5*D301*$C$5+$F$5</f>
        <v>11.9928571428567</v>
      </c>
      <c r="P302" s="18" t="n">
        <v>293</v>
      </c>
      <c r="Q302" s="20" t="n">
        <f aca="false">Declarations!$B$20*Q301*Declarations!$B$20+Declarations!$B$20*R301*Declarations!$B$21+Declarations!$B$20*S301*Declarations!$B$22+Declarations!$B$21*R301*Declarations!$B$20+Declarations!$B$21*T301*Declarations!$B$21+Declarations!$B$21*U301*Declarations!$B$22+Declarations!$B$22*S301*Declarations!$B$20+Declarations!$B$22*U301*Declarations!$B$21+Declarations!$B$22*V301*Declarations!$B$22+1</f>
        <v>10.2972987232236</v>
      </c>
      <c r="R302" s="20" t="n">
        <f aca="false">Declarations!$B$20*Q301*Declarations!$C$20+Declarations!$B$20*R301*Declarations!$C$21+Declarations!$B$20*S301*Declarations!$C$22+Declarations!$B$21*R301*Declarations!$C$20+Declarations!$B$21*T301*Declarations!$C$21+Declarations!$B$21*U301*Declarations!$C$22+Declarations!$B$22*S301*Declarations!$C$20+Declarations!$B$22*U301*Declarations!$C$21+Declarations!$B$22*V301*Declarations!$C$22+0</f>
        <v>4.6069183945336</v>
      </c>
      <c r="S302" s="20" t="n">
        <f aca="false">Declarations!$B$20*Q301*Declarations!$D$20+Declarations!$B$20*R301*Declarations!$D$21+Declarations!$B$20*S301*Declarations!$D$22+Declarations!$B$21*R301*Declarations!$D$20+Declarations!$B$21*T301*Declarations!$D$21+Declarations!$B$21*U301*Declarations!$D$22+Declarations!$B$22*S301*Declarations!$D$20+Declarations!$B$22*U301*Declarations!$D$21+Declarations!$B$22*V301*Declarations!$D$22+0</f>
        <v>0.617283950617284</v>
      </c>
      <c r="T302" s="20" t="n">
        <f aca="false">Declarations!$C$20*Q301*Declarations!$C$20+Declarations!$C$20*R301*Declarations!$C$21+Declarations!$C$20*S301*Declarations!$C$22+Declarations!$C$21*R301*Declarations!$C$20+Declarations!$C$21*T301*Declarations!$C$21+Declarations!$C$21*U301*Declarations!$C$22+Declarations!$C$22*S301*Declarations!$C$20+Declarations!$C$22*U301*Declarations!$C$21+Declarations!$C$22*V301*Declarations!$C$22+1</f>
        <v>5.70253970138202</v>
      </c>
      <c r="U302" s="20" t="n">
        <f aca="false">Declarations!$C$20*Q301*Declarations!$D$20+Declarations!$C$20*R301*Declarations!$D$21+Declarations!$C$20*S301*Declarations!$D$22+Declarations!$C$21*R301*Declarations!$D$20+Declarations!$C$21*T301*Declarations!$D$21+Declarations!$C$21*U301*Declarations!$D$22+Declarations!$C$22*S301*Declarations!$D$20+Declarations!$C$22*U301*Declarations!$D$21+Declarations!$C$22*V301*Declarations!$D$22+0</f>
        <v>0.771604938271605</v>
      </c>
      <c r="V302" s="20" t="n">
        <f aca="false">Declarations!$D$20*Q301*Declarations!$D$20+Declarations!$D$20*R301*Declarations!$D$21+Declarations!$D$20*S301*Declarations!$D$22+Declarations!$D$21*R301*Declarations!$D$20+Declarations!$D$21*T301*Declarations!$D$21+Declarations!$D$21*U301*Declarations!$D$22+Declarations!$D$22*S301*Declarations!$D$20+Declarations!$D$22*U301*Declarations!$D$21+Declarations!$D$22*V301*Declarations!$D$22+1</f>
        <v>2.77777777777778</v>
      </c>
    </row>
    <row r="303" customFormat="false" ht="15" hidden="false" customHeight="false" outlineLevel="0" collapsed="false">
      <c r="A303" s="18" t="n">
        <v>294</v>
      </c>
      <c r="B303" s="20" t="n">
        <f aca="false">$B$4*B302*$B$4+$B$4*C302*$B$5+$B$5*C302*$B$4+$B$5*D302*$B$5+$E$4</f>
        <v>13.5714285714281</v>
      </c>
      <c r="C303" s="20" t="n">
        <f aca="false">$B$4*B302*$C$4+$B$4*C302*$C$5+$B$5*C302*$C$4+$B$5*D302*$C$5+$F$4</f>
        <v>-5.78571428571409</v>
      </c>
      <c r="D303" s="20" t="n">
        <f aca="false">$C$4*B302*$C$4+$C$4*C302*$C$5+$C$5*C302*$C$4+$C$5*D302*$C$5+$F$5</f>
        <v>11.9928571428568</v>
      </c>
      <c r="P303" s="18" t="n">
        <v>294</v>
      </c>
      <c r="Q303" s="20" t="n">
        <f aca="false">Declarations!$B$20*Q302*Declarations!$B$20+Declarations!$B$20*R302*Declarations!$B$21+Declarations!$B$20*S302*Declarations!$B$22+Declarations!$B$21*R302*Declarations!$B$20+Declarations!$B$21*T302*Declarations!$B$21+Declarations!$B$21*U302*Declarations!$B$22+Declarations!$B$22*S302*Declarations!$B$20+Declarations!$B$22*U302*Declarations!$B$21+Declarations!$B$22*V302*Declarations!$B$22+1</f>
        <v>10.2972987232237</v>
      </c>
      <c r="R303" s="20" t="n">
        <f aca="false">Declarations!$B$20*Q302*Declarations!$C$20+Declarations!$B$20*R302*Declarations!$C$21+Declarations!$B$20*S302*Declarations!$C$22+Declarations!$B$21*R302*Declarations!$C$20+Declarations!$B$21*T302*Declarations!$C$21+Declarations!$B$21*U302*Declarations!$C$22+Declarations!$B$22*S302*Declarations!$C$20+Declarations!$B$22*U302*Declarations!$C$21+Declarations!$B$22*V302*Declarations!$C$22+0</f>
        <v>4.60691839453365</v>
      </c>
      <c r="S303" s="20" t="n">
        <f aca="false">Declarations!$B$20*Q302*Declarations!$D$20+Declarations!$B$20*R302*Declarations!$D$21+Declarations!$B$20*S302*Declarations!$D$22+Declarations!$B$21*R302*Declarations!$D$20+Declarations!$B$21*T302*Declarations!$D$21+Declarations!$B$21*U302*Declarations!$D$22+Declarations!$B$22*S302*Declarations!$D$20+Declarations!$B$22*U302*Declarations!$D$21+Declarations!$B$22*V302*Declarations!$D$22+0</f>
        <v>0.617283950617284</v>
      </c>
      <c r="T303" s="20" t="n">
        <f aca="false">Declarations!$C$20*Q302*Declarations!$C$20+Declarations!$C$20*R302*Declarations!$C$21+Declarations!$C$20*S302*Declarations!$C$22+Declarations!$C$21*R302*Declarations!$C$20+Declarations!$C$21*T302*Declarations!$C$21+Declarations!$C$21*U302*Declarations!$C$22+Declarations!$C$22*S302*Declarations!$C$20+Declarations!$C$22*U302*Declarations!$C$21+Declarations!$C$22*V302*Declarations!$C$22+1</f>
        <v>5.70253970138205</v>
      </c>
      <c r="U303" s="20" t="n">
        <f aca="false">Declarations!$C$20*Q302*Declarations!$D$20+Declarations!$C$20*R302*Declarations!$D$21+Declarations!$C$20*S302*Declarations!$D$22+Declarations!$C$21*R302*Declarations!$D$20+Declarations!$C$21*T302*Declarations!$D$21+Declarations!$C$21*U302*Declarations!$D$22+Declarations!$C$22*S302*Declarations!$D$20+Declarations!$C$22*U302*Declarations!$D$21+Declarations!$C$22*V302*Declarations!$D$22+0</f>
        <v>0.771604938271605</v>
      </c>
      <c r="V303" s="20" t="n">
        <f aca="false">Declarations!$D$20*Q302*Declarations!$D$20+Declarations!$D$20*R302*Declarations!$D$21+Declarations!$D$20*S302*Declarations!$D$22+Declarations!$D$21*R302*Declarations!$D$20+Declarations!$D$21*T302*Declarations!$D$21+Declarations!$D$21*U302*Declarations!$D$22+Declarations!$D$22*S302*Declarations!$D$20+Declarations!$D$22*U302*Declarations!$D$21+Declarations!$D$22*V302*Declarations!$D$22+1</f>
        <v>2.77777777777778</v>
      </c>
    </row>
    <row r="304" customFormat="false" ht="15" hidden="false" customHeight="false" outlineLevel="0" collapsed="false">
      <c r="A304" s="18" t="n">
        <v>295</v>
      </c>
      <c r="B304" s="20" t="n">
        <f aca="false">$B$4*B303*$B$4+$B$4*C303*$B$5+$B$5*C303*$B$4+$B$5*D303*$B$5+$E$4</f>
        <v>13.5714285714282</v>
      </c>
      <c r="C304" s="20" t="n">
        <f aca="false">$B$4*B303*$C$4+$B$4*C303*$C$5+$B$5*C303*$C$4+$B$5*D303*$C$5+$F$4</f>
        <v>-5.78571428571409</v>
      </c>
      <c r="D304" s="20" t="n">
        <f aca="false">$C$4*B303*$C$4+$C$4*C303*$C$5+$C$5*C303*$C$4+$C$5*D303*$C$5+$F$5</f>
        <v>11.9928571428568</v>
      </c>
      <c r="P304" s="18" t="n">
        <v>295</v>
      </c>
      <c r="Q304" s="20" t="n">
        <f aca="false">Declarations!$B$20*Q303*Declarations!$B$20+Declarations!$B$20*R303*Declarations!$B$21+Declarations!$B$20*S303*Declarations!$B$22+Declarations!$B$21*R303*Declarations!$B$20+Declarations!$B$21*T303*Declarations!$B$21+Declarations!$B$21*U303*Declarations!$B$22+Declarations!$B$22*S303*Declarations!$B$20+Declarations!$B$22*U303*Declarations!$B$21+Declarations!$B$22*V303*Declarations!$B$22+1</f>
        <v>10.2972987232238</v>
      </c>
      <c r="R304" s="20" t="n">
        <f aca="false">Declarations!$B$20*Q303*Declarations!$C$20+Declarations!$B$20*R303*Declarations!$C$21+Declarations!$B$20*S303*Declarations!$C$22+Declarations!$B$21*R303*Declarations!$C$20+Declarations!$B$21*T303*Declarations!$C$21+Declarations!$B$21*U303*Declarations!$C$22+Declarations!$B$22*S303*Declarations!$C$20+Declarations!$B$22*U303*Declarations!$C$21+Declarations!$B$22*V303*Declarations!$C$22+0</f>
        <v>4.6069183945337</v>
      </c>
      <c r="S304" s="20" t="n">
        <f aca="false">Declarations!$B$20*Q303*Declarations!$D$20+Declarations!$B$20*R303*Declarations!$D$21+Declarations!$B$20*S303*Declarations!$D$22+Declarations!$B$21*R303*Declarations!$D$20+Declarations!$B$21*T303*Declarations!$D$21+Declarations!$B$21*U303*Declarations!$D$22+Declarations!$B$22*S303*Declarations!$D$20+Declarations!$B$22*U303*Declarations!$D$21+Declarations!$B$22*V303*Declarations!$D$22+0</f>
        <v>0.617283950617284</v>
      </c>
      <c r="T304" s="20" t="n">
        <f aca="false">Declarations!$C$20*Q303*Declarations!$C$20+Declarations!$C$20*R303*Declarations!$C$21+Declarations!$C$20*S303*Declarations!$C$22+Declarations!$C$21*R303*Declarations!$C$20+Declarations!$C$21*T303*Declarations!$C$21+Declarations!$C$21*U303*Declarations!$C$22+Declarations!$C$22*S303*Declarations!$C$20+Declarations!$C$22*U303*Declarations!$C$21+Declarations!$C$22*V303*Declarations!$C$22+1</f>
        <v>5.70253970138207</v>
      </c>
      <c r="U304" s="20" t="n">
        <f aca="false">Declarations!$C$20*Q303*Declarations!$D$20+Declarations!$C$20*R303*Declarations!$D$21+Declarations!$C$20*S303*Declarations!$D$22+Declarations!$C$21*R303*Declarations!$D$20+Declarations!$C$21*T303*Declarations!$D$21+Declarations!$C$21*U303*Declarations!$D$22+Declarations!$C$22*S303*Declarations!$D$20+Declarations!$C$22*U303*Declarations!$D$21+Declarations!$C$22*V303*Declarations!$D$22+0</f>
        <v>0.771604938271605</v>
      </c>
      <c r="V304" s="20" t="n">
        <f aca="false">Declarations!$D$20*Q303*Declarations!$D$20+Declarations!$D$20*R303*Declarations!$D$21+Declarations!$D$20*S303*Declarations!$D$22+Declarations!$D$21*R303*Declarations!$D$20+Declarations!$D$21*T303*Declarations!$D$21+Declarations!$D$21*U303*Declarations!$D$22+Declarations!$D$22*S303*Declarations!$D$20+Declarations!$D$22*U303*Declarations!$D$21+Declarations!$D$22*V303*Declarations!$D$22+1</f>
        <v>2.77777777777778</v>
      </c>
    </row>
    <row r="305" customFormat="false" ht="15" hidden="false" customHeight="false" outlineLevel="0" collapsed="false">
      <c r="A305" s="18" t="n">
        <v>296</v>
      </c>
      <c r="B305" s="20" t="n">
        <f aca="false">$B$4*B304*$B$4+$B$4*C304*$B$5+$B$5*C304*$B$4+$B$5*D304*$B$5+$E$4</f>
        <v>13.5714285714282</v>
      </c>
      <c r="C305" s="20" t="n">
        <f aca="false">$B$4*B304*$C$4+$B$4*C304*$C$5+$B$5*C304*$C$4+$B$5*D304*$C$5+$F$4</f>
        <v>-5.78571428571413</v>
      </c>
      <c r="D305" s="20" t="n">
        <f aca="false">$C$4*B304*$C$4+$C$4*C304*$C$5+$C$5*C304*$C$4+$C$5*D304*$C$5+$F$5</f>
        <v>11.9928571428568</v>
      </c>
      <c r="P305" s="18" t="n">
        <v>296</v>
      </c>
      <c r="Q305" s="20" t="n">
        <f aca="false">Declarations!$B$20*Q304*Declarations!$B$20+Declarations!$B$20*R304*Declarations!$B$21+Declarations!$B$20*S304*Declarations!$B$22+Declarations!$B$21*R304*Declarations!$B$20+Declarations!$B$21*T304*Declarations!$B$21+Declarations!$B$21*U304*Declarations!$B$22+Declarations!$B$22*S304*Declarations!$B$20+Declarations!$B$22*U304*Declarations!$B$21+Declarations!$B$22*V304*Declarations!$B$22+1</f>
        <v>10.2972987232239</v>
      </c>
      <c r="R305" s="20" t="n">
        <f aca="false">Declarations!$B$20*Q304*Declarations!$C$20+Declarations!$B$20*R304*Declarations!$C$21+Declarations!$B$20*S304*Declarations!$C$22+Declarations!$B$21*R304*Declarations!$C$20+Declarations!$B$21*T304*Declarations!$C$21+Declarations!$B$21*U304*Declarations!$C$22+Declarations!$B$22*S304*Declarations!$C$20+Declarations!$B$22*U304*Declarations!$C$21+Declarations!$B$22*V304*Declarations!$C$22+0</f>
        <v>4.60691839453374</v>
      </c>
      <c r="S305" s="20" t="n">
        <f aca="false">Declarations!$B$20*Q304*Declarations!$D$20+Declarations!$B$20*R304*Declarations!$D$21+Declarations!$B$20*S304*Declarations!$D$22+Declarations!$B$21*R304*Declarations!$D$20+Declarations!$B$21*T304*Declarations!$D$21+Declarations!$B$21*U304*Declarations!$D$22+Declarations!$B$22*S304*Declarations!$D$20+Declarations!$B$22*U304*Declarations!$D$21+Declarations!$B$22*V304*Declarations!$D$22+0</f>
        <v>0.617283950617284</v>
      </c>
      <c r="T305" s="20" t="n">
        <f aca="false">Declarations!$C$20*Q304*Declarations!$C$20+Declarations!$C$20*R304*Declarations!$C$21+Declarations!$C$20*S304*Declarations!$C$22+Declarations!$C$21*R304*Declarations!$C$20+Declarations!$C$21*T304*Declarations!$C$21+Declarations!$C$21*U304*Declarations!$C$22+Declarations!$C$22*S304*Declarations!$C$20+Declarations!$C$22*U304*Declarations!$C$21+Declarations!$C$22*V304*Declarations!$C$22+1</f>
        <v>5.70253970138209</v>
      </c>
      <c r="U305" s="20" t="n">
        <f aca="false">Declarations!$C$20*Q304*Declarations!$D$20+Declarations!$C$20*R304*Declarations!$D$21+Declarations!$C$20*S304*Declarations!$D$22+Declarations!$C$21*R304*Declarations!$D$20+Declarations!$C$21*T304*Declarations!$D$21+Declarations!$C$21*U304*Declarations!$D$22+Declarations!$C$22*S304*Declarations!$D$20+Declarations!$C$22*U304*Declarations!$D$21+Declarations!$C$22*V304*Declarations!$D$22+0</f>
        <v>0.771604938271605</v>
      </c>
      <c r="V305" s="20" t="n">
        <f aca="false">Declarations!$D$20*Q304*Declarations!$D$20+Declarations!$D$20*R304*Declarations!$D$21+Declarations!$D$20*S304*Declarations!$D$22+Declarations!$D$21*R304*Declarations!$D$20+Declarations!$D$21*T304*Declarations!$D$21+Declarations!$D$21*U304*Declarations!$D$22+Declarations!$D$22*S304*Declarations!$D$20+Declarations!$D$22*U304*Declarations!$D$21+Declarations!$D$22*V304*Declarations!$D$22+1</f>
        <v>2.77777777777778</v>
      </c>
    </row>
    <row r="306" customFormat="false" ht="15" hidden="false" customHeight="false" outlineLevel="0" collapsed="false">
      <c r="A306" s="18" t="n">
        <v>297</v>
      </c>
      <c r="B306" s="20" t="n">
        <f aca="false">$B$4*B305*$B$4+$B$4*C305*$B$5+$B$5*C305*$B$4+$B$5*D305*$B$5+$E$4</f>
        <v>13.5714285714282</v>
      </c>
      <c r="C306" s="20" t="n">
        <f aca="false">$B$4*B305*$C$4+$B$4*C305*$C$5+$B$5*C305*$C$4+$B$5*D305*$C$5+$F$4</f>
        <v>-5.78571428571414</v>
      </c>
      <c r="D306" s="20" t="n">
        <f aca="false">$C$4*B305*$C$4+$C$4*C305*$C$5+$C$5*C305*$C$4+$C$5*D305*$C$5+$F$5</f>
        <v>11.9928571428569</v>
      </c>
      <c r="P306" s="18" t="n">
        <v>297</v>
      </c>
      <c r="Q306" s="20" t="n">
        <f aca="false">Declarations!$B$20*Q305*Declarations!$B$20+Declarations!$B$20*R305*Declarations!$B$21+Declarations!$B$20*S305*Declarations!$B$22+Declarations!$B$21*R305*Declarations!$B$20+Declarations!$B$21*T305*Declarations!$B$21+Declarations!$B$21*U305*Declarations!$B$22+Declarations!$B$22*S305*Declarations!$B$20+Declarations!$B$22*U305*Declarations!$B$21+Declarations!$B$22*V305*Declarations!$B$22+1</f>
        <v>10.2972987232239</v>
      </c>
      <c r="R306" s="20" t="n">
        <f aca="false">Declarations!$B$20*Q305*Declarations!$C$20+Declarations!$B$20*R305*Declarations!$C$21+Declarations!$B$20*S305*Declarations!$C$22+Declarations!$B$21*R305*Declarations!$C$20+Declarations!$B$21*T305*Declarations!$C$21+Declarations!$B$21*U305*Declarations!$C$22+Declarations!$B$22*S305*Declarations!$C$20+Declarations!$B$22*U305*Declarations!$C$21+Declarations!$B$22*V305*Declarations!$C$22+0</f>
        <v>4.60691839453378</v>
      </c>
      <c r="S306" s="20" t="n">
        <f aca="false">Declarations!$B$20*Q305*Declarations!$D$20+Declarations!$B$20*R305*Declarations!$D$21+Declarations!$B$20*S305*Declarations!$D$22+Declarations!$B$21*R305*Declarations!$D$20+Declarations!$B$21*T305*Declarations!$D$21+Declarations!$B$21*U305*Declarations!$D$22+Declarations!$B$22*S305*Declarations!$D$20+Declarations!$B$22*U305*Declarations!$D$21+Declarations!$B$22*V305*Declarations!$D$22+0</f>
        <v>0.617283950617284</v>
      </c>
      <c r="T306" s="20" t="n">
        <f aca="false">Declarations!$C$20*Q305*Declarations!$C$20+Declarations!$C$20*R305*Declarations!$C$21+Declarations!$C$20*S305*Declarations!$C$22+Declarations!$C$21*R305*Declarations!$C$20+Declarations!$C$21*T305*Declarations!$C$21+Declarations!$C$21*U305*Declarations!$C$22+Declarations!$C$22*S305*Declarations!$C$20+Declarations!$C$22*U305*Declarations!$C$21+Declarations!$C$22*V305*Declarations!$C$22+1</f>
        <v>5.70253970138211</v>
      </c>
      <c r="U306" s="20" t="n">
        <f aca="false">Declarations!$C$20*Q305*Declarations!$D$20+Declarations!$C$20*R305*Declarations!$D$21+Declarations!$C$20*S305*Declarations!$D$22+Declarations!$C$21*R305*Declarations!$D$20+Declarations!$C$21*T305*Declarations!$D$21+Declarations!$C$21*U305*Declarations!$D$22+Declarations!$C$22*S305*Declarations!$D$20+Declarations!$C$22*U305*Declarations!$D$21+Declarations!$C$22*V305*Declarations!$D$22+0</f>
        <v>0.771604938271605</v>
      </c>
      <c r="V306" s="20" t="n">
        <f aca="false">Declarations!$D$20*Q305*Declarations!$D$20+Declarations!$D$20*R305*Declarations!$D$21+Declarations!$D$20*S305*Declarations!$D$22+Declarations!$D$21*R305*Declarations!$D$20+Declarations!$D$21*T305*Declarations!$D$21+Declarations!$D$21*U305*Declarations!$D$22+Declarations!$D$22*S305*Declarations!$D$20+Declarations!$D$22*U305*Declarations!$D$21+Declarations!$D$22*V305*Declarations!$D$22+1</f>
        <v>2.77777777777778</v>
      </c>
    </row>
    <row r="307" customFormat="false" ht="15" hidden="false" customHeight="false" outlineLevel="0" collapsed="false">
      <c r="A307" s="18" t="n">
        <v>298</v>
      </c>
      <c r="B307" s="20" t="n">
        <f aca="false">$B$4*B306*$B$4+$B$4*C306*$B$5+$B$5*C306*$B$4+$B$5*D306*$B$5+$E$4</f>
        <v>13.5714285714283</v>
      </c>
      <c r="C307" s="20" t="n">
        <f aca="false">$B$4*B306*$C$4+$B$4*C306*$C$5+$B$5*C306*$C$4+$B$5*D306*$C$5+$F$4</f>
        <v>-5.78571428571414</v>
      </c>
      <c r="D307" s="20" t="n">
        <f aca="false">$C$4*B306*$C$4+$C$4*C306*$C$5+$C$5*C306*$C$4+$C$5*D306*$C$5+$F$5</f>
        <v>11.9928571428569</v>
      </c>
      <c r="P307" s="18" t="n">
        <v>298</v>
      </c>
      <c r="Q307" s="20" t="n">
        <f aca="false">Declarations!$B$20*Q306*Declarations!$B$20+Declarations!$B$20*R306*Declarations!$B$21+Declarations!$B$20*S306*Declarations!$B$22+Declarations!$B$21*R306*Declarations!$B$20+Declarations!$B$21*T306*Declarations!$B$21+Declarations!$B$21*U306*Declarations!$B$22+Declarations!$B$22*S306*Declarations!$B$20+Declarations!$B$22*U306*Declarations!$B$21+Declarations!$B$22*V306*Declarations!$B$22+1</f>
        <v>10.297298723224</v>
      </c>
      <c r="R307" s="20" t="n">
        <f aca="false">Declarations!$B$20*Q306*Declarations!$C$20+Declarations!$B$20*R306*Declarations!$C$21+Declarations!$B$20*S306*Declarations!$C$22+Declarations!$B$21*R306*Declarations!$C$20+Declarations!$B$21*T306*Declarations!$C$21+Declarations!$B$21*U306*Declarations!$C$22+Declarations!$B$22*S306*Declarations!$C$20+Declarations!$B$22*U306*Declarations!$C$21+Declarations!$B$22*V306*Declarations!$C$22+0</f>
        <v>4.60691839453382</v>
      </c>
      <c r="S307" s="20" t="n">
        <f aca="false">Declarations!$B$20*Q306*Declarations!$D$20+Declarations!$B$20*R306*Declarations!$D$21+Declarations!$B$20*S306*Declarations!$D$22+Declarations!$B$21*R306*Declarations!$D$20+Declarations!$B$21*T306*Declarations!$D$21+Declarations!$B$21*U306*Declarations!$D$22+Declarations!$B$22*S306*Declarations!$D$20+Declarations!$B$22*U306*Declarations!$D$21+Declarations!$B$22*V306*Declarations!$D$22+0</f>
        <v>0.617283950617284</v>
      </c>
      <c r="T307" s="20" t="n">
        <f aca="false">Declarations!$C$20*Q306*Declarations!$C$20+Declarations!$C$20*R306*Declarations!$C$21+Declarations!$C$20*S306*Declarations!$C$22+Declarations!$C$21*R306*Declarations!$C$20+Declarations!$C$21*T306*Declarations!$C$21+Declarations!$C$21*U306*Declarations!$C$22+Declarations!$C$22*S306*Declarations!$C$20+Declarations!$C$22*U306*Declarations!$C$21+Declarations!$C$22*V306*Declarations!$C$22+1</f>
        <v>5.70253970138213</v>
      </c>
      <c r="U307" s="20" t="n">
        <f aca="false">Declarations!$C$20*Q306*Declarations!$D$20+Declarations!$C$20*R306*Declarations!$D$21+Declarations!$C$20*S306*Declarations!$D$22+Declarations!$C$21*R306*Declarations!$D$20+Declarations!$C$21*T306*Declarations!$D$21+Declarations!$C$21*U306*Declarations!$D$22+Declarations!$C$22*S306*Declarations!$D$20+Declarations!$C$22*U306*Declarations!$D$21+Declarations!$C$22*V306*Declarations!$D$22+0</f>
        <v>0.771604938271605</v>
      </c>
      <c r="V307" s="20" t="n">
        <f aca="false">Declarations!$D$20*Q306*Declarations!$D$20+Declarations!$D$20*R306*Declarations!$D$21+Declarations!$D$20*S306*Declarations!$D$22+Declarations!$D$21*R306*Declarations!$D$20+Declarations!$D$21*T306*Declarations!$D$21+Declarations!$D$21*U306*Declarations!$D$22+Declarations!$D$22*S306*Declarations!$D$20+Declarations!$D$22*U306*Declarations!$D$21+Declarations!$D$22*V306*Declarations!$D$22+1</f>
        <v>2.77777777777778</v>
      </c>
    </row>
    <row r="308" customFormat="false" ht="15" hidden="false" customHeight="false" outlineLevel="0" collapsed="false">
      <c r="A308" s="18" t="n">
        <v>299</v>
      </c>
      <c r="B308" s="20" t="n">
        <f aca="false">$B$4*B307*$B$4+$B$4*C307*$B$5+$B$5*C307*$B$4+$B$5*D307*$B$5+$E$4</f>
        <v>13.5714285714283</v>
      </c>
      <c r="C308" s="20" t="n">
        <f aca="false">$B$4*B307*$C$4+$B$4*C307*$C$5+$B$5*C307*$C$4+$B$5*D307*$C$5+$F$4</f>
        <v>-5.78571428571417</v>
      </c>
      <c r="D308" s="20" t="n">
        <f aca="false">$C$4*B307*$C$4+$C$4*C307*$C$5+$C$5*C307*$C$4+$C$5*D307*$C$5+$F$5</f>
        <v>11.9928571428569</v>
      </c>
      <c r="P308" s="18" t="n">
        <v>299</v>
      </c>
      <c r="Q308" s="20" t="n">
        <f aca="false">Declarations!$B$20*Q307*Declarations!$B$20+Declarations!$B$20*R307*Declarations!$B$21+Declarations!$B$20*S307*Declarations!$B$22+Declarations!$B$21*R307*Declarations!$B$20+Declarations!$B$21*T307*Declarations!$B$21+Declarations!$B$21*U307*Declarations!$B$22+Declarations!$B$22*S307*Declarations!$B$20+Declarations!$B$22*U307*Declarations!$B$21+Declarations!$B$22*V307*Declarations!$B$22+1</f>
        <v>10.2972987232241</v>
      </c>
      <c r="R308" s="20" t="n">
        <f aca="false">Declarations!$B$20*Q307*Declarations!$C$20+Declarations!$B$20*R307*Declarations!$C$21+Declarations!$B$20*S307*Declarations!$C$22+Declarations!$B$21*R307*Declarations!$C$20+Declarations!$B$21*T307*Declarations!$C$21+Declarations!$B$21*U307*Declarations!$C$22+Declarations!$B$22*S307*Declarations!$C$20+Declarations!$B$22*U307*Declarations!$C$21+Declarations!$B$22*V307*Declarations!$C$22+0</f>
        <v>4.60691839453385</v>
      </c>
      <c r="S308" s="20" t="n">
        <f aca="false">Declarations!$B$20*Q307*Declarations!$D$20+Declarations!$B$20*R307*Declarations!$D$21+Declarations!$B$20*S307*Declarations!$D$22+Declarations!$B$21*R307*Declarations!$D$20+Declarations!$B$21*T307*Declarations!$D$21+Declarations!$B$21*U307*Declarations!$D$22+Declarations!$B$22*S307*Declarations!$D$20+Declarations!$B$22*U307*Declarations!$D$21+Declarations!$B$22*V307*Declarations!$D$22+0</f>
        <v>0.617283950617284</v>
      </c>
      <c r="T308" s="20" t="n">
        <f aca="false">Declarations!$C$20*Q307*Declarations!$C$20+Declarations!$C$20*R307*Declarations!$C$21+Declarations!$C$20*S307*Declarations!$C$22+Declarations!$C$21*R307*Declarations!$C$20+Declarations!$C$21*T307*Declarations!$C$21+Declarations!$C$21*U307*Declarations!$C$22+Declarations!$C$22*S307*Declarations!$C$20+Declarations!$C$22*U307*Declarations!$C$21+Declarations!$C$22*V307*Declarations!$C$22+1</f>
        <v>5.70253970138215</v>
      </c>
      <c r="U308" s="20" t="n">
        <f aca="false">Declarations!$C$20*Q307*Declarations!$D$20+Declarations!$C$20*R307*Declarations!$D$21+Declarations!$C$20*S307*Declarations!$D$22+Declarations!$C$21*R307*Declarations!$D$20+Declarations!$C$21*T307*Declarations!$D$21+Declarations!$C$21*U307*Declarations!$D$22+Declarations!$C$22*S307*Declarations!$D$20+Declarations!$C$22*U307*Declarations!$D$21+Declarations!$C$22*V307*Declarations!$D$22+0</f>
        <v>0.771604938271605</v>
      </c>
      <c r="V308" s="20" t="n">
        <f aca="false">Declarations!$D$20*Q307*Declarations!$D$20+Declarations!$D$20*R307*Declarations!$D$21+Declarations!$D$20*S307*Declarations!$D$22+Declarations!$D$21*R307*Declarations!$D$20+Declarations!$D$21*T307*Declarations!$D$21+Declarations!$D$21*U307*Declarations!$D$22+Declarations!$D$22*S307*Declarations!$D$20+Declarations!$D$22*U307*Declarations!$D$21+Declarations!$D$22*V307*Declarations!$D$22+1</f>
        <v>2.77777777777778</v>
      </c>
    </row>
    <row r="309" customFormat="false" ht="15" hidden="false" customHeight="false" outlineLevel="0" collapsed="false">
      <c r="A309" s="18" t="n">
        <v>300</v>
      </c>
      <c r="B309" s="20" t="n">
        <f aca="false">$B$4*B308*$B$4+$B$4*C308*$B$5+$B$5*C308*$B$4+$B$5*D308*$B$5+$E$4</f>
        <v>13.5714285714283</v>
      </c>
      <c r="C309" s="20" t="n">
        <f aca="false">$B$4*B308*$C$4+$B$4*C308*$C$5+$B$5*C308*$C$4+$B$5*D308*$C$5+$F$4</f>
        <v>-5.78571428571418</v>
      </c>
      <c r="D309" s="20" t="n">
        <f aca="false">$C$4*B308*$C$4+$C$4*C308*$C$5+$C$5*C308*$C$4+$C$5*D308*$C$5+$F$5</f>
        <v>11.9928571428569</v>
      </c>
      <c r="P309" s="18" t="n">
        <v>300</v>
      </c>
      <c r="Q309" s="20" t="n">
        <f aca="false">Declarations!$B$20*Q308*Declarations!$B$20+Declarations!$B$20*R308*Declarations!$B$21+Declarations!$B$20*S308*Declarations!$B$22+Declarations!$B$21*R308*Declarations!$B$20+Declarations!$B$21*T308*Declarations!$B$21+Declarations!$B$21*U308*Declarations!$B$22+Declarations!$B$22*S308*Declarations!$B$20+Declarations!$B$22*U308*Declarations!$B$21+Declarations!$B$22*V308*Declarations!$B$22+1</f>
        <v>10.2972987232241</v>
      </c>
      <c r="R309" s="20" t="n">
        <f aca="false">Declarations!$B$20*Q308*Declarations!$C$20+Declarations!$B$20*R308*Declarations!$C$21+Declarations!$B$20*S308*Declarations!$C$22+Declarations!$B$21*R308*Declarations!$C$20+Declarations!$B$21*T308*Declarations!$C$21+Declarations!$B$21*U308*Declarations!$C$22+Declarations!$B$22*S308*Declarations!$C$20+Declarations!$B$22*U308*Declarations!$C$21+Declarations!$B$22*V308*Declarations!$C$22+0</f>
        <v>4.60691839453388</v>
      </c>
      <c r="S309" s="20" t="n">
        <f aca="false">Declarations!$B$20*Q308*Declarations!$D$20+Declarations!$B$20*R308*Declarations!$D$21+Declarations!$B$20*S308*Declarations!$D$22+Declarations!$B$21*R308*Declarations!$D$20+Declarations!$B$21*T308*Declarations!$D$21+Declarations!$B$21*U308*Declarations!$D$22+Declarations!$B$22*S308*Declarations!$D$20+Declarations!$B$22*U308*Declarations!$D$21+Declarations!$B$22*V308*Declarations!$D$22+0</f>
        <v>0.617283950617284</v>
      </c>
      <c r="T309" s="20" t="n">
        <f aca="false">Declarations!$C$20*Q308*Declarations!$C$20+Declarations!$C$20*R308*Declarations!$C$21+Declarations!$C$20*S308*Declarations!$C$22+Declarations!$C$21*R308*Declarations!$C$20+Declarations!$C$21*T308*Declarations!$C$21+Declarations!$C$21*U308*Declarations!$C$22+Declarations!$C$22*S308*Declarations!$C$20+Declarations!$C$22*U308*Declarations!$C$21+Declarations!$C$22*V308*Declarations!$C$22+1</f>
        <v>5.70253970138216</v>
      </c>
      <c r="U309" s="20" t="n">
        <f aca="false">Declarations!$C$20*Q308*Declarations!$D$20+Declarations!$C$20*R308*Declarations!$D$21+Declarations!$C$20*S308*Declarations!$D$22+Declarations!$C$21*R308*Declarations!$D$20+Declarations!$C$21*T308*Declarations!$D$21+Declarations!$C$21*U308*Declarations!$D$22+Declarations!$C$22*S308*Declarations!$D$20+Declarations!$C$22*U308*Declarations!$D$21+Declarations!$C$22*V308*Declarations!$D$22+0</f>
        <v>0.771604938271605</v>
      </c>
      <c r="V309" s="20" t="n">
        <f aca="false">Declarations!$D$20*Q308*Declarations!$D$20+Declarations!$D$20*R308*Declarations!$D$21+Declarations!$D$20*S308*Declarations!$D$22+Declarations!$D$21*R308*Declarations!$D$20+Declarations!$D$21*T308*Declarations!$D$21+Declarations!$D$21*U308*Declarations!$D$22+Declarations!$D$22*S308*Declarations!$D$20+Declarations!$D$22*U308*Declarations!$D$21+Declarations!$D$22*V308*Declarations!$D$22+1</f>
        <v>2.77777777777778</v>
      </c>
    </row>
    <row r="310" customFormat="false" ht="15" hidden="false" customHeight="false" outlineLevel="0" collapsed="false">
      <c r="A310" s="18" t="n">
        <v>301</v>
      </c>
      <c r="B310" s="20" t="n">
        <f aca="false">$B$4*B309*$B$4+$B$4*C309*$B$5+$B$5*C309*$B$4+$B$5*D309*$B$5+$E$4</f>
        <v>13.5714285714284</v>
      </c>
      <c r="C310" s="20" t="n">
        <f aca="false">$B$4*B309*$C$4+$B$4*C309*$C$5+$B$5*C309*$C$4+$B$5*D309*$C$5+$F$4</f>
        <v>-5.78571428571418</v>
      </c>
      <c r="D310" s="20" t="n">
        <f aca="false">$C$4*B309*$C$4+$C$4*C309*$C$5+$C$5*C309*$C$4+$C$5*D309*$C$5+$F$5</f>
        <v>11.9928571428569</v>
      </c>
      <c r="P310" s="18" t="n">
        <v>301</v>
      </c>
      <c r="Q310" s="20" t="n">
        <f aca="false">Declarations!$B$20*Q309*Declarations!$B$20+Declarations!$B$20*R309*Declarations!$B$21+Declarations!$B$20*S309*Declarations!$B$22+Declarations!$B$21*R309*Declarations!$B$20+Declarations!$B$21*T309*Declarations!$B$21+Declarations!$B$21*U309*Declarations!$B$22+Declarations!$B$22*S309*Declarations!$B$20+Declarations!$B$22*U309*Declarations!$B$21+Declarations!$B$22*V309*Declarations!$B$22+1</f>
        <v>10.2972987232242</v>
      </c>
      <c r="R310" s="20" t="n">
        <f aca="false">Declarations!$B$20*Q309*Declarations!$C$20+Declarations!$B$20*R309*Declarations!$C$21+Declarations!$B$20*S309*Declarations!$C$22+Declarations!$B$21*R309*Declarations!$C$20+Declarations!$B$21*T309*Declarations!$C$21+Declarations!$B$21*U309*Declarations!$C$22+Declarations!$B$22*S309*Declarations!$C$20+Declarations!$B$22*U309*Declarations!$C$21+Declarations!$B$22*V309*Declarations!$C$22+0</f>
        <v>4.6069183945339</v>
      </c>
      <c r="S310" s="20" t="n">
        <f aca="false">Declarations!$B$20*Q309*Declarations!$D$20+Declarations!$B$20*R309*Declarations!$D$21+Declarations!$B$20*S309*Declarations!$D$22+Declarations!$B$21*R309*Declarations!$D$20+Declarations!$B$21*T309*Declarations!$D$21+Declarations!$B$21*U309*Declarations!$D$22+Declarations!$B$22*S309*Declarations!$D$20+Declarations!$B$22*U309*Declarations!$D$21+Declarations!$B$22*V309*Declarations!$D$22+0</f>
        <v>0.617283950617284</v>
      </c>
      <c r="T310" s="20" t="n">
        <f aca="false">Declarations!$C$20*Q309*Declarations!$C$20+Declarations!$C$20*R309*Declarations!$C$21+Declarations!$C$20*S309*Declarations!$C$22+Declarations!$C$21*R309*Declarations!$C$20+Declarations!$C$21*T309*Declarations!$C$21+Declarations!$C$21*U309*Declarations!$C$22+Declarations!$C$22*S309*Declarations!$C$20+Declarations!$C$22*U309*Declarations!$C$21+Declarations!$C$22*V309*Declarations!$C$22+1</f>
        <v>5.70253970138217</v>
      </c>
      <c r="U310" s="20" t="n">
        <f aca="false">Declarations!$C$20*Q309*Declarations!$D$20+Declarations!$C$20*R309*Declarations!$D$21+Declarations!$C$20*S309*Declarations!$D$22+Declarations!$C$21*R309*Declarations!$D$20+Declarations!$C$21*T309*Declarations!$D$21+Declarations!$C$21*U309*Declarations!$D$22+Declarations!$C$22*S309*Declarations!$D$20+Declarations!$C$22*U309*Declarations!$D$21+Declarations!$C$22*V309*Declarations!$D$22+0</f>
        <v>0.771604938271605</v>
      </c>
      <c r="V310" s="20" t="n">
        <f aca="false">Declarations!$D$20*Q309*Declarations!$D$20+Declarations!$D$20*R309*Declarations!$D$21+Declarations!$D$20*S309*Declarations!$D$22+Declarations!$D$21*R309*Declarations!$D$20+Declarations!$D$21*T309*Declarations!$D$21+Declarations!$D$21*U309*Declarations!$D$22+Declarations!$D$22*S309*Declarations!$D$20+Declarations!$D$22*U309*Declarations!$D$21+Declarations!$D$22*V309*Declarations!$D$22+1</f>
        <v>2.77777777777778</v>
      </c>
    </row>
    <row r="311" customFormat="false" ht="15" hidden="false" customHeight="false" outlineLevel="0" collapsed="false">
      <c r="A311" s="18" t="n">
        <v>302</v>
      </c>
      <c r="B311" s="20" t="n">
        <f aca="false">$B$4*B310*$B$4+$B$4*C310*$B$5+$B$5*C310*$B$4+$B$5*D310*$B$5+$E$4</f>
        <v>13.5714285714284</v>
      </c>
      <c r="C311" s="20" t="n">
        <f aca="false">$B$4*B310*$C$4+$B$4*C310*$C$5+$B$5*C310*$C$4+$B$5*D310*$C$5+$F$4</f>
        <v>-5.7857142857142</v>
      </c>
      <c r="D311" s="20" t="n">
        <f aca="false">$C$4*B310*$C$4+$C$4*C310*$C$5+$C$5*C310*$C$4+$C$5*D310*$C$5+$F$5</f>
        <v>11.992857142857</v>
      </c>
      <c r="P311" s="18" t="n">
        <v>302</v>
      </c>
      <c r="Q311" s="20" t="n">
        <f aca="false">Declarations!$B$20*Q310*Declarations!$B$20+Declarations!$B$20*R310*Declarations!$B$21+Declarations!$B$20*S310*Declarations!$B$22+Declarations!$B$21*R310*Declarations!$B$20+Declarations!$B$21*T310*Declarations!$B$21+Declarations!$B$21*U310*Declarations!$B$22+Declarations!$B$22*S310*Declarations!$B$20+Declarations!$B$22*U310*Declarations!$B$21+Declarations!$B$22*V310*Declarations!$B$22+1</f>
        <v>10.2972987232242</v>
      </c>
      <c r="R311" s="20" t="n">
        <f aca="false">Declarations!$B$20*Q310*Declarations!$C$20+Declarations!$B$20*R310*Declarations!$C$21+Declarations!$B$20*S310*Declarations!$C$22+Declarations!$B$21*R310*Declarations!$C$20+Declarations!$B$21*T310*Declarations!$C$21+Declarations!$B$21*U310*Declarations!$C$22+Declarations!$B$22*S310*Declarations!$C$20+Declarations!$B$22*U310*Declarations!$C$21+Declarations!$B$22*V310*Declarations!$C$22+0</f>
        <v>4.60691839453392</v>
      </c>
      <c r="S311" s="20" t="n">
        <f aca="false">Declarations!$B$20*Q310*Declarations!$D$20+Declarations!$B$20*R310*Declarations!$D$21+Declarations!$B$20*S310*Declarations!$D$22+Declarations!$B$21*R310*Declarations!$D$20+Declarations!$B$21*T310*Declarations!$D$21+Declarations!$B$21*U310*Declarations!$D$22+Declarations!$B$22*S310*Declarations!$D$20+Declarations!$B$22*U310*Declarations!$D$21+Declarations!$B$22*V310*Declarations!$D$22+0</f>
        <v>0.617283950617284</v>
      </c>
      <c r="T311" s="20" t="n">
        <f aca="false">Declarations!$C$20*Q310*Declarations!$C$20+Declarations!$C$20*R310*Declarations!$C$21+Declarations!$C$20*S310*Declarations!$C$22+Declarations!$C$21*R310*Declarations!$C$20+Declarations!$C$21*T310*Declarations!$C$21+Declarations!$C$21*U310*Declarations!$C$22+Declarations!$C$22*S310*Declarations!$C$20+Declarations!$C$22*U310*Declarations!$C$21+Declarations!$C$22*V310*Declarations!$C$22+1</f>
        <v>5.70253970138218</v>
      </c>
      <c r="U311" s="20" t="n">
        <f aca="false">Declarations!$C$20*Q310*Declarations!$D$20+Declarations!$C$20*R310*Declarations!$D$21+Declarations!$C$20*S310*Declarations!$D$22+Declarations!$C$21*R310*Declarations!$D$20+Declarations!$C$21*T310*Declarations!$D$21+Declarations!$C$21*U310*Declarations!$D$22+Declarations!$C$22*S310*Declarations!$D$20+Declarations!$C$22*U310*Declarations!$D$21+Declarations!$C$22*V310*Declarations!$D$22+0</f>
        <v>0.771604938271605</v>
      </c>
      <c r="V311" s="20" t="n">
        <f aca="false">Declarations!$D$20*Q310*Declarations!$D$20+Declarations!$D$20*R310*Declarations!$D$21+Declarations!$D$20*S310*Declarations!$D$22+Declarations!$D$21*R310*Declarations!$D$20+Declarations!$D$21*T310*Declarations!$D$21+Declarations!$D$21*U310*Declarations!$D$22+Declarations!$D$22*S310*Declarations!$D$20+Declarations!$D$22*U310*Declarations!$D$21+Declarations!$D$22*V310*Declarations!$D$22+1</f>
        <v>2.77777777777778</v>
      </c>
    </row>
    <row r="312" customFormat="false" ht="15" hidden="false" customHeight="false" outlineLevel="0" collapsed="false">
      <c r="A312" s="18" t="n">
        <v>303</v>
      </c>
      <c r="B312" s="20" t="n">
        <f aca="false">$B$4*B311*$B$4+$B$4*C311*$B$5+$B$5*C311*$B$4+$B$5*D311*$B$5+$E$4</f>
        <v>13.5714285714284</v>
      </c>
      <c r="C312" s="20" t="n">
        <f aca="false">$B$4*B311*$C$4+$B$4*C311*$C$5+$B$5*C311*$C$4+$B$5*D311*$C$5+$F$4</f>
        <v>-5.7857142857142</v>
      </c>
      <c r="D312" s="20" t="n">
        <f aca="false">$C$4*B311*$C$4+$C$4*C311*$C$5+$C$5*C311*$C$4+$C$5*D311*$C$5+$F$5</f>
        <v>11.992857142857</v>
      </c>
      <c r="P312" s="18" t="n">
        <v>303</v>
      </c>
      <c r="Q312" s="20" t="n">
        <f aca="false">Declarations!$B$20*Q311*Declarations!$B$20+Declarations!$B$20*R311*Declarations!$B$21+Declarations!$B$20*S311*Declarations!$B$22+Declarations!$B$21*R311*Declarations!$B$20+Declarations!$B$21*T311*Declarations!$B$21+Declarations!$B$21*U311*Declarations!$B$22+Declarations!$B$22*S311*Declarations!$B$20+Declarations!$B$22*U311*Declarations!$B$21+Declarations!$B$22*V311*Declarations!$B$22+1</f>
        <v>10.2972987232243</v>
      </c>
      <c r="R312" s="20" t="n">
        <f aca="false">Declarations!$B$20*Q311*Declarations!$C$20+Declarations!$B$20*R311*Declarations!$C$21+Declarations!$B$20*S311*Declarations!$C$22+Declarations!$B$21*R311*Declarations!$C$20+Declarations!$B$21*T311*Declarations!$C$21+Declarations!$B$21*U311*Declarations!$C$22+Declarations!$B$22*S311*Declarations!$C$20+Declarations!$B$22*U311*Declarations!$C$21+Declarations!$B$22*V311*Declarations!$C$22+0</f>
        <v>4.60691839453395</v>
      </c>
      <c r="S312" s="20" t="n">
        <f aca="false">Declarations!$B$20*Q311*Declarations!$D$20+Declarations!$B$20*R311*Declarations!$D$21+Declarations!$B$20*S311*Declarations!$D$22+Declarations!$B$21*R311*Declarations!$D$20+Declarations!$B$21*T311*Declarations!$D$21+Declarations!$B$21*U311*Declarations!$D$22+Declarations!$B$22*S311*Declarations!$D$20+Declarations!$B$22*U311*Declarations!$D$21+Declarations!$B$22*V311*Declarations!$D$22+0</f>
        <v>0.617283950617284</v>
      </c>
      <c r="T312" s="20" t="n">
        <f aca="false">Declarations!$C$20*Q311*Declarations!$C$20+Declarations!$C$20*R311*Declarations!$C$21+Declarations!$C$20*S311*Declarations!$C$22+Declarations!$C$21*R311*Declarations!$C$20+Declarations!$C$21*T311*Declarations!$C$21+Declarations!$C$21*U311*Declarations!$C$22+Declarations!$C$22*S311*Declarations!$C$20+Declarations!$C$22*U311*Declarations!$C$21+Declarations!$C$22*V311*Declarations!$C$22+1</f>
        <v>5.7025397013822</v>
      </c>
      <c r="U312" s="20" t="n">
        <f aca="false">Declarations!$C$20*Q311*Declarations!$D$20+Declarations!$C$20*R311*Declarations!$D$21+Declarations!$C$20*S311*Declarations!$D$22+Declarations!$C$21*R311*Declarations!$D$20+Declarations!$C$21*T311*Declarations!$D$21+Declarations!$C$21*U311*Declarations!$D$22+Declarations!$C$22*S311*Declarations!$D$20+Declarations!$C$22*U311*Declarations!$D$21+Declarations!$C$22*V311*Declarations!$D$22+0</f>
        <v>0.771604938271605</v>
      </c>
      <c r="V312" s="20" t="n">
        <f aca="false">Declarations!$D$20*Q311*Declarations!$D$20+Declarations!$D$20*R311*Declarations!$D$21+Declarations!$D$20*S311*Declarations!$D$22+Declarations!$D$21*R311*Declarations!$D$20+Declarations!$D$21*T311*Declarations!$D$21+Declarations!$D$21*U311*Declarations!$D$22+Declarations!$D$22*S311*Declarations!$D$20+Declarations!$D$22*U311*Declarations!$D$21+Declarations!$D$22*V311*Declarations!$D$22+1</f>
        <v>2.77777777777778</v>
      </c>
    </row>
    <row r="313" customFormat="false" ht="15" hidden="false" customHeight="false" outlineLevel="0" collapsed="false">
      <c r="A313" s="18" t="n">
        <v>304</v>
      </c>
      <c r="B313" s="20" t="n">
        <f aca="false">$B$4*B312*$B$4+$B$4*C312*$B$5+$B$5*C312*$B$4+$B$5*D312*$B$5+$E$4</f>
        <v>13.5714285714284</v>
      </c>
      <c r="C313" s="20" t="n">
        <f aca="false">$B$4*B312*$C$4+$B$4*C312*$C$5+$B$5*C312*$C$4+$B$5*D312*$C$5+$F$4</f>
        <v>-5.78571428571421</v>
      </c>
      <c r="D313" s="20" t="n">
        <f aca="false">$C$4*B312*$C$4+$C$4*C312*$C$5+$C$5*C312*$C$4+$C$5*D312*$C$5+$F$5</f>
        <v>11.992857142857</v>
      </c>
      <c r="P313" s="18" t="n">
        <v>304</v>
      </c>
      <c r="Q313" s="20" t="n">
        <f aca="false">Declarations!$B$20*Q312*Declarations!$B$20+Declarations!$B$20*R312*Declarations!$B$21+Declarations!$B$20*S312*Declarations!$B$22+Declarations!$B$21*R312*Declarations!$B$20+Declarations!$B$21*T312*Declarations!$B$21+Declarations!$B$21*U312*Declarations!$B$22+Declarations!$B$22*S312*Declarations!$B$20+Declarations!$B$22*U312*Declarations!$B$21+Declarations!$B$22*V312*Declarations!$B$22+1</f>
        <v>10.2972987232243</v>
      </c>
      <c r="R313" s="20" t="n">
        <f aca="false">Declarations!$B$20*Q312*Declarations!$C$20+Declarations!$B$20*R312*Declarations!$C$21+Declarations!$B$20*S312*Declarations!$C$22+Declarations!$B$21*R312*Declarations!$C$20+Declarations!$B$21*T312*Declarations!$C$21+Declarations!$B$21*U312*Declarations!$C$22+Declarations!$B$22*S312*Declarations!$C$20+Declarations!$B$22*U312*Declarations!$C$21+Declarations!$B$22*V312*Declarations!$C$22+0</f>
        <v>4.60691839453397</v>
      </c>
      <c r="S313" s="20" t="n">
        <f aca="false">Declarations!$B$20*Q312*Declarations!$D$20+Declarations!$B$20*R312*Declarations!$D$21+Declarations!$B$20*S312*Declarations!$D$22+Declarations!$B$21*R312*Declarations!$D$20+Declarations!$B$21*T312*Declarations!$D$21+Declarations!$B$21*U312*Declarations!$D$22+Declarations!$B$22*S312*Declarations!$D$20+Declarations!$B$22*U312*Declarations!$D$21+Declarations!$B$22*V312*Declarations!$D$22+0</f>
        <v>0.617283950617284</v>
      </c>
      <c r="T313" s="20" t="n">
        <f aca="false">Declarations!$C$20*Q312*Declarations!$C$20+Declarations!$C$20*R312*Declarations!$C$21+Declarations!$C$20*S312*Declarations!$C$22+Declarations!$C$21*R312*Declarations!$C$20+Declarations!$C$21*T312*Declarations!$C$21+Declarations!$C$21*U312*Declarations!$C$22+Declarations!$C$22*S312*Declarations!$C$20+Declarations!$C$22*U312*Declarations!$C$21+Declarations!$C$22*V312*Declarations!$C$22+1</f>
        <v>5.7025397013822</v>
      </c>
      <c r="U313" s="20" t="n">
        <f aca="false">Declarations!$C$20*Q312*Declarations!$D$20+Declarations!$C$20*R312*Declarations!$D$21+Declarations!$C$20*S312*Declarations!$D$22+Declarations!$C$21*R312*Declarations!$D$20+Declarations!$C$21*T312*Declarations!$D$21+Declarations!$C$21*U312*Declarations!$D$22+Declarations!$C$22*S312*Declarations!$D$20+Declarations!$C$22*U312*Declarations!$D$21+Declarations!$C$22*V312*Declarations!$D$22+0</f>
        <v>0.771604938271605</v>
      </c>
      <c r="V313" s="20" t="n">
        <f aca="false">Declarations!$D$20*Q312*Declarations!$D$20+Declarations!$D$20*R312*Declarations!$D$21+Declarations!$D$20*S312*Declarations!$D$22+Declarations!$D$21*R312*Declarations!$D$20+Declarations!$D$21*T312*Declarations!$D$21+Declarations!$D$21*U312*Declarations!$D$22+Declarations!$D$22*S312*Declarations!$D$20+Declarations!$D$22*U312*Declarations!$D$21+Declarations!$D$22*V312*Declarations!$D$22+1</f>
        <v>2.77777777777778</v>
      </c>
    </row>
    <row r="314" customFormat="false" ht="15" hidden="false" customHeight="false" outlineLevel="0" collapsed="false">
      <c r="A314" s="18" t="n">
        <v>305</v>
      </c>
      <c r="B314" s="20" t="n">
        <f aca="false">$B$4*B313*$B$4+$B$4*C313*$B$5+$B$5*C313*$B$4+$B$5*D313*$B$5+$E$4</f>
        <v>13.5714285714284</v>
      </c>
      <c r="C314" s="20" t="n">
        <f aca="false">$B$4*B313*$C$4+$B$4*C313*$C$5+$B$5*C313*$C$4+$B$5*D313*$C$5+$F$4</f>
        <v>-5.78571428571422</v>
      </c>
      <c r="D314" s="20" t="n">
        <f aca="false">$C$4*B313*$C$4+$C$4*C313*$C$5+$C$5*C313*$C$4+$C$5*D313*$C$5+$F$5</f>
        <v>11.992857142857</v>
      </c>
      <c r="P314" s="18" t="n">
        <v>305</v>
      </c>
      <c r="Q314" s="20" t="n">
        <f aca="false">Declarations!$B$20*Q313*Declarations!$B$20+Declarations!$B$20*R313*Declarations!$B$21+Declarations!$B$20*S313*Declarations!$B$22+Declarations!$B$21*R313*Declarations!$B$20+Declarations!$B$21*T313*Declarations!$B$21+Declarations!$B$21*U313*Declarations!$B$22+Declarations!$B$22*S313*Declarations!$B$20+Declarations!$B$22*U313*Declarations!$B$21+Declarations!$B$22*V313*Declarations!$B$22+1</f>
        <v>10.2972987232243</v>
      </c>
      <c r="R314" s="20" t="n">
        <f aca="false">Declarations!$B$20*Q313*Declarations!$C$20+Declarations!$B$20*R313*Declarations!$C$21+Declarations!$B$20*S313*Declarations!$C$22+Declarations!$B$21*R313*Declarations!$C$20+Declarations!$B$21*T313*Declarations!$C$21+Declarations!$B$21*U313*Declarations!$C$22+Declarations!$B$22*S313*Declarations!$C$20+Declarations!$B$22*U313*Declarations!$C$21+Declarations!$B$22*V313*Declarations!$C$22+0</f>
        <v>4.60691839453398</v>
      </c>
      <c r="S314" s="20" t="n">
        <f aca="false">Declarations!$B$20*Q313*Declarations!$D$20+Declarations!$B$20*R313*Declarations!$D$21+Declarations!$B$20*S313*Declarations!$D$22+Declarations!$B$21*R313*Declarations!$D$20+Declarations!$B$21*T313*Declarations!$D$21+Declarations!$B$21*U313*Declarations!$D$22+Declarations!$B$22*S313*Declarations!$D$20+Declarations!$B$22*U313*Declarations!$D$21+Declarations!$B$22*V313*Declarations!$D$22+0</f>
        <v>0.617283950617284</v>
      </c>
      <c r="T314" s="20" t="n">
        <f aca="false">Declarations!$C$20*Q313*Declarations!$C$20+Declarations!$C$20*R313*Declarations!$C$21+Declarations!$C$20*S313*Declarations!$C$22+Declarations!$C$21*R313*Declarations!$C$20+Declarations!$C$21*T313*Declarations!$C$21+Declarations!$C$21*U313*Declarations!$C$22+Declarations!$C$22*S313*Declarations!$C$20+Declarations!$C$22*U313*Declarations!$C$21+Declarations!$C$22*V313*Declarations!$C$22+1</f>
        <v>5.70253970138221</v>
      </c>
      <c r="U314" s="20" t="n">
        <f aca="false">Declarations!$C$20*Q313*Declarations!$D$20+Declarations!$C$20*R313*Declarations!$D$21+Declarations!$C$20*S313*Declarations!$D$22+Declarations!$C$21*R313*Declarations!$D$20+Declarations!$C$21*T313*Declarations!$D$21+Declarations!$C$21*U313*Declarations!$D$22+Declarations!$C$22*S313*Declarations!$D$20+Declarations!$C$22*U313*Declarations!$D$21+Declarations!$C$22*V313*Declarations!$D$22+0</f>
        <v>0.771604938271605</v>
      </c>
      <c r="V314" s="20" t="n">
        <f aca="false">Declarations!$D$20*Q313*Declarations!$D$20+Declarations!$D$20*R313*Declarations!$D$21+Declarations!$D$20*S313*Declarations!$D$22+Declarations!$D$21*R313*Declarations!$D$20+Declarations!$D$21*T313*Declarations!$D$21+Declarations!$D$21*U313*Declarations!$D$22+Declarations!$D$22*S313*Declarations!$D$20+Declarations!$D$22*U313*Declarations!$D$21+Declarations!$D$22*V313*Declarations!$D$22+1</f>
        <v>2.77777777777778</v>
      </c>
    </row>
    <row r="315" customFormat="false" ht="15" hidden="false" customHeight="false" outlineLevel="0" collapsed="false">
      <c r="A315" s="18" t="n">
        <v>306</v>
      </c>
      <c r="B315" s="20" t="n">
        <f aca="false">$B$4*B314*$B$4+$B$4*C314*$B$5+$B$5*C314*$B$4+$B$5*D314*$B$5+$E$4</f>
        <v>13.5714285714284</v>
      </c>
      <c r="C315" s="20" t="n">
        <f aca="false">$B$4*B314*$C$4+$B$4*C314*$C$5+$B$5*C314*$C$4+$B$5*D314*$C$5+$F$4</f>
        <v>-5.78571428571422</v>
      </c>
      <c r="D315" s="20" t="n">
        <f aca="false">$C$4*B314*$C$4+$C$4*C314*$C$5+$C$5*C314*$C$4+$C$5*D314*$C$5+$F$5</f>
        <v>11.992857142857</v>
      </c>
      <c r="P315" s="18" t="n">
        <v>306</v>
      </c>
      <c r="Q315" s="20" t="n">
        <f aca="false">Declarations!$B$20*Q314*Declarations!$B$20+Declarations!$B$20*R314*Declarations!$B$21+Declarations!$B$20*S314*Declarations!$B$22+Declarations!$B$21*R314*Declarations!$B$20+Declarations!$B$21*T314*Declarations!$B$21+Declarations!$B$21*U314*Declarations!$B$22+Declarations!$B$22*S314*Declarations!$B$20+Declarations!$B$22*U314*Declarations!$B$21+Declarations!$B$22*V314*Declarations!$B$22+1</f>
        <v>10.2972987232244</v>
      </c>
      <c r="R315" s="20" t="n">
        <f aca="false">Declarations!$B$20*Q314*Declarations!$C$20+Declarations!$B$20*R314*Declarations!$C$21+Declarations!$B$20*S314*Declarations!$C$22+Declarations!$B$21*R314*Declarations!$C$20+Declarations!$B$21*T314*Declarations!$C$21+Declarations!$B$21*U314*Declarations!$C$22+Declarations!$B$22*S314*Declarations!$C$20+Declarations!$B$22*U314*Declarations!$C$21+Declarations!$B$22*V314*Declarations!$C$22+0</f>
        <v>4.606918394534</v>
      </c>
      <c r="S315" s="20" t="n">
        <f aca="false">Declarations!$B$20*Q314*Declarations!$D$20+Declarations!$B$20*R314*Declarations!$D$21+Declarations!$B$20*S314*Declarations!$D$22+Declarations!$B$21*R314*Declarations!$D$20+Declarations!$B$21*T314*Declarations!$D$21+Declarations!$B$21*U314*Declarations!$D$22+Declarations!$B$22*S314*Declarations!$D$20+Declarations!$B$22*U314*Declarations!$D$21+Declarations!$B$22*V314*Declarations!$D$22+0</f>
        <v>0.617283950617284</v>
      </c>
      <c r="T315" s="20" t="n">
        <f aca="false">Declarations!$C$20*Q314*Declarations!$C$20+Declarations!$C$20*R314*Declarations!$C$21+Declarations!$C$20*S314*Declarations!$C$22+Declarations!$C$21*R314*Declarations!$C$20+Declarations!$C$21*T314*Declarations!$C$21+Declarations!$C$21*U314*Declarations!$C$22+Declarations!$C$22*S314*Declarations!$C$20+Declarations!$C$22*U314*Declarations!$C$21+Declarations!$C$22*V314*Declarations!$C$22+1</f>
        <v>5.70253970138222</v>
      </c>
      <c r="U315" s="20" t="n">
        <f aca="false">Declarations!$C$20*Q314*Declarations!$D$20+Declarations!$C$20*R314*Declarations!$D$21+Declarations!$C$20*S314*Declarations!$D$22+Declarations!$C$21*R314*Declarations!$D$20+Declarations!$C$21*T314*Declarations!$D$21+Declarations!$C$21*U314*Declarations!$D$22+Declarations!$C$22*S314*Declarations!$D$20+Declarations!$C$22*U314*Declarations!$D$21+Declarations!$C$22*V314*Declarations!$D$22+0</f>
        <v>0.771604938271605</v>
      </c>
      <c r="V315" s="20" t="n">
        <f aca="false">Declarations!$D$20*Q314*Declarations!$D$20+Declarations!$D$20*R314*Declarations!$D$21+Declarations!$D$20*S314*Declarations!$D$22+Declarations!$D$21*R314*Declarations!$D$20+Declarations!$D$21*T314*Declarations!$D$21+Declarations!$D$21*U314*Declarations!$D$22+Declarations!$D$22*S314*Declarations!$D$20+Declarations!$D$22*U314*Declarations!$D$21+Declarations!$D$22*V314*Declarations!$D$22+1</f>
        <v>2.77777777777778</v>
      </c>
    </row>
    <row r="316" customFormat="false" ht="15" hidden="false" customHeight="false" outlineLevel="0" collapsed="false">
      <c r="A316" s="18" t="n">
        <v>307</v>
      </c>
      <c r="B316" s="20" t="n">
        <f aca="false">$B$4*B315*$B$4+$B$4*C315*$B$5+$B$5*C315*$B$4+$B$5*D315*$B$5+$E$4</f>
        <v>13.5714285714285</v>
      </c>
      <c r="C316" s="20" t="n">
        <f aca="false">$B$4*B315*$C$4+$B$4*C315*$C$5+$B$5*C315*$C$4+$B$5*D315*$C$5+$F$4</f>
        <v>-5.78571428571423</v>
      </c>
      <c r="D316" s="20" t="n">
        <f aca="false">$C$4*B315*$C$4+$C$4*C315*$C$5+$C$5*C315*$C$4+$C$5*D315*$C$5+$F$5</f>
        <v>11.992857142857</v>
      </c>
      <c r="P316" s="18" t="n">
        <v>307</v>
      </c>
      <c r="Q316" s="20" t="n">
        <f aca="false">Declarations!$B$20*Q315*Declarations!$B$20+Declarations!$B$20*R315*Declarations!$B$21+Declarations!$B$20*S315*Declarations!$B$22+Declarations!$B$21*R315*Declarations!$B$20+Declarations!$B$21*T315*Declarations!$B$21+Declarations!$B$21*U315*Declarations!$B$22+Declarations!$B$22*S315*Declarations!$B$20+Declarations!$B$22*U315*Declarations!$B$21+Declarations!$B$22*V315*Declarations!$B$22+1</f>
        <v>10.2972987232244</v>
      </c>
      <c r="R316" s="20" t="n">
        <f aca="false">Declarations!$B$20*Q315*Declarations!$C$20+Declarations!$B$20*R315*Declarations!$C$21+Declarations!$B$20*S315*Declarations!$C$22+Declarations!$B$21*R315*Declarations!$C$20+Declarations!$B$21*T315*Declarations!$C$21+Declarations!$B$21*U315*Declarations!$C$22+Declarations!$B$22*S315*Declarations!$C$20+Declarations!$B$22*U315*Declarations!$C$21+Declarations!$B$22*V315*Declarations!$C$22+0</f>
        <v>4.60691839453401</v>
      </c>
      <c r="S316" s="20" t="n">
        <f aca="false">Declarations!$B$20*Q315*Declarations!$D$20+Declarations!$B$20*R315*Declarations!$D$21+Declarations!$B$20*S315*Declarations!$D$22+Declarations!$B$21*R315*Declarations!$D$20+Declarations!$B$21*T315*Declarations!$D$21+Declarations!$B$21*U315*Declarations!$D$22+Declarations!$B$22*S315*Declarations!$D$20+Declarations!$B$22*U315*Declarations!$D$21+Declarations!$B$22*V315*Declarations!$D$22+0</f>
        <v>0.617283950617284</v>
      </c>
      <c r="T316" s="20" t="n">
        <f aca="false">Declarations!$C$20*Q315*Declarations!$C$20+Declarations!$C$20*R315*Declarations!$C$21+Declarations!$C$20*S315*Declarations!$C$22+Declarations!$C$21*R315*Declarations!$C$20+Declarations!$C$21*T315*Declarations!$C$21+Declarations!$C$21*U315*Declarations!$C$22+Declarations!$C$22*S315*Declarations!$C$20+Declarations!$C$22*U315*Declarations!$C$21+Declarations!$C$22*V315*Declarations!$C$22+1</f>
        <v>5.70253970138223</v>
      </c>
      <c r="U316" s="20" t="n">
        <f aca="false">Declarations!$C$20*Q315*Declarations!$D$20+Declarations!$C$20*R315*Declarations!$D$21+Declarations!$C$20*S315*Declarations!$D$22+Declarations!$C$21*R315*Declarations!$D$20+Declarations!$C$21*T315*Declarations!$D$21+Declarations!$C$21*U315*Declarations!$D$22+Declarations!$C$22*S315*Declarations!$D$20+Declarations!$C$22*U315*Declarations!$D$21+Declarations!$C$22*V315*Declarations!$D$22+0</f>
        <v>0.771604938271605</v>
      </c>
      <c r="V316" s="20" t="n">
        <f aca="false">Declarations!$D$20*Q315*Declarations!$D$20+Declarations!$D$20*R315*Declarations!$D$21+Declarations!$D$20*S315*Declarations!$D$22+Declarations!$D$21*R315*Declarations!$D$20+Declarations!$D$21*T315*Declarations!$D$21+Declarations!$D$21*U315*Declarations!$D$22+Declarations!$D$22*S315*Declarations!$D$20+Declarations!$D$22*U315*Declarations!$D$21+Declarations!$D$22*V315*Declarations!$D$22+1</f>
        <v>2.77777777777778</v>
      </c>
    </row>
    <row r="317" customFormat="false" ht="15" hidden="false" customHeight="false" outlineLevel="0" collapsed="false">
      <c r="A317" s="18" t="n">
        <v>308</v>
      </c>
      <c r="B317" s="20" t="n">
        <f aca="false">$B$4*B316*$B$4+$B$4*C316*$B$5+$B$5*C316*$B$4+$B$5*D316*$B$5+$E$4</f>
        <v>13.5714285714285</v>
      </c>
      <c r="C317" s="20" t="n">
        <f aca="false">$B$4*B316*$C$4+$B$4*C316*$C$5+$B$5*C316*$C$4+$B$5*D316*$C$5+$F$4</f>
        <v>-5.78571428571424</v>
      </c>
      <c r="D317" s="20" t="n">
        <f aca="false">$C$4*B316*$C$4+$C$4*C316*$C$5+$C$5*C316*$C$4+$C$5*D316*$C$5+$F$5</f>
        <v>11.992857142857</v>
      </c>
      <c r="P317" s="18" t="n">
        <v>308</v>
      </c>
      <c r="Q317" s="20" t="n">
        <f aca="false">Declarations!$B$20*Q316*Declarations!$B$20+Declarations!$B$20*R316*Declarations!$B$21+Declarations!$B$20*S316*Declarations!$B$22+Declarations!$B$21*R316*Declarations!$B$20+Declarations!$B$21*T316*Declarations!$B$21+Declarations!$B$21*U316*Declarations!$B$22+Declarations!$B$22*S316*Declarations!$B$20+Declarations!$B$22*U316*Declarations!$B$21+Declarations!$B$22*V316*Declarations!$B$22+1</f>
        <v>10.2972987232244</v>
      </c>
      <c r="R317" s="20" t="n">
        <f aca="false">Declarations!$B$20*Q316*Declarations!$C$20+Declarations!$B$20*R316*Declarations!$C$21+Declarations!$B$20*S316*Declarations!$C$22+Declarations!$B$21*R316*Declarations!$C$20+Declarations!$B$21*T316*Declarations!$C$21+Declarations!$B$21*U316*Declarations!$C$22+Declarations!$B$22*S316*Declarations!$C$20+Declarations!$B$22*U316*Declarations!$C$21+Declarations!$B$22*V316*Declarations!$C$22+0</f>
        <v>4.60691839453403</v>
      </c>
      <c r="S317" s="20" t="n">
        <f aca="false">Declarations!$B$20*Q316*Declarations!$D$20+Declarations!$B$20*R316*Declarations!$D$21+Declarations!$B$20*S316*Declarations!$D$22+Declarations!$B$21*R316*Declarations!$D$20+Declarations!$B$21*T316*Declarations!$D$21+Declarations!$B$21*U316*Declarations!$D$22+Declarations!$B$22*S316*Declarations!$D$20+Declarations!$B$22*U316*Declarations!$D$21+Declarations!$B$22*V316*Declarations!$D$22+0</f>
        <v>0.617283950617284</v>
      </c>
      <c r="T317" s="20" t="n">
        <f aca="false">Declarations!$C$20*Q316*Declarations!$C$20+Declarations!$C$20*R316*Declarations!$C$21+Declarations!$C$20*S316*Declarations!$C$22+Declarations!$C$21*R316*Declarations!$C$20+Declarations!$C$21*T316*Declarations!$C$21+Declarations!$C$21*U316*Declarations!$C$22+Declarations!$C$22*S316*Declarations!$C$20+Declarations!$C$22*U316*Declarations!$C$21+Declarations!$C$22*V316*Declarations!$C$22+1</f>
        <v>5.70253970138223</v>
      </c>
      <c r="U317" s="20" t="n">
        <f aca="false">Declarations!$C$20*Q316*Declarations!$D$20+Declarations!$C$20*R316*Declarations!$D$21+Declarations!$C$20*S316*Declarations!$D$22+Declarations!$C$21*R316*Declarations!$D$20+Declarations!$C$21*T316*Declarations!$D$21+Declarations!$C$21*U316*Declarations!$D$22+Declarations!$C$22*S316*Declarations!$D$20+Declarations!$C$22*U316*Declarations!$D$21+Declarations!$C$22*V316*Declarations!$D$22+0</f>
        <v>0.771604938271605</v>
      </c>
      <c r="V317" s="20" t="n">
        <f aca="false">Declarations!$D$20*Q316*Declarations!$D$20+Declarations!$D$20*R316*Declarations!$D$21+Declarations!$D$20*S316*Declarations!$D$22+Declarations!$D$21*R316*Declarations!$D$20+Declarations!$D$21*T316*Declarations!$D$21+Declarations!$D$21*U316*Declarations!$D$22+Declarations!$D$22*S316*Declarations!$D$20+Declarations!$D$22*U316*Declarations!$D$21+Declarations!$D$22*V316*Declarations!$D$22+1</f>
        <v>2.77777777777778</v>
      </c>
    </row>
    <row r="318" customFormat="false" ht="15" hidden="false" customHeight="false" outlineLevel="0" collapsed="false">
      <c r="A318" s="18" t="n">
        <v>309</v>
      </c>
      <c r="B318" s="20" t="n">
        <f aca="false">$B$4*B317*$B$4+$B$4*C317*$B$5+$B$5*C317*$B$4+$B$5*D317*$B$5+$E$4</f>
        <v>13.5714285714285</v>
      </c>
      <c r="C318" s="20" t="n">
        <f aca="false">$B$4*B317*$C$4+$B$4*C317*$C$5+$B$5*C317*$C$4+$B$5*D317*$C$5+$F$4</f>
        <v>-5.78571428571424</v>
      </c>
      <c r="D318" s="20" t="n">
        <f aca="false">$C$4*B317*$C$4+$C$4*C317*$C$5+$C$5*C317*$C$4+$C$5*D317*$C$5+$F$5</f>
        <v>11.9928571428571</v>
      </c>
      <c r="P318" s="18" t="n">
        <v>309</v>
      </c>
      <c r="Q318" s="20" t="n">
        <f aca="false">Declarations!$B$20*Q317*Declarations!$B$20+Declarations!$B$20*R317*Declarations!$B$21+Declarations!$B$20*S317*Declarations!$B$22+Declarations!$B$21*R317*Declarations!$B$20+Declarations!$B$21*T317*Declarations!$B$21+Declarations!$B$21*U317*Declarations!$B$22+Declarations!$B$22*S317*Declarations!$B$20+Declarations!$B$22*U317*Declarations!$B$21+Declarations!$B$22*V317*Declarations!$B$22+1</f>
        <v>10.2972987232244</v>
      </c>
      <c r="R318" s="20" t="n">
        <f aca="false">Declarations!$B$20*Q317*Declarations!$C$20+Declarations!$B$20*R317*Declarations!$C$21+Declarations!$B$20*S317*Declarations!$C$22+Declarations!$B$21*R317*Declarations!$C$20+Declarations!$B$21*T317*Declarations!$C$21+Declarations!$B$21*U317*Declarations!$C$22+Declarations!$B$22*S317*Declarations!$C$20+Declarations!$B$22*U317*Declarations!$C$21+Declarations!$B$22*V317*Declarations!$C$22+0</f>
        <v>4.60691839453404</v>
      </c>
      <c r="S318" s="20" t="n">
        <f aca="false">Declarations!$B$20*Q317*Declarations!$D$20+Declarations!$B$20*R317*Declarations!$D$21+Declarations!$B$20*S317*Declarations!$D$22+Declarations!$B$21*R317*Declarations!$D$20+Declarations!$B$21*T317*Declarations!$D$21+Declarations!$B$21*U317*Declarations!$D$22+Declarations!$B$22*S317*Declarations!$D$20+Declarations!$B$22*U317*Declarations!$D$21+Declarations!$B$22*V317*Declarations!$D$22+0</f>
        <v>0.617283950617284</v>
      </c>
      <c r="T318" s="20" t="n">
        <f aca="false">Declarations!$C$20*Q317*Declarations!$C$20+Declarations!$C$20*R317*Declarations!$C$21+Declarations!$C$20*S317*Declarations!$C$22+Declarations!$C$21*R317*Declarations!$C$20+Declarations!$C$21*T317*Declarations!$C$21+Declarations!$C$21*U317*Declarations!$C$22+Declarations!$C$22*S317*Declarations!$C$20+Declarations!$C$22*U317*Declarations!$C$21+Declarations!$C$22*V317*Declarations!$C$22+1</f>
        <v>5.70253970138224</v>
      </c>
      <c r="U318" s="20" t="n">
        <f aca="false">Declarations!$C$20*Q317*Declarations!$D$20+Declarations!$C$20*R317*Declarations!$D$21+Declarations!$C$20*S317*Declarations!$D$22+Declarations!$C$21*R317*Declarations!$D$20+Declarations!$C$21*T317*Declarations!$D$21+Declarations!$C$21*U317*Declarations!$D$22+Declarations!$C$22*S317*Declarations!$D$20+Declarations!$C$22*U317*Declarations!$D$21+Declarations!$C$22*V317*Declarations!$D$22+0</f>
        <v>0.771604938271605</v>
      </c>
      <c r="V318" s="20" t="n">
        <f aca="false">Declarations!$D$20*Q317*Declarations!$D$20+Declarations!$D$20*R317*Declarations!$D$21+Declarations!$D$20*S317*Declarations!$D$22+Declarations!$D$21*R317*Declarations!$D$20+Declarations!$D$21*T317*Declarations!$D$21+Declarations!$D$21*U317*Declarations!$D$22+Declarations!$D$22*S317*Declarations!$D$20+Declarations!$D$22*U317*Declarations!$D$21+Declarations!$D$22*V317*Declarations!$D$22+1</f>
        <v>2.77777777777778</v>
      </c>
    </row>
    <row r="319" customFormat="false" ht="15" hidden="false" customHeight="false" outlineLevel="0" collapsed="false">
      <c r="A319" s="18" t="n">
        <v>310</v>
      </c>
      <c r="B319" s="20" t="n">
        <f aca="false">$B$4*B318*$B$4+$B$4*C318*$B$5+$B$5*C318*$B$4+$B$5*D318*$B$5+$E$4</f>
        <v>13.5714285714285</v>
      </c>
      <c r="C319" s="20" t="n">
        <f aca="false">$B$4*B318*$C$4+$B$4*C318*$C$5+$B$5*C318*$C$4+$B$5*D318*$C$5+$F$4</f>
        <v>-5.78571428571425</v>
      </c>
      <c r="D319" s="20" t="n">
        <f aca="false">$C$4*B318*$C$4+$C$4*C318*$C$5+$C$5*C318*$C$4+$C$5*D318*$C$5+$F$5</f>
        <v>11.9928571428571</v>
      </c>
      <c r="P319" s="18" t="n">
        <v>310</v>
      </c>
      <c r="Q319" s="20" t="n">
        <f aca="false">Declarations!$B$20*Q318*Declarations!$B$20+Declarations!$B$20*R318*Declarations!$B$21+Declarations!$B$20*S318*Declarations!$B$22+Declarations!$B$21*R318*Declarations!$B$20+Declarations!$B$21*T318*Declarations!$B$21+Declarations!$B$21*U318*Declarations!$B$22+Declarations!$B$22*S318*Declarations!$B$20+Declarations!$B$22*U318*Declarations!$B$21+Declarations!$B$22*V318*Declarations!$B$22+1</f>
        <v>10.2972987232245</v>
      </c>
      <c r="R319" s="20" t="n">
        <f aca="false">Declarations!$B$20*Q318*Declarations!$C$20+Declarations!$B$20*R318*Declarations!$C$21+Declarations!$B$20*S318*Declarations!$C$22+Declarations!$B$21*R318*Declarations!$C$20+Declarations!$B$21*T318*Declarations!$C$21+Declarations!$B$21*U318*Declarations!$C$22+Declarations!$B$22*S318*Declarations!$C$20+Declarations!$B$22*U318*Declarations!$C$21+Declarations!$B$22*V318*Declarations!$C$22+0</f>
        <v>4.60691839453405</v>
      </c>
      <c r="S319" s="20" t="n">
        <f aca="false">Declarations!$B$20*Q318*Declarations!$D$20+Declarations!$B$20*R318*Declarations!$D$21+Declarations!$B$20*S318*Declarations!$D$22+Declarations!$B$21*R318*Declarations!$D$20+Declarations!$B$21*T318*Declarations!$D$21+Declarations!$B$21*U318*Declarations!$D$22+Declarations!$B$22*S318*Declarations!$D$20+Declarations!$B$22*U318*Declarations!$D$21+Declarations!$B$22*V318*Declarations!$D$22+0</f>
        <v>0.617283950617284</v>
      </c>
      <c r="T319" s="20" t="n">
        <f aca="false">Declarations!$C$20*Q318*Declarations!$C$20+Declarations!$C$20*R318*Declarations!$C$21+Declarations!$C$20*S318*Declarations!$C$22+Declarations!$C$21*R318*Declarations!$C$20+Declarations!$C$21*T318*Declarations!$C$21+Declarations!$C$21*U318*Declarations!$C$22+Declarations!$C$22*S318*Declarations!$C$20+Declarations!$C$22*U318*Declarations!$C$21+Declarations!$C$22*V318*Declarations!$C$22+1</f>
        <v>5.70253970138225</v>
      </c>
      <c r="U319" s="20" t="n">
        <f aca="false">Declarations!$C$20*Q318*Declarations!$D$20+Declarations!$C$20*R318*Declarations!$D$21+Declarations!$C$20*S318*Declarations!$D$22+Declarations!$C$21*R318*Declarations!$D$20+Declarations!$C$21*T318*Declarations!$D$21+Declarations!$C$21*U318*Declarations!$D$22+Declarations!$C$22*S318*Declarations!$D$20+Declarations!$C$22*U318*Declarations!$D$21+Declarations!$C$22*V318*Declarations!$D$22+0</f>
        <v>0.771604938271605</v>
      </c>
      <c r="V319" s="20" t="n">
        <f aca="false">Declarations!$D$20*Q318*Declarations!$D$20+Declarations!$D$20*R318*Declarations!$D$21+Declarations!$D$20*S318*Declarations!$D$22+Declarations!$D$21*R318*Declarations!$D$20+Declarations!$D$21*T318*Declarations!$D$21+Declarations!$D$21*U318*Declarations!$D$22+Declarations!$D$22*S318*Declarations!$D$20+Declarations!$D$22*U318*Declarations!$D$21+Declarations!$D$22*V318*Declarations!$D$22+1</f>
        <v>2.77777777777778</v>
      </c>
    </row>
    <row r="320" customFormat="false" ht="15" hidden="false" customHeight="false" outlineLevel="0" collapsed="false">
      <c r="A320" s="18" t="n">
        <v>311</v>
      </c>
      <c r="B320" s="20" t="n">
        <f aca="false">$B$4*B319*$B$4+$B$4*C319*$B$5+$B$5*C319*$B$4+$B$5*D319*$B$5+$E$4</f>
        <v>13.5714285714285</v>
      </c>
      <c r="C320" s="20" t="n">
        <f aca="false">$B$4*B319*$C$4+$B$4*C319*$C$5+$B$5*C319*$C$4+$B$5*D319*$C$5+$F$4</f>
        <v>-5.78571428571425</v>
      </c>
      <c r="D320" s="20" t="n">
        <f aca="false">$C$4*B319*$C$4+$C$4*C319*$C$5+$C$5*C319*$C$4+$C$5*D319*$C$5+$F$5</f>
        <v>11.9928571428571</v>
      </c>
      <c r="P320" s="18" t="n">
        <v>311</v>
      </c>
      <c r="Q320" s="20" t="n">
        <f aca="false">Declarations!$B$20*Q319*Declarations!$B$20+Declarations!$B$20*R319*Declarations!$B$21+Declarations!$B$20*S319*Declarations!$B$22+Declarations!$B$21*R319*Declarations!$B$20+Declarations!$B$21*T319*Declarations!$B$21+Declarations!$B$21*U319*Declarations!$B$22+Declarations!$B$22*S319*Declarations!$B$20+Declarations!$B$22*U319*Declarations!$B$21+Declarations!$B$22*V319*Declarations!$B$22+1</f>
        <v>10.2972987232245</v>
      </c>
      <c r="R320" s="20" t="n">
        <f aca="false">Declarations!$B$20*Q319*Declarations!$C$20+Declarations!$B$20*R319*Declarations!$C$21+Declarations!$B$20*S319*Declarations!$C$22+Declarations!$B$21*R319*Declarations!$C$20+Declarations!$B$21*T319*Declarations!$C$21+Declarations!$B$21*U319*Declarations!$C$22+Declarations!$B$22*S319*Declarations!$C$20+Declarations!$B$22*U319*Declarations!$C$21+Declarations!$B$22*V319*Declarations!$C$22+0</f>
        <v>4.60691839453406</v>
      </c>
      <c r="S320" s="20" t="n">
        <f aca="false">Declarations!$B$20*Q319*Declarations!$D$20+Declarations!$B$20*R319*Declarations!$D$21+Declarations!$B$20*S319*Declarations!$D$22+Declarations!$B$21*R319*Declarations!$D$20+Declarations!$B$21*T319*Declarations!$D$21+Declarations!$B$21*U319*Declarations!$D$22+Declarations!$B$22*S319*Declarations!$D$20+Declarations!$B$22*U319*Declarations!$D$21+Declarations!$B$22*V319*Declarations!$D$22+0</f>
        <v>0.617283950617284</v>
      </c>
      <c r="T320" s="20" t="n">
        <f aca="false">Declarations!$C$20*Q319*Declarations!$C$20+Declarations!$C$20*R319*Declarations!$C$21+Declarations!$C$20*S319*Declarations!$C$22+Declarations!$C$21*R319*Declarations!$C$20+Declarations!$C$21*T319*Declarations!$C$21+Declarations!$C$21*U319*Declarations!$C$22+Declarations!$C$22*S319*Declarations!$C$20+Declarations!$C$22*U319*Declarations!$C$21+Declarations!$C$22*V319*Declarations!$C$22+1</f>
        <v>5.70253970138225</v>
      </c>
      <c r="U320" s="20" t="n">
        <f aca="false">Declarations!$C$20*Q319*Declarations!$D$20+Declarations!$C$20*R319*Declarations!$D$21+Declarations!$C$20*S319*Declarations!$D$22+Declarations!$C$21*R319*Declarations!$D$20+Declarations!$C$21*T319*Declarations!$D$21+Declarations!$C$21*U319*Declarations!$D$22+Declarations!$C$22*S319*Declarations!$D$20+Declarations!$C$22*U319*Declarations!$D$21+Declarations!$C$22*V319*Declarations!$D$22+0</f>
        <v>0.771604938271605</v>
      </c>
      <c r="V320" s="20" t="n">
        <f aca="false">Declarations!$D$20*Q319*Declarations!$D$20+Declarations!$D$20*R319*Declarations!$D$21+Declarations!$D$20*S319*Declarations!$D$22+Declarations!$D$21*R319*Declarations!$D$20+Declarations!$D$21*T319*Declarations!$D$21+Declarations!$D$21*U319*Declarations!$D$22+Declarations!$D$22*S319*Declarations!$D$20+Declarations!$D$22*U319*Declarations!$D$21+Declarations!$D$22*V319*Declarations!$D$22+1</f>
        <v>2.77777777777778</v>
      </c>
    </row>
    <row r="321" customFormat="false" ht="15" hidden="false" customHeight="false" outlineLevel="0" collapsed="false">
      <c r="A321" s="18" t="n">
        <v>312</v>
      </c>
      <c r="B321" s="20" t="n">
        <f aca="false">$B$4*B320*$B$4+$B$4*C320*$B$5+$B$5*C320*$B$4+$B$5*D320*$B$5+$E$4</f>
        <v>13.5714285714285</v>
      </c>
      <c r="C321" s="20" t="n">
        <f aca="false">$B$4*B320*$C$4+$B$4*C320*$C$5+$B$5*C320*$C$4+$B$5*D320*$C$5+$F$4</f>
        <v>-5.78571428571425</v>
      </c>
      <c r="D321" s="20" t="n">
        <f aca="false">$C$4*B320*$C$4+$C$4*C320*$C$5+$C$5*C320*$C$4+$C$5*D320*$C$5+$F$5</f>
        <v>11.9928571428571</v>
      </c>
      <c r="P321" s="18" t="n">
        <v>312</v>
      </c>
      <c r="Q321" s="20" t="n">
        <f aca="false">Declarations!$B$20*Q320*Declarations!$B$20+Declarations!$B$20*R320*Declarations!$B$21+Declarations!$B$20*S320*Declarations!$B$22+Declarations!$B$21*R320*Declarations!$B$20+Declarations!$B$21*T320*Declarations!$B$21+Declarations!$B$21*U320*Declarations!$B$22+Declarations!$B$22*S320*Declarations!$B$20+Declarations!$B$22*U320*Declarations!$B$21+Declarations!$B$22*V320*Declarations!$B$22+1</f>
        <v>10.2972987232245</v>
      </c>
      <c r="R321" s="20" t="n">
        <f aca="false">Declarations!$B$20*Q320*Declarations!$C$20+Declarations!$B$20*R320*Declarations!$C$21+Declarations!$B$20*S320*Declarations!$C$22+Declarations!$B$21*R320*Declarations!$C$20+Declarations!$B$21*T320*Declarations!$C$21+Declarations!$B$21*U320*Declarations!$C$22+Declarations!$B$22*S320*Declarations!$C$20+Declarations!$B$22*U320*Declarations!$C$21+Declarations!$B$22*V320*Declarations!$C$22+0</f>
        <v>4.60691839453407</v>
      </c>
      <c r="S321" s="20" t="n">
        <f aca="false">Declarations!$B$20*Q320*Declarations!$D$20+Declarations!$B$20*R320*Declarations!$D$21+Declarations!$B$20*S320*Declarations!$D$22+Declarations!$B$21*R320*Declarations!$D$20+Declarations!$B$21*T320*Declarations!$D$21+Declarations!$B$21*U320*Declarations!$D$22+Declarations!$B$22*S320*Declarations!$D$20+Declarations!$B$22*U320*Declarations!$D$21+Declarations!$B$22*V320*Declarations!$D$22+0</f>
        <v>0.617283950617284</v>
      </c>
      <c r="T321" s="20" t="n">
        <f aca="false">Declarations!$C$20*Q320*Declarations!$C$20+Declarations!$C$20*R320*Declarations!$C$21+Declarations!$C$20*S320*Declarations!$C$22+Declarations!$C$21*R320*Declarations!$C$20+Declarations!$C$21*T320*Declarations!$C$21+Declarations!$C$21*U320*Declarations!$C$22+Declarations!$C$22*S320*Declarations!$C$20+Declarations!$C$22*U320*Declarations!$C$21+Declarations!$C$22*V320*Declarations!$C$22+1</f>
        <v>5.70253970138226</v>
      </c>
      <c r="U321" s="20" t="n">
        <f aca="false">Declarations!$C$20*Q320*Declarations!$D$20+Declarations!$C$20*R320*Declarations!$D$21+Declarations!$C$20*S320*Declarations!$D$22+Declarations!$C$21*R320*Declarations!$D$20+Declarations!$C$21*T320*Declarations!$D$21+Declarations!$C$21*U320*Declarations!$D$22+Declarations!$C$22*S320*Declarations!$D$20+Declarations!$C$22*U320*Declarations!$D$21+Declarations!$C$22*V320*Declarations!$D$22+0</f>
        <v>0.771604938271605</v>
      </c>
      <c r="V321" s="20" t="n">
        <f aca="false">Declarations!$D$20*Q320*Declarations!$D$20+Declarations!$D$20*R320*Declarations!$D$21+Declarations!$D$20*S320*Declarations!$D$22+Declarations!$D$21*R320*Declarations!$D$20+Declarations!$D$21*T320*Declarations!$D$21+Declarations!$D$21*U320*Declarations!$D$22+Declarations!$D$22*S320*Declarations!$D$20+Declarations!$D$22*U320*Declarations!$D$21+Declarations!$D$22*V320*Declarations!$D$22+1</f>
        <v>2.77777777777778</v>
      </c>
    </row>
    <row r="322" customFormat="false" ht="15" hidden="false" customHeight="false" outlineLevel="0" collapsed="false">
      <c r="A322" s="18" t="n">
        <v>313</v>
      </c>
      <c r="B322" s="20" t="n">
        <f aca="false">$B$4*B321*$B$4+$B$4*C321*$B$5+$B$5*C321*$B$4+$B$5*D321*$B$5+$E$4</f>
        <v>13.5714285714285</v>
      </c>
      <c r="C322" s="20" t="n">
        <f aca="false">$B$4*B321*$C$4+$B$4*C321*$C$5+$B$5*C321*$C$4+$B$5*D321*$C$5+$F$4</f>
        <v>-5.78571428571425</v>
      </c>
      <c r="D322" s="20" t="n">
        <f aca="false">$C$4*B321*$C$4+$C$4*C321*$C$5+$C$5*C321*$C$4+$C$5*D321*$C$5+$F$5</f>
        <v>11.9928571428571</v>
      </c>
      <c r="P322" s="18" t="n">
        <v>313</v>
      </c>
      <c r="Q322" s="20" t="n">
        <f aca="false">Declarations!$B$20*Q321*Declarations!$B$20+Declarations!$B$20*R321*Declarations!$B$21+Declarations!$B$20*S321*Declarations!$B$22+Declarations!$B$21*R321*Declarations!$B$20+Declarations!$B$21*T321*Declarations!$B$21+Declarations!$B$21*U321*Declarations!$B$22+Declarations!$B$22*S321*Declarations!$B$20+Declarations!$B$22*U321*Declarations!$B$21+Declarations!$B$22*V321*Declarations!$B$22+1</f>
        <v>10.2972987232245</v>
      </c>
      <c r="R322" s="20" t="n">
        <f aca="false">Declarations!$B$20*Q321*Declarations!$C$20+Declarations!$B$20*R321*Declarations!$C$21+Declarations!$B$20*S321*Declarations!$C$22+Declarations!$B$21*R321*Declarations!$C$20+Declarations!$B$21*T321*Declarations!$C$21+Declarations!$B$21*U321*Declarations!$C$22+Declarations!$B$22*S321*Declarations!$C$20+Declarations!$B$22*U321*Declarations!$C$21+Declarations!$B$22*V321*Declarations!$C$22+0</f>
        <v>4.60691839453407</v>
      </c>
      <c r="S322" s="20" t="n">
        <f aca="false">Declarations!$B$20*Q321*Declarations!$D$20+Declarations!$B$20*R321*Declarations!$D$21+Declarations!$B$20*S321*Declarations!$D$22+Declarations!$B$21*R321*Declarations!$D$20+Declarations!$B$21*T321*Declarations!$D$21+Declarations!$B$21*U321*Declarations!$D$22+Declarations!$B$22*S321*Declarations!$D$20+Declarations!$B$22*U321*Declarations!$D$21+Declarations!$B$22*V321*Declarations!$D$22+0</f>
        <v>0.617283950617284</v>
      </c>
      <c r="T322" s="20" t="n">
        <f aca="false">Declarations!$C$20*Q321*Declarations!$C$20+Declarations!$C$20*R321*Declarations!$C$21+Declarations!$C$20*S321*Declarations!$C$22+Declarations!$C$21*R321*Declarations!$C$20+Declarations!$C$21*T321*Declarations!$C$21+Declarations!$C$21*U321*Declarations!$C$22+Declarations!$C$22*S321*Declarations!$C$20+Declarations!$C$22*U321*Declarations!$C$21+Declarations!$C$22*V321*Declarations!$C$22+1</f>
        <v>5.70253970138226</v>
      </c>
      <c r="U322" s="20" t="n">
        <f aca="false">Declarations!$C$20*Q321*Declarations!$D$20+Declarations!$C$20*R321*Declarations!$D$21+Declarations!$C$20*S321*Declarations!$D$22+Declarations!$C$21*R321*Declarations!$D$20+Declarations!$C$21*T321*Declarations!$D$21+Declarations!$C$21*U321*Declarations!$D$22+Declarations!$C$22*S321*Declarations!$D$20+Declarations!$C$22*U321*Declarations!$D$21+Declarations!$C$22*V321*Declarations!$D$22+0</f>
        <v>0.771604938271605</v>
      </c>
      <c r="V322" s="20" t="n">
        <f aca="false">Declarations!$D$20*Q321*Declarations!$D$20+Declarations!$D$20*R321*Declarations!$D$21+Declarations!$D$20*S321*Declarations!$D$22+Declarations!$D$21*R321*Declarations!$D$20+Declarations!$D$21*T321*Declarations!$D$21+Declarations!$D$21*U321*Declarations!$D$22+Declarations!$D$22*S321*Declarations!$D$20+Declarations!$D$22*U321*Declarations!$D$21+Declarations!$D$22*V321*Declarations!$D$22+1</f>
        <v>2.77777777777778</v>
      </c>
    </row>
    <row r="323" customFormat="false" ht="15" hidden="false" customHeight="false" outlineLevel="0" collapsed="false">
      <c r="A323" s="18" t="n">
        <v>314</v>
      </c>
      <c r="B323" s="20" t="n">
        <f aca="false">$B$4*B322*$B$4+$B$4*C322*$B$5+$B$5*C322*$B$4+$B$5*D322*$B$5+$E$4</f>
        <v>13.5714285714285</v>
      </c>
      <c r="C323" s="20" t="n">
        <f aca="false">$B$4*B322*$C$4+$B$4*C322*$C$5+$B$5*C322*$C$4+$B$5*D322*$C$5+$F$4</f>
        <v>-5.78571428571426</v>
      </c>
      <c r="D323" s="20" t="n">
        <f aca="false">$C$4*B322*$C$4+$C$4*C322*$C$5+$C$5*C322*$C$4+$C$5*D322*$C$5+$F$5</f>
        <v>11.9928571428571</v>
      </c>
      <c r="P323" s="18" t="n">
        <v>314</v>
      </c>
      <c r="Q323" s="20" t="n">
        <f aca="false">Declarations!$B$20*Q322*Declarations!$B$20+Declarations!$B$20*R322*Declarations!$B$21+Declarations!$B$20*S322*Declarations!$B$22+Declarations!$B$21*R322*Declarations!$B$20+Declarations!$B$21*T322*Declarations!$B$21+Declarations!$B$21*U322*Declarations!$B$22+Declarations!$B$22*S322*Declarations!$B$20+Declarations!$B$22*U322*Declarations!$B$21+Declarations!$B$22*V322*Declarations!$B$22+1</f>
        <v>10.2972987232245</v>
      </c>
      <c r="R323" s="20" t="n">
        <f aca="false">Declarations!$B$20*Q322*Declarations!$C$20+Declarations!$B$20*R322*Declarations!$C$21+Declarations!$B$20*S322*Declarations!$C$22+Declarations!$B$21*R322*Declarations!$C$20+Declarations!$B$21*T322*Declarations!$C$21+Declarations!$B$21*U322*Declarations!$C$22+Declarations!$B$22*S322*Declarations!$C$20+Declarations!$B$22*U322*Declarations!$C$21+Declarations!$B$22*V322*Declarations!$C$22+0</f>
        <v>4.60691839453408</v>
      </c>
      <c r="S323" s="20" t="n">
        <f aca="false">Declarations!$B$20*Q322*Declarations!$D$20+Declarations!$B$20*R322*Declarations!$D$21+Declarations!$B$20*S322*Declarations!$D$22+Declarations!$B$21*R322*Declarations!$D$20+Declarations!$B$21*T322*Declarations!$D$21+Declarations!$B$21*U322*Declarations!$D$22+Declarations!$B$22*S322*Declarations!$D$20+Declarations!$B$22*U322*Declarations!$D$21+Declarations!$B$22*V322*Declarations!$D$22+0</f>
        <v>0.617283950617284</v>
      </c>
      <c r="T323" s="20" t="n">
        <f aca="false">Declarations!$C$20*Q322*Declarations!$C$20+Declarations!$C$20*R322*Declarations!$C$21+Declarations!$C$20*S322*Declarations!$C$22+Declarations!$C$21*R322*Declarations!$C$20+Declarations!$C$21*T322*Declarations!$C$21+Declarations!$C$21*U322*Declarations!$C$22+Declarations!$C$22*S322*Declarations!$C$20+Declarations!$C$22*U322*Declarations!$C$21+Declarations!$C$22*V322*Declarations!$C$22+1</f>
        <v>5.70253970138226</v>
      </c>
      <c r="U323" s="20" t="n">
        <f aca="false">Declarations!$C$20*Q322*Declarations!$D$20+Declarations!$C$20*R322*Declarations!$D$21+Declarations!$C$20*S322*Declarations!$D$22+Declarations!$C$21*R322*Declarations!$D$20+Declarations!$C$21*T322*Declarations!$D$21+Declarations!$C$21*U322*Declarations!$D$22+Declarations!$C$22*S322*Declarations!$D$20+Declarations!$C$22*U322*Declarations!$D$21+Declarations!$C$22*V322*Declarations!$D$22+0</f>
        <v>0.771604938271605</v>
      </c>
      <c r="V323" s="20" t="n">
        <f aca="false">Declarations!$D$20*Q322*Declarations!$D$20+Declarations!$D$20*R322*Declarations!$D$21+Declarations!$D$20*S322*Declarations!$D$22+Declarations!$D$21*R322*Declarations!$D$20+Declarations!$D$21*T322*Declarations!$D$21+Declarations!$D$21*U322*Declarations!$D$22+Declarations!$D$22*S322*Declarations!$D$20+Declarations!$D$22*U322*Declarations!$D$21+Declarations!$D$22*V322*Declarations!$D$22+1</f>
        <v>2.77777777777778</v>
      </c>
    </row>
    <row r="324" customFormat="false" ht="15" hidden="false" customHeight="false" outlineLevel="0" collapsed="false">
      <c r="A324" s="18" t="n">
        <v>315</v>
      </c>
      <c r="B324" s="20" t="n">
        <f aca="false">$B$4*B323*$B$4+$B$4*C323*$B$5+$B$5*C323*$B$4+$B$5*D323*$B$5+$E$4</f>
        <v>13.5714285714285</v>
      </c>
      <c r="C324" s="20" t="n">
        <f aca="false">$B$4*B323*$C$4+$B$4*C323*$C$5+$B$5*C323*$C$4+$B$5*D323*$C$5+$F$4</f>
        <v>-5.78571428571426</v>
      </c>
      <c r="D324" s="20" t="n">
        <f aca="false">$C$4*B323*$C$4+$C$4*C323*$C$5+$C$5*C323*$C$4+$C$5*D323*$C$5+$F$5</f>
        <v>11.9928571428571</v>
      </c>
      <c r="P324" s="18" t="n">
        <v>315</v>
      </c>
      <c r="Q324" s="20" t="n">
        <f aca="false">Declarations!$B$20*Q323*Declarations!$B$20+Declarations!$B$20*R323*Declarations!$B$21+Declarations!$B$20*S323*Declarations!$B$22+Declarations!$B$21*R323*Declarations!$B$20+Declarations!$B$21*T323*Declarations!$B$21+Declarations!$B$21*U323*Declarations!$B$22+Declarations!$B$22*S323*Declarations!$B$20+Declarations!$B$22*U323*Declarations!$B$21+Declarations!$B$22*V323*Declarations!$B$22+1</f>
        <v>10.2972987232245</v>
      </c>
      <c r="R324" s="20" t="n">
        <f aca="false">Declarations!$B$20*Q323*Declarations!$C$20+Declarations!$B$20*R323*Declarations!$C$21+Declarations!$B$20*S323*Declarations!$C$22+Declarations!$B$21*R323*Declarations!$C$20+Declarations!$B$21*T323*Declarations!$C$21+Declarations!$B$21*U323*Declarations!$C$22+Declarations!$B$22*S323*Declarations!$C$20+Declarations!$B$22*U323*Declarations!$C$21+Declarations!$B$22*V323*Declarations!$C$22+0</f>
        <v>4.60691839453409</v>
      </c>
      <c r="S324" s="20" t="n">
        <f aca="false">Declarations!$B$20*Q323*Declarations!$D$20+Declarations!$B$20*R323*Declarations!$D$21+Declarations!$B$20*S323*Declarations!$D$22+Declarations!$B$21*R323*Declarations!$D$20+Declarations!$B$21*T323*Declarations!$D$21+Declarations!$B$21*U323*Declarations!$D$22+Declarations!$B$22*S323*Declarations!$D$20+Declarations!$B$22*U323*Declarations!$D$21+Declarations!$B$22*V323*Declarations!$D$22+0</f>
        <v>0.617283950617284</v>
      </c>
      <c r="T324" s="20" t="n">
        <f aca="false">Declarations!$C$20*Q323*Declarations!$C$20+Declarations!$C$20*R323*Declarations!$C$21+Declarations!$C$20*S323*Declarations!$C$22+Declarations!$C$21*R323*Declarations!$C$20+Declarations!$C$21*T323*Declarations!$C$21+Declarations!$C$21*U323*Declarations!$C$22+Declarations!$C$22*S323*Declarations!$C$20+Declarations!$C$22*U323*Declarations!$C$21+Declarations!$C$22*V323*Declarations!$C$22+1</f>
        <v>5.70253970138227</v>
      </c>
      <c r="U324" s="20" t="n">
        <f aca="false">Declarations!$C$20*Q323*Declarations!$D$20+Declarations!$C$20*R323*Declarations!$D$21+Declarations!$C$20*S323*Declarations!$D$22+Declarations!$C$21*R323*Declarations!$D$20+Declarations!$C$21*T323*Declarations!$D$21+Declarations!$C$21*U323*Declarations!$D$22+Declarations!$C$22*S323*Declarations!$D$20+Declarations!$C$22*U323*Declarations!$D$21+Declarations!$C$22*V323*Declarations!$D$22+0</f>
        <v>0.771604938271605</v>
      </c>
      <c r="V324" s="20" t="n">
        <f aca="false">Declarations!$D$20*Q323*Declarations!$D$20+Declarations!$D$20*R323*Declarations!$D$21+Declarations!$D$20*S323*Declarations!$D$22+Declarations!$D$21*R323*Declarations!$D$20+Declarations!$D$21*T323*Declarations!$D$21+Declarations!$D$21*U323*Declarations!$D$22+Declarations!$D$22*S323*Declarations!$D$20+Declarations!$D$22*U323*Declarations!$D$21+Declarations!$D$22*V323*Declarations!$D$22+1</f>
        <v>2.77777777777778</v>
      </c>
    </row>
    <row r="325" customFormat="false" ht="15" hidden="false" customHeight="false" outlineLevel="0" collapsed="false">
      <c r="A325" s="18" t="n">
        <v>316</v>
      </c>
      <c r="B325" s="20" t="n">
        <f aca="false">$B$4*B324*$B$4+$B$4*C324*$B$5+$B$5*C324*$B$4+$B$5*D324*$B$5+$E$4</f>
        <v>13.5714285714285</v>
      </c>
      <c r="C325" s="20" t="n">
        <f aca="false">$B$4*B324*$C$4+$B$4*C324*$C$5+$B$5*C324*$C$4+$B$5*D324*$C$5+$F$4</f>
        <v>-5.78571428571426</v>
      </c>
      <c r="D325" s="20" t="n">
        <f aca="false">$C$4*B324*$C$4+$C$4*C324*$C$5+$C$5*C324*$C$4+$C$5*D324*$C$5+$F$5</f>
        <v>11.9928571428571</v>
      </c>
      <c r="P325" s="18" t="n">
        <v>316</v>
      </c>
      <c r="Q325" s="20" t="n">
        <f aca="false">Declarations!$B$20*Q324*Declarations!$B$20+Declarations!$B$20*R324*Declarations!$B$21+Declarations!$B$20*S324*Declarations!$B$22+Declarations!$B$21*R324*Declarations!$B$20+Declarations!$B$21*T324*Declarations!$B$21+Declarations!$B$21*U324*Declarations!$B$22+Declarations!$B$22*S324*Declarations!$B$20+Declarations!$B$22*U324*Declarations!$B$21+Declarations!$B$22*V324*Declarations!$B$22+1</f>
        <v>10.2972987232246</v>
      </c>
      <c r="R325" s="20" t="n">
        <f aca="false">Declarations!$B$20*Q324*Declarations!$C$20+Declarations!$B$20*R324*Declarations!$C$21+Declarations!$B$20*S324*Declarations!$C$22+Declarations!$B$21*R324*Declarations!$C$20+Declarations!$B$21*T324*Declarations!$C$21+Declarations!$B$21*U324*Declarations!$C$22+Declarations!$B$22*S324*Declarations!$C$20+Declarations!$B$22*U324*Declarations!$C$21+Declarations!$B$22*V324*Declarations!$C$22+0</f>
        <v>4.60691839453409</v>
      </c>
      <c r="S325" s="20" t="n">
        <f aca="false">Declarations!$B$20*Q324*Declarations!$D$20+Declarations!$B$20*R324*Declarations!$D$21+Declarations!$B$20*S324*Declarations!$D$22+Declarations!$B$21*R324*Declarations!$D$20+Declarations!$B$21*T324*Declarations!$D$21+Declarations!$B$21*U324*Declarations!$D$22+Declarations!$B$22*S324*Declarations!$D$20+Declarations!$B$22*U324*Declarations!$D$21+Declarations!$B$22*V324*Declarations!$D$22+0</f>
        <v>0.617283950617284</v>
      </c>
      <c r="T325" s="20" t="n">
        <f aca="false">Declarations!$C$20*Q324*Declarations!$C$20+Declarations!$C$20*R324*Declarations!$C$21+Declarations!$C$20*S324*Declarations!$C$22+Declarations!$C$21*R324*Declarations!$C$20+Declarations!$C$21*T324*Declarations!$C$21+Declarations!$C$21*U324*Declarations!$C$22+Declarations!$C$22*S324*Declarations!$C$20+Declarations!$C$22*U324*Declarations!$C$21+Declarations!$C$22*V324*Declarations!$C$22+1</f>
        <v>5.70253970138227</v>
      </c>
      <c r="U325" s="20" t="n">
        <f aca="false">Declarations!$C$20*Q324*Declarations!$D$20+Declarations!$C$20*R324*Declarations!$D$21+Declarations!$C$20*S324*Declarations!$D$22+Declarations!$C$21*R324*Declarations!$D$20+Declarations!$C$21*T324*Declarations!$D$21+Declarations!$C$21*U324*Declarations!$D$22+Declarations!$C$22*S324*Declarations!$D$20+Declarations!$C$22*U324*Declarations!$D$21+Declarations!$C$22*V324*Declarations!$D$22+0</f>
        <v>0.771604938271605</v>
      </c>
      <c r="V325" s="20" t="n">
        <f aca="false">Declarations!$D$20*Q324*Declarations!$D$20+Declarations!$D$20*R324*Declarations!$D$21+Declarations!$D$20*S324*Declarations!$D$22+Declarations!$D$21*R324*Declarations!$D$20+Declarations!$D$21*T324*Declarations!$D$21+Declarations!$D$21*U324*Declarations!$D$22+Declarations!$D$22*S324*Declarations!$D$20+Declarations!$D$22*U324*Declarations!$D$21+Declarations!$D$22*V324*Declarations!$D$22+1</f>
        <v>2.77777777777778</v>
      </c>
    </row>
    <row r="326" customFormat="false" ht="15" hidden="false" customHeight="false" outlineLevel="0" collapsed="false">
      <c r="A326" s="18" t="n">
        <v>317</v>
      </c>
      <c r="B326" s="20" t="n">
        <f aca="false">$B$4*B325*$B$4+$B$4*C325*$B$5+$B$5*C325*$B$4+$B$5*D325*$B$5+$E$4</f>
        <v>13.5714285714285</v>
      </c>
      <c r="C326" s="20" t="n">
        <f aca="false">$B$4*B325*$C$4+$B$4*C325*$C$5+$B$5*C325*$C$4+$B$5*D325*$C$5+$F$4</f>
        <v>-5.78571428571426</v>
      </c>
      <c r="D326" s="20" t="n">
        <f aca="false">$C$4*B325*$C$4+$C$4*C325*$C$5+$C$5*C325*$C$4+$C$5*D325*$C$5+$F$5</f>
        <v>11.9928571428571</v>
      </c>
      <c r="P326" s="18" t="n">
        <v>317</v>
      </c>
      <c r="Q326" s="20" t="n">
        <f aca="false">Declarations!$B$20*Q325*Declarations!$B$20+Declarations!$B$20*R325*Declarations!$B$21+Declarations!$B$20*S325*Declarations!$B$22+Declarations!$B$21*R325*Declarations!$B$20+Declarations!$B$21*T325*Declarations!$B$21+Declarations!$B$21*U325*Declarations!$B$22+Declarations!$B$22*S325*Declarations!$B$20+Declarations!$B$22*U325*Declarations!$B$21+Declarations!$B$22*V325*Declarations!$B$22+1</f>
        <v>10.2972987232246</v>
      </c>
      <c r="R326" s="20" t="n">
        <f aca="false">Declarations!$B$20*Q325*Declarations!$C$20+Declarations!$B$20*R325*Declarations!$C$21+Declarations!$B$20*S325*Declarations!$C$22+Declarations!$B$21*R325*Declarations!$C$20+Declarations!$B$21*T325*Declarations!$C$21+Declarations!$B$21*U325*Declarations!$C$22+Declarations!$B$22*S325*Declarations!$C$20+Declarations!$B$22*U325*Declarations!$C$21+Declarations!$B$22*V325*Declarations!$C$22+0</f>
        <v>4.6069183945341</v>
      </c>
      <c r="S326" s="20" t="n">
        <f aca="false">Declarations!$B$20*Q325*Declarations!$D$20+Declarations!$B$20*R325*Declarations!$D$21+Declarations!$B$20*S325*Declarations!$D$22+Declarations!$B$21*R325*Declarations!$D$20+Declarations!$B$21*T325*Declarations!$D$21+Declarations!$B$21*U325*Declarations!$D$22+Declarations!$B$22*S325*Declarations!$D$20+Declarations!$B$22*U325*Declarations!$D$21+Declarations!$B$22*V325*Declarations!$D$22+0</f>
        <v>0.617283950617284</v>
      </c>
      <c r="T326" s="20" t="n">
        <f aca="false">Declarations!$C$20*Q325*Declarations!$C$20+Declarations!$C$20*R325*Declarations!$C$21+Declarations!$C$20*S325*Declarations!$C$22+Declarations!$C$21*R325*Declarations!$C$20+Declarations!$C$21*T325*Declarations!$C$21+Declarations!$C$21*U325*Declarations!$C$22+Declarations!$C$22*S325*Declarations!$C$20+Declarations!$C$22*U325*Declarations!$C$21+Declarations!$C$22*V325*Declarations!$C$22+1</f>
        <v>5.70253970138227</v>
      </c>
      <c r="U326" s="20" t="n">
        <f aca="false">Declarations!$C$20*Q325*Declarations!$D$20+Declarations!$C$20*R325*Declarations!$D$21+Declarations!$C$20*S325*Declarations!$D$22+Declarations!$C$21*R325*Declarations!$D$20+Declarations!$C$21*T325*Declarations!$D$21+Declarations!$C$21*U325*Declarations!$D$22+Declarations!$C$22*S325*Declarations!$D$20+Declarations!$C$22*U325*Declarations!$D$21+Declarations!$C$22*V325*Declarations!$D$22+0</f>
        <v>0.771604938271605</v>
      </c>
      <c r="V326" s="20" t="n">
        <f aca="false">Declarations!$D$20*Q325*Declarations!$D$20+Declarations!$D$20*R325*Declarations!$D$21+Declarations!$D$20*S325*Declarations!$D$22+Declarations!$D$21*R325*Declarations!$D$20+Declarations!$D$21*T325*Declarations!$D$21+Declarations!$D$21*U325*Declarations!$D$22+Declarations!$D$22*S325*Declarations!$D$20+Declarations!$D$22*U325*Declarations!$D$21+Declarations!$D$22*V325*Declarations!$D$22+1</f>
        <v>2.77777777777778</v>
      </c>
    </row>
    <row r="327" customFormat="false" ht="15" hidden="false" customHeight="false" outlineLevel="0" collapsed="false">
      <c r="A327" s="18" t="n">
        <v>318</v>
      </c>
      <c r="B327" s="20" t="n">
        <f aca="false">$B$4*B326*$B$4+$B$4*C326*$B$5+$B$5*C326*$B$4+$B$5*D326*$B$5+$E$4</f>
        <v>13.5714285714285</v>
      </c>
      <c r="C327" s="20" t="n">
        <f aca="false">$B$4*B326*$C$4+$B$4*C326*$C$5+$B$5*C326*$C$4+$B$5*D326*$C$5+$F$4</f>
        <v>-5.78571428571427</v>
      </c>
      <c r="D327" s="20" t="n">
        <f aca="false">$C$4*B326*$C$4+$C$4*C326*$C$5+$C$5*C326*$C$4+$C$5*D326*$C$5+$F$5</f>
        <v>11.9928571428571</v>
      </c>
      <c r="P327" s="18" t="n">
        <v>318</v>
      </c>
      <c r="Q327" s="20" t="n">
        <f aca="false">Declarations!$B$20*Q326*Declarations!$B$20+Declarations!$B$20*R326*Declarations!$B$21+Declarations!$B$20*S326*Declarations!$B$22+Declarations!$B$21*R326*Declarations!$B$20+Declarations!$B$21*T326*Declarations!$B$21+Declarations!$B$21*U326*Declarations!$B$22+Declarations!$B$22*S326*Declarations!$B$20+Declarations!$B$22*U326*Declarations!$B$21+Declarations!$B$22*V326*Declarations!$B$22+1</f>
        <v>10.2972987232246</v>
      </c>
      <c r="R327" s="20" t="n">
        <f aca="false">Declarations!$B$20*Q326*Declarations!$C$20+Declarations!$B$20*R326*Declarations!$C$21+Declarations!$B$20*S326*Declarations!$C$22+Declarations!$B$21*R326*Declarations!$C$20+Declarations!$B$21*T326*Declarations!$C$21+Declarations!$B$21*U326*Declarations!$C$22+Declarations!$B$22*S326*Declarations!$C$20+Declarations!$B$22*U326*Declarations!$C$21+Declarations!$B$22*V326*Declarations!$C$22+0</f>
        <v>4.6069183945341</v>
      </c>
      <c r="S327" s="20" t="n">
        <f aca="false">Declarations!$B$20*Q326*Declarations!$D$20+Declarations!$B$20*R326*Declarations!$D$21+Declarations!$B$20*S326*Declarations!$D$22+Declarations!$B$21*R326*Declarations!$D$20+Declarations!$B$21*T326*Declarations!$D$21+Declarations!$B$21*U326*Declarations!$D$22+Declarations!$B$22*S326*Declarations!$D$20+Declarations!$B$22*U326*Declarations!$D$21+Declarations!$B$22*V326*Declarations!$D$22+0</f>
        <v>0.617283950617284</v>
      </c>
      <c r="T327" s="20" t="n">
        <f aca="false">Declarations!$C$20*Q326*Declarations!$C$20+Declarations!$C$20*R326*Declarations!$C$21+Declarations!$C$20*S326*Declarations!$C$22+Declarations!$C$21*R326*Declarations!$C$20+Declarations!$C$21*T326*Declarations!$C$21+Declarations!$C$21*U326*Declarations!$C$22+Declarations!$C$22*S326*Declarations!$C$20+Declarations!$C$22*U326*Declarations!$C$21+Declarations!$C$22*V326*Declarations!$C$22+1</f>
        <v>5.70253970138227</v>
      </c>
      <c r="U327" s="20" t="n">
        <f aca="false">Declarations!$C$20*Q326*Declarations!$D$20+Declarations!$C$20*R326*Declarations!$D$21+Declarations!$C$20*S326*Declarations!$D$22+Declarations!$C$21*R326*Declarations!$D$20+Declarations!$C$21*T326*Declarations!$D$21+Declarations!$C$21*U326*Declarations!$D$22+Declarations!$C$22*S326*Declarations!$D$20+Declarations!$C$22*U326*Declarations!$D$21+Declarations!$C$22*V326*Declarations!$D$22+0</f>
        <v>0.771604938271605</v>
      </c>
      <c r="V327" s="20" t="n">
        <f aca="false">Declarations!$D$20*Q326*Declarations!$D$20+Declarations!$D$20*R326*Declarations!$D$21+Declarations!$D$20*S326*Declarations!$D$22+Declarations!$D$21*R326*Declarations!$D$20+Declarations!$D$21*T326*Declarations!$D$21+Declarations!$D$21*U326*Declarations!$D$22+Declarations!$D$22*S326*Declarations!$D$20+Declarations!$D$22*U326*Declarations!$D$21+Declarations!$D$22*V326*Declarations!$D$22+1</f>
        <v>2.77777777777778</v>
      </c>
    </row>
    <row r="328" customFormat="false" ht="15" hidden="false" customHeight="false" outlineLevel="0" collapsed="false">
      <c r="A328" s="18" t="n">
        <v>319</v>
      </c>
      <c r="B328" s="20" t="n">
        <f aca="false">$B$4*B327*$B$4+$B$4*C327*$B$5+$B$5*C327*$B$4+$B$5*D327*$B$5+$E$4</f>
        <v>13.5714285714285</v>
      </c>
      <c r="C328" s="20" t="n">
        <f aca="false">$B$4*B327*$C$4+$B$4*C327*$C$5+$B$5*C327*$C$4+$B$5*D327*$C$5+$F$4</f>
        <v>-5.78571428571427</v>
      </c>
      <c r="D328" s="20" t="n">
        <f aca="false">$C$4*B327*$C$4+$C$4*C327*$C$5+$C$5*C327*$C$4+$C$5*D327*$C$5+$F$5</f>
        <v>11.9928571428571</v>
      </c>
      <c r="P328" s="18" t="n">
        <v>319</v>
      </c>
      <c r="Q328" s="20" t="n">
        <f aca="false">Declarations!$B$20*Q327*Declarations!$B$20+Declarations!$B$20*R327*Declarations!$B$21+Declarations!$B$20*S327*Declarations!$B$22+Declarations!$B$21*R327*Declarations!$B$20+Declarations!$B$21*T327*Declarations!$B$21+Declarations!$B$21*U327*Declarations!$B$22+Declarations!$B$22*S327*Declarations!$B$20+Declarations!$B$22*U327*Declarations!$B$21+Declarations!$B$22*V327*Declarations!$B$22+1</f>
        <v>10.2972987232246</v>
      </c>
      <c r="R328" s="20" t="n">
        <f aca="false">Declarations!$B$20*Q327*Declarations!$C$20+Declarations!$B$20*R327*Declarations!$C$21+Declarations!$B$20*S327*Declarations!$C$22+Declarations!$B$21*R327*Declarations!$C$20+Declarations!$B$21*T327*Declarations!$C$21+Declarations!$B$21*U327*Declarations!$C$22+Declarations!$B$22*S327*Declarations!$C$20+Declarations!$B$22*U327*Declarations!$C$21+Declarations!$B$22*V327*Declarations!$C$22+0</f>
        <v>4.6069183945341</v>
      </c>
      <c r="S328" s="20" t="n">
        <f aca="false">Declarations!$B$20*Q327*Declarations!$D$20+Declarations!$B$20*R327*Declarations!$D$21+Declarations!$B$20*S327*Declarations!$D$22+Declarations!$B$21*R327*Declarations!$D$20+Declarations!$B$21*T327*Declarations!$D$21+Declarations!$B$21*U327*Declarations!$D$22+Declarations!$B$22*S327*Declarations!$D$20+Declarations!$B$22*U327*Declarations!$D$21+Declarations!$B$22*V327*Declarations!$D$22+0</f>
        <v>0.617283950617284</v>
      </c>
      <c r="T328" s="20" t="n">
        <f aca="false">Declarations!$C$20*Q327*Declarations!$C$20+Declarations!$C$20*R327*Declarations!$C$21+Declarations!$C$20*S327*Declarations!$C$22+Declarations!$C$21*R327*Declarations!$C$20+Declarations!$C$21*T327*Declarations!$C$21+Declarations!$C$21*U327*Declarations!$C$22+Declarations!$C$22*S327*Declarations!$C$20+Declarations!$C$22*U327*Declarations!$C$21+Declarations!$C$22*V327*Declarations!$C$22+1</f>
        <v>5.70253970138227</v>
      </c>
      <c r="U328" s="20" t="n">
        <f aca="false">Declarations!$C$20*Q327*Declarations!$D$20+Declarations!$C$20*R327*Declarations!$D$21+Declarations!$C$20*S327*Declarations!$D$22+Declarations!$C$21*R327*Declarations!$D$20+Declarations!$C$21*T327*Declarations!$D$21+Declarations!$C$21*U327*Declarations!$D$22+Declarations!$C$22*S327*Declarations!$D$20+Declarations!$C$22*U327*Declarations!$D$21+Declarations!$C$22*V327*Declarations!$D$22+0</f>
        <v>0.771604938271605</v>
      </c>
      <c r="V328" s="20" t="n">
        <f aca="false">Declarations!$D$20*Q327*Declarations!$D$20+Declarations!$D$20*R327*Declarations!$D$21+Declarations!$D$20*S327*Declarations!$D$22+Declarations!$D$21*R327*Declarations!$D$20+Declarations!$D$21*T327*Declarations!$D$21+Declarations!$D$21*U327*Declarations!$D$22+Declarations!$D$22*S327*Declarations!$D$20+Declarations!$D$22*U327*Declarations!$D$21+Declarations!$D$22*V327*Declarations!$D$22+1</f>
        <v>2.77777777777778</v>
      </c>
    </row>
    <row r="329" customFormat="false" ht="15" hidden="false" customHeight="false" outlineLevel="0" collapsed="false">
      <c r="A329" s="18" t="n">
        <v>320</v>
      </c>
      <c r="B329" s="20" t="n">
        <f aca="false">$B$4*B328*$B$4+$B$4*C328*$B$5+$B$5*C328*$B$4+$B$5*D328*$B$5+$E$4</f>
        <v>13.5714285714285</v>
      </c>
      <c r="C329" s="20" t="n">
        <f aca="false">$B$4*B328*$C$4+$B$4*C328*$C$5+$B$5*C328*$C$4+$B$5*D328*$C$5+$F$4</f>
        <v>-5.78571428571427</v>
      </c>
      <c r="D329" s="20" t="n">
        <f aca="false">$C$4*B328*$C$4+$C$4*C328*$C$5+$C$5*C328*$C$4+$C$5*D328*$C$5+$F$5</f>
        <v>11.9928571428571</v>
      </c>
      <c r="P329" s="18" t="n">
        <v>320</v>
      </c>
      <c r="Q329" s="20" t="n">
        <f aca="false">Declarations!$B$20*Q328*Declarations!$B$20+Declarations!$B$20*R328*Declarations!$B$21+Declarations!$B$20*S328*Declarations!$B$22+Declarations!$B$21*R328*Declarations!$B$20+Declarations!$B$21*T328*Declarations!$B$21+Declarations!$B$21*U328*Declarations!$B$22+Declarations!$B$22*S328*Declarations!$B$20+Declarations!$B$22*U328*Declarations!$B$21+Declarations!$B$22*V328*Declarations!$B$22+1</f>
        <v>10.2972987232246</v>
      </c>
      <c r="R329" s="20" t="n">
        <f aca="false">Declarations!$B$20*Q328*Declarations!$C$20+Declarations!$B$20*R328*Declarations!$C$21+Declarations!$B$20*S328*Declarations!$C$22+Declarations!$B$21*R328*Declarations!$C$20+Declarations!$B$21*T328*Declarations!$C$21+Declarations!$B$21*U328*Declarations!$C$22+Declarations!$B$22*S328*Declarations!$C$20+Declarations!$B$22*U328*Declarations!$C$21+Declarations!$B$22*V328*Declarations!$C$22+0</f>
        <v>4.60691839453411</v>
      </c>
      <c r="S329" s="20" t="n">
        <f aca="false">Declarations!$B$20*Q328*Declarations!$D$20+Declarations!$B$20*R328*Declarations!$D$21+Declarations!$B$20*S328*Declarations!$D$22+Declarations!$B$21*R328*Declarations!$D$20+Declarations!$B$21*T328*Declarations!$D$21+Declarations!$B$21*U328*Declarations!$D$22+Declarations!$B$22*S328*Declarations!$D$20+Declarations!$B$22*U328*Declarations!$D$21+Declarations!$B$22*V328*Declarations!$D$22+0</f>
        <v>0.617283950617284</v>
      </c>
      <c r="T329" s="20" t="n">
        <f aca="false">Declarations!$C$20*Q328*Declarations!$C$20+Declarations!$C$20*R328*Declarations!$C$21+Declarations!$C$20*S328*Declarations!$C$22+Declarations!$C$21*R328*Declarations!$C$20+Declarations!$C$21*T328*Declarations!$C$21+Declarations!$C$21*U328*Declarations!$C$22+Declarations!$C$22*S328*Declarations!$C$20+Declarations!$C$22*U328*Declarations!$C$21+Declarations!$C$22*V328*Declarations!$C$22+1</f>
        <v>5.70253970138228</v>
      </c>
      <c r="U329" s="20" t="n">
        <f aca="false">Declarations!$C$20*Q328*Declarations!$D$20+Declarations!$C$20*R328*Declarations!$D$21+Declarations!$C$20*S328*Declarations!$D$22+Declarations!$C$21*R328*Declarations!$D$20+Declarations!$C$21*T328*Declarations!$D$21+Declarations!$C$21*U328*Declarations!$D$22+Declarations!$C$22*S328*Declarations!$D$20+Declarations!$C$22*U328*Declarations!$D$21+Declarations!$C$22*V328*Declarations!$D$22+0</f>
        <v>0.771604938271605</v>
      </c>
      <c r="V329" s="20" t="n">
        <f aca="false">Declarations!$D$20*Q328*Declarations!$D$20+Declarations!$D$20*R328*Declarations!$D$21+Declarations!$D$20*S328*Declarations!$D$22+Declarations!$D$21*R328*Declarations!$D$20+Declarations!$D$21*T328*Declarations!$D$21+Declarations!$D$21*U328*Declarations!$D$22+Declarations!$D$22*S328*Declarations!$D$20+Declarations!$D$22*U328*Declarations!$D$21+Declarations!$D$22*V328*Declarations!$D$22+1</f>
        <v>2.77777777777778</v>
      </c>
    </row>
    <row r="330" customFormat="false" ht="15" hidden="false" customHeight="false" outlineLevel="0" collapsed="false">
      <c r="A330" s="18" t="n">
        <v>321</v>
      </c>
      <c r="B330" s="20" t="n">
        <f aca="false">$B$4*B329*$B$4+$B$4*C329*$B$5+$B$5*C329*$B$4+$B$5*D329*$B$5+$E$4</f>
        <v>13.5714285714285</v>
      </c>
      <c r="C330" s="20" t="n">
        <f aca="false">$B$4*B329*$C$4+$B$4*C329*$C$5+$B$5*C329*$C$4+$B$5*D329*$C$5+$F$4</f>
        <v>-5.78571428571427</v>
      </c>
      <c r="D330" s="20" t="n">
        <f aca="false">$C$4*B329*$C$4+$C$4*C329*$C$5+$C$5*C329*$C$4+$C$5*D329*$C$5+$F$5</f>
        <v>11.9928571428571</v>
      </c>
      <c r="P330" s="18" t="n">
        <v>321</v>
      </c>
      <c r="Q330" s="20" t="n">
        <f aca="false">Declarations!$B$20*Q329*Declarations!$B$20+Declarations!$B$20*R329*Declarations!$B$21+Declarations!$B$20*S329*Declarations!$B$22+Declarations!$B$21*R329*Declarations!$B$20+Declarations!$B$21*T329*Declarations!$B$21+Declarations!$B$21*U329*Declarations!$B$22+Declarations!$B$22*S329*Declarations!$B$20+Declarations!$B$22*U329*Declarations!$B$21+Declarations!$B$22*V329*Declarations!$B$22+1</f>
        <v>10.2972987232246</v>
      </c>
      <c r="R330" s="20" t="n">
        <f aca="false">Declarations!$B$20*Q329*Declarations!$C$20+Declarations!$B$20*R329*Declarations!$C$21+Declarations!$B$20*S329*Declarations!$C$22+Declarations!$B$21*R329*Declarations!$C$20+Declarations!$B$21*T329*Declarations!$C$21+Declarations!$B$21*U329*Declarations!$C$22+Declarations!$B$22*S329*Declarations!$C$20+Declarations!$B$22*U329*Declarations!$C$21+Declarations!$B$22*V329*Declarations!$C$22+0</f>
        <v>4.60691839453411</v>
      </c>
      <c r="S330" s="20" t="n">
        <f aca="false">Declarations!$B$20*Q329*Declarations!$D$20+Declarations!$B$20*R329*Declarations!$D$21+Declarations!$B$20*S329*Declarations!$D$22+Declarations!$B$21*R329*Declarations!$D$20+Declarations!$B$21*T329*Declarations!$D$21+Declarations!$B$21*U329*Declarations!$D$22+Declarations!$B$22*S329*Declarations!$D$20+Declarations!$B$22*U329*Declarations!$D$21+Declarations!$B$22*V329*Declarations!$D$22+0</f>
        <v>0.617283950617284</v>
      </c>
      <c r="T330" s="20" t="n">
        <f aca="false">Declarations!$C$20*Q329*Declarations!$C$20+Declarations!$C$20*R329*Declarations!$C$21+Declarations!$C$20*S329*Declarations!$C$22+Declarations!$C$21*R329*Declarations!$C$20+Declarations!$C$21*T329*Declarations!$C$21+Declarations!$C$21*U329*Declarations!$C$22+Declarations!$C$22*S329*Declarations!$C$20+Declarations!$C$22*U329*Declarations!$C$21+Declarations!$C$22*V329*Declarations!$C$22+1</f>
        <v>5.70253970138228</v>
      </c>
      <c r="U330" s="20" t="n">
        <f aca="false">Declarations!$C$20*Q329*Declarations!$D$20+Declarations!$C$20*R329*Declarations!$D$21+Declarations!$C$20*S329*Declarations!$D$22+Declarations!$C$21*R329*Declarations!$D$20+Declarations!$C$21*T329*Declarations!$D$21+Declarations!$C$21*U329*Declarations!$D$22+Declarations!$C$22*S329*Declarations!$D$20+Declarations!$C$22*U329*Declarations!$D$21+Declarations!$C$22*V329*Declarations!$D$22+0</f>
        <v>0.771604938271605</v>
      </c>
      <c r="V330" s="20" t="n">
        <f aca="false">Declarations!$D$20*Q329*Declarations!$D$20+Declarations!$D$20*R329*Declarations!$D$21+Declarations!$D$20*S329*Declarations!$D$22+Declarations!$D$21*R329*Declarations!$D$20+Declarations!$D$21*T329*Declarations!$D$21+Declarations!$D$21*U329*Declarations!$D$22+Declarations!$D$22*S329*Declarations!$D$20+Declarations!$D$22*U329*Declarations!$D$21+Declarations!$D$22*V329*Declarations!$D$22+1</f>
        <v>2.77777777777778</v>
      </c>
    </row>
    <row r="331" customFormat="false" ht="15" hidden="false" customHeight="false" outlineLevel="0" collapsed="false">
      <c r="A331" s="18" t="n">
        <v>322</v>
      </c>
      <c r="B331" s="20" t="n">
        <f aca="false">$B$4*B330*$B$4+$B$4*C330*$B$5+$B$5*C330*$B$4+$B$5*D330*$B$5+$E$4</f>
        <v>13.5714285714285</v>
      </c>
      <c r="C331" s="20" t="n">
        <f aca="false">$B$4*B330*$C$4+$B$4*C330*$C$5+$B$5*C330*$C$4+$B$5*D330*$C$5+$F$4</f>
        <v>-5.78571428571427</v>
      </c>
      <c r="D331" s="20" t="n">
        <f aca="false">$C$4*B330*$C$4+$C$4*C330*$C$5+$C$5*C330*$C$4+$C$5*D330*$C$5+$F$5</f>
        <v>11.9928571428571</v>
      </c>
      <c r="P331" s="18" t="n">
        <v>322</v>
      </c>
      <c r="Q331" s="20" t="n">
        <f aca="false">Declarations!$B$20*Q330*Declarations!$B$20+Declarations!$B$20*R330*Declarations!$B$21+Declarations!$B$20*S330*Declarations!$B$22+Declarations!$B$21*R330*Declarations!$B$20+Declarations!$B$21*T330*Declarations!$B$21+Declarations!$B$21*U330*Declarations!$B$22+Declarations!$B$22*S330*Declarations!$B$20+Declarations!$B$22*U330*Declarations!$B$21+Declarations!$B$22*V330*Declarations!$B$22+1</f>
        <v>10.2972987232246</v>
      </c>
      <c r="R331" s="20" t="n">
        <f aca="false">Declarations!$B$20*Q330*Declarations!$C$20+Declarations!$B$20*R330*Declarations!$C$21+Declarations!$B$20*S330*Declarations!$C$22+Declarations!$B$21*R330*Declarations!$C$20+Declarations!$B$21*T330*Declarations!$C$21+Declarations!$B$21*U330*Declarations!$C$22+Declarations!$B$22*S330*Declarations!$C$20+Declarations!$B$22*U330*Declarations!$C$21+Declarations!$B$22*V330*Declarations!$C$22+0</f>
        <v>4.60691839453412</v>
      </c>
      <c r="S331" s="20" t="n">
        <f aca="false">Declarations!$B$20*Q330*Declarations!$D$20+Declarations!$B$20*R330*Declarations!$D$21+Declarations!$B$20*S330*Declarations!$D$22+Declarations!$B$21*R330*Declarations!$D$20+Declarations!$B$21*T330*Declarations!$D$21+Declarations!$B$21*U330*Declarations!$D$22+Declarations!$B$22*S330*Declarations!$D$20+Declarations!$B$22*U330*Declarations!$D$21+Declarations!$B$22*V330*Declarations!$D$22+0</f>
        <v>0.617283950617284</v>
      </c>
      <c r="T331" s="20" t="n">
        <f aca="false">Declarations!$C$20*Q330*Declarations!$C$20+Declarations!$C$20*R330*Declarations!$C$21+Declarations!$C$20*S330*Declarations!$C$22+Declarations!$C$21*R330*Declarations!$C$20+Declarations!$C$21*T330*Declarations!$C$21+Declarations!$C$21*U330*Declarations!$C$22+Declarations!$C$22*S330*Declarations!$C$20+Declarations!$C$22*U330*Declarations!$C$21+Declarations!$C$22*V330*Declarations!$C$22+1</f>
        <v>5.70253970138228</v>
      </c>
      <c r="U331" s="20" t="n">
        <f aca="false">Declarations!$C$20*Q330*Declarations!$D$20+Declarations!$C$20*R330*Declarations!$D$21+Declarations!$C$20*S330*Declarations!$D$22+Declarations!$C$21*R330*Declarations!$D$20+Declarations!$C$21*T330*Declarations!$D$21+Declarations!$C$21*U330*Declarations!$D$22+Declarations!$C$22*S330*Declarations!$D$20+Declarations!$C$22*U330*Declarations!$D$21+Declarations!$C$22*V330*Declarations!$D$22+0</f>
        <v>0.771604938271605</v>
      </c>
      <c r="V331" s="20" t="n">
        <f aca="false">Declarations!$D$20*Q330*Declarations!$D$20+Declarations!$D$20*R330*Declarations!$D$21+Declarations!$D$20*S330*Declarations!$D$22+Declarations!$D$21*R330*Declarations!$D$20+Declarations!$D$21*T330*Declarations!$D$21+Declarations!$D$21*U330*Declarations!$D$22+Declarations!$D$22*S330*Declarations!$D$20+Declarations!$D$22*U330*Declarations!$D$21+Declarations!$D$22*V330*Declarations!$D$22+1</f>
        <v>2.77777777777778</v>
      </c>
    </row>
    <row r="332" customFormat="false" ht="15" hidden="false" customHeight="false" outlineLevel="0" collapsed="false">
      <c r="A332" s="18" t="n">
        <v>323</v>
      </c>
      <c r="B332" s="20" t="n">
        <f aca="false">$B$4*B331*$B$4+$B$4*C331*$B$5+$B$5*C331*$B$4+$B$5*D331*$B$5+$E$4</f>
        <v>13.5714285714285</v>
      </c>
      <c r="C332" s="20" t="n">
        <f aca="false">$B$4*B331*$C$4+$B$4*C331*$C$5+$B$5*C331*$C$4+$B$5*D331*$C$5+$F$4</f>
        <v>-5.78571428571427</v>
      </c>
      <c r="D332" s="20" t="n">
        <f aca="false">$C$4*B331*$C$4+$C$4*C331*$C$5+$C$5*C331*$C$4+$C$5*D331*$C$5+$F$5</f>
        <v>11.9928571428571</v>
      </c>
      <c r="P332" s="18" t="n">
        <v>323</v>
      </c>
      <c r="Q332" s="20" t="n">
        <f aca="false">Declarations!$B$20*Q331*Declarations!$B$20+Declarations!$B$20*R331*Declarations!$B$21+Declarations!$B$20*S331*Declarations!$B$22+Declarations!$B$21*R331*Declarations!$B$20+Declarations!$B$21*T331*Declarations!$B$21+Declarations!$B$21*U331*Declarations!$B$22+Declarations!$B$22*S331*Declarations!$B$20+Declarations!$B$22*U331*Declarations!$B$21+Declarations!$B$22*V331*Declarations!$B$22+1</f>
        <v>10.2972987232246</v>
      </c>
      <c r="R332" s="20" t="n">
        <f aca="false">Declarations!$B$20*Q331*Declarations!$C$20+Declarations!$B$20*R331*Declarations!$C$21+Declarations!$B$20*S331*Declarations!$C$22+Declarations!$B$21*R331*Declarations!$C$20+Declarations!$B$21*T331*Declarations!$C$21+Declarations!$B$21*U331*Declarations!$C$22+Declarations!$B$22*S331*Declarations!$C$20+Declarations!$B$22*U331*Declarations!$C$21+Declarations!$B$22*V331*Declarations!$C$22+0</f>
        <v>4.60691839453412</v>
      </c>
      <c r="S332" s="20" t="n">
        <f aca="false">Declarations!$B$20*Q331*Declarations!$D$20+Declarations!$B$20*R331*Declarations!$D$21+Declarations!$B$20*S331*Declarations!$D$22+Declarations!$B$21*R331*Declarations!$D$20+Declarations!$B$21*T331*Declarations!$D$21+Declarations!$B$21*U331*Declarations!$D$22+Declarations!$B$22*S331*Declarations!$D$20+Declarations!$B$22*U331*Declarations!$D$21+Declarations!$B$22*V331*Declarations!$D$22+0</f>
        <v>0.617283950617284</v>
      </c>
      <c r="T332" s="20" t="n">
        <f aca="false">Declarations!$C$20*Q331*Declarations!$C$20+Declarations!$C$20*R331*Declarations!$C$21+Declarations!$C$20*S331*Declarations!$C$22+Declarations!$C$21*R331*Declarations!$C$20+Declarations!$C$21*T331*Declarations!$C$21+Declarations!$C$21*U331*Declarations!$C$22+Declarations!$C$22*S331*Declarations!$C$20+Declarations!$C$22*U331*Declarations!$C$21+Declarations!$C$22*V331*Declarations!$C$22+1</f>
        <v>5.70253970138228</v>
      </c>
      <c r="U332" s="20" t="n">
        <f aca="false">Declarations!$C$20*Q331*Declarations!$D$20+Declarations!$C$20*R331*Declarations!$D$21+Declarations!$C$20*S331*Declarations!$D$22+Declarations!$C$21*R331*Declarations!$D$20+Declarations!$C$21*T331*Declarations!$D$21+Declarations!$C$21*U331*Declarations!$D$22+Declarations!$C$22*S331*Declarations!$D$20+Declarations!$C$22*U331*Declarations!$D$21+Declarations!$C$22*V331*Declarations!$D$22+0</f>
        <v>0.771604938271605</v>
      </c>
      <c r="V332" s="20" t="n">
        <f aca="false">Declarations!$D$20*Q331*Declarations!$D$20+Declarations!$D$20*R331*Declarations!$D$21+Declarations!$D$20*S331*Declarations!$D$22+Declarations!$D$21*R331*Declarations!$D$20+Declarations!$D$21*T331*Declarations!$D$21+Declarations!$D$21*U331*Declarations!$D$22+Declarations!$D$22*S331*Declarations!$D$20+Declarations!$D$22*U331*Declarations!$D$21+Declarations!$D$22*V331*Declarations!$D$22+1</f>
        <v>2.77777777777778</v>
      </c>
    </row>
    <row r="333" customFormat="false" ht="15" hidden="false" customHeight="false" outlineLevel="0" collapsed="false">
      <c r="A333" s="18" t="n">
        <v>324</v>
      </c>
      <c r="B333" s="20" t="n">
        <f aca="false">$B$4*B332*$B$4+$B$4*C332*$B$5+$B$5*C332*$B$4+$B$5*D332*$B$5+$E$4</f>
        <v>13.5714285714285</v>
      </c>
      <c r="C333" s="20" t="n">
        <f aca="false">$B$4*B332*$C$4+$B$4*C332*$C$5+$B$5*C332*$C$4+$B$5*D332*$C$5+$F$4</f>
        <v>-5.78571428571427</v>
      </c>
      <c r="D333" s="20" t="n">
        <f aca="false">$C$4*B332*$C$4+$C$4*C332*$C$5+$C$5*C332*$C$4+$C$5*D332*$C$5+$F$5</f>
        <v>11.9928571428571</v>
      </c>
      <c r="P333" s="18" t="n">
        <v>324</v>
      </c>
      <c r="Q333" s="20" t="n">
        <f aca="false">Declarations!$B$20*Q332*Declarations!$B$20+Declarations!$B$20*R332*Declarations!$B$21+Declarations!$B$20*S332*Declarations!$B$22+Declarations!$B$21*R332*Declarations!$B$20+Declarations!$B$21*T332*Declarations!$B$21+Declarations!$B$21*U332*Declarations!$B$22+Declarations!$B$22*S332*Declarations!$B$20+Declarations!$B$22*U332*Declarations!$B$21+Declarations!$B$22*V332*Declarations!$B$22+1</f>
        <v>10.2972987232246</v>
      </c>
      <c r="R333" s="20" t="n">
        <f aca="false">Declarations!$B$20*Q332*Declarations!$C$20+Declarations!$B$20*R332*Declarations!$C$21+Declarations!$B$20*S332*Declarations!$C$22+Declarations!$B$21*R332*Declarations!$C$20+Declarations!$B$21*T332*Declarations!$C$21+Declarations!$B$21*U332*Declarations!$C$22+Declarations!$B$22*S332*Declarations!$C$20+Declarations!$B$22*U332*Declarations!$C$21+Declarations!$B$22*V332*Declarations!$C$22+0</f>
        <v>4.60691839453412</v>
      </c>
      <c r="S333" s="20" t="n">
        <f aca="false">Declarations!$B$20*Q332*Declarations!$D$20+Declarations!$B$20*R332*Declarations!$D$21+Declarations!$B$20*S332*Declarations!$D$22+Declarations!$B$21*R332*Declarations!$D$20+Declarations!$B$21*T332*Declarations!$D$21+Declarations!$B$21*U332*Declarations!$D$22+Declarations!$B$22*S332*Declarations!$D$20+Declarations!$B$22*U332*Declarations!$D$21+Declarations!$B$22*V332*Declarations!$D$22+0</f>
        <v>0.617283950617284</v>
      </c>
      <c r="T333" s="20" t="n">
        <f aca="false">Declarations!$C$20*Q332*Declarations!$C$20+Declarations!$C$20*R332*Declarations!$C$21+Declarations!$C$20*S332*Declarations!$C$22+Declarations!$C$21*R332*Declarations!$C$20+Declarations!$C$21*T332*Declarations!$C$21+Declarations!$C$21*U332*Declarations!$C$22+Declarations!$C$22*S332*Declarations!$C$20+Declarations!$C$22*U332*Declarations!$C$21+Declarations!$C$22*V332*Declarations!$C$22+1</f>
        <v>5.70253970138228</v>
      </c>
      <c r="U333" s="20" t="n">
        <f aca="false">Declarations!$C$20*Q332*Declarations!$D$20+Declarations!$C$20*R332*Declarations!$D$21+Declarations!$C$20*S332*Declarations!$D$22+Declarations!$C$21*R332*Declarations!$D$20+Declarations!$C$21*T332*Declarations!$D$21+Declarations!$C$21*U332*Declarations!$D$22+Declarations!$C$22*S332*Declarations!$D$20+Declarations!$C$22*U332*Declarations!$D$21+Declarations!$C$22*V332*Declarations!$D$22+0</f>
        <v>0.771604938271605</v>
      </c>
      <c r="V333" s="20" t="n">
        <f aca="false">Declarations!$D$20*Q332*Declarations!$D$20+Declarations!$D$20*R332*Declarations!$D$21+Declarations!$D$20*S332*Declarations!$D$22+Declarations!$D$21*R332*Declarations!$D$20+Declarations!$D$21*T332*Declarations!$D$21+Declarations!$D$21*U332*Declarations!$D$22+Declarations!$D$22*S332*Declarations!$D$20+Declarations!$D$22*U332*Declarations!$D$21+Declarations!$D$22*V332*Declarations!$D$22+1</f>
        <v>2.77777777777778</v>
      </c>
    </row>
    <row r="334" customFormat="false" ht="15" hidden="false" customHeight="false" outlineLevel="0" collapsed="false">
      <c r="A334" s="18" t="n">
        <v>325</v>
      </c>
      <c r="B334" s="20" t="n">
        <f aca="false">$B$4*B333*$B$4+$B$4*C333*$B$5+$B$5*C333*$B$4+$B$5*D333*$B$5+$E$4</f>
        <v>13.5714285714285</v>
      </c>
      <c r="C334" s="20" t="n">
        <f aca="false">$B$4*B333*$C$4+$B$4*C333*$C$5+$B$5*C333*$C$4+$B$5*D333*$C$5+$F$4</f>
        <v>-5.78571428571427</v>
      </c>
      <c r="D334" s="20" t="n">
        <f aca="false">$C$4*B333*$C$4+$C$4*C333*$C$5+$C$5*C333*$C$4+$C$5*D333*$C$5+$F$5</f>
        <v>11.9928571428571</v>
      </c>
      <c r="P334" s="18" t="n">
        <v>325</v>
      </c>
      <c r="Q334" s="20" t="n">
        <f aca="false">Declarations!$B$20*Q333*Declarations!$B$20+Declarations!$B$20*R333*Declarations!$B$21+Declarations!$B$20*S333*Declarations!$B$22+Declarations!$B$21*R333*Declarations!$B$20+Declarations!$B$21*T333*Declarations!$B$21+Declarations!$B$21*U333*Declarations!$B$22+Declarations!$B$22*S333*Declarations!$B$20+Declarations!$B$22*U333*Declarations!$B$21+Declarations!$B$22*V333*Declarations!$B$22+1</f>
        <v>10.2972987232246</v>
      </c>
      <c r="R334" s="20" t="n">
        <f aca="false">Declarations!$B$20*Q333*Declarations!$C$20+Declarations!$B$20*R333*Declarations!$C$21+Declarations!$B$20*S333*Declarations!$C$22+Declarations!$B$21*R333*Declarations!$C$20+Declarations!$B$21*T333*Declarations!$C$21+Declarations!$B$21*U333*Declarations!$C$22+Declarations!$B$22*S333*Declarations!$C$20+Declarations!$B$22*U333*Declarations!$C$21+Declarations!$B$22*V333*Declarations!$C$22+0</f>
        <v>4.60691839453412</v>
      </c>
      <c r="S334" s="20" t="n">
        <f aca="false">Declarations!$B$20*Q333*Declarations!$D$20+Declarations!$B$20*R333*Declarations!$D$21+Declarations!$B$20*S333*Declarations!$D$22+Declarations!$B$21*R333*Declarations!$D$20+Declarations!$B$21*T333*Declarations!$D$21+Declarations!$B$21*U333*Declarations!$D$22+Declarations!$B$22*S333*Declarations!$D$20+Declarations!$B$22*U333*Declarations!$D$21+Declarations!$B$22*V333*Declarations!$D$22+0</f>
        <v>0.617283950617284</v>
      </c>
      <c r="T334" s="20" t="n">
        <f aca="false">Declarations!$C$20*Q333*Declarations!$C$20+Declarations!$C$20*R333*Declarations!$C$21+Declarations!$C$20*S333*Declarations!$C$22+Declarations!$C$21*R333*Declarations!$C$20+Declarations!$C$21*T333*Declarations!$C$21+Declarations!$C$21*U333*Declarations!$C$22+Declarations!$C$22*S333*Declarations!$C$20+Declarations!$C$22*U333*Declarations!$C$21+Declarations!$C$22*V333*Declarations!$C$22+1</f>
        <v>5.70253970138228</v>
      </c>
      <c r="U334" s="20" t="n">
        <f aca="false">Declarations!$C$20*Q333*Declarations!$D$20+Declarations!$C$20*R333*Declarations!$D$21+Declarations!$C$20*S333*Declarations!$D$22+Declarations!$C$21*R333*Declarations!$D$20+Declarations!$C$21*T333*Declarations!$D$21+Declarations!$C$21*U333*Declarations!$D$22+Declarations!$C$22*S333*Declarations!$D$20+Declarations!$C$22*U333*Declarations!$D$21+Declarations!$C$22*V333*Declarations!$D$22+0</f>
        <v>0.771604938271605</v>
      </c>
      <c r="V334" s="20" t="n">
        <f aca="false">Declarations!$D$20*Q333*Declarations!$D$20+Declarations!$D$20*R333*Declarations!$D$21+Declarations!$D$20*S333*Declarations!$D$22+Declarations!$D$21*R333*Declarations!$D$20+Declarations!$D$21*T333*Declarations!$D$21+Declarations!$D$21*U333*Declarations!$D$22+Declarations!$D$22*S333*Declarations!$D$20+Declarations!$D$22*U333*Declarations!$D$21+Declarations!$D$22*V333*Declarations!$D$22+1</f>
        <v>2.77777777777778</v>
      </c>
    </row>
    <row r="335" customFormat="false" ht="15" hidden="false" customHeight="false" outlineLevel="0" collapsed="false">
      <c r="A335" s="18" t="n">
        <v>326</v>
      </c>
      <c r="B335" s="20" t="n">
        <f aca="false">$B$4*B334*$B$4+$B$4*C334*$B$5+$B$5*C334*$B$4+$B$5*D334*$B$5+$E$4</f>
        <v>13.5714285714285</v>
      </c>
      <c r="C335" s="20" t="n">
        <f aca="false">$B$4*B334*$C$4+$B$4*C334*$C$5+$B$5*C334*$C$4+$B$5*D334*$C$5+$F$4</f>
        <v>-5.78571428571427</v>
      </c>
      <c r="D335" s="20" t="n">
        <f aca="false">$C$4*B334*$C$4+$C$4*C334*$C$5+$C$5*C334*$C$4+$C$5*D334*$C$5+$F$5</f>
        <v>11.9928571428571</v>
      </c>
      <c r="P335" s="18" t="n">
        <v>326</v>
      </c>
      <c r="Q335" s="20" t="n">
        <f aca="false">Declarations!$B$20*Q334*Declarations!$B$20+Declarations!$B$20*R334*Declarations!$B$21+Declarations!$B$20*S334*Declarations!$B$22+Declarations!$B$21*R334*Declarations!$B$20+Declarations!$B$21*T334*Declarations!$B$21+Declarations!$B$21*U334*Declarations!$B$22+Declarations!$B$22*S334*Declarations!$B$20+Declarations!$B$22*U334*Declarations!$B$21+Declarations!$B$22*V334*Declarations!$B$22+1</f>
        <v>10.2972987232246</v>
      </c>
      <c r="R335" s="20" t="n">
        <f aca="false">Declarations!$B$20*Q334*Declarations!$C$20+Declarations!$B$20*R334*Declarations!$C$21+Declarations!$B$20*S334*Declarations!$C$22+Declarations!$B$21*R334*Declarations!$C$20+Declarations!$B$21*T334*Declarations!$C$21+Declarations!$B$21*U334*Declarations!$C$22+Declarations!$B$22*S334*Declarations!$C$20+Declarations!$B$22*U334*Declarations!$C$21+Declarations!$B$22*V334*Declarations!$C$22+0</f>
        <v>4.60691839453412</v>
      </c>
      <c r="S335" s="20" t="n">
        <f aca="false">Declarations!$B$20*Q334*Declarations!$D$20+Declarations!$B$20*R334*Declarations!$D$21+Declarations!$B$20*S334*Declarations!$D$22+Declarations!$B$21*R334*Declarations!$D$20+Declarations!$B$21*T334*Declarations!$D$21+Declarations!$B$21*U334*Declarations!$D$22+Declarations!$B$22*S334*Declarations!$D$20+Declarations!$B$22*U334*Declarations!$D$21+Declarations!$B$22*V334*Declarations!$D$22+0</f>
        <v>0.617283950617284</v>
      </c>
      <c r="T335" s="20" t="n">
        <f aca="false">Declarations!$C$20*Q334*Declarations!$C$20+Declarations!$C$20*R334*Declarations!$C$21+Declarations!$C$20*S334*Declarations!$C$22+Declarations!$C$21*R334*Declarations!$C$20+Declarations!$C$21*T334*Declarations!$C$21+Declarations!$C$21*U334*Declarations!$C$22+Declarations!$C$22*S334*Declarations!$C$20+Declarations!$C$22*U334*Declarations!$C$21+Declarations!$C$22*V334*Declarations!$C$22+1</f>
        <v>5.70253970138228</v>
      </c>
      <c r="U335" s="20" t="n">
        <f aca="false">Declarations!$C$20*Q334*Declarations!$D$20+Declarations!$C$20*R334*Declarations!$D$21+Declarations!$C$20*S334*Declarations!$D$22+Declarations!$C$21*R334*Declarations!$D$20+Declarations!$C$21*T334*Declarations!$D$21+Declarations!$C$21*U334*Declarations!$D$22+Declarations!$C$22*S334*Declarations!$D$20+Declarations!$C$22*U334*Declarations!$D$21+Declarations!$C$22*V334*Declarations!$D$22+0</f>
        <v>0.771604938271605</v>
      </c>
      <c r="V335" s="20" t="n">
        <f aca="false">Declarations!$D$20*Q334*Declarations!$D$20+Declarations!$D$20*R334*Declarations!$D$21+Declarations!$D$20*S334*Declarations!$D$22+Declarations!$D$21*R334*Declarations!$D$20+Declarations!$D$21*T334*Declarations!$D$21+Declarations!$D$21*U334*Declarations!$D$22+Declarations!$D$22*S334*Declarations!$D$20+Declarations!$D$22*U334*Declarations!$D$21+Declarations!$D$22*V334*Declarations!$D$22+1</f>
        <v>2.77777777777778</v>
      </c>
    </row>
    <row r="336" customFormat="false" ht="15" hidden="false" customHeight="false" outlineLevel="0" collapsed="false">
      <c r="A336" s="18" t="n">
        <v>327</v>
      </c>
      <c r="B336" s="20" t="n">
        <f aca="false">$B$4*B335*$B$4+$B$4*C335*$B$5+$B$5*C335*$B$4+$B$5*D335*$B$5+$E$4</f>
        <v>13.5714285714285</v>
      </c>
      <c r="C336" s="20" t="n">
        <f aca="false">$B$4*B335*$C$4+$B$4*C335*$C$5+$B$5*C335*$C$4+$B$5*D335*$C$5+$F$4</f>
        <v>-5.78571428571427</v>
      </c>
      <c r="D336" s="20" t="n">
        <f aca="false">$C$4*B335*$C$4+$C$4*C335*$C$5+$C$5*C335*$C$4+$C$5*D335*$C$5+$F$5</f>
        <v>11.9928571428571</v>
      </c>
      <c r="P336" s="18" t="n">
        <v>327</v>
      </c>
      <c r="Q336" s="20" t="n">
        <f aca="false">Declarations!$B$20*Q335*Declarations!$B$20+Declarations!$B$20*R335*Declarations!$B$21+Declarations!$B$20*S335*Declarations!$B$22+Declarations!$B$21*R335*Declarations!$B$20+Declarations!$B$21*T335*Declarations!$B$21+Declarations!$B$21*U335*Declarations!$B$22+Declarations!$B$22*S335*Declarations!$B$20+Declarations!$B$22*U335*Declarations!$B$21+Declarations!$B$22*V335*Declarations!$B$22+1</f>
        <v>10.2972987232246</v>
      </c>
      <c r="R336" s="20" t="n">
        <f aca="false">Declarations!$B$20*Q335*Declarations!$C$20+Declarations!$B$20*R335*Declarations!$C$21+Declarations!$B$20*S335*Declarations!$C$22+Declarations!$B$21*R335*Declarations!$C$20+Declarations!$B$21*T335*Declarations!$C$21+Declarations!$B$21*U335*Declarations!$C$22+Declarations!$B$22*S335*Declarations!$C$20+Declarations!$B$22*U335*Declarations!$C$21+Declarations!$B$22*V335*Declarations!$C$22+0</f>
        <v>4.60691839453413</v>
      </c>
      <c r="S336" s="20" t="n">
        <f aca="false">Declarations!$B$20*Q335*Declarations!$D$20+Declarations!$B$20*R335*Declarations!$D$21+Declarations!$B$20*S335*Declarations!$D$22+Declarations!$B$21*R335*Declarations!$D$20+Declarations!$B$21*T335*Declarations!$D$21+Declarations!$B$21*U335*Declarations!$D$22+Declarations!$B$22*S335*Declarations!$D$20+Declarations!$B$22*U335*Declarations!$D$21+Declarations!$B$22*V335*Declarations!$D$22+0</f>
        <v>0.617283950617284</v>
      </c>
      <c r="T336" s="20" t="n">
        <f aca="false">Declarations!$C$20*Q335*Declarations!$C$20+Declarations!$C$20*R335*Declarations!$C$21+Declarations!$C$20*S335*Declarations!$C$22+Declarations!$C$21*R335*Declarations!$C$20+Declarations!$C$21*T335*Declarations!$C$21+Declarations!$C$21*U335*Declarations!$C$22+Declarations!$C$22*S335*Declarations!$C$20+Declarations!$C$22*U335*Declarations!$C$21+Declarations!$C$22*V335*Declarations!$C$22+1</f>
        <v>5.70253970138228</v>
      </c>
      <c r="U336" s="20" t="n">
        <f aca="false">Declarations!$C$20*Q335*Declarations!$D$20+Declarations!$C$20*R335*Declarations!$D$21+Declarations!$C$20*S335*Declarations!$D$22+Declarations!$C$21*R335*Declarations!$D$20+Declarations!$C$21*T335*Declarations!$D$21+Declarations!$C$21*U335*Declarations!$D$22+Declarations!$C$22*S335*Declarations!$D$20+Declarations!$C$22*U335*Declarations!$D$21+Declarations!$C$22*V335*Declarations!$D$22+0</f>
        <v>0.771604938271605</v>
      </c>
      <c r="V336" s="20" t="n">
        <f aca="false">Declarations!$D$20*Q335*Declarations!$D$20+Declarations!$D$20*R335*Declarations!$D$21+Declarations!$D$20*S335*Declarations!$D$22+Declarations!$D$21*R335*Declarations!$D$20+Declarations!$D$21*T335*Declarations!$D$21+Declarations!$D$21*U335*Declarations!$D$22+Declarations!$D$22*S335*Declarations!$D$20+Declarations!$D$22*U335*Declarations!$D$21+Declarations!$D$22*V335*Declarations!$D$22+1</f>
        <v>2.77777777777778</v>
      </c>
    </row>
    <row r="337" customFormat="false" ht="15" hidden="false" customHeight="false" outlineLevel="0" collapsed="false">
      <c r="A337" s="18" t="n">
        <v>328</v>
      </c>
      <c r="B337" s="20" t="n">
        <f aca="false">$B$4*B336*$B$4+$B$4*C336*$B$5+$B$5*C336*$B$4+$B$5*D336*$B$5+$E$4</f>
        <v>13.5714285714285</v>
      </c>
      <c r="C337" s="20" t="n">
        <f aca="false">$B$4*B336*$C$4+$B$4*C336*$C$5+$B$5*C336*$C$4+$B$5*D336*$C$5+$F$4</f>
        <v>-5.78571428571428</v>
      </c>
      <c r="D337" s="20" t="n">
        <f aca="false">$C$4*B336*$C$4+$C$4*C336*$C$5+$C$5*C336*$C$4+$C$5*D336*$C$5+$F$5</f>
        <v>11.9928571428571</v>
      </c>
      <c r="P337" s="18" t="n">
        <v>328</v>
      </c>
      <c r="Q337" s="20" t="n">
        <f aca="false">Declarations!$B$20*Q336*Declarations!$B$20+Declarations!$B$20*R336*Declarations!$B$21+Declarations!$B$20*S336*Declarations!$B$22+Declarations!$B$21*R336*Declarations!$B$20+Declarations!$B$21*T336*Declarations!$B$21+Declarations!$B$21*U336*Declarations!$B$22+Declarations!$B$22*S336*Declarations!$B$20+Declarations!$B$22*U336*Declarations!$B$21+Declarations!$B$22*V336*Declarations!$B$22+1</f>
        <v>10.2972987232246</v>
      </c>
      <c r="R337" s="20" t="n">
        <f aca="false">Declarations!$B$20*Q336*Declarations!$C$20+Declarations!$B$20*R336*Declarations!$C$21+Declarations!$B$20*S336*Declarations!$C$22+Declarations!$B$21*R336*Declarations!$C$20+Declarations!$B$21*T336*Declarations!$C$21+Declarations!$B$21*U336*Declarations!$C$22+Declarations!$B$22*S336*Declarations!$C$20+Declarations!$B$22*U336*Declarations!$C$21+Declarations!$B$22*V336*Declarations!$C$22+0</f>
        <v>4.60691839453413</v>
      </c>
      <c r="S337" s="20" t="n">
        <f aca="false">Declarations!$B$20*Q336*Declarations!$D$20+Declarations!$B$20*R336*Declarations!$D$21+Declarations!$B$20*S336*Declarations!$D$22+Declarations!$B$21*R336*Declarations!$D$20+Declarations!$B$21*T336*Declarations!$D$21+Declarations!$B$21*U336*Declarations!$D$22+Declarations!$B$22*S336*Declarations!$D$20+Declarations!$B$22*U336*Declarations!$D$21+Declarations!$B$22*V336*Declarations!$D$22+0</f>
        <v>0.617283950617284</v>
      </c>
      <c r="T337" s="20" t="n">
        <f aca="false">Declarations!$C$20*Q336*Declarations!$C$20+Declarations!$C$20*R336*Declarations!$C$21+Declarations!$C$20*S336*Declarations!$C$22+Declarations!$C$21*R336*Declarations!$C$20+Declarations!$C$21*T336*Declarations!$C$21+Declarations!$C$21*U336*Declarations!$C$22+Declarations!$C$22*S336*Declarations!$C$20+Declarations!$C$22*U336*Declarations!$C$21+Declarations!$C$22*V336*Declarations!$C$22+1</f>
        <v>5.70253970138228</v>
      </c>
      <c r="U337" s="20" t="n">
        <f aca="false">Declarations!$C$20*Q336*Declarations!$D$20+Declarations!$C$20*R336*Declarations!$D$21+Declarations!$C$20*S336*Declarations!$D$22+Declarations!$C$21*R336*Declarations!$D$20+Declarations!$C$21*T336*Declarations!$D$21+Declarations!$C$21*U336*Declarations!$D$22+Declarations!$C$22*S336*Declarations!$D$20+Declarations!$C$22*U336*Declarations!$D$21+Declarations!$C$22*V336*Declarations!$D$22+0</f>
        <v>0.771604938271605</v>
      </c>
      <c r="V337" s="20" t="n">
        <f aca="false">Declarations!$D$20*Q336*Declarations!$D$20+Declarations!$D$20*R336*Declarations!$D$21+Declarations!$D$20*S336*Declarations!$D$22+Declarations!$D$21*R336*Declarations!$D$20+Declarations!$D$21*T336*Declarations!$D$21+Declarations!$D$21*U336*Declarations!$D$22+Declarations!$D$22*S336*Declarations!$D$20+Declarations!$D$22*U336*Declarations!$D$21+Declarations!$D$22*V336*Declarations!$D$22+1</f>
        <v>2.77777777777778</v>
      </c>
    </row>
    <row r="338" customFormat="false" ht="15" hidden="false" customHeight="false" outlineLevel="0" collapsed="false">
      <c r="A338" s="18" t="n">
        <v>329</v>
      </c>
      <c r="B338" s="20" t="n">
        <f aca="false">$B$4*B337*$B$4+$B$4*C337*$B$5+$B$5*C337*$B$4+$B$5*D337*$B$5+$E$4</f>
        <v>13.5714285714285</v>
      </c>
      <c r="C338" s="20" t="n">
        <f aca="false">$B$4*B337*$C$4+$B$4*C337*$C$5+$B$5*C337*$C$4+$B$5*D337*$C$5+$F$4</f>
        <v>-5.78571428571428</v>
      </c>
      <c r="D338" s="20" t="n">
        <f aca="false">$C$4*B337*$C$4+$C$4*C337*$C$5+$C$5*C337*$C$4+$C$5*D337*$C$5+$F$5</f>
        <v>11.9928571428571</v>
      </c>
      <c r="P338" s="18" t="n">
        <v>329</v>
      </c>
      <c r="Q338" s="20" t="n">
        <f aca="false">Declarations!$B$20*Q337*Declarations!$B$20+Declarations!$B$20*R337*Declarations!$B$21+Declarations!$B$20*S337*Declarations!$B$22+Declarations!$B$21*R337*Declarations!$B$20+Declarations!$B$21*T337*Declarations!$B$21+Declarations!$B$21*U337*Declarations!$B$22+Declarations!$B$22*S337*Declarations!$B$20+Declarations!$B$22*U337*Declarations!$B$21+Declarations!$B$22*V337*Declarations!$B$22+1</f>
        <v>10.2972987232246</v>
      </c>
      <c r="R338" s="20" t="n">
        <f aca="false">Declarations!$B$20*Q337*Declarations!$C$20+Declarations!$B$20*R337*Declarations!$C$21+Declarations!$B$20*S337*Declarations!$C$22+Declarations!$B$21*R337*Declarations!$C$20+Declarations!$B$21*T337*Declarations!$C$21+Declarations!$B$21*U337*Declarations!$C$22+Declarations!$B$22*S337*Declarations!$C$20+Declarations!$B$22*U337*Declarations!$C$21+Declarations!$B$22*V337*Declarations!$C$22+0</f>
        <v>4.60691839453413</v>
      </c>
      <c r="S338" s="20" t="n">
        <f aca="false">Declarations!$B$20*Q337*Declarations!$D$20+Declarations!$B$20*R337*Declarations!$D$21+Declarations!$B$20*S337*Declarations!$D$22+Declarations!$B$21*R337*Declarations!$D$20+Declarations!$B$21*T337*Declarations!$D$21+Declarations!$B$21*U337*Declarations!$D$22+Declarations!$B$22*S337*Declarations!$D$20+Declarations!$B$22*U337*Declarations!$D$21+Declarations!$B$22*V337*Declarations!$D$22+0</f>
        <v>0.617283950617284</v>
      </c>
      <c r="T338" s="20" t="n">
        <f aca="false">Declarations!$C$20*Q337*Declarations!$C$20+Declarations!$C$20*R337*Declarations!$C$21+Declarations!$C$20*S337*Declarations!$C$22+Declarations!$C$21*R337*Declarations!$C$20+Declarations!$C$21*T337*Declarations!$C$21+Declarations!$C$21*U337*Declarations!$C$22+Declarations!$C$22*S337*Declarations!$C$20+Declarations!$C$22*U337*Declarations!$C$21+Declarations!$C$22*V337*Declarations!$C$22+1</f>
        <v>5.70253970138229</v>
      </c>
      <c r="U338" s="20" t="n">
        <f aca="false">Declarations!$C$20*Q337*Declarations!$D$20+Declarations!$C$20*R337*Declarations!$D$21+Declarations!$C$20*S337*Declarations!$D$22+Declarations!$C$21*R337*Declarations!$D$20+Declarations!$C$21*T337*Declarations!$D$21+Declarations!$C$21*U337*Declarations!$D$22+Declarations!$C$22*S337*Declarations!$D$20+Declarations!$C$22*U337*Declarations!$D$21+Declarations!$C$22*V337*Declarations!$D$22+0</f>
        <v>0.771604938271605</v>
      </c>
      <c r="V338" s="20" t="n">
        <f aca="false">Declarations!$D$20*Q337*Declarations!$D$20+Declarations!$D$20*R337*Declarations!$D$21+Declarations!$D$20*S337*Declarations!$D$22+Declarations!$D$21*R337*Declarations!$D$20+Declarations!$D$21*T337*Declarations!$D$21+Declarations!$D$21*U337*Declarations!$D$22+Declarations!$D$22*S337*Declarations!$D$20+Declarations!$D$22*U337*Declarations!$D$21+Declarations!$D$22*V337*Declarations!$D$22+1</f>
        <v>2.77777777777778</v>
      </c>
    </row>
    <row r="339" customFormat="false" ht="15" hidden="false" customHeight="false" outlineLevel="0" collapsed="false">
      <c r="A339" s="18" t="n">
        <v>330</v>
      </c>
      <c r="B339" s="20" t="n">
        <f aca="false">$B$4*B338*$B$4+$B$4*C338*$B$5+$B$5*C338*$B$4+$B$5*D338*$B$5+$E$4</f>
        <v>13.5714285714285</v>
      </c>
      <c r="C339" s="20" t="n">
        <f aca="false">$B$4*B338*$C$4+$B$4*C338*$C$5+$B$5*C338*$C$4+$B$5*D338*$C$5+$F$4</f>
        <v>-5.78571428571428</v>
      </c>
      <c r="D339" s="20" t="n">
        <f aca="false">$C$4*B338*$C$4+$C$4*C338*$C$5+$C$5*C338*$C$4+$C$5*D338*$C$5+$F$5</f>
        <v>11.9928571428571</v>
      </c>
      <c r="P339" s="18" t="n">
        <v>330</v>
      </c>
      <c r="Q339" s="20" t="n">
        <f aca="false">Declarations!$B$20*Q338*Declarations!$B$20+Declarations!$B$20*R338*Declarations!$B$21+Declarations!$B$20*S338*Declarations!$B$22+Declarations!$B$21*R338*Declarations!$B$20+Declarations!$B$21*T338*Declarations!$B$21+Declarations!$B$21*U338*Declarations!$B$22+Declarations!$B$22*S338*Declarations!$B$20+Declarations!$B$22*U338*Declarations!$B$21+Declarations!$B$22*V338*Declarations!$B$22+1</f>
        <v>10.2972987232246</v>
      </c>
      <c r="R339" s="20" t="n">
        <f aca="false">Declarations!$B$20*Q338*Declarations!$C$20+Declarations!$B$20*R338*Declarations!$C$21+Declarations!$B$20*S338*Declarations!$C$22+Declarations!$B$21*R338*Declarations!$C$20+Declarations!$B$21*T338*Declarations!$C$21+Declarations!$B$21*U338*Declarations!$C$22+Declarations!$B$22*S338*Declarations!$C$20+Declarations!$B$22*U338*Declarations!$C$21+Declarations!$B$22*V338*Declarations!$C$22+0</f>
        <v>4.60691839453413</v>
      </c>
      <c r="S339" s="20" t="n">
        <f aca="false">Declarations!$B$20*Q338*Declarations!$D$20+Declarations!$B$20*R338*Declarations!$D$21+Declarations!$B$20*S338*Declarations!$D$22+Declarations!$B$21*R338*Declarations!$D$20+Declarations!$B$21*T338*Declarations!$D$21+Declarations!$B$21*U338*Declarations!$D$22+Declarations!$B$22*S338*Declarations!$D$20+Declarations!$B$22*U338*Declarations!$D$21+Declarations!$B$22*V338*Declarations!$D$22+0</f>
        <v>0.617283950617284</v>
      </c>
      <c r="T339" s="20" t="n">
        <f aca="false">Declarations!$C$20*Q338*Declarations!$C$20+Declarations!$C$20*R338*Declarations!$C$21+Declarations!$C$20*S338*Declarations!$C$22+Declarations!$C$21*R338*Declarations!$C$20+Declarations!$C$21*T338*Declarations!$C$21+Declarations!$C$21*U338*Declarations!$C$22+Declarations!$C$22*S338*Declarations!$C$20+Declarations!$C$22*U338*Declarations!$C$21+Declarations!$C$22*V338*Declarations!$C$22+1</f>
        <v>5.70253970138229</v>
      </c>
      <c r="U339" s="20" t="n">
        <f aca="false">Declarations!$C$20*Q338*Declarations!$D$20+Declarations!$C$20*R338*Declarations!$D$21+Declarations!$C$20*S338*Declarations!$D$22+Declarations!$C$21*R338*Declarations!$D$20+Declarations!$C$21*T338*Declarations!$D$21+Declarations!$C$21*U338*Declarations!$D$22+Declarations!$C$22*S338*Declarations!$D$20+Declarations!$C$22*U338*Declarations!$D$21+Declarations!$C$22*V338*Declarations!$D$22+0</f>
        <v>0.771604938271605</v>
      </c>
      <c r="V339" s="20" t="n">
        <f aca="false">Declarations!$D$20*Q338*Declarations!$D$20+Declarations!$D$20*R338*Declarations!$D$21+Declarations!$D$20*S338*Declarations!$D$22+Declarations!$D$21*R338*Declarations!$D$20+Declarations!$D$21*T338*Declarations!$D$21+Declarations!$D$21*U338*Declarations!$D$22+Declarations!$D$22*S338*Declarations!$D$20+Declarations!$D$22*U338*Declarations!$D$21+Declarations!$D$22*V338*Declarations!$D$22+1</f>
        <v>2.77777777777778</v>
      </c>
    </row>
    <row r="340" customFormat="false" ht="15" hidden="false" customHeight="false" outlineLevel="0" collapsed="false">
      <c r="A340" s="18" t="n">
        <v>331</v>
      </c>
      <c r="B340" s="20" t="n">
        <f aca="false">$B$4*B339*$B$4+$B$4*C339*$B$5+$B$5*C339*$B$4+$B$5*D339*$B$5+$E$4</f>
        <v>13.5714285714286</v>
      </c>
      <c r="C340" s="20" t="n">
        <f aca="false">$B$4*B339*$C$4+$B$4*C339*$C$5+$B$5*C339*$C$4+$B$5*D339*$C$5+$F$4</f>
        <v>-5.78571428571428</v>
      </c>
      <c r="D340" s="20" t="n">
        <f aca="false">$C$4*B339*$C$4+$C$4*C339*$C$5+$C$5*C339*$C$4+$C$5*D339*$C$5+$F$5</f>
        <v>11.9928571428571</v>
      </c>
      <c r="P340" s="18" t="n">
        <v>331</v>
      </c>
      <c r="Q340" s="20" t="n">
        <f aca="false">Declarations!$B$20*Q339*Declarations!$B$20+Declarations!$B$20*R339*Declarations!$B$21+Declarations!$B$20*S339*Declarations!$B$22+Declarations!$B$21*R339*Declarations!$B$20+Declarations!$B$21*T339*Declarations!$B$21+Declarations!$B$21*U339*Declarations!$B$22+Declarations!$B$22*S339*Declarations!$B$20+Declarations!$B$22*U339*Declarations!$B$21+Declarations!$B$22*V339*Declarations!$B$22+1</f>
        <v>10.2972987232246</v>
      </c>
      <c r="R340" s="20" t="n">
        <f aca="false">Declarations!$B$20*Q339*Declarations!$C$20+Declarations!$B$20*R339*Declarations!$C$21+Declarations!$B$20*S339*Declarations!$C$22+Declarations!$B$21*R339*Declarations!$C$20+Declarations!$B$21*T339*Declarations!$C$21+Declarations!$B$21*U339*Declarations!$C$22+Declarations!$B$22*S339*Declarations!$C$20+Declarations!$B$22*U339*Declarations!$C$21+Declarations!$B$22*V339*Declarations!$C$22+0</f>
        <v>4.60691839453413</v>
      </c>
      <c r="S340" s="20" t="n">
        <f aca="false">Declarations!$B$20*Q339*Declarations!$D$20+Declarations!$B$20*R339*Declarations!$D$21+Declarations!$B$20*S339*Declarations!$D$22+Declarations!$B$21*R339*Declarations!$D$20+Declarations!$B$21*T339*Declarations!$D$21+Declarations!$B$21*U339*Declarations!$D$22+Declarations!$B$22*S339*Declarations!$D$20+Declarations!$B$22*U339*Declarations!$D$21+Declarations!$B$22*V339*Declarations!$D$22+0</f>
        <v>0.617283950617284</v>
      </c>
      <c r="T340" s="20" t="n">
        <f aca="false">Declarations!$C$20*Q339*Declarations!$C$20+Declarations!$C$20*R339*Declarations!$C$21+Declarations!$C$20*S339*Declarations!$C$22+Declarations!$C$21*R339*Declarations!$C$20+Declarations!$C$21*T339*Declarations!$C$21+Declarations!$C$21*U339*Declarations!$C$22+Declarations!$C$22*S339*Declarations!$C$20+Declarations!$C$22*U339*Declarations!$C$21+Declarations!$C$22*V339*Declarations!$C$22+1</f>
        <v>5.70253970138229</v>
      </c>
      <c r="U340" s="20" t="n">
        <f aca="false">Declarations!$C$20*Q339*Declarations!$D$20+Declarations!$C$20*R339*Declarations!$D$21+Declarations!$C$20*S339*Declarations!$D$22+Declarations!$C$21*R339*Declarations!$D$20+Declarations!$C$21*T339*Declarations!$D$21+Declarations!$C$21*U339*Declarations!$D$22+Declarations!$C$22*S339*Declarations!$D$20+Declarations!$C$22*U339*Declarations!$D$21+Declarations!$C$22*V339*Declarations!$D$22+0</f>
        <v>0.771604938271605</v>
      </c>
      <c r="V340" s="20" t="n">
        <f aca="false">Declarations!$D$20*Q339*Declarations!$D$20+Declarations!$D$20*R339*Declarations!$D$21+Declarations!$D$20*S339*Declarations!$D$22+Declarations!$D$21*R339*Declarations!$D$20+Declarations!$D$21*T339*Declarations!$D$21+Declarations!$D$21*U339*Declarations!$D$22+Declarations!$D$22*S339*Declarations!$D$20+Declarations!$D$22*U339*Declarations!$D$21+Declarations!$D$22*V339*Declarations!$D$22+1</f>
        <v>2.77777777777778</v>
      </c>
    </row>
    <row r="341" customFormat="false" ht="15" hidden="false" customHeight="false" outlineLevel="0" collapsed="false">
      <c r="A341" s="18" t="n">
        <v>332</v>
      </c>
      <c r="B341" s="20" t="n">
        <f aca="false">$B$4*B340*$B$4+$B$4*C340*$B$5+$B$5*C340*$B$4+$B$5*D340*$B$5+$E$4</f>
        <v>13.5714285714285</v>
      </c>
      <c r="C341" s="20" t="n">
        <f aca="false">$B$4*B340*$C$4+$B$4*C340*$C$5+$B$5*C340*$C$4+$B$5*D340*$C$5+$F$4</f>
        <v>-5.78571428571428</v>
      </c>
      <c r="D341" s="20" t="n">
        <f aca="false">$C$4*B340*$C$4+$C$4*C340*$C$5+$C$5*C340*$C$4+$C$5*D340*$C$5+$F$5</f>
        <v>11.9928571428571</v>
      </c>
      <c r="P341" s="18" t="n">
        <v>332</v>
      </c>
      <c r="Q341" s="20" t="n">
        <f aca="false">Declarations!$B$20*Q340*Declarations!$B$20+Declarations!$B$20*R340*Declarations!$B$21+Declarations!$B$20*S340*Declarations!$B$22+Declarations!$B$21*R340*Declarations!$B$20+Declarations!$B$21*T340*Declarations!$B$21+Declarations!$B$21*U340*Declarations!$B$22+Declarations!$B$22*S340*Declarations!$B$20+Declarations!$B$22*U340*Declarations!$B$21+Declarations!$B$22*V340*Declarations!$B$22+1</f>
        <v>10.2972987232246</v>
      </c>
      <c r="R341" s="20" t="n">
        <f aca="false">Declarations!$B$20*Q340*Declarations!$C$20+Declarations!$B$20*R340*Declarations!$C$21+Declarations!$B$20*S340*Declarations!$C$22+Declarations!$B$21*R340*Declarations!$C$20+Declarations!$B$21*T340*Declarations!$C$21+Declarations!$B$21*U340*Declarations!$C$22+Declarations!$B$22*S340*Declarations!$C$20+Declarations!$B$22*U340*Declarations!$C$21+Declarations!$B$22*V340*Declarations!$C$22+0</f>
        <v>4.60691839453413</v>
      </c>
      <c r="S341" s="20" t="n">
        <f aca="false">Declarations!$B$20*Q340*Declarations!$D$20+Declarations!$B$20*R340*Declarations!$D$21+Declarations!$B$20*S340*Declarations!$D$22+Declarations!$B$21*R340*Declarations!$D$20+Declarations!$B$21*T340*Declarations!$D$21+Declarations!$B$21*U340*Declarations!$D$22+Declarations!$B$22*S340*Declarations!$D$20+Declarations!$B$22*U340*Declarations!$D$21+Declarations!$B$22*V340*Declarations!$D$22+0</f>
        <v>0.617283950617284</v>
      </c>
      <c r="T341" s="20" t="n">
        <f aca="false">Declarations!$C$20*Q340*Declarations!$C$20+Declarations!$C$20*R340*Declarations!$C$21+Declarations!$C$20*S340*Declarations!$C$22+Declarations!$C$21*R340*Declarations!$C$20+Declarations!$C$21*T340*Declarations!$C$21+Declarations!$C$21*U340*Declarations!$C$22+Declarations!$C$22*S340*Declarations!$C$20+Declarations!$C$22*U340*Declarations!$C$21+Declarations!$C$22*V340*Declarations!$C$22+1</f>
        <v>5.70253970138229</v>
      </c>
      <c r="U341" s="20" t="n">
        <f aca="false">Declarations!$C$20*Q340*Declarations!$D$20+Declarations!$C$20*R340*Declarations!$D$21+Declarations!$C$20*S340*Declarations!$D$22+Declarations!$C$21*R340*Declarations!$D$20+Declarations!$C$21*T340*Declarations!$D$21+Declarations!$C$21*U340*Declarations!$D$22+Declarations!$C$22*S340*Declarations!$D$20+Declarations!$C$22*U340*Declarations!$D$21+Declarations!$C$22*V340*Declarations!$D$22+0</f>
        <v>0.771604938271605</v>
      </c>
      <c r="V341" s="20" t="n">
        <f aca="false">Declarations!$D$20*Q340*Declarations!$D$20+Declarations!$D$20*R340*Declarations!$D$21+Declarations!$D$20*S340*Declarations!$D$22+Declarations!$D$21*R340*Declarations!$D$20+Declarations!$D$21*T340*Declarations!$D$21+Declarations!$D$21*U340*Declarations!$D$22+Declarations!$D$22*S340*Declarations!$D$20+Declarations!$D$22*U340*Declarations!$D$21+Declarations!$D$22*V340*Declarations!$D$22+1</f>
        <v>2.77777777777778</v>
      </c>
    </row>
    <row r="342" customFormat="false" ht="15" hidden="false" customHeight="false" outlineLevel="0" collapsed="false">
      <c r="A342" s="18" t="n">
        <v>333</v>
      </c>
      <c r="B342" s="20" t="n">
        <f aca="false">$B$4*B341*$B$4+$B$4*C341*$B$5+$B$5*C341*$B$4+$B$5*D341*$B$5+$E$4</f>
        <v>13.5714285714286</v>
      </c>
      <c r="C342" s="20" t="n">
        <f aca="false">$B$4*B341*$C$4+$B$4*C341*$C$5+$B$5*C341*$C$4+$B$5*D341*$C$5+$F$4</f>
        <v>-5.78571428571428</v>
      </c>
      <c r="D342" s="20" t="n">
        <f aca="false">$C$4*B341*$C$4+$C$4*C341*$C$5+$C$5*C341*$C$4+$C$5*D341*$C$5+$F$5</f>
        <v>11.9928571428571</v>
      </c>
      <c r="P342" s="18" t="n">
        <v>333</v>
      </c>
      <c r="Q342" s="20" t="n">
        <f aca="false">Declarations!$B$20*Q341*Declarations!$B$20+Declarations!$B$20*R341*Declarations!$B$21+Declarations!$B$20*S341*Declarations!$B$22+Declarations!$B$21*R341*Declarations!$B$20+Declarations!$B$21*T341*Declarations!$B$21+Declarations!$B$21*U341*Declarations!$B$22+Declarations!$B$22*S341*Declarations!$B$20+Declarations!$B$22*U341*Declarations!$B$21+Declarations!$B$22*V341*Declarations!$B$22+1</f>
        <v>10.2972987232246</v>
      </c>
      <c r="R342" s="20" t="n">
        <f aca="false">Declarations!$B$20*Q341*Declarations!$C$20+Declarations!$B$20*R341*Declarations!$C$21+Declarations!$B$20*S341*Declarations!$C$22+Declarations!$B$21*R341*Declarations!$C$20+Declarations!$B$21*T341*Declarations!$C$21+Declarations!$B$21*U341*Declarations!$C$22+Declarations!$B$22*S341*Declarations!$C$20+Declarations!$B$22*U341*Declarations!$C$21+Declarations!$B$22*V341*Declarations!$C$22+0</f>
        <v>4.60691839453413</v>
      </c>
      <c r="S342" s="20" t="n">
        <f aca="false">Declarations!$B$20*Q341*Declarations!$D$20+Declarations!$B$20*R341*Declarations!$D$21+Declarations!$B$20*S341*Declarations!$D$22+Declarations!$B$21*R341*Declarations!$D$20+Declarations!$B$21*T341*Declarations!$D$21+Declarations!$B$21*U341*Declarations!$D$22+Declarations!$B$22*S341*Declarations!$D$20+Declarations!$B$22*U341*Declarations!$D$21+Declarations!$B$22*V341*Declarations!$D$22+0</f>
        <v>0.617283950617284</v>
      </c>
      <c r="T342" s="20" t="n">
        <f aca="false">Declarations!$C$20*Q341*Declarations!$C$20+Declarations!$C$20*R341*Declarations!$C$21+Declarations!$C$20*S341*Declarations!$C$22+Declarations!$C$21*R341*Declarations!$C$20+Declarations!$C$21*T341*Declarations!$C$21+Declarations!$C$21*U341*Declarations!$C$22+Declarations!$C$22*S341*Declarations!$C$20+Declarations!$C$22*U341*Declarations!$C$21+Declarations!$C$22*V341*Declarations!$C$22+1</f>
        <v>5.70253970138229</v>
      </c>
      <c r="U342" s="20" t="n">
        <f aca="false">Declarations!$C$20*Q341*Declarations!$D$20+Declarations!$C$20*R341*Declarations!$D$21+Declarations!$C$20*S341*Declarations!$D$22+Declarations!$C$21*R341*Declarations!$D$20+Declarations!$C$21*T341*Declarations!$D$21+Declarations!$C$21*U341*Declarations!$D$22+Declarations!$C$22*S341*Declarations!$D$20+Declarations!$C$22*U341*Declarations!$D$21+Declarations!$C$22*V341*Declarations!$D$22+0</f>
        <v>0.771604938271605</v>
      </c>
      <c r="V342" s="20" t="n">
        <f aca="false">Declarations!$D$20*Q341*Declarations!$D$20+Declarations!$D$20*R341*Declarations!$D$21+Declarations!$D$20*S341*Declarations!$D$22+Declarations!$D$21*R341*Declarations!$D$20+Declarations!$D$21*T341*Declarations!$D$21+Declarations!$D$21*U341*Declarations!$D$22+Declarations!$D$22*S341*Declarations!$D$20+Declarations!$D$22*U341*Declarations!$D$21+Declarations!$D$22*V341*Declarations!$D$22+1</f>
        <v>2.77777777777778</v>
      </c>
    </row>
    <row r="343" customFormat="false" ht="15" hidden="false" customHeight="false" outlineLevel="0" collapsed="false">
      <c r="A343" s="18" t="n">
        <v>334</v>
      </c>
      <c r="B343" s="20" t="n">
        <f aca="false">$B$4*B342*$B$4+$B$4*C342*$B$5+$B$5*C342*$B$4+$B$5*D342*$B$5+$E$4</f>
        <v>13.5714285714286</v>
      </c>
      <c r="C343" s="20" t="n">
        <f aca="false">$B$4*B342*$C$4+$B$4*C342*$C$5+$B$5*C342*$C$4+$B$5*D342*$C$5+$F$4</f>
        <v>-5.78571428571428</v>
      </c>
      <c r="D343" s="20" t="n">
        <f aca="false">$C$4*B342*$C$4+$C$4*C342*$C$5+$C$5*C342*$C$4+$C$5*D342*$C$5+$F$5</f>
        <v>11.9928571428571</v>
      </c>
      <c r="P343" s="18" t="n">
        <v>334</v>
      </c>
      <c r="Q343" s="20" t="n">
        <f aca="false">Declarations!$B$20*Q342*Declarations!$B$20+Declarations!$B$20*R342*Declarations!$B$21+Declarations!$B$20*S342*Declarations!$B$22+Declarations!$B$21*R342*Declarations!$B$20+Declarations!$B$21*T342*Declarations!$B$21+Declarations!$B$21*U342*Declarations!$B$22+Declarations!$B$22*S342*Declarations!$B$20+Declarations!$B$22*U342*Declarations!$B$21+Declarations!$B$22*V342*Declarations!$B$22+1</f>
        <v>10.2972987232246</v>
      </c>
      <c r="R343" s="20" t="n">
        <f aca="false">Declarations!$B$20*Q342*Declarations!$C$20+Declarations!$B$20*R342*Declarations!$C$21+Declarations!$B$20*S342*Declarations!$C$22+Declarations!$B$21*R342*Declarations!$C$20+Declarations!$B$21*T342*Declarations!$C$21+Declarations!$B$21*U342*Declarations!$C$22+Declarations!$B$22*S342*Declarations!$C$20+Declarations!$B$22*U342*Declarations!$C$21+Declarations!$B$22*V342*Declarations!$C$22+0</f>
        <v>4.60691839453413</v>
      </c>
      <c r="S343" s="20" t="n">
        <f aca="false">Declarations!$B$20*Q342*Declarations!$D$20+Declarations!$B$20*R342*Declarations!$D$21+Declarations!$B$20*S342*Declarations!$D$22+Declarations!$B$21*R342*Declarations!$D$20+Declarations!$B$21*T342*Declarations!$D$21+Declarations!$B$21*U342*Declarations!$D$22+Declarations!$B$22*S342*Declarations!$D$20+Declarations!$B$22*U342*Declarations!$D$21+Declarations!$B$22*V342*Declarations!$D$22+0</f>
        <v>0.617283950617284</v>
      </c>
      <c r="T343" s="20" t="n">
        <f aca="false">Declarations!$C$20*Q342*Declarations!$C$20+Declarations!$C$20*R342*Declarations!$C$21+Declarations!$C$20*S342*Declarations!$C$22+Declarations!$C$21*R342*Declarations!$C$20+Declarations!$C$21*T342*Declarations!$C$21+Declarations!$C$21*U342*Declarations!$C$22+Declarations!$C$22*S342*Declarations!$C$20+Declarations!$C$22*U342*Declarations!$C$21+Declarations!$C$22*V342*Declarations!$C$22+1</f>
        <v>5.70253970138229</v>
      </c>
      <c r="U343" s="20" t="n">
        <f aca="false">Declarations!$C$20*Q342*Declarations!$D$20+Declarations!$C$20*R342*Declarations!$D$21+Declarations!$C$20*S342*Declarations!$D$22+Declarations!$C$21*R342*Declarations!$D$20+Declarations!$C$21*T342*Declarations!$D$21+Declarations!$C$21*U342*Declarations!$D$22+Declarations!$C$22*S342*Declarations!$D$20+Declarations!$C$22*U342*Declarations!$D$21+Declarations!$C$22*V342*Declarations!$D$22+0</f>
        <v>0.771604938271605</v>
      </c>
      <c r="V343" s="20" t="n">
        <f aca="false">Declarations!$D$20*Q342*Declarations!$D$20+Declarations!$D$20*R342*Declarations!$D$21+Declarations!$D$20*S342*Declarations!$D$22+Declarations!$D$21*R342*Declarations!$D$20+Declarations!$D$21*T342*Declarations!$D$21+Declarations!$D$21*U342*Declarations!$D$22+Declarations!$D$22*S342*Declarations!$D$20+Declarations!$D$22*U342*Declarations!$D$21+Declarations!$D$22*V342*Declarations!$D$22+1</f>
        <v>2.77777777777778</v>
      </c>
    </row>
    <row r="344" customFormat="false" ht="15" hidden="false" customHeight="false" outlineLevel="0" collapsed="false">
      <c r="A344" s="18" t="n">
        <v>335</v>
      </c>
      <c r="B344" s="20" t="n">
        <f aca="false">$B$4*B343*$B$4+$B$4*C343*$B$5+$B$5*C343*$B$4+$B$5*D343*$B$5+$E$4</f>
        <v>13.5714285714286</v>
      </c>
      <c r="C344" s="20" t="n">
        <f aca="false">$B$4*B343*$C$4+$B$4*C343*$C$5+$B$5*C343*$C$4+$B$5*D343*$C$5+$F$4</f>
        <v>-5.78571428571428</v>
      </c>
      <c r="D344" s="20" t="n">
        <f aca="false">$C$4*B343*$C$4+$C$4*C343*$C$5+$C$5*C343*$C$4+$C$5*D343*$C$5+$F$5</f>
        <v>11.9928571428571</v>
      </c>
      <c r="P344" s="18" t="n">
        <v>335</v>
      </c>
      <c r="Q344" s="20" t="n">
        <f aca="false">Declarations!$B$20*Q343*Declarations!$B$20+Declarations!$B$20*R343*Declarations!$B$21+Declarations!$B$20*S343*Declarations!$B$22+Declarations!$B$21*R343*Declarations!$B$20+Declarations!$B$21*T343*Declarations!$B$21+Declarations!$B$21*U343*Declarations!$B$22+Declarations!$B$22*S343*Declarations!$B$20+Declarations!$B$22*U343*Declarations!$B$21+Declarations!$B$22*V343*Declarations!$B$22+1</f>
        <v>10.2972987232246</v>
      </c>
      <c r="R344" s="20" t="n">
        <f aca="false">Declarations!$B$20*Q343*Declarations!$C$20+Declarations!$B$20*R343*Declarations!$C$21+Declarations!$B$20*S343*Declarations!$C$22+Declarations!$B$21*R343*Declarations!$C$20+Declarations!$B$21*T343*Declarations!$C$21+Declarations!$B$21*U343*Declarations!$C$22+Declarations!$B$22*S343*Declarations!$C$20+Declarations!$B$22*U343*Declarations!$C$21+Declarations!$B$22*V343*Declarations!$C$22+0</f>
        <v>4.60691839453414</v>
      </c>
      <c r="S344" s="20" t="n">
        <f aca="false">Declarations!$B$20*Q343*Declarations!$D$20+Declarations!$B$20*R343*Declarations!$D$21+Declarations!$B$20*S343*Declarations!$D$22+Declarations!$B$21*R343*Declarations!$D$20+Declarations!$B$21*T343*Declarations!$D$21+Declarations!$B$21*U343*Declarations!$D$22+Declarations!$B$22*S343*Declarations!$D$20+Declarations!$B$22*U343*Declarations!$D$21+Declarations!$B$22*V343*Declarations!$D$22+0</f>
        <v>0.617283950617284</v>
      </c>
      <c r="T344" s="20" t="n">
        <f aca="false">Declarations!$C$20*Q343*Declarations!$C$20+Declarations!$C$20*R343*Declarations!$C$21+Declarations!$C$20*S343*Declarations!$C$22+Declarations!$C$21*R343*Declarations!$C$20+Declarations!$C$21*T343*Declarations!$C$21+Declarations!$C$21*U343*Declarations!$C$22+Declarations!$C$22*S343*Declarations!$C$20+Declarations!$C$22*U343*Declarations!$C$21+Declarations!$C$22*V343*Declarations!$C$22+1</f>
        <v>5.70253970138229</v>
      </c>
      <c r="U344" s="20" t="n">
        <f aca="false">Declarations!$C$20*Q343*Declarations!$D$20+Declarations!$C$20*R343*Declarations!$D$21+Declarations!$C$20*S343*Declarations!$D$22+Declarations!$C$21*R343*Declarations!$D$20+Declarations!$C$21*T343*Declarations!$D$21+Declarations!$C$21*U343*Declarations!$D$22+Declarations!$C$22*S343*Declarations!$D$20+Declarations!$C$22*U343*Declarations!$D$21+Declarations!$C$22*V343*Declarations!$D$22+0</f>
        <v>0.771604938271605</v>
      </c>
      <c r="V344" s="20" t="n">
        <f aca="false">Declarations!$D$20*Q343*Declarations!$D$20+Declarations!$D$20*R343*Declarations!$D$21+Declarations!$D$20*S343*Declarations!$D$22+Declarations!$D$21*R343*Declarations!$D$20+Declarations!$D$21*T343*Declarations!$D$21+Declarations!$D$21*U343*Declarations!$D$22+Declarations!$D$22*S343*Declarations!$D$20+Declarations!$D$22*U343*Declarations!$D$21+Declarations!$D$22*V343*Declarations!$D$22+1</f>
        <v>2.77777777777778</v>
      </c>
    </row>
    <row r="345" customFormat="false" ht="15" hidden="false" customHeight="false" outlineLevel="0" collapsed="false">
      <c r="A345" s="18" t="n">
        <v>336</v>
      </c>
      <c r="B345" s="20" t="n">
        <f aca="false">$B$4*B344*$B$4+$B$4*C344*$B$5+$B$5*C344*$B$4+$B$5*D344*$B$5+$E$4</f>
        <v>13.5714285714286</v>
      </c>
      <c r="C345" s="20" t="n">
        <f aca="false">$B$4*B344*$C$4+$B$4*C344*$C$5+$B$5*C344*$C$4+$B$5*D344*$C$5+$F$4</f>
        <v>-5.78571428571428</v>
      </c>
      <c r="D345" s="20" t="n">
        <f aca="false">$C$4*B344*$C$4+$C$4*C344*$C$5+$C$5*C344*$C$4+$C$5*D344*$C$5+$F$5</f>
        <v>11.9928571428571</v>
      </c>
      <c r="P345" s="18" t="n">
        <v>336</v>
      </c>
      <c r="Q345" s="20" t="n">
        <f aca="false">Declarations!$B$20*Q344*Declarations!$B$20+Declarations!$B$20*R344*Declarations!$B$21+Declarations!$B$20*S344*Declarations!$B$22+Declarations!$B$21*R344*Declarations!$B$20+Declarations!$B$21*T344*Declarations!$B$21+Declarations!$B$21*U344*Declarations!$B$22+Declarations!$B$22*S344*Declarations!$B$20+Declarations!$B$22*U344*Declarations!$B$21+Declarations!$B$22*V344*Declarations!$B$22+1</f>
        <v>10.2972987232247</v>
      </c>
      <c r="R345" s="20" t="n">
        <f aca="false">Declarations!$B$20*Q344*Declarations!$C$20+Declarations!$B$20*R344*Declarations!$C$21+Declarations!$B$20*S344*Declarations!$C$22+Declarations!$B$21*R344*Declarations!$C$20+Declarations!$B$21*T344*Declarations!$C$21+Declarations!$B$21*U344*Declarations!$C$22+Declarations!$B$22*S344*Declarations!$C$20+Declarations!$B$22*U344*Declarations!$C$21+Declarations!$B$22*V344*Declarations!$C$22+0</f>
        <v>4.60691839453414</v>
      </c>
      <c r="S345" s="20" t="n">
        <f aca="false">Declarations!$B$20*Q344*Declarations!$D$20+Declarations!$B$20*R344*Declarations!$D$21+Declarations!$B$20*S344*Declarations!$D$22+Declarations!$B$21*R344*Declarations!$D$20+Declarations!$B$21*T344*Declarations!$D$21+Declarations!$B$21*U344*Declarations!$D$22+Declarations!$B$22*S344*Declarations!$D$20+Declarations!$B$22*U344*Declarations!$D$21+Declarations!$B$22*V344*Declarations!$D$22+0</f>
        <v>0.617283950617284</v>
      </c>
      <c r="T345" s="20" t="n">
        <f aca="false">Declarations!$C$20*Q344*Declarations!$C$20+Declarations!$C$20*R344*Declarations!$C$21+Declarations!$C$20*S344*Declarations!$C$22+Declarations!$C$21*R344*Declarations!$C$20+Declarations!$C$21*T344*Declarations!$C$21+Declarations!$C$21*U344*Declarations!$C$22+Declarations!$C$22*S344*Declarations!$C$20+Declarations!$C$22*U344*Declarations!$C$21+Declarations!$C$22*V344*Declarations!$C$22+1</f>
        <v>5.70253970138229</v>
      </c>
      <c r="U345" s="20" t="n">
        <f aca="false">Declarations!$C$20*Q344*Declarations!$D$20+Declarations!$C$20*R344*Declarations!$D$21+Declarations!$C$20*S344*Declarations!$D$22+Declarations!$C$21*R344*Declarations!$D$20+Declarations!$C$21*T344*Declarations!$D$21+Declarations!$C$21*U344*Declarations!$D$22+Declarations!$C$22*S344*Declarations!$D$20+Declarations!$C$22*U344*Declarations!$D$21+Declarations!$C$22*V344*Declarations!$D$22+0</f>
        <v>0.771604938271605</v>
      </c>
      <c r="V345" s="20" t="n">
        <f aca="false">Declarations!$D$20*Q344*Declarations!$D$20+Declarations!$D$20*R344*Declarations!$D$21+Declarations!$D$20*S344*Declarations!$D$22+Declarations!$D$21*R344*Declarations!$D$20+Declarations!$D$21*T344*Declarations!$D$21+Declarations!$D$21*U344*Declarations!$D$22+Declarations!$D$22*S344*Declarations!$D$20+Declarations!$D$22*U344*Declarations!$D$21+Declarations!$D$22*V344*Declarations!$D$22+1</f>
        <v>2.77777777777778</v>
      </c>
    </row>
    <row r="346" customFormat="false" ht="15" hidden="false" customHeight="false" outlineLevel="0" collapsed="false">
      <c r="A346" s="18" t="n">
        <v>337</v>
      </c>
      <c r="B346" s="20" t="n">
        <f aca="false">$B$4*B345*$B$4+$B$4*C345*$B$5+$B$5*C345*$B$4+$B$5*D345*$B$5+$E$4</f>
        <v>13.5714285714286</v>
      </c>
      <c r="C346" s="20" t="n">
        <f aca="false">$B$4*B345*$C$4+$B$4*C345*$C$5+$B$5*C345*$C$4+$B$5*D345*$C$5+$F$4</f>
        <v>-5.78571428571428</v>
      </c>
      <c r="D346" s="20" t="n">
        <f aca="false">$C$4*B345*$C$4+$C$4*C345*$C$5+$C$5*C345*$C$4+$C$5*D345*$C$5+$F$5</f>
        <v>11.9928571428571</v>
      </c>
      <c r="P346" s="18" t="n">
        <v>337</v>
      </c>
      <c r="Q346" s="20" t="n">
        <f aca="false">Declarations!$B$20*Q345*Declarations!$B$20+Declarations!$B$20*R345*Declarations!$B$21+Declarations!$B$20*S345*Declarations!$B$22+Declarations!$B$21*R345*Declarations!$B$20+Declarations!$B$21*T345*Declarations!$B$21+Declarations!$B$21*U345*Declarations!$B$22+Declarations!$B$22*S345*Declarations!$B$20+Declarations!$B$22*U345*Declarations!$B$21+Declarations!$B$22*V345*Declarations!$B$22+1</f>
        <v>10.2972987232247</v>
      </c>
      <c r="R346" s="20" t="n">
        <f aca="false">Declarations!$B$20*Q345*Declarations!$C$20+Declarations!$B$20*R345*Declarations!$C$21+Declarations!$B$20*S345*Declarations!$C$22+Declarations!$B$21*R345*Declarations!$C$20+Declarations!$B$21*T345*Declarations!$C$21+Declarations!$B$21*U345*Declarations!$C$22+Declarations!$B$22*S345*Declarations!$C$20+Declarations!$B$22*U345*Declarations!$C$21+Declarations!$B$22*V345*Declarations!$C$22+0</f>
        <v>4.60691839453414</v>
      </c>
      <c r="S346" s="20" t="n">
        <f aca="false">Declarations!$B$20*Q345*Declarations!$D$20+Declarations!$B$20*R345*Declarations!$D$21+Declarations!$B$20*S345*Declarations!$D$22+Declarations!$B$21*R345*Declarations!$D$20+Declarations!$B$21*T345*Declarations!$D$21+Declarations!$B$21*U345*Declarations!$D$22+Declarations!$B$22*S345*Declarations!$D$20+Declarations!$B$22*U345*Declarations!$D$21+Declarations!$B$22*V345*Declarations!$D$22+0</f>
        <v>0.617283950617284</v>
      </c>
      <c r="T346" s="20" t="n">
        <f aca="false">Declarations!$C$20*Q345*Declarations!$C$20+Declarations!$C$20*R345*Declarations!$C$21+Declarations!$C$20*S345*Declarations!$C$22+Declarations!$C$21*R345*Declarations!$C$20+Declarations!$C$21*T345*Declarations!$C$21+Declarations!$C$21*U345*Declarations!$C$22+Declarations!$C$22*S345*Declarations!$C$20+Declarations!$C$22*U345*Declarations!$C$21+Declarations!$C$22*V345*Declarations!$C$22+1</f>
        <v>5.70253970138229</v>
      </c>
      <c r="U346" s="20" t="n">
        <f aca="false">Declarations!$C$20*Q345*Declarations!$D$20+Declarations!$C$20*R345*Declarations!$D$21+Declarations!$C$20*S345*Declarations!$D$22+Declarations!$C$21*R345*Declarations!$D$20+Declarations!$C$21*T345*Declarations!$D$21+Declarations!$C$21*U345*Declarations!$D$22+Declarations!$C$22*S345*Declarations!$D$20+Declarations!$C$22*U345*Declarations!$D$21+Declarations!$C$22*V345*Declarations!$D$22+0</f>
        <v>0.771604938271605</v>
      </c>
      <c r="V346" s="20" t="n">
        <f aca="false">Declarations!$D$20*Q345*Declarations!$D$20+Declarations!$D$20*R345*Declarations!$D$21+Declarations!$D$20*S345*Declarations!$D$22+Declarations!$D$21*R345*Declarations!$D$20+Declarations!$D$21*T345*Declarations!$D$21+Declarations!$D$21*U345*Declarations!$D$22+Declarations!$D$22*S345*Declarations!$D$20+Declarations!$D$22*U345*Declarations!$D$21+Declarations!$D$22*V345*Declarations!$D$22+1</f>
        <v>2.77777777777778</v>
      </c>
    </row>
    <row r="347" customFormat="false" ht="15" hidden="false" customHeight="false" outlineLevel="0" collapsed="false">
      <c r="A347" s="18" t="n">
        <v>338</v>
      </c>
      <c r="B347" s="20" t="n">
        <f aca="false">$B$4*B346*$B$4+$B$4*C346*$B$5+$B$5*C346*$B$4+$B$5*D346*$B$5+$E$4</f>
        <v>13.5714285714286</v>
      </c>
      <c r="C347" s="20" t="n">
        <f aca="false">$B$4*B346*$C$4+$B$4*C346*$C$5+$B$5*C346*$C$4+$B$5*D346*$C$5+$F$4</f>
        <v>-5.78571428571428</v>
      </c>
      <c r="D347" s="20" t="n">
        <f aca="false">$C$4*B346*$C$4+$C$4*C346*$C$5+$C$5*C346*$C$4+$C$5*D346*$C$5+$F$5</f>
        <v>11.9928571428571</v>
      </c>
      <c r="P347" s="18" t="n">
        <v>338</v>
      </c>
      <c r="Q347" s="20" t="n">
        <f aca="false">Declarations!$B$20*Q346*Declarations!$B$20+Declarations!$B$20*R346*Declarations!$B$21+Declarations!$B$20*S346*Declarations!$B$22+Declarations!$B$21*R346*Declarations!$B$20+Declarations!$B$21*T346*Declarations!$B$21+Declarations!$B$21*U346*Declarations!$B$22+Declarations!$B$22*S346*Declarations!$B$20+Declarations!$B$22*U346*Declarations!$B$21+Declarations!$B$22*V346*Declarations!$B$22+1</f>
        <v>10.2972987232247</v>
      </c>
      <c r="R347" s="20" t="n">
        <f aca="false">Declarations!$B$20*Q346*Declarations!$C$20+Declarations!$B$20*R346*Declarations!$C$21+Declarations!$B$20*S346*Declarations!$C$22+Declarations!$B$21*R346*Declarations!$C$20+Declarations!$B$21*T346*Declarations!$C$21+Declarations!$B$21*U346*Declarations!$C$22+Declarations!$B$22*S346*Declarations!$C$20+Declarations!$B$22*U346*Declarations!$C$21+Declarations!$B$22*V346*Declarations!$C$22+0</f>
        <v>4.60691839453414</v>
      </c>
      <c r="S347" s="20" t="n">
        <f aca="false">Declarations!$B$20*Q346*Declarations!$D$20+Declarations!$B$20*R346*Declarations!$D$21+Declarations!$B$20*S346*Declarations!$D$22+Declarations!$B$21*R346*Declarations!$D$20+Declarations!$B$21*T346*Declarations!$D$21+Declarations!$B$21*U346*Declarations!$D$22+Declarations!$B$22*S346*Declarations!$D$20+Declarations!$B$22*U346*Declarations!$D$21+Declarations!$B$22*V346*Declarations!$D$22+0</f>
        <v>0.617283950617284</v>
      </c>
      <c r="T347" s="20" t="n">
        <f aca="false">Declarations!$C$20*Q346*Declarations!$C$20+Declarations!$C$20*R346*Declarations!$C$21+Declarations!$C$20*S346*Declarations!$C$22+Declarations!$C$21*R346*Declarations!$C$20+Declarations!$C$21*T346*Declarations!$C$21+Declarations!$C$21*U346*Declarations!$C$22+Declarations!$C$22*S346*Declarations!$C$20+Declarations!$C$22*U346*Declarations!$C$21+Declarations!$C$22*V346*Declarations!$C$22+1</f>
        <v>5.70253970138229</v>
      </c>
      <c r="U347" s="20" t="n">
        <f aca="false">Declarations!$C$20*Q346*Declarations!$D$20+Declarations!$C$20*R346*Declarations!$D$21+Declarations!$C$20*S346*Declarations!$D$22+Declarations!$C$21*R346*Declarations!$D$20+Declarations!$C$21*T346*Declarations!$D$21+Declarations!$C$21*U346*Declarations!$D$22+Declarations!$C$22*S346*Declarations!$D$20+Declarations!$C$22*U346*Declarations!$D$21+Declarations!$C$22*V346*Declarations!$D$22+0</f>
        <v>0.771604938271605</v>
      </c>
      <c r="V347" s="20" t="n">
        <f aca="false">Declarations!$D$20*Q346*Declarations!$D$20+Declarations!$D$20*R346*Declarations!$D$21+Declarations!$D$20*S346*Declarations!$D$22+Declarations!$D$21*R346*Declarations!$D$20+Declarations!$D$21*T346*Declarations!$D$21+Declarations!$D$21*U346*Declarations!$D$22+Declarations!$D$22*S346*Declarations!$D$20+Declarations!$D$22*U346*Declarations!$D$21+Declarations!$D$22*V346*Declarations!$D$22+1</f>
        <v>2.77777777777778</v>
      </c>
    </row>
    <row r="348" customFormat="false" ht="15" hidden="false" customHeight="false" outlineLevel="0" collapsed="false">
      <c r="A348" s="18" t="n">
        <v>339</v>
      </c>
      <c r="B348" s="20" t="n">
        <f aca="false">$B$4*B347*$B$4+$B$4*C347*$B$5+$B$5*C347*$B$4+$B$5*D347*$B$5+$E$4</f>
        <v>13.5714285714286</v>
      </c>
      <c r="C348" s="20" t="n">
        <f aca="false">$B$4*B347*$C$4+$B$4*C347*$C$5+$B$5*C347*$C$4+$B$5*D347*$C$5+$F$4</f>
        <v>-5.78571428571428</v>
      </c>
      <c r="D348" s="20" t="n">
        <f aca="false">$C$4*B347*$C$4+$C$4*C347*$C$5+$C$5*C347*$C$4+$C$5*D347*$C$5+$F$5</f>
        <v>11.9928571428571</v>
      </c>
      <c r="P348" s="18" t="n">
        <v>339</v>
      </c>
      <c r="Q348" s="20" t="n">
        <f aca="false">Declarations!$B$20*Q347*Declarations!$B$20+Declarations!$B$20*R347*Declarations!$B$21+Declarations!$B$20*S347*Declarations!$B$22+Declarations!$B$21*R347*Declarations!$B$20+Declarations!$B$21*T347*Declarations!$B$21+Declarations!$B$21*U347*Declarations!$B$22+Declarations!$B$22*S347*Declarations!$B$20+Declarations!$B$22*U347*Declarations!$B$21+Declarations!$B$22*V347*Declarations!$B$22+1</f>
        <v>10.2972987232247</v>
      </c>
      <c r="R348" s="20" t="n">
        <f aca="false">Declarations!$B$20*Q347*Declarations!$C$20+Declarations!$B$20*R347*Declarations!$C$21+Declarations!$B$20*S347*Declarations!$C$22+Declarations!$B$21*R347*Declarations!$C$20+Declarations!$B$21*T347*Declarations!$C$21+Declarations!$B$21*U347*Declarations!$C$22+Declarations!$B$22*S347*Declarations!$C$20+Declarations!$B$22*U347*Declarations!$C$21+Declarations!$B$22*V347*Declarations!$C$22+0</f>
        <v>4.60691839453414</v>
      </c>
      <c r="S348" s="20" t="n">
        <f aca="false">Declarations!$B$20*Q347*Declarations!$D$20+Declarations!$B$20*R347*Declarations!$D$21+Declarations!$B$20*S347*Declarations!$D$22+Declarations!$B$21*R347*Declarations!$D$20+Declarations!$B$21*T347*Declarations!$D$21+Declarations!$B$21*U347*Declarations!$D$22+Declarations!$B$22*S347*Declarations!$D$20+Declarations!$B$22*U347*Declarations!$D$21+Declarations!$B$22*V347*Declarations!$D$22+0</f>
        <v>0.617283950617284</v>
      </c>
      <c r="T348" s="20" t="n">
        <f aca="false">Declarations!$C$20*Q347*Declarations!$C$20+Declarations!$C$20*R347*Declarations!$C$21+Declarations!$C$20*S347*Declarations!$C$22+Declarations!$C$21*R347*Declarations!$C$20+Declarations!$C$21*T347*Declarations!$C$21+Declarations!$C$21*U347*Declarations!$C$22+Declarations!$C$22*S347*Declarations!$C$20+Declarations!$C$22*U347*Declarations!$C$21+Declarations!$C$22*V347*Declarations!$C$22+1</f>
        <v>5.70253970138229</v>
      </c>
      <c r="U348" s="20" t="n">
        <f aca="false">Declarations!$C$20*Q347*Declarations!$D$20+Declarations!$C$20*R347*Declarations!$D$21+Declarations!$C$20*S347*Declarations!$D$22+Declarations!$C$21*R347*Declarations!$D$20+Declarations!$C$21*T347*Declarations!$D$21+Declarations!$C$21*U347*Declarations!$D$22+Declarations!$C$22*S347*Declarations!$D$20+Declarations!$C$22*U347*Declarations!$D$21+Declarations!$C$22*V347*Declarations!$D$22+0</f>
        <v>0.771604938271605</v>
      </c>
      <c r="V348" s="20" t="n">
        <f aca="false">Declarations!$D$20*Q347*Declarations!$D$20+Declarations!$D$20*R347*Declarations!$D$21+Declarations!$D$20*S347*Declarations!$D$22+Declarations!$D$21*R347*Declarations!$D$20+Declarations!$D$21*T347*Declarations!$D$21+Declarations!$D$21*U347*Declarations!$D$22+Declarations!$D$22*S347*Declarations!$D$20+Declarations!$D$22*U347*Declarations!$D$21+Declarations!$D$22*V347*Declarations!$D$22+1</f>
        <v>2.77777777777778</v>
      </c>
    </row>
    <row r="349" customFormat="false" ht="15" hidden="false" customHeight="false" outlineLevel="0" collapsed="false">
      <c r="A349" s="18" t="n">
        <v>340</v>
      </c>
      <c r="B349" s="20" t="n">
        <f aca="false">$B$4*B348*$B$4+$B$4*C348*$B$5+$B$5*C348*$B$4+$B$5*D348*$B$5+$E$4</f>
        <v>13.5714285714286</v>
      </c>
      <c r="C349" s="20" t="n">
        <f aca="false">$B$4*B348*$C$4+$B$4*C348*$C$5+$B$5*C348*$C$4+$B$5*D348*$C$5+$F$4</f>
        <v>-5.78571428571428</v>
      </c>
      <c r="D349" s="20" t="n">
        <f aca="false">$C$4*B348*$C$4+$C$4*C348*$C$5+$C$5*C348*$C$4+$C$5*D348*$C$5+$F$5</f>
        <v>11.9928571428571</v>
      </c>
      <c r="P349" s="18" t="n">
        <v>340</v>
      </c>
      <c r="Q349" s="20" t="n">
        <f aca="false">Declarations!$B$20*Q348*Declarations!$B$20+Declarations!$B$20*R348*Declarations!$B$21+Declarations!$B$20*S348*Declarations!$B$22+Declarations!$B$21*R348*Declarations!$B$20+Declarations!$B$21*T348*Declarations!$B$21+Declarations!$B$21*U348*Declarations!$B$22+Declarations!$B$22*S348*Declarations!$B$20+Declarations!$B$22*U348*Declarations!$B$21+Declarations!$B$22*V348*Declarations!$B$22+1</f>
        <v>10.2972987232247</v>
      </c>
      <c r="R349" s="20" t="n">
        <f aca="false">Declarations!$B$20*Q348*Declarations!$C$20+Declarations!$B$20*R348*Declarations!$C$21+Declarations!$B$20*S348*Declarations!$C$22+Declarations!$B$21*R348*Declarations!$C$20+Declarations!$B$21*T348*Declarations!$C$21+Declarations!$B$21*U348*Declarations!$C$22+Declarations!$B$22*S348*Declarations!$C$20+Declarations!$B$22*U348*Declarations!$C$21+Declarations!$B$22*V348*Declarations!$C$22+0</f>
        <v>4.60691839453414</v>
      </c>
      <c r="S349" s="20" t="n">
        <f aca="false">Declarations!$B$20*Q348*Declarations!$D$20+Declarations!$B$20*R348*Declarations!$D$21+Declarations!$B$20*S348*Declarations!$D$22+Declarations!$B$21*R348*Declarations!$D$20+Declarations!$B$21*T348*Declarations!$D$21+Declarations!$B$21*U348*Declarations!$D$22+Declarations!$B$22*S348*Declarations!$D$20+Declarations!$B$22*U348*Declarations!$D$21+Declarations!$B$22*V348*Declarations!$D$22+0</f>
        <v>0.617283950617284</v>
      </c>
      <c r="T349" s="20" t="n">
        <f aca="false">Declarations!$C$20*Q348*Declarations!$C$20+Declarations!$C$20*R348*Declarations!$C$21+Declarations!$C$20*S348*Declarations!$C$22+Declarations!$C$21*R348*Declarations!$C$20+Declarations!$C$21*T348*Declarations!$C$21+Declarations!$C$21*U348*Declarations!$C$22+Declarations!$C$22*S348*Declarations!$C$20+Declarations!$C$22*U348*Declarations!$C$21+Declarations!$C$22*V348*Declarations!$C$22+1</f>
        <v>5.70253970138229</v>
      </c>
      <c r="U349" s="20" t="n">
        <f aca="false">Declarations!$C$20*Q348*Declarations!$D$20+Declarations!$C$20*R348*Declarations!$D$21+Declarations!$C$20*S348*Declarations!$D$22+Declarations!$C$21*R348*Declarations!$D$20+Declarations!$C$21*T348*Declarations!$D$21+Declarations!$C$21*U348*Declarations!$D$22+Declarations!$C$22*S348*Declarations!$D$20+Declarations!$C$22*U348*Declarations!$D$21+Declarations!$C$22*V348*Declarations!$D$22+0</f>
        <v>0.771604938271605</v>
      </c>
      <c r="V349" s="20" t="n">
        <f aca="false">Declarations!$D$20*Q348*Declarations!$D$20+Declarations!$D$20*R348*Declarations!$D$21+Declarations!$D$20*S348*Declarations!$D$22+Declarations!$D$21*R348*Declarations!$D$20+Declarations!$D$21*T348*Declarations!$D$21+Declarations!$D$21*U348*Declarations!$D$22+Declarations!$D$22*S348*Declarations!$D$20+Declarations!$D$22*U348*Declarations!$D$21+Declarations!$D$22*V348*Declarations!$D$22+1</f>
        <v>2.77777777777778</v>
      </c>
    </row>
    <row r="350" customFormat="false" ht="15" hidden="false" customHeight="false" outlineLevel="0" collapsed="false">
      <c r="A350" s="18" t="n">
        <v>341</v>
      </c>
      <c r="B350" s="20" t="n">
        <f aca="false">$B$4*B349*$B$4+$B$4*C349*$B$5+$B$5*C349*$B$4+$B$5*D349*$B$5+$E$4</f>
        <v>13.5714285714286</v>
      </c>
      <c r="C350" s="20" t="n">
        <f aca="false">$B$4*B349*$C$4+$B$4*C349*$C$5+$B$5*C349*$C$4+$B$5*D349*$C$5+$F$4</f>
        <v>-5.78571428571428</v>
      </c>
      <c r="D350" s="20" t="n">
        <f aca="false">$C$4*B349*$C$4+$C$4*C349*$C$5+$C$5*C349*$C$4+$C$5*D349*$C$5+$F$5</f>
        <v>11.9928571428571</v>
      </c>
      <c r="P350" s="18" t="n">
        <v>341</v>
      </c>
      <c r="Q350" s="20" t="n">
        <f aca="false">Declarations!$B$20*Q349*Declarations!$B$20+Declarations!$B$20*R349*Declarations!$B$21+Declarations!$B$20*S349*Declarations!$B$22+Declarations!$B$21*R349*Declarations!$B$20+Declarations!$B$21*T349*Declarations!$B$21+Declarations!$B$21*U349*Declarations!$B$22+Declarations!$B$22*S349*Declarations!$B$20+Declarations!$B$22*U349*Declarations!$B$21+Declarations!$B$22*V349*Declarations!$B$22+1</f>
        <v>10.2972987232247</v>
      </c>
      <c r="R350" s="20" t="n">
        <f aca="false">Declarations!$B$20*Q349*Declarations!$C$20+Declarations!$B$20*R349*Declarations!$C$21+Declarations!$B$20*S349*Declarations!$C$22+Declarations!$B$21*R349*Declarations!$C$20+Declarations!$B$21*T349*Declarations!$C$21+Declarations!$B$21*U349*Declarations!$C$22+Declarations!$B$22*S349*Declarations!$C$20+Declarations!$B$22*U349*Declarations!$C$21+Declarations!$B$22*V349*Declarations!$C$22+0</f>
        <v>4.60691839453414</v>
      </c>
      <c r="S350" s="20" t="n">
        <f aca="false">Declarations!$B$20*Q349*Declarations!$D$20+Declarations!$B$20*R349*Declarations!$D$21+Declarations!$B$20*S349*Declarations!$D$22+Declarations!$B$21*R349*Declarations!$D$20+Declarations!$B$21*T349*Declarations!$D$21+Declarations!$B$21*U349*Declarations!$D$22+Declarations!$B$22*S349*Declarations!$D$20+Declarations!$B$22*U349*Declarations!$D$21+Declarations!$B$22*V349*Declarations!$D$22+0</f>
        <v>0.617283950617284</v>
      </c>
      <c r="T350" s="20" t="n">
        <f aca="false">Declarations!$C$20*Q349*Declarations!$C$20+Declarations!$C$20*R349*Declarations!$C$21+Declarations!$C$20*S349*Declarations!$C$22+Declarations!$C$21*R349*Declarations!$C$20+Declarations!$C$21*T349*Declarations!$C$21+Declarations!$C$21*U349*Declarations!$C$22+Declarations!$C$22*S349*Declarations!$C$20+Declarations!$C$22*U349*Declarations!$C$21+Declarations!$C$22*V349*Declarations!$C$22+1</f>
        <v>5.70253970138229</v>
      </c>
      <c r="U350" s="20" t="n">
        <f aca="false">Declarations!$C$20*Q349*Declarations!$D$20+Declarations!$C$20*R349*Declarations!$D$21+Declarations!$C$20*S349*Declarations!$D$22+Declarations!$C$21*R349*Declarations!$D$20+Declarations!$C$21*T349*Declarations!$D$21+Declarations!$C$21*U349*Declarations!$D$22+Declarations!$C$22*S349*Declarations!$D$20+Declarations!$C$22*U349*Declarations!$D$21+Declarations!$C$22*V349*Declarations!$D$22+0</f>
        <v>0.771604938271605</v>
      </c>
      <c r="V350" s="20" t="n">
        <f aca="false">Declarations!$D$20*Q349*Declarations!$D$20+Declarations!$D$20*R349*Declarations!$D$21+Declarations!$D$20*S349*Declarations!$D$22+Declarations!$D$21*R349*Declarations!$D$20+Declarations!$D$21*T349*Declarations!$D$21+Declarations!$D$21*U349*Declarations!$D$22+Declarations!$D$22*S349*Declarations!$D$20+Declarations!$D$22*U349*Declarations!$D$21+Declarations!$D$22*V349*Declarations!$D$22+1</f>
        <v>2.77777777777778</v>
      </c>
    </row>
    <row r="351" customFormat="false" ht="15" hidden="false" customHeight="false" outlineLevel="0" collapsed="false">
      <c r="A351" s="18" t="n">
        <v>342</v>
      </c>
      <c r="B351" s="20" t="n">
        <f aca="false">$B$4*B350*$B$4+$B$4*C350*$B$5+$B$5*C350*$B$4+$B$5*D350*$B$5+$E$4</f>
        <v>13.5714285714286</v>
      </c>
      <c r="C351" s="20" t="n">
        <f aca="false">$B$4*B350*$C$4+$B$4*C350*$C$5+$B$5*C350*$C$4+$B$5*D350*$C$5+$F$4</f>
        <v>-5.78571428571428</v>
      </c>
      <c r="D351" s="20" t="n">
        <f aca="false">$C$4*B350*$C$4+$C$4*C350*$C$5+$C$5*C350*$C$4+$C$5*D350*$C$5+$F$5</f>
        <v>11.9928571428571</v>
      </c>
      <c r="P351" s="18" t="n">
        <v>342</v>
      </c>
      <c r="Q351" s="20" t="n">
        <f aca="false">Declarations!$B$20*Q350*Declarations!$B$20+Declarations!$B$20*R350*Declarations!$B$21+Declarations!$B$20*S350*Declarations!$B$22+Declarations!$B$21*R350*Declarations!$B$20+Declarations!$B$21*T350*Declarations!$B$21+Declarations!$B$21*U350*Declarations!$B$22+Declarations!$B$22*S350*Declarations!$B$20+Declarations!$B$22*U350*Declarations!$B$21+Declarations!$B$22*V350*Declarations!$B$22+1</f>
        <v>10.2972987232247</v>
      </c>
      <c r="R351" s="20" t="n">
        <f aca="false">Declarations!$B$20*Q350*Declarations!$C$20+Declarations!$B$20*R350*Declarations!$C$21+Declarations!$B$20*S350*Declarations!$C$22+Declarations!$B$21*R350*Declarations!$C$20+Declarations!$B$21*T350*Declarations!$C$21+Declarations!$B$21*U350*Declarations!$C$22+Declarations!$B$22*S350*Declarations!$C$20+Declarations!$B$22*U350*Declarations!$C$21+Declarations!$B$22*V350*Declarations!$C$22+0</f>
        <v>4.60691839453414</v>
      </c>
      <c r="S351" s="20" t="n">
        <f aca="false">Declarations!$B$20*Q350*Declarations!$D$20+Declarations!$B$20*R350*Declarations!$D$21+Declarations!$B$20*S350*Declarations!$D$22+Declarations!$B$21*R350*Declarations!$D$20+Declarations!$B$21*T350*Declarations!$D$21+Declarations!$B$21*U350*Declarations!$D$22+Declarations!$B$22*S350*Declarations!$D$20+Declarations!$B$22*U350*Declarations!$D$21+Declarations!$B$22*V350*Declarations!$D$22+0</f>
        <v>0.617283950617284</v>
      </c>
      <c r="T351" s="20" t="n">
        <f aca="false">Declarations!$C$20*Q350*Declarations!$C$20+Declarations!$C$20*R350*Declarations!$C$21+Declarations!$C$20*S350*Declarations!$C$22+Declarations!$C$21*R350*Declarations!$C$20+Declarations!$C$21*T350*Declarations!$C$21+Declarations!$C$21*U350*Declarations!$C$22+Declarations!$C$22*S350*Declarations!$C$20+Declarations!$C$22*U350*Declarations!$C$21+Declarations!$C$22*V350*Declarations!$C$22+1</f>
        <v>5.70253970138229</v>
      </c>
      <c r="U351" s="20" t="n">
        <f aca="false">Declarations!$C$20*Q350*Declarations!$D$20+Declarations!$C$20*R350*Declarations!$D$21+Declarations!$C$20*S350*Declarations!$D$22+Declarations!$C$21*R350*Declarations!$D$20+Declarations!$C$21*T350*Declarations!$D$21+Declarations!$C$21*U350*Declarations!$D$22+Declarations!$C$22*S350*Declarations!$D$20+Declarations!$C$22*U350*Declarations!$D$21+Declarations!$C$22*V350*Declarations!$D$22+0</f>
        <v>0.771604938271605</v>
      </c>
      <c r="V351" s="20" t="n">
        <f aca="false">Declarations!$D$20*Q350*Declarations!$D$20+Declarations!$D$20*R350*Declarations!$D$21+Declarations!$D$20*S350*Declarations!$D$22+Declarations!$D$21*R350*Declarations!$D$20+Declarations!$D$21*T350*Declarations!$D$21+Declarations!$D$21*U350*Declarations!$D$22+Declarations!$D$22*S350*Declarations!$D$20+Declarations!$D$22*U350*Declarations!$D$21+Declarations!$D$22*V350*Declarations!$D$22+1</f>
        <v>2.77777777777778</v>
      </c>
    </row>
    <row r="352" customFormat="false" ht="15" hidden="false" customHeight="false" outlineLevel="0" collapsed="false">
      <c r="A352" s="18" t="n">
        <v>343</v>
      </c>
      <c r="B352" s="20" t="n">
        <f aca="false">$B$4*B351*$B$4+$B$4*C351*$B$5+$B$5*C351*$B$4+$B$5*D351*$B$5+$E$4</f>
        <v>13.5714285714286</v>
      </c>
      <c r="C352" s="20" t="n">
        <f aca="false">$B$4*B351*$C$4+$B$4*C351*$C$5+$B$5*C351*$C$4+$B$5*D351*$C$5+$F$4</f>
        <v>-5.78571428571428</v>
      </c>
      <c r="D352" s="20" t="n">
        <f aca="false">$C$4*B351*$C$4+$C$4*C351*$C$5+$C$5*C351*$C$4+$C$5*D351*$C$5+$F$5</f>
        <v>11.9928571428571</v>
      </c>
      <c r="P352" s="18" t="n">
        <v>343</v>
      </c>
      <c r="Q352" s="20" t="n">
        <f aca="false">Declarations!$B$20*Q351*Declarations!$B$20+Declarations!$B$20*R351*Declarations!$B$21+Declarations!$B$20*S351*Declarations!$B$22+Declarations!$B$21*R351*Declarations!$B$20+Declarations!$B$21*T351*Declarations!$B$21+Declarations!$B$21*U351*Declarations!$B$22+Declarations!$B$22*S351*Declarations!$B$20+Declarations!$B$22*U351*Declarations!$B$21+Declarations!$B$22*V351*Declarations!$B$22+1</f>
        <v>10.2972987232247</v>
      </c>
      <c r="R352" s="20" t="n">
        <f aca="false">Declarations!$B$20*Q351*Declarations!$C$20+Declarations!$B$20*R351*Declarations!$C$21+Declarations!$B$20*S351*Declarations!$C$22+Declarations!$B$21*R351*Declarations!$C$20+Declarations!$B$21*T351*Declarations!$C$21+Declarations!$B$21*U351*Declarations!$C$22+Declarations!$B$22*S351*Declarations!$C$20+Declarations!$B$22*U351*Declarations!$C$21+Declarations!$B$22*V351*Declarations!$C$22+0</f>
        <v>4.60691839453414</v>
      </c>
      <c r="S352" s="20" t="n">
        <f aca="false">Declarations!$B$20*Q351*Declarations!$D$20+Declarations!$B$20*R351*Declarations!$D$21+Declarations!$B$20*S351*Declarations!$D$22+Declarations!$B$21*R351*Declarations!$D$20+Declarations!$B$21*T351*Declarations!$D$21+Declarations!$B$21*U351*Declarations!$D$22+Declarations!$B$22*S351*Declarations!$D$20+Declarations!$B$22*U351*Declarations!$D$21+Declarations!$B$22*V351*Declarations!$D$22+0</f>
        <v>0.617283950617284</v>
      </c>
      <c r="T352" s="20" t="n">
        <f aca="false">Declarations!$C$20*Q351*Declarations!$C$20+Declarations!$C$20*R351*Declarations!$C$21+Declarations!$C$20*S351*Declarations!$C$22+Declarations!$C$21*R351*Declarations!$C$20+Declarations!$C$21*T351*Declarations!$C$21+Declarations!$C$21*U351*Declarations!$C$22+Declarations!$C$22*S351*Declarations!$C$20+Declarations!$C$22*U351*Declarations!$C$21+Declarations!$C$22*V351*Declarations!$C$22+1</f>
        <v>5.70253970138229</v>
      </c>
      <c r="U352" s="20" t="n">
        <f aca="false">Declarations!$C$20*Q351*Declarations!$D$20+Declarations!$C$20*R351*Declarations!$D$21+Declarations!$C$20*S351*Declarations!$D$22+Declarations!$C$21*R351*Declarations!$D$20+Declarations!$C$21*T351*Declarations!$D$21+Declarations!$C$21*U351*Declarations!$D$22+Declarations!$C$22*S351*Declarations!$D$20+Declarations!$C$22*U351*Declarations!$D$21+Declarations!$C$22*V351*Declarations!$D$22+0</f>
        <v>0.771604938271605</v>
      </c>
      <c r="V352" s="20" t="n">
        <f aca="false">Declarations!$D$20*Q351*Declarations!$D$20+Declarations!$D$20*R351*Declarations!$D$21+Declarations!$D$20*S351*Declarations!$D$22+Declarations!$D$21*R351*Declarations!$D$20+Declarations!$D$21*T351*Declarations!$D$21+Declarations!$D$21*U351*Declarations!$D$22+Declarations!$D$22*S351*Declarations!$D$20+Declarations!$D$22*U351*Declarations!$D$21+Declarations!$D$22*V351*Declarations!$D$22+1</f>
        <v>2.77777777777778</v>
      </c>
    </row>
    <row r="353" customFormat="false" ht="15" hidden="false" customHeight="false" outlineLevel="0" collapsed="false">
      <c r="A353" s="18" t="n">
        <v>344</v>
      </c>
      <c r="B353" s="20" t="n">
        <f aca="false">$B$4*B352*$B$4+$B$4*C352*$B$5+$B$5*C352*$B$4+$B$5*D352*$B$5+$E$4</f>
        <v>13.5714285714286</v>
      </c>
      <c r="C353" s="20" t="n">
        <f aca="false">$B$4*B352*$C$4+$B$4*C352*$C$5+$B$5*C352*$C$4+$B$5*D352*$C$5+$F$4</f>
        <v>-5.78571428571428</v>
      </c>
      <c r="D353" s="20" t="n">
        <f aca="false">$C$4*B352*$C$4+$C$4*C352*$C$5+$C$5*C352*$C$4+$C$5*D352*$C$5+$F$5</f>
        <v>11.9928571428571</v>
      </c>
      <c r="P353" s="18" t="n">
        <v>344</v>
      </c>
      <c r="Q353" s="20" t="n">
        <f aca="false">Declarations!$B$20*Q352*Declarations!$B$20+Declarations!$B$20*R352*Declarations!$B$21+Declarations!$B$20*S352*Declarations!$B$22+Declarations!$B$21*R352*Declarations!$B$20+Declarations!$B$21*T352*Declarations!$B$21+Declarations!$B$21*U352*Declarations!$B$22+Declarations!$B$22*S352*Declarations!$B$20+Declarations!$B$22*U352*Declarations!$B$21+Declarations!$B$22*V352*Declarations!$B$22+1</f>
        <v>10.2972987232247</v>
      </c>
      <c r="R353" s="20" t="n">
        <f aca="false">Declarations!$B$20*Q352*Declarations!$C$20+Declarations!$B$20*R352*Declarations!$C$21+Declarations!$B$20*S352*Declarations!$C$22+Declarations!$B$21*R352*Declarations!$C$20+Declarations!$B$21*T352*Declarations!$C$21+Declarations!$B$21*U352*Declarations!$C$22+Declarations!$B$22*S352*Declarations!$C$20+Declarations!$B$22*U352*Declarations!$C$21+Declarations!$B$22*V352*Declarations!$C$22+0</f>
        <v>4.60691839453414</v>
      </c>
      <c r="S353" s="20" t="n">
        <f aca="false">Declarations!$B$20*Q352*Declarations!$D$20+Declarations!$B$20*R352*Declarations!$D$21+Declarations!$B$20*S352*Declarations!$D$22+Declarations!$B$21*R352*Declarations!$D$20+Declarations!$B$21*T352*Declarations!$D$21+Declarations!$B$21*U352*Declarations!$D$22+Declarations!$B$22*S352*Declarations!$D$20+Declarations!$B$22*U352*Declarations!$D$21+Declarations!$B$22*V352*Declarations!$D$22+0</f>
        <v>0.617283950617284</v>
      </c>
      <c r="T353" s="20" t="n">
        <f aca="false">Declarations!$C$20*Q352*Declarations!$C$20+Declarations!$C$20*R352*Declarations!$C$21+Declarations!$C$20*S352*Declarations!$C$22+Declarations!$C$21*R352*Declarations!$C$20+Declarations!$C$21*T352*Declarations!$C$21+Declarations!$C$21*U352*Declarations!$C$22+Declarations!$C$22*S352*Declarations!$C$20+Declarations!$C$22*U352*Declarations!$C$21+Declarations!$C$22*V352*Declarations!$C$22+1</f>
        <v>5.70253970138229</v>
      </c>
      <c r="U353" s="20" t="n">
        <f aca="false">Declarations!$C$20*Q352*Declarations!$D$20+Declarations!$C$20*R352*Declarations!$D$21+Declarations!$C$20*S352*Declarations!$D$22+Declarations!$C$21*R352*Declarations!$D$20+Declarations!$C$21*T352*Declarations!$D$21+Declarations!$C$21*U352*Declarations!$D$22+Declarations!$C$22*S352*Declarations!$D$20+Declarations!$C$22*U352*Declarations!$D$21+Declarations!$C$22*V352*Declarations!$D$22+0</f>
        <v>0.771604938271605</v>
      </c>
      <c r="V353" s="20" t="n">
        <f aca="false">Declarations!$D$20*Q352*Declarations!$D$20+Declarations!$D$20*R352*Declarations!$D$21+Declarations!$D$20*S352*Declarations!$D$22+Declarations!$D$21*R352*Declarations!$D$20+Declarations!$D$21*T352*Declarations!$D$21+Declarations!$D$21*U352*Declarations!$D$22+Declarations!$D$22*S352*Declarations!$D$20+Declarations!$D$22*U352*Declarations!$D$21+Declarations!$D$22*V352*Declarations!$D$22+1</f>
        <v>2.77777777777778</v>
      </c>
    </row>
    <row r="354" customFormat="false" ht="15" hidden="false" customHeight="false" outlineLevel="0" collapsed="false">
      <c r="A354" s="18" t="n">
        <v>345</v>
      </c>
      <c r="B354" s="20" t="n">
        <f aca="false">$B$4*B353*$B$4+$B$4*C353*$B$5+$B$5*C353*$B$4+$B$5*D353*$B$5+$E$4</f>
        <v>13.5714285714286</v>
      </c>
      <c r="C354" s="20" t="n">
        <f aca="false">$B$4*B353*$C$4+$B$4*C353*$C$5+$B$5*C353*$C$4+$B$5*D353*$C$5+$F$4</f>
        <v>-5.78571428571428</v>
      </c>
      <c r="D354" s="20" t="n">
        <f aca="false">$C$4*B353*$C$4+$C$4*C353*$C$5+$C$5*C353*$C$4+$C$5*D353*$C$5+$F$5</f>
        <v>11.9928571428571</v>
      </c>
      <c r="P354" s="18" t="n">
        <v>345</v>
      </c>
      <c r="Q354" s="20" t="n">
        <f aca="false">Declarations!$B$20*Q353*Declarations!$B$20+Declarations!$B$20*R353*Declarations!$B$21+Declarations!$B$20*S353*Declarations!$B$22+Declarations!$B$21*R353*Declarations!$B$20+Declarations!$B$21*T353*Declarations!$B$21+Declarations!$B$21*U353*Declarations!$B$22+Declarations!$B$22*S353*Declarations!$B$20+Declarations!$B$22*U353*Declarations!$B$21+Declarations!$B$22*V353*Declarations!$B$22+1</f>
        <v>10.2972987232247</v>
      </c>
      <c r="R354" s="20" t="n">
        <f aca="false">Declarations!$B$20*Q353*Declarations!$C$20+Declarations!$B$20*R353*Declarations!$C$21+Declarations!$B$20*S353*Declarations!$C$22+Declarations!$B$21*R353*Declarations!$C$20+Declarations!$B$21*T353*Declarations!$C$21+Declarations!$B$21*U353*Declarations!$C$22+Declarations!$B$22*S353*Declarations!$C$20+Declarations!$B$22*U353*Declarations!$C$21+Declarations!$B$22*V353*Declarations!$C$22+0</f>
        <v>4.60691839453414</v>
      </c>
      <c r="S354" s="20" t="n">
        <f aca="false">Declarations!$B$20*Q353*Declarations!$D$20+Declarations!$B$20*R353*Declarations!$D$21+Declarations!$B$20*S353*Declarations!$D$22+Declarations!$B$21*R353*Declarations!$D$20+Declarations!$B$21*T353*Declarations!$D$21+Declarations!$B$21*U353*Declarations!$D$22+Declarations!$B$22*S353*Declarations!$D$20+Declarations!$B$22*U353*Declarations!$D$21+Declarations!$B$22*V353*Declarations!$D$22+0</f>
        <v>0.617283950617284</v>
      </c>
      <c r="T354" s="20" t="n">
        <f aca="false">Declarations!$C$20*Q353*Declarations!$C$20+Declarations!$C$20*R353*Declarations!$C$21+Declarations!$C$20*S353*Declarations!$C$22+Declarations!$C$21*R353*Declarations!$C$20+Declarations!$C$21*T353*Declarations!$C$21+Declarations!$C$21*U353*Declarations!$C$22+Declarations!$C$22*S353*Declarations!$C$20+Declarations!$C$22*U353*Declarations!$C$21+Declarations!$C$22*V353*Declarations!$C$22+1</f>
        <v>5.70253970138229</v>
      </c>
      <c r="U354" s="20" t="n">
        <f aca="false">Declarations!$C$20*Q353*Declarations!$D$20+Declarations!$C$20*R353*Declarations!$D$21+Declarations!$C$20*S353*Declarations!$D$22+Declarations!$C$21*R353*Declarations!$D$20+Declarations!$C$21*T353*Declarations!$D$21+Declarations!$C$21*U353*Declarations!$D$22+Declarations!$C$22*S353*Declarations!$D$20+Declarations!$C$22*U353*Declarations!$D$21+Declarations!$C$22*V353*Declarations!$D$22+0</f>
        <v>0.771604938271605</v>
      </c>
      <c r="V354" s="20" t="n">
        <f aca="false">Declarations!$D$20*Q353*Declarations!$D$20+Declarations!$D$20*R353*Declarations!$D$21+Declarations!$D$20*S353*Declarations!$D$22+Declarations!$D$21*R353*Declarations!$D$20+Declarations!$D$21*T353*Declarations!$D$21+Declarations!$D$21*U353*Declarations!$D$22+Declarations!$D$22*S353*Declarations!$D$20+Declarations!$D$22*U353*Declarations!$D$21+Declarations!$D$22*V353*Declarations!$D$22+1</f>
        <v>2.77777777777778</v>
      </c>
    </row>
    <row r="355" customFormat="false" ht="15" hidden="false" customHeight="false" outlineLevel="0" collapsed="false">
      <c r="A355" s="18" t="n">
        <v>346</v>
      </c>
      <c r="B355" s="20" t="n">
        <f aca="false">$B$4*B354*$B$4+$B$4*C354*$B$5+$B$5*C354*$B$4+$B$5*D354*$B$5+$E$4</f>
        <v>13.5714285714286</v>
      </c>
      <c r="C355" s="20" t="n">
        <f aca="false">$B$4*B354*$C$4+$B$4*C354*$C$5+$B$5*C354*$C$4+$B$5*D354*$C$5+$F$4</f>
        <v>-5.78571428571428</v>
      </c>
      <c r="D355" s="20" t="n">
        <f aca="false">$C$4*B354*$C$4+$C$4*C354*$C$5+$C$5*C354*$C$4+$C$5*D354*$C$5+$F$5</f>
        <v>11.9928571428571</v>
      </c>
      <c r="P355" s="18" t="n">
        <v>346</v>
      </c>
      <c r="Q355" s="20" t="n">
        <f aca="false">Declarations!$B$20*Q354*Declarations!$B$20+Declarations!$B$20*R354*Declarations!$B$21+Declarations!$B$20*S354*Declarations!$B$22+Declarations!$B$21*R354*Declarations!$B$20+Declarations!$B$21*T354*Declarations!$B$21+Declarations!$B$21*U354*Declarations!$B$22+Declarations!$B$22*S354*Declarations!$B$20+Declarations!$B$22*U354*Declarations!$B$21+Declarations!$B$22*V354*Declarations!$B$22+1</f>
        <v>10.2972987232247</v>
      </c>
      <c r="R355" s="20" t="n">
        <f aca="false">Declarations!$B$20*Q354*Declarations!$C$20+Declarations!$B$20*R354*Declarations!$C$21+Declarations!$B$20*S354*Declarations!$C$22+Declarations!$B$21*R354*Declarations!$C$20+Declarations!$B$21*T354*Declarations!$C$21+Declarations!$B$21*U354*Declarations!$C$22+Declarations!$B$22*S354*Declarations!$C$20+Declarations!$B$22*U354*Declarations!$C$21+Declarations!$B$22*V354*Declarations!$C$22+0</f>
        <v>4.60691839453414</v>
      </c>
      <c r="S355" s="20" t="n">
        <f aca="false">Declarations!$B$20*Q354*Declarations!$D$20+Declarations!$B$20*R354*Declarations!$D$21+Declarations!$B$20*S354*Declarations!$D$22+Declarations!$B$21*R354*Declarations!$D$20+Declarations!$B$21*T354*Declarations!$D$21+Declarations!$B$21*U354*Declarations!$D$22+Declarations!$B$22*S354*Declarations!$D$20+Declarations!$B$22*U354*Declarations!$D$21+Declarations!$B$22*V354*Declarations!$D$22+0</f>
        <v>0.617283950617284</v>
      </c>
      <c r="T355" s="20" t="n">
        <f aca="false">Declarations!$C$20*Q354*Declarations!$C$20+Declarations!$C$20*R354*Declarations!$C$21+Declarations!$C$20*S354*Declarations!$C$22+Declarations!$C$21*R354*Declarations!$C$20+Declarations!$C$21*T354*Declarations!$C$21+Declarations!$C$21*U354*Declarations!$C$22+Declarations!$C$22*S354*Declarations!$C$20+Declarations!$C$22*U354*Declarations!$C$21+Declarations!$C$22*V354*Declarations!$C$22+1</f>
        <v>5.70253970138229</v>
      </c>
      <c r="U355" s="20" t="n">
        <f aca="false">Declarations!$C$20*Q354*Declarations!$D$20+Declarations!$C$20*R354*Declarations!$D$21+Declarations!$C$20*S354*Declarations!$D$22+Declarations!$C$21*R354*Declarations!$D$20+Declarations!$C$21*T354*Declarations!$D$21+Declarations!$C$21*U354*Declarations!$D$22+Declarations!$C$22*S354*Declarations!$D$20+Declarations!$C$22*U354*Declarations!$D$21+Declarations!$C$22*V354*Declarations!$D$22+0</f>
        <v>0.771604938271605</v>
      </c>
      <c r="V355" s="20" t="n">
        <f aca="false">Declarations!$D$20*Q354*Declarations!$D$20+Declarations!$D$20*R354*Declarations!$D$21+Declarations!$D$20*S354*Declarations!$D$22+Declarations!$D$21*R354*Declarations!$D$20+Declarations!$D$21*T354*Declarations!$D$21+Declarations!$D$21*U354*Declarations!$D$22+Declarations!$D$22*S354*Declarations!$D$20+Declarations!$D$22*U354*Declarations!$D$21+Declarations!$D$22*V354*Declarations!$D$22+1</f>
        <v>2.77777777777778</v>
      </c>
    </row>
    <row r="356" customFormat="false" ht="15" hidden="false" customHeight="false" outlineLevel="0" collapsed="false">
      <c r="A356" s="18" t="n">
        <v>347</v>
      </c>
      <c r="B356" s="20" t="n">
        <f aca="false">$B$4*B355*$B$4+$B$4*C355*$B$5+$B$5*C355*$B$4+$B$5*D355*$B$5+$E$4</f>
        <v>13.5714285714286</v>
      </c>
      <c r="C356" s="20" t="n">
        <f aca="false">$B$4*B355*$C$4+$B$4*C355*$C$5+$B$5*C355*$C$4+$B$5*D355*$C$5+$F$4</f>
        <v>-5.78571428571428</v>
      </c>
      <c r="D356" s="20" t="n">
        <f aca="false">$C$4*B355*$C$4+$C$4*C355*$C$5+$C$5*C355*$C$4+$C$5*D355*$C$5+$F$5</f>
        <v>11.9928571428571</v>
      </c>
      <c r="P356" s="18" t="n">
        <v>347</v>
      </c>
      <c r="Q356" s="20" t="n">
        <f aca="false">Declarations!$B$20*Q355*Declarations!$B$20+Declarations!$B$20*R355*Declarations!$B$21+Declarations!$B$20*S355*Declarations!$B$22+Declarations!$B$21*R355*Declarations!$B$20+Declarations!$B$21*T355*Declarations!$B$21+Declarations!$B$21*U355*Declarations!$B$22+Declarations!$B$22*S355*Declarations!$B$20+Declarations!$B$22*U355*Declarations!$B$21+Declarations!$B$22*V355*Declarations!$B$22+1</f>
        <v>10.2972987232247</v>
      </c>
      <c r="R356" s="20" t="n">
        <f aca="false">Declarations!$B$20*Q355*Declarations!$C$20+Declarations!$B$20*R355*Declarations!$C$21+Declarations!$B$20*S355*Declarations!$C$22+Declarations!$B$21*R355*Declarations!$C$20+Declarations!$B$21*T355*Declarations!$C$21+Declarations!$B$21*U355*Declarations!$C$22+Declarations!$B$22*S355*Declarations!$C$20+Declarations!$B$22*U355*Declarations!$C$21+Declarations!$B$22*V355*Declarations!$C$22+0</f>
        <v>4.60691839453414</v>
      </c>
      <c r="S356" s="20" t="n">
        <f aca="false">Declarations!$B$20*Q355*Declarations!$D$20+Declarations!$B$20*R355*Declarations!$D$21+Declarations!$B$20*S355*Declarations!$D$22+Declarations!$B$21*R355*Declarations!$D$20+Declarations!$B$21*T355*Declarations!$D$21+Declarations!$B$21*U355*Declarations!$D$22+Declarations!$B$22*S355*Declarations!$D$20+Declarations!$B$22*U355*Declarations!$D$21+Declarations!$B$22*V355*Declarations!$D$22+0</f>
        <v>0.617283950617284</v>
      </c>
      <c r="T356" s="20" t="n">
        <f aca="false">Declarations!$C$20*Q355*Declarations!$C$20+Declarations!$C$20*R355*Declarations!$C$21+Declarations!$C$20*S355*Declarations!$C$22+Declarations!$C$21*R355*Declarations!$C$20+Declarations!$C$21*T355*Declarations!$C$21+Declarations!$C$21*U355*Declarations!$C$22+Declarations!$C$22*S355*Declarations!$C$20+Declarations!$C$22*U355*Declarations!$C$21+Declarations!$C$22*V355*Declarations!$C$22+1</f>
        <v>5.70253970138229</v>
      </c>
      <c r="U356" s="20" t="n">
        <f aca="false">Declarations!$C$20*Q355*Declarations!$D$20+Declarations!$C$20*R355*Declarations!$D$21+Declarations!$C$20*S355*Declarations!$D$22+Declarations!$C$21*R355*Declarations!$D$20+Declarations!$C$21*T355*Declarations!$D$21+Declarations!$C$21*U355*Declarations!$D$22+Declarations!$C$22*S355*Declarations!$D$20+Declarations!$C$22*U355*Declarations!$D$21+Declarations!$C$22*V355*Declarations!$D$22+0</f>
        <v>0.771604938271605</v>
      </c>
      <c r="V356" s="20" t="n">
        <f aca="false">Declarations!$D$20*Q355*Declarations!$D$20+Declarations!$D$20*R355*Declarations!$D$21+Declarations!$D$20*S355*Declarations!$D$22+Declarations!$D$21*R355*Declarations!$D$20+Declarations!$D$21*T355*Declarations!$D$21+Declarations!$D$21*U355*Declarations!$D$22+Declarations!$D$22*S355*Declarations!$D$20+Declarations!$D$22*U355*Declarations!$D$21+Declarations!$D$22*V355*Declarations!$D$22+1</f>
        <v>2.77777777777778</v>
      </c>
    </row>
    <row r="357" customFormat="false" ht="15" hidden="false" customHeight="false" outlineLevel="0" collapsed="false">
      <c r="A357" s="18" t="n">
        <v>348</v>
      </c>
      <c r="B357" s="20" t="n">
        <f aca="false">$B$4*B356*$B$4+$B$4*C356*$B$5+$B$5*C356*$B$4+$B$5*D356*$B$5+$E$4</f>
        <v>13.5714285714286</v>
      </c>
      <c r="C357" s="20" t="n">
        <f aca="false">$B$4*B356*$C$4+$B$4*C356*$C$5+$B$5*C356*$C$4+$B$5*D356*$C$5+$F$4</f>
        <v>-5.78571428571428</v>
      </c>
      <c r="D357" s="20" t="n">
        <f aca="false">$C$4*B356*$C$4+$C$4*C356*$C$5+$C$5*C356*$C$4+$C$5*D356*$C$5+$F$5</f>
        <v>11.9928571428571</v>
      </c>
      <c r="P357" s="18" t="n">
        <v>348</v>
      </c>
      <c r="Q357" s="20" t="n">
        <f aca="false">Declarations!$B$20*Q356*Declarations!$B$20+Declarations!$B$20*R356*Declarations!$B$21+Declarations!$B$20*S356*Declarations!$B$22+Declarations!$B$21*R356*Declarations!$B$20+Declarations!$B$21*T356*Declarations!$B$21+Declarations!$B$21*U356*Declarations!$B$22+Declarations!$B$22*S356*Declarations!$B$20+Declarations!$B$22*U356*Declarations!$B$21+Declarations!$B$22*V356*Declarations!$B$22+1</f>
        <v>10.2972987232247</v>
      </c>
      <c r="R357" s="20" t="n">
        <f aca="false">Declarations!$B$20*Q356*Declarations!$C$20+Declarations!$B$20*R356*Declarations!$C$21+Declarations!$B$20*S356*Declarations!$C$22+Declarations!$B$21*R356*Declarations!$C$20+Declarations!$B$21*T356*Declarations!$C$21+Declarations!$B$21*U356*Declarations!$C$22+Declarations!$B$22*S356*Declarations!$C$20+Declarations!$B$22*U356*Declarations!$C$21+Declarations!$B$22*V356*Declarations!$C$22+0</f>
        <v>4.60691839453414</v>
      </c>
      <c r="S357" s="20" t="n">
        <f aca="false">Declarations!$B$20*Q356*Declarations!$D$20+Declarations!$B$20*R356*Declarations!$D$21+Declarations!$B$20*S356*Declarations!$D$22+Declarations!$B$21*R356*Declarations!$D$20+Declarations!$B$21*T356*Declarations!$D$21+Declarations!$B$21*U356*Declarations!$D$22+Declarations!$B$22*S356*Declarations!$D$20+Declarations!$B$22*U356*Declarations!$D$21+Declarations!$B$22*V356*Declarations!$D$22+0</f>
        <v>0.617283950617284</v>
      </c>
      <c r="T357" s="20" t="n">
        <f aca="false">Declarations!$C$20*Q356*Declarations!$C$20+Declarations!$C$20*R356*Declarations!$C$21+Declarations!$C$20*S356*Declarations!$C$22+Declarations!$C$21*R356*Declarations!$C$20+Declarations!$C$21*T356*Declarations!$C$21+Declarations!$C$21*U356*Declarations!$C$22+Declarations!$C$22*S356*Declarations!$C$20+Declarations!$C$22*U356*Declarations!$C$21+Declarations!$C$22*V356*Declarations!$C$22+1</f>
        <v>5.70253970138229</v>
      </c>
      <c r="U357" s="20" t="n">
        <f aca="false">Declarations!$C$20*Q356*Declarations!$D$20+Declarations!$C$20*R356*Declarations!$D$21+Declarations!$C$20*S356*Declarations!$D$22+Declarations!$C$21*R356*Declarations!$D$20+Declarations!$C$21*T356*Declarations!$D$21+Declarations!$C$21*U356*Declarations!$D$22+Declarations!$C$22*S356*Declarations!$D$20+Declarations!$C$22*U356*Declarations!$D$21+Declarations!$C$22*V356*Declarations!$D$22+0</f>
        <v>0.771604938271605</v>
      </c>
      <c r="V357" s="20" t="n">
        <f aca="false">Declarations!$D$20*Q356*Declarations!$D$20+Declarations!$D$20*R356*Declarations!$D$21+Declarations!$D$20*S356*Declarations!$D$22+Declarations!$D$21*R356*Declarations!$D$20+Declarations!$D$21*T356*Declarations!$D$21+Declarations!$D$21*U356*Declarations!$D$22+Declarations!$D$22*S356*Declarations!$D$20+Declarations!$D$22*U356*Declarations!$D$21+Declarations!$D$22*V356*Declarations!$D$22+1</f>
        <v>2.77777777777778</v>
      </c>
    </row>
    <row r="358" customFormat="false" ht="15" hidden="false" customHeight="false" outlineLevel="0" collapsed="false">
      <c r="A358" s="18" t="n">
        <v>349</v>
      </c>
      <c r="B358" s="20" t="n">
        <f aca="false">$B$4*B357*$B$4+$B$4*C357*$B$5+$B$5*C357*$B$4+$B$5*D357*$B$5+$E$4</f>
        <v>13.5714285714286</v>
      </c>
      <c r="C358" s="20" t="n">
        <f aca="false">$B$4*B357*$C$4+$B$4*C357*$C$5+$B$5*C357*$C$4+$B$5*D357*$C$5+$F$4</f>
        <v>-5.78571428571428</v>
      </c>
      <c r="D358" s="20" t="n">
        <f aca="false">$C$4*B357*$C$4+$C$4*C357*$C$5+$C$5*C357*$C$4+$C$5*D357*$C$5+$F$5</f>
        <v>11.9928571428571</v>
      </c>
      <c r="P358" s="18" t="n">
        <v>349</v>
      </c>
      <c r="Q358" s="20" t="n">
        <f aca="false">Declarations!$B$20*Q357*Declarations!$B$20+Declarations!$B$20*R357*Declarations!$B$21+Declarations!$B$20*S357*Declarations!$B$22+Declarations!$B$21*R357*Declarations!$B$20+Declarations!$B$21*T357*Declarations!$B$21+Declarations!$B$21*U357*Declarations!$B$22+Declarations!$B$22*S357*Declarations!$B$20+Declarations!$B$22*U357*Declarations!$B$21+Declarations!$B$22*V357*Declarations!$B$22+1</f>
        <v>10.2972987232247</v>
      </c>
      <c r="R358" s="20" t="n">
        <f aca="false">Declarations!$B$20*Q357*Declarations!$C$20+Declarations!$B$20*R357*Declarations!$C$21+Declarations!$B$20*S357*Declarations!$C$22+Declarations!$B$21*R357*Declarations!$C$20+Declarations!$B$21*T357*Declarations!$C$21+Declarations!$B$21*U357*Declarations!$C$22+Declarations!$B$22*S357*Declarations!$C$20+Declarations!$B$22*U357*Declarations!$C$21+Declarations!$B$22*V357*Declarations!$C$22+0</f>
        <v>4.60691839453414</v>
      </c>
      <c r="S358" s="20" t="n">
        <f aca="false">Declarations!$B$20*Q357*Declarations!$D$20+Declarations!$B$20*R357*Declarations!$D$21+Declarations!$B$20*S357*Declarations!$D$22+Declarations!$B$21*R357*Declarations!$D$20+Declarations!$B$21*T357*Declarations!$D$21+Declarations!$B$21*U357*Declarations!$D$22+Declarations!$B$22*S357*Declarations!$D$20+Declarations!$B$22*U357*Declarations!$D$21+Declarations!$B$22*V357*Declarations!$D$22+0</f>
        <v>0.617283950617284</v>
      </c>
      <c r="T358" s="20" t="n">
        <f aca="false">Declarations!$C$20*Q357*Declarations!$C$20+Declarations!$C$20*R357*Declarations!$C$21+Declarations!$C$20*S357*Declarations!$C$22+Declarations!$C$21*R357*Declarations!$C$20+Declarations!$C$21*T357*Declarations!$C$21+Declarations!$C$21*U357*Declarations!$C$22+Declarations!$C$22*S357*Declarations!$C$20+Declarations!$C$22*U357*Declarations!$C$21+Declarations!$C$22*V357*Declarations!$C$22+1</f>
        <v>5.70253970138229</v>
      </c>
      <c r="U358" s="20" t="n">
        <f aca="false">Declarations!$C$20*Q357*Declarations!$D$20+Declarations!$C$20*R357*Declarations!$D$21+Declarations!$C$20*S357*Declarations!$D$22+Declarations!$C$21*R357*Declarations!$D$20+Declarations!$C$21*T357*Declarations!$D$21+Declarations!$C$21*U357*Declarations!$D$22+Declarations!$C$22*S357*Declarations!$D$20+Declarations!$C$22*U357*Declarations!$D$21+Declarations!$C$22*V357*Declarations!$D$22+0</f>
        <v>0.771604938271605</v>
      </c>
      <c r="V358" s="20" t="n">
        <f aca="false">Declarations!$D$20*Q357*Declarations!$D$20+Declarations!$D$20*R357*Declarations!$D$21+Declarations!$D$20*S357*Declarations!$D$22+Declarations!$D$21*R357*Declarations!$D$20+Declarations!$D$21*T357*Declarations!$D$21+Declarations!$D$21*U357*Declarations!$D$22+Declarations!$D$22*S357*Declarations!$D$20+Declarations!$D$22*U357*Declarations!$D$21+Declarations!$D$22*V357*Declarations!$D$22+1</f>
        <v>2.77777777777778</v>
      </c>
    </row>
    <row r="359" customFormat="false" ht="15" hidden="false" customHeight="false" outlineLevel="0" collapsed="false">
      <c r="A359" s="18" t="n">
        <v>350</v>
      </c>
      <c r="B359" s="20" t="n">
        <f aca="false">$B$4*B358*$B$4+$B$4*C358*$B$5+$B$5*C358*$B$4+$B$5*D358*$B$5+$E$4</f>
        <v>13.5714285714286</v>
      </c>
      <c r="C359" s="20" t="n">
        <f aca="false">$B$4*B358*$C$4+$B$4*C358*$C$5+$B$5*C358*$C$4+$B$5*D358*$C$5+$F$4</f>
        <v>-5.78571428571428</v>
      </c>
      <c r="D359" s="20" t="n">
        <f aca="false">$C$4*B358*$C$4+$C$4*C358*$C$5+$C$5*C358*$C$4+$C$5*D358*$C$5+$F$5</f>
        <v>11.9928571428571</v>
      </c>
      <c r="P359" s="18" t="n">
        <v>350</v>
      </c>
      <c r="Q359" s="20" t="n">
        <f aca="false">Declarations!$B$20*Q358*Declarations!$B$20+Declarations!$B$20*R358*Declarations!$B$21+Declarations!$B$20*S358*Declarations!$B$22+Declarations!$B$21*R358*Declarations!$B$20+Declarations!$B$21*T358*Declarations!$B$21+Declarations!$B$21*U358*Declarations!$B$22+Declarations!$B$22*S358*Declarations!$B$20+Declarations!$B$22*U358*Declarations!$B$21+Declarations!$B$22*V358*Declarations!$B$22+1</f>
        <v>10.2972987232247</v>
      </c>
      <c r="R359" s="20" t="n">
        <f aca="false">Declarations!$B$20*Q358*Declarations!$C$20+Declarations!$B$20*R358*Declarations!$C$21+Declarations!$B$20*S358*Declarations!$C$22+Declarations!$B$21*R358*Declarations!$C$20+Declarations!$B$21*T358*Declarations!$C$21+Declarations!$B$21*U358*Declarations!$C$22+Declarations!$B$22*S358*Declarations!$C$20+Declarations!$B$22*U358*Declarations!$C$21+Declarations!$B$22*V358*Declarations!$C$22+0</f>
        <v>4.60691839453414</v>
      </c>
      <c r="S359" s="20" t="n">
        <f aca="false">Declarations!$B$20*Q358*Declarations!$D$20+Declarations!$B$20*R358*Declarations!$D$21+Declarations!$B$20*S358*Declarations!$D$22+Declarations!$B$21*R358*Declarations!$D$20+Declarations!$B$21*T358*Declarations!$D$21+Declarations!$B$21*U358*Declarations!$D$22+Declarations!$B$22*S358*Declarations!$D$20+Declarations!$B$22*U358*Declarations!$D$21+Declarations!$B$22*V358*Declarations!$D$22+0</f>
        <v>0.617283950617284</v>
      </c>
      <c r="T359" s="20" t="n">
        <f aca="false">Declarations!$C$20*Q358*Declarations!$C$20+Declarations!$C$20*R358*Declarations!$C$21+Declarations!$C$20*S358*Declarations!$C$22+Declarations!$C$21*R358*Declarations!$C$20+Declarations!$C$21*T358*Declarations!$C$21+Declarations!$C$21*U358*Declarations!$C$22+Declarations!$C$22*S358*Declarations!$C$20+Declarations!$C$22*U358*Declarations!$C$21+Declarations!$C$22*V358*Declarations!$C$22+1</f>
        <v>5.70253970138229</v>
      </c>
      <c r="U359" s="20" t="n">
        <f aca="false">Declarations!$C$20*Q358*Declarations!$D$20+Declarations!$C$20*R358*Declarations!$D$21+Declarations!$C$20*S358*Declarations!$D$22+Declarations!$C$21*R358*Declarations!$D$20+Declarations!$C$21*T358*Declarations!$D$21+Declarations!$C$21*U358*Declarations!$D$22+Declarations!$C$22*S358*Declarations!$D$20+Declarations!$C$22*U358*Declarations!$D$21+Declarations!$C$22*V358*Declarations!$D$22+0</f>
        <v>0.771604938271605</v>
      </c>
      <c r="V359" s="20" t="n">
        <f aca="false">Declarations!$D$20*Q358*Declarations!$D$20+Declarations!$D$20*R358*Declarations!$D$21+Declarations!$D$20*S358*Declarations!$D$22+Declarations!$D$21*R358*Declarations!$D$20+Declarations!$D$21*T358*Declarations!$D$21+Declarations!$D$21*U358*Declarations!$D$22+Declarations!$D$22*S358*Declarations!$D$20+Declarations!$D$22*U358*Declarations!$D$21+Declarations!$D$22*V358*Declarations!$D$22+1</f>
        <v>2.77777777777778</v>
      </c>
    </row>
    <row r="360" customFormat="false" ht="15" hidden="false" customHeight="false" outlineLevel="0" collapsed="false">
      <c r="A360" s="18" t="n">
        <v>351</v>
      </c>
      <c r="B360" s="20" t="n">
        <f aca="false">$B$4*B359*$B$4+$B$4*C359*$B$5+$B$5*C359*$B$4+$B$5*D359*$B$5+$E$4</f>
        <v>13.5714285714286</v>
      </c>
      <c r="C360" s="20" t="n">
        <f aca="false">$B$4*B359*$C$4+$B$4*C359*$C$5+$B$5*C359*$C$4+$B$5*D359*$C$5+$F$4</f>
        <v>-5.78571428571428</v>
      </c>
      <c r="D360" s="20" t="n">
        <f aca="false">$C$4*B359*$C$4+$C$4*C359*$C$5+$C$5*C359*$C$4+$C$5*D359*$C$5+$F$5</f>
        <v>11.9928571428571</v>
      </c>
      <c r="P360" s="18" t="n">
        <v>351</v>
      </c>
      <c r="Q360" s="20" t="n">
        <f aca="false">Declarations!$B$20*Q359*Declarations!$B$20+Declarations!$B$20*R359*Declarations!$B$21+Declarations!$B$20*S359*Declarations!$B$22+Declarations!$B$21*R359*Declarations!$B$20+Declarations!$B$21*T359*Declarations!$B$21+Declarations!$B$21*U359*Declarations!$B$22+Declarations!$B$22*S359*Declarations!$B$20+Declarations!$B$22*U359*Declarations!$B$21+Declarations!$B$22*V359*Declarations!$B$22+1</f>
        <v>10.2972987232247</v>
      </c>
      <c r="R360" s="20" t="n">
        <f aca="false">Declarations!$B$20*Q359*Declarations!$C$20+Declarations!$B$20*R359*Declarations!$C$21+Declarations!$B$20*S359*Declarations!$C$22+Declarations!$B$21*R359*Declarations!$C$20+Declarations!$B$21*T359*Declarations!$C$21+Declarations!$B$21*U359*Declarations!$C$22+Declarations!$B$22*S359*Declarations!$C$20+Declarations!$B$22*U359*Declarations!$C$21+Declarations!$B$22*V359*Declarations!$C$22+0</f>
        <v>4.60691839453414</v>
      </c>
      <c r="S360" s="20" t="n">
        <f aca="false">Declarations!$B$20*Q359*Declarations!$D$20+Declarations!$B$20*R359*Declarations!$D$21+Declarations!$B$20*S359*Declarations!$D$22+Declarations!$B$21*R359*Declarations!$D$20+Declarations!$B$21*T359*Declarations!$D$21+Declarations!$B$21*U359*Declarations!$D$22+Declarations!$B$22*S359*Declarations!$D$20+Declarations!$B$22*U359*Declarations!$D$21+Declarations!$B$22*V359*Declarations!$D$22+0</f>
        <v>0.617283950617284</v>
      </c>
      <c r="T360" s="20" t="n">
        <f aca="false">Declarations!$C$20*Q359*Declarations!$C$20+Declarations!$C$20*R359*Declarations!$C$21+Declarations!$C$20*S359*Declarations!$C$22+Declarations!$C$21*R359*Declarations!$C$20+Declarations!$C$21*T359*Declarations!$C$21+Declarations!$C$21*U359*Declarations!$C$22+Declarations!$C$22*S359*Declarations!$C$20+Declarations!$C$22*U359*Declarations!$C$21+Declarations!$C$22*V359*Declarations!$C$22+1</f>
        <v>5.70253970138229</v>
      </c>
      <c r="U360" s="20" t="n">
        <f aca="false">Declarations!$C$20*Q359*Declarations!$D$20+Declarations!$C$20*R359*Declarations!$D$21+Declarations!$C$20*S359*Declarations!$D$22+Declarations!$C$21*R359*Declarations!$D$20+Declarations!$C$21*T359*Declarations!$D$21+Declarations!$C$21*U359*Declarations!$D$22+Declarations!$C$22*S359*Declarations!$D$20+Declarations!$C$22*U359*Declarations!$D$21+Declarations!$C$22*V359*Declarations!$D$22+0</f>
        <v>0.771604938271605</v>
      </c>
      <c r="V360" s="20" t="n">
        <f aca="false">Declarations!$D$20*Q359*Declarations!$D$20+Declarations!$D$20*R359*Declarations!$D$21+Declarations!$D$20*S359*Declarations!$D$22+Declarations!$D$21*R359*Declarations!$D$20+Declarations!$D$21*T359*Declarations!$D$21+Declarations!$D$21*U359*Declarations!$D$22+Declarations!$D$22*S359*Declarations!$D$20+Declarations!$D$22*U359*Declarations!$D$21+Declarations!$D$22*V359*Declarations!$D$22+1</f>
        <v>2.77777777777778</v>
      </c>
    </row>
    <row r="361" customFormat="false" ht="15" hidden="false" customHeight="false" outlineLevel="0" collapsed="false">
      <c r="A361" s="18" t="n">
        <v>352</v>
      </c>
      <c r="B361" s="20" t="n">
        <f aca="false">$B$4*B360*$B$4+$B$4*C360*$B$5+$B$5*C360*$B$4+$B$5*D360*$B$5+$E$4</f>
        <v>13.5714285714286</v>
      </c>
      <c r="C361" s="20" t="n">
        <f aca="false">$B$4*B360*$C$4+$B$4*C360*$C$5+$B$5*C360*$C$4+$B$5*D360*$C$5+$F$4</f>
        <v>-5.78571428571428</v>
      </c>
      <c r="D361" s="20" t="n">
        <f aca="false">$C$4*B360*$C$4+$C$4*C360*$C$5+$C$5*C360*$C$4+$C$5*D360*$C$5+$F$5</f>
        <v>11.9928571428571</v>
      </c>
      <c r="P361" s="18" t="n">
        <v>352</v>
      </c>
      <c r="Q361" s="20" t="n">
        <f aca="false">Declarations!$B$20*Q360*Declarations!$B$20+Declarations!$B$20*R360*Declarations!$B$21+Declarations!$B$20*S360*Declarations!$B$22+Declarations!$B$21*R360*Declarations!$B$20+Declarations!$B$21*T360*Declarations!$B$21+Declarations!$B$21*U360*Declarations!$B$22+Declarations!$B$22*S360*Declarations!$B$20+Declarations!$B$22*U360*Declarations!$B$21+Declarations!$B$22*V360*Declarations!$B$22+1</f>
        <v>10.2972987232247</v>
      </c>
      <c r="R361" s="20" t="n">
        <f aca="false">Declarations!$B$20*Q360*Declarations!$C$20+Declarations!$B$20*R360*Declarations!$C$21+Declarations!$B$20*S360*Declarations!$C$22+Declarations!$B$21*R360*Declarations!$C$20+Declarations!$B$21*T360*Declarations!$C$21+Declarations!$B$21*U360*Declarations!$C$22+Declarations!$B$22*S360*Declarations!$C$20+Declarations!$B$22*U360*Declarations!$C$21+Declarations!$B$22*V360*Declarations!$C$22+0</f>
        <v>4.60691839453414</v>
      </c>
      <c r="S361" s="20" t="n">
        <f aca="false">Declarations!$B$20*Q360*Declarations!$D$20+Declarations!$B$20*R360*Declarations!$D$21+Declarations!$B$20*S360*Declarations!$D$22+Declarations!$B$21*R360*Declarations!$D$20+Declarations!$B$21*T360*Declarations!$D$21+Declarations!$B$21*U360*Declarations!$D$22+Declarations!$B$22*S360*Declarations!$D$20+Declarations!$B$22*U360*Declarations!$D$21+Declarations!$B$22*V360*Declarations!$D$22+0</f>
        <v>0.617283950617284</v>
      </c>
      <c r="T361" s="20" t="n">
        <f aca="false">Declarations!$C$20*Q360*Declarations!$C$20+Declarations!$C$20*R360*Declarations!$C$21+Declarations!$C$20*S360*Declarations!$C$22+Declarations!$C$21*R360*Declarations!$C$20+Declarations!$C$21*T360*Declarations!$C$21+Declarations!$C$21*U360*Declarations!$C$22+Declarations!$C$22*S360*Declarations!$C$20+Declarations!$C$22*U360*Declarations!$C$21+Declarations!$C$22*V360*Declarations!$C$22+1</f>
        <v>5.70253970138229</v>
      </c>
      <c r="U361" s="20" t="n">
        <f aca="false">Declarations!$C$20*Q360*Declarations!$D$20+Declarations!$C$20*R360*Declarations!$D$21+Declarations!$C$20*S360*Declarations!$D$22+Declarations!$C$21*R360*Declarations!$D$20+Declarations!$C$21*T360*Declarations!$D$21+Declarations!$C$21*U360*Declarations!$D$22+Declarations!$C$22*S360*Declarations!$D$20+Declarations!$C$22*U360*Declarations!$D$21+Declarations!$C$22*V360*Declarations!$D$22+0</f>
        <v>0.771604938271605</v>
      </c>
      <c r="V361" s="20" t="n">
        <f aca="false">Declarations!$D$20*Q360*Declarations!$D$20+Declarations!$D$20*R360*Declarations!$D$21+Declarations!$D$20*S360*Declarations!$D$22+Declarations!$D$21*R360*Declarations!$D$20+Declarations!$D$21*T360*Declarations!$D$21+Declarations!$D$21*U360*Declarations!$D$22+Declarations!$D$22*S360*Declarations!$D$20+Declarations!$D$22*U360*Declarations!$D$21+Declarations!$D$22*V360*Declarations!$D$22+1</f>
        <v>2.77777777777778</v>
      </c>
    </row>
    <row r="362" customFormat="false" ht="15" hidden="false" customHeight="false" outlineLevel="0" collapsed="false">
      <c r="A362" s="18" t="n">
        <v>353</v>
      </c>
      <c r="B362" s="20" t="n">
        <f aca="false">$B$4*B361*$B$4+$B$4*C361*$B$5+$B$5*C361*$B$4+$B$5*D361*$B$5+$E$4</f>
        <v>13.5714285714286</v>
      </c>
      <c r="C362" s="20" t="n">
        <f aca="false">$B$4*B361*$C$4+$B$4*C361*$C$5+$B$5*C361*$C$4+$B$5*D361*$C$5+$F$4</f>
        <v>-5.78571428571428</v>
      </c>
      <c r="D362" s="20" t="n">
        <f aca="false">$C$4*B361*$C$4+$C$4*C361*$C$5+$C$5*C361*$C$4+$C$5*D361*$C$5+$F$5</f>
        <v>11.9928571428571</v>
      </c>
      <c r="P362" s="18" t="n">
        <v>353</v>
      </c>
      <c r="Q362" s="20" t="n">
        <f aca="false">Declarations!$B$20*Q361*Declarations!$B$20+Declarations!$B$20*R361*Declarations!$B$21+Declarations!$B$20*S361*Declarations!$B$22+Declarations!$B$21*R361*Declarations!$B$20+Declarations!$B$21*T361*Declarations!$B$21+Declarations!$B$21*U361*Declarations!$B$22+Declarations!$B$22*S361*Declarations!$B$20+Declarations!$B$22*U361*Declarations!$B$21+Declarations!$B$22*V361*Declarations!$B$22+1</f>
        <v>10.2972987232247</v>
      </c>
      <c r="R362" s="20" t="n">
        <f aca="false">Declarations!$B$20*Q361*Declarations!$C$20+Declarations!$B$20*R361*Declarations!$C$21+Declarations!$B$20*S361*Declarations!$C$22+Declarations!$B$21*R361*Declarations!$C$20+Declarations!$B$21*T361*Declarations!$C$21+Declarations!$B$21*U361*Declarations!$C$22+Declarations!$B$22*S361*Declarations!$C$20+Declarations!$B$22*U361*Declarations!$C$21+Declarations!$B$22*V361*Declarations!$C$22+0</f>
        <v>4.60691839453414</v>
      </c>
      <c r="S362" s="20" t="n">
        <f aca="false">Declarations!$B$20*Q361*Declarations!$D$20+Declarations!$B$20*R361*Declarations!$D$21+Declarations!$B$20*S361*Declarations!$D$22+Declarations!$B$21*R361*Declarations!$D$20+Declarations!$B$21*T361*Declarations!$D$21+Declarations!$B$21*U361*Declarations!$D$22+Declarations!$B$22*S361*Declarations!$D$20+Declarations!$B$22*U361*Declarations!$D$21+Declarations!$B$22*V361*Declarations!$D$22+0</f>
        <v>0.617283950617284</v>
      </c>
      <c r="T362" s="20" t="n">
        <f aca="false">Declarations!$C$20*Q361*Declarations!$C$20+Declarations!$C$20*R361*Declarations!$C$21+Declarations!$C$20*S361*Declarations!$C$22+Declarations!$C$21*R361*Declarations!$C$20+Declarations!$C$21*T361*Declarations!$C$21+Declarations!$C$21*U361*Declarations!$C$22+Declarations!$C$22*S361*Declarations!$C$20+Declarations!$C$22*U361*Declarations!$C$21+Declarations!$C$22*V361*Declarations!$C$22+1</f>
        <v>5.70253970138229</v>
      </c>
      <c r="U362" s="20" t="n">
        <f aca="false">Declarations!$C$20*Q361*Declarations!$D$20+Declarations!$C$20*R361*Declarations!$D$21+Declarations!$C$20*S361*Declarations!$D$22+Declarations!$C$21*R361*Declarations!$D$20+Declarations!$C$21*T361*Declarations!$D$21+Declarations!$C$21*U361*Declarations!$D$22+Declarations!$C$22*S361*Declarations!$D$20+Declarations!$C$22*U361*Declarations!$D$21+Declarations!$C$22*V361*Declarations!$D$22+0</f>
        <v>0.771604938271605</v>
      </c>
      <c r="V362" s="20" t="n">
        <f aca="false">Declarations!$D$20*Q361*Declarations!$D$20+Declarations!$D$20*R361*Declarations!$D$21+Declarations!$D$20*S361*Declarations!$D$22+Declarations!$D$21*R361*Declarations!$D$20+Declarations!$D$21*T361*Declarations!$D$21+Declarations!$D$21*U361*Declarations!$D$22+Declarations!$D$22*S361*Declarations!$D$20+Declarations!$D$22*U361*Declarations!$D$21+Declarations!$D$22*V361*Declarations!$D$22+1</f>
        <v>2.77777777777778</v>
      </c>
    </row>
    <row r="363" customFormat="false" ht="15" hidden="false" customHeight="false" outlineLevel="0" collapsed="false">
      <c r="A363" s="18" t="n">
        <v>354</v>
      </c>
      <c r="B363" s="20" t="n">
        <f aca="false">$B$4*B362*$B$4+$B$4*C362*$B$5+$B$5*C362*$B$4+$B$5*D362*$B$5+$E$4</f>
        <v>13.5714285714286</v>
      </c>
      <c r="C363" s="20" t="n">
        <f aca="false">$B$4*B362*$C$4+$B$4*C362*$C$5+$B$5*C362*$C$4+$B$5*D362*$C$5+$F$4</f>
        <v>-5.78571428571428</v>
      </c>
      <c r="D363" s="20" t="n">
        <f aca="false">$C$4*B362*$C$4+$C$4*C362*$C$5+$C$5*C362*$C$4+$C$5*D362*$C$5+$F$5</f>
        <v>11.9928571428571</v>
      </c>
      <c r="P363" s="18" t="n">
        <v>354</v>
      </c>
      <c r="Q363" s="20" t="n">
        <f aca="false">Declarations!$B$20*Q362*Declarations!$B$20+Declarations!$B$20*R362*Declarations!$B$21+Declarations!$B$20*S362*Declarations!$B$22+Declarations!$B$21*R362*Declarations!$B$20+Declarations!$B$21*T362*Declarations!$B$21+Declarations!$B$21*U362*Declarations!$B$22+Declarations!$B$22*S362*Declarations!$B$20+Declarations!$B$22*U362*Declarations!$B$21+Declarations!$B$22*V362*Declarations!$B$22+1</f>
        <v>10.2972987232247</v>
      </c>
      <c r="R363" s="20" t="n">
        <f aca="false">Declarations!$B$20*Q362*Declarations!$C$20+Declarations!$B$20*R362*Declarations!$C$21+Declarations!$B$20*S362*Declarations!$C$22+Declarations!$B$21*R362*Declarations!$C$20+Declarations!$B$21*T362*Declarations!$C$21+Declarations!$B$21*U362*Declarations!$C$22+Declarations!$B$22*S362*Declarations!$C$20+Declarations!$B$22*U362*Declarations!$C$21+Declarations!$B$22*V362*Declarations!$C$22+0</f>
        <v>4.60691839453414</v>
      </c>
      <c r="S363" s="20" t="n">
        <f aca="false">Declarations!$B$20*Q362*Declarations!$D$20+Declarations!$B$20*R362*Declarations!$D$21+Declarations!$B$20*S362*Declarations!$D$22+Declarations!$B$21*R362*Declarations!$D$20+Declarations!$B$21*T362*Declarations!$D$21+Declarations!$B$21*U362*Declarations!$D$22+Declarations!$B$22*S362*Declarations!$D$20+Declarations!$B$22*U362*Declarations!$D$21+Declarations!$B$22*V362*Declarations!$D$22+0</f>
        <v>0.617283950617284</v>
      </c>
      <c r="T363" s="20" t="n">
        <f aca="false">Declarations!$C$20*Q362*Declarations!$C$20+Declarations!$C$20*R362*Declarations!$C$21+Declarations!$C$20*S362*Declarations!$C$22+Declarations!$C$21*R362*Declarations!$C$20+Declarations!$C$21*T362*Declarations!$C$21+Declarations!$C$21*U362*Declarations!$C$22+Declarations!$C$22*S362*Declarations!$C$20+Declarations!$C$22*U362*Declarations!$C$21+Declarations!$C$22*V362*Declarations!$C$22+1</f>
        <v>5.70253970138229</v>
      </c>
      <c r="U363" s="20" t="n">
        <f aca="false">Declarations!$C$20*Q362*Declarations!$D$20+Declarations!$C$20*R362*Declarations!$D$21+Declarations!$C$20*S362*Declarations!$D$22+Declarations!$C$21*R362*Declarations!$D$20+Declarations!$C$21*T362*Declarations!$D$21+Declarations!$C$21*U362*Declarations!$D$22+Declarations!$C$22*S362*Declarations!$D$20+Declarations!$C$22*U362*Declarations!$D$21+Declarations!$C$22*V362*Declarations!$D$22+0</f>
        <v>0.771604938271605</v>
      </c>
      <c r="V363" s="20" t="n">
        <f aca="false">Declarations!$D$20*Q362*Declarations!$D$20+Declarations!$D$20*R362*Declarations!$D$21+Declarations!$D$20*S362*Declarations!$D$22+Declarations!$D$21*R362*Declarations!$D$20+Declarations!$D$21*T362*Declarations!$D$21+Declarations!$D$21*U362*Declarations!$D$22+Declarations!$D$22*S362*Declarations!$D$20+Declarations!$D$22*U362*Declarations!$D$21+Declarations!$D$22*V362*Declarations!$D$22+1</f>
        <v>2.77777777777778</v>
      </c>
    </row>
    <row r="364" customFormat="false" ht="15" hidden="false" customHeight="false" outlineLevel="0" collapsed="false">
      <c r="A364" s="18" t="n">
        <v>355</v>
      </c>
      <c r="B364" s="20" t="n">
        <f aca="false">$B$4*B363*$B$4+$B$4*C363*$B$5+$B$5*C363*$B$4+$B$5*D363*$B$5+$E$4</f>
        <v>13.5714285714286</v>
      </c>
      <c r="C364" s="20" t="n">
        <f aca="false">$B$4*B363*$C$4+$B$4*C363*$C$5+$B$5*C363*$C$4+$B$5*D363*$C$5+$F$4</f>
        <v>-5.78571428571428</v>
      </c>
      <c r="D364" s="20" t="n">
        <f aca="false">$C$4*B363*$C$4+$C$4*C363*$C$5+$C$5*C363*$C$4+$C$5*D363*$C$5+$F$5</f>
        <v>11.9928571428571</v>
      </c>
      <c r="P364" s="18" t="n">
        <v>355</v>
      </c>
      <c r="Q364" s="20" t="n">
        <f aca="false">Declarations!$B$20*Q363*Declarations!$B$20+Declarations!$B$20*R363*Declarations!$B$21+Declarations!$B$20*S363*Declarations!$B$22+Declarations!$B$21*R363*Declarations!$B$20+Declarations!$B$21*T363*Declarations!$B$21+Declarations!$B$21*U363*Declarations!$B$22+Declarations!$B$22*S363*Declarations!$B$20+Declarations!$B$22*U363*Declarations!$B$21+Declarations!$B$22*V363*Declarations!$B$22+1</f>
        <v>10.2972987232247</v>
      </c>
      <c r="R364" s="20" t="n">
        <f aca="false">Declarations!$B$20*Q363*Declarations!$C$20+Declarations!$B$20*R363*Declarations!$C$21+Declarations!$B$20*S363*Declarations!$C$22+Declarations!$B$21*R363*Declarations!$C$20+Declarations!$B$21*T363*Declarations!$C$21+Declarations!$B$21*U363*Declarations!$C$22+Declarations!$B$22*S363*Declarations!$C$20+Declarations!$B$22*U363*Declarations!$C$21+Declarations!$B$22*V363*Declarations!$C$22+0</f>
        <v>4.60691839453414</v>
      </c>
      <c r="S364" s="20" t="n">
        <f aca="false">Declarations!$B$20*Q363*Declarations!$D$20+Declarations!$B$20*R363*Declarations!$D$21+Declarations!$B$20*S363*Declarations!$D$22+Declarations!$B$21*R363*Declarations!$D$20+Declarations!$B$21*T363*Declarations!$D$21+Declarations!$B$21*U363*Declarations!$D$22+Declarations!$B$22*S363*Declarations!$D$20+Declarations!$B$22*U363*Declarations!$D$21+Declarations!$B$22*V363*Declarations!$D$22+0</f>
        <v>0.617283950617284</v>
      </c>
      <c r="T364" s="20" t="n">
        <f aca="false">Declarations!$C$20*Q363*Declarations!$C$20+Declarations!$C$20*R363*Declarations!$C$21+Declarations!$C$20*S363*Declarations!$C$22+Declarations!$C$21*R363*Declarations!$C$20+Declarations!$C$21*T363*Declarations!$C$21+Declarations!$C$21*U363*Declarations!$C$22+Declarations!$C$22*S363*Declarations!$C$20+Declarations!$C$22*U363*Declarations!$C$21+Declarations!$C$22*V363*Declarations!$C$22+1</f>
        <v>5.70253970138229</v>
      </c>
      <c r="U364" s="20" t="n">
        <f aca="false">Declarations!$C$20*Q363*Declarations!$D$20+Declarations!$C$20*R363*Declarations!$D$21+Declarations!$C$20*S363*Declarations!$D$22+Declarations!$C$21*R363*Declarations!$D$20+Declarations!$C$21*T363*Declarations!$D$21+Declarations!$C$21*U363*Declarations!$D$22+Declarations!$C$22*S363*Declarations!$D$20+Declarations!$C$22*U363*Declarations!$D$21+Declarations!$C$22*V363*Declarations!$D$22+0</f>
        <v>0.771604938271605</v>
      </c>
      <c r="V364" s="20" t="n">
        <f aca="false">Declarations!$D$20*Q363*Declarations!$D$20+Declarations!$D$20*R363*Declarations!$D$21+Declarations!$D$20*S363*Declarations!$D$22+Declarations!$D$21*R363*Declarations!$D$20+Declarations!$D$21*T363*Declarations!$D$21+Declarations!$D$21*U363*Declarations!$D$22+Declarations!$D$22*S363*Declarations!$D$20+Declarations!$D$22*U363*Declarations!$D$21+Declarations!$D$22*V363*Declarations!$D$22+1</f>
        <v>2.77777777777778</v>
      </c>
    </row>
    <row r="365" customFormat="false" ht="15" hidden="false" customHeight="false" outlineLevel="0" collapsed="false">
      <c r="A365" s="18" t="n">
        <v>356</v>
      </c>
      <c r="B365" s="20" t="n">
        <f aca="false">$B$4*B364*$B$4+$B$4*C364*$B$5+$B$5*C364*$B$4+$B$5*D364*$B$5+$E$4</f>
        <v>13.5714285714286</v>
      </c>
      <c r="C365" s="20" t="n">
        <f aca="false">$B$4*B364*$C$4+$B$4*C364*$C$5+$B$5*C364*$C$4+$B$5*D364*$C$5+$F$4</f>
        <v>-5.78571428571428</v>
      </c>
      <c r="D365" s="20" t="n">
        <f aca="false">$C$4*B364*$C$4+$C$4*C364*$C$5+$C$5*C364*$C$4+$C$5*D364*$C$5+$F$5</f>
        <v>11.9928571428571</v>
      </c>
      <c r="P365" s="18" t="n">
        <v>356</v>
      </c>
      <c r="Q365" s="20" t="n">
        <f aca="false">Declarations!$B$20*Q364*Declarations!$B$20+Declarations!$B$20*R364*Declarations!$B$21+Declarations!$B$20*S364*Declarations!$B$22+Declarations!$B$21*R364*Declarations!$B$20+Declarations!$B$21*T364*Declarations!$B$21+Declarations!$B$21*U364*Declarations!$B$22+Declarations!$B$22*S364*Declarations!$B$20+Declarations!$B$22*U364*Declarations!$B$21+Declarations!$B$22*V364*Declarations!$B$22+1</f>
        <v>10.2972987232247</v>
      </c>
      <c r="R365" s="20" t="n">
        <f aca="false">Declarations!$B$20*Q364*Declarations!$C$20+Declarations!$B$20*R364*Declarations!$C$21+Declarations!$B$20*S364*Declarations!$C$22+Declarations!$B$21*R364*Declarations!$C$20+Declarations!$B$21*T364*Declarations!$C$21+Declarations!$B$21*U364*Declarations!$C$22+Declarations!$B$22*S364*Declarations!$C$20+Declarations!$B$22*U364*Declarations!$C$21+Declarations!$B$22*V364*Declarations!$C$22+0</f>
        <v>4.60691839453414</v>
      </c>
      <c r="S365" s="20" t="n">
        <f aca="false">Declarations!$B$20*Q364*Declarations!$D$20+Declarations!$B$20*R364*Declarations!$D$21+Declarations!$B$20*S364*Declarations!$D$22+Declarations!$B$21*R364*Declarations!$D$20+Declarations!$B$21*T364*Declarations!$D$21+Declarations!$B$21*U364*Declarations!$D$22+Declarations!$B$22*S364*Declarations!$D$20+Declarations!$B$22*U364*Declarations!$D$21+Declarations!$B$22*V364*Declarations!$D$22+0</f>
        <v>0.617283950617284</v>
      </c>
      <c r="T365" s="20" t="n">
        <f aca="false">Declarations!$C$20*Q364*Declarations!$C$20+Declarations!$C$20*R364*Declarations!$C$21+Declarations!$C$20*S364*Declarations!$C$22+Declarations!$C$21*R364*Declarations!$C$20+Declarations!$C$21*T364*Declarations!$C$21+Declarations!$C$21*U364*Declarations!$C$22+Declarations!$C$22*S364*Declarations!$C$20+Declarations!$C$22*U364*Declarations!$C$21+Declarations!$C$22*V364*Declarations!$C$22+1</f>
        <v>5.70253970138229</v>
      </c>
      <c r="U365" s="20" t="n">
        <f aca="false">Declarations!$C$20*Q364*Declarations!$D$20+Declarations!$C$20*R364*Declarations!$D$21+Declarations!$C$20*S364*Declarations!$D$22+Declarations!$C$21*R364*Declarations!$D$20+Declarations!$C$21*T364*Declarations!$D$21+Declarations!$C$21*U364*Declarations!$D$22+Declarations!$C$22*S364*Declarations!$D$20+Declarations!$C$22*U364*Declarations!$D$21+Declarations!$C$22*V364*Declarations!$D$22+0</f>
        <v>0.771604938271605</v>
      </c>
      <c r="V365" s="20" t="n">
        <f aca="false">Declarations!$D$20*Q364*Declarations!$D$20+Declarations!$D$20*R364*Declarations!$D$21+Declarations!$D$20*S364*Declarations!$D$22+Declarations!$D$21*R364*Declarations!$D$20+Declarations!$D$21*T364*Declarations!$D$21+Declarations!$D$21*U364*Declarations!$D$22+Declarations!$D$22*S364*Declarations!$D$20+Declarations!$D$22*U364*Declarations!$D$21+Declarations!$D$22*V364*Declarations!$D$22+1</f>
        <v>2.77777777777778</v>
      </c>
    </row>
    <row r="366" customFormat="false" ht="15" hidden="false" customHeight="false" outlineLevel="0" collapsed="false">
      <c r="A366" s="18" t="n">
        <v>357</v>
      </c>
      <c r="B366" s="20" t="n">
        <f aca="false">$B$4*B365*$B$4+$B$4*C365*$B$5+$B$5*C365*$B$4+$B$5*D365*$B$5+$E$4</f>
        <v>13.5714285714286</v>
      </c>
      <c r="C366" s="20" t="n">
        <f aca="false">$B$4*B365*$C$4+$B$4*C365*$C$5+$B$5*C365*$C$4+$B$5*D365*$C$5+$F$4</f>
        <v>-5.78571428571428</v>
      </c>
      <c r="D366" s="20" t="n">
        <f aca="false">$C$4*B365*$C$4+$C$4*C365*$C$5+$C$5*C365*$C$4+$C$5*D365*$C$5+$F$5</f>
        <v>11.9928571428571</v>
      </c>
      <c r="P366" s="18" t="n">
        <v>357</v>
      </c>
      <c r="Q366" s="20" t="n">
        <f aca="false">Declarations!$B$20*Q365*Declarations!$B$20+Declarations!$B$20*R365*Declarations!$B$21+Declarations!$B$20*S365*Declarations!$B$22+Declarations!$B$21*R365*Declarations!$B$20+Declarations!$B$21*T365*Declarations!$B$21+Declarations!$B$21*U365*Declarations!$B$22+Declarations!$B$22*S365*Declarations!$B$20+Declarations!$B$22*U365*Declarations!$B$21+Declarations!$B$22*V365*Declarations!$B$22+1</f>
        <v>10.2972987232247</v>
      </c>
      <c r="R366" s="20" t="n">
        <f aca="false">Declarations!$B$20*Q365*Declarations!$C$20+Declarations!$B$20*R365*Declarations!$C$21+Declarations!$B$20*S365*Declarations!$C$22+Declarations!$B$21*R365*Declarations!$C$20+Declarations!$B$21*T365*Declarations!$C$21+Declarations!$B$21*U365*Declarations!$C$22+Declarations!$B$22*S365*Declarations!$C$20+Declarations!$B$22*U365*Declarations!$C$21+Declarations!$B$22*V365*Declarations!$C$22+0</f>
        <v>4.60691839453414</v>
      </c>
      <c r="S366" s="20" t="n">
        <f aca="false">Declarations!$B$20*Q365*Declarations!$D$20+Declarations!$B$20*R365*Declarations!$D$21+Declarations!$B$20*S365*Declarations!$D$22+Declarations!$B$21*R365*Declarations!$D$20+Declarations!$B$21*T365*Declarations!$D$21+Declarations!$B$21*U365*Declarations!$D$22+Declarations!$B$22*S365*Declarations!$D$20+Declarations!$B$22*U365*Declarations!$D$21+Declarations!$B$22*V365*Declarations!$D$22+0</f>
        <v>0.617283950617284</v>
      </c>
      <c r="T366" s="20" t="n">
        <f aca="false">Declarations!$C$20*Q365*Declarations!$C$20+Declarations!$C$20*R365*Declarations!$C$21+Declarations!$C$20*S365*Declarations!$C$22+Declarations!$C$21*R365*Declarations!$C$20+Declarations!$C$21*T365*Declarations!$C$21+Declarations!$C$21*U365*Declarations!$C$22+Declarations!$C$22*S365*Declarations!$C$20+Declarations!$C$22*U365*Declarations!$C$21+Declarations!$C$22*V365*Declarations!$C$22+1</f>
        <v>5.70253970138229</v>
      </c>
      <c r="U366" s="20" t="n">
        <f aca="false">Declarations!$C$20*Q365*Declarations!$D$20+Declarations!$C$20*R365*Declarations!$D$21+Declarations!$C$20*S365*Declarations!$D$22+Declarations!$C$21*R365*Declarations!$D$20+Declarations!$C$21*T365*Declarations!$D$21+Declarations!$C$21*U365*Declarations!$D$22+Declarations!$C$22*S365*Declarations!$D$20+Declarations!$C$22*U365*Declarations!$D$21+Declarations!$C$22*V365*Declarations!$D$22+0</f>
        <v>0.771604938271605</v>
      </c>
      <c r="V366" s="20" t="n">
        <f aca="false">Declarations!$D$20*Q365*Declarations!$D$20+Declarations!$D$20*R365*Declarations!$D$21+Declarations!$D$20*S365*Declarations!$D$22+Declarations!$D$21*R365*Declarations!$D$20+Declarations!$D$21*T365*Declarations!$D$21+Declarations!$D$21*U365*Declarations!$D$22+Declarations!$D$22*S365*Declarations!$D$20+Declarations!$D$22*U365*Declarations!$D$21+Declarations!$D$22*V365*Declarations!$D$22+1</f>
        <v>2.77777777777778</v>
      </c>
    </row>
    <row r="367" customFormat="false" ht="15" hidden="false" customHeight="false" outlineLevel="0" collapsed="false">
      <c r="A367" s="18" t="n">
        <v>358</v>
      </c>
      <c r="B367" s="20" t="n">
        <f aca="false">$B$4*B366*$B$4+$B$4*C366*$B$5+$B$5*C366*$B$4+$B$5*D366*$B$5+$E$4</f>
        <v>13.5714285714286</v>
      </c>
      <c r="C367" s="20" t="n">
        <f aca="false">$B$4*B366*$C$4+$B$4*C366*$C$5+$B$5*C366*$C$4+$B$5*D366*$C$5+$F$4</f>
        <v>-5.78571428571428</v>
      </c>
      <c r="D367" s="20" t="n">
        <f aca="false">$C$4*B366*$C$4+$C$4*C366*$C$5+$C$5*C366*$C$4+$C$5*D366*$C$5+$F$5</f>
        <v>11.9928571428571</v>
      </c>
      <c r="P367" s="18" t="n">
        <v>358</v>
      </c>
      <c r="Q367" s="20" t="n">
        <f aca="false">Declarations!$B$20*Q366*Declarations!$B$20+Declarations!$B$20*R366*Declarations!$B$21+Declarations!$B$20*S366*Declarations!$B$22+Declarations!$B$21*R366*Declarations!$B$20+Declarations!$B$21*T366*Declarations!$B$21+Declarations!$B$21*U366*Declarations!$B$22+Declarations!$B$22*S366*Declarations!$B$20+Declarations!$B$22*U366*Declarations!$B$21+Declarations!$B$22*V366*Declarations!$B$22+1</f>
        <v>10.2972987232247</v>
      </c>
      <c r="R367" s="20" t="n">
        <f aca="false">Declarations!$B$20*Q366*Declarations!$C$20+Declarations!$B$20*R366*Declarations!$C$21+Declarations!$B$20*S366*Declarations!$C$22+Declarations!$B$21*R366*Declarations!$C$20+Declarations!$B$21*T366*Declarations!$C$21+Declarations!$B$21*U366*Declarations!$C$22+Declarations!$B$22*S366*Declarations!$C$20+Declarations!$B$22*U366*Declarations!$C$21+Declarations!$B$22*V366*Declarations!$C$22+0</f>
        <v>4.60691839453414</v>
      </c>
      <c r="S367" s="20" t="n">
        <f aca="false">Declarations!$B$20*Q366*Declarations!$D$20+Declarations!$B$20*R366*Declarations!$D$21+Declarations!$B$20*S366*Declarations!$D$22+Declarations!$B$21*R366*Declarations!$D$20+Declarations!$B$21*T366*Declarations!$D$21+Declarations!$B$21*U366*Declarations!$D$22+Declarations!$B$22*S366*Declarations!$D$20+Declarations!$B$22*U366*Declarations!$D$21+Declarations!$B$22*V366*Declarations!$D$22+0</f>
        <v>0.617283950617284</v>
      </c>
      <c r="T367" s="20" t="n">
        <f aca="false">Declarations!$C$20*Q366*Declarations!$C$20+Declarations!$C$20*R366*Declarations!$C$21+Declarations!$C$20*S366*Declarations!$C$22+Declarations!$C$21*R366*Declarations!$C$20+Declarations!$C$21*T366*Declarations!$C$21+Declarations!$C$21*U366*Declarations!$C$22+Declarations!$C$22*S366*Declarations!$C$20+Declarations!$C$22*U366*Declarations!$C$21+Declarations!$C$22*V366*Declarations!$C$22+1</f>
        <v>5.70253970138229</v>
      </c>
      <c r="U367" s="20" t="n">
        <f aca="false">Declarations!$C$20*Q366*Declarations!$D$20+Declarations!$C$20*R366*Declarations!$D$21+Declarations!$C$20*S366*Declarations!$D$22+Declarations!$C$21*R366*Declarations!$D$20+Declarations!$C$21*T366*Declarations!$D$21+Declarations!$C$21*U366*Declarations!$D$22+Declarations!$C$22*S366*Declarations!$D$20+Declarations!$C$22*U366*Declarations!$D$21+Declarations!$C$22*V366*Declarations!$D$22+0</f>
        <v>0.771604938271605</v>
      </c>
      <c r="V367" s="20" t="n">
        <f aca="false">Declarations!$D$20*Q366*Declarations!$D$20+Declarations!$D$20*R366*Declarations!$D$21+Declarations!$D$20*S366*Declarations!$D$22+Declarations!$D$21*R366*Declarations!$D$20+Declarations!$D$21*T366*Declarations!$D$21+Declarations!$D$21*U366*Declarations!$D$22+Declarations!$D$22*S366*Declarations!$D$20+Declarations!$D$22*U366*Declarations!$D$21+Declarations!$D$22*V366*Declarations!$D$22+1</f>
        <v>2.77777777777778</v>
      </c>
    </row>
    <row r="368" customFormat="false" ht="15" hidden="false" customHeight="false" outlineLevel="0" collapsed="false">
      <c r="A368" s="18" t="n">
        <v>359</v>
      </c>
      <c r="B368" s="20" t="n">
        <f aca="false">$B$4*B367*$B$4+$B$4*C367*$B$5+$B$5*C367*$B$4+$B$5*D367*$B$5+$E$4</f>
        <v>13.5714285714286</v>
      </c>
      <c r="C368" s="20" t="n">
        <f aca="false">$B$4*B367*$C$4+$B$4*C367*$C$5+$B$5*C367*$C$4+$B$5*D367*$C$5+$F$4</f>
        <v>-5.78571428571428</v>
      </c>
      <c r="D368" s="20" t="n">
        <f aca="false">$C$4*B367*$C$4+$C$4*C367*$C$5+$C$5*C367*$C$4+$C$5*D367*$C$5+$F$5</f>
        <v>11.9928571428571</v>
      </c>
      <c r="P368" s="18" t="n">
        <v>359</v>
      </c>
      <c r="Q368" s="20" t="n">
        <f aca="false">Declarations!$B$20*Q367*Declarations!$B$20+Declarations!$B$20*R367*Declarations!$B$21+Declarations!$B$20*S367*Declarations!$B$22+Declarations!$B$21*R367*Declarations!$B$20+Declarations!$B$21*T367*Declarations!$B$21+Declarations!$B$21*U367*Declarations!$B$22+Declarations!$B$22*S367*Declarations!$B$20+Declarations!$B$22*U367*Declarations!$B$21+Declarations!$B$22*V367*Declarations!$B$22+1</f>
        <v>10.2972987232247</v>
      </c>
      <c r="R368" s="20" t="n">
        <f aca="false">Declarations!$B$20*Q367*Declarations!$C$20+Declarations!$B$20*R367*Declarations!$C$21+Declarations!$B$20*S367*Declarations!$C$22+Declarations!$B$21*R367*Declarations!$C$20+Declarations!$B$21*T367*Declarations!$C$21+Declarations!$B$21*U367*Declarations!$C$22+Declarations!$B$22*S367*Declarations!$C$20+Declarations!$B$22*U367*Declarations!$C$21+Declarations!$B$22*V367*Declarations!$C$22+0</f>
        <v>4.60691839453414</v>
      </c>
      <c r="S368" s="20" t="n">
        <f aca="false">Declarations!$B$20*Q367*Declarations!$D$20+Declarations!$B$20*R367*Declarations!$D$21+Declarations!$B$20*S367*Declarations!$D$22+Declarations!$B$21*R367*Declarations!$D$20+Declarations!$B$21*T367*Declarations!$D$21+Declarations!$B$21*U367*Declarations!$D$22+Declarations!$B$22*S367*Declarations!$D$20+Declarations!$B$22*U367*Declarations!$D$21+Declarations!$B$22*V367*Declarations!$D$22+0</f>
        <v>0.617283950617284</v>
      </c>
      <c r="T368" s="20" t="n">
        <f aca="false">Declarations!$C$20*Q367*Declarations!$C$20+Declarations!$C$20*R367*Declarations!$C$21+Declarations!$C$20*S367*Declarations!$C$22+Declarations!$C$21*R367*Declarations!$C$20+Declarations!$C$21*T367*Declarations!$C$21+Declarations!$C$21*U367*Declarations!$C$22+Declarations!$C$22*S367*Declarations!$C$20+Declarations!$C$22*U367*Declarations!$C$21+Declarations!$C$22*V367*Declarations!$C$22+1</f>
        <v>5.70253970138229</v>
      </c>
      <c r="U368" s="20" t="n">
        <f aca="false">Declarations!$C$20*Q367*Declarations!$D$20+Declarations!$C$20*R367*Declarations!$D$21+Declarations!$C$20*S367*Declarations!$D$22+Declarations!$C$21*R367*Declarations!$D$20+Declarations!$C$21*T367*Declarations!$D$21+Declarations!$C$21*U367*Declarations!$D$22+Declarations!$C$22*S367*Declarations!$D$20+Declarations!$C$22*U367*Declarations!$D$21+Declarations!$C$22*V367*Declarations!$D$22+0</f>
        <v>0.771604938271605</v>
      </c>
      <c r="V368" s="20" t="n">
        <f aca="false">Declarations!$D$20*Q367*Declarations!$D$20+Declarations!$D$20*R367*Declarations!$D$21+Declarations!$D$20*S367*Declarations!$D$22+Declarations!$D$21*R367*Declarations!$D$20+Declarations!$D$21*T367*Declarations!$D$21+Declarations!$D$21*U367*Declarations!$D$22+Declarations!$D$22*S367*Declarations!$D$20+Declarations!$D$22*U367*Declarations!$D$21+Declarations!$D$22*V367*Declarations!$D$22+1</f>
        <v>2.77777777777778</v>
      </c>
    </row>
    <row r="369" customFormat="false" ht="15" hidden="false" customHeight="false" outlineLevel="0" collapsed="false">
      <c r="A369" s="18" t="n">
        <v>360</v>
      </c>
      <c r="B369" s="20" t="n">
        <f aca="false">$B$4*B368*$B$4+$B$4*C368*$B$5+$B$5*C368*$B$4+$B$5*D368*$B$5+$E$4</f>
        <v>13.5714285714286</v>
      </c>
      <c r="C369" s="20" t="n">
        <f aca="false">$B$4*B368*$C$4+$B$4*C368*$C$5+$B$5*C368*$C$4+$B$5*D368*$C$5+$F$4</f>
        <v>-5.78571428571428</v>
      </c>
      <c r="D369" s="20" t="n">
        <f aca="false">$C$4*B368*$C$4+$C$4*C368*$C$5+$C$5*C368*$C$4+$C$5*D368*$C$5+$F$5</f>
        <v>11.9928571428571</v>
      </c>
      <c r="P369" s="18" t="n">
        <v>360</v>
      </c>
      <c r="Q369" s="20" t="n">
        <f aca="false">Declarations!$B$20*Q368*Declarations!$B$20+Declarations!$B$20*R368*Declarations!$B$21+Declarations!$B$20*S368*Declarations!$B$22+Declarations!$B$21*R368*Declarations!$B$20+Declarations!$B$21*T368*Declarations!$B$21+Declarations!$B$21*U368*Declarations!$B$22+Declarations!$B$22*S368*Declarations!$B$20+Declarations!$B$22*U368*Declarations!$B$21+Declarations!$B$22*V368*Declarations!$B$22+1</f>
        <v>10.2972987232247</v>
      </c>
      <c r="R369" s="20" t="n">
        <f aca="false">Declarations!$B$20*Q368*Declarations!$C$20+Declarations!$B$20*R368*Declarations!$C$21+Declarations!$B$20*S368*Declarations!$C$22+Declarations!$B$21*R368*Declarations!$C$20+Declarations!$B$21*T368*Declarations!$C$21+Declarations!$B$21*U368*Declarations!$C$22+Declarations!$B$22*S368*Declarations!$C$20+Declarations!$B$22*U368*Declarations!$C$21+Declarations!$B$22*V368*Declarations!$C$22+0</f>
        <v>4.60691839453414</v>
      </c>
      <c r="S369" s="20" t="n">
        <f aca="false">Declarations!$B$20*Q368*Declarations!$D$20+Declarations!$B$20*R368*Declarations!$D$21+Declarations!$B$20*S368*Declarations!$D$22+Declarations!$B$21*R368*Declarations!$D$20+Declarations!$B$21*T368*Declarations!$D$21+Declarations!$B$21*U368*Declarations!$D$22+Declarations!$B$22*S368*Declarations!$D$20+Declarations!$B$22*U368*Declarations!$D$21+Declarations!$B$22*V368*Declarations!$D$22+0</f>
        <v>0.617283950617284</v>
      </c>
      <c r="T369" s="20" t="n">
        <f aca="false">Declarations!$C$20*Q368*Declarations!$C$20+Declarations!$C$20*R368*Declarations!$C$21+Declarations!$C$20*S368*Declarations!$C$22+Declarations!$C$21*R368*Declarations!$C$20+Declarations!$C$21*T368*Declarations!$C$21+Declarations!$C$21*U368*Declarations!$C$22+Declarations!$C$22*S368*Declarations!$C$20+Declarations!$C$22*U368*Declarations!$C$21+Declarations!$C$22*V368*Declarations!$C$22+1</f>
        <v>5.70253970138229</v>
      </c>
      <c r="U369" s="20" t="n">
        <f aca="false">Declarations!$C$20*Q368*Declarations!$D$20+Declarations!$C$20*R368*Declarations!$D$21+Declarations!$C$20*S368*Declarations!$D$22+Declarations!$C$21*R368*Declarations!$D$20+Declarations!$C$21*T368*Declarations!$D$21+Declarations!$C$21*U368*Declarations!$D$22+Declarations!$C$22*S368*Declarations!$D$20+Declarations!$C$22*U368*Declarations!$D$21+Declarations!$C$22*V368*Declarations!$D$22+0</f>
        <v>0.771604938271605</v>
      </c>
      <c r="V369" s="20" t="n">
        <f aca="false">Declarations!$D$20*Q368*Declarations!$D$20+Declarations!$D$20*R368*Declarations!$D$21+Declarations!$D$20*S368*Declarations!$D$22+Declarations!$D$21*R368*Declarations!$D$20+Declarations!$D$21*T368*Declarations!$D$21+Declarations!$D$21*U368*Declarations!$D$22+Declarations!$D$22*S368*Declarations!$D$20+Declarations!$D$22*U368*Declarations!$D$21+Declarations!$D$22*V368*Declarations!$D$22+1</f>
        <v>2.77777777777778</v>
      </c>
    </row>
    <row r="370" customFormat="false" ht="15" hidden="false" customHeight="false" outlineLevel="0" collapsed="false">
      <c r="A370" s="18" t="n">
        <v>361</v>
      </c>
      <c r="B370" s="20" t="n">
        <f aca="false">$B$4*B369*$B$4+$B$4*C369*$B$5+$B$5*C369*$B$4+$B$5*D369*$B$5+$E$4</f>
        <v>13.5714285714286</v>
      </c>
      <c r="C370" s="20" t="n">
        <f aca="false">$B$4*B369*$C$4+$B$4*C369*$C$5+$B$5*C369*$C$4+$B$5*D369*$C$5+$F$4</f>
        <v>-5.78571428571428</v>
      </c>
      <c r="D370" s="20" t="n">
        <f aca="false">$C$4*B369*$C$4+$C$4*C369*$C$5+$C$5*C369*$C$4+$C$5*D369*$C$5+$F$5</f>
        <v>11.9928571428571</v>
      </c>
      <c r="P370" s="18" t="n">
        <v>361</v>
      </c>
      <c r="Q370" s="20" t="n">
        <f aca="false">Declarations!$B$20*Q369*Declarations!$B$20+Declarations!$B$20*R369*Declarations!$B$21+Declarations!$B$20*S369*Declarations!$B$22+Declarations!$B$21*R369*Declarations!$B$20+Declarations!$B$21*T369*Declarations!$B$21+Declarations!$B$21*U369*Declarations!$B$22+Declarations!$B$22*S369*Declarations!$B$20+Declarations!$B$22*U369*Declarations!$B$21+Declarations!$B$22*V369*Declarations!$B$22+1</f>
        <v>10.2972987232247</v>
      </c>
      <c r="R370" s="20" t="n">
        <f aca="false">Declarations!$B$20*Q369*Declarations!$C$20+Declarations!$B$20*R369*Declarations!$C$21+Declarations!$B$20*S369*Declarations!$C$22+Declarations!$B$21*R369*Declarations!$C$20+Declarations!$B$21*T369*Declarations!$C$21+Declarations!$B$21*U369*Declarations!$C$22+Declarations!$B$22*S369*Declarations!$C$20+Declarations!$B$22*U369*Declarations!$C$21+Declarations!$B$22*V369*Declarations!$C$22+0</f>
        <v>4.60691839453414</v>
      </c>
      <c r="S370" s="20" t="n">
        <f aca="false">Declarations!$B$20*Q369*Declarations!$D$20+Declarations!$B$20*R369*Declarations!$D$21+Declarations!$B$20*S369*Declarations!$D$22+Declarations!$B$21*R369*Declarations!$D$20+Declarations!$B$21*T369*Declarations!$D$21+Declarations!$B$21*U369*Declarations!$D$22+Declarations!$B$22*S369*Declarations!$D$20+Declarations!$B$22*U369*Declarations!$D$21+Declarations!$B$22*V369*Declarations!$D$22+0</f>
        <v>0.617283950617284</v>
      </c>
      <c r="T370" s="20" t="n">
        <f aca="false">Declarations!$C$20*Q369*Declarations!$C$20+Declarations!$C$20*R369*Declarations!$C$21+Declarations!$C$20*S369*Declarations!$C$22+Declarations!$C$21*R369*Declarations!$C$20+Declarations!$C$21*T369*Declarations!$C$21+Declarations!$C$21*U369*Declarations!$C$22+Declarations!$C$22*S369*Declarations!$C$20+Declarations!$C$22*U369*Declarations!$C$21+Declarations!$C$22*V369*Declarations!$C$22+1</f>
        <v>5.70253970138229</v>
      </c>
      <c r="U370" s="20" t="n">
        <f aca="false">Declarations!$C$20*Q369*Declarations!$D$20+Declarations!$C$20*R369*Declarations!$D$21+Declarations!$C$20*S369*Declarations!$D$22+Declarations!$C$21*R369*Declarations!$D$20+Declarations!$C$21*T369*Declarations!$D$21+Declarations!$C$21*U369*Declarations!$D$22+Declarations!$C$22*S369*Declarations!$D$20+Declarations!$C$22*U369*Declarations!$D$21+Declarations!$C$22*V369*Declarations!$D$22+0</f>
        <v>0.771604938271605</v>
      </c>
      <c r="V370" s="20" t="n">
        <f aca="false">Declarations!$D$20*Q369*Declarations!$D$20+Declarations!$D$20*R369*Declarations!$D$21+Declarations!$D$20*S369*Declarations!$D$22+Declarations!$D$21*R369*Declarations!$D$20+Declarations!$D$21*T369*Declarations!$D$21+Declarations!$D$21*U369*Declarations!$D$22+Declarations!$D$22*S369*Declarations!$D$20+Declarations!$D$22*U369*Declarations!$D$21+Declarations!$D$22*V369*Declarations!$D$22+1</f>
        <v>2.77777777777778</v>
      </c>
    </row>
    <row r="371" customFormat="false" ht="15" hidden="false" customHeight="false" outlineLevel="0" collapsed="false">
      <c r="A371" s="18" t="n">
        <v>362</v>
      </c>
      <c r="B371" s="20" t="n">
        <f aca="false">$B$4*B370*$B$4+$B$4*C370*$B$5+$B$5*C370*$B$4+$B$5*D370*$B$5+$E$4</f>
        <v>13.5714285714286</v>
      </c>
      <c r="C371" s="20" t="n">
        <f aca="false">$B$4*B370*$C$4+$B$4*C370*$C$5+$B$5*C370*$C$4+$B$5*D370*$C$5+$F$4</f>
        <v>-5.78571428571428</v>
      </c>
      <c r="D371" s="20" t="n">
        <f aca="false">$C$4*B370*$C$4+$C$4*C370*$C$5+$C$5*C370*$C$4+$C$5*D370*$C$5+$F$5</f>
        <v>11.9928571428571</v>
      </c>
      <c r="P371" s="18" t="n">
        <v>362</v>
      </c>
      <c r="Q371" s="20" t="n">
        <f aca="false">Declarations!$B$20*Q370*Declarations!$B$20+Declarations!$B$20*R370*Declarations!$B$21+Declarations!$B$20*S370*Declarations!$B$22+Declarations!$B$21*R370*Declarations!$B$20+Declarations!$B$21*T370*Declarations!$B$21+Declarations!$B$21*U370*Declarations!$B$22+Declarations!$B$22*S370*Declarations!$B$20+Declarations!$B$22*U370*Declarations!$B$21+Declarations!$B$22*V370*Declarations!$B$22+1</f>
        <v>10.2972987232247</v>
      </c>
      <c r="R371" s="20" t="n">
        <f aca="false">Declarations!$B$20*Q370*Declarations!$C$20+Declarations!$B$20*R370*Declarations!$C$21+Declarations!$B$20*S370*Declarations!$C$22+Declarations!$B$21*R370*Declarations!$C$20+Declarations!$B$21*T370*Declarations!$C$21+Declarations!$B$21*U370*Declarations!$C$22+Declarations!$B$22*S370*Declarations!$C$20+Declarations!$B$22*U370*Declarations!$C$21+Declarations!$B$22*V370*Declarations!$C$22+0</f>
        <v>4.60691839453414</v>
      </c>
      <c r="S371" s="20" t="n">
        <f aca="false">Declarations!$B$20*Q370*Declarations!$D$20+Declarations!$B$20*R370*Declarations!$D$21+Declarations!$B$20*S370*Declarations!$D$22+Declarations!$B$21*R370*Declarations!$D$20+Declarations!$B$21*T370*Declarations!$D$21+Declarations!$B$21*U370*Declarations!$D$22+Declarations!$B$22*S370*Declarations!$D$20+Declarations!$B$22*U370*Declarations!$D$21+Declarations!$B$22*V370*Declarations!$D$22+0</f>
        <v>0.617283950617284</v>
      </c>
      <c r="T371" s="20" t="n">
        <f aca="false">Declarations!$C$20*Q370*Declarations!$C$20+Declarations!$C$20*R370*Declarations!$C$21+Declarations!$C$20*S370*Declarations!$C$22+Declarations!$C$21*R370*Declarations!$C$20+Declarations!$C$21*T370*Declarations!$C$21+Declarations!$C$21*U370*Declarations!$C$22+Declarations!$C$22*S370*Declarations!$C$20+Declarations!$C$22*U370*Declarations!$C$21+Declarations!$C$22*V370*Declarations!$C$22+1</f>
        <v>5.70253970138229</v>
      </c>
      <c r="U371" s="20" t="n">
        <f aca="false">Declarations!$C$20*Q370*Declarations!$D$20+Declarations!$C$20*R370*Declarations!$D$21+Declarations!$C$20*S370*Declarations!$D$22+Declarations!$C$21*R370*Declarations!$D$20+Declarations!$C$21*T370*Declarations!$D$21+Declarations!$C$21*U370*Declarations!$D$22+Declarations!$C$22*S370*Declarations!$D$20+Declarations!$C$22*U370*Declarations!$D$21+Declarations!$C$22*V370*Declarations!$D$22+0</f>
        <v>0.771604938271605</v>
      </c>
      <c r="V371" s="20" t="n">
        <f aca="false">Declarations!$D$20*Q370*Declarations!$D$20+Declarations!$D$20*R370*Declarations!$D$21+Declarations!$D$20*S370*Declarations!$D$22+Declarations!$D$21*R370*Declarations!$D$20+Declarations!$D$21*T370*Declarations!$D$21+Declarations!$D$21*U370*Declarations!$D$22+Declarations!$D$22*S370*Declarations!$D$20+Declarations!$D$22*U370*Declarations!$D$21+Declarations!$D$22*V370*Declarations!$D$22+1</f>
        <v>2.77777777777778</v>
      </c>
    </row>
    <row r="372" customFormat="false" ht="15" hidden="false" customHeight="false" outlineLevel="0" collapsed="false">
      <c r="A372" s="18" t="n">
        <v>363</v>
      </c>
      <c r="B372" s="20" t="n">
        <f aca="false">$B$4*B371*$B$4+$B$4*C371*$B$5+$B$5*C371*$B$4+$B$5*D371*$B$5+$E$4</f>
        <v>13.5714285714286</v>
      </c>
      <c r="C372" s="20" t="n">
        <f aca="false">$B$4*B371*$C$4+$B$4*C371*$C$5+$B$5*C371*$C$4+$B$5*D371*$C$5+$F$4</f>
        <v>-5.78571428571428</v>
      </c>
      <c r="D372" s="20" t="n">
        <f aca="false">$C$4*B371*$C$4+$C$4*C371*$C$5+$C$5*C371*$C$4+$C$5*D371*$C$5+$F$5</f>
        <v>11.9928571428571</v>
      </c>
      <c r="P372" s="18" t="n">
        <v>363</v>
      </c>
      <c r="Q372" s="20" t="n">
        <f aca="false">Declarations!$B$20*Q371*Declarations!$B$20+Declarations!$B$20*R371*Declarations!$B$21+Declarations!$B$20*S371*Declarations!$B$22+Declarations!$B$21*R371*Declarations!$B$20+Declarations!$B$21*T371*Declarations!$B$21+Declarations!$B$21*U371*Declarations!$B$22+Declarations!$B$22*S371*Declarations!$B$20+Declarations!$B$22*U371*Declarations!$B$21+Declarations!$B$22*V371*Declarations!$B$22+1</f>
        <v>10.2972987232247</v>
      </c>
      <c r="R372" s="20" t="n">
        <f aca="false">Declarations!$B$20*Q371*Declarations!$C$20+Declarations!$B$20*R371*Declarations!$C$21+Declarations!$B$20*S371*Declarations!$C$22+Declarations!$B$21*R371*Declarations!$C$20+Declarations!$B$21*T371*Declarations!$C$21+Declarations!$B$21*U371*Declarations!$C$22+Declarations!$B$22*S371*Declarations!$C$20+Declarations!$B$22*U371*Declarations!$C$21+Declarations!$B$22*V371*Declarations!$C$22+0</f>
        <v>4.60691839453414</v>
      </c>
      <c r="S372" s="20" t="n">
        <f aca="false">Declarations!$B$20*Q371*Declarations!$D$20+Declarations!$B$20*R371*Declarations!$D$21+Declarations!$B$20*S371*Declarations!$D$22+Declarations!$B$21*R371*Declarations!$D$20+Declarations!$B$21*T371*Declarations!$D$21+Declarations!$B$21*U371*Declarations!$D$22+Declarations!$B$22*S371*Declarations!$D$20+Declarations!$B$22*U371*Declarations!$D$21+Declarations!$B$22*V371*Declarations!$D$22+0</f>
        <v>0.617283950617284</v>
      </c>
      <c r="T372" s="20" t="n">
        <f aca="false">Declarations!$C$20*Q371*Declarations!$C$20+Declarations!$C$20*R371*Declarations!$C$21+Declarations!$C$20*S371*Declarations!$C$22+Declarations!$C$21*R371*Declarations!$C$20+Declarations!$C$21*T371*Declarations!$C$21+Declarations!$C$21*U371*Declarations!$C$22+Declarations!$C$22*S371*Declarations!$C$20+Declarations!$C$22*U371*Declarations!$C$21+Declarations!$C$22*V371*Declarations!$C$22+1</f>
        <v>5.70253970138229</v>
      </c>
      <c r="U372" s="20" t="n">
        <f aca="false">Declarations!$C$20*Q371*Declarations!$D$20+Declarations!$C$20*R371*Declarations!$D$21+Declarations!$C$20*S371*Declarations!$D$22+Declarations!$C$21*R371*Declarations!$D$20+Declarations!$C$21*T371*Declarations!$D$21+Declarations!$C$21*U371*Declarations!$D$22+Declarations!$C$22*S371*Declarations!$D$20+Declarations!$C$22*U371*Declarations!$D$21+Declarations!$C$22*V371*Declarations!$D$22+0</f>
        <v>0.771604938271605</v>
      </c>
      <c r="V372" s="20" t="n">
        <f aca="false">Declarations!$D$20*Q371*Declarations!$D$20+Declarations!$D$20*R371*Declarations!$D$21+Declarations!$D$20*S371*Declarations!$D$22+Declarations!$D$21*R371*Declarations!$D$20+Declarations!$D$21*T371*Declarations!$D$21+Declarations!$D$21*U371*Declarations!$D$22+Declarations!$D$22*S371*Declarations!$D$20+Declarations!$D$22*U371*Declarations!$D$21+Declarations!$D$22*V371*Declarations!$D$22+1</f>
        <v>2.77777777777778</v>
      </c>
    </row>
    <row r="373" customFormat="false" ht="15" hidden="false" customHeight="false" outlineLevel="0" collapsed="false">
      <c r="A373" s="18" t="n">
        <v>364</v>
      </c>
      <c r="B373" s="20" t="n">
        <f aca="false">$B$4*B372*$B$4+$B$4*C372*$B$5+$B$5*C372*$B$4+$B$5*D372*$B$5+$E$4</f>
        <v>13.5714285714286</v>
      </c>
      <c r="C373" s="20" t="n">
        <f aca="false">$B$4*B372*$C$4+$B$4*C372*$C$5+$B$5*C372*$C$4+$B$5*D372*$C$5+$F$4</f>
        <v>-5.78571428571428</v>
      </c>
      <c r="D373" s="20" t="n">
        <f aca="false">$C$4*B372*$C$4+$C$4*C372*$C$5+$C$5*C372*$C$4+$C$5*D372*$C$5+$F$5</f>
        <v>11.9928571428571</v>
      </c>
      <c r="P373" s="18" t="n">
        <v>364</v>
      </c>
      <c r="Q373" s="20" t="n">
        <f aca="false">Declarations!$B$20*Q372*Declarations!$B$20+Declarations!$B$20*R372*Declarations!$B$21+Declarations!$B$20*S372*Declarations!$B$22+Declarations!$B$21*R372*Declarations!$B$20+Declarations!$B$21*T372*Declarations!$B$21+Declarations!$B$21*U372*Declarations!$B$22+Declarations!$B$22*S372*Declarations!$B$20+Declarations!$B$22*U372*Declarations!$B$21+Declarations!$B$22*V372*Declarations!$B$22+1</f>
        <v>10.2972987232247</v>
      </c>
      <c r="R373" s="20" t="n">
        <f aca="false">Declarations!$B$20*Q372*Declarations!$C$20+Declarations!$B$20*R372*Declarations!$C$21+Declarations!$B$20*S372*Declarations!$C$22+Declarations!$B$21*R372*Declarations!$C$20+Declarations!$B$21*T372*Declarations!$C$21+Declarations!$B$21*U372*Declarations!$C$22+Declarations!$B$22*S372*Declarations!$C$20+Declarations!$B$22*U372*Declarations!$C$21+Declarations!$B$22*V372*Declarations!$C$22+0</f>
        <v>4.60691839453414</v>
      </c>
      <c r="S373" s="20" t="n">
        <f aca="false">Declarations!$B$20*Q372*Declarations!$D$20+Declarations!$B$20*R372*Declarations!$D$21+Declarations!$B$20*S372*Declarations!$D$22+Declarations!$B$21*R372*Declarations!$D$20+Declarations!$B$21*T372*Declarations!$D$21+Declarations!$B$21*U372*Declarations!$D$22+Declarations!$B$22*S372*Declarations!$D$20+Declarations!$B$22*U372*Declarations!$D$21+Declarations!$B$22*V372*Declarations!$D$22+0</f>
        <v>0.617283950617284</v>
      </c>
      <c r="T373" s="20" t="n">
        <f aca="false">Declarations!$C$20*Q372*Declarations!$C$20+Declarations!$C$20*R372*Declarations!$C$21+Declarations!$C$20*S372*Declarations!$C$22+Declarations!$C$21*R372*Declarations!$C$20+Declarations!$C$21*T372*Declarations!$C$21+Declarations!$C$21*U372*Declarations!$C$22+Declarations!$C$22*S372*Declarations!$C$20+Declarations!$C$22*U372*Declarations!$C$21+Declarations!$C$22*V372*Declarations!$C$22+1</f>
        <v>5.70253970138229</v>
      </c>
      <c r="U373" s="20" t="n">
        <f aca="false">Declarations!$C$20*Q372*Declarations!$D$20+Declarations!$C$20*R372*Declarations!$D$21+Declarations!$C$20*S372*Declarations!$D$22+Declarations!$C$21*R372*Declarations!$D$20+Declarations!$C$21*T372*Declarations!$D$21+Declarations!$C$21*U372*Declarations!$D$22+Declarations!$C$22*S372*Declarations!$D$20+Declarations!$C$22*U372*Declarations!$D$21+Declarations!$C$22*V372*Declarations!$D$22+0</f>
        <v>0.771604938271605</v>
      </c>
      <c r="V373" s="20" t="n">
        <f aca="false">Declarations!$D$20*Q372*Declarations!$D$20+Declarations!$D$20*R372*Declarations!$D$21+Declarations!$D$20*S372*Declarations!$D$22+Declarations!$D$21*R372*Declarations!$D$20+Declarations!$D$21*T372*Declarations!$D$21+Declarations!$D$21*U372*Declarations!$D$22+Declarations!$D$22*S372*Declarations!$D$20+Declarations!$D$22*U372*Declarations!$D$21+Declarations!$D$22*V372*Declarations!$D$22+1</f>
        <v>2.77777777777778</v>
      </c>
    </row>
    <row r="374" customFormat="false" ht="15" hidden="false" customHeight="false" outlineLevel="0" collapsed="false">
      <c r="A374" s="18" t="n">
        <v>365</v>
      </c>
      <c r="B374" s="20" t="n">
        <f aca="false">$B$4*B373*$B$4+$B$4*C373*$B$5+$B$5*C373*$B$4+$B$5*D373*$B$5+$E$4</f>
        <v>13.5714285714286</v>
      </c>
      <c r="C374" s="20" t="n">
        <f aca="false">$B$4*B373*$C$4+$B$4*C373*$C$5+$B$5*C373*$C$4+$B$5*D373*$C$5+$F$4</f>
        <v>-5.78571428571428</v>
      </c>
      <c r="D374" s="20" t="n">
        <f aca="false">$C$4*B373*$C$4+$C$4*C373*$C$5+$C$5*C373*$C$4+$C$5*D373*$C$5+$F$5</f>
        <v>11.9928571428571</v>
      </c>
      <c r="P374" s="18" t="n">
        <v>365</v>
      </c>
      <c r="Q374" s="20" t="n">
        <f aca="false">Declarations!$B$20*Q373*Declarations!$B$20+Declarations!$B$20*R373*Declarations!$B$21+Declarations!$B$20*S373*Declarations!$B$22+Declarations!$B$21*R373*Declarations!$B$20+Declarations!$B$21*T373*Declarations!$B$21+Declarations!$B$21*U373*Declarations!$B$22+Declarations!$B$22*S373*Declarations!$B$20+Declarations!$B$22*U373*Declarations!$B$21+Declarations!$B$22*V373*Declarations!$B$22+1</f>
        <v>10.2972987232247</v>
      </c>
      <c r="R374" s="20" t="n">
        <f aca="false">Declarations!$B$20*Q373*Declarations!$C$20+Declarations!$B$20*R373*Declarations!$C$21+Declarations!$B$20*S373*Declarations!$C$22+Declarations!$B$21*R373*Declarations!$C$20+Declarations!$B$21*T373*Declarations!$C$21+Declarations!$B$21*U373*Declarations!$C$22+Declarations!$B$22*S373*Declarations!$C$20+Declarations!$B$22*U373*Declarations!$C$21+Declarations!$B$22*V373*Declarations!$C$22+0</f>
        <v>4.60691839453414</v>
      </c>
      <c r="S374" s="20" t="n">
        <f aca="false">Declarations!$B$20*Q373*Declarations!$D$20+Declarations!$B$20*R373*Declarations!$D$21+Declarations!$B$20*S373*Declarations!$D$22+Declarations!$B$21*R373*Declarations!$D$20+Declarations!$B$21*T373*Declarations!$D$21+Declarations!$B$21*U373*Declarations!$D$22+Declarations!$B$22*S373*Declarations!$D$20+Declarations!$B$22*U373*Declarations!$D$21+Declarations!$B$22*V373*Declarations!$D$22+0</f>
        <v>0.617283950617284</v>
      </c>
      <c r="T374" s="20" t="n">
        <f aca="false">Declarations!$C$20*Q373*Declarations!$C$20+Declarations!$C$20*R373*Declarations!$C$21+Declarations!$C$20*S373*Declarations!$C$22+Declarations!$C$21*R373*Declarations!$C$20+Declarations!$C$21*T373*Declarations!$C$21+Declarations!$C$21*U373*Declarations!$C$22+Declarations!$C$22*S373*Declarations!$C$20+Declarations!$C$22*U373*Declarations!$C$21+Declarations!$C$22*V373*Declarations!$C$22+1</f>
        <v>5.70253970138229</v>
      </c>
      <c r="U374" s="20" t="n">
        <f aca="false">Declarations!$C$20*Q373*Declarations!$D$20+Declarations!$C$20*R373*Declarations!$D$21+Declarations!$C$20*S373*Declarations!$D$22+Declarations!$C$21*R373*Declarations!$D$20+Declarations!$C$21*T373*Declarations!$D$21+Declarations!$C$21*U373*Declarations!$D$22+Declarations!$C$22*S373*Declarations!$D$20+Declarations!$C$22*U373*Declarations!$D$21+Declarations!$C$22*V373*Declarations!$D$22+0</f>
        <v>0.771604938271605</v>
      </c>
      <c r="V374" s="20" t="n">
        <f aca="false">Declarations!$D$20*Q373*Declarations!$D$20+Declarations!$D$20*R373*Declarations!$D$21+Declarations!$D$20*S373*Declarations!$D$22+Declarations!$D$21*R373*Declarations!$D$20+Declarations!$D$21*T373*Declarations!$D$21+Declarations!$D$21*U373*Declarations!$D$22+Declarations!$D$22*S373*Declarations!$D$20+Declarations!$D$22*U373*Declarations!$D$21+Declarations!$D$22*V373*Declarations!$D$22+1</f>
        <v>2.77777777777778</v>
      </c>
    </row>
    <row r="375" customFormat="false" ht="15" hidden="false" customHeight="false" outlineLevel="0" collapsed="false">
      <c r="A375" s="18" t="n">
        <v>366</v>
      </c>
      <c r="B375" s="20" t="n">
        <f aca="false">$B$4*B374*$B$4+$B$4*C374*$B$5+$B$5*C374*$B$4+$B$5*D374*$B$5+$E$4</f>
        <v>13.5714285714286</v>
      </c>
      <c r="C375" s="20" t="n">
        <f aca="false">$B$4*B374*$C$4+$B$4*C374*$C$5+$B$5*C374*$C$4+$B$5*D374*$C$5+$F$4</f>
        <v>-5.78571428571428</v>
      </c>
      <c r="D375" s="20" t="n">
        <f aca="false">$C$4*B374*$C$4+$C$4*C374*$C$5+$C$5*C374*$C$4+$C$5*D374*$C$5+$F$5</f>
        <v>11.9928571428571</v>
      </c>
      <c r="P375" s="18" t="n">
        <v>366</v>
      </c>
      <c r="Q375" s="20" t="n">
        <f aca="false">Declarations!$B$20*Q374*Declarations!$B$20+Declarations!$B$20*R374*Declarations!$B$21+Declarations!$B$20*S374*Declarations!$B$22+Declarations!$B$21*R374*Declarations!$B$20+Declarations!$B$21*T374*Declarations!$B$21+Declarations!$B$21*U374*Declarations!$B$22+Declarations!$B$22*S374*Declarations!$B$20+Declarations!$B$22*U374*Declarations!$B$21+Declarations!$B$22*V374*Declarations!$B$22+1</f>
        <v>10.2972987232247</v>
      </c>
      <c r="R375" s="20" t="n">
        <f aca="false">Declarations!$B$20*Q374*Declarations!$C$20+Declarations!$B$20*R374*Declarations!$C$21+Declarations!$B$20*S374*Declarations!$C$22+Declarations!$B$21*R374*Declarations!$C$20+Declarations!$B$21*T374*Declarations!$C$21+Declarations!$B$21*U374*Declarations!$C$22+Declarations!$B$22*S374*Declarations!$C$20+Declarations!$B$22*U374*Declarations!$C$21+Declarations!$B$22*V374*Declarations!$C$22+0</f>
        <v>4.60691839453414</v>
      </c>
      <c r="S375" s="20" t="n">
        <f aca="false">Declarations!$B$20*Q374*Declarations!$D$20+Declarations!$B$20*R374*Declarations!$D$21+Declarations!$B$20*S374*Declarations!$D$22+Declarations!$B$21*R374*Declarations!$D$20+Declarations!$B$21*T374*Declarations!$D$21+Declarations!$B$21*U374*Declarations!$D$22+Declarations!$B$22*S374*Declarations!$D$20+Declarations!$B$22*U374*Declarations!$D$21+Declarations!$B$22*V374*Declarations!$D$22+0</f>
        <v>0.617283950617284</v>
      </c>
      <c r="T375" s="20" t="n">
        <f aca="false">Declarations!$C$20*Q374*Declarations!$C$20+Declarations!$C$20*R374*Declarations!$C$21+Declarations!$C$20*S374*Declarations!$C$22+Declarations!$C$21*R374*Declarations!$C$20+Declarations!$C$21*T374*Declarations!$C$21+Declarations!$C$21*U374*Declarations!$C$22+Declarations!$C$22*S374*Declarations!$C$20+Declarations!$C$22*U374*Declarations!$C$21+Declarations!$C$22*V374*Declarations!$C$22+1</f>
        <v>5.70253970138229</v>
      </c>
      <c r="U375" s="20" t="n">
        <f aca="false">Declarations!$C$20*Q374*Declarations!$D$20+Declarations!$C$20*R374*Declarations!$D$21+Declarations!$C$20*S374*Declarations!$D$22+Declarations!$C$21*R374*Declarations!$D$20+Declarations!$C$21*T374*Declarations!$D$21+Declarations!$C$21*U374*Declarations!$D$22+Declarations!$C$22*S374*Declarations!$D$20+Declarations!$C$22*U374*Declarations!$D$21+Declarations!$C$22*V374*Declarations!$D$22+0</f>
        <v>0.771604938271605</v>
      </c>
      <c r="V375" s="20" t="n">
        <f aca="false">Declarations!$D$20*Q374*Declarations!$D$20+Declarations!$D$20*R374*Declarations!$D$21+Declarations!$D$20*S374*Declarations!$D$22+Declarations!$D$21*R374*Declarations!$D$20+Declarations!$D$21*T374*Declarations!$D$21+Declarations!$D$21*U374*Declarations!$D$22+Declarations!$D$22*S374*Declarations!$D$20+Declarations!$D$22*U374*Declarations!$D$21+Declarations!$D$22*V374*Declarations!$D$22+1</f>
        <v>2.77777777777778</v>
      </c>
    </row>
    <row r="376" customFormat="false" ht="15" hidden="false" customHeight="false" outlineLevel="0" collapsed="false">
      <c r="A376" s="18" t="n">
        <v>367</v>
      </c>
      <c r="B376" s="20" t="n">
        <f aca="false">$B$4*B375*$B$4+$B$4*C375*$B$5+$B$5*C375*$B$4+$B$5*D375*$B$5+$E$4</f>
        <v>13.5714285714286</v>
      </c>
      <c r="C376" s="20" t="n">
        <f aca="false">$B$4*B375*$C$4+$B$4*C375*$C$5+$B$5*C375*$C$4+$B$5*D375*$C$5+$F$4</f>
        <v>-5.78571428571428</v>
      </c>
      <c r="D376" s="20" t="n">
        <f aca="false">$C$4*B375*$C$4+$C$4*C375*$C$5+$C$5*C375*$C$4+$C$5*D375*$C$5+$F$5</f>
        <v>11.9928571428571</v>
      </c>
      <c r="P376" s="18" t="n">
        <v>367</v>
      </c>
      <c r="Q376" s="20" t="n">
        <f aca="false">Declarations!$B$20*Q375*Declarations!$B$20+Declarations!$B$20*R375*Declarations!$B$21+Declarations!$B$20*S375*Declarations!$B$22+Declarations!$B$21*R375*Declarations!$B$20+Declarations!$B$21*T375*Declarations!$B$21+Declarations!$B$21*U375*Declarations!$B$22+Declarations!$B$22*S375*Declarations!$B$20+Declarations!$B$22*U375*Declarations!$B$21+Declarations!$B$22*V375*Declarations!$B$22+1</f>
        <v>10.2972987232247</v>
      </c>
      <c r="R376" s="20" t="n">
        <f aca="false">Declarations!$B$20*Q375*Declarations!$C$20+Declarations!$B$20*R375*Declarations!$C$21+Declarations!$B$20*S375*Declarations!$C$22+Declarations!$B$21*R375*Declarations!$C$20+Declarations!$B$21*T375*Declarations!$C$21+Declarations!$B$21*U375*Declarations!$C$22+Declarations!$B$22*S375*Declarations!$C$20+Declarations!$B$22*U375*Declarations!$C$21+Declarations!$B$22*V375*Declarations!$C$22+0</f>
        <v>4.60691839453414</v>
      </c>
      <c r="S376" s="20" t="n">
        <f aca="false">Declarations!$B$20*Q375*Declarations!$D$20+Declarations!$B$20*R375*Declarations!$D$21+Declarations!$B$20*S375*Declarations!$D$22+Declarations!$B$21*R375*Declarations!$D$20+Declarations!$B$21*T375*Declarations!$D$21+Declarations!$B$21*U375*Declarations!$D$22+Declarations!$B$22*S375*Declarations!$D$20+Declarations!$B$22*U375*Declarations!$D$21+Declarations!$B$22*V375*Declarations!$D$22+0</f>
        <v>0.617283950617284</v>
      </c>
      <c r="T376" s="20" t="n">
        <f aca="false">Declarations!$C$20*Q375*Declarations!$C$20+Declarations!$C$20*R375*Declarations!$C$21+Declarations!$C$20*S375*Declarations!$C$22+Declarations!$C$21*R375*Declarations!$C$20+Declarations!$C$21*T375*Declarations!$C$21+Declarations!$C$21*U375*Declarations!$C$22+Declarations!$C$22*S375*Declarations!$C$20+Declarations!$C$22*U375*Declarations!$C$21+Declarations!$C$22*V375*Declarations!$C$22+1</f>
        <v>5.70253970138229</v>
      </c>
      <c r="U376" s="20" t="n">
        <f aca="false">Declarations!$C$20*Q375*Declarations!$D$20+Declarations!$C$20*R375*Declarations!$D$21+Declarations!$C$20*S375*Declarations!$D$22+Declarations!$C$21*R375*Declarations!$D$20+Declarations!$C$21*T375*Declarations!$D$21+Declarations!$C$21*U375*Declarations!$D$22+Declarations!$C$22*S375*Declarations!$D$20+Declarations!$C$22*U375*Declarations!$D$21+Declarations!$C$22*V375*Declarations!$D$22+0</f>
        <v>0.771604938271605</v>
      </c>
      <c r="V376" s="20" t="n">
        <f aca="false">Declarations!$D$20*Q375*Declarations!$D$20+Declarations!$D$20*R375*Declarations!$D$21+Declarations!$D$20*S375*Declarations!$D$22+Declarations!$D$21*R375*Declarations!$D$20+Declarations!$D$21*T375*Declarations!$D$21+Declarations!$D$21*U375*Declarations!$D$22+Declarations!$D$22*S375*Declarations!$D$20+Declarations!$D$22*U375*Declarations!$D$21+Declarations!$D$22*V375*Declarations!$D$22+1</f>
        <v>2.77777777777778</v>
      </c>
    </row>
    <row r="377" customFormat="false" ht="15" hidden="false" customHeight="false" outlineLevel="0" collapsed="false">
      <c r="A377" s="18" t="n">
        <v>368</v>
      </c>
      <c r="B377" s="20" t="n">
        <f aca="false">$B$4*B376*$B$4+$B$4*C376*$B$5+$B$5*C376*$B$4+$B$5*D376*$B$5+$E$4</f>
        <v>13.5714285714286</v>
      </c>
      <c r="C377" s="20" t="n">
        <f aca="false">$B$4*B376*$C$4+$B$4*C376*$C$5+$B$5*C376*$C$4+$B$5*D376*$C$5+$F$4</f>
        <v>-5.78571428571428</v>
      </c>
      <c r="D377" s="20" t="n">
        <f aca="false">$C$4*B376*$C$4+$C$4*C376*$C$5+$C$5*C376*$C$4+$C$5*D376*$C$5+$F$5</f>
        <v>11.9928571428571</v>
      </c>
      <c r="P377" s="18" t="n">
        <v>368</v>
      </c>
      <c r="Q377" s="20" t="n">
        <f aca="false">Declarations!$B$20*Q376*Declarations!$B$20+Declarations!$B$20*R376*Declarations!$B$21+Declarations!$B$20*S376*Declarations!$B$22+Declarations!$B$21*R376*Declarations!$B$20+Declarations!$B$21*T376*Declarations!$B$21+Declarations!$B$21*U376*Declarations!$B$22+Declarations!$B$22*S376*Declarations!$B$20+Declarations!$B$22*U376*Declarations!$B$21+Declarations!$B$22*V376*Declarations!$B$22+1</f>
        <v>10.2972987232247</v>
      </c>
      <c r="R377" s="20" t="n">
        <f aca="false">Declarations!$B$20*Q376*Declarations!$C$20+Declarations!$B$20*R376*Declarations!$C$21+Declarations!$B$20*S376*Declarations!$C$22+Declarations!$B$21*R376*Declarations!$C$20+Declarations!$B$21*T376*Declarations!$C$21+Declarations!$B$21*U376*Declarations!$C$22+Declarations!$B$22*S376*Declarations!$C$20+Declarations!$B$22*U376*Declarations!$C$21+Declarations!$B$22*V376*Declarations!$C$22+0</f>
        <v>4.60691839453414</v>
      </c>
      <c r="S377" s="20" t="n">
        <f aca="false">Declarations!$B$20*Q376*Declarations!$D$20+Declarations!$B$20*R376*Declarations!$D$21+Declarations!$B$20*S376*Declarations!$D$22+Declarations!$B$21*R376*Declarations!$D$20+Declarations!$B$21*T376*Declarations!$D$21+Declarations!$B$21*U376*Declarations!$D$22+Declarations!$B$22*S376*Declarations!$D$20+Declarations!$B$22*U376*Declarations!$D$21+Declarations!$B$22*V376*Declarations!$D$22+0</f>
        <v>0.617283950617284</v>
      </c>
      <c r="T377" s="20" t="n">
        <f aca="false">Declarations!$C$20*Q376*Declarations!$C$20+Declarations!$C$20*R376*Declarations!$C$21+Declarations!$C$20*S376*Declarations!$C$22+Declarations!$C$21*R376*Declarations!$C$20+Declarations!$C$21*T376*Declarations!$C$21+Declarations!$C$21*U376*Declarations!$C$22+Declarations!$C$22*S376*Declarations!$C$20+Declarations!$C$22*U376*Declarations!$C$21+Declarations!$C$22*V376*Declarations!$C$22+1</f>
        <v>5.70253970138229</v>
      </c>
      <c r="U377" s="20" t="n">
        <f aca="false">Declarations!$C$20*Q376*Declarations!$D$20+Declarations!$C$20*R376*Declarations!$D$21+Declarations!$C$20*S376*Declarations!$D$22+Declarations!$C$21*R376*Declarations!$D$20+Declarations!$C$21*T376*Declarations!$D$21+Declarations!$C$21*U376*Declarations!$D$22+Declarations!$C$22*S376*Declarations!$D$20+Declarations!$C$22*U376*Declarations!$D$21+Declarations!$C$22*V376*Declarations!$D$22+0</f>
        <v>0.771604938271605</v>
      </c>
      <c r="V377" s="20" t="n">
        <f aca="false">Declarations!$D$20*Q376*Declarations!$D$20+Declarations!$D$20*R376*Declarations!$D$21+Declarations!$D$20*S376*Declarations!$D$22+Declarations!$D$21*R376*Declarations!$D$20+Declarations!$D$21*T376*Declarations!$D$21+Declarations!$D$21*U376*Declarations!$D$22+Declarations!$D$22*S376*Declarations!$D$20+Declarations!$D$22*U376*Declarations!$D$21+Declarations!$D$22*V376*Declarations!$D$22+1</f>
        <v>2.77777777777778</v>
      </c>
    </row>
    <row r="378" customFormat="false" ht="15" hidden="false" customHeight="false" outlineLevel="0" collapsed="false">
      <c r="A378" s="18" t="n">
        <v>369</v>
      </c>
      <c r="B378" s="20" t="n">
        <f aca="false">$B$4*B377*$B$4+$B$4*C377*$B$5+$B$5*C377*$B$4+$B$5*D377*$B$5+$E$4</f>
        <v>13.5714285714286</v>
      </c>
      <c r="C378" s="20" t="n">
        <f aca="false">$B$4*B377*$C$4+$B$4*C377*$C$5+$B$5*C377*$C$4+$B$5*D377*$C$5+$F$4</f>
        <v>-5.78571428571428</v>
      </c>
      <c r="D378" s="20" t="n">
        <f aca="false">$C$4*B377*$C$4+$C$4*C377*$C$5+$C$5*C377*$C$4+$C$5*D377*$C$5+$F$5</f>
        <v>11.9928571428571</v>
      </c>
      <c r="P378" s="18" t="n">
        <v>369</v>
      </c>
      <c r="Q378" s="20" t="n">
        <f aca="false">Declarations!$B$20*Q377*Declarations!$B$20+Declarations!$B$20*R377*Declarations!$B$21+Declarations!$B$20*S377*Declarations!$B$22+Declarations!$B$21*R377*Declarations!$B$20+Declarations!$B$21*T377*Declarations!$B$21+Declarations!$B$21*U377*Declarations!$B$22+Declarations!$B$22*S377*Declarations!$B$20+Declarations!$B$22*U377*Declarations!$B$21+Declarations!$B$22*V377*Declarations!$B$22+1</f>
        <v>10.2972987232247</v>
      </c>
      <c r="R378" s="20" t="n">
        <f aca="false">Declarations!$B$20*Q377*Declarations!$C$20+Declarations!$B$20*R377*Declarations!$C$21+Declarations!$B$20*S377*Declarations!$C$22+Declarations!$B$21*R377*Declarations!$C$20+Declarations!$B$21*T377*Declarations!$C$21+Declarations!$B$21*U377*Declarations!$C$22+Declarations!$B$22*S377*Declarations!$C$20+Declarations!$B$22*U377*Declarations!$C$21+Declarations!$B$22*V377*Declarations!$C$22+0</f>
        <v>4.60691839453414</v>
      </c>
      <c r="S378" s="20" t="n">
        <f aca="false">Declarations!$B$20*Q377*Declarations!$D$20+Declarations!$B$20*R377*Declarations!$D$21+Declarations!$B$20*S377*Declarations!$D$22+Declarations!$B$21*R377*Declarations!$D$20+Declarations!$B$21*T377*Declarations!$D$21+Declarations!$B$21*U377*Declarations!$D$22+Declarations!$B$22*S377*Declarations!$D$20+Declarations!$B$22*U377*Declarations!$D$21+Declarations!$B$22*V377*Declarations!$D$22+0</f>
        <v>0.617283950617284</v>
      </c>
      <c r="T378" s="20" t="n">
        <f aca="false">Declarations!$C$20*Q377*Declarations!$C$20+Declarations!$C$20*R377*Declarations!$C$21+Declarations!$C$20*S377*Declarations!$C$22+Declarations!$C$21*R377*Declarations!$C$20+Declarations!$C$21*T377*Declarations!$C$21+Declarations!$C$21*U377*Declarations!$C$22+Declarations!$C$22*S377*Declarations!$C$20+Declarations!$C$22*U377*Declarations!$C$21+Declarations!$C$22*V377*Declarations!$C$22+1</f>
        <v>5.70253970138229</v>
      </c>
      <c r="U378" s="20" t="n">
        <f aca="false">Declarations!$C$20*Q377*Declarations!$D$20+Declarations!$C$20*R377*Declarations!$D$21+Declarations!$C$20*S377*Declarations!$D$22+Declarations!$C$21*R377*Declarations!$D$20+Declarations!$C$21*T377*Declarations!$D$21+Declarations!$C$21*U377*Declarations!$D$22+Declarations!$C$22*S377*Declarations!$D$20+Declarations!$C$22*U377*Declarations!$D$21+Declarations!$C$22*V377*Declarations!$D$22+0</f>
        <v>0.771604938271605</v>
      </c>
      <c r="V378" s="20" t="n">
        <f aca="false">Declarations!$D$20*Q377*Declarations!$D$20+Declarations!$D$20*R377*Declarations!$D$21+Declarations!$D$20*S377*Declarations!$D$22+Declarations!$D$21*R377*Declarations!$D$20+Declarations!$D$21*T377*Declarations!$D$21+Declarations!$D$21*U377*Declarations!$D$22+Declarations!$D$22*S377*Declarations!$D$20+Declarations!$D$22*U377*Declarations!$D$21+Declarations!$D$22*V377*Declarations!$D$22+1</f>
        <v>2.77777777777778</v>
      </c>
    </row>
    <row r="379" customFormat="false" ht="15" hidden="false" customHeight="false" outlineLevel="0" collapsed="false">
      <c r="A379" s="18" t="n">
        <v>370</v>
      </c>
      <c r="B379" s="20" t="n">
        <f aca="false">$B$4*B378*$B$4+$B$4*C378*$B$5+$B$5*C378*$B$4+$B$5*D378*$B$5+$E$4</f>
        <v>13.5714285714286</v>
      </c>
      <c r="C379" s="20" t="n">
        <f aca="false">$B$4*B378*$C$4+$B$4*C378*$C$5+$B$5*C378*$C$4+$B$5*D378*$C$5+$F$4</f>
        <v>-5.78571428571428</v>
      </c>
      <c r="D379" s="20" t="n">
        <f aca="false">$C$4*B378*$C$4+$C$4*C378*$C$5+$C$5*C378*$C$4+$C$5*D378*$C$5+$F$5</f>
        <v>11.9928571428571</v>
      </c>
      <c r="P379" s="18" t="n">
        <v>370</v>
      </c>
      <c r="Q379" s="20" t="n">
        <f aca="false">Declarations!$B$20*Q378*Declarations!$B$20+Declarations!$B$20*R378*Declarations!$B$21+Declarations!$B$20*S378*Declarations!$B$22+Declarations!$B$21*R378*Declarations!$B$20+Declarations!$B$21*T378*Declarations!$B$21+Declarations!$B$21*U378*Declarations!$B$22+Declarations!$B$22*S378*Declarations!$B$20+Declarations!$B$22*U378*Declarations!$B$21+Declarations!$B$22*V378*Declarations!$B$22+1</f>
        <v>10.2972987232247</v>
      </c>
      <c r="R379" s="20" t="n">
        <f aca="false">Declarations!$B$20*Q378*Declarations!$C$20+Declarations!$B$20*R378*Declarations!$C$21+Declarations!$B$20*S378*Declarations!$C$22+Declarations!$B$21*R378*Declarations!$C$20+Declarations!$B$21*T378*Declarations!$C$21+Declarations!$B$21*U378*Declarations!$C$22+Declarations!$B$22*S378*Declarations!$C$20+Declarations!$B$22*U378*Declarations!$C$21+Declarations!$B$22*V378*Declarations!$C$22+0</f>
        <v>4.60691839453414</v>
      </c>
      <c r="S379" s="20" t="n">
        <f aca="false">Declarations!$B$20*Q378*Declarations!$D$20+Declarations!$B$20*R378*Declarations!$D$21+Declarations!$B$20*S378*Declarations!$D$22+Declarations!$B$21*R378*Declarations!$D$20+Declarations!$B$21*T378*Declarations!$D$21+Declarations!$B$21*U378*Declarations!$D$22+Declarations!$B$22*S378*Declarations!$D$20+Declarations!$B$22*U378*Declarations!$D$21+Declarations!$B$22*V378*Declarations!$D$22+0</f>
        <v>0.617283950617284</v>
      </c>
      <c r="T379" s="20" t="n">
        <f aca="false">Declarations!$C$20*Q378*Declarations!$C$20+Declarations!$C$20*R378*Declarations!$C$21+Declarations!$C$20*S378*Declarations!$C$22+Declarations!$C$21*R378*Declarations!$C$20+Declarations!$C$21*T378*Declarations!$C$21+Declarations!$C$21*U378*Declarations!$C$22+Declarations!$C$22*S378*Declarations!$C$20+Declarations!$C$22*U378*Declarations!$C$21+Declarations!$C$22*V378*Declarations!$C$22+1</f>
        <v>5.70253970138229</v>
      </c>
      <c r="U379" s="20" t="n">
        <f aca="false">Declarations!$C$20*Q378*Declarations!$D$20+Declarations!$C$20*R378*Declarations!$D$21+Declarations!$C$20*S378*Declarations!$D$22+Declarations!$C$21*R378*Declarations!$D$20+Declarations!$C$21*T378*Declarations!$D$21+Declarations!$C$21*U378*Declarations!$D$22+Declarations!$C$22*S378*Declarations!$D$20+Declarations!$C$22*U378*Declarations!$D$21+Declarations!$C$22*V378*Declarations!$D$22+0</f>
        <v>0.771604938271605</v>
      </c>
      <c r="V379" s="20" t="n">
        <f aca="false">Declarations!$D$20*Q378*Declarations!$D$20+Declarations!$D$20*R378*Declarations!$D$21+Declarations!$D$20*S378*Declarations!$D$22+Declarations!$D$21*R378*Declarations!$D$20+Declarations!$D$21*T378*Declarations!$D$21+Declarations!$D$21*U378*Declarations!$D$22+Declarations!$D$22*S378*Declarations!$D$20+Declarations!$D$22*U378*Declarations!$D$21+Declarations!$D$22*V378*Declarations!$D$22+1</f>
        <v>2.77777777777778</v>
      </c>
    </row>
    <row r="380" customFormat="false" ht="15" hidden="false" customHeight="false" outlineLevel="0" collapsed="false">
      <c r="A380" s="18" t="n">
        <v>371</v>
      </c>
      <c r="B380" s="20" t="n">
        <f aca="false">$B$4*B379*$B$4+$B$4*C379*$B$5+$B$5*C379*$B$4+$B$5*D379*$B$5+$E$4</f>
        <v>13.5714285714286</v>
      </c>
      <c r="C380" s="20" t="n">
        <f aca="false">$B$4*B379*$C$4+$B$4*C379*$C$5+$B$5*C379*$C$4+$B$5*D379*$C$5+$F$4</f>
        <v>-5.78571428571428</v>
      </c>
      <c r="D380" s="20" t="n">
        <f aca="false">$C$4*B379*$C$4+$C$4*C379*$C$5+$C$5*C379*$C$4+$C$5*D379*$C$5+$F$5</f>
        <v>11.9928571428571</v>
      </c>
      <c r="P380" s="18" t="n">
        <v>371</v>
      </c>
      <c r="Q380" s="20" t="n">
        <f aca="false">Declarations!$B$20*Q379*Declarations!$B$20+Declarations!$B$20*R379*Declarations!$B$21+Declarations!$B$20*S379*Declarations!$B$22+Declarations!$B$21*R379*Declarations!$B$20+Declarations!$B$21*T379*Declarations!$B$21+Declarations!$B$21*U379*Declarations!$B$22+Declarations!$B$22*S379*Declarations!$B$20+Declarations!$B$22*U379*Declarations!$B$21+Declarations!$B$22*V379*Declarations!$B$22+1</f>
        <v>10.2972987232247</v>
      </c>
      <c r="R380" s="20" t="n">
        <f aca="false">Declarations!$B$20*Q379*Declarations!$C$20+Declarations!$B$20*R379*Declarations!$C$21+Declarations!$B$20*S379*Declarations!$C$22+Declarations!$B$21*R379*Declarations!$C$20+Declarations!$B$21*T379*Declarations!$C$21+Declarations!$B$21*U379*Declarations!$C$22+Declarations!$B$22*S379*Declarations!$C$20+Declarations!$B$22*U379*Declarations!$C$21+Declarations!$B$22*V379*Declarations!$C$22+0</f>
        <v>4.60691839453414</v>
      </c>
      <c r="S380" s="20" t="n">
        <f aca="false">Declarations!$B$20*Q379*Declarations!$D$20+Declarations!$B$20*R379*Declarations!$D$21+Declarations!$B$20*S379*Declarations!$D$22+Declarations!$B$21*R379*Declarations!$D$20+Declarations!$B$21*T379*Declarations!$D$21+Declarations!$B$21*U379*Declarations!$D$22+Declarations!$B$22*S379*Declarations!$D$20+Declarations!$B$22*U379*Declarations!$D$21+Declarations!$B$22*V379*Declarations!$D$22+0</f>
        <v>0.617283950617284</v>
      </c>
      <c r="T380" s="20" t="n">
        <f aca="false">Declarations!$C$20*Q379*Declarations!$C$20+Declarations!$C$20*R379*Declarations!$C$21+Declarations!$C$20*S379*Declarations!$C$22+Declarations!$C$21*R379*Declarations!$C$20+Declarations!$C$21*T379*Declarations!$C$21+Declarations!$C$21*U379*Declarations!$C$22+Declarations!$C$22*S379*Declarations!$C$20+Declarations!$C$22*U379*Declarations!$C$21+Declarations!$C$22*V379*Declarations!$C$22+1</f>
        <v>5.70253970138229</v>
      </c>
      <c r="U380" s="20" t="n">
        <f aca="false">Declarations!$C$20*Q379*Declarations!$D$20+Declarations!$C$20*R379*Declarations!$D$21+Declarations!$C$20*S379*Declarations!$D$22+Declarations!$C$21*R379*Declarations!$D$20+Declarations!$C$21*T379*Declarations!$D$21+Declarations!$C$21*U379*Declarations!$D$22+Declarations!$C$22*S379*Declarations!$D$20+Declarations!$C$22*U379*Declarations!$D$21+Declarations!$C$22*V379*Declarations!$D$22+0</f>
        <v>0.771604938271605</v>
      </c>
      <c r="V380" s="20" t="n">
        <f aca="false">Declarations!$D$20*Q379*Declarations!$D$20+Declarations!$D$20*R379*Declarations!$D$21+Declarations!$D$20*S379*Declarations!$D$22+Declarations!$D$21*R379*Declarations!$D$20+Declarations!$D$21*T379*Declarations!$D$21+Declarations!$D$21*U379*Declarations!$D$22+Declarations!$D$22*S379*Declarations!$D$20+Declarations!$D$22*U379*Declarations!$D$21+Declarations!$D$22*V379*Declarations!$D$22+1</f>
        <v>2.77777777777778</v>
      </c>
    </row>
    <row r="381" customFormat="false" ht="15" hidden="false" customHeight="false" outlineLevel="0" collapsed="false">
      <c r="A381" s="18" t="n">
        <v>372</v>
      </c>
      <c r="B381" s="20" t="n">
        <f aca="false">$B$4*B380*$B$4+$B$4*C380*$B$5+$B$5*C380*$B$4+$B$5*D380*$B$5+$E$4</f>
        <v>13.5714285714286</v>
      </c>
      <c r="C381" s="20" t="n">
        <f aca="false">$B$4*B380*$C$4+$B$4*C380*$C$5+$B$5*C380*$C$4+$B$5*D380*$C$5+$F$4</f>
        <v>-5.78571428571428</v>
      </c>
      <c r="D381" s="20" t="n">
        <f aca="false">$C$4*B380*$C$4+$C$4*C380*$C$5+$C$5*C380*$C$4+$C$5*D380*$C$5+$F$5</f>
        <v>11.9928571428571</v>
      </c>
      <c r="P381" s="18" t="n">
        <v>372</v>
      </c>
      <c r="Q381" s="20" t="n">
        <f aca="false">Declarations!$B$20*Q380*Declarations!$B$20+Declarations!$B$20*R380*Declarations!$B$21+Declarations!$B$20*S380*Declarations!$B$22+Declarations!$B$21*R380*Declarations!$B$20+Declarations!$B$21*T380*Declarations!$B$21+Declarations!$B$21*U380*Declarations!$B$22+Declarations!$B$22*S380*Declarations!$B$20+Declarations!$B$22*U380*Declarations!$B$21+Declarations!$B$22*V380*Declarations!$B$22+1</f>
        <v>10.2972987232247</v>
      </c>
      <c r="R381" s="20" t="n">
        <f aca="false">Declarations!$B$20*Q380*Declarations!$C$20+Declarations!$B$20*R380*Declarations!$C$21+Declarations!$B$20*S380*Declarations!$C$22+Declarations!$B$21*R380*Declarations!$C$20+Declarations!$B$21*T380*Declarations!$C$21+Declarations!$B$21*U380*Declarations!$C$22+Declarations!$B$22*S380*Declarations!$C$20+Declarations!$B$22*U380*Declarations!$C$21+Declarations!$B$22*V380*Declarations!$C$22+0</f>
        <v>4.60691839453414</v>
      </c>
      <c r="S381" s="20" t="n">
        <f aca="false">Declarations!$B$20*Q380*Declarations!$D$20+Declarations!$B$20*R380*Declarations!$D$21+Declarations!$B$20*S380*Declarations!$D$22+Declarations!$B$21*R380*Declarations!$D$20+Declarations!$B$21*T380*Declarations!$D$21+Declarations!$B$21*U380*Declarations!$D$22+Declarations!$B$22*S380*Declarations!$D$20+Declarations!$B$22*U380*Declarations!$D$21+Declarations!$B$22*V380*Declarations!$D$22+0</f>
        <v>0.617283950617284</v>
      </c>
      <c r="T381" s="20" t="n">
        <f aca="false">Declarations!$C$20*Q380*Declarations!$C$20+Declarations!$C$20*R380*Declarations!$C$21+Declarations!$C$20*S380*Declarations!$C$22+Declarations!$C$21*R380*Declarations!$C$20+Declarations!$C$21*T380*Declarations!$C$21+Declarations!$C$21*U380*Declarations!$C$22+Declarations!$C$22*S380*Declarations!$C$20+Declarations!$C$22*U380*Declarations!$C$21+Declarations!$C$22*V380*Declarations!$C$22+1</f>
        <v>5.70253970138229</v>
      </c>
      <c r="U381" s="20" t="n">
        <f aca="false">Declarations!$C$20*Q380*Declarations!$D$20+Declarations!$C$20*R380*Declarations!$D$21+Declarations!$C$20*S380*Declarations!$D$22+Declarations!$C$21*R380*Declarations!$D$20+Declarations!$C$21*T380*Declarations!$D$21+Declarations!$C$21*U380*Declarations!$D$22+Declarations!$C$22*S380*Declarations!$D$20+Declarations!$C$22*U380*Declarations!$D$21+Declarations!$C$22*V380*Declarations!$D$22+0</f>
        <v>0.771604938271605</v>
      </c>
      <c r="V381" s="20" t="n">
        <f aca="false">Declarations!$D$20*Q380*Declarations!$D$20+Declarations!$D$20*R380*Declarations!$D$21+Declarations!$D$20*S380*Declarations!$D$22+Declarations!$D$21*R380*Declarations!$D$20+Declarations!$D$21*T380*Declarations!$D$21+Declarations!$D$21*U380*Declarations!$D$22+Declarations!$D$22*S380*Declarations!$D$20+Declarations!$D$22*U380*Declarations!$D$21+Declarations!$D$22*V380*Declarations!$D$22+1</f>
        <v>2.77777777777778</v>
      </c>
    </row>
    <row r="382" customFormat="false" ht="15" hidden="false" customHeight="false" outlineLevel="0" collapsed="false">
      <c r="A382" s="18" t="n">
        <v>373</v>
      </c>
      <c r="B382" s="20" t="n">
        <f aca="false">$B$4*B381*$B$4+$B$4*C381*$B$5+$B$5*C381*$B$4+$B$5*D381*$B$5+$E$4</f>
        <v>13.5714285714286</v>
      </c>
      <c r="C382" s="20" t="n">
        <f aca="false">$B$4*B381*$C$4+$B$4*C381*$C$5+$B$5*C381*$C$4+$B$5*D381*$C$5+$F$4</f>
        <v>-5.78571428571428</v>
      </c>
      <c r="D382" s="20" t="n">
        <f aca="false">$C$4*B381*$C$4+$C$4*C381*$C$5+$C$5*C381*$C$4+$C$5*D381*$C$5+$F$5</f>
        <v>11.9928571428571</v>
      </c>
      <c r="P382" s="18" t="n">
        <v>373</v>
      </c>
      <c r="Q382" s="20" t="n">
        <f aca="false">Declarations!$B$20*Q381*Declarations!$B$20+Declarations!$B$20*R381*Declarations!$B$21+Declarations!$B$20*S381*Declarations!$B$22+Declarations!$B$21*R381*Declarations!$B$20+Declarations!$B$21*T381*Declarations!$B$21+Declarations!$B$21*U381*Declarations!$B$22+Declarations!$B$22*S381*Declarations!$B$20+Declarations!$B$22*U381*Declarations!$B$21+Declarations!$B$22*V381*Declarations!$B$22+1</f>
        <v>10.2972987232247</v>
      </c>
      <c r="R382" s="20" t="n">
        <f aca="false">Declarations!$B$20*Q381*Declarations!$C$20+Declarations!$B$20*R381*Declarations!$C$21+Declarations!$B$20*S381*Declarations!$C$22+Declarations!$B$21*R381*Declarations!$C$20+Declarations!$B$21*T381*Declarations!$C$21+Declarations!$B$21*U381*Declarations!$C$22+Declarations!$B$22*S381*Declarations!$C$20+Declarations!$B$22*U381*Declarations!$C$21+Declarations!$B$22*V381*Declarations!$C$22+0</f>
        <v>4.60691839453414</v>
      </c>
      <c r="S382" s="20" t="n">
        <f aca="false">Declarations!$B$20*Q381*Declarations!$D$20+Declarations!$B$20*R381*Declarations!$D$21+Declarations!$B$20*S381*Declarations!$D$22+Declarations!$B$21*R381*Declarations!$D$20+Declarations!$B$21*T381*Declarations!$D$21+Declarations!$B$21*U381*Declarations!$D$22+Declarations!$B$22*S381*Declarations!$D$20+Declarations!$B$22*U381*Declarations!$D$21+Declarations!$B$22*V381*Declarations!$D$22+0</f>
        <v>0.617283950617284</v>
      </c>
      <c r="T382" s="20" t="n">
        <f aca="false">Declarations!$C$20*Q381*Declarations!$C$20+Declarations!$C$20*R381*Declarations!$C$21+Declarations!$C$20*S381*Declarations!$C$22+Declarations!$C$21*R381*Declarations!$C$20+Declarations!$C$21*T381*Declarations!$C$21+Declarations!$C$21*U381*Declarations!$C$22+Declarations!$C$22*S381*Declarations!$C$20+Declarations!$C$22*U381*Declarations!$C$21+Declarations!$C$22*V381*Declarations!$C$22+1</f>
        <v>5.70253970138229</v>
      </c>
      <c r="U382" s="20" t="n">
        <f aca="false">Declarations!$C$20*Q381*Declarations!$D$20+Declarations!$C$20*R381*Declarations!$D$21+Declarations!$C$20*S381*Declarations!$D$22+Declarations!$C$21*R381*Declarations!$D$20+Declarations!$C$21*T381*Declarations!$D$21+Declarations!$C$21*U381*Declarations!$D$22+Declarations!$C$22*S381*Declarations!$D$20+Declarations!$C$22*U381*Declarations!$D$21+Declarations!$C$22*V381*Declarations!$D$22+0</f>
        <v>0.771604938271605</v>
      </c>
      <c r="V382" s="20" t="n">
        <f aca="false">Declarations!$D$20*Q381*Declarations!$D$20+Declarations!$D$20*R381*Declarations!$D$21+Declarations!$D$20*S381*Declarations!$D$22+Declarations!$D$21*R381*Declarations!$D$20+Declarations!$D$21*T381*Declarations!$D$21+Declarations!$D$21*U381*Declarations!$D$22+Declarations!$D$22*S381*Declarations!$D$20+Declarations!$D$22*U381*Declarations!$D$21+Declarations!$D$22*V381*Declarations!$D$22+1</f>
        <v>2.77777777777778</v>
      </c>
    </row>
    <row r="383" customFormat="false" ht="15" hidden="false" customHeight="false" outlineLevel="0" collapsed="false">
      <c r="A383" s="18" t="n">
        <v>374</v>
      </c>
      <c r="B383" s="20" t="n">
        <f aca="false">$B$4*B382*$B$4+$B$4*C382*$B$5+$B$5*C382*$B$4+$B$5*D382*$B$5+$E$4</f>
        <v>13.5714285714286</v>
      </c>
      <c r="C383" s="20" t="n">
        <f aca="false">$B$4*B382*$C$4+$B$4*C382*$C$5+$B$5*C382*$C$4+$B$5*D382*$C$5+$F$4</f>
        <v>-5.78571428571428</v>
      </c>
      <c r="D383" s="20" t="n">
        <f aca="false">$C$4*B382*$C$4+$C$4*C382*$C$5+$C$5*C382*$C$4+$C$5*D382*$C$5+$F$5</f>
        <v>11.9928571428571</v>
      </c>
      <c r="P383" s="18" t="n">
        <v>374</v>
      </c>
      <c r="Q383" s="20" t="n">
        <f aca="false">Declarations!$B$20*Q382*Declarations!$B$20+Declarations!$B$20*R382*Declarations!$B$21+Declarations!$B$20*S382*Declarations!$B$22+Declarations!$B$21*R382*Declarations!$B$20+Declarations!$B$21*T382*Declarations!$B$21+Declarations!$B$21*U382*Declarations!$B$22+Declarations!$B$22*S382*Declarations!$B$20+Declarations!$B$22*U382*Declarations!$B$21+Declarations!$B$22*V382*Declarations!$B$22+1</f>
        <v>10.2972987232247</v>
      </c>
      <c r="R383" s="20" t="n">
        <f aca="false">Declarations!$B$20*Q382*Declarations!$C$20+Declarations!$B$20*R382*Declarations!$C$21+Declarations!$B$20*S382*Declarations!$C$22+Declarations!$B$21*R382*Declarations!$C$20+Declarations!$B$21*T382*Declarations!$C$21+Declarations!$B$21*U382*Declarations!$C$22+Declarations!$B$22*S382*Declarations!$C$20+Declarations!$B$22*U382*Declarations!$C$21+Declarations!$B$22*V382*Declarations!$C$22+0</f>
        <v>4.60691839453414</v>
      </c>
      <c r="S383" s="20" t="n">
        <f aca="false">Declarations!$B$20*Q382*Declarations!$D$20+Declarations!$B$20*R382*Declarations!$D$21+Declarations!$B$20*S382*Declarations!$D$22+Declarations!$B$21*R382*Declarations!$D$20+Declarations!$B$21*T382*Declarations!$D$21+Declarations!$B$21*U382*Declarations!$D$22+Declarations!$B$22*S382*Declarations!$D$20+Declarations!$B$22*U382*Declarations!$D$21+Declarations!$B$22*V382*Declarations!$D$22+0</f>
        <v>0.617283950617284</v>
      </c>
      <c r="T383" s="20" t="n">
        <f aca="false">Declarations!$C$20*Q382*Declarations!$C$20+Declarations!$C$20*R382*Declarations!$C$21+Declarations!$C$20*S382*Declarations!$C$22+Declarations!$C$21*R382*Declarations!$C$20+Declarations!$C$21*T382*Declarations!$C$21+Declarations!$C$21*U382*Declarations!$C$22+Declarations!$C$22*S382*Declarations!$C$20+Declarations!$C$22*U382*Declarations!$C$21+Declarations!$C$22*V382*Declarations!$C$22+1</f>
        <v>5.70253970138229</v>
      </c>
      <c r="U383" s="20" t="n">
        <f aca="false">Declarations!$C$20*Q382*Declarations!$D$20+Declarations!$C$20*R382*Declarations!$D$21+Declarations!$C$20*S382*Declarations!$D$22+Declarations!$C$21*R382*Declarations!$D$20+Declarations!$C$21*T382*Declarations!$D$21+Declarations!$C$21*U382*Declarations!$D$22+Declarations!$C$22*S382*Declarations!$D$20+Declarations!$C$22*U382*Declarations!$D$21+Declarations!$C$22*V382*Declarations!$D$22+0</f>
        <v>0.771604938271605</v>
      </c>
      <c r="V383" s="20" t="n">
        <f aca="false">Declarations!$D$20*Q382*Declarations!$D$20+Declarations!$D$20*R382*Declarations!$D$21+Declarations!$D$20*S382*Declarations!$D$22+Declarations!$D$21*R382*Declarations!$D$20+Declarations!$D$21*T382*Declarations!$D$21+Declarations!$D$21*U382*Declarations!$D$22+Declarations!$D$22*S382*Declarations!$D$20+Declarations!$D$22*U382*Declarations!$D$21+Declarations!$D$22*V382*Declarations!$D$22+1</f>
        <v>2.77777777777778</v>
      </c>
    </row>
    <row r="384" customFormat="false" ht="15" hidden="false" customHeight="false" outlineLevel="0" collapsed="false">
      <c r="A384" s="18" t="n">
        <v>375</v>
      </c>
      <c r="B384" s="20" t="n">
        <f aca="false">$B$4*B383*$B$4+$B$4*C383*$B$5+$B$5*C383*$B$4+$B$5*D383*$B$5+$E$4</f>
        <v>13.5714285714286</v>
      </c>
      <c r="C384" s="20" t="n">
        <f aca="false">$B$4*B383*$C$4+$B$4*C383*$C$5+$B$5*C383*$C$4+$B$5*D383*$C$5+$F$4</f>
        <v>-5.78571428571428</v>
      </c>
      <c r="D384" s="20" t="n">
        <f aca="false">$C$4*B383*$C$4+$C$4*C383*$C$5+$C$5*C383*$C$4+$C$5*D383*$C$5+$F$5</f>
        <v>11.9928571428571</v>
      </c>
      <c r="P384" s="18" t="n">
        <v>375</v>
      </c>
      <c r="Q384" s="20" t="n">
        <f aca="false">Declarations!$B$20*Q383*Declarations!$B$20+Declarations!$B$20*R383*Declarations!$B$21+Declarations!$B$20*S383*Declarations!$B$22+Declarations!$B$21*R383*Declarations!$B$20+Declarations!$B$21*T383*Declarations!$B$21+Declarations!$B$21*U383*Declarations!$B$22+Declarations!$B$22*S383*Declarations!$B$20+Declarations!$B$22*U383*Declarations!$B$21+Declarations!$B$22*V383*Declarations!$B$22+1</f>
        <v>10.2972987232247</v>
      </c>
      <c r="R384" s="20" t="n">
        <f aca="false">Declarations!$B$20*Q383*Declarations!$C$20+Declarations!$B$20*R383*Declarations!$C$21+Declarations!$B$20*S383*Declarations!$C$22+Declarations!$B$21*R383*Declarations!$C$20+Declarations!$B$21*T383*Declarations!$C$21+Declarations!$B$21*U383*Declarations!$C$22+Declarations!$B$22*S383*Declarations!$C$20+Declarations!$B$22*U383*Declarations!$C$21+Declarations!$B$22*V383*Declarations!$C$22+0</f>
        <v>4.60691839453414</v>
      </c>
      <c r="S384" s="20" t="n">
        <f aca="false">Declarations!$B$20*Q383*Declarations!$D$20+Declarations!$B$20*R383*Declarations!$D$21+Declarations!$B$20*S383*Declarations!$D$22+Declarations!$B$21*R383*Declarations!$D$20+Declarations!$B$21*T383*Declarations!$D$21+Declarations!$B$21*U383*Declarations!$D$22+Declarations!$B$22*S383*Declarations!$D$20+Declarations!$B$22*U383*Declarations!$D$21+Declarations!$B$22*V383*Declarations!$D$22+0</f>
        <v>0.617283950617284</v>
      </c>
      <c r="T384" s="20" t="n">
        <f aca="false">Declarations!$C$20*Q383*Declarations!$C$20+Declarations!$C$20*R383*Declarations!$C$21+Declarations!$C$20*S383*Declarations!$C$22+Declarations!$C$21*R383*Declarations!$C$20+Declarations!$C$21*T383*Declarations!$C$21+Declarations!$C$21*U383*Declarations!$C$22+Declarations!$C$22*S383*Declarations!$C$20+Declarations!$C$22*U383*Declarations!$C$21+Declarations!$C$22*V383*Declarations!$C$22+1</f>
        <v>5.70253970138229</v>
      </c>
      <c r="U384" s="20" t="n">
        <f aca="false">Declarations!$C$20*Q383*Declarations!$D$20+Declarations!$C$20*R383*Declarations!$D$21+Declarations!$C$20*S383*Declarations!$D$22+Declarations!$C$21*R383*Declarations!$D$20+Declarations!$C$21*T383*Declarations!$D$21+Declarations!$C$21*U383*Declarations!$D$22+Declarations!$C$22*S383*Declarations!$D$20+Declarations!$C$22*U383*Declarations!$D$21+Declarations!$C$22*V383*Declarations!$D$22+0</f>
        <v>0.771604938271605</v>
      </c>
      <c r="V384" s="20" t="n">
        <f aca="false">Declarations!$D$20*Q383*Declarations!$D$20+Declarations!$D$20*R383*Declarations!$D$21+Declarations!$D$20*S383*Declarations!$D$22+Declarations!$D$21*R383*Declarations!$D$20+Declarations!$D$21*T383*Declarations!$D$21+Declarations!$D$21*U383*Declarations!$D$22+Declarations!$D$22*S383*Declarations!$D$20+Declarations!$D$22*U383*Declarations!$D$21+Declarations!$D$22*V383*Declarations!$D$22+1</f>
        <v>2.77777777777778</v>
      </c>
    </row>
    <row r="385" customFormat="false" ht="15" hidden="false" customHeight="false" outlineLevel="0" collapsed="false">
      <c r="A385" s="18" t="n">
        <v>376</v>
      </c>
      <c r="B385" s="20" t="n">
        <f aca="false">$B$4*B384*$B$4+$B$4*C384*$B$5+$B$5*C384*$B$4+$B$5*D384*$B$5+$E$4</f>
        <v>13.5714285714286</v>
      </c>
      <c r="C385" s="20" t="n">
        <f aca="false">$B$4*B384*$C$4+$B$4*C384*$C$5+$B$5*C384*$C$4+$B$5*D384*$C$5+$F$4</f>
        <v>-5.78571428571428</v>
      </c>
      <c r="D385" s="20" t="n">
        <f aca="false">$C$4*B384*$C$4+$C$4*C384*$C$5+$C$5*C384*$C$4+$C$5*D384*$C$5+$F$5</f>
        <v>11.9928571428571</v>
      </c>
      <c r="P385" s="18" t="n">
        <v>376</v>
      </c>
      <c r="Q385" s="20" t="n">
        <f aca="false">Declarations!$B$20*Q384*Declarations!$B$20+Declarations!$B$20*R384*Declarations!$B$21+Declarations!$B$20*S384*Declarations!$B$22+Declarations!$B$21*R384*Declarations!$B$20+Declarations!$B$21*T384*Declarations!$B$21+Declarations!$B$21*U384*Declarations!$B$22+Declarations!$B$22*S384*Declarations!$B$20+Declarations!$B$22*U384*Declarations!$B$21+Declarations!$B$22*V384*Declarations!$B$22+1</f>
        <v>10.2972987232247</v>
      </c>
      <c r="R385" s="20" t="n">
        <f aca="false">Declarations!$B$20*Q384*Declarations!$C$20+Declarations!$B$20*R384*Declarations!$C$21+Declarations!$B$20*S384*Declarations!$C$22+Declarations!$B$21*R384*Declarations!$C$20+Declarations!$B$21*T384*Declarations!$C$21+Declarations!$B$21*U384*Declarations!$C$22+Declarations!$B$22*S384*Declarations!$C$20+Declarations!$B$22*U384*Declarations!$C$21+Declarations!$B$22*V384*Declarations!$C$22+0</f>
        <v>4.60691839453414</v>
      </c>
      <c r="S385" s="20" t="n">
        <f aca="false">Declarations!$B$20*Q384*Declarations!$D$20+Declarations!$B$20*R384*Declarations!$D$21+Declarations!$B$20*S384*Declarations!$D$22+Declarations!$B$21*R384*Declarations!$D$20+Declarations!$B$21*T384*Declarations!$D$21+Declarations!$B$21*U384*Declarations!$D$22+Declarations!$B$22*S384*Declarations!$D$20+Declarations!$B$22*U384*Declarations!$D$21+Declarations!$B$22*V384*Declarations!$D$22+0</f>
        <v>0.617283950617284</v>
      </c>
      <c r="T385" s="20" t="n">
        <f aca="false">Declarations!$C$20*Q384*Declarations!$C$20+Declarations!$C$20*R384*Declarations!$C$21+Declarations!$C$20*S384*Declarations!$C$22+Declarations!$C$21*R384*Declarations!$C$20+Declarations!$C$21*T384*Declarations!$C$21+Declarations!$C$21*U384*Declarations!$C$22+Declarations!$C$22*S384*Declarations!$C$20+Declarations!$C$22*U384*Declarations!$C$21+Declarations!$C$22*V384*Declarations!$C$22+1</f>
        <v>5.70253970138229</v>
      </c>
      <c r="U385" s="20" t="n">
        <f aca="false">Declarations!$C$20*Q384*Declarations!$D$20+Declarations!$C$20*R384*Declarations!$D$21+Declarations!$C$20*S384*Declarations!$D$22+Declarations!$C$21*R384*Declarations!$D$20+Declarations!$C$21*T384*Declarations!$D$21+Declarations!$C$21*U384*Declarations!$D$22+Declarations!$C$22*S384*Declarations!$D$20+Declarations!$C$22*U384*Declarations!$D$21+Declarations!$C$22*V384*Declarations!$D$22+0</f>
        <v>0.771604938271605</v>
      </c>
      <c r="V385" s="20" t="n">
        <f aca="false">Declarations!$D$20*Q384*Declarations!$D$20+Declarations!$D$20*R384*Declarations!$D$21+Declarations!$D$20*S384*Declarations!$D$22+Declarations!$D$21*R384*Declarations!$D$20+Declarations!$D$21*T384*Declarations!$D$21+Declarations!$D$21*U384*Declarations!$D$22+Declarations!$D$22*S384*Declarations!$D$20+Declarations!$D$22*U384*Declarations!$D$21+Declarations!$D$22*V384*Declarations!$D$22+1</f>
        <v>2.77777777777778</v>
      </c>
    </row>
    <row r="386" customFormat="false" ht="15" hidden="false" customHeight="false" outlineLevel="0" collapsed="false">
      <c r="A386" s="18" t="n">
        <v>377</v>
      </c>
      <c r="B386" s="20" t="n">
        <f aca="false">$B$4*B385*$B$4+$B$4*C385*$B$5+$B$5*C385*$B$4+$B$5*D385*$B$5+$E$4</f>
        <v>13.5714285714286</v>
      </c>
      <c r="C386" s="20" t="n">
        <f aca="false">$B$4*B385*$C$4+$B$4*C385*$C$5+$B$5*C385*$C$4+$B$5*D385*$C$5+$F$4</f>
        <v>-5.78571428571428</v>
      </c>
      <c r="D386" s="20" t="n">
        <f aca="false">$C$4*B385*$C$4+$C$4*C385*$C$5+$C$5*C385*$C$4+$C$5*D385*$C$5+$F$5</f>
        <v>11.9928571428571</v>
      </c>
      <c r="P386" s="18" t="n">
        <v>377</v>
      </c>
      <c r="Q386" s="20" t="n">
        <f aca="false">Declarations!$B$20*Q385*Declarations!$B$20+Declarations!$B$20*R385*Declarations!$B$21+Declarations!$B$20*S385*Declarations!$B$22+Declarations!$B$21*R385*Declarations!$B$20+Declarations!$B$21*T385*Declarations!$B$21+Declarations!$B$21*U385*Declarations!$B$22+Declarations!$B$22*S385*Declarations!$B$20+Declarations!$B$22*U385*Declarations!$B$21+Declarations!$B$22*V385*Declarations!$B$22+1</f>
        <v>10.2972987232247</v>
      </c>
      <c r="R386" s="20" t="n">
        <f aca="false">Declarations!$B$20*Q385*Declarations!$C$20+Declarations!$B$20*R385*Declarations!$C$21+Declarations!$B$20*S385*Declarations!$C$22+Declarations!$B$21*R385*Declarations!$C$20+Declarations!$B$21*T385*Declarations!$C$21+Declarations!$B$21*U385*Declarations!$C$22+Declarations!$B$22*S385*Declarations!$C$20+Declarations!$B$22*U385*Declarations!$C$21+Declarations!$B$22*V385*Declarations!$C$22+0</f>
        <v>4.60691839453414</v>
      </c>
      <c r="S386" s="20" t="n">
        <f aca="false">Declarations!$B$20*Q385*Declarations!$D$20+Declarations!$B$20*R385*Declarations!$D$21+Declarations!$B$20*S385*Declarations!$D$22+Declarations!$B$21*R385*Declarations!$D$20+Declarations!$B$21*T385*Declarations!$D$21+Declarations!$B$21*U385*Declarations!$D$22+Declarations!$B$22*S385*Declarations!$D$20+Declarations!$B$22*U385*Declarations!$D$21+Declarations!$B$22*V385*Declarations!$D$22+0</f>
        <v>0.617283950617284</v>
      </c>
      <c r="T386" s="20" t="n">
        <f aca="false">Declarations!$C$20*Q385*Declarations!$C$20+Declarations!$C$20*R385*Declarations!$C$21+Declarations!$C$20*S385*Declarations!$C$22+Declarations!$C$21*R385*Declarations!$C$20+Declarations!$C$21*T385*Declarations!$C$21+Declarations!$C$21*U385*Declarations!$C$22+Declarations!$C$22*S385*Declarations!$C$20+Declarations!$C$22*U385*Declarations!$C$21+Declarations!$C$22*V385*Declarations!$C$22+1</f>
        <v>5.70253970138229</v>
      </c>
      <c r="U386" s="20" t="n">
        <f aca="false">Declarations!$C$20*Q385*Declarations!$D$20+Declarations!$C$20*R385*Declarations!$D$21+Declarations!$C$20*S385*Declarations!$D$22+Declarations!$C$21*R385*Declarations!$D$20+Declarations!$C$21*T385*Declarations!$D$21+Declarations!$C$21*U385*Declarations!$D$22+Declarations!$C$22*S385*Declarations!$D$20+Declarations!$C$22*U385*Declarations!$D$21+Declarations!$C$22*V385*Declarations!$D$22+0</f>
        <v>0.771604938271605</v>
      </c>
      <c r="V386" s="20" t="n">
        <f aca="false">Declarations!$D$20*Q385*Declarations!$D$20+Declarations!$D$20*R385*Declarations!$D$21+Declarations!$D$20*S385*Declarations!$D$22+Declarations!$D$21*R385*Declarations!$D$20+Declarations!$D$21*T385*Declarations!$D$21+Declarations!$D$21*U385*Declarations!$D$22+Declarations!$D$22*S385*Declarations!$D$20+Declarations!$D$22*U385*Declarations!$D$21+Declarations!$D$22*V385*Declarations!$D$22+1</f>
        <v>2.77777777777778</v>
      </c>
    </row>
    <row r="387" customFormat="false" ht="15" hidden="false" customHeight="false" outlineLevel="0" collapsed="false">
      <c r="A387" s="18" t="n">
        <v>378</v>
      </c>
      <c r="B387" s="20" t="n">
        <f aca="false">$B$4*B386*$B$4+$B$4*C386*$B$5+$B$5*C386*$B$4+$B$5*D386*$B$5+$E$4</f>
        <v>13.5714285714286</v>
      </c>
      <c r="C387" s="20" t="n">
        <f aca="false">$B$4*B386*$C$4+$B$4*C386*$C$5+$B$5*C386*$C$4+$B$5*D386*$C$5+$F$4</f>
        <v>-5.78571428571428</v>
      </c>
      <c r="D387" s="20" t="n">
        <f aca="false">$C$4*B386*$C$4+$C$4*C386*$C$5+$C$5*C386*$C$4+$C$5*D386*$C$5+$F$5</f>
        <v>11.9928571428571</v>
      </c>
      <c r="P387" s="18" t="n">
        <v>378</v>
      </c>
      <c r="Q387" s="20" t="n">
        <f aca="false">Declarations!$B$20*Q386*Declarations!$B$20+Declarations!$B$20*R386*Declarations!$B$21+Declarations!$B$20*S386*Declarations!$B$22+Declarations!$B$21*R386*Declarations!$B$20+Declarations!$B$21*T386*Declarations!$B$21+Declarations!$B$21*U386*Declarations!$B$22+Declarations!$B$22*S386*Declarations!$B$20+Declarations!$B$22*U386*Declarations!$B$21+Declarations!$B$22*V386*Declarations!$B$22+1</f>
        <v>10.2972987232247</v>
      </c>
      <c r="R387" s="20" t="n">
        <f aca="false">Declarations!$B$20*Q386*Declarations!$C$20+Declarations!$B$20*R386*Declarations!$C$21+Declarations!$B$20*S386*Declarations!$C$22+Declarations!$B$21*R386*Declarations!$C$20+Declarations!$B$21*T386*Declarations!$C$21+Declarations!$B$21*U386*Declarations!$C$22+Declarations!$B$22*S386*Declarations!$C$20+Declarations!$B$22*U386*Declarations!$C$21+Declarations!$B$22*V386*Declarations!$C$22+0</f>
        <v>4.60691839453414</v>
      </c>
      <c r="S387" s="20" t="n">
        <f aca="false">Declarations!$B$20*Q386*Declarations!$D$20+Declarations!$B$20*R386*Declarations!$D$21+Declarations!$B$20*S386*Declarations!$D$22+Declarations!$B$21*R386*Declarations!$D$20+Declarations!$B$21*T386*Declarations!$D$21+Declarations!$B$21*U386*Declarations!$D$22+Declarations!$B$22*S386*Declarations!$D$20+Declarations!$B$22*U386*Declarations!$D$21+Declarations!$B$22*V386*Declarations!$D$22+0</f>
        <v>0.617283950617284</v>
      </c>
      <c r="T387" s="20" t="n">
        <f aca="false">Declarations!$C$20*Q386*Declarations!$C$20+Declarations!$C$20*R386*Declarations!$C$21+Declarations!$C$20*S386*Declarations!$C$22+Declarations!$C$21*R386*Declarations!$C$20+Declarations!$C$21*T386*Declarations!$C$21+Declarations!$C$21*U386*Declarations!$C$22+Declarations!$C$22*S386*Declarations!$C$20+Declarations!$C$22*U386*Declarations!$C$21+Declarations!$C$22*V386*Declarations!$C$22+1</f>
        <v>5.70253970138229</v>
      </c>
      <c r="U387" s="20" t="n">
        <f aca="false">Declarations!$C$20*Q386*Declarations!$D$20+Declarations!$C$20*R386*Declarations!$D$21+Declarations!$C$20*S386*Declarations!$D$22+Declarations!$C$21*R386*Declarations!$D$20+Declarations!$C$21*T386*Declarations!$D$21+Declarations!$C$21*U386*Declarations!$D$22+Declarations!$C$22*S386*Declarations!$D$20+Declarations!$C$22*U386*Declarations!$D$21+Declarations!$C$22*V386*Declarations!$D$22+0</f>
        <v>0.771604938271605</v>
      </c>
      <c r="V387" s="20" t="n">
        <f aca="false">Declarations!$D$20*Q386*Declarations!$D$20+Declarations!$D$20*R386*Declarations!$D$21+Declarations!$D$20*S386*Declarations!$D$22+Declarations!$D$21*R386*Declarations!$D$20+Declarations!$D$21*T386*Declarations!$D$21+Declarations!$D$21*U386*Declarations!$D$22+Declarations!$D$22*S386*Declarations!$D$20+Declarations!$D$22*U386*Declarations!$D$21+Declarations!$D$22*V386*Declarations!$D$22+1</f>
        <v>2.77777777777778</v>
      </c>
    </row>
    <row r="388" customFormat="false" ht="15" hidden="false" customHeight="false" outlineLevel="0" collapsed="false">
      <c r="A388" s="18" t="n">
        <v>379</v>
      </c>
      <c r="B388" s="20" t="n">
        <f aca="false">$B$4*B387*$B$4+$B$4*C387*$B$5+$B$5*C387*$B$4+$B$5*D387*$B$5+$E$4</f>
        <v>13.5714285714286</v>
      </c>
      <c r="C388" s="20" t="n">
        <f aca="false">$B$4*B387*$C$4+$B$4*C387*$C$5+$B$5*C387*$C$4+$B$5*D387*$C$5+$F$4</f>
        <v>-5.78571428571428</v>
      </c>
      <c r="D388" s="20" t="n">
        <f aca="false">$C$4*B387*$C$4+$C$4*C387*$C$5+$C$5*C387*$C$4+$C$5*D387*$C$5+$F$5</f>
        <v>11.9928571428571</v>
      </c>
      <c r="P388" s="18" t="n">
        <v>379</v>
      </c>
      <c r="Q388" s="20" t="n">
        <f aca="false">Declarations!$B$20*Q387*Declarations!$B$20+Declarations!$B$20*R387*Declarations!$B$21+Declarations!$B$20*S387*Declarations!$B$22+Declarations!$B$21*R387*Declarations!$B$20+Declarations!$B$21*T387*Declarations!$B$21+Declarations!$B$21*U387*Declarations!$B$22+Declarations!$B$22*S387*Declarations!$B$20+Declarations!$B$22*U387*Declarations!$B$21+Declarations!$B$22*V387*Declarations!$B$22+1</f>
        <v>10.2972987232247</v>
      </c>
      <c r="R388" s="20" t="n">
        <f aca="false">Declarations!$B$20*Q387*Declarations!$C$20+Declarations!$B$20*R387*Declarations!$C$21+Declarations!$B$20*S387*Declarations!$C$22+Declarations!$B$21*R387*Declarations!$C$20+Declarations!$B$21*T387*Declarations!$C$21+Declarations!$B$21*U387*Declarations!$C$22+Declarations!$B$22*S387*Declarations!$C$20+Declarations!$B$22*U387*Declarations!$C$21+Declarations!$B$22*V387*Declarations!$C$22+0</f>
        <v>4.60691839453414</v>
      </c>
      <c r="S388" s="20" t="n">
        <f aca="false">Declarations!$B$20*Q387*Declarations!$D$20+Declarations!$B$20*R387*Declarations!$D$21+Declarations!$B$20*S387*Declarations!$D$22+Declarations!$B$21*R387*Declarations!$D$20+Declarations!$B$21*T387*Declarations!$D$21+Declarations!$B$21*U387*Declarations!$D$22+Declarations!$B$22*S387*Declarations!$D$20+Declarations!$B$22*U387*Declarations!$D$21+Declarations!$B$22*V387*Declarations!$D$22+0</f>
        <v>0.617283950617284</v>
      </c>
      <c r="T388" s="20" t="n">
        <f aca="false">Declarations!$C$20*Q387*Declarations!$C$20+Declarations!$C$20*R387*Declarations!$C$21+Declarations!$C$20*S387*Declarations!$C$22+Declarations!$C$21*R387*Declarations!$C$20+Declarations!$C$21*T387*Declarations!$C$21+Declarations!$C$21*U387*Declarations!$C$22+Declarations!$C$22*S387*Declarations!$C$20+Declarations!$C$22*U387*Declarations!$C$21+Declarations!$C$22*V387*Declarations!$C$22+1</f>
        <v>5.70253970138229</v>
      </c>
      <c r="U388" s="20" t="n">
        <f aca="false">Declarations!$C$20*Q387*Declarations!$D$20+Declarations!$C$20*R387*Declarations!$D$21+Declarations!$C$20*S387*Declarations!$D$22+Declarations!$C$21*R387*Declarations!$D$20+Declarations!$C$21*T387*Declarations!$D$21+Declarations!$C$21*U387*Declarations!$D$22+Declarations!$C$22*S387*Declarations!$D$20+Declarations!$C$22*U387*Declarations!$D$21+Declarations!$C$22*V387*Declarations!$D$22+0</f>
        <v>0.771604938271605</v>
      </c>
      <c r="V388" s="20" t="n">
        <f aca="false">Declarations!$D$20*Q387*Declarations!$D$20+Declarations!$D$20*R387*Declarations!$D$21+Declarations!$D$20*S387*Declarations!$D$22+Declarations!$D$21*R387*Declarations!$D$20+Declarations!$D$21*T387*Declarations!$D$21+Declarations!$D$21*U387*Declarations!$D$22+Declarations!$D$22*S387*Declarations!$D$20+Declarations!$D$22*U387*Declarations!$D$21+Declarations!$D$22*V387*Declarations!$D$22+1</f>
        <v>2.77777777777778</v>
      </c>
    </row>
    <row r="389" customFormat="false" ht="15" hidden="false" customHeight="false" outlineLevel="0" collapsed="false">
      <c r="A389" s="18" t="n">
        <v>380</v>
      </c>
      <c r="B389" s="20" t="n">
        <f aca="false">$B$4*B388*$B$4+$B$4*C388*$B$5+$B$5*C388*$B$4+$B$5*D388*$B$5+$E$4</f>
        <v>13.5714285714286</v>
      </c>
      <c r="C389" s="20" t="n">
        <f aca="false">$B$4*B388*$C$4+$B$4*C388*$C$5+$B$5*C388*$C$4+$B$5*D388*$C$5+$F$4</f>
        <v>-5.78571428571428</v>
      </c>
      <c r="D389" s="20" t="n">
        <f aca="false">$C$4*B388*$C$4+$C$4*C388*$C$5+$C$5*C388*$C$4+$C$5*D388*$C$5+$F$5</f>
        <v>11.9928571428571</v>
      </c>
      <c r="P389" s="18" t="n">
        <v>380</v>
      </c>
      <c r="Q389" s="20" t="n">
        <f aca="false">Declarations!$B$20*Q388*Declarations!$B$20+Declarations!$B$20*R388*Declarations!$B$21+Declarations!$B$20*S388*Declarations!$B$22+Declarations!$B$21*R388*Declarations!$B$20+Declarations!$B$21*T388*Declarations!$B$21+Declarations!$B$21*U388*Declarations!$B$22+Declarations!$B$22*S388*Declarations!$B$20+Declarations!$B$22*U388*Declarations!$B$21+Declarations!$B$22*V388*Declarations!$B$22+1</f>
        <v>10.2972987232247</v>
      </c>
      <c r="R389" s="20" t="n">
        <f aca="false">Declarations!$B$20*Q388*Declarations!$C$20+Declarations!$B$20*R388*Declarations!$C$21+Declarations!$B$20*S388*Declarations!$C$22+Declarations!$B$21*R388*Declarations!$C$20+Declarations!$B$21*T388*Declarations!$C$21+Declarations!$B$21*U388*Declarations!$C$22+Declarations!$B$22*S388*Declarations!$C$20+Declarations!$B$22*U388*Declarations!$C$21+Declarations!$B$22*V388*Declarations!$C$22+0</f>
        <v>4.60691839453414</v>
      </c>
      <c r="S389" s="20" t="n">
        <f aca="false">Declarations!$B$20*Q388*Declarations!$D$20+Declarations!$B$20*R388*Declarations!$D$21+Declarations!$B$20*S388*Declarations!$D$22+Declarations!$B$21*R388*Declarations!$D$20+Declarations!$B$21*T388*Declarations!$D$21+Declarations!$B$21*U388*Declarations!$D$22+Declarations!$B$22*S388*Declarations!$D$20+Declarations!$B$22*U388*Declarations!$D$21+Declarations!$B$22*V388*Declarations!$D$22+0</f>
        <v>0.617283950617284</v>
      </c>
      <c r="T389" s="20" t="n">
        <f aca="false">Declarations!$C$20*Q388*Declarations!$C$20+Declarations!$C$20*R388*Declarations!$C$21+Declarations!$C$20*S388*Declarations!$C$22+Declarations!$C$21*R388*Declarations!$C$20+Declarations!$C$21*T388*Declarations!$C$21+Declarations!$C$21*U388*Declarations!$C$22+Declarations!$C$22*S388*Declarations!$C$20+Declarations!$C$22*U388*Declarations!$C$21+Declarations!$C$22*V388*Declarations!$C$22+1</f>
        <v>5.70253970138229</v>
      </c>
      <c r="U389" s="20" t="n">
        <f aca="false">Declarations!$C$20*Q388*Declarations!$D$20+Declarations!$C$20*R388*Declarations!$D$21+Declarations!$C$20*S388*Declarations!$D$22+Declarations!$C$21*R388*Declarations!$D$20+Declarations!$C$21*T388*Declarations!$D$21+Declarations!$C$21*U388*Declarations!$D$22+Declarations!$C$22*S388*Declarations!$D$20+Declarations!$C$22*U388*Declarations!$D$21+Declarations!$C$22*V388*Declarations!$D$22+0</f>
        <v>0.771604938271605</v>
      </c>
      <c r="V389" s="20" t="n">
        <f aca="false">Declarations!$D$20*Q388*Declarations!$D$20+Declarations!$D$20*R388*Declarations!$D$21+Declarations!$D$20*S388*Declarations!$D$22+Declarations!$D$21*R388*Declarations!$D$20+Declarations!$D$21*T388*Declarations!$D$21+Declarations!$D$21*U388*Declarations!$D$22+Declarations!$D$22*S388*Declarations!$D$20+Declarations!$D$22*U388*Declarations!$D$21+Declarations!$D$22*V388*Declarations!$D$22+1</f>
        <v>2.77777777777778</v>
      </c>
    </row>
    <row r="390" customFormat="false" ht="15" hidden="false" customHeight="false" outlineLevel="0" collapsed="false">
      <c r="A390" s="18" t="n">
        <v>381</v>
      </c>
      <c r="B390" s="20" t="n">
        <f aca="false">$B$4*B389*$B$4+$B$4*C389*$B$5+$B$5*C389*$B$4+$B$5*D389*$B$5+$E$4</f>
        <v>13.5714285714286</v>
      </c>
      <c r="C390" s="20" t="n">
        <f aca="false">$B$4*B389*$C$4+$B$4*C389*$C$5+$B$5*C389*$C$4+$B$5*D389*$C$5+$F$4</f>
        <v>-5.78571428571428</v>
      </c>
      <c r="D390" s="20" t="n">
        <f aca="false">$C$4*B389*$C$4+$C$4*C389*$C$5+$C$5*C389*$C$4+$C$5*D389*$C$5+$F$5</f>
        <v>11.9928571428571</v>
      </c>
      <c r="P390" s="18" t="n">
        <v>381</v>
      </c>
      <c r="Q390" s="20" t="n">
        <f aca="false">Declarations!$B$20*Q389*Declarations!$B$20+Declarations!$B$20*R389*Declarations!$B$21+Declarations!$B$20*S389*Declarations!$B$22+Declarations!$B$21*R389*Declarations!$B$20+Declarations!$B$21*T389*Declarations!$B$21+Declarations!$B$21*U389*Declarations!$B$22+Declarations!$B$22*S389*Declarations!$B$20+Declarations!$B$22*U389*Declarations!$B$21+Declarations!$B$22*V389*Declarations!$B$22+1</f>
        <v>10.2972987232247</v>
      </c>
      <c r="R390" s="20" t="n">
        <f aca="false">Declarations!$B$20*Q389*Declarations!$C$20+Declarations!$B$20*R389*Declarations!$C$21+Declarations!$B$20*S389*Declarations!$C$22+Declarations!$B$21*R389*Declarations!$C$20+Declarations!$B$21*T389*Declarations!$C$21+Declarations!$B$21*U389*Declarations!$C$22+Declarations!$B$22*S389*Declarations!$C$20+Declarations!$B$22*U389*Declarations!$C$21+Declarations!$B$22*V389*Declarations!$C$22+0</f>
        <v>4.60691839453414</v>
      </c>
      <c r="S390" s="20" t="n">
        <f aca="false">Declarations!$B$20*Q389*Declarations!$D$20+Declarations!$B$20*R389*Declarations!$D$21+Declarations!$B$20*S389*Declarations!$D$22+Declarations!$B$21*R389*Declarations!$D$20+Declarations!$B$21*T389*Declarations!$D$21+Declarations!$B$21*U389*Declarations!$D$22+Declarations!$B$22*S389*Declarations!$D$20+Declarations!$B$22*U389*Declarations!$D$21+Declarations!$B$22*V389*Declarations!$D$22+0</f>
        <v>0.617283950617284</v>
      </c>
      <c r="T390" s="20" t="n">
        <f aca="false">Declarations!$C$20*Q389*Declarations!$C$20+Declarations!$C$20*R389*Declarations!$C$21+Declarations!$C$20*S389*Declarations!$C$22+Declarations!$C$21*R389*Declarations!$C$20+Declarations!$C$21*T389*Declarations!$C$21+Declarations!$C$21*U389*Declarations!$C$22+Declarations!$C$22*S389*Declarations!$C$20+Declarations!$C$22*U389*Declarations!$C$21+Declarations!$C$22*V389*Declarations!$C$22+1</f>
        <v>5.70253970138229</v>
      </c>
      <c r="U390" s="20" t="n">
        <f aca="false">Declarations!$C$20*Q389*Declarations!$D$20+Declarations!$C$20*R389*Declarations!$D$21+Declarations!$C$20*S389*Declarations!$D$22+Declarations!$C$21*R389*Declarations!$D$20+Declarations!$C$21*T389*Declarations!$D$21+Declarations!$C$21*U389*Declarations!$D$22+Declarations!$C$22*S389*Declarations!$D$20+Declarations!$C$22*U389*Declarations!$D$21+Declarations!$C$22*V389*Declarations!$D$22+0</f>
        <v>0.771604938271605</v>
      </c>
      <c r="V390" s="20" t="n">
        <f aca="false">Declarations!$D$20*Q389*Declarations!$D$20+Declarations!$D$20*R389*Declarations!$D$21+Declarations!$D$20*S389*Declarations!$D$22+Declarations!$D$21*R389*Declarations!$D$20+Declarations!$D$21*T389*Declarations!$D$21+Declarations!$D$21*U389*Declarations!$D$22+Declarations!$D$22*S389*Declarations!$D$20+Declarations!$D$22*U389*Declarations!$D$21+Declarations!$D$22*V389*Declarations!$D$22+1</f>
        <v>2.77777777777778</v>
      </c>
    </row>
    <row r="391" customFormat="false" ht="15" hidden="false" customHeight="false" outlineLevel="0" collapsed="false">
      <c r="A391" s="18" t="n">
        <v>382</v>
      </c>
      <c r="B391" s="20" t="n">
        <f aca="false">$B$4*B390*$B$4+$B$4*C390*$B$5+$B$5*C390*$B$4+$B$5*D390*$B$5+$E$4</f>
        <v>13.5714285714286</v>
      </c>
      <c r="C391" s="20" t="n">
        <f aca="false">$B$4*B390*$C$4+$B$4*C390*$C$5+$B$5*C390*$C$4+$B$5*D390*$C$5+$F$4</f>
        <v>-5.78571428571428</v>
      </c>
      <c r="D391" s="20" t="n">
        <f aca="false">$C$4*B390*$C$4+$C$4*C390*$C$5+$C$5*C390*$C$4+$C$5*D390*$C$5+$F$5</f>
        <v>11.9928571428571</v>
      </c>
      <c r="P391" s="18" t="n">
        <v>382</v>
      </c>
      <c r="Q391" s="20" t="n">
        <f aca="false">Declarations!$B$20*Q390*Declarations!$B$20+Declarations!$B$20*R390*Declarations!$B$21+Declarations!$B$20*S390*Declarations!$B$22+Declarations!$B$21*R390*Declarations!$B$20+Declarations!$B$21*T390*Declarations!$B$21+Declarations!$B$21*U390*Declarations!$B$22+Declarations!$B$22*S390*Declarations!$B$20+Declarations!$B$22*U390*Declarations!$B$21+Declarations!$B$22*V390*Declarations!$B$22+1</f>
        <v>10.2972987232247</v>
      </c>
      <c r="R391" s="20" t="n">
        <f aca="false">Declarations!$B$20*Q390*Declarations!$C$20+Declarations!$B$20*R390*Declarations!$C$21+Declarations!$B$20*S390*Declarations!$C$22+Declarations!$B$21*R390*Declarations!$C$20+Declarations!$B$21*T390*Declarations!$C$21+Declarations!$B$21*U390*Declarations!$C$22+Declarations!$B$22*S390*Declarations!$C$20+Declarations!$B$22*U390*Declarations!$C$21+Declarations!$B$22*V390*Declarations!$C$22+0</f>
        <v>4.60691839453414</v>
      </c>
      <c r="S391" s="20" t="n">
        <f aca="false">Declarations!$B$20*Q390*Declarations!$D$20+Declarations!$B$20*R390*Declarations!$D$21+Declarations!$B$20*S390*Declarations!$D$22+Declarations!$B$21*R390*Declarations!$D$20+Declarations!$B$21*T390*Declarations!$D$21+Declarations!$B$21*U390*Declarations!$D$22+Declarations!$B$22*S390*Declarations!$D$20+Declarations!$B$22*U390*Declarations!$D$21+Declarations!$B$22*V390*Declarations!$D$22+0</f>
        <v>0.617283950617284</v>
      </c>
      <c r="T391" s="20" t="n">
        <f aca="false">Declarations!$C$20*Q390*Declarations!$C$20+Declarations!$C$20*R390*Declarations!$C$21+Declarations!$C$20*S390*Declarations!$C$22+Declarations!$C$21*R390*Declarations!$C$20+Declarations!$C$21*T390*Declarations!$C$21+Declarations!$C$21*U390*Declarations!$C$22+Declarations!$C$22*S390*Declarations!$C$20+Declarations!$C$22*U390*Declarations!$C$21+Declarations!$C$22*V390*Declarations!$C$22+1</f>
        <v>5.70253970138229</v>
      </c>
      <c r="U391" s="20" t="n">
        <f aca="false">Declarations!$C$20*Q390*Declarations!$D$20+Declarations!$C$20*R390*Declarations!$D$21+Declarations!$C$20*S390*Declarations!$D$22+Declarations!$C$21*R390*Declarations!$D$20+Declarations!$C$21*T390*Declarations!$D$21+Declarations!$C$21*U390*Declarations!$D$22+Declarations!$C$22*S390*Declarations!$D$20+Declarations!$C$22*U390*Declarations!$D$21+Declarations!$C$22*V390*Declarations!$D$22+0</f>
        <v>0.771604938271605</v>
      </c>
      <c r="V391" s="20" t="n">
        <f aca="false">Declarations!$D$20*Q390*Declarations!$D$20+Declarations!$D$20*R390*Declarations!$D$21+Declarations!$D$20*S390*Declarations!$D$22+Declarations!$D$21*R390*Declarations!$D$20+Declarations!$D$21*T390*Declarations!$D$21+Declarations!$D$21*U390*Declarations!$D$22+Declarations!$D$22*S390*Declarations!$D$20+Declarations!$D$22*U390*Declarations!$D$21+Declarations!$D$22*V390*Declarations!$D$22+1</f>
        <v>2.77777777777778</v>
      </c>
    </row>
    <row r="392" customFormat="false" ht="15" hidden="false" customHeight="false" outlineLevel="0" collapsed="false">
      <c r="A392" s="18" t="n">
        <v>383</v>
      </c>
      <c r="B392" s="20" t="n">
        <f aca="false">$B$4*B391*$B$4+$B$4*C391*$B$5+$B$5*C391*$B$4+$B$5*D391*$B$5+$E$4</f>
        <v>13.5714285714286</v>
      </c>
      <c r="C392" s="20" t="n">
        <f aca="false">$B$4*B391*$C$4+$B$4*C391*$C$5+$B$5*C391*$C$4+$B$5*D391*$C$5+$F$4</f>
        <v>-5.78571428571428</v>
      </c>
      <c r="D392" s="20" t="n">
        <f aca="false">$C$4*B391*$C$4+$C$4*C391*$C$5+$C$5*C391*$C$4+$C$5*D391*$C$5+$F$5</f>
        <v>11.9928571428571</v>
      </c>
      <c r="P392" s="18" t="n">
        <v>383</v>
      </c>
      <c r="Q392" s="20" t="n">
        <f aca="false">Declarations!$B$20*Q391*Declarations!$B$20+Declarations!$B$20*R391*Declarations!$B$21+Declarations!$B$20*S391*Declarations!$B$22+Declarations!$B$21*R391*Declarations!$B$20+Declarations!$B$21*T391*Declarations!$B$21+Declarations!$B$21*U391*Declarations!$B$22+Declarations!$B$22*S391*Declarations!$B$20+Declarations!$B$22*U391*Declarations!$B$21+Declarations!$B$22*V391*Declarations!$B$22+1</f>
        <v>10.2972987232247</v>
      </c>
      <c r="R392" s="20" t="n">
        <f aca="false">Declarations!$B$20*Q391*Declarations!$C$20+Declarations!$B$20*R391*Declarations!$C$21+Declarations!$B$20*S391*Declarations!$C$22+Declarations!$B$21*R391*Declarations!$C$20+Declarations!$B$21*T391*Declarations!$C$21+Declarations!$B$21*U391*Declarations!$C$22+Declarations!$B$22*S391*Declarations!$C$20+Declarations!$B$22*U391*Declarations!$C$21+Declarations!$B$22*V391*Declarations!$C$22+0</f>
        <v>4.60691839453414</v>
      </c>
      <c r="S392" s="20" t="n">
        <f aca="false">Declarations!$B$20*Q391*Declarations!$D$20+Declarations!$B$20*R391*Declarations!$D$21+Declarations!$B$20*S391*Declarations!$D$22+Declarations!$B$21*R391*Declarations!$D$20+Declarations!$B$21*T391*Declarations!$D$21+Declarations!$B$21*U391*Declarations!$D$22+Declarations!$B$22*S391*Declarations!$D$20+Declarations!$B$22*U391*Declarations!$D$21+Declarations!$B$22*V391*Declarations!$D$22+0</f>
        <v>0.617283950617284</v>
      </c>
      <c r="T392" s="20" t="n">
        <f aca="false">Declarations!$C$20*Q391*Declarations!$C$20+Declarations!$C$20*R391*Declarations!$C$21+Declarations!$C$20*S391*Declarations!$C$22+Declarations!$C$21*R391*Declarations!$C$20+Declarations!$C$21*T391*Declarations!$C$21+Declarations!$C$21*U391*Declarations!$C$22+Declarations!$C$22*S391*Declarations!$C$20+Declarations!$C$22*U391*Declarations!$C$21+Declarations!$C$22*V391*Declarations!$C$22+1</f>
        <v>5.70253970138229</v>
      </c>
      <c r="U392" s="20" t="n">
        <f aca="false">Declarations!$C$20*Q391*Declarations!$D$20+Declarations!$C$20*R391*Declarations!$D$21+Declarations!$C$20*S391*Declarations!$D$22+Declarations!$C$21*R391*Declarations!$D$20+Declarations!$C$21*T391*Declarations!$D$21+Declarations!$C$21*U391*Declarations!$D$22+Declarations!$C$22*S391*Declarations!$D$20+Declarations!$C$22*U391*Declarations!$D$21+Declarations!$C$22*V391*Declarations!$D$22+0</f>
        <v>0.771604938271605</v>
      </c>
      <c r="V392" s="20" t="n">
        <f aca="false">Declarations!$D$20*Q391*Declarations!$D$20+Declarations!$D$20*R391*Declarations!$D$21+Declarations!$D$20*S391*Declarations!$D$22+Declarations!$D$21*R391*Declarations!$D$20+Declarations!$D$21*T391*Declarations!$D$21+Declarations!$D$21*U391*Declarations!$D$22+Declarations!$D$22*S391*Declarations!$D$20+Declarations!$D$22*U391*Declarations!$D$21+Declarations!$D$22*V391*Declarations!$D$22+1</f>
        <v>2.77777777777778</v>
      </c>
    </row>
    <row r="393" customFormat="false" ht="15" hidden="false" customHeight="false" outlineLevel="0" collapsed="false">
      <c r="A393" s="18" t="n">
        <v>384</v>
      </c>
      <c r="B393" s="20" t="n">
        <f aca="false">$B$4*B392*$B$4+$B$4*C392*$B$5+$B$5*C392*$B$4+$B$5*D392*$B$5+$E$4</f>
        <v>13.5714285714286</v>
      </c>
      <c r="C393" s="20" t="n">
        <f aca="false">$B$4*B392*$C$4+$B$4*C392*$C$5+$B$5*C392*$C$4+$B$5*D392*$C$5+$F$4</f>
        <v>-5.78571428571428</v>
      </c>
      <c r="D393" s="20" t="n">
        <f aca="false">$C$4*B392*$C$4+$C$4*C392*$C$5+$C$5*C392*$C$4+$C$5*D392*$C$5+$F$5</f>
        <v>11.9928571428571</v>
      </c>
      <c r="P393" s="18" t="n">
        <v>384</v>
      </c>
      <c r="Q393" s="20" t="n">
        <f aca="false">Declarations!$B$20*Q392*Declarations!$B$20+Declarations!$B$20*R392*Declarations!$B$21+Declarations!$B$20*S392*Declarations!$B$22+Declarations!$B$21*R392*Declarations!$B$20+Declarations!$B$21*T392*Declarations!$B$21+Declarations!$B$21*U392*Declarations!$B$22+Declarations!$B$22*S392*Declarations!$B$20+Declarations!$B$22*U392*Declarations!$B$21+Declarations!$B$22*V392*Declarations!$B$22+1</f>
        <v>10.2972987232247</v>
      </c>
      <c r="R393" s="20" t="n">
        <f aca="false">Declarations!$B$20*Q392*Declarations!$C$20+Declarations!$B$20*R392*Declarations!$C$21+Declarations!$B$20*S392*Declarations!$C$22+Declarations!$B$21*R392*Declarations!$C$20+Declarations!$B$21*T392*Declarations!$C$21+Declarations!$B$21*U392*Declarations!$C$22+Declarations!$B$22*S392*Declarations!$C$20+Declarations!$B$22*U392*Declarations!$C$21+Declarations!$B$22*V392*Declarations!$C$22+0</f>
        <v>4.60691839453414</v>
      </c>
      <c r="S393" s="20" t="n">
        <f aca="false">Declarations!$B$20*Q392*Declarations!$D$20+Declarations!$B$20*R392*Declarations!$D$21+Declarations!$B$20*S392*Declarations!$D$22+Declarations!$B$21*R392*Declarations!$D$20+Declarations!$B$21*T392*Declarations!$D$21+Declarations!$B$21*U392*Declarations!$D$22+Declarations!$B$22*S392*Declarations!$D$20+Declarations!$B$22*U392*Declarations!$D$21+Declarations!$B$22*V392*Declarations!$D$22+0</f>
        <v>0.617283950617284</v>
      </c>
      <c r="T393" s="20" t="n">
        <f aca="false">Declarations!$C$20*Q392*Declarations!$C$20+Declarations!$C$20*R392*Declarations!$C$21+Declarations!$C$20*S392*Declarations!$C$22+Declarations!$C$21*R392*Declarations!$C$20+Declarations!$C$21*T392*Declarations!$C$21+Declarations!$C$21*U392*Declarations!$C$22+Declarations!$C$22*S392*Declarations!$C$20+Declarations!$C$22*U392*Declarations!$C$21+Declarations!$C$22*V392*Declarations!$C$22+1</f>
        <v>5.70253970138229</v>
      </c>
      <c r="U393" s="20" t="n">
        <f aca="false">Declarations!$C$20*Q392*Declarations!$D$20+Declarations!$C$20*R392*Declarations!$D$21+Declarations!$C$20*S392*Declarations!$D$22+Declarations!$C$21*R392*Declarations!$D$20+Declarations!$C$21*T392*Declarations!$D$21+Declarations!$C$21*U392*Declarations!$D$22+Declarations!$C$22*S392*Declarations!$D$20+Declarations!$C$22*U392*Declarations!$D$21+Declarations!$C$22*V392*Declarations!$D$22+0</f>
        <v>0.771604938271605</v>
      </c>
      <c r="V393" s="20" t="n">
        <f aca="false">Declarations!$D$20*Q392*Declarations!$D$20+Declarations!$D$20*R392*Declarations!$D$21+Declarations!$D$20*S392*Declarations!$D$22+Declarations!$D$21*R392*Declarations!$D$20+Declarations!$D$21*T392*Declarations!$D$21+Declarations!$D$21*U392*Declarations!$D$22+Declarations!$D$22*S392*Declarations!$D$20+Declarations!$D$22*U392*Declarations!$D$21+Declarations!$D$22*V392*Declarations!$D$22+1</f>
        <v>2.77777777777778</v>
      </c>
    </row>
    <row r="394" customFormat="false" ht="15" hidden="false" customHeight="false" outlineLevel="0" collapsed="false">
      <c r="A394" s="18" t="n">
        <v>385</v>
      </c>
      <c r="B394" s="20" t="n">
        <f aca="false">$B$4*B393*$B$4+$B$4*C393*$B$5+$B$5*C393*$B$4+$B$5*D393*$B$5+$E$4</f>
        <v>13.5714285714286</v>
      </c>
      <c r="C394" s="20" t="n">
        <f aca="false">$B$4*B393*$C$4+$B$4*C393*$C$5+$B$5*C393*$C$4+$B$5*D393*$C$5+$F$4</f>
        <v>-5.78571428571428</v>
      </c>
      <c r="D394" s="20" t="n">
        <f aca="false">$C$4*B393*$C$4+$C$4*C393*$C$5+$C$5*C393*$C$4+$C$5*D393*$C$5+$F$5</f>
        <v>11.9928571428571</v>
      </c>
      <c r="P394" s="18" t="n">
        <v>385</v>
      </c>
      <c r="Q394" s="20" t="n">
        <f aca="false">Declarations!$B$20*Q393*Declarations!$B$20+Declarations!$B$20*R393*Declarations!$B$21+Declarations!$B$20*S393*Declarations!$B$22+Declarations!$B$21*R393*Declarations!$B$20+Declarations!$B$21*T393*Declarations!$B$21+Declarations!$B$21*U393*Declarations!$B$22+Declarations!$B$22*S393*Declarations!$B$20+Declarations!$B$22*U393*Declarations!$B$21+Declarations!$B$22*V393*Declarations!$B$22+1</f>
        <v>10.2972987232247</v>
      </c>
      <c r="R394" s="20" t="n">
        <f aca="false">Declarations!$B$20*Q393*Declarations!$C$20+Declarations!$B$20*R393*Declarations!$C$21+Declarations!$B$20*S393*Declarations!$C$22+Declarations!$B$21*R393*Declarations!$C$20+Declarations!$B$21*T393*Declarations!$C$21+Declarations!$B$21*U393*Declarations!$C$22+Declarations!$B$22*S393*Declarations!$C$20+Declarations!$B$22*U393*Declarations!$C$21+Declarations!$B$22*V393*Declarations!$C$22+0</f>
        <v>4.60691839453414</v>
      </c>
      <c r="S394" s="20" t="n">
        <f aca="false">Declarations!$B$20*Q393*Declarations!$D$20+Declarations!$B$20*R393*Declarations!$D$21+Declarations!$B$20*S393*Declarations!$D$22+Declarations!$B$21*R393*Declarations!$D$20+Declarations!$B$21*T393*Declarations!$D$21+Declarations!$B$21*U393*Declarations!$D$22+Declarations!$B$22*S393*Declarations!$D$20+Declarations!$B$22*U393*Declarations!$D$21+Declarations!$B$22*V393*Declarations!$D$22+0</f>
        <v>0.617283950617284</v>
      </c>
      <c r="T394" s="20" t="n">
        <f aca="false">Declarations!$C$20*Q393*Declarations!$C$20+Declarations!$C$20*R393*Declarations!$C$21+Declarations!$C$20*S393*Declarations!$C$22+Declarations!$C$21*R393*Declarations!$C$20+Declarations!$C$21*T393*Declarations!$C$21+Declarations!$C$21*U393*Declarations!$C$22+Declarations!$C$22*S393*Declarations!$C$20+Declarations!$C$22*U393*Declarations!$C$21+Declarations!$C$22*V393*Declarations!$C$22+1</f>
        <v>5.70253970138229</v>
      </c>
      <c r="U394" s="20" t="n">
        <f aca="false">Declarations!$C$20*Q393*Declarations!$D$20+Declarations!$C$20*R393*Declarations!$D$21+Declarations!$C$20*S393*Declarations!$D$22+Declarations!$C$21*R393*Declarations!$D$20+Declarations!$C$21*T393*Declarations!$D$21+Declarations!$C$21*U393*Declarations!$D$22+Declarations!$C$22*S393*Declarations!$D$20+Declarations!$C$22*U393*Declarations!$D$21+Declarations!$C$22*V393*Declarations!$D$22+0</f>
        <v>0.771604938271605</v>
      </c>
      <c r="V394" s="20" t="n">
        <f aca="false">Declarations!$D$20*Q393*Declarations!$D$20+Declarations!$D$20*R393*Declarations!$D$21+Declarations!$D$20*S393*Declarations!$D$22+Declarations!$D$21*R393*Declarations!$D$20+Declarations!$D$21*T393*Declarations!$D$21+Declarations!$D$21*U393*Declarations!$D$22+Declarations!$D$22*S393*Declarations!$D$20+Declarations!$D$22*U393*Declarations!$D$21+Declarations!$D$22*V393*Declarations!$D$22+1</f>
        <v>2.77777777777778</v>
      </c>
    </row>
    <row r="395" customFormat="false" ht="15" hidden="false" customHeight="false" outlineLevel="0" collapsed="false">
      <c r="A395" s="18" t="n">
        <v>386</v>
      </c>
      <c r="B395" s="20" t="n">
        <f aca="false">$B$4*B394*$B$4+$B$4*C394*$B$5+$B$5*C394*$B$4+$B$5*D394*$B$5+$E$4</f>
        <v>13.5714285714286</v>
      </c>
      <c r="C395" s="20" t="n">
        <f aca="false">$B$4*B394*$C$4+$B$4*C394*$C$5+$B$5*C394*$C$4+$B$5*D394*$C$5+$F$4</f>
        <v>-5.78571428571428</v>
      </c>
      <c r="D395" s="20" t="n">
        <f aca="false">$C$4*B394*$C$4+$C$4*C394*$C$5+$C$5*C394*$C$4+$C$5*D394*$C$5+$F$5</f>
        <v>11.9928571428571</v>
      </c>
      <c r="P395" s="18" t="n">
        <v>386</v>
      </c>
      <c r="Q395" s="20" t="n">
        <f aca="false">Declarations!$B$20*Q394*Declarations!$B$20+Declarations!$B$20*R394*Declarations!$B$21+Declarations!$B$20*S394*Declarations!$B$22+Declarations!$B$21*R394*Declarations!$B$20+Declarations!$B$21*T394*Declarations!$B$21+Declarations!$B$21*U394*Declarations!$B$22+Declarations!$B$22*S394*Declarations!$B$20+Declarations!$B$22*U394*Declarations!$B$21+Declarations!$B$22*V394*Declarations!$B$22+1</f>
        <v>10.2972987232247</v>
      </c>
      <c r="R395" s="20" t="n">
        <f aca="false">Declarations!$B$20*Q394*Declarations!$C$20+Declarations!$B$20*R394*Declarations!$C$21+Declarations!$B$20*S394*Declarations!$C$22+Declarations!$B$21*R394*Declarations!$C$20+Declarations!$B$21*T394*Declarations!$C$21+Declarations!$B$21*U394*Declarations!$C$22+Declarations!$B$22*S394*Declarations!$C$20+Declarations!$B$22*U394*Declarations!$C$21+Declarations!$B$22*V394*Declarations!$C$22+0</f>
        <v>4.60691839453414</v>
      </c>
      <c r="S395" s="20" t="n">
        <f aca="false">Declarations!$B$20*Q394*Declarations!$D$20+Declarations!$B$20*R394*Declarations!$D$21+Declarations!$B$20*S394*Declarations!$D$22+Declarations!$B$21*R394*Declarations!$D$20+Declarations!$B$21*T394*Declarations!$D$21+Declarations!$B$21*U394*Declarations!$D$22+Declarations!$B$22*S394*Declarations!$D$20+Declarations!$B$22*U394*Declarations!$D$21+Declarations!$B$22*V394*Declarations!$D$22+0</f>
        <v>0.617283950617284</v>
      </c>
      <c r="T395" s="20" t="n">
        <f aca="false">Declarations!$C$20*Q394*Declarations!$C$20+Declarations!$C$20*R394*Declarations!$C$21+Declarations!$C$20*S394*Declarations!$C$22+Declarations!$C$21*R394*Declarations!$C$20+Declarations!$C$21*T394*Declarations!$C$21+Declarations!$C$21*U394*Declarations!$C$22+Declarations!$C$22*S394*Declarations!$C$20+Declarations!$C$22*U394*Declarations!$C$21+Declarations!$C$22*V394*Declarations!$C$22+1</f>
        <v>5.70253970138229</v>
      </c>
      <c r="U395" s="20" t="n">
        <f aca="false">Declarations!$C$20*Q394*Declarations!$D$20+Declarations!$C$20*R394*Declarations!$D$21+Declarations!$C$20*S394*Declarations!$D$22+Declarations!$C$21*R394*Declarations!$D$20+Declarations!$C$21*T394*Declarations!$D$21+Declarations!$C$21*U394*Declarations!$D$22+Declarations!$C$22*S394*Declarations!$D$20+Declarations!$C$22*U394*Declarations!$D$21+Declarations!$C$22*V394*Declarations!$D$22+0</f>
        <v>0.771604938271605</v>
      </c>
      <c r="V395" s="20" t="n">
        <f aca="false">Declarations!$D$20*Q394*Declarations!$D$20+Declarations!$D$20*R394*Declarations!$D$21+Declarations!$D$20*S394*Declarations!$D$22+Declarations!$D$21*R394*Declarations!$D$20+Declarations!$D$21*T394*Declarations!$D$21+Declarations!$D$21*U394*Declarations!$D$22+Declarations!$D$22*S394*Declarations!$D$20+Declarations!$D$22*U394*Declarations!$D$21+Declarations!$D$22*V394*Declarations!$D$22+1</f>
        <v>2.77777777777778</v>
      </c>
    </row>
    <row r="396" customFormat="false" ht="15" hidden="false" customHeight="false" outlineLevel="0" collapsed="false">
      <c r="A396" s="18" t="n">
        <v>387</v>
      </c>
      <c r="B396" s="20" t="n">
        <f aca="false">$B$4*B395*$B$4+$B$4*C395*$B$5+$B$5*C395*$B$4+$B$5*D395*$B$5+$E$4</f>
        <v>13.5714285714286</v>
      </c>
      <c r="C396" s="20" t="n">
        <f aca="false">$B$4*B395*$C$4+$B$4*C395*$C$5+$B$5*C395*$C$4+$B$5*D395*$C$5+$F$4</f>
        <v>-5.78571428571428</v>
      </c>
      <c r="D396" s="20" t="n">
        <f aca="false">$C$4*B395*$C$4+$C$4*C395*$C$5+$C$5*C395*$C$4+$C$5*D395*$C$5+$F$5</f>
        <v>11.9928571428571</v>
      </c>
      <c r="P396" s="18" t="n">
        <v>387</v>
      </c>
      <c r="Q396" s="20" t="n">
        <f aca="false">Declarations!$B$20*Q395*Declarations!$B$20+Declarations!$B$20*R395*Declarations!$B$21+Declarations!$B$20*S395*Declarations!$B$22+Declarations!$B$21*R395*Declarations!$B$20+Declarations!$B$21*T395*Declarations!$B$21+Declarations!$B$21*U395*Declarations!$B$22+Declarations!$B$22*S395*Declarations!$B$20+Declarations!$B$22*U395*Declarations!$B$21+Declarations!$B$22*V395*Declarations!$B$22+1</f>
        <v>10.2972987232247</v>
      </c>
      <c r="R396" s="20" t="n">
        <f aca="false">Declarations!$B$20*Q395*Declarations!$C$20+Declarations!$B$20*R395*Declarations!$C$21+Declarations!$B$20*S395*Declarations!$C$22+Declarations!$B$21*R395*Declarations!$C$20+Declarations!$B$21*T395*Declarations!$C$21+Declarations!$B$21*U395*Declarations!$C$22+Declarations!$B$22*S395*Declarations!$C$20+Declarations!$B$22*U395*Declarations!$C$21+Declarations!$B$22*V395*Declarations!$C$22+0</f>
        <v>4.60691839453414</v>
      </c>
      <c r="S396" s="20" t="n">
        <f aca="false">Declarations!$B$20*Q395*Declarations!$D$20+Declarations!$B$20*R395*Declarations!$D$21+Declarations!$B$20*S395*Declarations!$D$22+Declarations!$B$21*R395*Declarations!$D$20+Declarations!$B$21*T395*Declarations!$D$21+Declarations!$B$21*U395*Declarations!$D$22+Declarations!$B$22*S395*Declarations!$D$20+Declarations!$B$22*U395*Declarations!$D$21+Declarations!$B$22*V395*Declarations!$D$22+0</f>
        <v>0.617283950617284</v>
      </c>
      <c r="T396" s="20" t="n">
        <f aca="false">Declarations!$C$20*Q395*Declarations!$C$20+Declarations!$C$20*R395*Declarations!$C$21+Declarations!$C$20*S395*Declarations!$C$22+Declarations!$C$21*R395*Declarations!$C$20+Declarations!$C$21*T395*Declarations!$C$21+Declarations!$C$21*U395*Declarations!$C$22+Declarations!$C$22*S395*Declarations!$C$20+Declarations!$C$22*U395*Declarations!$C$21+Declarations!$C$22*V395*Declarations!$C$22+1</f>
        <v>5.70253970138229</v>
      </c>
      <c r="U396" s="20" t="n">
        <f aca="false">Declarations!$C$20*Q395*Declarations!$D$20+Declarations!$C$20*R395*Declarations!$D$21+Declarations!$C$20*S395*Declarations!$D$22+Declarations!$C$21*R395*Declarations!$D$20+Declarations!$C$21*T395*Declarations!$D$21+Declarations!$C$21*U395*Declarations!$D$22+Declarations!$C$22*S395*Declarations!$D$20+Declarations!$C$22*U395*Declarations!$D$21+Declarations!$C$22*V395*Declarations!$D$22+0</f>
        <v>0.771604938271605</v>
      </c>
      <c r="V396" s="20" t="n">
        <f aca="false">Declarations!$D$20*Q395*Declarations!$D$20+Declarations!$D$20*R395*Declarations!$D$21+Declarations!$D$20*S395*Declarations!$D$22+Declarations!$D$21*R395*Declarations!$D$20+Declarations!$D$21*T395*Declarations!$D$21+Declarations!$D$21*U395*Declarations!$D$22+Declarations!$D$22*S395*Declarations!$D$20+Declarations!$D$22*U395*Declarations!$D$21+Declarations!$D$22*V395*Declarations!$D$22+1</f>
        <v>2.77777777777778</v>
      </c>
    </row>
    <row r="397" customFormat="false" ht="15" hidden="false" customHeight="false" outlineLevel="0" collapsed="false">
      <c r="A397" s="18" t="n">
        <v>388</v>
      </c>
      <c r="B397" s="20" t="n">
        <f aca="false">$B$4*B396*$B$4+$B$4*C396*$B$5+$B$5*C396*$B$4+$B$5*D396*$B$5+$E$4</f>
        <v>13.5714285714286</v>
      </c>
      <c r="C397" s="20" t="n">
        <f aca="false">$B$4*B396*$C$4+$B$4*C396*$C$5+$B$5*C396*$C$4+$B$5*D396*$C$5+$F$4</f>
        <v>-5.78571428571428</v>
      </c>
      <c r="D397" s="20" t="n">
        <f aca="false">$C$4*B396*$C$4+$C$4*C396*$C$5+$C$5*C396*$C$4+$C$5*D396*$C$5+$F$5</f>
        <v>11.9928571428571</v>
      </c>
      <c r="P397" s="18" t="n">
        <v>388</v>
      </c>
      <c r="Q397" s="20" t="n">
        <f aca="false">Declarations!$B$20*Q396*Declarations!$B$20+Declarations!$B$20*R396*Declarations!$B$21+Declarations!$B$20*S396*Declarations!$B$22+Declarations!$B$21*R396*Declarations!$B$20+Declarations!$B$21*T396*Declarations!$B$21+Declarations!$B$21*U396*Declarations!$B$22+Declarations!$B$22*S396*Declarations!$B$20+Declarations!$B$22*U396*Declarations!$B$21+Declarations!$B$22*V396*Declarations!$B$22+1</f>
        <v>10.2972987232247</v>
      </c>
      <c r="R397" s="20" t="n">
        <f aca="false">Declarations!$B$20*Q396*Declarations!$C$20+Declarations!$B$20*R396*Declarations!$C$21+Declarations!$B$20*S396*Declarations!$C$22+Declarations!$B$21*R396*Declarations!$C$20+Declarations!$B$21*T396*Declarations!$C$21+Declarations!$B$21*U396*Declarations!$C$22+Declarations!$B$22*S396*Declarations!$C$20+Declarations!$B$22*U396*Declarations!$C$21+Declarations!$B$22*V396*Declarations!$C$22+0</f>
        <v>4.60691839453414</v>
      </c>
      <c r="S397" s="20" t="n">
        <f aca="false">Declarations!$B$20*Q396*Declarations!$D$20+Declarations!$B$20*R396*Declarations!$D$21+Declarations!$B$20*S396*Declarations!$D$22+Declarations!$B$21*R396*Declarations!$D$20+Declarations!$B$21*T396*Declarations!$D$21+Declarations!$B$21*U396*Declarations!$D$22+Declarations!$B$22*S396*Declarations!$D$20+Declarations!$B$22*U396*Declarations!$D$21+Declarations!$B$22*V396*Declarations!$D$22+0</f>
        <v>0.617283950617284</v>
      </c>
      <c r="T397" s="20" t="n">
        <f aca="false">Declarations!$C$20*Q396*Declarations!$C$20+Declarations!$C$20*R396*Declarations!$C$21+Declarations!$C$20*S396*Declarations!$C$22+Declarations!$C$21*R396*Declarations!$C$20+Declarations!$C$21*T396*Declarations!$C$21+Declarations!$C$21*U396*Declarations!$C$22+Declarations!$C$22*S396*Declarations!$C$20+Declarations!$C$22*U396*Declarations!$C$21+Declarations!$C$22*V396*Declarations!$C$22+1</f>
        <v>5.70253970138229</v>
      </c>
      <c r="U397" s="20" t="n">
        <f aca="false">Declarations!$C$20*Q396*Declarations!$D$20+Declarations!$C$20*R396*Declarations!$D$21+Declarations!$C$20*S396*Declarations!$D$22+Declarations!$C$21*R396*Declarations!$D$20+Declarations!$C$21*T396*Declarations!$D$21+Declarations!$C$21*U396*Declarations!$D$22+Declarations!$C$22*S396*Declarations!$D$20+Declarations!$C$22*U396*Declarations!$D$21+Declarations!$C$22*V396*Declarations!$D$22+0</f>
        <v>0.771604938271605</v>
      </c>
      <c r="V397" s="20" t="n">
        <f aca="false">Declarations!$D$20*Q396*Declarations!$D$20+Declarations!$D$20*R396*Declarations!$D$21+Declarations!$D$20*S396*Declarations!$D$22+Declarations!$D$21*R396*Declarations!$D$20+Declarations!$D$21*T396*Declarations!$D$21+Declarations!$D$21*U396*Declarations!$D$22+Declarations!$D$22*S396*Declarations!$D$20+Declarations!$D$22*U396*Declarations!$D$21+Declarations!$D$22*V396*Declarations!$D$22+1</f>
        <v>2.77777777777778</v>
      </c>
    </row>
    <row r="398" customFormat="false" ht="15" hidden="false" customHeight="false" outlineLevel="0" collapsed="false">
      <c r="A398" s="18" t="n">
        <v>389</v>
      </c>
      <c r="B398" s="20" t="n">
        <f aca="false">$B$4*B397*$B$4+$B$4*C397*$B$5+$B$5*C397*$B$4+$B$5*D397*$B$5+$E$4</f>
        <v>13.5714285714286</v>
      </c>
      <c r="C398" s="20" t="n">
        <f aca="false">$B$4*B397*$C$4+$B$4*C397*$C$5+$B$5*C397*$C$4+$B$5*D397*$C$5+$F$4</f>
        <v>-5.78571428571428</v>
      </c>
      <c r="D398" s="20" t="n">
        <f aca="false">$C$4*B397*$C$4+$C$4*C397*$C$5+$C$5*C397*$C$4+$C$5*D397*$C$5+$F$5</f>
        <v>11.9928571428571</v>
      </c>
      <c r="P398" s="18" t="n">
        <v>389</v>
      </c>
      <c r="Q398" s="20" t="n">
        <f aca="false">Declarations!$B$20*Q397*Declarations!$B$20+Declarations!$B$20*R397*Declarations!$B$21+Declarations!$B$20*S397*Declarations!$B$22+Declarations!$B$21*R397*Declarations!$B$20+Declarations!$B$21*T397*Declarations!$B$21+Declarations!$B$21*U397*Declarations!$B$22+Declarations!$B$22*S397*Declarations!$B$20+Declarations!$B$22*U397*Declarations!$B$21+Declarations!$B$22*V397*Declarations!$B$22+1</f>
        <v>10.2972987232247</v>
      </c>
      <c r="R398" s="20" t="n">
        <f aca="false">Declarations!$B$20*Q397*Declarations!$C$20+Declarations!$B$20*R397*Declarations!$C$21+Declarations!$B$20*S397*Declarations!$C$22+Declarations!$B$21*R397*Declarations!$C$20+Declarations!$B$21*T397*Declarations!$C$21+Declarations!$B$21*U397*Declarations!$C$22+Declarations!$B$22*S397*Declarations!$C$20+Declarations!$B$22*U397*Declarations!$C$21+Declarations!$B$22*V397*Declarations!$C$22+0</f>
        <v>4.60691839453414</v>
      </c>
      <c r="S398" s="20" t="n">
        <f aca="false">Declarations!$B$20*Q397*Declarations!$D$20+Declarations!$B$20*R397*Declarations!$D$21+Declarations!$B$20*S397*Declarations!$D$22+Declarations!$B$21*R397*Declarations!$D$20+Declarations!$B$21*T397*Declarations!$D$21+Declarations!$B$21*U397*Declarations!$D$22+Declarations!$B$22*S397*Declarations!$D$20+Declarations!$B$22*U397*Declarations!$D$21+Declarations!$B$22*V397*Declarations!$D$22+0</f>
        <v>0.617283950617284</v>
      </c>
      <c r="T398" s="20" t="n">
        <f aca="false">Declarations!$C$20*Q397*Declarations!$C$20+Declarations!$C$20*R397*Declarations!$C$21+Declarations!$C$20*S397*Declarations!$C$22+Declarations!$C$21*R397*Declarations!$C$20+Declarations!$C$21*T397*Declarations!$C$21+Declarations!$C$21*U397*Declarations!$C$22+Declarations!$C$22*S397*Declarations!$C$20+Declarations!$C$22*U397*Declarations!$C$21+Declarations!$C$22*V397*Declarations!$C$22+1</f>
        <v>5.70253970138229</v>
      </c>
      <c r="U398" s="20" t="n">
        <f aca="false">Declarations!$C$20*Q397*Declarations!$D$20+Declarations!$C$20*R397*Declarations!$D$21+Declarations!$C$20*S397*Declarations!$D$22+Declarations!$C$21*R397*Declarations!$D$20+Declarations!$C$21*T397*Declarations!$D$21+Declarations!$C$21*U397*Declarations!$D$22+Declarations!$C$22*S397*Declarations!$D$20+Declarations!$C$22*U397*Declarations!$D$21+Declarations!$C$22*V397*Declarations!$D$22+0</f>
        <v>0.771604938271605</v>
      </c>
      <c r="V398" s="20" t="n">
        <f aca="false">Declarations!$D$20*Q397*Declarations!$D$20+Declarations!$D$20*R397*Declarations!$D$21+Declarations!$D$20*S397*Declarations!$D$22+Declarations!$D$21*R397*Declarations!$D$20+Declarations!$D$21*T397*Declarations!$D$21+Declarations!$D$21*U397*Declarations!$D$22+Declarations!$D$22*S397*Declarations!$D$20+Declarations!$D$22*U397*Declarations!$D$21+Declarations!$D$22*V397*Declarations!$D$22+1</f>
        <v>2.77777777777778</v>
      </c>
    </row>
    <row r="399" customFormat="false" ht="15" hidden="false" customHeight="false" outlineLevel="0" collapsed="false">
      <c r="A399" s="18" t="n">
        <v>390</v>
      </c>
      <c r="B399" s="20" t="n">
        <f aca="false">$B$4*B398*$B$4+$B$4*C398*$B$5+$B$5*C398*$B$4+$B$5*D398*$B$5+$E$4</f>
        <v>13.5714285714286</v>
      </c>
      <c r="C399" s="20" t="n">
        <f aca="false">$B$4*B398*$C$4+$B$4*C398*$C$5+$B$5*C398*$C$4+$B$5*D398*$C$5+$F$4</f>
        <v>-5.78571428571428</v>
      </c>
      <c r="D399" s="20" t="n">
        <f aca="false">$C$4*B398*$C$4+$C$4*C398*$C$5+$C$5*C398*$C$4+$C$5*D398*$C$5+$F$5</f>
        <v>11.9928571428571</v>
      </c>
      <c r="P399" s="18" t="n">
        <v>390</v>
      </c>
      <c r="Q399" s="20" t="n">
        <f aca="false">Declarations!$B$20*Q398*Declarations!$B$20+Declarations!$B$20*R398*Declarations!$B$21+Declarations!$B$20*S398*Declarations!$B$22+Declarations!$B$21*R398*Declarations!$B$20+Declarations!$B$21*T398*Declarations!$B$21+Declarations!$B$21*U398*Declarations!$B$22+Declarations!$B$22*S398*Declarations!$B$20+Declarations!$B$22*U398*Declarations!$B$21+Declarations!$B$22*V398*Declarations!$B$22+1</f>
        <v>10.2972987232247</v>
      </c>
      <c r="R399" s="20" t="n">
        <f aca="false">Declarations!$B$20*Q398*Declarations!$C$20+Declarations!$B$20*R398*Declarations!$C$21+Declarations!$B$20*S398*Declarations!$C$22+Declarations!$B$21*R398*Declarations!$C$20+Declarations!$B$21*T398*Declarations!$C$21+Declarations!$B$21*U398*Declarations!$C$22+Declarations!$B$22*S398*Declarations!$C$20+Declarations!$B$22*U398*Declarations!$C$21+Declarations!$B$22*V398*Declarations!$C$22+0</f>
        <v>4.60691839453414</v>
      </c>
      <c r="S399" s="20" t="n">
        <f aca="false">Declarations!$B$20*Q398*Declarations!$D$20+Declarations!$B$20*R398*Declarations!$D$21+Declarations!$B$20*S398*Declarations!$D$22+Declarations!$B$21*R398*Declarations!$D$20+Declarations!$B$21*T398*Declarations!$D$21+Declarations!$B$21*U398*Declarations!$D$22+Declarations!$B$22*S398*Declarations!$D$20+Declarations!$B$22*U398*Declarations!$D$21+Declarations!$B$22*V398*Declarations!$D$22+0</f>
        <v>0.617283950617284</v>
      </c>
      <c r="T399" s="20" t="n">
        <f aca="false">Declarations!$C$20*Q398*Declarations!$C$20+Declarations!$C$20*R398*Declarations!$C$21+Declarations!$C$20*S398*Declarations!$C$22+Declarations!$C$21*R398*Declarations!$C$20+Declarations!$C$21*T398*Declarations!$C$21+Declarations!$C$21*U398*Declarations!$C$22+Declarations!$C$22*S398*Declarations!$C$20+Declarations!$C$22*U398*Declarations!$C$21+Declarations!$C$22*V398*Declarations!$C$22+1</f>
        <v>5.70253970138229</v>
      </c>
      <c r="U399" s="20" t="n">
        <f aca="false">Declarations!$C$20*Q398*Declarations!$D$20+Declarations!$C$20*R398*Declarations!$D$21+Declarations!$C$20*S398*Declarations!$D$22+Declarations!$C$21*R398*Declarations!$D$20+Declarations!$C$21*T398*Declarations!$D$21+Declarations!$C$21*U398*Declarations!$D$22+Declarations!$C$22*S398*Declarations!$D$20+Declarations!$C$22*U398*Declarations!$D$21+Declarations!$C$22*V398*Declarations!$D$22+0</f>
        <v>0.771604938271605</v>
      </c>
      <c r="V399" s="20" t="n">
        <f aca="false">Declarations!$D$20*Q398*Declarations!$D$20+Declarations!$D$20*R398*Declarations!$D$21+Declarations!$D$20*S398*Declarations!$D$22+Declarations!$D$21*R398*Declarations!$D$20+Declarations!$D$21*T398*Declarations!$D$21+Declarations!$D$21*U398*Declarations!$D$22+Declarations!$D$22*S398*Declarations!$D$20+Declarations!$D$22*U398*Declarations!$D$21+Declarations!$D$22*V398*Declarations!$D$22+1</f>
        <v>2.77777777777778</v>
      </c>
    </row>
    <row r="400" customFormat="false" ht="15" hidden="false" customHeight="false" outlineLevel="0" collapsed="false">
      <c r="A400" s="18" t="n">
        <v>391</v>
      </c>
      <c r="B400" s="20" t="n">
        <f aca="false">$B$4*B399*$B$4+$B$4*C399*$B$5+$B$5*C399*$B$4+$B$5*D399*$B$5+$E$4</f>
        <v>13.5714285714286</v>
      </c>
      <c r="C400" s="20" t="n">
        <f aca="false">$B$4*B399*$C$4+$B$4*C399*$C$5+$B$5*C399*$C$4+$B$5*D399*$C$5+$F$4</f>
        <v>-5.78571428571428</v>
      </c>
      <c r="D400" s="20" t="n">
        <f aca="false">$C$4*B399*$C$4+$C$4*C399*$C$5+$C$5*C399*$C$4+$C$5*D399*$C$5+$F$5</f>
        <v>11.9928571428571</v>
      </c>
      <c r="P400" s="18" t="n">
        <v>391</v>
      </c>
      <c r="Q400" s="20" t="n">
        <f aca="false">Declarations!$B$20*Q399*Declarations!$B$20+Declarations!$B$20*R399*Declarations!$B$21+Declarations!$B$20*S399*Declarations!$B$22+Declarations!$B$21*R399*Declarations!$B$20+Declarations!$B$21*T399*Declarations!$B$21+Declarations!$B$21*U399*Declarations!$B$22+Declarations!$B$22*S399*Declarations!$B$20+Declarations!$B$22*U399*Declarations!$B$21+Declarations!$B$22*V399*Declarations!$B$22+1</f>
        <v>10.2972987232247</v>
      </c>
      <c r="R400" s="20" t="n">
        <f aca="false">Declarations!$B$20*Q399*Declarations!$C$20+Declarations!$B$20*R399*Declarations!$C$21+Declarations!$B$20*S399*Declarations!$C$22+Declarations!$B$21*R399*Declarations!$C$20+Declarations!$B$21*T399*Declarations!$C$21+Declarations!$B$21*U399*Declarations!$C$22+Declarations!$B$22*S399*Declarations!$C$20+Declarations!$B$22*U399*Declarations!$C$21+Declarations!$B$22*V399*Declarations!$C$22+0</f>
        <v>4.60691839453414</v>
      </c>
      <c r="S400" s="20" t="n">
        <f aca="false">Declarations!$B$20*Q399*Declarations!$D$20+Declarations!$B$20*R399*Declarations!$D$21+Declarations!$B$20*S399*Declarations!$D$22+Declarations!$B$21*R399*Declarations!$D$20+Declarations!$B$21*T399*Declarations!$D$21+Declarations!$B$21*U399*Declarations!$D$22+Declarations!$B$22*S399*Declarations!$D$20+Declarations!$B$22*U399*Declarations!$D$21+Declarations!$B$22*V399*Declarations!$D$22+0</f>
        <v>0.617283950617284</v>
      </c>
      <c r="T400" s="20" t="n">
        <f aca="false">Declarations!$C$20*Q399*Declarations!$C$20+Declarations!$C$20*R399*Declarations!$C$21+Declarations!$C$20*S399*Declarations!$C$22+Declarations!$C$21*R399*Declarations!$C$20+Declarations!$C$21*T399*Declarations!$C$21+Declarations!$C$21*U399*Declarations!$C$22+Declarations!$C$22*S399*Declarations!$C$20+Declarations!$C$22*U399*Declarations!$C$21+Declarations!$C$22*V399*Declarations!$C$22+1</f>
        <v>5.70253970138229</v>
      </c>
      <c r="U400" s="20" t="n">
        <f aca="false">Declarations!$C$20*Q399*Declarations!$D$20+Declarations!$C$20*R399*Declarations!$D$21+Declarations!$C$20*S399*Declarations!$D$22+Declarations!$C$21*R399*Declarations!$D$20+Declarations!$C$21*T399*Declarations!$D$21+Declarations!$C$21*U399*Declarations!$D$22+Declarations!$C$22*S399*Declarations!$D$20+Declarations!$C$22*U399*Declarations!$D$21+Declarations!$C$22*V399*Declarations!$D$22+0</f>
        <v>0.771604938271605</v>
      </c>
      <c r="V400" s="20" t="n">
        <f aca="false">Declarations!$D$20*Q399*Declarations!$D$20+Declarations!$D$20*R399*Declarations!$D$21+Declarations!$D$20*S399*Declarations!$D$22+Declarations!$D$21*R399*Declarations!$D$20+Declarations!$D$21*T399*Declarations!$D$21+Declarations!$D$21*U399*Declarations!$D$22+Declarations!$D$22*S399*Declarations!$D$20+Declarations!$D$22*U399*Declarations!$D$21+Declarations!$D$22*V399*Declarations!$D$22+1</f>
        <v>2.77777777777778</v>
      </c>
    </row>
    <row r="401" customFormat="false" ht="15" hidden="false" customHeight="false" outlineLevel="0" collapsed="false">
      <c r="A401" s="18" t="n">
        <v>392</v>
      </c>
      <c r="B401" s="20" t="n">
        <f aca="false">$B$4*B400*$B$4+$B$4*C400*$B$5+$B$5*C400*$B$4+$B$5*D400*$B$5+$E$4</f>
        <v>13.5714285714286</v>
      </c>
      <c r="C401" s="20" t="n">
        <f aca="false">$B$4*B400*$C$4+$B$4*C400*$C$5+$B$5*C400*$C$4+$B$5*D400*$C$5+$F$4</f>
        <v>-5.78571428571428</v>
      </c>
      <c r="D401" s="20" t="n">
        <f aca="false">$C$4*B400*$C$4+$C$4*C400*$C$5+$C$5*C400*$C$4+$C$5*D400*$C$5+$F$5</f>
        <v>11.9928571428571</v>
      </c>
      <c r="P401" s="18" t="n">
        <v>392</v>
      </c>
      <c r="Q401" s="20" t="n">
        <f aca="false">Declarations!$B$20*Q400*Declarations!$B$20+Declarations!$B$20*R400*Declarations!$B$21+Declarations!$B$20*S400*Declarations!$B$22+Declarations!$B$21*R400*Declarations!$B$20+Declarations!$B$21*T400*Declarations!$B$21+Declarations!$B$21*U400*Declarations!$B$22+Declarations!$B$22*S400*Declarations!$B$20+Declarations!$B$22*U400*Declarations!$B$21+Declarations!$B$22*V400*Declarations!$B$22+1</f>
        <v>10.2972987232247</v>
      </c>
      <c r="R401" s="20" t="n">
        <f aca="false">Declarations!$B$20*Q400*Declarations!$C$20+Declarations!$B$20*R400*Declarations!$C$21+Declarations!$B$20*S400*Declarations!$C$22+Declarations!$B$21*R400*Declarations!$C$20+Declarations!$B$21*T400*Declarations!$C$21+Declarations!$B$21*U400*Declarations!$C$22+Declarations!$B$22*S400*Declarations!$C$20+Declarations!$B$22*U400*Declarations!$C$21+Declarations!$B$22*V400*Declarations!$C$22+0</f>
        <v>4.60691839453414</v>
      </c>
      <c r="S401" s="20" t="n">
        <f aca="false">Declarations!$B$20*Q400*Declarations!$D$20+Declarations!$B$20*R400*Declarations!$D$21+Declarations!$B$20*S400*Declarations!$D$22+Declarations!$B$21*R400*Declarations!$D$20+Declarations!$B$21*T400*Declarations!$D$21+Declarations!$B$21*U400*Declarations!$D$22+Declarations!$B$22*S400*Declarations!$D$20+Declarations!$B$22*U400*Declarations!$D$21+Declarations!$B$22*V400*Declarations!$D$22+0</f>
        <v>0.617283950617284</v>
      </c>
      <c r="T401" s="20" t="n">
        <f aca="false">Declarations!$C$20*Q400*Declarations!$C$20+Declarations!$C$20*R400*Declarations!$C$21+Declarations!$C$20*S400*Declarations!$C$22+Declarations!$C$21*R400*Declarations!$C$20+Declarations!$C$21*T400*Declarations!$C$21+Declarations!$C$21*U400*Declarations!$C$22+Declarations!$C$22*S400*Declarations!$C$20+Declarations!$C$22*U400*Declarations!$C$21+Declarations!$C$22*V400*Declarations!$C$22+1</f>
        <v>5.70253970138229</v>
      </c>
      <c r="U401" s="20" t="n">
        <f aca="false">Declarations!$C$20*Q400*Declarations!$D$20+Declarations!$C$20*R400*Declarations!$D$21+Declarations!$C$20*S400*Declarations!$D$22+Declarations!$C$21*R400*Declarations!$D$20+Declarations!$C$21*T400*Declarations!$D$21+Declarations!$C$21*U400*Declarations!$D$22+Declarations!$C$22*S400*Declarations!$D$20+Declarations!$C$22*U400*Declarations!$D$21+Declarations!$C$22*V400*Declarations!$D$22+0</f>
        <v>0.771604938271605</v>
      </c>
      <c r="V401" s="20" t="n">
        <f aca="false">Declarations!$D$20*Q400*Declarations!$D$20+Declarations!$D$20*R400*Declarations!$D$21+Declarations!$D$20*S400*Declarations!$D$22+Declarations!$D$21*R400*Declarations!$D$20+Declarations!$D$21*T400*Declarations!$D$21+Declarations!$D$21*U400*Declarations!$D$22+Declarations!$D$22*S400*Declarations!$D$20+Declarations!$D$22*U400*Declarations!$D$21+Declarations!$D$22*V400*Declarations!$D$22+1</f>
        <v>2.77777777777778</v>
      </c>
    </row>
    <row r="402" customFormat="false" ht="15" hidden="false" customHeight="false" outlineLevel="0" collapsed="false">
      <c r="A402" s="18" t="n">
        <v>393</v>
      </c>
      <c r="B402" s="20" t="n">
        <f aca="false">$B$4*B401*$B$4+$B$4*C401*$B$5+$B$5*C401*$B$4+$B$5*D401*$B$5+$E$4</f>
        <v>13.5714285714286</v>
      </c>
      <c r="C402" s="20" t="n">
        <f aca="false">$B$4*B401*$C$4+$B$4*C401*$C$5+$B$5*C401*$C$4+$B$5*D401*$C$5+$F$4</f>
        <v>-5.78571428571428</v>
      </c>
      <c r="D402" s="20" t="n">
        <f aca="false">$C$4*B401*$C$4+$C$4*C401*$C$5+$C$5*C401*$C$4+$C$5*D401*$C$5+$F$5</f>
        <v>11.9928571428571</v>
      </c>
      <c r="P402" s="18" t="n">
        <v>393</v>
      </c>
      <c r="Q402" s="20" t="n">
        <f aca="false">Declarations!$B$20*Q401*Declarations!$B$20+Declarations!$B$20*R401*Declarations!$B$21+Declarations!$B$20*S401*Declarations!$B$22+Declarations!$B$21*R401*Declarations!$B$20+Declarations!$B$21*T401*Declarations!$B$21+Declarations!$B$21*U401*Declarations!$B$22+Declarations!$B$22*S401*Declarations!$B$20+Declarations!$B$22*U401*Declarations!$B$21+Declarations!$B$22*V401*Declarations!$B$22+1</f>
        <v>10.2972987232247</v>
      </c>
      <c r="R402" s="20" t="n">
        <f aca="false">Declarations!$B$20*Q401*Declarations!$C$20+Declarations!$B$20*R401*Declarations!$C$21+Declarations!$B$20*S401*Declarations!$C$22+Declarations!$B$21*R401*Declarations!$C$20+Declarations!$B$21*T401*Declarations!$C$21+Declarations!$B$21*U401*Declarations!$C$22+Declarations!$B$22*S401*Declarations!$C$20+Declarations!$B$22*U401*Declarations!$C$21+Declarations!$B$22*V401*Declarations!$C$22+0</f>
        <v>4.60691839453414</v>
      </c>
      <c r="S402" s="20" t="n">
        <f aca="false">Declarations!$B$20*Q401*Declarations!$D$20+Declarations!$B$20*R401*Declarations!$D$21+Declarations!$B$20*S401*Declarations!$D$22+Declarations!$B$21*R401*Declarations!$D$20+Declarations!$B$21*T401*Declarations!$D$21+Declarations!$B$21*U401*Declarations!$D$22+Declarations!$B$22*S401*Declarations!$D$20+Declarations!$B$22*U401*Declarations!$D$21+Declarations!$B$22*V401*Declarations!$D$22+0</f>
        <v>0.617283950617284</v>
      </c>
      <c r="T402" s="20" t="n">
        <f aca="false">Declarations!$C$20*Q401*Declarations!$C$20+Declarations!$C$20*R401*Declarations!$C$21+Declarations!$C$20*S401*Declarations!$C$22+Declarations!$C$21*R401*Declarations!$C$20+Declarations!$C$21*T401*Declarations!$C$21+Declarations!$C$21*U401*Declarations!$C$22+Declarations!$C$22*S401*Declarations!$C$20+Declarations!$C$22*U401*Declarations!$C$21+Declarations!$C$22*V401*Declarations!$C$22+1</f>
        <v>5.70253970138229</v>
      </c>
      <c r="U402" s="20" t="n">
        <f aca="false">Declarations!$C$20*Q401*Declarations!$D$20+Declarations!$C$20*R401*Declarations!$D$21+Declarations!$C$20*S401*Declarations!$D$22+Declarations!$C$21*R401*Declarations!$D$20+Declarations!$C$21*T401*Declarations!$D$21+Declarations!$C$21*U401*Declarations!$D$22+Declarations!$C$22*S401*Declarations!$D$20+Declarations!$C$22*U401*Declarations!$D$21+Declarations!$C$22*V401*Declarations!$D$22+0</f>
        <v>0.771604938271605</v>
      </c>
      <c r="V402" s="20" t="n">
        <f aca="false">Declarations!$D$20*Q401*Declarations!$D$20+Declarations!$D$20*R401*Declarations!$D$21+Declarations!$D$20*S401*Declarations!$D$22+Declarations!$D$21*R401*Declarations!$D$20+Declarations!$D$21*T401*Declarations!$D$21+Declarations!$D$21*U401*Declarations!$D$22+Declarations!$D$22*S401*Declarations!$D$20+Declarations!$D$22*U401*Declarations!$D$21+Declarations!$D$22*V401*Declarations!$D$22+1</f>
        <v>2.77777777777778</v>
      </c>
    </row>
    <row r="403" customFormat="false" ht="15" hidden="false" customHeight="false" outlineLevel="0" collapsed="false">
      <c r="A403" s="18" t="n">
        <v>394</v>
      </c>
      <c r="B403" s="20" t="n">
        <f aca="false">$B$4*B402*$B$4+$B$4*C402*$B$5+$B$5*C402*$B$4+$B$5*D402*$B$5+$E$4</f>
        <v>13.5714285714286</v>
      </c>
      <c r="C403" s="20" t="n">
        <f aca="false">$B$4*B402*$C$4+$B$4*C402*$C$5+$B$5*C402*$C$4+$B$5*D402*$C$5+$F$4</f>
        <v>-5.78571428571428</v>
      </c>
      <c r="D403" s="20" t="n">
        <f aca="false">$C$4*B402*$C$4+$C$4*C402*$C$5+$C$5*C402*$C$4+$C$5*D402*$C$5+$F$5</f>
        <v>11.9928571428571</v>
      </c>
      <c r="P403" s="18" t="n">
        <v>394</v>
      </c>
      <c r="Q403" s="20" t="n">
        <f aca="false">Declarations!$B$20*Q402*Declarations!$B$20+Declarations!$B$20*R402*Declarations!$B$21+Declarations!$B$20*S402*Declarations!$B$22+Declarations!$B$21*R402*Declarations!$B$20+Declarations!$B$21*T402*Declarations!$B$21+Declarations!$B$21*U402*Declarations!$B$22+Declarations!$B$22*S402*Declarations!$B$20+Declarations!$B$22*U402*Declarations!$B$21+Declarations!$B$22*V402*Declarations!$B$22+1</f>
        <v>10.2972987232247</v>
      </c>
      <c r="R403" s="20" t="n">
        <f aca="false">Declarations!$B$20*Q402*Declarations!$C$20+Declarations!$B$20*R402*Declarations!$C$21+Declarations!$B$20*S402*Declarations!$C$22+Declarations!$B$21*R402*Declarations!$C$20+Declarations!$B$21*T402*Declarations!$C$21+Declarations!$B$21*U402*Declarations!$C$22+Declarations!$B$22*S402*Declarations!$C$20+Declarations!$B$22*U402*Declarations!$C$21+Declarations!$B$22*V402*Declarations!$C$22+0</f>
        <v>4.60691839453414</v>
      </c>
      <c r="S403" s="20" t="n">
        <f aca="false">Declarations!$B$20*Q402*Declarations!$D$20+Declarations!$B$20*R402*Declarations!$D$21+Declarations!$B$20*S402*Declarations!$D$22+Declarations!$B$21*R402*Declarations!$D$20+Declarations!$B$21*T402*Declarations!$D$21+Declarations!$B$21*U402*Declarations!$D$22+Declarations!$B$22*S402*Declarations!$D$20+Declarations!$B$22*U402*Declarations!$D$21+Declarations!$B$22*V402*Declarations!$D$22+0</f>
        <v>0.617283950617284</v>
      </c>
      <c r="T403" s="20" t="n">
        <f aca="false">Declarations!$C$20*Q402*Declarations!$C$20+Declarations!$C$20*R402*Declarations!$C$21+Declarations!$C$20*S402*Declarations!$C$22+Declarations!$C$21*R402*Declarations!$C$20+Declarations!$C$21*T402*Declarations!$C$21+Declarations!$C$21*U402*Declarations!$C$22+Declarations!$C$22*S402*Declarations!$C$20+Declarations!$C$22*U402*Declarations!$C$21+Declarations!$C$22*V402*Declarations!$C$22+1</f>
        <v>5.70253970138229</v>
      </c>
      <c r="U403" s="20" t="n">
        <f aca="false">Declarations!$C$20*Q402*Declarations!$D$20+Declarations!$C$20*R402*Declarations!$D$21+Declarations!$C$20*S402*Declarations!$D$22+Declarations!$C$21*R402*Declarations!$D$20+Declarations!$C$21*T402*Declarations!$D$21+Declarations!$C$21*U402*Declarations!$D$22+Declarations!$C$22*S402*Declarations!$D$20+Declarations!$C$22*U402*Declarations!$D$21+Declarations!$C$22*V402*Declarations!$D$22+0</f>
        <v>0.771604938271605</v>
      </c>
      <c r="V403" s="20" t="n">
        <f aca="false">Declarations!$D$20*Q402*Declarations!$D$20+Declarations!$D$20*R402*Declarations!$D$21+Declarations!$D$20*S402*Declarations!$D$22+Declarations!$D$21*R402*Declarations!$D$20+Declarations!$D$21*T402*Declarations!$D$21+Declarations!$D$21*U402*Declarations!$D$22+Declarations!$D$22*S402*Declarations!$D$20+Declarations!$D$22*U402*Declarations!$D$21+Declarations!$D$22*V402*Declarations!$D$22+1</f>
        <v>2.77777777777778</v>
      </c>
    </row>
    <row r="404" customFormat="false" ht="15" hidden="false" customHeight="false" outlineLevel="0" collapsed="false">
      <c r="A404" s="18" t="n">
        <v>395</v>
      </c>
      <c r="B404" s="20" t="n">
        <f aca="false">$B$4*B403*$B$4+$B$4*C403*$B$5+$B$5*C403*$B$4+$B$5*D403*$B$5+$E$4</f>
        <v>13.5714285714286</v>
      </c>
      <c r="C404" s="20" t="n">
        <f aca="false">$B$4*B403*$C$4+$B$4*C403*$C$5+$B$5*C403*$C$4+$B$5*D403*$C$5+$F$4</f>
        <v>-5.78571428571428</v>
      </c>
      <c r="D404" s="20" t="n">
        <f aca="false">$C$4*B403*$C$4+$C$4*C403*$C$5+$C$5*C403*$C$4+$C$5*D403*$C$5+$F$5</f>
        <v>11.9928571428571</v>
      </c>
      <c r="P404" s="18" t="n">
        <v>395</v>
      </c>
      <c r="Q404" s="20" t="n">
        <f aca="false">Declarations!$B$20*Q403*Declarations!$B$20+Declarations!$B$20*R403*Declarations!$B$21+Declarations!$B$20*S403*Declarations!$B$22+Declarations!$B$21*R403*Declarations!$B$20+Declarations!$B$21*T403*Declarations!$B$21+Declarations!$B$21*U403*Declarations!$B$22+Declarations!$B$22*S403*Declarations!$B$20+Declarations!$B$22*U403*Declarations!$B$21+Declarations!$B$22*V403*Declarations!$B$22+1</f>
        <v>10.2972987232247</v>
      </c>
      <c r="R404" s="20" t="n">
        <f aca="false">Declarations!$B$20*Q403*Declarations!$C$20+Declarations!$B$20*R403*Declarations!$C$21+Declarations!$B$20*S403*Declarations!$C$22+Declarations!$B$21*R403*Declarations!$C$20+Declarations!$B$21*T403*Declarations!$C$21+Declarations!$B$21*U403*Declarations!$C$22+Declarations!$B$22*S403*Declarations!$C$20+Declarations!$B$22*U403*Declarations!$C$21+Declarations!$B$22*V403*Declarations!$C$22+0</f>
        <v>4.60691839453414</v>
      </c>
      <c r="S404" s="20" t="n">
        <f aca="false">Declarations!$B$20*Q403*Declarations!$D$20+Declarations!$B$20*R403*Declarations!$D$21+Declarations!$B$20*S403*Declarations!$D$22+Declarations!$B$21*R403*Declarations!$D$20+Declarations!$B$21*T403*Declarations!$D$21+Declarations!$B$21*U403*Declarations!$D$22+Declarations!$B$22*S403*Declarations!$D$20+Declarations!$B$22*U403*Declarations!$D$21+Declarations!$B$22*V403*Declarations!$D$22+0</f>
        <v>0.617283950617284</v>
      </c>
      <c r="T404" s="20" t="n">
        <f aca="false">Declarations!$C$20*Q403*Declarations!$C$20+Declarations!$C$20*R403*Declarations!$C$21+Declarations!$C$20*S403*Declarations!$C$22+Declarations!$C$21*R403*Declarations!$C$20+Declarations!$C$21*T403*Declarations!$C$21+Declarations!$C$21*U403*Declarations!$C$22+Declarations!$C$22*S403*Declarations!$C$20+Declarations!$C$22*U403*Declarations!$C$21+Declarations!$C$22*V403*Declarations!$C$22+1</f>
        <v>5.70253970138229</v>
      </c>
      <c r="U404" s="20" t="n">
        <f aca="false">Declarations!$C$20*Q403*Declarations!$D$20+Declarations!$C$20*R403*Declarations!$D$21+Declarations!$C$20*S403*Declarations!$D$22+Declarations!$C$21*R403*Declarations!$D$20+Declarations!$C$21*T403*Declarations!$D$21+Declarations!$C$21*U403*Declarations!$D$22+Declarations!$C$22*S403*Declarations!$D$20+Declarations!$C$22*U403*Declarations!$D$21+Declarations!$C$22*V403*Declarations!$D$22+0</f>
        <v>0.771604938271605</v>
      </c>
      <c r="V404" s="20" t="n">
        <f aca="false">Declarations!$D$20*Q403*Declarations!$D$20+Declarations!$D$20*R403*Declarations!$D$21+Declarations!$D$20*S403*Declarations!$D$22+Declarations!$D$21*R403*Declarations!$D$20+Declarations!$D$21*T403*Declarations!$D$21+Declarations!$D$21*U403*Declarations!$D$22+Declarations!$D$22*S403*Declarations!$D$20+Declarations!$D$22*U403*Declarations!$D$21+Declarations!$D$22*V403*Declarations!$D$22+1</f>
        <v>2.77777777777778</v>
      </c>
    </row>
    <row r="405" customFormat="false" ht="15" hidden="false" customHeight="false" outlineLevel="0" collapsed="false">
      <c r="A405" s="18" t="n">
        <v>396</v>
      </c>
      <c r="B405" s="20" t="n">
        <f aca="false">$B$4*B404*$B$4+$B$4*C404*$B$5+$B$5*C404*$B$4+$B$5*D404*$B$5+$E$4</f>
        <v>13.5714285714286</v>
      </c>
      <c r="C405" s="20" t="n">
        <f aca="false">$B$4*B404*$C$4+$B$4*C404*$C$5+$B$5*C404*$C$4+$B$5*D404*$C$5+$F$4</f>
        <v>-5.78571428571428</v>
      </c>
      <c r="D405" s="20" t="n">
        <f aca="false">$C$4*B404*$C$4+$C$4*C404*$C$5+$C$5*C404*$C$4+$C$5*D404*$C$5+$F$5</f>
        <v>11.9928571428571</v>
      </c>
      <c r="P405" s="18" t="n">
        <v>396</v>
      </c>
      <c r="Q405" s="20" t="n">
        <f aca="false">Declarations!$B$20*Q404*Declarations!$B$20+Declarations!$B$20*R404*Declarations!$B$21+Declarations!$B$20*S404*Declarations!$B$22+Declarations!$B$21*R404*Declarations!$B$20+Declarations!$B$21*T404*Declarations!$B$21+Declarations!$B$21*U404*Declarations!$B$22+Declarations!$B$22*S404*Declarations!$B$20+Declarations!$B$22*U404*Declarations!$B$21+Declarations!$B$22*V404*Declarations!$B$22+1</f>
        <v>10.2972987232247</v>
      </c>
      <c r="R405" s="20" t="n">
        <f aca="false">Declarations!$B$20*Q404*Declarations!$C$20+Declarations!$B$20*R404*Declarations!$C$21+Declarations!$B$20*S404*Declarations!$C$22+Declarations!$B$21*R404*Declarations!$C$20+Declarations!$B$21*T404*Declarations!$C$21+Declarations!$B$21*U404*Declarations!$C$22+Declarations!$B$22*S404*Declarations!$C$20+Declarations!$B$22*U404*Declarations!$C$21+Declarations!$B$22*V404*Declarations!$C$22+0</f>
        <v>4.60691839453414</v>
      </c>
      <c r="S405" s="20" t="n">
        <f aca="false">Declarations!$B$20*Q404*Declarations!$D$20+Declarations!$B$20*R404*Declarations!$D$21+Declarations!$B$20*S404*Declarations!$D$22+Declarations!$B$21*R404*Declarations!$D$20+Declarations!$B$21*T404*Declarations!$D$21+Declarations!$B$21*U404*Declarations!$D$22+Declarations!$B$22*S404*Declarations!$D$20+Declarations!$B$22*U404*Declarations!$D$21+Declarations!$B$22*V404*Declarations!$D$22+0</f>
        <v>0.617283950617284</v>
      </c>
      <c r="T405" s="20" t="n">
        <f aca="false">Declarations!$C$20*Q404*Declarations!$C$20+Declarations!$C$20*R404*Declarations!$C$21+Declarations!$C$20*S404*Declarations!$C$22+Declarations!$C$21*R404*Declarations!$C$20+Declarations!$C$21*T404*Declarations!$C$21+Declarations!$C$21*U404*Declarations!$C$22+Declarations!$C$22*S404*Declarations!$C$20+Declarations!$C$22*U404*Declarations!$C$21+Declarations!$C$22*V404*Declarations!$C$22+1</f>
        <v>5.70253970138229</v>
      </c>
      <c r="U405" s="20" t="n">
        <f aca="false">Declarations!$C$20*Q404*Declarations!$D$20+Declarations!$C$20*R404*Declarations!$D$21+Declarations!$C$20*S404*Declarations!$D$22+Declarations!$C$21*R404*Declarations!$D$20+Declarations!$C$21*T404*Declarations!$D$21+Declarations!$C$21*U404*Declarations!$D$22+Declarations!$C$22*S404*Declarations!$D$20+Declarations!$C$22*U404*Declarations!$D$21+Declarations!$C$22*V404*Declarations!$D$22+0</f>
        <v>0.771604938271605</v>
      </c>
      <c r="V405" s="20" t="n">
        <f aca="false">Declarations!$D$20*Q404*Declarations!$D$20+Declarations!$D$20*R404*Declarations!$D$21+Declarations!$D$20*S404*Declarations!$D$22+Declarations!$D$21*R404*Declarations!$D$20+Declarations!$D$21*T404*Declarations!$D$21+Declarations!$D$21*U404*Declarations!$D$22+Declarations!$D$22*S404*Declarations!$D$20+Declarations!$D$22*U404*Declarations!$D$21+Declarations!$D$22*V404*Declarations!$D$22+1</f>
        <v>2.77777777777778</v>
      </c>
    </row>
    <row r="406" customFormat="false" ht="15" hidden="false" customHeight="false" outlineLevel="0" collapsed="false">
      <c r="A406" s="18" t="n">
        <v>397</v>
      </c>
      <c r="B406" s="20" t="n">
        <f aca="false">$B$4*B405*$B$4+$B$4*C405*$B$5+$B$5*C405*$B$4+$B$5*D405*$B$5+$E$4</f>
        <v>13.5714285714286</v>
      </c>
      <c r="C406" s="20" t="n">
        <f aca="false">$B$4*B405*$C$4+$B$4*C405*$C$5+$B$5*C405*$C$4+$B$5*D405*$C$5+$F$4</f>
        <v>-5.78571428571428</v>
      </c>
      <c r="D406" s="20" t="n">
        <f aca="false">$C$4*B405*$C$4+$C$4*C405*$C$5+$C$5*C405*$C$4+$C$5*D405*$C$5+$F$5</f>
        <v>11.9928571428571</v>
      </c>
      <c r="P406" s="18" t="n">
        <v>397</v>
      </c>
      <c r="Q406" s="20" t="n">
        <f aca="false">Declarations!$B$20*Q405*Declarations!$B$20+Declarations!$B$20*R405*Declarations!$B$21+Declarations!$B$20*S405*Declarations!$B$22+Declarations!$B$21*R405*Declarations!$B$20+Declarations!$B$21*T405*Declarations!$B$21+Declarations!$B$21*U405*Declarations!$B$22+Declarations!$B$22*S405*Declarations!$B$20+Declarations!$B$22*U405*Declarations!$B$21+Declarations!$B$22*V405*Declarations!$B$22+1</f>
        <v>10.2972987232247</v>
      </c>
      <c r="R406" s="20" t="n">
        <f aca="false">Declarations!$B$20*Q405*Declarations!$C$20+Declarations!$B$20*R405*Declarations!$C$21+Declarations!$B$20*S405*Declarations!$C$22+Declarations!$B$21*R405*Declarations!$C$20+Declarations!$B$21*T405*Declarations!$C$21+Declarations!$B$21*U405*Declarations!$C$22+Declarations!$B$22*S405*Declarations!$C$20+Declarations!$B$22*U405*Declarations!$C$21+Declarations!$B$22*V405*Declarations!$C$22+0</f>
        <v>4.60691839453414</v>
      </c>
      <c r="S406" s="20" t="n">
        <f aca="false">Declarations!$B$20*Q405*Declarations!$D$20+Declarations!$B$20*R405*Declarations!$D$21+Declarations!$B$20*S405*Declarations!$D$22+Declarations!$B$21*R405*Declarations!$D$20+Declarations!$B$21*T405*Declarations!$D$21+Declarations!$B$21*U405*Declarations!$D$22+Declarations!$B$22*S405*Declarations!$D$20+Declarations!$B$22*U405*Declarations!$D$21+Declarations!$B$22*V405*Declarations!$D$22+0</f>
        <v>0.617283950617284</v>
      </c>
      <c r="T406" s="20" t="n">
        <f aca="false">Declarations!$C$20*Q405*Declarations!$C$20+Declarations!$C$20*R405*Declarations!$C$21+Declarations!$C$20*S405*Declarations!$C$22+Declarations!$C$21*R405*Declarations!$C$20+Declarations!$C$21*T405*Declarations!$C$21+Declarations!$C$21*U405*Declarations!$C$22+Declarations!$C$22*S405*Declarations!$C$20+Declarations!$C$22*U405*Declarations!$C$21+Declarations!$C$22*V405*Declarations!$C$22+1</f>
        <v>5.70253970138229</v>
      </c>
      <c r="U406" s="20" t="n">
        <f aca="false">Declarations!$C$20*Q405*Declarations!$D$20+Declarations!$C$20*R405*Declarations!$D$21+Declarations!$C$20*S405*Declarations!$D$22+Declarations!$C$21*R405*Declarations!$D$20+Declarations!$C$21*T405*Declarations!$D$21+Declarations!$C$21*U405*Declarations!$D$22+Declarations!$C$22*S405*Declarations!$D$20+Declarations!$C$22*U405*Declarations!$D$21+Declarations!$C$22*V405*Declarations!$D$22+0</f>
        <v>0.771604938271605</v>
      </c>
      <c r="V406" s="20" t="n">
        <f aca="false">Declarations!$D$20*Q405*Declarations!$D$20+Declarations!$D$20*R405*Declarations!$D$21+Declarations!$D$20*S405*Declarations!$D$22+Declarations!$D$21*R405*Declarations!$D$20+Declarations!$D$21*T405*Declarations!$D$21+Declarations!$D$21*U405*Declarations!$D$22+Declarations!$D$22*S405*Declarations!$D$20+Declarations!$D$22*U405*Declarations!$D$21+Declarations!$D$22*V405*Declarations!$D$22+1</f>
        <v>2.77777777777778</v>
      </c>
    </row>
    <row r="407" customFormat="false" ht="15" hidden="false" customHeight="false" outlineLevel="0" collapsed="false">
      <c r="A407" s="18" t="n">
        <v>398</v>
      </c>
      <c r="B407" s="20" t="n">
        <f aca="false">$B$4*B406*$B$4+$B$4*C406*$B$5+$B$5*C406*$B$4+$B$5*D406*$B$5+$E$4</f>
        <v>13.5714285714286</v>
      </c>
      <c r="C407" s="20" t="n">
        <f aca="false">$B$4*B406*$C$4+$B$4*C406*$C$5+$B$5*C406*$C$4+$B$5*D406*$C$5+$F$4</f>
        <v>-5.78571428571428</v>
      </c>
      <c r="D407" s="20" t="n">
        <f aca="false">$C$4*B406*$C$4+$C$4*C406*$C$5+$C$5*C406*$C$4+$C$5*D406*$C$5+$F$5</f>
        <v>11.9928571428571</v>
      </c>
      <c r="P407" s="18" t="n">
        <v>398</v>
      </c>
      <c r="Q407" s="20" t="n">
        <f aca="false">Declarations!$B$20*Q406*Declarations!$B$20+Declarations!$B$20*R406*Declarations!$B$21+Declarations!$B$20*S406*Declarations!$B$22+Declarations!$B$21*R406*Declarations!$B$20+Declarations!$B$21*T406*Declarations!$B$21+Declarations!$B$21*U406*Declarations!$B$22+Declarations!$B$22*S406*Declarations!$B$20+Declarations!$B$22*U406*Declarations!$B$21+Declarations!$B$22*V406*Declarations!$B$22+1</f>
        <v>10.2972987232247</v>
      </c>
      <c r="R407" s="20" t="n">
        <f aca="false">Declarations!$B$20*Q406*Declarations!$C$20+Declarations!$B$20*R406*Declarations!$C$21+Declarations!$B$20*S406*Declarations!$C$22+Declarations!$B$21*R406*Declarations!$C$20+Declarations!$B$21*T406*Declarations!$C$21+Declarations!$B$21*U406*Declarations!$C$22+Declarations!$B$22*S406*Declarations!$C$20+Declarations!$B$22*U406*Declarations!$C$21+Declarations!$B$22*V406*Declarations!$C$22+0</f>
        <v>4.60691839453414</v>
      </c>
      <c r="S407" s="20" t="n">
        <f aca="false">Declarations!$B$20*Q406*Declarations!$D$20+Declarations!$B$20*R406*Declarations!$D$21+Declarations!$B$20*S406*Declarations!$D$22+Declarations!$B$21*R406*Declarations!$D$20+Declarations!$B$21*T406*Declarations!$D$21+Declarations!$B$21*U406*Declarations!$D$22+Declarations!$B$22*S406*Declarations!$D$20+Declarations!$B$22*U406*Declarations!$D$21+Declarations!$B$22*V406*Declarations!$D$22+0</f>
        <v>0.617283950617284</v>
      </c>
      <c r="T407" s="20" t="n">
        <f aca="false">Declarations!$C$20*Q406*Declarations!$C$20+Declarations!$C$20*R406*Declarations!$C$21+Declarations!$C$20*S406*Declarations!$C$22+Declarations!$C$21*R406*Declarations!$C$20+Declarations!$C$21*T406*Declarations!$C$21+Declarations!$C$21*U406*Declarations!$C$22+Declarations!$C$22*S406*Declarations!$C$20+Declarations!$C$22*U406*Declarations!$C$21+Declarations!$C$22*V406*Declarations!$C$22+1</f>
        <v>5.70253970138229</v>
      </c>
      <c r="U407" s="20" t="n">
        <f aca="false">Declarations!$C$20*Q406*Declarations!$D$20+Declarations!$C$20*R406*Declarations!$D$21+Declarations!$C$20*S406*Declarations!$D$22+Declarations!$C$21*R406*Declarations!$D$20+Declarations!$C$21*T406*Declarations!$D$21+Declarations!$C$21*U406*Declarations!$D$22+Declarations!$C$22*S406*Declarations!$D$20+Declarations!$C$22*U406*Declarations!$D$21+Declarations!$C$22*V406*Declarations!$D$22+0</f>
        <v>0.771604938271605</v>
      </c>
      <c r="V407" s="20" t="n">
        <f aca="false">Declarations!$D$20*Q406*Declarations!$D$20+Declarations!$D$20*R406*Declarations!$D$21+Declarations!$D$20*S406*Declarations!$D$22+Declarations!$D$21*R406*Declarations!$D$20+Declarations!$D$21*T406*Declarations!$D$21+Declarations!$D$21*U406*Declarations!$D$22+Declarations!$D$22*S406*Declarations!$D$20+Declarations!$D$22*U406*Declarations!$D$21+Declarations!$D$22*V406*Declarations!$D$22+1</f>
        <v>2.77777777777778</v>
      </c>
    </row>
    <row r="408" customFormat="false" ht="15" hidden="false" customHeight="false" outlineLevel="0" collapsed="false">
      <c r="A408" s="18" t="n">
        <v>399</v>
      </c>
      <c r="B408" s="20" t="n">
        <f aca="false">$B$4*B407*$B$4+$B$4*C407*$B$5+$B$5*C407*$B$4+$B$5*D407*$B$5+$E$4</f>
        <v>13.5714285714286</v>
      </c>
      <c r="C408" s="20" t="n">
        <f aca="false">$B$4*B407*$C$4+$B$4*C407*$C$5+$B$5*C407*$C$4+$B$5*D407*$C$5+$F$4</f>
        <v>-5.78571428571428</v>
      </c>
      <c r="D408" s="20" t="n">
        <f aca="false">$C$4*B407*$C$4+$C$4*C407*$C$5+$C$5*C407*$C$4+$C$5*D407*$C$5+$F$5</f>
        <v>11.9928571428571</v>
      </c>
      <c r="P408" s="18" t="n">
        <v>399</v>
      </c>
      <c r="Q408" s="20" t="n">
        <f aca="false">Declarations!$B$20*Q407*Declarations!$B$20+Declarations!$B$20*R407*Declarations!$B$21+Declarations!$B$20*S407*Declarations!$B$22+Declarations!$B$21*R407*Declarations!$B$20+Declarations!$B$21*T407*Declarations!$B$21+Declarations!$B$21*U407*Declarations!$B$22+Declarations!$B$22*S407*Declarations!$B$20+Declarations!$B$22*U407*Declarations!$B$21+Declarations!$B$22*V407*Declarations!$B$22+1</f>
        <v>10.2972987232247</v>
      </c>
      <c r="R408" s="20" t="n">
        <f aca="false">Declarations!$B$20*Q407*Declarations!$C$20+Declarations!$B$20*R407*Declarations!$C$21+Declarations!$B$20*S407*Declarations!$C$22+Declarations!$B$21*R407*Declarations!$C$20+Declarations!$B$21*T407*Declarations!$C$21+Declarations!$B$21*U407*Declarations!$C$22+Declarations!$B$22*S407*Declarations!$C$20+Declarations!$B$22*U407*Declarations!$C$21+Declarations!$B$22*V407*Declarations!$C$22+0</f>
        <v>4.60691839453414</v>
      </c>
      <c r="S408" s="20" t="n">
        <f aca="false">Declarations!$B$20*Q407*Declarations!$D$20+Declarations!$B$20*R407*Declarations!$D$21+Declarations!$B$20*S407*Declarations!$D$22+Declarations!$B$21*R407*Declarations!$D$20+Declarations!$B$21*T407*Declarations!$D$21+Declarations!$B$21*U407*Declarations!$D$22+Declarations!$B$22*S407*Declarations!$D$20+Declarations!$B$22*U407*Declarations!$D$21+Declarations!$B$22*V407*Declarations!$D$22+0</f>
        <v>0.617283950617284</v>
      </c>
      <c r="T408" s="20" t="n">
        <f aca="false">Declarations!$C$20*Q407*Declarations!$C$20+Declarations!$C$20*R407*Declarations!$C$21+Declarations!$C$20*S407*Declarations!$C$22+Declarations!$C$21*R407*Declarations!$C$20+Declarations!$C$21*T407*Declarations!$C$21+Declarations!$C$21*U407*Declarations!$C$22+Declarations!$C$22*S407*Declarations!$C$20+Declarations!$C$22*U407*Declarations!$C$21+Declarations!$C$22*V407*Declarations!$C$22+1</f>
        <v>5.70253970138229</v>
      </c>
      <c r="U408" s="20" t="n">
        <f aca="false">Declarations!$C$20*Q407*Declarations!$D$20+Declarations!$C$20*R407*Declarations!$D$21+Declarations!$C$20*S407*Declarations!$D$22+Declarations!$C$21*R407*Declarations!$D$20+Declarations!$C$21*T407*Declarations!$D$21+Declarations!$C$21*U407*Declarations!$D$22+Declarations!$C$22*S407*Declarations!$D$20+Declarations!$C$22*U407*Declarations!$D$21+Declarations!$C$22*V407*Declarations!$D$22+0</f>
        <v>0.771604938271605</v>
      </c>
      <c r="V408" s="20" t="n">
        <f aca="false">Declarations!$D$20*Q407*Declarations!$D$20+Declarations!$D$20*R407*Declarations!$D$21+Declarations!$D$20*S407*Declarations!$D$22+Declarations!$D$21*R407*Declarations!$D$20+Declarations!$D$21*T407*Declarations!$D$21+Declarations!$D$21*U407*Declarations!$D$22+Declarations!$D$22*S407*Declarations!$D$20+Declarations!$D$22*U407*Declarations!$D$21+Declarations!$D$22*V407*Declarations!$D$22+1</f>
        <v>2.77777777777778</v>
      </c>
    </row>
    <row r="409" customFormat="false" ht="15" hidden="false" customHeight="false" outlineLevel="0" collapsed="false">
      <c r="A409" s="18" t="n">
        <v>400</v>
      </c>
      <c r="B409" s="20" t="n">
        <f aca="false">$B$4*B408*$B$4+$B$4*C408*$B$5+$B$5*C408*$B$4+$B$5*D408*$B$5+$E$4</f>
        <v>13.5714285714286</v>
      </c>
      <c r="C409" s="20" t="n">
        <f aca="false">$B$4*B408*$C$4+$B$4*C408*$C$5+$B$5*C408*$C$4+$B$5*D408*$C$5+$F$4</f>
        <v>-5.78571428571428</v>
      </c>
      <c r="D409" s="20" t="n">
        <f aca="false">$C$4*B408*$C$4+$C$4*C408*$C$5+$C$5*C408*$C$4+$C$5*D408*$C$5+$F$5</f>
        <v>11.9928571428571</v>
      </c>
      <c r="P409" s="18" t="n">
        <v>400</v>
      </c>
      <c r="Q409" s="20" t="n">
        <f aca="false">Declarations!$B$20*Q408*Declarations!$B$20+Declarations!$B$20*R408*Declarations!$B$21+Declarations!$B$20*S408*Declarations!$B$22+Declarations!$B$21*R408*Declarations!$B$20+Declarations!$B$21*T408*Declarations!$B$21+Declarations!$B$21*U408*Declarations!$B$22+Declarations!$B$22*S408*Declarations!$B$20+Declarations!$B$22*U408*Declarations!$B$21+Declarations!$B$22*V408*Declarations!$B$22+1</f>
        <v>10.2972987232247</v>
      </c>
      <c r="R409" s="20" t="n">
        <f aca="false">Declarations!$B$20*Q408*Declarations!$C$20+Declarations!$B$20*R408*Declarations!$C$21+Declarations!$B$20*S408*Declarations!$C$22+Declarations!$B$21*R408*Declarations!$C$20+Declarations!$B$21*T408*Declarations!$C$21+Declarations!$B$21*U408*Declarations!$C$22+Declarations!$B$22*S408*Declarations!$C$20+Declarations!$B$22*U408*Declarations!$C$21+Declarations!$B$22*V408*Declarations!$C$22+0</f>
        <v>4.60691839453414</v>
      </c>
      <c r="S409" s="20" t="n">
        <f aca="false">Declarations!$B$20*Q408*Declarations!$D$20+Declarations!$B$20*R408*Declarations!$D$21+Declarations!$B$20*S408*Declarations!$D$22+Declarations!$B$21*R408*Declarations!$D$20+Declarations!$B$21*T408*Declarations!$D$21+Declarations!$B$21*U408*Declarations!$D$22+Declarations!$B$22*S408*Declarations!$D$20+Declarations!$B$22*U408*Declarations!$D$21+Declarations!$B$22*V408*Declarations!$D$22+0</f>
        <v>0.617283950617284</v>
      </c>
      <c r="T409" s="20" t="n">
        <f aca="false">Declarations!$C$20*Q408*Declarations!$C$20+Declarations!$C$20*R408*Declarations!$C$21+Declarations!$C$20*S408*Declarations!$C$22+Declarations!$C$21*R408*Declarations!$C$20+Declarations!$C$21*T408*Declarations!$C$21+Declarations!$C$21*U408*Declarations!$C$22+Declarations!$C$22*S408*Declarations!$C$20+Declarations!$C$22*U408*Declarations!$C$21+Declarations!$C$22*V408*Declarations!$C$22+1</f>
        <v>5.70253970138229</v>
      </c>
      <c r="U409" s="20" t="n">
        <f aca="false">Declarations!$C$20*Q408*Declarations!$D$20+Declarations!$C$20*R408*Declarations!$D$21+Declarations!$C$20*S408*Declarations!$D$22+Declarations!$C$21*R408*Declarations!$D$20+Declarations!$C$21*T408*Declarations!$D$21+Declarations!$C$21*U408*Declarations!$D$22+Declarations!$C$22*S408*Declarations!$D$20+Declarations!$C$22*U408*Declarations!$D$21+Declarations!$C$22*V408*Declarations!$D$22+0</f>
        <v>0.771604938271605</v>
      </c>
      <c r="V409" s="20" t="n">
        <f aca="false">Declarations!$D$20*Q408*Declarations!$D$20+Declarations!$D$20*R408*Declarations!$D$21+Declarations!$D$20*S408*Declarations!$D$22+Declarations!$D$21*R408*Declarations!$D$20+Declarations!$D$21*T408*Declarations!$D$21+Declarations!$D$21*U408*Declarations!$D$22+Declarations!$D$22*S408*Declarations!$D$20+Declarations!$D$22*U408*Declarations!$D$21+Declarations!$D$22*V408*Declarations!$D$22+1</f>
        <v>2.77777777777778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90"/>
  </cols>
  <sheetData>
    <row r="1" customFormat="false" ht="15" hidden="false" customHeight="false" outlineLevel="0" collapsed="false">
      <c r="A1" s="8" t="s">
        <v>396</v>
      </c>
      <c r="B1" s="8" t="s">
        <v>397</v>
      </c>
      <c r="C1" s="8" t="s">
        <v>398</v>
      </c>
    </row>
    <row r="2" customFormat="false" ht="15" hidden="false" customHeight="false" outlineLevel="0" collapsed="false">
      <c r="A2" s="2" t="s">
        <v>184</v>
      </c>
      <c r="B2" s="19" t="n">
        <v>53</v>
      </c>
      <c r="C2" s="2" t="s">
        <v>399</v>
      </c>
    </row>
    <row r="3" customFormat="false" ht="15" hidden="false" customHeight="false" outlineLevel="0" collapsed="false">
      <c r="A3" s="2" t="s">
        <v>188</v>
      </c>
      <c r="B3" s="19" t="n">
        <v>54.5</v>
      </c>
      <c r="C3" s="2" t="s">
        <v>400</v>
      </c>
    </row>
    <row r="4" customFormat="false" ht="15" hidden="false" customHeight="false" outlineLevel="0" collapsed="false">
      <c r="A4" s="2" t="s">
        <v>401</v>
      </c>
      <c r="B4" s="19" t="n">
        <v>2.19722457733622</v>
      </c>
      <c r="C4" s="2" t="s">
        <v>402</v>
      </c>
    </row>
    <row r="5" customFormat="false" ht="15" hidden="false" customHeight="false" outlineLevel="0" collapsed="false">
      <c r="A5" s="2" t="s">
        <v>403</v>
      </c>
      <c r="B5" s="19" t="n">
        <v>1.38629436111989</v>
      </c>
      <c r="C5" s="2" t="s">
        <v>404</v>
      </c>
    </row>
    <row r="6" customFormat="false" ht="15" hidden="false" customHeight="false" outlineLevel="0" collapsed="false">
      <c r="A6" s="2" t="s">
        <v>405</v>
      </c>
      <c r="B6" s="19" t="n">
        <v>8.5265128291212E-014</v>
      </c>
      <c r="C6" s="2" t="s">
        <v>406</v>
      </c>
    </row>
    <row r="7" customFormat="false" ht="15" hidden="false" customHeight="false" outlineLevel="0" collapsed="false">
      <c r="A7" s="2" t="s">
        <v>407</v>
      </c>
      <c r="B7" s="19" t="n">
        <v>0</v>
      </c>
      <c r="C7" s="2" t="s">
        <v>408</v>
      </c>
    </row>
    <row r="8" customFormat="false" ht="15" hidden="false" customHeight="false" outlineLevel="0" collapsed="false">
      <c r="A8" s="2" t="s">
        <v>409</v>
      </c>
      <c r="B8" s="19" t="n">
        <v>0.179140696297608</v>
      </c>
      <c r="C8" s="2" t="s">
        <v>410</v>
      </c>
    </row>
    <row r="9" customFormat="false" ht="15" hidden="false" customHeight="false" outlineLevel="0" collapsed="false">
      <c r="A9" s="2" t="s">
        <v>411</v>
      </c>
      <c r="B9" s="19" t="n">
        <v>25.2322716191864</v>
      </c>
      <c r="C9" s="2" t="s">
        <v>412</v>
      </c>
    </row>
    <row r="10" customFormat="false" ht="15" hidden="false" customHeight="false" outlineLevel="0" collapsed="false">
      <c r="A10" s="2" t="s">
        <v>413</v>
      </c>
      <c r="B10" s="19" t="n">
        <v>0.770163533955495</v>
      </c>
      <c r="C10" s="2" t="s">
        <v>414</v>
      </c>
    </row>
    <row r="11" customFormat="false" ht="15" hidden="false" customHeight="false" outlineLevel="0" collapsed="false">
      <c r="A11" s="2" t="s">
        <v>415</v>
      </c>
      <c r="B11" s="19" t="n">
        <v>4.32424477567847</v>
      </c>
      <c r="C11" s="2" t="s">
        <v>416</v>
      </c>
    </row>
    <row r="12" customFormat="false" ht="15" hidden="false" customHeight="false" outlineLevel="0" collapsed="false">
      <c r="A12" s="2" t="s">
        <v>417</v>
      </c>
      <c r="B12" s="19" t="n">
        <v>81.8791282071504</v>
      </c>
      <c r="C12" s="2" t="s">
        <v>112</v>
      </c>
    </row>
    <row r="13" customFormat="false" ht="15" hidden="false" customHeight="false" outlineLevel="0" collapsed="false">
      <c r="A13" s="2" t="s">
        <v>418</v>
      </c>
      <c r="B13" s="19" t="n">
        <v>99.3989266985556</v>
      </c>
      <c r="C13" s="2" t="s">
        <v>114</v>
      </c>
    </row>
    <row r="14" customFormat="false" ht="15" hidden="false" customHeight="false" outlineLevel="0" collapsed="false">
      <c r="A14" s="2" t="s">
        <v>115</v>
      </c>
      <c r="B14" s="19" t="n">
        <v>58.1286024143917</v>
      </c>
      <c r="C14" s="2" t="s">
        <v>116</v>
      </c>
    </row>
    <row r="15" customFormat="false" ht="15" hidden="false" customHeight="false" outlineLevel="0" collapsed="false">
      <c r="A15" s="2" t="s">
        <v>419</v>
      </c>
      <c r="B15" s="19" t="n">
        <v>2.14258799073026</v>
      </c>
      <c r="C15" s="2" t="s">
        <v>122</v>
      </c>
    </row>
    <row r="16" customFormat="false" ht="15" hidden="false" customHeight="false" outlineLevel="0" collapsed="false">
      <c r="A16" s="2" t="s">
        <v>420</v>
      </c>
      <c r="B16" s="19" t="n">
        <v>0.487174151585151</v>
      </c>
      <c r="C16" s="2" t="s">
        <v>124</v>
      </c>
    </row>
    <row r="17" customFormat="false" ht="15" hidden="false" customHeight="false" outlineLevel="0" collapsed="false">
      <c r="A17" s="2" t="s">
        <v>421</v>
      </c>
      <c r="B17" s="19" t="n">
        <v>98</v>
      </c>
      <c r="C17" s="2" t="s">
        <v>126</v>
      </c>
    </row>
    <row r="18" customFormat="false" ht="15" hidden="false" customHeight="false" outlineLevel="0" collapsed="false">
      <c r="A18" s="2" t="s">
        <v>127</v>
      </c>
      <c r="B18" s="19" t="n">
        <v>180.034262601044</v>
      </c>
      <c r="C18" s="2" t="s">
        <v>128</v>
      </c>
    </row>
    <row r="19" customFormat="false" ht="15" hidden="false" customHeight="false" outlineLevel="0" collapsed="false">
      <c r="A19" s="2" t="s">
        <v>129</v>
      </c>
      <c r="B19" s="19" t="n">
        <v>442.812832408374</v>
      </c>
      <c r="C19" s="2" t="s">
        <v>422</v>
      </c>
    </row>
    <row r="20" customFormat="false" ht="15" hidden="false" customHeight="false" outlineLevel="0" collapsed="false">
      <c r="A20" s="2" t="s">
        <v>166</v>
      </c>
      <c r="B20" s="19" t="n">
        <v>27.225229281791</v>
      </c>
      <c r="C20" s="2" t="s">
        <v>423</v>
      </c>
    </row>
    <row r="21" customFormat="false" ht="15" hidden="false" customHeight="false" outlineLevel="0" collapsed="false">
      <c r="A21" s="2" t="s">
        <v>173</v>
      </c>
      <c r="B21" s="19" t="n">
        <v>24.9600383201297</v>
      </c>
      <c r="C21" s="2" t="s">
        <v>424</v>
      </c>
    </row>
    <row r="22" customFormat="false" ht="15" hidden="false" customHeight="false" outlineLevel="0" collapsed="false">
      <c r="A22" s="2" t="s">
        <v>175</v>
      </c>
      <c r="B22" s="19" t="n">
        <v>52.1852676019207</v>
      </c>
      <c r="C22" s="2" t="s">
        <v>425</v>
      </c>
    </row>
    <row r="23" customFormat="false" ht="15" hidden="false" customHeight="false" outlineLevel="0" collapsed="false">
      <c r="A23" s="2" t="s">
        <v>177</v>
      </c>
      <c r="B23" s="19" t="n">
        <v>16.6524816120915</v>
      </c>
      <c r="C23" s="2" t="s">
        <v>426</v>
      </c>
    </row>
    <row r="24" customFormat="false" ht="15" hidden="false" customHeight="false" outlineLevel="0" collapsed="false">
      <c r="A24" s="2" t="s">
        <v>178</v>
      </c>
      <c r="B24" s="19" t="n">
        <v>43.4133599276852</v>
      </c>
      <c r="C24" s="2" t="s">
        <v>426</v>
      </c>
    </row>
    <row r="25" customFormat="false" ht="15" hidden="false" customHeight="false" outlineLevel="0" collapsed="false">
      <c r="A25" s="2" t="s">
        <v>427</v>
      </c>
      <c r="B25" s="19" t="n">
        <v>0</v>
      </c>
      <c r="C25" s="2" t="s">
        <v>428</v>
      </c>
    </row>
    <row r="26" customFormat="false" ht="15" hidden="false" customHeight="false" outlineLevel="0" collapsed="false">
      <c r="A26" s="2" t="s">
        <v>183</v>
      </c>
      <c r="B26" s="19" t="n">
        <v>11</v>
      </c>
      <c r="C26" s="2" t="s">
        <v>426</v>
      </c>
    </row>
    <row r="27" customFormat="false" ht="15" hidden="false" customHeight="false" outlineLevel="0" collapsed="false">
      <c r="A27" s="2" t="s">
        <v>429</v>
      </c>
      <c r="B27" s="19" t="n">
        <v>10.5</v>
      </c>
      <c r="C27" s="2" t="s">
        <v>430</v>
      </c>
    </row>
    <row r="28" customFormat="false" ht="15" hidden="false" customHeight="false" outlineLevel="0" collapsed="false">
      <c r="A28" s="2" t="s">
        <v>431</v>
      </c>
      <c r="B28" s="19" t="n">
        <v>9</v>
      </c>
      <c r="C28" s="2" t="s">
        <v>432</v>
      </c>
    </row>
    <row r="29" customFormat="false" ht="15" hidden="false" customHeight="false" outlineLevel="0" collapsed="false">
      <c r="A29" s="2" t="s">
        <v>433</v>
      </c>
      <c r="B29" s="19" t="n">
        <v>7.125</v>
      </c>
      <c r="C29" s="2" t="s">
        <v>434</v>
      </c>
    </row>
    <row r="30" customFormat="false" ht="15" hidden="false" customHeight="false" outlineLevel="0" collapsed="false">
      <c r="A30" s="2" t="s">
        <v>435</v>
      </c>
      <c r="B30" s="19" t="n">
        <v>84</v>
      </c>
      <c r="C30" s="2" t="s">
        <v>204</v>
      </c>
    </row>
    <row r="31" customFormat="false" ht="15" hidden="false" customHeight="false" outlineLevel="0" collapsed="false">
      <c r="A31" s="2" t="s">
        <v>436</v>
      </c>
      <c r="B31" s="19" t="n">
        <v>72</v>
      </c>
      <c r="C31" s="2" t="s">
        <v>437</v>
      </c>
    </row>
    <row r="32" customFormat="false" ht="15" hidden="false" customHeight="false" outlineLevel="0" collapsed="false">
      <c r="A32" s="2" t="s">
        <v>438</v>
      </c>
      <c r="B32" s="19" t="n">
        <v>57</v>
      </c>
      <c r="C32" s="2" t="s">
        <v>439</v>
      </c>
    </row>
    <row r="33" customFormat="false" ht="15" hidden="false" customHeight="false" outlineLevel="0" collapsed="false">
      <c r="A33" s="2" t="s">
        <v>440</v>
      </c>
      <c r="B33" s="19" t="n">
        <v>0.95</v>
      </c>
      <c r="C33" s="2" t="s">
        <v>441</v>
      </c>
    </row>
    <row r="34" customFormat="false" ht="15" hidden="false" customHeight="false" outlineLevel="0" collapsed="false">
      <c r="A34" s="2" t="s">
        <v>442</v>
      </c>
      <c r="B34" s="19" t="n">
        <v>0.8</v>
      </c>
      <c r="C34" s="2" t="s">
        <v>443</v>
      </c>
    </row>
    <row r="35" customFormat="false" ht="15" hidden="false" customHeight="false" outlineLevel="0" collapsed="false">
      <c r="A35" s="2" t="s">
        <v>444</v>
      </c>
      <c r="B35" s="19" t="n">
        <v>13.5134073339649</v>
      </c>
      <c r="C35" s="2" t="s">
        <v>445</v>
      </c>
    </row>
    <row r="36" customFormat="false" ht="15" hidden="false" customHeight="false" outlineLevel="0" collapsed="false">
      <c r="A36" s="2" t="s">
        <v>446</v>
      </c>
      <c r="B36" s="19" t="n">
        <v>9.52380952380952</v>
      </c>
      <c r="C36" s="2" t="s">
        <v>447</v>
      </c>
    </row>
    <row r="37" customFormat="false" ht="15" hidden="false" customHeight="false" outlineLevel="0" collapsed="false">
      <c r="A37" s="2" t="s">
        <v>448</v>
      </c>
      <c r="B37" s="19" t="n">
        <v>47</v>
      </c>
      <c r="C37" s="2" t="s">
        <v>449</v>
      </c>
    </row>
    <row r="38" customFormat="false" ht="15" hidden="false" customHeight="false" outlineLevel="0" collapsed="false">
      <c r="A38" s="2" t="s">
        <v>450</v>
      </c>
      <c r="B38" s="19" t="n">
        <v>4</v>
      </c>
      <c r="C38" s="2" t="s">
        <v>451</v>
      </c>
    </row>
    <row r="39" customFormat="false" ht="15" hidden="false" customHeight="false" outlineLevel="0" collapsed="false">
      <c r="A39" s="2" t="s">
        <v>452</v>
      </c>
      <c r="B39" s="19" t="n">
        <v>3</v>
      </c>
      <c r="C39" s="2" t="s">
        <v>453</v>
      </c>
    </row>
    <row r="40" customFormat="false" ht="15" hidden="false" customHeight="false" outlineLevel="0" collapsed="false">
      <c r="A40" s="2" t="s">
        <v>454</v>
      </c>
      <c r="B40" s="19" t="n">
        <v>8E-005</v>
      </c>
      <c r="C40" s="2" t="s">
        <v>455</v>
      </c>
    </row>
    <row r="41" customFormat="false" ht="15" hidden="false" customHeight="false" outlineLevel="0" collapsed="false">
      <c r="A41" s="2" t="s">
        <v>456</v>
      </c>
      <c r="B41" s="19" t="n">
        <v>-0.04</v>
      </c>
      <c r="C41" s="2" t="s">
        <v>457</v>
      </c>
    </row>
    <row r="42" customFormat="false" ht="15" hidden="false" customHeight="false" outlineLevel="0" collapsed="false">
      <c r="A42" s="2" t="s">
        <v>251</v>
      </c>
      <c r="B42" s="19" t="n">
        <v>0.002</v>
      </c>
      <c r="C42" s="2" t="s">
        <v>458</v>
      </c>
    </row>
    <row r="43" customFormat="false" ht="15" hidden="false" customHeight="false" outlineLevel="0" collapsed="false">
      <c r="A43" s="2" t="s">
        <v>459</v>
      </c>
      <c r="B43" s="19" t="n">
        <v>0.102318</v>
      </c>
      <c r="C43" s="2" t="s">
        <v>254</v>
      </c>
    </row>
    <row r="44" customFormat="false" ht="15" hidden="false" customHeight="false" outlineLevel="0" collapsed="false">
      <c r="A44" s="2" t="s">
        <v>460</v>
      </c>
      <c r="B44" s="19" t="n">
        <v>0.597845643292418</v>
      </c>
      <c r="C44" s="2" t="s">
        <v>256</v>
      </c>
    </row>
    <row r="45" customFormat="false" ht="15" hidden="false" customHeight="false" outlineLevel="0" collapsed="false">
      <c r="A45" s="2" t="s">
        <v>461</v>
      </c>
      <c r="B45" s="19" t="n">
        <v>483.166015669099</v>
      </c>
      <c r="C45" s="2" t="s">
        <v>462</v>
      </c>
    </row>
    <row r="46" customFormat="false" ht="15" hidden="false" customHeight="false" outlineLevel="0" collapsed="false">
      <c r="A46" s="2" t="s">
        <v>463</v>
      </c>
      <c r="B46" s="19" t="n">
        <v>36.9871932179096</v>
      </c>
      <c r="C46" s="2" t="s">
        <v>464</v>
      </c>
    </row>
    <row r="47" customFormat="false" ht="15" hidden="false" customHeight="false" outlineLevel="0" collapsed="false">
      <c r="A47" s="2" t="s">
        <v>465</v>
      </c>
      <c r="B47" s="19" t="n">
        <v>14.2773726877448</v>
      </c>
      <c r="C47" s="2" t="s">
        <v>466</v>
      </c>
    </row>
    <row r="48" customFormat="false" ht="15" hidden="false" customHeight="false" outlineLevel="0" collapsed="false">
      <c r="A48" s="2" t="s">
        <v>467</v>
      </c>
      <c r="B48" s="19" t="n">
        <v>5.77904955936506</v>
      </c>
      <c r="C48" s="2" t="s">
        <v>468</v>
      </c>
    </row>
    <row r="49" customFormat="false" ht="15" hidden="false" customHeight="false" outlineLevel="0" collapsed="false">
      <c r="A49" s="2" t="s">
        <v>469</v>
      </c>
      <c r="B49" s="19" t="n">
        <v>3.16666666666667</v>
      </c>
      <c r="C49" s="2" t="s">
        <v>470</v>
      </c>
    </row>
    <row r="50" customFormat="false" ht="15" hidden="false" customHeight="false" outlineLevel="0" collapsed="false">
      <c r="A50" s="2" t="s">
        <v>471</v>
      </c>
      <c r="B50" s="19" t="n">
        <v>-0.166666666666667</v>
      </c>
      <c r="C50" s="2" t="s">
        <v>472</v>
      </c>
    </row>
    <row r="51" customFormat="false" ht="15" hidden="false" customHeight="false" outlineLevel="0" collapsed="false">
      <c r="A51" s="2" t="s">
        <v>473</v>
      </c>
      <c r="B51" s="19" t="n">
        <v>1.5</v>
      </c>
      <c r="C51" s="2" t="s">
        <v>474</v>
      </c>
    </row>
    <row r="52" customFormat="false" ht="15" hidden="false" customHeight="false" outlineLevel="0" collapsed="false">
      <c r="A52" s="2" t="s">
        <v>475</v>
      </c>
      <c r="B52" s="19" t="n">
        <v>-21.6</v>
      </c>
      <c r="C52" s="2" t="s">
        <v>476</v>
      </c>
    </row>
    <row r="53" customFormat="false" ht="15" hidden="false" customHeight="false" outlineLevel="0" collapsed="false">
      <c r="A53" s="2" t="s">
        <v>477</v>
      </c>
      <c r="B53" s="19" t="n">
        <v>-429.981696</v>
      </c>
      <c r="C53" s="2" t="s">
        <v>478</v>
      </c>
    </row>
    <row r="54" customFormat="false" ht="15" hidden="false" customHeight="false" outlineLevel="0" collapsed="false">
      <c r="A54" s="2" t="s">
        <v>479</v>
      </c>
      <c r="B54" s="19" t="n">
        <v>0</v>
      </c>
      <c r="C54" s="2" t="s">
        <v>480</v>
      </c>
    </row>
    <row r="55" customFormat="false" ht="15" hidden="false" customHeight="false" outlineLevel="0" collapsed="false">
      <c r="A55" s="2" t="s">
        <v>481</v>
      </c>
      <c r="B55" s="19" t="n">
        <v>-0.6</v>
      </c>
      <c r="C55" s="2" t="s">
        <v>482</v>
      </c>
    </row>
    <row r="56" customFormat="false" ht="15" hidden="false" customHeight="false" outlineLevel="0" collapsed="false">
      <c r="A56" s="2" t="s">
        <v>483</v>
      </c>
      <c r="B56" s="19" t="n">
        <v>-1.2</v>
      </c>
      <c r="C56" s="2" t="s">
        <v>484</v>
      </c>
    </row>
    <row r="57" customFormat="false" ht="15" hidden="false" customHeight="false" outlineLevel="0" collapsed="false">
      <c r="A57" s="2" t="s">
        <v>485</v>
      </c>
      <c r="B57" s="19" t="n">
        <v>1.66666666666667</v>
      </c>
      <c r="C57" s="2" t="s">
        <v>486</v>
      </c>
    </row>
    <row r="58" customFormat="false" ht="15" hidden="false" customHeight="false" outlineLevel="0" collapsed="false">
      <c r="A58" s="2" t="s">
        <v>487</v>
      </c>
      <c r="B58" s="19" t="n">
        <v>0.948683298050514</v>
      </c>
      <c r="C58" s="2" t="s">
        <v>488</v>
      </c>
    </row>
    <row r="59" customFormat="false" ht="15" hidden="false" customHeight="false" outlineLevel="0" collapsed="false">
      <c r="A59" s="2" t="s">
        <v>489</v>
      </c>
      <c r="B59" s="19" t="n">
        <v>0.474341649025257</v>
      </c>
      <c r="C59" s="2" t="s">
        <v>490</v>
      </c>
    </row>
    <row r="60" customFormat="false" ht="15" hidden="false" customHeight="false" outlineLevel="0" collapsed="false">
      <c r="A60" s="2" t="s">
        <v>491</v>
      </c>
      <c r="B60" s="19" t="n">
        <v>5.83624408722266</v>
      </c>
      <c r="C60" s="2" t="s">
        <v>492</v>
      </c>
    </row>
    <row r="61" customFormat="false" ht="15" hidden="false" customHeight="false" outlineLevel="0" collapsed="false">
      <c r="A61" s="2" t="s">
        <v>493</v>
      </c>
      <c r="B61" s="19" t="n">
        <v>13.1576269579212</v>
      </c>
      <c r="C61" s="2" t="s">
        <v>494</v>
      </c>
    </row>
    <row r="62" customFormat="false" ht="15" hidden="false" customHeight="false" outlineLevel="0" collapsed="false">
      <c r="A62" s="2" t="s">
        <v>495</v>
      </c>
      <c r="B62" s="19" t="n">
        <v>89.1</v>
      </c>
      <c r="C62" s="2" t="s">
        <v>496</v>
      </c>
    </row>
    <row r="63" customFormat="false" ht="15" hidden="false" customHeight="false" outlineLevel="0" collapsed="false">
      <c r="A63" s="2" t="s">
        <v>497</v>
      </c>
      <c r="B63" s="19" t="n">
        <v>3</v>
      </c>
      <c r="C63" s="2" t="s">
        <v>498</v>
      </c>
    </row>
    <row r="64" customFormat="false" ht="15" hidden="false" customHeight="false" outlineLevel="0" collapsed="false">
      <c r="A64" s="2" t="s">
        <v>499</v>
      </c>
      <c r="B64" s="19" t="n">
        <v>-78.6591</v>
      </c>
      <c r="C64" s="2" t="s">
        <v>500</v>
      </c>
    </row>
    <row r="65" customFormat="false" ht="15" hidden="false" customHeight="false" outlineLevel="0" collapsed="false">
      <c r="A65" s="2" t="s">
        <v>501</v>
      </c>
      <c r="B65" s="19" t="n">
        <v>6</v>
      </c>
      <c r="C65" s="2" t="s">
        <v>468</v>
      </c>
    </row>
    <row r="66" customFormat="false" ht="15" hidden="false" customHeight="false" outlineLevel="0" collapsed="false">
      <c r="A66" s="2" t="s">
        <v>502</v>
      </c>
      <c r="B66" s="19" t="n">
        <v>1</v>
      </c>
      <c r="C66" s="2" t="s">
        <v>503</v>
      </c>
    </row>
    <row r="67" customFormat="false" ht="15" hidden="false" customHeight="false" outlineLevel="0" collapsed="false">
      <c r="A67" s="2" t="s">
        <v>504</v>
      </c>
      <c r="B67" s="19" t="n">
        <v>0.547722557505166</v>
      </c>
      <c r="C67" s="2" t="s">
        <v>505</v>
      </c>
    </row>
    <row r="68" customFormat="false" ht="15" hidden="false" customHeight="false" outlineLevel="0" collapsed="false">
      <c r="A68" s="2" t="s">
        <v>506</v>
      </c>
      <c r="B68" s="19" t="n">
        <v>4</v>
      </c>
      <c r="C68" s="2" t="s">
        <v>507</v>
      </c>
    </row>
    <row r="69" customFormat="false" ht="15" hidden="false" customHeight="false" outlineLevel="0" collapsed="false">
      <c r="A69" s="2" t="s">
        <v>508</v>
      </c>
      <c r="B69" s="19" t="n">
        <v>4</v>
      </c>
      <c r="C69" s="2" t="s">
        <v>509</v>
      </c>
    </row>
    <row r="70" customFormat="false" ht="15" hidden="false" customHeight="false" outlineLevel="0" collapsed="false">
      <c r="A70" s="2" t="s">
        <v>510</v>
      </c>
      <c r="B70" s="19" t="n">
        <v>0.3375</v>
      </c>
      <c r="C70" s="2" t="s">
        <v>511</v>
      </c>
    </row>
    <row r="71" customFormat="false" ht="15" hidden="false" customHeight="false" outlineLevel="0" collapsed="false">
      <c r="A71" s="2" t="s">
        <v>512</v>
      </c>
      <c r="B71" s="19" t="n">
        <v>0.45</v>
      </c>
      <c r="C71" s="2" t="s">
        <v>513</v>
      </c>
    </row>
    <row r="72" customFormat="false" ht="15" hidden="false" customHeight="false" outlineLevel="0" collapsed="false">
      <c r="A72" s="2" t="s">
        <v>514</v>
      </c>
      <c r="B72" s="19" t="n">
        <v>7</v>
      </c>
      <c r="C72" s="2" t="s">
        <v>515</v>
      </c>
    </row>
    <row r="73" customFormat="false" ht="15" hidden="false" customHeight="false" outlineLevel="0" collapsed="false">
      <c r="A73" s="2" t="s">
        <v>516</v>
      </c>
      <c r="B73" s="19" t="n">
        <v>1</v>
      </c>
      <c r="C73" s="2" t="s">
        <v>517</v>
      </c>
    </row>
    <row r="74" customFormat="false" ht="15" hidden="false" customHeight="false" outlineLevel="0" collapsed="false">
      <c r="A74" s="2" t="s">
        <v>518</v>
      </c>
      <c r="B74" s="19" t="n">
        <v>-51</v>
      </c>
      <c r="C74" s="2" t="s">
        <v>519</v>
      </c>
    </row>
    <row r="75" customFormat="false" ht="15" hidden="false" customHeight="false" outlineLevel="0" collapsed="false">
      <c r="A75" s="2" t="s">
        <v>520</v>
      </c>
      <c r="B75" s="19" t="n">
        <v>72.09</v>
      </c>
      <c r="C75" s="2" t="s">
        <v>206</v>
      </c>
    </row>
    <row r="76" customFormat="false" ht="15" hidden="false" customHeight="false" outlineLevel="0" collapsed="false">
      <c r="A76" s="2" t="s">
        <v>521</v>
      </c>
      <c r="B76" s="19" t="n">
        <v>2.6</v>
      </c>
      <c r="C76" s="2" t="s">
        <v>522</v>
      </c>
    </row>
    <row r="77" customFormat="false" ht="15" hidden="false" customHeight="false" outlineLevel="0" collapsed="false">
      <c r="A77" s="2" t="s">
        <v>523</v>
      </c>
      <c r="B77" s="19" t="n">
        <v>3.11051</v>
      </c>
      <c r="C77" s="2" t="s">
        <v>524</v>
      </c>
    </row>
    <row r="78" customFormat="false" ht="15" hidden="false" customHeight="false" outlineLevel="0" collapsed="false">
      <c r="A78" s="2" t="s">
        <v>525</v>
      </c>
      <c r="B78" s="19" t="n">
        <v>-0.271561000000001</v>
      </c>
      <c r="C78" s="2" t="s">
        <v>526</v>
      </c>
    </row>
    <row r="79" customFormat="false" ht="15" hidden="false" customHeight="false" outlineLevel="0" collapsed="false">
      <c r="A79" s="2" t="s">
        <v>527</v>
      </c>
      <c r="B79" s="19" t="n">
        <v>1.66666666666667</v>
      </c>
      <c r="C79" s="2" t="s">
        <v>347</v>
      </c>
    </row>
    <row r="80" customFormat="false" ht="15" hidden="false" customHeight="false" outlineLevel="0" collapsed="false">
      <c r="A80" s="2" t="s">
        <v>528</v>
      </c>
      <c r="B80" s="19" t="n">
        <v>3.33333333333333</v>
      </c>
      <c r="C80" s="2" t="s">
        <v>349</v>
      </c>
    </row>
    <row r="81" customFormat="false" ht="15" hidden="false" customHeight="false" outlineLevel="0" collapsed="false">
      <c r="A81" s="2" t="s">
        <v>529</v>
      </c>
      <c r="B81" s="19" t="n">
        <v>13.5714285714286</v>
      </c>
      <c r="C81" s="2" t="s">
        <v>530</v>
      </c>
    </row>
    <row r="82" customFormat="false" ht="15" hidden="false" customHeight="false" outlineLevel="0" collapsed="false">
      <c r="A82" s="2" t="s">
        <v>531</v>
      </c>
      <c r="B82" s="19" t="n">
        <v>-5.78571428571428</v>
      </c>
      <c r="C82" s="2" t="s">
        <v>530</v>
      </c>
    </row>
    <row r="83" customFormat="false" ht="15" hidden="false" customHeight="false" outlineLevel="0" collapsed="false">
      <c r="A83" s="2" t="s">
        <v>532</v>
      </c>
      <c r="B83" s="19" t="n">
        <v>11.9928571428571</v>
      </c>
      <c r="C83" s="2" t="s">
        <v>530</v>
      </c>
    </row>
    <row r="84" customFormat="false" ht="15" hidden="false" customHeight="false" outlineLevel="0" collapsed="false">
      <c r="A84" s="2" t="s">
        <v>533</v>
      </c>
      <c r="B84" s="19" t="n">
        <v>0</v>
      </c>
      <c r="C84" s="2" t="s">
        <v>534</v>
      </c>
    </row>
    <row r="85" customFormat="false" ht="15" hidden="false" customHeight="false" outlineLevel="0" collapsed="false">
      <c r="A85" s="2" t="s">
        <v>535</v>
      </c>
      <c r="B85" s="19" t="n">
        <v>1</v>
      </c>
      <c r="C85" s="2" t="s">
        <v>536</v>
      </c>
    </row>
    <row r="86" customFormat="false" ht="15" hidden="false" customHeight="false" outlineLevel="0" collapsed="false">
      <c r="A86" s="2" t="s">
        <v>537</v>
      </c>
      <c r="B86" s="19" t="n">
        <v>18</v>
      </c>
      <c r="C86" s="2" t="s">
        <v>538</v>
      </c>
    </row>
    <row r="87" customFormat="false" ht="15" hidden="false" customHeight="false" outlineLevel="0" collapsed="false">
      <c r="A87" s="2" t="s">
        <v>539</v>
      </c>
      <c r="B87" s="19" t="n">
        <v>0</v>
      </c>
      <c r="C87" s="2" t="s">
        <v>540</v>
      </c>
    </row>
    <row r="88" customFormat="false" ht="15" hidden="false" customHeight="false" outlineLevel="0" collapsed="false">
      <c r="A88" s="2" t="s">
        <v>541</v>
      </c>
      <c r="B88" s="19" t="n">
        <v>10.2972987232247</v>
      </c>
      <c r="C88" s="2" t="s">
        <v>542</v>
      </c>
    </row>
    <row r="89" customFormat="false" ht="15" hidden="false" customHeight="false" outlineLevel="0" collapsed="false">
      <c r="A89" s="2" t="s">
        <v>543</v>
      </c>
      <c r="B89" s="19" t="n">
        <v>4.60691839453413</v>
      </c>
      <c r="C89" s="2" t="s">
        <v>542</v>
      </c>
    </row>
    <row r="90" customFormat="false" ht="15" hidden="false" customHeight="false" outlineLevel="0" collapsed="false">
      <c r="A90" s="2" t="s">
        <v>544</v>
      </c>
      <c r="B90" s="19" t="n">
        <v>5.70253970138229</v>
      </c>
      <c r="C90" s="2" t="s">
        <v>542</v>
      </c>
    </row>
    <row r="91" customFormat="false" ht="15" hidden="false" customHeight="false" outlineLevel="0" collapsed="false">
      <c r="A91" s="2" t="s">
        <v>545</v>
      </c>
      <c r="B91" s="19" t="n">
        <v>2.77777777777778</v>
      </c>
      <c r="C91" s="2" t="s">
        <v>542</v>
      </c>
    </row>
    <row r="92" customFormat="false" ht="15" hidden="false" customHeight="false" outlineLevel="0" collapsed="false">
      <c r="A92" s="2" t="s">
        <v>546</v>
      </c>
      <c r="B92" s="19" t="n">
        <v>0</v>
      </c>
      <c r="C92" s="2" t="s">
        <v>547</v>
      </c>
    </row>
    <row r="93" customFormat="false" ht="15" hidden="false" customHeight="false" outlineLevel="0" collapsed="false">
      <c r="A93" s="2" t="s">
        <v>548</v>
      </c>
      <c r="B93" s="19" t="n">
        <v>1</v>
      </c>
      <c r="C93" s="2" t="s">
        <v>549</v>
      </c>
    </row>
    <row r="94" customFormat="false" ht="15" hidden="false" customHeight="false" outlineLevel="0" collapsed="false">
      <c r="A94" s="2" t="s">
        <v>550</v>
      </c>
      <c r="B94" s="19" t="n">
        <v>0</v>
      </c>
      <c r="C94" s="2" t="s">
        <v>551</v>
      </c>
    </row>
    <row r="95" customFormat="false" ht="15" hidden="false" customHeight="false" outlineLevel="0" collapsed="false">
      <c r="A95" s="2" t="s">
        <v>552</v>
      </c>
      <c r="B95" s="19" t="n">
        <v>0</v>
      </c>
      <c r="C95" s="2" t="s">
        <v>553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5" min="4" style="0" width="11"/>
    <col collapsed="false" customWidth="true" hidden="false" outlineLevel="0" max="6" min="6" style="0" width="10"/>
  </cols>
  <sheetData>
    <row r="1" customFormat="false" ht="15" hidden="false" customHeight="false" outlineLevel="0" collapsed="false">
      <c r="A1" s="8" t="s">
        <v>396</v>
      </c>
      <c r="B1" s="8" t="s">
        <v>554</v>
      </c>
      <c r="C1" s="8" t="s">
        <v>397</v>
      </c>
      <c r="D1" s="8" t="s">
        <v>555</v>
      </c>
      <c r="E1" s="8" t="s">
        <v>556</v>
      </c>
      <c r="F1" s="8" t="s">
        <v>557</v>
      </c>
    </row>
    <row r="2" customFormat="false" ht="15" hidden="false" customHeight="false" outlineLevel="0" collapsed="false">
      <c r="A2" s="2" t="s">
        <v>184</v>
      </c>
      <c r="B2" s="20" t="n">
        <f aca="false">Superposition!O13</f>
        <v>53</v>
      </c>
      <c r="C2" s="25" t="n">
        <f aca="false">Reference_Values!B2</f>
        <v>53</v>
      </c>
      <c r="D2" s="21" t="n">
        <f aca="false">ABS(B2-C2)</f>
        <v>0</v>
      </c>
      <c r="E2" s="26" t="n">
        <v>1E-009</v>
      </c>
      <c r="F2" s="4" t="str">
        <f aca="false">IF(D2&lt;=E2,"PASS","FAIL")</f>
        <v>PASS</v>
      </c>
    </row>
    <row r="3" customFormat="false" ht="15" hidden="false" customHeight="false" outlineLevel="0" collapsed="false">
      <c r="A3" s="2" t="s">
        <v>188</v>
      </c>
      <c r="B3" s="20" t="n">
        <f aca="false">Superposition!O15</f>
        <v>54.5</v>
      </c>
      <c r="C3" s="25" t="n">
        <f aca="false">Reference_Values!B3</f>
        <v>54.5</v>
      </c>
      <c r="D3" s="21" t="n">
        <f aca="false">ABS(B3-C3)</f>
        <v>0</v>
      </c>
      <c r="E3" s="26" t="n">
        <v>1E-009</v>
      </c>
      <c r="F3" s="4" t="str">
        <f aca="false">IF(D3&lt;=E3,"PASS","FAIL")</f>
        <v>PASS</v>
      </c>
    </row>
    <row r="4" customFormat="false" ht="15" hidden="false" customHeight="false" outlineLevel="0" collapsed="false">
      <c r="A4" s="2" t="s">
        <v>401</v>
      </c>
      <c r="B4" s="20" t="n">
        <f aca="false">Clock!B4</f>
        <v>2.19722457733622</v>
      </c>
      <c r="C4" s="25" t="n">
        <f aca="false">Reference_Values!B4</f>
        <v>2.19722457733622</v>
      </c>
      <c r="D4" s="21" t="n">
        <f aca="false">ABS(B4-C4)</f>
        <v>0</v>
      </c>
      <c r="E4" s="26" t="n">
        <v>1E-009</v>
      </c>
      <c r="F4" s="4" t="str">
        <f aca="false">IF(D4&lt;=E4,"PASS","FAIL")</f>
        <v>PASS</v>
      </c>
    </row>
    <row r="5" customFormat="false" ht="15" hidden="false" customHeight="false" outlineLevel="0" collapsed="false">
      <c r="A5" s="2" t="s">
        <v>403</v>
      </c>
      <c r="B5" s="20" t="n">
        <f aca="false">Clock!B5</f>
        <v>1.38629436111989</v>
      </c>
      <c r="C5" s="25" t="n">
        <f aca="false">Reference_Values!B5</f>
        <v>1.38629436111989</v>
      </c>
      <c r="D5" s="21" t="n">
        <f aca="false">ABS(B5-C5)</f>
        <v>0</v>
      </c>
      <c r="E5" s="26" t="n">
        <v>1E-009</v>
      </c>
      <c r="F5" s="4" t="str">
        <f aca="false">IF(D5&lt;=E5,"PASS","FAIL")</f>
        <v>PASS</v>
      </c>
    </row>
    <row r="6" customFormat="false" ht="15" hidden="false" customHeight="false" outlineLevel="0" collapsed="false">
      <c r="A6" s="2" t="s">
        <v>405</v>
      </c>
      <c r="B6" s="20" t="n">
        <f aca="false">QuarterlyLaw!L43</f>
        <v>0</v>
      </c>
      <c r="C6" s="25" t="n">
        <f aca="false">Reference_Values!B6</f>
        <v>8.5265128291212E-014</v>
      </c>
      <c r="D6" s="21" t="n">
        <f aca="false">ABS(B6-C6)</f>
        <v>8.5265128291212E-014</v>
      </c>
      <c r="E6" s="26" t="n">
        <v>1E-009</v>
      </c>
      <c r="F6" s="4" t="str">
        <f aca="false">IF(D6&lt;=E6,"PASS","FAIL")</f>
        <v>PASS</v>
      </c>
    </row>
    <row r="7" customFormat="false" ht="15" hidden="false" customHeight="false" outlineLevel="0" collapsed="false">
      <c r="A7" s="2" t="s">
        <v>407</v>
      </c>
      <c r="B7" s="20" t="n">
        <f aca="false">QuarterlyLaw!B26</f>
        <v>0</v>
      </c>
      <c r="C7" s="25" t="n">
        <f aca="false">Reference_Values!B7</f>
        <v>0</v>
      </c>
      <c r="D7" s="21" t="n">
        <f aca="false">ABS(B7-C7)</f>
        <v>0</v>
      </c>
      <c r="E7" s="26" t="n">
        <v>1E-009</v>
      </c>
      <c r="F7" s="4" t="str">
        <f aca="false">IF(D7&lt;=E7,"PASS","FAIL")</f>
        <v>PASS</v>
      </c>
    </row>
    <row r="8" customFormat="false" ht="15" hidden="false" customHeight="false" outlineLevel="0" collapsed="false">
      <c r="A8" s="2" t="s">
        <v>409</v>
      </c>
      <c r="B8" s="20" t="n">
        <f aca="false">QuarterlyLaw!L44</f>
        <v>0.179140696297594</v>
      </c>
      <c r="C8" s="25" t="n">
        <f aca="false">Reference_Values!B8</f>
        <v>0.179140696297608</v>
      </c>
      <c r="D8" s="21" t="n">
        <f aca="false">ABS(B8-C8)</f>
        <v>1.41830991395864E-014</v>
      </c>
      <c r="E8" s="26" t="n">
        <v>1E-006</v>
      </c>
      <c r="F8" s="4" t="str">
        <f aca="false">IF(D8&lt;=E8,"PASS","FAIL")</f>
        <v>PASS</v>
      </c>
    </row>
    <row r="9" customFormat="false" ht="15" hidden="false" customHeight="false" outlineLevel="0" collapsed="false">
      <c r="A9" s="2" t="s">
        <v>411</v>
      </c>
      <c r="B9" s="20" t="n">
        <f aca="false">100*Clock!B11</f>
        <v>25.2322716191864</v>
      </c>
      <c r="C9" s="25" t="n">
        <f aca="false">Reference_Values!B9</f>
        <v>25.2322716191864</v>
      </c>
      <c r="D9" s="21" t="n">
        <f aca="false">ABS(B9-C9)</f>
        <v>0</v>
      </c>
      <c r="E9" s="26" t="n">
        <v>1E-009</v>
      </c>
      <c r="F9" s="4" t="str">
        <f aca="false">IF(D9&lt;=E9,"PASS","FAIL")</f>
        <v>PASS</v>
      </c>
    </row>
    <row r="10" customFormat="false" ht="15" hidden="false" customHeight="false" outlineLevel="0" collapsed="false">
      <c r="A10" s="2" t="s">
        <v>413</v>
      </c>
      <c r="B10" s="20" t="n">
        <f aca="false">Clock!B9</f>
        <v>0.770163533955495</v>
      </c>
      <c r="C10" s="25" t="n">
        <f aca="false">Reference_Values!B10</f>
        <v>0.770163533955495</v>
      </c>
      <c r="D10" s="21" t="n">
        <f aca="false">ABS(B10-C10)</f>
        <v>0</v>
      </c>
      <c r="E10" s="26" t="n">
        <v>1E-009</v>
      </c>
      <c r="F10" s="4" t="str">
        <f aca="false">IF(D10&lt;=E10,"PASS","FAIL")</f>
        <v>PASS</v>
      </c>
    </row>
    <row r="11" customFormat="false" ht="15" hidden="false" customHeight="false" outlineLevel="0" collapsed="false">
      <c r="A11" s="2" t="s">
        <v>415</v>
      </c>
      <c r="B11" s="20" t="n">
        <f aca="false">Clock!B10</f>
        <v>4.32424477567847</v>
      </c>
      <c r="C11" s="25" t="n">
        <f aca="false">Reference_Values!B11</f>
        <v>4.32424477567847</v>
      </c>
      <c r="D11" s="21" t="n">
        <f aca="false">ABS(B11-C11)</f>
        <v>0</v>
      </c>
      <c r="E11" s="26" t="n">
        <v>1E-009</v>
      </c>
      <c r="F11" s="4" t="str">
        <f aca="false">IF(D11&lt;=E11,"PASS","FAIL")</f>
        <v>PASS</v>
      </c>
    </row>
    <row r="12" customFormat="false" ht="15" hidden="false" customHeight="false" outlineLevel="0" collapsed="false">
      <c r="A12" s="2" t="s">
        <v>417</v>
      </c>
      <c r="B12" s="20" t="n">
        <f aca="false">Clock!B14</f>
        <v>81.8791282071504</v>
      </c>
      <c r="C12" s="25" t="n">
        <f aca="false">Reference_Values!B12</f>
        <v>81.8791282071504</v>
      </c>
      <c r="D12" s="21" t="n">
        <f aca="false">ABS(B12-C12)</f>
        <v>0</v>
      </c>
      <c r="E12" s="26" t="n">
        <v>1E-009</v>
      </c>
      <c r="F12" s="4" t="str">
        <f aca="false">IF(D12&lt;=E12,"PASS","FAIL")</f>
        <v>PASS</v>
      </c>
    </row>
    <row r="13" customFormat="false" ht="15" hidden="false" customHeight="false" outlineLevel="0" collapsed="false">
      <c r="A13" s="2" t="s">
        <v>418</v>
      </c>
      <c r="B13" s="20" t="n">
        <f aca="false">Clock!B15</f>
        <v>99.3989266985556</v>
      </c>
      <c r="C13" s="25" t="n">
        <f aca="false">Reference_Values!B13</f>
        <v>99.3989266985556</v>
      </c>
      <c r="D13" s="21" t="n">
        <f aca="false">ABS(B13-C13)</f>
        <v>0</v>
      </c>
      <c r="E13" s="26" t="n">
        <v>1E-009</v>
      </c>
      <c r="F13" s="4" t="str">
        <f aca="false">IF(D13&lt;=E13,"PASS","FAIL")</f>
        <v>PASS</v>
      </c>
    </row>
    <row r="14" customFormat="false" ht="15" hidden="false" customHeight="false" outlineLevel="0" collapsed="false">
      <c r="A14" s="2" t="s">
        <v>115</v>
      </c>
      <c r="B14" s="20" t="n">
        <f aca="false">Clock!B16</f>
        <v>58.1286024143917</v>
      </c>
      <c r="C14" s="25" t="n">
        <f aca="false">Reference_Values!B14</f>
        <v>58.1286024143917</v>
      </c>
      <c r="D14" s="21" t="n">
        <f aca="false">ABS(B14-C14)</f>
        <v>0</v>
      </c>
      <c r="E14" s="26" t="n">
        <v>1E-009</v>
      </c>
      <c r="F14" s="4" t="str">
        <f aca="false">IF(D14&lt;=E14,"PASS","FAIL")</f>
        <v>PASS</v>
      </c>
    </row>
    <row r="15" customFormat="false" ht="15" hidden="false" customHeight="false" outlineLevel="0" collapsed="false">
      <c r="A15" s="2" t="s">
        <v>419</v>
      </c>
      <c r="B15" s="20" t="n">
        <f aca="false">Clock!B20</f>
        <v>2.14258799073026</v>
      </c>
      <c r="C15" s="25" t="n">
        <f aca="false">Reference_Values!B15</f>
        <v>2.14258799073026</v>
      </c>
      <c r="D15" s="21" t="n">
        <f aca="false">ABS(B15-C15)</f>
        <v>0</v>
      </c>
      <c r="E15" s="26" t="n">
        <v>1E-009</v>
      </c>
      <c r="F15" s="4" t="str">
        <f aca="false">IF(D15&lt;=E15,"PASS","FAIL")</f>
        <v>PASS</v>
      </c>
    </row>
    <row r="16" customFormat="false" ht="15" hidden="false" customHeight="false" outlineLevel="0" collapsed="false">
      <c r="A16" s="2" t="s">
        <v>420</v>
      </c>
      <c r="B16" s="20" t="n">
        <f aca="false">Clock!B21</f>
        <v>0.487174151585151</v>
      </c>
      <c r="C16" s="25" t="n">
        <f aca="false">Reference_Values!B16</f>
        <v>0.487174151585151</v>
      </c>
      <c r="D16" s="21" t="n">
        <f aca="false">ABS(B16-C16)</f>
        <v>0</v>
      </c>
      <c r="E16" s="26" t="n">
        <v>1E-009</v>
      </c>
      <c r="F16" s="4" t="str">
        <f aca="false">IF(D16&lt;=E16,"PASS","FAIL")</f>
        <v>PASS</v>
      </c>
    </row>
    <row r="17" customFormat="false" ht="15" hidden="false" customHeight="false" outlineLevel="0" collapsed="false">
      <c r="A17" s="2" t="s">
        <v>421</v>
      </c>
      <c r="B17" s="20" t="n">
        <f aca="false">Clock!B22</f>
        <v>98</v>
      </c>
      <c r="C17" s="25" t="n">
        <f aca="false">Reference_Values!B17</f>
        <v>98</v>
      </c>
      <c r="D17" s="21" t="n">
        <f aca="false">ABS(B17-C17)</f>
        <v>0</v>
      </c>
      <c r="E17" s="26" t="n">
        <v>1E-009</v>
      </c>
      <c r="F17" s="4" t="str">
        <f aca="false">IF(D17&lt;=E17,"PASS","FAIL")</f>
        <v>PASS</v>
      </c>
    </row>
    <row r="18" customFormat="false" ht="15" hidden="false" customHeight="false" outlineLevel="0" collapsed="false">
      <c r="A18" s="2" t="s">
        <v>127</v>
      </c>
      <c r="B18" s="20" t="n">
        <f aca="false">Clock!B23</f>
        <v>180.034262601044</v>
      </c>
      <c r="C18" s="25" t="n">
        <f aca="false">Reference_Values!B18</f>
        <v>180.034262601044</v>
      </c>
      <c r="D18" s="21" t="n">
        <f aca="false">ABS(B18-C18)</f>
        <v>0</v>
      </c>
      <c r="E18" s="26" t="n">
        <v>1E-009</v>
      </c>
      <c r="F18" s="4" t="str">
        <f aca="false">IF(D18&lt;=E18,"PASS","FAIL")</f>
        <v>PASS</v>
      </c>
    </row>
    <row r="19" customFormat="false" ht="15" hidden="false" customHeight="false" outlineLevel="0" collapsed="false">
      <c r="A19" s="2" t="s">
        <v>129</v>
      </c>
      <c r="B19" s="20" t="n">
        <f aca="false">Clock!B24</f>
        <v>442.812832408374</v>
      </c>
      <c r="C19" s="25" t="n">
        <f aca="false">Reference_Values!B19</f>
        <v>442.812832408374</v>
      </c>
      <c r="D19" s="21" t="n">
        <f aca="false">ABS(B19-C19)</f>
        <v>0</v>
      </c>
      <c r="E19" s="26" t="n">
        <v>1E-009</v>
      </c>
      <c r="F19" s="4" t="str">
        <f aca="false">IF(D19&lt;=E19,"PASS","FAIL")</f>
        <v>PASS</v>
      </c>
    </row>
    <row r="20" customFormat="false" ht="15" hidden="false" customHeight="false" outlineLevel="0" collapsed="false">
      <c r="A20" s="2" t="s">
        <v>166</v>
      </c>
      <c r="B20" s="20" t="n">
        <f aca="false">Superposition!O4</f>
        <v>27.225229281791</v>
      </c>
      <c r="C20" s="25" t="n">
        <f aca="false">Reference_Values!B20</f>
        <v>27.225229281791</v>
      </c>
      <c r="D20" s="21" t="n">
        <f aca="false">ABS(B20-C20)</f>
        <v>0</v>
      </c>
      <c r="E20" s="26" t="n">
        <v>1E-009</v>
      </c>
      <c r="F20" s="4" t="str">
        <f aca="false">IF(D20&lt;=E20,"PASS","FAIL")</f>
        <v>PASS</v>
      </c>
    </row>
    <row r="21" customFormat="false" ht="15" hidden="false" customHeight="false" outlineLevel="0" collapsed="false">
      <c r="A21" s="2" t="s">
        <v>173</v>
      </c>
      <c r="B21" s="20" t="n">
        <f aca="false">Superposition!O5</f>
        <v>24.9600383201297</v>
      </c>
      <c r="C21" s="25" t="n">
        <f aca="false">Reference_Values!B21</f>
        <v>24.9600383201297</v>
      </c>
      <c r="D21" s="21" t="n">
        <f aca="false">ABS(B21-C21)</f>
        <v>0</v>
      </c>
      <c r="E21" s="26" t="n">
        <v>1E-009</v>
      </c>
      <c r="F21" s="4" t="str">
        <f aca="false">IF(D21&lt;=E21,"PASS","FAIL")</f>
        <v>PASS</v>
      </c>
    </row>
    <row r="22" customFormat="false" ht="15" hidden="false" customHeight="false" outlineLevel="0" collapsed="false">
      <c r="A22" s="2" t="s">
        <v>175</v>
      </c>
      <c r="B22" s="20" t="n">
        <f aca="false">Superposition!O6</f>
        <v>52.1852676019207</v>
      </c>
      <c r="C22" s="25" t="n">
        <f aca="false">Reference_Values!B22</f>
        <v>52.1852676019207</v>
      </c>
      <c r="D22" s="21" t="n">
        <f aca="false">ABS(B22-C22)</f>
        <v>0</v>
      </c>
      <c r="E22" s="26" t="n">
        <v>1E-009</v>
      </c>
      <c r="F22" s="4" t="str">
        <f aca="false">IF(D22&lt;=E22,"PASS","FAIL")</f>
        <v>PASS</v>
      </c>
    </row>
    <row r="23" customFormat="false" ht="15" hidden="false" customHeight="false" outlineLevel="0" collapsed="false">
      <c r="A23" s="2" t="s">
        <v>177</v>
      </c>
      <c r="B23" s="20" t="n">
        <f aca="false">Superposition!O7</f>
        <v>16.6524816120915</v>
      </c>
      <c r="C23" s="25" t="n">
        <f aca="false">Reference_Values!B23</f>
        <v>16.6524816120915</v>
      </c>
      <c r="D23" s="21" t="n">
        <f aca="false">ABS(B23-C23)</f>
        <v>0</v>
      </c>
      <c r="E23" s="26" t="n">
        <v>1E-009</v>
      </c>
      <c r="F23" s="4" t="str">
        <f aca="false">IF(D23&lt;=E23,"PASS","FAIL")</f>
        <v>PASS</v>
      </c>
    </row>
    <row r="24" customFormat="false" ht="15" hidden="false" customHeight="false" outlineLevel="0" collapsed="false">
      <c r="A24" s="2" t="s">
        <v>178</v>
      </c>
      <c r="B24" s="20" t="n">
        <f aca="false">Superposition!O8</f>
        <v>43.4133599276852</v>
      </c>
      <c r="C24" s="25" t="n">
        <f aca="false">Reference_Values!B24</f>
        <v>43.4133599276852</v>
      </c>
      <c r="D24" s="21" t="n">
        <f aca="false">ABS(B24-C24)</f>
        <v>0</v>
      </c>
      <c r="E24" s="26" t="n">
        <v>1E-009</v>
      </c>
      <c r="F24" s="4" t="str">
        <f aca="false">IF(D24&lt;=E24,"PASS","FAIL")</f>
        <v>PASS</v>
      </c>
    </row>
    <row r="25" customFormat="false" ht="15" hidden="false" customHeight="false" outlineLevel="0" collapsed="false">
      <c r="A25" s="2" t="s">
        <v>427</v>
      </c>
      <c r="B25" s="20" t="n">
        <f aca="false">Superposition!O10</f>
        <v>3.10862446895044E-015</v>
      </c>
      <c r="C25" s="25" t="n">
        <f aca="false">Reference_Values!B25</f>
        <v>0</v>
      </c>
      <c r="D25" s="21" t="n">
        <f aca="false">ABS(B25-C25)</f>
        <v>3.10862446895044E-015</v>
      </c>
      <c r="E25" s="26" t="n">
        <v>1E-009</v>
      </c>
      <c r="F25" s="4" t="str">
        <f aca="false">IF(D25&lt;=E25,"PASS","FAIL")</f>
        <v>PASS</v>
      </c>
    </row>
    <row r="26" customFormat="false" ht="15" hidden="false" customHeight="false" outlineLevel="0" collapsed="false">
      <c r="A26" s="2" t="s">
        <v>183</v>
      </c>
      <c r="B26" s="20" t="n">
        <f aca="false">Superposition!O11</f>
        <v>11</v>
      </c>
      <c r="C26" s="25" t="n">
        <f aca="false">Reference_Values!B26</f>
        <v>11</v>
      </c>
      <c r="D26" s="21" t="n">
        <f aca="false">ABS(B26-C26)</f>
        <v>0</v>
      </c>
      <c r="E26" s="26" t="n">
        <v>0</v>
      </c>
      <c r="F26" s="4" t="str">
        <f aca="false">IF(D26&lt;=E26,"PASS","FAIL")</f>
        <v>PASS</v>
      </c>
    </row>
    <row r="27" customFormat="false" ht="15" hidden="false" customHeight="false" outlineLevel="0" collapsed="false">
      <c r="A27" s="2" t="s">
        <v>429</v>
      </c>
      <c r="B27" s="20" t="n">
        <f aca="false">PolicyMap!I5</f>
        <v>10.5</v>
      </c>
      <c r="C27" s="25" t="n">
        <f aca="false">Reference_Values!B27</f>
        <v>10.5</v>
      </c>
      <c r="D27" s="21" t="n">
        <f aca="false">ABS(B27-C27)</f>
        <v>0</v>
      </c>
      <c r="E27" s="26" t="n">
        <v>1E-009</v>
      </c>
      <c r="F27" s="4" t="str">
        <f aca="false">IF(D27&lt;=E27,"PASS","FAIL")</f>
        <v>PASS</v>
      </c>
    </row>
    <row r="28" customFormat="false" ht="15" hidden="false" customHeight="false" outlineLevel="0" collapsed="false">
      <c r="A28" s="2" t="s">
        <v>431</v>
      </c>
      <c r="B28" s="20" t="n">
        <f aca="false">PolicyMap!I6</f>
        <v>9</v>
      </c>
      <c r="C28" s="25" t="n">
        <f aca="false">Reference_Values!B28</f>
        <v>9</v>
      </c>
      <c r="D28" s="21" t="n">
        <f aca="false">ABS(B28-C28)</f>
        <v>0</v>
      </c>
      <c r="E28" s="26" t="n">
        <v>1E-009</v>
      </c>
      <c r="F28" s="4" t="str">
        <f aca="false">IF(D28&lt;=E28,"PASS","FAIL")</f>
        <v>PASS</v>
      </c>
    </row>
    <row r="29" customFormat="false" ht="15" hidden="false" customHeight="false" outlineLevel="0" collapsed="false">
      <c r="A29" s="2" t="s">
        <v>433</v>
      </c>
      <c r="B29" s="20" t="n">
        <f aca="false">PolicyMap!I7</f>
        <v>7.125</v>
      </c>
      <c r="C29" s="25" t="n">
        <f aca="false">Reference_Values!B29</f>
        <v>7.125</v>
      </c>
      <c r="D29" s="21" t="n">
        <f aca="false">ABS(B29-C29)</f>
        <v>0</v>
      </c>
      <c r="E29" s="26" t="n">
        <v>1E-009</v>
      </c>
      <c r="F29" s="4" t="str">
        <f aca="false">IF(D29&lt;=E29,"PASS","FAIL")</f>
        <v>PASS</v>
      </c>
    </row>
    <row r="30" customFormat="false" ht="15" hidden="false" customHeight="false" outlineLevel="0" collapsed="false">
      <c r="A30" s="2" t="s">
        <v>435</v>
      </c>
      <c r="B30" s="20" t="n">
        <f aca="false">PolicyMap!I8</f>
        <v>84</v>
      </c>
      <c r="C30" s="25" t="n">
        <f aca="false">Reference_Values!B30</f>
        <v>84</v>
      </c>
      <c r="D30" s="21" t="n">
        <f aca="false">ABS(B30-C30)</f>
        <v>0</v>
      </c>
      <c r="E30" s="26" t="n">
        <v>1E-009</v>
      </c>
      <c r="F30" s="4" t="str">
        <f aca="false">IF(D30&lt;=E30,"PASS","FAIL")</f>
        <v>PASS</v>
      </c>
    </row>
    <row r="31" customFormat="false" ht="15" hidden="false" customHeight="false" outlineLevel="0" collapsed="false">
      <c r="A31" s="2" t="s">
        <v>436</v>
      </c>
      <c r="B31" s="20" t="n">
        <f aca="false">PolicyMap!I9</f>
        <v>72</v>
      </c>
      <c r="C31" s="25" t="n">
        <f aca="false">Reference_Values!B31</f>
        <v>72</v>
      </c>
      <c r="D31" s="21" t="n">
        <f aca="false">ABS(B31-C31)</f>
        <v>0</v>
      </c>
      <c r="E31" s="26" t="n">
        <v>1E-009</v>
      </c>
      <c r="F31" s="4" t="str">
        <f aca="false">IF(D31&lt;=E31,"PASS","FAIL")</f>
        <v>PASS</v>
      </c>
    </row>
    <row r="32" customFormat="false" ht="15" hidden="false" customHeight="false" outlineLevel="0" collapsed="false">
      <c r="A32" s="2" t="s">
        <v>438</v>
      </c>
      <c r="B32" s="20" t="n">
        <f aca="false">PolicyMap!I10</f>
        <v>57</v>
      </c>
      <c r="C32" s="25" t="n">
        <f aca="false">Reference_Values!B32</f>
        <v>57</v>
      </c>
      <c r="D32" s="21" t="n">
        <f aca="false">ABS(B32-C32)</f>
        <v>0</v>
      </c>
      <c r="E32" s="26" t="n">
        <v>1E-009</v>
      </c>
      <c r="F32" s="4" t="str">
        <f aca="false">IF(D32&lt;=E32,"PASS","FAIL")</f>
        <v>PASS</v>
      </c>
    </row>
    <row r="33" customFormat="false" ht="15" hidden="false" customHeight="false" outlineLevel="0" collapsed="false">
      <c r="A33" s="2" t="s">
        <v>440</v>
      </c>
      <c r="B33" s="20" t="n">
        <f aca="false">PolicyMap!I19</f>
        <v>0.95</v>
      </c>
      <c r="C33" s="25" t="n">
        <f aca="false">Reference_Values!B33</f>
        <v>0.95</v>
      </c>
      <c r="D33" s="21" t="n">
        <f aca="false">ABS(B33-C33)</f>
        <v>0</v>
      </c>
      <c r="E33" s="26" t="n">
        <v>1E-009</v>
      </c>
      <c r="F33" s="4" t="str">
        <f aca="false">IF(D33&lt;=E33,"PASS","FAIL")</f>
        <v>PASS</v>
      </c>
    </row>
    <row r="34" customFormat="false" ht="15" hidden="false" customHeight="false" outlineLevel="0" collapsed="false">
      <c r="A34" s="2" t="s">
        <v>442</v>
      </c>
      <c r="B34" s="20" t="n">
        <f aca="false">PolicyMap!I17</f>
        <v>0.8</v>
      </c>
      <c r="C34" s="25" t="n">
        <f aca="false">Reference_Values!B34</f>
        <v>0.8</v>
      </c>
      <c r="D34" s="21" t="n">
        <f aca="false">ABS(B34-C34)</f>
        <v>0</v>
      </c>
      <c r="E34" s="26" t="n">
        <v>1E-006</v>
      </c>
      <c r="F34" s="4" t="str">
        <f aca="false">IF(D34&lt;=E34,"PASS","FAIL")</f>
        <v>PASS</v>
      </c>
    </row>
    <row r="35" customFormat="false" ht="15" hidden="false" customHeight="false" outlineLevel="0" collapsed="false">
      <c r="A35" s="2" t="s">
        <v>444</v>
      </c>
      <c r="B35" s="20" t="n">
        <f aca="false">PolicyMap!I20</f>
        <v>13.5134073339649</v>
      </c>
      <c r="C35" s="25" t="n">
        <f aca="false">Reference_Values!B35</f>
        <v>13.5134073339649</v>
      </c>
      <c r="D35" s="21" t="n">
        <f aca="false">ABS(B35-C35)</f>
        <v>0</v>
      </c>
      <c r="E35" s="26" t="n">
        <v>1E-009</v>
      </c>
      <c r="F35" s="4" t="str">
        <f aca="false">IF(D35&lt;=E35,"PASS","FAIL")</f>
        <v>PASS</v>
      </c>
    </row>
    <row r="36" customFormat="false" ht="15" hidden="false" customHeight="false" outlineLevel="0" collapsed="false">
      <c r="A36" s="2" t="s">
        <v>446</v>
      </c>
      <c r="B36" s="20" t="n">
        <f aca="false">PolicyMap!I21</f>
        <v>9.52380952380952</v>
      </c>
      <c r="C36" s="25" t="n">
        <f aca="false">Reference_Values!B36</f>
        <v>9.52380952380952</v>
      </c>
      <c r="D36" s="21" t="n">
        <f aca="false">ABS(B36-C36)</f>
        <v>0</v>
      </c>
      <c r="E36" s="26" t="n">
        <v>1E-009</v>
      </c>
      <c r="F36" s="4" t="str">
        <f aca="false">IF(D36&lt;=E36,"PASS","FAIL")</f>
        <v>PASS</v>
      </c>
    </row>
    <row r="37" customFormat="false" ht="15" hidden="false" customHeight="false" outlineLevel="0" collapsed="false">
      <c r="A37" s="2" t="s">
        <v>448</v>
      </c>
      <c r="B37" s="20" t="n">
        <f aca="false">PolicyMap!I22</f>
        <v>47</v>
      </c>
      <c r="C37" s="25" t="n">
        <f aca="false">Reference_Values!B37</f>
        <v>47</v>
      </c>
      <c r="D37" s="21" t="n">
        <f aca="false">ABS(B37-C37)</f>
        <v>0</v>
      </c>
      <c r="E37" s="26" t="n">
        <v>0</v>
      </c>
      <c r="F37" s="4" t="str">
        <f aca="false">IF(D37&lt;=E37,"PASS","FAIL")</f>
        <v>PASS</v>
      </c>
    </row>
    <row r="38" customFormat="false" ht="15" hidden="false" customHeight="false" outlineLevel="0" collapsed="false">
      <c r="A38" s="2" t="s">
        <v>450</v>
      </c>
      <c r="B38" s="20" t="n">
        <f aca="false">Disclosure!AB4</f>
        <v>4</v>
      </c>
      <c r="C38" s="25" t="n">
        <f aca="false">Reference_Values!B38</f>
        <v>4</v>
      </c>
      <c r="D38" s="21" t="n">
        <f aca="false">ABS(B38-C38)</f>
        <v>0</v>
      </c>
      <c r="E38" s="26" t="n">
        <v>0</v>
      </c>
      <c r="F38" s="4" t="str">
        <f aca="false">IF(D38&lt;=E38,"PASS","FAIL")</f>
        <v>PASS</v>
      </c>
    </row>
    <row r="39" customFormat="false" ht="15" hidden="false" customHeight="false" outlineLevel="0" collapsed="false">
      <c r="A39" s="2" t="s">
        <v>452</v>
      </c>
      <c r="B39" s="20" t="n">
        <f aca="false">Disclosure!AB5</f>
        <v>3</v>
      </c>
      <c r="C39" s="25" t="n">
        <f aca="false">Reference_Values!B39</f>
        <v>3</v>
      </c>
      <c r="D39" s="21" t="n">
        <f aca="false">ABS(B39-C39)</f>
        <v>0</v>
      </c>
      <c r="E39" s="26" t="n">
        <v>0</v>
      </c>
      <c r="F39" s="4" t="str">
        <f aca="false">IF(D39&lt;=E39,"PASS","FAIL")</f>
        <v>PASS</v>
      </c>
    </row>
    <row r="40" customFormat="false" ht="15" hidden="false" customHeight="false" outlineLevel="0" collapsed="false">
      <c r="A40" s="2" t="s">
        <v>454</v>
      </c>
      <c r="B40" s="20" t="n">
        <f aca="false">Disclosure!X13</f>
        <v>8E-005</v>
      </c>
      <c r="C40" s="25" t="n">
        <f aca="false">Reference_Values!B40</f>
        <v>8E-005</v>
      </c>
      <c r="D40" s="21" t="n">
        <f aca="false">ABS(B40-C40)</f>
        <v>0</v>
      </c>
      <c r="E40" s="26" t="n">
        <v>1E-012</v>
      </c>
      <c r="F40" s="4" t="str">
        <f aca="false">IF(D40&lt;=E40,"PASS","FAIL")</f>
        <v>PASS</v>
      </c>
    </row>
    <row r="41" customFormat="false" ht="15" hidden="false" customHeight="false" outlineLevel="0" collapsed="false">
      <c r="A41" s="2" t="s">
        <v>456</v>
      </c>
      <c r="B41" s="20" t="n">
        <f aca="false">Disclosure!X19</f>
        <v>-0.04</v>
      </c>
      <c r="C41" s="25" t="n">
        <f aca="false">Reference_Values!B41</f>
        <v>-0.04</v>
      </c>
      <c r="D41" s="21" t="n">
        <f aca="false">ABS(B41-C41)</f>
        <v>0</v>
      </c>
      <c r="E41" s="26" t="n">
        <v>1E-012</v>
      </c>
      <c r="F41" s="4" t="str">
        <f aca="false">IF(D41&lt;=E41,"PASS","FAIL")</f>
        <v>PASS</v>
      </c>
    </row>
    <row r="42" customFormat="false" ht="15" hidden="false" customHeight="false" outlineLevel="0" collapsed="false">
      <c r="A42" s="2" t="s">
        <v>251</v>
      </c>
      <c r="B42" s="20" t="n">
        <f aca="false">Disclosure!X22</f>
        <v>0.002</v>
      </c>
      <c r="C42" s="25" t="n">
        <f aca="false">Reference_Values!B42</f>
        <v>0.002</v>
      </c>
      <c r="D42" s="21" t="n">
        <f aca="false">ABS(B42-C42)</f>
        <v>0</v>
      </c>
      <c r="E42" s="26" t="n">
        <v>1E-012</v>
      </c>
      <c r="F42" s="4" t="str">
        <f aca="false">IF(D42&lt;=E42,"PASS","FAIL")</f>
        <v>PASS</v>
      </c>
    </row>
    <row r="43" customFormat="false" ht="15" hidden="false" customHeight="false" outlineLevel="0" collapsed="false">
      <c r="A43" s="2" t="s">
        <v>459</v>
      </c>
      <c r="B43" s="20" t="n">
        <f aca="false">Disclosure!X23</f>
        <v>0.102318</v>
      </c>
      <c r="C43" s="25" t="n">
        <f aca="false">Reference_Values!B43</f>
        <v>0.102318</v>
      </c>
      <c r="D43" s="21" t="n">
        <f aca="false">ABS(B43-C43)</f>
        <v>0</v>
      </c>
      <c r="E43" s="26" t="n">
        <v>1E-012</v>
      </c>
      <c r="F43" s="4" t="str">
        <f aca="false">IF(D43&lt;=E43,"PASS","FAIL")</f>
        <v>PASS</v>
      </c>
    </row>
    <row r="44" customFormat="false" ht="15" hidden="false" customHeight="false" outlineLevel="0" collapsed="false">
      <c r="A44" s="2" t="s">
        <v>460</v>
      </c>
      <c r="B44" s="20" t="n">
        <f aca="false">Disclosure!X24</f>
        <v>0.597845643292418</v>
      </c>
      <c r="C44" s="25" t="n">
        <f aca="false">Reference_Values!B44</f>
        <v>0.597845643292418</v>
      </c>
      <c r="D44" s="21" t="n">
        <f aca="false">ABS(B44-C44)</f>
        <v>0</v>
      </c>
      <c r="E44" s="26" t="n">
        <v>1E-012</v>
      </c>
      <c r="F44" s="4" t="str">
        <f aca="false">IF(D44&lt;=E44,"PASS","FAIL")</f>
        <v>PASS</v>
      </c>
    </row>
    <row r="45" customFormat="false" ht="15" hidden="false" customHeight="false" outlineLevel="0" collapsed="false">
      <c r="A45" s="2" t="s">
        <v>461</v>
      </c>
      <c r="B45" s="20" t="n">
        <f aca="false">Disclosure!AB27</f>
        <v>483.166015669098</v>
      </c>
      <c r="C45" s="25" t="n">
        <f aca="false">Reference_Values!B45</f>
        <v>483.166015669099</v>
      </c>
      <c r="D45" s="21" t="n">
        <f aca="false">ABS(B45-C45)</f>
        <v>0</v>
      </c>
      <c r="E45" s="26" t="n">
        <v>1E-006</v>
      </c>
      <c r="F45" s="4" t="str">
        <f aca="false">IF(D45&lt;=E45,"PASS","FAIL")</f>
        <v>PASS</v>
      </c>
    </row>
    <row r="46" customFormat="false" ht="15" hidden="false" customHeight="false" outlineLevel="0" collapsed="false">
      <c r="A46" s="2" t="s">
        <v>463</v>
      </c>
      <c r="B46" s="20" t="n">
        <f aca="false">Disclosure!AB31</f>
        <v>36.9871932179098</v>
      </c>
      <c r="C46" s="25" t="n">
        <f aca="false">Reference_Values!B46</f>
        <v>36.9871932179096</v>
      </c>
      <c r="D46" s="21" t="n">
        <f aca="false">ABS(B46-C46)</f>
        <v>1.63424829224823E-013</v>
      </c>
      <c r="E46" s="26" t="n">
        <v>1E-006</v>
      </c>
      <c r="F46" s="4" t="str">
        <f aca="false">IF(D46&lt;=E46,"PASS","FAIL")</f>
        <v>PASS</v>
      </c>
    </row>
    <row r="47" customFormat="false" ht="15" hidden="false" customHeight="false" outlineLevel="0" collapsed="false">
      <c r="A47" s="2" t="s">
        <v>465</v>
      </c>
      <c r="B47" s="20" t="n">
        <f aca="false">Disclosure!AB35</f>
        <v>14.2773726877447</v>
      </c>
      <c r="C47" s="25" t="n">
        <f aca="false">Reference_Values!B47</f>
        <v>14.2773726877448</v>
      </c>
      <c r="D47" s="21" t="n">
        <f aca="false">ABS(B47-C47)</f>
        <v>0</v>
      </c>
      <c r="E47" s="26" t="n">
        <v>1E-006</v>
      </c>
      <c r="F47" s="4" t="str">
        <f aca="false">IF(D47&lt;=E47,"PASS","FAIL")</f>
        <v>PASS</v>
      </c>
    </row>
    <row r="48" customFormat="false" ht="15" hidden="false" customHeight="false" outlineLevel="0" collapsed="false">
      <c r="A48" s="2" t="s">
        <v>467</v>
      </c>
      <c r="B48" s="20" t="n">
        <f aca="false">Disclosure!AB39</f>
        <v>5.77904955936505</v>
      </c>
      <c r="C48" s="25" t="n">
        <f aca="false">Reference_Values!B48</f>
        <v>5.77904955936506</v>
      </c>
      <c r="D48" s="21" t="n">
        <f aca="false">ABS(B48-C48)</f>
        <v>0</v>
      </c>
      <c r="E48" s="26" t="n">
        <v>1E-006</v>
      </c>
      <c r="F48" s="4" t="str">
        <f aca="false">IF(D48&lt;=E48,"PASS","FAIL")</f>
        <v>PASS</v>
      </c>
    </row>
    <row r="49" customFormat="false" ht="15" hidden="false" customHeight="false" outlineLevel="0" collapsed="false">
      <c r="A49" s="2" t="s">
        <v>469</v>
      </c>
      <c r="B49" s="20" t="n">
        <f aca="false">Gains!B6</f>
        <v>3.16666666666667</v>
      </c>
      <c r="C49" s="25" t="n">
        <f aca="false">Reference_Values!B49</f>
        <v>3.16666666666667</v>
      </c>
      <c r="D49" s="21" t="n">
        <f aca="false">ABS(B49-C49)</f>
        <v>0</v>
      </c>
      <c r="E49" s="26" t="n">
        <v>1E-009</v>
      </c>
      <c r="F49" s="4" t="str">
        <f aca="false">IF(D49&lt;=E49,"PASS","FAIL")</f>
        <v>PASS</v>
      </c>
    </row>
    <row r="50" customFormat="false" ht="15" hidden="false" customHeight="false" outlineLevel="0" collapsed="false">
      <c r="A50" s="2" t="s">
        <v>471</v>
      </c>
      <c r="B50" s="20" t="n">
        <f aca="false">Gains!B4</f>
        <v>-0.166666666666667</v>
      </c>
      <c r="C50" s="25" t="n">
        <f aca="false">Reference_Values!B50</f>
        <v>-0.166666666666667</v>
      </c>
      <c r="D50" s="21" t="n">
        <f aca="false">ABS(B50-C50)</f>
        <v>0</v>
      </c>
      <c r="E50" s="26" t="n">
        <v>1E-009</v>
      </c>
      <c r="F50" s="4" t="str">
        <f aca="false">IF(D50&lt;=E50,"PASS","FAIL")</f>
        <v>PASS</v>
      </c>
    </row>
    <row r="51" customFormat="false" ht="15" hidden="false" customHeight="false" outlineLevel="0" collapsed="false">
      <c r="A51" s="2" t="s">
        <v>473</v>
      </c>
      <c r="B51" s="20" t="n">
        <f aca="false">Gains!B5</f>
        <v>1.5</v>
      </c>
      <c r="C51" s="25" t="n">
        <f aca="false">Reference_Values!B51</f>
        <v>1.5</v>
      </c>
      <c r="D51" s="21" t="n">
        <f aca="false">ABS(B51-C51)</f>
        <v>0</v>
      </c>
      <c r="E51" s="26" t="n">
        <v>1E-009</v>
      </c>
      <c r="F51" s="4" t="str">
        <f aca="false">IF(D51&lt;=E51,"PASS","FAIL")</f>
        <v>PASS</v>
      </c>
    </row>
    <row r="52" customFormat="false" ht="15" hidden="false" customHeight="false" outlineLevel="0" collapsed="false">
      <c r="A52" s="2" t="s">
        <v>475</v>
      </c>
      <c r="B52" s="20" t="n">
        <f aca="false">Gains!B20</f>
        <v>-21.6</v>
      </c>
      <c r="C52" s="25" t="n">
        <f aca="false">Reference_Values!B52</f>
        <v>-21.6</v>
      </c>
      <c r="D52" s="21" t="n">
        <f aca="false">ABS(B52-C52)</f>
        <v>0</v>
      </c>
      <c r="E52" s="26" t="n">
        <v>1E-009</v>
      </c>
      <c r="F52" s="4" t="str">
        <f aca="false">IF(D52&lt;=E52,"PASS","FAIL")</f>
        <v>PASS</v>
      </c>
    </row>
    <row r="53" customFormat="false" ht="15" hidden="false" customHeight="false" outlineLevel="0" collapsed="false">
      <c r="A53" s="2" t="s">
        <v>477</v>
      </c>
      <c r="B53" s="20" t="n">
        <f aca="false">Gains!F25</f>
        <v>-429.981696000001</v>
      </c>
      <c r="C53" s="25" t="n">
        <f aca="false">Reference_Values!B53</f>
        <v>-429.981696</v>
      </c>
      <c r="D53" s="21" t="n">
        <f aca="false">ABS(B53-C53)</f>
        <v>0</v>
      </c>
      <c r="E53" s="26" t="n">
        <v>1E-009</v>
      </c>
      <c r="F53" s="4" t="str">
        <f aca="false">IF(D53&lt;=E53,"PASS","FAIL")</f>
        <v>PASS</v>
      </c>
    </row>
    <row r="54" customFormat="false" ht="15" hidden="false" customHeight="false" outlineLevel="0" collapsed="false">
      <c r="A54" s="2" t="s">
        <v>479</v>
      </c>
      <c r="B54" s="20" t="n">
        <f aca="false">Gains!D18</f>
        <v>-0</v>
      </c>
      <c r="C54" s="25" t="n">
        <f aca="false">Reference_Values!B54</f>
        <v>0</v>
      </c>
      <c r="D54" s="21" t="n">
        <f aca="false">ABS(B54-C54)</f>
        <v>0</v>
      </c>
      <c r="E54" s="26" t="n">
        <v>1E-009</v>
      </c>
      <c r="F54" s="4" t="str">
        <f aca="false">IF(D54&lt;=E54,"PASS","FAIL")</f>
        <v>PASS</v>
      </c>
    </row>
    <row r="55" customFormat="false" ht="15" hidden="false" customHeight="false" outlineLevel="0" collapsed="false">
      <c r="A55" s="2" t="s">
        <v>481</v>
      </c>
      <c r="B55" s="20" t="n">
        <f aca="false">Gains!C12</f>
        <v>-0.6</v>
      </c>
      <c r="C55" s="25" t="n">
        <f aca="false">Reference_Values!B55</f>
        <v>-0.6</v>
      </c>
      <c r="D55" s="21" t="n">
        <f aca="false">ABS(B55-C55)</f>
        <v>0</v>
      </c>
      <c r="E55" s="26" t="n">
        <v>1E-009</v>
      </c>
      <c r="F55" s="4" t="str">
        <f aca="false">IF(D55&lt;=E55,"PASS","FAIL")</f>
        <v>PASS</v>
      </c>
    </row>
    <row r="56" customFormat="false" ht="15" hidden="false" customHeight="false" outlineLevel="0" collapsed="false">
      <c r="A56" s="2" t="s">
        <v>483</v>
      </c>
      <c r="B56" s="20" t="n">
        <f aca="false">Gains!C13</f>
        <v>-1.2</v>
      </c>
      <c r="C56" s="25" t="n">
        <f aca="false">Reference_Values!B56</f>
        <v>-1.2</v>
      </c>
      <c r="D56" s="21" t="n">
        <f aca="false">ABS(B56-C56)</f>
        <v>0</v>
      </c>
      <c r="E56" s="26" t="n">
        <v>1E-009</v>
      </c>
      <c r="F56" s="4" t="str">
        <f aca="false">IF(D56&lt;=E56,"PASS","FAIL")</f>
        <v>PASS</v>
      </c>
    </row>
    <row r="57" customFormat="false" ht="15" hidden="false" customHeight="false" outlineLevel="0" collapsed="false">
      <c r="A57" s="2" t="s">
        <v>485</v>
      </c>
      <c r="B57" s="20" t="n">
        <f aca="false">Delay!B4</f>
        <v>1.66666666666667</v>
      </c>
      <c r="C57" s="25" t="n">
        <f aca="false">Reference_Values!B57</f>
        <v>1.66666666666667</v>
      </c>
      <c r="D57" s="21" t="n">
        <f aca="false">ABS(B57-C57)</f>
        <v>0</v>
      </c>
      <c r="E57" s="26" t="n">
        <v>1E-009</v>
      </c>
      <c r="F57" s="4" t="str">
        <f aca="false">IF(D57&lt;=E57,"PASS","FAIL")</f>
        <v>PASS</v>
      </c>
    </row>
    <row r="58" customFormat="false" ht="15" hidden="false" customHeight="false" outlineLevel="0" collapsed="false">
      <c r="A58" s="2" t="s">
        <v>487</v>
      </c>
      <c r="B58" s="20" t="n">
        <f aca="false">Delay!D11</f>
        <v>0.948683298050514</v>
      </c>
      <c r="C58" s="25" t="n">
        <f aca="false">Reference_Values!B58</f>
        <v>0.948683298050514</v>
      </c>
      <c r="D58" s="21" t="n">
        <f aca="false">ABS(B58-C58)</f>
        <v>0</v>
      </c>
      <c r="E58" s="26" t="n">
        <v>1E-009</v>
      </c>
      <c r="F58" s="4" t="str">
        <f aca="false">IF(D58&lt;=E58,"PASS","FAIL")</f>
        <v>PASS</v>
      </c>
    </row>
    <row r="59" customFormat="false" ht="15" hidden="false" customHeight="false" outlineLevel="0" collapsed="false">
      <c r="A59" s="2" t="s">
        <v>489</v>
      </c>
      <c r="B59" s="20" t="n">
        <f aca="false">Delay!E11</f>
        <v>0.474341649025257</v>
      </c>
      <c r="C59" s="25" t="n">
        <f aca="false">Reference_Values!B59</f>
        <v>0.474341649025257</v>
      </c>
      <c r="D59" s="21" t="n">
        <f aca="false">ABS(B59-C59)</f>
        <v>0</v>
      </c>
      <c r="E59" s="26" t="n">
        <v>1E-009</v>
      </c>
      <c r="F59" s="4" t="str">
        <f aca="false">IF(D59&lt;=E59,"PASS","FAIL")</f>
        <v>PASS</v>
      </c>
    </row>
    <row r="60" customFormat="false" ht="15" hidden="false" customHeight="false" outlineLevel="0" collapsed="false">
      <c r="A60" s="2" t="s">
        <v>491</v>
      </c>
      <c r="B60" s="20" t="n">
        <f aca="false">Delay!F11</f>
        <v>5.83624408722266</v>
      </c>
      <c r="C60" s="25" t="n">
        <f aca="false">Reference_Values!B60</f>
        <v>5.83624408722266</v>
      </c>
      <c r="D60" s="21" t="n">
        <f aca="false">ABS(B60-C60)</f>
        <v>0</v>
      </c>
      <c r="E60" s="26" t="n">
        <v>1E-009</v>
      </c>
      <c r="F60" s="4" t="str">
        <f aca="false">IF(D60&lt;=E60,"PASS","FAIL")</f>
        <v>PASS</v>
      </c>
    </row>
    <row r="61" customFormat="false" ht="15" hidden="false" customHeight="false" outlineLevel="0" collapsed="false">
      <c r="A61" s="2" t="s">
        <v>493</v>
      </c>
      <c r="B61" s="20" t="n">
        <f aca="false">Delay!G11</f>
        <v>13.1576269579212</v>
      </c>
      <c r="C61" s="25" t="n">
        <f aca="false">Reference_Values!B61</f>
        <v>13.1576269579212</v>
      </c>
      <c r="D61" s="21" t="n">
        <f aca="false">ABS(B61-C61)</f>
        <v>0</v>
      </c>
      <c r="E61" s="26" t="n">
        <v>1E-009</v>
      </c>
      <c r="F61" s="4" t="str">
        <f aca="false">IF(D61&lt;=E61,"PASS","FAIL")</f>
        <v>PASS</v>
      </c>
    </row>
    <row r="62" customFormat="false" ht="15" hidden="false" customHeight="false" outlineLevel="0" collapsed="false">
      <c r="A62" s="2" t="s">
        <v>495</v>
      </c>
      <c r="B62" s="20" t="n">
        <f aca="false">Delay!B17</f>
        <v>89.1</v>
      </c>
      <c r="C62" s="25" t="n">
        <f aca="false">Reference_Values!B62</f>
        <v>89.1</v>
      </c>
      <c r="D62" s="21" t="n">
        <f aca="false">ABS(B62-C62)</f>
        <v>0</v>
      </c>
      <c r="E62" s="26" t="n">
        <v>1E-009</v>
      </c>
      <c r="F62" s="4" t="str">
        <f aca="false">IF(D62&lt;=E62,"PASS","FAIL")</f>
        <v>PASS</v>
      </c>
    </row>
    <row r="63" customFormat="false" ht="15" hidden="false" customHeight="false" outlineLevel="0" collapsed="false">
      <c r="A63" s="2" t="s">
        <v>497</v>
      </c>
      <c r="B63" s="20" t="n">
        <f aca="false">Delay!B16</f>
        <v>3</v>
      </c>
      <c r="C63" s="25" t="n">
        <f aca="false">Reference_Values!B63</f>
        <v>3</v>
      </c>
      <c r="D63" s="21" t="n">
        <f aca="false">ABS(B63-C63)</f>
        <v>0</v>
      </c>
      <c r="E63" s="26" t="n">
        <v>0</v>
      </c>
      <c r="F63" s="4" t="str">
        <f aca="false">IF(D63&lt;=E63,"PASS","FAIL")</f>
        <v>PASS</v>
      </c>
    </row>
    <row r="64" customFormat="false" ht="15" hidden="false" customHeight="false" outlineLevel="0" collapsed="false">
      <c r="A64" s="2" t="s">
        <v>499</v>
      </c>
      <c r="B64" s="20" t="n">
        <f aca="false">Delay!B18</f>
        <v>-78.6590999999999</v>
      </c>
      <c r="C64" s="25" t="n">
        <f aca="false">Reference_Values!B64</f>
        <v>-78.6591</v>
      </c>
      <c r="D64" s="21" t="n">
        <f aca="false">ABS(B64-C64)</f>
        <v>0</v>
      </c>
      <c r="E64" s="26" t="n">
        <v>1E-009</v>
      </c>
      <c r="F64" s="4" t="str">
        <f aca="false">IF(D64&lt;=E64,"PASS","FAIL")</f>
        <v>PASS</v>
      </c>
    </row>
    <row r="65" customFormat="false" ht="15" hidden="false" customHeight="false" outlineLevel="0" collapsed="false">
      <c r="A65" s="2" t="s">
        <v>501</v>
      </c>
      <c r="B65" s="20" t="n">
        <f aca="false">Delay!B19</f>
        <v>6</v>
      </c>
      <c r="C65" s="25" t="n">
        <f aca="false">Reference_Values!B65</f>
        <v>6</v>
      </c>
      <c r="D65" s="21" t="n">
        <f aca="false">ABS(B65-C65)</f>
        <v>0</v>
      </c>
      <c r="E65" s="26" t="n">
        <v>0</v>
      </c>
      <c r="F65" s="4" t="str">
        <f aca="false">IF(D65&lt;=E65,"PASS","FAIL")</f>
        <v>PASS</v>
      </c>
    </row>
    <row r="66" customFormat="false" ht="15" hidden="false" customHeight="false" outlineLevel="0" collapsed="false">
      <c r="A66" s="2" t="s">
        <v>502</v>
      </c>
      <c r="B66" s="20" t="n">
        <f aca="false">Delay!B21</f>
        <v>1</v>
      </c>
      <c r="C66" s="25" t="n">
        <f aca="false">Reference_Values!B66</f>
        <v>1</v>
      </c>
      <c r="D66" s="21" t="n">
        <f aca="false">ABS(B66-C66)</f>
        <v>0</v>
      </c>
      <c r="E66" s="26" t="n">
        <v>0</v>
      </c>
      <c r="F66" s="4" t="str">
        <f aca="false">IF(D66&lt;=E66,"PASS","FAIL")</f>
        <v>PASS</v>
      </c>
    </row>
    <row r="67" customFormat="false" ht="15" hidden="false" customHeight="false" outlineLevel="0" collapsed="false">
      <c r="A67" s="2" t="s">
        <v>504</v>
      </c>
      <c r="B67" s="20" t="n">
        <f aca="false">Delay!D9</f>
        <v>0.547722557505166</v>
      </c>
      <c r="C67" s="25" t="n">
        <f aca="false">Reference_Values!B67</f>
        <v>0.547722557505166</v>
      </c>
      <c r="D67" s="21" t="n">
        <f aca="false">ABS(B67-C67)</f>
        <v>0</v>
      </c>
      <c r="E67" s="26" t="n">
        <v>1E-009</v>
      </c>
      <c r="F67" s="4" t="str">
        <f aca="false">IF(D67&lt;=E67,"PASS","FAIL")</f>
        <v>PASS</v>
      </c>
    </row>
    <row r="68" customFormat="false" ht="15" hidden="false" customHeight="false" outlineLevel="0" collapsed="false">
      <c r="A68" s="2" t="s">
        <v>506</v>
      </c>
      <c r="B68" s="20" t="n">
        <f aca="false">Delay!H9</f>
        <v>4</v>
      </c>
      <c r="C68" s="25" t="n">
        <f aca="false">Reference_Values!B68</f>
        <v>4</v>
      </c>
      <c r="D68" s="21" t="n">
        <f aca="false">ABS(B68-C68)</f>
        <v>0</v>
      </c>
      <c r="E68" s="26" t="n">
        <v>0</v>
      </c>
      <c r="F68" s="4" t="str">
        <f aca="false">IF(D68&lt;=E68,"PASS","FAIL")</f>
        <v>PASS</v>
      </c>
    </row>
    <row r="69" customFormat="false" ht="15" hidden="false" customHeight="false" outlineLevel="0" collapsed="false">
      <c r="A69" s="2" t="s">
        <v>508</v>
      </c>
      <c r="B69" s="20" t="n">
        <f aca="false">Delay!I9</f>
        <v>4</v>
      </c>
      <c r="C69" s="25" t="n">
        <f aca="false">Reference_Values!B69</f>
        <v>4</v>
      </c>
      <c r="D69" s="21" t="n">
        <f aca="false">ABS(B69-C69)</f>
        <v>0</v>
      </c>
      <c r="E69" s="26" t="n">
        <v>0</v>
      </c>
      <c r="F69" s="4" t="str">
        <f aca="false">IF(D69&lt;=E69,"PASS","FAIL")</f>
        <v>PASS</v>
      </c>
    </row>
    <row r="70" customFormat="false" ht="15" hidden="false" customHeight="false" outlineLevel="0" collapsed="false">
      <c r="A70" s="2" t="s">
        <v>510</v>
      </c>
      <c r="B70" s="20" t="n">
        <f aca="false">Gain_merged</f>
        <v>0.3375</v>
      </c>
      <c r="C70" s="25" t="n">
        <f aca="false">Reference_Values!B70</f>
        <v>0.3375</v>
      </c>
      <c r="D70" s="21" t="n">
        <f aca="false">ABS(B70-C70)</f>
        <v>0</v>
      </c>
      <c r="E70" s="26" t="n">
        <v>1E-009</v>
      </c>
      <c r="F70" s="4" t="str">
        <f aca="false">IF(D70&lt;=E70,"PASS","FAIL")</f>
        <v>PASS</v>
      </c>
    </row>
    <row r="71" customFormat="false" ht="15" hidden="false" customHeight="false" outlineLevel="0" collapsed="false">
      <c r="A71" s="2" t="s">
        <v>512</v>
      </c>
      <c r="B71" s="20" t="n">
        <f aca="false">Delay!D13</f>
        <v>0.45</v>
      </c>
      <c r="C71" s="25" t="n">
        <f aca="false">Reference_Values!B71</f>
        <v>0.45</v>
      </c>
      <c r="D71" s="21" t="n">
        <f aca="false">ABS(B71-C71)</f>
        <v>0</v>
      </c>
      <c r="E71" s="26" t="n">
        <v>1E-009</v>
      </c>
      <c r="F71" s="4" t="str">
        <f aca="false">IF(D71&lt;=E71,"PASS","FAIL")</f>
        <v>PASS</v>
      </c>
    </row>
    <row r="72" customFormat="false" ht="15" hidden="false" customHeight="false" outlineLevel="0" collapsed="false">
      <c r="A72" s="2" t="s">
        <v>514</v>
      </c>
      <c r="B72" s="20" t="n">
        <f aca="false">Delay!I13</f>
        <v>7</v>
      </c>
      <c r="C72" s="25" t="n">
        <f aca="false">Reference_Values!B72</f>
        <v>7</v>
      </c>
      <c r="D72" s="21" t="n">
        <f aca="false">ABS(B72-C72)</f>
        <v>0</v>
      </c>
      <c r="E72" s="26" t="n">
        <v>0</v>
      </c>
      <c r="F72" s="4" t="str">
        <f aca="false">IF(D72&lt;=E72,"PASS","FAIL")</f>
        <v>PASS</v>
      </c>
    </row>
    <row r="73" customFormat="false" ht="15" hidden="false" customHeight="false" outlineLevel="0" collapsed="false">
      <c r="A73" s="2" t="s">
        <v>516</v>
      </c>
      <c r="B73" s="20" t="n">
        <f aca="false">IF(Delay!D12&gt;1,1,0)</f>
        <v>1</v>
      </c>
      <c r="C73" s="25" t="n">
        <f aca="false">Reference_Values!B73</f>
        <v>1</v>
      </c>
      <c r="D73" s="21" t="n">
        <f aca="false">ABS(B73-C73)</f>
        <v>0</v>
      </c>
      <c r="E73" s="26" t="n">
        <v>0</v>
      </c>
      <c r="F73" s="4" t="str">
        <f aca="false">IF(D73&lt;=E73,"PASS","FAIL")</f>
        <v>PASS</v>
      </c>
    </row>
    <row r="74" customFormat="false" ht="15" hidden="false" customHeight="false" outlineLevel="0" collapsed="false">
      <c r="A74" s="2" t="s">
        <v>518</v>
      </c>
      <c r="B74" s="20" t="n">
        <f aca="false">Delay!B33</f>
        <v>-51</v>
      </c>
      <c r="C74" s="25" t="n">
        <f aca="false">Reference_Values!B74</f>
        <v>-51</v>
      </c>
      <c r="D74" s="21" t="n">
        <f aca="false">ABS(B74-C74)</f>
        <v>0</v>
      </c>
      <c r="E74" s="26" t="n">
        <v>1E-009</v>
      </c>
      <c r="F74" s="4" t="str">
        <f aca="false">IF(D74&lt;=E74,"PASS","FAIL")</f>
        <v>PASS</v>
      </c>
    </row>
    <row r="75" customFormat="false" ht="15" hidden="false" customHeight="false" outlineLevel="0" collapsed="false">
      <c r="A75" s="2" t="s">
        <v>520</v>
      </c>
      <c r="B75" s="20" t="n">
        <f aca="false">Delay!D35</f>
        <v>72.09</v>
      </c>
      <c r="C75" s="25" t="n">
        <f aca="false">Reference_Values!B75</f>
        <v>72.09</v>
      </c>
      <c r="D75" s="21" t="n">
        <f aca="false">ABS(B75-C75)</f>
        <v>0</v>
      </c>
      <c r="E75" s="26" t="n">
        <v>1E-009</v>
      </c>
      <c r="F75" s="4" t="str">
        <f aca="false">IF(D75&lt;=E75,"PASS","FAIL")</f>
        <v>PASS</v>
      </c>
    </row>
    <row r="76" customFormat="false" ht="15" hidden="false" customHeight="false" outlineLevel="0" collapsed="false">
      <c r="A76" s="2" t="s">
        <v>521</v>
      </c>
      <c r="B76" s="20" t="n">
        <f aca="false">GainBench!B30</f>
        <v>2.6</v>
      </c>
      <c r="C76" s="25" t="n">
        <f aca="false">Reference_Values!B76</f>
        <v>2.6</v>
      </c>
      <c r="D76" s="21" t="n">
        <f aca="false">ABS(B76-C76)</f>
        <v>0</v>
      </c>
      <c r="E76" s="26" t="n">
        <v>1E-009</v>
      </c>
      <c r="F76" s="4" t="str">
        <f aca="false">IF(D76&lt;=E76,"PASS","FAIL")</f>
        <v>PASS</v>
      </c>
    </row>
    <row r="77" customFormat="false" ht="15" hidden="false" customHeight="false" outlineLevel="0" collapsed="false">
      <c r="A77" s="2" t="s">
        <v>523</v>
      </c>
      <c r="B77" s="20" t="n">
        <f aca="false">GainBench!B34</f>
        <v>3.11051</v>
      </c>
      <c r="C77" s="25" t="n">
        <f aca="false">Reference_Values!B77</f>
        <v>3.11051</v>
      </c>
      <c r="D77" s="21" t="n">
        <f aca="false">ABS(B77-C77)</f>
        <v>0</v>
      </c>
      <c r="E77" s="26" t="n">
        <v>1E-009</v>
      </c>
      <c r="F77" s="4" t="str">
        <f aca="false">IF(D77&lt;=E77,"PASS","FAIL")</f>
        <v>PASS</v>
      </c>
    </row>
    <row r="78" customFormat="false" ht="15" hidden="false" customHeight="false" outlineLevel="0" collapsed="false">
      <c r="A78" s="2" t="s">
        <v>525</v>
      </c>
      <c r="B78" s="20" t="n">
        <f aca="false">GainBench!B35</f>
        <v>-0.271561000000001</v>
      </c>
      <c r="C78" s="25" t="n">
        <f aca="false">Reference_Values!B78</f>
        <v>-0.271561000000001</v>
      </c>
      <c r="D78" s="21" t="n">
        <f aca="false">ABS(B78-C78)</f>
        <v>0</v>
      </c>
      <c r="E78" s="26" t="n">
        <v>1E-009</v>
      </c>
      <c r="F78" s="4" t="str">
        <f aca="false">IF(D78&lt;=E78,"PASS","FAIL")</f>
        <v>PASS</v>
      </c>
    </row>
    <row r="79" customFormat="false" ht="15" hidden="false" customHeight="false" outlineLevel="0" collapsed="false">
      <c r="A79" s="2" t="s">
        <v>527</v>
      </c>
      <c r="B79" s="20" t="n">
        <f aca="false">GainBench!B25</f>
        <v>1.66666666666667</v>
      </c>
      <c r="C79" s="25" t="n">
        <f aca="false">Reference_Values!B79</f>
        <v>1.66666666666667</v>
      </c>
      <c r="D79" s="21" t="n">
        <f aca="false">ABS(B79-C79)</f>
        <v>0</v>
      </c>
      <c r="E79" s="26" t="n">
        <v>1E-009</v>
      </c>
      <c r="F79" s="4" t="str">
        <f aca="false">IF(D79&lt;=E79,"PASS","FAIL")</f>
        <v>PASS</v>
      </c>
    </row>
    <row r="80" customFormat="false" ht="15" hidden="false" customHeight="false" outlineLevel="0" collapsed="false">
      <c r="A80" s="2" t="s">
        <v>528</v>
      </c>
      <c r="B80" s="20" t="n">
        <f aca="false">GainBench!B26</f>
        <v>3.33333333333333</v>
      </c>
      <c r="C80" s="25" t="n">
        <f aca="false">Reference_Values!B80</f>
        <v>3.33333333333333</v>
      </c>
      <c r="D80" s="21" t="n">
        <f aca="false">ABS(B80-C80)</f>
        <v>0</v>
      </c>
      <c r="E80" s="26" t="n">
        <v>1E-009</v>
      </c>
      <c r="F80" s="4" t="str">
        <f aca="false">IF(D80&lt;=E80,"PASS","FAIL")</f>
        <v>PASS</v>
      </c>
    </row>
    <row r="81" customFormat="false" ht="15" hidden="false" customHeight="false" outlineLevel="0" collapsed="false">
      <c r="A81" s="2" t="s">
        <v>529</v>
      </c>
      <c r="B81" s="20" t="n">
        <f aca="false">Lyapunov!I4</f>
        <v>13.5714285714286</v>
      </c>
      <c r="C81" s="25" t="n">
        <f aca="false">Reference_Values!B81</f>
        <v>13.5714285714286</v>
      </c>
      <c r="D81" s="21" t="n">
        <f aca="false">ABS(B81-C81)</f>
        <v>0</v>
      </c>
      <c r="E81" s="26" t="n">
        <v>1E-009</v>
      </c>
      <c r="F81" s="4" t="str">
        <f aca="false">IF(D81&lt;=E81,"PASS","FAIL")</f>
        <v>PASS</v>
      </c>
    </row>
    <row r="82" customFormat="false" ht="15" hidden="false" customHeight="false" outlineLevel="0" collapsed="false">
      <c r="A82" s="2" t="s">
        <v>531</v>
      </c>
      <c r="B82" s="20" t="n">
        <f aca="false">Lyapunov!I5</f>
        <v>-5.78571428571428</v>
      </c>
      <c r="C82" s="25" t="n">
        <f aca="false">Reference_Values!B82</f>
        <v>-5.78571428571428</v>
      </c>
      <c r="D82" s="21" t="n">
        <f aca="false">ABS(B82-C82)</f>
        <v>0</v>
      </c>
      <c r="E82" s="26" t="n">
        <v>1E-009</v>
      </c>
      <c r="F82" s="4" t="str">
        <f aca="false">IF(D82&lt;=E82,"PASS","FAIL")</f>
        <v>PASS</v>
      </c>
    </row>
    <row r="83" customFormat="false" ht="15" hidden="false" customHeight="false" outlineLevel="0" collapsed="false">
      <c r="A83" s="2" t="s">
        <v>532</v>
      </c>
      <c r="B83" s="20" t="n">
        <f aca="false">Lyapunov!I6</f>
        <v>11.9928571428571</v>
      </c>
      <c r="C83" s="25" t="n">
        <f aca="false">Reference_Values!B83</f>
        <v>11.9928571428571</v>
      </c>
      <c r="D83" s="21" t="n">
        <f aca="false">ABS(B83-C83)</f>
        <v>0</v>
      </c>
      <c r="E83" s="26" t="n">
        <v>1E-009</v>
      </c>
      <c r="F83" s="4" t="str">
        <f aca="false">IF(D83&lt;=E83,"PASS","FAIL")</f>
        <v>PASS</v>
      </c>
    </row>
    <row r="84" customFormat="false" ht="15" hidden="false" customHeight="false" outlineLevel="0" collapsed="false">
      <c r="A84" s="2" t="s">
        <v>533</v>
      </c>
      <c r="B84" s="20" t="n">
        <f aca="false">Lyapunov!I7</f>
        <v>0</v>
      </c>
      <c r="C84" s="25" t="n">
        <f aca="false">Reference_Values!B84</f>
        <v>0</v>
      </c>
      <c r="D84" s="21" t="n">
        <f aca="false">ABS(B84-C84)</f>
        <v>0</v>
      </c>
      <c r="E84" s="26" t="n">
        <v>1E-009</v>
      </c>
      <c r="F84" s="4" t="str">
        <f aca="false">IF(D84&lt;=E84,"PASS","FAIL")</f>
        <v>PASS</v>
      </c>
    </row>
    <row r="85" customFormat="false" ht="15" hidden="false" customHeight="false" outlineLevel="0" collapsed="false">
      <c r="A85" s="2" t="s">
        <v>535</v>
      </c>
      <c r="B85" s="20" t="n">
        <f aca="false">Lyapunov!I8</f>
        <v>1</v>
      </c>
      <c r="C85" s="25" t="n">
        <f aca="false">Reference_Values!B85</f>
        <v>1</v>
      </c>
      <c r="D85" s="21" t="n">
        <f aca="false">ABS(B85-C85)</f>
        <v>0</v>
      </c>
      <c r="E85" s="26" t="n">
        <v>0</v>
      </c>
      <c r="F85" s="4" t="str">
        <f aca="false">IF(D85&lt;=E85,"PASS","FAIL")</f>
        <v>PASS</v>
      </c>
    </row>
    <row r="86" customFormat="false" ht="15" hidden="false" customHeight="false" outlineLevel="0" collapsed="false">
      <c r="A86" s="2" t="s">
        <v>537</v>
      </c>
      <c r="B86" s="20" t="n">
        <f aca="false">Lyapunov!M53</f>
        <v>18</v>
      </c>
      <c r="C86" s="25" t="n">
        <f aca="false">Reference_Values!B86</f>
        <v>18</v>
      </c>
      <c r="D86" s="21" t="n">
        <f aca="false">ABS(B86-C86)</f>
        <v>0</v>
      </c>
      <c r="E86" s="26" t="n">
        <v>0</v>
      </c>
      <c r="F86" s="4" t="str">
        <f aca="false">IF(D86&lt;=E86,"PASS","FAIL")</f>
        <v>PASS</v>
      </c>
    </row>
    <row r="87" customFormat="false" ht="15" hidden="false" customHeight="false" outlineLevel="0" collapsed="false">
      <c r="A87" s="2" t="s">
        <v>539</v>
      </c>
      <c r="B87" s="20" t="n">
        <f aca="false">Lyapunov!N53</f>
        <v>0</v>
      </c>
      <c r="C87" s="25" t="n">
        <f aca="false">Reference_Values!B87</f>
        <v>0</v>
      </c>
      <c r="D87" s="21" t="n">
        <f aca="false">ABS(B87-C87)</f>
        <v>0</v>
      </c>
      <c r="E87" s="26" t="n">
        <v>0</v>
      </c>
      <c r="F87" s="4" t="str">
        <f aca="false">IF(D87&lt;=E87,"PASS","FAIL")</f>
        <v>PASS</v>
      </c>
    </row>
    <row r="88" customFormat="false" ht="15" hidden="false" customHeight="false" outlineLevel="0" collapsed="false">
      <c r="A88" s="2" t="s">
        <v>541</v>
      </c>
      <c r="B88" s="20" t="n">
        <f aca="false">Lyapunov!Y4</f>
        <v>10.2972987232247</v>
      </c>
      <c r="C88" s="25" t="n">
        <f aca="false">Reference_Values!B88</f>
        <v>10.2972987232247</v>
      </c>
      <c r="D88" s="21" t="n">
        <f aca="false">ABS(B88-C88)</f>
        <v>0</v>
      </c>
      <c r="E88" s="26" t="n">
        <v>1E-009</v>
      </c>
      <c r="F88" s="4" t="str">
        <f aca="false">IF(D88&lt;=E88,"PASS","FAIL")</f>
        <v>PASS</v>
      </c>
    </row>
    <row r="89" customFormat="false" ht="15" hidden="false" customHeight="false" outlineLevel="0" collapsed="false">
      <c r="A89" s="2" t="s">
        <v>543</v>
      </c>
      <c r="B89" s="20" t="n">
        <f aca="false">Lyapunov!Z4</f>
        <v>4.60691839453414</v>
      </c>
      <c r="C89" s="25" t="n">
        <f aca="false">Reference_Values!B89</f>
        <v>4.60691839453413</v>
      </c>
      <c r="D89" s="21" t="n">
        <f aca="false">ABS(B89-C89)</f>
        <v>0</v>
      </c>
      <c r="E89" s="26" t="n">
        <v>1E-009</v>
      </c>
      <c r="F89" s="4" t="str">
        <f aca="false">IF(D89&lt;=E89,"PASS","FAIL")</f>
        <v>PASS</v>
      </c>
    </row>
    <row r="90" customFormat="false" ht="15" hidden="false" customHeight="false" outlineLevel="0" collapsed="false">
      <c r="A90" s="2" t="s">
        <v>544</v>
      </c>
      <c r="B90" s="20" t="n">
        <f aca="false">Lyapunov!Z5</f>
        <v>5.70253970138229</v>
      </c>
      <c r="C90" s="25" t="n">
        <f aca="false">Reference_Values!B90</f>
        <v>5.70253970138229</v>
      </c>
      <c r="D90" s="21" t="n">
        <f aca="false">ABS(B90-C90)</f>
        <v>0</v>
      </c>
      <c r="E90" s="26" t="n">
        <v>1E-009</v>
      </c>
      <c r="F90" s="4" t="str">
        <f aca="false">IF(D90&lt;=E90,"PASS","FAIL")</f>
        <v>PASS</v>
      </c>
    </row>
    <row r="91" customFormat="false" ht="15" hidden="false" customHeight="false" outlineLevel="0" collapsed="false">
      <c r="A91" s="2" t="s">
        <v>545</v>
      </c>
      <c r="B91" s="20" t="n">
        <f aca="false">Lyapunov!AA6</f>
        <v>2.77777777777778</v>
      </c>
      <c r="C91" s="25" t="n">
        <f aca="false">Reference_Values!B91</f>
        <v>2.77777777777778</v>
      </c>
      <c r="D91" s="21" t="n">
        <f aca="false">ABS(B91-C91)</f>
        <v>0</v>
      </c>
      <c r="E91" s="26" t="n">
        <v>1E-009</v>
      </c>
      <c r="F91" s="4" t="str">
        <f aca="false">IF(D91&lt;=E91,"PASS","FAIL")</f>
        <v>PASS</v>
      </c>
    </row>
    <row r="92" customFormat="false" ht="15" hidden="false" customHeight="false" outlineLevel="0" collapsed="false">
      <c r="A92" s="2" t="s">
        <v>546</v>
      </c>
      <c r="B92" s="20" t="n">
        <f aca="false">Lyapunov!Y8</f>
        <v>0</v>
      </c>
      <c r="C92" s="25" t="n">
        <f aca="false">Reference_Values!B92</f>
        <v>0</v>
      </c>
      <c r="D92" s="21" t="n">
        <f aca="false">ABS(B92-C92)</f>
        <v>0</v>
      </c>
      <c r="E92" s="26" t="n">
        <v>1E-009</v>
      </c>
      <c r="F92" s="4" t="str">
        <f aca="false">IF(D92&lt;=E92,"PASS","FAIL")</f>
        <v>PASS</v>
      </c>
    </row>
    <row r="93" customFormat="false" ht="15" hidden="false" customHeight="false" outlineLevel="0" collapsed="false">
      <c r="A93" s="2" t="s">
        <v>548</v>
      </c>
      <c r="B93" s="20" t="n">
        <f aca="false">Lyapunov!Y9</f>
        <v>1</v>
      </c>
      <c r="C93" s="25" t="n">
        <f aca="false">Reference_Values!B93</f>
        <v>1</v>
      </c>
      <c r="D93" s="21" t="n">
        <f aca="false">ABS(B93-C93)</f>
        <v>0</v>
      </c>
      <c r="E93" s="26" t="n">
        <v>0</v>
      </c>
      <c r="F93" s="4" t="str">
        <f aca="false">IF(D93&lt;=E93,"PASS","FAIL")</f>
        <v>PASS</v>
      </c>
    </row>
    <row r="94" customFormat="false" ht="15" hidden="false" customHeight="false" outlineLevel="0" collapsed="false">
      <c r="A94" s="2" t="s">
        <v>550</v>
      </c>
      <c r="B94" s="20" t="n">
        <f aca="false">Lyapunov!AD34</f>
        <v>0</v>
      </c>
      <c r="C94" s="25" t="n">
        <f aca="false">Reference_Values!B94</f>
        <v>0</v>
      </c>
      <c r="D94" s="21" t="n">
        <f aca="false">ABS(B94-C94)</f>
        <v>0</v>
      </c>
      <c r="E94" s="26" t="n">
        <v>0</v>
      </c>
      <c r="F94" s="4" t="str">
        <f aca="false">IF(D94&lt;=E94,"PASS","FAIL")</f>
        <v>PASS</v>
      </c>
    </row>
    <row r="95" customFormat="false" ht="15" hidden="false" customHeight="false" outlineLevel="0" collapsed="false">
      <c r="A95" s="2" t="s">
        <v>552</v>
      </c>
      <c r="B95" s="20" t="n">
        <f aca="false">Lyapunov!AE34</f>
        <v>0</v>
      </c>
      <c r="C95" s="25" t="n">
        <f aca="false">Reference_Values!B95</f>
        <v>0</v>
      </c>
      <c r="D95" s="21" t="n">
        <f aca="false">ABS(B95-C95)</f>
        <v>0</v>
      </c>
      <c r="E95" s="26" t="n">
        <v>0</v>
      </c>
      <c r="F95" s="4" t="str">
        <f aca="false">IF(D95&lt;=E95,"PASS","FAIL")</f>
        <v>PASS</v>
      </c>
    </row>
    <row r="97" customFormat="false" ht="15" hidden="false" customHeight="false" outlineLevel="0" collapsed="false">
      <c r="A97" s="4" t="s">
        <v>558</v>
      </c>
      <c r="F97" s="4" t="str">
        <f aca="false">IF(COUNTIF(F2:F95,"PASS")=94,"ALL PASS","CHECK")</f>
        <v>ALL 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2026-10-05T08:37:44Z</dcterms:created>
  <dc:creator>openpyxl</dc:creator>
  <dc:description/>
  <dc:language>en-US</dc:language>
  <cp:lastModifiedBy/>
  <dcterms:modified xsi:type="dcterms:W3CDTF">2026-10-05T08:37:44Z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