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Wiring" sheetId="3" state="visible" r:id="rId5"/>
    <sheet name="Core" sheetId="4" state="visible" r:id="rId6"/>
    <sheet name="Shock" sheetId="5" state="visible" r:id="rId7"/>
    <sheet name="Paths" sheetId="6" state="visible" r:id="rId8"/>
    <sheet name="SummaryMap" sheetId="7" state="visible" r:id="rId9"/>
    <sheet name="Constraints" sheetId="8" state="visible" r:id="rId10"/>
    <sheet name="Metrics" sheetId="9" state="visible" r:id="rId11"/>
    <sheet name="WhatIf" sheetId="10" state="visible" r:id="rId12"/>
    <sheet name="Reference_Values" sheetId="11" state="visible" r:id="rId13"/>
    <sheet name="Checks" sheetId="12" state="visible" r:id="rId14"/>
  </sheets>
  <definedNames>
    <definedName function="false" hidden="false" name="Arr_from" vbProcedure="false">Declarations!$B$13:$B$26</definedName>
    <definedName function="false" hidden="false" name="Arr_to" vbProcedure="false">Declarations!$C$13:$C$26</definedName>
    <definedName function="false" hidden="false" name="Arr_type" vbProcedure="false">Declarations!$D$13:$D$26</definedName>
    <definedName function="false" hidden="false" name="Box" vbProcedure="false">Declarations!$C$4:$C$10</definedName>
    <definedName function="false" hidden="false" name="Ceiling" vbProcedure="false">Declarations!$B$44</definedName>
    <definedName function="false" hidden="false" name="Comp" vbProcedure="false">Declarations!$A$4:$A$10</definedName>
    <definedName function="false" hidden="false" name="Risk_error" vbProcedure="false">Declarations!$B$45</definedName>
    <definedName function="false" hidden="false" name="Risk_speed" vbProcedure="false">Declarations!$B$48</definedName>
    <definedName function="false" hidden="false" name="Risk_start" vbProcedure="false">Declarations!$B$46</definedName>
    <definedName function="false" hidden="false" name="Risk_target" vbProcedure="false">Declarations!$B$47</definedName>
    <definedName function="false" hidden="false" name="Trough_depth" vbProcedure="false">Declarations!$B$49</definedName>
    <definedName function="false" hidden="false" name="Trough_time" vbProcedure="false">Declarations!$B$50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<sst xmlns="http://schemas.openxmlformats.org/spreadsheetml/2006/main" count="2083" uniqueCount="951">
  <si>
    <t xml:space="preserve">DCT Laboratory — Vol I, Ch 9: Enterprise State Architecture</t>
  </si>
  <si>
    <t xml:space="preserve">Seed 26109 · Companion to DCT_V1_Ch09_Lab.ipynb and AXIOM Lab 1.9 (module AXIOM-09). Money in $ million.</t>
  </si>
  <si>
    <t xml:space="preserve">Worked Example 9.1, How Fast Can a Demand Shock Reach the Covenant?, with the book's declarations, and the five steps of AXIOM Lab 1.9, Wiring Meridian.</t>
  </si>
  <si>
    <t xml:space="preserve">Declarations: the seven components, the fourteen typed arrows and the constraints with their scopes (Tables 9.1-9.3; Figure 9.1). Change an arrow or a scope and every sheet recalculates.</t>
  </si>
  <si>
    <t xml:space="preserve">Wiring: the adjacency matrix, the interface check, the counts, density and cycle measure (lab step 1).</t>
  </si>
  <si>
    <t xml:space="preserve">Core: routes of each length, reachability, the strongly connected components, the causal layers, the loops inside the core, and Online Appendix 9.B.1's offsetting channels (lab step 2).</t>
  </si>
  <si>
    <t xml:space="preserve">Shock: Table 9.7's distances and shortest routes, the wavefront, the path counter, and a positive linear company whose arrows can be switched off (lab step 3).</t>
  </si>
  <si>
    <t xml:space="preserve">Paths: every simple path from the market to treasury and every cut of one, two or three arrows.</t>
  </si>
  <si>
    <t xml:space="preserve">SummaryMap: the two-box map and the causal map, with the connections each invents (lab step 4).</t>
  </si>
  <si>
    <t xml:space="preserve">Constraints: the constraint graph, its cycle measure and its joint review; the planning rules and the carve-out timetable by the cycle test; the strategic-risk peak on the digital plan (lab step 5).</t>
  </si>
  <si>
    <t xml:space="preserve">Metrics: the complexity panel (Table 9.5) and the validation checklist (Table 9.4). WhatIf: treasury funds Materials.</t>
  </si>
  <si>
    <t xml:space="preserve">Engine values (green) are the sensitivities the notebook drew with the lab's seed and the paths it enumerated. Reference_Values and Checks: the notebook engine's numbers and a PASS/FAIL comparison.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</si>
  <si>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</si>
  <si>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</si>
  <si>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</si>
  <si>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</si>
  <si>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</si>
  <si>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9.1, Step 1; Tables 9.1-9.3). Money in $ million; the model runs in quarters.</t>
  </si>
  <si>
    <t xml:space="preserve">Component</t>
  </si>
  <si>
    <t xml:space="preserve">Name</t>
  </si>
  <si>
    <t xml:space="preserve">Org chart (two-box map)</t>
  </si>
  <si>
    <t xml:space="preserve">Interface: readings it exposes</t>
  </si>
  <si>
    <t xml:space="preserve">Source</t>
  </si>
  <si>
    <t xml:space="preserve">MKT</t>
  </si>
  <si>
    <t xml:space="preserve">Market</t>
  </si>
  <si>
    <t xml:space="preserve">market</t>
  </si>
  <si>
    <t xml:space="preserve">demand</t>
  </si>
  <si>
    <t xml:space="preserve">named by the arrow's type</t>
  </si>
  <si>
    <t xml:space="preserve">GOV</t>
  </si>
  <si>
    <t xml:space="preserve">Governance</t>
  </si>
  <si>
    <t xml:space="preserve">center</t>
  </si>
  <si>
    <t xml:space="preserve">policy</t>
  </si>
  <si>
    <t xml:space="preserve">MAT</t>
  </si>
  <si>
    <t xml:space="preserve">Materials</t>
  </si>
  <si>
    <t xml:space="preserve">divisions</t>
  </si>
  <si>
    <t xml:space="preserve">cash and EBITDA</t>
  </si>
  <si>
    <t xml:space="preserve">Step 1: the divisions report cash and EBITDA along the cash arrows</t>
  </si>
  <si>
    <t xml:space="preserve">IND</t>
  </si>
  <si>
    <t xml:space="preserve">Industrial Systems</t>
  </si>
  <si>
    <t xml:space="preserve">cash and EBITDA; capability</t>
  </si>
  <si>
    <t xml:space="preserve">DIG</t>
  </si>
  <si>
    <t xml:space="preserve">Digital</t>
  </si>
  <si>
    <t xml:space="preserve">ENG</t>
  </si>
  <si>
    <t xml:space="preserve">Shared engineering</t>
  </si>
  <si>
    <t xml:space="preserve">workforce-capability index</t>
  </si>
  <si>
    <t xml:space="preserve">Table 9.1: engineering exposes the workforce-capability index</t>
  </si>
  <si>
    <t xml:space="preserve">TRS</t>
  </si>
  <si>
    <t xml:space="preserve">Treasury</t>
  </si>
  <si>
    <t xml:space="preserve">funding capacity</t>
  </si>
  <si>
    <t xml:space="preserve">Table 9.1: treasury exposes funding capacity</t>
  </si>
  <si>
    <t xml:space="preserve">Arrow</t>
  </si>
  <si>
    <t xml:space="preserve">From</t>
  </si>
  <si>
    <t xml:space="preserve">To</t>
  </si>
  <si>
    <t xml:space="preserve">Type</t>
  </si>
  <si>
    <t xml:space="preserve">Class (Table 9.2)</t>
  </si>
  <si>
    <t xml:space="preserve">Reading carried</t>
  </si>
  <si>
    <t xml:space="preserve">Source exposes it (1 = yes)</t>
  </si>
  <si>
    <t xml:space="preserve">cash</t>
  </si>
  <si>
    <t xml:space="preserve">funding</t>
  </si>
  <si>
    <t xml:space="preserve">capability</t>
  </si>
  <si>
    <t xml:space="preserve">Arrow type</t>
  </si>
  <si>
    <t xml:space="preserve">dynamic</t>
  </si>
  <si>
    <t xml:space="preserve">resource flow</t>
  </si>
  <si>
    <t xml:space="preserve">Capability arrows from engineering carry the workforce-capability index (Table 9.1).</t>
  </si>
  <si>
    <t xml:space="preserve">informational</t>
  </si>
  <si>
    <t xml:space="preserve">Constraint (Table 9.3)</t>
  </si>
  <si>
    <t xml:space="preserve">Components in scope</t>
  </si>
  <si>
    <t xml:space="preserve">Class (Table 9.3)</t>
  </si>
  <si>
    <t xml:space="preserve">Limit</t>
  </si>
  <si>
    <t xml:space="preserve">Who can change it</t>
  </si>
  <si>
    <t xml:space="preserve">Loan covenant: net leverage at most 4.5x EBITDA</t>
  </si>
  <si>
    <t xml:space="preserve">only the lenders (Table 5.4)</t>
  </si>
  <si>
    <t xml:space="preserve">Liquidity floor: at least $350 million</t>
  </si>
  <si>
    <t xml:space="preserve">the board: a revisable policy</t>
  </si>
  <si>
    <t xml:space="preserve">Plant capacity</t>
  </si>
  <si>
    <t xml:space="preserve">a physical limit (Table 5.4)</t>
  </si>
  <si>
    <t xml:space="preserve">Strategic-risk ceiling</t>
  </si>
  <si>
    <t xml:space="preserve">Workforce capability for the digital build</t>
  </si>
  <si>
    <t xml:space="preserve">the digital build (Worked Example 3.1)</t>
  </si>
  <si>
    <t xml:space="preserve">Index bounds are local too (Table 9.3); local constraints add no link to the constraint graph.</t>
  </si>
  <si>
    <t xml:space="preserve">Declared value</t>
  </si>
  <si>
    <t xml:space="preserve">Value</t>
  </si>
  <si>
    <t xml:space="preserve">Table 5.4: a board policy</t>
  </si>
  <si>
    <t xml:space="preserve">Risk committee's measurement error (+/-)</t>
  </si>
  <si>
    <t xml:space="preserve">Table 5.2</t>
  </si>
  <si>
    <t xml:space="preserve">Strategic risk today</t>
  </si>
  <si>
    <t xml:space="preserve">Table 3.1</t>
  </si>
  <si>
    <t xml:space="preserve">Digital plan: target for strategic risk</t>
  </si>
  <si>
    <t xml:space="preserve">Table 1.B.1 (Equation 1.B.1)</t>
  </si>
  <si>
    <t xml:space="preserve">Digital plan: speed a year</t>
  </si>
  <si>
    <t xml:space="preserve">Table 1.B.1</t>
  </si>
  <si>
    <t xml:space="preserve">Digital plan: trough depth (temporary strain)</t>
  </si>
  <si>
    <t xml:space="preserve">Digital plan: trough time, years</t>
  </si>
  <si>
    <t xml:space="preserve">Strategic risk on the digital plan: x(t) = target + (today - target) e^(-speed t) + depth (t / trough time) e^(1 - t / trough time), t in years (Chapter 1, Equation 1.B.1).</t>
  </si>
  <si>
    <t xml:space="preserve">Declare the architecture: the dependency graph and its counts (Worked Example 9.1, Step 1; Definitions 9.1-9.3; AXIOM Lab 1.9, step 1)</t>
  </si>
  <si>
    <t xml:space="preserve">Rows send, columns receive: A = 1 where an arrow runs from the row's component to the column's. Everything below recalculates from the arrow list on Declarations.</t>
  </si>
  <si>
    <t xml:space="preserve">Adjacency A (Figure 9.1)</t>
  </si>
  <si>
    <t xml:space="preserve">from \ to</t>
  </si>
  <si>
    <t xml:space="preserve">out-degree</t>
  </si>
  <si>
    <t xml:space="preserve">Quantity</t>
  </si>
  <si>
    <t xml:space="preserve">Reading</t>
  </si>
  <si>
    <t xml:space="preserve">Components |V|</t>
  </si>
  <si>
    <t xml:space="preserve">Table 9.1: seven</t>
  </si>
  <si>
    <t xml:space="preserve">Arrows |E|</t>
  </si>
  <si>
    <t xml:space="preserve">Figure 9.1: fourteen</t>
  </si>
  <si>
    <t xml:space="preserve">Possible arrows |V|(|V| - 1)</t>
  </si>
  <si>
    <t xml:space="preserve">Density |E| / (|V|(|V| - 1))</t>
  </si>
  <si>
    <t xml:space="preserve">Section 9.8: 14/42 = 0.33</t>
  </si>
  <si>
    <t xml:space="preserve">Two-way relationships</t>
  </si>
  <si>
    <t xml:space="preserve">cash and funding with treasury; capability</t>
  </si>
  <si>
    <t xml:space="preserve">Pairs joined, directions ignored</t>
  </si>
  <si>
    <t xml:space="preserve">Separate pieces p, directions ignored</t>
  </si>
  <si>
    <t xml:space="preserve">one piece</t>
  </si>
  <si>
    <t xml:space="preserve">in-degree</t>
  </si>
  <si>
    <t xml:space="preserve">Cycle measure beta = |E| - |V| + p</t>
  </si>
  <si>
    <t xml:space="preserve">Section 9.8: 14 - 7 + 1 = 8</t>
  </si>
  <si>
    <t xml:space="preserve">  loops from the two-way relationships</t>
  </si>
  <si>
    <t xml:space="preserve">Online Appendix 9.B.7: four</t>
  </si>
  <si>
    <t xml:space="preserve">  loops with directions ignored</t>
  </si>
  <si>
    <t xml:space="preserve">and the remaining four</t>
  </si>
  <si>
    <t xml:space="preserve">A transposed (the same arrows, columns sending)</t>
  </si>
  <si>
    <t xml:space="preserve">Missing arrows: claims of independence</t>
  </si>
  <si>
    <t xml:space="preserve">to \ from</t>
  </si>
  <si>
    <t xml:space="preserve">Arrows into the market</t>
  </si>
  <si>
    <t xml:space="preserve">nothing Meridian does moves its demand</t>
  </si>
  <si>
    <t xml:space="preserve">Arrows into governance</t>
  </si>
  <si>
    <t xml:space="preserve">Funding arrows into Materials</t>
  </si>
  <si>
    <t xml:space="preserve">Materials funds itself</t>
  </si>
  <si>
    <t xml:space="preserve">Arrows interface-backed</t>
  </si>
  <si>
    <t xml:space="preserve">every one: the components assemble</t>
  </si>
  <si>
    <t xml:space="preserve">Demand arrows</t>
  </si>
  <si>
    <t xml:space="preserve">market to each division</t>
  </si>
  <si>
    <t xml:space="preserve">Cash arrows</t>
  </si>
  <si>
    <t xml:space="preserve">each division to treasury</t>
  </si>
  <si>
    <t xml:space="preserve">Funding arrows</t>
  </si>
  <si>
    <t xml:space="preserve">treasury to IND and DIG</t>
  </si>
  <si>
    <t xml:space="preserve">Capability arrows</t>
  </si>
  <si>
    <t xml:space="preserve">both ways, engineering with IND and DIG</t>
  </si>
  <si>
    <t xml:space="preserve">Policy arrows</t>
  </si>
  <si>
    <t xml:space="preserve">governance to treasury and Digital</t>
  </si>
  <si>
    <t xml:space="preserve">Joined in either direction, SIGN(A + transposed): directions ignored</t>
  </si>
  <si>
    <t xml:space="preserve">I + U: a component joined to itself and its neighbors</t>
  </si>
  <si>
    <t xml:space="preserve">(I + U)^2, as 0 or 1: within two links</t>
  </si>
  <si>
    <t xml:space="preserve">(I + U)^4, as 0 or 1: within four links</t>
  </si>
  <si>
    <t xml:space="preserve">(I + U)^8, as 0 or 1: in the same piece when directions are ignored</t>
  </si>
  <si>
    <t xml:space="preserve">piece size</t>
  </si>
  <si>
    <t xml:space="preserve">Find the core: routes, reachability, strongly connected components and causal layers (Worked Example 9.1, Step 2; Theorem 9.2(iii); Proposition 9.3; AXIOM Lab 1.9, step 2)</t>
  </si>
  <si>
    <t xml:space="preserve">Tarjan's algorithm in the notebook; here the same answer from matrix powers: two components are strongly connected when each reaches the other.</t>
  </si>
  <si>
    <t xml:space="preserve">A^2: routes of 2 steps from the row to the column</t>
  </si>
  <si>
    <t xml:space="preserve">Result</t>
  </si>
  <si>
    <t xml:space="preserve">Feedback cores (components of more than one member)</t>
  </si>
  <si>
    <t xml:space="preserve">one: {IND, DIG, ENG, TRS}</t>
  </si>
  <si>
    <t xml:space="preserve">Members of the largest core</t>
  </si>
  <si>
    <t xml:space="preserve">four</t>
  </si>
  <si>
    <t xml:space="preserve">Components in a core</t>
  </si>
  <si>
    <t xml:space="preserve">Causal layers</t>
  </si>
  <si>
    <t xml:space="preserve">drivers, feeder, core</t>
  </si>
  <si>
    <t xml:space="preserve">Condensation depth: longest chain of one-way arrows</t>
  </si>
  <si>
    <t xml:space="preserve">two</t>
  </si>
  <si>
    <t xml:space="preserve">Layer of the market</t>
  </si>
  <si>
    <t xml:space="preserve">a driver</t>
  </si>
  <si>
    <t xml:space="preserve">Layer of governance</t>
  </si>
  <si>
    <t xml:space="preserve">Layer of Materials</t>
  </si>
  <si>
    <t xml:space="preserve">the feeder</t>
  </si>
  <si>
    <t xml:space="preserve">Layer of the core</t>
  </si>
  <si>
    <t xml:space="preserve">A^3: routes of 3 steps from the row to the column</t>
  </si>
  <si>
    <t xml:space="preserve">Core members among the divisions</t>
  </si>
  <si>
    <t xml:space="preserve">IND and DIG</t>
  </si>
  <si>
    <t xml:space="preserve">Core members in the corporate center</t>
  </si>
  <si>
    <t xml:space="preserve">ENG and TRS</t>
  </si>
  <si>
    <t xml:space="preserve">Loops inside the core: every candidate on its members (Worked Example 9.1, Step 2)</t>
  </si>
  <si>
    <t xml:space="preserve">Running count of core members</t>
  </si>
  <si>
    <t xml:space="preserve">A^4: routes of 4 steps from the row to the column</t>
  </si>
  <si>
    <t xml:space="preserve">k</t>
  </si>
  <si>
    <t xml:space="preserve">k-th member of the core</t>
  </si>
  <si>
    <t xml:space="preserve">Candidate loop</t>
  </si>
  <si>
    <t xml:space="preserve">Kind</t>
  </si>
  <si>
    <t xml:space="preserve">All its arrows present</t>
  </si>
  <si>
    <t xml:space="preserve">two-way</t>
  </si>
  <si>
    <t xml:space="preserve">A^5: routes of 5 steps from the row to the column</t>
  </si>
  <si>
    <t xml:space="preserve">three members</t>
  </si>
  <si>
    <t xml:space="preserve">A^6: routes of 6 steps from the row to the column</t>
  </si>
  <si>
    <t xml:space="preserve">four members</t>
  </si>
  <si>
    <t xml:space="preserve">Two-way relationships in the core</t>
  </si>
  <si>
    <t xml:space="preserve">Loops through three members</t>
  </si>
  <si>
    <t xml:space="preserve">none</t>
  </si>
  <si>
    <t xml:space="preserve">A^7: routes of 7 steps from the row to the column</t>
  </si>
  <si>
    <t xml:space="preserve">Loops through all four members</t>
  </si>
  <si>
    <t xml:space="preserve">Directed loops in the core</t>
  </si>
  <si>
    <t xml:space="preserve">Worked Example 9.1: six</t>
  </si>
  <si>
    <t xml:space="preserve">Online Appendix 9.B.1: offsetting channels inside a core (a' = u, b' = -u, v' = a + b, u' = u + c v)</t>
  </si>
  <si>
    <t xml:space="preserve">c</t>
  </si>
  <si>
    <t xml:space="preserve">quarter</t>
  </si>
  <si>
    <t xml:space="preserve">a</t>
  </si>
  <si>
    <t xml:space="preserve">b</t>
  </si>
  <si>
    <t xml:space="preserve">v</t>
  </si>
  <si>
    <t xml:space="preserve">u</t>
  </si>
  <si>
    <t xml:space="preserve">a (rule +1)</t>
  </si>
  <si>
    <t xml:space="preserve">|change in v|</t>
  </si>
  <si>
    <t xml:space="preserve">u (profit +1)</t>
  </si>
  <si>
    <t xml:space="preserve">A^8: routes of 8 steps from the row to the column</t>
  </si>
  <si>
    <t xml:space="preserve">Largest change in consolidated profit after the rule rises by 1</t>
  </si>
  <si>
    <t xml:space="preserve">none, ever</t>
  </si>
  <si>
    <t xml:space="preserve">Rise in next quarter's rule after consolidated profit rises by 1</t>
  </si>
  <si>
    <t xml:space="preserve">Reachability: 1 if some route of 1 to 7 steps leads from the row to the column</t>
  </si>
  <si>
    <t xml:space="preserve">Strongly connected: 1 if the row and the column reach each other (Definition 9.5)</t>
  </si>
  <si>
    <t xml:space="preserve">component size</t>
  </si>
  <si>
    <t xml:space="preserve">in a core</t>
  </si>
  <si>
    <t xml:space="preserve">A x strongly connected: arrows from the row into the column's component</t>
  </si>
  <si>
    <t xml:space="preserve">Condensation: 1 if the row lies outside the column's component and sends an arrow into it</t>
  </si>
  <si>
    <t xml:space="preserve">Causal layers (Proposition 9.3): level 1 if no arrow enters the component, else 1 + the highest level sending into it, iterated</t>
  </si>
  <si>
    <t xml:space="preserve">component</t>
  </si>
  <si>
    <t xml:space="preserve">pass 0</t>
  </si>
  <si>
    <t xml:space="preserve">pass 1</t>
  </si>
  <si>
    <t xml:space="preserve">pass 2</t>
  </si>
  <si>
    <t xml:space="preserve">pass 3</t>
  </si>
  <si>
    <t xml:space="preserve">pass 4</t>
  </si>
  <si>
    <t xml:space="preserve">pass 5</t>
  </si>
  <si>
    <t xml:space="preserve">pass 6</t>
  </si>
  <si>
    <t xml:space="preserve">Distances: the fewest arrows from the row to the column (none: no path)</t>
  </si>
  <si>
    <t xml:space="preserve">Put floors under arrival times and send a shock (Worked Example 9.1, Step 3; Theorem 9.2; Table 9.7; Online Appendix 9.B.2; AXIOM Lab 1.9, step 3)</t>
  </si>
  <si>
    <t xml:space="preserve">A demand shock to the market can change a component no sooner than its distance, the fewest arrows from the market: a floor, not a forecast.</t>
  </si>
  <si>
    <t xml:space="preserve">Distance from the market</t>
  </si>
  <si>
    <t xml:space="preserve">Reached at all</t>
  </si>
  <si>
    <t xml:space="preserve">Reached after one quarter</t>
  </si>
  <si>
    <t xml:space="preserve">the three divisions</t>
  </si>
  <si>
    <t xml:space="preserve">Reached after two quarters</t>
  </si>
  <si>
    <t xml:space="preserve">and engineering and treasury</t>
  </si>
  <si>
    <t xml:space="preserve">Reached after three quarters</t>
  </si>
  <si>
    <t xml:space="preserve">no one else</t>
  </si>
  <si>
    <t xml:space="preserve">Never reached</t>
  </si>
  <si>
    <t xml:space="preserve">governance: no path</t>
  </si>
  <si>
    <t xml:space="preserve">Routes of two steps</t>
  </si>
  <si>
    <t xml:space="preserve">Section 9.8: 3</t>
  </si>
  <si>
    <t xml:space="preserve">Routes of four steps</t>
  </si>
  <si>
    <t xml:space="preserve">Section 9.8: 10</t>
  </si>
  <si>
    <t xml:space="preserve">Routes of six steps</t>
  </si>
  <si>
    <t xml:space="preserve">Section 9.8: 40</t>
  </si>
  <si>
    <t xml:space="preserve">Routes of odd length (1, 3, 5, 7)</t>
  </si>
  <si>
    <t xml:space="preserve">none: routes alternate between two groups</t>
  </si>
  <si>
    <t xml:space="preserve">Component (Table 9.7)</t>
  </si>
  <si>
    <t xml:space="preserve">Earliest quarter</t>
  </si>
  <si>
    <t xml:space="preserve">A shortest route</t>
  </si>
  <si>
    <t xml:space="preserve">Shortest routes</t>
  </si>
  <si>
    <t xml:space="preserve">Industrial Systems (IND)</t>
  </si>
  <si>
    <t xml:space="preserve">Digital (DIG)</t>
  </si>
  <si>
    <t xml:space="preserve">Materials (MAT)</t>
  </si>
  <si>
    <t xml:space="preserve">Shared engineering (ENG)</t>
  </si>
  <si>
    <t xml:space="preserve">Treasury (TRS), covenant</t>
  </si>
  <si>
    <t xml:space="preserve">Governance (GOV)</t>
  </si>
  <si>
    <t xml:space="preserve">The covenant is a reading of treasury: it cannot move before the second quarter-end after the shock (Theorem 9.2(ii)), and three routes of two steps lead there.</t>
  </si>
  <si>
    <t xml:space="preserve">A predecessor on a shortest route: 1 if the row is one step closer to the market and sends an arrow to the column</t>
  </si>
  <si>
    <t xml:space="preserve">predecessor</t>
  </si>
  <si>
    <t xml:space="preserve">The wavefront: 1 once the shock can have reached the component (AXIOM Lab 1.9, step 3)</t>
  </si>
  <si>
    <t xml:space="preserve">quarter 0</t>
  </si>
  <si>
    <t xml:space="preserve">quarter 1</t>
  </si>
  <si>
    <t xml:space="preserve">quarter 2</t>
  </si>
  <si>
    <t xml:space="preserve">quarter 3</t>
  </si>
  <si>
    <t xml:space="preserve">quarter 4</t>
  </si>
  <si>
    <t xml:space="preserve">reached</t>
  </si>
  <si>
    <t xml:space="preserve">Route length</t>
  </si>
  <si>
    <t xml:space="preserve">Routes from the market to treasury</t>
  </si>
  <si>
    <t xml:space="preserve">A positive linear company (Theorem 9.2(iii)): sensitivities drawn by the notebook with the lab's seed 26109 (engine values); set an arrow's switch to 0 to weaken it away</t>
  </si>
  <si>
    <t xml:space="preserve">Sensitivity (engine)</t>
  </si>
  <si>
    <t xml:space="preserve">Switch (1 on, 0 off)</t>
  </si>
  <si>
    <t xml:space="preserve">In use</t>
  </si>
  <si>
    <t xml:space="preserve">Carry-over (engine)</t>
  </si>
  <si>
    <t xml:space="preserve">The company's next state: row = component updated, column = component read</t>
  </si>
  <si>
    <t xml:space="preserve">next \ reads</t>
  </si>
  <si>
    <t xml:space="preserve">Response to a unit demand shock, quarter by quarter (x' = W x)</t>
  </si>
  <si>
    <t xml:space="preserve">first moves at</t>
  </si>
  <si>
    <t xml:space="preserve">distance</t>
  </si>
  <si>
    <t xml:space="preserve">earlier than the distance</t>
  </si>
  <si>
    <t xml:space="preserve">exactly at it</t>
  </si>
  <si>
    <t xml:space="preserve">Division</t>
  </si>
  <si>
    <t xml:space="preserve">Sensitivity to demand</t>
  </si>
  <si>
    <t xml:space="preserve">Share reaching cash</t>
  </si>
  <si>
    <t xml:space="preserve">Product</t>
  </si>
  <si>
    <t xml:space="preserve">Route sum: what reaches treasury at quarter 2 (Online Appendix 9.B.2)</t>
  </si>
  <si>
    <t xml:space="preserve">Treasury's response at quarter 2</t>
  </si>
  <si>
    <t xml:space="preserve">equal: a positive linear company</t>
  </si>
  <si>
    <t xml:space="preserve">Treasury first moves at quarter</t>
  </si>
  <si>
    <t xml:space="preserve">its distance, 2</t>
  </si>
  <si>
    <t xml:space="preserve">Components that move before their distance</t>
  </si>
  <si>
    <t xml:space="preserve">none, whatever the switches</t>
  </si>
  <si>
    <t xml:space="preserve">Components that move exactly at their distance</t>
  </si>
  <si>
    <t xml:space="preserve">all seven, with every arrow on</t>
  </si>
  <si>
    <t xml:space="preserve">Paths and cuts from the market to treasury (Worked Example 9.1, Step 3; Theorem 9.2(i); AXIOM Lab 1.9, step 3)</t>
  </si>
  <si>
    <t xml:space="preserve">Every ordering of intermediate components is tried: a route is a path when its components are distinct, and it exists when all its arrows do. Cuts are tested against the paths found.</t>
  </si>
  <si>
    <t xml:space="preserve">The paths the notebook enumerated (engine), re-verified: arrows used on each path</t>
  </si>
  <si>
    <t xml:space="preserve">Steps</t>
  </si>
  <si>
    <t xml:space="preserve">Route</t>
  </si>
  <si>
    <t xml:space="preserve">All arrows present</t>
  </si>
  <si>
    <t xml:space="preserve">Simple paths</t>
  </si>
  <si>
    <t xml:space="preserve">Path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</si>
  <si>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</si>
  <si>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</si>
  <si>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</si>
  <si>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</si>
  <si>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</si>
  <si>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Valid</t>
  </si>
  <si>
    <t xml:space="preserve">MKT → TRS</t>
  </si>
  <si>
    <t xml:space="preserve">MKT → GOV → TRS</t>
  </si>
  <si>
    <t xml:space="preserve">MKT → MAT → TRS</t>
  </si>
  <si>
    <t xml:space="preserve">MKT → IND → TRS</t>
  </si>
  <si>
    <t xml:space="preserve">MKT → DIG → TRS</t>
  </si>
  <si>
    <t xml:space="preserve">MKT → ENG → TRS</t>
  </si>
  <si>
    <t xml:space="preserve">MKT → GOV → MAT → TRS</t>
  </si>
  <si>
    <t xml:space="preserve">All</t>
  </si>
  <si>
    <t xml:space="preserve">two-step paths using it</t>
  </si>
  <si>
    <t xml:space="preserve">MKT → GOV → IND → TRS</t>
  </si>
  <si>
    <t xml:space="preserve">paths left if it alone is cut</t>
  </si>
  <si>
    <t xml:space="preserve">MKT → GOV → DIG → TRS</t>
  </si>
  <si>
    <t xml:space="preserve">MKT → GOV → ENG → TRS</t>
  </si>
  <si>
    <t xml:space="preserve">Simple paths from the market to treasury</t>
  </si>
  <si>
    <t xml:space="preserve">Step 3: five</t>
  </si>
  <si>
    <t xml:space="preserve">MKT → MAT → GOV → TRS</t>
  </si>
  <si>
    <t xml:space="preserve">  of two steps</t>
  </si>
  <si>
    <t xml:space="preserve">three, one through each division</t>
  </si>
  <si>
    <t xml:space="preserve">First arrow</t>
  </si>
  <si>
    <t xml:space="preserve">Second arrow</t>
  </si>
  <si>
    <t xml:space="preserve">Paths left</t>
  </si>
  <si>
    <t xml:space="preserve">MKT → MAT → IND → TRS</t>
  </si>
  <si>
    <t xml:space="preserve">  of four steps</t>
  </si>
  <si>
    <t xml:space="preserve">two, through engineering</t>
  </si>
  <si>
    <t xml:space="preserve">MKT → MAT → DIG → TRS</t>
  </si>
  <si>
    <t xml:space="preserve">Paths verified from the notebook's list</t>
  </si>
  <si>
    <t xml:space="preserve">MKT → MAT → ENG → TRS</t>
  </si>
  <si>
    <t xml:space="preserve">Arrows shared by two-step paths</t>
  </si>
  <si>
    <t xml:space="preserve">MKT → IND → GOV → TRS</t>
  </si>
  <si>
    <t xml:space="preserve">Paths sharing no arrow (two-step paths, none shared)</t>
  </si>
  <si>
    <t xml:space="preserve">three</t>
  </si>
  <si>
    <t xml:space="preserve">MKT → IND → MAT → TRS</t>
  </si>
  <si>
    <t xml:space="preserve">Single arrows whose cut separates</t>
  </si>
  <si>
    <t xml:space="preserve">MKT → IND → DIG → TRS</t>
  </si>
  <si>
    <t xml:space="preserve">Pairs of arrows whose cut separates</t>
  </si>
  <si>
    <t xml:space="preserve">MKT → IND → ENG → TRS</t>
  </si>
  <si>
    <t xml:space="preserve">Paths left after cutting the three cash arrows</t>
  </si>
  <si>
    <t xml:space="preserve">none: the cut separates</t>
  </si>
  <si>
    <t xml:space="preserve">MKT → DIG → GOV → TRS</t>
  </si>
  <si>
    <t xml:space="preserve">Paths left after cutting the three demand arrows</t>
  </si>
  <si>
    <t xml:space="preserve">MKT → DIG → MAT → TRS</t>
  </si>
  <si>
    <t xml:space="preserve">Fewest arrows to cut</t>
  </si>
  <si>
    <t xml:space="preserve">three: as many as the paths sharing no arrow</t>
  </si>
  <si>
    <t xml:space="preserve">MKT → DIG → IND → TRS</t>
  </si>
  <si>
    <t xml:space="preserve">MKT → DIG → ENG → TRS</t>
  </si>
  <si>
    <t xml:space="preserve">MKT → ENG → GOV → TRS</t>
  </si>
  <si>
    <t xml:space="preserve">MKT → ENG → MAT → TRS</t>
  </si>
  <si>
    <t xml:space="preserve">MKT → ENG → IND → TRS</t>
  </si>
  <si>
    <t xml:space="preserve">MKT → ENG → DIG → TRS</t>
  </si>
  <si>
    <t xml:space="preserve">MKT → GOV → MAT → IND → TRS</t>
  </si>
  <si>
    <t xml:space="preserve">MKT → GOV → MAT → DIG → TRS</t>
  </si>
  <si>
    <t xml:space="preserve">MKT → GOV → MAT → ENG → TRS</t>
  </si>
  <si>
    <t xml:space="preserve">MKT → GOV → IND → MAT → TRS</t>
  </si>
  <si>
    <t xml:space="preserve">MKT → GOV → IND → DIG → TRS</t>
  </si>
  <si>
    <t xml:space="preserve">MKT → GOV → IND → ENG → TRS</t>
  </si>
  <si>
    <t xml:space="preserve">MKT → GOV → DIG → MAT → TRS</t>
  </si>
  <si>
    <t xml:space="preserve">MKT → GOV → DIG → IND → TRS</t>
  </si>
  <si>
    <t xml:space="preserve">MKT → GOV → DIG → ENG → TRS</t>
  </si>
  <si>
    <t xml:space="preserve">MKT → GOV → ENG → MAT → TRS</t>
  </si>
  <si>
    <t xml:space="preserve">MKT → GOV → ENG → IND → TRS</t>
  </si>
  <si>
    <t xml:space="preserve">MKT → GOV → ENG → DIG → TRS</t>
  </si>
  <si>
    <t xml:space="preserve">MKT → MAT → GOV → IND → TRS</t>
  </si>
  <si>
    <t xml:space="preserve">MKT → MAT → GOV → DIG → TRS</t>
  </si>
  <si>
    <t xml:space="preserve">MKT → MAT → GOV → ENG → TRS</t>
  </si>
  <si>
    <t xml:space="preserve">MKT → MAT → IND → GOV → TRS</t>
  </si>
  <si>
    <t xml:space="preserve">MKT → MAT → IND → DIG → TRS</t>
  </si>
  <si>
    <t xml:space="preserve">MKT → MAT → IND → ENG → TRS</t>
  </si>
  <si>
    <t xml:space="preserve">MKT → MAT → DIG → GOV → TRS</t>
  </si>
  <si>
    <t xml:space="preserve">MKT → MAT → DIG → IND → TRS</t>
  </si>
  <si>
    <t xml:space="preserve">MKT → MAT → DIG → ENG → TRS</t>
  </si>
  <si>
    <t xml:space="preserve">MKT → MAT → ENG → GOV → TRS</t>
  </si>
  <si>
    <t xml:space="preserve">MKT → MAT → ENG → IND → TRS</t>
  </si>
  <si>
    <t xml:space="preserve">MKT → MAT → ENG → DIG → TRS</t>
  </si>
  <si>
    <t xml:space="preserve">MKT → IND → GOV → MAT → TRS</t>
  </si>
  <si>
    <t xml:space="preserve">MKT → IND → GOV → DIG → TRS</t>
  </si>
  <si>
    <t xml:space="preserve">MKT → IND → GOV → ENG → TRS</t>
  </si>
  <si>
    <t xml:space="preserve">MKT → IND → MAT → GOV → TRS</t>
  </si>
  <si>
    <t xml:space="preserve">MKT → IND → MAT → DIG → TRS</t>
  </si>
  <si>
    <t xml:space="preserve">MKT → IND → MAT → ENG → TRS</t>
  </si>
  <si>
    <t xml:space="preserve">MKT → IND → DIG → GOV → TRS</t>
  </si>
  <si>
    <t xml:space="preserve">MKT → IND → DIG → MAT → TRS</t>
  </si>
  <si>
    <t xml:space="preserve">MKT → IND → DIG → ENG → TRS</t>
  </si>
  <si>
    <t xml:space="preserve">MKT → IND → ENG → GOV → TRS</t>
  </si>
  <si>
    <t xml:space="preserve">MKT → IND → ENG → MAT → TRS</t>
  </si>
  <si>
    <t xml:space="preserve">MKT → IND → ENG → DIG → TRS</t>
  </si>
  <si>
    <t xml:space="preserve">MKT → DIG → GOV → MAT → TRS</t>
  </si>
  <si>
    <t xml:space="preserve">MKT → DIG → GOV → IND → TRS</t>
  </si>
  <si>
    <t xml:space="preserve">MKT → DIG → GOV → ENG → TRS</t>
  </si>
  <si>
    <t xml:space="preserve">MKT → DIG → MAT → GOV → TRS</t>
  </si>
  <si>
    <t xml:space="preserve">MKT → DIG → MAT → IND → TRS</t>
  </si>
  <si>
    <t xml:space="preserve">MKT → DIG → MAT → ENG → TRS</t>
  </si>
  <si>
    <t xml:space="preserve">MKT → DIG → IND → GOV → TRS</t>
  </si>
  <si>
    <t xml:space="preserve">MKT → DIG → IND → MAT → TRS</t>
  </si>
  <si>
    <t xml:space="preserve">MKT → DIG → IND → ENG → TRS</t>
  </si>
  <si>
    <t xml:space="preserve">MKT → DIG → ENG → GOV → TRS</t>
  </si>
  <si>
    <t xml:space="preserve">MKT → DIG → ENG → MAT → TRS</t>
  </si>
  <si>
    <t xml:space="preserve">MKT → DIG → ENG → IND → TRS</t>
  </si>
  <si>
    <t xml:space="preserve">MKT → ENG → GOV → MAT → TRS</t>
  </si>
  <si>
    <t xml:space="preserve">MKT → ENG → GOV → IND → TRS</t>
  </si>
  <si>
    <t xml:space="preserve">MKT → ENG → GOV → DIG → TRS</t>
  </si>
  <si>
    <t xml:space="preserve">MKT → ENG → MAT → GOV → TRS</t>
  </si>
  <si>
    <t xml:space="preserve">MKT → ENG → MAT → IND → TRS</t>
  </si>
  <si>
    <t xml:space="preserve">MKT → ENG → MAT → DIG → TRS</t>
  </si>
  <si>
    <t xml:space="preserve">MKT → ENG → IND → GOV → TRS</t>
  </si>
  <si>
    <t xml:space="preserve">MKT → ENG → IND → MAT → TRS</t>
  </si>
  <si>
    <t xml:space="preserve">MKT → ENG → IND → DIG → TRS</t>
  </si>
  <si>
    <t xml:space="preserve">MKT → ENG → DIG → GOV → TRS</t>
  </si>
  <si>
    <t xml:space="preserve">MKT → ENG → DIG → MAT → TRS</t>
  </si>
  <si>
    <t xml:space="preserve">MKT → ENG → DIG → IND → TRS</t>
  </si>
  <si>
    <t xml:space="preserve">MKT → GOV → MAT → IND → DIG → TRS</t>
  </si>
  <si>
    <t xml:space="preserve">MKT → GOV → MAT → IND → ENG → TRS</t>
  </si>
  <si>
    <t xml:space="preserve">MKT → GOV → MAT → DIG → IND → TRS</t>
  </si>
  <si>
    <t xml:space="preserve">MKT → GOV → MAT → DIG → ENG → TRS</t>
  </si>
  <si>
    <t xml:space="preserve">MKT → GOV → MAT → ENG → IND → TRS</t>
  </si>
  <si>
    <t xml:space="preserve">MKT → GOV → MAT → ENG → DIG → TRS</t>
  </si>
  <si>
    <t xml:space="preserve">MKT → GOV → IND → MAT → DIG → TRS</t>
  </si>
  <si>
    <t xml:space="preserve">MKT → GOV → IND → MAT → ENG → TRS</t>
  </si>
  <si>
    <t xml:space="preserve">MKT → GOV → IND → DIG → MAT → TRS</t>
  </si>
  <si>
    <t xml:space="preserve">MKT → GOV → IND → DIG → ENG → TRS</t>
  </si>
  <si>
    <t xml:space="preserve">MKT → GOV → IND → ENG → MAT → TRS</t>
  </si>
  <si>
    <t xml:space="preserve">MKT → GOV → IND → ENG → DIG → TRS</t>
  </si>
  <si>
    <t xml:space="preserve">MKT → GOV → DIG → MAT → IND → TRS</t>
  </si>
  <si>
    <t xml:space="preserve">MKT → GOV → DIG → MAT → ENG → TRS</t>
  </si>
  <si>
    <t xml:space="preserve">MKT → GOV → DIG → IND → MAT → TRS</t>
  </si>
  <si>
    <t xml:space="preserve">MKT → GOV → DIG → IND → ENG → TRS</t>
  </si>
  <si>
    <t xml:space="preserve">MKT → GOV → DIG → ENG → MAT → TRS</t>
  </si>
  <si>
    <t xml:space="preserve">MKT → GOV → DIG → ENG → IND → TRS</t>
  </si>
  <si>
    <t xml:space="preserve">MKT → GOV → ENG → MAT → IND → TRS</t>
  </si>
  <si>
    <t xml:space="preserve">MKT → GOV → ENG → MAT → DIG → TRS</t>
  </si>
  <si>
    <t xml:space="preserve">MKT → GOV → ENG → IND → MAT → TRS</t>
  </si>
  <si>
    <t xml:space="preserve">MKT → GOV → ENG → IND → DIG → TRS</t>
  </si>
  <si>
    <t xml:space="preserve">MKT → GOV → ENG → DIG → MAT → TRS</t>
  </si>
  <si>
    <t xml:space="preserve">MKT → GOV → ENG → DIG → IND → TRS</t>
  </si>
  <si>
    <t xml:space="preserve">MKT → MAT → GOV → IND → DIG → TRS</t>
  </si>
  <si>
    <t xml:space="preserve">MKT → MAT → GOV → IND → ENG → TRS</t>
  </si>
  <si>
    <t xml:space="preserve">MKT → MAT → GOV → DIG → IND → TRS</t>
  </si>
  <si>
    <t xml:space="preserve">MKT → MAT → GOV → DIG → ENG → TRS</t>
  </si>
  <si>
    <t xml:space="preserve">MKT → MAT → GOV → ENG → IND → TRS</t>
  </si>
  <si>
    <t xml:space="preserve">MKT → MAT → GOV → ENG → DIG → TRS</t>
  </si>
  <si>
    <t xml:space="preserve">MKT → MAT → IND → GOV → DIG → TRS</t>
  </si>
  <si>
    <t xml:space="preserve">MKT → MAT → IND → GOV → ENG → TRS</t>
  </si>
  <si>
    <t xml:space="preserve">MKT → MAT → IND → DIG → GOV → TRS</t>
  </si>
  <si>
    <t xml:space="preserve">MKT → MAT → IND → DIG → ENG → TRS</t>
  </si>
  <si>
    <t xml:space="preserve">MKT → MAT → IND → ENG → GOV → TRS</t>
  </si>
  <si>
    <t xml:space="preserve">MKT → MAT → IND → ENG → DIG → TRS</t>
  </si>
  <si>
    <t xml:space="preserve">MKT → MAT → DIG → GOV → IND → TRS</t>
  </si>
  <si>
    <t xml:space="preserve">MKT → MAT → DIG → GOV → ENG → TRS</t>
  </si>
  <si>
    <t xml:space="preserve">MKT → MAT → DIG → IND → GOV → TRS</t>
  </si>
  <si>
    <t xml:space="preserve">MKT → MAT → DIG → IND → ENG → TRS</t>
  </si>
  <si>
    <t xml:space="preserve">MKT → MAT → DIG → ENG → GOV → TRS</t>
  </si>
  <si>
    <t xml:space="preserve">MKT → MAT → DIG → ENG → IND → TRS</t>
  </si>
  <si>
    <t xml:space="preserve">MKT → MAT → ENG → GOV → IND → TRS</t>
  </si>
  <si>
    <t xml:space="preserve">MKT → MAT → ENG → GOV → DIG → TRS</t>
  </si>
  <si>
    <t xml:space="preserve">MKT → MAT → ENG → IND → GOV → TRS</t>
  </si>
  <si>
    <t xml:space="preserve">MKT → MAT → ENG → IND → DIG → TRS</t>
  </si>
  <si>
    <t xml:space="preserve">MKT → MAT → ENG → DIG → GOV → TRS</t>
  </si>
  <si>
    <t xml:space="preserve">MKT → MAT → ENG → DIG → IND → TRS</t>
  </si>
  <si>
    <t xml:space="preserve">MKT → IND → GOV → MAT → DIG → TRS</t>
  </si>
  <si>
    <t xml:space="preserve">MKT → IND → GOV → MAT → ENG → TRS</t>
  </si>
  <si>
    <t xml:space="preserve">MKT → IND → GOV → DIG → MAT → TRS</t>
  </si>
  <si>
    <t xml:space="preserve">MKT → IND → GOV → DIG → ENG → TRS</t>
  </si>
  <si>
    <t xml:space="preserve">MKT → IND → GOV → ENG → MAT → TRS</t>
  </si>
  <si>
    <t xml:space="preserve">MKT → IND → GOV → ENG → DIG → TRS</t>
  </si>
  <si>
    <t xml:space="preserve">MKT → IND → MAT → GOV → DIG → TRS</t>
  </si>
  <si>
    <t xml:space="preserve">MKT → IND → MAT → GOV → ENG → TRS</t>
  </si>
  <si>
    <t xml:space="preserve">MKT → IND → MAT → DIG → GOV → TRS</t>
  </si>
  <si>
    <t xml:space="preserve">MKT → IND → MAT → DIG → ENG → TRS</t>
  </si>
  <si>
    <t xml:space="preserve">MKT → IND → MAT → ENG → GOV → TRS</t>
  </si>
  <si>
    <t xml:space="preserve">MKT → IND → MAT → ENG → DIG → TRS</t>
  </si>
  <si>
    <t xml:space="preserve">MKT → IND → DIG → GOV → MAT → TRS</t>
  </si>
  <si>
    <t xml:space="preserve">MKT → IND → DIG → GOV → ENG → TRS</t>
  </si>
  <si>
    <t xml:space="preserve">MKT → IND → DIG → MAT → GOV → TRS</t>
  </si>
  <si>
    <t xml:space="preserve">MKT → IND → DIG → MAT → ENG → TRS</t>
  </si>
  <si>
    <t xml:space="preserve">MKT → IND → DIG → ENG → GOV → TRS</t>
  </si>
  <si>
    <t xml:space="preserve">MKT → IND → DIG → ENG → MAT → TRS</t>
  </si>
  <si>
    <t xml:space="preserve">MKT → IND → ENG → GOV → MAT → TRS</t>
  </si>
  <si>
    <t xml:space="preserve">MKT → IND → ENG → GOV → DIG → TRS</t>
  </si>
  <si>
    <t xml:space="preserve">MKT → IND → ENG → MAT → GOV → TRS</t>
  </si>
  <si>
    <t xml:space="preserve">MKT → IND → ENG → MAT → DIG → TRS</t>
  </si>
  <si>
    <t xml:space="preserve">MKT → IND → ENG → DIG → GOV → TRS</t>
  </si>
  <si>
    <t xml:space="preserve">MKT → IND → ENG → DIG → MAT → TRS</t>
  </si>
  <si>
    <t xml:space="preserve">MKT → DIG → GOV → MAT → IND → TRS</t>
  </si>
  <si>
    <t xml:space="preserve">MKT → DIG → GOV → MAT → ENG → TRS</t>
  </si>
  <si>
    <t xml:space="preserve">MKT → DIG → GOV → IND → MAT → TRS</t>
  </si>
  <si>
    <t xml:space="preserve">MKT → DIG → GOV → IND → ENG → TRS</t>
  </si>
  <si>
    <t xml:space="preserve">MKT → DIG → GOV → ENG → MAT → TRS</t>
  </si>
  <si>
    <t xml:space="preserve">MKT → DIG → GOV → ENG → IND → TRS</t>
  </si>
  <si>
    <t xml:space="preserve">MKT → DIG → MAT → GOV → IND → TRS</t>
  </si>
  <si>
    <t xml:space="preserve">MKT → DIG → MAT → GOV → ENG → TRS</t>
  </si>
  <si>
    <t xml:space="preserve">MKT → DIG → MAT → IND → GOV → TRS</t>
  </si>
  <si>
    <t xml:space="preserve">MKT → DIG → MAT → IND → ENG → TRS</t>
  </si>
  <si>
    <t xml:space="preserve">MKT → DIG → MAT → ENG → GOV → TRS</t>
  </si>
  <si>
    <t xml:space="preserve">MKT → DIG → MAT → ENG → IND → TRS</t>
  </si>
  <si>
    <t xml:space="preserve">MKT → DIG → IND → GOV → MAT → TRS</t>
  </si>
  <si>
    <t xml:space="preserve">MKT → DIG → IND → GOV → ENG → TRS</t>
  </si>
  <si>
    <t xml:space="preserve">MKT → DIG → IND → MAT → GOV → TRS</t>
  </si>
  <si>
    <t xml:space="preserve">MKT → DIG → IND → MAT → ENG → TRS</t>
  </si>
  <si>
    <t xml:space="preserve">MKT → DIG → IND → ENG → GOV → TRS</t>
  </si>
  <si>
    <t xml:space="preserve">MKT → DIG → IND → ENG → MAT → TRS</t>
  </si>
  <si>
    <t xml:space="preserve">MKT → DIG → ENG → GOV → MAT → TRS</t>
  </si>
  <si>
    <t xml:space="preserve">MKT → DIG → ENG → GOV → IND → TRS</t>
  </si>
  <si>
    <t xml:space="preserve">MKT → DIG → ENG → MAT → GOV → TRS</t>
  </si>
  <si>
    <t xml:space="preserve">MKT → DIG → ENG → MAT → IND → TRS</t>
  </si>
  <si>
    <t xml:space="preserve">MKT → DIG → ENG → IND → GOV → TRS</t>
  </si>
  <si>
    <t xml:space="preserve">MKT → DIG → ENG → IND → MAT → TRS</t>
  </si>
  <si>
    <t xml:space="preserve">MKT → ENG → GOV → MAT → IND → TRS</t>
  </si>
  <si>
    <t xml:space="preserve">MKT → ENG → GOV → MAT → DIG → TRS</t>
  </si>
  <si>
    <t xml:space="preserve">MKT → ENG → GOV → IND → MAT → TRS</t>
  </si>
  <si>
    <t xml:space="preserve">MKT → ENG → GOV → IND → DIG → TRS</t>
  </si>
  <si>
    <t xml:space="preserve">MKT → ENG → GOV → DIG → MAT → TRS</t>
  </si>
  <si>
    <t xml:space="preserve">MKT → ENG → GOV → DIG → IND → TRS</t>
  </si>
  <si>
    <t xml:space="preserve">MKT → ENG → MAT → GOV → IND → TRS</t>
  </si>
  <si>
    <t xml:space="preserve">MKT → ENG → MAT → GOV → DIG → TRS</t>
  </si>
  <si>
    <t xml:space="preserve">MKT → ENG → MAT → IND → GOV → TRS</t>
  </si>
  <si>
    <t xml:space="preserve">MKT → ENG → MAT → IND → DIG → TRS</t>
  </si>
  <si>
    <t xml:space="preserve">MKT → ENG → MAT → DIG → GOV → TRS</t>
  </si>
  <si>
    <t xml:space="preserve">MKT → ENG → MAT → DIG → IND → TRS</t>
  </si>
  <si>
    <t xml:space="preserve">MKT → ENG → IND → GOV → MAT → TRS</t>
  </si>
  <si>
    <t xml:space="preserve">MKT → ENG → IND → GOV → DIG → TRS</t>
  </si>
  <si>
    <t xml:space="preserve">MKT → ENG → IND → MAT → GOV → TRS</t>
  </si>
  <si>
    <t xml:space="preserve">MKT → ENG → IND → MAT → DIG → TRS</t>
  </si>
  <si>
    <t xml:space="preserve">MKT → ENG → IND → DIG → GOV → TRS</t>
  </si>
  <si>
    <t xml:space="preserve">MKT → ENG → IND → DIG → MAT → TRS</t>
  </si>
  <si>
    <t xml:space="preserve">MKT → ENG → DIG → GOV → MAT → TRS</t>
  </si>
  <si>
    <t xml:space="preserve">MKT → ENG → DIG → GOV → IND → TRS</t>
  </si>
  <si>
    <t xml:space="preserve">MKT → ENG → DIG → MAT → GOV → TRS</t>
  </si>
  <si>
    <t xml:space="preserve">MKT → ENG → DIG → MAT → IND → TRS</t>
  </si>
  <si>
    <t xml:space="preserve">MKT → ENG → DIG → IND → GOV → TRS</t>
  </si>
  <si>
    <t xml:space="preserve">MKT → ENG → DIG → IND → MAT → TRS</t>
  </si>
  <si>
    <t xml:space="preserve">MKT → GOV → MAT → IND → DIG → ENG → TRS</t>
  </si>
  <si>
    <t xml:space="preserve">MKT → GOV → MAT → IND → ENG → DIG → TRS</t>
  </si>
  <si>
    <t xml:space="preserve">MKT → GOV → MAT → DIG → IND → ENG → TRS</t>
  </si>
  <si>
    <t xml:space="preserve">MKT → GOV → MAT → DIG → ENG → IND → TRS</t>
  </si>
  <si>
    <t xml:space="preserve">MKT → GOV → MAT → ENG → IND → DIG → TRS</t>
  </si>
  <si>
    <t xml:space="preserve">MKT → GOV → MAT → ENG → DIG → IND → TRS</t>
  </si>
  <si>
    <t xml:space="preserve">MKT → GOV → IND → MAT → DIG → ENG → TRS</t>
  </si>
  <si>
    <t xml:space="preserve">MKT → GOV → IND → MAT → ENG → DIG → TRS</t>
  </si>
  <si>
    <t xml:space="preserve">MKT → GOV → IND → DIG → MAT → ENG → TRS</t>
  </si>
  <si>
    <t xml:space="preserve">MKT → GOV → IND → DIG → ENG → MAT → TRS</t>
  </si>
  <si>
    <t xml:space="preserve">MKT → GOV → IND → ENG → MAT → DIG → TRS</t>
  </si>
  <si>
    <t xml:space="preserve">MKT → GOV → IND → ENG → DIG → MAT → TRS</t>
  </si>
  <si>
    <t xml:space="preserve">MKT → GOV → DIG → MAT → IND → ENG → TRS</t>
  </si>
  <si>
    <t xml:space="preserve">MKT → GOV → DIG → MAT → ENG → IND → TRS</t>
  </si>
  <si>
    <t xml:space="preserve">MKT → GOV → DIG → IND → MAT → ENG → TRS</t>
  </si>
  <si>
    <t xml:space="preserve">MKT → GOV → DIG → IND → ENG → MAT → TRS</t>
  </si>
  <si>
    <t xml:space="preserve">MKT → GOV → DIG → ENG → MAT → IND → TRS</t>
  </si>
  <si>
    <t xml:space="preserve">MKT → GOV → DIG → ENG → IND → MAT → TRS</t>
  </si>
  <si>
    <t xml:space="preserve">MKT → GOV → ENG → MAT → IND → DIG → TRS</t>
  </si>
  <si>
    <t xml:space="preserve">MKT → GOV → ENG → MAT → DIG → IND → TRS</t>
  </si>
  <si>
    <t xml:space="preserve">MKT → GOV → ENG → IND → MAT → DIG → TRS</t>
  </si>
  <si>
    <t xml:space="preserve">MKT → GOV → ENG → IND → DIG → MAT → TRS</t>
  </si>
  <si>
    <t xml:space="preserve">MKT → GOV → ENG → DIG → MAT → IND → TRS</t>
  </si>
  <si>
    <t xml:space="preserve">MKT → GOV → ENG → DIG → IND → MAT → TRS</t>
  </si>
  <si>
    <t xml:space="preserve">MKT → MAT → GOV → IND → DIG → ENG → TRS</t>
  </si>
  <si>
    <t xml:space="preserve">MKT → MAT → GOV → IND → ENG → DIG → TRS</t>
  </si>
  <si>
    <t xml:space="preserve">MKT → MAT → GOV → DIG → IND → ENG → TRS</t>
  </si>
  <si>
    <t xml:space="preserve">MKT → MAT → GOV → DIG → ENG → IND → TRS</t>
  </si>
  <si>
    <t xml:space="preserve">MKT → MAT → GOV → ENG → IND → DIG → TRS</t>
  </si>
  <si>
    <t xml:space="preserve">MKT → MAT → GOV → ENG → DIG → IND → TRS</t>
  </si>
  <si>
    <t xml:space="preserve">MKT → MAT → IND → GOV → DIG → ENG → TRS</t>
  </si>
  <si>
    <t xml:space="preserve">MKT → MAT → IND → GOV → ENG → DIG → TRS</t>
  </si>
  <si>
    <t xml:space="preserve">MKT → MAT → IND → DIG → GOV → ENG → TRS</t>
  </si>
  <si>
    <t xml:space="preserve">MKT → MAT → IND → DIG → ENG → GOV → TRS</t>
  </si>
  <si>
    <t xml:space="preserve">MKT → MAT → IND → ENG → GOV → DIG → TRS</t>
  </si>
  <si>
    <t xml:space="preserve">MKT → MAT → IND → ENG → DIG → GOV → TRS</t>
  </si>
  <si>
    <t xml:space="preserve">MKT → MAT → DIG → GOV → IND → ENG → TRS</t>
  </si>
  <si>
    <t xml:space="preserve">MKT → MAT → DIG → GOV → ENG → IND → TRS</t>
  </si>
  <si>
    <t xml:space="preserve">MKT → MAT → DIG → IND → GOV → ENG → TRS</t>
  </si>
  <si>
    <t xml:space="preserve">MKT → MAT → DIG → IND → ENG → GOV → TRS</t>
  </si>
  <si>
    <t xml:space="preserve">MKT → MAT → DIG → ENG → GOV → IND → TRS</t>
  </si>
  <si>
    <t xml:space="preserve">MKT → MAT → DIG → ENG → IND → GOV → TRS</t>
  </si>
  <si>
    <t xml:space="preserve">MKT → MAT → ENG → GOV → IND → DIG → TRS</t>
  </si>
  <si>
    <t xml:space="preserve">MKT → MAT → ENG → GOV → DIG → IND → TRS</t>
  </si>
  <si>
    <t xml:space="preserve">MKT → MAT → ENG → IND → GOV → DIG → TRS</t>
  </si>
  <si>
    <t xml:space="preserve">MKT → MAT → ENG → IND → DIG → GOV → TRS</t>
  </si>
  <si>
    <t xml:space="preserve">MKT → MAT → ENG → DIG → GOV → IND → TRS</t>
  </si>
  <si>
    <t xml:space="preserve">MKT → MAT → ENG → DIG → IND → GOV → TRS</t>
  </si>
  <si>
    <t xml:space="preserve">MKT → IND → GOV → MAT → DIG → ENG → TRS</t>
  </si>
  <si>
    <t xml:space="preserve">MKT → IND → GOV → MAT → ENG → DIG → TRS</t>
  </si>
  <si>
    <t xml:space="preserve">MKT → IND → GOV → DIG → MAT → ENG → TRS</t>
  </si>
  <si>
    <t xml:space="preserve">MKT → IND → GOV → DIG → ENG → MAT → TRS</t>
  </si>
  <si>
    <t xml:space="preserve">MKT → IND → GOV → ENG → MAT → DIG → TRS</t>
  </si>
  <si>
    <t xml:space="preserve">MKT → IND → GOV → ENG → DIG → MAT → TRS</t>
  </si>
  <si>
    <t xml:space="preserve">MKT → IND → MAT → GOV → DIG → ENG → TRS</t>
  </si>
  <si>
    <t xml:space="preserve">MKT → IND → MAT → GOV → ENG → DIG → TRS</t>
  </si>
  <si>
    <t xml:space="preserve">MKT → IND → MAT → DIG → GOV → ENG → TRS</t>
  </si>
  <si>
    <t xml:space="preserve">MKT → IND → MAT → DIG → ENG → GOV → TRS</t>
  </si>
  <si>
    <t xml:space="preserve">MKT → IND → MAT → ENG → GOV → DIG → TRS</t>
  </si>
  <si>
    <t xml:space="preserve">MKT → IND → MAT → ENG → DIG → GOV → TRS</t>
  </si>
  <si>
    <t xml:space="preserve">MKT → IND → DIG → GOV → MAT → ENG → TRS</t>
  </si>
  <si>
    <t xml:space="preserve">MKT → IND → DIG → GOV → ENG → MAT → TRS</t>
  </si>
  <si>
    <t xml:space="preserve">MKT → IND → DIG → MAT → GOV → ENG → TRS</t>
  </si>
  <si>
    <t xml:space="preserve">MKT → IND → DIG → MAT → ENG → GOV → TRS</t>
  </si>
  <si>
    <t xml:space="preserve">MKT → IND → DIG → ENG → GOV → MAT → TRS</t>
  </si>
  <si>
    <t xml:space="preserve">MKT → IND → DIG → ENG → MAT → GOV → TRS</t>
  </si>
  <si>
    <t xml:space="preserve">MKT → IND → ENG → GOV → MAT → DIG → TRS</t>
  </si>
  <si>
    <t xml:space="preserve">MKT → IND → ENG → GOV → DIG → MAT → TRS</t>
  </si>
  <si>
    <t xml:space="preserve">MKT → IND → ENG → MAT → GOV → DIG → TRS</t>
  </si>
  <si>
    <t xml:space="preserve">MKT → IND → ENG → MAT → DIG → GOV → TRS</t>
  </si>
  <si>
    <t xml:space="preserve">MKT → IND → ENG → DIG → GOV → MAT → TRS</t>
  </si>
  <si>
    <t xml:space="preserve">MKT → IND → ENG → DIG → MAT → GOV → TRS</t>
  </si>
  <si>
    <t xml:space="preserve">MKT → DIG → GOV → MAT → IND → ENG → TRS</t>
  </si>
  <si>
    <t xml:space="preserve">MKT → DIG → GOV → MAT → ENG → IND → TRS</t>
  </si>
  <si>
    <t xml:space="preserve">MKT → DIG → GOV → IND → MAT → ENG → TRS</t>
  </si>
  <si>
    <t xml:space="preserve">MKT → DIG → GOV → IND → ENG → MAT → TRS</t>
  </si>
  <si>
    <t xml:space="preserve">MKT → DIG → GOV → ENG → MAT → IND → TRS</t>
  </si>
  <si>
    <t xml:space="preserve">MKT → DIG → GOV → ENG → IND → MAT → TRS</t>
  </si>
  <si>
    <t xml:space="preserve">MKT → DIG → MAT → GOV → IND → ENG → TRS</t>
  </si>
  <si>
    <t xml:space="preserve">MKT → DIG → MAT → GOV → ENG → IND → TRS</t>
  </si>
  <si>
    <t xml:space="preserve">MKT → DIG → MAT → IND → GOV → ENG → TRS</t>
  </si>
  <si>
    <t xml:space="preserve">MKT → DIG → MAT → IND → ENG → GOV → TRS</t>
  </si>
  <si>
    <t xml:space="preserve">MKT → DIG → MAT → ENG → GOV → IND → TRS</t>
  </si>
  <si>
    <t xml:space="preserve">MKT → DIG → MAT → ENG → IND → GOV → TRS</t>
  </si>
  <si>
    <t xml:space="preserve">MKT → DIG → IND → GOV → MAT → ENG → TRS</t>
  </si>
  <si>
    <t xml:space="preserve">MKT → DIG → IND → GOV → ENG → MAT → TRS</t>
  </si>
  <si>
    <t xml:space="preserve">MKT → DIG → IND → MAT → GOV → ENG → TRS</t>
  </si>
  <si>
    <t xml:space="preserve">MKT → DIG → IND → MAT → ENG → GOV → TRS</t>
  </si>
  <si>
    <t xml:space="preserve">MKT → DIG → IND → ENG → GOV → MAT → TRS</t>
  </si>
  <si>
    <t xml:space="preserve">MKT → DIG → IND → ENG → MAT → GOV → TRS</t>
  </si>
  <si>
    <t xml:space="preserve">MKT → DIG → ENG → GOV → MAT → IND → TRS</t>
  </si>
  <si>
    <t xml:space="preserve">MKT → DIG → ENG → GOV → IND → MAT → TRS</t>
  </si>
  <si>
    <t xml:space="preserve">MKT → DIG → ENG → MAT → GOV → IND → TRS</t>
  </si>
  <si>
    <t xml:space="preserve">MKT → DIG → ENG → MAT → IND → GOV → TRS</t>
  </si>
  <si>
    <t xml:space="preserve">MKT → DIG → ENG → IND → GOV → MAT → TRS</t>
  </si>
  <si>
    <t xml:space="preserve">MKT → DIG → ENG → IND → MAT → GOV → TRS</t>
  </si>
  <si>
    <t xml:space="preserve">MKT → ENG → GOV → MAT → IND → DIG → TRS</t>
  </si>
  <si>
    <t xml:space="preserve">MKT → ENG → GOV → MAT → DIG → IND → TRS</t>
  </si>
  <si>
    <t xml:space="preserve">MKT → ENG → GOV → IND → MAT → DIG → TRS</t>
  </si>
  <si>
    <t xml:space="preserve">MKT → ENG → GOV → IND → DIG → MAT → TRS</t>
  </si>
  <si>
    <t xml:space="preserve">MKT → ENG → GOV → DIG → MAT → IND → TRS</t>
  </si>
  <si>
    <t xml:space="preserve">MKT → ENG → GOV → DIG → IND → MAT → TRS</t>
  </si>
  <si>
    <t xml:space="preserve">MKT → ENG → MAT → GOV → IND → DIG → TRS</t>
  </si>
  <si>
    <t xml:space="preserve">MKT → ENG → MAT → GOV → DIG → IND → TRS</t>
  </si>
  <si>
    <t xml:space="preserve">MKT → ENG → MAT → IND → GOV → DIG → TRS</t>
  </si>
  <si>
    <t xml:space="preserve">MKT → ENG → MAT → IND → DIG → GOV → TRS</t>
  </si>
  <si>
    <t xml:space="preserve">MKT → ENG → MAT → DIG → GOV → IND → TRS</t>
  </si>
  <si>
    <t xml:space="preserve">MKT → ENG → MAT → DIG → IND → GOV → TRS</t>
  </si>
  <si>
    <t xml:space="preserve">MKT → ENG → IND → GOV → MAT → DIG → TRS</t>
  </si>
  <si>
    <t xml:space="preserve">MKT → ENG → IND → GOV → DIG → MAT → TRS</t>
  </si>
  <si>
    <t xml:space="preserve">MKT → ENG → IND → MAT → GOV → DIG → TRS</t>
  </si>
  <si>
    <t xml:space="preserve">MKT → ENG → IND → MAT → DIG → GOV → TRS</t>
  </si>
  <si>
    <t xml:space="preserve">MKT → ENG → IND → DIG → GOV → MAT → TRS</t>
  </si>
  <si>
    <t xml:space="preserve">MKT → ENG → IND → DIG → MAT → GOV → TRS</t>
  </si>
  <si>
    <t xml:space="preserve">MKT → ENG → DIG → GOV → MAT → IND → TRS</t>
  </si>
  <si>
    <t xml:space="preserve">MKT → ENG → DIG → GOV → IND → MAT → TRS</t>
  </si>
  <si>
    <t xml:space="preserve">MKT → ENG → DIG → MAT → GOV → IND → TRS</t>
  </si>
  <si>
    <t xml:space="preserve">MKT → ENG → DIG → MAT → IND → GOV → TRS</t>
  </si>
  <si>
    <t xml:space="preserve">MKT → ENG → DIG → IND → GOV → MAT → TRS</t>
  </si>
  <si>
    <t xml:space="preserve">MKT → ENG → DIG → IND → MAT → GOV → TRS</t>
  </si>
  <si>
    <t xml:space="preserve">Test the summary map: aggregation keeps real paths and can invent others (Worked Example 9.1, Step 5; Theorem 9.3; Figure 9.2; Online Appendix 9.B.3; AXIOM Lab 1.9, step 4)</t>
  </si>
  <si>
    <t xml:space="preserve">A connection is invented when the summary map joins the boxes of two components and no route joins the components themselves.</t>
  </si>
  <si>
    <t xml:space="preserve">The two-box map (the board's): market, operating divisions, corporate center</t>
  </si>
  <si>
    <t xml:space="preserve">The causal map: each strongly connected component one box (the core and the rest alone)</t>
  </si>
  <si>
    <t xml:space="preserve">Box</t>
  </si>
  <si>
    <t xml:space="preserve">Arrow from</t>
  </si>
  <si>
    <t xml:space="preserve">to</t>
  </si>
  <si>
    <t xml:space="preserve">box from</t>
  </si>
  <si>
    <t xml:space="preserve">box to</t>
  </si>
  <si>
    <t xml:space="preserve">Summary map: 1 if some arrow runs from the row's box to the column's</t>
  </si>
  <si>
    <t xml:space="preserve">core</t>
  </si>
  <si>
    <t xml:space="preserve">two steps</t>
  </si>
  <si>
    <t xml:space="preserve">three steps</t>
  </si>
  <si>
    <t xml:space="preserve">Summary-map reach: 1 if a route of 1 to 3 steps joins the boxes</t>
  </si>
  <si>
    <t xml:space="preserve">Invented: the boxes are joined on the summary map, the components are not</t>
  </si>
  <si>
    <t xml:space="preserve">Lost: the components are joined, their boxes are not</t>
  </si>
  <si>
    <t xml:space="preserve">Drill down: distance from each member of the center to each division (none: no path)</t>
  </si>
  <si>
    <t xml:space="preserve">Two-box map: the center reaches the divisions</t>
  </si>
  <si>
    <t xml:space="preserve">what the board sees</t>
  </si>
  <si>
    <t xml:space="preserve">Divisions the center really reaches</t>
  </si>
  <si>
    <t xml:space="preserve">Industrial Systems and Digital</t>
  </si>
  <si>
    <t xml:space="preserve">Members of the center that reach Materials</t>
  </si>
  <si>
    <t xml:space="preserve">none: Materials hears only its market</t>
  </si>
  <si>
    <t xml:space="preserve">Two-box map: connections invented</t>
  </si>
  <si>
    <t xml:space="preserve">to Materials from the center; to governance</t>
  </si>
  <si>
    <t xml:space="preserve">Two-box map: real connections lost</t>
  </si>
  <si>
    <t xml:space="preserve">none (Theorem 9.3(i))</t>
  </si>
  <si>
    <t xml:space="preserve">and whether it reaches it at all</t>
  </si>
  <si>
    <t xml:space="preserve">Causal map: connections invented</t>
  </si>
  <si>
    <t xml:space="preserve">none (Online Appendix 9.B.3)</t>
  </si>
  <si>
    <t xml:space="preserve">Causal map: real connections lost</t>
  </si>
  <si>
    <t xml:space="preserve">Arrows between two divisions</t>
  </si>
  <si>
    <t xml:space="preserve">none: the divisions box is not strongly connected</t>
  </si>
  <si>
    <t xml:space="preserve">reached by the center</t>
  </si>
  <si>
    <t xml:space="preserve">Audit the constraints: the constraint graph, its cycles, and the joint review (Worked Example 9.1, Step 4; Theorem 9.4; Figure 9.3; Online Appendix 9.B.4-9.B.6; AXIOM Lab 1.9, step 5)</t>
  </si>
  <si>
    <t xml:space="preserve">Each constraint links every pair of components in its scope (Definition 9.7). Bilateral sign-off suffices on a tree; each cycle needs one joint review of exactly its members.</t>
  </si>
  <si>
    <t xml:space="preserve">Scopes (from Declarations): 1 if the component is in the constraint's scope</t>
  </si>
  <si>
    <t xml:space="preserve">Strategic risk on the digital plan (Chapter 1, Equation 1.B.1; Table 1.B.1), month by month</t>
  </si>
  <si>
    <t xml:space="preserve">The peak by Newton's method on the slope, from the monthly peak</t>
  </si>
  <si>
    <t xml:space="preserve">Month</t>
  </si>
  <si>
    <t xml:space="preserve">Years</t>
  </si>
  <si>
    <t xml:space="preserve">Strategic risk</t>
  </si>
  <si>
    <t xml:space="preserve">Step</t>
  </si>
  <si>
    <t xml:space="preserve">Slope</t>
  </si>
  <si>
    <t xml:space="preserve">Curvature</t>
  </si>
  <si>
    <t xml:space="preserve">Loan covenant: net leverage at mos</t>
  </si>
  <si>
    <t xml:space="preserve">Links in the constraint graph</t>
  </si>
  <si>
    <t xml:space="preserve">Step 4: four</t>
  </si>
  <si>
    <t xml:space="preserve">Liquidity floor: at least $350 mil</t>
  </si>
  <si>
    <t xml:space="preserve">Separate pieces</t>
  </si>
  <si>
    <t xml:space="preserve">four: {IND, DIG, MAT, ENG}, TRS, MKT, GOV</t>
  </si>
  <si>
    <t xml:space="preserve">Cycle measure beta = links - |V| + pieces</t>
  </si>
  <si>
    <t xml:space="preserve">Step 4: 4 - 7 + 4 = 1</t>
  </si>
  <si>
    <t xml:space="preserve">Joint reviews: one per cycle</t>
  </si>
  <si>
    <t xml:space="preserve">one</t>
  </si>
  <si>
    <t xml:space="preserve">Workforce capability for the digit</t>
  </si>
  <si>
    <t xml:space="preserve">Members of the joint review</t>
  </si>
  <si>
    <t xml:space="preserve">the three division heads</t>
  </si>
  <si>
    <t xml:space="preserve">Links among them</t>
  </si>
  <si>
    <t xml:space="preserve">the risk ceiling's triangle</t>
  </si>
  <si>
    <t xml:space="preserve">Links between blocks (Online Appendix 9.B.6)</t>
  </si>
  <si>
    <t xml:space="preserve">the capability floor, ENG-DIG</t>
  </si>
  <si>
    <t xml:space="preserve">Constraint graph: 1 if some constraint has both components in its scope</t>
  </si>
  <si>
    <t xml:space="preserve">Blocks: the joint review and the rest alone</t>
  </si>
  <si>
    <t xml:space="preserve">Cycle measure of the blocks</t>
  </si>
  <si>
    <t xml:space="preserve">zero: a forest, bilateral sign-off certifies the rest</t>
  </si>
  <si>
    <t xml:space="preserve">Local constraints, checked by their owners</t>
  </si>
  <si>
    <t xml:space="preserve">treasury 2, IND 1</t>
  </si>
  <si>
    <t xml:space="preserve">Monthly grid: highest strategic risk</t>
  </si>
  <si>
    <t xml:space="preserve">Monthly grid: its month</t>
  </si>
  <si>
    <t xml:space="preserve">about eleven months in</t>
  </si>
  <si>
    <t xml:space="preserve">Peak of strategic risk</t>
  </si>
  <si>
    <t xml:space="preserve">Step 4: 73.6</t>
  </si>
  <si>
    <t xml:space="preserve">Its month</t>
  </si>
  <si>
    <t xml:space="preserve">10.9</t>
  </si>
  <si>
    <t xml:space="preserve">Points under the ceiling</t>
  </si>
  <si>
    <t xml:space="preserve">Step 4: 1.4</t>
  </si>
  <si>
    <t xml:space="preserve">Inside the risk committee's measurement error</t>
  </si>
  <si>
    <t xml:space="preserve">yes: well inside +/-6</t>
  </si>
  <si>
    <t xml:space="preserve">I + constraint graph</t>
  </si>
  <si>
    <t xml:space="preserve">squared, as 0 or 1</t>
  </si>
  <si>
    <t xml:space="preserve">to the fourth</t>
  </si>
  <si>
    <t xml:space="preserve">to the eighth: 1 if in the same piece</t>
  </si>
  <si>
    <t xml:space="preserve">Cycle members: repeatedly drop the components linked to fewer than two others still in play</t>
  </si>
  <si>
    <t xml:space="preserve">pass</t>
  </si>
  <si>
    <t xml:space="preserve">in a cycle</t>
  </si>
  <si>
    <t xml:space="preserve">links to cycle members</t>
  </si>
  <si>
    <t xml:space="preserve">Theorem 9.4(i): three planning rules. 'Y at least a month after X' is the rule x_X &lt;= x_Y - 1.</t>
  </si>
  <si>
    <t xml:space="preserve">Rule</t>
  </si>
  <si>
    <t xml:space="preserve">From (later)</t>
  </si>
  <si>
    <t xml:space="preserve">To (earlier)</t>
  </si>
  <si>
    <t xml:space="preserve">Months</t>
  </si>
  <si>
    <t xml:space="preserve">In play (all three)</t>
  </si>
  <si>
    <t xml:space="preserve">the budget at least a month after the capacity plan</t>
  </si>
  <si>
    <t xml:space="preserve">budget</t>
  </si>
  <si>
    <t xml:space="preserve">capacity plan</t>
  </si>
  <si>
    <t xml:space="preserve">Pairs of planning rules that can be met together</t>
  </si>
  <si>
    <t xml:space="preserve">any two</t>
  </si>
  <si>
    <t xml:space="preserve">the capacity plan at least a month after the hiring plan</t>
  </si>
  <si>
    <t xml:space="preserve">hiring plan</t>
  </si>
  <si>
    <t xml:space="preserve">All three rules feasible</t>
  </si>
  <si>
    <t xml:space="preserve">no: they form a cycle</t>
  </si>
  <si>
    <t xml:space="preserve">the hiring plan at least a month after the budget</t>
  </si>
  <si>
    <t xml:space="preserve">The cycle's weight, months</t>
  </si>
  <si>
    <t xml:space="preserve">the budget three months after itself</t>
  </si>
  <si>
    <t xml:space="preserve">Carve-out: the cycle's weight, months</t>
  </si>
  <si>
    <t xml:space="preserve">Online Appendix 9.B.5: 2 - 1 - 1 - 1 = -1</t>
  </si>
  <si>
    <t xml:space="preserve">Carve-out feasible with the declared window</t>
  </si>
  <si>
    <t xml:space="preserve">no: a month short</t>
  </si>
  <si>
    <t xml:space="preserve">All three rules</t>
  </si>
  <si>
    <t xml:space="preserve">Carve-out: sets of three rules that can be met</t>
  </si>
  <si>
    <t xml:space="preserve">any three</t>
  </si>
  <si>
    <t xml:space="preserve">round</t>
  </si>
  <si>
    <t xml:space="preserve">Carve-out feasible with the relaxed window</t>
  </si>
  <si>
    <t xml:space="preserve">yes</t>
  </si>
  <si>
    <t xml:space="preserve">Months between milestones</t>
  </si>
  <si>
    <t xml:space="preserve">exactly a month apart</t>
  </si>
  <si>
    <t xml:space="preserve">feasible</t>
  </si>
  <si>
    <t xml:space="preserve">Without rule 1</t>
  </si>
  <si>
    <t xml:space="preserve">rules in play:</t>
  </si>
  <si>
    <t xml:space="preserve">Without rule 2</t>
  </si>
  <si>
    <t xml:space="preserve">Without rule 3</t>
  </si>
  <si>
    <t xml:space="preserve">Online Appendix 9.B.5: a carve-out timetable (months). Each step at least a month after the last; closing within the buyer's window of signing.</t>
  </si>
  <si>
    <t xml:space="preserve">The buyer's window, months</t>
  </si>
  <si>
    <t xml:space="preserve">A relaxed window, months</t>
  </si>
  <si>
    <t xml:space="preserve">Months (window as declared)</t>
  </si>
  <si>
    <t xml:space="preserve">Months (relaxed)</t>
  </si>
  <si>
    <t xml:space="preserve">signing at least a month before approval</t>
  </si>
  <si>
    <t xml:space="preserve">approval at least a month before separation</t>
  </si>
  <si>
    <t xml:space="preserve">separation at least a month before closing</t>
  </si>
  <si>
    <t xml:space="preserve">closing within the window of signing</t>
  </si>
  <si>
    <t xml:space="preserve">The timetable as declared</t>
  </si>
  <si>
    <t xml:space="preserve">signing</t>
  </si>
  <si>
    <t xml:space="preserve">approval</t>
  </si>
  <si>
    <t xml:space="preserve">separation</t>
  </si>
  <si>
    <t xml:space="preserve">closing</t>
  </si>
  <si>
    <t xml:space="preserve">Without rule 4</t>
  </si>
  <si>
    <t xml:space="preserve">With the relaxed window</t>
  </si>
  <si>
    <t xml:space="preserve">months after signing</t>
  </si>
  <si>
    <t xml:space="preserve">Run the validation checklist and read the metrics panel (Tables 9.4-9.5; Definition 9.10; Theorem 9.5; Section 9.8; AXIOM Lab 1.9, step 5)</t>
  </si>
  <si>
    <t xml:space="preserve">The panel reads the wiring; none of its numbers says how strong the loops are.</t>
  </si>
  <si>
    <t xml:space="preserve">Measure (Definition 9.10)</t>
  </si>
  <si>
    <t xml:space="preserve">Meridian</t>
  </si>
  <si>
    <t xml:space="preserve">What it reads</t>
  </si>
  <si>
    <t xml:space="preserve">What it cannot see</t>
  </si>
  <si>
    <t xml:space="preserve">Size: components</t>
  </si>
  <si>
    <t xml:space="preserve">Size: arrows</t>
  </si>
  <si>
    <t xml:space="preserve">Density</t>
  </si>
  <si>
    <t xml:space="preserve">overall intensity of coupling</t>
  </si>
  <si>
    <t xml:space="preserve">where the coupling sits</t>
  </si>
  <si>
    <t xml:space="preserve">Cycle measure</t>
  </si>
  <si>
    <t xml:space="preserve">number of independent loops; the joint-review burden</t>
  </si>
  <si>
    <t xml:space="preserve">how strong the loops are, and their signs</t>
  </si>
  <si>
    <t xml:space="preserve">Feedback mass: members of the core</t>
  </si>
  <si>
    <t xml:space="preserve">extent of the mutual-influence cores</t>
  </si>
  <si>
    <t xml:space="preserve">the gains inside the cores</t>
  </si>
  <si>
    <t xml:space="preserve">Condensation depth</t>
  </si>
  <si>
    <t xml:space="preserve">the longest one-way causal chain</t>
  </si>
  <si>
    <t xml:space="preserve">actual propagation speeds</t>
  </si>
  <si>
    <t xml:space="preserve">Distance profile: treasury, from the market</t>
  </si>
  <si>
    <t xml:space="preserve">floors on shock arrival</t>
  </si>
  <si>
    <t xml:space="preserve">how much arrives</t>
  </si>
  <si>
    <t xml:space="preserve">Constraint graph: cycle measure</t>
  </si>
  <si>
    <t xml:space="preserve">the joint-review burden</t>
  </si>
  <si>
    <t xml:space="preserve">Stage (Table 9.4)</t>
  </si>
  <si>
    <t xml:space="preserve">Check</t>
  </si>
  <si>
    <t xml:space="preserve">Evidence</t>
  </si>
  <si>
    <t xml:space="preserve">Status</t>
  </si>
  <si>
    <t xml:space="preserve">Interfaces</t>
  </si>
  <si>
    <t xml:space="preserve">every arrow interface-backed</t>
  </si>
  <si>
    <t xml:space="preserve">Wiring</t>
  </si>
  <si>
    <t xml:space="preserve">missing arrows listed as claims of independence</t>
  </si>
  <si>
    <t xml:space="preserve">cores and layers computed and reviewed</t>
  </si>
  <si>
    <t xml:space="preserve">Constraints</t>
  </si>
  <si>
    <t xml:space="preserve">cycles of the constraint graph listed</t>
  </si>
  <si>
    <t xml:space="preserve">Hierarchy</t>
  </si>
  <si>
    <t xml:space="preserve">summary maps used one way only: connections the two-box map invents</t>
  </si>
  <si>
    <t xml:space="preserve">Completeness</t>
  </si>
  <si>
    <t xml:space="preserve">the covenant question's support: market, divisions, treasury and the arrows among them</t>
  </si>
  <si>
    <t xml:space="preserve">which customers' orders fall first: customer-level readings</t>
  </si>
  <si>
    <t xml:space="preserve">Customer-level readings are held by no component: adding them is an enrichment, which can only add answers (Theorem 9.5(ii)). Set C22 to 1 once they are declared.</t>
  </si>
  <si>
    <t xml:space="preserve">Rewire: treasury funds Materials (Worked Example 9.1, For discussion; Proposition 9.6; Online Appendix 9.B.7)</t>
  </si>
  <si>
    <t xml:space="preserve">Set the switch to 1 to add the funding arrow TRS -&gt; MAT; every result below recalculates.</t>
  </si>
  <si>
    <t xml:space="preserve">Treasury funds Materials (1 = yes)</t>
  </si>
  <si>
    <t xml:space="preserve">Adjacency with the new arrow</t>
  </si>
  <si>
    <t xml:space="preserve">Arrows</t>
  </si>
  <si>
    <t xml:space="preserve">fifteen</t>
  </si>
  <si>
    <t xml:space="preserve">15/42</t>
  </si>
  <si>
    <t xml:space="preserve">Cycle measure (pieces unchanged: TRS and MAT already in one)</t>
  </si>
  <si>
    <t xml:space="preserve">nine: one more loop</t>
  </si>
  <si>
    <t xml:space="preserve">Members of the core</t>
  </si>
  <si>
    <t xml:space="preserve">five: Materials joins it</t>
  </si>
  <si>
    <t xml:space="preserve">drivers and core</t>
  </si>
  <si>
    <t xml:space="preserve">all three: the two-box connection becomes real</t>
  </si>
  <si>
    <t xml:space="preserve">Distance from the market to treasury</t>
  </si>
  <si>
    <t xml:space="preserve">unchanged: 2</t>
  </si>
  <si>
    <t xml:space="preserve">Routes of four steps, market to treasury</t>
  </si>
  <si>
    <t xml:space="preserve">more, never fewer</t>
  </si>
  <si>
    <t xml:space="preserve">Joint reviews</t>
  </si>
  <si>
    <t xml:space="preserve">unchanged: the constraints are the same</t>
  </si>
  <si>
    <t xml:space="preserve">Reachability: 1 if some route of 1 to 7 steps leads from the row to the column (rewired)</t>
  </si>
  <si>
    <t xml:space="preserve">Checkpoint</t>
  </si>
  <si>
    <t xml:space="preserve">Engine value</t>
  </si>
  <si>
    <t xml:space="preserve">Meaning (where in the book)</t>
  </si>
  <si>
    <t xml:space="preserve">Components</t>
  </si>
  <si>
    <t xml:space="preserve">Typed arrows</t>
  </si>
  <si>
    <t xml:space="preserve">Step 1: market to each division</t>
  </si>
  <si>
    <t xml:space="preserve">Step 1: each division to treasury</t>
  </si>
  <si>
    <t xml:space="preserve">Step 1: treasury to IND and DIG</t>
  </si>
  <si>
    <t xml:space="preserve">Step 1: both ways</t>
  </si>
  <si>
    <t xml:space="preserve">Step 1: governance to TRS and DIG</t>
  </si>
  <si>
    <t xml:space="preserve">Step 5: Materials funds itself</t>
  </si>
  <si>
    <t xml:space="preserve">Step 5: nothing moves Meridian's demand</t>
  </si>
  <si>
    <t xml:space="preserve">Possible arrows</t>
  </si>
  <si>
    <t xml:space="preserve">Section 9.8: 42</t>
  </si>
  <si>
    <t xml:space="preserve">Section 9.8: 0.33</t>
  </si>
  <si>
    <t xml:space="preserve">Cycle measure of the dependency graph</t>
  </si>
  <si>
    <t xml:space="preserve">Online Appendix 9.B.7: four loops</t>
  </si>
  <si>
    <t xml:space="preserve">Loops with directions ignored</t>
  </si>
  <si>
    <t xml:space="preserve">Online Appendix 9.B.7: the remaining four</t>
  </si>
  <si>
    <t xml:space="preserve">Feedback cores</t>
  </si>
  <si>
    <t xml:space="preserve">Step 2: one</t>
  </si>
  <si>
    <t xml:space="preserve">Step 2: IND, DIG, ENG, TRS</t>
  </si>
  <si>
    <t xml:space="preserve">Step 2: six</t>
  </si>
  <si>
    <t xml:space="preserve">Step 2: two</t>
  </si>
  <si>
    <t xml:space="preserve">Section 9.8: 2</t>
  </si>
  <si>
    <t xml:space="preserve">Earliest quarter: Industrial Systems</t>
  </si>
  <si>
    <t xml:space="preserve">Table 9.7: 1</t>
  </si>
  <si>
    <t xml:space="preserve">Earliest quarter: Digital</t>
  </si>
  <si>
    <t xml:space="preserve">Earliest quarter: Materials</t>
  </si>
  <si>
    <t xml:space="preserve">Earliest quarter: engineering</t>
  </si>
  <si>
    <t xml:space="preserve">Table 9.7: 2</t>
  </si>
  <si>
    <t xml:space="preserve">Earliest quarter: treasury, the covenant</t>
  </si>
  <si>
    <t xml:space="preserve">Governance reached by the shock</t>
  </si>
  <si>
    <t xml:space="preserve">Table 9.7: never</t>
  </si>
  <si>
    <t xml:space="preserve">Step 3: the three divisions</t>
  </si>
  <si>
    <t xml:space="preserve">Step 3: and engineering and treasury</t>
  </si>
  <si>
    <t xml:space="preserve">Simple paths, market to treasury</t>
  </si>
  <si>
    <t xml:space="preserve">Paths of two steps</t>
  </si>
  <si>
    <t xml:space="preserve">Step 3: three</t>
  </si>
  <si>
    <t xml:space="preserve">Paths of four steps</t>
  </si>
  <si>
    <t xml:space="preserve">Step 3: two</t>
  </si>
  <si>
    <t xml:space="preserve">Paths sharing no arrow</t>
  </si>
  <si>
    <t xml:space="preserve">Cuts of one or two arrows that separate</t>
  </si>
  <si>
    <t xml:space="preserve">The three cash arrows separate treasury</t>
  </si>
  <si>
    <t xml:space="preserve">Step 3</t>
  </si>
  <si>
    <t xml:space="preserve">The three demand arrows separate treasury</t>
  </si>
  <si>
    <t xml:space="preserve">Routes of odd length</t>
  </si>
  <si>
    <t xml:space="preserve">Online Appendix 9.B.7: none</t>
  </si>
  <si>
    <t xml:space="preserve">Positive company: treasury first moves</t>
  </si>
  <si>
    <t xml:space="preserve">its distance (seed 26109)</t>
  </si>
  <si>
    <t xml:space="preserve">Positive company: route sum at quarter 2</t>
  </si>
  <si>
    <t xml:space="preserve">Online Appendix 9.B.2 (seed 26109)</t>
  </si>
  <si>
    <t xml:space="preserve">Positive company: treasury's response at quarter 2</t>
  </si>
  <si>
    <t xml:space="preserve">equal to the route sum</t>
  </si>
  <si>
    <t xml:space="preserve">Step 5</t>
  </si>
  <si>
    <t xml:space="preserve">Step 5: IND and DIG</t>
  </si>
  <si>
    <t xml:space="preserve">Step 5: none</t>
  </si>
  <si>
    <t xml:space="preserve">Online Appendix 9.B.3: none</t>
  </si>
  <si>
    <t xml:space="preserve">Offsetting channels: consolidated profit moved</t>
  </si>
  <si>
    <t xml:space="preserve">Online Appendix 9.B.1: never</t>
  </si>
  <si>
    <t xml:space="preserve">Offsetting channels: the rule's response to profit</t>
  </si>
  <si>
    <t xml:space="preserve">c: profit moves the rule</t>
  </si>
  <si>
    <t xml:space="preserve">Planning rules: pairs that can be met</t>
  </si>
  <si>
    <t xml:space="preserve">Theorem 9.4(i): any two</t>
  </si>
  <si>
    <t xml:space="preserve">Planning rules: all three feasible</t>
  </si>
  <si>
    <t xml:space="preserve">Theorem 9.4(i): no</t>
  </si>
  <si>
    <t xml:space="preserve">Planning rules: the cycle's weight</t>
  </si>
  <si>
    <t xml:space="preserve">three months after itself</t>
  </si>
  <si>
    <t xml:space="preserve">Carve-out: the cycle's weight</t>
  </si>
  <si>
    <t xml:space="preserve">Online Appendix 9.B.5: -1</t>
  </si>
  <si>
    <t xml:space="preserve">Carve-out feasible in two months</t>
  </si>
  <si>
    <t xml:space="preserve">no</t>
  </si>
  <si>
    <t xml:space="preserve">Carve-out: sets of three that can be met</t>
  </si>
  <si>
    <t xml:space="preserve">Carve-out feasible in three months</t>
  </si>
  <si>
    <t xml:space="preserve">Carve-out: months between milestones</t>
  </si>
  <si>
    <t xml:space="preserve">Constraint graph: links</t>
  </si>
  <si>
    <t xml:space="preserve">Constraint graph: separate pieces</t>
  </si>
  <si>
    <t xml:space="preserve">Step 4: 1</t>
  </si>
  <si>
    <t xml:space="preserve">Step 4: one</t>
  </si>
  <si>
    <t xml:space="preserve">Links between blocks</t>
  </si>
  <si>
    <t xml:space="preserve">Online Appendix 9.B.6: one</t>
  </si>
  <si>
    <t xml:space="preserve">a forest</t>
  </si>
  <si>
    <t xml:space="preserve">Strategic-risk peak on the digital plan</t>
  </si>
  <si>
    <t xml:space="preserve">Monthly grid: month of the peak</t>
  </si>
  <si>
    <t xml:space="preserve">month 11</t>
  </si>
  <si>
    <t xml:space="preserve">Inside the measurement error</t>
  </si>
  <si>
    <t xml:space="preserve">Step 4: well inside +/-6</t>
  </si>
  <si>
    <t xml:space="preserve">What-if: members of the core</t>
  </si>
  <si>
    <t xml:space="preserve">Online Appendix 9.B.7: five</t>
  </si>
  <si>
    <t xml:space="preserve">What-if: causal layers</t>
  </si>
  <si>
    <t xml:space="preserve">What-if: condensation depth</t>
  </si>
  <si>
    <t xml:space="preserve">Online Appendix 9.B.7: 1</t>
  </si>
  <si>
    <t xml:space="preserve">What-if: center members reaching Materials</t>
  </si>
  <si>
    <t xml:space="preserve">the connection becomes real</t>
  </si>
  <si>
    <t xml:space="preserve">What-if: joint reviews</t>
  </si>
  <si>
    <t xml:space="preserve">unchanged: one</t>
  </si>
  <si>
    <t xml:space="preserve">Workbook formula value</t>
  </si>
  <si>
    <t xml:space="preserve">|diff|</t>
  </si>
  <si>
    <t xml:space="preserve">Tolerance</t>
  </si>
  <si>
    <t xml:space="preserve">All checkpoints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</si>
</sst>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0"/>
    <numFmt numFmtId="171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23.85" hidden="false" customHeight="false" outlineLevel="0" collapsed="false">
      <c r="B7" s="3" t="s">
        <v>5</v>
      </c>
    </row>
    <row r="8" customFormat="false" ht="23.8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23.8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3" customFormat="false" ht="23.85" hidden="false" customHeight="false" outlineLevel="0" collapsed="false">
      <c r="B13" s="3" t="s">
        <v>11</v>
      </c>
    </row>
    <row r="15" customFormat="false" ht="15" hidden="false" customHeight="false" outlineLevel="0" collapsed="false">
      <c r="B15" s="4" t="s">
        <v>12</v>
      </c>
    </row>
    <row r="16" customFormat="false" ht="15" hidden="false" customHeight="false" outlineLevel="0" collapsed="false">
      <c r="B16" s="5" t="s">
        <v>13</v>
      </c>
    </row>
    <row r="17" customFormat="false" ht="15" hidden="false" customHeight="false" outlineLevel="0" collapsed="false">
      <c r="B17" s="2" t="s">
        <v>14</v>
      </c>
    </row>
    <row r="18" customFormat="false" ht="15" hidden="false" customHeight="false" outlineLevel="0" collapsed="false">
      <c r="B18" s="6" t="s">
        <v>15</v>
      </c>
    </row>
    <row r="19" customFormat="false" ht="15" hidden="false" customHeight="false" outlineLevel="0" collapsed="false">
      <c r="B19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10" min="9" style="0" width="20"/>
    <col collapsed="false" customWidth="true" hidden="false" outlineLevel="0" max="11" min="11" style="0" width="10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17</v>
      </c>
    </row>
    <row r="3" customFormat="false" ht="15" hidden="false" customHeight="false" outlineLevel="0" collapsed="false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</row>
    <row r="4" customFormat="false" ht="15" hidden="false" customHeight="false" outlineLevel="0" collapsed="false">
      <c r="A4" s="5" t="s">
        <v>23</v>
      </c>
      <c r="B4" s="2" t="s">
        <v>24</v>
      </c>
      <c r="C4" s="5" t="s">
        <v>25</v>
      </c>
      <c r="D4" s="5" t="s">
        <v>26</v>
      </c>
      <c r="E4" s="9" t="s">
        <v>27</v>
      </c>
    </row>
    <row r="5" customFormat="false" ht="15" hidden="false" customHeight="false" outlineLevel="0" collapsed="false">
      <c r="A5" s="5" t="s">
        <v>28</v>
      </c>
      <c r="B5" s="2" t="s">
        <v>29</v>
      </c>
      <c r="C5" s="5" t="s">
        <v>30</v>
      </c>
      <c r="D5" s="5" t="s">
        <v>31</v>
      </c>
      <c r="E5" s="9" t="s">
        <v>27</v>
      </c>
    </row>
    <row r="6" customFormat="false" ht="15" hidden="false" customHeight="false" outlineLevel="0" collapsed="false">
      <c r="A6" s="5" t="s">
        <v>32</v>
      </c>
      <c r="B6" s="2" t="s">
        <v>33</v>
      </c>
      <c r="C6" s="5" t="s">
        <v>34</v>
      </c>
      <c r="D6" s="5" t="s">
        <v>35</v>
      </c>
      <c r="E6" s="9" t="s">
        <v>36</v>
      </c>
    </row>
    <row r="7" customFormat="false" ht="15" hidden="false" customHeight="false" outlineLevel="0" collapsed="false">
      <c r="A7" s="5" t="s">
        <v>37</v>
      </c>
      <c r="B7" s="2" t="s">
        <v>38</v>
      </c>
      <c r="C7" s="5" t="s">
        <v>34</v>
      </c>
      <c r="D7" s="5" t="s">
        <v>39</v>
      </c>
      <c r="E7" s="9" t="s">
        <v>27</v>
      </c>
    </row>
    <row r="8" customFormat="false" ht="15" hidden="false" customHeight="false" outlineLevel="0" collapsed="false">
      <c r="A8" s="5" t="s">
        <v>40</v>
      </c>
      <c r="B8" s="2" t="s">
        <v>41</v>
      </c>
      <c r="C8" s="5" t="s">
        <v>34</v>
      </c>
      <c r="D8" s="5" t="s">
        <v>39</v>
      </c>
      <c r="E8" s="9" t="s">
        <v>27</v>
      </c>
    </row>
    <row r="9" customFormat="false" ht="15" hidden="false" customHeight="false" outlineLevel="0" collapsed="false">
      <c r="A9" s="5" t="s">
        <v>42</v>
      </c>
      <c r="B9" s="2" t="s">
        <v>43</v>
      </c>
      <c r="C9" s="5" t="s">
        <v>30</v>
      </c>
      <c r="D9" s="5" t="s">
        <v>44</v>
      </c>
      <c r="E9" s="9" t="s">
        <v>45</v>
      </c>
    </row>
    <row r="10" customFormat="false" ht="15" hidden="false" customHeight="false" outlineLevel="0" collapsed="false">
      <c r="A10" s="5" t="s">
        <v>46</v>
      </c>
      <c r="B10" s="2" t="s">
        <v>47</v>
      </c>
      <c r="C10" s="5" t="s">
        <v>30</v>
      </c>
      <c r="D10" s="5" t="s">
        <v>48</v>
      </c>
      <c r="E10" s="9" t="s">
        <v>49</v>
      </c>
    </row>
    <row r="12" customFormat="false" ht="15" hidden="false" customHeight="false" outlineLevel="0" collapsed="false">
      <c r="A12" s="8" t="s">
        <v>50</v>
      </c>
      <c r="B12" s="8" t="s">
        <v>51</v>
      </c>
      <c r="C12" s="8" t="s">
        <v>52</v>
      </c>
      <c r="D12" s="8" t="s">
        <v>53</v>
      </c>
      <c r="E12" s="8" t="s">
        <v>54</v>
      </c>
      <c r="F12" s="8" t="s">
        <v>55</v>
      </c>
      <c r="G12" s="8" t="s">
        <v>56</v>
      </c>
    </row>
    <row r="13" customFormat="false" ht="15" hidden="false" customHeight="false" outlineLevel="0" collapsed="false">
      <c r="A13" s="10" t="n">
        <v>1</v>
      </c>
      <c r="B13" s="5" t="s">
        <v>23</v>
      </c>
      <c r="C13" s="5" t="s">
        <v>37</v>
      </c>
      <c r="D13" s="5" t="s">
        <v>26</v>
      </c>
      <c r="E13" s="2" t="str">
        <f aca="false">VLOOKUP(D13,$A$30:$C$34,2,FALSE())</f>
        <v>dynamic</v>
      </c>
      <c r="F13" s="2" t="str">
        <f aca="false">IF(D13="capability",IF(B13="ENG","workforce-capability index","capability"),VLOOKUP(D13,$A$30:$C$34,3,FALSE()))</f>
        <v>demand</v>
      </c>
      <c r="G13" s="10" t="n">
        <f aca="false">IF(ISNUMBER(SEARCH("; "&amp;F13&amp;";","; "&amp;VLOOKUP(B13,$A$4:$D$10,4,FALSE())&amp;";")),1,0)</f>
        <v>1</v>
      </c>
    </row>
    <row r="14" customFormat="false" ht="15" hidden="false" customHeight="false" outlineLevel="0" collapsed="false">
      <c r="A14" s="10" t="n">
        <v>2</v>
      </c>
      <c r="B14" s="5" t="s">
        <v>23</v>
      </c>
      <c r="C14" s="5" t="s">
        <v>40</v>
      </c>
      <c r="D14" s="5" t="s">
        <v>26</v>
      </c>
      <c r="E14" s="2" t="str">
        <f aca="false">VLOOKUP(D14,$A$30:$C$34,2,FALSE())</f>
        <v>dynamic</v>
      </c>
      <c r="F14" s="2" t="str">
        <f aca="false">IF(D14="capability",IF(B14="ENG","workforce-capability index","capability"),VLOOKUP(D14,$A$30:$C$34,3,FALSE()))</f>
        <v>demand</v>
      </c>
      <c r="G14" s="10" t="n">
        <f aca="false">IF(ISNUMBER(SEARCH("; "&amp;F14&amp;";","; "&amp;VLOOKUP(B14,$A$4:$D$10,4,FALSE())&amp;";")),1,0)</f>
        <v>1</v>
      </c>
    </row>
    <row r="15" customFormat="false" ht="15" hidden="false" customHeight="false" outlineLevel="0" collapsed="false">
      <c r="A15" s="10" t="n">
        <v>3</v>
      </c>
      <c r="B15" s="5" t="s">
        <v>23</v>
      </c>
      <c r="C15" s="5" t="s">
        <v>32</v>
      </c>
      <c r="D15" s="5" t="s">
        <v>26</v>
      </c>
      <c r="E15" s="2" t="str">
        <f aca="false">VLOOKUP(D15,$A$30:$C$34,2,FALSE())</f>
        <v>dynamic</v>
      </c>
      <c r="F15" s="2" t="str">
        <f aca="false">IF(D15="capability",IF(B15="ENG","workforce-capability index","capability"),VLOOKUP(D15,$A$30:$C$34,3,FALSE()))</f>
        <v>demand</v>
      </c>
      <c r="G15" s="10" t="n">
        <f aca="false">IF(ISNUMBER(SEARCH("; "&amp;F15&amp;";","; "&amp;VLOOKUP(B15,$A$4:$D$10,4,FALSE())&amp;";")),1,0)</f>
        <v>1</v>
      </c>
    </row>
    <row r="16" customFormat="false" ht="15" hidden="false" customHeight="false" outlineLevel="0" collapsed="false">
      <c r="A16" s="10" t="n">
        <v>4</v>
      </c>
      <c r="B16" s="5" t="s">
        <v>37</v>
      </c>
      <c r="C16" s="5" t="s">
        <v>46</v>
      </c>
      <c r="D16" s="5" t="s">
        <v>57</v>
      </c>
      <c r="E16" s="2" t="str">
        <f aca="false">VLOOKUP(D16,$A$30:$C$34,2,FALSE())</f>
        <v>resource flow</v>
      </c>
      <c r="F16" s="2" t="str">
        <f aca="false">IF(D16="capability",IF(B16="ENG","workforce-capability index","capability"),VLOOKUP(D16,$A$30:$C$34,3,FALSE()))</f>
        <v>cash and EBITDA</v>
      </c>
      <c r="G16" s="10" t="n">
        <f aca="false">IF(ISNUMBER(SEARCH("; "&amp;F16&amp;";","; "&amp;VLOOKUP(B16,$A$4:$D$10,4,FALSE())&amp;";")),1,0)</f>
        <v>1</v>
      </c>
    </row>
    <row r="17" customFormat="false" ht="15" hidden="false" customHeight="false" outlineLevel="0" collapsed="false">
      <c r="A17" s="10" t="n">
        <v>5</v>
      </c>
      <c r="B17" s="5" t="s">
        <v>40</v>
      </c>
      <c r="C17" s="5" t="s">
        <v>46</v>
      </c>
      <c r="D17" s="5" t="s">
        <v>57</v>
      </c>
      <c r="E17" s="2" t="str">
        <f aca="false">VLOOKUP(D17,$A$30:$C$34,2,FALSE())</f>
        <v>resource flow</v>
      </c>
      <c r="F17" s="2" t="str">
        <f aca="false">IF(D17="capability",IF(B17="ENG","workforce-capability index","capability"),VLOOKUP(D17,$A$30:$C$34,3,FALSE()))</f>
        <v>cash and EBITDA</v>
      </c>
      <c r="G17" s="10" t="n">
        <f aca="false">IF(ISNUMBER(SEARCH("; "&amp;F17&amp;";","; "&amp;VLOOKUP(B17,$A$4:$D$10,4,FALSE())&amp;";")),1,0)</f>
        <v>1</v>
      </c>
    </row>
    <row r="18" customFormat="false" ht="15" hidden="false" customHeight="false" outlineLevel="0" collapsed="false">
      <c r="A18" s="10" t="n">
        <v>6</v>
      </c>
      <c r="B18" s="5" t="s">
        <v>32</v>
      </c>
      <c r="C18" s="5" t="s">
        <v>46</v>
      </c>
      <c r="D18" s="5" t="s">
        <v>57</v>
      </c>
      <c r="E18" s="2" t="str">
        <f aca="false">VLOOKUP(D18,$A$30:$C$34,2,FALSE())</f>
        <v>resource flow</v>
      </c>
      <c r="F18" s="2" t="str">
        <f aca="false">IF(D18="capability",IF(B18="ENG","workforce-capability index","capability"),VLOOKUP(D18,$A$30:$C$34,3,FALSE()))</f>
        <v>cash and EBITDA</v>
      </c>
      <c r="G18" s="10" t="n">
        <f aca="false">IF(ISNUMBER(SEARCH("; "&amp;F18&amp;";","; "&amp;VLOOKUP(B18,$A$4:$D$10,4,FALSE())&amp;";")),1,0)</f>
        <v>1</v>
      </c>
    </row>
    <row r="19" customFormat="false" ht="15" hidden="false" customHeight="false" outlineLevel="0" collapsed="false">
      <c r="A19" s="10" t="n">
        <v>7</v>
      </c>
      <c r="B19" s="5" t="s">
        <v>46</v>
      </c>
      <c r="C19" s="5" t="s">
        <v>37</v>
      </c>
      <c r="D19" s="5" t="s">
        <v>58</v>
      </c>
      <c r="E19" s="2" t="str">
        <f aca="false">VLOOKUP(D19,$A$30:$C$34,2,FALSE())</f>
        <v>resource flow</v>
      </c>
      <c r="F19" s="2" t="str">
        <f aca="false">IF(D19="capability",IF(B19="ENG","workforce-capability index","capability"),VLOOKUP(D19,$A$30:$C$34,3,FALSE()))</f>
        <v>funding capacity</v>
      </c>
      <c r="G19" s="10" t="n">
        <f aca="false">IF(ISNUMBER(SEARCH("; "&amp;F19&amp;";","; "&amp;VLOOKUP(B19,$A$4:$D$10,4,FALSE())&amp;";")),1,0)</f>
        <v>1</v>
      </c>
    </row>
    <row r="20" customFormat="false" ht="15" hidden="false" customHeight="false" outlineLevel="0" collapsed="false">
      <c r="A20" s="10" t="n">
        <v>8</v>
      </c>
      <c r="B20" s="5" t="s">
        <v>46</v>
      </c>
      <c r="C20" s="5" t="s">
        <v>40</v>
      </c>
      <c r="D20" s="5" t="s">
        <v>58</v>
      </c>
      <c r="E20" s="2" t="str">
        <f aca="false">VLOOKUP(D20,$A$30:$C$34,2,FALSE())</f>
        <v>resource flow</v>
      </c>
      <c r="F20" s="2" t="str">
        <f aca="false">IF(D20="capability",IF(B20="ENG","workforce-capability index","capability"),VLOOKUP(D20,$A$30:$C$34,3,FALSE()))</f>
        <v>funding capacity</v>
      </c>
      <c r="G20" s="10" t="n">
        <f aca="false">IF(ISNUMBER(SEARCH("; "&amp;F20&amp;";","; "&amp;VLOOKUP(B20,$A$4:$D$10,4,FALSE())&amp;";")),1,0)</f>
        <v>1</v>
      </c>
    </row>
    <row r="21" customFormat="false" ht="15" hidden="false" customHeight="false" outlineLevel="0" collapsed="false">
      <c r="A21" s="10" t="n">
        <v>9</v>
      </c>
      <c r="B21" s="5" t="s">
        <v>42</v>
      </c>
      <c r="C21" s="5" t="s">
        <v>37</v>
      </c>
      <c r="D21" s="5" t="s">
        <v>59</v>
      </c>
      <c r="E21" s="2" t="str">
        <f aca="false">VLOOKUP(D21,$A$30:$C$34,2,FALSE())</f>
        <v>resource flow</v>
      </c>
      <c r="F21" s="2" t="str">
        <f aca="false">IF(D21="capability",IF(B21="ENG","workforce-capability index","capability"),VLOOKUP(D21,$A$30:$C$34,3,FALSE()))</f>
        <v>workforce-capability index</v>
      </c>
      <c r="G21" s="10" t="n">
        <f aca="false">IF(ISNUMBER(SEARCH("; "&amp;F21&amp;";","; "&amp;VLOOKUP(B21,$A$4:$D$10,4,FALSE())&amp;";")),1,0)</f>
        <v>1</v>
      </c>
    </row>
    <row r="22" customFormat="false" ht="15" hidden="false" customHeight="false" outlineLevel="0" collapsed="false">
      <c r="A22" s="10" t="n">
        <v>10</v>
      </c>
      <c r="B22" s="5" t="s">
        <v>37</v>
      </c>
      <c r="C22" s="5" t="s">
        <v>42</v>
      </c>
      <c r="D22" s="5" t="s">
        <v>59</v>
      </c>
      <c r="E22" s="2" t="str">
        <f aca="false">VLOOKUP(D22,$A$30:$C$34,2,FALSE())</f>
        <v>resource flow</v>
      </c>
      <c r="F22" s="2" t="str">
        <f aca="false">IF(D22="capability",IF(B22="ENG","workforce-capability index","capability"),VLOOKUP(D22,$A$30:$C$34,3,FALSE()))</f>
        <v>capability</v>
      </c>
      <c r="G22" s="10" t="n">
        <f aca="false">IF(ISNUMBER(SEARCH("; "&amp;F22&amp;";","; "&amp;VLOOKUP(B22,$A$4:$D$10,4,FALSE())&amp;";")),1,0)</f>
        <v>1</v>
      </c>
    </row>
    <row r="23" customFormat="false" ht="15" hidden="false" customHeight="false" outlineLevel="0" collapsed="false">
      <c r="A23" s="10" t="n">
        <v>11</v>
      </c>
      <c r="B23" s="5" t="s">
        <v>42</v>
      </c>
      <c r="C23" s="5" t="s">
        <v>40</v>
      </c>
      <c r="D23" s="5" t="s">
        <v>59</v>
      </c>
      <c r="E23" s="2" t="str">
        <f aca="false">VLOOKUP(D23,$A$30:$C$34,2,FALSE())</f>
        <v>resource flow</v>
      </c>
      <c r="F23" s="2" t="str">
        <f aca="false">IF(D23="capability",IF(B23="ENG","workforce-capability index","capability"),VLOOKUP(D23,$A$30:$C$34,3,FALSE()))</f>
        <v>workforce-capability index</v>
      </c>
      <c r="G23" s="10" t="n">
        <f aca="false">IF(ISNUMBER(SEARCH("; "&amp;F23&amp;";","; "&amp;VLOOKUP(B23,$A$4:$D$10,4,FALSE())&amp;";")),1,0)</f>
        <v>1</v>
      </c>
    </row>
    <row r="24" customFormat="false" ht="15" hidden="false" customHeight="false" outlineLevel="0" collapsed="false">
      <c r="A24" s="10" t="n">
        <v>12</v>
      </c>
      <c r="B24" s="5" t="s">
        <v>40</v>
      </c>
      <c r="C24" s="5" t="s">
        <v>42</v>
      </c>
      <c r="D24" s="5" t="s">
        <v>59</v>
      </c>
      <c r="E24" s="2" t="str">
        <f aca="false">VLOOKUP(D24,$A$30:$C$34,2,FALSE())</f>
        <v>resource flow</v>
      </c>
      <c r="F24" s="2" t="str">
        <f aca="false">IF(D24="capability",IF(B24="ENG","workforce-capability index","capability"),VLOOKUP(D24,$A$30:$C$34,3,FALSE()))</f>
        <v>capability</v>
      </c>
      <c r="G24" s="10" t="n">
        <f aca="false">IF(ISNUMBER(SEARCH("; "&amp;F24&amp;";","; "&amp;VLOOKUP(B24,$A$4:$D$10,4,FALSE())&amp;";")),1,0)</f>
        <v>1</v>
      </c>
    </row>
    <row r="25" customFormat="false" ht="15" hidden="false" customHeight="false" outlineLevel="0" collapsed="false">
      <c r="A25" s="10" t="n">
        <v>13</v>
      </c>
      <c r="B25" s="5" t="s">
        <v>28</v>
      </c>
      <c r="C25" s="5" t="s">
        <v>46</v>
      </c>
      <c r="D25" s="5" t="s">
        <v>31</v>
      </c>
      <c r="E25" s="2" t="str">
        <f aca="false">VLOOKUP(D25,$A$30:$C$34,2,FALSE())</f>
        <v>informational</v>
      </c>
      <c r="F25" s="2" t="str">
        <f aca="false">IF(D25="capability",IF(B25="ENG","workforce-capability index","capability"),VLOOKUP(D25,$A$30:$C$34,3,FALSE()))</f>
        <v>policy</v>
      </c>
      <c r="G25" s="10" t="n">
        <f aca="false">IF(ISNUMBER(SEARCH("; "&amp;F25&amp;";","; "&amp;VLOOKUP(B25,$A$4:$D$10,4,FALSE())&amp;";")),1,0)</f>
        <v>1</v>
      </c>
    </row>
    <row r="26" customFormat="false" ht="15" hidden="false" customHeight="false" outlineLevel="0" collapsed="false">
      <c r="A26" s="10" t="n">
        <v>14</v>
      </c>
      <c r="B26" s="5" t="s">
        <v>28</v>
      </c>
      <c r="C26" s="5" t="s">
        <v>40</v>
      </c>
      <c r="D26" s="5" t="s">
        <v>31</v>
      </c>
      <c r="E26" s="2" t="str">
        <f aca="false">VLOOKUP(D26,$A$30:$C$34,2,FALSE())</f>
        <v>informational</v>
      </c>
      <c r="F26" s="2" t="str">
        <f aca="false">IF(D26="capability",IF(B26="ENG","workforce-capability index","capability"),VLOOKUP(D26,$A$30:$C$34,3,FALSE()))</f>
        <v>policy</v>
      </c>
      <c r="G26" s="10" t="n">
        <f aca="false">IF(ISNUMBER(SEARCH("; "&amp;F26&amp;";","; "&amp;VLOOKUP(B26,$A$4:$D$10,4,FALSE())&amp;";")),1,0)</f>
        <v>1</v>
      </c>
    </row>
    <row r="29" customFormat="false" ht="15" hidden="false" customHeight="false" outlineLevel="0" collapsed="false">
      <c r="A29" s="8" t="s">
        <v>60</v>
      </c>
      <c r="B29" s="8" t="s">
        <v>54</v>
      </c>
      <c r="C29" s="8" t="s">
        <v>55</v>
      </c>
    </row>
    <row r="30" customFormat="false" ht="15" hidden="false" customHeight="false" outlineLevel="0" collapsed="false">
      <c r="A30" s="5" t="s">
        <v>26</v>
      </c>
      <c r="B30" s="5" t="s">
        <v>61</v>
      </c>
      <c r="C30" s="5" t="s">
        <v>26</v>
      </c>
    </row>
    <row r="31" customFormat="false" ht="15" hidden="false" customHeight="false" outlineLevel="0" collapsed="false">
      <c r="A31" s="5" t="s">
        <v>57</v>
      </c>
      <c r="B31" s="5" t="s">
        <v>62</v>
      </c>
      <c r="C31" s="5" t="s">
        <v>35</v>
      </c>
    </row>
    <row r="32" customFormat="false" ht="15" hidden="false" customHeight="false" outlineLevel="0" collapsed="false">
      <c r="A32" s="5" t="s">
        <v>58</v>
      </c>
      <c r="B32" s="5" t="s">
        <v>62</v>
      </c>
      <c r="C32" s="5" t="s">
        <v>48</v>
      </c>
    </row>
    <row r="33" customFormat="false" ht="15" hidden="false" customHeight="false" outlineLevel="0" collapsed="false">
      <c r="A33" s="5" t="s">
        <v>59</v>
      </c>
      <c r="B33" s="5" t="s">
        <v>62</v>
      </c>
      <c r="C33" s="5" t="s">
        <v>59</v>
      </c>
      <c r="D33" s="9" t="s">
        <v>63</v>
      </c>
    </row>
    <row r="34" customFormat="false" ht="15" hidden="false" customHeight="false" outlineLevel="0" collapsed="false">
      <c r="A34" s="5" t="s">
        <v>31</v>
      </c>
      <c r="B34" s="5" t="s">
        <v>64</v>
      </c>
      <c r="C34" s="5" t="s">
        <v>31</v>
      </c>
    </row>
    <row r="35" customFormat="false" ht="15" hidden="false" customHeight="false" outlineLevel="0" collapsed="false">
      <c r="A35" s="8" t="s">
        <v>65</v>
      </c>
      <c r="B35" s="8" t="s">
        <v>23</v>
      </c>
      <c r="C35" s="8" t="s">
        <v>28</v>
      </c>
      <c r="D35" s="8" t="s">
        <v>32</v>
      </c>
      <c r="E35" s="8" t="s">
        <v>37</v>
      </c>
      <c r="F35" s="8" t="s">
        <v>40</v>
      </c>
      <c r="G35" s="8" t="s">
        <v>42</v>
      </c>
      <c r="H35" s="8" t="s">
        <v>46</v>
      </c>
      <c r="I35" s="8" t="s">
        <v>66</v>
      </c>
      <c r="J35" s="8" t="s">
        <v>67</v>
      </c>
      <c r="K35" s="8" t="s">
        <v>68</v>
      </c>
      <c r="L35" s="8" t="s">
        <v>69</v>
      </c>
    </row>
    <row r="36" customFormat="false" ht="15" hidden="false" customHeight="false" outlineLevel="0" collapsed="false">
      <c r="A36" s="2" t="s">
        <v>70</v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1</v>
      </c>
      <c r="I36" s="10" t="n">
        <f aca="false">SUM(B36:H36)</f>
        <v>1</v>
      </c>
      <c r="J36" s="2" t="str">
        <f aca="false">IF(I36=1,"local",IF(I36=2,"pairwise coupling","group coupling"))</f>
        <v>local</v>
      </c>
      <c r="K36" s="12" t="n">
        <v>4.5</v>
      </c>
      <c r="L36" s="9" t="s">
        <v>71</v>
      </c>
    </row>
    <row r="37" customFormat="false" ht="15" hidden="false" customHeight="false" outlineLevel="0" collapsed="false">
      <c r="A37" s="2" t="s">
        <v>72</v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1</v>
      </c>
      <c r="I37" s="10" t="n">
        <f aca="false">SUM(B37:H37)</f>
        <v>1</v>
      </c>
      <c r="J37" s="2" t="str">
        <f aca="false">IF(I37=1,"local",IF(I37=2,"pairwise coupling","group coupling"))</f>
        <v>local</v>
      </c>
      <c r="K37" s="12" t="n">
        <v>350</v>
      </c>
      <c r="L37" s="9" t="s">
        <v>73</v>
      </c>
    </row>
    <row r="38" customFormat="false" ht="15" hidden="false" customHeight="false" outlineLevel="0" collapsed="false">
      <c r="A38" s="2" t="s">
        <v>74</v>
      </c>
      <c r="B38" s="11" t="n">
        <v>0</v>
      </c>
      <c r="C38" s="11" t="n">
        <v>0</v>
      </c>
      <c r="D38" s="11" t="n">
        <v>0</v>
      </c>
      <c r="E38" s="11" t="n">
        <v>1</v>
      </c>
      <c r="F38" s="11" t="n">
        <v>0</v>
      </c>
      <c r="G38" s="11" t="n">
        <v>0</v>
      </c>
      <c r="H38" s="11" t="n">
        <v>0</v>
      </c>
      <c r="I38" s="10" t="n">
        <f aca="false">SUM(B38:H38)</f>
        <v>1</v>
      </c>
      <c r="J38" s="2" t="str">
        <f aca="false">IF(I38=1,"local",IF(I38=2,"pairwise coupling","group coupling"))</f>
        <v>local</v>
      </c>
      <c r="L38" s="9" t="s">
        <v>75</v>
      </c>
    </row>
    <row r="39" customFormat="false" ht="15" hidden="false" customHeight="false" outlineLevel="0" collapsed="false">
      <c r="A39" s="2" t="s">
        <v>76</v>
      </c>
      <c r="B39" s="11" t="n">
        <v>0</v>
      </c>
      <c r="C39" s="11" t="n">
        <v>0</v>
      </c>
      <c r="D39" s="11" t="n">
        <v>1</v>
      </c>
      <c r="E39" s="11" t="n">
        <v>1</v>
      </c>
      <c r="F39" s="11" t="n">
        <v>1</v>
      </c>
      <c r="G39" s="11" t="n">
        <v>0</v>
      </c>
      <c r="H39" s="11" t="n">
        <v>0</v>
      </c>
      <c r="I39" s="10" t="n">
        <f aca="false">SUM(B39:H39)</f>
        <v>3</v>
      </c>
      <c r="J39" s="2" t="str">
        <f aca="false">IF(I39=1,"local",IF(I39=2,"pairwise coupling","group coupling"))</f>
        <v>group coupling</v>
      </c>
      <c r="K39" s="12" t="n">
        <v>75</v>
      </c>
      <c r="L39" s="9" t="s">
        <v>73</v>
      </c>
    </row>
    <row r="40" customFormat="false" ht="15" hidden="false" customHeight="false" outlineLevel="0" collapsed="false">
      <c r="A40" s="2" t="s">
        <v>77</v>
      </c>
      <c r="B40" s="11" t="n">
        <v>0</v>
      </c>
      <c r="C40" s="11" t="n">
        <v>0</v>
      </c>
      <c r="D40" s="11" t="n">
        <v>0</v>
      </c>
      <c r="E40" s="11" t="n">
        <v>0</v>
      </c>
      <c r="F40" s="11" t="n">
        <v>1</v>
      </c>
      <c r="G40" s="11" t="n">
        <v>1</v>
      </c>
      <c r="H40" s="11" t="n">
        <v>0</v>
      </c>
      <c r="I40" s="10" t="n">
        <f aca="false">SUM(B40:H40)</f>
        <v>2</v>
      </c>
      <c r="J40" s="2" t="str">
        <f aca="false">IF(I40=1,"local",IF(I40=2,"pairwise coupling","group coupling"))</f>
        <v>pairwise coupling</v>
      </c>
      <c r="K40" s="12" t="n">
        <v>55</v>
      </c>
      <c r="L40" s="9" t="s">
        <v>78</v>
      </c>
    </row>
    <row r="41" customFormat="false" ht="15" hidden="false" customHeight="false" outlineLevel="0" collapsed="false">
      <c r="A41" s="9" t="s">
        <v>79</v>
      </c>
    </row>
    <row r="43" customFormat="false" ht="15" hidden="false" customHeight="false" outlineLevel="0" collapsed="false">
      <c r="A43" s="8" t="s">
        <v>80</v>
      </c>
      <c r="B43" s="8" t="s">
        <v>81</v>
      </c>
      <c r="C43" s="8" t="s">
        <v>22</v>
      </c>
    </row>
    <row r="44" customFormat="false" ht="15" hidden="false" customHeight="false" outlineLevel="0" collapsed="false">
      <c r="A44" s="2" t="s">
        <v>76</v>
      </c>
      <c r="B44" s="12" t="n">
        <v>75</v>
      </c>
      <c r="C44" s="9" t="s">
        <v>82</v>
      </c>
    </row>
    <row r="45" customFormat="false" ht="15" hidden="false" customHeight="false" outlineLevel="0" collapsed="false">
      <c r="A45" s="2" t="s">
        <v>83</v>
      </c>
      <c r="B45" s="12" t="n">
        <v>6</v>
      </c>
      <c r="C45" s="9" t="s">
        <v>84</v>
      </c>
    </row>
    <row r="46" customFormat="false" ht="15" hidden="false" customHeight="false" outlineLevel="0" collapsed="false">
      <c r="A46" s="2" t="s">
        <v>85</v>
      </c>
      <c r="B46" s="12" t="n">
        <v>64</v>
      </c>
      <c r="C46" s="9" t="s">
        <v>86</v>
      </c>
    </row>
    <row r="47" customFormat="false" ht="15" hidden="false" customHeight="false" outlineLevel="0" collapsed="false">
      <c r="A47" s="2" t="s">
        <v>87</v>
      </c>
      <c r="B47" s="12" t="n">
        <v>51</v>
      </c>
      <c r="C47" s="9" t="s">
        <v>88</v>
      </c>
    </row>
    <row r="48" customFormat="false" ht="15" hidden="false" customHeight="false" outlineLevel="0" collapsed="false">
      <c r="A48" s="2" t="s">
        <v>89</v>
      </c>
      <c r="B48" s="13" t="n">
        <v>0.4</v>
      </c>
      <c r="C48" s="9" t="s">
        <v>90</v>
      </c>
    </row>
    <row r="49" customFormat="false" ht="15" hidden="false" customHeight="false" outlineLevel="0" collapsed="false">
      <c r="A49" s="2" t="s">
        <v>91</v>
      </c>
      <c r="B49" s="12" t="n">
        <v>14</v>
      </c>
      <c r="C49" s="9" t="s">
        <v>90</v>
      </c>
    </row>
    <row r="50" customFormat="false" ht="15" hidden="false" customHeight="false" outlineLevel="0" collapsed="false">
      <c r="A50" s="2" t="s">
        <v>92</v>
      </c>
      <c r="B50" s="12" t="n">
        <v>1.2</v>
      </c>
      <c r="C50" s="9" t="s">
        <v>90</v>
      </c>
    </row>
    <row r="52" customFormat="false" ht="15" hidden="false" customHeight="false" outlineLevel="0" collapsed="false">
      <c r="A52" s="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7"/>
    <col collapsed="false" customWidth="true" hidden="false" outlineLevel="0" max="9" min="9" style="0" width="11"/>
    <col collapsed="false" customWidth="true" hidden="false" outlineLevel="0" max="10" min="10" style="0" width="3"/>
    <col collapsed="false" customWidth="true" hidden="false" outlineLevel="0" max="11" min="11" style="0" width="40"/>
    <col collapsed="false" customWidth="true" hidden="false" outlineLevel="0" max="12" min="12" style="0" width="9"/>
    <col collapsed="false" customWidth="true" hidden="false" outlineLevel="0" max="13" min="13" style="0" width="44"/>
  </cols>
  <sheetData>
    <row r="1" customFormat="false" ht="15" hidden="false" customHeight="false" outlineLevel="0" collapsed="false">
      <c r="A1" s="1" t="s">
        <v>94</v>
      </c>
    </row>
    <row r="2" customFormat="false" ht="15" hidden="false" customHeight="false" outlineLevel="0" collapsed="false">
      <c r="A2" s="9" t="s">
        <v>95</v>
      </c>
    </row>
    <row r="4" customFormat="false" ht="15" hidden="false" customHeight="false" outlineLevel="0" collapsed="false">
      <c r="A4" s="4" t="s">
        <v>96</v>
      </c>
    </row>
    <row r="5" customFormat="false" ht="15" hidden="false" customHeight="false" outlineLevel="0" collapsed="false">
      <c r="A5" s="8" t="s">
        <v>97</v>
      </c>
      <c r="B5" s="8" t="s">
        <v>23</v>
      </c>
      <c r="C5" s="8" t="s">
        <v>28</v>
      </c>
      <c r="D5" s="8" t="s">
        <v>32</v>
      </c>
      <c r="E5" s="8" t="s">
        <v>37</v>
      </c>
      <c r="F5" s="8" t="s">
        <v>40</v>
      </c>
      <c r="G5" s="8" t="s">
        <v>42</v>
      </c>
      <c r="H5" s="8" t="s">
        <v>46</v>
      </c>
      <c r="I5" s="8" t="s">
        <v>98</v>
      </c>
      <c r="K5" s="8" t="s">
        <v>99</v>
      </c>
      <c r="L5" s="8" t="s">
        <v>81</v>
      </c>
      <c r="M5" s="8" t="s">
        <v>100</v>
      </c>
    </row>
    <row r="6" customFormat="false" ht="15" hidden="false" customHeight="false" outlineLevel="0" collapsed="false">
      <c r="A6" s="4" t="s">
        <v>23</v>
      </c>
      <c r="B6" s="10" t="n">
        <f aca="false">IF(COUNTIFS(Arr_from,$A6,Arr_to,B$5)&gt;0,1,0)</f>
        <v>0</v>
      </c>
      <c r="C6" s="10" t="n">
        <f aca="false">IF(COUNTIFS(Arr_from,$A6,Arr_to,C$5)&gt;0,1,0)</f>
        <v>0</v>
      </c>
      <c r="D6" s="10" t="n">
        <f aca="false">IF(COUNTIFS(Arr_from,$A6,Arr_to,D$5)&gt;0,1,0)</f>
        <v>1</v>
      </c>
      <c r="E6" s="10" t="n">
        <f aca="false">IF(COUNTIFS(Arr_from,$A6,Arr_to,E$5)&gt;0,1,0)</f>
        <v>1</v>
      </c>
      <c r="F6" s="10" t="n">
        <f aca="false">IF(COUNTIFS(Arr_from,$A6,Arr_to,F$5)&gt;0,1,0)</f>
        <v>1</v>
      </c>
      <c r="G6" s="10" t="n">
        <f aca="false">IF(COUNTIFS(Arr_from,$A6,Arr_to,G$5)&gt;0,1,0)</f>
        <v>0</v>
      </c>
      <c r="H6" s="10" t="n">
        <f aca="false">IF(COUNTIFS(Arr_from,$A6,Arr_to,H$5)&gt;0,1,0)</f>
        <v>0</v>
      </c>
      <c r="I6" s="10" t="n">
        <f aca="false">SUM($B$6:$H$6)</f>
        <v>3</v>
      </c>
      <c r="K6" s="2" t="s">
        <v>101</v>
      </c>
      <c r="L6" s="10" t="n">
        <f aca="false">COUNTA(Comp)</f>
        <v>7</v>
      </c>
      <c r="M6" s="9" t="s">
        <v>102</v>
      </c>
    </row>
    <row r="7" customFormat="false" ht="15" hidden="false" customHeight="false" outlineLevel="0" collapsed="false">
      <c r="A7" s="4" t="s">
        <v>28</v>
      </c>
      <c r="B7" s="10" t="n">
        <f aca="false">IF(COUNTIFS(Arr_from,$A7,Arr_to,B$5)&gt;0,1,0)</f>
        <v>0</v>
      </c>
      <c r="C7" s="10" t="n">
        <f aca="false">IF(COUNTIFS(Arr_from,$A7,Arr_to,C$5)&gt;0,1,0)</f>
        <v>0</v>
      </c>
      <c r="D7" s="10" t="n">
        <f aca="false">IF(COUNTIFS(Arr_from,$A7,Arr_to,D$5)&gt;0,1,0)</f>
        <v>0</v>
      </c>
      <c r="E7" s="10" t="n">
        <f aca="false">IF(COUNTIFS(Arr_from,$A7,Arr_to,E$5)&gt;0,1,0)</f>
        <v>0</v>
      </c>
      <c r="F7" s="10" t="n">
        <f aca="false">IF(COUNTIFS(Arr_from,$A7,Arr_to,F$5)&gt;0,1,0)</f>
        <v>1</v>
      </c>
      <c r="G7" s="10" t="n">
        <f aca="false">IF(COUNTIFS(Arr_from,$A7,Arr_to,G$5)&gt;0,1,0)</f>
        <v>0</v>
      </c>
      <c r="H7" s="10" t="n">
        <f aca="false">IF(COUNTIFS(Arr_from,$A7,Arr_to,H$5)&gt;0,1,0)</f>
        <v>1</v>
      </c>
      <c r="I7" s="10" t="n">
        <f aca="false">SUM($B$7:$H$7)</f>
        <v>2</v>
      </c>
      <c r="K7" s="2" t="s">
        <v>103</v>
      </c>
      <c r="L7" s="10" t="n">
        <f aca="false">SUM($B$6:$H$12)</f>
        <v>14</v>
      </c>
      <c r="M7" s="9" t="s">
        <v>104</v>
      </c>
    </row>
    <row r="8" customFormat="false" ht="15" hidden="false" customHeight="false" outlineLevel="0" collapsed="false">
      <c r="A8" s="4" t="s">
        <v>32</v>
      </c>
      <c r="B8" s="10" t="n">
        <f aca="false">IF(COUNTIFS(Arr_from,$A8,Arr_to,B$5)&gt;0,1,0)</f>
        <v>0</v>
      </c>
      <c r="C8" s="10" t="n">
        <f aca="false">IF(COUNTIFS(Arr_from,$A8,Arr_to,C$5)&gt;0,1,0)</f>
        <v>0</v>
      </c>
      <c r="D8" s="10" t="n">
        <f aca="false">IF(COUNTIFS(Arr_from,$A8,Arr_to,D$5)&gt;0,1,0)</f>
        <v>0</v>
      </c>
      <c r="E8" s="10" t="n">
        <f aca="false">IF(COUNTIFS(Arr_from,$A8,Arr_to,E$5)&gt;0,1,0)</f>
        <v>0</v>
      </c>
      <c r="F8" s="10" t="n">
        <f aca="false">IF(COUNTIFS(Arr_from,$A8,Arr_to,F$5)&gt;0,1,0)</f>
        <v>0</v>
      </c>
      <c r="G8" s="10" t="n">
        <f aca="false">IF(COUNTIFS(Arr_from,$A8,Arr_to,G$5)&gt;0,1,0)</f>
        <v>0</v>
      </c>
      <c r="H8" s="10" t="n">
        <f aca="false">IF(COUNTIFS(Arr_from,$A8,Arr_to,H$5)&gt;0,1,0)</f>
        <v>1</v>
      </c>
      <c r="I8" s="10" t="n">
        <f aca="false">SUM($B$8:$H$8)</f>
        <v>1</v>
      </c>
      <c r="K8" s="2" t="s">
        <v>105</v>
      </c>
      <c r="L8" s="10" t="n">
        <f aca="false">L6*(L6-1)</f>
        <v>42</v>
      </c>
    </row>
    <row r="9" customFormat="false" ht="15" hidden="false" customHeight="false" outlineLevel="0" collapsed="false">
      <c r="A9" s="4" t="s">
        <v>37</v>
      </c>
      <c r="B9" s="10" t="n">
        <f aca="false">IF(COUNTIFS(Arr_from,$A9,Arr_to,B$5)&gt;0,1,0)</f>
        <v>0</v>
      </c>
      <c r="C9" s="10" t="n">
        <f aca="false">IF(COUNTIFS(Arr_from,$A9,Arr_to,C$5)&gt;0,1,0)</f>
        <v>0</v>
      </c>
      <c r="D9" s="10" t="n">
        <f aca="false">IF(COUNTIFS(Arr_from,$A9,Arr_to,D$5)&gt;0,1,0)</f>
        <v>0</v>
      </c>
      <c r="E9" s="10" t="n">
        <f aca="false">IF(COUNTIFS(Arr_from,$A9,Arr_to,E$5)&gt;0,1,0)</f>
        <v>0</v>
      </c>
      <c r="F9" s="10" t="n">
        <f aca="false">IF(COUNTIFS(Arr_from,$A9,Arr_to,F$5)&gt;0,1,0)</f>
        <v>0</v>
      </c>
      <c r="G9" s="10" t="n">
        <f aca="false">IF(COUNTIFS(Arr_from,$A9,Arr_to,G$5)&gt;0,1,0)</f>
        <v>1</v>
      </c>
      <c r="H9" s="10" t="n">
        <f aca="false">IF(COUNTIFS(Arr_from,$A9,Arr_to,H$5)&gt;0,1,0)</f>
        <v>1</v>
      </c>
      <c r="I9" s="10" t="n">
        <f aca="false">SUM($B$9:$H$9)</f>
        <v>2</v>
      </c>
      <c r="K9" s="2" t="s">
        <v>106</v>
      </c>
      <c r="L9" s="14" t="n">
        <f aca="false">L7/L8</f>
        <v>0.333333333333333</v>
      </c>
      <c r="M9" s="9" t="s">
        <v>107</v>
      </c>
    </row>
    <row r="10" customFormat="false" ht="15" hidden="false" customHeight="false" outlineLevel="0" collapsed="false">
      <c r="A10" s="4" t="s">
        <v>40</v>
      </c>
      <c r="B10" s="10" t="n">
        <f aca="false">IF(COUNTIFS(Arr_from,$A10,Arr_to,B$5)&gt;0,1,0)</f>
        <v>0</v>
      </c>
      <c r="C10" s="10" t="n">
        <f aca="false">IF(COUNTIFS(Arr_from,$A10,Arr_to,C$5)&gt;0,1,0)</f>
        <v>0</v>
      </c>
      <c r="D10" s="10" t="n">
        <f aca="false">IF(COUNTIFS(Arr_from,$A10,Arr_to,D$5)&gt;0,1,0)</f>
        <v>0</v>
      </c>
      <c r="E10" s="10" t="n">
        <f aca="false">IF(COUNTIFS(Arr_from,$A10,Arr_to,E$5)&gt;0,1,0)</f>
        <v>0</v>
      </c>
      <c r="F10" s="10" t="n">
        <f aca="false">IF(COUNTIFS(Arr_from,$A10,Arr_to,F$5)&gt;0,1,0)</f>
        <v>0</v>
      </c>
      <c r="G10" s="10" t="n">
        <f aca="false">IF(COUNTIFS(Arr_from,$A10,Arr_to,G$5)&gt;0,1,0)</f>
        <v>1</v>
      </c>
      <c r="H10" s="10" t="n">
        <f aca="false">IF(COUNTIFS(Arr_from,$A10,Arr_to,H$5)&gt;0,1,0)</f>
        <v>1</v>
      </c>
      <c r="I10" s="10" t="n">
        <f aca="false">SUM($B$10:$H$10)</f>
        <v>2</v>
      </c>
      <c r="K10" s="2" t="s">
        <v>108</v>
      </c>
      <c r="L10" s="10" t="n">
        <f aca="false">SUMPRODUCT($B$6:$H$12,$B$18:$H$24)/2</f>
        <v>4</v>
      </c>
      <c r="M10" s="9" t="s">
        <v>109</v>
      </c>
    </row>
    <row r="11" customFormat="false" ht="15" hidden="false" customHeight="false" outlineLevel="0" collapsed="false">
      <c r="A11" s="4" t="s">
        <v>42</v>
      </c>
      <c r="B11" s="10" t="n">
        <f aca="false">IF(COUNTIFS(Arr_from,$A11,Arr_to,B$5)&gt;0,1,0)</f>
        <v>0</v>
      </c>
      <c r="C11" s="10" t="n">
        <f aca="false">IF(COUNTIFS(Arr_from,$A11,Arr_to,C$5)&gt;0,1,0)</f>
        <v>0</v>
      </c>
      <c r="D11" s="10" t="n">
        <f aca="false">IF(COUNTIFS(Arr_from,$A11,Arr_to,D$5)&gt;0,1,0)</f>
        <v>0</v>
      </c>
      <c r="E11" s="10" t="n">
        <f aca="false">IF(COUNTIFS(Arr_from,$A11,Arr_to,E$5)&gt;0,1,0)</f>
        <v>1</v>
      </c>
      <c r="F11" s="10" t="n">
        <f aca="false">IF(COUNTIFS(Arr_from,$A11,Arr_to,F$5)&gt;0,1,0)</f>
        <v>1</v>
      </c>
      <c r="G11" s="10" t="n">
        <f aca="false">IF(COUNTIFS(Arr_from,$A11,Arr_to,G$5)&gt;0,1,0)</f>
        <v>0</v>
      </c>
      <c r="H11" s="10" t="n">
        <f aca="false">IF(COUNTIFS(Arr_from,$A11,Arr_to,H$5)&gt;0,1,0)</f>
        <v>0</v>
      </c>
      <c r="I11" s="10" t="n">
        <f aca="false">SUM($B$11:$H$11)</f>
        <v>2</v>
      </c>
      <c r="K11" s="2" t="s">
        <v>110</v>
      </c>
      <c r="L11" s="10" t="n">
        <f aca="false">L7-L10</f>
        <v>10</v>
      </c>
    </row>
    <row r="12" customFormat="false" ht="15" hidden="false" customHeight="false" outlineLevel="0" collapsed="false">
      <c r="A12" s="4" t="s">
        <v>46</v>
      </c>
      <c r="B12" s="10" t="n">
        <f aca="false">IF(COUNTIFS(Arr_from,$A12,Arr_to,B$5)&gt;0,1,0)</f>
        <v>0</v>
      </c>
      <c r="C12" s="10" t="n">
        <f aca="false">IF(COUNTIFS(Arr_from,$A12,Arr_to,C$5)&gt;0,1,0)</f>
        <v>0</v>
      </c>
      <c r="D12" s="10" t="n">
        <f aca="false">IF(COUNTIFS(Arr_from,$A12,Arr_to,D$5)&gt;0,1,0)</f>
        <v>0</v>
      </c>
      <c r="E12" s="10" t="n">
        <f aca="false">IF(COUNTIFS(Arr_from,$A12,Arr_to,E$5)&gt;0,1,0)</f>
        <v>1</v>
      </c>
      <c r="F12" s="10" t="n">
        <f aca="false">IF(COUNTIFS(Arr_from,$A12,Arr_to,F$5)&gt;0,1,0)</f>
        <v>1</v>
      </c>
      <c r="G12" s="10" t="n">
        <f aca="false">IF(COUNTIFS(Arr_from,$A12,Arr_to,G$5)&gt;0,1,0)</f>
        <v>0</v>
      </c>
      <c r="H12" s="10" t="n">
        <f aca="false">IF(COUNTIFS(Arr_from,$A12,Arr_to,H$5)&gt;0,1,0)</f>
        <v>0</v>
      </c>
      <c r="I12" s="10" t="n">
        <f aca="false">SUM($B$12:$H$12)</f>
        <v>2</v>
      </c>
      <c r="K12" s="2" t="s">
        <v>111</v>
      </c>
      <c r="L12" s="10" t="n">
        <f aca="false">SUMPRODUCT(1/I73:I79)</f>
        <v>1</v>
      </c>
      <c r="M12" s="9" t="s">
        <v>112</v>
      </c>
    </row>
    <row r="13" customFormat="false" ht="15" hidden="false" customHeight="false" outlineLevel="0" collapsed="false">
      <c r="A13" s="4" t="s">
        <v>113</v>
      </c>
      <c r="B13" s="10" t="n">
        <f aca="false">SUM($B$6:$B$12)</f>
        <v>0</v>
      </c>
      <c r="C13" s="10" t="n">
        <f aca="false">SUM($C$6:$C$12)</f>
        <v>0</v>
      </c>
      <c r="D13" s="10" t="n">
        <f aca="false">SUM($D$6:$D$12)</f>
        <v>1</v>
      </c>
      <c r="E13" s="10" t="n">
        <f aca="false">SUM($E$6:$E$12)</f>
        <v>3</v>
      </c>
      <c r="F13" s="10" t="n">
        <f aca="false">SUM($F$6:$F$12)</f>
        <v>4</v>
      </c>
      <c r="G13" s="10" t="n">
        <f aca="false">SUM($G$6:$G$12)</f>
        <v>2</v>
      </c>
      <c r="H13" s="10" t="n">
        <f aca="false">SUM($H$6:$H$12)</f>
        <v>4</v>
      </c>
      <c r="K13" s="2" t="s">
        <v>114</v>
      </c>
      <c r="L13" s="10" t="n">
        <f aca="false">L7-L6+L12</f>
        <v>8</v>
      </c>
      <c r="M13" s="9" t="s">
        <v>115</v>
      </c>
    </row>
    <row r="14" customFormat="false" ht="15" hidden="false" customHeight="false" outlineLevel="0" collapsed="false">
      <c r="K14" s="2" t="s">
        <v>116</v>
      </c>
      <c r="L14" s="10" t="n">
        <f aca="false">L10</f>
        <v>4</v>
      </c>
      <c r="M14" s="9" t="s">
        <v>117</v>
      </c>
    </row>
    <row r="15" customFormat="false" ht="15" hidden="false" customHeight="false" outlineLevel="0" collapsed="false">
      <c r="K15" s="2" t="s">
        <v>118</v>
      </c>
      <c r="L15" s="10" t="n">
        <f aca="false">L11-L6+L12</f>
        <v>4</v>
      </c>
      <c r="M15" s="9" t="s">
        <v>119</v>
      </c>
    </row>
    <row r="16" customFormat="false" ht="15" hidden="false" customHeight="false" outlineLevel="0" collapsed="false">
      <c r="A16" s="4" t="s">
        <v>120</v>
      </c>
      <c r="K16" s="2" t="s">
        <v>121</v>
      </c>
      <c r="L16" s="10" t="n">
        <f aca="false">L8-L7</f>
        <v>28</v>
      </c>
    </row>
    <row r="17" customFormat="false" ht="15" hidden="false" customHeight="false" outlineLevel="0" collapsed="false">
      <c r="A17" s="8" t="s">
        <v>122</v>
      </c>
      <c r="B17" s="8" t="s">
        <v>23</v>
      </c>
      <c r="C17" s="8" t="s">
        <v>28</v>
      </c>
      <c r="D17" s="8" t="s">
        <v>32</v>
      </c>
      <c r="E17" s="8" t="s">
        <v>37</v>
      </c>
      <c r="F17" s="8" t="s">
        <v>40</v>
      </c>
      <c r="G17" s="8" t="s">
        <v>42</v>
      </c>
      <c r="H17" s="8" t="s">
        <v>46</v>
      </c>
      <c r="K17" s="2" t="s">
        <v>123</v>
      </c>
      <c r="L17" s="10" t="n">
        <f aca="false">B13</f>
        <v>0</v>
      </c>
      <c r="M17" s="9" t="s">
        <v>124</v>
      </c>
    </row>
    <row r="18" customFormat="false" ht="15" hidden="false" customHeight="false" outlineLevel="0" collapsed="false">
      <c r="A18" s="4" t="s">
        <v>23</v>
      </c>
      <c r="B18" s="10" t="n">
        <f aca="false">$B$6</f>
        <v>0</v>
      </c>
      <c r="C18" s="10" t="n">
        <f aca="false">$B$7</f>
        <v>0</v>
      </c>
      <c r="D18" s="10" t="n">
        <f aca="false">$B$8</f>
        <v>0</v>
      </c>
      <c r="E18" s="10" t="n">
        <f aca="false">$B$9</f>
        <v>0</v>
      </c>
      <c r="F18" s="10" t="n">
        <f aca="false">$B$10</f>
        <v>0</v>
      </c>
      <c r="G18" s="10" t="n">
        <f aca="false">$B$11</f>
        <v>0</v>
      </c>
      <c r="H18" s="10" t="n">
        <f aca="false">$B$12</f>
        <v>0</v>
      </c>
      <c r="K18" s="2" t="s">
        <v>125</v>
      </c>
      <c r="L18" s="10" t="n">
        <f aca="false">C13</f>
        <v>0</v>
      </c>
    </row>
    <row r="19" customFormat="false" ht="15" hidden="false" customHeight="false" outlineLevel="0" collapsed="false">
      <c r="A19" s="4" t="s">
        <v>28</v>
      </c>
      <c r="B19" s="10" t="n">
        <f aca="false">$C$6</f>
        <v>0</v>
      </c>
      <c r="C19" s="10" t="n">
        <f aca="false">$C$7</f>
        <v>0</v>
      </c>
      <c r="D19" s="10" t="n">
        <f aca="false">$C$8</f>
        <v>0</v>
      </c>
      <c r="E19" s="10" t="n">
        <f aca="false">$C$9</f>
        <v>0</v>
      </c>
      <c r="F19" s="10" t="n">
        <f aca="false">$C$10</f>
        <v>0</v>
      </c>
      <c r="G19" s="10" t="n">
        <f aca="false">$C$11</f>
        <v>0</v>
      </c>
      <c r="H19" s="10" t="n">
        <f aca="false">$C$12</f>
        <v>0</v>
      </c>
      <c r="K19" s="2" t="s">
        <v>126</v>
      </c>
      <c r="L19" s="10" t="n">
        <f aca="false">COUNTIFS(Arr_to,"MAT",Arr_type,"funding")</f>
        <v>0</v>
      </c>
      <c r="M19" s="9" t="s">
        <v>127</v>
      </c>
    </row>
    <row r="20" customFormat="false" ht="15" hidden="false" customHeight="false" outlineLevel="0" collapsed="false">
      <c r="A20" s="4" t="s">
        <v>32</v>
      </c>
      <c r="B20" s="10" t="n">
        <f aca="false">$D$6</f>
        <v>1</v>
      </c>
      <c r="C20" s="10" t="n">
        <f aca="false">$D$7</f>
        <v>0</v>
      </c>
      <c r="D20" s="10" t="n">
        <f aca="false">$D$8</f>
        <v>0</v>
      </c>
      <c r="E20" s="10" t="n">
        <f aca="false">$D$9</f>
        <v>0</v>
      </c>
      <c r="F20" s="10" t="n">
        <f aca="false">$D$10</f>
        <v>0</v>
      </c>
      <c r="G20" s="10" t="n">
        <f aca="false">$D$11</f>
        <v>0</v>
      </c>
      <c r="H20" s="10" t="n">
        <f aca="false">$D$12</f>
        <v>0</v>
      </c>
      <c r="K20" s="2" t="s">
        <v>128</v>
      </c>
      <c r="L20" s="10" t="n">
        <f aca="false">SUM(Declarations!$G$13:$G$26)</f>
        <v>14</v>
      </c>
      <c r="M20" s="9" t="s">
        <v>129</v>
      </c>
    </row>
    <row r="21" customFormat="false" ht="15" hidden="false" customHeight="false" outlineLevel="0" collapsed="false">
      <c r="A21" s="4" t="s">
        <v>37</v>
      </c>
      <c r="B21" s="10" t="n">
        <f aca="false">$E$6</f>
        <v>1</v>
      </c>
      <c r="C21" s="10" t="n">
        <f aca="false">$E$7</f>
        <v>0</v>
      </c>
      <c r="D21" s="10" t="n">
        <f aca="false">$E$8</f>
        <v>0</v>
      </c>
      <c r="E21" s="10" t="n">
        <f aca="false">$E$9</f>
        <v>0</v>
      </c>
      <c r="F21" s="10" t="n">
        <f aca="false">$E$10</f>
        <v>0</v>
      </c>
      <c r="G21" s="10" t="n">
        <f aca="false">$E$11</f>
        <v>1</v>
      </c>
      <c r="H21" s="10" t="n">
        <f aca="false">$E$12</f>
        <v>1</v>
      </c>
      <c r="K21" s="2" t="s">
        <v>130</v>
      </c>
      <c r="L21" s="10" t="n">
        <f aca="false">COUNTIF(Arr_type,"demand")</f>
        <v>3</v>
      </c>
      <c r="M21" s="9" t="s">
        <v>131</v>
      </c>
    </row>
    <row r="22" customFormat="false" ht="15" hidden="false" customHeight="false" outlineLevel="0" collapsed="false">
      <c r="A22" s="4" t="s">
        <v>40</v>
      </c>
      <c r="B22" s="10" t="n">
        <f aca="false">$F$6</f>
        <v>1</v>
      </c>
      <c r="C22" s="10" t="n">
        <f aca="false">$F$7</f>
        <v>1</v>
      </c>
      <c r="D22" s="10" t="n">
        <f aca="false">$F$8</f>
        <v>0</v>
      </c>
      <c r="E22" s="10" t="n">
        <f aca="false">$F$9</f>
        <v>0</v>
      </c>
      <c r="F22" s="10" t="n">
        <f aca="false">$F$10</f>
        <v>0</v>
      </c>
      <c r="G22" s="10" t="n">
        <f aca="false">$F$11</f>
        <v>1</v>
      </c>
      <c r="H22" s="10" t="n">
        <f aca="false">$F$12</f>
        <v>1</v>
      </c>
      <c r="K22" s="2" t="s">
        <v>132</v>
      </c>
      <c r="L22" s="10" t="n">
        <f aca="false">COUNTIF(Arr_type,"cash")</f>
        <v>3</v>
      </c>
      <c r="M22" s="9" t="s">
        <v>133</v>
      </c>
    </row>
    <row r="23" customFormat="false" ht="15" hidden="false" customHeight="false" outlineLevel="0" collapsed="false">
      <c r="A23" s="4" t="s">
        <v>42</v>
      </c>
      <c r="B23" s="10" t="n">
        <f aca="false">$G$6</f>
        <v>0</v>
      </c>
      <c r="C23" s="10" t="n">
        <f aca="false">$G$7</f>
        <v>0</v>
      </c>
      <c r="D23" s="10" t="n">
        <f aca="false">$G$8</f>
        <v>0</v>
      </c>
      <c r="E23" s="10" t="n">
        <f aca="false">$G$9</f>
        <v>1</v>
      </c>
      <c r="F23" s="10" t="n">
        <f aca="false">$G$10</f>
        <v>1</v>
      </c>
      <c r="G23" s="10" t="n">
        <f aca="false">$G$11</f>
        <v>0</v>
      </c>
      <c r="H23" s="10" t="n">
        <f aca="false">$G$12</f>
        <v>0</v>
      </c>
      <c r="K23" s="2" t="s">
        <v>134</v>
      </c>
      <c r="L23" s="10" t="n">
        <f aca="false">COUNTIF(Arr_type,"funding")</f>
        <v>2</v>
      </c>
      <c r="M23" s="9" t="s">
        <v>135</v>
      </c>
    </row>
    <row r="24" customFormat="false" ht="15" hidden="false" customHeight="false" outlineLevel="0" collapsed="false">
      <c r="A24" s="4" t="s">
        <v>46</v>
      </c>
      <c r="B24" s="10" t="n">
        <f aca="false">$H$6</f>
        <v>0</v>
      </c>
      <c r="C24" s="10" t="n">
        <f aca="false">$H$7</f>
        <v>1</v>
      </c>
      <c r="D24" s="10" t="n">
        <f aca="false">$H$8</f>
        <v>1</v>
      </c>
      <c r="E24" s="10" t="n">
        <f aca="false">$H$9</f>
        <v>1</v>
      </c>
      <c r="F24" s="10" t="n">
        <f aca="false">$H$10</f>
        <v>1</v>
      </c>
      <c r="G24" s="10" t="n">
        <f aca="false">$H$11</f>
        <v>0</v>
      </c>
      <c r="H24" s="10" t="n">
        <f aca="false">$H$12</f>
        <v>0</v>
      </c>
      <c r="K24" s="2" t="s">
        <v>136</v>
      </c>
      <c r="L24" s="10" t="n">
        <f aca="false">COUNTIF(Arr_type,"capability")</f>
        <v>4</v>
      </c>
      <c r="M24" s="9" t="s">
        <v>137</v>
      </c>
    </row>
    <row r="25" customFormat="false" ht="15" hidden="false" customHeight="false" outlineLevel="0" collapsed="false">
      <c r="K25" s="2" t="s">
        <v>138</v>
      </c>
      <c r="L25" s="10" t="n">
        <f aca="false">COUNTIF(Arr_type,"policy")</f>
        <v>2</v>
      </c>
      <c r="M25" s="9" t="s">
        <v>139</v>
      </c>
    </row>
    <row r="27" customFormat="false" ht="15" hidden="false" customHeight="false" outlineLevel="0" collapsed="false">
      <c r="A27" s="4" t="s">
        <v>140</v>
      </c>
    </row>
    <row r="28" customFormat="false" ht="15" hidden="false" customHeight="false" outlineLevel="0" collapsed="false">
      <c r="A28" s="8"/>
      <c r="B28" s="8" t="s">
        <v>23</v>
      </c>
      <c r="C28" s="8" t="s">
        <v>28</v>
      </c>
      <c r="D28" s="8" t="s">
        <v>32</v>
      </c>
      <c r="E28" s="8" t="s">
        <v>37</v>
      </c>
      <c r="F28" s="8" t="s">
        <v>40</v>
      </c>
      <c r="G28" s="8" t="s">
        <v>42</v>
      </c>
      <c r="H28" s="8" t="s">
        <v>46</v>
      </c>
    </row>
    <row r="29" customFormat="false" ht="15" hidden="false" customHeight="false" outlineLevel="0" collapsed="false">
      <c r="A29" s="4" t="s">
        <v>23</v>
      </c>
      <c r="B29" s="10" t="n">
        <f aca="false">SIGN($B$6+$B$18)</f>
        <v>0</v>
      </c>
      <c r="C29" s="10" t="n">
        <f aca="false">SIGN($C$6+$C$18)</f>
        <v>0</v>
      </c>
      <c r="D29" s="10" t="n">
        <f aca="false">SIGN($D$6+$D$18)</f>
        <v>1</v>
      </c>
      <c r="E29" s="10" t="n">
        <f aca="false">SIGN($E$6+$E$18)</f>
        <v>1</v>
      </c>
      <c r="F29" s="10" t="n">
        <f aca="false">SIGN($F$6+$F$18)</f>
        <v>1</v>
      </c>
      <c r="G29" s="10" t="n">
        <f aca="false">SIGN($G$6+$G$18)</f>
        <v>0</v>
      </c>
      <c r="H29" s="10" t="n">
        <f aca="false">SIGN($H$6+$H$18)</f>
        <v>0</v>
      </c>
    </row>
    <row r="30" customFormat="false" ht="15" hidden="false" customHeight="false" outlineLevel="0" collapsed="false">
      <c r="A30" s="4" t="s">
        <v>28</v>
      </c>
      <c r="B30" s="10" t="n">
        <f aca="false">SIGN($B$7+$B$19)</f>
        <v>0</v>
      </c>
      <c r="C30" s="10" t="n">
        <f aca="false">SIGN($C$7+$C$19)</f>
        <v>0</v>
      </c>
      <c r="D30" s="10" t="n">
        <f aca="false">SIGN($D$7+$D$19)</f>
        <v>0</v>
      </c>
      <c r="E30" s="10" t="n">
        <f aca="false">SIGN($E$7+$E$19)</f>
        <v>0</v>
      </c>
      <c r="F30" s="10" t="n">
        <f aca="false">SIGN($F$7+$F$19)</f>
        <v>1</v>
      </c>
      <c r="G30" s="10" t="n">
        <f aca="false">SIGN($G$7+$G$19)</f>
        <v>0</v>
      </c>
      <c r="H30" s="10" t="n">
        <f aca="false">SIGN($H$7+$H$19)</f>
        <v>1</v>
      </c>
    </row>
    <row r="31" customFormat="false" ht="15" hidden="false" customHeight="false" outlineLevel="0" collapsed="false">
      <c r="A31" s="4" t="s">
        <v>32</v>
      </c>
      <c r="B31" s="10" t="n">
        <f aca="false">SIGN($B$8+$B$20)</f>
        <v>1</v>
      </c>
      <c r="C31" s="10" t="n">
        <f aca="false">SIGN($C$8+$C$20)</f>
        <v>0</v>
      </c>
      <c r="D31" s="10" t="n">
        <f aca="false">SIGN($D$8+$D$20)</f>
        <v>0</v>
      </c>
      <c r="E31" s="10" t="n">
        <f aca="false">SIGN($E$8+$E$20)</f>
        <v>0</v>
      </c>
      <c r="F31" s="10" t="n">
        <f aca="false">SIGN($F$8+$F$20)</f>
        <v>0</v>
      </c>
      <c r="G31" s="10" t="n">
        <f aca="false">SIGN($G$8+$G$20)</f>
        <v>0</v>
      </c>
      <c r="H31" s="10" t="n">
        <f aca="false">SIGN($H$8+$H$20)</f>
        <v>1</v>
      </c>
    </row>
    <row r="32" customFormat="false" ht="15" hidden="false" customHeight="false" outlineLevel="0" collapsed="false">
      <c r="A32" s="4" t="s">
        <v>37</v>
      </c>
      <c r="B32" s="10" t="n">
        <f aca="false">SIGN($B$9+$B$21)</f>
        <v>1</v>
      </c>
      <c r="C32" s="10" t="n">
        <f aca="false">SIGN($C$9+$C$21)</f>
        <v>0</v>
      </c>
      <c r="D32" s="10" t="n">
        <f aca="false">SIGN($D$9+$D$21)</f>
        <v>0</v>
      </c>
      <c r="E32" s="10" t="n">
        <f aca="false">SIGN($E$9+$E$21)</f>
        <v>0</v>
      </c>
      <c r="F32" s="10" t="n">
        <f aca="false">SIGN($F$9+$F$21)</f>
        <v>0</v>
      </c>
      <c r="G32" s="10" t="n">
        <f aca="false">SIGN($G$9+$G$21)</f>
        <v>1</v>
      </c>
      <c r="H32" s="10" t="n">
        <f aca="false">SIGN($H$9+$H$21)</f>
        <v>1</v>
      </c>
    </row>
    <row r="33" customFormat="false" ht="15" hidden="false" customHeight="false" outlineLevel="0" collapsed="false">
      <c r="A33" s="4" t="s">
        <v>40</v>
      </c>
      <c r="B33" s="10" t="n">
        <f aca="false">SIGN($B$10+$B$22)</f>
        <v>1</v>
      </c>
      <c r="C33" s="10" t="n">
        <f aca="false">SIGN($C$10+$C$22)</f>
        <v>1</v>
      </c>
      <c r="D33" s="10" t="n">
        <f aca="false">SIGN($D$10+$D$22)</f>
        <v>0</v>
      </c>
      <c r="E33" s="10" t="n">
        <f aca="false">SIGN($E$10+$E$22)</f>
        <v>0</v>
      </c>
      <c r="F33" s="10" t="n">
        <f aca="false">SIGN($F$10+$F$22)</f>
        <v>0</v>
      </c>
      <c r="G33" s="10" t="n">
        <f aca="false">SIGN($G$10+$G$22)</f>
        <v>1</v>
      </c>
      <c r="H33" s="10" t="n">
        <f aca="false">SIGN($H$10+$H$22)</f>
        <v>1</v>
      </c>
    </row>
    <row r="34" customFormat="false" ht="15" hidden="false" customHeight="false" outlineLevel="0" collapsed="false">
      <c r="A34" s="4" t="s">
        <v>42</v>
      </c>
      <c r="B34" s="10" t="n">
        <f aca="false">SIGN($B$11+$B$23)</f>
        <v>0</v>
      </c>
      <c r="C34" s="10" t="n">
        <f aca="false">SIGN($C$11+$C$23)</f>
        <v>0</v>
      </c>
      <c r="D34" s="10" t="n">
        <f aca="false">SIGN($D$11+$D$23)</f>
        <v>0</v>
      </c>
      <c r="E34" s="10" t="n">
        <f aca="false">SIGN($E$11+$E$23)</f>
        <v>1</v>
      </c>
      <c r="F34" s="10" t="n">
        <f aca="false">SIGN($F$11+$F$23)</f>
        <v>1</v>
      </c>
      <c r="G34" s="10" t="n">
        <f aca="false">SIGN($G$11+$G$23)</f>
        <v>0</v>
      </c>
      <c r="H34" s="10" t="n">
        <f aca="false">SIGN($H$11+$H$23)</f>
        <v>0</v>
      </c>
    </row>
    <row r="35" customFormat="false" ht="15" hidden="false" customHeight="false" outlineLevel="0" collapsed="false">
      <c r="A35" s="4" t="s">
        <v>46</v>
      </c>
      <c r="B35" s="10" t="n">
        <f aca="false">SIGN($B$12+$B$24)</f>
        <v>0</v>
      </c>
      <c r="C35" s="10" t="n">
        <f aca="false">SIGN($C$12+$C$24)</f>
        <v>1</v>
      </c>
      <c r="D35" s="10" t="n">
        <f aca="false">SIGN($D$12+$D$24)</f>
        <v>1</v>
      </c>
      <c r="E35" s="10" t="n">
        <f aca="false">SIGN($E$12+$E$24)</f>
        <v>1</v>
      </c>
      <c r="F35" s="10" t="n">
        <f aca="false">SIGN($F$12+$F$24)</f>
        <v>1</v>
      </c>
      <c r="G35" s="10" t="n">
        <f aca="false">SIGN($G$12+$G$24)</f>
        <v>0</v>
      </c>
      <c r="H35" s="10" t="n">
        <f aca="false">SIGN($H$12+$H$24)</f>
        <v>0</v>
      </c>
    </row>
    <row r="38" customFormat="false" ht="15" hidden="false" customHeight="false" outlineLevel="0" collapsed="false">
      <c r="A38" s="4" t="s">
        <v>141</v>
      </c>
    </row>
    <row r="39" customFormat="false" ht="15" hidden="false" customHeight="false" outlineLevel="0" collapsed="false">
      <c r="A39" s="8"/>
      <c r="B39" s="8" t="s">
        <v>23</v>
      </c>
      <c r="C39" s="8" t="s">
        <v>28</v>
      </c>
      <c r="D39" s="8" t="s">
        <v>32</v>
      </c>
      <c r="E39" s="8" t="s">
        <v>37</v>
      </c>
      <c r="F39" s="8" t="s">
        <v>40</v>
      </c>
      <c r="G39" s="8" t="s">
        <v>42</v>
      </c>
      <c r="H39" s="8" t="s">
        <v>46</v>
      </c>
    </row>
    <row r="40" customFormat="false" ht="15" hidden="false" customHeight="false" outlineLevel="0" collapsed="false">
      <c r="A40" s="4" t="s">
        <v>23</v>
      </c>
      <c r="B40" s="10" t="n">
        <v>1</v>
      </c>
      <c r="C40" s="10" t="n">
        <f aca="false">$C$29</f>
        <v>0</v>
      </c>
      <c r="D40" s="10" t="n">
        <f aca="false">$D$29</f>
        <v>1</v>
      </c>
      <c r="E40" s="10" t="n">
        <f aca="false">$E$29</f>
        <v>1</v>
      </c>
      <c r="F40" s="10" t="n">
        <f aca="false">$F$29</f>
        <v>1</v>
      </c>
      <c r="G40" s="10" t="n">
        <f aca="false">$G$29</f>
        <v>0</v>
      </c>
      <c r="H40" s="10" t="n">
        <f aca="false">$H$29</f>
        <v>0</v>
      </c>
    </row>
    <row r="41" customFormat="false" ht="15" hidden="false" customHeight="false" outlineLevel="0" collapsed="false">
      <c r="A41" s="4" t="s">
        <v>28</v>
      </c>
      <c r="B41" s="10" t="n">
        <f aca="false">$B$30</f>
        <v>0</v>
      </c>
      <c r="C41" s="10" t="n">
        <v>1</v>
      </c>
      <c r="D41" s="10" t="n">
        <f aca="false">$D$30</f>
        <v>0</v>
      </c>
      <c r="E41" s="10" t="n">
        <f aca="false">$E$30</f>
        <v>0</v>
      </c>
      <c r="F41" s="10" t="n">
        <f aca="false">$F$30</f>
        <v>1</v>
      </c>
      <c r="G41" s="10" t="n">
        <f aca="false">$G$30</f>
        <v>0</v>
      </c>
      <c r="H41" s="10" t="n">
        <f aca="false">$H$30</f>
        <v>1</v>
      </c>
    </row>
    <row r="42" customFormat="false" ht="15" hidden="false" customHeight="false" outlineLevel="0" collapsed="false">
      <c r="A42" s="4" t="s">
        <v>32</v>
      </c>
      <c r="B42" s="10" t="n">
        <f aca="false">$B$31</f>
        <v>1</v>
      </c>
      <c r="C42" s="10" t="n">
        <f aca="false">$C$31</f>
        <v>0</v>
      </c>
      <c r="D42" s="10" t="n">
        <v>1</v>
      </c>
      <c r="E42" s="10" t="n">
        <f aca="false">$E$31</f>
        <v>0</v>
      </c>
      <c r="F42" s="10" t="n">
        <f aca="false">$F$31</f>
        <v>0</v>
      </c>
      <c r="G42" s="10" t="n">
        <f aca="false">$G$31</f>
        <v>0</v>
      </c>
      <c r="H42" s="10" t="n">
        <f aca="false">$H$31</f>
        <v>1</v>
      </c>
    </row>
    <row r="43" customFormat="false" ht="15" hidden="false" customHeight="false" outlineLevel="0" collapsed="false">
      <c r="A43" s="4" t="s">
        <v>37</v>
      </c>
      <c r="B43" s="10" t="n">
        <f aca="false">$B$32</f>
        <v>1</v>
      </c>
      <c r="C43" s="10" t="n">
        <f aca="false">$C$32</f>
        <v>0</v>
      </c>
      <c r="D43" s="10" t="n">
        <f aca="false">$D$32</f>
        <v>0</v>
      </c>
      <c r="E43" s="10" t="n">
        <v>1</v>
      </c>
      <c r="F43" s="10" t="n">
        <f aca="false">$F$32</f>
        <v>0</v>
      </c>
      <c r="G43" s="10" t="n">
        <f aca="false">$G$32</f>
        <v>1</v>
      </c>
      <c r="H43" s="10" t="n">
        <f aca="false">$H$32</f>
        <v>1</v>
      </c>
    </row>
    <row r="44" customFormat="false" ht="15" hidden="false" customHeight="false" outlineLevel="0" collapsed="false">
      <c r="A44" s="4" t="s">
        <v>40</v>
      </c>
      <c r="B44" s="10" t="n">
        <f aca="false">$B$33</f>
        <v>1</v>
      </c>
      <c r="C44" s="10" t="n">
        <f aca="false">$C$33</f>
        <v>1</v>
      </c>
      <c r="D44" s="10" t="n">
        <f aca="false">$D$33</f>
        <v>0</v>
      </c>
      <c r="E44" s="10" t="n">
        <f aca="false">$E$33</f>
        <v>0</v>
      </c>
      <c r="F44" s="10" t="n">
        <v>1</v>
      </c>
      <c r="G44" s="10" t="n">
        <f aca="false">$G$33</f>
        <v>1</v>
      </c>
      <c r="H44" s="10" t="n">
        <f aca="false">$H$33</f>
        <v>1</v>
      </c>
    </row>
    <row r="45" customFormat="false" ht="15" hidden="false" customHeight="false" outlineLevel="0" collapsed="false">
      <c r="A45" s="4" t="s">
        <v>42</v>
      </c>
      <c r="B45" s="10" t="n">
        <f aca="false">$B$34</f>
        <v>0</v>
      </c>
      <c r="C45" s="10" t="n">
        <f aca="false">$C$34</f>
        <v>0</v>
      </c>
      <c r="D45" s="10" t="n">
        <f aca="false">$D$34</f>
        <v>0</v>
      </c>
      <c r="E45" s="10" t="n">
        <f aca="false">$E$34</f>
        <v>1</v>
      </c>
      <c r="F45" s="10" t="n">
        <f aca="false">$F$34</f>
        <v>1</v>
      </c>
      <c r="G45" s="10" t="n">
        <v>1</v>
      </c>
      <c r="H45" s="10" t="n">
        <f aca="false">$H$34</f>
        <v>0</v>
      </c>
    </row>
    <row r="46" customFormat="false" ht="15" hidden="false" customHeight="false" outlineLevel="0" collapsed="false">
      <c r="A46" s="4" t="s">
        <v>46</v>
      </c>
      <c r="B46" s="10" t="n">
        <f aca="false">$B$35</f>
        <v>0</v>
      </c>
      <c r="C46" s="10" t="n">
        <f aca="false">$C$35</f>
        <v>1</v>
      </c>
      <c r="D46" s="10" t="n">
        <f aca="false">$D$35</f>
        <v>1</v>
      </c>
      <c r="E46" s="10" t="n">
        <f aca="false">$E$35</f>
        <v>1</v>
      </c>
      <c r="F46" s="10" t="n">
        <f aca="false">$F$35</f>
        <v>1</v>
      </c>
      <c r="G46" s="10" t="n">
        <f aca="false">$G$35</f>
        <v>0</v>
      </c>
      <c r="H46" s="10" t="n">
        <v>1</v>
      </c>
    </row>
    <row r="49" customFormat="false" ht="15" hidden="false" customHeight="false" outlineLevel="0" collapsed="false">
      <c r="A49" s="4" t="s">
        <v>142</v>
      </c>
    </row>
    <row r="50" customFormat="false" ht="15" hidden="false" customHeight="false" outlineLevel="0" collapsed="false">
      <c r="A50" s="8"/>
      <c r="B50" s="8" t="s">
        <v>23</v>
      </c>
      <c r="C50" s="8" t="s">
        <v>28</v>
      </c>
      <c r="D50" s="8" t="s">
        <v>32</v>
      </c>
      <c r="E50" s="8" t="s">
        <v>37</v>
      </c>
      <c r="F50" s="8" t="s">
        <v>40</v>
      </c>
      <c r="G50" s="8" t="s">
        <v>42</v>
      </c>
      <c r="H50" s="8" t="s">
        <v>46</v>
      </c>
    </row>
    <row r="51" customFormat="false" ht="15" hidden="false" customHeight="false" outlineLevel="0" collapsed="false">
      <c r="A51" s="4" t="s">
        <v>23</v>
      </c>
      <c r="B51" s="10" t="n">
        <f aca="false">SIGN($B$40*$B$40+$C$40*$B$41+$D$40*$B$42+$E$40*$B$43+$F$40*$B$44+$G$40*$B$45+$H$40*$B$46)</f>
        <v>1</v>
      </c>
      <c r="C51" s="10" t="n">
        <f aca="false">SIGN($B$40*$C$40+$C$40*$C$41+$D$40*$C$42+$E$40*$C$43+$F$40*$C$44+$G$40*$C$45+$H$40*$C$46)</f>
        <v>1</v>
      </c>
      <c r="D51" s="10" t="n">
        <f aca="false">SIGN($B$40*$D$40+$C$40*$D$41+$D$40*$D$42+$E$40*$D$43+$F$40*$D$44+$G$40*$D$45+$H$40*$D$46)</f>
        <v>1</v>
      </c>
      <c r="E51" s="10" t="n">
        <f aca="false">SIGN($B$40*$E$40+$C$40*$E$41+$D$40*$E$42+$E$40*$E$43+$F$40*$E$44+$G$40*$E$45+$H$40*$E$46)</f>
        <v>1</v>
      </c>
      <c r="F51" s="10" t="n">
        <f aca="false">SIGN($B$40*$F$40+$C$40*$F$41+$D$40*$F$42+$E$40*$F$43+$F$40*$F$44+$G$40*$F$45+$H$40*$F$46)</f>
        <v>1</v>
      </c>
      <c r="G51" s="10" t="n">
        <f aca="false">SIGN($B$40*$G$40+$C$40*$G$41+$D$40*$G$42+$E$40*$G$43+$F$40*$G$44+$G$40*$G$45+$H$40*$G$46)</f>
        <v>1</v>
      </c>
      <c r="H51" s="10" t="n">
        <f aca="false">SIGN($B$40*$H$40+$C$40*$H$41+$D$40*$H$42+$E$40*$H$43+$F$40*$H$44+$G$40*$H$45+$H$40*$H$46)</f>
        <v>1</v>
      </c>
    </row>
    <row r="52" customFormat="false" ht="15" hidden="false" customHeight="false" outlineLevel="0" collapsed="false">
      <c r="A52" s="4" t="s">
        <v>28</v>
      </c>
      <c r="B52" s="10" t="n">
        <f aca="false">SIGN($B$41*$B$40+$C$41*$B$41+$D$41*$B$42+$E$41*$B$43+$F$41*$B$44+$G$41*$B$45+$H$41*$B$46)</f>
        <v>1</v>
      </c>
      <c r="C52" s="10" t="n">
        <f aca="false">SIGN($B$41*$C$40+$C$41*$C$41+$D$41*$C$42+$E$41*$C$43+$F$41*$C$44+$G$41*$C$45+$H$41*$C$46)</f>
        <v>1</v>
      </c>
      <c r="D52" s="10" t="n">
        <f aca="false">SIGN($B$41*$D$40+$C$41*$D$41+$D$41*$D$42+$E$41*$D$43+$F$41*$D$44+$G$41*$D$45+$H$41*$D$46)</f>
        <v>1</v>
      </c>
      <c r="E52" s="10" t="n">
        <f aca="false">SIGN($B$41*$E$40+$C$41*$E$41+$D$41*$E$42+$E$41*$E$43+$F$41*$E$44+$G$41*$E$45+$H$41*$E$46)</f>
        <v>1</v>
      </c>
      <c r="F52" s="10" t="n">
        <f aca="false">SIGN($B$41*$F$40+$C$41*$F$41+$D$41*$F$42+$E$41*$F$43+$F$41*$F$44+$G$41*$F$45+$H$41*$F$46)</f>
        <v>1</v>
      </c>
      <c r="G52" s="10" t="n">
        <f aca="false">SIGN($B$41*$G$40+$C$41*$G$41+$D$41*$G$42+$E$41*$G$43+$F$41*$G$44+$G$41*$G$45+$H$41*$G$46)</f>
        <v>1</v>
      </c>
      <c r="H52" s="10" t="n">
        <f aca="false">SIGN($B$41*$H$40+$C$41*$H$41+$D$41*$H$42+$E$41*$H$43+$F$41*$H$44+$G$41*$H$45+$H$41*$H$46)</f>
        <v>1</v>
      </c>
    </row>
    <row r="53" customFormat="false" ht="15" hidden="false" customHeight="false" outlineLevel="0" collapsed="false">
      <c r="A53" s="4" t="s">
        <v>32</v>
      </c>
      <c r="B53" s="10" t="n">
        <f aca="false">SIGN($B$42*$B$40+$C$42*$B$41+$D$42*$B$42+$E$42*$B$43+$F$42*$B$44+$G$42*$B$45+$H$42*$B$46)</f>
        <v>1</v>
      </c>
      <c r="C53" s="10" t="n">
        <f aca="false">SIGN($B$42*$C$40+$C$42*$C$41+$D$42*$C$42+$E$42*$C$43+$F$42*$C$44+$G$42*$C$45+$H$42*$C$46)</f>
        <v>1</v>
      </c>
      <c r="D53" s="10" t="n">
        <f aca="false">SIGN($B$42*$D$40+$C$42*$D$41+$D$42*$D$42+$E$42*$D$43+$F$42*$D$44+$G$42*$D$45+$H$42*$D$46)</f>
        <v>1</v>
      </c>
      <c r="E53" s="10" t="n">
        <f aca="false">SIGN($B$42*$E$40+$C$42*$E$41+$D$42*$E$42+$E$42*$E$43+$F$42*$E$44+$G$42*$E$45+$H$42*$E$46)</f>
        <v>1</v>
      </c>
      <c r="F53" s="10" t="n">
        <f aca="false">SIGN($B$42*$F$40+$C$42*$F$41+$D$42*$F$42+$E$42*$F$43+$F$42*$F$44+$G$42*$F$45+$H$42*$F$46)</f>
        <v>1</v>
      </c>
      <c r="G53" s="10" t="n">
        <f aca="false">SIGN($B$42*$G$40+$C$42*$G$41+$D$42*$G$42+$E$42*$G$43+$F$42*$G$44+$G$42*$G$45+$H$42*$G$46)</f>
        <v>0</v>
      </c>
      <c r="H53" s="10" t="n">
        <f aca="false">SIGN($B$42*$H$40+$C$42*$H$41+$D$42*$H$42+$E$42*$H$43+$F$42*$H$44+$G$42*$H$45+$H$42*$H$46)</f>
        <v>1</v>
      </c>
    </row>
    <row r="54" customFormat="false" ht="15" hidden="false" customHeight="false" outlineLevel="0" collapsed="false">
      <c r="A54" s="4" t="s">
        <v>37</v>
      </c>
      <c r="B54" s="10" t="n">
        <f aca="false">SIGN($B$43*$B$40+$C$43*$B$41+$D$43*$B$42+$E$43*$B$43+$F$43*$B$44+$G$43*$B$45+$H$43*$B$46)</f>
        <v>1</v>
      </c>
      <c r="C54" s="10" t="n">
        <f aca="false">SIGN($B$43*$C$40+$C$43*$C$41+$D$43*$C$42+$E$43*$C$43+$F$43*$C$44+$G$43*$C$45+$H$43*$C$46)</f>
        <v>1</v>
      </c>
      <c r="D54" s="10" t="n">
        <f aca="false">SIGN($B$43*$D$40+$C$43*$D$41+$D$43*$D$42+$E$43*$D$43+$F$43*$D$44+$G$43*$D$45+$H$43*$D$46)</f>
        <v>1</v>
      </c>
      <c r="E54" s="10" t="n">
        <f aca="false">SIGN($B$43*$E$40+$C$43*$E$41+$D$43*$E$42+$E$43*$E$43+$F$43*$E$44+$G$43*$E$45+$H$43*$E$46)</f>
        <v>1</v>
      </c>
      <c r="F54" s="10" t="n">
        <f aca="false">SIGN($B$43*$F$40+$C$43*$F$41+$D$43*$F$42+$E$43*$F$43+$F$43*$F$44+$G$43*$F$45+$H$43*$F$46)</f>
        <v>1</v>
      </c>
      <c r="G54" s="10" t="n">
        <f aca="false">SIGN($B$43*$G$40+$C$43*$G$41+$D$43*$G$42+$E$43*$G$43+$F$43*$G$44+$G$43*$G$45+$H$43*$G$46)</f>
        <v>1</v>
      </c>
      <c r="H54" s="10" t="n">
        <f aca="false">SIGN($B$43*$H$40+$C$43*$H$41+$D$43*$H$42+$E$43*$H$43+$F$43*$H$44+$G$43*$H$45+$H$43*$H$46)</f>
        <v>1</v>
      </c>
    </row>
    <row r="55" customFormat="false" ht="15" hidden="false" customHeight="false" outlineLevel="0" collapsed="false">
      <c r="A55" s="4" t="s">
        <v>40</v>
      </c>
      <c r="B55" s="10" t="n">
        <f aca="false">SIGN($B$44*$B$40+$C$44*$B$41+$D$44*$B$42+$E$44*$B$43+$F$44*$B$44+$G$44*$B$45+$H$44*$B$46)</f>
        <v>1</v>
      </c>
      <c r="C55" s="10" t="n">
        <f aca="false">SIGN($B$44*$C$40+$C$44*$C$41+$D$44*$C$42+$E$44*$C$43+$F$44*$C$44+$G$44*$C$45+$H$44*$C$46)</f>
        <v>1</v>
      </c>
      <c r="D55" s="10" t="n">
        <f aca="false">SIGN($B$44*$D$40+$C$44*$D$41+$D$44*$D$42+$E$44*$D$43+$F$44*$D$44+$G$44*$D$45+$H$44*$D$46)</f>
        <v>1</v>
      </c>
      <c r="E55" s="10" t="n">
        <f aca="false">SIGN($B$44*$E$40+$C$44*$E$41+$D$44*$E$42+$E$44*$E$43+$F$44*$E$44+$G$44*$E$45+$H$44*$E$46)</f>
        <v>1</v>
      </c>
      <c r="F55" s="10" t="n">
        <f aca="false">SIGN($B$44*$F$40+$C$44*$F$41+$D$44*$F$42+$E$44*$F$43+$F$44*$F$44+$G$44*$F$45+$H$44*$F$46)</f>
        <v>1</v>
      </c>
      <c r="G55" s="10" t="n">
        <f aca="false">SIGN($B$44*$G$40+$C$44*$G$41+$D$44*$G$42+$E$44*$G$43+$F$44*$G$44+$G$44*$G$45+$H$44*$G$46)</f>
        <v>1</v>
      </c>
      <c r="H55" s="10" t="n">
        <f aca="false">SIGN($B$44*$H$40+$C$44*$H$41+$D$44*$H$42+$E$44*$H$43+$F$44*$H$44+$G$44*$H$45+$H$44*$H$46)</f>
        <v>1</v>
      </c>
    </row>
    <row r="56" customFormat="false" ht="15" hidden="false" customHeight="false" outlineLevel="0" collapsed="false">
      <c r="A56" s="4" t="s">
        <v>42</v>
      </c>
      <c r="B56" s="10" t="n">
        <f aca="false">SIGN($B$45*$B$40+$C$45*$B$41+$D$45*$B$42+$E$45*$B$43+$F$45*$B$44+$G$45*$B$45+$H$45*$B$46)</f>
        <v>1</v>
      </c>
      <c r="C56" s="10" t="n">
        <f aca="false">SIGN($B$45*$C$40+$C$45*$C$41+$D$45*$C$42+$E$45*$C$43+$F$45*$C$44+$G$45*$C$45+$H$45*$C$46)</f>
        <v>1</v>
      </c>
      <c r="D56" s="10" t="n">
        <f aca="false">SIGN($B$45*$D$40+$C$45*$D$41+$D$45*$D$42+$E$45*$D$43+$F$45*$D$44+$G$45*$D$45+$H$45*$D$46)</f>
        <v>0</v>
      </c>
      <c r="E56" s="10" t="n">
        <f aca="false">SIGN($B$45*$E$40+$C$45*$E$41+$D$45*$E$42+$E$45*$E$43+$F$45*$E$44+$G$45*$E$45+$H$45*$E$46)</f>
        <v>1</v>
      </c>
      <c r="F56" s="10" t="n">
        <f aca="false">SIGN($B$45*$F$40+$C$45*$F$41+$D$45*$F$42+$E$45*$F$43+$F$45*$F$44+$G$45*$F$45+$H$45*$F$46)</f>
        <v>1</v>
      </c>
      <c r="G56" s="10" t="n">
        <f aca="false">SIGN($B$45*$G$40+$C$45*$G$41+$D$45*$G$42+$E$45*$G$43+$F$45*$G$44+$G$45*$G$45+$H$45*$G$46)</f>
        <v>1</v>
      </c>
      <c r="H56" s="10" t="n">
        <f aca="false">SIGN($B$45*$H$40+$C$45*$H$41+$D$45*$H$42+$E$45*$H$43+$F$45*$H$44+$G$45*$H$45+$H$45*$H$46)</f>
        <v>1</v>
      </c>
    </row>
    <row r="57" customFormat="false" ht="15" hidden="false" customHeight="false" outlineLevel="0" collapsed="false">
      <c r="A57" s="4" t="s">
        <v>46</v>
      </c>
      <c r="B57" s="10" t="n">
        <f aca="false">SIGN($B$46*$B$40+$C$46*$B$41+$D$46*$B$42+$E$46*$B$43+$F$46*$B$44+$G$46*$B$45+$H$46*$B$46)</f>
        <v>1</v>
      </c>
      <c r="C57" s="10" t="n">
        <f aca="false">SIGN($B$46*$C$40+$C$46*$C$41+$D$46*$C$42+$E$46*$C$43+$F$46*$C$44+$G$46*$C$45+$H$46*$C$46)</f>
        <v>1</v>
      </c>
      <c r="D57" s="10" t="n">
        <f aca="false">SIGN($B$46*$D$40+$C$46*$D$41+$D$46*$D$42+$E$46*$D$43+$F$46*$D$44+$G$46*$D$45+$H$46*$D$46)</f>
        <v>1</v>
      </c>
      <c r="E57" s="10" t="n">
        <f aca="false">SIGN($B$46*$E$40+$C$46*$E$41+$D$46*$E$42+$E$46*$E$43+$F$46*$E$44+$G$46*$E$45+$H$46*$E$46)</f>
        <v>1</v>
      </c>
      <c r="F57" s="10" t="n">
        <f aca="false">SIGN($B$46*$F$40+$C$46*$F$41+$D$46*$F$42+$E$46*$F$43+$F$46*$F$44+$G$46*$F$45+$H$46*$F$46)</f>
        <v>1</v>
      </c>
      <c r="G57" s="10" t="n">
        <f aca="false">SIGN($B$46*$G$40+$C$46*$G$41+$D$46*$G$42+$E$46*$G$43+$F$46*$G$44+$G$46*$G$45+$H$46*$G$46)</f>
        <v>1</v>
      </c>
      <c r="H57" s="10" t="n">
        <f aca="false">SIGN($B$46*$H$40+$C$46*$H$41+$D$46*$H$42+$E$46*$H$43+$F$46*$H$44+$G$46*$H$45+$H$46*$H$46)</f>
        <v>1</v>
      </c>
    </row>
    <row r="60" customFormat="false" ht="15" hidden="false" customHeight="false" outlineLevel="0" collapsed="false">
      <c r="A60" s="4" t="s">
        <v>143</v>
      </c>
    </row>
    <row r="61" customFormat="false" ht="15" hidden="false" customHeight="false" outlineLevel="0" collapsed="false">
      <c r="A61" s="8"/>
      <c r="B61" s="8" t="s">
        <v>23</v>
      </c>
      <c r="C61" s="8" t="s">
        <v>28</v>
      </c>
      <c r="D61" s="8" t="s">
        <v>32</v>
      </c>
      <c r="E61" s="8" t="s">
        <v>37</v>
      </c>
      <c r="F61" s="8" t="s">
        <v>40</v>
      </c>
      <c r="G61" s="8" t="s">
        <v>42</v>
      </c>
      <c r="H61" s="8" t="s">
        <v>46</v>
      </c>
    </row>
    <row r="62" customFormat="false" ht="15" hidden="false" customHeight="false" outlineLevel="0" collapsed="false">
      <c r="A62" s="4" t="s">
        <v>23</v>
      </c>
      <c r="B62" s="10" t="n">
        <f aca="false">SIGN($B$51*$B$51+$C$51*$B$52+$D$51*$B$53+$E$51*$B$54+$F$51*$B$55+$G$51*$B$56+$H$51*$B$57)</f>
        <v>1</v>
      </c>
      <c r="C62" s="10" t="n">
        <f aca="false">SIGN($B$51*$C$51+$C$51*$C$52+$D$51*$C$53+$E$51*$C$54+$F$51*$C$55+$G$51*$C$56+$H$51*$C$57)</f>
        <v>1</v>
      </c>
      <c r="D62" s="10" t="n">
        <f aca="false">SIGN($B$51*$D$51+$C$51*$D$52+$D$51*$D$53+$E$51*$D$54+$F$51*$D$55+$G$51*$D$56+$H$51*$D$57)</f>
        <v>1</v>
      </c>
      <c r="E62" s="10" t="n">
        <f aca="false">SIGN($B$51*$E$51+$C$51*$E$52+$D$51*$E$53+$E$51*$E$54+$F$51*$E$55+$G$51*$E$56+$H$51*$E$57)</f>
        <v>1</v>
      </c>
      <c r="F62" s="10" t="n">
        <f aca="false">SIGN($B$51*$F$51+$C$51*$F$52+$D$51*$F$53+$E$51*$F$54+$F$51*$F$55+$G$51*$F$56+$H$51*$F$57)</f>
        <v>1</v>
      </c>
      <c r="G62" s="10" t="n">
        <f aca="false">SIGN($B$51*$G$51+$C$51*$G$52+$D$51*$G$53+$E$51*$G$54+$F$51*$G$55+$G$51*$G$56+$H$51*$G$57)</f>
        <v>1</v>
      </c>
      <c r="H62" s="10" t="n">
        <f aca="false">SIGN($B$51*$H$51+$C$51*$H$52+$D$51*$H$53+$E$51*$H$54+$F$51*$H$55+$G$51*$H$56+$H$51*$H$57)</f>
        <v>1</v>
      </c>
    </row>
    <row r="63" customFormat="false" ht="15" hidden="false" customHeight="false" outlineLevel="0" collapsed="false">
      <c r="A63" s="4" t="s">
        <v>28</v>
      </c>
      <c r="B63" s="10" t="n">
        <f aca="false">SIGN($B$52*$B$51+$C$52*$B$52+$D$52*$B$53+$E$52*$B$54+$F$52*$B$55+$G$52*$B$56+$H$52*$B$57)</f>
        <v>1</v>
      </c>
      <c r="C63" s="10" t="n">
        <f aca="false">SIGN($B$52*$C$51+$C$52*$C$52+$D$52*$C$53+$E$52*$C$54+$F$52*$C$55+$G$52*$C$56+$H$52*$C$57)</f>
        <v>1</v>
      </c>
      <c r="D63" s="10" t="n">
        <f aca="false">SIGN($B$52*$D$51+$C$52*$D$52+$D$52*$D$53+$E$52*$D$54+$F$52*$D$55+$G$52*$D$56+$H$52*$D$57)</f>
        <v>1</v>
      </c>
      <c r="E63" s="10" t="n">
        <f aca="false">SIGN($B$52*$E$51+$C$52*$E$52+$D$52*$E$53+$E$52*$E$54+$F$52*$E$55+$G$52*$E$56+$H$52*$E$57)</f>
        <v>1</v>
      </c>
      <c r="F63" s="10" t="n">
        <f aca="false">SIGN($B$52*$F$51+$C$52*$F$52+$D$52*$F$53+$E$52*$F$54+$F$52*$F$55+$G$52*$F$56+$H$52*$F$57)</f>
        <v>1</v>
      </c>
      <c r="G63" s="10" t="n">
        <f aca="false">SIGN($B$52*$G$51+$C$52*$G$52+$D$52*$G$53+$E$52*$G$54+$F$52*$G$55+$G$52*$G$56+$H$52*$G$57)</f>
        <v>1</v>
      </c>
      <c r="H63" s="10" t="n">
        <f aca="false">SIGN($B$52*$H$51+$C$52*$H$52+$D$52*$H$53+$E$52*$H$54+$F$52*$H$55+$G$52*$H$56+$H$52*$H$57)</f>
        <v>1</v>
      </c>
    </row>
    <row r="64" customFormat="false" ht="15" hidden="false" customHeight="false" outlineLevel="0" collapsed="false">
      <c r="A64" s="4" t="s">
        <v>32</v>
      </c>
      <c r="B64" s="10" t="n">
        <f aca="false">SIGN($B$53*$B$51+$C$53*$B$52+$D$53*$B$53+$E$53*$B$54+$F$53*$B$55+$G$53*$B$56+$H$53*$B$57)</f>
        <v>1</v>
      </c>
      <c r="C64" s="10" t="n">
        <f aca="false">SIGN($B$53*$C$51+$C$53*$C$52+$D$53*$C$53+$E$53*$C$54+$F$53*$C$55+$G$53*$C$56+$H$53*$C$57)</f>
        <v>1</v>
      </c>
      <c r="D64" s="10" t="n">
        <f aca="false">SIGN($B$53*$D$51+$C$53*$D$52+$D$53*$D$53+$E$53*$D$54+$F$53*$D$55+$G$53*$D$56+$H$53*$D$57)</f>
        <v>1</v>
      </c>
      <c r="E64" s="10" t="n">
        <f aca="false">SIGN($B$53*$E$51+$C$53*$E$52+$D$53*$E$53+$E$53*$E$54+$F$53*$E$55+$G$53*$E$56+$H$53*$E$57)</f>
        <v>1</v>
      </c>
      <c r="F64" s="10" t="n">
        <f aca="false">SIGN($B$53*$F$51+$C$53*$F$52+$D$53*$F$53+$E$53*$F$54+$F$53*$F$55+$G$53*$F$56+$H$53*$F$57)</f>
        <v>1</v>
      </c>
      <c r="G64" s="10" t="n">
        <f aca="false">SIGN($B$53*$G$51+$C$53*$G$52+$D$53*$G$53+$E$53*$G$54+$F$53*$G$55+$G$53*$G$56+$H$53*$G$57)</f>
        <v>1</v>
      </c>
      <c r="H64" s="10" t="n">
        <f aca="false">SIGN($B$53*$H$51+$C$53*$H$52+$D$53*$H$53+$E$53*$H$54+$F$53*$H$55+$G$53*$H$56+$H$53*$H$57)</f>
        <v>1</v>
      </c>
    </row>
    <row r="65" customFormat="false" ht="15" hidden="false" customHeight="false" outlineLevel="0" collapsed="false">
      <c r="A65" s="4" t="s">
        <v>37</v>
      </c>
      <c r="B65" s="10" t="n">
        <f aca="false">SIGN($B$54*$B$51+$C$54*$B$52+$D$54*$B$53+$E$54*$B$54+$F$54*$B$55+$G$54*$B$56+$H$54*$B$57)</f>
        <v>1</v>
      </c>
      <c r="C65" s="10" t="n">
        <f aca="false">SIGN($B$54*$C$51+$C$54*$C$52+$D$54*$C$53+$E$54*$C$54+$F$54*$C$55+$G$54*$C$56+$H$54*$C$57)</f>
        <v>1</v>
      </c>
      <c r="D65" s="10" t="n">
        <f aca="false">SIGN($B$54*$D$51+$C$54*$D$52+$D$54*$D$53+$E$54*$D$54+$F$54*$D$55+$G$54*$D$56+$H$54*$D$57)</f>
        <v>1</v>
      </c>
      <c r="E65" s="10" t="n">
        <f aca="false">SIGN($B$54*$E$51+$C$54*$E$52+$D$54*$E$53+$E$54*$E$54+$F$54*$E$55+$G$54*$E$56+$H$54*$E$57)</f>
        <v>1</v>
      </c>
      <c r="F65" s="10" t="n">
        <f aca="false">SIGN($B$54*$F$51+$C$54*$F$52+$D$54*$F$53+$E$54*$F$54+$F$54*$F$55+$G$54*$F$56+$H$54*$F$57)</f>
        <v>1</v>
      </c>
      <c r="G65" s="10" t="n">
        <f aca="false">SIGN($B$54*$G$51+$C$54*$G$52+$D$54*$G$53+$E$54*$G$54+$F$54*$G$55+$G$54*$G$56+$H$54*$G$57)</f>
        <v>1</v>
      </c>
      <c r="H65" s="10" t="n">
        <f aca="false">SIGN($B$54*$H$51+$C$54*$H$52+$D$54*$H$53+$E$54*$H$54+$F$54*$H$55+$G$54*$H$56+$H$54*$H$57)</f>
        <v>1</v>
      </c>
    </row>
    <row r="66" customFormat="false" ht="15" hidden="false" customHeight="false" outlineLevel="0" collapsed="false">
      <c r="A66" s="4" t="s">
        <v>40</v>
      </c>
      <c r="B66" s="10" t="n">
        <f aca="false">SIGN($B$55*$B$51+$C$55*$B$52+$D$55*$B$53+$E$55*$B$54+$F$55*$B$55+$G$55*$B$56+$H$55*$B$57)</f>
        <v>1</v>
      </c>
      <c r="C66" s="10" t="n">
        <f aca="false">SIGN($B$55*$C$51+$C$55*$C$52+$D$55*$C$53+$E$55*$C$54+$F$55*$C$55+$G$55*$C$56+$H$55*$C$57)</f>
        <v>1</v>
      </c>
      <c r="D66" s="10" t="n">
        <f aca="false">SIGN($B$55*$D$51+$C$55*$D$52+$D$55*$D$53+$E$55*$D$54+$F$55*$D$55+$G$55*$D$56+$H$55*$D$57)</f>
        <v>1</v>
      </c>
      <c r="E66" s="10" t="n">
        <f aca="false">SIGN($B$55*$E$51+$C$55*$E$52+$D$55*$E$53+$E$55*$E$54+$F$55*$E$55+$G$55*$E$56+$H$55*$E$57)</f>
        <v>1</v>
      </c>
      <c r="F66" s="10" t="n">
        <f aca="false">SIGN($B$55*$F$51+$C$55*$F$52+$D$55*$F$53+$E$55*$F$54+$F$55*$F$55+$G$55*$F$56+$H$55*$F$57)</f>
        <v>1</v>
      </c>
      <c r="G66" s="10" t="n">
        <f aca="false">SIGN($B$55*$G$51+$C$55*$G$52+$D$55*$G$53+$E$55*$G$54+$F$55*$G$55+$G$55*$G$56+$H$55*$G$57)</f>
        <v>1</v>
      </c>
      <c r="H66" s="10" t="n">
        <f aca="false">SIGN($B$55*$H$51+$C$55*$H$52+$D$55*$H$53+$E$55*$H$54+$F$55*$H$55+$G$55*$H$56+$H$55*$H$57)</f>
        <v>1</v>
      </c>
    </row>
    <row r="67" customFormat="false" ht="15" hidden="false" customHeight="false" outlineLevel="0" collapsed="false">
      <c r="A67" s="4" t="s">
        <v>42</v>
      </c>
      <c r="B67" s="10" t="n">
        <f aca="false">SIGN($B$56*$B$51+$C$56*$B$52+$D$56*$B$53+$E$56*$B$54+$F$56*$B$55+$G$56*$B$56+$H$56*$B$57)</f>
        <v>1</v>
      </c>
      <c r="C67" s="10" t="n">
        <f aca="false">SIGN($B$56*$C$51+$C$56*$C$52+$D$56*$C$53+$E$56*$C$54+$F$56*$C$55+$G$56*$C$56+$H$56*$C$57)</f>
        <v>1</v>
      </c>
      <c r="D67" s="10" t="n">
        <f aca="false">SIGN($B$56*$D$51+$C$56*$D$52+$D$56*$D$53+$E$56*$D$54+$F$56*$D$55+$G$56*$D$56+$H$56*$D$57)</f>
        <v>1</v>
      </c>
      <c r="E67" s="10" t="n">
        <f aca="false">SIGN($B$56*$E$51+$C$56*$E$52+$D$56*$E$53+$E$56*$E$54+$F$56*$E$55+$G$56*$E$56+$H$56*$E$57)</f>
        <v>1</v>
      </c>
      <c r="F67" s="10" t="n">
        <f aca="false">SIGN($B$56*$F$51+$C$56*$F$52+$D$56*$F$53+$E$56*$F$54+$F$56*$F$55+$G$56*$F$56+$H$56*$F$57)</f>
        <v>1</v>
      </c>
      <c r="G67" s="10" t="n">
        <f aca="false">SIGN($B$56*$G$51+$C$56*$G$52+$D$56*$G$53+$E$56*$G$54+$F$56*$G$55+$G$56*$G$56+$H$56*$G$57)</f>
        <v>1</v>
      </c>
      <c r="H67" s="10" t="n">
        <f aca="false">SIGN($B$56*$H$51+$C$56*$H$52+$D$56*$H$53+$E$56*$H$54+$F$56*$H$55+$G$56*$H$56+$H$56*$H$57)</f>
        <v>1</v>
      </c>
    </row>
    <row r="68" customFormat="false" ht="15" hidden="false" customHeight="false" outlineLevel="0" collapsed="false">
      <c r="A68" s="4" t="s">
        <v>46</v>
      </c>
      <c r="B68" s="10" t="n">
        <f aca="false">SIGN($B$57*$B$51+$C$57*$B$52+$D$57*$B$53+$E$57*$B$54+$F$57*$B$55+$G$57*$B$56+$H$57*$B$57)</f>
        <v>1</v>
      </c>
      <c r="C68" s="10" t="n">
        <f aca="false">SIGN($B$57*$C$51+$C$57*$C$52+$D$57*$C$53+$E$57*$C$54+$F$57*$C$55+$G$57*$C$56+$H$57*$C$57)</f>
        <v>1</v>
      </c>
      <c r="D68" s="10" t="n">
        <f aca="false">SIGN($B$57*$D$51+$C$57*$D$52+$D$57*$D$53+$E$57*$D$54+$F$57*$D$55+$G$57*$D$56+$H$57*$D$57)</f>
        <v>1</v>
      </c>
      <c r="E68" s="10" t="n">
        <f aca="false">SIGN($B$57*$E$51+$C$57*$E$52+$D$57*$E$53+$E$57*$E$54+$F$57*$E$55+$G$57*$E$56+$H$57*$E$57)</f>
        <v>1</v>
      </c>
      <c r="F68" s="10" t="n">
        <f aca="false">SIGN($B$57*$F$51+$C$57*$F$52+$D$57*$F$53+$E$57*$F$54+$F$57*$F$55+$G$57*$F$56+$H$57*$F$57)</f>
        <v>1</v>
      </c>
      <c r="G68" s="10" t="n">
        <f aca="false">SIGN($B$57*$G$51+$C$57*$G$52+$D$57*$G$53+$E$57*$G$54+$F$57*$G$55+$G$57*$G$56+$H$57*$G$57)</f>
        <v>1</v>
      </c>
      <c r="H68" s="10" t="n">
        <f aca="false">SIGN($B$57*$H$51+$C$57*$H$52+$D$57*$H$53+$E$57*$H$54+$F$57*$H$55+$G$57*$H$56+$H$57*$H$57)</f>
        <v>1</v>
      </c>
    </row>
    <row r="71" customFormat="false" ht="15" hidden="false" customHeight="false" outlineLevel="0" collapsed="false">
      <c r="A71" s="4" t="s">
        <v>144</v>
      </c>
    </row>
    <row r="72" customFormat="false" ht="15" hidden="false" customHeight="false" outlineLevel="0" collapsed="false">
      <c r="A72" s="8"/>
      <c r="B72" s="8" t="s">
        <v>23</v>
      </c>
      <c r="C72" s="8" t="s">
        <v>28</v>
      </c>
      <c r="D72" s="8" t="s">
        <v>32</v>
      </c>
      <c r="E72" s="8" t="s">
        <v>37</v>
      </c>
      <c r="F72" s="8" t="s">
        <v>40</v>
      </c>
      <c r="G72" s="8" t="s">
        <v>42</v>
      </c>
      <c r="H72" s="8" t="s">
        <v>46</v>
      </c>
      <c r="I72" s="8" t="s">
        <v>145</v>
      </c>
    </row>
    <row r="73" customFormat="false" ht="15" hidden="false" customHeight="false" outlineLevel="0" collapsed="false">
      <c r="A73" s="4" t="s">
        <v>23</v>
      </c>
      <c r="B73" s="10" t="n">
        <f aca="false">SIGN($B$62*$B$62+$C$62*$B$63+$D$62*$B$64+$E$62*$B$65+$F$62*$B$66+$G$62*$B$67+$H$62*$B$68)</f>
        <v>1</v>
      </c>
      <c r="C73" s="10" t="n">
        <f aca="false">SIGN($B$62*$C$62+$C$62*$C$63+$D$62*$C$64+$E$62*$C$65+$F$62*$C$66+$G$62*$C$67+$H$62*$C$68)</f>
        <v>1</v>
      </c>
      <c r="D73" s="10" t="n">
        <f aca="false">SIGN($B$62*$D$62+$C$62*$D$63+$D$62*$D$64+$E$62*$D$65+$F$62*$D$66+$G$62*$D$67+$H$62*$D$68)</f>
        <v>1</v>
      </c>
      <c r="E73" s="10" t="n">
        <f aca="false">SIGN($B$62*$E$62+$C$62*$E$63+$D$62*$E$64+$E$62*$E$65+$F$62*$E$66+$G$62*$E$67+$H$62*$E$68)</f>
        <v>1</v>
      </c>
      <c r="F73" s="10" t="n">
        <f aca="false">SIGN($B$62*$F$62+$C$62*$F$63+$D$62*$F$64+$E$62*$F$65+$F$62*$F$66+$G$62*$F$67+$H$62*$F$68)</f>
        <v>1</v>
      </c>
      <c r="G73" s="10" t="n">
        <f aca="false">SIGN($B$62*$G$62+$C$62*$G$63+$D$62*$G$64+$E$62*$G$65+$F$62*$G$66+$G$62*$G$67+$H$62*$G$68)</f>
        <v>1</v>
      </c>
      <c r="H73" s="10" t="n">
        <f aca="false">SIGN($B$62*$H$62+$C$62*$H$63+$D$62*$H$64+$E$62*$H$65+$F$62*$H$66+$G$62*$H$67+$H$62*$H$68)</f>
        <v>1</v>
      </c>
      <c r="I73" s="10" t="n">
        <f aca="false">SUM($B$73:$H$73)</f>
        <v>7</v>
      </c>
    </row>
    <row r="74" customFormat="false" ht="15" hidden="false" customHeight="false" outlineLevel="0" collapsed="false">
      <c r="A74" s="4" t="s">
        <v>28</v>
      </c>
      <c r="B74" s="10" t="n">
        <f aca="false">SIGN($B$63*$B$62+$C$63*$B$63+$D$63*$B$64+$E$63*$B$65+$F$63*$B$66+$G$63*$B$67+$H$63*$B$68)</f>
        <v>1</v>
      </c>
      <c r="C74" s="10" t="n">
        <f aca="false">SIGN($B$63*$C$62+$C$63*$C$63+$D$63*$C$64+$E$63*$C$65+$F$63*$C$66+$G$63*$C$67+$H$63*$C$68)</f>
        <v>1</v>
      </c>
      <c r="D74" s="10" t="n">
        <f aca="false">SIGN($B$63*$D$62+$C$63*$D$63+$D$63*$D$64+$E$63*$D$65+$F$63*$D$66+$G$63*$D$67+$H$63*$D$68)</f>
        <v>1</v>
      </c>
      <c r="E74" s="10" t="n">
        <f aca="false">SIGN($B$63*$E$62+$C$63*$E$63+$D$63*$E$64+$E$63*$E$65+$F$63*$E$66+$G$63*$E$67+$H$63*$E$68)</f>
        <v>1</v>
      </c>
      <c r="F74" s="10" t="n">
        <f aca="false">SIGN($B$63*$F$62+$C$63*$F$63+$D$63*$F$64+$E$63*$F$65+$F$63*$F$66+$G$63*$F$67+$H$63*$F$68)</f>
        <v>1</v>
      </c>
      <c r="G74" s="10" t="n">
        <f aca="false">SIGN($B$63*$G$62+$C$63*$G$63+$D$63*$G$64+$E$63*$G$65+$F$63*$G$66+$G$63*$G$67+$H$63*$G$68)</f>
        <v>1</v>
      </c>
      <c r="H74" s="10" t="n">
        <f aca="false">SIGN($B$63*$H$62+$C$63*$H$63+$D$63*$H$64+$E$63*$H$65+$F$63*$H$66+$G$63*$H$67+$H$63*$H$68)</f>
        <v>1</v>
      </c>
      <c r="I74" s="10" t="n">
        <f aca="false">SUM($B$74:$H$74)</f>
        <v>7</v>
      </c>
    </row>
    <row r="75" customFormat="false" ht="15" hidden="false" customHeight="false" outlineLevel="0" collapsed="false">
      <c r="A75" s="4" t="s">
        <v>32</v>
      </c>
      <c r="B75" s="10" t="n">
        <f aca="false">SIGN($B$64*$B$62+$C$64*$B$63+$D$64*$B$64+$E$64*$B$65+$F$64*$B$66+$G$64*$B$67+$H$64*$B$68)</f>
        <v>1</v>
      </c>
      <c r="C75" s="10" t="n">
        <f aca="false">SIGN($B$64*$C$62+$C$64*$C$63+$D$64*$C$64+$E$64*$C$65+$F$64*$C$66+$G$64*$C$67+$H$64*$C$68)</f>
        <v>1</v>
      </c>
      <c r="D75" s="10" t="n">
        <f aca="false">SIGN($B$64*$D$62+$C$64*$D$63+$D$64*$D$64+$E$64*$D$65+$F$64*$D$66+$G$64*$D$67+$H$64*$D$68)</f>
        <v>1</v>
      </c>
      <c r="E75" s="10" t="n">
        <f aca="false">SIGN($B$64*$E$62+$C$64*$E$63+$D$64*$E$64+$E$64*$E$65+$F$64*$E$66+$G$64*$E$67+$H$64*$E$68)</f>
        <v>1</v>
      </c>
      <c r="F75" s="10" t="n">
        <f aca="false">SIGN($B$64*$F$62+$C$64*$F$63+$D$64*$F$64+$E$64*$F$65+$F$64*$F$66+$G$64*$F$67+$H$64*$F$68)</f>
        <v>1</v>
      </c>
      <c r="G75" s="10" t="n">
        <f aca="false">SIGN($B$64*$G$62+$C$64*$G$63+$D$64*$G$64+$E$64*$G$65+$F$64*$G$66+$G$64*$G$67+$H$64*$G$68)</f>
        <v>1</v>
      </c>
      <c r="H75" s="10" t="n">
        <f aca="false">SIGN($B$64*$H$62+$C$64*$H$63+$D$64*$H$64+$E$64*$H$65+$F$64*$H$66+$G$64*$H$67+$H$64*$H$68)</f>
        <v>1</v>
      </c>
      <c r="I75" s="10" t="n">
        <f aca="false">SUM($B$75:$H$75)</f>
        <v>7</v>
      </c>
    </row>
    <row r="76" customFormat="false" ht="15" hidden="false" customHeight="false" outlineLevel="0" collapsed="false">
      <c r="A76" s="4" t="s">
        <v>37</v>
      </c>
      <c r="B76" s="10" t="n">
        <f aca="false">SIGN($B$65*$B$62+$C$65*$B$63+$D$65*$B$64+$E$65*$B$65+$F$65*$B$66+$G$65*$B$67+$H$65*$B$68)</f>
        <v>1</v>
      </c>
      <c r="C76" s="10" t="n">
        <f aca="false">SIGN($B$65*$C$62+$C$65*$C$63+$D$65*$C$64+$E$65*$C$65+$F$65*$C$66+$G$65*$C$67+$H$65*$C$68)</f>
        <v>1</v>
      </c>
      <c r="D76" s="10" t="n">
        <f aca="false">SIGN($B$65*$D$62+$C$65*$D$63+$D$65*$D$64+$E$65*$D$65+$F$65*$D$66+$G$65*$D$67+$H$65*$D$68)</f>
        <v>1</v>
      </c>
      <c r="E76" s="10" t="n">
        <f aca="false">SIGN($B$65*$E$62+$C$65*$E$63+$D$65*$E$64+$E$65*$E$65+$F$65*$E$66+$G$65*$E$67+$H$65*$E$68)</f>
        <v>1</v>
      </c>
      <c r="F76" s="10" t="n">
        <f aca="false">SIGN($B$65*$F$62+$C$65*$F$63+$D$65*$F$64+$E$65*$F$65+$F$65*$F$66+$G$65*$F$67+$H$65*$F$68)</f>
        <v>1</v>
      </c>
      <c r="G76" s="10" t="n">
        <f aca="false">SIGN($B$65*$G$62+$C$65*$G$63+$D$65*$G$64+$E$65*$G$65+$F$65*$G$66+$G$65*$G$67+$H$65*$G$68)</f>
        <v>1</v>
      </c>
      <c r="H76" s="10" t="n">
        <f aca="false">SIGN($B$65*$H$62+$C$65*$H$63+$D$65*$H$64+$E$65*$H$65+$F$65*$H$66+$G$65*$H$67+$H$65*$H$68)</f>
        <v>1</v>
      </c>
      <c r="I76" s="10" t="n">
        <f aca="false">SUM($B$76:$H$76)</f>
        <v>7</v>
      </c>
    </row>
    <row r="77" customFormat="false" ht="15" hidden="false" customHeight="false" outlineLevel="0" collapsed="false">
      <c r="A77" s="4" t="s">
        <v>40</v>
      </c>
      <c r="B77" s="10" t="n">
        <f aca="false">SIGN($B$66*$B$62+$C$66*$B$63+$D$66*$B$64+$E$66*$B$65+$F$66*$B$66+$G$66*$B$67+$H$66*$B$68)</f>
        <v>1</v>
      </c>
      <c r="C77" s="10" t="n">
        <f aca="false">SIGN($B$66*$C$62+$C$66*$C$63+$D$66*$C$64+$E$66*$C$65+$F$66*$C$66+$G$66*$C$67+$H$66*$C$68)</f>
        <v>1</v>
      </c>
      <c r="D77" s="10" t="n">
        <f aca="false">SIGN($B$66*$D$62+$C$66*$D$63+$D$66*$D$64+$E$66*$D$65+$F$66*$D$66+$G$66*$D$67+$H$66*$D$68)</f>
        <v>1</v>
      </c>
      <c r="E77" s="10" t="n">
        <f aca="false">SIGN($B$66*$E$62+$C$66*$E$63+$D$66*$E$64+$E$66*$E$65+$F$66*$E$66+$G$66*$E$67+$H$66*$E$68)</f>
        <v>1</v>
      </c>
      <c r="F77" s="10" t="n">
        <f aca="false">SIGN($B$66*$F$62+$C$66*$F$63+$D$66*$F$64+$E$66*$F$65+$F$66*$F$66+$G$66*$F$67+$H$66*$F$68)</f>
        <v>1</v>
      </c>
      <c r="G77" s="10" t="n">
        <f aca="false">SIGN($B$66*$G$62+$C$66*$G$63+$D$66*$G$64+$E$66*$G$65+$F$66*$G$66+$G$66*$G$67+$H$66*$G$68)</f>
        <v>1</v>
      </c>
      <c r="H77" s="10" t="n">
        <f aca="false">SIGN($B$66*$H$62+$C$66*$H$63+$D$66*$H$64+$E$66*$H$65+$F$66*$H$66+$G$66*$H$67+$H$66*$H$68)</f>
        <v>1</v>
      </c>
      <c r="I77" s="10" t="n">
        <f aca="false">SUM($B$77:$H$77)</f>
        <v>7</v>
      </c>
    </row>
    <row r="78" customFormat="false" ht="15" hidden="false" customHeight="false" outlineLevel="0" collapsed="false">
      <c r="A78" s="4" t="s">
        <v>42</v>
      </c>
      <c r="B78" s="10" t="n">
        <f aca="false">SIGN($B$67*$B$62+$C$67*$B$63+$D$67*$B$64+$E$67*$B$65+$F$67*$B$66+$G$67*$B$67+$H$67*$B$68)</f>
        <v>1</v>
      </c>
      <c r="C78" s="10" t="n">
        <f aca="false">SIGN($B$67*$C$62+$C$67*$C$63+$D$67*$C$64+$E$67*$C$65+$F$67*$C$66+$G$67*$C$67+$H$67*$C$68)</f>
        <v>1</v>
      </c>
      <c r="D78" s="10" t="n">
        <f aca="false">SIGN($B$67*$D$62+$C$67*$D$63+$D$67*$D$64+$E$67*$D$65+$F$67*$D$66+$G$67*$D$67+$H$67*$D$68)</f>
        <v>1</v>
      </c>
      <c r="E78" s="10" t="n">
        <f aca="false">SIGN($B$67*$E$62+$C$67*$E$63+$D$67*$E$64+$E$67*$E$65+$F$67*$E$66+$G$67*$E$67+$H$67*$E$68)</f>
        <v>1</v>
      </c>
      <c r="F78" s="10" t="n">
        <f aca="false">SIGN($B$67*$F$62+$C$67*$F$63+$D$67*$F$64+$E$67*$F$65+$F$67*$F$66+$G$67*$F$67+$H$67*$F$68)</f>
        <v>1</v>
      </c>
      <c r="G78" s="10" t="n">
        <f aca="false">SIGN($B$67*$G$62+$C$67*$G$63+$D$67*$G$64+$E$67*$G$65+$F$67*$G$66+$G$67*$G$67+$H$67*$G$68)</f>
        <v>1</v>
      </c>
      <c r="H78" s="10" t="n">
        <f aca="false">SIGN($B$67*$H$62+$C$67*$H$63+$D$67*$H$64+$E$67*$H$65+$F$67*$H$66+$G$67*$H$67+$H$67*$H$68)</f>
        <v>1</v>
      </c>
      <c r="I78" s="10" t="n">
        <f aca="false">SUM($B$78:$H$78)</f>
        <v>7</v>
      </c>
    </row>
    <row r="79" customFormat="false" ht="15" hidden="false" customHeight="false" outlineLevel="0" collapsed="false">
      <c r="A79" s="4" t="s">
        <v>46</v>
      </c>
      <c r="B79" s="10" t="n">
        <f aca="false">SIGN($B$68*$B$62+$C$68*$B$63+$D$68*$B$64+$E$68*$B$65+$F$68*$B$66+$G$68*$B$67+$H$68*$B$68)</f>
        <v>1</v>
      </c>
      <c r="C79" s="10" t="n">
        <f aca="false">SIGN($B$68*$C$62+$C$68*$C$63+$D$68*$C$64+$E$68*$C$65+$F$68*$C$66+$G$68*$C$67+$H$68*$C$68)</f>
        <v>1</v>
      </c>
      <c r="D79" s="10" t="n">
        <f aca="false">SIGN($B$68*$D$62+$C$68*$D$63+$D$68*$D$64+$E$68*$D$65+$F$68*$D$66+$G$68*$D$67+$H$68*$D$68)</f>
        <v>1</v>
      </c>
      <c r="E79" s="10" t="n">
        <f aca="false">SIGN($B$68*$E$62+$C$68*$E$63+$D$68*$E$64+$E$68*$E$65+$F$68*$E$66+$G$68*$E$67+$H$68*$E$68)</f>
        <v>1</v>
      </c>
      <c r="F79" s="10" t="n">
        <f aca="false">SIGN($B$68*$F$62+$C$68*$F$63+$D$68*$F$64+$E$68*$F$65+$F$68*$F$66+$G$68*$F$67+$H$68*$F$68)</f>
        <v>1</v>
      </c>
      <c r="G79" s="10" t="n">
        <f aca="false">SIGN($B$68*$G$62+$C$68*$G$63+$D$68*$G$64+$E$68*$G$65+$F$68*$G$66+$G$68*$G$67+$H$68*$G$68)</f>
        <v>1</v>
      </c>
      <c r="H79" s="10" t="n">
        <f aca="false">SIGN($B$68*$H$62+$C$68*$H$63+$D$68*$H$64+$E$68*$H$65+$F$68*$H$66+$G$68*$H$67+$H$68*$H$68)</f>
        <v>1</v>
      </c>
      <c r="I79" s="10" t="n">
        <f aca="false">SUM($B$79:$H$79)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7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3"/>
    <col collapsed="false" customWidth="true" hidden="false" outlineLevel="0" max="13" min="13" style="0" width="50"/>
    <col collapsed="false" customWidth="true" hidden="false" outlineLevel="0" max="14" min="14" style="0" width="16"/>
    <col collapsed="false" customWidth="true" hidden="false" outlineLevel="0" max="15" min="15" style="0" width="34"/>
    <col collapsed="false" customWidth="true" hidden="false" outlineLevel="0" max="24" min="16" style="0" width="9"/>
  </cols>
  <sheetData>
    <row r="1" customFormat="false" ht="1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9" t="s">
        <v>147</v>
      </c>
    </row>
    <row r="4" customFormat="false" ht="15" hidden="false" customHeight="false" outlineLevel="0" collapsed="false">
      <c r="A4" s="4" t="s">
        <v>148</v>
      </c>
    </row>
    <row r="5" customFormat="false" ht="15" hidden="false" customHeight="false" outlineLevel="0" collapsed="false">
      <c r="A5" s="8"/>
      <c r="B5" s="8" t="s">
        <v>23</v>
      </c>
      <c r="C5" s="8" t="s">
        <v>28</v>
      </c>
      <c r="D5" s="8" t="s">
        <v>32</v>
      </c>
      <c r="E5" s="8" t="s">
        <v>37</v>
      </c>
      <c r="F5" s="8" t="s">
        <v>40</v>
      </c>
      <c r="G5" s="8" t="s">
        <v>42</v>
      </c>
      <c r="H5" s="8" t="s">
        <v>46</v>
      </c>
      <c r="M5" s="8" t="s">
        <v>149</v>
      </c>
      <c r="N5" s="8" t="s">
        <v>81</v>
      </c>
      <c r="O5" s="8" t="s">
        <v>100</v>
      </c>
    </row>
    <row r="6" customFormat="false" ht="15" hidden="false" customHeight="false" outlineLevel="0" collapsed="false">
      <c r="A6" s="4" t="s">
        <v>23</v>
      </c>
      <c r="B6" s="10" t="n">
        <f aca="false">Wiring!$B$6*Wiring!$B$6+Wiring!$C$6*Wiring!$B$7+Wiring!$D$6*Wiring!$B$8+Wiring!$E$6*Wiring!$B$9+Wiring!$F$6*Wiring!$B$10+Wiring!$G$6*Wiring!$B$11+Wiring!$H$6*Wiring!$B$12</f>
        <v>0</v>
      </c>
      <c r="C6" s="10" t="n">
        <f aca="false">Wiring!$B$6*Wiring!$C$6+Wiring!$C$6*Wiring!$C$7+Wiring!$D$6*Wiring!$C$8+Wiring!$E$6*Wiring!$C$9+Wiring!$F$6*Wiring!$C$10+Wiring!$G$6*Wiring!$C$11+Wiring!$H$6*Wiring!$C$12</f>
        <v>0</v>
      </c>
      <c r="D6" s="10" t="n">
        <f aca="false">Wiring!$B$6*Wiring!$D$6+Wiring!$C$6*Wiring!$D$7+Wiring!$D$6*Wiring!$D$8+Wiring!$E$6*Wiring!$D$9+Wiring!$F$6*Wiring!$D$10+Wiring!$G$6*Wiring!$D$11+Wiring!$H$6*Wiring!$D$12</f>
        <v>0</v>
      </c>
      <c r="E6" s="10" t="n">
        <f aca="false">Wiring!$B$6*Wiring!$E$6+Wiring!$C$6*Wiring!$E$7+Wiring!$D$6*Wiring!$E$8+Wiring!$E$6*Wiring!$E$9+Wiring!$F$6*Wiring!$E$10+Wiring!$G$6*Wiring!$E$11+Wiring!$H$6*Wiring!$E$12</f>
        <v>0</v>
      </c>
      <c r="F6" s="10" t="n">
        <f aca="false">Wiring!$B$6*Wiring!$F$6+Wiring!$C$6*Wiring!$F$7+Wiring!$D$6*Wiring!$F$8+Wiring!$E$6*Wiring!$F$9+Wiring!$F$6*Wiring!$F$10+Wiring!$G$6*Wiring!$F$11+Wiring!$H$6*Wiring!$F$12</f>
        <v>0</v>
      </c>
      <c r="G6" s="10" t="n">
        <f aca="false">Wiring!$B$6*Wiring!$G$6+Wiring!$C$6*Wiring!$G$7+Wiring!$D$6*Wiring!$G$8+Wiring!$E$6*Wiring!$G$9+Wiring!$F$6*Wiring!$G$10+Wiring!$G$6*Wiring!$G$11+Wiring!$H$6*Wiring!$G$12</f>
        <v>2</v>
      </c>
      <c r="H6" s="10" t="n">
        <f aca="false">Wiring!$B$6*Wiring!$H$6+Wiring!$C$6*Wiring!$H$7+Wiring!$D$6*Wiring!$H$8+Wiring!$E$6*Wiring!$H$9+Wiring!$F$6*Wiring!$H$10+Wiring!$G$6*Wiring!$H$11+Wiring!$H$6*Wiring!$H$12</f>
        <v>3</v>
      </c>
      <c r="M6" s="2" t="s">
        <v>150</v>
      </c>
      <c r="N6" s="10" t="n">
        <f aca="false">SUMPRODUCT($K$94:$K$100/$J$94:$J$100)</f>
        <v>1</v>
      </c>
      <c r="O6" s="9" t="s">
        <v>151</v>
      </c>
    </row>
    <row r="7" customFormat="false" ht="15" hidden="false" customHeight="false" outlineLevel="0" collapsed="false">
      <c r="A7" s="4" t="s">
        <v>28</v>
      </c>
      <c r="B7" s="10" t="n">
        <f aca="false">Wiring!$B$7*Wiring!$B$6+Wiring!$C$7*Wiring!$B$7+Wiring!$D$7*Wiring!$B$8+Wiring!$E$7*Wiring!$B$9+Wiring!$F$7*Wiring!$B$10+Wiring!$G$7*Wiring!$B$11+Wiring!$H$7*Wiring!$B$12</f>
        <v>0</v>
      </c>
      <c r="C7" s="10" t="n">
        <f aca="false">Wiring!$B$7*Wiring!$C$6+Wiring!$C$7*Wiring!$C$7+Wiring!$D$7*Wiring!$C$8+Wiring!$E$7*Wiring!$C$9+Wiring!$F$7*Wiring!$C$10+Wiring!$G$7*Wiring!$C$11+Wiring!$H$7*Wiring!$C$12</f>
        <v>0</v>
      </c>
      <c r="D7" s="10" t="n">
        <f aca="false">Wiring!$B$7*Wiring!$D$6+Wiring!$C$7*Wiring!$D$7+Wiring!$D$7*Wiring!$D$8+Wiring!$E$7*Wiring!$D$9+Wiring!$F$7*Wiring!$D$10+Wiring!$G$7*Wiring!$D$11+Wiring!$H$7*Wiring!$D$12</f>
        <v>0</v>
      </c>
      <c r="E7" s="10" t="n">
        <f aca="false">Wiring!$B$7*Wiring!$E$6+Wiring!$C$7*Wiring!$E$7+Wiring!$D$7*Wiring!$E$8+Wiring!$E$7*Wiring!$E$9+Wiring!$F$7*Wiring!$E$10+Wiring!$G$7*Wiring!$E$11+Wiring!$H$7*Wiring!$E$12</f>
        <v>1</v>
      </c>
      <c r="F7" s="10" t="n">
        <f aca="false">Wiring!$B$7*Wiring!$F$6+Wiring!$C$7*Wiring!$F$7+Wiring!$D$7*Wiring!$F$8+Wiring!$E$7*Wiring!$F$9+Wiring!$F$7*Wiring!$F$10+Wiring!$G$7*Wiring!$F$11+Wiring!$H$7*Wiring!$F$12</f>
        <v>1</v>
      </c>
      <c r="G7" s="10" t="n">
        <f aca="false">Wiring!$B$7*Wiring!$G$6+Wiring!$C$7*Wiring!$G$7+Wiring!$D$7*Wiring!$G$8+Wiring!$E$7*Wiring!$G$9+Wiring!$F$7*Wiring!$G$10+Wiring!$G$7*Wiring!$G$11+Wiring!$H$7*Wiring!$G$12</f>
        <v>1</v>
      </c>
      <c r="H7" s="10" t="n">
        <f aca="false">Wiring!$B$7*Wiring!$H$6+Wiring!$C$7*Wiring!$H$7+Wiring!$D$7*Wiring!$H$8+Wiring!$E$7*Wiring!$H$9+Wiring!$F$7*Wiring!$H$10+Wiring!$G$7*Wiring!$H$11+Wiring!$H$7*Wiring!$H$12</f>
        <v>1</v>
      </c>
      <c r="M7" s="2" t="s">
        <v>152</v>
      </c>
      <c r="N7" s="10" t="n">
        <f aca="false">MAX($J$94:$J$100)</f>
        <v>4</v>
      </c>
      <c r="O7" s="9" t="s">
        <v>153</v>
      </c>
    </row>
    <row r="8" customFormat="false" ht="15" hidden="false" customHeight="false" outlineLevel="0" collapsed="false">
      <c r="A8" s="4" t="s">
        <v>32</v>
      </c>
      <c r="B8" s="10" t="n">
        <f aca="false">Wiring!$B$8*Wiring!$B$6+Wiring!$C$8*Wiring!$B$7+Wiring!$D$8*Wiring!$B$8+Wiring!$E$8*Wiring!$B$9+Wiring!$F$8*Wiring!$B$10+Wiring!$G$8*Wiring!$B$11+Wiring!$H$8*Wiring!$B$12</f>
        <v>0</v>
      </c>
      <c r="C8" s="10" t="n">
        <f aca="false">Wiring!$B$8*Wiring!$C$6+Wiring!$C$8*Wiring!$C$7+Wiring!$D$8*Wiring!$C$8+Wiring!$E$8*Wiring!$C$9+Wiring!$F$8*Wiring!$C$10+Wiring!$G$8*Wiring!$C$11+Wiring!$H$8*Wiring!$C$12</f>
        <v>0</v>
      </c>
      <c r="D8" s="10" t="n">
        <f aca="false">Wiring!$B$8*Wiring!$D$6+Wiring!$C$8*Wiring!$D$7+Wiring!$D$8*Wiring!$D$8+Wiring!$E$8*Wiring!$D$9+Wiring!$F$8*Wiring!$D$10+Wiring!$G$8*Wiring!$D$11+Wiring!$H$8*Wiring!$D$12</f>
        <v>0</v>
      </c>
      <c r="E8" s="10" t="n">
        <f aca="false">Wiring!$B$8*Wiring!$E$6+Wiring!$C$8*Wiring!$E$7+Wiring!$D$8*Wiring!$E$8+Wiring!$E$8*Wiring!$E$9+Wiring!$F$8*Wiring!$E$10+Wiring!$G$8*Wiring!$E$11+Wiring!$H$8*Wiring!$E$12</f>
        <v>1</v>
      </c>
      <c r="F8" s="10" t="n">
        <f aca="false">Wiring!$B$8*Wiring!$F$6+Wiring!$C$8*Wiring!$F$7+Wiring!$D$8*Wiring!$F$8+Wiring!$E$8*Wiring!$F$9+Wiring!$F$8*Wiring!$F$10+Wiring!$G$8*Wiring!$F$11+Wiring!$H$8*Wiring!$F$12</f>
        <v>1</v>
      </c>
      <c r="G8" s="10" t="n">
        <f aca="false">Wiring!$B$8*Wiring!$G$6+Wiring!$C$8*Wiring!$G$7+Wiring!$D$8*Wiring!$G$8+Wiring!$E$8*Wiring!$G$9+Wiring!$F$8*Wiring!$G$10+Wiring!$G$8*Wiring!$G$11+Wiring!$H$8*Wiring!$G$12</f>
        <v>0</v>
      </c>
      <c r="H8" s="10" t="n">
        <f aca="false">Wiring!$B$8*Wiring!$H$6+Wiring!$C$8*Wiring!$H$7+Wiring!$D$8*Wiring!$H$8+Wiring!$E$8*Wiring!$H$9+Wiring!$F$8*Wiring!$H$10+Wiring!$G$8*Wiring!$H$11+Wiring!$H$8*Wiring!$H$12</f>
        <v>0</v>
      </c>
      <c r="M8" s="2" t="s">
        <v>154</v>
      </c>
      <c r="N8" s="10" t="n">
        <f aca="false">SUM($K$94:$K$100)</f>
        <v>4</v>
      </c>
    </row>
    <row r="9" customFormat="false" ht="15" hidden="false" customHeight="false" outlineLevel="0" collapsed="false">
      <c r="A9" s="4" t="s">
        <v>37</v>
      </c>
      <c r="B9" s="10" t="n">
        <f aca="false">Wiring!$B$9*Wiring!$B$6+Wiring!$C$9*Wiring!$B$7+Wiring!$D$9*Wiring!$B$8+Wiring!$E$9*Wiring!$B$9+Wiring!$F$9*Wiring!$B$10+Wiring!$G$9*Wiring!$B$11+Wiring!$H$9*Wiring!$B$12</f>
        <v>0</v>
      </c>
      <c r="C9" s="10" t="n">
        <f aca="false">Wiring!$B$9*Wiring!$C$6+Wiring!$C$9*Wiring!$C$7+Wiring!$D$9*Wiring!$C$8+Wiring!$E$9*Wiring!$C$9+Wiring!$F$9*Wiring!$C$10+Wiring!$G$9*Wiring!$C$11+Wiring!$H$9*Wiring!$C$12</f>
        <v>0</v>
      </c>
      <c r="D9" s="10" t="n">
        <f aca="false">Wiring!$B$9*Wiring!$D$6+Wiring!$C$9*Wiring!$D$7+Wiring!$D$9*Wiring!$D$8+Wiring!$E$9*Wiring!$D$9+Wiring!$F$9*Wiring!$D$10+Wiring!$G$9*Wiring!$D$11+Wiring!$H$9*Wiring!$D$12</f>
        <v>0</v>
      </c>
      <c r="E9" s="10" t="n">
        <f aca="false">Wiring!$B$9*Wiring!$E$6+Wiring!$C$9*Wiring!$E$7+Wiring!$D$9*Wiring!$E$8+Wiring!$E$9*Wiring!$E$9+Wiring!$F$9*Wiring!$E$10+Wiring!$G$9*Wiring!$E$11+Wiring!$H$9*Wiring!$E$12</f>
        <v>2</v>
      </c>
      <c r="F9" s="10" t="n">
        <f aca="false">Wiring!$B$9*Wiring!$F$6+Wiring!$C$9*Wiring!$F$7+Wiring!$D$9*Wiring!$F$8+Wiring!$E$9*Wiring!$F$9+Wiring!$F$9*Wiring!$F$10+Wiring!$G$9*Wiring!$F$11+Wiring!$H$9*Wiring!$F$12</f>
        <v>2</v>
      </c>
      <c r="G9" s="10" t="n">
        <f aca="false">Wiring!$B$9*Wiring!$G$6+Wiring!$C$9*Wiring!$G$7+Wiring!$D$9*Wiring!$G$8+Wiring!$E$9*Wiring!$G$9+Wiring!$F$9*Wiring!$G$10+Wiring!$G$9*Wiring!$G$11+Wiring!$H$9*Wiring!$G$12</f>
        <v>0</v>
      </c>
      <c r="H9" s="10" t="n">
        <f aca="false">Wiring!$B$9*Wiring!$H$6+Wiring!$C$9*Wiring!$H$7+Wiring!$D$9*Wiring!$H$8+Wiring!$E$9*Wiring!$H$9+Wiring!$F$9*Wiring!$H$10+Wiring!$G$9*Wiring!$H$11+Wiring!$H$9*Wiring!$H$12</f>
        <v>0</v>
      </c>
      <c r="M9" s="2" t="s">
        <v>155</v>
      </c>
      <c r="N9" s="10" t="n">
        <f aca="false">MAX($H$127:$H$133)</f>
        <v>3</v>
      </c>
      <c r="O9" s="9" t="s">
        <v>156</v>
      </c>
    </row>
    <row r="10" customFormat="false" ht="15" hidden="false" customHeight="false" outlineLevel="0" collapsed="false">
      <c r="A10" s="4" t="s">
        <v>40</v>
      </c>
      <c r="B10" s="10" t="n">
        <f aca="false">Wiring!$B$10*Wiring!$B$6+Wiring!$C$10*Wiring!$B$7+Wiring!$D$10*Wiring!$B$8+Wiring!$E$10*Wiring!$B$9+Wiring!$F$10*Wiring!$B$10+Wiring!$G$10*Wiring!$B$11+Wiring!$H$10*Wiring!$B$12</f>
        <v>0</v>
      </c>
      <c r="C10" s="10" t="n">
        <f aca="false">Wiring!$B$10*Wiring!$C$6+Wiring!$C$10*Wiring!$C$7+Wiring!$D$10*Wiring!$C$8+Wiring!$E$10*Wiring!$C$9+Wiring!$F$10*Wiring!$C$10+Wiring!$G$10*Wiring!$C$11+Wiring!$H$10*Wiring!$C$12</f>
        <v>0</v>
      </c>
      <c r="D10" s="10" t="n">
        <f aca="false">Wiring!$B$10*Wiring!$D$6+Wiring!$C$10*Wiring!$D$7+Wiring!$D$10*Wiring!$D$8+Wiring!$E$10*Wiring!$D$9+Wiring!$F$10*Wiring!$D$10+Wiring!$G$10*Wiring!$D$11+Wiring!$H$10*Wiring!$D$12</f>
        <v>0</v>
      </c>
      <c r="E10" s="10" t="n">
        <f aca="false">Wiring!$B$10*Wiring!$E$6+Wiring!$C$10*Wiring!$E$7+Wiring!$D$10*Wiring!$E$8+Wiring!$E$10*Wiring!$E$9+Wiring!$F$10*Wiring!$E$10+Wiring!$G$10*Wiring!$E$11+Wiring!$H$10*Wiring!$E$12</f>
        <v>2</v>
      </c>
      <c r="F10" s="10" t="n">
        <f aca="false">Wiring!$B$10*Wiring!$F$6+Wiring!$C$10*Wiring!$F$7+Wiring!$D$10*Wiring!$F$8+Wiring!$E$10*Wiring!$F$9+Wiring!$F$10*Wiring!$F$10+Wiring!$G$10*Wiring!$F$11+Wiring!$H$10*Wiring!$F$12</f>
        <v>2</v>
      </c>
      <c r="G10" s="10" t="n">
        <f aca="false">Wiring!$B$10*Wiring!$G$6+Wiring!$C$10*Wiring!$G$7+Wiring!$D$10*Wiring!$G$8+Wiring!$E$10*Wiring!$G$9+Wiring!$F$10*Wiring!$G$10+Wiring!$G$10*Wiring!$G$11+Wiring!$H$10*Wiring!$G$12</f>
        <v>0</v>
      </c>
      <c r="H10" s="10" t="n">
        <f aca="false">Wiring!$B$10*Wiring!$H$6+Wiring!$C$10*Wiring!$H$7+Wiring!$D$10*Wiring!$H$8+Wiring!$E$10*Wiring!$H$9+Wiring!$F$10*Wiring!$H$10+Wiring!$G$10*Wiring!$H$11+Wiring!$H$10*Wiring!$H$12</f>
        <v>0</v>
      </c>
      <c r="M10" s="2" t="s">
        <v>157</v>
      </c>
      <c r="N10" s="10" t="n">
        <f aca="false">N9-1</f>
        <v>2</v>
      </c>
      <c r="O10" s="9" t="s">
        <v>158</v>
      </c>
    </row>
    <row r="11" customFormat="false" ht="15" hidden="false" customHeight="false" outlineLevel="0" collapsed="false">
      <c r="A11" s="4" t="s">
        <v>42</v>
      </c>
      <c r="B11" s="10" t="n">
        <f aca="false">Wiring!$B$11*Wiring!$B$6+Wiring!$C$11*Wiring!$B$7+Wiring!$D$11*Wiring!$B$8+Wiring!$E$11*Wiring!$B$9+Wiring!$F$11*Wiring!$B$10+Wiring!$G$11*Wiring!$B$11+Wiring!$H$11*Wiring!$B$12</f>
        <v>0</v>
      </c>
      <c r="C11" s="10" t="n">
        <f aca="false">Wiring!$B$11*Wiring!$C$6+Wiring!$C$11*Wiring!$C$7+Wiring!$D$11*Wiring!$C$8+Wiring!$E$11*Wiring!$C$9+Wiring!$F$11*Wiring!$C$10+Wiring!$G$11*Wiring!$C$11+Wiring!$H$11*Wiring!$C$12</f>
        <v>0</v>
      </c>
      <c r="D11" s="10" t="n">
        <f aca="false">Wiring!$B$11*Wiring!$D$6+Wiring!$C$11*Wiring!$D$7+Wiring!$D$11*Wiring!$D$8+Wiring!$E$11*Wiring!$D$9+Wiring!$F$11*Wiring!$D$10+Wiring!$G$11*Wiring!$D$11+Wiring!$H$11*Wiring!$D$12</f>
        <v>0</v>
      </c>
      <c r="E11" s="10" t="n">
        <f aca="false">Wiring!$B$11*Wiring!$E$6+Wiring!$C$11*Wiring!$E$7+Wiring!$D$11*Wiring!$E$8+Wiring!$E$11*Wiring!$E$9+Wiring!$F$11*Wiring!$E$10+Wiring!$G$11*Wiring!$E$11+Wiring!$H$11*Wiring!$E$12</f>
        <v>0</v>
      </c>
      <c r="F11" s="10" t="n">
        <f aca="false">Wiring!$B$11*Wiring!$F$6+Wiring!$C$11*Wiring!$F$7+Wiring!$D$11*Wiring!$F$8+Wiring!$E$11*Wiring!$F$9+Wiring!$F$11*Wiring!$F$10+Wiring!$G$11*Wiring!$F$11+Wiring!$H$11*Wiring!$F$12</f>
        <v>0</v>
      </c>
      <c r="G11" s="10" t="n">
        <f aca="false">Wiring!$B$11*Wiring!$G$6+Wiring!$C$11*Wiring!$G$7+Wiring!$D$11*Wiring!$G$8+Wiring!$E$11*Wiring!$G$9+Wiring!$F$11*Wiring!$G$10+Wiring!$G$11*Wiring!$G$11+Wiring!$H$11*Wiring!$G$12</f>
        <v>2</v>
      </c>
      <c r="H11" s="10" t="n">
        <f aca="false">Wiring!$B$11*Wiring!$H$6+Wiring!$C$11*Wiring!$H$7+Wiring!$D$11*Wiring!$H$8+Wiring!$E$11*Wiring!$H$9+Wiring!$F$11*Wiring!$H$10+Wiring!$G$11*Wiring!$H$11+Wiring!$H$11*Wiring!$H$12</f>
        <v>2</v>
      </c>
      <c r="M11" s="2" t="s">
        <v>159</v>
      </c>
      <c r="N11" s="10" t="n">
        <f aca="false">$H$127</f>
        <v>1</v>
      </c>
      <c r="O11" s="9" t="s">
        <v>160</v>
      </c>
    </row>
    <row r="12" customFormat="false" ht="15" hidden="false" customHeight="false" outlineLevel="0" collapsed="false">
      <c r="A12" s="4" t="s">
        <v>46</v>
      </c>
      <c r="B12" s="10" t="n">
        <f aca="false">Wiring!$B$12*Wiring!$B$6+Wiring!$C$12*Wiring!$B$7+Wiring!$D$12*Wiring!$B$8+Wiring!$E$12*Wiring!$B$9+Wiring!$F$12*Wiring!$B$10+Wiring!$G$12*Wiring!$B$11+Wiring!$H$12*Wiring!$B$12</f>
        <v>0</v>
      </c>
      <c r="C12" s="10" t="n">
        <f aca="false">Wiring!$B$12*Wiring!$C$6+Wiring!$C$12*Wiring!$C$7+Wiring!$D$12*Wiring!$C$8+Wiring!$E$12*Wiring!$C$9+Wiring!$F$12*Wiring!$C$10+Wiring!$G$12*Wiring!$C$11+Wiring!$H$12*Wiring!$C$12</f>
        <v>0</v>
      </c>
      <c r="D12" s="10" t="n">
        <f aca="false">Wiring!$B$12*Wiring!$D$6+Wiring!$C$12*Wiring!$D$7+Wiring!$D$12*Wiring!$D$8+Wiring!$E$12*Wiring!$D$9+Wiring!$F$12*Wiring!$D$10+Wiring!$G$12*Wiring!$D$11+Wiring!$H$12*Wiring!$D$12</f>
        <v>0</v>
      </c>
      <c r="E12" s="10" t="n">
        <f aca="false">Wiring!$B$12*Wiring!$E$6+Wiring!$C$12*Wiring!$E$7+Wiring!$D$12*Wiring!$E$8+Wiring!$E$12*Wiring!$E$9+Wiring!$F$12*Wiring!$E$10+Wiring!$G$12*Wiring!$E$11+Wiring!$H$12*Wiring!$E$12</f>
        <v>0</v>
      </c>
      <c r="F12" s="10" t="n">
        <f aca="false">Wiring!$B$12*Wiring!$F$6+Wiring!$C$12*Wiring!$F$7+Wiring!$D$12*Wiring!$F$8+Wiring!$E$12*Wiring!$F$9+Wiring!$F$12*Wiring!$F$10+Wiring!$G$12*Wiring!$F$11+Wiring!$H$12*Wiring!$F$12</f>
        <v>0</v>
      </c>
      <c r="G12" s="10" t="n">
        <f aca="false">Wiring!$B$12*Wiring!$G$6+Wiring!$C$12*Wiring!$G$7+Wiring!$D$12*Wiring!$G$8+Wiring!$E$12*Wiring!$G$9+Wiring!$F$12*Wiring!$G$10+Wiring!$G$12*Wiring!$G$11+Wiring!$H$12*Wiring!$G$12</f>
        <v>2</v>
      </c>
      <c r="H12" s="10" t="n">
        <f aca="false">Wiring!$B$12*Wiring!$H$6+Wiring!$C$12*Wiring!$H$7+Wiring!$D$12*Wiring!$H$8+Wiring!$E$12*Wiring!$H$9+Wiring!$F$12*Wiring!$H$10+Wiring!$G$12*Wiring!$H$11+Wiring!$H$12*Wiring!$H$12</f>
        <v>2</v>
      </c>
      <c r="M12" s="2" t="s">
        <v>161</v>
      </c>
      <c r="N12" s="10" t="n">
        <f aca="false">$H$128</f>
        <v>1</v>
      </c>
      <c r="O12" s="9" t="s">
        <v>160</v>
      </c>
    </row>
    <row r="13" customFormat="false" ht="15" hidden="false" customHeight="false" outlineLevel="0" collapsed="false">
      <c r="M13" s="2" t="s">
        <v>162</v>
      </c>
      <c r="N13" s="10" t="n">
        <f aca="false">$H$129</f>
        <v>2</v>
      </c>
      <c r="O13" s="9" t="s">
        <v>163</v>
      </c>
    </row>
    <row r="14" customFormat="false" ht="15" hidden="false" customHeight="false" outlineLevel="0" collapsed="false">
      <c r="M14" s="2" t="s">
        <v>164</v>
      </c>
      <c r="N14" s="10" t="n">
        <f aca="false">$H$133</f>
        <v>3</v>
      </c>
    </row>
    <row r="15" customFormat="false" ht="15" hidden="false" customHeight="false" outlineLevel="0" collapsed="false">
      <c r="A15" s="4" t="s">
        <v>165</v>
      </c>
      <c r="M15" s="2" t="s">
        <v>166</v>
      </c>
      <c r="N15" s="10" t="n">
        <f aca="false">COUNTIFS(Box,"divisions",$K$94:$K$100,1)</f>
        <v>2</v>
      </c>
      <c r="O15" s="9" t="s">
        <v>167</v>
      </c>
    </row>
    <row r="16" customFormat="false" ht="15" hidden="false" customHeight="false" outlineLevel="0" collapsed="false">
      <c r="A16" s="8"/>
      <c r="B16" s="8" t="s">
        <v>23</v>
      </c>
      <c r="C16" s="8" t="s">
        <v>28</v>
      </c>
      <c r="D16" s="8" t="s">
        <v>32</v>
      </c>
      <c r="E16" s="8" t="s">
        <v>37</v>
      </c>
      <c r="F16" s="8" t="s">
        <v>40</v>
      </c>
      <c r="G16" s="8" t="s">
        <v>42</v>
      </c>
      <c r="H16" s="8" t="s">
        <v>46</v>
      </c>
      <c r="M16" s="2" t="s">
        <v>168</v>
      </c>
      <c r="N16" s="10" t="n">
        <f aca="false">COUNTIFS(Box,"center",$K$94:$K$100,1)</f>
        <v>2</v>
      </c>
      <c r="O16" s="9" t="s">
        <v>169</v>
      </c>
    </row>
    <row r="17" customFormat="false" ht="15" hidden="false" customHeight="false" outlineLevel="0" collapsed="false">
      <c r="A17" s="4" t="s">
        <v>23</v>
      </c>
      <c r="B17" s="10" t="n">
        <f aca="false">$B$6*Wiring!$B$6+$C$6*Wiring!$B$7+$D$6*Wiring!$B$8+$E$6*Wiring!$B$9+$F$6*Wiring!$B$10+$G$6*Wiring!$B$11+$H$6*Wiring!$B$12</f>
        <v>0</v>
      </c>
      <c r="C17" s="10" t="n">
        <f aca="false">$B$6*Wiring!$C$6+$C$6*Wiring!$C$7+$D$6*Wiring!$C$8+$E$6*Wiring!$C$9+$F$6*Wiring!$C$10+$G$6*Wiring!$C$11+$H$6*Wiring!$C$12</f>
        <v>0</v>
      </c>
      <c r="D17" s="10" t="n">
        <f aca="false">$B$6*Wiring!$D$6+$C$6*Wiring!$D$7+$D$6*Wiring!$D$8+$E$6*Wiring!$D$9+$F$6*Wiring!$D$10+$G$6*Wiring!$D$11+$H$6*Wiring!$D$12</f>
        <v>0</v>
      </c>
      <c r="E17" s="10" t="n">
        <f aca="false">$B$6*Wiring!$E$6+$C$6*Wiring!$E$7+$D$6*Wiring!$E$8+$E$6*Wiring!$E$9+$F$6*Wiring!$E$10+$G$6*Wiring!$E$11+$H$6*Wiring!$E$12</f>
        <v>5</v>
      </c>
      <c r="F17" s="10" t="n">
        <f aca="false">$B$6*Wiring!$F$6+$C$6*Wiring!$F$7+$D$6*Wiring!$F$8+$E$6*Wiring!$F$9+$F$6*Wiring!$F$10+$G$6*Wiring!$F$11+$H$6*Wiring!$F$12</f>
        <v>5</v>
      </c>
      <c r="G17" s="10" t="n">
        <f aca="false">$B$6*Wiring!$G$6+$C$6*Wiring!$G$7+$D$6*Wiring!$G$8+$E$6*Wiring!$G$9+$F$6*Wiring!$G$10+$G$6*Wiring!$G$11+$H$6*Wiring!$G$12</f>
        <v>0</v>
      </c>
      <c r="H17" s="10" t="n">
        <f aca="false">$B$6*Wiring!$H$6+$C$6*Wiring!$H$7+$D$6*Wiring!$H$8+$E$6*Wiring!$H$9+$F$6*Wiring!$H$10+$G$6*Wiring!$H$11+$H$6*Wiring!$H$12</f>
        <v>0</v>
      </c>
    </row>
    <row r="18" customFormat="false" ht="15" hidden="false" customHeight="false" outlineLevel="0" collapsed="false">
      <c r="A18" s="4" t="s">
        <v>28</v>
      </c>
      <c r="B18" s="10" t="n">
        <f aca="false">$B$7*Wiring!$B$6+$C$7*Wiring!$B$7+$D$7*Wiring!$B$8+$E$7*Wiring!$B$9+$F$7*Wiring!$B$10+$G$7*Wiring!$B$11+$H$7*Wiring!$B$12</f>
        <v>0</v>
      </c>
      <c r="C18" s="10" t="n">
        <f aca="false">$B$7*Wiring!$C$6+$C$7*Wiring!$C$7+$D$7*Wiring!$C$8+$E$7*Wiring!$C$9+$F$7*Wiring!$C$10+$G$7*Wiring!$C$11+$H$7*Wiring!$C$12</f>
        <v>0</v>
      </c>
      <c r="D18" s="10" t="n">
        <f aca="false">$B$7*Wiring!$D$6+$C$7*Wiring!$D$7+$D$7*Wiring!$D$8+$E$7*Wiring!$D$9+$F$7*Wiring!$D$10+$G$7*Wiring!$D$11+$H$7*Wiring!$D$12</f>
        <v>0</v>
      </c>
      <c r="E18" s="10" t="n">
        <f aca="false">$B$7*Wiring!$E$6+$C$7*Wiring!$E$7+$D$7*Wiring!$E$8+$E$7*Wiring!$E$9+$F$7*Wiring!$E$10+$G$7*Wiring!$E$11+$H$7*Wiring!$E$12</f>
        <v>2</v>
      </c>
      <c r="F18" s="10" t="n">
        <f aca="false">$B$7*Wiring!$F$6+$C$7*Wiring!$F$7+$D$7*Wiring!$F$8+$E$7*Wiring!$F$9+$F$7*Wiring!$F$10+$G$7*Wiring!$F$11+$H$7*Wiring!$F$12</f>
        <v>2</v>
      </c>
      <c r="G18" s="10" t="n">
        <f aca="false">$B$7*Wiring!$G$6+$C$7*Wiring!$G$7+$D$7*Wiring!$G$8+$E$7*Wiring!$G$9+$F$7*Wiring!$G$10+$G$7*Wiring!$G$11+$H$7*Wiring!$G$12</f>
        <v>2</v>
      </c>
      <c r="H18" s="10" t="n">
        <f aca="false">$B$7*Wiring!$H$6+$C$7*Wiring!$H$7+$D$7*Wiring!$H$8+$E$7*Wiring!$H$9+$F$7*Wiring!$H$10+$G$7*Wiring!$H$11+$H$7*Wiring!$H$12</f>
        <v>2</v>
      </c>
    </row>
    <row r="19" customFormat="false" ht="15" hidden="false" customHeight="false" outlineLevel="0" collapsed="false">
      <c r="A19" s="4" t="s">
        <v>32</v>
      </c>
      <c r="B19" s="10" t="n">
        <f aca="false">$B$8*Wiring!$B$6+$C$8*Wiring!$B$7+$D$8*Wiring!$B$8+$E$8*Wiring!$B$9+$F$8*Wiring!$B$10+$G$8*Wiring!$B$11+$H$8*Wiring!$B$12</f>
        <v>0</v>
      </c>
      <c r="C19" s="10" t="n">
        <f aca="false">$B$8*Wiring!$C$6+$C$8*Wiring!$C$7+$D$8*Wiring!$C$8+$E$8*Wiring!$C$9+$F$8*Wiring!$C$10+$G$8*Wiring!$C$11+$H$8*Wiring!$C$12</f>
        <v>0</v>
      </c>
      <c r="D19" s="10" t="n">
        <f aca="false">$B$8*Wiring!$D$6+$C$8*Wiring!$D$7+$D$8*Wiring!$D$8+$E$8*Wiring!$D$9+$F$8*Wiring!$D$10+$G$8*Wiring!$D$11+$H$8*Wiring!$D$12</f>
        <v>0</v>
      </c>
      <c r="E19" s="10" t="n">
        <f aca="false">$B$8*Wiring!$E$6+$C$8*Wiring!$E$7+$D$8*Wiring!$E$8+$E$8*Wiring!$E$9+$F$8*Wiring!$E$10+$G$8*Wiring!$E$11+$H$8*Wiring!$E$12</f>
        <v>0</v>
      </c>
      <c r="F19" s="10" t="n">
        <f aca="false">$B$8*Wiring!$F$6+$C$8*Wiring!$F$7+$D$8*Wiring!$F$8+$E$8*Wiring!$F$9+$F$8*Wiring!$F$10+$G$8*Wiring!$F$11+$H$8*Wiring!$F$12</f>
        <v>0</v>
      </c>
      <c r="G19" s="10" t="n">
        <f aca="false">$B$8*Wiring!$G$6+$C$8*Wiring!$G$7+$D$8*Wiring!$G$8+$E$8*Wiring!$G$9+$F$8*Wiring!$G$10+$G$8*Wiring!$G$11+$H$8*Wiring!$G$12</f>
        <v>2</v>
      </c>
      <c r="H19" s="10" t="n">
        <f aca="false">$B$8*Wiring!$H$6+$C$8*Wiring!$H$7+$D$8*Wiring!$H$8+$E$8*Wiring!$H$9+$F$8*Wiring!$H$10+$G$8*Wiring!$H$11+$H$8*Wiring!$H$12</f>
        <v>2</v>
      </c>
    </row>
    <row r="20" customFormat="false" ht="15" hidden="false" customHeight="false" outlineLevel="0" collapsed="false">
      <c r="A20" s="4" t="s">
        <v>37</v>
      </c>
      <c r="B20" s="10" t="n">
        <f aca="false">$B$9*Wiring!$B$6+$C$9*Wiring!$B$7+$D$9*Wiring!$B$8+$E$9*Wiring!$B$9+$F$9*Wiring!$B$10+$G$9*Wiring!$B$11+$H$9*Wiring!$B$12</f>
        <v>0</v>
      </c>
      <c r="C20" s="10" t="n">
        <f aca="false">$B$9*Wiring!$C$6+$C$9*Wiring!$C$7+$D$9*Wiring!$C$8+$E$9*Wiring!$C$9+$F$9*Wiring!$C$10+$G$9*Wiring!$C$11+$H$9*Wiring!$C$12</f>
        <v>0</v>
      </c>
      <c r="D20" s="10" t="n">
        <f aca="false">$B$9*Wiring!$D$6+$C$9*Wiring!$D$7+$D$9*Wiring!$D$8+$E$9*Wiring!$D$9+$F$9*Wiring!$D$10+$G$9*Wiring!$D$11+$H$9*Wiring!$D$12</f>
        <v>0</v>
      </c>
      <c r="E20" s="10" t="n">
        <f aca="false">$B$9*Wiring!$E$6+$C$9*Wiring!$E$7+$D$9*Wiring!$E$8+$E$9*Wiring!$E$9+$F$9*Wiring!$E$10+$G$9*Wiring!$E$11+$H$9*Wiring!$E$12</f>
        <v>0</v>
      </c>
      <c r="F20" s="10" t="n">
        <f aca="false">$B$9*Wiring!$F$6+$C$9*Wiring!$F$7+$D$9*Wiring!$F$8+$E$9*Wiring!$F$9+$F$9*Wiring!$F$10+$G$9*Wiring!$F$11+$H$9*Wiring!$F$12</f>
        <v>0</v>
      </c>
      <c r="G20" s="10" t="n">
        <f aca="false">$B$9*Wiring!$G$6+$C$9*Wiring!$G$7+$D$9*Wiring!$G$8+$E$9*Wiring!$G$9+$F$9*Wiring!$G$10+$G$9*Wiring!$G$11+$H$9*Wiring!$G$12</f>
        <v>4</v>
      </c>
      <c r="H20" s="10" t="n">
        <f aca="false">$B$9*Wiring!$H$6+$C$9*Wiring!$H$7+$D$9*Wiring!$H$8+$E$9*Wiring!$H$9+$F$9*Wiring!$H$10+$G$9*Wiring!$H$11+$H$9*Wiring!$H$12</f>
        <v>4</v>
      </c>
      <c r="M20" s="4" t="s">
        <v>170</v>
      </c>
    </row>
    <row r="21" customFormat="false" ht="15" hidden="false" customHeight="false" outlineLevel="0" collapsed="false">
      <c r="A21" s="4" t="s">
        <v>40</v>
      </c>
      <c r="B21" s="10" t="n">
        <f aca="false">$B$10*Wiring!$B$6+$C$10*Wiring!$B$7+$D$10*Wiring!$B$8+$E$10*Wiring!$B$9+$F$10*Wiring!$B$10+$G$10*Wiring!$B$11+$H$10*Wiring!$B$12</f>
        <v>0</v>
      </c>
      <c r="C21" s="10" t="n">
        <f aca="false">$B$10*Wiring!$C$6+$C$10*Wiring!$C$7+$D$10*Wiring!$C$8+$E$10*Wiring!$C$9+$F$10*Wiring!$C$10+$G$10*Wiring!$C$11+$H$10*Wiring!$C$12</f>
        <v>0</v>
      </c>
      <c r="D21" s="10" t="n">
        <f aca="false">$B$10*Wiring!$D$6+$C$10*Wiring!$D$7+$D$10*Wiring!$D$8+$E$10*Wiring!$D$9+$F$10*Wiring!$D$10+$G$10*Wiring!$D$11+$H$10*Wiring!$D$12</f>
        <v>0</v>
      </c>
      <c r="E21" s="10" t="n">
        <f aca="false">$B$10*Wiring!$E$6+$C$10*Wiring!$E$7+$D$10*Wiring!$E$8+$E$10*Wiring!$E$9+$F$10*Wiring!$E$10+$G$10*Wiring!$E$11+$H$10*Wiring!$E$12</f>
        <v>0</v>
      </c>
      <c r="F21" s="10" t="n">
        <f aca="false">$B$10*Wiring!$F$6+$C$10*Wiring!$F$7+$D$10*Wiring!$F$8+$E$10*Wiring!$F$9+$F$10*Wiring!$F$10+$G$10*Wiring!$F$11+$H$10*Wiring!$F$12</f>
        <v>0</v>
      </c>
      <c r="G21" s="10" t="n">
        <f aca="false">$B$10*Wiring!$G$6+$C$10*Wiring!$G$7+$D$10*Wiring!$G$8+$E$10*Wiring!$G$9+$F$10*Wiring!$G$10+$G$10*Wiring!$G$11+$H$10*Wiring!$G$12</f>
        <v>4</v>
      </c>
      <c r="H21" s="10" t="n">
        <f aca="false">$B$10*Wiring!$H$6+$C$10*Wiring!$H$7+$D$10*Wiring!$H$8+$E$10*Wiring!$H$9+$F$10*Wiring!$H$10+$G$10*Wiring!$H$11+$H$10*Wiring!$H$12</f>
        <v>4</v>
      </c>
      <c r="M21" s="8" t="s">
        <v>18</v>
      </c>
      <c r="N21" s="8"/>
      <c r="O21" s="8" t="s">
        <v>171</v>
      </c>
    </row>
    <row r="22" customFormat="false" ht="15" hidden="false" customHeight="false" outlineLevel="0" collapsed="false">
      <c r="A22" s="4" t="s">
        <v>42</v>
      </c>
      <c r="B22" s="10" t="n">
        <f aca="false">$B$11*Wiring!$B$6+$C$11*Wiring!$B$7+$D$11*Wiring!$B$8+$E$11*Wiring!$B$9+$F$11*Wiring!$B$10+$G$11*Wiring!$B$11+$H$11*Wiring!$B$12</f>
        <v>0</v>
      </c>
      <c r="C22" s="10" t="n">
        <f aca="false">$B$11*Wiring!$C$6+$C$11*Wiring!$C$7+$D$11*Wiring!$C$8+$E$11*Wiring!$C$9+$F$11*Wiring!$C$10+$G$11*Wiring!$C$11+$H$11*Wiring!$C$12</f>
        <v>0</v>
      </c>
      <c r="D22" s="10" t="n">
        <f aca="false">$B$11*Wiring!$D$6+$C$11*Wiring!$D$7+$D$11*Wiring!$D$8+$E$11*Wiring!$D$9+$F$11*Wiring!$D$10+$G$11*Wiring!$D$11+$H$11*Wiring!$D$12</f>
        <v>0</v>
      </c>
      <c r="E22" s="10" t="n">
        <f aca="false">$B$11*Wiring!$E$6+$C$11*Wiring!$E$7+$D$11*Wiring!$E$8+$E$11*Wiring!$E$9+$F$11*Wiring!$E$10+$G$11*Wiring!$E$11+$H$11*Wiring!$E$12</f>
        <v>4</v>
      </c>
      <c r="F22" s="10" t="n">
        <f aca="false">$B$11*Wiring!$F$6+$C$11*Wiring!$F$7+$D$11*Wiring!$F$8+$E$11*Wiring!$F$9+$F$11*Wiring!$F$10+$G$11*Wiring!$F$11+$H$11*Wiring!$F$12</f>
        <v>4</v>
      </c>
      <c r="G22" s="10" t="n">
        <f aca="false">$B$11*Wiring!$G$6+$C$11*Wiring!$G$7+$D$11*Wiring!$G$8+$E$11*Wiring!$G$9+$F$11*Wiring!$G$10+$G$11*Wiring!$G$11+$H$11*Wiring!$G$12</f>
        <v>0</v>
      </c>
      <c r="H22" s="10" t="n">
        <f aca="false">$B$11*Wiring!$H$6+$C$11*Wiring!$H$7+$D$11*Wiring!$H$8+$E$11*Wiring!$H$9+$F$11*Wiring!$H$10+$G$11*Wiring!$H$11+$H$11*Wiring!$H$12</f>
        <v>0</v>
      </c>
      <c r="M22" s="2" t="s">
        <v>23</v>
      </c>
      <c r="O22" s="10" t="n">
        <f aca="false">COUNTIF($K$94:$K$94,1)*$K$94</f>
        <v>0</v>
      </c>
    </row>
    <row r="23" customFormat="false" ht="15" hidden="false" customHeight="false" outlineLevel="0" collapsed="false">
      <c r="A23" s="4" t="s">
        <v>46</v>
      </c>
      <c r="B23" s="10" t="n">
        <f aca="false">$B$12*Wiring!$B$6+$C$12*Wiring!$B$7+$D$12*Wiring!$B$8+$E$12*Wiring!$B$9+$F$12*Wiring!$B$10+$G$12*Wiring!$B$11+$H$12*Wiring!$B$12</f>
        <v>0</v>
      </c>
      <c r="C23" s="10" t="n">
        <f aca="false">$B$12*Wiring!$C$6+$C$12*Wiring!$C$7+$D$12*Wiring!$C$8+$E$12*Wiring!$C$9+$F$12*Wiring!$C$10+$G$12*Wiring!$C$11+$H$12*Wiring!$C$12</f>
        <v>0</v>
      </c>
      <c r="D23" s="10" t="n">
        <f aca="false">$B$12*Wiring!$D$6+$C$12*Wiring!$D$7+$D$12*Wiring!$D$8+$E$12*Wiring!$D$9+$F$12*Wiring!$D$10+$G$12*Wiring!$D$11+$H$12*Wiring!$D$12</f>
        <v>0</v>
      </c>
      <c r="E23" s="10" t="n">
        <f aca="false">$B$12*Wiring!$E$6+$C$12*Wiring!$E$7+$D$12*Wiring!$E$8+$E$12*Wiring!$E$9+$F$12*Wiring!$E$10+$G$12*Wiring!$E$11+$H$12*Wiring!$E$12</f>
        <v>4</v>
      </c>
      <c r="F23" s="10" t="n">
        <f aca="false">$B$12*Wiring!$F$6+$C$12*Wiring!$F$7+$D$12*Wiring!$F$8+$E$12*Wiring!$F$9+$F$12*Wiring!$F$10+$G$12*Wiring!$F$11+$H$12*Wiring!$F$12</f>
        <v>4</v>
      </c>
      <c r="G23" s="10" t="n">
        <f aca="false">$B$12*Wiring!$G$6+$C$12*Wiring!$G$7+$D$12*Wiring!$G$8+$E$12*Wiring!$G$9+$F$12*Wiring!$G$10+$G$12*Wiring!$G$11+$H$12*Wiring!$G$12</f>
        <v>0</v>
      </c>
      <c r="H23" s="10" t="n">
        <f aca="false">$B$12*Wiring!$H$6+$C$12*Wiring!$H$7+$D$12*Wiring!$H$8+$E$12*Wiring!$H$9+$F$12*Wiring!$H$10+$G$12*Wiring!$H$11+$H$12*Wiring!$H$12</f>
        <v>0</v>
      </c>
      <c r="M23" s="2" t="s">
        <v>28</v>
      </c>
      <c r="O23" s="10" t="n">
        <f aca="false">COUNTIF($K$94:$K$95,1)*$K$95</f>
        <v>0</v>
      </c>
    </row>
    <row r="24" customFormat="false" ht="15" hidden="false" customHeight="false" outlineLevel="0" collapsed="false">
      <c r="M24" s="2" t="s">
        <v>32</v>
      </c>
      <c r="O24" s="10" t="n">
        <f aca="false">COUNTIF($K$94:$K$96,1)*$K$96</f>
        <v>0</v>
      </c>
    </row>
    <row r="25" customFormat="false" ht="15" hidden="false" customHeight="false" outlineLevel="0" collapsed="false">
      <c r="M25" s="2" t="s">
        <v>37</v>
      </c>
      <c r="O25" s="10" t="n">
        <f aca="false">COUNTIF($K$94:$K$97,1)*$K$97</f>
        <v>1</v>
      </c>
    </row>
    <row r="26" customFormat="false" ht="15" hidden="false" customHeight="false" outlineLevel="0" collapsed="false">
      <c r="A26" s="4" t="s">
        <v>172</v>
      </c>
      <c r="M26" s="2" t="s">
        <v>40</v>
      </c>
      <c r="O26" s="10" t="n">
        <f aca="false">COUNTIF($K$94:$K$98,1)*$K$98</f>
        <v>2</v>
      </c>
    </row>
    <row r="27" customFormat="false" ht="15" hidden="false" customHeight="false" outlineLevel="0" collapsed="false">
      <c r="A27" s="8"/>
      <c r="B27" s="8" t="s">
        <v>23</v>
      </c>
      <c r="C27" s="8" t="s">
        <v>28</v>
      </c>
      <c r="D27" s="8" t="s">
        <v>32</v>
      </c>
      <c r="E27" s="8" t="s">
        <v>37</v>
      </c>
      <c r="F27" s="8" t="s">
        <v>40</v>
      </c>
      <c r="G27" s="8" t="s">
        <v>42</v>
      </c>
      <c r="H27" s="8" t="s">
        <v>46</v>
      </c>
      <c r="M27" s="2" t="s">
        <v>42</v>
      </c>
      <c r="O27" s="10" t="n">
        <f aca="false">COUNTIF($K$94:$K$99,1)*$K$99</f>
        <v>3</v>
      </c>
    </row>
    <row r="28" customFormat="false" ht="15" hidden="false" customHeight="false" outlineLevel="0" collapsed="false">
      <c r="A28" s="4" t="s">
        <v>23</v>
      </c>
      <c r="B28" s="10" t="n">
        <f aca="false">$B$17*Wiring!$B$6+$C$17*Wiring!$B$7+$D$17*Wiring!$B$8+$E$17*Wiring!$B$9+$F$17*Wiring!$B$10+$G$17*Wiring!$B$11+$H$17*Wiring!$B$12</f>
        <v>0</v>
      </c>
      <c r="C28" s="10" t="n">
        <f aca="false">$B$17*Wiring!$C$6+$C$17*Wiring!$C$7+$D$17*Wiring!$C$8+$E$17*Wiring!$C$9+$F$17*Wiring!$C$10+$G$17*Wiring!$C$11+$H$17*Wiring!$C$12</f>
        <v>0</v>
      </c>
      <c r="D28" s="10" t="n">
        <f aca="false">$B$17*Wiring!$D$6+$C$17*Wiring!$D$7+$D$17*Wiring!$D$8+$E$17*Wiring!$D$9+$F$17*Wiring!$D$10+$G$17*Wiring!$D$11+$H$17*Wiring!$D$12</f>
        <v>0</v>
      </c>
      <c r="E28" s="10" t="n">
        <f aca="false">$B$17*Wiring!$E$6+$C$17*Wiring!$E$7+$D$17*Wiring!$E$8+$E$17*Wiring!$E$9+$F$17*Wiring!$E$10+$G$17*Wiring!$E$11+$H$17*Wiring!$E$12</f>
        <v>0</v>
      </c>
      <c r="F28" s="10" t="n">
        <f aca="false">$B$17*Wiring!$F$6+$C$17*Wiring!$F$7+$D$17*Wiring!$F$8+$E$17*Wiring!$F$9+$F$17*Wiring!$F$10+$G$17*Wiring!$F$11+$H$17*Wiring!$F$12</f>
        <v>0</v>
      </c>
      <c r="G28" s="10" t="n">
        <f aca="false">$B$17*Wiring!$G$6+$C$17*Wiring!$G$7+$D$17*Wiring!$G$8+$E$17*Wiring!$G$9+$F$17*Wiring!$G$10+$G$17*Wiring!$G$11+$H$17*Wiring!$G$12</f>
        <v>10</v>
      </c>
      <c r="H28" s="10" t="n">
        <f aca="false">$B$17*Wiring!$H$6+$C$17*Wiring!$H$7+$D$17*Wiring!$H$8+$E$17*Wiring!$H$9+$F$17*Wiring!$H$10+$G$17*Wiring!$H$11+$H$17*Wiring!$H$12</f>
        <v>10</v>
      </c>
      <c r="M28" s="2" t="s">
        <v>46</v>
      </c>
      <c r="O28" s="10" t="n">
        <f aca="false">COUNTIF($K$94:$K$100,1)*$K$100</f>
        <v>4</v>
      </c>
    </row>
    <row r="29" customFormat="false" ht="23.85" hidden="false" customHeight="false" outlineLevel="0" collapsed="false">
      <c r="A29" s="4" t="s">
        <v>28</v>
      </c>
      <c r="B29" s="10" t="n">
        <f aca="false">$B$18*Wiring!$B$6+$C$18*Wiring!$B$7+$D$18*Wiring!$B$8+$E$18*Wiring!$B$9+$F$18*Wiring!$B$10+$G$18*Wiring!$B$11+$H$18*Wiring!$B$12</f>
        <v>0</v>
      </c>
      <c r="C29" s="10" t="n">
        <f aca="false">$B$18*Wiring!$C$6+$C$18*Wiring!$C$7+$D$18*Wiring!$C$8+$E$18*Wiring!$C$9+$F$18*Wiring!$C$10+$G$18*Wiring!$C$11+$H$18*Wiring!$C$12</f>
        <v>0</v>
      </c>
      <c r="D29" s="10" t="n">
        <f aca="false">$B$18*Wiring!$D$6+$C$18*Wiring!$D$7+$D$18*Wiring!$D$8+$E$18*Wiring!$D$9+$F$18*Wiring!$D$10+$G$18*Wiring!$D$11+$H$18*Wiring!$D$12</f>
        <v>0</v>
      </c>
      <c r="E29" s="10" t="n">
        <f aca="false">$B$18*Wiring!$E$6+$C$18*Wiring!$E$7+$D$18*Wiring!$E$8+$E$18*Wiring!$E$9+$F$18*Wiring!$E$10+$G$18*Wiring!$E$11+$H$18*Wiring!$E$12</f>
        <v>4</v>
      </c>
      <c r="F29" s="10" t="n">
        <f aca="false">$B$18*Wiring!$F$6+$C$18*Wiring!$F$7+$D$18*Wiring!$F$8+$E$18*Wiring!$F$9+$F$18*Wiring!$F$10+$G$18*Wiring!$F$11+$H$18*Wiring!$F$12</f>
        <v>4</v>
      </c>
      <c r="G29" s="10" t="n">
        <f aca="false">$B$18*Wiring!$G$6+$C$18*Wiring!$G$7+$D$18*Wiring!$G$8+$E$18*Wiring!$G$9+$F$18*Wiring!$G$10+$G$18*Wiring!$G$11+$H$18*Wiring!$G$12</f>
        <v>4</v>
      </c>
      <c r="H29" s="10" t="n">
        <f aca="false">$B$18*Wiring!$H$6+$C$18*Wiring!$H$7+$D$18*Wiring!$H$8+$E$18*Wiring!$H$9+$F$18*Wiring!$H$10+$G$18*Wiring!$H$11+$H$18*Wiring!$H$12</f>
        <v>4</v>
      </c>
      <c r="M29" s="8" t="s">
        <v>173</v>
      </c>
      <c r="N29" s="8" t="s">
        <v>174</v>
      </c>
    </row>
    <row r="30" customFormat="false" ht="15" hidden="false" customHeight="false" outlineLevel="0" collapsed="false">
      <c r="A30" s="4" t="s">
        <v>32</v>
      </c>
      <c r="B30" s="10" t="n">
        <f aca="false">$B$19*Wiring!$B$6+$C$19*Wiring!$B$7+$D$19*Wiring!$B$8+$E$19*Wiring!$B$9+$F$19*Wiring!$B$10+$G$19*Wiring!$B$11+$H$19*Wiring!$B$12</f>
        <v>0</v>
      </c>
      <c r="C30" s="10" t="n">
        <f aca="false">$B$19*Wiring!$C$6+$C$19*Wiring!$C$7+$D$19*Wiring!$C$8+$E$19*Wiring!$C$9+$F$19*Wiring!$C$10+$G$19*Wiring!$C$11+$H$19*Wiring!$C$12</f>
        <v>0</v>
      </c>
      <c r="D30" s="10" t="n">
        <f aca="false">$B$19*Wiring!$D$6+$C$19*Wiring!$D$7+$D$19*Wiring!$D$8+$E$19*Wiring!$D$9+$F$19*Wiring!$D$10+$G$19*Wiring!$D$11+$H$19*Wiring!$D$12</f>
        <v>0</v>
      </c>
      <c r="E30" s="10" t="n">
        <f aca="false">$B$19*Wiring!$E$6+$C$19*Wiring!$E$7+$D$19*Wiring!$E$8+$E$19*Wiring!$E$9+$F$19*Wiring!$E$10+$G$19*Wiring!$E$11+$H$19*Wiring!$E$12</f>
        <v>4</v>
      </c>
      <c r="F30" s="10" t="n">
        <f aca="false">$B$19*Wiring!$F$6+$C$19*Wiring!$F$7+$D$19*Wiring!$F$8+$E$19*Wiring!$F$9+$F$19*Wiring!$F$10+$G$19*Wiring!$F$11+$H$19*Wiring!$F$12</f>
        <v>4</v>
      </c>
      <c r="G30" s="10" t="n">
        <f aca="false">$B$19*Wiring!$G$6+$C$19*Wiring!$G$7+$D$19*Wiring!$G$8+$E$19*Wiring!$G$9+$F$19*Wiring!$G$10+$G$19*Wiring!$G$11+$H$19*Wiring!$G$12</f>
        <v>0</v>
      </c>
      <c r="H30" s="10" t="n">
        <f aca="false">$B$19*Wiring!$H$6+$C$19*Wiring!$H$7+$D$19*Wiring!$H$8+$E$19*Wiring!$H$9+$F$19*Wiring!$H$10+$G$19*Wiring!$H$11+$H$19*Wiring!$H$12</f>
        <v>0</v>
      </c>
      <c r="M30" s="10" t="n">
        <v>1</v>
      </c>
      <c r="N30" s="2" t="str">
        <f aca="false">INDEX($M$22:$M$28,MATCH(1,$O$22:$O$28,0))</f>
        <v>IND</v>
      </c>
    </row>
    <row r="31" customFormat="false" ht="15" hidden="false" customHeight="false" outlineLevel="0" collapsed="false">
      <c r="A31" s="4" t="s">
        <v>37</v>
      </c>
      <c r="B31" s="10" t="n">
        <f aca="false">$B$20*Wiring!$B$6+$C$20*Wiring!$B$7+$D$20*Wiring!$B$8+$E$20*Wiring!$B$9+$F$20*Wiring!$B$10+$G$20*Wiring!$B$11+$H$20*Wiring!$B$12</f>
        <v>0</v>
      </c>
      <c r="C31" s="10" t="n">
        <f aca="false">$B$20*Wiring!$C$6+$C$20*Wiring!$C$7+$D$20*Wiring!$C$8+$E$20*Wiring!$C$9+$F$20*Wiring!$C$10+$G$20*Wiring!$C$11+$H$20*Wiring!$C$12</f>
        <v>0</v>
      </c>
      <c r="D31" s="10" t="n">
        <f aca="false">$B$20*Wiring!$D$6+$C$20*Wiring!$D$7+$D$20*Wiring!$D$8+$E$20*Wiring!$D$9+$F$20*Wiring!$D$10+$G$20*Wiring!$D$11+$H$20*Wiring!$D$12</f>
        <v>0</v>
      </c>
      <c r="E31" s="10" t="n">
        <f aca="false">$B$20*Wiring!$E$6+$C$20*Wiring!$E$7+$D$20*Wiring!$E$8+$E$20*Wiring!$E$9+$F$20*Wiring!$E$10+$G$20*Wiring!$E$11+$H$20*Wiring!$E$12</f>
        <v>8</v>
      </c>
      <c r="F31" s="10" t="n">
        <f aca="false">$B$20*Wiring!$F$6+$C$20*Wiring!$F$7+$D$20*Wiring!$F$8+$E$20*Wiring!$F$9+$F$20*Wiring!$F$10+$G$20*Wiring!$F$11+$H$20*Wiring!$F$12</f>
        <v>8</v>
      </c>
      <c r="G31" s="10" t="n">
        <f aca="false">$B$20*Wiring!$G$6+$C$20*Wiring!$G$7+$D$20*Wiring!$G$8+$E$20*Wiring!$G$9+$F$20*Wiring!$G$10+$G$20*Wiring!$G$11+$H$20*Wiring!$G$12</f>
        <v>0</v>
      </c>
      <c r="H31" s="10" t="n">
        <f aca="false">$B$20*Wiring!$H$6+$C$20*Wiring!$H$7+$D$20*Wiring!$H$8+$E$20*Wiring!$H$9+$F$20*Wiring!$H$10+$G$20*Wiring!$H$11+$H$20*Wiring!$H$12</f>
        <v>0</v>
      </c>
      <c r="M31" s="10" t="n">
        <v>2</v>
      </c>
      <c r="N31" s="2" t="str">
        <f aca="false">INDEX($M$22:$M$28,MATCH(2,$O$22:$O$28,0))</f>
        <v>DIG</v>
      </c>
    </row>
    <row r="32" customFormat="false" ht="15" hidden="false" customHeight="false" outlineLevel="0" collapsed="false">
      <c r="A32" s="4" t="s">
        <v>40</v>
      </c>
      <c r="B32" s="10" t="n">
        <f aca="false">$B$21*Wiring!$B$6+$C$21*Wiring!$B$7+$D$21*Wiring!$B$8+$E$21*Wiring!$B$9+$F$21*Wiring!$B$10+$G$21*Wiring!$B$11+$H$21*Wiring!$B$12</f>
        <v>0</v>
      </c>
      <c r="C32" s="10" t="n">
        <f aca="false">$B$21*Wiring!$C$6+$C$21*Wiring!$C$7+$D$21*Wiring!$C$8+$E$21*Wiring!$C$9+$F$21*Wiring!$C$10+$G$21*Wiring!$C$11+$H$21*Wiring!$C$12</f>
        <v>0</v>
      </c>
      <c r="D32" s="10" t="n">
        <f aca="false">$B$21*Wiring!$D$6+$C$21*Wiring!$D$7+$D$21*Wiring!$D$8+$E$21*Wiring!$D$9+$F$21*Wiring!$D$10+$G$21*Wiring!$D$11+$H$21*Wiring!$D$12</f>
        <v>0</v>
      </c>
      <c r="E32" s="10" t="n">
        <f aca="false">$B$21*Wiring!$E$6+$C$21*Wiring!$E$7+$D$21*Wiring!$E$8+$E$21*Wiring!$E$9+$F$21*Wiring!$E$10+$G$21*Wiring!$E$11+$H$21*Wiring!$E$12</f>
        <v>8</v>
      </c>
      <c r="F32" s="10" t="n">
        <f aca="false">$B$21*Wiring!$F$6+$C$21*Wiring!$F$7+$D$21*Wiring!$F$8+$E$21*Wiring!$F$9+$F$21*Wiring!$F$10+$G$21*Wiring!$F$11+$H$21*Wiring!$F$12</f>
        <v>8</v>
      </c>
      <c r="G32" s="10" t="n">
        <f aca="false">$B$21*Wiring!$G$6+$C$21*Wiring!$G$7+$D$21*Wiring!$G$8+$E$21*Wiring!$G$9+$F$21*Wiring!$G$10+$G$21*Wiring!$G$11+$H$21*Wiring!$G$12</f>
        <v>0</v>
      </c>
      <c r="H32" s="10" t="n">
        <f aca="false">$B$21*Wiring!$H$6+$C$21*Wiring!$H$7+$D$21*Wiring!$H$8+$E$21*Wiring!$H$9+$F$21*Wiring!$H$10+$G$21*Wiring!$H$11+$H$21*Wiring!$H$12</f>
        <v>0</v>
      </c>
      <c r="M32" s="10" t="n">
        <v>3</v>
      </c>
      <c r="N32" s="2" t="str">
        <f aca="false">INDEX($M$22:$M$28,MATCH(3,$O$22:$O$28,0))</f>
        <v>ENG</v>
      </c>
    </row>
    <row r="33" customFormat="false" ht="15" hidden="false" customHeight="false" outlineLevel="0" collapsed="false">
      <c r="A33" s="4" t="s">
        <v>42</v>
      </c>
      <c r="B33" s="10" t="n">
        <f aca="false">$B$22*Wiring!$B$6+$C$22*Wiring!$B$7+$D$22*Wiring!$B$8+$E$22*Wiring!$B$9+$F$22*Wiring!$B$10+$G$22*Wiring!$B$11+$H$22*Wiring!$B$12</f>
        <v>0</v>
      </c>
      <c r="C33" s="10" t="n">
        <f aca="false">$B$22*Wiring!$C$6+$C$22*Wiring!$C$7+$D$22*Wiring!$C$8+$E$22*Wiring!$C$9+$F$22*Wiring!$C$10+$G$22*Wiring!$C$11+$H$22*Wiring!$C$12</f>
        <v>0</v>
      </c>
      <c r="D33" s="10" t="n">
        <f aca="false">$B$22*Wiring!$D$6+$C$22*Wiring!$D$7+$D$22*Wiring!$D$8+$E$22*Wiring!$D$9+$F$22*Wiring!$D$10+$G$22*Wiring!$D$11+$H$22*Wiring!$D$12</f>
        <v>0</v>
      </c>
      <c r="E33" s="10" t="n">
        <f aca="false">$B$22*Wiring!$E$6+$C$22*Wiring!$E$7+$D$22*Wiring!$E$8+$E$22*Wiring!$E$9+$F$22*Wiring!$E$10+$G$22*Wiring!$E$11+$H$22*Wiring!$E$12</f>
        <v>0</v>
      </c>
      <c r="F33" s="10" t="n">
        <f aca="false">$B$22*Wiring!$F$6+$C$22*Wiring!$F$7+$D$22*Wiring!$F$8+$E$22*Wiring!$F$9+$F$22*Wiring!$F$10+$G$22*Wiring!$F$11+$H$22*Wiring!$F$12</f>
        <v>0</v>
      </c>
      <c r="G33" s="10" t="n">
        <f aca="false">$B$22*Wiring!$G$6+$C$22*Wiring!$G$7+$D$22*Wiring!$G$8+$E$22*Wiring!$G$9+$F$22*Wiring!$G$10+$G$22*Wiring!$G$11+$H$22*Wiring!$G$12</f>
        <v>8</v>
      </c>
      <c r="H33" s="10" t="n">
        <f aca="false">$B$22*Wiring!$H$6+$C$22*Wiring!$H$7+$D$22*Wiring!$H$8+$E$22*Wiring!$H$9+$F$22*Wiring!$H$10+$G$22*Wiring!$H$11+$H$22*Wiring!$H$12</f>
        <v>8</v>
      </c>
      <c r="M33" s="10" t="n">
        <v>4</v>
      </c>
      <c r="N33" s="2" t="str">
        <f aca="false">INDEX($M$22:$M$28,MATCH(4,$O$22:$O$28,0))</f>
        <v>TRS</v>
      </c>
    </row>
    <row r="34" customFormat="false" ht="15" hidden="false" customHeight="false" outlineLevel="0" collapsed="false">
      <c r="A34" s="4" t="s">
        <v>46</v>
      </c>
      <c r="B34" s="10" t="n">
        <f aca="false">$B$23*Wiring!$B$6+$C$23*Wiring!$B$7+$D$23*Wiring!$B$8+$E$23*Wiring!$B$9+$F$23*Wiring!$B$10+$G$23*Wiring!$B$11+$H$23*Wiring!$B$12</f>
        <v>0</v>
      </c>
      <c r="C34" s="10" t="n">
        <f aca="false">$B$23*Wiring!$C$6+$C$23*Wiring!$C$7+$D$23*Wiring!$C$8+$E$23*Wiring!$C$9+$F$23*Wiring!$C$10+$G$23*Wiring!$C$11+$H$23*Wiring!$C$12</f>
        <v>0</v>
      </c>
      <c r="D34" s="10" t="n">
        <f aca="false">$B$23*Wiring!$D$6+$C$23*Wiring!$D$7+$D$23*Wiring!$D$8+$E$23*Wiring!$D$9+$F$23*Wiring!$D$10+$G$23*Wiring!$D$11+$H$23*Wiring!$D$12</f>
        <v>0</v>
      </c>
      <c r="E34" s="10" t="n">
        <f aca="false">$B$23*Wiring!$E$6+$C$23*Wiring!$E$7+$D$23*Wiring!$E$8+$E$23*Wiring!$E$9+$F$23*Wiring!$E$10+$G$23*Wiring!$E$11+$H$23*Wiring!$E$12</f>
        <v>0</v>
      </c>
      <c r="F34" s="10" t="n">
        <f aca="false">$B$23*Wiring!$F$6+$C$23*Wiring!$F$7+$D$23*Wiring!$F$8+$E$23*Wiring!$F$9+$F$23*Wiring!$F$10+$G$23*Wiring!$F$11+$H$23*Wiring!$F$12</f>
        <v>0</v>
      </c>
      <c r="G34" s="10" t="n">
        <f aca="false">$B$23*Wiring!$G$6+$C$23*Wiring!$G$7+$D$23*Wiring!$G$8+$E$23*Wiring!$G$9+$F$23*Wiring!$G$10+$G$23*Wiring!$G$11+$H$23*Wiring!$G$12</f>
        <v>8</v>
      </c>
      <c r="H34" s="10" t="n">
        <f aca="false">$B$23*Wiring!$H$6+$C$23*Wiring!$H$7+$D$23*Wiring!$H$8+$E$23*Wiring!$H$9+$F$23*Wiring!$H$10+$G$23*Wiring!$H$11+$H$23*Wiring!$H$12</f>
        <v>8</v>
      </c>
    </row>
    <row r="35" customFormat="false" ht="15" hidden="false" customHeight="false" outlineLevel="0" collapsed="false">
      <c r="M35" s="8" t="s">
        <v>175</v>
      </c>
      <c r="N35" s="8" t="s">
        <v>176</v>
      </c>
      <c r="O35" s="8" t="s">
        <v>177</v>
      </c>
    </row>
    <row r="36" customFormat="false" ht="15" hidden="false" customHeight="false" outlineLevel="0" collapsed="false">
      <c r="M36" s="2" t="str">
        <f aca="false">$N$30&amp;" &gt; "&amp;$N$31&amp;" &gt; "&amp;$N$30</f>
        <v>IND &gt; DIG &gt; IND</v>
      </c>
      <c r="N36" s="2" t="s">
        <v>178</v>
      </c>
      <c r="O36" s="10" t="n">
        <f aca="false">INDEX(Wiring!$B$6:$H$12,MATCH($N$30,Wiring!$A$6:$A$12,0),MATCH($N$31,Wiring!$B$5:$H$5,0))*INDEX(Wiring!$B$6:$H$12,MATCH($N$31,Wiring!$A$6:$A$12,0),MATCH($N$30,Wiring!$B$5:$H$5,0))</f>
        <v>0</v>
      </c>
    </row>
    <row r="37" customFormat="false" ht="15" hidden="false" customHeight="false" outlineLevel="0" collapsed="false">
      <c r="A37" s="4" t="s">
        <v>179</v>
      </c>
      <c r="M37" s="2" t="str">
        <f aca="false">$N$30&amp;" &gt; "&amp;$N$32&amp;" &gt; "&amp;$N$30</f>
        <v>IND &gt; ENG &gt; IND</v>
      </c>
      <c r="N37" s="2" t="s">
        <v>178</v>
      </c>
      <c r="O37" s="10" t="n">
        <f aca="false">INDEX(Wiring!$B$6:$H$12,MATCH($N$30,Wiring!$A$6:$A$12,0),MATCH($N$32,Wiring!$B$5:$H$5,0))*INDEX(Wiring!$B$6:$H$12,MATCH($N$32,Wiring!$A$6:$A$12,0),MATCH($N$30,Wiring!$B$5:$H$5,0))</f>
        <v>1</v>
      </c>
    </row>
    <row r="38" customFormat="false" ht="15" hidden="false" customHeight="false" outlineLevel="0" collapsed="false">
      <c r="A38" s="8"/>
      <c r="B38" s="8" t="s">
        <v>23</v>
      </c>
      <c r="C38" s="8" t="s">
        <v>28</v>
      </c>
      <c r="D38" s="8" t="s">
        <v>32</v>
      </c>
      <c r="E38" s="8" t="s">
        <v>37</v>
      </c>
      <c r="F38" s="8" t="s">
        <v>40</v>
      </c>
      <c r="G38" s="8" t="s">
        <v>42</v>
      </c>
      <c r="H38" s="8" t="s">
        <v>46</v>
      </c>
      <c r="M38" s="2" t="str">
        <f aca="false">$N$30&amp;" &gt; "&amp;$N$33&amp;" &gt; "&amp;$N$30</f>
        <v>IND &gt; TRS &gt; IND</v>
      </c>
      <c r="N38" s="2" t="s">
        <v>178</v>
      </c>
      <c r="O38" s="10" t="n">
        <f aca="false">INDEX(Wiring!$B$6:$H$12,MATCH($N$30,Wiring!$A$6:$A$12,0),MATCH($N$33,Wiring!$B$5:$H$5,0))*INDEX(Wiring!$B$6:$H$12,MATCH($N$33,Wiring!$A$6:$A$12,0),MATCH($N$30,Wiring!$B$5:$H$5,0))</f>
        <v>1</v>
      </c>
    </row>
    <row r="39" customFormat="false" ht="15" hidden="false" customHeight="false" outlineLevel="0" collapsed="false">
      <c r="A39" s="4" t="s">
        <v>23</v>
      </c>
      <c r="B39" s="10" t="n">
        <f aca="false">$B$28*Wiring!$B$6+$C$28*Wiring!$B$7+$D$28*Wiring!$B$8+$E$28*Wiring!$B$9+$F$28*Wiring!$B$10+$G$28*Wiring!$B$11+$H$28*Wiring!$B$12</f>
        <v>0</v>
      </c>
      <c r="C39" s="10" t="n">
        <f aca="false">$B$28*Wiring!$C$6+$C$28*Wiring!$C$7+$D$28*Wiring!$C$8+$E$28*Wiring!$C$9+$F$28*Wiring!$C$10+$G$28*Wiring!$C$11+$H$28*Wiring!$C$12</f>
        <v>0</v>
      </c>
      <c r="D39" s="10" t="n">
        <f aca="false">$B$28*Wiring!$D$6+$C$28*Wiring!$D$7+$D$28*Wiring!$D$8+$E$28*Wiring!$D$9+$F$28*Wiring!$D$10+$G$28*Wiring!$D$11+$H$28*Wiring!$D$12</f>
        <v>0</v>
      </c>
      <c r="E39" s="10" t="n">
        <f aca="false">$B$28*Wiring!$E$6+$C$28*Wiring!$E$7+$D$28*Wiring!$E$8+$E$28*Wiring!$E$9+$F$28*Wiring!$E$10+$G$28*Wiring!$E$11+$H$28*Wiring!$E$12</f>
        <v>20</v>
      </c>
      <c r="F39" s="10" t="n">
        <f aca="false">$B$28*Wiring!$F$6+$C$28*Wiring!$F$7+$D$28*Wiring!$F$8+$E$28*Wiring!$F$9+$F$28*Wiring!$F$10+$G$28*Wiring!$F$11+$H$28*Wiring!$F$12</f>
        <v>20</v>
      </c>
      <c r="G39" s="10" t="n">
        <f aca="false">$B$28*Wiring!$G$6+$C$28*Wiring!$G$7+$D$28*Wiring!$G$8+$E$28*Wiring!$G$9+$F$28*Wiring!$G$10+$G$28*Wiring!$G$11+$H$28*Wiring!$G$12</f>
        <v>0</v>
      </c>
      <c r="H39" s="10" t="n">
        <f aca="false">$B$28*Wiring!$H$6+$C$28*Wiring!$H$7+$D$28*Wiring!$H$8+$E$28*Wiring!$H$9+$F$28*Wiring!$H$10+$G$28*Wiring!$H$11+$H$28*Wiring!$H$12</f>
        <v>0</v>
      </c>
      <c r="M39" s="2" t="str">
        <f aca="false">$N$31&amp;" &gt; "&amp;$N$32&amp;" &gt; "&amp;$N$31</f>
        <v>DIG &gt; ENG &gt; DIG</v>
      </c>
      <c r="N39" s="2" t="s">
        <v>178</v>
      </c>
      <c r="O39" s="10" t="n">
        <f aca="false">INDEX(Wiring!$B$6:$H$12,MATCH($N$31,Wiring!$A$6:$A$12,0),MATCH($N$32,Wiring!$B$5:$H$5,0))*INDEX(Wiring!$B$6:$H$12,MATCH($N$32,Wiring!$A$6:$A$12,0),MATCH($N$31,Wiring!$B$5:$H$5,0))</f>
        <v>1</v>
      </c>
    </row>
    <row r="40" customFormat="false" ht="15" hidden="false" customHeight="false" outlineLevel="0" collapsed="false">
      <c r="A40" s="4" t="s">
        <v>28</v>
      </c>
      <c r="B40" s="10" t="n">
        <f aca="false">$B$29*Wiring!$B$6+$C$29*Wiring!$B$7+$D$29*Wiring!$B$8+$E$29*Wiring!$B$9+$F$29*Wiring!$B$10+$G$29*Wiring!$B$11+$H$29*Wiring!$B$12</f>
        <v>0</v>
      </c>
      <c r="C40" s="10" t="n">
        <f aca="false">$B$29*Wiring!$C$6+$C$29*Wiring!$C$7+$D$29*Wiring!$C$8+$E$29*Wiring!$C$9+$F$29*Wiring!$C$10+$G$29*Wiring!$C$11+$H$29*Wiring!$C$12</f>
        <v>0</v>
      </c>
      <c r="D40" s="10" t="n">
        <f aca="false">$B$29*Wiring!$D$6+$C$29*Wiring!$D$7+$D$29*Wiring!$D$8+$E$29*Wiring!$D$9+$F$29*Wiring!$D$10+$G$29*Wiring!$D$11+$H$29*Wiring!$D$12</f>
        <v>0</v>
      </c>
      <c r="E40" s="10" t="n">
        <f aca="false">$B$29*Wiring!$E$6+$C$29*Wiring!$E$7+$D$29*Wiring!$E$8+$E$29*Wiring!$E$9+$F$29*Wiring!$E$10+$G$29*Wiring!$E$11+$H$29*Wiring!$E$12</f>
        <v>8</v>
      </c>
      <c r="F40" s="10" t="n">
        <f aca="false">$B$29*Wiring!$F$6+$C$29*Wiring!$F$7+$D$29*Wiring!$F$8+$E$29*Wiring!$F$9+$F$29*Wiring!$F$10+$G$29*Wiring!$F$11+$H$29*Wiring!$F$12</f>
        <v>8</v>
      </c>
      <c r="G40" s="10" t="n">
        <f aca="false">$B$29*Wiring!$G$6+$C$29*Wiring!$G$7+$D$29*Wiring!$G$8+$E$29*Wiring!$G$9+$F$29*Wiring!$G$10+$G$29*Wiring!$G$11+$H$29*Wiring!$G$12</f>
        <v>8</v>
      </c>
      <c r="H40" s="10" t="n">
        <f aca="false">$B$29*Wiring!$H$6+$C$29*Wiring!$H$7+$D$29*Wiring!$H$8+$E$29*Wiring!$H$9+$F$29*Wiring!$H$10+$G$29*Wiring!$H$11+$H$29*Wiring!$H$12</f>
        <v>8</v>
      </c>
      <c r="M40" s="2" t="str">
        <f aca="false">$N$31&amp;" &gt; "&amp;$N$33&amp;" &gt; "&amp;$N$31</f>
        <v>DIG &gt; TRS &gt; DIG</v>
      </c>
      <c r="N40" s="2" t="s">
        <v>178</v>
      </c>
      <c r="O40" s="10" t="n">
        <f aca="false">INDEX(Wiring!$B$6:$H$12,MATCH($N$31,Wiring!$A$6:$A$12,0),MATCH($N$33,Wiring!$B$5:$H$5,0))*INDEX(Wiring!$B$6:$H$12,MATCH($N$33,Wiring!$A$6:$A$12,0),MATCH($N$31,Wiring!$B$5:$H$5,0))</f>
        <v>1</v>
      </c>
    </row>
    <row r="41" customFormat="false" ht="15" hidden="false" customHeight="false" outlineLevel="0" collapsed="false">
      <c r="A41" s="4" t="s">
        <v>32</v>
      </c>
      <c r="B41" s="10" t="n">
        <f aca="false">$B$30*Wiring!$B$6+$C$30*Wiring!$B$7+$D$30*Wiring!$B$8+$E$30*Wiring!$B$9+$F$30*Wiring!$B$10+$G$30*Wiring!$B$11+$H$30*Wiring!$B$12</f>
        <v>0</v>
      </c>
      <c r="C41" s="10" t="n">
        <f aca="false">$B$30*Wiring!$C$6+$C$30*Wiring!$C$7+$D$30*Wiring!$C$8+$E$30*Wiring!$C$9+$F$30*Wiring!$C$10+$G$30*Wiring!$C$11+$H$30*Wiring!$C$12</f>
        <v>0</v>
      </c>
      <c r="D41" s="10" t="n">
        <f aca="false">$B$30*Wiring!$D$6+$C$30*Wiring!$D$7+$D$30*Wiring!$D$8+$E$30*Wiring!$D$9+$F$30*Wiring!$D$10+$G$30*Wiring!$D$11+$H$30*Wiring!$D$12</f>
        <v>0</v>
      </c>
      <c r="E41" s="10" t="n">
        <f aca="false">$B$30*Wiring!$E$6+$C$30*Wiring!$E$7+$D$30*Wiring!$E$8+$E$30*Wiring!$E$9+$F$30*Wiring!$E$10+$G$30*Wiring!$E$11+$H$30*Wiring!$E$12</f>
        <v>0</v>
      </c>
      <c r="F41" s="10" t="n">
        <f aca="false">$B$30*Wiring!$F$6+$C$30*Wiring!$F$7+$D$30*Wiring!$F$8+$E$30*Wiring!$F$9+$F$30*Wiring!$F$10+$G$30*Wiring!$F$11+$H$30*Wiring!$F$12</f>
        <v>0</v>
      </c>
      <c r="G41" s="10" t="n">
        <f aca="false">$B$30*Wiring!$G$6+$C$30*Wiring!$G$7+$D$30*Wiring!$G$8+$E$30*Wiring!$G$9+$F$30*Wiring!$G$10+$G$30*Wiring!$G$11+$H$30*Wiring!$G$12</f>
        <v>8</v>
      </c>
      <c r="H41" s="10" t="n">
        <f aca="false">$B$30*Wiring!$H$6+$C$30*Wiring!$H$7+$D$30*Wiring!$H$8+$E$30*Wiring!$H$9+$F$30*Wiring!$H$10+$G$30*Wiring!$H$11+$H$30*Wiring!$H$12</f>
        <v>8</v>
      </c>
      <c r="M41" s="2" t="str">
        <f aca="false">$N$32&amp;" &gt; "&amp;$N$33&amp;" &gt; "&amp;$N$32</f>
        <v>ENG &gt; TRS &gt; ENG</v>
      </c>
      <c r="N41" s="2" t="s">
        <v>178</v>
      </c>
      <c r="O41" s="10" t="n">
        <f aca="false">INDEX(Wiring!$B$6:$H$12,MATCH($N$32,Wiring!$A$6:$A$12,0),MATCH($N$33,Wiring!$B$5:$H$5,0))*INDEX(Wiring!$B$6:$H$12,MATCH($N$33,Wiring!$A$6:$A$12,0),MATCH($N$32,Wiring!$B$5:$H$5,0))</f>
        <v>0</v>
      </c>
    </row>
    <row r="42" customFormat="false" ht="15" hidden="false" customHeight="false" outlineLevel="0" collapsed="false">
      <c r="A42" s="4" t="s">
        <v>37</v>
      </c>
      <c r="B42" s="10" t="n">
        <f aca="false">$B$31*Wiring!$B$6+$C$31*Wiring!$B$7+$D$31*Wiring!$B$8+$E$31*Wiring!$B$9+$F$31*Wiring!$B$10+$G$31*Wiring!$B$11+$H$31*Wiring!$B$12</f>
        <v>0</v>
      </c>
      <c r="C42" s="10" t="n">
        <f aca="false">$B$31*Wiring!$C$6+$C$31*Wiring!$C$7+$D$31*Wiring!$C$8+$E$31*Wiring!$C$9+$F$31*Wiring!$C$10+$G$31*Wiring!$C$11+$H$31*Wiring!$C$12</f>
        <v>0</v>
      </c>
      <c r="D42" s="10" t="n">
        <f aca="false">$B$31*Wiring!$D$6+$C$31*Wiring!$D$7+$D$31*Wiring!$D$8+$E$31*Wiring!$D$9+$F$31*Wiring!$D$10+$G$31*Wiring!$D$11+$H$31*Wiring!$D$12</f>
        <v>0</v>
      </c>
      <c r="E42" s="10" t="n">
        <f aca="false">$B$31*Wiring!$E$6+$C$31*Wiring!$E$7+$D$31*Wiring!$E$8+$E$31*Wiring!$E$9+$F$31*Wiring!$E$10+$G$31*Wiring!$E$11+$H$31*Wiring!$E$12</f>
        <v>0</v>
      </c>
      <c r="F42" s="10" t="n">
        <f aca="false">$B$31*Wiring!$F$6+$C$31*Wiring!$F$7+$D$31*Wiring!$F$8+$E$31*Wiring!$F$9+$F$31*Wiring!$F$10+$G$31*Wiring!$F$11+$H$31*Wiring!$F$12</f>
        <v>0</v>
      </c>
      <c r="G42" s="10" t="n">
        <f aca="false">$B$31*Wiring!$G$6+$C$31*Wiring!$G$7+$D$31*Wiring!$G$8+$E$31*Wiring!$G$9+$F$31*Wiring!$G$10+$G$31*Wiring!$G$11+$H$31*Wiring!$G$12</f>
        <v>16</v>
      </c>
      <c r="H42" s="10" t="n">
        <f aca="false">$B$31*Wiring!$H$6+$C$31*Wiring!$H$7+$D$31*Wiring!$H$8+$E$31*Wiring!$H$9+$F$31*Wiring!$H$10+$G$31*Wiring!$H$11+$H$31*Wiring!$H$12</f>
        <v>16</v>
      </c>
      <c r="M42" s="2" t="str">
        <f aca="false">$N$30&amp;" &gt; "&amp;$N$31&amp;" &gt; "&amp;$N$32&amp;" &gt; "&amp;$N$30</f>
        <v>IND &gt; DIG &gt; ENG &gt; IND</v>
      </c>
      <c r="N42" s="2" t="s">
        <v>180</v>
      </c>
      <c r="O42" s="10" t="n">
        <f aca="false">INDEX(Wiring!$B$6:$H$12,MATCH($N$30,Wiring!$A$6:$A$12,0),MATCH($N$31,Wiring!$B$5:$H$5,0))*INDEX(Wiring!$B$6:$H$12,MATCH($N$31,Wiring!$A$6:$A$12,0),MATCH($N$32,Wiring!$B$5:$H$5,0))*INDEX(Wiring!$B$6:$H$12,MATCH($N$32,Wiring!$A$6:$A$12,0),MATCH($N$30,Wiring!$B$5:$H$5,0))</f>
        <v>0</v>
      </c>
    </row>
    <row r="43" customFormat="false" ht="15" hidden="false" customHeight="false" outlineLevel="0" collapsed="false">
      <c r="A43" s="4" t="s">
        <v>40</v>
      </c>
      <c r="B43" s="10" t="n">
        <f aca="false">$B$32*Wiring!$B$6+$C$32*Wiring!$B$7+$D$32*Wiring!$B$8+$E$32*Wiring!$B$9+$F$32*Wiring!$B$10+$G$32*Wiring!$B$11+$H$32*Wiring!$B$12</f>
        <v>0</v>
      </c>
      <c r="C43" s="10" t="n">
        <f aca="false">$B$32*Wiring!$C$6+$C$32*Wiring!$C$7+$D$32*Wiring!$C$8+$E$32*Wiring!$C$9+$F$32*Wiring!$C$10+$G$32*Wiring!$C$11+$H$32*Wiring!$C$12</f>
        <v>0</v>
      </c>
      <c r="D43" s="10" t="n">
        <f aca="false">$B$32*Wiring!$D$6+$C$32*Wiring!$D$7+$D$32*Wiring!$D$8+$E$32*Wiring!$D$9+$F$32*Wiring!$D$10+$G$32*Wiring!$D$11+$H$32*Wiring!$D$12</f>
        <v>0</v>
      </c>
      <c r="E43" s="10" t="n">
        <f aca="false">$B$32*Wiring!$E$6+$C$32*Wiring!$E$7+$D$32*Wiring!$E$8+$E$32*Wiring!$E$9+$F$32*Wiring!$E$10+$G$32*Wiring!$E$11+$H$32*Wiring!$E$12</f>
        <v>0</v>
      </c>
      <c r="F43" s="10" t="n">
        <f aca="false">$B$32*Wiring!$F$6+$C$32*Wiring!$F$7+$D$32*Wiring!$F$8+$E$32*Wiring!$F$9+$F$32*Wiring!$F$10+$G$32*Wiring!$F$11+$H$32*Wiring!$F$12</f>
        <v>0</v>
      </c>
      <c r="G43" s="10" t="n">
        <f aca="false">$B$32*Wiring!$G$6+$C$32*Wiring!$G$7+$D$32*Wiring!$G$8+$E$32*Wiring!$G$9+$F$32*Wiring!$G$10+$G$32*Wiring!$G$11+$H$32*Wiring!$G$12</f>
        <v>16</v>
      </c>
      <c r="H43" s="10" t="n">
        <f aca="false">$B$32*Wiring!$H$6+$C$32*Wiring!$H$7+$D$32*Wiring!$H$8+$E$32*Wiring!$H$9+$F$32*Wiring!$H$10+$G$32*Wiring!$H$11+$H$32*Wiring!$H$12</f>
        <v>16</v>
      </c>
      <c r="M43" s="2" t="str">
        <f aca="false">$N$30&amp;" &gt; "&amp;$N$31&amp;" &gt; "&amp;$N$33&amp;" &gt; "&amp;$N$30</f>
        <v>IND &gt; DIG &gt; TRS &gt; IND</v>
      </c>
      <c r="N43" s="2" t="s">
        <v>180</v>
      </c>
      <c r="O43" s="10" t="n">
        <f aca="false">INDEX(Wiring!$B$6:$H$12,MATCH($N$30,Wiring!$A$6:$A$12,0),MATCH($N$31,Wiring!$B$5:$H$5,0))*INDEX(Wiring!$B$6:$H$12,MATCH($N$31,Wiring!$A$6:$A$12,0),MATCH($N$33,Wiring!$B$5:$H$5,0))*INDEX(Wiring!$B$6:$H$12,MATCH($N$33,Wiring!$A$6:$A$12,0),MATCH($N$30,Wiring!$B$5:$H$5,0))</f>
        <v>0</v>
      </c>
    </row>
    <row r="44" customFormat="false" ht="15" hidden="false" customHeight="false" outlineLevel="0" collapsed="false">
      <c r="A44" s="4" t="s">
        <v>42</v>
      </c>
      <c r="B44" s="10" t="n">
        <f aca="false">$B$33*Wiring!$B$6+$C$33*Wiring!$B$7+$D$33*Wiring!$B$8+$E$33*Wiring!$B$9+$F$33*Wiring!$B$10+$G$33*Wiring!$B$11+$H$33*Wiring!$B$12</f>
        <v>0</v>
      </c>
      <c r="C44" s="10" t="n">
        <f aca="false">$B$33*Wiring!$C$6+$C$33*Wiring!$C$7+$D$33*Wiring!$C$8+$E$33*Wiring!$C$9+$F$33*Wiring!$C$10+$G$33*Wiring!$C$11+$H$33*Wiring!$C$12</f>
        <v>0</v>
      </c>
      <c r="D44" s="10" t="n">
        <f aca="false">$B$33*Wiring!$D$6+$C$33*Wiring!$D$7+$D$33*Wiring!$D$8+$E$33*Wiring!$D$9+$F$33*Wiring!$D$10+$G$33*Wiring!$D$11+$H$33*Wiring!$D$12</f>
        <v>0</v>
      </c>
      <c r="E44" s="10" t="n">
        <f aca="false">$B$33*Wiring!$E$6+$C$33*Wiring!$E$7+$D$33*Wiring!$E$8+$E$33*Wiring!$E$9+$F$33*Wiring!$E$10+$G$33*Wiring!$E$11+$H$33*Wiring!$E$12</f>
        <v>16</v>
      </c>
      <c r="F44" s="10" t="n">
        <f aca="false">$B$33*Wiring!$F$6+$C$33*Wiring!$F$7+$D$33*Wiring!$F$8+$E$33*Wiring!$F$9+$F$33*Wiring!$F$10+$G$33*Wiring!$F$11+$H$33*Wiring!$F$12</f>
        <v>16</v>
      </c>
      <c r="G44" s="10" t="n">
        <f aca="false">$B$33*Wiring!$G$6+$C$33*Wiring!$G$7+$D$33*Wiring!$G$8+$E$33*Wiring!$G$9+$F$33*Wiring!$G$10+$G$33*Wiring!$G$11+$H$33*Wiring!$G$12</f>
        <v>0</v>
      </c>
      <c r="H44" s="10" t="n">
        <f aca="false">$B$33*Wiring!$H$6+$C$33*Wiring!$H$7+$D$33*Wiring!$H$8+$E$33*Wiring!$H$9+$F$33*Wiring!$H$10+$G$33*Wiring!$H$11+$H$33*Wiring!$H$12</f>
        <v>0</v>
      </c>
      <c r="M44" s="2" t="str">
        <f aca="false">$N$30&amp;" &gt; "&amp;$N$32&amp;" &gt; "&amp;$N$33&amp;" &gt; "&amp;$N$30</f>
        <v>IND &gt; ENG &gt; TRS &gt; IND</v>
      </c>
      <c r="N44" s="2" t="s">
        <v>180</v>
      </c>
      <c r="O44" s="10" t="n">
        <f aca="false">INDEX(Wiring!$B$6:$H$12,MATCH($N$30,Wiring!$A$6:$A$12,0),MATCH($N$32,Wiring!$B$5:$H$5,0))*INDEX(Wiring!$B$6:$H$12,MATCH($N$32,Wiring!$A$6:$A$12,0),MATCH($N$33,Wiring!$B$5:$H$5,0))*INDEX(Wiring!$B$6:$H$12,MATCH($N$33,Wiring!$A$6:$A$12,0),MATCH($N$30,Wiring!$B$5:$H$5,0))</f>
        <v>0</v>
      </c>
    </row>
    <row r="45" customFormat="false" ht="15" hidden="false" customHeight="false" outlineLevel="0" collapsed="false">
      <c r="A45" s="4" t="s">
        <v>46</v>
      </c>
      <c r="B45" s="10" t="n">
        <f aca="false">$B$34*Wiring!$B$6+$C$34*Wiring!$B$7+$D$34*Wiring!$B$8+$E$34*Wiring!$B$9+$F$34*Wiring!$B$10+$G$34*Wiring!$B$11+$H$34*Wiring!$B$12</f>
        <v>0</v>
      </c>
      <c r="C45" s="10" t="n">
        <f aca="false">$B$34*Wiring!$C$6+$C$34*Wiring!$C$7+$D$34*Wiring!$C$8+$E$34*Wiring!$C$9+$F$34*Wiring!$C$10+$G$34*Wiring!$C$11+$H$34*Wiring!$C$12</f>
        <v>0</v>
      </c>
      <c r="D45" s="10" t="n">
        <f aca="false">$B$34*Wiring!$D$6+$C$34*Wiring!$D$7+$D$34*Wiring!$D$8+$E$34*Wiring!$D$9+$F$34*Wiring!$D$10+$G$34*Wiring!$D$11+$H$34*Wiring!$D$12</f>
        <v>0</v>
      </c>
      <c r="E45" s="10" t="n">
        <f aca="false">$B$34*Wiring!$E$6+$C$34*Wiring!$E$7+$D$34*Wiring!$E$8+$E$34*Wiring!$E$9+$F$34*Wiring!$E$10+$G$34*Wiring!$E$11+$H$34*Wiring!$E$12</f>
        <v>16</v>
      </c>
      <c r="F45" s="10" t="n">
        <f aca="false">$B$34*Wiring!$F$6+$C$34*Wiring!$F$7+$D$34*Wiring!$F$8+$E$34*Wiring!$F$9+$F$34*Wiring!$F$10+$G$34*Wiring!$F$11+$H$34*Wiring!$F$12</f>
        <v>16</v>
      </c>
      <c r="G45" s="10" t="n">
        <f aca="false">$B$34*Wiring!$G$6+$C$34*Wiring!$G$7+$D$34*Wiring!$G$8+$E$34*Wiring!$G$9+$F$34*Wiring!$G$10+$G$34*Wiring!$G$11+$H$34*Wiring!$G$12</f>
        <v>0</v>
      </c>
      <c r="H45" s="10" t="n">
        <f aca="false">$B$34*Wiring!$H$6+$C$34*Wiring!$H$7+$D$34*Wiring!$H$8+$E$34*Wiring!$H$9+$F$34*Wiring!$H$10+$G$34*Wiring!$H$11+$H$34*Wiring!$H$12</f>
        <v>0</v>
      </c>
      <c r="M45" s="2" t="str">
        <f aca="false">$N$31&amp;" &gt; "&amp;$N$32&amp;" &gt; "&amp;$N$33&amp;" &gt; "&amp;$N$31</f>
        <v>DIG &gt; ENG &gt; TRS &gt; DIG</v>
      </c>
      <c r="N45" s="2" t="s">
        <v>180</v>
      </c>
      <c r="O45" s="10" t="n">
        <f aca="false">INDEX(Wiring!$B$6:$H$12,MATCH($N$31,Wiring!$A$6:$A$12,0),MATCH($N$32,Wiring!$B$5:$H$5,0))*INDEX(Wiring!$B$6:$H$12,MATCH($N$32,Wiring!$A$6:$A$12,0),MATCH($N$33,Wiring!$B$5:$H$5,0))*INDEX(Wiring!$B$6:$H$12,MATCH($N$33,Wiring!$A$6:$A$12,0),MATCH($N$31,Wiring!$B$5:$H$5,0))</f>
        <v>0</v>
      </c>
    </row>
    <row r="46" customFormat="false" ht="15" hidden="false" customHeight="false" outlineLevel="0" collapsed="false">
      <c r="M46" s="2" t="str">
        <f aca="false">$N$30&amp;" &gt; "&amp;$N$32&amp;" &gt; "&amp;$N$31&amp;" &gt; "&amp;$N$30</f>
        <v>IND &gt; ENG &gt; DIG &gt; IND</v>
      </c>
      <c r="N46" s="2" t="s">
        <v>180</v>
      </c>
      <c r="O46" s="10" t="n">
        <f aca="false">INDEX(Wiring!$B$6:$H$12,MATCH($N$30,Wiring!$A$6:$A$12,0),MATCH($N$32,Wiring!$B$5:$H$5,0))*INDEX(Wiring!$B$6:$H$12,MATCH($N$32,Wiring!$A$6:$A$12,0),MATCH($N$31,Wiring!$B$5:$H$5,0))*INDEX(Wiring!$B$6:$H$12,MATCH($N$31,Wiring!$A$6:$A$12,0),MATCH($N$30,Wiring!$B$5:$H$5,0))</f>
        <v>0</v>
      </c>
    </row>
    <row r="47" customFormat="false" ht="15" hidden="false" customHeight="false" outlineLevel="0" collapsed="false">
      <c r="M47" s="2" t="str">
        <f aca="false">$N$30&amp;" &gt; "&amp;$N$33&amp;" &gt; "&amp;$N$31&amp;" &gt; "&amp;$N$30</f>
        <v>IND &gt; TRS &gt; DIG &gt; IND</v>
      </c>
      <c r="N47" s="2" t="s">
        <v>180</v>
      </c>
      <c r="O47" s="10" t="n">
        <f aca="false">INDEX(Wiring!$B$6:$H$12,MATCH($N$30,Wiring!$A$6:$A$12,0),MATCH($N$33,Wiring!$B$5:$H$5,0))*INDEX(Wiring!$B$6:$H$12,MATCH($N$33,Wiring!$A$6:$A$12,0),MATCH($N$31,Wiring!$B$5:$H$5,0))*INDEX(Wiring!$B$6:$H$12,MATCH($N$31,Wiring!$A$6:$A$12,0),MATCH($N$30,Wiring!$B$5:$H$5,0))</f>
        <v>0</v>
      </c>
    </row>
    <row r="48" customFormat="false" ht="15" hidden="false" customHeight="false" outlineLevel="0" collapsed="false">
      <c r="A48" s="4" t="s">
        <v>181</v>
      </c>
      <c r="M48" s="2" t="str">
        <f aca="false">$N$30&amp;" &gt; "&amp;$N$33&amp;" &gt; "&amp;$N$32&amp;" &gt; "&amp;$N$30</f>
        <v>IND &gt; TRS &gt; ENG &gt; IND</v>
      </c>
      <c r="N48" s="2" t="s">
        <v>180</v>
      </c>
      <c r="O48" s="10" t="n">
        <f aca="false">INDEX(Wiring!$B$6:$H$12,MATCH($N$30,Wiring!$A$6:$A$12,0),MATCH($N$33,Wiring!$B$5:$H$5,0))*INDEX(Wiring!$B$6:$H$12,MATCH($N$33,Wiring!$A$6:$A$12,0),MATCH($N$32,Wiring!$B$5:$H$5,0))*INDEX(Wiring!$B$6:$H$12,MATCH($N$32,Wiring!$A$6:$A$12,0),MATCH($N$30,Wiring!$B$5:$H$5,0))</f>
        <v>0</v>
      </c>
    </row>
    <row r="49" customFormat="false" ht="15" hidden="false" customHeight="false" outlineLevel="0" collapsed="false">
      <c r="A49" s="8"/>
      <c r="B49" s="8" t="s">
        <v>23</v>
      </c>
      <c r="C49" s="8" t="s">
        <v>28</v>
      </c>
      <c r="D49" s="8" t="s">
        <v>32</v>
      </c>
      <c r="E49" s="8" t="s">
        <v>37</v>
      </c>
      <c r="F49" s="8" t="s">
        <v>40</v>
      </c>
      <c r="G49" s="8" t="s">
        <v>42</v>
      </c>
      <c r="H49" s="8" t="s">
        <v>46</v>
      </c>
      <c r="M49" s="2" t="str">
        <f aca="false">$N$31&amp;" &gt; "&amp;$N$33&amp;" &gt; "&amp;$N$32&amp;" &gt; "&amp;$N$31</f>
        <v>DIG &gt; TRS &gt; ENG &gt; DIG</v>
      </c>
      <c r="N49" s="2" t="s">
        <v>180</v>
      </c>
      <c r="O49" s="10" t="n">
        <f aca="false">INDEX(Wiring!$B$6:$H$12,MATCH($N$31,Wiring!$A$6:$A$12,0),MATCH($N$33,Wiring!$B$5:$H$5,0))*INDEX(Wiring!$B$6:$H$12,MATCH($N$33,Wiring!$A$6:$A$12,0),MATCH($N$32,Wiring!$B$5:$H$5,0))*INDEX(Wiring!$B$6:$H$12,MATCH($N$32,Wiring!$A$6:$A$12,0),MATCH($N$31,Wiring!$B$5:$H$5,0))</f>
        <v>0</v>
      </c>
    </row>
    <row r="50" customFormat="false" ht="15" hidden="false" customHeight="false" outlineLevel="0" collapsed="false">
      <c r="A50" s="4" t="s">
        <v>23</v>
      </c>
      <c r="B50" s="10" t="n">
        <f aca="false">$B$39*Wiring!$B$6+$C$39*Wiring!$B$7+$D$39*Wiring!$B$8+$E$39*Wiring!$B$9+$F$39*Wiring!$B$10+$G$39*Wiring!$B$11+$H$39*Wiring!$B$12</f>
        <v>0</v>
      </c>
      <c r="C50" s="10" t="n">
        <f aca="false">$B$39*Wiring!$C$6+$C$39*Wiring!$C$7+$D$39*Wiring!$C$8+$E$39*Wiring!$C$9+$F$39*Wiring!$C$10+$G$39*Wiring!$C$11+$H$39*Wiring!$C$12</f>
        <v>0</v>
      </c>
      <c r="D50" s="10" t="n">
        <f aca="false">$B$39*Wiring!$D$6+$C$39*Wiring!$D$7+$D$39*Wiring!$D$8+$E$39*Wiring!$D$9+$F$39*Wiring!$D$10+$G$39*Wiring!$D$11+$H$39*Wiring!$D$12</f>
        <v>0</v>
      </c>
      <c r="E50" s="10" t="n">
        <f aca="false">$B$39*Wiring!$E$6+$C$39*Wiring!$E$7+$D$39*Wiring!$E$8+$E$39*Wiring!$E$9+$F$39*Wiring!$E$10+$G$39*Wiring!$E$11+$H$39*Wiring!$E$12</f>
        <v>0</v>
      </c>
      <c r="F50" s="10" t="n">
        <f aca="false">$B$39*Wiring!$F$6+$C$39*Wiring!$F$7+$D$39*Wiring!$F$8+$E$39*Wiring!$F$9+$F$39*Wiring!$F$10+$G$39*Wiring!$F$11+$H$39*Wiring!$F$12</f>
        <v>0</v>
      </c>
      <c r="G50" s="10" t="n">
        <f aca="false">$B$39*Wiring!$G$6+$C$39*Wiring!$G$7+$D$39*Wiring!$G$8+$E$39*Wiring!$G$9+$F$39*Wiring!$G$10+$G$39*Wiring!$G$11+$H$39*Wiring!$G$12</f>
        <v>40</v>
      </c>
      <c r="H50" s="10" t="n">
        <f aca="false">$B$39*Wiring!$H$6+$C$39*Wiring!$H$7+$D$39*Wiring!$H$8+$E$39*Wiring!$H$9+$F$39*Wiring!$H$10+$G$39*Wiring!$H$11+$H$39*Wiring!$H$12</f>
        <v>40</v>
      </c>
      <c r="M50" s="2" t="str">
        <f aca="false">$N$30&amp;" &gt; "&amp;$N$31&amp;" &gt; "&amp;$N$32&amp;" &gt; "&amp;$N$33&amp;" &gt; "&amp;$N$30</f>
        <v>IND &gt; DIG &gt; ENG &gt; TRS &gt; IND</v>
      </c>
      <c r="N50" s="2" t="s">
        <v>182</v>
      </c>
      <c r="O50" s="10" t="n">
        <f aca="false">INDEX(Wiring!$B$6:$H$12,MATCH($N$30,Wiring!$A$6:$A$12,0),MATCH($N$31,Wiring!$B$5:$H$5,0))*INDEX(Wiring!$B$6:$H$12,MATCH($N$31,Wiring!$A$6:$A$12,0),MATCH($N$32,Wiring!$B$5:$H$5,0))*INDEX(Wiring!$B$6:$H$12,MATCH($N$32,Wiring!$A$6:$A$12,0),MATCH($N$33,Wiring!$B$5:$H$5,0))*INDEX(Wiring!$B$6:$H$12,MATCH($N$33,Wiring!$A$6:$A$12,0),MATCH($N$30,Wiring!$B$5:$H$5,0))</f>
        <v>0</v>
      </c>
    </row>
    <row r="51" customFormat="false" ht="15" hidden="false" customHeight="false" outlineLevel="0" collapsed="false">
      <c r="A51" s="4" t="s">
        <v>28</v>
      </c>
      <c r="B51" s="10" t="n">
        <f aca="false">$B$40*Wiring!$B$6+$C$40*Wiring!$B$7+$D$40*Wiring!$B$8+$E$40*Wiring!$B$9+$F$40*Wiring!$B$10+$G$40*Wiring!$B$11+$H$40*Wiring!$B$12</f>
        <v>0</v>
      </c>
      <c r="C51" s="10" t="n">
        <f aca="false">$B$40*Wiring!$C$6+$C$40*Wiring!$C$7+$D$40*Wiring!$C$8+$E$40*Wiring!$C$9+$F$40*Wiring!$C$10+$G$40*Wiring!$C$11+$H$40*Wiring!$C$12</f>
        <v>0</v>
      </c>
      <c r="D51" s="10" t="n">
        <f aca="false">$B$40*Wiring!$D$6+$C$40*Wiring!$D$7+$D$40*Wiring!$D$8+$E$40*Wiring!$D$9+$F$40*Wiring!$D$10+$G$40*Wiring!$D$11+$H$40*Wiring!$D$12</f>
        <v>0</v>
      </c>
      <c r="E51" s="10" t="n">
        <f aca="false">$B$40*Wiring!$E$6+$C$40*Wiring!$E$7+$D$40*Wiring!$E$8+$E$40*Wiring!$E$9+$F$40*Wiring!$E$10+$G$40*Wiring!$E$11+$H$40*Wiring!$E$12</f>
        <v>16</v>
      </c>
      <c r="F51" s="10" t="n">
        <f aca="false">$B$40*Wiring!$F$6+$C$40*Wiring!$F$7+$D$40*Wiring!$F$8+$E$40*Wiring!$F$9+$F$40*Wiring!$F$10+$G$40*Wiring!$F$11+$H$40*Wiring!$F$12</f>
        <v>16</v>
      </c>
      <c r="G51" s="10" t="n">
        <f aca="false">$B$40*Wiring!$G$6+$C$40*Wiring!$G$7+$D$40*Wiring!$G$8+$E$40*Wiring!$G$9+$F$40*Wiring!$G$10+$G$40*Wiring!$G$11+$H$40*Wiring!$G$12</f>
        <v>16</v>
      </c>
      <c r="H51" s="10" t="n">
        <f aca="false">$B$40*Wiring!$H$6+$C$40*Wiring!$H$7+$D$40*Wiring!$H$8+$E$40*Wiring!$H$9+$F$40*Wiring!$H$10+$G$40*Wiring!$H$11+$H$40*Wiring!$H$12</f>
        <v>16</v>
      </c>
      <c r="M51" s="2" t="str">
        <f aca="false">$N$30&amp;" &gt; "&amp;$N$31&amp;" &gt; "&amp;$N$33&amp;" &gt; "&amp;$N$32&amp;" &gt; "&amp;$N$30</f>
        <v>IND &gt; DIG &gt; TRS &gt; ENG &gt; IND</v>
      </c>
      <c r="N51" s="2" t="s">
        <v>182</v>
      </c>
      <c r="O51" s="10" t="n">
        <f aca="false">INDEX(Wiring!$B$6:$H$12,MATCH($N$30,Wiring!$A$6:$A$12,0),MATCH($N$31,Wiring!$B$5:$H$5,0))*INDEX(Wiring!$B$6:$H$12,MATCH($N$31,Wiring!$A$6:$A$12,0),MATCH($N$33,Wiring!$B$5:$H$5,0))*INDEX(Wiring!$B$6:$H$12,MATCH($N$33,Wiring!$A$6:$A$12,0),MATCH($N$32,Wiring!$B$5:$H$5,0))*INDEX(Wiring!$B$6:$H$12,MATCH($N$32,Wiring!$A$6:$A$12,0),MATCH($N$30,Wiring!$B$5:$H$5,0))</f>
        <v>0</v>
      </c>
    </row>
    <row r="52" customFormat="false" ht="15" hidden="false" customHeight="false" outlineLevel="0" collapsed="false">
      <c r="A52" s="4" t="s">
        <v>32</v>
      </c>
      <c r="B52" s="10" t="n">
        <f aca="false">$B$41*Wiring!$B$6+$C$41*Wiring!$B$7+$D$41*Wiring!$B$8+$E$41*Wiring!$B$9+$F$41*Wiring!$B$10+$G$41*Wiring!$B$11+$H$41*Wiring!$B$12</f>
        <v>0</v>
      </c>
      <c r="C52" s="10" t="n">
        <f aca="false">$B$41*Wiring!$C$6+$C$41*Wiring!$C$7+$D$41*Wiring!$C$8+$E$41*Wiring!$C$9+$F$41*Wiring!$C$10+$G$41*Wiring!$C$11+$H$41*Wiring!$C$12</f>
        <v>0</v>
      </c>
      <c r="D52" s="10" t="n">
        <f aca="false">$B$41*Wiring!$D$6+$C$41*Wiring!$D$7+$D$41*Wiring!$D$8+$E$41*Wiring!$D$9+$F$41*Wiring!$D$10+$G$41*Wiring!$D$11+$H$41*Wiring!$D$12</f>
        <v>0</v>
      </c>
      <c r="E52" s="10" t="n">
        <f aca="false">$B$41*Wiring!$E$6+$C$41*Wiring!$E$7+$D$41*Wiring!$E$8+$E$41*Wiring!$E$9+$F$41*Wiring!$E$10+$G$41*Wiring!$E$11+$H$41*Wiring!$E$12</f>
        <v>16</v>
      </c>
      <c r="F52" s="10" t="n">
        <f aca="false">$B$41*Wiring!$F$6+$C$41*Wiring!$F$7+$D$41*Wiring!$F$8+$E$41*Wiring!$F$9+$F$41*Wiring!$F$10+$G$41*Wiring!$F$11+$H$41*Wiring!$F$12</f>
        <v>16</v>
      </c>
      <c r="G52" s="10" t="n">
        <f aca="false">$B$41*Wiring!$G$6+$C$41*Wiring!$G$7+$D$41*Wiring!$G$8+$E$41*Wiring!$G$9+$F$41*Wiring!$G$10+$G$41*Wiring!$G$11+$H$41*Wiring!$G$12</f>
        <v>0</v>
      </c>
      <c r="H52" s="10" t="n">
        <f aca="false">$B$41*Wiring!$H$6+$C$41*Wiring!$H$7+$D$41*Wiring!$H$8+$E$41*Wiring!$H$9+$F$41*Wiring!$H$10+$G$41*Wiring!$H$11+$H$41*Wiring!$H$12</f>
        <v>0</v>
      </c>
      <c r="M52" s="2" t="str">
        <f aca="false">$N$30&amp;" &gt; "&amp;$N$32&amp;" &gt; "&amp;$N$31&amp;" &gt; "&amp;$N$33&amp;" &gt; "&amp;$N$30</f>
        <v>IND &gt; ENG &gt; DIG &gt; TRS &gt; IND</v>
      </c>
      <c r="N52" s="2" t="s">
        <v>182</v>
      </c>
      <c r="O52" s="10" t="n">
        <f aca="false">INDEX(Wiring!$B$6:$H$12,MATCH($N$30,Wiring!$A$6:$A$12,0),MATCH($N$32,Wiring!$B$5:$H$5,0))*INDEX(Wiring!$B$6:$H$12,MATCH($N$32,Wiring!$A$6:$A$12,0),MATCH($N$31,Wiring!$B$5:$H$5,0))*INDEX(Wiring!$B$6:$H$12,MATCH($N$31,Wiring!$A$6:$A$12,0),MATCH($N$33,Wiring!$B$5:$H$5,0))*INDEX(Wiring!$B$6:$H$12,MATCH($N$33,Wiring!$A$6:$A$12,0),MATCH($N$30,Wiring!$B$5:$H$5,0))</f>
        <v>1</v>
      </c>
    </row>
    <row r="53" customFormat="false" ht="15" hidden="false" customHeight="false" outlineLevel="0" collapsed="false">
      <c r="A53" s="4" t="s">
        <v>37</v>
      </c>
      <c r="B53" s="10" t="n">
        <f aca="false">$B$42*Wiring!$B$6+$C$42*Wiring!$B$7+$D$42*Wiring!$B$8+$E$42*Wiring!$B$9+$F$42*Wiring!$B$10+$G$42*Wiring!$B$11+$H$42*Wiring!$B$12</f>
        <v>0</v>
      </c>
      <c r="C53" s="10" t="n">
        <f aca="false">$B$42*Wiring!$C$6+$C$42*Wiring!$C$7+$D$42*Wiring!$C$8+$E$42*Wiring!$C$9+$F$42*Wiring!$C$10+$G$42*Wiring!$C$11+$H$42*Wiring!$C$12</f>
        <v>0</v>
      </c>
      <c r="D53" s="10" t="n">
        <f aca="false">$B$42*Wiring!$D$6+$C$42*Wiring!$D$7+$D$42*Wiring!$D$8+$E$42*Wiring!$D$9+$F$42*Wiring!$D$10+$G$42*Wiring!$D$11+$H$42*Wiring!$D$12</f>
        <v>0</v>
      </c>
      <c r="E53" s="10" t="n">
        <f aca="false">$B$42*Wiring!$E$6+$C$42*Wiring!$E$7+$D$42*Wiring!$E$8+$E$42*Wiring!$E$9+$F$42*Wiring!$E$10+$G$42*Wiring!$E$11+$H$42*Wiring!$E$12</f>
        <v>32</v>
      </c>
      <c r="F53" s="10" t="n">
        <f aca="false">$B$42*Wiring!$F$6+$C$42*Wiring!$F$7+$D$42*Wiring!$F$8+$E$42*Wiring!$F$9+$F$42*Wiring!$F$10+$G$42*Wiring!$F$11+$H$42*Wiring!$F$12</f>
        <v>32</v>
      </c>
      <c r="G53" s="10" t="n">
        <f aca="false">$B$42*Wiring!$G$6+$C$42*Wiring!$G$7+$D$42*Wiring!$G$8+$E$42*Wiring!$G$9+$F$42*Wiring!$G$10+$G$42*Wiring!$G$11+$H$42*Wiring!$G$12</f>
        <v>0</v>
      </c>
      <c r="H53" s="10" t="n">
        <f aca="false">$B$42*Wiring!$H$6+$C$42*Wiring!$H$7+$D$42*Wiring!$H$8+$E$42*Wiring!$H$9+$F$42*Wiring!$H$10+$G$42*Wiring!$H$11+$H$42*Wiring!$H$12</f>
        <v>0</v>
      </c>
      <c r="M53" s="2" t="str">
        <f aca="false">$N$30&amp;" &gt; "&amp;$N$32&amp;" &gt; "&amp;$N$33&amp;" &gt; "&amp;$N$31&amp;" &gt; "&amp;$N$30</f>
        <v>IND &gt; ENG &gt; TRS &gt; DIG &gt; IND</v>
      </c>
      <c r="N53" s="2" t="s">
        <v>182</v>
      </c>
      <c r="O53" s="10" t="n">
        <f aca="false">INDEX(Wiring!$B$6:$H$12,MATCH($N$30,Wiring!$A$6:$A$12,0),MATCH($N$32,Wiring!$B$5:$H$5,0))*INDEX(Wiring!$B$6:$H$12,MATCH($N$32,Wiring!$A$6:$A$12,0),MATCH($N$33,Wiring!$B$5:$H$5,0))*INDEX(Wiring!$B$6:$H$12,MATCH($N$33,Wiring!$A$6:$A$12,0),MATCH($N$31,Wiring!$B$5:$H$5,0))*INDEX(Wiring!$B$6:$H$12,MATCH($N$31,Wiring!$A$6:$A$12,0),MATCH($N$30,Wiring!$B$5:$H$5,0))</f>
        <v>0</v>
      </c>
    </row>
    <row r="54" customFormat="false" ht="15" hidden="false" customHeight="false" outlineLevel="0" collapsed="false">
      <c r="A54" s="4" t="s">
        <v>40</v>
      </c>
      <c r="B54" s="10" t="n">
        <f aca="false">$B$43*Wiring!$B$6+$C$43*Wiring!$B$7+$D$43*Wiring!$B$8+$E$43*Wiring!$B$9+$F$43*Wiring!$B$10+$G$43*Wiring!$B$11+$H$43*Wiring!$B$12</f>
        <v>0</v>
      </c>
      <c r="C54" s="10" t="n">
        <f aca="false">$B$43*Wiring!$C$6+$C$43*Wiring!$C$7+$D$43*Wiring!$C$8+$E$43*Wiring!$C$9+$F$43*Wiring!$C$10+$G$43*Wiring!$C$11+$H$43*Wiring!$C$12</f>
        <v>0</v>
      </c>
      <c r="D54" s="10" t="n">
        <f aca="false">$B$43*Wiring!$D$6+$C$43*Wiring!$D$7+$D$43*Wiring!$D$8+$E$43*Wiring!$D$9+$F$43*Wiring!$D$10+$G$43*Wiring!$D$11+$H$43*Wiring!$D$12</f>
        <v>0</v>
      </c>
      <c r="E54" s="10" t="n">
        <f aca="false">$B$43*Wiring!$E$6+$C$43*Wiring!$E$7+$D$43*Wiring!$E$8+$E$43*Wiring!$E$9+$F$43*Wiring!$E$10+$G$43*Wiring!$E$11+$H$43*Wiring!$E$12</f>
        <v>32</v>
      </c>
      <c r="F54" s="10" t="n">
        <f aca="false">$B$43*Wiring!$F$6+$C$43*Wiring!$F$7+$D$43*Wiring!$F$8+$E$43*Wiring!$F$9+$F$43*Wiring!$F$10+$G$43*Wiring!$F$11+$H$43*Wiring!$F$12</f>
        <v>32</v>
      </c>
      <c r="G54" s="10" t="n">
        <f aca="false">$B$43*Wiring!$G$6+$C$43*Wiring!$G$7+$D$43*Wiring!$G$8+$E$43*Wiring!$G$9+$F$43*Wiring!$G$10+$G$43*Wiring!$G$11+$H$43*Wiring!$G$12</f>
        <v>0</v>
      </c>
      <c r="H54" s="10" t="n">
        <f aca="false">$B$43*Wiring!$H$6+$C$43*Wiring!$H$7+$D$43*Wiring!$H$8+$E$43*Wiring!$H$9+$F$43*Wiring!$H$10+$G$43*Wiring!$H$11+$H$43*Wiring!$H$12</f>
        <v>0</v>
      </c>
      <c r="M54" s="2" t="str">
        <f aca="false">$N$30&amp;" &gt; "&amp;$N$33&amp;" &gt; "&amp;$N$31&amp;" &gt; "&amp;$N$32&amp;" &gt; "&amp;$N$30</f>
        <v>IND &gt; TRS &gt; DIG &gt; ENG &gt; IND</v>
      </c>
      <c r="N54" s="2" t="s">
        <v>182</v>
      </c>
      <c r="O54" s="10" t="n">
        <f aca="false">INDEX(Wiring!$B$6:$H$12,MATCH($N$30,Wiring!$A$6:$A$12,0),MATCH($N$33,Wiring!$B$5:$H$5,0))*INDEX(Wiring!$B$6:$H$12,MATCH($N$33,Wiring!$A$6:$A$12,0),MATCH($N$31,Wiring!$B$5:$H$5,0))*INDEX(Wiring!$B$6:$H$12,MATCH($N$31,Wiring!$A$6:$A$12,0),MATCH($N$32,Wiring!$B$5:$H$5,0))*INDEX(Wiring!$B$6:$H$12,MATCH($N$32,Wiring!$A$6:$A$12,0),MATCH($N$30,Wiring!$B$5:$H$5,0))</f>
        <v>1</v>
      </c>
    </row>
    <row r="55" customFormat="false" ht="15" hidden="false" customHeight="false" outlineLevel="0" collapsed="false">
      <c r="A55" s="4" t="s">
        <v>42</v>
      </c>
      <c r="B55" s="10" t="n">
        <f aca="false">$B$44*Wiring!$B$6+$C$44*Wiring!$B$7+$D$44*Wiring!$B$8+$E$44*Wiring!$B$9+$F$44*Wiring!$B$10+$G$44*Wiring!$B$11+$H$44*Wiring!$B$12</f>
        <v>0</v>
      </c>
      <c r="C55" s="10" t="n">
        <f aca="false">$B$44*Wiring!$C$6+$C$44*Wiring!$C$7+$D$44*Wiring!$C$8+$E$44*Wiring!$C$9+$F$44*Wiring!$C$10+$G$44*Wiring!$C$11+$H$44*Wiring!$C$12</f>
        <v>0</v>
      </c>
      <c r="D55" s="10" t="n">
        <f aca="false">$B$44*Wiring!$D$6+$C$44*Wiring!$D$7+$D$44*Wiring!$D$8+$E$44*Wiring!$D$9+$F$44*Wiring!$D$10+$G$44*Wiring!$D$11+$H$44*Wiring!$D$12</f>
        <v>0</v>
      </c>
      <c r="E55" s="10" t="n">
        <f aca="false">$B$44*Wiring!$E$6+$C$44*Wiring!$E$7+$D$44*Wiring!$E$8+$E$44*Wiring!$E$9+$F$44*Wiring!$E$10+$G$44*Wiring!$E$11+$H$44*Wiring!$E$12</f>
        <v>0</v>
      </c>
      <c r="F55" s="10" t="n">
        <f aca="false">$B$44*Wiring!$F$6+$C$44*Wiring!$F$7+$D$44*Wiring!$F$8+$E$44*Wiring!$F$9+$F$44*Wiring!$F$10+$G$44*Wiring!$F$11+$H$44*Wiring!$F$12</f>
        <v>0</v>
      </c>
      <c r="G55" s="10" t="n">
        <f aca="false">$B$44*Wiring!$G$6+$C$44*Wiring!$G$7+$D$44*Wiring!$G$8+$E$44*Wiring!$G$9+$F$44*Wiring!$G$10+$G$44*Wiring!$G$11+$H$44*Wiring!$G$12</f>
        <v>32</v>
      </c>
      <c r="H55" s="10" t="n">
        <f aca="false">$B$44*Wiring!$H$6+$C$44*Wiring!$H$7+$D$44*Wiring!$H$8+$E$44*Wiring!$H$9+$F$44*Wiring!$H$10+$G$44*Wiring!$H$11+$H$44*Wiring!$H$12</f>
        <v>32</v>
      </c>
      <c r="M55" s="2" t="str">
        <f aca="false">$N$30&amp;" &gt; "&amp;$N$33&amp;" &gt; "&amp;$N$32&amp;" &gt; "&amp;$N$31&amp;" &gt; "&amp;$N$30</f>
        <v>IND &gt; TRS &gt; ENG &gt; DIG &gt; IND</v>
      </c>
      <c r="N55" s="2" t="s">
        <v>182</v>
      </c>
      <c r="O55" s="10" t="n">
        <f aca="false">INDEX(Wiring!$B$6:$H$12,MATCH($N$30,Wiring!$A$6:$A$12,0),MATCH($N$33,Wiring!$B$5:$H$5,0))*INDEX(Wiring!$B$6:$H$12,MATCH($N$33,Wiring!$A$6:$A$12,0),MATCH($N$32,Wiring!$B$5:$H$5,0))*INDEX(Wiring!$B$6:$H$12,MATCH($N$32,Wiring!$A$6:$A$12,0),MATCH($N$31,Wiring!$B$5:$H$5,0))*INDEX(Wiring!$B$6:$H$12,MATCH($N$31,Wiring!$A$6:$A$12,0),MATCH($N$30,Wiring!$B$5:$H$5,0))</f>
        <v>0</v>
      </c>
    </row>
    <row r="56" customFormat="false" ht="15" hidden="false" customHeight="false" outlineLevel="0" collapsed="false">
      <c r="A56" s="4" t="s">
        <v>46</v>
      </c>
      <c r="B56" s="10" t="n">
        <f aca="false">$B$45*Wiring!$B$6+$C$45*Wiring!$B$7+$D$45*Wiring!$B$8+$E$45*Wiring!$B$9+$F$45*Wiring!$B$10+$G$45*Wiring!$B$11+$H$45*Wiring!$B$12</f>
        <v>0</v>
      </c>
      <c r="C56" s="10" t="n">
        <f aca="false">$B$45*Wiring!$C$6+$C$45*Wiring!$C$7+$D$45*Wiring!$C$8+$E$45*Wiring!$C$9+$F$45*Wiring!$C$10+$G$45*Wiring!$C$11+$H$45*Wiring!$C$12</f>
        <v>0</v>
      </c>
      <c r="D56" s="10" t="n">
        <f aca="false">$B$45*Wiring!$D$6+$C$45*Wiring!$D$7+$D$45*Wiring!$D$8+$E$45*Wiring!$D$9+$F$45*Wiring!$D$10+$G$45*Wiring!$D$11+$H$45*Wiring!$D$12</f>
        <v>0</v>
      </c>
      <c r="E56" s="10" t="n">
        <f aca="false">$B$45*Wiring!$E$6+$C$45*Wiring!$E$7+$D$45*Wiring!$E$8+$E$45*Wiring!$E$9+$F$45*Wiring!$E$10+$G$45*Wiring!$E$11+$H$45*Wiring!$E$12</f>
        <v>0</v>
      </c>
      <c r="F56" s="10" t="n">
        <f aca="false">$B$45*Wiring!$F$6+$C$45*Wiring!$F$7+$D$45*Wiring!$F$8+$E$45*Wiring!$F$9+$F$45*Wiring!$F$10+$G$45*Wiring!$F$11+$H$45*Wiring!$F$12</f>
        <v>0</v>
      </c>
      <c r="G56" s="10" t="n">
        <f aca="false">$B$45*Wiring!$G$6+$C$45*Wiring!$G$7+$D$45*Wiring!$G$8+$E$45*Wiring!$G$9+$F$45*Wiring!$G$10+$G$45*Wiring!$G$11+$H$45*Wiring!$G$12</f>
        <v>32</v>
      </c>
      <c r="H56" s="10" t="n">
        <f aca="false">$B$45*Wiring!$H$6+$C$45*Wiring!$H$7+$D$45*Wiring!$H$8+$E$45*Wiring!$H$9+$F$45*Wiring!$H$10+$G$45*Wiring!$H$11+$H$45*Wiring!$H$12</f>
        <v>32</v>
      </c>
    </row>
    <row r="57" customFormat="false" ht="15" hidden="false" customHeight="false" outlineLevel="0" collapsed="false">
      <c r="M57" s="2" t="s">
        <v>183</v>
      </c>
      <c r="N57" s="10" t="n">
        <f aca="false">SUMIF($N$36:$N$55,"two-way",$O$36:$O$55)</f>
        <v>4</v>
      </c>
      <c r="O57" s="9" t="s">
        <v>153</v>
      </c>
    </row>
    <row r="58" customFormat="false" ht="15" hidden="false" customHeight="false" outlineLevel="0" collapsed="false">
      <c r="M58" s="2" t="s">
        <v>184</v>
      </c>
      <c r="N58" s="10" t="n">
        <f aca="false">SUMIF($N$36:$N$55,"three members",$O$36:$O$55)</f>
        <v>0</v>
      </c>
      <c r="O58" s="9" t="s">
        <v>185</v>
      </c>
    </row>
    <row r="59" customFormat="false" ht="15" hidden="false" customHeight="false" outlineLevel="0" collapsed="false">
      <c r="A59" s="4" t="s">
        <v>186</v>
      </c>
      <c r="M59" s="2" t="s">
        <v>187</v>
      </c>
      <c r="N59" s="10" t="n">
        <f aca="false">SUMIF($N$36:$N$55,"four members",$O$36:$O$55)</f>
        <v>2</v>
      </c>
      <c r="O59" s="9" t="s">
        <v>158</v>
      </c>
    </row>
    <row r="60" customFormat="false" ht="15" hidden="false" customHeight="false" outlineLevel="0" collapsed="false">
      <c r="A60" s="8"/>
      <c r="B60" s="8" t="s">
        <v>23</v>
      </c>
      <c r="C60" s="8" t="s">
        <v>28</v>
      </c>
      <c r="D60" s="8" t="s">
        <v>32</v>
      </c>
      <c r="E60" s="8" t="s">
        <v>37</v>
      </c>
      <c r="F60" s="8" t="s">
        <v>40</v>
      </c>
      <c r="G60" s="8" t="s">
        <v>42</v>
      </c>
      <c r="H60" s="8" t="s">
        <v>46</v>
      </c>
      <c r="M60" s="2" t="s">
        <v>188</v>
      </c>
      <c r="N60" s="10" t="n">
        <f aca="false">SUM($N$57:$N$59)</f>
        <v>6</v>
      </c>
      <c r="O60" s="9" t="s">
        <v>189</v>
      </c>
    </row>
    <row r="61" customFormat="false" ht="15" hidden="false" customHeight="false" outlineLevel="0" collapsed="false">
      <c r="A61" s="4" t="s">
        <v>23</v>
      </c>
      <c r="B61" s="10" t="n">
        <f aca="false">$B$50*Wiring!$B$6+$C$50*Wiring!$B$7+$D$50*Wiring!$B$8+$E$50*Wiring!$B$9+$F$50*Wiring!$B$10+$G$50*Wiring!$B$11+$H$50*Wiring!$B$12</f>
        <v>0</v>
      </c>
      <c r="C61" s="10" t="n">
        <f aca="false">$B$50*Wiring!$C$6+$C$50*Wiring!$C$7+$D$50*Wiring!$C$8+$E$50*Wiring!$C$9+$F$50*Wiring!$C$10+$G$50*Wiring!$C$11+$H$50*Wiring!$C$12</f>
        <v>0</v>
      </c>
      <c r="D61" s="10" t="n">
        <f aca="false">$B$50*Wiring!$D$6+$C$50*Wiring!$D$7+$D$50*Wiring!$D$8+$E$50*Wiring!$D$9+$F$50*Wiring!$D$10+$G$50*Wiring!$D$11+$H$50*Wiring!$D$12</f>
        <v>0</v>
      </c>
      <c r="E61" s="10" t="n">
        <f aca="false">$B$50*Wiring!$E$6+$C$50*Wiring!$E$7+$D$50*Wiring!$E$8+$E$50*Wiring!$E$9+$F$50*Wiring!$E$10+$G$50*Wiring!$E$11+$H$50*Wiring!$E$12</f>
        <v>80</v>
      </c>
      <c r="F61" s="10" t="n">
        <f aca="false">$B$50*Wiring!$F$6+$C$50*Wiring!$F$7+$D$50*Wiring!$F$8+$E$50*Wiring!$F$9+$F$50*Wiring!$F$10+$G$50*Wiring!$F$11+$H$50*Wiring!$F$12</f>
        <v>80</v>
      </c>
      <c r="G61" s="10" t="n">
        <f aca="false">$B$50*Wiring!$G$6+$C$50*Wiring!$G$7+$D$50*Wiring!$G$8+$E$50*Wiring!$G$9+$F$50*Wiring!$G$10+$G$50*Wiring!$G$11+$H$50*Wiring!$G$12</f>
        <v>0</v>
      </c>
      <c r="H61" s="10" t="n">
        <f aca="false">$B$50*Wiring!$H$6+$C$50*Wiring!$H$7+$D$50*Wiring!$H$8+$E$50*Wiring!$H$9+$F$50*Wiring!$H$10+$G$50*Wiring!$H$11+$H$50*Wiring!$H$12</f>
        <v>0</v>
      </c>
    </row>
    <row r="62" customFormat="false" ht="15" hidden="false" customHeight="false" outlineLevel="0" collapsed="false">
      <c r="A62" s="4" t="s">
        <v>28</v>
      </c>
      <c r="B62" s="10" t="n">
        <f aca="false">$B$51*Wiring!$B$6+$C$51*Wiring!$B$7+$D$51*Wiring!$B$8+$E$51*Wiring!$B$9+$F$51*Wiring!$B$10+$G$51*Wiring!$B$11+$H$51*Wiring!$B$12</f>
        <v>0</v>
      </c>
      <c r="C62" s="10" t="n">
        <f aca="false">$B$51*Wiring!$C$6+$C$51*Wiring!$C$7+$D$51*Wiring!$C$8+$E$51*Wiring!$C$9+$F$51*Wiring!$C$10+$G$51*Wiring!$C$11+$H$51*Wiring!$C$12</f>
        <v>0</v>
      </c>
      <c r="D62" s="10" t="n">
        <f aca="false">$B$51*Wiring!$D$6+$C$51*Wiring!$D$7+$D$51*Wiring!$D$8+$E$51*Wiring!$D$9+$F$51*Wiring!$D$10+$G$51*Wiring!$D$11+$H$51*Wiring!$D$12</f>
        <v>0</v>
      </c>
      <c r="E62" s="10" t="n">
        <f aca="false">$B$51*Wiring!$E$6+$C$51*Wiring!$E$7+$D$51*Wiring!$E$8+$E$51*Wiring!$E$9+$F$51*Wiring!$E$10+$G$51*Wiring!$E$11+$H$51*Wiring!$E$12</f>
        <v>32</v>
      </c>
      <c r="F62" s="10" t="n">
        <f aca="false">$B$51*Wiring!$F$6+$C$51*Wiring!$F$7+$D$51*Wiring!$F$8+$E$51*Wiring!$F$9+$F$51*Wiring!$F$10+$G$51*Wiring!$F$11+$H$51*Wiring!$F$12</f>
        <v>32</v>
      </c>
      <c r="G62" s="10" t="n">
        <f aca="false">$B$51*Wiring!$G$6+$C$51*Wiring!$G$7+$D$51*Wiring!$G$8+$E$51*Wiring!$G$9+$F$51*Wiring!$G$10+$G$51*Wiring!$G$11+$H$51*Wiring!$G$12</f>
        <v>32</v>
      </c>
      <c r="H62" s="10" t="n">
        <f aca="false">$B$51*Wiring!$H$6+$C$51*Wiring!$H$7+$D$51*Wiring!$H$8+$E$51*Wiring!$H$9+$F$51*Wiring!$H$10+$G$51*Wiring!$H$11+$H$51*Wiring!$H$12</f>
        <v>32</v>
      </c>
      <c r="M62" s="4" t="s">
        <v>190</v>
      </c>
    </row>
    <row r="63" customFormat="false" ht="15" hidden="false" customHeight="false" outlineLevel="0" collapsed="false">
      <c r="A63" s="4" t="s">
        <v>32</v>
      </c>
      <c r="B63" s="10" t="n">
        <f aca="false">$B$52*Wiring!$B$6+$C$52*Wiring!$B$7+$D$52*Wiring!$B$8+$E$52*Wiring!$B$9+$F$52*Wiring!$B$10+$G$52*Wiring!$B$11+$H$52*Wiring!$B$12</f>
        <v>0</v>
      </c>
      <c r="C63" s="10" t="n">
        <f aca="false">$B$52*Wiring!$C$6+$C$52*Wiring!$C$7+$D$52*Wiring!$C$8+$E$52*Wiring!$C$9+$F$52*Wiring!$C$10+$G$52*Wiring!$C$11+$H$52*Wiring!$C$12</f>
        <v>0</v>
      </c>
      <c r="D63" s="10" t="n">
        <f aca="false">$B$52*Wiring!$D$6+$C$52*Wiring!$D$7+$D$52*Wiring!$D$8+$E$52*Wiring!$D$9+$F$52*Wiring!$D$10+$G$52*Wiring!$D$11+$H$52*Wiring!$D$12</f>
        <v>0</v>
      </c>
      <c r="E63" s="10" t="n">
        <f aca="false">$B$52*Wiring!$E$6+$C$52*Wiring!$E$7+$D$52*Wiring!$E$8+$E$52*Wiring!$E$9+$F$52*Wiring!$E$10+$G$52*Wiring!$E$11+$H$52*Wiring!$E$12</f>
        <v>0</v>
      </c>
      <c r="F63" s="10" t="n">
        <f aca="false">$B$52*Wiring!$F$6+$C$52*Wiring!$F$7+$D$52*Wiring!$F$8+$E$52*Wiring!$F$9+$F$52*Wiring!$F$10+$G$52*Wiring!$F$11+$H$52*Wiring!$F$12</f>
        <v>0</v>
      </c>
      <c r="G63" s="10" t="n">
        <f aca="false">$B$52*Wiring!$G$6+$C$52*Wiring!$G$7+$D$52*Wiring!$G$8+$E$52*Wiring!$G$9+$F$52*Wiring!$G$10+$G$52*Wiring!$G$11+$H$52*Wiring!$G$12</f>
        <v>32</v>
      </c>
      <c r="H63" s="10" t="n">
        <f aca="false">$B$52*Wiring!$H$6+$C$52*Wiring!$H$7+$D$52*Wiring!$H$8+$E$52*Wiring!$H$9+$F$52*Wiring!$H$10+$G$52*Wiring!$H$11+$H$52*Wiring!$H$12</f>
        <v>32</v>
      </c>
      <c r="M63" s="2" t="s">
        <v>191</v>
      </c>
      <c r="N63" s="13" t="n">
        <v>0.5</v>
      </c>
    </row>
    <row r="64" customFormat="false" ht="23.85" hidden="false" customHeight="false" outlineLevel="0" collapsed="false">
      <c r="A64" s="4" t="s">
        <v>37</v>
      </c>
      <c r="B64" s="10" t="n">
        <f aca="false">$B$53*Wiring!$B$6+$C$53*Wiring!$B$7+$D$53*Wiring!$B$8+$E$53*Wiring!$B$9+$F$53*Wiring!$B$10+$G$53*Wiring!$B$11+$H$53*Wiring!$B$12</f>
        <v>0</v>
      </c>
      <c r="C64" s="10" t="n">
        <f aca="false">$B$53*Wiring!$C$6+$C$53*Wiring!$C$7+$D$53*Wiring!$C$8+$E$53*Wiring!$C$9+$F$53*Wiring!$C$10+$G$53*Wiring!$C$11+$H$53*Wiring!$C$12</f>
        <v>0</v>
      </c>
      <c r="D64" s="10" t="n">
        <f aca="false">$B$53*Wiring!$D$6+$C$53*Wiring!$D$7+$D$53*Wiring!$D$8+$E$53*Wiring!$D$9+$F$53*Wiring!$D$10+$G$53*Wiring!$D$11+$H$53*Wiring!$D$12</f>
        <v>0</v>
      </c>
      <c r="E64" s="10" t="n">
        <f aca="false">$B$53*Wiring!$E$6+$C$53*Wiring!$E$7+$D$53*Wiring!$E$8+$E$53*Wiring!$E$9+$F$53*Wiring!$E$10+$G$53*Wiring!$E$11+$H$53*Wiring!$E$12</f>
        <v>0</v>
      </c>
      <c r="F64" s="10" t="n">
        <f aca="false">$B$53*Wiring!$F$6+$C$53*Wiring!$F$7+$D$53*Wiring!$F$8+$E$53*Wiring!$F$9+$F$53*Wiring!$F$10+$G$53*Wiring!$F$11+$H$53*Wiring!$F$12</f>
        <v>0</v>
      </c>
      <c r="G64" s="10" t="n">
        <f aca="false">$B$53*Wiring!$G$6+$C$53*Wiring!$G$7+$D$53*Wiring!$G$8+$E$53*Wiring!$G$9+$F$53*Wiring!$G$10+$G$53*Wiring!$G$11+$H$53*Wiring!$G$12</f>
        <v>64</v>
      </c>
      <c r="H64" s="10" t="n">
        <f aca="false">$B$53*Wiring!$H$6+$C$53*Wiring!$H$7+$D$53*Wiring!$H$8+$E$53*Wiring!$H$9+$F$53*Wiring!$H$10+$G$53*Wiring!$H$11+$H$53*Wiring!$H$12</f>
        <v>64</v>
      </c>
      <c r="M64" s="8" t="s">
        <v>192</v>
      </c>
      <c r="N64" s="8" t="s">
        <v>193</v>
      </c>
      <c r="O64" s="8" t="s">
        <v>194</v>
      </c>
      <c r="P64" s="8" t="s">
        <v>195</v>
      </c>
      <c r="Q64" s="8" t="s">
        <v>196</v>
      </c>
      <c r="R64" s="8" t="s">
        <v>197</v>
      </c>
      <c r="S64" s="8" t="s">
        <v>194</v>
      </c>
      <c r="T64" s="8" t="s">
        <v>195</v>
      </c>
      <c r="U64" s="8" t="s">
        <v>196</v>
      </c>
      <c r="V64" s="8" t="s">
        <v>198</v>
      </c>
      <c r="W64" s="8" t="s">
        <v>199</v>
      </c>
      <c r="X64" s="8" t="s">
        <v>195</v>
      </c>
    </row>
    <row r="65" customFormat="false" ht="15" hidden="false" customHeight="false" outlineLevel="0" collapsed="false">
      <c r="A65" s="4" t="s">
        <v>40</v>
      </c>
      <c r="B65" s="10" t="n">
        <f aca="false">$B$54*Wiring!$B$6+$C$54*Wiring!$B$7+$D$54*Wiring!$B$8+$E$54*Wiring!$B$9+$F$54*Wiring!$B$10+$G$54*Wiring!$B$11+$H$54*Wiring!$B$12</f>
        <v>0</v>
      </c>
      <c r="C65" s="10" t="n">
        <f aca="false">$B$54*Wiring!$C$6+$C$54*Wiring!$C$7+$D$54*Wiring!$C$8+$E$54*Wiring!$C$9+$F$54*Wiring!$C$10+$G$54*Wiring!$C$11+$H$54*Wiring!$C$12</f>
        <v>0</v>
      </c>
      <c r="D65" s="10" t="n">
        <f aca="false">$B$54*Wiring!$D$6+$C$54*Wiring!$D$7+$D$54*Wiring!$D$8+$E$54*Wiring!$D$9+$F$54*Wiring!$D$10+$G$54*Wiring!$D$11+$H$54*Wiring!$D$12</f>
        <v>0</v>
      </c>
      <c r="E65" s="10" t="n">
        <f aca="false">$B$54*Wiring!$E$6+$C$54*Wiring!$E$7+$D$54*Wiring!$E$8+$E$54*Wiring!$E$9+$F$54*Wiring!$E$10+$G$54*Wiring!$E$11+$H$54*Wiring!$E$12</f>
        <v>0</v>
      </c>
      <c r="F65" s="10" t="n">
        <f aca="false">$B$54*Wiring!$F$6+$C$54*Wiring!$F$7+$D$54*Wiring!$F$8+$E$54*Wiring!$F$9+$F$54*Wiring!$F$10+$G$54*Wiring!$F$11+$H$54*Wiring!$F$12</f>
        <v>0</v>
      </c>
      <c r="G65" s="10" t="n">
        <f aca="false">$B$54*Wiring!$G$6+$C$54*Wiring!$G$7+$D$54*Wiring!$G$8+$E$54*Wiring!$G$9+$F$54*Wiring!$G$10+$G$54*Wiring!$G$11+$H$54*Wiring!$G$12</f>
        <v>64</v>
      </c>
      <c r="H65" s="10" t="n">
        <f aca="false">$B$54*Wiring!$H$6+$C$54*Wiring!$H$7+$D$54*Wiring!$H$8+$E$54*Wiring!$H$9+$F$54*Wiring!$H$10+$G$54*Wiring!$H$11+$H$54*Wiring!$H$12</f>
        <v>64</v>
      </c>
      <c r="M65" s="10" t="n">
        <v>0</v>
      </c>
      <c r="N65" s="13" t="n">
        <v>1</v>
      </c>
      <c r="O65" s="13" t="n">
        <v>2</v>
      </c>
      <c r="P65" s="13" t="n">
        <v>3</v>
      </c>
      <c r="Q65" s="13" t="n">
        <v>4</v>
      </c>
      <c r="R65" s="13" t="n">
        <v>1</v>
      </c>
      <c r="S65" s="13" t="n">
        <v>2</v>
      </c>
      <c r="T65" s="13" t="n">
        <v>3</v>
      </c>
      <c r="U65" s="13" t="n">
        <v>5</v>
      </c>
      <c r="V65" s="15" t="n">
        <f aca="false">ABS(T65-P65)</f>
        <v>0</v>
      </c>
      <c r="W65" s="15" t="n">
        <f aca="false">Q65</f>
        <v>4</v>
      </c>
      <c r="X65" s="15" t="n">
        <f aca="false">P65+1</f>
        <v>4</v>
      </c>
    </row>
    <row r="66" customFormat="false" ht="15" hidden="false" customHeight="false" outlineLevel="0" collapsed="false">
      <c r="A66" s="4" t="s">
        <v>42</v>
      </c>
      <c r="B66" s="10" t="n">
        <f aca="false">$B$55*Wiring!$B$6+$C$55*Wiring!$B$7+$D$55*Wiring!$B$8+$E$55*Wiring!$B$9+$F$55*Wiring!$B$10+$G$55*Wiring!$B$11+$H$55*Wiring!$B$12</f>
        <v>0</v>
      </c>
      <c r="C66" s="10" t="n">
        <f aca="false">$B$55*Wiring!$C$6+$C$55*Wiring!$C$7+$D$55*Wiring!$C$8+$E$55*Wiring!$C$9+$F$55*Wiring!$C$10+$G$55*Wiring!$C$11+$H$55*Wiring!$C$12</f>
        <v>0</v>
      </c>
      <c r="D66" s="10" t="n">
        <f aca="false">$B$55*Wiring!$D$6+$C$55*Wiring!$D$7+$D$55*Wiring!$D$8+$E$55*Wiring!$D$9+$F$55*Wiring!$D$10+$G$55*Wiring!$D$11+$H$55*Wiring!$D$12</f>
        <v>0</v>
      </c>
      <c r="E66" s="10" t="n">
        <f aca="false">$B$55*Wiring!$E$6+$C$55*Wiring!$E$7+$D$55*Wiring!$E$8+$E$55*Wiring!$E$9+$F$55*Wiring!$E$10+$G$55*Wiring!$E$11+$H$55*Wiring!$E$12</f>
        <v>64</v>
      </c>
      <c r="F66" s="10" t="n">
        <f aca="false">$B$55*Wiring!$F$6+$C$55*Wiring!$F$7+$D$55*Wiring!$F$8+$E$55*Wiring!$F$9+$F$55*Wiring!$F$10+$G$55*Wiring!$F$11+$H$55*Wiring!$F$12</f>
        <v>64</v>
      </c>
      <c r="G66" s="10" t="n">
        <f aca="false">$B$55*Wiring!$G$6+$C$55*Wiring!$G$7+$D$55*Wiring!$G$8+$E$55*Wiring!$G$9+$F$55*Wiring!$G$10+$G$55*Wiring!$G$11+$H$55*Wiring!$G$12</f>
        <v>0</v>
      </c>
      <c r="H66" s="10" t="n">
        <f aca="false">$B$55*Wiring!$H$6+$C$55*Wiring!$H$7+$D$55*Wiring!$H$8+$E$55*Wiring!$H$9+$F$55*Wiring!$H$10+$G$55*Wiring!$H$11+$H$55*Wiring!$H$12</f>
        <v>0</v>
      </c>
      <c r="M66" s="10" t="n">
        <v>1</v>
      </c>
      <c r="N66" s="15" t="n">
        <f aca="false">Q65</f>
        <v>4</v>
      </c>
      <c r="O66" s="15" t="n">
        <f aca="false">-Q65</f>
        <v>-4</v>
      </c>
      <c r="P66" s="15" t="n">
        <f aca="false">N65+O65</f>
        <v>3</v>
      </c>
      <c r="Q66" s="15" t="n">
        <f aca="false">Q65+$N$63*P65</f>
        <v>5.5</v>
      </c>
      <c r="R66" s="15" t="n">
        <f aca="false">U65</f>
        <v>5</v>
      </c>
      <c r="S66" s="15" t="n">
        <f aca="false">-U65</f>
        <v>-5</v>
      </c>
      <c r="T66" s="15" t="n">
        <f aca="false">R65+S65</f>
        <v>3</v>
      </c>
      <c r="U66" s="15" t="n">
        <f aca="false">U65+$N$63*T65</f>
        <v>6.5</v>
      </c>
      <c r="V66" s="15" t="n">
        <f aca="false">ABS(T66-P66)</f>
        <v>0</v>
      </c>
      <c r="W66" s="15" t="n">
        <f aca="false">W65+$N$63*X65</f>
        <v>6</v>
      </c>
    </row>
    <row r="67" customFormat="false" ht="15" hidden="false" customHeight="false" outlineLevel="0" collapsed="false">
      <c r="A67" s="4" t="s">
        <v>46</v>
      </c>
      <c r="B67" s="10" t="n">
        <f aca="false">$B$56*Wiring!$B$6+$C$56*Wiring!$B$7+$D$56*Wiring!$B$8+$E$56*Wiring!$B$9+$F$56*Wiring!$B$10+$G$56*Wiring!$B$11+$H$56*Wiring!$B$12</f>
        <v>0</v>
      </c>
      <c r="C67" s="10" t="n">
        <f aca="false">$B$56*Wiring!$C$6+$C$56*Wiring!$C$7+$D$56*Wiring!$C$8+$E$56*Wiring!$C$9+$F$56*Wiring!$C$10+$G$56*Wiring!$C$11+$H$56*Wiring!$C$12</f>
        <v>0</v>
      </c>
      <c r="D67" s="10" t="n">
        <f aca="false">$B$56*Wiring!$D$6+$C$56*Wiring!$D$7+$D$56*Wiring!$D$8+$E$56*Wiring!$D$9+$F$56*Wiring!$D$10+$G$56*Wiring!$D$11+$H$56*Wiring!$D$12</f>
        <v>0</v>
      </c>
      <c r="E67" s="10" t="n">
        <f aca="false">$B$56*Wiring!$E$6+$C$56*Wiring!$E$7+$D$56*Wiring!$E$8+$E$56*Wiring!$E$9+$F$56*Wiring!$E$10+$G$56*Wiring!$E$11+$H$56*Wiring!$E$12</f>
        <v>64</v>
      </c>
      <c r="F67" s="10" t="n">
        <f aca="false">$B$56*Wiring!$F$6+$C$56*Wiring!$F$7+$D$56*Wiring!$F$8+$E$56*Wiring!$F$9+$F$56*Wiring!$F$10+$G$56*Wiring!$F$11+$H$56*Wiring!$F$12</f>
        <v>64</v>
      </c>
      <c r="G67" s="10" t="n">
        <f aca="false">$B$56*Wiring!$G$6+$C$56*Wiring!$G$7+$D$56*Wiring!$G$8+$E$56*Wiring!$G$9+$F$56*Wiring!$G$10+$G$56*Wiring!$G$11+$H$56*Wiring!$G$12</f>
        <v>0</v>
      </c>
      <c r="H67" s="10" t="n">
        <f aca="false">$B$56*Wiring!$H$6+$C$56*Wiring!$H$7+$D$56*Wiring!$H$8+$E$56*Wiring!$H$9+$F$56*Wiring!$H$10+$G$56*Wiring!$H$11+$H$56*Wiring!$H$12</f>
        <v>0</v>
      </c>
      <c r="M67" s="10" t="n">
        <v>2</v>
      </c>
      <c r="N67" s="15" t="n">
        <f aca="false">Q66</f>
        <v>5.5</v>
      </c>
      <c r="O67" s="15" t="n">
        <f aca="false">-Q66</f>
        <v>-5.5</v>
      </c>
      <c r="P67" s="15" t="n">
        <f aca="false">N66+O66</f>
        <v>0</v>
      </c>
      <c r="Q67" s="15" t="n">
        <f aca="false">Q66+$N$63*P66</f>
        <v>7</v>
      </c>
      <c r="R67" s="15" t="n">
        <f aca="false">U66</f>
        <v>6.5</v>
      </c>
      <c r="S67" s="15" t="n">
        <f aca="false">-U66</f>
        <v>-6.5</v>
      </c>
      <c r="T67" s="15" t="n">
        <f aca="false">R66+S66</f>
        <v>0</v>
      </c>
      <c r="U67" s="15" t="n">
        <f aca="false">U66+$N$63*T66</f>
        <v>8</v>
      </c>
      <c r="V67" s="15" t="n">
        <f aca="false">ABS(T67-P67)</f>
        <v>0</v>
      </c>
    </row>
    <row r="68" customFormat="false" ht="15" hidden="false" customHeight="false" outlineLevel="0" collapsed="false">
      <c r="M68" s="10" t="n">
        <v>3</v>
      </c>
      <c r="N68" s="15" t="n">
        <f aca="false">Q67</f>
        <v>7</v>
      </c>
      <c r="O68" s="15" t="n">
        <f aca="false">-Q67</f>
        <v>-7</v>
      </c>
      <c r="P68" s="15" t="n">
        <f aca="false">N67+O67</f>
        <v>0</v>
      </c>
      <c r="Q68" s="15" t="n">
        <f aca="false">Q67+$N$63*P67</f>
        <v>7</v>
      </c>
      <c r="R68" s="15" t="n">
        <f aca="false">U67</f>
        <v>8</v>
      </c>
      <c r="S68" s="15" t="n">
        <f aca="false">-U67</f>
        <v>-8</v>
      </c>
      <c r="T68" s="15" t="n">
        <f aca="false">R67+S67</f>
        <v>0</v>
      </c>
      <c r="U68" s="15" t="n">
        <f aca="false">U67+$N$63*T67</f>
        <v>8</v>
      </c>
      <c r="V68" s="15" t="n">
        <f aca="false">ABS(T68-P68)</f>
        <v>0</v>
      </c>
    </row>
    <row r="69" customFormat="false" ht="15" hidden="false" customHeight="false" outlineLevel="0" collapsed="false">
      <c r="M69" s="10" t="n">
        <v>4</v>
      </c>
      <c r="N69" s="15" t="n">
        <f aca="false">Q68</f>
        <v>7</v>
      </c>
      <c r="O69" s="15" t="n">
        <f aca="false">-Q68</f>
        <v>-7</v>
      </c>
      <c r="P69" s="15" t="n">
        <f aca="false">N68+O68</f>
        <v>0</v>
      </c>
      <c r="Q69" s="15" t="n">
        <f aca="false">Q68+$N$63*P68</f>
        <v>7</v>
      </c>
      <c r="R69" s="15" t="n">
        <f aca="false">U68</f>
        <v>8</v>
      </c>
      <c r="S69" s="15" t="n">
        <f aca="false">-U68</f>
        <v>-8</v>
      </c>
      <c r="T69" s="15" t="n">
        <f aca="false">R68+S68</f>
        <v>0</v>
      </c>
      <c r="U69" s="15" t="n">
        <f aca="false">U68+$N$63*T68</f>
        <v>8</v>
      </c>
      <c r="V69" s="15" t="n">
        <f aca="false">ABS(T69-P69)</f>
        <v>0</v>
      </c>
    </row>
    <row r="70" customFormat="false" ht="15" hidden="false" customHeight="false" outlineLevel="0" collapsed="false">
      <c r="A70" s="4" t="s">
        <v>200</v>
      </c>
      <c r="M70" s="10" t="n">
        <v>5</v>
      </c>
      <c r="N70" s="15" t="n">
        <f aca="false">Q69</f>
        <v>7</v>
      </c>
      <c r="O70" s="15" t="n">
        <f aca="false">-Q69</f>
        <v>-7</v>
      </c>
      <c r="P70" s="15" t="n">
        <f aca="false">N69+O69</f>
        <v>0</v>
      </c>
      <c r="Q70" s="15" t="n">
        <f aca="false">Q69+$N$63*P69</f>
        <v>7</v>
      </c>
      <c r="R70" s="15" t="n">
        <f aca="false">U69</f>
        <v>8</v>
      </c>
      <c r="S70" s="15" t="n">
        <f aca="false">-U69</f>
        <v>-8</v>
      </c>
      <c r="T70" s="15" t="n">
        <f aca="false">R69+S69</f>
        <v>0</v>
      </c>
      <c r="U70" s="15" t="n">
        <f aca="false">U69+$N$63*T69</f>
        <v>8</v>
      </c>
      <c r="V70" s="15" t="n">
        <f aca="false">ABS(T70-P70)</f>
        <v>0</v>
      </c>
    </row>
    <row r="71" customFormat="false" ht="15" hidden="false" customHeight="false" outlineLevel="0" collapsed="false">
      <c r="A71" s="8"/>
      <c r="B71" s="8" t="s">
        <v>23</v>
      </c>
      <c r="C71" s="8" t="s">
        <v>28</v>
      </c>
      <c r="D71" s="8" t="s">
        <v>32</v>
      </c>
      <c r="E71" s="8" t="s">
        <v>37</v>
      </c>
      <c r="F71" s="8" t="s">
        <v>40</v>
      </c>
      <c r="G71" s="8" t="s">
        <v>42</v>
      </c>
      <c r="H71" s="8" t="s">
        <v>46</v>
      </c>
      <c r="M71" s="10" t="n">
        <v>6</v>
      </c>
      <c r="N71" s="15" t="n">
        <f aca="false">Q70</f>
        <v>7</v>
      </c>
      <c r="O71" s="15" t="n">
        <f aca="false">-Q70</f>
        <v>-7</v>
      </c>
      <c r="P71" s="15" t="n">
        <f aca="false">N70+O70</f>
        <v>0</v>
      </c>
      <c r="Q71" s="15" t="n">
        <f aca="false">Q70+$N$63*P70</f>
        <v>7</v>
      </c>
      <c r="R71" s="15" t="n">
        <f aca="false">U70</f>
        <v>8</v>
      </c>
      <c r="S71" s="15" t="n">
        <f aca="false">-U70</f>
        <v>-8</v>
      </c>
      <c r="T71" s="15" t="n">
        <f aca="false">R70+S70</f>
        <v>0</v>
      </c>
      <c r="U71" s="15" t="n">
        <f aca="false">U70+$N$63*T70</f>
        <v>8</v>
      </c>
      <c r="V71" s="15" t="n">
        <f aca="false">ABS(T71-P71)</f>
        <v>0</v>
      </c>
    </row>
    <row r="72" customFormat="false" ht="15" hidden="false" customHeight="false" outlineLevel="0" collapsed="false">
      <c r="A72" s="4" t="s">
        <v>23</v>
      </c>
      <c r="B72" s="10" t="n">
        <f aca="false">$B$61*Wiring!$B$6+$C$61*Wiring!$B$7+$D$61*Wiring!$B$8+$E$61*Wiring!$B$9+$F$61*Wiring!$B$10+$G$61*Wiring!$B$11+$H$61*Wiring!$B$12</f>
        <v>0</v>
      </c>
      <c r="C72" s="10" t="n">
        <f aca="false">$B$61*Wiring!$C$6+$C$61*Wiring!$C$7+$D$61*Wiring!$C$8+$E$61*Wiring!$C$9+$F$61*Wiring!$C$10+$G$61*Wiring!$C$11+$H$61*Wiring!$C$12</f>
        <v>0</v>
      </c>
      <c r="D72" s="10" t="n">
        <f aca="false">$B$61*Wiring!$D$6+$C$61*Wiring!$D$7+$D$61*Wiring!$D$8+$E$61*Wiring!$D$9+$F$61*Wiring!$D$10+$G$61*Wiring!$D$11+$H$61*Wiring!$D$12</f>
        <v>0</v>
      </c>
      <c r="E72" s="10" t="n">
        <f aca="false">$B$61*Wiring!$E$6+$C$61*Wiring!$E$7+$D$61*Wiring!$E$8+$E$61*Wiring!$E$9+$F$61*Wiring!$E$10+$G$61*Wiring!$E$11+$H$61*Wiring!$E$12</f>
        <v>0</v>
      </c>
      <c r="F72" s="10" t="n">
        <f aca="false">$B$61*Wiring!$F$6+$C$61*Wiring!$F$7+$D$61*Wiring!$F$8+$E$61*Wiring!$F$9+$F$61*Wiring!$F$10+$G$61*Wiring!$F$11+$H$61*Wiring!$F$12</f>
        <v>0</v>
      </c>
      <c r="G72" s="10" t="n">
        <f aca="false">$B$61*Wiring!$G$6+$C$61*Wiring!$G$7+$D$61*Wiring!$G$8+$E$61*Wiring!$G$9+$F$61*Wiring!$G$10+$G$61*Wiring!$G$11+$H$61*Wiring!$G$12</f>
        <v>160</v>
      </c>
      <c r="H72" s="10" t="n">
        <f aca="false">$B$61*Wiring!$H$6+$C$61*Wiring!$H$7+$D$61*Wiring!$H$8+$E$61*Wiring!$H$9+$F$61*Wiring!$H$10+$G$61*Wiring!$H$11+$H$61*Wiring!$H$12</f>
        <v>160</v>
      </c>
      <c r="M72" s="10" t="n">
        <v>7</v>
      </c>
      <c r="N72" s="15" t="n">
        <f aca="false">Q71</f>
        <v>7</v>
      </c>
      <c r="O72" s="15" t="n">
        <f aca="false">-Q71</f>
        <v>-7</v>
      </c>
      <c r="P72" s="15" t="n">
        <f aca="false">N71+O71</f>
        <v>0</v>
      </c>
      <c r="Q72" s="15" t="n">
        <f aca="false">Q71+$N$63*P71</f>
        <v>7</v>
      </c>
      <c r="R72" s="15" t="n">
        <f aca="false">U71</f>
        <v>8</v>
      </c>
      <c r="S72" s="15" t="n">
        <f aca="false">-U71</f>
        <v>-8</v>
      </c>
      <c r="T72" s="15" t="n">
        <f aca="false">R71+S71</f>
        <v>0</v>
      </c>
      <c r="U72" s="15" t="n">
        <f aca="false">U71+$N$63*T71</f>
        <v>8</v>
      </c>
      <c r="V72" s="15" t="n">
        <f aca="false">ABS(T72-P72)</f>
        <v>0</v>
      </c>
    </row>
    <row r="73" customFormat="false" ht="15" hidden="false" customHeight="false" outlineLevel="0" collapsed="false">
      <c r="A73" s="4" t="s">
        <v>28</v>
      </c>
      <c r="B73" s="10" t="n">
        <f aca="false">$B$62*Wiring!$B$6+$C$62*Wiring!$B$7+$D$62*Wiring!$B$8+$E$62*Wiring!$B$9+$F$62*Wiring!$B$10+$G$62*Wiring!$B$11+$H$62*Wiring!$B$12</f>
        <v>0</v>
      </c>
      <c r="C73" s="10" t="n">
        <f aca="false">$B$62*Wiring!$C$6+$C$62*Wiring!$C$7+$D$62*Wiring!$C$8+$E$62*Wiring!$C$9+$F$62*Wiring!$C$10+$G$62*Wiring!$C$11+$H$62*Wiring!$C$12</f>
        <v>0</v>
      </c>
      <c r="D73" s="10" t="n">
        <f aca="false">$B$62*Wiring!$D$6+$C$62*Wiring!$D$7+$D$62*Wiring!$D$8+$E$62*Wiring!$D$9+$F$62*Wiring!$D$10+$G$62*Wiring!$D$11+$H$62*Wiring!$D$12</f>
        <v>0</v>
      </c>
      <c r="E73" s="10" t="n">
        <f aca="false">$B$62*Wiring!$E$6+$C$62*Wiring!$E$7+$D$62*Wiring!$E$8+$E$62*Wiring!$E$9+$F$62*Wiring!$E$10+$G$62*Wiring!$E$11+$H$62*Wiring!$E$12</f>
        <v>64</v>
      </c>
      <c r="F73" s="10" t="n">
        <f aca="false">$B$62*Wiring!$F$6+$C$62*Wiring!$F$7+$D$62*Wiring!$F$8+$E$62*Wiring!$F$9+$F$62*Wiring!$F$10+$G$62*Wiring!$F$11+$H$62*Wiring!$F$12</f>
        <v>64</v>
      </c>
      <c r="G73" s="10" t="n">
        <f aca="false">$B$62*Wiring!$G$6+$C$62*Wiring!$G$7+$D$62*Wiring!$G$8+$E$62*Wiring!$G$9+$F$62*Wiring!$G$10+$G$62*Wiring!$G$11+$H$62*Wiring!$G$12</f>
        <v>64</v>
      </c>
      <c r="H73" s="10" t="n">
        <f aca="false">$B$62*Wiring!$H$6+$C$62*Wiring!$H$7+$D$62*Wiring!$H$8+$E$62*Wiring!$H$9+$F$62*Wiring!$H$10+$G$62*Wiring!$H$11+$H$62*Wiring!$H$12</f>
        <v>64</v>
      </c>
      <c r="M73" s="10" t="n">
        <v>8</v>
      </c>
      <c r="N73" s="15" t="n">
        <f aca="false">Q72</f>
        <v>7</v>
      </c>
      <c r="O73" s="15" t="n">
        <f aca="false">-Q72</f>
        <v>-7</v>
      </c>
      <c r="P73" s="15" t="n">
        <f aca="false">N72+O72</f>
        <v>0</v>
      </c>
      <c r="Q73" s="15" t="n">
        <f aca="false">Q72+$N$63*P72</f>
        <v>7</v>
      </c>
      <c r="R73" s="15" t="n">
        <f aca="false">U72</f>
        <v>8</v>
      </c>
      <c r="S73" s="15" t="n">
        <f aca="false">-U72</f>
        <v>-8</v>
      </c>
      <c r="T73" s="15" t="n">
        <f aca="false">R72+S72</f>
        <v>0</v>
      </c>
      <c r="U73" s="15" t="n">
        <f aca="false">U72+$N$63*T72</f>
        <v>8</v>
      </c>
      <c r="V73" s="15" t="n">
        <f aca="false">ABS(T73-P73)</f>
        <v>0</v>
      </c>
    </row>
    <row r="74" customFormat="false" ht="15" hidden="false" customHeight="false" outlineLevel="0" collapsed="false">
      <c r="A74" s="4" t="s">
        <v>32</v>
      </c>
      <c r="B74" s="10" t="n">
        <f aca="false">$B$63*Wiring!$B$6+$C$63*Wiring!$B$7+$D$63*Wiring!$B$8+$E$63*Wiring!$B$9+$F$63*Wiring!$B$10+$G$63*Wiring!$B$11+$H$63*Wiring!$B$12</f>
        <v>0</v>
      </c>
      <c r="C74" s="10" t="n">
        <f aca="false">$B$63*Wiring!$C$6+$C$63*Wiring!$C$7+$D$63*Wiring!$C$8+$E$63*Wiring!$C$9+$F$63*Wiring!$C$10+$G$63*Wiring!$C$11+$H$63*Wiring!$C$12</f>
        <v>0</v>
      </c>
      <c r="D74" s="10" t="n">
        <f aca="false">$B$63*Wiring!$D$6+$C$63*Wiring!$D$7+$D$63*Wiring!$D$8+$E$63*Wiring!$D$9+$F$63*Wiring!$D$10+$G$63*Wiring!$D$11+$H$63*Wiring!$D$12</f>
        <v>0</v>
      </c>
      <c r="E74" s="10" t="n">
        <f aca="false">$B$63*Wiring!$E$6+$C$63*Wiring!$E$7+$D$63*Wiring!$E$8+$E$63*Wiring!$E$9+$F$63*Wiring!$E$10+$G$63*Wiring!$E$11+$H$63*Wiring!$E$12</f>
        <v>64</v>
      </c>
      <c r="F74" s="10" t="n">
        <f aca="false">$B$63*Wiring!$F$6+$C$63*Wiring!$F$7+$D$63*Wiring!$F$8+$E$63*Wiring!$F$9+$F$63*Wiring!$F$10+$G$63*Wiring!$F$11+$H$63*Wiring!$F$12</f>
        <v>64</v>
      </c>
      <c r="G74" s="10" t="n">
        <f aca="false">$B$63*Wiring!$G$6+$C$63*Wiring!$G$7+$D$63*Wiring!$G$8+$E$63*Wiring!$G$9+$F$63*Wiring!$G$10+$G$63*Wiring!$G$11+$H$63*Wiring!$G$12</f>
        <v>0</v>
      </c>
      <c r="H74" s="10" t="n">
        <f aca="false">$B$63*Wiring!$H$6+$C$63*Wiring!$H$7+$D$63*Wiring!$H$8+$E$63*Wiring!$H$9+$F$63*Wiring!$H$10+$G$63*Wiring!$H$11+$H$63*Wiring!$H$12</f>
        <v>0</v>
      </c>
      <c r="M74" s="10" t="n">
        <v>9</v>
      </c>
      <c r="N74" s="15" t="n">
        <f aca="false">Q73</f>
        <v>7</v>
      </c>
      <c r="O74" s="15" t="n">
        <f aca="false">-Q73</f>
        <v>-7</v>
      </c>
      <c r="P74" s="15" t="n">
        <f aca="false">N73+O73</f>
        <v>0</v>
      </c>
      <c r="Q74" s="15" t="n">
        <f aca="false">Q73+$N$63*P73</f>
        <v>7</v>
      </c>
      <c r="R74" s="15" t="n">
        <f aca="false">U73</f>
        <v>8</v>
      </c>
      <c r="S74" s="15" t="n">
        <f aca="false">-U73</f>
        <v>-8</v>
      </c>
      <c r="T74" s="15" t="n">
        <f aca="false">R73+S73</f>
        <v>0</v>
      </c>
      <c r="U74" s="15" t="n">
        <f aca="false">U73+$N$63*T73</f>
        <v>8</v>
      </c>
      <c r="V74" s="15" t="n">
        <f aca="false">ABS(T74-P74)</f>
        <v>0</v>
      </c>
    </row>
    <row r="75" customFormat="false" ht="15" hidden="false" customHeight="false" outlineLevel="0" collapsed="false">
      <c r="A75" s="4" t="s">
        <v>37</v>
      </c>
      <c r="B75" s="10" t="n">
        <f aca="false">$B$64*Wiring!$B$6+$C$64*Wiring!$B$7+$D$64*Wiring!$B$8+$E$64*Wiring!$B$9+$F$64*Wiring!$B$10+$G$64*Wiring!$B$11+$H$64*Wiring!$B$12</f>
        <v>0</v>
      </c>
      <c r="C75" s="10" t="n">
        <f aca="false">$B$64*Wiring!$C$6+$C$64*Wiring!$C$7+$D$64*Wiring!$C$8+$E$64*Wiring!$C$9+$F$64*Wiring!$C$10+$G$64*Wiring!$C$11+$H$64*Wiring!$C$12</f>
        <v>0</v>
      </c>
      <c r="D75" s="10" t="n">
        <f aca="false">$B$64*Wiring!$D$6+$C$64*Wiring!$D$7+$D$64*Wiring!$D$8+$E$64*Wiring!$D$9+$F$64*Wiring!$D$10+$G$64*Wiring!$D$11+$H$64*Wiring!$D$12</f>
        <v>0</v>
      </c>
      <c r="E75" s="10" t="n">
        <f aca="false">$B$64*Wiring!$E$6+$C$64*Wiring!$E$7+$D$64*Wiring!$E$8+$E$64*Wiring!$E$9+$F$64*Wiring!$E$10+$G$64*Wiring!$E$11+$H$64*Wiring!$E$12</f>
        <v>128</v>
      </c>
      <c r="F75" s="10" t="n">
        <f aca="false">$B$64*Wiring!$F$6+$C$64*Wiring!$F$7+$D$64*Wiring!$F$8+$E$64*Wiring!$F$9+$F$64*Wiring!$F$10+$G$64*Wiring!$F$11+$H$64*Wiring!$F$12</f>
        <v>128</v>
      </c>
      <c r="G75" s="10" t="n">
        <f aca="false">$B$64*Wiring!$G$6+$C$64*Wiring!$G$7+$D$64*Wiring!$G$8+$E$64*Wiring!$G$9+$F$64*Wiring!$G$10+$G$64*Wiring!$G$11+$H$64*Wiring!$G$12</f>
        <v>0</v>
      </c>
      <c r="H75" s="10" t="n">
        <f aca="false">$B$64*Wiring!$H$6+$C$64*Wiring!$H$7+$D$64*Wiring!$H$8+$E$64*Wiring!$H$9+$F$64*Wiring!$H$10+$G$64*Wiring!$H$11+$H$64*Wiring!$H$12</f>
        <v>0</v>
      </c>
      <c r="M75" s="10" t="n">
        <v>10</v>
      </c>
      <c r="N75" s="15" t="n">
        <f aca="false">Q74</f>
        <v>7</v>
      </c>
      <c r="O75" s="15" t="n">
        <f aca="false">-Q74</f>
        <v>-7</v>
      </c>
      <c r="P75" s="15" t="n">
        <f aca="false">N74+O74</f>
        <v>0</v>
      </c>
      <c r="Q75" s="15" t="n">
        <f aca="false">Q74+$N$63*P74</f>
        <v>7</v>
      </c>
      <c r="R75" s="15" t="n">
        <f aca="false">U74</f>
        <v>8</v>
      </c>
      <c r="S75" s="15" t="n">
        <f aca="false">-U74</f>
        <v>-8</v>
      </c>
      <c r="T75" s="15" t="n">
        <f aca="false">R74+S74</f>
        <v>0</v>
      </c>
      <c r="U75" s="15" t="n">
        <f aca="false">U74+$N$63*T74</f>
        <v>8</v>
      </c>
      <c r="V75" s="15" t="n">
        <f aca="false">ABS(T75-P75)</f>
        <v>0</v>
      </c>
    </row>
    <row r="76" customFormat="false" ht="15" hidden="false" customHeight="false" outlineLevel="0" collapsed="false">
      <c r="A76" s="4" t="s">
        <v>40</v>
      </c>
      <c r="B76" s="10" t="n">
        <f aca="false">$B$65*Wiring!$B$6+$C$65*Wiring!$B$7+$D$65*Wiring!$B$8+$E$65*Wiring!$B$9+$F$65*Wiring!$B$10+$G$65*Wiring!$B$11+$H$65*Wiring!$B$12</f>
        <v>0</v>
      </c>
      <c r="C76" s="10" t="n">
        <f aca="false">$B$65*Wiring!$C$6+$C$65*Wiring!$C$7+$D$65*Wiring!$C$8+$E$65*Wiring!$C$9+$F$65*Wiring!$C$10+$G$65*Wiring!$C$11+$H$65*Wiring!$C$12</f>
        <v>0</v>
      </c>
      <c r="D76" s="10" t="n">
        <f aca="false">$B$65*Wiring!$D$6+$C$65*Wiring!$D$7+$D$65*Wiring!$D$8+$E$65*Wiring!$D$9+$F$65*Wiring!$D$10+$G$65*Wiring!$D$11+$H$65*Wiring!$D$12</f>
        <v>0</v>
      </c>
      <c r="E76" s="10" t="n">
        <f aca="false">$B$65*Wiring!$E$6+$C$65*Wiring!$E$7+$D$65*Wiring!$E$8+$E$65*Wiring!$E$9+$F$65*Wiring!$E$10+$G$65*Wiring!$E$11+$H$65*Wiring!$E$12</f>
        <v>128</v>
      </c>
      <c r="F76" s="10" t="n">
        <f aca="false">$B$65*Wiring!$F$6+$C$65*Wiring!$F$7+$D$65*Wiring!$F$8+$E$65*Wiring!$F$9+$F$65*Wiring!$F$10+$G$65*Wiring!$F$11+$H$65*Wiring!$F$12</f>
        <v>128</v>
      </c>
      <c r="G76" s="10" t="n">
        <f aca="false">$B$65*Wiring!$G$6+$C$65*Wiring!$G$7+$D$65*Wiring!$G$8+$E$65*Wiring!$G$9+$F$65*Wiring!$G$10+$G$65*Wiring!$G$11+$H$65*Wiring!$G$12</f>
        <v>0</v>
      </c>
      <c r="H76" s="10" t="n">
        <f aca="false">$B$65*Wiring!$H$6+$C$65*Wiring!$H$7+$D$65*Wiring!$H$8+$E$65*Wiring!$H$9+$F$65*Wiring!$H$10+$G$65*Wiring!$H$11+$H$65*Wiring!$H$12</f>
        <v>0</v>
      </c>
      <c r="M76" s="10" t="n">
        <v>11</v>
      </c>
      <c r="N76" s="15" t="n">
        <f aca="false">Q75</f>
        <v>7</v>
      </c>
      <c r="O76" s="15" t="n">
        <f aca="false">-Q75</f>
        <v>-7</v>
      </c>
      <c r="P76" s="15" t="n">
        <f aca="false">N75+O75</f>
        <v>0</v>
      </c>
      <c r="Q76" s="15" t="n">
        <f aca="false">Q75+$N$63*P75</f>
        <v>7</v>
      </c>
      <c r="R76" s="15" t="n">
        <f aca="false">U75</f>
        <v>8</v>
      </c>
      <c r="S76" s="15" t="n">
        <f aca="false">-U75</f>
        <v>-8</v>
      </c>
      <c r="T76" s="15" t="n">
        <f aca="false">R75+S75</f>
        <v>0</v>
      </c>
      <c r="U76" s="15" t="n">
        <f aca="false">U75+$N$63*T75</f>
        <v>8</v>
      </c>
      <c r="V76" s="15" t="n">
        <f aca="false">ABS(T76-P76)</f>
        <v>0</v>
      </c>
    </row>
    <row r="77" customFormat="false" ht="15" hidden="false" customHeight="false" outlineLevel="0" collapsed="false">
      <c r="A77" s="4" t="s">
        <v>42</v>
      </c>
      <c r="B77" s="10" t="n">
        <f aca="false">$B$66*Wiring!$B$6+$C$66*Wiring!$B$7+$D$66*Wiring!$B$8+$E$66*Wiring!$B$9+$F$66*Wiring!$B$10+$G$66*Wiring!$B$11+$H$66*Wiring!$B$12</f>
        <v>0</v>
      </c>
      <c r="C77" s="10" t="n">
        <f aca="false">$B$66*Wiring!$C$6+$C$66*Wiring!$C$7+$D$66*Wiring!$C$8+$E$66*Wiring!$C$9+$F$66*Wiring!$C$10+$G$66*Wiring!$C$11+$H$66*Wiring!$C$12</f>
        <v>0</v>
      </c>
      <c r="D77" s="10" t="n">
        <f aca="false">$B$66*Wiring!$D$6+$C$66*Wiring!$D$7+$D$66*Wiring!$D$8+$E$66*Wiring!$D$9+$F$66*Wiring!$D$10+$G$66*Wiring!$D$11+$H$66*Wiring!$D$12</f>
        <v>0</v>
      </c>
      <c r="E77" s="10" t="n">
        <f aca="false">$B$66*Wiring!$E$6+$C$66*Wiring!$E$7+$D$66*Wiring!$E$8+$E$66*Wiring!$E$9+$F$66*Wiring!$E$10+$G$66*Wiring!$E$11+$H$66*Wiring!$E$12</f>
        <v>0</v>
      </c>
      <c r="F77" s="10" t="n">
        <f aca="false">$B$66*Wiring!$F$6+$C$66*Wiring!$F$7+$D$66*Wiring!$F$8+$E$66*Wiring!$F$9+$F$66*Wiring!$F$10+$G$66*Wiring!$F$11+$H$66*Wiring!$F$12</f>
        <v>0</v>
      </c>
      <c r="G77" s="10" t="n">
        <f aca="false">$B$66*Wiring!$G$6+$C$66*Wiring!$G$7+$D$66*Wiring!$G$8+$E$66*Wiring!$G$9+$F$66*Wiring!$G$10+$G$66*Wiring!$G$11+$H$66*Wiring!$G$12</f>
        <v>128</v>
      </c>
      <c r="H77" s="10" t="n">
        <f aca="false">$B$66*Wiring!$H$6+$C$66*Wiring!$H$7+$D$66*Wiring!$H$8+$E$66*Wiring!$H$9+$F$66*Wiring!$H$10+$G$66*Wiring!$H$11+$H$66*Wiring!$H$12</f>
        <v>128</v>
      </c>
      <c r="M77" s="10" t="n">
        <v>12</v>
      </c>
      <c r="N77" s="15" t="n">
        <f aca="false">Q76</f>
        <v>7</v>
      </c>
      <c r="O77" s="15" t="n">
        <f aca="false">-Q76</f>
        <v>-7</v>
      </c>
      <c r="P77" s="15" t="n">
        <f aca="false">N76+O76</f>
        <v>0</v>
      </c>
      <c r="Q77" s="15" t="n">
        <f aca="false">Q76+$N$63*P76</f>
        <v>7</v>
      </c>
      <c r="R77" s="15" t="n">
        <f aca="false">U76</f>
        <v>8</v>
      </c>
      <c r="S77" s="15" t="n">
        <f aca="false">-U76</f>
        <v>-8</v>
      </c>
      <c r="T77" s="15" t="n">
        <f aca="false">R76+S76</f>
        <v>0</v>
      </c>
      <c r="U77" s="15" t="n">
        <f aca="false">U76+$N$63*T76</f>
        <v>8</v>
      </c>
      <c r="V77" s="15" t="n">
        <f aca="false">ABS(T77-P77)</f>
        <v>0</v>
      </c>
    </row>
    <row r="78" customFormat="false" ht="15" hidden="false" customHeight="false" outlineLevel="0" collapsed="false">
      <c r="A78" s="4" t="s">
        <v>46</v>
      </c>
      <c r="B78" s="10" t="n">
        <f aca="false">$B$67*Wiring!$B$6+$C$67*Wiring!$B$7+$D$67*Wiring!$B$8+$E$67*Wiring!$B$9+$F$67*Wiring!$B$10+$G$67*Wiring!$B$11+$H$67*Wiring!$B$12</f>
        <v>0</v>
      </c>
      <c r="C78" s="10" t="n">
        <f aca="false">$B$67*Wiring!$C$6+$C$67*Wiring!$C$7+$D$67*Wiring!$C$8+$E$67*Wiring!$C$9+$F$67*Wiring!$C$10+$G$67*Wiring!$C$11+$H$67*Wiring!$C$12</f>
        <v>0</v>
      </c>
      <c r="D78" s="10" t="n">
        <f aca="false">$B$67*Wiring!$D$6+$C$67*Wiring!$D$7+$D$67*Wiring!$D$8+$E$67*Wiring!$D$9+$F$67*Wiring!$D$10+$G$67*Wiring!$D$11+$H$67*Wiring!$D$12</f>
        <v>0</v>
      </c>
      <c r="E78" s="10" t="n">
        <f aca="false">$B$67*Wiring!$E$6+$C$67*Wiring!$E$7+$D$67*Wiring!$E$8+$E$67*Wiring!$E$9+$F$67*Wiring!$E$10+$G$67*Wiring!$E$11+$H$67*Wiring!$E$12</f>
        <v>0</v>
      </c>
      <c r="F78" s="10" t="n">
        <f aca="false">$B$67*Wiring!$F$6+$C$67*Wiring!$F$7+$D$67*Wiring!$F$8+$E$67*Wiring!$F$9+$F$67*Wiring!$F$10+$G$67*Wiring!$F$11+$H$67*Wiring!$F$12</f>
        <v>0</v>
      </c>
      <c r="G78" s="10" t="n">
        <f aca="false">$B$67*Wiring!$G$6+$C$67*Wiring!$G$7+$D$67*Wiring!$G$8+$E$67*Wiring!$G$9+$F$67*Wiring!$G$10+$G$67*Wiring!$G$11+$H$67*Wiring!$G$12</f>
        <v>128</v>
      </c>
      <c r="H78" s="10" t="n">
        <f aca="false">$B$67*Wiring!$H$6+$C$67*Wiring!$H$7+$D$67*Wiring!$H$8+$E$67*Wiring!$H$9+$F$67*Wiring!$H$10+$G$67*Wiring!$H$11+$H$67*Wiring!$H$12</f>
        <v>128</v>
      </c>
    </row>
    <row r="79" customFormat="false" ht="15" hidden="false" customHeight="false" outlineLevel="0" collapsed="false">
      <c r="M79" s="2" t="s">
        <v>201</v>
      </c>
      <c r="N79" s="15" t="n">
        <f aca="false">MAX(V65:V77)</f>
        <v>0</v>
      </c>
      <c r="O79" s="9" t="s">
        <v>202</v>
      </c>
    </row>
    <row r="80" customFormat="false" ht="15" hidden="false" customHeight="false" outlineLevel="0" collapsed="false">
      <c r="M80" s="2" t="s">
        <v>203</v>
      </c>
      <c r="N80" s="15" t="n">
        <f aca="false">W66-Q66</f>
        <v>0.5</v>
      </c>
      <c r="O80" s="9" t="s">
        <v>191</v>
      </c>
    </row>
    <row r="81" customFormat="false" ht="15" hidden="false" customHeight="false" outlineLevel="0" collapsed="false">
      <c r="A81" s="4" t="s">
        <v>204</v>
      </c>
    </row>
    <row r="82" customFormat="false" ht="15" hidden="false" customHeight="false" outlineLevel="0" collapsed="false">
      <c r="A82" s="8"/>
      <c r="B82" s="8" t="s">
        <v>23</v>
      </c>
      <c r="C82" s="8" t="s">
        <v>28</v>
      </c>
      <c r="D82" s="8" t="s">
        <v>32</v>
      </c>
      <c r="E82" s="8" t="s">
        <v>37</v>
      </c>
      <c r="F82" s="8" t="s">
        <v>40</v>
      </c>
      <c r="G82" s="8" t="s">
        <v>42</v>
      </c>
      <c r="H82" s="8" t="s">
        <v>46</v>
      </c>
    </row>
    <row r="83" customFormat="false" ht="15" hidden="false" customHeight="false" outlineLevel="0" collapsed="false">
      <c r="A83" s="4" t="s">
        <v>23</v>
      </c>
      <c r="B83" s="10" t="n">
        <f aca="false">SIGN(Wiring!$B$6+$B$6+$B$17+$B$28+$B$39+$B$50+$B$61)</f>
        <v>0</v>
      </c>
      <c r="C83" s="10" t="n">
        <f aca="false">SIGN(Wiring!$C$6+$C$6+$C$17+$C$28+$C$39+$C$50+$C$61)</f>
        <v>0</v>
      </c>
      <c r="D83" s="10" t="n">
        <f aca="false">SIGN(Wiring!$D$6+$D$6+$D$17+$D$28+$D$39+$D$50+$D$61)</f>
        <v>1</v>
      </c>
      <c r="E83" s="10" t="n">
        <f aca="false">SIGN(Wiring!$E$6+$E$6+$E$17+$E$28+$E$39+$E$50+$E$61)</f>
        <v>1</v>
      </c>
      <c r="F83" s="10" t="n">
        <f aca="false">SIGN(Wiring!$F$6+$F$6+$F$17+$F$28+$F$39+$F$50+$F$61)</f>
        <v>1</v>
      </c>
      <c r="G83" s="10" t="n">
        <f aca="false">SIGN(Wiring!$G$6+$G$6+$G$17+$G$28+$G$39+$G$50+$G$61)</f>
        <v>1</v>
      </c>
      <c r="H83" s="10" t="n">
        <f aca="false">SIGN(Wiring!$H$6+$H$6+$H$17+$H$28+$H$39+$H$50+$H$61)</f>
        <v>1</v>
      </c>
    </row>
    <row r="84" customFormat="false" ht="15" hidden="false" customHeight="false" outlineLevel="0" collapsed="false">
      <c r="A84" s="4" t="s">
        <v>28</v>
      </c>
      <c r="B84" s="10" t="n">
        <f aca="false">SIGN(Wiring!$B$7+$B$7+$B$18+$B$29+$B$40+$B$51+$B$62)</f>
        <v>0</v>
      </c>
      <c r="C84" s="10" t="n">
        <f aca="false">SIGN(Wiring!$C$7+$C$7+$C$18+$C$29+$C$40+$C$51+$C$62)</f>
        <v>0</v>
      </c>
      <c r="D84" s="10" t="n">
        <f aca="false">SIGN(Wiring!$D$7+$D$7+$D$18+$D$29+$D$40+$D$51+$D$62)</f>
        <v>0</v>
      </c>
      <c r="E84" s="10" t="n">
        <f aca="false">SIGN(Wiring!$E$7+$E$7+$E$18+$E$29+$E$40+$E$51+$E$62)</f>
        <v>1</v>
      </c>
      <c r="F84" s="10" t="n">
        <f aca="false">SIGN(Wiring!$F$7+$F$7+$F$18+$F$29+$F$40+$F$51+$F$62)</f>
        <v>1</v>
      </c>
      <c r="G84" s="10" t="n">
        <f aca="false">SIGN(Wiring!$G$7+$G$7+$G$18+$G$29+$G$40+$G$51+$G$62)</f>
        <v>1</v>
      </c>
      <c r="H84" s="10" t="n">
        <f aca="false">SIGN(Wiring!$H$7+$H$7+$H$18+$H$29+$H$40+$H$51+$H$62)</f>
        <v>1</v>
      </c>
    </row>
    <row r="85" customFormat="false" ht="15" hidden="false" customHeight="false" outlineLevel="0" collapsed="false">
      <c r="A85" s="4" t="s">
        <v>32</v>
      </c>
      <c r="B85" s="10" t="n">
        <f aca="false">SIGN(Wiring!$B$8+$B$8+$B$19+$B$30+$B$41+$B$52+$B$63)</f>
        <v>0</v>
      </c>
      <c r="C85" s="10" t="n">
        <f aca="false">SIGN(Wiring!$C$8+$C$8+$C$19+$C$30+$C$41+$C$52+$C$63)</f>
        <v>0</v>
      </c>
      <c r="D85" s="10" t="n">
        <f aca="false">SIGN(Wiring!$D$8+$D$8+$D$19+$D$30+$D$41+$D$52+$D$63)</f>
        <v>0</v>
      </c>
      <c r="E85" s="10" t="n">
        <f aca="false">SIGN(Wiring!$E$8+$E$8+$E$19+$E$30+$E$41+$E$52+$E$63)</f>
        <v>1</v>
      </c>
      <c r="F85" s="10" t="n">
        <f aca="false">SIGN(Wiring!$F$8+$F$8+$F$19+$F$30+$F$41+$F$52+$F$63)</f>
        <v>1</v>
      </c>
      <c r="G85" s="10" t="n">
        <f aca="false">SIGN(Wiring!$G$8+$G$8+$G$19+$G$30+$G$41+$G$52+$G$63)</f>
        <v>1</v>
      </c>
      <c r="H85" s="10" t="n">
        <f aca="false">SIGN(Wiring!$H$8+$H$8+$H$19+$H$30+$H$41+$H$52+$H$63)</f>
        <v>1</v>
      </c>
    </row>
    <row r="86" customFormat="false" ht="15" hidden="false" customHeight="false" outlineLevel="0" collapsed="false">
      <c r="A86" s="4" t="s">
        <v>37</v>
      </c>
      <c r="B86" s="10" t="n">
        <f aca="false">SIGN(Wiring!$B$9+$B$9+$B$20+$B$31+$B$42+$B$53+$B$64)</f>
        <v>0</v>
      </c>
      <c r="C86" s="10" t="n">
        <f aca="false">SIGN(Wiring!$C$9+$C$9+$C$20+$C$31+$C$42+$C$53+$C$64)</f>
        <v>0</v>
      </c>
      <c r="D86" s="10" t="n">
        <f aca="false">SIGN(Wiring!$D$9+$D$9+$D$20+$D$31+$D$42+$D$53+$D$64)</f>
        <v>0</v>
      </c>
      <c r="E86" s="10" t="n">
        <f aca="false">SIGN(Wiring!$E$9+$E$9+$E$20+$E$31+$E$42+$E$53+$E$64)</f>
        <v>1</v>
      </c>
      <c r="F86" s="10" t="n">
        <f aca="false">SIGN(Wiring!$F$9+$F$9+$F$20+$F$31+$F$42+$F$53+$F$64)</f>
        <v>1</v>
      </c>
      <c r="G86" s="10" t="n">
        <f aca="false">SIGN(Wiring!$G$9+$G$9+$G$20+$G$31+$G$42+$G$53+$G$64)</f>
        <v>1</v>
      </c>
      <c r="H86" s="10" t="n">
        <f aca="false">SIGN(Wiring!$H$9+$H$9+$H$20+$H$31+$H$42+$H$53+$H$64)</f>
        <v>1</v>
      </c>
    </row>
    <row r="87" customFormat="false" ht="15" hidden="false" customHeight="false" outlineLevel="0" collapsed="false">
      <c r="A87" s="4" t="s">
        <v>40</v>
      </c>
      <c r="B87" s="10" t="n">
        <f aca="false">SIGN(Wiring!$B$10+$B$10+$B$21+$B$32+$B$43+$B$54+$B$65)</f>
        <v>0</v>
      </c>
      <c r="C87" s="10" t="n">
        <f aca="false">SIGN(Wiring!$C$10+$C$10+$C$21+$C$32+$C$43+$C$54+$C$65)</f>
        <v>0</v>
      </c>
      <c r="D87" s="10" t="n">
        <f aca="false">SIGN(Wiring!$D$10+$D$10+$D$21+$D$32+$D$43+$D$54+$D$65)</f>
        <v>0</v>
      </c>
      <c r="E87" s="10" t="n">
        <f aca="false">SIGN(Wiring!$E$10+$E$10+$E$21+$E$32+$E$43+$E$54+$E$65)</f>
        <v>1</v>
      </c>
      <c r="F87" s="10" t="n">
        <f aca="false">SIGN(Wiring!$F$10+$F$10+$F$21+$F$32+$F$43+$F$54+$F$65)</f>
        <v>1</v>
      </c>
      <c r="G87" s="10" t="n">
        <f aca="false">SIGN(Wiring!$G$10+$G$10+$G$21+$G$32+$G$43+$G$54+$G$65)</f>
        <v>1</v>
      </c>
      <c r="H87" s="10" t="n">
        <f aca="false">SIGN(Wiring!$H$10+$H$10+$H$21+$H$32+$H$43+$H$54+$H$65)</f>
        <v>1</v>
      </c>
    </row>
    <row r="88" customFormat="false" ht="15" hidden="false" customHeight="false" outlineLevel="0" collapsed="false">
      <c r="A88" s="4" t="s">
        <v>42</v>
      </c>
      <c r="B88" s="10" t="n">
        <f aca="false">SIGN(Wiring!$B$11+$B$11+$B$22+$B$33+$B$44+$B$55+$B$66)</f>
        <v>0</v>
      </c>
      <c r="C88" s="10" t="n">
        <f aca="false">SIGN(Wiring!$C$11+$C$11+$C$22+$C$33+$C$44+$C$55+$C$66)</f>
        <v>0</v>
      </c>
      <c r="D88" s="10" t="n">
        <f aca="false">SIGN(Wiring!$D$11+$D$11+$D$22+$D$33+$D$44+$D$55+$D$66)</f>
        <v>0</v>
      </c>
      <c r="E88" s="10" t="n">
        <f aca="false">SIGN(Wiring!$E$11+$E$11+$E$22+$E$33+$E$44+$E$55+$E$66)</f>
        <v>1</v>
      </c>
      <c r="F88" s="10" t="n">
        <f aca="false">SIGN(Wiring!$F$11+$F$11+$F$22+$F$33+$F$44+$F$55+$F$66)</f>
        <v>1</v>
      </c>
      <c r="G88" s="10" t="n">
        <f aca="false">SIGN(Wiring!$G$11+$G$11+$G$22+$G$33+$G$44+$G$55+$G$66)</f>
        <v>1</v>
      </c>
      <c r="H88" s="10" t="n">
        <f aca="false">SIGN(Wiring!$H$11+$H$11+$H$22+$H$33+$H$44+$H$55+$H$66)</f>
        <v>1</v>
      </c>
    </row>
    <row r="89" customFormat="false" ht="15" hidden="false" customHeight="false" outlineLevel="0" collapsed="false">
      <c r="A89" s="4" t="s">
        <v>46</v>
      </c>
      <c r="B89" s="10" t="n">
        <f aca="false">SIGN(Wiring!$B$12+$B$12+$B$23+$B$34+$B$45+$B$56+$B$67)</f>
        <v>0</v>
      </c>
      <c r="C89" s="10" t="n">
        <f aca="false">SIGN(Wiring!$C$12+$C$12+$C$23+$C$34+$C$45+$C$56+$C$67)</f>
        <v>0</v>
      </c>
      <c r="D89" s="10" t="n">
        <f aca="false">SIGN(Wiring!$D$12+$D$12+$D$23+$D$34+$D$45+$D$56+$D$67)</f>
        <v>0</v>
      </c>
      <c r="E89" s="10" t="n">
        <f aca="false">SIGN(Wiring!$E$12+$E$12+$E$23+$E$34+$E$45+$E$56+$E$67)</f>
        <v>1</v>
      </c>
      <c r="F89" s="10" t="n">
        <f aca="false">SIGN(Wiring!$F$12+$F$12+$F$23+$F$34+$F$45+$F$56+$F$67)</f>
        <v>1</v>
      </c>
      <c r="G89" s="10" t="n">
        <f aca="false">SIGN(Wiring!$G$12+$G$12+$G$23+$G$34+$G$45+$G$56+$G$67)</f>
        <v>1</v>
      </c>
      <c r="H89" s="10" t="n">
        <f aca="false">SIGN(Wiring!$H$12+$H$12+$H$23+$H$34+$H$45+$H$56+$H$67)</f>
        <v>1</v>
      </c>
    </row>
    <row r="92" customFormat="false" ht="15" hidden="false" customHeight="false" outlineLevel="0" collapsed="false">
      <c r="A92" s="4" t="s">
        <v>205</v>
      </c>
    </row>
    <row r="93" customFormat="false" ht="23.85" hidden="false" customHeight="false" outlineLevel="0" collapsed="false">
      <c r="A93" s="8"/>
      <c r="B93" s="8" t="s">
        <v>23</v>
      </c>
      <c r="C93" s="8" t="s">
        <v>28</v>
      </c>
      <c r="D93" s="8" t="s">
        <v>32</v>
      </c>
      <c r="E93" s="8" t="s">
        <v>37</v>
      </c>
      <c r="F93" s="8" t="s">
        <v>40</v>
      </c>
      <c r="G93" s="8" t="s">
        <v>42</v>
      </c>
      <c r="H93" s="8" t="s">
        <v>46</v>
      </c>
      <c r="J93" s="8" t="s">
        <v>206</v>
      </c>
      <c r="K93" s="8" t="s">
        <v>207</v>
      </c>
    </row>
    <row r="94" customFormat="false" ht="15" hidden="false" customHeight="false" outlineLevel="0" collapsed="false">
      <c r="A94" s="4" t="s">
        <v>23</v>
      </c>
      <c r="B94" s="10" t="n">
        <v>1</v>
      </c>
      <c r="C94" s="10" t="n">
        <f aca="false">$C$83*$B$84</f>
        <v>0</v>
      </c>
      <c r="D94" s="10" t="n">
        <f aca="false">$D$83*$B$85</f>
        <v>0</v>
      </c>
      <c r="E94" s="10" t="n">
        <f aca="false">$E$83*$B$86</f>
        <v>0</v>
      </c>
      <c r="F94" s="10" t="n">
        <f aca="false">$F$83*$B$87</f>
        <v>0</v>
      </c>
      <c r="G94" s="10" t="n">
        <f aca="false">$G$83*$B$88</f>
        <v>0</v>
      </c>
      <c r="H94" s="10" t="n">
        <f aca="false">$H$83*$B$89</f>
        <v>0</v>
      </c>
      <c r="J94" s="10" t="n">
        <f aca="false">SUM($B$94:$H$94)</f>
        <v>1</v>
      </c>
      <c r="K94" s="10" t="n">
        <f aca="false">IF(J94&gt;1,1,0)</f>
        <v>0</v>
      </c>
    </row>
    <row r="95" customFormat="false" ht="15" hidden="false" customHeight="false" outlineLevel="0" collapsed="false">
      <c r="A95" s="4" t="s">
        <v>28</v>
      </c>
      <c r="B95" s="10" t="n">
        <f aca="false">$B$84*$C$83</f>
        <v>0</v>
      </c>
      <c r="C95" s="10" t="n">
        <v>1</v>
      </c>
      <c r="D95" s="10" t="n">
        <f aca="false">$D$84*$C$85</f>
        <v>0</v>
      </c>
      <c r="E95" s="10" t="n">
        <f aca="false">$E$84*$C$86</f>
        <v>0</v>
      </c>
      <c r="F95" s="10" t="n">
        <f aca="false">$F$84*$C$87</f>
        <v>0</v>
      </c>
      <c r="G95" s="10" t="n">
        <f aca="false">$G$84*$C$88</f>
        <v>0</v>
      </c>
      <c r="H95" s="10" t="n">
        <f aca="false">$H$84*$C$89</f>
        <v>0</v>
      </c>
      <c r="J95" s="10" t="n">
        <f aca="false">SUM($B$95:$H$95)</f>
        <v>1</v>
      </c>
      <c r="K95" s="10" t="n">
        <f aca="false">IF(J95&gt;1,1,0)</f>
        <v>0</v>
      </c>
    </row>
    <row r="96" customFormat="false" ht="15" hidden="false" customHeight="false" outlineLevel="0" collapsed="false">
      <c r="A96" s="4" t="s">
        <v>32</v>
      </c>
      <c r="B96" s="10" t="n">
        <f aca="false">$B$85*$D$83</f>
        <v>0</v>
      </c>
      <c r="C96" s="10" t="n">
        <f aca="false">$C$85*$D$84</f>
        <v>0</v>
      </c>
      <c r="D96" s="10" t="n">
        <v>1</v>
      </c>
      <c r="E96" s="10" t="n">
        <f aca="false">$E$85*$D$86</f>
        <v>0</v>
      </c>
      <c r="F96" s="10" t="n">
        <f aca="false">$F$85*$D$87</f>
        <v>0</v>
      </c>
      <c r="G96" s="10" t="n">
        <f aca="false">$G$85*$D$88</f>
        <v>0</v>
      </c>
      <c r="H96" s="10" t="n">
        <f aca="false">$H$85*$D$89</f>
        <v>0</v>
      </c>
      <c r="J96" s="10" t="n">
        <f aca="false">SUM($B$96:$H$96)</f>
        <v>1</v>
      </c>
      <c r="K96" s="10" t="n">
        <f aca="false">IF(J96&gt;1,1,0)</f>
        <v>0</v>
      </c>
    </row>
    <row r="97" customFormat="false" ht="15" hidden="false" customHeight="false" outlineLevel="0" collapsed="false">
      <c r="A97" s="4" t="s">
        <v>37</v>
      </c>
      <c r="B97" s="10" t="n">
        <f aca="false">$B$86*$E$83</f>
        <v>0</v>
      </c>
      <c r="C97" s="10" t="n">
        <f aca="false">$C$86*$E$84</f>
        <v>0</v>
      </c>
      <c r="D97" s="10" t="n">
        <f aca="false">$D$86*$E$85</f>
        <v>0</v>
      </c>
      <c r="E97" s="10" t="n">
        <v>1</v>
      </c>
      <c r="F97" s="10" t="n">
        <f aca="false">$F$86*$E$87</f>
        <v>1</v>
      </c>
      <c r="G97" s="10" t="n">
        <f aca="false">$G$86*$E$88</f>
        <v>1</v>
      </c>
      <c r="H97" s="10" t="n">
        <f aca="false">$H$86*$E$89</f>
        <v>1</v>
      </c>
      <c r="J97" s="10" t="n">
        <f aca="false">SUM($B$97:$H$97)</f>
        <v>4</v>
      </c>
      <c r="K97" s="10" t="n">
        <f aca="false">IF(J97&gt;1,1,0)</f>
        <v>1</v>
      </c>
    </row>
    <row r="98" customFormat="false" ht="15" hidden="false" customHeight="false" outlineLevel="0" collapsed="false">
      <c r="A98" s="4" t="s">
        <v>40</v>
      </c>
      <c r="B98" s="10" t="n">
        <f aca="false">$B$87*$F$83</f>
        <v>0</v>
      </c>
      <c r="C98" s="10" t="n">
        <f aca="false">$C$87*$F$84</f>
        <v>0</v>
      </c>
      <c r="D98" s="10" t="n">
        <f aca="false">$D$87*$F$85</f>
        <v>0</v>
      </c>
      <c r="E98" s="10" t="n">
        <f aca="false">$E$87*$F$86</f>
        <v>1</v>
      </c>
      <c r="F98" s="10" t="n">
        <v>1</v>
      </c>
      <c r="G98" s="10" t="n">
        <f aca="false">$G$87*$F$88</f>
        <v>1</v>
      </c>
      <c r="H98" s="10" t="n">
        <f aca="false">$H$87*$F$89</f>
        <v>1</v>
      </c>
      <c r="J98" s="10" t="n">
        <f aca="false">SUM($B$98:$H$98)</f>
        <v>4</v>
      </c>
      <c r="K98" s="10" t="n">
        <f aca="false">IF(J98&gt;1,1,0)</f>
        <v>1</v>
      </c>
    </row>
    <row r="99" customFormat="false" ht="15" hidden="false" customHeight="false" outlineLevel="0" collapsed="false">
      <c r="A99" s="4" t="s">
        <v>42</v>
      </c>
      <c r="B99" s="10" t="n">
        <f aca="false">$B$88*$G$83</f>
        <v>0</v>
      </c>
      <c r="C99" s="10" t="n">
        <f aca="false">$C$88*$G$84</f>
        <v>0</v>
      </c>
      <c r="D99" s="10" t="n">
        <f aca="false">$D$88*$G$85</f>
        <v>0</v>
      </c>
      <c r="E99" s="10" t="n">
        <f aca="false">$E$88*$G$86</f>
        <v>1</v>
      </c>
      <c r="F99" s="10" t="n">
        <f aca="false">$F$88*$G$87</f>
        <v>1</v>
      </c>
      <c r="G99" s="10" t="n">
        <v>1</v>
      </c>
      <c r="H99" s="10" t="n">
        <f aca="false">$H$88*$G$89</f>
        <v>1</v>
      </c>
      <c r="J99" s="10" t="n">
        <f aca="false">SUM($B$99:$H$99)</f>
        <v>4</v>
      </c>
      <c r="K99" s="10" t="n">
        <f aca="false">IF(J99&gt;1,1,0)</f>
        <v>1</v>
      </c>
    </row>
    <row r="100" customFormat="false" ht="15" hidden="false" customHeight="false" outlineLevel="0" collapsed="false">
      <c r="A100" s="4" t="s">
        <v>46</v>
      </c>
      <c r="B100" s="10" t="n">
        <f aca="false">$B$89*$H$83</f>
        <v>0</v>
      </c>
      <c r="C100" s="10" t="n">
        <f aca="false">$C$89*$H$84</f>
        <v>0</v>
      </c>
      <c r="D100" s="10" t="n">
        <f aca="false">$D$89*$H$85</f>
        <v>0</v>
      </c>
      <c r="E100" s="10" t="n">
        <f aca="false">$E$89*$H$86</f>
        <v>1</v>
      </c>
      <c r="F100" s="10" t="n">
        <f aca="false">$F$89*$H$87</f>
        <v>1</v>
      </c>
      <c r="G100" s="10" t="n">
        <f aca="false">$G$89*$H$88</f>
        <v>1</v>
      </c>
      <c r="H100" s="10" t="n">
        <v>1</v>
      </c>
      <c r="J100" s="10" t="n">
        <f aca="false">SUM($B$100:$H$100)</f>
        <v>4</v>
      </c>
      <c r="K100" s="10" t="n">
        <f aca="false">IF(J100&gt;1,1,0)</f>
        <v>1</v>
      </c>
    </row>
    <row r="103" customFormat="false" ht="15" hidden="false" customHeight="false" outlineLevel="0" collapsed="false">
      <c r="A103" s="4" t="s">
        <v>208</v>
      </c>
    </row>
    <row r="104" customFormat="false" ht="15" hidden="false" customHeight="false" outlineLevel="0" collapsed="false">
      <c r="A104" s="8"/>
      <c r="B104" s="8" t="s">
        <v>23</v>
      </c>
      <c r="C104" s="8" t="s">
        <v>28</v>
      </c>
      <c r="D104" s="8" t="s">
        <v>32</v>
      </c>
      <c r="E104" s="8" t="s">
        <v>37</v>
      </c>
      <c r="F104" s="8" t="s">
        <v>40</v>
      </c>
      <c r="G104" s="8" t="s">
        <v>42</v>
      </c>
      <c r="H104" s="8" t="s">
        <v>46</v>
      </c>
    </row>
    <row r="105" customFormat="false" ht="15" hidden="false" customHeight="false" outlineLevel="0" collapsed="false">
      <c r="A105" s="4" t="s">
        <v>23</v>
      </c>
      <c r="B105" s="10" t="n">
        <f aca="false">Wiring!$B$6*$B$94+Wiring!$C$6*$B$95+Wiring!$D$6*$B$96+Wiring!$E$6*$B$97+Wiring!$F$6*$B$98+Wiring!$G$6*$B$99+Wiring!$H$6*$B$100</f>
        <v>0</v>
      </c>
      <c r="C105" s="10" t="n">
        <f aca="false">Wiring!$B$6*$C$94+Wiring!$C$6*$C$95+Wiring!$D$6*$C$96+Wiring!$E$6*$C$97+Wiring!$F$6*$C$98+Wiring!$G$6*$C$99+Wiring!$H$6*$C$100</f>
        <v>0</v>
      </c>
      <c r="D105" s="10" t="n">
        <f aca="false">Wiring!$B$6*$D$94+Wiring!$C$6*$D$95+Wiring!$D$6*$D$96+Wiring!$E$6*$D$97+Wiring!$F$6*$D$98+Wiring!$G$6*$D$99+Wiring!$H$6*$D$100</f>
        <v>1</v>
      </c>
      <c r="E105" s="10" t="n">
        <f aca="false">Wiring!$B$6*$E$94+Wiring!$C$6*$E$95+Wiring!$D$6*$E$96+Wiring!$E$6*$E$97+Wiring!$F$6*$E$98+Wiring!$G$6*$E$99+Wiring!$H$6*$E$100</f>
        <v>2</v>
      </c>
      <c r="F105" s="10" t="n">
        <f aca="false">Wiring!$B$6*$F$94+Wiring!$C$6*$F$95+Wiring!$D$6*$F$96+Wiring!$E$6*$F$97+Wiring!$F$6*$F$98+Wiring!$G$6*$F$99+Wiring!$H$6*$F$100</f>
        <v>2</v>
      </c>
      <c r="G105" s="10" t="n">
        <f aca="false">Wiring!$B$6*$G$94+Wiring!$C$6*$G$95+Wiring!$D$6*$G$96+Wiring!$E$6*$G$97+Wiring!$F$6*$G$98+Wiring!$G$6*$G$99+Wiring!$H$6*$G$100</f>
        <v>2</v>
      </c>
      <c r="H105" s="10" t="n">
        <f aca="false">Wiring!$B$6*$H$94+Wiring!$C$6*$H$95+Wiring!$D$6*$H$96+Wiring!$E$6*$H$97+Wiring!$F$6*$H$98+Wiring!$G$6*$H$99+Wiring!$H$6*$H$100</f>
        <v>2</v>
      </c>
    </row>
    <row r="106" customFormat="false" ht="15" hidden="false" customHeight="false" outlineLevel="0" collapsed="false">
      <c r="A106" s="4" t="s">
        <v>28</v>
      </c>
      <c r="B106" s="10" t="n">
        <f aca="false">Wiring!$B$7*$B$94+Wiring!$C$7*$B$95+Wiring!$D$7*$B$96+Wiring!$E$7*$B$97+Wiring!$F$7*$B$98+Wiring!$G$7*$B$99+Wiring!$H$7*$B$100</f>
        <v>0</v>
      </c>
      <c r="C106" s="10" t="n">
        <f aca="false">Wiring!$B$7*$C$94+Wiring!$C$7*$C$95+Wiring!$D$7*$C$96+Wiring!$E$7*$C$97+Wiring!$F$7*$C$98+Wiring!$G$7*$C$99+Wiring!$H$7*$C$100</f>
        <v>0</v>
      </c>
      <c r="D106" s="10" t="n">
        <f aca="false">Wiring!$B$7*$D$94+Wiring!$C$7*$D$95+Wiring!$D$7*$D$96+Wiring!$E$7*$D$97+Wiring!$F$7*$D$98+Wiring!$G$7*$D$99+Wiring!$H$7*$D$100</f>
        <v>0</v>
      </c>
      <c r="E106" s="10" t="n">
        <f aca="false">Wiring!$B$7*$E$94+Wiring!$C$7*$E$95+Wiring!$D$7*$E$96+Wiring!$E$7*$E$97+Wiring!$F$7*$E$98+Wiring!$G$7*$E$99+Wiring!$H$7*$E$100</f>
        <v>2</v>
      </c>
      <c r="F106" s="10" t="n">
        <f aca="false">Wiring!$B$7*$F$94+Wiring!$C$7*$F$95+Wiring!$D$7*$F$96+Wiring!$E$7*$F$97+Wiring!$F$7*$F$98+Wiring!$G$7*$F$99+Wiring!$H$7*$F$100</f>
        <v>2</v>
      </c>
      <c r="G106" s="10" t="n">
        <f aca="false">Wiring!$B$7*$G$94+Wiring!$C$7*$G$95+Wiring!$D$7*$G$96+Wiring!$E$7*$G$97+Wiring!$F$7*$G$98+Wiring!$G$7*$G$99+Wiring!$H$7*$G$100</f>
        <v>2</v>
      </c>
      <c r="H106" s="10" t="n">
        <f aca="false">Wiring!$B$7*$H$94+Wiring!$C$7*$H$95+Wiring!$D$7*$H$96+Wiring!$E$7*$H$97+Wiring!$F$7*$H$98+Wiring!$G$7*$H$99+Wiring!$H$7*$H$100</f>
        <v>2</v>
      </c>
    </row>
    <row r="107" customFormat="false" ht="15" hidden="false" customHeight="false" outlineLevel="0" collapsed="false">
      <c r="A107" s="4" t="s">
        <v>32</v>
      </c>
      <c r="B107" s="10" t="n">
        <f aca="false">Wiring!$B$8*$B$94+Wiring!$C$8*$B$95+Wiring!$D$8*$B$96+Wiring!$E$8*$B$97+Wiring!$F$8*$B$98+Wiring!$G$8*$B$99+Wiring!$H$8*$B$100</f>
        <v>0</v>
      </c>
      <c r="C107" s="10" t="n">
        <f aca="false">Wiring!$B$8*$C$94+Wiring!$C$8*$C$95+Wiring!$D$8*$C$96+Wiring!$E$8*$C$97+Wiring!$F$8*$C$98+Wiring!$G$8*$C$99+Wiring!$H$8*$C$100</f>
        <v>0</v>
      </c>
      <c r="D107" s="10" t="n">
        <f aca="false">Wiring!$B$8*$D$94+Wiring!$C$8*$D$95+Wiring!$D$8*$D$96+Wiring!$E$8*$D$97+Wiring!$F$8*$D$98+Wiring!$G$8*$D$99+Wiring!$H$8*$D$100</f>
        <v>0</v>
      </c>
      <c r="E107" s="10" t="n">
        <f aca="false">Wiring!$B$8*$E$94+Wiring!$C$8*$E$95+Wiring!$D$8*$E$96+Wiring!$E$8*$E$97+Wiring!$F$8*$E$98+Wiring!$G$8*$E$99+Wiring!$H$8*$E$100</f>
        <v>1</v>
      </c>
      <c r="F107" s="10" t="n">
        <f aca="false">Wiring!$B$8*$F$94+Wiring!$C$8*$F$95+Wiring!$D$8*$F$96+Wiring!$E$8*$F$97+Wiring!$F$8*$F$98+Wiring!$G$8*$F$99+Wiring!$H$8*$F$100</f>
        <v>1</v>
      </c>
      <c r="G107" s="10" t="n">
        <f aca="false">Wiring!$B$8*$G$94+Wiring!$C$8*$G$95+Wiring!$D$8*$G$96+Wiring!$E$8*$G$97+Wiring!$F$8*$G$98+Wiring!$G$8*$G$99+Wiring!$H$8*$G$100</f>
        <v>1</v>
      </c>
      <c r="H107" s="10" t="n">
        <f aca="false">Wiring!$B$8*$H$94+Wiring!$C$8*$H$95+Wiring!$D$8*$H$96+Wiring!$E$8*$H$97+Wiring!$F$8*$H$98+Wiring!$G$8*$H$99+Wiring!$H$8*$H$100</f>
        <v>1</v>
      </c>
    </row>
    <row r="108" customFormat="false" ht="15" hidden="false" customHeight="false" outlineLevel="0" collapsed="false">
      <c r="A108" s="4" t="s">
        <v>37</v>
      </c>
      <c r="B108" s="10" t="n">
        <f aca="false">Wiring!$B$9*$B$94+Wiring!$C$9*$B$95+Wiring!$D$9*$B$96+Wiring!$E$9*$B$97+Wiring!$F$9*$B$98+Wiring!$G$9*$B$99+Wiring!$H$9*$B$100</f>
        <v>0</v>
      </c>
      <c r="C108" s="10" t="n">
        <f aca="false">Wiring!$B$9*$C$94+Wiring!$C$9*$C$95+Wiring!$D$9*$C$96+Wiring!$E$9*$C$97+Wiring!$F$9*$C$98+Wiring!$G$9*$C$99+Wiring!$H$9*$C$100</f>
        <v>0</v>
      </c>
      <c r="D108" s="10" t="n">
        <f aca="false">Wiring!$B$9*$D$94+Wiring!$C$9*$D$95+Wiring!$D$9*$D$96+Wiring!$E$9*$D$97+Wiring!$F$9*$D$98+Wiring!$G$9*$D$99+Wiring!$H$9*$D$100</f>
        <v>0</v>
      </c>
      <c r="E108" s="10" t="n">
        <f aca="false">Wiring!$B$9*$E$94+Wiring!$C$9*$E$95+Wiring!$D$9*$E$96+Wiring!$E$9*$E$97+Wiring!$F$9*$E$98+Wiring!$G$9*$E$99+Wiring!$H$9*$E$100</f>
        <v>2</v>
      </c>
      <c r="F108" s="10" t="n">
        <f aca="false">Wiring!$B$9*$F$94+Wiring!$C$9*$F$95+Wiring!$D$9*$F$96+Wiring!$E$9*$F$97+Wiring!$F$9*$F$98+Wiring!$G$9*$F$99+Wiring!$H$9*$F$100</f>
        <v>2</v>
      </c>
      <c r="G108" s="10" t="n">
        <f aca="false">Wiring!$B$9*$G$94+Wiring!$C$9*$G$95+Wiring!$D$9*$G$96+Wiring!$E$9*$G$97+Wiring!$F$9*$G$98+Wiring!$G$9*$G$99+Wiring!$H$9*$G$100</f>
        <v>2</v>
      </c>
      <c r="H108" s="10" t="n">
        <f aca="false">Wiring!$B$9*$H$94+Wiring!$C$9*$H$95+Wiring!$D$9*$H$96+Wiring!$E$9*$H$97+Wiring!$F$9*$H$98+Wiring!$G$9*$H$99+Wiring!$H$9*$H$100</f>
        <v>2</v>
      </c>
    </row>
    <row r="109" customFormat="false" ht="15" hidden="false" customHeight="false" outlineLevel="0" collapsed="false">
      <c r="A109" s="4" t="s">
        <v>40</v>
      </c>
      <c r="B109" s="10" t="n">
        <f aca="false">Wiring!$B$10*$B$94+Wiring!$C$10*$B$95+Wiring!$D$10*$B$96+Wiring!$E$10*$B$97+Wiring!$F$10*$B$98+Wiring!$G$10*$B$99+Wiring!$H$10*$B$100</f>
        <v>0</v>
      </c>
      <c r="C109" s="10" t="n">
        <f aca="false">Wiring!$B$10*$C$94+Wiring!$C$10*$C$95+Wiring!$D$10*$C$96+Wiring!$E$10*$C$97+Wiring!$F$10*$C$98+Wiring!$G$10*$C$99+Wiring!$H$10*$C$100</f>
        <v>0</v>
      </c>
      <c r="D109" s="10" t="n">
        <f aca="false">Wiring!$B$10*$D$94+Wiring!$C$10*$D$95+Wiring!$D$10*$D$96+Wiring!$E$10*$D$97+Wiring!$F$10*$D$98+Wiring!$G$10*$D$99+Wiring!$H$10*$D$100</f>
        <v>0</v>
      </c>
      <c r="E109" s="10" t="n">
        <f aca="false">Wiring!$B$10*$E$94+Wiring!$C$10*$E$95+Wiring!$D$10*$E$96+Wiring!$E$10*$E$97+Wiring!$F$10*$E$98+Wiring!$G$10*$E$99+Wiring!$H$10*$E$100</f>
        <v>2</v>
      </c>
      <c r="F109" s="10" t="n">
        <f aca="false">Wiring!$B$10*$F$94+Wiring!$C$10*$F$95+Wiring!$D$10*$F$96+Wiring!$E$10*$F$97+Wiring!$F$10*$F$98+Wiring!$G$10*$F$99+Wiring!$H$10*$F$100</f>
        <v>2</v>
      </c>
      <c r="G109" s="10" t="n">
        <f aca="false">Wiring!$B$10*$G$94+Wiring!$C$10*$G$95+Wiring!$D$10*$G$96+Wiring!$E$10*$G$97+Wiring!$F$10*$G$98+Wiring!$G$10*$G$99+Wiring!$H$10*$G$100</f>
        <v>2</v>
      </c>
      <c r="H109" s="10" t="n">
        <f aca="false">Wiring!$B$10*$H$94+Wiring!$C$10*$H$95+Wiring!$D$10*$H$96+Wiring!$E$10*$H$97+Wiring!$F$10*$H$98+Wiring!$G$10*$H$99+Wiring!$H$10*$H$100</f>
        <v>2</v>
      </c>
    </row>
    <row r="110" customFormat="false" ht="15" hidden="false" customHeight="false" outlineLevel="0" collapsed="false">
      <c r="A110" s="4" t="s">
        <v>42</v>
      </c>
      <c r="B110" s="10" t="n">
        <f aca="false">Wiring!$B$11*$B$94+Wiring!$C$11*$B$95+Wiring!$D$11*$B$96+Wiring!$E$11*$B$97+Wiring!$F$11*$B$98+Wiring!$G$11*$B$99+Wiring!$H$11*$B$100</f>
        <v>0</v>
      </c>
      <c r="C110" s="10" t="n">
        <f aca="false">Wiring!$B$11*$C$94+Wiring!$C$11*$C$95+Wiring!$D$11*$C$96+Wiring!$E$11*$C$97+Wiring!$F$11*$C$98+Wiring!$G$11*$C$99+Wiring!$H$11*$C$100</f>
        <v>0</v>
      </c>
      <c r="D110" s="10" t="n">
        <f aca="false">Wiring!$B$11*$D$94+Wiring!$C$11*$D$95+Wiring!$D$11*$D$96+Wiring!$E$11*$D$97+Wiring!$F$11*$D$98+Wiring!$G$11*$D$99+Wiring!$H$11*$D$100</f>
        <v>0</v>
      </c>
      <c r="E110" s="10" t="n">
        <f aca="false">Wiring!$B$11*$E$94+Wiring!$C$11*$E$95+Wiring!$D$11*$E$96+Wiring!$E$11*$E$97+Wiring!$F$11*$E$98+Wiring!$G$11*$E$99+Wiring!$H$11*$E$100</f>
        <v>2</v>
      </c>
      <c r="F110" s="10" t="n">
        <f aca="false">Wiring!$B$11*$F$94+Wiring!$C$11*$F$95+Wiring!$D$11*$F$96+Wiring!$E$11*$F$97+Wiring!$F$11*$F$98+Wiring!$G$11*$F$99+Wiring!$H$11*$F$100</f>
        <v>2</v>
      </c>
      <c r="G110" s="10" t="n">
        <f aca="false">Wiring!$B$11*$G$94+Wiring!$C$11*$G$95+Wiring!$D$11*$G$96+Wiring!$E$11*$G$97+Wiring!$F$11*$G$98+Wiring!$G$11*$G$99+Wiring!$H$11*$G$100</f>
        <v>2</v>
      </c>
      <c r="H110" s="10" t="n">
        <f aca="false">Wiring!$B$11*$H$94+Wiring!$C$11*$H$95+Wiring!$D$11*$H$96+Wiring!$E$11*$H$97+Wiring!$F$11*$H$98+Wiring!$G$11*$H$99+Wiring!$H$11*$H$100</f>
        <v>2</v>
      </c>
    </row>
    <row r="111" customFormat="false" ht="15" hidden="false" customHeight="false" outlineLevel="0" collapsed="false">
      <c r="A111" s="4" t="s">
        <v>46</v>
      </c>
      <c r="B111" s="10" t="n">
        <f aca="false">Wiring!$B$12*$B$94+Wiring!$C$12*$B$95+Wiring!$D$12*$B$96+Wiring!$E$12*$B$97+Wiring!$F$12*$B$98+Wiring!$G$12*$B$99+Wiring!$H$12*$B$100</f>
        <v>0</v>
      </c>
      <c r="C111" s="10" t="n">
        <f aca="false">Wiring!$B$12*$C$94+Wiring!$C$12*$C$95+Wiring!$D$12*$C$96+Wiring!$E$12*$C$97+Wiring!$F$12*$C$98+Wiring!$G$12*$C$99+Wiring!$H$12*$C$100</f>
        <v>0</v>
      </c>
      <c r="D111" s="10" t="n">
        <f aca="false">Wiring!$B$12*$D$94+Wiring!$C$12*$D$95+Wiring!$D$12*$D$96+Wiring!$E$12*$D$97+Wiring!$F$12*$D$98+Wiring!$G$12*$D$99+Wiring!$H$12*$D$100</f>
        <v>0</v>
      </c>
      <c r="E111" s="10" t="n">
        <f aca="false">Wiring!$B$12*$E$94+Wiring!$C$12*$E$95+Wiring!$D$12*$E$96+Wiring!$E$12*$E$97+Wiring!$F$12*$E$98+Wiring!$G$12*$E$99+Wiring!$H$12*$E$100</f>
        <v>2</v>
      </c>
      <c r="F111" s="10" t="n">
        <f aca="false">Wiring!$B$12*$F$94+Wiring!$C$12*$F$95+Wiring!$D$12*$F$96+Wiring!$E$12*$F$97+Wiring!$F$12*$F$98+Wiring!$G$12*$F$99+Wiring!$H$12*$F$100</f>
        <v>2</v>
      </c>
      <c r="G111" s="10" t="n">
        <f aca="false">Wiring!$B$12*$G$94+Wiring!$C$12*$G$95+Wiring!$D$12*$G$96+Wiring!$E$12*$G$97+Wiring!$F$12*$G$98+Wiring!$G$12*$G$99+Wiring!$H$12*$G$100</f>
        <v>2</v>
      </c>
      <c r="H111" s="10" t="n">
        <f aca="false">Wiring!$B$12*$H$94+Wiring!$C$12*$H$95+Wiring!$D$12*$H$96+Wiring!$E$12*$H$97+Wiring!$F$12*$H$98+Wiring!$G$12*$H$99+Wiring!$H$12*$H$100</f>
        <v>2</v>
      </c>
    </row>
    <row r="114" customFormat="false" ht="15" hidden="false" customHeight="false" outlineLevel="0" collapsed="false">
      <c r="A114" s="4" t="s">
        <v>209</v>
      </c>
    </row>
    <row r="115" customFormat="false" ht="15" hidden="false" customHeight="false" outlineLevel="0" collapsed="false">
      <c r="A115" s="8"/>
      <c r="B115" s="8" t="s">
        <v>23</v>
      </c>
      <c r="C115" s="8" t="s">
        <v>28</v>
      </c>
      <c r="D115" s="8" t="s">
        <v>32</v>
      </c>
      <c r="E115" s="8" t="s">
        <v>37</v>
      </c>
      <c r="F115" s="8" t="s">
        <v>40</v>
      </c>
      <c r="G115" s="8" t="s">
        <v>42</v>
      </c>
      <c r="H115" s="8" t="s">
        <v>46</v>
      </c>
    </row>
    <row r="116" customFormat="false" ht="15" hidden="false" customHeight="false" outlineLevel="0" collapsed="false">
      <c r="A116" s="4" t="s">
        <v>23</v>
      </c>
      <c r="B116" s="10" t="n">
        <f aca="false">(1-$B$94)*SIGN($B$105)</f>
        <v>0</v>
      </c>
      <c r="C116" s="10" t="n">
        <f aca="false">(1-$C$94)*SIGN($C$105)</f>
        <v>0</v>
      </c>
      <c r="D116" s="10" t="n">
        <f aca="false">(1-$D$94)*SIGN($D$105)</f>
        <v>1</v>
      </c>
      <c r="E116" s="10" t="n">
        <f aca="false">(1-$E$94)*SIGN($E$105)</f>
        <v>1</v>
      </c>
      <c r="F116" s="10" t="n">
        <f aca="false">(1-$F$94)*SIGN($F$105)</f>
        <v>1</v>
      </c>
      <c r="G116" s="10" t="n">
        <f aca="false">(1-$G$94)*SIGN($G$105)</f>
        <v>1</v>
      </c>
      <c r="H116" s="10" t="n">
        <f aca="false">(1-$H$94)*SIGN($H$105)</f>
        <v>1</v>
      </c>
    </row>
    <row r="117" customFormat="false" ht="15" hidden="false" customHeight="false" outlineLevel="0" collapsed="false">
      <c r="A117" s="4" t="s">
        <v>28</v>
      </c>
      <c r="B117" s="10" t="n">
        <f aca="false">(1-$B$95)*SIGN($B$106)</f>
        <v>0</v>
      </c>
      <c r="C117" s="10" t="n">
        <f aca="false">(1-$C$95)*SIGN($C$106)</f>
        <v>0</v>
      </c>
      <c r="D117" s="10" t="n">
        <f aca="false">(1-$D$95)*SIGN($D$106)</f>
        <v>0</v>
      </c>
      <c r="E117" s="10" t="n">
        <f aca="false">(1-$E$95)*SIGN($E$106)</f>
        <v>1</v>
      </c>
      <c r="F117" s="10" t="n">
        <f aca="false">(1-$F$95)*SIGN($F$106)</f>
        <v>1</v>
      </c>
      <c r="G117" s="10" t="n">
        <f aca="false">(1-$G$95)*SIGN($G$106)</f>
        <v>1</v>
      </c>
      <c r="H117" s="10" t="n">
        <f aca="false">(1-$H$95)*SIGN($H$106)</f>
        <v>1</v>
      </c>
    </row>
    <row r="118" customFormat="false" ht="15" hidden="false" customHeight="false" outlineLevel="0" collapsed="false">
      <c r="A118" s="4" t="s">
        <v>32</v>
      </c>
      <c r="B118" s="10" t="n">
        <f aca="false">(1-$B$96)*SIGN($B$107)</f>
        <v>0</v>
      </c>
      <c r="C118" s="10" t="n">
        <f aca="false">(1-$C$96)*SIGN($C$107)</f>
        <v>0</v>
      </c>
      <c r="D118" s="10" t="n">
        <f aca="false">(1-$D$96)*SIGN($D$107)</f>
        <v>0</v>
      </c>
      <c r="E118" s="10" t="n">
        <f aca="false">(1-$E$96)*SIGN($E$107)</f>
        <v>1</v>
      </c>
      <c r="F118" s="10" t="n">
        <f aca="false">(1-$F$96)*SIGN($F$107)</f>
        <v>1</v>
      </c>
      <c r="G118" s="10" t="n">
        <f aca="false">(1-$G$96)*SIGN($G$107)</f>
        <v>1</v>
      </c>
      <c r="H118" s="10" t="n">
        <f aca="false">(1-$H$96)*SIGN($H$107)</f>
        <v>1</v>
      </c>
    </row>
    <row r="119" customFormat="false" ht="15" hidden="false" customHeight="false" outlineLevel="0" collapsed="false">
      <c r="A119" s="4" t="s">
        <v>37</v>
      </c>
      <c r="B119" s="10" t="n">
        <f aca="false">(1-$B$97)*SIGN($B$108)</f>
        <v>0</v>
      </c>
      <c r="C119" s="10" t="n">
        <f aca="false">(1-$C$97)*SIGN($C$108)</f>
        <v>0</v>
      </c>
      <c r="D119" s="10" t="n">
        <f aca="false">(1-$D$97)*SIGN($D$108)</f>
        <v>0</v>
      </c>
      <c r="E119" s="10" t="n">
        <f aca="false">(1-$E$97)*SIGN($E$108)</f>
        <v>0</v>
      </c>
      <c r="F119" s="10" t="n">
        <f aca="false">(1-$F$97)*SIGN($F$108)</f>
        <v>0</v>
      </c>
      <c r="G119" s="10" t="n">
        <f aca="false">(1-$G$97)*SIGN($G$108)</f>
        <v>0</v>
      </c>
      <c r="H119" s="10" t="n">
        <f aca="false">(1-$H$97)*SIGN($H$108)</f>
        <v>0</v>
      </c>
    </row>
    <row r="120" customFormat="false" ht="15" hidden="false" customHeight="false" outlineLevel="0" collapsed="false">
      <c r="A120" s="4" t="s">
        <v>40</v>
      </c>
      <c r="B120" s="10" t="n">
        <f aca="false">(1-$B$98)*SIGN($B$109)</f>
        <v>0</v>
      </c>
      <c r="C120" s="10" t="n">
        <f aca="false">(1-$C$98)*SIGN($C$109)</f>
        <v>0</v>
      </c>
      <c r="D120" s="10" t="n">
        <f aca="false">(1-$D$98)*SIGN($D$109)</f>
        <v>0</v>
      </c>
      <c r="E120" s="10" t="n">
        <f aca="false">(1-$E$98)*SIGN($E$109)</f>
        <v>0</v>
      </c>
      <c r="F120" s="10" t="n">
        <f aca="false">(1-$F$98)*SIGN($F$109)</f>
        <v>0</v>
      </c>
      <c r="G120" s="10" t="n">
        <f aca="false">(1-$G$98)*SIGN($G$109)</f>
        <v>0</v>
      </c>
      <c r="H120" s="10" t="n">
        <f aca="false">(1-$H$98)*SIGN($H$109)</f>
        <v>0</v>
      </c>
    </row>
    <row r="121" customFormat="false" ht="15" hidden="false" customHeight="false" outlineLevel="0" collapsed="false">
      <c r="A121" s="4" t="s">
        <v>42</v>
      </c>
      <c r="B121" s="10" t="n">
        <f aca="false">(1-$B$99)*SIGN($B$110)</f>
        <v>0</v>
      </c>
      <c r="C121" s="10" t="n">
        <f aca="false">(1-$C$99)*SIGN($C$110)</f>
        <v>0</v>
      </c>
      <c r="D121" s="10" t="n">
        <f aca="false">(1-$D$99)*SIGN($D$110)</f>
        <v>0</v>
      </c>
      <c r="E121" s="10" t="n">
        <f aca="false">(1-$E$99)*SIGN($E$110)</f>
        <v>0</v>
      </c>
      <c r="F121" s="10" t="n">
        <f aca="false">(1-$F$99)*SIGN($F$110)</f>
        <v>0</v>
      </c>
      <c r="G121" s="10" t="n">
        <f aca="false">(1-$G$99)*SIGN($G$110)</f>
        <v>0</v>
      </c>
      <c r="H121" s="10" t="n">
        <f aca="false">(1-$H$99)*SIGN($H$110)</f>
        <v>0</v>
      </c>
    </row>
    <row r="122" customFormat="false" ht="15" hidden="false" customHeight="false" outlineLevel="0" collapsed="false">
      <c r="A122" s="4" t="s">
        <v>46</v>
      </c>
      <c r="B122" s="10" t="n">
        <f aca="false">(1-$B$100)*SIGN($B$111)</f>
        <v>0</v>
      </c>
      <c r="C122" s="10" t="n">
        <f aca="false">(1-$C$100)*SIGN($C$111)</f>
        <v>0</v>
      </c>
      <c r="D122" s="10" t="n">
        <f aca="false">(1-$D$100)*SIGN($D$111)</f>
        <v>0</v>
      </c>
      <c r="E122" s="10" t="n">
        <f aca="false">(1-$E$100)*SIGN($E$111)</f>
        <v>0</v>
      </c>
      <c r="F122" s="10" t="n">
        <f aca="false">(1-$F$100)*SIGN($F$111)</f>
        <v>0</v>
      </c>
      <c r="G122" s="10" t="n">
        <f aca="false">(1-$G$100)*SIGN($G$111)</f>
        <v>0</v>
      </c>
      <c r="H122" s="10" t="n">
        <f aca="false">(1-$H$100)*SIGN($H$111)</f>
        <v>0</v>
      </c>
    </row>
    <row r="125" customFormat="false" ht="15" hidden="false" customHeight="false" outlineLevel="0" collapsed="false">
      <c r="A125" s="4" t="s">
        <v>210</v>
      </c>
    </row>
    <row r="126" customFormat="false" ht="15" hidden="false" customHeight="false" outlineLevel="0" collapsed="false">
      <c r="A126" s="8" t="s">
        <v>211</v>
      </c>
      <c r="B126" s="8" t="s">
        <v>212</v>
      </c>
      <c r="C126" s="8" t="s">
        <v>213</v>
      </c>
      <c r="D126" s="8" t="s">
        <v>214</v>
      </c>
      <c r="E126" s="8" t="s">
        <v>215</v>
      </c>
      <c r="F126" s="8" t="s">
        <v>216</v>
      </c>
      <c r="G126" s="8" t="s">
        <v>217</v>
      </c>
      <c r="H126" s="8" t="s">
        <v>218</v>
      </c>
    </row>
    <row r="127" customFormat="false" ht="15" hidden="false" customHeight="false" outlineLevel="0" collapsed="false">
      <c r="A127" s="4" t="s">
        <v>23</v>
      </c>
      <c r="B127" s="10" t="n">
        <v>1</v>
      </c>
      <c r="C127" s="10" t="n">
        <f aca="false">MAX(1,$B$116*($B$127+1),$B$117*($B$128+1),$B$118*($B$129+1),$B$119*($B$130+1),$B$120*($B$131+1),$B$121*($B$132+1),$B$122*($B$133+1))</f>
        <v>1</v>
      </c>
      <c r="D127" s="10" t="n">
        <f aca="false">MAX(1,$B$116*($C$127+1),$B$117*($C$128+1),$B$118*($C$129+1),$B$119*($C$130+1),$B$120*($C$131+1),$B$121*($C$132+1),$B$122*($C$133+1))</f>
        <v>1</v>
      </c>
      <c r="E127" s="10" t="n">
        <f aca="false">MAX(1,$B$116*($D$127+1),$B$117*($D$128+1),$B$118*($D$129+1),$B$119*($D$130+1),$B$120*($D$131+1),$B$121*($D$132+1),$B$122*($D$133+1))</f>
        <v>1</v>
      </c>
      <c r="F127" s="10" t="n">
        <f aca="false">MAX(1,$B$116*($E$127+1),$B$117*($E$128+1),$B$118*($E$129+1),$B$119*($E$130+1),$B$120*($E$131+1),$B$121*($E$132+1),$B$122*($E$133+1))</f>
        <v>1</v>
      </c>
      <c r="G127" s="10" t="n">
        <f aca="false">MAX(1,$B$116*($F$127+1),$B$117*($F$128+1),$B$118*($F$129+1),$B$119*($F$130+1),$B$120*($F$131+1),$B$121*($F$132+1),$B$122*($F$133+1))</f>
        <v>1</v>
      </c>
      <c r="H127" s="10" t="n">
        <f aca="false">MAX(1,$B$116*($G$127+1),$B$117*($G$128+1),$B$118*($G$129+1),$B$119*($G$130+1),$B$120*($G$131+1),$B$121*($G$132+1),$B$122*($G$133+1))</f>
        <v>1</v>
      </c>
    </row>
    <row r="128" customFormat="false" ht="15" hidden="false" customHeight="false" outlineLevel="0" collapsed="false">
      <c r="A128" s="4" t="s">
        <v>28</v>
      </c>
      <c r="B128" s="10" t="n">
        <v>1</v>
      </c>
      <c r="C128" s="10" t="n">
        <f aca="false">MAX(1,$C$116*($B$127+1),$C$117*($B$128+1),$C$118*($B$129+1),$C$119*($B$130+1),$C$120*($B$131+1),$C$121*($B$132+1),$C$122*($B$133+1))</f>
        <v>1</v>
      </c>
      <c r="D128" s="10" t="n">
        <f aca="false">MAX(1,$C$116*($C$127+1),$C$117*($C$128+1),$C$118*($C$129+1),$C$119*($C$130+1),$C$120*($C$131+1),$C$121*($C$132+1),$C$122*($C$133+1))</f>
        <v>1</v>
      </c>
      <c r="E128" s="10" t="n">
        <f aca="false">MAX(1,$C$116*($D$127+1),$C$117*($D$128+1),$C$118*($D$129+1),$C$119*($D$130+1),$C$120*($D$131+1),$C$121*($D$132+1),$C$122*($D$133+1))</f>
        <v>1</v>
      </c>
      <c r="F128" s="10" t="n">
        <f aca="false">MAX(1,$C$116*($E$127+1),$C$117*($E$128+1),$C$118*($E$129+1),$C$119*($E$130+1),$C$120*($E$131+1),$C$121*($E$132+1),$C$122*($E$133+1))</f>
        <v>1</v>
      </c>
      <c r="G128" s="10" t="n">
        <f aca="false">MAX(1,$C$116*($F$127+1),$C$117*($F$128+1),$C$118*($F$129+1),$C$119*($F$130+1),$C$120*($F$131+1),$C$121*($F$132+1),$C$122*($F$133+1))</f>
        <v>1</v>
      </c>
      <c r="H128" s="10" t="n">
        <f aca="false">MAX(1,$C$116*($G$127+1),$C$117*($G$128+1),$C$118*($G$129+1),$C$119*($G$130+1),$C$120*($G$131+1),$C$121*($G$132+1),$C$122*($G$133+1))</f>
        <v>1</v>
      </c>
    </row>
    <row r="129" customFormat="false" ht="15" hidden="false" customHeight="false" outlineLevel="0" collapsed="false">
      <c r="A129" s="4" t="s">
        <v>32</v>
      </c>
      <c r="B129" s="10" t="n">
        <v>1</v>
      </c>
      <c r="C129" s="10" t="n">
        <f aca="false">MAX(1,$D$116*($B$127+1),$D$117*($B$128+1),$D$118*($B$129+1),$D$119*($B$130+1),$D$120*($B$131+1),$D$121*($B$132+1),$D$122*($B$133+1))</f>
        <v>2</v>
      </c>
      <c r="D129" s="10" t="n">
        <f aca="false">MAX(1,$D$116*($C$127+1),$D$117*($C$128+1),$D$118*($C$129+1),$D$119*($C$130+1),$D$120*($C$131+1),$D$121*($C$132+1),$D$122*($C$133+1))</f>
        <v>2</v>
      </c>
      <c r="E129" s="10" t="n">
        <f aca="false">MAX(1,$D$116*($D$127+1),$D$117*($D$128+1),$D$118*($D$129+1),$D$119*($D$130+1),$D$120*($D$131+1),$D$121*($D$132+1),$D$122*($D$133+1))</f>
        <v>2</v>
      </c>
      <c r="F129" s="10" t="n">
        <f aca="false">MAX(1,$D$116*($E$127+1),$D$117*($E$128+1),$D$118*($E$129+1),$D$119*($E$130+1),$D$120*($E$131+1),$D$121*($E$132+1),$D$122*($E$133+1))</f>
        <v>2</v>
      </c>
      <c r="G129" s="10" t="n">
        <f aca="false">MAX(1,$D$116*($F$127+1),$D$117*($F$128+1),$D$118*($F$129+1),$D$119*($F$130+1),$D$120*($F$131+1),$D$121*($F$132+1),$D$122*($F$133+1))</f>
        <v>2</v>
      </c>
      <c r="H129" s="10" t="n">
        <f aca="false">MAX(1,$D$116*($G$127+1),$D$117*($G$128+1),$D$118*($G$129+1),$D$119*($G$130+1),$D$120*($G$131+1),$D$121*($G$132+1),$D$122*($G$133+1))</f>
        <v>2</v>
      </c>
    </row>
    <row r="130" customFormat="false" ht="15" hidden="false" customHeight="false" outlineLevel="0" collapsed="false">
      <c r="A130" s="4" t="s">
        <v>37</v>
      </c>
      <c r="B130" s="10" t="n">
        <v>1</v>
      </c>
      <c r="C130" s="10" t="n">
        <f aca="false">MAX(1,$E$116*($B$127+1),$E$117*($B$128+1),$E$118*($B$129+1),$E$119*($B$130+1),$E$120*($B$131+1),$E$121*($B$132+1),$E$122*($B$133+1))</f>
        <v>2</v>
      </c>
      <c r="D130" s="10" t="n">
        <f aca="false">MAX(1,$E$116*($C$127+1),$E$117*($C$128+1),$E$118*($C$129+1),$E$119*($C$130+1),$E$120*($C$131+1),$E$121*($C$132+1),$E$122*($C$133+1))</f>
        <v>3</v>
      </c>
      <c r="E130" s="10" t="n">
        <f aca="false">MAX(1,$E$116*($D$127+1),$E$117*($D$128+1),$E$118*($D$129+1),$E$119*($D$130+1),$E$120*($D$131+1),$E$121*($D$132+1),$E$122*($D$133+1))</f>
        <v>3</v>
      </c>
      <c r="F130" s="10" t="n">
        <f aca="false">MAX(1,$E$116*($E$127+1),$E$117*($E$128+1),$E$118*($E$129+1),$E$119*($E$130+1),$E$120*($E$131+1),$E$121*($E$132+1),$E$122*($E$133+1))</f>
        <v>3</v>
      </c>
      <c r="G130" s="10" t="n">
        <f aca="false">MAX(1,$E$116*($F$127+1),$E$117*($F$128+1),$E$118*($F$129+1),$E$119*($F$130+1),$E$120*($F$131+1),$E$121*($F$132+1),$E$122*($F$133+1))</f>
        <v>3</v>
      </c>
      <c r="H130" s="10" t="n">
        <f aca="false">MAX(1,$E$116*($G$127+1),$E$117*($G$128+1),$E$118*($G$129+1),$E$119*($G$130+1),$E$120*($G$131+1),$E$121*($G$132+1),$E$122*($G$133+1))</f>
        <v>3</v>
      </c>
    </row>
    <row r="131" customFormat="false" ht="15" hidden="false" customHeight="false" outlineLevel="0" collapsed="false">
      <c r="A131" s="4" t="s">
        <v>40</v>
      </c>
      <c r="B131" s="10" t="n">
        <v>1</v>
      </c>
      <c r="C131" s="10" t="n">
        <f aca="false">MAX(1,$F$116*($B$127+1),$F$117*($B$128+1),$F$118*($B$129+1),$F$119*($B$130+1),$F$120*($B$131+1),$F$121*($B$132+1),$F$122*($B$133+1))</f>
        <v>2</v>
      </c>
      <c r="D131" s="10" t="n">
        <f aca="false">MAX(1,$F$116*($C$127+1),$F$117*($C$128+1),$F$118*($C$129+1),$F$119*($C$130+1),$F$120*($C$131+1),$F$121*($C$132+1),$F$122*($C$133+1))</f>
        <v>3</v>
      </c>
      <c r="E131" s="10" t="n">
        <f aca="false">MAX(1,$F$116*($D$127+1),$F$117*($D$128+1),$F$118*($D$129+1),$F$119*($D$130+1),$F$120*($D$131+1),$F$121*($D$132+1),$F$122*($D$133+1))</f>
        <v>3</v>
      </c>
      <c r="F131" s="10" t="n">
        <f aca="false">MAX(1,$F$116*($E$127+1),$F$117*($E$128+1),$F$118*($E$129+1),$F$119*($E$130+1),$F$120*($E$131+1),$F$121*($E$132+1),$F$122*($E$133+1))</f>
        <v>3</v>
      </c>
      <c r="G131" s="10" t="n">
        <f aca="false">MAX(1,$F$116*($F$127+1),$F$117*($F$128+1),$F$118*($F$129+1),$F$119*($F$130+1),$F$120*($F$131+1),$F$121*($F$132+1),$F$122*($F$133+1))</f>
        <v>3</v>
      </c>
      <c r="H131" s="10" t="n">
        <f aca="false">MAX(1,$F$116*($G$127+1),$F$117*($G$128+1),$F$118*($G$129+1),$F$119*($G$130+1),$F$120*($G$131+1),$F$121*($G$132+1),$F$122*($G$133+1))</f>
        <v>3</v>
      </c>
    </row>
    <row r="132" customFormat="false" ht="15" hidden="false" customHeight="false" outlineLevel="0" collapsed="false">
      <c r="A132" s="4" t="s">
        <v>42</v>
      </c>
      <c r="B132" s="10" t="n">
        <v>1</v>
      </c>
      <c r="C132" s="10" t="n">
        <f aca="false">MAX(1,$G$116*($B$127+1),$G$117*($B$128+1),$G$118*($B$129+1),$G$119*($B$130+1),$G$120*($B$131+1),$G$121*($B$132+1),$G$122*($B$133+1))</f>
        <v>2</v>
      </c>
      <c r="D132" s="10" t="n">
        <f aca="false">MAX(1,$G$116*($C$127+1),$G$117*($C$128+1),$G$118*($C$129+1),$G$119*($C$130+1),$G$120*($C$131+1),$G$121*($C$132+1),$G$122*($C$133+1))</f>
        <v>3</v>
      </c>
      <c r="E132" s="10" t="n">
        <f aca="false">MAX(1,$G$116*($D$127+1),$G$117*($D$128+1),$G$118*($D$129+1),$G$119*($D$130+1),$G$120*($D$131+1),$G$121*($D$132+1),$G$122*($D$133+1))</f>
        <v>3</v>
      </c>
      <c r="F132" s="10" t="n">
        <f aca="false">MAX(1,$G$116*($E$127+1),$G$117*($E$128+1),$G$118*($E$129+1),$G$119*($E$130+1),$G$120*($E$131+1),$G$121*($E$132+1),$G$122*($E$133+1))</f>
        <v>3</v>
      </c>
      <c r="G132" s="10" t="n">
        <f aca="false">MAX(1,$G$116*($F$127+1),$G$117*($F$128+1),$G$118*($F$129+1),$G$119*($F$130+1),$G$120*($F$131+1),$G$121*($F$132+1),$G$122*($F$133+1))</f>
        <v>3</v>
      </c>
      <c r="H132" s="10" t="n">
        <f aca="false">MAX(1,$G$116*($G$127+1),$G$117*($G$128+1),$G$118*($G$129+1),$G$119*($G$130+1),$G$120*($G$131+1),$G$121*($G$132+1),$G$122*($G$133+1))</f>
        <v>3</v>
      </c>
    </row>
    <row r="133" customFormat="false" ht="15" hidden="false" customHeight="false" outlineLevel="0" collapsed="false">
      <c r="A133" s="4" t="s">
        <v>46</v>
      </c>
      <c r="B133" s="10" t="n">
        <v>1</v>
      </c>
      <c r="C133" s="10" t="n">
        <f aca="false">MAX(1,$H$116*($B$127+1),$H$117*($B$128+1),$H$118*($B$129+1),$H$119*($B$130+1),$H$120*($B$131+1),$H$121*($B$132+1),$H$122*($B$133+1))</f>
        <v>2</v>
      </c>
      <c r="D133" s="10" t="n">
        <f aca="false">MAX(1,$H$116*($C$127+1),$H$117*($C$128+1),$H$118*($C$129+1),$H$119*($C$130+1),$H$120*($C$131+1),$H$121*($C$132+1),$H$122*($C$133+1))</f>
        <v>3</v>
      </c>
      <c r="E133" s="10" t="n">
        <f aca="false">MAX(1,$H$116*($D$127+1),$H$117*($D$128+1),$H$118*($D$129+1),$H$119*($D$130+1),$H$120*($D$131+1),$H$121*($D$132+1),$H$122*($D$133+1))</f>
        <v>3</v>
      </c>
      <c r="F133" s="10" t="n">
        <f aca="false">MAX(1,$H$116*($E$127+1),$H$117*($E$128+1),$H$118*($E$129+1),$H$119*($E$130+1),$H$120*($E$131+1),$H$121*($E$132+1),$H$122*($E$133+1))</f>
        <v>3</v>
      </c>
      <c r="G133" s="10" t="n">
        <f aca="false">MAX(1,$H$116*($F$127+1),$H$117*($F$128+1),$H$118*($F$129+1),$H$119*($F$130+1),$H$120*($F$131+1),$H$121*($F$132+1),$H$122*($F$133+1))</f>
        <v>3</v>
      </c>
      <c r="H133" s="10" t="n">
        <f aca="false">MAX(1,$H$116*($G$127+1),$H$117*($G$128+1),$H$118*($G$129+1),$H$119*($G$130+1),$H$120*($G$131+1),$H$121*($G$132+1),$H$122*($G$133+1))</f>
        <v>3</v>
      </c>
    </row>
    <row r="135" customFormat="false" ht="15" hidden="false" customHeight="false" outlineLevel="0" collapsed="false">
      <c r="A135" s="4" t="s">
        <v>219</v>
      </c>
    </row>
    <row r="136" customFormat="false" ht="15" hidden="false" customHeight="false" outlineLevel="0" collapsed="false">
      <c r="A136" s="8"/>
      <c r="B136" s="8" t="s">
        <v>23</v>
      </c>
      <c r="C136" s="8" t="s">
        <v>28</v>
      </c>
      <c r="D136" s="8" t="s">
        <v>32</v>
      </c>
      <c r="E136" s="8" t="s">
        <v>37</v>
      </c>
      <c r="F136" s="8" t="s">
        <v>40</v>
      </c>
      <c r="G136" s="8" t="s">
        <v>42</v>
      </c>
      <c r="H136" s="8" t="s">
        <v>46</v>
      </c>
    </row>
    <row r="137" customFormat="false" ht="15" hidden="false" customHeight="false" outlineLevel="0" collapsed="false">
      <c r="A137" s="4" t="s">
        <v>23</v>
      </c>
      <c r="B137" s="10" t="str">
        <f aca="false">IF(Wiring!$B$6&gt;0,1,IF($B$6&gt;0,2,IF($B$17&gt;0,3,IF($B$28&gt;0,4,IF($B$39&gt;0,5,IF($B$50&gt;0,6,IF($B$61&gt;0,7,"none")))))))</f>
        <v>none</v>
      </c>
      <c r="C137" s="10" t="str">
        <f aca="false">IF(Wiring!$C$6&gt;0,1,IF($C$6&gt;0,2,IF($C$17&gt;0,3,IF($C$28&gt;0,4,IF($C$39&gt;0,5,IF($C$50&gt;0,6,IF($C$61&gt;0,7,"none")))))))</f>
        <v>none</v>
      </c>
      <c r="D137" s="10" t="n">
        <f aca="false">IF(Wiring!$D$6&gt;0,1,IF($D$6&gt;0,2,IF($D$17&gt;0,3,IF($D$28&gt;0,4,IF($D$39&gt;0,5,IF($D$50&gt;0,6,IF($D$61&gt;0,7,"none")))))))</f>
        <v>1</v>
      </c>
      <c r="E137" s="10" t="n">
        <f aca="false">IF(Wiring!$E$6&gt;0,1,IF($E$6&gt;0,2,IF($E$17&gt;0,3,IF($E$28&gt;0,4,IF($E$39&gt;0,5,IF($E$50&gt;0,6,IF($E$61&gt;0,7,"none")))))))</f>
        <v>1</v>
      </c>
      <c r="F137" s="10" t="n">
        <f aca="false">IF(Wiring!$F$6&gt;0,1,IF($F$6&gt;0,2,IF($F$17&gt;0,3,IF($F$28&gt;0,4,IF($F$39&gt;0,5,IF($F$50&gt;0,6,IF($F$61&gt;0,7,"none")))))))</f>
        <v>1</v>
      </c>
      <c r="G137" s="10" t="n">
        <f aca="false">IF(Wiring!$G$6&gt;0,1,IF($G$6&gt;0,2,IF($G$17&gt;0,3,IF($G$28&gt;0,4,IF($G$39&gt;0,5,IF($G$50&gt;0,6,IF($G$61&gt;0,7,"none")))))))</f>
        <v>2</v>
      </c>
      <c r="H137" s="10" t="n">
        <f aca="false">IF(Wiring!$H$6&gt;0,1,IF($H$6&gt;0,2,IF($H$17&gt;0,3,IF($H$28&gt;0,4,IF($H$39&gt;0,5,IF($H$50&gt;0,6,IF($H$61&gt;0,7,"none")))))))</f>
        <v>2</v>
      </c>
    </row>
    <row r="138" customFormat="false" ht="15" hidden="false" customHeight="false" outlineLevel="0" collapsed="false">
      <c r="A138" s="4" t="s">
        <v>28</v>
      </c>
      <c r="B138" s="10" t="str">
        <f aca="false">IF(Wiring!$B$7&gt;0,1,IF($B$7&gt;0,2,IF($B$18&gt;0,3,IF($B$29&gt;0,4,IF($B$40&gt;0,5,IF($B$51&gt;0,6,IF($B$62&gt;0,7,"none")))))))</f>
        <v>none</v>
      </c>
      <c r="C138" s="10" t="str">
        <f aca="false">IF(Wiring!$C$7&gt;0,1,IF($C$7&gt;0,2,IF($C$18&gt;0,3,IF($C$29&gt;0,4,IF($C$40&gt;0,5,IF($C$51&gt;0,6,IF($C$62&gt;0,7,"none")))))))</f>
        <v>none</v>
      </c>
      <c r="D138" s="10" t="str">
        <f aca="false">IF(Wiring!$D$7&gt;0,1,IF($D$7&gt;0,2,IF($D$18&gt;0,3,IF($D$29&gt;0,4,IF($D$40&gt;0,5,IF($D$51&gt;0,6,IF($D$62&gt;0,7,"none")))))))</f>
        <v>none</v>
      </c>
      <c r="E138" s="10" t="n">
        <f aca="false">IF(Wiring!$E$7&gt;0,1,IF($E$7&gt;0,2,IF($E$18&gt;0,3,IF($E$29&gt;0,4,IF($E$40&gt;0,5,IF($E$51&gt;0,6,IF($E$62&gt;0,7,"none")))))))</f>
        <v>2</v>
      </c>
      <c r="F138" s="10" t="n">
        <f aca="false">IF(Wiring!$F$7&gt;0,1,IF($F$7&gt;0,2,IF($F$18&gt;0,3,IF($F$29&gt;0,4,IF($F$40&gt;0,5,IF($F$51&gt;0,6,IF($F$62&gt;0,7,"none")))))))</f>
        <v>1</v>
      </c>
      <c r="G138" s="10" t="n">
        <f aca="false">IF(Wiring!$G$7&gt;0,1,IF($G$7&gt;0,2,IF($G$18&gt;0,3,IF($G$29&gt;0,4,IF($G$40&gt;0,5,IF($G$51&gt;0,6,IF($G$62&gt;0,7,"none")))))))</f>
        <v>2</v>
      </c>
      <c r="H138" s="10" t="n">
        <f aca="false">IF(Wiring!$H$7&gt;0,1,IF($H$7&gt;0,2,IF($H$18&gt;0,3,IF($H$29&gt;0,4,IF($H$40&gt;0,5,IF($H$51&gt;0,6,IF($H$62&gt;0,7,"none")))))))</f>
        <v>1</v>
      </c>
    </row>
    <row r="139" customFormat="false" ht="15" hidden="false" customHeight="false" outlineLevel="0" collapsed="false">
      <c r="A139" s="4" t="s">
        <v>32</v>
      </c>
      <c r="B139" s="10" t="str">
        <f aca="false">IF(Wiring!$B$8&gt;0,1,IF($B$8&gt;0,2,IF($B$19&gt;0,3,IF($B$30&gt;0,4,IF($B$41&gt;0,5,IF($B$52&gt;0,6,IF($B$63&gt;0,7,"none")))))))</f>
        <v>none</v>
      </c>
      <c r="C139" s="10" t="str">
        <f aca="false">IF(Wiring!$C$8&gt;0,1,IF($C$8&gt;0,2,IF($C$19&gt;0,3,IF($C$30&gt;0,4,IF($C$41&gt;0,5,IF($C$52&gt;0,6,IF($C$63&gt;0,7,"none")))))))</f>
        <v>none</v>
      </c>
      <c r="D139" s="10" t="str">
        <f aca="false">IF(Wiring!$D$8&gt;0,1,IF($D$8&gt;0,2,IF($D$19&gt;0,3,IF($D$30&gt;0,4,IF($D$41&gt;0,5,IF($D$52&gt;0,6,IF($D$63&gt;0,7,"none")))))))</f>
        <v>none</v>
      </c>
      <c r="E139" s="10" t="n">
        <f aca="false">IF(Wiring!$E$8&gt;0,1,IF($E$8&gt;0,2,IF($E$19&gt;0,3,IF($E$30&gt;0,4,IF($E$41&gt;0,5,IF($E$52&gt;0,6,IF($E$63&gt;0,7,"none")))))))</f>
        <v>2</v>
      </c>
      <c r="F139" s="10" t="n">
        <f aca="false">IF(Wiring!$F$8&gt;0,1,IF($F$8&gt;0,2,IF($F$19&gt;0,3,IF($F$30&gt;0,4,IF($F$41&gt;0,5,IF($F$52&gt;0,6,IF($F$63&gt;0,7,"none")))))))</f>
        <v>2</v>
      </c>
      <c r="G139" s="10" t="n">
        <f aca="false">IF(Wiring!$G$8&gt;0,1,IF($G$8&gt;0,2,IF($G$19&gt;0,3,IF($G$30&gt;0,4,IF($G$41&gt;0,5,IF($G$52&gt;0,6,IF($G$63&gt;0,7,"none")))))))</f>
        <v>3</v>
      </c>
      <c r="H139" s="10" t="n">
        <f aca="false">IF(Wiring!$H$8&gt;0,1,IF($H$8&gt;0,2,IF($H$19&gt;0,3,IF($H$30&gt;0,4,IF($H$41&gt;0,5,IF($H$52&gt;0,6,IF($H$63&gt;0,7,"none")))))))</f>
        <v>1</v>
      </c>
    </row>
    <row r="140" customFormat="false" ht="15" hidden="false" customHeight="false" outlineLevel="0" collapsed="false">
      <c r="A140" s="4" t="s">
        <v>37</v>
      </c>
      <c r="B140" s="10" t="str">
        <f aca="false">IF(Wiring!$B$9&gt;0,1,IF($B$9&gt;0,2,IF($B$20&gt;0,3,IF($B$31&gt;0,4,IF($B$42&gt;0,5,IF($B$53&gt;0,6,IF($B$64&gt;0,7,"none")))))))</f>
        <v>none</v>
      </c>
      <c r="C140" s="10" t="str">
        <f aca="false">IF(Wiring!$C$9&gt;0,1,IF($C$9&gt;0,2,IF($C$20&gt;0,3,IF($C$31&gt;0,4,IF($C$42&gt;0,5,IF($C$53&gt;0,6,IF($C$64&gt;0,7,"none")))))))</f>
        <v>none</v>
      </c>
      <c r="D140" s="10" t="str">
        <f aca="false">IF(Wiring!$D$9&gt;0,1,IF($D$9&gt;0,2,IF($D$20&gt;0,3,IF($D$31&gt;0,4,IF($D$42&gt;0,5,IF($D$53&gt;0,6,IF($D$64&gt;0,7,"none")))))))</f>
        <v>none</v>
      </c>
      <c r="E140" s="10" t="n">
        <f aca="false">IF(Wiring!$E$9&gt;0,1,IF($E$9&gt;0,2,IF($E$20&gt;0,3,IF($E$31&gt;0,4,IF($E$42&gt;0,5,IF($E$53&gt;0,6,IF($E$64&gt;0,7,"none")))))))</f>
        <v>2</v>
      </c>
      <c r="F140" s="10" t="n">
        <f aca="false">IF(Wiring!$F$9&gt;0,1,IF($F$9&gt;0,2,IF($F$20&gt;0,3,IF($F$31&gt;0,4,IF($F$42&gt;0,5,IF($F$53&gt;0,6,IF($F$64&gt;0,7,"none")))))))</f>
        <v>2</v>
      </c>
      <c r="G140" s="10" t="n">
        <f aca="false">IF(Wiring!$G$9&gt;0,1,IF($G$9&gt;0,2,IF($G$20&gt;0,3,IF($G$31&gt;0,4,IF($G$42&gt;0,5,IF($G$53&gt;0,6,IF($G$64&gt;0,7,"none")))))))</f>
        <v>1</v>
      </c>
      <c r="H140" s="10" t="n">
        <f aca="false">IF(Wiring!$H$9&gt;0,1,IF($H$9&gt;0,2,IF($H$20&gt;0,3,IF($H$31&gt;0,4,IF($H$42&gt;0,5,IF($H$53&gt;0,6,IF($H$64&gt;0,7,"none")))))))</f>
        <v>1</v>
      </c>
    </row>
    <row r="141" customFormat="false" ht="15" hidden="false" customHeight="false" outlineLevel="0" collapsed="false">
      <c r="A141" s="4" t="s">
        <v>40</v>
      </c>
      <c r="B141" s="10" t="str">
        <f aca="false">IF(Wiring!$B$10&gt;0,1,IF($B$10&gt;0,2,IF($B$21&gt;0,3,IF($B$32&gt;0,4,IF($B$43&gt;0,5,IF($B$54&gt;0,6,IF($B$65&gt;0,7,"none")))))))</f>
        <v>none</v>
      </c>
      <c r="C141" s="10" t="str">
        <f aca="false">IF(Wiring!$C$10&gt;0,1,IF($C$10&gt;0,2,IF($C$21&gt;0,3,IF($C$32&gt;0,4,IF($C$43&gt;0,5,IF($C$54&gt;0,6,IF($C$65&gt;0,7,"none")))))))</f>
        <v>none</v>
      </c>
      <c r="D141" s="10" t="str">
        <f aca="false">IF(Wiring!$D$10&gt;0,1,IF($D$10&gt;0,2,IF($D$21&gt;0,3,IF($D$32&gt;0,4,IF($D$43&gt;0,5,IF($D$54&gt;0,6,IF($D$65&gt;0,7,"none")))))))</f>
        <v>none</v>
      </c>
      <c r="E141" s="10" t="n">
        <f aca="false">IF(Wiring!$E$10&gt;0,1,IF($E$10&gt;0,2,IF($E$21&gt;0,3,IF($E$32&gt;0,4,IF($E$43&gt;0,5,IF($E$54&gt;0,6,IF($E$65&gt;0,7,"none")))))))</f>
        <v>2</v>
      </c>
      <c r="F141" s="10" t="n">
        <f aca="false">IF(Wiring!$F$10&gt;0,1,IF($F$10&gt;0,2,IF($F$21&gt;0,3,IF($F$32&gt;0,4,IF($F$43&gt;0,5,IF($F$54&gt;0,6,IF($F$65&gt;0,7,"none")))))))</f>
        <v>2</v>
      </c>
      <c r="G141" s="10" t="n">
        <f aca="false">IF(Wiring!$G$10&gt;0,1,IF($G$10&gt;0,2,IF($G$21&gt;0,3,IF($G$32&gt;0,4,IF($G$43&gt;0,5,IF($G$54&gt;0,6,IF($G$65&gt;0,7,"none")))))))</f>
        <v>1</v>
      </c>
      <c r="H141" s="10" t="n">
        <f aca="false">IF(Wiring!$H$10&gt;0,1,IF($H$10&gt;0,2,IF($H$21&gt;0,3,IF($H$32&gt;0,4,IF($H$43&gt;0,5,IF($H$54&gt;0,6,IF($H$65&gt;0,7,"none")))))))</f>
        <v>1</v>
      </c>
    </row>
    <row r="142" customFormat="false" ht="15" hidden="false" customHeight="false" outlineLevel="0" collapsed="false">
      <c r="A142" s="4" t="s">
        <v>42</v>
      </c>
      <c r="B142" s="10" t="str">
        <f aca="false">IF(Wiring!$B$11&gt;0,1,IF($B$11&gt;0,2,IF($B$22&gt;0,3,IF($B$33&gt;0,4,IF($B$44&gt;0,5,IF($B$55&gt;0,6,IF($B$66&gt;0,7,"none")))))))</f>
        <v>none</v>
      </c>
      <c r="C142" s="10" t="str">
        <f aca="false">IF(Wiring!$C$11&gt;0,1,IF($C$11&gt;0,2,IF($C$22&gt;0,3,IF($C$33&gt;0,4,IF($C$44&gt;0,5,IF($C$55&gt;0,6,IF($C$66&gt;0,7,"none")))))))</f>
        <v>none</v>
      </c>
      <c r="D142" s="10" t="str">
        <f aca="false">IF(Wiring!$D$11&gt;0,1,IF($D$11&gt;0,2,IF($D$22&gt;0,3,IF($D$33&gt;0,4,IF($D$44&gt;0,5,IF($D$55&gt;0,6,IF($D$66&gt;0,7,"none")))))))</f>
        <v>none</v>
      </c>
      <c r="E142" s="10" t="n">
        <f aca="false">IF(Wiring!$E$11&gt;0,1,IF($E$11&gt;0,2,IF($E$22&gt;0,3,IF($E$33&gt;0,4,IF($E$44&gt;0,5,IF($E$55&gt;0,6,IF($E$66&gt;0,7,"none")))))))</f>
        <v>1</v>
      </c>
      <c r="F142" s="10" t="n">
        <f aca="false">IF(Wiring!$F$11&gt;0,1,IF($F$11&gt;0,2,IF($F$22&gt;0,3,IF($F$33&gt;0,4,IF($F$44&gt;0,5,IF($F$55&gt;0,6,IF($F$66&gt;0,7,"none")))))))</f>
        <v>1</v>
      </c>
      <c r="G142" s="10" t="n">
        <f aca="false">IF(Wiring!$G$11&gt;0,1,IF($G$11&gt;0,2,IF($G$22&gt;0,3,IF($G$33&gt;0,4,IF($G$44&gt;0,5,IF($G$55&gt;0,6,IF($G$66&gt;0,7,"none")))))))</f>
        <v>2</v>
      </c>
      <c r="H142" s="10" t="n">
        <f aca="false">IF(Wiring!$H$11&gt;0,1,IF($H$11&gt;0,2,IF($H$22&gt;0,3,IF($H$33&gt;0,4,IF($H$44&gt;0,5,IF($H$55&gt;0,6,IF($H$66&gt;0,7,"none")))))))</f>
        <v>2</v>
      </c>
    </row>
    <row r="143" customFormat="false" ht="15" hidden="false" customHeight="false" outlineLevel="0" collapsed="false">
      <c r="A143" s="4" t="s">
        <v>46</v>
      </c>
      <c r="B143" s="10" t="str">
        <f aca="false">IF(Wiring!$B$12&gt;0,1,IF($B$12&gt;0,2,IF($B$23&gt;0,3,IF($B$34&gt;0,4,IF($B$45&gt;0,5,IF($B$56&gt;0,6,IF($B$67&gt;0,7,"none")))))))</f>
        <v>none</v>
      </c>
      <c r="C143" s="10" t="str">
        <f aca="false">IF(Wiring!$C$12&gt;0,1,IF($C$12&gt;0,2,IF($C$23&gt;0,3,IF($C$34&gt;0,4,IF($C$45&gt;0,5,IF($C$56&gt;0,6,IF($C$67&gt;0,7,"none")))))))</f>
        <v>none</v>
      </c>
      <c r="D143" s="10" t="str">
        <f aca="false">IF(Wiring!$D$12&gt;0,1,IF($D$12&gt;0,2,IF($D$23&gt;0,3,IF($D$34&gt;0,4,IF($D$45&gt;0,5,IF($D$56&gt;0,6,IF($D$67&gt;0,7,"none")))))))</f>
        <v>none</v>
      </c>
      <c r="E143" s="10" t="n">
        <f aca="false">IF(Wiring!$E$12&gt;0,1,IF($E$12&gt;0,2,IF($E$23&gt;0,3,IF($E$34&gt;0,4,IF($E$45&gt;0,5,IF($E$56&gt;0,6,IF($E$67&gt;0,7,"none")))))))</f>
        <v>1</v>
      </c>
      <c r="F143" s="10" t="n">
        <f aca="false">IF(Wiring!$F$12&gt;0,1,IF($F$12&gt;0,2,IF($F$23&gt;0,3,IF($F$34&gt;0,4,IF($F$45&gt;0,5,IF($F$56&gt;0,6,IF($F$67&gt;0,7,"none")))))))</f>
        <v>1</v>
      </c>
      <c r="G143" s="10" t="n">
        <f aca="false">IF(Wiring!$G$12&gt;0,1,IF($G$12&gt;0,2,IF($G$23&gt;0,3,IF($G$34&gt;0,4,IF($G$45&gt;0,5,IF($G$56&gt;0,6,IF($G$67&gt;0,7,"none")))))))</f>
        <v>2</v>
      </c>
      <c r="H143" s="10" t="n">
        <f aca="false">IF(Wiring!$H$12&gt;0,1,IF($H$12&gt;0,2,IF($H$23&gt;0,3,IF($H$34&gt;0,4,IF($H$45&gt;0,5,IF($H$56&gt;0,6,IF($H$67&gt;0,7,"none")))))))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9" t="s">
        <v>221</v>
      </c>
    </row>
    <row r="5" customFormat="false" ht="23.85" hidden="false" customHeight="false" outlineLevel="0" collapsed="false">
      <c r="A5" s="8" t="s">
        <v>18</v>
      </c>
      <c r="B5" s="8" t="s">
        <v>222</v>
      </c>
      <c r="C5" s="8" t="s">
        <v>223</v>
      </c>
    </row>
    <row r="6" customFormat="false" ht="15" hidden="false" customHeight="false" outlineLevel="0" collapsed="false">
      <c r="A6" s="4" t="s">
        <v>23</v>
      </c>
      <c r="B6" s="10" t="n">
        <v>0</v>
      </c>
      <c r="C6" s="10" t="n">
        <f aca="false">IF(ISNUMBER(B6),1,0)</f>
        <v>1</v>
      </c>
      <c r="F6" s="2" t="s">
        <v>224</v>
      </c>
      <c r="G6" s="10" t="n">
        <f aca="false">C43</f>
        <v>3</v>
      </c>
      <c r="H6" s="9" t="s">
        <v>225</v>
      </c>
    </row>
    <row r="7" customFormat="false" ht="15" hidden="false" customHeight="false" outlineLevel="0" collapsed="false">
      <c r="A7" s="4" t="s">
        <v>28</v>
      </c>
      <c r="B7" s="10" t="str">
        <f aca="false">IF(Wiring!$C$6&gt;0,1,IF(Core!$C$6&gt;0,2,IF(Core!$C$17&gt;0,3,IF(Core!$C$28&gt;0,4,IF(Core!$C$39&gt;0,5,IF(Core!$C$50&gt;0,6,"never"))))))</f>
        <v>never</v>
      </c>
      <c r="C7" s="10" t="n">
        <f aca="false">IF(ISNUMBER(B7),1,0)</f>
        <v>0</v>
      </c>
      <c r="F7" s="2" t="s">
        <v>226</v>
      </c>
      <c r="G7" s="10" t="n">
        <f aca="false">D43</f>
        <v>5</v>
      </c>
      <c r="H7" s="9" t="s">
        <v>227</v>
      </c>
    </row>
    <row r="8" customFormat="false" ht="15" hidden="false" customHeight="false" outlineLevel="0" collapsed="false">
      <c r="A8" s="4" t="s">
        <v>32</v>
      </c>
      <c r="B8" s="10" t="n">
        <f aca="false">IF(Wiring!$D$6&gt;0,1,IF(Core!$D$6&gt;0,2,IF(Core!$D$17&gt;0,3,IF(Core!$D$28&gt;0,4,IF(Core!$D$39&gt;0,5,IF(Core!$D$50&gt;0,6,"never"))))))</f>
        <v>1</v>
      </c>
      <c r="C8" s="10" t="n">
        <f aca="false">IF(ISNUMBER(B8),1,0)</f>
        <v>1</v>
      </c>
      <c r="F8" s="2" t="s">
        <v>228</v>
      </c>
      <c r="G8" s="10" t="n">
        <f aca="false">E43</f>
        <v>5</v>
      </c>
      <c r="H8" s="9" t="s">
        <v>229</v>
      </c>
    </row>
    <row r="9" customFormat="false" ht="15" hidden="false" customHeight="false" outlineLevel="0" collapsed="false">
      <c r="A9" s="4" t="s">
        <v>37</v>
      </c>
      <c r="B9" s="10" t="n">
        <f aca="false">IF(Wiring!$E$6&gt;0,1,IF(Core!$E$6&gt;0,2,IF(Core!$E$17&gt;0,3,IF(Core!$E$28&gt;0,4,IF(Core!$E$39&gt;0,5,IF(Core!$E$50&gt;0,6,"never"))))))</f>
        <v>1</v>
      </c>
      <c r="C9" s="10" t="n">
        <f aca="false">IF(ISNUMBER(B9),1,0)</f>
        <v>1</v>
      </c>
      <c r="F9" s="2" t="s">
        <v>230</v>
      </c>
      <c r="G9" s="10" t="n">
        <f aca="false">COUNTIF($B$6:$B$12,"never")</f>
        <v>1</v>
      </c>
      <c r="H9" s="9" t="s">
        <v>231</v>
      </c>
    </row>
    <row r="10" customFormat="false" ht="15" hidden="false" customHeight="false" outlineLevel="0" collapsed="false">
      <c r="A10" s="4" t="s">
        <v>40</v>
      </c>
      <c r="B10" s="10" t="n">
        <f aca="false">IF(Wiring!$F$6&gt;0,1,IF(Core!$F$6&gt;0,2,IF(Core!$F$17&gt;0,3,IF(Core!$F$28&gt;0,4,IF(Core!$F$39&gt;0,5,IF(Core!$F$50&gt;0,6,"never"))))))</f>
        <v>1</v>
      </c>
      <c r="C10" s="10" t="n">
        <f aca="false">IF(ISNUMBER(B10),1,0)</f>
        <v>1</v>
      </c>
      <c r="F10" s="2" t="s">
        <v>232</v>
      </c>
      <c r="G10" s="10" t="n">
        <f aca="false">B48</f>
        <v>3</v>
      </c>
      <c r="H10" s="9" t="s">
        <v>233</v>
      </c>
    </row>
    <row r="11" customFormat="false" ht="15" hidden="false" customHeight="false" outlineLevel="0" collapsed="false">
      <c r="A11" s="4" t="s">
        <v>42</v>
      </c>
      <c r="B11" s="10" t="n">
        <f aca="false">IF(Wiring!$G$6&gt;0,1,IF(Core!$G$6&gt;0,2,IF(Core!$G$17&gt;0,3,IF(Core!$G$28&gt;0,4,IF(Core!$G$39&gt;0,5,IF(Core!$G$50&gt;0,6,"never"))))))</f>
        <v>2</v>
      </c>
      <c r="C11" s="10" t="n">
        <f aca="false">IF(ISNUMBER(B11),1,0)</f>
        <v>1</v>
      </c>
      <c r="F11" s="2" t="s">
        <v>234</v>
      </c>
      <c r="G11" s="10" t="n">
        <f aca="false">B50</f>
        <v>10</v>
      </c>
      <c r="H11" s="9" t="s">
        <v>235</v>
      </c>
    </row>
    <row r="12" customFormat="false" ht="15" hidden="false" customHeight="false" outlineLevel="0" collapsed="false">
      <c r="A12" s="4" t="s">
        <v>46</v>
      </c>
      <c r="B12" s="10" t="n">
        <f aca="false">IF(Wiring!$H$6&gt;0,1,IF(Core!$H$6&gt;0,2,IF(Core!$H$17&gt;0,3,IF(Core!$H$28&gt;0,4,IF(Core!$H$39&gt;0,5,IF(Core!$H$50&gt;0,6,"never"))))))</f>
        <v>2</v>
      </c>
      <c r="C12" s="10" t="n">
        <f aca="false">IF(ISNUMBER(B12),1,0)</f>
        <v>1</v>
      </c>
      <c r="F12" s="2" t="s">
        <v>236</v>
      </c>
      <c r="G12" s="10" t="n">
        <f aca="false">B52</f>
        <v>40</v>
      </c>
      <c r="H12" s="9" t="s">
        <v>237</v>
      </c>
    </row>
    <row r="13" customFormat="false" ht="15" hidden="false" customHeight="false" outlineLevel="0" collapsed="false">
      <c r="F13" s="2" t="s">
        <v>238</v>
      </c>
      <c r="G13" s="10" t="n">
        <f aca="false">B47+B49+B51+B53</f>
        <v>0</v>
      </c>
      <c r="H13" s="9" t="s">
        <v>239</v>
      </c>
    </row>
    <row r="15" customFormat="false" ht="15" hidden="false" customHeight="false" outlineLevel="0" collapsed="false">
      <c r="A15" s="8" t="s">
        <v>240</v>
      </c>
      <c r="B15" s="8" t="s">
        <v>241</v>
      </c>
      <c r="C15" s="8" t="s">
        <v>242</v>
      </c>
      <c r="D15" s="8" t="s">
        <v>243</v>
      </c>
    </row>
    <row r="16" customFormat="false" ht="15" hidden="false" customHeight="false" outlineLevel="0" collapsed="false">
      <c r="A16" s="2" t="s">
        <v>244</v>
      </c>
      <c r="B16" s="10" t="n">
        <f aca="false">$B$9</f>
        <v>1</v>
      </c>
      <c r="C16" s="2" t="str">
        <f aca="false">IF(ISNUMBER($B$9),IF($B$9=1,"MKT → IND",IF($B$9=2,"MKT → "&amp;$E$33&amp;" → IND",IF($B$9=3,"MKT → "&amp;INDEX($B$33:$H$33,MATCH($E$33,$B$25:$H$25,0))&amp;" → "&amp;$E$33&amp;" → IND","longer"))),"no path")</f>
        <v>MKT → IND</v>
      </c>
      <c r="D16" s="10" t="n">
        <f aca="false">IF(ISNUMBER(B16),CHOOSE(B16,Wiring!$E$6,Core!$E$6,Core!$E$17,Core!$E$28,Core!$E$39,Core!$E$50),0)</f>
        <v>1</v>
      </c>
    </row>
    <row r="17" customFormat="false" ht="15" hidden="false" customHeight="false" outlineLevel="0" collapsed="false">
      <c r="A17" s="2" t="s">
        <v>245</v>
      </c>
      <c r="B17" s="10" t="n">
        <f aca="false">$B$10</f>
        <v>1</v>
      </c>
      <c r="C17" s="2" t="str">
        <f aca="false">IF(ISNUMBER($B$10),IF($B$10=1,"MKT → DIG",IF($B$10=2,"MKT → "&amp;$F$33&amp;" → DIG",IF($B$10=3,"MKT → "&amp;INDEX($B$33:$H$33,MATCH($F$33,$B$25:$H$25,0))&amp;" → "&amp;$F$33&amp;" → DIG","longer"))),"no path")</f>
        <v>MKT → DIG</v>
      </c>
      <c r="D17" s="10" t="n">
        <f aca="false">IF(ISNUMBER(B17),CHOOSE(B17,Wiring!$F$6,Core!$F$6,Core!$F$17,Core!$F$28,Core!$F$39,Core!$F$50),0)</f>
        <v>1</v>
      </c>
    </row>
    <row r="18" customFormat="false" ht="15" hidden="false" customHeight="false" outlineLevel="0" collapsed="false">
      <c r="A18" s="2" t="s">
        <v>246</v>
      </c>
      <c r="B18" s="10" t="n">
        <f aca="false">$B$8</f>
        <v>1</v>
      </c>
      <c r="C18" s="2" t="str">
        <f aca="false">IF(ISNUMBER($B$8),IF($B$8=1,"MKT → MAT",IF($B$8=2,"MKT → "&amp;$D$33&amp;" → MAT",IF($B$8=3,"MKT → "&amp;INDEX($B$33:$H$33,MATCH($D$33,$B$25:$H$25,0))&amp;" → "&amp;$D$33&amp;" → MAT","longer"))),"no path")</f>
        <v>MKT → MAT</v>
      </c>
      <c r="D18" s="10" t="n">
        <f aca="false">IF(ISNUMBER(B18),CHOOSE(B18,Wiring!$D$6,Core!$D$6,Core!$D$17,Core!$D$28,Core!$D$39,Core!$D$50),0)</f>
        <v>1</v>
      </c>
    </row>
    <row r="19" customFormat="false" ht="15" hidden="false" customHeight="false" outlineLevel="0" collapsed="false">
      <c r="A19" s="2" t="s">
        <v>247</v>
      </c>
      <c r="B19" s="10" t="n">
        <f aca="false">$B$11</f>
        <v>2</v>
      </c>
      <c r="C19" s="2" t="str">
        <f aca="false">IF(ISNUMBER($B$11),IF($B$11=1,"MKT → ENG",IF($B$11=2,"MKT → "&amp;$G$33&amp;" → ENG",IF($B$11=3,"MKT → "&amp;INDEX($B$33:$H$33,MATCH($G$33,$B$25:$H$25,0))&amp;" → "&amp;$G$33&amp;" → ENG","longer"))),"no path")</f>
        <v>MKT → IND → ENG</v>
      </c>
      <c r="D19" s="10" t="n">
        <f aca="false">IF(ISNUMBER(B19),CHOOSE(B19,Wiring!$G$6,Core!$G$6,Core!$G$17,Core!$G$28,Core!$G$39,Core!$G$50),0)</f>
        <v>2</v>
      </c>
    </row>
    <row r="20" customFormat="false" ht="15" hidden="false" customHeight="false" outlineLevel="0" collapsed="false">
      <c r="A20" s="2" t="s">
        <v>248</v>
      </c>
      <c r="B20" s="10" t="n">
        <f aca="false">$B$12</f>
        <v>2</v>
      </c>
      <c r="C20" s="2" t="str">
        <f aca="false">IF(ISNUMBER($B$12),IF($B$12=1,"MKT → TRS",IF($B$12=2,"MKT → "&amp;$H$33&amp;" → TRS",IF($B$12=3,"MKT → "&amp;INDEX($B$33:$H$33,MATCH($H$33,$B$25:$H$25,0))&amp;" → "&amp;$H$33&amp;" → TRS","longer"))),"no path")</f>
        <v>MKT → IND → TRS</v>
      </c>
      <c r="D20" s="10" t="n">
        <f aca="false">IF(ISNUMBER(B20),CHOOSE(B20,Wiring!$H$6,Core!$H$6,Core!$H$17,Core!$H$28,Core!$H$39,Core!$H$50),0)</f>
        <v>3</v>
      </c>
    </row>
    <row r="21" customFormat="false" ht="15" hidden="false" customHeight="false" outlineLevel="0" collapsed="false">
      <c r="A21" s="2" t="s">
        <v>249</v>
      </c>
      <c r="B21" s="10" t="str">
        <f aca="false">$B$7</f>
        <v>never</v>
      </c>
      <c r="C21" s="2" t="str">
        <f aca="false">IF(ISNUMBER($B$7),IF($B$7=1,"MKT → GOV",IF($B$7=2,"MKT → "&amp;$C$33&amp;" → GOV",IF($B$7=3,"MKT → "&amp;INDEX($B$33:$H$33,MATCH($C$33,$B$25:$H$25,0))&amp;" → "&amp;$C$33&amp;" → GOV","longer"))),"no path")</f>
        <v>no path</v>
      </c>
      <c r="D21" s="10" t="n">
        <f aca="false">IF(ISNUMBER(B21),CHOOSE(B21,Wiring!$C$6,Core!$C$6,Core!$C$17,Core!$C$28,Core!$C$39,Core!$C$50),0)</f>
        <v>0</v>
      </c>
    </row>
    <row r="22" customFormat="false" ht="15" hidden="false" customHeight="false" outlineLevel="0" collapsed="false">
      <c r="A22" s="9" t="s">
        <v>250</v>
      </c>
    </row>
    <row r="24" customFormat="false" ht="15" hidden="false" customHeight="false" outlineLevel="0" collapsed="false">
      <c r="A24" s="4" t="s">
        <v>251</v>
      </c>
    </row>
    <row r="25" customFormat="false" ht="15" hidden="false" customHeight="false" outlineLevel="0" collapsed="false">
      <c r="A25" s="8" t="s">
        <v>97</v>
      </c>
      <c r="B25" s="8" t="s">
        <v>23</v>
      </c>
      <c r="C25" s="8" t="s">
        <v>28</v>
      </c>
      <c r="D25" s="8" t="s">
        <v>32</v>
      </c>
      <c r="E25" s="8" t="s">
        <v>37</v>
      </c>
      <c r="F25" s="8" t="s">
        <v>40</v>
      </c>
      <c r="G25" s="8" t="s">
        <v>42</v>
      </c>
      <c r="H25" s="8" t="s">
        <v>46</v>
      </c>
    </row>
    <row r="26" customFormat="false" ht="15" hidden="false" customHeight="false" outlineLevel="0" collapsed="false">
      <c r="A26" s="4" t="s">
        <v>37</v>
      </c>
      <c r="B26" s="10" t="n">
        <f aca="false">IF(AND(ISNUMBER($B$9),ISNUMBER($B$6)),IF(AND($B$9=$B$6-1,Wiring!$B$9=1),1,0),0)</f>
        <v>0</v>
      </c>
      <c r="C26" s="10" t="n">
        <f aca="false">IF(AND(ISNUMBER($B$9),ISNUMBER($B$7)),IF(AND($B$9=$B$7-1,Wiring!$C$9=1),1,0),0)</f>
        <v>0</v>
      </c>
      <c r="D26" s="10" t="n">
        <f aca="false">IF(AND(ISNUMBER($B$9),ISNUMBER($B$8)),IF(AND($B$9=$B$8-1,Wiring!$D$9=1),1,0),0)</f>
        <v>0</v>
      </c>
      <c r="E26" s="10" t="n">
        <f aca="false">IF(AND(ISNUMBER($B$9),ISNUMBER($B$9)),IF(AND($B$9=$B$9-1,Wiring!$E$9=1),1,0),0)</f>
        <v>0</v>
      </c>
      <c r="F26" s="10" t="n">
        <f aca="false">IF(AND(ISNUMBER($B$9),ISNUMBER($B$10)),IF(AND($B$9=$B$10-1,Wiring!$F$9=1),1,0),0)</f>
        <v>0</v>
      </c>
      <c r="G26" s="10" t="n">
        <f aca="false">IF(AND(ISNUMBER($B$9),ISNUMBER($B$11)),IF(AND($B$9=$B$11-1,Wiring!$G$9=1),1,0),0)</f>
        <v>1</v>
      </c>
      <c r="H26" s="10" t="n">
        <f aca="false">IF(AND(ISNUMBER($B$9),ISNUMBER($B$12)),IF(AND($B$9=$B$12-1,Wiring!$H$9=1),1,0),0)</f>
        <v>1</v>
      </c>
    </row>
    <row r="27" customFormat="false" ht="15" hidden="false" customHeight="false" outlineLevel="0" collapsed="false">
      <c r="A27" s="4" t="s">
        <v>40</v>
      </c>
      <c r="B27" s="10" t="n">
        <f aca="false">IF(AND(ISNUMBER($B$10),ISNUMBER($B$6)),IF(AND($B$10=$B$6-1,Wiring!$B$10=1),1,0),0)</f>
        <v>0</v>
      </c>
      <c r="C27" s="10" t="n">
        <f aca="false">IF(AND(ISNUMBER($B$10),ISNUMBER($B$7)),IF(AND($B$10=$B$7-1,Wiring!$C$10=1),1,0),0)</f>
        <v>0</v>
      </c>
      <c r="D27" s="10" t="n">
        <f aca="false">IF(AND(ISNUMBER($B$10),ISNUMBER($B$8)),IF(AND($B$10=$B$8-1,Wiring!$D$10=1),1,0),0)</f>
        <v>0</v>
      </c>
      <c r="E27" s="10" t="n">
        <f aca="false">IF(AND(ISNUMBER($B$10),ISNUMBER($B$9)),IF(AND($B$10=$B$9-1,Wiring!$E$10=1),1,0),0)</f>
        <v>0</v>
      </c>
      <c r="F27" s="10" t="n">
        <f aca="false">IF(AND(ISNUMBER($B$10),ISNUMBER($B$10)),IF(AND($B$10=$B$10-1,Wiring!$F$10=1),1,0),0)</f>
        <v>0</v>
      </c>
      <c r="G27" s="10" t="n">
        <f aca="false">IF(AND(ISNUMBER($B$10),ISNUMBER($B$11)),IF(AND($B$10=$B$11-1,Wiring!$G$10=1),1,0),0)</f>
        <v>1</v>
      </c>
      <c r="H27" s="10" t="n">
        <f aca="false">IF(AND(ISNUMBER($B$10),ISNUMBER($B$12)),IF(AND($B$10=$B$12-1,Wiring!$H$10=1),1,0),0)</f>
        <v>1</v>
      </c>
    </row>
    <row r="28" customFormat="false" ht="15" hidden="false" customHeight="false" outlineLevel="0" collapsed="false">
      <c r="A28" s="4" t="s">
        <v>32</v>
      </c>
      <c r="B28" s="10" t="n">
        <f aca="false">IF(AND(ISNUMBER($B$8),ISNUMBER($B$6)),IF(AND($B$8=$B$6-1,Wiring!$B$8=1),1,0),0)</f>
        <v>0</v>
      </c>
      <c r="C28" s="10" t="n">
        <f aca="false">IF(AND(ISNUMBER($B$8),ISNUMBER($B$7)),IF(AND($B$8=$B$7-1,Wiring!$C$8=1),1,0),0)</f>
        <v>0</v>
      </c>
      <c r="D28" s="10" t="n">
        <f aca="false">IF(AND(ISNUMBER($B$8),ISNUMBER($B$8)),IF(AND($B$8=$B$8-1,Wiring!$D$8=1),1,0),0)</f>
        <v>0</v>
      </c>
      <c r="E28" s="10" t="n">
        <f aca="false">IF(AND(ISNUMBER($B$8),ISNUMBER($B$9)),IF(AND($B$8=$B$9-1,Wiring!$E$8=1),1,0),0)</f>
        <v>0</v>
      </c>
      <c r="F28" s="10" t="n">
        <f aca="false">IF(AND(ISNUMBER($B$8),ISNUMBER($B$10)),IF(AND($B$8=$B$10-1,Wiring!$F$8=1),1,0),0)</f>
        <v>0</v>
      </c>
      <c r="G28" s="10" t="n">
        <f aca="false">IF(AND(ISNUMBER($B$8),ISNUMBER($B$11)),IF(AND($B$8=$B$11-1,Wiring!$G$8=1),1,0),0)</f>
        <v>0</v>
      </c>
      <c r="H28" s="10" t="n">
        <f aca="false">IF(AND(ISNUMBER($B$8),ISNUMBER($B$12)),IF(AND($B$8=$B$12-1,Wiring!$H$8=1),1,0),0)</f>
        <v>1</v>
      </c>
    </row>
    <row r="29" customFormat="false" ht="15" hidden="false" customHeight="false" outlineLevel="0" collapsed="false">
      <c r="A29" s="4" t="s">
        <v>42</v>
      </c>
      <c r="B29" s="10" t="n">
        <f aca="false">IF(AND(ISNUMBER($B$11),ISNUMBER($B$6)),IF(AND($B$11=$B$6-1,Wiring!$B$11=1),1,0),0)</f>
        <v>0</v>
      </c>
      <c r="C29" s="10" t="n">
        <f aca="false">IF(AND(ISNUMBER($B$11),ISNUMBER($B$7)),IF(AND($B$11=$B$7-1,Wiring!$C$11=1),1,0),0)</f>
        <v>0</v>
      </c>
      <c r="D29" s="10" t="n">
        <f aca="false">IF(AND(ISNUMBER($B$11),ISNUMBER($B$8)),IF(AND($B$11=$B$8-1,Wiring!$D$11=1),1,0),0)</f>
        <v>0</v>
      </c>
      <c r="E29" s="10" t="n">
        <f aca="false">IF(AND(ISNUMBER($B$11),ISNUMBER($B$9)),IF(AND($B$11=$B$9-1,Wiring!$E$11=1),1,0),0)</f>
        <v>0</v>
      </c>
      <c r="F29" s="10" t="n">
        <f aca="false">IF(AND(ISNUMBER($B$11),ISNUMBER($B$10)),IF(AND($B$11=$B$10-1,Wiring!$F$11=1),1,0),0)</f>
        <v>0</v>
      </c>
      <c r="G29" s="10" t="n">
        <f aca="false">IF(AND(ISNUMBER($B$11),ISNUMBER($B$11)),IF(AND($B$11=$B$11-1,Wiring!$G$11=1),1,0),0)</f>
        <v>0</v>
      </c>
      <c r="H29" s="10" t="n">
        <f aca="false">IF(AND(ISNUMBER($B$11),ISNUMBER($B$12)),IF(AND($B$11=$B$12-1,Wiring!$H$11=1),1,0),0)</f>
        <v>0</v>
      </c>
    </row>
    <row r="30" customFormat="false" ht="15" hidden="false" customHeight="false" outlineLevel="0" collapsed="false">
      <c r="A30" s="4" t="s">
        <v>46</v>
      </c>
      <c r="B30" s="10" t="n">
        <f aca="false">IF(AND(ISNUMBER($B$12),ISNUMBER($B$6)),IF(AND($B$12=$B$6-1,Wiring!$B$12=1),1,0),0)</f>
        <v>0</v>
      </c>
      <c r="C30" s="10" t="n">
        <f aca="false">IF(AND(ISNUMBER($B$12),ISNUMBER($B$7)),IF(AND($B$12=$B$7-1,Wiring!$C$12=1),1,0),0)</f>
        <v>0</v>
      </c>
      <c r="D30" s="10" t="n">
        <f aca="false">IF(AND(ISNUMBER($B$12),ISNUMBER($B$8)),IF(AND($B$12=$B$8-1,Wiring!$D$12=1),1,0),0)</f>
        <v>0</v>
      </c>
      <c r="E30" s="10" t="n">
        <f aca="false">IF(AND(ISNUMBER($B$12),ISNUMBER($B$9)),IF(AND($B$12=$B$9-1,Wiring!$E$12=1),1,0),0)</f>
        <v>0</v>
      </c>
      <c r="F30" s="10" t="n">
        <f aca="false">IF(AND(ISNUMBER($B$12),ISNUMBER($B$10)),IF(AND($B$12=$B$10-1,Wiring!$F$12=1),1,0),0)</f>
        <v>0</v>
      </c>
      <c r="G30" s="10" t="n">
        <f aca="false">IF(AND(ISNUMBER($B$12),ISNUMBER($B$11)),IF(AND($B$12=$B$11-1,Wiring!$G$12=1),1,0),0)</f>
        <v>0</v>
      </c>
      <c r="H30" s="10" t="n">
        <f aca="false">IF(AND(ISNUMBER($B$12),ISNUMBER($B$12)),IF(AND($B$12=$B$12-1,Wiring!$H$12=1),1,0),0)</f>
        <v>0</v>
      </c>
    </row>
    <row r="31" customFormat="false" ht="15" hidden="false" customHeight="false" outlineLevel="0" collapsed="false">
      <c r="A31" s="4" t="s">
        <v>23</v>
      </c>
      <c r="B31" s="10" t="n">
        <f aca="false">IF(AND(ISNUMBER($B$6),ISNUMBER($B$6)),IF(AND($B$6=$B$6-1,Wiring!$B$6=1),1,0),0)</f>
        <v>0</v>
      </c>
      <c r="C31" s="10" t="n">
        <f aca="false">IF(AND(ISNUMBER($B$6),ISNUMBER($B$7)),IF(AND($B$6=$B$7-1,Wiring!$C$6=1),1,0),0)</f>
        <v>0</v>
      </c>
      <c r="D31" s="10" t="n">
        <f aca="false">IF(AND(ISNUMBER($B$6),ISNUMBER($B$8)),IF(AND($B$6=$B$8-1,Wiring!$D$6=1),1,0),0)</f>
        <v>1</v>
      </c>
      <c r="E31" s="10" t="n">
        <f aca="false">IF(AND(ISNUMBER($B$6),ISNUMBER($B$9)),IF(AND($B$6=$B$9-1,Wiring!$E$6=1),1,0),0)</f>
        <v>1</v>
      </c>
      <c r="F31" s="10" t="n">
        <f aca="false">IF(AND(ISNUMBER($B$6),ISNUMBER($B$10)),IF(AND($B$6=$B$10-1,Wiring!$F$6=1),1,0),0)</f>
        <v>1</v>
      </c>
      <c r="G31" s="10" t="n">
        <f aca="false">IF(AND(ISNUMBER($B$6),ISNUMBER($B$11)),IF(AND($B$6=$B$11-1,Wiring!$G$6=1),1,0),0)</f>
        <v>0</v>
      </c>
      <c r="H31" s="10" t="n">
        <f aca="false">IF(AND(ISNUMBER($B$6),ISNUMBER($B$12)),IF(AND($B$6=$B$12-1,Wiring!$H$6=1),1,0),0)</f>
        <v>0</v>
      </c>
    </row>
    <row r="32" customFormat="false" ht="15" hidden="false" customHeight="false" outlineLevel="0" collapsed="false">
      <c r="A32" s="4" t="s">
        <v>28</v>
      </c>
      <c r="B32" s="10" t="n">
        <f aca="false">IF(AND(ISNUMBER($B$7),ISNUMBER($B$6)),IF(AND($B$7=$B$6-1,Wiring!$B$7=1),1,0),0)</f>
        <v>0</v>
      </c>
      <c r="C32" s="10" t="n">
        <f aca="false">IF(AND(ISNUMBER($B$7),ISNUMBER($B$7)),IF(AND($B$7=$B$7-1,Wiring!$C$7=1),1,0),0)</f>
        <v>0</v>
      </c>
      <c r="D32" s="10" t="n">
        <f aca="false">IF(AND(ISNUMBER($B$7),ISNUMBER($B$8)),IF(AND($B$7=$B$8-1,Wiring!$D$7=1),1,0),0)</f>
        <v>0</v>
      </c>
      <c r="E32" s="10" t="n">
        <f aca="false">IF(AND(ISNUMBER($B$7),ISNUMBER($B$9)),IF(AND($B$7=$B$9-1,Wiring!$E$7=1),1,0),0)</f>
        <v>0</v>
      </c>
      <c r="F32" s="10" t="n">
        <f aca="false">IF(AND(ISNUMBER($B$7),ISNUMBER($B$10)),IF(AND($B$7=$B$10-1,Wiring!$F$7=1),1,0),0)</f>
        <v>0</v>
      </c>
      <c r="G32" s="10" t="n">
        <f aca="false">IF(AND(ISNUMBER($B$7),ISNUMBER($B$11)),IF(AND($B$7=$B$11-1,Wiring!$G$7=1),1,0),0)</f>
        <v>0</v>
      </c>
      <c r="H32" s="10" t="n">
        <f aca="false">IF(AND(ISNUMBER($B$7),ISNUMBER($B$12)),IF(AND($B$7=$B$12-1,Wiring!$H$7=1),1,0),0)</f>
        <v>0</v>
      </c>
    </row>
    <row r="33" customFormat="false" ht="15" hidden="false" customHeight="false" outlineLevel="0" collapsed="false">
      <c r="A33" s="4" t="s">
        <v>252</v>
      </c>
      <c r="B33" s="2" t="str">
        <f aca="false">IFERROR(INDEX($A$26:$A$32,MATCH(1,B26:B32,0)),"")</f>
        <v/>
      </c>
      <c r="C33" s="2" t="str">
        <f aca="false">IFERROR(INDEX($A$26:$A$32,MATCH(1,C26:C32,0)),"")</f>
        <v/>
      </c>
      <c r="D33" s="2" t="str">
        <f aca="false">IFERROR(INDEX($A$26:$A$32,MATCH(1,D26:D32,0)),"")</f>
        <v>MKT</v>
      </c>
      <c r="E33" s="2" t="str">
        <f aca="false">IFERROR(INDEX($A$26:$A$32,MATCH(1,E26:E32,0)),"")</f>
        <v>MKT</v>
      </c>
      <c r="F33" s="2" t="str">
        <f aca="false">IFERROR(INDEX($A$26:$A$32,MATCH(1,F26:F32,0)),"")</f>
        <v>MKT</v>
      </c>
      <c r="G33" s="2" t="str">
        <f aca="false">IFERROR(INDEX($A$26:$A$32,MATCH(1,G26:G32,0)),"")</f>
        <v>IND</v>
      </c>
      <c r="H33" s="2" t="str">
        <f aca="false">IFERROR(INDEX($A$26:$A$32,MATCH(1,H26:H32,0)),"")</f>
        <v>IND</v>
      </c>
    </row>
    <row r="35" customFormat="false" ht="15" hidden="false" customHeight="false" outlineLevel="0" collapsed="false">
      <c r="A35" s="4" t="s">
        <v>253</v>
      </c>
    </row>
    <row r="36" customFormat="false" ht="15" hidden="false" customHeight="false" outlineLevel="0" collapsed="false">
      <c r="A36" s="8" t="s">
        <v>18</v>
      </c>
      <c r="B36" s="8" t="s">
        <v>254</v>
      </c>
      <c r="C36" s="8" t="s">
        <v>255</v>
      </c>
      <c r="D36" s="8" t="s">
        <v>256</v>
      </c>
      <c r="E36" s="8" t="s">
        <v>257</v>
      </c>
      <c r="F36" s="8" t="s">
        <v>258</v>
      </c>
    </row>
    <row r="37" customFormat="false" ht="15" hidden="false" customHeight="false" outlineLevel="0" collapsed="false">
      <c r="A37" s="4" t="s">
        <v>37</v>
      </c>
      <c r="B37" s="10" t="n">
        <f aca="false">IF(ISNUMBER($B$9),IF($B$9&lt;=0,1,0),0)</f>
        <v>0</v>
      </c>
      <c r="C37" s="10" t="n">
        <f aca="false">IF(ISNUMBER($B$9),IF($B$9&lt;=1,1,0),0)</f>
        <v>1</v>
      </c>
      <c r="D37" s="10" t="n">
        <f aca="false">IF(ISNUMBER($B$9),IF($B$9&lt;=2,1,0),0)</f>
        <v>1</v>
      </c>
      <c r="E37" s="10" t="n">
        <f aca="false">IF(ISNUMBER($B$9),IF($B$9&lt;=3,1,0),0)</f>
        <v>1</v>
      </c>
      <c r="F37" s="10" t="n">
        <f aca="false">IF(ISNUMBER($B$9),IF($B$9&lt;=4,1,0),0)</f>
        <v>1</v>
      </c>
    </row>
    <row r="38" customFormat="false" ht="15" hidden="false" customHeight="false" outlineLevel="0" collapsed="false">
      <c r="A38" s="4" t="s">
        <v>40</v>
      </c>
      <c r="B38" s="10" t="n">
        <f aca="false">IF(ISNUMBER($B$10),IF($B$10&lt;=0,1,0),0)</f>
        <v>0</v>
      </c>
      <c r="C38" s="10" t="n">
        <f aca="false">IF(ISNUMBER($B$10),IF($B$10&lt;=1,1,0),0)</f>
        <v>1</v>
      </c>
      <c r="D38" s="10" t="n">
        <f aca="false">IF(ISNUMBER($B$10),IF($B$10&lt;=2,1,0),0)</f>
        <v>1</v>
      </c>
      <c r="E38" s="10" t="n">
        <f aca="false">IF(ISNUMBER($B$10),IF($B$10&lt;=3,1,0),0)</f>
        <v>1</v>
      </c>
      <c r="F38" s="10" t="n">
        <f aca="false">IF(ISNUMBER($B$10),IF($B$10&lt;=4,1,0),0)</f>
        <v>1</v>
      </c>
    </row>
    <row r="39" customFormat="false" ht="15" hidden="false" customHeight="false" outlineLevel="0" collapsed="false">
      <c r="A39" s="4" t="s">
        <v>32</v>
      </c>
      <c r="B39" s="10" t="n">
        <f aca="false">IF(ISNUMBER($B$8),IF($B$8&lt;=0,1,0),0)</f>
        <v>0</v>
      </c>
      <c r="C39" s="10" t="n">
        <f aca="false">IF(ISNUMBER($B$8),IF($B$8&lt;=1,1,0),0)</f>
        <v>1</v>
      </c>
      <c r="D39" s="10" t="n">
        <f aca="false">IF(ISNUMBER($B$8),IF($B$8&lt;=2,1,0),0)</f>
        <v>1</v>
      </c>
      <c r="E39" s="10" t="n">
        <f aca="false">IF(ISNUMBER($B$8),IF($B$8&lt;=3,1,0),0)</f>
        <v>1</v>
      </c>
      <c r="F39" s="10" t="n">
        <f aca="false">IF(ISNUMBER($B$8),IF($B$8&lt;=4,1,0),0)</f>
        <v>1</v>
      </c>
    </row>
    <row r="40" customFormat="false" ht="15" hidden="false" customHeight="false" outlineLevel="0" collapsed="false">
      <c r="A40" s="4" t="s">
        <v>42</v>
      </c>
      <c r="B40" s="10" t="n">
        <f aca="false">IF(ISNUMBER($B$11),IF($B$11&lt;=0,1,0),0)</f>
        <v>0</v>
      </c>
      <c r="C40" s="10" t="n">
        <f aca="false">IF(ISNUMBER($B$11),IF($B$11&lt;=1,1,0),0)</f>
        <v>0</v>
      </c>
      <c r="D40" s="10" t="n">
        <f aca="false">IF(ISNUMBER($B$11),IF($B$11&lt;=2,1,0),0)</f>
        <v>1</v>
      </c>
      <c r="E40" s="10" t="n">
        <f aca="false">IF(ISNUMBER($B$11),IF($B$11&lt;=3,1,0),0)</f>
        <v>1</v>
      </c>
      <c r="F40" s="10" t="n">
        <f aca="false">IF(ISNUMBER($B$11),IF($B$11&lt;=4,1,0),0)</f>
        <v>1</v>
      </c>
    </row>
    <row r="41" customFormat="false" ht="15" hidden="false" customHeight="false" outlineLevel="0" collapsed="false">
      <c r="A41" s="4" t="s">
        <v>46</v>
      </c>
      <c r="B41" s="10" t="n">
        <f aca="false">IF(ISNUMBER($B$12),IF($B$12&lt;=0,1,0),0)</f>
        <v>0</v>
      </c>
      <c r="C41" s="10" t="n">
        <f aca="false">IF(ISNUMBER($B$12),IF($B$12&lt;=1,1,0),0)</f>
        <v>0</v>
      </c>
      <c r="D41" s="10" t="n">
        <f aca="false">IF(ISNUMBER($B$12),IF($B$12&lt;=2,1,0),0)</f>
        <v>1</v>
      </c>
      <c r="E41" s="10" t="n">
        <f aca="false">IF(ISNUMBER($B$12),IF($B$12&lt;=3,1,0),0)</f>
        <v>1</v>
      </c>
      <c r="F41" s="10" t="n">
        <f aca="false">IF(ISNUMBER($B$12),IF($B$12&lt;=4,1,0),0)</f>
        <v>1</v>
      </c>
    </row>
    <row r="42" customFormat="false" ht="15" hidden="false" customHeight="false" outlineLevel="0" collapsed="false">
      <c r="A42" s="4" t="s">
        <v>28</v>
      </c>
      <c r="B42" s="10" t="n">
        <f aca="false">IF(ISNUMBER($B$7),IF($B$7&lt;=0,1,0),0)</f>
        <v>0</v>
      </c>
      <c r="C42" s="10" t="n">
        <f aca="false">IF(ISNUMBER($B$7),IF($B$7&lt;=1,1,0),0)</f>
        <v>0</v>
      </c>
      <c r="D42" s="10" t="n">
        <f aca="false">IF(ISNUMBER($B$7),IF($B$7&lt;=2,1,0),0)</f>
        <v>0</v>
      </c>
      <c r="E42" s="10" t="n">
        <f aca="false">IF(ISNUMBER($B$7),IF($B$7&lt;=3,1,0),0)</f>
        <v>0</v>
      </c>
      <c r="F42" s="10" t="n">
        <f aca="false">IF(ISNUMBER($B$7),IF($B$7&lt;=4,1,0),0)</f>
        <v>0</v>
      </c>
    </row>
    <row r="43" customFormat="false" ht="15" hidden="false" customHeight="false" outlineLevel="0" collapsed="false">
      <c r="A43" s="4" t="s">
        <v>259</v>
      </c>
      <c r="B43" s="10" t="n">
        <f aca="false">SUM(B37:B42)</f>
        <v>0</v>
      </c>
      <c r="C43" s="10" t="n">
        <f aca="false">SUM(C37:C42)</f>
        <v>3</v>
      </c>
      <c r="D43" s="10" t="n">
        <f aca="false">SUM(D37:D42)</f>
        <v>5</v>
      </c>
      <c r="E43" s="10" t="n">
        <f aca="false">SUM(E37:E42)</f>
        <v>5</v>
      </c>
      <c r="F43" s="10" t="n">
        <f aca="false">SUM(F37:F42)</f>
        <v>5</v>
      </c>
    </row>
    <row r="46" customFormat="false" ht="35.05" hidden="false" customHeight="false" outlineLevel="0" collapsed="false">
      <c r="A46" s="8" t="s">
        <v>260</v>
      </c>
      <c r="B46" s="8" t="s">
        <v>261</v>
      </c>
    </row>
    <row r="47" customFormat="false" ht="15" hidden="false" customHeight="false" outlineLevel="0" collapsed="false">
      <c r="A47" s="10" t="n">
        <v>1</v>
      </c>
      <c r="B47" s="10" t="n">
        <f aca="false">Wiring!$H$6</f>
        <v>0</v>
      </c>
    </row>
    <row r="48" customFormat="false" ht="15" hidden="false" customHeight="false" outlineLevel="0" collapsed="false">
      <c r="A48" s="10" t="n">
        <v>2</v>
      </c>
      <c r="B48" s="10" t="n">
        <f aca="false">Core!$H$6</f>
        <v>3</v>
      </c>
    </row>
    <row r="49" customFormat="false" ht="15" hidden="false" customHeight="false" outlineLevel="0" collapsed="false">
      <c r="A49" s="10" t="n">
        <v>3</v>
      </c>
      <c r="B49" s="10" t="n">
        <f aca="false">Core!$H$17</f>
        <v>0</v>
      </c>
    </row>
    <row r="50" customFormat="false" ht="15" hidden="false" customHeight="false" outlineLevel="0" collapsed="false">
      <c r="A50" s="10" t="n">
        <v>4</v>
      </c>
      <c r="B50" s="10" t="n">
        <f aca="false">Core!$H$28</f>
        <v>10</v>
      </c>
    </row>
    <row r="51" customFormat="false" ht="15" hidden="false" customHeight="false" outlineLevel="0" collapsed="false">
      <c r="A51" s="10" t="n">
        <v>5</v>
      </c>
      <c r="B51" s="10" t="n">
        <f aca="false">Core!$H$39</f>
        <v>0</v>
      </c>
    </row>
    <row r="52" customFormat="false" ht="15" hidden="false" customHeight="false" outlineLevel="0" collapsed="false">
      <c r="A52" s="10" t="n">
        <v>6</v>
      </c>
      <c r="B52" s="10" t="n">
        <f aca="false">Core!$H$50</f>
        <v>40</v>
      </c>
    </row>
    <row r="53" customFormat="false" ht="15" hidden="false" customHeight="false" outlineLevel="0" collapsed="false">
      <c r="A53" s="10" t="n">
        <v>7</v>
      </c>
      <c r="B53" s="10" t="n">
        <f aca="false">Core!$H$61</f>
        <v>0</v>
      </c>
    </row>
    <row r="54" customFormat="false" ht="15" hidden="false" customHeight="false" outlineLevel="0" collapsed="false">
      <c r="A54" s="10" t="n">
        <v>8</v>
      </c>
      <c r="B54" s="10" t="n">
        <f aca="false">Core!$H$72</f>
        <v>160</v>
      </c>
    </row>
    <row r="57" customFormat="false" ht="15" hidden="false" customHeight="false" outlineLevel="0" collapsed="false">
      <c r="A57" s="4" t="s">
        <v>262</v>
      </c>
    </row>
    <row r="58" customFormat="false" ht="23.85" hidden="false" customHeight="false" outlineLevel="0" collapsed="false">
      <c r="A58" s="8" t="s">
        <v>51</v>
      </c>
      <c r="B58" s="8" t="s">
        <v>52</v>
      </c>
      <c r="C58" s="8" t="s">
        <v>263</v>
      </c>
      <c r="D58" s="8" t="s">
        <v>264</v>
      </c>
      <c r="E58" s="8" t="s">
        <v>265</v>
      </c>
    </row>
    <row r="59" customFormat="false" ht="15" hidden="false" customHeight="false" outlineLevel="0" collapsed="false">
      <c r="A59" s="7" t="str">
        <f aca="false">Declarations!B13</f>
        <v>MKT</v>
      </c>
      <c r="B59" s="7" t="str">
        <f aca="false">Declarations!C13</f>
        <v>IND</v>
      </c>
      <c r="C59" s="16" t="n">
        <v>0.661156778315858</v>
      </c>
      <c r="D59" s="11" t="n">
        <v>1</v>
      </c>
      <c r="E59" s="17" t="n">
        <f aca="false">C59*D59</f>
        <v>0.661156778315858</v>
      </c>
    </row>
    <row r="60" customFormat="false" ht="15" hidden="false" customHeight="false" outlineLevel="0" collapsed="false">
      <c r="A60" s="7" t="str">
        <f aca="false">Declarations!B14</f>
        <v>MKT</v>
      </c>
      <c r="B60" s="7" t="str">
        <f aca="false">Declarations!C14</f>
        <v>DIG</v>
      </c>
      <c r="C60" s="16" t="n">
        <v>0.535202498284691</v>
      </c>
      <c r="D60" s="11" t="n">
        <v>1</v>
      </c>
      <c r="E60" s="17" t="n">
        <f aca="false">C60*D60</f>
        <v>0.535202498284691</v>
      </c>
    </row>
    <row r="61" customFormat="false" ht="15" hidden="false" customHeight="false" outlineLevel="0" collapsed="false">
      <c r="A61" s="7" t="str">
        <f aca="false">Declarations!B15</f>
        <v>MKT</v>
      </c>
      <c r="B61" s="7" t="str">
        <f aca="false">Declarations!C15</f>
        <v>MAT</v>
      </c>
      <c r="C61" s="16" t="n">
        <v>0.54219262430218</v>
      </c>
      <c r="D61" s="11" t="n">
        <v>1</v>
      </c>
      <c r="E61" s="17" t="n">
        <f aca="false">C61*D61</f>
        <v>0.54219262430218</v>
      </c>
    </row>
    <row r="62" customFormat="false" ht="15" hidden="false" customHeight="false" outlineLevel="0" collapsed="false">
      <c r="A62" s="7" t="str">
        <f aca="false">Declarations!B16</f>
        <v>IND</v>
      </c>
      <c r="B62" s="7" t="str">
        <f aca="false">Declarations!C16</f>
        <v>TRS</v>
      </c>
      <c r="C62" s="16" t="n">
        <v>0.495228240788797</v>
      </c>
      <c r="D62" s="11" t="n">
        <v>1</v>
      </c>
      <c r="E62" s="17" t="n">
        <f aca="false">C62*D62</f>
        <v>0.495228240788797</v>
      </c>
    </row>
    <row r="63" customFormat="false" ht="15" hidden="false" customHeight="false" outlineLevel="0" collapsed="false">
      <c r="A63" s="7" t="str">
        <f aca="false">Declarations!B17</f>
        <v>DIG</v>
      </c>
      <c r="B63" s="7" t="str">
        <f aca="false">Declarations!C17</f>
        <v>TRS</v>
      </c>
      <c r="C63" s="16" t="n">
        <v>0.217327494318718</v>
      </c>
      <c r="D63" s="11" t="n">
        <v>1</v>
      </c>
      <c r="E63" s="17" t="n">
        <f aca="false">C63*D63</f>
        <v>0.217327494318718</v>
      </c>
    </row>
    <row r="64" customFormat="false" ht="15" hidden="false" customHeight="false" outlineLevel="0" collapsed="false">
      <c r="A64" s="7" t="str">
        <f aca="false">Declarations!B18</f>
        <v>MAT</v>
      </c>
      <c r="B64" s="7" t="str">
        <f aca="false">Declarations!C18</f>
        <v>TRS</v>
      </c>
      <c r="C64" s="16" t="n">
        <v>0.374939183613211</v>
      </c>
      <c r="D64" s="11" t="n">
        <v>1</v>
      </c>
      <c r="E64" s="17" t="n">
        <f aca="false">C64*D64</f>
        <v>0.374939183613211</v>
      </c>
    </row>
    <row r="65" customFormat="false" ht="15" hidden="false" customHeight="false" outlineLevel="0" collapsed="false">
      <c r="A65" s="7" t="str">
        <f aca="false">Declarations!B19</f>
        <v>TRS</v>
      </c>
      <c r="B65" s="7" t="str">
        <f aca="false">Declarations!C19</f>
        <v>IND</v>
      </c>
      <c r="C65" s="16" t="n">
        <v>0.787340206480304</v>
      </c>
      <c r="D65" s="11" t="n">
        <v>1</v>
      </c>
      <c r="E65" s="17" t="n">
        <f aca="false">C65*D65</f>
        <v>0.787340206480304</v>
      </c>
    </row>
    <row r="66" customFormat="false" ht="15" hidden="false" customHeight="false" outlineLevel="0" collapsed="false">
      <c r="A66" s="7" t="str">
        <f aca="false">Declarations!B20</f>
        <v>TRS</v>
      </c>
      <c r="B66" s="7" t="str">
        <f aca="false">Declarations!C20</f>
        <v>DIG</v>
      </c>
      <c r="C66" s="16" t="n">
        <v>0.322902348980902</v>
      </c>
      <c r="D66" s="11" t="n">
        <v>1</v>
      </c>
      <c r="E66" s="17" t="n">
        <f aca="false">C66*D66</f>
        <v>0.322902348980902</v>
      </c>
    </row>
    <row r="67" customFormat="false" ht="15" hidden="false" customHeight="false" outlineLevel="0" collapsed="false">
      <c r="A67" s="7" t="str">
        <f aca="false">Declarations!B21</f>
        <v>ENG</v>
      </c>
      <c r="B67" s="7" t="str">
        <f aca="false">Declarations!C21</f>
        <v>IND</v>
      </c>
      <c r="C67" s="16" t="n">
        <v>0.548504031235293</v>
      </c>
      <c r="D67" s="11" t="n">
        <v>1</v>
      </c>
      <c r="E67" s="17" t="n">
        <f aca="false">C67*D67</f>
        <v>0.548504031235293</v>
      </c>
    </row>
    <row r="68" customFormat="false" ht="15" hidden="false" customHeight="false" outlineLevel="0" collapsed="false">
      <c r="A68" s="7" t="str">
        <f aca="false">Declarations!B22</f>
        <v>IND</v>
      </c>
      <c r="B68" s="7" t="str">
        <f aca="false">Declarations!C22</f>
        <v>ENG</v>
      </c>
      <c r="C68" s="16" t="n">
        <v>0.522523910165677</v>
      </c>
      <c r="D68" s="11" t="n">
        <v>1</v>
      </c>
      <c r="E68" s="17" t="n">
        <f aca="false">C68*D68</f>
        <v>0.522523910165677</v>
      </c>
    </row>
    <row r="69" customFormat="false" ht="15" hidden="false" customHeight="false" outlineLevel="0" collapsed="false">
      <c r="A69" s="7" t="str">
        <f aca="false">Declarations!B23</f>
        <v>ENG</v>
      </c>
      <c r="B69" s="7" t="str">
        <f aca="false">Declarations!C23</f>
        <v>DIG</v>
      </c>
      <c r="C69" s="16" t="n">
        <v>0.416981855438183</v>
      </c>
      <c r="D69" s="11" t="n">
        <v>1</v>
      </c>
      <c r="E69" s="17" t="n">
        <f aca="false">C69*D69</f>
        <v>0.416981855438183</v>
      </c>
    </row>
    <row r="70" customFormat="false" ht="15" hidden="false" customHeight="false" outlineLevel="0" collapsed="false">
      <c r="A70" s="7" t="str">
        <f aca="false">Declarations!B24</f>
        <v>DIG</v>
      </c>
      <c r="B70" s="7" t="str">
        <f aca="false">Declarations!C24</f>
        <v>ENG</v>
      </c>
      <c r="C70" s="16" t="n">
        <v>0.558951282887092</v>
      </c>
      <c r="D70" s="11" t="n">
        <v>1</v>
      </c>
      <c r="E70" s="17" t="n">
        <f aca="false">C70*D70</f>
        <v>0.558951282887092</v>
      </c>
    </row>
    <row r="71" customFormat="false" ht="15" hidden="false" customHeight="false" outlineLevel="0" collapsed="false">
      <c r="A71" s="7" t="str">
        <f aca="false">Declarations!B25</f>
        <v>GOV</v>
      </c>
      <c r="B71" s="7" t="str">
        <f aca="false">Declarations!C25</f>
        <v>TRS</v>
      </c>
      <c r="C71" s="16" t="n">
        <v>0.747361675982684</v>
      </c>
      <c r="D71" s="11" t="n">
        <v>1</v>
      </c>
      <c r="E71" s="17" t="n">
        <f aca="false">C71*D71</f>
        <v>0.747361675982684</v>
      </c>
    </row>
    <row r="72" customFormat="false" ht="15" hidden="false" customHeight="false" outlineLevel="0" collapsed="false">
      <c r="A72" s="7" t="str">
        <f aca="false">Declarations!B26</f>
        <v>GOV</v>
      </c>
      <c r="B72" s="7" t="str">
        <f aca="false">Declarations!C26</f>
        <v>DIG</v>
      </c>
      <c r="C72" s="16" t="n">
        <v>0.21343420423946</v>
      </c>
      <c r="D72" s="11" t="n">
        <v>1</v>
      </c>
      <c r="E72" s="17" t="n">
        <f aca="false">C72*D72</f>
        <v>0.21343420423946</v>
      </c>
    </row>
    <row r="75" customFormat="false" ht="23.85" hidden="false" customHeight="false" outlineLevel="0" collapsed="false">
      <c r="A75" s="8" t="s">
        <v>18</v>
      </c>
      <c r="B75" s="8" t="s">
        <v>266</v>
      </c>
    </row>
    <row r="76" customFormat="false" ht="15" hidden="false" customHeight="false" outlineLevel="0" collapsed="false">
      <c r="A76" s="4" t="s">
        <v>23</v>
      </c>
      <c r="B76" s="16" t="n">
        <v>0.662338245259996</v>
      </c>
    </row>
    <row r="77" customFormat="false" ht="15" hidden="false" customHeight="false" outlineLevel="0" collapsed="false">
      <c r="A77" s="4" t="s">
        <v>28</v>
      </c>
      <c r="B77" s="16" t="n">
        <v>0.776192570615602</v>
      </c>
    </row>
    <row r="78" customFormat="false" ht="15" hidden="false" customHeight="false" outlineLevel="0" collapsed="false">
      <c r="A78" s="4" t="s">
        <v>32</v>
      </c>
      <c r="B78" s="16" t="n">
        <v>0.308139322382801</v>
      </c>
    </row>
    <row r="79" customFormat="false" ht="15" hidden="false" customHeight="false" outlineLevel="0" collapsed="false">
      <c r="A79" s="4" t="s">
        <v>37</v>
      </c>
      <c r="B79" s="16" t="n">
        <v>0.79486230561405</v>
      </c>
    </row>
    <row r="80" customFormat="false" ht="15" hidden="false" customHeight="false" outlineLevel="0" collapsed="false">
      <c r="A80" s="4" t="s">
        <v>40</v>
      </c>
      <c r="B80" s="16" t="n">
        <v>0.730117334326332</v>
      </c>
    </row>
    <row r="81" customFormat="false" ht="15" hidden="false" customHeight="false" outlineLevel="0" collapsed="false">
      <c r="A81" s="4" t="s">
        <v>42</v>
      </c>
      <c r="B81" s="16" t="n">
        <v>0.479248674539974</v>
      </c>
    </row>
    <row r="82" customFormat="false" ht="15" hidden="false" customHeight="false" outlineLevel="0" collapsed="false">
      <c r="A82" s="4" t="s">
        <v>46</v>
      </c>
      <c r="B82" s="16" t="n">
        <v>0.412090356960335</v>
      </c>
    </row>
    <row r="85" customFormat="false" ht="15" hidden="false" customHeight="false" outlineLevel="0" collapsed="false">
      <c r="A85" s="4" t="s">
        <v>267</v>
      </c>
    </row>
    <row r="86" customFormat="false" ht="15" hidden="false" customHeight="false" outlineLevel="0" collapsed="false">
      <c r="A86" s="8" t="s">
        <v>268</v>
      </c>
      <c r="B86" s="8" t="s">
        <v>23</v>
      </c>
      <c r="C86" s="8" t="s">
        <v>28</v>
      </c>
      <c r="D86" s="8" t="s">
        <v>32</v>
      </c>
      <c r="E86" s="8" t="s">
        <v>37</v>
      </c>
      <c r="F86" s="8" t="s">
        <v>40</v>
      </c>
      <c r="G86" s="8" t="s">
        <v>42</v>
      </c>
      <c r="H86" s="8" t="s">
        <v>46</v>
      </c>
    </row>
    <row r="87" customFormat="false" ht="15" hidden="false" customHeight="false" outlineLevel="0" collapsed="false">
      <c r="A87" s="4" t="s">
        <v>23</v>
      </c>
      <c r="B87" s="17" t="n">
        <f aca="false">$B$76</f>
        <v>0.662338245259996</v>
      </c>
      <c r="C87" s="17" t="n">
        <f aca="false">SUMIFS($E$59:$E$72,$A$59:$A$72,C$86,$B$59:$B$72,$A87)</f>
        <v>0</v>
      </c>
      <c r="D87" s="17" t="n">
        <f aca="false">SUMIFS($E$59:$E$72,$A$59:$A$72,D$86,$B$59:$B$72,$A87)</f>
        <v>0</v>
      </c>
      <c r="E87" s="17" t="n">
        <f aca="false">SUMIFS($E$59:$E$72,$A$59:$A$72,E$86,$B$59:$B$72,$A87)</f>
        <v>0</v>
      </c>
      <c r="F87" s="17" t="n">
        <f aca="false">SUMIFS($E$59:$E$72,$A$59:$A$72,F$86,$B$59:$B$72,$A87)</f>
        <v>0</v>
      </c>
      <c r="G87" s="17" t="n">
        <f aca="false">SUMIFS($E$59:$E$72,$A$59:$A$72,G$86,$B$59:$B$72,$A87)</f>
        <v>0</v>
      </c>
      <c r="H87" s="17" t="n">
        <f aca="false">SUMIFS($E$59:$E$72,$A$59:$A$72,H$86,$B$59:$B$72,$A87)</f>
        <v>0</v>
      </c>
    </row>
    <row r="88" customFormat="false" ht="15" hidden="false" customHeight="false" outlineLevel="0" collapsed="false">
      <c r="A88" s="4" t="s">
        <v>28</v>
      </c>
      <c r="B88" s="17" t="n">
        <f aca="false">SUMIFS($E$59:$E$72,$A$59:$A$72,B$86,$B$59:$B$72,$A88)</f>
        <v>0</v>
      </c>
      <c r="C88" s="17" t="n">
        <f aca="false">$B$77</f>
        <v>0.776192570615602</v>
      </c>
      <c r="D88" s="17" t="n">
        <f aca="false">SUMIFS($E$59:$E$72,$A$59:$A$72,D$86,$B$59:$B$72,$A88)</f>
        <v>0</v>
      </c>
      <c r="E88" s="17" t="n">
        <f aca="false">SUMIFS($E$59:$E$72,$A$59:$A$72,E$86,$B$59:$B$72,$A88)</f>
        <v>0</v>
      </c>
      <c r="F88" s="17" t="n">
        <f aca="false">SUMIFS($E$59:$E$72,$A$59:$A$72,F$86,$B$59:$B$72,$A88)</f>
        <v>0</v>
      </c>
      <c r="G88" s="17" t="n">
        <f aca="false">SUMIFS($E$59:$E$72,$A$59:$A$72,G$86,$B$59:$B$72,$A88)</f>
        <v>0</v>
      </c>
      <c r="H88" s="17" t="n">
        <f aca="false">SUMIFS($E$59:$E$72,$A$59:$A$72,H$86,$B$59:$B$72,$A88)</f>
        <v>0</v>
      </c>
    </row>
    <row r="89" customFormat="false" ht="15" hidden="false" customHeight="false" outlineLevel="0" collapsed="false">
      <c r="A89" s="4" t="s">
        <v>32</v>
      </c>
      <c r="B89" s="17" t="n">
        <f aca="false">SUMIFS($E$59:$E$72,$A$59:$A$72,B$86,$B$59:$B$72,$A89)</f>
        <v>0.54219262430218</v>
      </c>
      <c r="C89" s="17" t="n">
        <f aca="false">SUMIFS($E$59:$E$72,$A$59:$A$72,C$86,$B$59:$B$72,$A89)</f>
        <v>0</v>
      </c>
      <c r="D89" s="17" t="n">
        <f aca="false">$B$78</f>
        <v>0.308139322382801</v>
      </c>
      <c r="E89" s="17" t="n">
        <f aca="false">SUMIFS($E$59:$E$72,$A$59:$A$72,E$86,$B$59:$B$72,$A89)</f>
        <v>0</v>
      </c>
      <c r="F89" s="17" t="n">
        <f aca="false">SUMIFS($E$59:$E$72,$A$59:$A$72,F$86,$B$59:$B$72,$A89)</f>
        <v>0</v>
      </c>
      <c r="G89" s="17" t="n">
        <f aca="false">SUMIFS($E$59:$E$72,$A$59:$A$72,G$86,$B$59:$B$72,$A89)</f>
        <v>0</v>
      </c>
      <c r="H89" s="17" t="n">
        <f aca="false">SUMIFS($E$59:$E$72,$A$59:$A$72,H$86,$B$59:$B$72,$A89)</f>
        <v>0</v>
      </c>
    </row>
    <row r="90" customFormat="false" ht="15" hidden="false" customHeight="false" outlineLevel="0" collapsed="false">
      <c r="A90" s="4" t="s">
        <v>37</v>
      </c>
      <c r="B90" s="17" t="n">
        <f aca="false">SUMIFS($E$59:$E$72,$A$59:$A$72,B$86,$B$59:$B$72,$A90)</f>
        <v>0.661156778315858</v>
      </c>
      <c r="C90" s="17" t="n">
        <f aca="false">SUMIFS($E$59:$E$72,$A$59:$A$72,C$86,$B$59:$B$72,$A90)</f>
        <v>0</v>
      </c>
      <c r="D90" s="17" t="n">
        <f aca="false">SUMIFS($E$59:$E$72,$A$59:$A$72,D$86,$B$59:$B$72,$A90)</f>
        <v>0</v>
      </c>
      <c r="E90" s="17" t="n">
        <f aca="false">$B$79</f>
        <v>0.79486230561405</v>
      </c>
      <c r="F90" s="17" t="n">
        <f aca="false">SUMIFS($E$59:$E$72,$A$59:$A$72,F$86,$B$59:$B$72,$A90)</f>
        <v>0</v>
      </c>
      <c r="G90" s="17" t="n">
        <f aca="false">SUMIFS($E$59:$E$72,$A$59:$A$72,G$86,$B$59:$B$72,$A90)</f>
        <v>0.548504031235293</v>
      </c>
      <c r="H90" s="17" t="n">
        <f aca="false">SUMIFS($E$59:$E$72,$A$59:$A$72,H$86,$B$59:$B$72,$A90)</f>
        <v>0.787340206480304</v>
      </c>
    </row>
    <row r="91" customFormat="false" ht="15" hidden="false" customHeight="false" outlineLevel="0" collapsed="false">
      <c r="A91" s="4" t="s">
        <v>40</v>
      </c>
      <c r="B91" s="17" t="n">
        <f aca="false">SUMIFS($E$59:$E$72,$A$59:$A$72,B$86,$B$59:$B$72,$A91)</f>
        <v>0.535202498284691</v>
      </c>
      <c r="C91" s="17" t="n">
        <f aca="false">SUMIFS($E$59:$E$72,$A$59:$A$72,C$86,$B$59:$B$72,$A91)</f>
        <v>0.21343420423946</v>
      </c>
      <c r="D91" s="17" t="n">
        <f aca="false">SUMIFS($E$59:$E$72,$A$59:$A$72,D$86,$B$59:$B$72,$A91)</f>
        <v>0</v>
      </c>
      <c r="E91" s="17" t="n">
        <f aca="false">SUMIFS($E$59:$E$72,$A$59:$A$72,E$86,$B$59:$B$72,$A91)</f>
        <v>0</v>
      </c>
      <c r="F91" s="17" t="n">
        <f aca="false">$B$80</f>
        <v>0.730117334326332</v>
      </c>
      <c r="G91" s="17" t="n">
        <f aca="false">SUMIFS($E$59:$E$72,$A$59:$A$72,G$86,$B$59:$B$72,$A91)</f>
        <v>0.416981855438183</v>
      </c>
      <c r="H91" s="17" t="n">
        <f aca="false">SUMIFS($E$59:$E$72,$A$59:$A$72,H$86,$B$59:$B$72,$A91)</f>
        <v>0.322902348980902</v>
      </c>
    </row>
    <row r="92" customFormat="false" ht="15" hidden="false" customHeight="false" outlineLevel="0" collapsed="false">
      <c r="A92" s="4" t="s">
        <v>42</v>
      </c>
      <c r="B92" s="17" t="n">
        <f aca="false">SUMIFS($E$59:$E$72,$A$59:$A$72,B$86,$B$59:$B$72,$A92)</f>
        <v>0</v>
      </c>
      <c r="C92" s="17" t="n">
        <f aca="false">SUMIFS($E$59:$E$72,$A$59:$A$72,C$86,$B$59:$B$72,$A92)</f>
        <v>0</v>
      </c>
      <c r="D92" s="17" t="n">
        <f aca="false">SUMIFS($E$59:$E$72,$A$59:$A$72,D$86,$B$59:$B$72,$A92)</f>
        <v>0</v>
      </c>
      <c r="E92" s="17" t="n">
        <f aca="false">SUMIFS($E$59:$E$72,$A$59:$A$72,E$86,$B$59:$B$72,$A92)</f>
        <v>0.522523910165677</v>
      </c>
      <c r="F92" s="17" t="n">
        <f aca="false">SUMIFS($E$59:$E$72,$A$59:$A$72,F$86,$B$59:$B$72,$A92)</f>
        <v>0.558951282887092</v>
      </c>
      <c r="G92" s="17" t="n">
        <f aca="false">$B$81</f>
        <v>0.479248674539974</v>
      </c>
      <c r="H92" s="17" t="n">
        <f aca="false">SUMIFS($E$59:$E$72,$A$59:$A$72,H$86,$B$59:$B$72,$A92)</f>
        <v>0</v>
      </c>
    </row>
    <row r="93" customFormat="false" ht="15" hidden="false" customHeight="false" outlineLevel="0" collapsed="false">
      <c r="A93" s="4" t="s">
        <v>46</v>
      </c>
      <c r="B93" s="17" t="n">
        <f aca="false">SUMIFS($E$59:$E$72,$A$59:$A$72,B$86,$B$59:$B$72,$A93)</f>
        <v>0</v>
      </c>
      <c r="C93" s="17" t="n">
        <f aca="false">SUMIFS($E$59:$E$72,$A$59:$A$72,C$86,$B$59:$B$72,$A93)</f>
        <v>0.747361675982684</v>
      </c>
      <c r="D93" s="17" t="n">
        <f aca="false">SUMIFS($E$59:$E$72,$A$59:$A$72,D$86,$B$59:$B$72,$A93)</f>
        <v>0.374939183613211</v>
      </c>
      <c r="E93" s="17" t="n">
        <f aca="false">SUMIFS($E$59:$E$72,$A$59:$A$72,E$86,$B$59:$B$72,$A93)</f>
        <v>0.495228240788797</v>
      </c>
      <c r="F93" s="17" t="n">
        <f aca="false">SUMIFS($E$59:$E$72,$A$59:$A$72,F$86,$B$59:$B$72,$A93)</f>
        <v>0.217327494318718</v>
      </c>
      <c r="G93" s="17" t="n">
        <f aca="false">SUMIFS($E$59:$E$72,$A$59:$A$72,G$86,$B$59:$B$72,$A93)</f>
        <v>0</v>
      </c>
      <c r="H93" s="17" t="n">
        <f aca="false">$B$82</f>
        <v>0.412090356960335</v>
      </c>
    </row>
    <row r="95" customFormat="false" ht="15" hidden="false" customHeight="false" outlineLevel="0" collapsed="false">
      <c r="A95" s="4" t="s">
        <v>269</v>
      </c>
    </row>
    <row r="97" customFormat="false" ht="15" hidden="false" customHeight="false" outlineLevel="0" collapsed="false">
      <c r="A97" s="8" t="s">
        <v>192</v>
      </c>
      <c r="B97" s="8" t="s">
        <v>23</v>
      </c>
      <c r="C97" s="8" t="s">
        <v>28</v>
      </c>
      <c r="D97" s="8" t="s">
        <v>32</v>
      </c>
      <c r="E97" s="8" t="s">
        <v>37</v>
      </c>
      <c r="F97" s="8" t="s">
        <v>40</v>
      </c>
      <c r="G97" s="8" t="s">
        <v>42</v>
      </c>
      <c r="H97" s="8" t="s">
        <v>46</v>
      </c>
    </row>
    <row r="98" customFormat="false" ht="15" hidden="false" customHeight="false" outlineLevel="0" collapsed="false">
      <c r="A98" s="10" t="n">
        <v>0</v>
      </c>
      <c r="B98" s="17" t="n">
        <f aca="false">IF(B$97="MKT",1,0)</f>
        <v>1</v>
      </c>
      <c r="C98" s="17" t="n">
        <f aca="false">IF(C$97="MKT",1,0)</f>
        <v>0</v>
      </c>
      <c r="D98" s="17" t="n">
        <f aca="false">IF(D$97="MKT",1,0)</f>
        <v>0</v>
      </c>
      <c r="E98" s="17" t="n">
        <f aca="false">IF(E$97="MKT",1,0)</f>
        <v>0</v>
      </c>
      <c r="F98" s="17" t="n">
        <f aca="false">IF(F$97="MKT",1,0)</f>
        <v>0</v>
      </c>
      <c r="G98" s="17" t="n">
        <f aca="false">IF(G$97="MKT",1,0)</f>
        <v>0</v>
      </c>
      <c r="H98" s="17" t="n">
        <f aca="false">IF(H$97="MKT",1,0)</f>
        <v>0</v>
      </c>
    </row>
    <row r="99" customFormat="false" ht="15" hidden="false" customHeight="false" outlineLevel="0" collapsed="false">
      <c r="A99" s="10" t="n">
        <v>1</v>
      </c>
      <c r="B99" s="17" t="n">
        <f aca="false">SUMPRODUCT($B$87:$H$87,$B$98:$H$98)</f>
        <v>0.662338245259996</v>
      </c>
      <c r="C99" s="17" t="n">
        <f aca="false">SUMPRODUCT($B$88:$H$88,$B$98:$H$98)</f>
        <v>0</v>
      </c>
      <c r="D99" s="17" t="n">
        <f aca="false">SUMPRODUCT($B$89:$H$89,$B$98:$H$98)</f>
        <v>0.54219262430218</v>
      </c>
      <c r="E99" s="17" t="n">
        <f aca="false">SUMPRODUCT($B$90:$H$90,$B$98:$H$98)</f>
        <v>0.661156778315858</v>
      </c>
      <c r="F99" s="17" t="n">
        <f aca="false">SUMPRODUCT($B$91:$H$91,$B$98:$H$98)</f>
        <v>0.535202498284691</v>
      </c>
      <c r="G99" s="17" t="n">
        <f aca="false">SUMPRODUCT($B$92:$H$92,$B$98:$H$98)</f>
        <v>0</v>
      </c>
      <c r="H99" s="17" t="n">
        <f aca="false">SUMPRODUCT($B$93:$H$93,$B$98:$H$98)</f>
        <v>0</v>
      </c>
    </row>
    <row r="100" customFormat="false" ht="15" hidden="false" customHeight="false" outlineLevel="0" collapsed="false">
      <c r="A100" s="10" t="n">
        <v>2</v>
      </c>
      <c r="B100" s="17" t="n">
        <f aca="false">SUMPRODUCT($B$87:$H$87,$B$99:$H$99)</f>
        <v>0.438691951134091</v>
      </c>
      <c r="C100" s="17" t="n">
        <f aca="false">SUMPRODUCT($B$88:$H$88,$B$99:$H$99)</f>
        <v>0</v>
      </c>
      <c r="D100" s="17" t="n">
        <f aca="false">SUMPRODUCT($B$89:$H$89,$B$99:$H$99)</f>
        <v>0.526185779226645</v>
      </c>
      <c r="E100" s="17" t="n">
        <f aca="false">SUMPRODUCT($B$90:$H$90,$B$99:$H$99)</f>
        <v>0.963438021575978</v>
      </c>
      <c r="F100" s="17" t="n">
        <f aca="false">SUMPRODUCT($B$91:$H$91,$B$99:$H$99)</f>
        <v>0.745245704945061</v>
      </c>
      <c r="G100" s="17" t="n">
        <f aca="false">SUMPRODUCT($B$92:$H$92,$B$99:$H$99)</f>
        <v>0.644622348058749</v>
      </c>
      <c r="H100" s="17" t="n">
        <f aca="false">SUMPRODUCT($B$93:$H$93,$B$99:$H$99)</f>
        <v>0.647026986033245</v>
      </c>
    </row>
    <row r="101" customFormat="false" ht="15" hidden="false" customHeight="false" outlineLevel="0" collapsed="false">
      <c r="A101" s="10" t="n">
        <v>3</v>
      </c>
      <c r="B101" s="17" t="n">
        <f aca="false">SUMPRODUCT($B$87:$H$87,$B$100:$H$100)</f>
        <v>0.290562457123838</v>
      </c>
      <c r="C101" s="17" t="n">
        <f aca="false">SUMPRODUCT($B$88:$H$88,$B$100:$H$100)</f>
        <v>0</v>
      </c>
      <c r="D101" s="17" t="n">
        <f aca="false">SUMPRODUCT($B$89:$H$89,$B$100:$H$100)</f>
        <v>0.399994069704001</v>
      </c>
      <c r="E101" s="17" t="n">
        <f aca="false">SUMPRODUCT($B$90:$H$90,$B$100:$H$100)</f>
        <v>1.91885304154736</v>
      </c>
      <c r="F101" s="17" t="n">
        <f aca="false">SUMPRODUCT($B$91:$H$91,$B$100:$H$100)</f>
        <v>1.25662819213161</v>
      </c>
      <c r="G101" s="17" t="n">
        <f aca="false">SUMPRODUCT($B$92:$H$92,$B$100:$H$100)</f>
        <v>1.2289098509673</v>
      </c>
      <c r="H101" s="17" t="n">
        <f aca="false">SUMPRODUCT($B$93:$H$93,$B$100:$H$100)</f>
        <v>1.10300534637114</v>
      </c>
    </row>
    <row r="102" customFormat="false" ht="15" hidden="false" customHeight="false" outlineLevel="0" collapsed="false">
      <c r="A102" s="10" t="n">
        <v>4</v>
      </c>
      <c r="B102" s="17" t="n">
        <f aca="false">SUMPRODUCT($B$87:$H$87,$B$101:$H$101)</f>
        <v>0.192450627989836</v>
      </c>
      <c r="C102" s="17" t="n">
        <f aca="false">SUMPRODUCT($B$88:$H$88,$B$101:$H$101)</f>
        <v>0</v>
      </c>
      <c r="D102" s="17" t="n">
        <f aca="false">SUMPRODUCT($B$89:$H$89,$B$101:$H$101)</f>
        <v>0.280794722747393</v>
      </c>
      <c r="E102" s="17" t="n">
        <f aca="false">SUMPRODUCT($B$90:$H$90,$B$101:$H$101)</f>
        <v>3.25983375523146</v>
      </c>
      <c r="F102" s="17" t="n">
        <f aca="false">SUMPRODUCT($B$91:$H$91,$B$101:$H$101)</f>
        <v>1.9415919059432</v>
      </c>
      <c r="G102" s="17" t="n">
        <f aca="false">SUMPRODUCT($B$92:$H$92,$B$101:$H$101)</f>
        <v>2.29399395161188</v>
      </c>
      <c r="H102" s="17" t="n">
        <f aca="false">SUMPRODUCT($B$93:$H$93,$B$101:$H$101)</f>
        <v>1.82788138924414</v>
      </c>
    </row>
    <row r="103" customFormat="false" ht="15" hidden="false" customHeight="false" outlineLevel="0" collapsed="false">
      <c r="A103" s="10" t="n">
        <v>5</v>
      </c>
      <c r="B103" s="17" t="n">
        <f aca="false">SUMPRODUCT($B$87:$H$87,$B$102:$H$102)</f>
        <v>0.127467411241972</v>
      </c>
      <c r="C103" s="17" t="n">
        <f aca="false">SUMPRODUCT($B$88:$H$88,$B$102:$H$102)</f>
        <v>0</v>
      </c>
      <c r="D103" s="17" t="n">
        <f aca="false">SUMPRODUCT($B$89:$H$89,$B$102:$H$102)</f>
        <v>0.19086920663446</v>
      </c>
      <c r="E103" s="17" t="n">
        <f aca="false">SUMPRODUCT($B$90:$H$90,$B$102:$H$102)</f>
        <v>5.41578845230589</v>
      </c>
      <c r="F103" s="17" t="n">
        <f aca="false">SUMPRODUCT($B$91:$H$91,$B$102:$H$102)</f>
        <v>3.06737101216595</v>
      </c>
      <c r="G103" s="17" t="n">
        <f aca="false">SUMPRODUCT($B$92:$H$92,$B$102:$H$102)</f>
        <v>3.88798992765646</v>
      </c>
      <c r="H103" s="17" t="n">
        <f aca="false">SUMPRODUCT($B$93:$H$93,$B$102:$H$102)</f>
        <v>2.89485627805993</v>
      </c>
    </row>
    <row r="104" customFormat="false" ht="15" hidden="false" customHeight="false" outlineLevel="0" collapsed="false">
      <c r="A104" s="10" t="n">
        <v>6</v>
      </c>
      <c r="B104" s="17" t="n">
        <f aca="false">SUMPRODUCT($B$87:$H$87,$B$103:$H$103)</f>
        <v>0.0844265414898422</v>
      </c>
      <c r="C104" s="17" t="n">
        <f aca="false">SUMPRODUCT($B$88:$H$88,$B$103:$H$103)</f>
        <v>0</v>
      </c>
      <c r="D104" s="17" t="n">
        <f aca="false">SUMPRODUCT($B$89:$H$89,$B$103:$H$103)</f>
        <v>0.127926198210375</v>
      </c>
      <c r="E104" s="17" t="n">
        <f aca="false">SUMPRODUCT($B$90:$H$90,$B$103:$H$103)</f>
        <v>8.80089692729511</v>
      </c>
      <c r="F104" s="17" t="n">
        <f aca="false">SUMPRODUCT($B$91:$H$91,$B$103:$H$103)</f>
        <v>4.86373876984587</v>
      </c>
      <c r="G104" s="17" t="n">
        <f aca="false">SUMPRODUCT($B$92:$H$92,$B$103:$H$103)</f>
        <v>6.40770394052396</v>
      </c>
      <c r="H104" s="17" t="n">
        <f aca="false">SUMPRODUCT($B$93:$H$93,$B$103:$H$103)</f>
        <v>4.61318214542663</v>
      </c>
    </row>
    <row r="105" customFormat="false" ht="15" hidden="false" customHeight="false" outlineLevel="0" collapsed="false">
      <c r="A105" s="10" t="n">
        <v>7</v>
      </c>
      <c r="B105" s="17" t="n">
        <f aca="false">SUMPRODUCT($B$87:$H$87,$B$104:$H$104)</f>
        <v>0.0559189273437524</v>
      </c>
      <c r="C105" s="17" t="n">
        <f aca="false">SUMPRODUCT($B$88:$H$88,$B$104:$H$104)</f>
        <v>0</v>
      </c>
      <c r="D105" s="17" t="n">
        <f aca="false">SUMPRODUCT($B$89:$H$89,$B$104:$H$104)</f>
        <v>0.0851945401226874</v>
      </c>
      <c r="E105" s="17" t="n">
        <f aca="false">SUMPRODUCT($B$90:$H$90,$B$104:$H$104)</f>
        <v>14.1981156285283</v>
      </c>
      <c r="F105" s="17" t="n">
        <f aca="false">SUMPRODUCT($B$91:$H$91,$B$104:$H$104)</f>
        <v>7.75778891067965</v>
      </c>
      <c r="G105" s="17" t="n">
        <f aca="false">SUMPRODUCT($B$92:$H$92,$B$104:$H$104)</f>
        <v>10.388155720789</v>
      </c>
      <c r="H105" s="17" t="n">
        <f aca="false">SUMPRODUCT($B$93:$H$93,$B$104:$H$104)</f>
        <v>7.36448928389094</v>
      </c>
    </row>
    <row r="106" customFormat="false" ht="15" hidden="false" customHeight="false" outlineLevel="0" collapsed="false">
      <c r="A106" s="10" t="n">
        <v>8</v>
      </c>
      <c r="B106" s="17" t="n">
        <f aca="false">SUMPRODUCT($B$87:$H$87,$B$105:$H$105)</f>
        <v>0.0370372442136822</v>
      </c>
      <c r="C106" s="17" t="n">
        <f aca="false">SUMPRODUCT($B$88:$H$88,$B$105:$H$105)</f>
        <v>0</v>
      </c>
      <c r="D106" s="17" t="n">
        <f aca="false">SUMPRODUCT($B$89:$H$89,$B$105:$H$105)</f>
        <v>0.0565706178287913</v>
      </c>
      <c r="E106" s="17" t="n">
        <f aca="false">SUMPRODUCT($B$90:$H$90,$B$105:$H$105)</f>
        <v>22.8188219050698</v>
      </c>
      <c r="F106" s="17" t="n">
        <f aca="false">SUMPRODUCT($B$91:$H$91,$B$105:$H$105)</f>
        <v>12.403707445196</v>
      </c>
      <c r="G106" s="17" t="n">
        <f aca="false">SUMPRODUCT($B$92:$H$92,$B$105:$H$105)</f>
        <v>16.7335908192977</v>
      </c>
      <c r="H106" s="17" t="n">
        <f aca="false">SUMPRODUCT($B$93:$H$93,$B$105:$H$105)</f>
        <v>11.7840664397946</v>
      </c>
    </row>
    <row r="107" customFormat="false" ht="15" hidden="false" customHeight="false" outlineLevel="0" collapsed="false">
      <c r="A107" s="4" t="s">
        <v>270</v>
      </c>
      <c r="B107" s="10" t="n">
        <f aca="false">IF(COUNTIF(B98:B106,"&gt;0")&gt;0,COUNTIF(B98:B106,0),"never")</f>
        <v>0</v>
      </c>
      <c r="C107" s="10" t="str">
        <f aca="false">IF(COUNTIF(C98:C106,"&gt;0")&gt;0,COUNTIF(C98:C106,0),"never")</f>
        <v>never</v>
      </c>
      <c r="D107" s="10" t="n">
        <f aca="false">IF(COUNTIF(D98:D106,"&gt;0")&gt;0,COUNTIF(D98:D106,0),"never")</f>
        <v>1</v>
      </c>
      <c r="E107" s="10" t="n">
        <f aca="false">IF(COUNTIF(E98:E106,"&gt;0")&gt;0,COUNTIF(E98:E106,0),"never")</f>
        <v>1</v>
      </c>
      <c r="F107" s="10" t="n">
        <f aca="false">IF(COUNTIF(F98:F106,"&gt;0")&gt;0,COUNTIF(F98:F106,0),"never")</f>
        <v>1</v>
      </c>
      <c r="G107" s="10" t="n">
        <f aca="false">IF(COUNTIF(G98:G106,"&gt;0")&gt;0,COUNTIF(G98:G106,0),"never")</f>
        <v>2</v>
      </c>
      <c r="H107" s="10" t="n">
        <f aca="false">IF(COUNTIF(H98:H106,"&gt;0")&gt;0,COUNTIF(H98:H106,0),"never")</f>
        <v>2</v>
      </c>
    </row>
    <row r="108" customFormat="false" ht="15" hidden="false" customHeight="false" outlineLevel="0" collapsed="false">
      <c r="A108" s="4" t="s">
        <v>271</v>
      </c>
      <c r="B108" s="10" t="n">
        <f aca="false">VLOOKUP(B$97,$A$6:$B$12,2,FALSE())</f>
        <v>0</v>
      </c>
      <c r="C108" s="10" t="str">
        <f aca="false">VLOOKUP(C$97,$A$6:$B$12,2,FALSE())</f>
        <v>never</v>
      </c>
      <c r="D108" s="10" t="n">
        <f aca="false">VLOOKUP(D$97,$A$6:$B$12,2,FALSE())</f>
        <v>1</v>
      </c>
      <c r="E108" s="10" t="n">
        <f aca="false">VLOOKUP(E$97,$A$6:$B$12,2,FALSE())</f>
        <v>1</v>
      </c>
      <c r="F108" s="10" t="n">
        <f aca="false">VLOOKUP(F$97,$A$6:$B$12,2,FALSE())</f>
        <v>1</v>
      </c>
      <c r="G108" s="10" t="n">
        <f aca="false">VLOOKUP(G$97,$A$6:$B$12,2,FALSE())</f>
        <v>2</v>
      </c>
      <c r="H108" s="10" t="n">
        <f aca="false">VLOOKUP(H$97,$A$6:$B$12,2,FALSE())</f>
        <v>2</v>
      </c>
    </row>
    <row r="109" customFormat="false" ht="15" hidden="false" customHeight="false" outlineLevel="0" collapsed="false">
      <c r="A109" s="4" t="s">
        <v>272</v>
      </c>
      <c r="B109" s="10" t="n">
        <f aca="false">IF(ISNUMBER(B107),IF(ISNUMBER(B108),IF(B107&lt;B108,1,0),1),0)</f>
        <v>0</v>
      </c>
      <c r="C109" s="10" t="n">
        <f aca="false">IF(ISNUMBER(C107),IF(ISNUMBER(C108),IF(C107&lt;C108,1,0),1),0)</f>
        <v>0</v>
      </c>
      <c r="D109" s="10" t="n">
        <f aca="false">IF(ISNUMBER(D107),IF(ISNUMBER(D108),IF(D107&lt;D108,1,0),1),0)</f>
        <v>0</v>
      </c>
      <c r="E109" s="10" t="n">
        <f aca="false">IF(ISNUMBER(E107),IF(ISNUMBER(E108),IF(E107&lt;E108,1,0),1),0)</f>
        <v>0</v>
      </c>
      <c r="F109" s="10" t="n">
        <f aca="false">IF(ISNUMBER(F107),IF(ISNUMBER(F108),IF(F107&lt;F108,1,0),1),0)</f>
        <v>0</v>
      </c>
      <c r="G109" s="10" t="n">
        <f aca="false">IF(ISNUMBER(G107),IF(ISNUMBER(G108),IF(G107&lt;G108,1,0),1),0)</f>
        <v>0</v>
      </c>
      <c r="H109" s="10" t="n">
        <f aca="false">IF(ISNUMBER(H107),IF(ISNUMBER(H108),IF(H107&lt;H108,1,0),1),0)</f>
        <v>0</v>
      </c>
    </row>
    <row r="110" customFormat="false" ht="15" hidden="false" customHeight="false" outlineLevel="0" collapsed="false">
      <c r="A110" s="4" t="s">
        <v>273</v>
      </c>
      <c r="B110" s="10" t="n">
        <f aca="false">IF(ISNUMBER(B107),IF(ISNUMBER(B108),IF(B107=B108,1,0),0),IF(ISNUMBER(B108),0,1))</f>
        <v>1</v>
      </c>
      <c r="C110" s="10" t="n">
        <f aca="false">IF(ISNUMBER(C107),IF(ISNUMBER(C108),IF(C107=C108,1,0),0),IF(ISNUMBER(C108),0,1))</f>
        <v>1</v>
      </c>
      <c r="D110" s="10" t="n">
        <f aca="false">IF(ISNUMBER(D107),IF(ISNUMBER(D108),IF(D107=D108,1,0),0),IF(ISNUMBER(D108),0,1))</f>
        <v>1</v>
      </c>
      <c r="E110" s="10" t="n">
        <f aca="false">IF(ISNUMBER(E107),IF(ISNUMBER(E108),IF(E107=E108,1,0),0),IF(ISNUMBER(E108),0,1))</f>
        <v>1</v>
      </c>
      <c r="F110" s="10" t="n">
        <f aca="false">IF(ISNUMBER(F107),IF(ISNUMBER(F108),IF(F107=F108,1,0),0),IF(ISNUMBER(F108),0,1))</f>
        <v>1</v>
      </c>
      <c r="G110" s="10" t="n">
        <f aca="false">IF(ISNUMBER(G107),IF(ISNUMBER(G108),IF(G107=G108,1,0),0),IF(ISNUMBER(G108),0,1))</f>
        <v>1</v>
      </c>
      <c r="H110" s="10" t="n">
        <f aca="false">IF(ISNUMBER(H107),IF(ISNUMBER(H108),IF(H107=H108,1,0),0),IF(ISNUMBER(H108),0,1))</f>
        <v>1</v>
      </c>
    </row>
    <row r="113" customFormat="false" ht="23.85" hidden="false" customHeight="false" outlineLevel="0" collapsed="false">
      <c r="A113" s="8" t="s">
        <v>274</v>
      </c>
      <c r="B113" s="8" t="s">
        <v>275</v>
      </c>
      <c r="C113" s="8" t="s">
        <v>276</v>
      </c>
      <c r="D113" s="8" t="s">
        <v>277</v>
      </c>
    </row>
    <row r="114" customFormat="false" ht="15" hidden="false" customHeight="false" outlineLevel="0" collapsed="false">
      <c r="A114" s="4" t="s">
        <v>37</v>
      </c>
      <c r="B114" s="17" t="n">
        <f aca="false">SUMIFS($E$59:$E$72,$A$59:$A$72,"MKT",$B$59:$B$72,A114)</f>
        <v>0.661156778315858</v>
      </c>
      <c r="C114" s="17" t="n">
        <f aca="false">SUMIFS($E$59:$E$72,$A$59:$A$72,A114,$B$59:$B$72,"TRS")</f>
        <v>0.495228240788797</v>
      </c>
      <c r="D114" s="18" t="n">
        <f aca="false">B114*C114</f>
        <v>0.327423508210951</v>
      </c>
    </row>
    <row r="115" customFormat="false" ht="15" hidden="false" customHeight="false" outlineLevel="0" collapsed="false">
      <c r="A115" s="4" t="s">
        <v>40</v>
      </c>
      <c r="B115" s="17" t="n">
        <f aca="false">SUMIFS($E$59:$E$72,$A$59:$A$72,"MKT",$B$59:$B$72,A115)</f>
        <v>0.535202498284691</v>
      </c>
      <c r="C115" s="17" t="n">
        <f aca="false">SUMIFS($E$59:$E$72,$A$59:$A$72,A115,$B$59:$B$72,"TRS")</f>
        <v>0.217327494318718</v>
      </c>
      <c r="D115" s="18" t="n">
        <f aca="false">B115*C115</f>
        <v>0.11631421790533</v>
      </c>
    </row>
    <row r="116" customFormat="false" ht="15" hidden="false" customHeight="false" outlineLevel="0" collapsed="false">
      <c r="A116" s="4" t="s">
        <v>32</v>
      </c>
      <c r="B116" s="17" t="n">
        <f aca="false">SUMIFS($E$59:$E$72,$A$59:$A$72,"MKT",$B$59:$B$72,A116)</f>
        <v>0.54219262430218</v>
      </c>
      <c r="C116" s="17" t="n">
        <f aca="false">SUMIFS($E$59:$E$72,$A$59:$A$72,A116,$B$59:$B$72,"TRS")</f>
        <v>0.374939183613211</v>
      </c>
      <c r="D116" s="18" t="n">
        <f aca="false">B116*C116</f>
        <v>0.203289259916964</v>
      </c>
    </row>
    <row r="118" customFormat="false" ht="15" hidden="false" customHeight="false" outlineLevel="0" collapsed="false">
      <c r="A118" s="2" t="s">
        <v>278</v>
      </c>
      <c r="D118" s="18" t="n">
        <f aca="false">SUM(D114:D116)</f>
        <v>0.647026986033245</v>
      </c>
    </row>
    <row r="119" customFormat="false" ht="15" hidden="false" customHeight="false" outlineLevel="0" collapsed="false">
      <c r="A119" s="2" t="s">
        <v>279</v>
      </c>
      <c r="D119" s="18" t="n">
        <f aca="false">H100</f>
        <v>0.647026986033245</v>
      </c>
      <c r="E119" s="9" t="s">
        <v>280</v>
      </c>
    </row>
    <row r="120" customFormat="false" ht="15" hidden="false" customHeight="false" outlineLevel="0" collapsed="false">
      <c r="A120" s="2" t="s">
        <v>281</v>
      </c>
      <c r="D120" s="18" t="n">
        <f aca="false">H107</f>
        <v>2</v>
      </c>
      <c r="E120" s="9" t="s">
        <v>282</v>
      </c>
    </row>
    <row r="121" customFormat="false" ht="15" hidden="false" customHeight="false" outlineLevel="0" collapsed="false">
      <c r="A121" s="2" t="s">
        <v>283</v>
      </c>
      <c r="D121" s="18" t="n">
        <f aca="false">SUM(B109:H109)</f>
        <v>0</v>
      </c>
      <c r="E121" s="9" t="s">
        <v>284</v>
      </c>
    </row>
    <row r="122" customFormat="false" ht="15" hidden="false" customHeight="false" outlineLevel="0" collapsed="false">
      <c r="A122" s="2" t="s">
        <v>285</v>
      </c>
      <c r="D122" s="18" t="n">
        <f aca="false">SUM(B110:H110)</f>
        <v>7</v>
      </c>
      <c r="E122" s="9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50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15" min="8" style="0" width="6"/>
    <col collapsed="false" customWidth="true" hidden="false" outlineLevel="0" max="16" min="16" style="0" width="26"/>
    <col collapsed="false" customWidth="true" hidden="false" outlineLevel="0" max="30" min="17" style="0" width="9"/>
  </cols>
  <sheetData>
    <row r="1" customFormat="false" ht="15" hidden="false" customHeight="false" outlineLevel="0" collapsed="false">
      <c r="A1" s="1" t="s">
        <v>287</v>
      </c>
    </row>
    <row r="2" customFormat="false" ht="15" hidden="false" customHeight="false" outlineLevel="0" collapsed="false">
      <c r="A2" s="9" t="s">
        <v>288</v>
      </c>
      <c r="H2" s="4" t="s">
        <v>289</v>
      </c>
      <c r="Q2" s="7" t="str">
        <f aca="false">Declarations!B13</f>
        <v>MKT</v>
      </c>
      <c r="R2" s="7" t="str">
        <f aca="false">Declarations!B14</f>
        <v>MKT</v>
      </c>
      <c r="S2" s="7" t="str">
        <f aca="false">Declarations!B15</f>
        <v>MKT</v>
      </c>
      <c r="T2" s="7" t="str">
        <f aca="false">Declarations!B16</f>
        <v>IND</v>
      </c>
      <c r="U2" s="7" t="str">
        <f aca="false">Declarations!B17</f>
        <v>DIG</v>
      </c>
      <c r="V2" s="7" t="str">
        <f aca="false">Declarations!B18</f>
        <v>MAT</v>
      </c>
      <c r="W2" s="7" t="str">
        <f aca="false">Declarations!B19</f>
        <v>TRS</v>
      </c>
      <c r="X2" s="7" t="str">
        <f aca="false">Declarations!B20</f>
        <v>TRS</v>
      </c>
      <c r="Y2" s="7" t="str">
        <f aca="false">Declarations!B21</f>
        <v>ENG</v>
      </c>
      <c r="Z2" s="7" t="str">
        <f aca="false">Declarations!B22</f>
        <v>IND</v>
      </c>
      <c r="AA2" s="7" t="str">
        <f aca="false">Declarations!B23</f>
        <v>ENG</v>
      </c>
      <c r="AB2" s="7" t="str">
        <f aca="false">Declarations!B24</f>
        <v>DIG</v>
      </c>
      <c r="AC2" s="7" t="str">
        <f aca="false">Declarations!B25</f>
        <v>GOV</v>
      </c>
      <c r="AD2" s="7" t="str">
        <f aca="false">Declarations!B26</f>
        <v>GOV</v>
      </c>
    </row>
    <row r="3" customFormat="false" ht="15" hidden="false" customHeight="false" outlineLevel="0" collapsed="false">
      <c r="Q3" s="7" t="str">
        <f aca="false">Declarations!C13</f>
        <v>IND</v>
      </c>
      <c r="R3" s="7" t="str">
        <f aca="false">Declarations!C14</f>
        <v>DIG</v>
      </c>
      <c r="S3" s="7" t="str">
        <f aca="false">Declarations!C15</f>
        <v>MAT</v>
      </c>
      <c r="T3" s="7" t="str">
        <f aca="false">Declarations!C16</f>
        <v>TRS</v>
      </c>
      <c r="U3" s="7" t="str">
        <f aca="false">Declarations!C17</f>
        <v>TRS</v>
      </c>
      <c r="V3" s="7" t="str">
        <f aca="false">Declarations!C18</f>
        <v>TRS</v>
      </c>
      <c r="W3" s="7" t="str">
        <f aca="false">Declarations!C19</f>
        <v>IND</v>
      </c>
      <c r="X3" s="7" t="str">
        <f aca="false">Declarations!C20</f>
        <v>DIG</v>
      </c>
      <c r="Y3" s="7" t="str">
        <f aca="false">Declarations!C21</f>
        <v>IND</v>
      </c>
      <c r="Z3" s="7" t="str">
        <f aca="false">Declarations!C22</f>
        <v>ENG</v>
      </c>
      <c r="AA3" s="7" t="str">
        <f aca="false">Declarations!C23</f>
        <v>DIG</v>
      </c>
      <c r="AB3" s="7" t="str">
        <f aca="false">Declarations!C24</f>
        <v>ENG</v>
      </c>
      <c r="AC3" s="7" t="str">
        <f aca="false">Declarations!C25</f>
        <v>TRS</v>
      </c>
      <c r="AD3" s="7" t="str">
        <f aca="false">Declarations!C26</f>
        <v>DIG</v>
      </c>
    </row>
    <row r="4" customFormat="false" ht="23.85" hidden="false" customHeight="false" outlineLevel="0" collapsed="false">
      <c r="A4" s="8" t="s">
        <v>290</v>
      </c>
      <c r="B4" s="8" t="s">
        <v>291</v>
      </c>
      <c r="C4" s="8" t="s">
        <v>292</v>
      </c>
      <c r="E4" s="8" t="s">
        <v>290</v>
      </c>
      <c r="F4" s="8" t="s">
        <v>293</v>
      </c>
      <c r="H4" s="8" t="s">
        <v>294</v>
      </c>
      <c r="I4" s="8" t="s">
        <v>295</v>
      </c>
      <c r="J4" s="8" t="s">
        <v>296</v>
      </c>
      <c r="K4" s="8" t="s">
        <v>297</v>
      </c>
      <c r="L4" s="8" t="s">
        <v>298</v>
      </c>
      <c r="M4" s="8" t="s">
        <v>299</v>
      </c>
      <c r="N4" s="8" t="s">
        <v>290</v>
      </c>
      <c r="O4" s="8" t="s">
        <v>300</v>
      </c>
      <c r="Q4" s="4" t="str">
        <f aca="false">Q2&amp;"&gt;"&amp;Q3</f>
        <v>MKT&gt;IND</v>
      </c>
      <c r="R4" s="4" t="str">
        <f aca="false">R2&amp;"&gt;"&amp;R3</f>
        <v>MKT&gt;DIG</v>
      </c>
      <c r="S4" s="4" t="str">
        <f aca="false">S2&amp;"&gt;"&amp;S3</f>
        <v>MKT&gt;MAT</v>
      </c>
      <c r="T4" s="4" t="str">
        <f aca="false">T2&amp;"&gt;"&amp;T3</f>
        <v>IND&gt;TRS</v>
      </c>
      <c r="U4" s="4" t="str">
        <f aca="false">U2&amp;"&gt;"&amp;U3</f>
        <v>DIG&gt;TRS</v>
      </c>
      <c r="V4" s="4" t="str">
        <f aca="false">V2&amp;"&gt;"&amp;V3</f>
        <v>MAT&gt;TRS</v>
      </c>
      <c r="W4" s="4" t="str">
        <f aca="false">W2&amp;"&gt;"&amp;W3</f>
        <v>TRS&gt;IND</v>
      </c>
      <c r="X4" s="4" t="str">
        <f aca="false">X2&amp;"&gt;"&amp;X3</f>
        <v>TRS&gt;DIG</v>
      </c>
      <c r="Y4" s="4" t="str">
        <f aca="false">Y2&amp;"&gt;"&amp;Y3</f>
        <v>ENG&gt;IND</v>
      </c>
      <c r="Z4" s="4" t="str">
        <f aca="false">Z2&amp;"&gt;"&amp;Z3</f>
        <v>IND&gt;ENG</v>
      </c>
      <c r="AA4" s="4" t="str">
        <f aca="false">AA2&amp;"&gt;"&amp;AA3</f>
        <v>ENG&gt;DIG</v>
      </c>
      <c r="AB4" s="4" t="str">
        <f aca="false">AB2&amp;"&gt;"&amp;AB3</f>
        <v>DIG&gt;ENG</v>
      </c>
      <c r="AC4" s="4" t="str">
        <f aca="false">AC2&amp;"&gt;"&amp;AC3</f>
        <v>GOV&gt;TRS</v>
      </c>
      <c r="AD4" s="4" t="str">
        <f aca="false">AD2&amp;"&gt;"&amp;AD3</f>
        <v>GOV&gt;DIG</v>
      </c>
    </row>
    <row r="5" customFormat="false" ht="15" hidden="false" customHeight="false" outlineLevel="0" collapsed="false">
      <c r="A5" s="10" t="n">
        <v>1</v>
      </c>
      <c r="B5" s="2" t="s">
        <v>301</v>
      </c>
      <c r="C5" s="10" t="n">
        <f aca="false">Wiring!$H$6</f>
        <v>0</v>
      </c>
      <c r="E5" s="10" t="n">
        <v>1</v>
      </c>
      <c r="F5" s="10" t="n">
        <f aca="false">SUMIF($A$5:$A$330,E5,$C$5:$C$330)</f>
        <v>0</v>
      </c>
      <c r="H5" s="10" t="n">
        <v>1</v>
      </c>
      <c r="I5" s="6" t="s">
        <v>23</v>
      </c>
      <c r="J5" s="6" t="s">
        <v>37</v>
      </c>
      <c r="K5" s="6" t="s">
        <v>46</v>
      </c>
      <c r="L5" s="6"/>
      <c r="M5" s="6"/>
      <c r="N5" s="10" t="n">
        <f aca="false">COUNTIF(I5:M5,"?*")-1</f>
        <v>2</v>
      </c>
      <c r="O5" s="10" t="n">
        <f aca="false">IF(SUM(Q5:AD5)=N5,1,0)</f>
        <v>1</v>
      </c>
      <c r="Q5" s="10" t="n">
        <f aca="false">IF(SUMPRODUCT(($I5:$L5=Q$2)*($J5:$M5=Q$3))&gt;0,1,0)</f>
        <v>1</v>
      </c>
      <c r="R5" s="10" t="n">
        <f aca="false">IF(SUMPRODUCT(($I5:$L5=R$2)*($J5:$M5=R$3))&gt;0,1,0)</f>
        <v>0</v>
      </c>
      <c r="S5" s="10" t="n">
        <f aca="false">IF(SUMPRODUCT(($I5:$L5=S$2)*($J5:$M5=S$3))&gt;0,1,0)</f>
        <v>0</v>
      </c>
      <c r="T5" s="10" t="n">
        <f aca="false">IF(SUMPRODUCT(($I5:$L5=T$2)*($J5:$M5=T$3))&gt;0,1,0)</f>
        <v>1</v>
      </c>
      <c r="U5" s="10" t="n">
        <f aca="false">IF(SUMPRODUCT(($I5:$L5=U$2)*($J5:$M5=U$3))&gt;0,1,0)</f>
        <v>0</v>
      </c>
      <c r="V5" s="10" t="n">
        <f aca="false">IF(SUMPRODUCT(($I5:$L5=V$2)*($J5:$M5=V$3))&gt;0,1,0)</f>
        <v>0</v>
      </c>
      <c r="W5" s="10" t="n">
        <f aca="false">IF(SUMPRODUCT(($I5:$L5=W$2)*($J5:$M5=W$3))&gt;0,1,0)</f>
        <v>0</v>
      </c>
      <c r="X5" s="10" t="n">
        <f aca="false">IF(SUMPRODUCT(($I5:$L5=X$2)*($J5:$M5=X$3))&gt;0,1,0)</f>
        <v>0</v>
      </c>
      <c r="Y5" s="10" t="n">
        <f aca="false">IF(SUMPRODUCT(($I5:$L5=Y$2)*($J5:$M5=Y$3))&gt;0,1,0)</f>
        <v>0</v>
      </c>
      <c r="Z5" s="10" t="n">
        <f aca="false">IF(SUMPRODUCT(($I5:$L5=Z$2)*($J5:$M5=Z$3))&gt;0,1,0)</f>
        <v>0</v>
      </c>
      <c r="AA5" s="10" t="n">
        <f aca="false">IF(SUMPRODUCT(($I5:$L5=AA$2)*($J5:$M5=AA$3))&gt;0,1,0)</f>
        <v>0</v>
      </c>
      <c r="AB5" s="10" t="n">
        <f aca="false">IF(SUMPRODUCT(($I5:$L5=AB$2)*($J5:$M5=AB$3))&gt;0,1,0)</f>
        <v>0</v>
      </c>
      <c r="AC5" s="10" t="n">
        <f aca="false">IF(SUMPRODUCT(($I5:$L5=AC$2)*($J5:$M5=AC$3))&gt;0,1,0)</f>
        <v>0</v>
      </c>
      <c r="AD5" s="10" t="n">
        <f aca="false">IF(SUMPRODUCT(($I5:$L5=AD$2)*($J5:$M5=AD$3))&gt;0,1,0)</f>
        <v>0</v>
      </c>
    </row>
    <row r="6" customFormat="false" ht="15" hidden="false" customHeight="false" outlineLevel="0" collapsed="false">
      <c r="A6" s="10" t="n">
        <v>2</v>
      </c>
      <c r="B6" s="2" t="s">
        <v>302</v>
      </c>
      <c r="C6" s="10" t="n">
        <f aca="false">Wiring!$C$6*Wiring!$H$7</f>
        <v>0</v>
      </c>
      <c r="E6" s="10" t="n">
        <v>2</v>
      </c>
      <c r="F6" s="10" t="n">
        <f aca="false">SUMIF($A$5:$A$330,E6,$C$5:$C$330)</f>
        <v>3</v>
      </c>
      <c r="H6" s="10" t="n">
        <v>2</v>
      </c>
      <c r="I6" s="6" t="s">
        <v>23</v>
      </c>
      <c r="J6" s="6" t="s">
        <v>40</v>
      </c>
      <c r="K6" s="6" t="s">
        <v>46</v>
      </c>
      <c r="L6" s="6"/>
      <c r="M6" s="6"/>
      <c r="N6" s="10" t="n">
        <f aca="false">COUNTIF(I6:M6,"?*")-1</f>
        <v>2</v>
      </c>
      <c r="O6" s="10" t="n">
        <f aca="false">IF(SUM(Q6:AD6)=N6,1,0)</f>
        <v>1</v>
      </c>
      <c r="Q6" s="10" t="n">
        <f aca="false">IF(SUMPRODUCT(($I6:$L6=Q$2)*($J6:$M6=Q$3))&gt;0,1,0)</f>
        <v>0</v>
      </c>
      <c r="R6" s="10" t="n">
        <f aca="false">IF(SUMPRODUCT(($I6:$L6=R$2)*($J6:$M6=R$3))&gt;0,1,0)</f>
        <v>1</v>
      </c>
      <c r="S6" s="10" t="n">
        <f aca="false">IF(SUMPRODUCT(($I6:$L6=S$2)*($J6:$M6=S$3))&gt;0,1,0)</f>
        <v>0</v>
      </c>
      <c r="T6" s="10" t="n">
        <f aca="false">IF(SUMPRODUCT(($I6:$L6=T$2)*($J6:$M6=T$3))&gt;0,1,0)</f>
        <v>0</v>
      </c>
      <c r="U6" s="10" t="n">
        <f aca="false">IF(SUMPRODUCT(($I6:$L6=U$2)*($J6:$M6=U$3))&gt;0,1,0)</f>
        <v>1</v>
      </c>
      <c r="V6" s="10" t="n">
        <f aca="false">IF(SUMPRODUCT(($I6:$L6=V$2)*($J6:$M6=V$3))&gt;0,1,0)</f>
        <v>0</v>
      </c>
      <c r="W6" s="10" t="n">
        <f aca="false">IF(SUMPRODUCT(($I6:$L6=W$2)*($J6:$M6=W$3))&gt;0,1,0)</f>
        <v>0</v>
      </c>
      <c r="X6" s="10" t="n">
        <f aca="false">IF(SUMPRODUCT(($I6:$L6=X$2)*($J6:$M6=X$3))&gt;0,1,0)</f>
        <v>0</v>
      </c>
      <c r="Y6" s="10" t="n">
        <f aca="false">IF(SUMPRODUCT(($I6:$L6=Y$2)*($J6:$M6=Y$3))&gt;0,1,0)</f>
        <v>0</v>
      </c>
      <c r="Z6" s="10" t="n">
        <f aca="false">IF(SUMPRODUCT(($I6:$L6=Z$2)*($J6:$M6=Z$3))&gt;0,1,0)</f>
        <v>0</v>
      </c>
      <c r="AA6" s="10" t="n">
        <f aca="false">IF(SUMPRODUCT(($I6:$L6=AA$2)*($J6:$M6=AA$3))&gt;0,1,0)</f>
        <v>0</v>
      </c>
      <c r="AB6" s="10" t="n">
        <f aca="false">IF(SUMPRODUCT(($I6:$L6=AB$2)*($J6:$M6=AB$3))&gt;0,1,0)</f>
        <v>0</v>
      </c>
      <c r="AC6" s="10" t="n">
        <f aca="false">IF(SUMPRODUCT(($I6:$L6=AC$2)*($J6:$M6=AC$3))&gt;0,1,0)</f>
        <v>0</v>
      </c>
      <c r="AD6" s="10" t="n">
        <f aca="false">IF(SUMPRODUCT(($I6:$L6=AD$2)*($J6:$M6=AD$3))&gt;0,1,0)</f>
        <v>0</v>
      </c>
    </row>
    <row r="7" customFormat="false" ht="15" hidden="false" customHeight="false" outlineLevel="0" collapsed="false">
      <c r="A7" s="10" t="n">
        <v>2</v>
      </c>
      <c r="B7" s="2" t="s">
        <v>303</v>
      </c>
      <c r="C7" s="10" t="n">
        <f aca="false">Wiring!$D$6*Wiring!$H$8</f>
        <v>1</v>
      </c>
      <c r="E7" s="10" t="n">
        <v>3</v>
      </c>
      <c r="F7" s="10" t="n">
        <f aca="false">SUMIF($A$5:$A$330,E7,$C$5:$C$330)</f>
        <v>0</v>
      </c>
      <c r="H7" s="10" t="n">
        <v>3</v>
      </c>
      <c r="I7" s="6" t="s">
        <v>23</v>
      </c>
      <c r="J7" s="6" t="s">
        <v>32</v>
      </c>
      <c r="K7" s="6" t="s">
        <v>46</v>
      </c>
      <c r="L7" s="6"/>
      <c r="M7" s="6"/>
      <c r="N7" s="10" t="n">
        <f aca="false">COUNTIF(I7:M7,"?*")-1</f>
        <v>2</v>
      </c>
      <c r="O7" s="10" t="n">
        <f aca="false">IF(SUM(Q7:AD7)=N7,1,0)</f>
        <v>1</v>
      </c>
      <c r="Q7" s="10" t="n">
        <f aca="false">IF(SUMPRODUCT(($I7:$L7=Q$2)*($J7:$M7=Q$3))&gt;0,1,0)</f>
        <v>0</v>
      </c>
      <c r="R7" s="10" t="n">
        <f aca="false">IF(SUMPRODUCT(($I7:$L7=R$2)*($J7:$M7=R$3))&gt;0,1,0)</f>
        <v>0</v>
      </c>
      <c r="S7" s="10" t="n">
        <f aca="false">IF(SUMPRODUCT(($I7:$L7=S$2)*($J7:$M7=S$3))&gt;0,1,0)</f>
        <v>1</v>
      </c>
      <c r="T7" s="10" t="n">
        <f aca="false">IF(SUMPRODUCT(($I7:$L7=T$2)*($J7:$M7=T$3))&gt;0,1,0)</f>
        <v>0</v>
      </c>
      <c r="U7" s="10" t="n">
        <f aca="false">IF(SUMPRODUCT(($I7:$L7=U$2)*($J7:$M7=U$3))&gt;0,1,0)</f>
        <v>0</v>
      </c>
      <c r="V7" s="10" t="n">
        <f aca="false">IF(SUMPRODUCT(($I7:$L7=V$2)*($J7:$M7=V$3))&gt;0,1,0)</f>
        <v>1</v>
      </c>
      <c r="W7" s="10" t="n">
        <f aca="false">IF(SUMPRODUCT(($I7:$L7=W$2)*($J7:$M7=W$3))&gt;0,1,0)</f>
        <v>0</v>
      </c>
      <c r="X7" s="10" t="n">
        <f aca="false">IF(SUMPRODUCT(($I7:$L7=X$2)*($J7:$M7=X$3))&gt;0,1,0)</f>
        <v>0</v>
      </c>
      <c r="Y7" s="10" t="n">
        <f aca="false">IF(SUMPRODUCT(($I7:$L7=Y$2)*($J7:$M7=Y$3))&gt;0,1,0)</f>
        <v>0</v>
      </c>
      <c r="Z7" s="10" t="n">
        <f aca="false">IF(SUMPRODUCT(($I7:$L7=Z$2)*($J7:$M7=Z$3))&gt;0,1,0)</f>
        <v>0</v>
      </c>
      <c r="AA7" s="10" t="n">
        <f aca="false">IF(SUMPRODUCT(($I7:$L7=AA$2)*($J7:$M7=AA$3))&gt;0,1,0)</f>
        <v>0</v>
      </c>
      <c r="AB7" s="10" t="n">
        <f aca="false">IF(SUMPRODUCT(($I7:$L7=AB$2)*($J7:$M7=AB$3))&gt;0,1,0)</f>
        <v>0</v>
      </c>
      <c r="AC7" s="10" t="n">
        <f aca="false">IF(SUMPRODUCT(($I7:$L7=AC$2)*($J7:$M7=AC$3))&gt;0,1,0)</f>
        <v>0</v>
      </c>
      <c r="AD7" s="10" t="n">
        <f aca="false">IF(SUMPRODUCT(($I7:$L7=AD$2)*($J7:$M7=AD$3))&gt;0,1,0)</f>
        <v>0</v>
      </c>
    </row>
    <row r="8" customFormat="false" ht="15" hidden="false" customHeight="false" outlineLevel="0" collapsed="false">
      <c r="A8" s="10" t="n">
        <v>2</v>
      </c>
      <c r="B8" s="2" t="s">
        <v>304</v>
      </c>
      <c r="C8" s="10" t="n">
        <f aca="false">Wiring!$E$6*Wiring!$H$9</f>
        <v>1</v>
      </c>
      <c r="E8" s="10" t="n">
        <v>4</v>
      </c>
      <c r="F8" s="10" t="n">
        <f aca="false">SUMIF($A$5:$A$330,E8,$C$5:$C$330)</f>
        <v>2</v>
      </c>
      <c r="H8" s="10" t="n">
        <v>4</v>
      </c>
      <c r="I8" s="6" t="s">
        <v>23</v>
      </c>
      <c r="J8" s="6" t="s">
        <v>37</v>
      </c>
      <c r="K8" s="6" t="s">
        <v>42</v>
      </c>
      <c r="L8" s="6" t="s">
        <v>40</v>
      </c>
      <c r="M8" s="6" t="s">
        <v>46</v>
      </c>
      <c r="N8" s="10" t="n">
        <f aca="false">COUNTIF(I8:M8,"?*")-1</f>
        <v>4</v>
      </c>
      <c r="O8" s="10" t="n">
        <f aca="false">IF(SUM(Q8:AD8)=N8,1,0)</f>
        <v>1</v>
      </c>
      <c r="Q8" s="10" t="n">
        <f aca="false">IF(SUMPRODUCT(($I8:$L8=Q$2)*($J8:$M8=Q$3))&gt;0,1,0)</f>
        <v>1</v>
      </c>
      <c r="R8" s="10" t="n">
        <f aca="false">IF(SUMPRODUCT(($I8:$L8=R$2)*($J8:$M8=R$3))&gt;0,1,0)</f>
        <v>0</v>
      </c>
      <c r="S8" s="10" t="n">
        <f aca="false">IF(SUMPRODUCT(($I8:$L8=S$2)*($J8:$M8=S$3))&gt;0,1,0)</f>
        <v>0</v>
      </c>
      <c r="T8" s="10" t="n">
        <f aca="false">IF(SUMPRODUCT(($I8:$L8=T$2)*($J8:$M8=T$3))&gt;0,1,0)</f>
        <v>0</v>
      </c>
      <c r="U8" s="10" t="n">
        <f aca="false">IF(SUMPRODUCT(($I8:$L8=U$2)*($J8:$M8=U$3))&gt;0,1,0)</f>
        <v>1</v>
      </c>
      <c r="V8" s="10" t="n">
        <f aca="false">IF(SUMPRODUCT(($I8:$L8=V$2)*($J8:$M8=V$3))&gt;0,1,0)</f>
        <v>0</v>
      </c>
      <c r="W8" s="10" t="n">
        <f aca="false">IF(SUMPRODUCT(($I8:$L8=W$2)*($J8:$M8=W$3))&gt;0,1,0)</f>
        <v>0</v>
      </c>
      <c r="X8" s="10" t="n">
        <f aca="false">IF(SUMPRODUCT(($I8:$L8=X$2)*($J8:$M8=X$3))&gt;0,1,0)</f>
        <v>0</v>
      </c>
      <c r="Y8" s="10" t="n">
        <f aca="false">IF(SUMPRODUCT(($I8:$L8=Y$2)*($J8:$M8=Y$3))&gt;0,1,0)</f>
        <v>0</v>
      </c>
      <c r="Z8" s="10" t="n">
        <f aca="false">IF(SUMPRODUCT(($I8:$L8=Z$2)*($J8:$M8=Z$3))&gt;0,1,0)</f>
        <v>1</v>
      </c>
      <c r="AA8" s="10" t="n">
        <f aca="false">IF(SUMPRODUCT(($I8:$L8=AA$2)*($J8:$M8=AA$3))&gt;0,1,0)</f>
        <v>1</v>
      </c>
      <c r="AB8" s="10" t="n">
        <f aca="false">IF(SUMPRODUCT(($I8:$L8=AB$2)*($J8:$M8=AB$3))&gt;0,1,0)</f>
        <v>0</v>
      </c>
      <c r="AC8" s="10" t="n">
        <f aca="false">IF(SUMPRODUCT(($I8:$L8=AC$2)*($J8:$M8=AC$3))&gt;0,1,0)</f>
        <v>0</v>
      </c>
      <c r="AD8" s="10" t="n">
        <f aca="false">IF(SUMPRODUCT(($I8:$L8=AD$2)*($J8:$M8=AD$3))&gt;0,1,0)</f>
        <v>0</v>
      </c>
    </row>
    <row r="9" customFormat="false" ht="15" hidden="false" customHeight="false" outlineLevel="0" collapsed="false">
      <c r="A9" s="10" t="n">
        <v>2</v>
      </c>
      <c r="B9" s="2" t="s">
        <v>305</v>
      </c>
      <c r="C9" s="10" t="n">
        <f aca="false">Wiring!$F$6*Wiring!$H$10</f>
        <v>1</v>
      </c>
      <c r="E9" s="10" t="n">
        <v>5</v>
      </c>
      <c r="F9" s="10" t="n">
        <f aca="false">SUMIF($A$5:$A$330,E9,$C$5:$C$330)</f>
        <v>0</v>
      </c>
      <c r="H9" s="10" t="n">
        <v>5</v>
      </c>
      <c r="I9" s="6" t="s">
        <v>23</v>
      </c>
      <c r="J9" s="6" t="s">
        <v>40</v>
      </c>
      <c r="K9" s="6" t="s">
        <v>42</v>
      </c>
      <c r="L9" s="6" t="s">
        <v>37</v>
      </c>
      <c r="M9" s="6" t="s">
        <v>46</v>
      </c>
      <c r="N9" s="10" t="n">
        <f aca="false">COUNTIF(I9:M9,"?*")-1</f>
        <v>4</v>
      </c>
      <c r="O9" s="10" t="n">
        <f aca="false">IF(SUM(Q9:AD9)=N9,1,0)</f>
        <v>1</v>
      </c>
      <c r="Q9" s="10" t="n">
        <f aca="false">IF(SUMPRODUCT(($I9:$L9=Q$2)*($J9:$M9=Q$3))&gt;0,1,0)</f>
        <v>0</v>
      </c>
      <c r="R9" s="10" t="n">
        <f aca="false">IF(SUMPRODUCT(($I9:$L9=R$2)*($J9:$M9=R$3))&gt;0,1,0)</f>
        <v>1</v>
      </c>
      <c r="S9" s="10" t="n">
        <f aca="false">IF(SUMPRODUCT(($I9:$L9=S$2)*($J9:$M9=S$3))&gt;0,1,0)</f>
        <v>0</v>
      </c>
      <c r="T9" s="10" t="n">
        <f aca="false">IF(SUMPRODUCT(($I9:$L9=T$2)*($J9:$M9=T$3))&gt;0,1,0)</f>
        <v>1</v>
      </c>
      <c r="U9" s="10" t="n">
        <f aca="false">IF(SUMPRODUCT(($I9:$L9=U$2)*($J9:$M9=U$3))&gt;0,1,0)</f>
        <v>0</v>
      </c>
      <c r="V9" s="10" t="n">
        <f aca="false">IF(SUMPRODUCT(($I9:$L9=V$2)*($J9:$M9=V$3))&gt;0,1,0)</f>
        <v>0</v>
      </c>
      <c r="W9" s="10" t="n">
        <f aca="false">IF(SUMPRODUCT(($I9:$L9=W$2)*($J9:$M9=W$3))&gt;0,1,0)</f>
        <v>0</v>
      </c>
      <c r="X9" s="10" t="n">
        <f aca="false">IF(SUMPRODUCT(($I9:$L9=X$2)*($J9:$M9=X$3))&gt;0,1,0)</f>
        <v>0</v>
      </c>
      <c r="Y9" s="10" t="n">
        <f aca="false">IF(SUMPRODUCT(($I9:$L9=Y$2)*($J9:$M9=Y$3))&gt;0,1,0)</f>
        <v>1</v>
      </c>
      <c r="Z9" s="10" t="n">
        <f aca="false">IF(SUMPRODUCT(($I9:$L9=Z$2)*($J9:$M9=Z$3))&gt;0,1,0)</f>
        <v>0</v>
      </c>
      <c r="AA9" s="10" t="n">
        <f aca="false">IF(SUMPRODUCT(($I9:$L9=AA$2)*($J9:$M9=AA$3))&gt;0,1,0)</f>
        <v>0</v>
      </c>
      <c r="AB9" s="10" t="n">
        <f aca="false">IF(SUMPRODUCT(($I9:$L9=AB$2)*($J9:$M9=AB$3))&gt;0,1,0)</f>
        <v>1</v>
      </c>
      <c r="AC9" s="10" t="n">
        <f aca="false">IF(SUMPRODUCT(($I9:$L9=AC$2)*($J9:$M9=AC$3))&gt;0,1,0)</f>
        <v>0</v>
      </c>
      <c r="AD9" s="10" t="n">
        <f aca="false">IF(SUMPRODUCT(($I9:$L9=AD$2)*($J9:$M9=AD$3))&gt;0,1,0)</f>
        <v>0</v>
      </c>
    </row>
    <row r="10" customFormat="false" ht="15" hidden="false" customHeight="false" outlineLevel="0" collapsed="false">
      <c r="A10" s="10" t="n">
        <v>2</v>
      </c>
      <c r="B10" s="2" t="s">
        <v>306</v>
      </c>
      <c r="C10" s="10" t="n">
        <f aca="false">Wiring!$G$6*Wiring!$H$11</f>
        <v>0</v>
      </c>
      <c r="E10" s="10" t="n">
        <v>6</v>
      </c>
      <c r="F10" s="10" t="n">
        <f aca="false">SUMIF($A$5:$A$330,E10,$C$5:$C$330)</f>
        <v>0</v>
      </c>
    </row>
    <row r="11" customFormat="false" ht="15" hidden="false" customHeight="false" outlineLevel="0" collapsed="false">
      <c r="A11" s="10" t="n">
        <v>3</v>
      </c>
      <c r="B11" s="2" t="s">
        <v>307</v>
      </c>
      <c r="C11" s="10" t="n">
        <f aca="false">Wiring!$C$6*Wiring!$D$7*Wiring!$H$8</f>
        <v>0</v>
      </c>
      <c r="E11" s="4" t="s">
        <v>308</v>
      </c>
      <c r="F11" s="10" t="n">
        <f aca="false">SUM(F5:F10)</f>
        <v>5</v>
      </c>
      <c r="P11" s="4" t="s">
        <v>309</v>
      </c>
      <c r="Q11" s="10" t="n">
        <f aca="false">SUMPRODUCT(($N$5:$N$9=2)*(Q5:Q9))</f>
        <v>1</v>
      </c>
      <c r="R11" s="10" t="n">
        <f aca="false">SUMPRODUCT(($N$5:$N$9=2)*(R5:R9))</f>
        <v>1</v>
      </c>
      <c r="S11" s="10" t="n">
        <f aca="false">SUMPRODUCT(($N$5:$N$9=2)*(S5:S9))</f>
        <v>1</v>
      </c>
      <c r="T11" s="10" t="n">
        <f aca="false">SUMPRODUCT(($N$5:$N$9=2)*(T5:T9))</f>
        <v>1</v>
      </c>
      <c r="U11" s="10" t="n">
        <f aca="false">SUMPRODUCT(($N$5:$N$9=2)*(U5:U9))</f>
        <v>1</v>
      </c>
      <c r="V11" s="10" t="n">
        <f aca="false">SUMPRODUCT(($N$5:$N$9=2)*(V5:V9))</f>
        <v>1</v>
      </c>
      <c r="W11" s="10" t="n">
        <f aca="false">SUMPRODUCT(($N$5:$N$9=2)*(W5:W9))</f>
        <v>0</v>
      </c>
      <c r="X11" s="10" t="n">
        <f aca="false">SUMPRODUCT(($N$5:$N$9=2)*(X5:X9))</f>
        <v>0</v>
      </c>
      <c r="Y11" s="10" t="n">
        <f aca="false">SUMPRODUCT(($N$5:$N$9=2)*(Y5:Y9))</f>
        <v>0</v>
      </c>
      <c r="Z11" s="10" t="n">
        <f aca="false">SUMPRODUCT(($N$5:$N$9=2)*(Z5:Z9))</f>
        <v>0</v>
      </c>
      <c r="AA11" s="10" t="n">
        <f aca="false">SUMPRODUCT(($N$5:$N$9=2)*(AA5:AA9))</f>
        <v>0</v>
      </c>
      <c r="AB11" s="10" t="n">
        <f aca="false">SUMPRODUCT(($N$5:$N$9=2)*(AB5:AB9))</f>
        <v>0</v>
      </c>
      <c r="AC11" s="10" t="n">
        <f aca="false">SUMPRODUCT(($N$5:$N$9=2)*(AC5:AC9))</f>
        <v>0</v>
      </c>
      <c r="AD11" s="10" t="n">
        <f aca="false">SUMPRODUCT(($N$5:$N$9=2)*(AD5:AD9))</f>
        <v>0</v>
      </c>
    </row>
    <row r="12" customFormat="false" ht="15" hidden="false" customHeight="false" outlineLevel="0" collapsed="false">
      <c r="A12" s="10" t="n">
        <v>3</v>
      </c>
      <c r="B12" s="2" t="s">
        <v>310</v>
      </c>
      <c r="C12" s="10" t="n">
        <f aca="false">Wiring!$C$6*Wiring!$E$7*Wiring!$H$9</f>
        <v>0</v>
      </c>
      <c r="P12" s="4" t="s">
        <v>311</v>
      </c>
      <c r="Q12" s="10" t="n">
        <f aca="false">SUMPRODUCT(1-Q5:Q9)</f>
        <v>3</v>
      </c>
      <c r="R12" s="10" t="n">
        <f aca="false">SUMPRODUCT(1-R5:R9)</f>
        <v>3</v>
      </c>
      <c r="S12" s="10" t="n">
        <f aca="false">SUMPRODUCT(1-S5:S9)</f>
        <v>4</v>
      </c>
      <c r="T12" s="10" t="n">
        <f aca="false">SUMPRODUCT(1-T5:T9)</f>
        <v>3</v>
      </c>
      <c r="U12" s="10" t="n">
        <f aca="false">SUMPRODUCT(1-U5:U9)</f>
        <v>3</v>
      </c>
      <c r="V12" s="10" t="n">
        <f aca="false">SUMPRODUCT(1-V5:V9)</f>
        <v>4</v>
      </c>
      <c r="W12" s="10" t="n">
        <f aca="false">SUMPRODUCT(1-W5:W9)</f>
        <v>5</v>
      </c>
      <c r="X12" s="10" t="n">
        <f aca="false">SUMPRODUCT(1-X5:X9)</f>
        <v>5</v>
      </c>
      <c r="Y12" s="10" t="n">
        <f aca="false">SUMPRODUCT(1-Y5:Y9)</f>
        <v>4</v>
      </c>
      <c r="Z12" s="10" t="n">
        <f aca="false">SUMPRODUCT(1-Z5:Z9)</f>
        <v>4</v>
      </c>
      <c r="AA12" s="10" t="n">
        <f aca="false">SUMPRODUCT(1-AA5:AA9)</f>
        <v>4</v>
      </c>
      <c r="AB12" s="10" t="n">
        <f aca="false">SUMPRODUCT(1-AB5:AB9)</f>
        <v>4</v>
      </c>
      <c r="AC12" s="10" t="n">
        <f aca="false">SUMPRODUCT(1-AC5:AC9)</f>
        <v>5</v>
      </c>
      <c r="AD12" s="10" t="n">
        <f aca="false">SUMPRODUCT(1-AD5:AD9)</f>
        <v>5</v>
      </c>
    </row>
    <row r="13" customFormat="false" ht="15" hidden="false" customHeight="false" outlineLevel="0" collapsed="false">
      <c r="A13" s="10" t="n">
        <v>3</v>
      </c>
      <c r="B13" s="2" t="s">
        <v>312</v>
      </c>
      <c r="C13" s="10" t="n">
        <f aca="false">Wiring!$C$6*Wiring!$F$7*Wiring!$H$10</f>
        <v>0</v>
      </c>
    </row>
    <row r="14" customFormat="false" ht="15" hidden="false" customHeight="false" outlineLevel="0" collapsed="false">
      <c r="A14" s="10" t="n">
        <v>3</v>
      </c>
      <c r="B14" s="2" t="s">
        <v>313</v>
      </c>
      <c r="C14" s="10" t="n">
        <f aca="false">Wiring!$C$6*Wiring!$G$7*Wiring!$H$11</f>
        <v>0</v>
      </c>
      <c r="E14" s="2" t="s">
        <v>314</v>
      </c>
      <c r="F14" s="10" t="n">
        <f aca="false">F11</f>
        <v>5</v>
      </c>
      <c r="G14" s="9" t="s">
        <v>315</v>
      </c>
    </row>
    <row r="15" customFormat="false" ht="23.85" hidden="false" customHeight="false" outlineLevel="0" collapsed="false">
      <c r="A15" s="10" t="n">
        <v>3</v>
      </c>
      <c r="B15" s="2" t="s">
        <v>316</v>
      </c>
      <c r="C15" s="10" t="n">
        <f aca="false">Wiring!$D$6*Wiring!$C$8*Wiring!$H$7</f>
        <v>0</v>
      </c>
      <c r="E15" s="2" t="s">
        <v>317</v>
      </c>
      <c r="F15" s="10" t="n">
        <f aca="false">F6</f>
        <v>3</v>
      </c>
      <c r="G15" s="9" t="s">
        <v>318</v>
      </c>
      <c r="P15" s="8" t="s">
        <v>319</v>
      </c>
      <c r="Q15" s="8" t="s">
        <v>320</v>
      </c>
      <c r="R15" s="8" t="s">
        <v>321</v>
      </c>
    </row>
    <row r="16" customFormat="false" ht="15" hidden="false" customHeight="false" outlineLevel="0" collapsed="false">
      <c r="A16" s="10" t="n">
        <v>3</v>
      </c>
      <c r="B16" s="2" t="s">
        <v>322</v>
      </c>
      <c r="C16" s="10" t="n">
        <f aca="false">Wiring!$D$6*Wiring!$E$8*Wiring!$H$9</f>
        <v>0</v>
      </c>
      <c r="E16" s="2" t="s">
        <v>323</v>
      </c>
      <c r="F16" s="10" t="n">
        <f aca="false">F8</f>
        <v>2</v>
      </c>
      <c r="G16" s="9" t="s">
        <v>324</v>
      </c>
      <c r="P16" s="7" t="str">
        <f aca="false">Q$4</f>
        <v>MKT&gt;IND</v>
      </c>
      <c r="Q16" s="7" t="str">
        <f aca="false">R$4</f>
        <v>MKT&gt;DIG</v>
      </c>
      <c r="R16" s="10" t="n">
        <f aca="false">SUMPRODUCT((1-Q$5:Q$9)*(1-R$5:R$9))</f>
        <v>1</v>
      </c>
    </row>
    <row r="17" customFormat="false" ht="15" hidden="false" customHeight="false" outlineLevel="0" collapsed="false">
      <c r="A17" s="10" t="n">
        <v>3</v>
      </c>
      <c r="B17" s="2" t="s">
        <v>325</v>
      </c>
      <c r="C17" s="10" t="n">
        <f aca="false">Wiring!$D$6*Wiring!$F$8*Wiring!$H$10</f>
        <v>0</v>
      </c>
      <c r="E17" s="2" t="s">
        <v>326</v>
      </c>
      <c r="F17" s="10" t="n">
        <f aca="false">SUM(O5:O9)</f>
        <v>5</v>
      </c>
      <c r="P17" s="7" t="str">
        <f aca="false">Q$4</f>
        <v>MKT&gt;IND</v>
      </c>
      <c r="Q17" s="7" t="str">
        <f aca="false">S$4</f>
        <v>MKT&gt;MAT</v>
      </c>
      <c r="R17" s="10" t="n">
        <f aca="false">SUMPRODUCT((1-Q$5:Q$9)*(1-S$5:S$9))</f>
        <v>2</v>
      </c>
    </row>
    <row r="18" customFormat="false" ht="15" hidden="false" customHeight="false" outlineLevel="0" collapsed="false">
      <c r="A18" s="10" t="n">
        <v>3</v>
      </c>
      <c r="B18" s="2" t="s">
        <v>327</v>
      </c>
      <c r="C18" s="10" t="n">
        <f aca="false">Wiring!$D$6*Wiring!$G$8*Wiring!$H$11</f>
        <v>0</v>
      </c>
      <c r="E18" s="2" t="s">
        <v>328</v>
      </c>
      <c r="F18" s="10" t="n">
        <f aca="false">COUNTIF(Q11:AD11,"&gt;1")</f>
        <v>0</v>
      </c>
      <c r="G18" s="9" t="s">
        <v>185</v>
      </c>
      <c r="P18" s="7" t="str">
        <f aca="false">Q$4</f>
        <v>MKT&gt;IND</v>
      </c>
      <c r="Q18" s="7" t="str">
        <f aca="false">T$4</f>
        <v>IND&gt;TRS</v>
      </c>
      <c r="R18" s="10" t="n">
        <f aca="false">SUMPRODUCT((1-Q$5:Q$9)*(1-T$5:T$9))</f>
        <v>2</v>
      </c>
    </row>
    <row r="19" customFormat="false" ht="15" hidden="false" customHeight="false" outlineLevel="0" collapsed="false">
      <c r="A19" s="10" t="n">
        <v>3</v>
      </c>
      <c r="B19" s="2" t="s">
        <v>329</v>
      </c>
      <c r="C19" s="10" t="n">
        <f aca="false">Wiring!$E$6*Wiring!$C$9*Wiring!$H$7</f>
        <v>0</v>
      </c>
      <c r="E19" s="2" t="s">
        <v>330</v>
      </c>
      <c r="F19" s="10" t="n">
        <f aca="false">IF(F18=0,F6,"check")</f>
        <v>3</v>
      </c>
      <c r="G19" s="9" t="s">
        <v>331</v>
      </c>
      <c r="P19" s="7" t="str">
        <f aca="false">Q$4</f>
        <v>MKT&gt;IND</v>
      </c>
      <c r="Q19" s="7" t="str">
        <f aca="false">U$4</f>
        <v>DIG&gt;TRS</v>
      </c>
      <c r="R19" s="10" t="n">
        <f aca="false">SUMPRODUCT((1-Q$5:Q$9)*(1-U$5:U$9))</f>
        <v>2</v>
      </c>
    </row>
    <row r="20" customFormat="false" ht="15" hidden="false" customHeight="false" outlineLevel="0" collapsed="false">
      <c r="A20" s="10" t="n">
        <v>3</v>
      </c>
      <c r="B20" s="2" t="s">
        <v>332</v>
      </c>
      <c r="C20" s="10" t="n">
        <f aca="false">Wiring!$E$6*Wiring!$D$9*Wiring!$H$8</f>
        <v>0</v>
      </c>
      <c r="E20" s="2" t="s">
        <v>333</v>
      </c>
      <c r="F20" s="10" t="n">
        <f aca="false">COUNTIF(Q12:AD12,0)</f>
        <v>0</v>
      </c>
      <c r="G20" s="9" t="s">
        <v>185</v>
      </c>
      <c r="P20" s="7" t="str">
        <f aca="false">Q$4</f>
        <v>MKT&gt;IND</v>
      </c>
      <c r="Q20" s="7" t="str">
        <f aca="false">V$4</f>
        <v>MAT&gt;TRS</v>
      </c>
      <c r="R20" s="10" t="n">
        <f aca="false">SUMPRODUCT((1-Q$5:Q$9)*(1-V$5:V$9))</f>
        <v>2</v>
      </c>
    </row>
    <row r="21" customFormat="false" ht="15" hidden="false" customHeight="false" outlineLevel="0" collapsed="false">
      <c r="A21" s="10" t="n">
        <v>3</v>
      </c>
      <c r="B21" s="2" t="s">
        <v>334</v>
      </c>
      <c r="C21" s="10" t="n">
        <f aca="false">Wiring!$E$6*Wiring!$F$9*Wiring!$H$10</f>
        <v>0</v>
      </c>
      <c r="E21" s="2" t="s">
        <v>335</v>
      </c>
      <c r="F21" s="10" t="n">
        <f aca="false">COUNTIF(R16:R106,0)</f>
        <v>0</v>
      </c>
      <c r="G21" s="9" t="s">
        <v>185</v>
      </c>
      <c r="P21" s="7" t="str">
        <f aca="false">Q$4</f>
        <v>MKT&gt;IND</v>
      </c>
      <c r="Q21" s="7" t="str">
        <f aca="false">W$4</f>
        <v>TRS&gt;IND</v>
      </c>
      <c r="R21" s="10" t="n">
        <f aca="false">SUMPRODUCT((1-Q$5:Q$9)*(1-W$5:W$9))</f>
        <v>3</v>
      </c>
    </row>
    <row r="22" customFormat="false" ht="15" hidden="false" customHeight="false" outlineLevel="0" collapsed="false">
      <c r="A22" s="10" t="n">
        <v>3</v>
      </c>
      <c r="B22" s="2" t="s">
        <v>336</v>
      </c>
      <c r="C22" s="10" t="n">
        <f aca="false">Wiring!$E$6*Wiring!$G$9*Wiring!$H$11</f>
        <v>0</v>
      </c>
      <c r="E22" s="2" t="s">
        <v>337</v>
      </c>
      <c r="F22" s="10" t="n">
        <f aca="false">SUMPRODUCT((1-T$5:T$9)*(1-U$5:U$9)*(1-V$5:V$9))</f>
        <v>0</v>
      </c>
      <c r="G22" s="9" t="s">
        <v>338</v>
      </c>
      <c r="P22" s="7" t="str">
        <f aca="false">Q$4</f>
        <v>MKT&gt;IND</v>
      </c>
      <c r="Q22" s="7" t="str">
        <f aca="false">X$4</f>
        <v>TRS&gt;DIG</v>
      </c>
      <c r="R22" s="10" t="n">
        <f aca="false">SUMPRODUCT((1-Q$5:Q$9)*(1-X$5:X$9))</f>
        <v>3</v>
      </c>
    </row>
    <row r="23" customFormat="false" ht="15" hidden="false" customHeight="false" outlineLevel="0" collapsed="false">
      <c r="A23" s="10" t="n">
        <v>3</v>
      </c>
      <c r="B23" s="2" t="s">
        <v>339</v>
      </c>
      <c r="C23" s="10" t="n">
        <f aca="false">Wiring!$F$6*Wiring!$C$10*Wiring!$H$7</f>
        <v>0</v>
      </c>
      <c r="E23" s="2" t="s">
        <v>340</v>
      </c>
      <c r="F23" s="10" t="n">
        <f aca="false">SUMPRODUCT((1-Q$5:Q$9)*(1-R$5:R$9)*(1-S$5:S$9))</f>
        <v>0</v>
      </c>
      <c r="G23" s="9" t="s">
        <v>338</v>
      </c>
      <c r="P23" s="7" t="str">
        <f aca="false">Q$4</f>
        <v>MKT&gt;IND</v>
      </c>
      <c r="Q23" s="7" t="str">
        <f aca="false">Y$4</f>
        <v>ENG&gt;IND</v>
      </c>
      <c r="R23" s="10" t="n">
        <f aca="false">SUMPRODUCT((1-Q$5:Q$9)*(1-Y$5:Y$9))</f>
        <v>2</v>
      </c>
    </row>
    <row r="24" customFormat="false" ht="15" hidden="false" customHeight="false" outlineLevel="0" collapsed="false">
      <c r="A24" s="10" t="n">
        <v>3</v>
      </c>
      <c r="B24" s="2" t="s">
        <v>341</v>
      </c>
      <c r="C24" s="10" t="n">
        <f aca="false">Wiring!$F$6*Wiring!$D$10*Wiring!$H$8</f>
        <v>0</v>
      </c>
      <c r="E24" s="2" t="s">
        <v>342</v>
      </c>
      <c r="F24" s="10" t="n">
        <f aca="false">IF(F20&gt;0,1,IF(F21&gt;0,2,IF(MIN(F22,F23)=0,3,"more than 3")))</f>
        <v>3</v>
      </c>
      <c r="G24" s="9" t="s">
        <v>343</v>
      </c>
      <c r="P24" s="7" t="str">
        <f aca="false">Q$4</f>
        <v>MKT&gt;IND</v>
      </c>
      <c r="Q24" s="7" t="str">
        <f aca="false">Z$4</f>
        <v>IND&gt;ENG</v>
      </c>
      <c r="R24" s="10" t="n">
        <f aca="false">SUMPRODUCT((1-Q$5:Q$9)*(1-Z$5:Z$9))</f>
        <v>3</v>
      </c>
    </row>
    <row r="25" customFormat="false" ht="15" hidden="false" customHeight="false" outlineLevel="0" collapsed="false">
      <c r="A25" s="10" t="n">
        <v>3</v>
      </c>
      <c r="B25" s="2" t="s">
        <v>344</v>
      </c>
      <c r="C25" s="10" t="n">
        <f aca="false">Wiring!$F$6*Wiring!$E$10*Wiring!$H$9</f>
        <v>0</v>
      </c>
      <c r="P25" s="7" t="str">
        <f aca="false">Q$4</f>
        <v>MKT&gt;IND</v>
      </c>
      <c r="Q25" s="7" t="str">
        <f aca="false">AA$4</f>
        <v>ENG&gt;DIG</v>
      </c>
      <c r="R25" s="10" t="n">
        <f aca="false">SUMPRODUCT((1-Q$5:Q$9)*(1-AA$5:AA$9))</f>
        <v>3</v>
      </c>
    </row>
    <row r="26" customFormat="false" ht="15" hidden="false" customHeight="false" outlineLevel="0" collapsed="false">
      <c r="A26" s="10" t="n">
        <v>3</v>
      </c>
      <c r="B26" s="2" t="s">
        <v>345</v>
      </c>
      <c r="C26" s="10" t="n">
        <f aca="false">Wiring!$F$6*Wiring!$G$10*Wiring!$H$11</f>
        <v>0</v>
      </c>
      <c r="P26" s="7" t="str">
        <f aca="false">Q$4</f>
        <v>MKT&gt;IND</v>
      </c>
      <c r="Q26" s="7" t="str">
        <f aca="false">AB$4</f>
        <v>DIG&gt;ENG</v>
      </c>
      <c r="R26" s="10" t="n">
        <f aca="false">SUMPRODUCT((1-Q$5:Q$9)*(1-AB$5:AB$9))</f>
        <v>2</v>
      </c>
    </row>
    <row r="27" customFormat="false" ht="15" hidden="false" customHeight="false" outlineLevel="0" collapsed="false">
      <c r="A27" s="10" t="n">
        <v>3</v>
      </c>
      <c r="B27" s="2" t="s">
        <v>346</v>
      </c>
      <c r="C27" s="10" t="n">
        <f aca="false">Wiring!$G$6*Wiring!$C$11*Wiring!$H$7</f>
        <v>0</v>
      </c>
      <c r="P27" s="7" t="str">
        <f aca="false">Q$4</f>
        <v>MKT&gt;IND</v>
      </c>
      <c r="Q27" s="7" t="str">
        <f aca="false">AC$4</f>
        <v>GOV&gt;TRS</v>
      </c>
      <c r="R27" s="10" t="n">
        <f aca="false">SUMPRODUCT((1-Q$5:Q$9)*(1-AC$5:AC$9))</f>
        <v>3</v>
      </c>
    </row>
    <row r="28" customFormat="false" ht="15" hidden="false" customHeight="false" outlineLevel="0" collapsed="false">
      <c r="A28" s="10" t="n">
        <v>3</v>
      </c>
      <c r="B28" s="2" t="s">
        <v>347</v>
      </c>
      <c r="C28" s="10" t="n">
        <f aca="false">Wiring!$G$6*Wiring!$D$11*Wiring!$H$8</f>
        <v>0</v>
      </c>
      <c r="P28" s="7" t="str">
        <f aca="false">Q$4</f>
        <v>MKT&gt;IND</v>
      </c>
      <c r="Q28" s="7" t="str">
        <f aca="false">AD$4</f>
        <v>GOV&gt;DIG</v>
      </c>
      <c r="R28" s="10" t="n">
        <f aca="false">SUMPRODUCT((1-Q$5:Q$9)*(1-AD$5:AD$9))</f>
        <v>3</v>
      </c>
    </row>
    <row r="29" customFormat="false" ht="15" hidden="false" customHeight="false" outlineLevel="0" collapsed="false">
      <c r="A29" s="10" t="n">
        <v>3</v>
      </c>
      <c r="B29" s="2" t="s">
        <v>348</v>
      </c>
      <c r="C29" s="10" t="n">
        <f aca="false">Wiring!$G$6*Wiring!$E$11*Wiring!$H$9</f>
        <v>0</v>
      </c>
      <c r="P29" s="7" t="str">
        <f aca="false">R$4</f>
        <v>MKT&gt;DIG</v>
      </c>
      <c r="Q29" s="7" t="str">
        <f aca="false">S$4</f>
        <v>MKT&gt;MAT</v>
      </c>
      <c r="R29" s="10" t="n">
        <f aca="false">SUMPRODUCT((1-R$5:R$9)*(1-S$5:S$9))</f>
        <v>2</v>
      </c>
    </row>
    <row r="30" customFormat="false" ht="15" hidden="false" customHeight="false" outlineLevel="0" collapsed="false">
      <c r="A30" s="10" t="n">
        <v>3</v>
      </c>
      <c r="B30" s="2" t="s">
        <v>349</v>
      </c>
      <c r="C30" s="10" t="n">
        <f aca="false">Wiring!$G$6*Wiring!$F$11*Wiring!$H$10</f>
        <v>0</v>
      </c>
      <c r="P30" s="7" t="str">
        <f aca="false">R$4</f>
        <v>MKT&gt;DIG</v>
      </c>
      <c r="Q30" s="7" t="str">
        <f aca="false">T$4</f>
        <v>IND&gt;TRS</v>
      </c>
      <c r="R30" s="10" t="n">
        <f aca="false">SUMPRODUCT((1-R$5:R$9)*(1-T$5:T$9))</f>
        <v>2</v>
      </c>
    </row>
    <row r="31" customFormat="false" ht="15" hidden="false" customHeight="false" outlineLevel="0" collapsed="false">
      <c r="A31" s="10" t="n">
        <v>4</v>
      </c>
      <c r="B31" s="2" t="s">
        <v>350</v>
      </c>
      <c r="C31" s="10" t="n">
        <f aca="false">Wiring!$C$6*Wiring!$D$7*Wiring!$E$8*Wiring!$H$9</f>
        <v>0</v>
      </c>
      <c r="P31" s="7" t="str">
        <f aca="false">R$4</f>
        <v>MKT&gt;DIG</v>
      </c>
      <c r="Q31" s="7" t="str">
        <f aca="false">U$4</f>
        <v>DIG&gt;TRS</v>
      </c>
      <c r="R31" s="10" t="n">
        <f aca="false">SUMPRODUCT((1-R$5:R$9)*(1-U$5:U$9))</f>
        <v>2</v>
      </c>
    </row>
    <row r="32" customFormat="false" ht="15" hidden="false" customHeight="false" outlineLevel="0" collapsed="false">
      <c r="A32" s="10" t="n">
        <v>4</v>
      </c>
      <c r="B32" s="2" t="s">
        <v>351</v>
      </c>
      <c r="C32" s="10" t="n">
        <f aca="false">Wiring!$C$6*Wiring!$D$7*Wiring!$F$8*Wiring!$H$10</f>
        <v>0</v>
      </c>
      <c r="P32" s="7" t="str">
        <f aca="false">R$4</f>
        <v>MKT&gt;DIG</v>
      </c>
      <c r="Q32" s="7" t="str">
        <f aca="false">V$4</f>
        <v>MAT&gt;TRS</v>
      </c>
      <c r="R32" s="10" t="n">
        <f aca="false">SUMPRODUCT((1-R$5:R$9)*(1-V$5:V$9))</f>
        <v>2</v>
      </c>
    </row>
    <row r="33" customFormat="false" ht="15" hidden="false" customHeight="false" outlineLevel="0" collapsed="false">
      <c r="A33" s="10" t="n">
        <v>4</v>
      </c>
      <c r="B33" s="2" t="s">
        <v>352</v>
      </c>
      <c r="C33" s="10" t="n">
        <f aca="false">Wiring!$C$6*Wiring!$D$7*Wiring!$G$8*Wiring!$H$11</f>
        <v>0</v>
      </c>
      <c r="P33" s="7" t="str">
        <f aca="false">R$4</f>
        <v>MKT&gt;DIG</v>
      </c>
      <c r="Q33" s="7" t="str">
        <f aca="false">W$4</f>
        <v>TRS&gt;IND</v>
      </c>
      <c r="R33" s="10" t="n">
        <f aca="false">SUMPRODUCT((1-R$5:R$9)*(1-W$5:W$9))</f>
        <v>3</v>
      </c>
    </row>
    <row r="34" customFormat="false" ht="15" hidden="false" customHeight="false" outlineLevel="0" collapsed="false">
      <c r="A34" s="10" t="n">
        <v>4</v>
      </c>
      <c r="B34" s="2" t="s">
        <v>353</v>
      </c>
      <c r="C34" s="10" t="n">
        <f aca="false">Wiring!$C$6*Wiring!$E$7*Wiring!$D$9*Wiring!$H$8</f>
        <v>0</v>
      </c>
      <c r="P34" s="7" t="str">
        <f aca="false">R$4</f>
        <v>MKT&gt;DIG</v>
      </c>
      <c r="Q34" s="7" t="str">
        <f aca="false">X$4</f>
        <v>TRS&gt;DIG</v>
      </c>
      <c r="R34" s="10" t="n">
        <f aca="false">SUMPRODUCT((1-R$5:R$9)*(1-X$5:X$9))</f>
        <v>3</v>
      </c>
    </row>
    <row r="35" customFormat="false" ht="15" hidden="false" customHeight="false" outlineLevel="0" collapsed="false">
      <c r="A35" s="10" t="n">
        <v>4</v>
      </c>
      <c r="B35" s="2" t="s">
        <v>354</v>
      </c>
      <c r="C35" s="10" t="n">
        <f aca="false">Wiring!$C$6*Wiring!$E$7*Wiring!$F$9*Wiring!$H$10</f>
        <v>0</v>
      </c>
      <c r="P35" s="7" t="str">
        <f aca="false">R$4</f>
        <v>MKT&gt;DIG</v>
      </c>
      <c r="Q35" s="7" t="str">
        <f aca="false">Y$4</f>
        <v>ENG&gt;IND</v>
      </c>
      <c r="R35" s="10" t="n">
        <f aca="false">SUMPRODUCT((1-R$5:R$9)*(1-Y$5:Y$9))</f>
        <v>3</v>
      </c>
    </row>
    <row r="36" customFormat="false" ht="15" hidden="false" customHeight="false" outlineLevel="0" collapsed="false">
      <c r="A36" s="10" t="n">
        <v>4</v>
      </c>
      <c r="B36" s="2" t="s">
        <v>355</v>
      </c>
      <c r="C36" s="10" t="n">
        <f aca="false">Wiring!$C$6*Wiring!$E$7*Wiring!$G$9*Wiring!$H$11</f>
        <v>0</v>
      </c>
      <c r="P36" s="7" t="str">
        <f aca="false">R$4</f>
        <v>MKT&gt;DIG</v>
      </c>
      <c r="Q36" s="7" t="str">
        <f aca="false">Z$4</f>
        <v>IND&gt;ENG</v>
      </c>
      <c r="R36" s="10" t="n">
        <f aca="false">SUMPRODUCT((1-R$5:R$9)*(1-Z$5:Z$9))</f>
        <v>2</v>
      </c>
    </row>
    <row r="37" customFormat="false" ht="15" hidden="false" customHeight="false" outlineLevel="0" collapsed="false">
      <c r="A37" s="10" t="n">
        <v>4</v>
      </c>
      <c r="B37" s="2" t="s">
        <v>356</v>
      </c>
      <c r="C37" s="10" t="n">
        <f aca="false">Wiring!$C$6*Wiring!$F$7*Wiring!$D$10*Wiring!$H$8</f>
        <v>0</v>
      </c>
      <c r="P37" s="7" t="str">
        <f aca="false">R$4</f>
        <v>MKT&gt;DIG</v>
      </c>
      <c r="Q37" s="7" t="str">
        <f aca="false">AA$4</f>
        <v>ENG&gt;DIG</v>
      </c>
      <c r="R37" s="10" t="n">
        <f aca="false">SUMPRODUCT((1-R$5:R$9)*(1-AA$5:AA$9))</f>
        <v>2</v>
      </c>
    </row>
    <row r="38" customFormat="false" ht="15" hidden="false" customHeight="false" outlineLevel="0" collapsed="false">
      <c r="A38" s="10" t="n">
        <v>4</v>
      </c>
      <c r="B38" s="2" t="s">
        <v>357</v>
      </c>
      <c r="C38" s="10" t="n">
        <f aca="false">Wiring!$C$6*Wiring!$F$7*Wiring!$E$10*Wiring!$H$9</f>
        <v>0</v>
      </c>
      <c r="P38" s="7" t="str">
        <f aca="false">R$4</f>
        <v>MKT&gt;DIG</v>
      </c>
      <c r="Q38" s="7" t="str">
        <f aca="false">AB$4</f>
        <v>DIG&gt;ENG</v>
      </c>
      <c r="R38" s="10" t="n">
        <f aca="false">SUMPRODUCT((1-R$5:R$9)*(1-AB$5:AB$9))</f>
        <v>3</v>
      </c>
    </row>
    <row r="39" customFormat="false" ht="15" hidden="false" customHeight="false" outlineLevel="0" collapsed="false">
      <c r="A39" s="10" t="n">
        <v>4</v>
      </c>
      <c r="B39" s="2" t="s">
        <v>358</v>
      </c>
      <c r="C39" s="10" t="n">
        <f aca="false">Wiring!$C$6*Wiring!$F$7*Wiring!$G$10*Wiring!$H$11</f>
        <v>0</v>
      </c>
      <c r="P39" s="7" t="str">
        <f aca="false">R$4</f>
        <v>MKT&gt;DIG</v>
      </c>
      <c r="Q39" s="7" t="str">
        <f aca="false">AC$4</f>
        <v>GOV&gt;TRS</v>
      </c>
      <c r="R39" s="10" t="n">
        <f aca="false">SUMPRODUCT((1-R$5:R$9)*(1-AC$5:AC$9))</f>
        <v>3</v>
      </c>
    </row>
    <row r="40" customFormat="false" ht="15" hidden="false" customHeight="false" outlineLevel="0" collapsed="false">
      <c r="A40" s="10" t="n">
        <v>4</v>
      </c>
      <c r="B40" s="2" t="s">
        <v>359</v>
      </c>
      <c r="C40" s="10" t="n">
        <f aca="false">Wiring!$C$6*Wiring!$G$7*Wiring!$D$11*Wiring!$H$8</f>
        <v>0</v>
      </c>
      <c r="P40" s="7" t="str">
        <f aca="false">R$4</f>
        <v>MKT&gt;DIG</v>
      </c>
      <c r="Q40" s="7" t="str">
        <f aca="false">AD$4</f>
        <v>GOV&gt;DIG</v>
      </c>
      <c r="R40" s="10" t="n">
        <f aca="false">SUMPRODUCT((1-R$5:R$9)*(1-AD$5:AD$9))</f>
        <v>3</v>
      </c>
    </row>
    <row r="41" customFormat="false" ht="15" hidden="false" customHeight="false" outlineLevel="0" collapsed="false">
      <c r="A41" s="10" t="n">
        <v>4</v>
      </c>
      <c r="B41" s="2" t="s">
        <v>360</v>
      </c>
      <c r="C41" s="10" t="n">
        <f aca="false">Wiring!$C$6*Wiring!$G$7*Wiring!$E$11*Wiring!$H$9</f>
        <v>0</v>
      </c>
      <c r="P41" s="7" t="str">
        <f aca="false">S$4</f>
        <v>MKT&gt;MAT</v>
      </c>
      <c r="Q41" s="7" t="str">
        <f aca="false">T$4</f>
        <v>IND&gt;TRS</v>
      </c>
      <c r="R41" s="10" t="n">
        <f aca="false">SUMPRODUCT((1-S$5:S$9)*(1-T$5:T$9))</f>
        <v>2</v>
      </c>
    </row>
    <row r="42" customFormat="false" ht="15" hidden="false" customHeight="false" outlineLevel="0" collapsed="false">
      <c r="A42" s="10" t="n">
        <v>4</v>
      </c>
      <c r="B42" s="2" t="s">
        <v>361</v>
      </c>
      <c r="C42" s="10" t="n">
        <f aca="false">Wiring!$C$6*Wiring!$G$7*Wiring!$F$11*Wiring!$H$10</f>
        <v>0</v>
      </c>
      <c r="P42" s="7" t="str">
        <f aca="false">S$4</f>
        <v>MKT&gt;MAT</v>
      </c>
      <c r="Q42" s="7" t="str">
        <f aca="false">U$4</f>
        <v>DIG&gt;TRS</v>
      </c>
      <c r="R42" s="10" t="n">
        <f aca="false">SUMPRODUCT((1-S$5:S$9)*(1-U$5:U$9))</f>
        <v>2</v>
      </c>
    </row>
    <row r="43" customFormat="false" ht="15" hidden="false" customHeight="false" outlineLevel="0" collapsed="false">
      <c r="A43" s="10" t="n">
        <v>4</v>
      </c>
      <c r="B43" s="2" t="s">
        <v>362</v>
      </c>
      <c r="C43" s="10" t="n">
        <f aca="false">Wiring!$D$6*Wiring!$C$8*Wiring!$E$7*Wiring!$H$9</f>
        <v>0</v>
      </c>
      <c r="P43" s="7" t="str">
        <f aca="false">S$4</f>
        <v>MKT&gt;MAT</v>
      </c>
      <c r="Q43" s="7" t="str">
        <f aca="false">V$4</f>
        <v>MAT&gt;TRS</v>
      </c>
      <c r="R43" s="10" t="n">
        <f aca="false">SUMPRODUCT((1-S$5:S$9)*(1-V$5:V$9))</f>
        <v>4</v>
      </c>
    </row>
    <row r="44" customFormat="false" ht="15" hidden="false" customHeight="false" outlineLevel="0" collapsed="false">
      <c r="A44" s="10" t="n">
        <v>4</v>
      </c>
      <c r="B44" s="2" t="s">
        <v>363</v>
      </c>
      <c r="C44" s="10" t="n">
        <f aca="false">Wiring!$D$6*Wiring!$C$8*Wiring!$F$7*Wiring!$H$10</f>
        <v>0</v>
      </c>
      <c r="P44" s="7" t="str">
        <f aca="false">S$4</f>
        <v>MKT&gt;MAT</v>
      </c>
      <c r="Q44" s="7" t="str">
        <f aca="false">W$4</f>
        <v>TRS&gt;IND</v>
      </c>
      <c r="R44" s="10" t="n">
        <f aca="false">SUMPRODUCT((1-S$5:S$9)*(1-W$5:W$9))</f>
        <v>4</v>
      </c>
    </row>
    <row r="45" customFormat="false" ht="15" hidden="false" customHeight="false" outlineLevel="0" collapsed="false">
      <c r="A45" s="10" t="n">
        <v>4</v>
      </c>
      <c r="B45" s="2" t="s">
        <v>364</v>
      </c>
      <c r="C45" s="10" t="n">
        <f aca="false">Wiring!$D$6*Wiring!$C$8*Wiring!$G$7*Wiring!$H$11</f>
        <v>0</v>
      </c>
      <c r="P45" s="7" t="str">
        <f aca="false">S$4</f>
        <v>MKT&gt;MAT</v>
      </c>
      <c r="Q45" s="7" t="str">
        <f aca="false">X$4</f>
        <v>TRS&gt;DIG</v>
      </c>
      <c r="R45" s="10" t="n">
        <f aca="false">SUMPRODUCT((1-S$5:S$9)*(1-X$5:X$9))</f>
        <v>4</v>
      </c>
    </row>
    <row r="46" customFormat="false" ht="15" hidden="false" customHeight="false" outlineLevel="0" collapsed="false">
      <c r="A46" s="10" t="n">
        <v>4</v>
      </c>
      <c r="B46" s="2" t="s">
        <v>365</v>
      </c>
      <c r="C46" s="10" t="n">
        <f aca="false">Wiring!$D$6*Wiring!$E$8*Wiring!$C$9*Wiring!$H$7</f>
        <v>0</v>
      </c>
      <c r="P46" s="7" t="str">
        <f aca="false">S$4</f>
        <v>MKT&gt;MAT</v>
      </c>
      <c r="Q46" s="7" t="str">
        <f aca="false">Y$4</f>
        <v>ENG&gt;IND</v>
      </c>
      <c r="R46" s="10" t="n">
        <f aca="false">SUMPRODUCT((1-S$5:S$9)*(1-Y$5:Y$9))</f>
        <v>3</v>
      </c>
    </row>
    <row r="47" customFormat="false" ht="15" hidden="false" customHeight="false" outlineLevel="0" collapsed="false">
      <c r="A47" s="10" t="n">
        <v>4</v>
      </c>
      <c r="B47" s="2" t="s">
        <v>366</v>
      </c>
      <c r="C47" s="10" t="n">
        <f aca="false">Wiring!$D$6*Wiring!$E$8*Wiring!$F$9*Wiring!$H$10</f>
        <v>0</v>
      </c>
      <c r="P47" s="7" t="str">
        <f aca="false">S$4</f>
        <v>MKT&gt;MAT</v>
      </c>
      <c r="Q47" s="7" t="str">
        <f aca="false">Z$4</f>
        <v>IND&gt;ENG</v>
      </c>
      <c r="R47" s="10" t="n">
        <f aca="false">SUMPRODUCT((1-S$5:S$9)*(1-Z$5:Z$9))</f>
        <v>3</v>
      </c>
    </row>
    <row r="48" customFormat="false" ht="15" hidden="false" customHeight="false" outlineLevel="0" collapsed="false">
      <c r="A48" s="10" t="n">
        <v>4</v>
      </c>
      <c r="B48" s="2" t="s">
        <v>367</v>
      </c>
      <c r="C48" s="10" t="n">
        <f aca="false">Wiring!$D$6*Wiring!$E$8*Wiring!$G$9*Wiring!$H$11</f>
        <v>0</v>
      </c>
      <c r="P48" s="7" t="str">
        <f aca="false">S$4</f>
        <v>MKT&gt;MAT</v>
      </c>
      <c r="Q48" s="7" t="str">
        <f aca="false">AA$4</f>
        <v>ENG&gt;DIG</v>
      </c>
      <c r="R48" s="10" t="n">
        <f aca="false">SUMPRODUCT((1-S$5:S$9)*(1-AA$5:AA$9))</f>
        <v>3</v>
      </c>
    </row>
    <row r="49" customFormat="false" ht="15" hidden="false" customHeight="false" outlineLevel="0" collapsed="false">
      <c r="A49" s="10" t="n">
        <v>4</v>
      </c>
      <c r="B49" s="2" t="s">
        <v>368</v>
      </c>
      <c r="C49" s="10" t="n">
        <f aca="false">Wiring!$D$6*Wiring!$F$8*Wiring!$C$10*Wiring!$H$7</f>
        <v>0</v>
      </c>
      <c r="P49" s="7" t="str">
        <f aca="false">S$4</f>
        <v>MKT&gt;MAT</v>
      </c>
      <c r="Q49" s="7" t="str">
        <f aca="false">AB$4</f>
        <v>DIG&gt;ENG</v>
      </c>
      <c r="R49" s="10" t="n">
        <f aca="false">SUMPRODUCT((1-S$5:S$9)*(1-AB$5:AB$9))</f>
        <v>3</v>
      </c>
    </row>
    <row r="50" customFormat="false" ht="15" hidden="false" customHeight="false" outlineLevel="0" collapsed="false">
      <c r="A50" s="10" t="n">
        <v>4</v>
      </c>
      <c r="B50" s="2" t="s">
        <v>369</v>
      </c>
      <c r="C50" s="10" t="n">
        <f aca="false">Wiring!$D$6*Wiring!$F$8*Wiring!$E$10*Wiring!$H$9</f>
        <v>0</v>
      </c>
      <c r="P50" s="7" t="str">
        <f aca="false">S$4</f>
        <v>MKT&gt;MAT</v>
      </c>
      <c r="Q50" s="7" t="str">
        <f aca="false">AC$4</f>
        <v>GOV&gt;TRS</v>
      </c>
      <c r="R50" s="10" t="n">
        <f aca="false">SUMPRODUCT((1-S$5:S$9)*(1-AC$5:AC$9))</f>
        <v>4</v>
      </c>
    </row>
    <row r="51" customFormat="false" ht="15" hidden="false" customHeight="false" outlineLevel="0" collapsed="false">
      <c r="A51" s="10" t="n">
        <v>4</v>
      </c>
      <c r="B51" s="2" t="s">
        <v>370</v>
      </c>
      <c r="C51" s="10" t="n">
        <f aca="false">Wiring!$D$6*Wiring!$F$8*Wiring!$G$10*Wiring!$H$11</f>
        <v>0</v>
      </c>
      <c r="P51" s="7" t="str">
        <f aca="false">S$4</f>
        <v>MKT&gt;MAT</v>
      </c>
      <c r="Q51" s="7" t="str">
        <f aca="false">AD$4</f>
        <v>GOV&gt;DIG</v>
      </c>
      <c r="R51" s="10" t="n">
        <f aca="false">SUMPRODUCT((1-S$5:S$9)*(1-AD$5:AD$9))</f>
        <v>4</v>
      </c>
    </row>
    <row r="52" customFormat="false" ht="15" hidden="false" customHeight="false" outlineLevel="0" collapsed="false">
      <c r="A52" s="10" t="n">
        <v>4</v>
      </c>
      <c r="B52" s="2" t="s">
        <v>371</v>
      </c>
      <c r="C52" s="10" t="n">
        <f aca="false">Wiring!$D$6*Wiring!$G$8*Wiring!$C$11*Wiring!$H$7</f>
        <v>0</v>
      </c>
      <c r="P52" s="7" t="str">
        <f aca="false">T$4</f>
        <v>IND&gt;TRS</v>
      </c>
      <c r="Q52" s="7" t="str">
        <f aca="false">U$4</f>
        <v>DIG&gt;TRS</v>
      </c>
      <c r="R52" s="10" t="n">
        <f aca="false">SUMPRODUCT((1-T$5:T$9)*(1-U$5:U$9))</f>
        <v>1</v>
      </c>
    </row>
    <row r="53" customFormat="false" ht="15" hidden="false" customHeight="false" outlineLevel="0" collapsed="false">
      <c r="A53" s="10" t="n">
        <v>4</v>
      </c>
      <c r="B53" s="2" t="s">
        <v>372</v>
      </c>
      <c r="C53" s="10" t="n">
        <f aca="false">Wiring!$D$6*Wiring!$G$8*Wiring!$E$11*Wiring!$H$9</f>
        <v>0</v>
      </c>
      <c r="P53" s="7" t="str">
        <f aca="false">T$4</f>
        <v>IND&gt;TRS</v>
      </c>
      <c r="Q53" s="7" t="str">
        <f aca="false">V$4</f>
        <v>MAT&gt;TRS</v>
      </c>
      <c r="R53" s="10" t="n">
        <f aca="false">SUMPRODUCT((1-T$5:T$9)*(1-V$5:V$9))</f>
        <v>2</v>
      </c>
    </row>
    <row r="54" customFormat="false" ht="15" hidden="false" customHeight="false" outlineLevel="0" collapsed="false">
      <c r="A54" s="10" t="n">
        <v>4</v>
      </c>
      <c r="B54" s="2" t="s">
        <v>373</v>
      </c>
      <c r="C54" s="10" t="n">
        <f aca="false">Wiring!$D$6*Wiring!$G$8*Wiring!$F$11*Wiring!$H$10</f>
        <v>0</v>
      </c>
      <c r="P54" s="7" t="str">
        <f aca="false">T$4</f>
        <v>IND&gt;TRS</v>
      </c>
      <c r="Q54" s="7" t="str">
        <f aca="false">W$4</f>
        <v>TRS&gt;IND</v>
      </c>
      <c r="R54" s="10" t="n">
        <f aca="false">SUMPRODUCT((1-T$5:T$9)*(1-W$5:W$9))</f>
        <v>3</v>
      </c>
    </row>
    <row r="55" customFormat="false" ht="15" hidden="false" customHeight="false" outlineLevel="0" collapsed="false">
      <c r="A55" s="10" t="n">
        <v>4</v>
      </c>
      <c r="B55" s="2" t="s">
        <v>374</v>
      </c>
      <c r="C55" s="10" t="n">
        <f aca="false">Wiring!$E$6*Wiring!$C$9*Wiring!$D$7*Wiring!$H$8</f>
        <v>0</v>
      </c>
      <c r="P55" s="7" t="str">
        <f aca="false">T$4</f>
        <v>IND&gt;TRS</v>
      </c>
      <c r="Q55" s="7" t="str">
        <f aca="false">X$4</f>
        <v>TRS&gt;DIG</v>
      </c>
      <c r="R55" s="10" t="n">
        <f aca="false">SUMPRODUCT((1-T$5:T$9)*(1-X$5:X$9))</f>
        <v>3</v>
      </c>
    </row>
    <row r="56" customFormat="false" ht="15" hidden="false" customHeight="false" outlineLevel="0" collapsed="false">
      <c r="A56" s="10" t="n">
        <v>4</v>
      </c>
      <c r="B56" s="2" t="s">
        <v>375</v>
      </c>
      <c r="C56" s="10" t="n">
        <f aca="false">Wiring!$E$6*Wiring!$C$9*Wiring!$F$7*Wiring!$H$10</f>
        <v>0</v>
      </c>
      <c r="P56" s="7" t="str">
        <f aca="false">T$4</f>
        <v>IND&gt;TRS</v>
      </c>
      <c r="Q56" s="7" t="str">
        <f aca="false">Y$4</f>
        <v>ENG&gt;IND</v>
      </c>
      <c r="R56" s="10" t="n">
        <f aca="false">SUMPRODUCT((1-T$5:T$9)*(1-Y$5:Y$9))</f>
        <v>3</v>
      </c>
    </row>
    <row r="57" customFormat="false" ht="15" hidden="false" customHeight="false" outlineLevel="0" collapsed="false">
      <c r="A57" s="10" t="n">
        <v>4</v>
      </c>
      <c r="B57" s="2" t="s">
        <v>376</v>
      </c>
      <c r="C57" s="10" t="n">
        <f aca="false">Wiring!$E$6*Wiring!$C$9*Wiring!$G$7*Wiring!$H$11</f>
        <v>0</v>
      </c>
      <c r="P57" s="7" t="str">
        <f aca="false">T$4</f>
        <v>IND&gt;TRS</v>
      </c>
      <c r="Q57" s="7" t="str">
        <f aca="false">Z$4</f>
        <v>IND&gt;ENG</v>
      </c>
      <c r="R57" s="10" t="n">
        <f aca="false">SUMPRODUCT((1-T$5:T$9)*(1-Z$5:Z$9))</f>
        <v>2</v>
      </c>
    </row>
    <row r="58" customFormat="false" ht="15" hidden="false" customHeight="false" outlineLevel="0" collapsed="false">
      <c r="A58" s="10" t="n">
        <v>4</v>
      </c>
      <c r="B58" s="2" t="s">
        <v>377</v>
      </c>
      <c r="C58" s="10" t="n">
        <f aca="false">Wiring!$E$6*Wiring!$D$9*Wiring!$C$8*Wiring!$H$7</f>
        <v>0</v>
      </c>
      <c r="P58" s="7" t="str">
        <f aca="false">T$4</f>
        <v>IND&gt;TRS</v>
      </c>
      <c r="Q58" s="7" t="str">
        <f aca="false">AA$4</f>
        <v>ENG&gt;DIG</v>
      </c>
      <c r="R58" s="10" t="n">
        <f aca="false">SUMPRODUCT((1-T$5:T$9)*(1-AA$5:AA$9))</f>
        <v>2</v>
      </c>
    </row>
    <row r="59" customFormat="false" ht="15" hidden="false" customHeight="false" outlineLevel="0" collapsed="false">
      <c r="A59" s="10" t="n">
        <v>4</v>
      </c>
      <c r="B59" s="2" t="s">
        <v>378</v>
      </c>
      <c r="C59" s="10" t="n">
        <f aca="false">Wiring!$E$6*Wiring!$D$9*Wiring!$F$8*Wiring!$H$10</f>
        <v>0</v>
      </c>
      <c r="P59" s="7" t="str">
        <f aca="false">T$4</f>
        <v>IND&gt;TRS</v>
      </c>
      <c r="Q59" s="7" t="str">
        <f aca="false">AB$4</f>
        <v>DIG&gt;ENG</v>
      </c>
      <c r="R59" s="10" t="n">
        <f aca="false">SUMPRODUCT((1-T$5:T$9)*(1-AB$5:AB$9))</f>
        <v>3</v>
      </c>
    </row>
    <row r="60" customFormat="false" ht="15" hidden="false" customHeight="false" outlineLevel="0" collapsed="false">
      <c r="A60" s="10" t="n">
        <v>4</v>
      </c>
      <c r="B60" s="2" t="s">
        <v>379</v>
      </c>
      <c r="C60" s="10" t="n">
        <f aca="false">Wiring!$E$6*Wiring!$D$9*Wiring!$G$8*Wiring!$H$11</f>
        <v>0</v>
      </c>
      <c r="P60" s="7" t="str">
        <f aca="false">T$4</f>
        <v>IND&gt;TRS</v>
      </c>
      <c r="Q60" s="7" t="str">
        <f aca="false">AC$4</f>
        <v>GOV&gt;TRS</v>
      </c>
      <c r="R60" s="10" t="n">
        <f aca="false">SUMPRODUCT((1-T$5:T$9)*(1-AC$5:AC$9))</f>
        <v>3</v>
      </c>
    </row>
    <row r="61" customFormat="false" ht="15" hidden="false" customHeight="false" outlineLevel="0" collapsed="false">
      <c r="A61" s="10" t="n">
        <v>4</v>
      </c>
      <c r="B61" s="2" t="s">
        <v>380</v>
      </c>
      <c r="C61" s="10" t="n">
        <f aca="false">Wiring!$E$6*Wiring!$F$9*Wiring!$C$10*Wiring!$H$7</f>
        <v>0</v>
      </c>
      <c r="P61" s="7" t="str">
        <f aca="false">T$4</f>
        <v>IND&gt;TRS</v>
      </c>
      <c r="Q61" s="7" t="str">
        <f aca="false">AD$4</f>
        <v>GOV&gt;DIG</v>
      </c>
      <c r="R61" s="10" t="n">
        <f aca="false">SUMPRODUCT((1-T$5:T$9)*(1-AD$5:AD$9))</f>
        <v>3</v>
      </c>
    </row>
    <row r="62" customFormat="false" ht="15" hidden="false" customHeight="false" outlineLevel="0" collapsed="false">
      <c r="A62" s="10" t="n">
        <v>4</v>
      </c>
      <c r="B62" s="2" t="s">
        <v>381</v>
      </c>
      <c r="C62" s="10" t="n">
        <f aca="false">Wiring!$E$6*Wiring!$F$9*Wiring!$D$10*Wiring!$H$8</f>
        <v>0</v>
      </c>
      <c r="P62" s="7" t="str">
        <f aca="false">U$4</f>
        <v>DIG&gt;TRS</v>
      </c>
      <c r="Q62" s="7" t="str">
        <f aca="false">V$4</f>
        <v>MAT&gt;TRS</v>
      </c>
      <c r="R62" s="10" t="n">
        <f aca="false">SUMPRODUCT((1-U$5:U$9)*(1-V$5:V$9))</f>
        <v>2</v>
      </c>
    </row>
    <row r="63" customFormat="false" ht="15" hidden="false" customHeight="false" outlineLevel="0" collapsed="false">
      <c r="A63" s="10" t="n">
        <v>4</v>
      </c>
      <c r="B63" s="2" t="s">
        <v>382</v>
      </c>
      <c r="C63" s="10" t="n">
        <f aca="false">Wiring!$E$6*Wiring!$F$9*Wiring!$G$10*Wiring!$H$11</f>
        <v>0</v>
      </c>
      <c r="P63" s="7" t="str">
        <f aca="false">U$4</f>
        <v>DIG&gt;TRS</v>
      </c>
      <c r="Q63" s="7" t="str">
        <f aca="false">W$4</f>
        <v>TRS&gt;IND</v>
      </c>
      <c r="R63" s="10" t="n">
        <f aca="false">SUMPRODUCT((1-U$5:U$9)*(1-W$5:W$9))</f>
        <v>3</v>
      </c>
    </row>
    <row r="64" customFormat="false" ht="15" hidden="false" customHeight="false" outlineLevel="0" collapsed="false">
      <c r="A64" s="10" t="n">
        <v>4</v>
      </c>
      <c r="B64" s="2" t="s">
        <v>383</v>
      </c>
      <c r="C64" s="10" t="n">
        <f aca="false">Wiring!$E$6*Wiring!$G$9*Wiring!$C$11*Wiring!$H$7</f>
        <v>0</v>
      </c>
      <c r="P64" s="7" t="str">
        <f aca="false">U$4</f>
        <v>DIG&gt;TRS</v>
      </c>
      <c r="Q64" s="7" t="str">
        <f aca="false">X$4</f>
        <v>TRS&gt;DIG</v>
      </c>
      <c r="R64" s="10" t="n">
        <f aca="false">SUMPRODUCT((1-U$5:U$9)*(1-X$5:X$9))</f>
        <v>3</v>
      </c>
    </row>
    <row r="65" customFormat="false" ht="15" hidden="false" customHeight="false" outlineLevel="0" collapsed="false">
      <c r="A65" s="10" t="n">
        <v>4</v>
      </c>
      <c r="B65" s="2" t="s">
        <v>384</v>
      </c>
      <c r="C65" s="10" t="n">
        <f aca="false">Wiring!$E$6*Wiring!$G$9*Wiring!$D$11*Wiring!$H$8</f>
        <v>0</v>
      </c>
      <c r="P65" s="7" t="str">
        <f aca="false">U$4</f>
        <v>DIG&gt;TRS</v>
      </c>
      <c r="Q65" s="7" t="str">
        <f aca="false">Y$4</f>
        <v>ENG&gt;IND</v>
      </c>
      <c r="R65" s="10" t="n">
        <f aca="false">SUMPRODUCT((1-U$5:U$9)*(1-Y$5:Y$9))</f>
        <v>2</v>
      </c>
    </row>
    <row r="66" customFormat="false" ht="15" hidden="false" customHeight="false" outlineLevel="0" collapsed="false">
      <c r="A66" s="10" t="n">
        <v>4</v>
      </c>
      <c r="B66" s="2" t="s">
        <v>385</v>
      </c>
      <c r="C66" s="10" t="n">
        <f aca="false">Wiring!$E$6*Wiring!$G$9*Wiring!$F$11*Wiring!$H$10</f>
        <v>1</v>
      </c>
      <c r="P66" s="7" t="str">
        <f aca="false">U$4</f>
        <v>DIG&gt;TRS</v>
      </c>
      <c r="Q66" s="7" t="str">
        <f aca="false">Z$4</f>
        <v>IND&gt;ENG</v>
      </c>
      <c r="R66" s="10" t="n">
        <f aca="false">SUMPRODUCT((1-U$5:U$9)*(1-Z$5:Z$9))</f>
        <v>3</v>
      </c>
    </row>
    <row r="67" customFormat="false" ht="15" hidden="false" customHeight="false" outlineLevel="0" collapsed="false">
      <c r="A67" s="10" t="n">
        <v>4</v>
      </c>
      <c r="B67" s="2" t="s">
        <v>386</v>
      </c>
      <c r="C67" s="10" t="n">
        <f aca="false">Wiring!$F$6*Wiring!$C$10*Wiring!$D$7*Wiring!$H$8</f>
        <v>0</v>
      </c>
      <c r="P67" s="7" t="str">
        <f aca="false">U$4</f>
        <v>DIG&gt;TRS</v>
      </c>
      <c r="Q67" s="7" t="str">
        <f aca="false">AA$4</f>
        <v>ENG&gt;DIG</v>
      </c>
      <c r="R67" s="10" t="n">
        <f aca="false">SUMPRODUCT((1-U$5:U$9)*(1-AA$5:AA$9))</f>
        <v>3</v>
      </c>
    </row>
    <row r="68" customFormat="false" ht="15" hidden="false" customHeight="false" outlineLevel="0" collapsed="false">
      <c r="A68" s="10" t="n">
        <v>4</v>
      </c>
      <c r="B68" s="2" t="s">
        <v>387</v>
      </c>
      <c r="C68" s="10" t="n">
        <f aca="false">Wiring!$F$6*Wiring!$C$10*Wiring!$E$7*Wiring!$H$9</f>
        <v>0</v>
      </c>
      <c r="P68" s="7" t="str">
        <f aca="false">U$4</f>
        <v>DIG&gt;TRS</v>
      </c>
      <c r="Q68" s="7" t="str">
        <f aca="false">AB$4</f>
        <v>DIG&gt;ENG</v>
      </c>
      <c r="R68" s="10" t="n">
        <f aca="false">SUMPRODUCT((1-U$5:U$9)*(1-AB$5:AB$9))</f>
        <v>2</v>
      </c>
    </row>
    <row r="69" customFormat="false" ht="15" hidden="false" customHeight="false" outlineLevel="0" collapsed="false">
      <c r="A69" s="10" t="n">
        <v>4</v>
      </c>
      <c r="B69" s="2" t="s">
        <v>388</v>
      </c>
      <c r="C69" s="10" t="n">
        <f aca="false">Wiring!$F$6*Wiring!$C$10*Wiring!$G$7*Wiring!$H$11</f>
        <v>0</v>
      </c>
      <c r="P69" s="7" t="str">
        <f aca="false">U$4</f>
        <v>DIG&gt;TRS</v>
      </c>
      <c r="Q69" s="7" t="str">
        <f aca="false">AC$4</f>
        <v>GOV&gt;TRS</v>
      </c>
      <c r="R69" s="10" t="n">
        <f aca="false">SUMPRODUCT((1-U$5:U$9)*(1-AC$5:AC$9))</f>
        <v>3</v>
      </c>
    </row>
    <row r="70" customFormat="false" ht="15" hidden="false" customHeight="false" outlineLevel="0" collapsed="false">
      <c r="A70" s="10" t="n">
        <v>4</v>
      </c>
      <c r="B70" s="2" t="s">
        <v>389</v>
      </c>
      <c r="C70" s="10" t="n">
        <f aca="false">Wiring!$F$6*Wiring!$D$10*Wiring!$C$8*Wiring!$H$7</f>
        <v>0</v>
      </c>
      <c r="P70" s="7" t="str">
        <f aca="false">U$4</f>
        <v>DIG&gt;TRS</v>
      </c>
      <c r="Q70" s="7" t="str">
        <f aca="false">AD$4</f>
        <v>GOV&gt;DIG</v>
      </c>
      <c r="R70" s="10" t="n">
        <f aca="false">SUMPRODUCT((1-U$5:U$9)*(1-AD$5:AD$9))</f>
        <v>3</v>
      </c>
    </row>
    <row r="71" customFormat="false" ht="15" hidden="false" customHeight="false" outlineLevel="0" collapsed="false">
      <c r="A71" s="10" t="n">
        <v>4</v>
      </c>
      <c r="B71" s="2" t="s">
        <v>390</v>
      </c>
      <c r="C71" s="10" t="n">
        <f aca="false">Wiring!$F$6*Wiring!$D$10*Wiring!$E$8*Wiring!$H$9</f>
        <v>0</v>
      </c>
      <c r="P71" s="7" t="str">
        <f aca="false">V$4</f>
        <v>MAT&gt;TRS</v>
      </c>
      <c r="Q71" s="7" t="str">
        <f aca="false">W$4</f>
        <v>TRS&gt;IND</v>
      </c>
      <c r="R71" s="10" t="n">
        <f aca="false">SUMPRODUCT((1-V$5:V$9)*(1-W$5:W$9))</f>
        <v>4</v>
      </c>
    </row>
    <row r="72" customFormat="false" ht="15" hidden="false" customHeight="false" outlineLevel="0" collapsed="false">
      <c r="A72" s="10" t="n">
        <v>4</v>
      </c>
      <c r="B72" s="2" t="s">
        <v>391</v>
      </c>
      <c r="C72" s="10" t="n">
        <f aca="false">Wiring!$F$6*Wiring!$D$10*Wiring!$G$8*Wiring!$H$11</f>
        <v>0</v>
      </c>
      <c r="P72" s="7" t="str">
        <f aca="false">V$4</f>
        <v>MAT&gt;TRS</v>
      </c>
      <c r="Q72" s="7" t="str">
        <f aca="false">X$4</f>
        <v>TRS&gt;DIG</v>
      </c>
      <c r="R72" s="10" t="n">
        <f aca="false">SUMPRODUCT((1-V$5:V$9)*(1-X$5:X$9))</f>
        <v>4</v>
      </c>
    </row>
    <row r="73" customFormat="false" ht="15" hidden="false" customHeight="false" outlineLevel="0" collapsed="false">
      <c r="A73" s="10" t="n">
        <v>4</v>
      </c>
      <c r="B73" s="2" t="s">
        <v>392</v>
      </c>
      <c r="C73" s="10" t="n">
        <f aca="false">Wiring!$F$6*Wiring!$E$10*Wiring!$C$9*Wiring!$H$7</f>
        <v>0</v>
      </c>
      <c r="P73" s="7" t="str">
        <f aca="false">V$4</f>
        <v>MAT&gt;TRS</v>
      </c>
      <c r="Q73" s="7" t="str">
        <f aca="false">Y$4</f>
        <v>ENG&gt;IND</v>
      </c>
      <c r="R73" s="10" t="n">
        <f aca="false">SUMPRODUCT((1-V$5:V$9)*(1-Y$5:Y$9))</f>
        <v>3</v>
      </c>
    </row>
    <row r="74" customFormat="false" ht="15" hidden="false" customHeight="false" outlineLevel="0" collapsed="false">
      <c r="A74" s="10" t="n">
        <v>4</v>
      </c>
      <c r="B74" s="2" t="s">
        <v>393</v>
      </c>
      <c r="C74" s="10" t="n">
        <f aca="false">Wiring!$F$6*Wiring!$E$10*Wiring!$D$9*Wiring!$H$8</f>
        <v>0</v>
      </c>
      <c r="P74" s="7" t="str">
        <f aca="false">V$4</f>
        <v>MAT&gt;TRS</v>
      </c>
      <c r="Q74" s="7" t="str">
        <f aca="false">Z$4</f>
        <v>IND&gt;ENG</v>
      </c>
      <c r="R74" s="10" t="n">
        <f aca="false">SUMPRODUCT((1-V$5:V$9)*(1-Z$5:Z$9))</f>
        <v>3</v>
      </c>
    </row>
    <row r="75" customFormat="false" ht="15" hidden="false" customHeight="false" outlineLevel="0" collapsed="false">
      <c r="A75" s="10" t="n">
        <v>4</v>
      </c>
      <c r="B75" s="2" t="s">
        <v>394</v>
      </c>
      <c r="C75" s="10" t="n">
        <f aca="false">Wiring!$F$6*Wiring!$E$10*Wiring!$G$9*Wiring!$H$11</f>
        <v>0</v>
      </c>
      <c r="P75" s="7" t="str">
        <f aca="false">V$4</f>
        <v>MAT&gt;TRS</v>
      </c>
      <c r="Q75" s="7" t="str">
        <f aca="false">AA$4</f>
        <v>ENG&gt;DIG</v>
      </c>
      <c r="R75" s="10" t="n">
        <f aca="false">SUMPRODUCT((1-V$5:V$9)*(1-AA$5:AA$9))</f>
        <v>3</v>
      </c>
    </row>
    <row r="76" customFormat="false" ht="15" hidden="false" customHeight="false" outlineLevel="0" collapsed="false">
      <c r="A76" s="10" t="n">
        <v>4</v>
      </c>
      <c r="B76" s="2" t="s">
        <v>395</v>
      </c>
      <c r="C76" s="10" t="n">
        <f aca="false">Wiring!$F$6*Wiring!$G$10*Wiring!$C$11*Wiring!$H$7</f>
        <v>0</v>
      </c>
      <c r="P76" s="7" t="str">
        <f aca="false">V$4</f>
        <v>MAT&gt;TRS</v>
      </c>
      <c r="Q76" s="7" t="str">
        <f aca="false">AB$4</f>
        <v>DIG&gt;ENG</v>
      </c>
      <c r="R76" s="10" t="n">
        <f aca="false">SUMPRODUCT((1-V$5:V$9)*(1-AB$5:AB$9))</f>
        <v>3</v>
      </c>
    </row>
    <row r="77" customFormat="false" ht="15" hidden="false" customHeight="false" outlineLevel="0" collapsed="false">
      <c r="A77" s="10" t="n">
        <v>4</v>
      </c>
      <c r="B77" s="2" t="s">
        <v>396</v>
      </c>
      <c r="C77" s="10" t="n">
        <f aca="false">Wiring!$F$6*Wiring!$G$10*Wiring!$D$11*Wiring!$H$8</f>
        <v>0</v>
      </c>
      <c r="P77" s="7" t="str">
        <f aca="false">V$4</f>
        <v>MAT&gt;TRS</v>
      </c>
      <c r="Q77" s="7" t="str">
        <f aca="false">AC$4</f>
        <v>GOV&gt;TRS</v>
      </c>
      <c r="R77" s="10" t="n">
        <f aca="false">SUMPRODUCT((1-V$5:V$9)*(1-AC$5:AC$9))</f>
        <v>4</v>
      </c>
    </row>
    <row r="78" customFormat="false" ht="15" hidden="false" customHeight="false" outlineLevel="0" collapsed="false">
      <c r="A78" s="10" t="n">
        <v>4</v>
      </c>
      <c r="B78" s="2" t="s">
        <v>397</v>
      </c>
      <c r="C78" s="10" t="n">
        <f aca="false">Wiring!$F$6*Wiring!$G$10*Wiring!$E$11*Wiring!$H$9</f>
        <v>1</v>
      </c>
      <c r="P78" s="7" t="str">
        <f aca="false">V$4</f>
        <v>MAT&gt;TRS</v>
      </c>
      <c r="Q78" s="7" t="str">
        <f aca="false">AD$4</f>
        <v>GOV&gt;DIG</v>
      </c>
      <c r="R78" s="10" t="n">
        <f aca="false">SUMPRODUCT((1-V$5:V$9)*(1-AD$5:AD$9))</f>
        <v>4</v>
      </c>
    </row>
    <row r="79" customFormat="false" ht="15" hidden="false" customHeight="false" outlineLevel="0" collapsed="false">
      <c r="A79" s="10" t="n">
        <v>4</v>
      </c>
      <c r="B79" s="2" t="s">
        <v>398</v>
      </c>
      <c r="C79" s="10" t="n">
        <f aca="false">Wiring!$G$6*Wiring!$C$11*Wiring!$D$7*Wiring!$H$8</f>
        <v>0</v>
      </c>
      <c r="P79" s="7" t="str">
        <f aca="false">W$4</f>
        <v>TRS&gt;IND</v>
      </c>
      <c r="Q79" s="7" t="str">
        <f aca="false">X$4</f>
        <v>TRS&gt;DIG</v>
      </c>
      <c r="R79" s="10" t="n">
        <f aca="false">SUMPRODUCT((1-W$5:W$9)*(1-X$5:X$9))</f>
        <v>5</v>
      </c>
    </row>
    <row r="80" customFormat="false" ht="15" hidden="false" customHeight="false" outlineLevel="0" collapsed="false">
      <c r="A80" s="10" t="n">
        <v>4</v>
      </c>
      <c r="B80" s="2" t="s">
        <v>399</v>
      </c>
      <c r="C80" s="10" t="n">
        <f aca="false">Wiring!$G$6*Wiring!$C$11*Wiring!$E$7*Wiring!$H$9</f>
        <v>0</v>
      </c>
      <c r="P80" s="7" t="str">
        <f aca="false">W$4</f>
        <v>TRS&gt;IND</v>
      </c>
      <c r="Q80" s="7" t="str">
        <f aca="false">Y$4</f>
        <v>ENG&gt;IND</v>
      </c>
      <c r="R80" s="10" t="n">
        <f aca="false">SUMPRODUCT((1-W$5:W$9)*(1-Y$5:Y$9))</f>
        <v>4</v>
      </c>
    </row>
    <row r="81" customFormat="false" ht="15" hidden="false" customHeight="false" outlineLevel="0" collapsed="false">
      <c r="A81" s="10" t="n">
        <v>4</v>
      </c>
      <c r="B81" s="2" t="s">
        <v>400</v>
      </c>
      <c r="C81" s="10" t="n">
        <f aca="false">Wiring!$G$6*Wiring!$C$11*Wiring!$F$7*Wiring!$H$10</f>
        <v>0</v>
      </c>
      <c r="P81" s="7" t="str">
        <f aca="false">W$4</f>
        <v>TRS&gt;IND</v>
      </c>
      <c r="Q81" s="7" t="str">
        <f aca="false">Z$4</f>
        <v>IND&gt;ENG</v>
      </c>
      <c r="R81" s="10" t="n">
        <f aca="false">SUMPRODUCT((1-W$5:W$9)*(1-Z$5:Z$9))</f>
        <v>4</v>
      </c>
    </row>
    <row r="82" customFormat="false" ht="15" hidden="false" customHeight="false" outlineLevel="0" collapsed="false">
      <c r="A82" s="10" t="n">
        <v>4</v>
      </c>
      <c r="B82" s="2" t="s">
        <v>401</v>
      </c>
      <c r="C82" s="10" t="n">
        <f aca="false">Wiring!$G$6*Wiring!$D$11*Wiring!$C$8*Wiring!$H$7</f>
        <v>0</v>
      </c>
      <c r="P82" s="7" t="str">
        <f aca="false">W$4</f>
        <v>TRS&gt;IND</v>
      </c>
      <c r="Q82" s="7" t="str">
        <f aca="false">AA$4</f>
        <v>ENG&gt;DIG</v>
      </c>
      <c r="R82" s="10" t="n">
        <f aca="false">SUMPRODUCT((1-W$5:W$9)*(1-AA$5:AA$9))</f>
        <v>4</v>
      </c>
    </row>
    <row r="83" customFormat="false" ht="15" hidden="false" customHeight="false" outlineLevel="0" collapsed="false">
      <c r="A83" s="10" t="n">
        <v>4</v>
      </c>
      <c r="B83" s="2" t="s">
        <v>402</v>
      </c>
      <c r="C83" s="10" t="n">
        <f aca="false">Wiring!$G$6*Wiring!$D$11*Wiring!$E$8*Wiring!$H$9</f>
        <v>0</v>
      </c>
      <c r="P83" s="7" t="str">
        <f aca="false">W$4</f>
        <v>TRS&gt;IND</v>
      </c>
      <c r="Q83" s="7" t="str">
        <f aca="false">AB$4</f>
        <v>DIG&gt;ENG</v>
      </c>
      <c r="R83" s="10" t="n">
        <f aca="false">SUMPRODUCT((1-W$5:W$9)*(1-AB$5:AB$9))</f>
        <v>4</v>
      </c>
    </row>
    <row r="84" customFormat="false" ht="15" hidden="false" customHeight="false" outlineLevel="0" collapsed="false">
      <c r="A84" s="10" t="n">
        <v>4</v>
      </c>
      <c r="B84" s="2" t="s">
        <v>403</v>
      </c>
      <c r="C84" s="10" t="n">
        <f aca="false">Wiring!$G$6*Wiring!$D$11*Wiring!$F$8*Wiring!$H$10</f>
        <v>0</v>
      </c>
      <c r="P84" s="7" t="str">
        <f aca="false">W$4</f>
        <v>TRS&gt;IND</v>
      </c>
      <c r="Q84" s="7" t="str">
        <f aca="false">AC$4</f>
        <v>GOV&gt;TRS</v>
      </c>
      <c r="R84" s="10" t="n">
        <f aca="false">SUMPRODUCT((1-W$5:W$9)*(1-AC$5:AC$9))</f>
        <v>5</v>
      </c>
    </row>
    <row r="85" customFormat="false" ht="15" hidden="false" customHeight="false" outlineLevel="0" collapsed="false">
      <c r="A85" s="10" t="n">
        <v>4</v>
      </c>
      <c r="B85" s="2" t="s">
        <v>404</v>
      </c>
      <c r="C85" s="10" t="n">
        <f aca="false">Wiring!$G$6*Wiring!$E$11*Wiring!$C$9*Wiring!$H$7</f>
        <v>0</v>
      </c>
      <c r="P85" s="7" t="str">
        <f aca="false">W$4</f>
        <v>TRS&gt;IND</v>
      </c>
      <c r="Q85" s="7" t="str">
        <f aca="false">AD$4</f>
        <v>GOV&gt;DIG</v>
      </c>
      <c r="R85" s="10" t="n">
        <f aca="false">SUMPRODUCT((1-W$5:W$9)*(1-AD$5:AD$9))</f>
        <v>5</v>
      </c>
    </row>
    <row r="86" customFormat="false" ht="15" hidden="false" customHeight="false" outlineLevel="0" collapsed="false">
      <c r="A86" s="10" t="n">
        <v>4</v>
      </c>
      <c r="B86" s="2" t="s">
        <v>405</v>
      </c>
      <c r="C86" s="10" t="n">
        <f aca="false">Wiring!$G$6*Wiring!$E$11*Wiring!$D$9*Wiring!$H$8</f>
        <v>0</v>
      </c>
      <c r="P86" s="7" t="str">
        <f aca="false">X$4</f>
        <v>TRS&gt;DIG</v>
      </c>
      <c r="Q86" s="7" t="str">
        <f aca="false">Y$4</f>
        <v>ENG&gt;IND</v>
      </c>
      <c r="R86" s="10" t="n">
        <f aca="false">SUMPRODUCT((1-X$5:X$9)*(1-Y$5:Y$9))</f>
        <v>4</v>
      </c>
    </row>
    <row r="87" customFormat="false" ht="15" hidden="false" customHeight="false" outlineLevel="0" collapsed="false">
      <c r="A87" s="10" t="n">
        <v>4</v>
      </c>
      <c r="B87" s="2" t="s">
        <v>406</v>
      </c>
      <c r="C87" s="10" t="n">
        <f aca="false">Wiring!$G$6*Wiring!$E$11*Wiring!$F$9*Wiring!$H$10</f>
        <v>0</v>
      </c>
      <c r="P87" s="7" t="str">
        <f aca="false">X$4</f>
        <v>TRS&gt;DIG</v>
      </c>
      <c r="Q87" s="7" t="str">
        <f aca="false">Z$4</f>
        <v>IND&gt;ENG</v>
      </c>
      <c r="R87" s="10" t="n">
        <f aca="false">SUMPRODUCT((1-X$5:X$9)*(1-Z$5:Z$9))</f>
        <v>4</v>
      </c>
    </row>
    <row r="88" customFormat="false" ht="15" hidden="false" customHeight="false" outlineLevel="0" collapsed="false">
      <c r="A88" s="10" t="n">
        <v>4</v>
      </c>
      <c r="B88" s="2" t="s">
        <v>407</v>
      </c>
      <c r="C88" s="10" t="n">
        <f aca="false">Wiring!$G$6*Wiring!$F$11*Wiring!$C$10*Wiring!$H$7</f>
        <v>0</v>
      </c>
      <c r="P88" s="7" t="str">
        <f aca="false">X$4</f>
        <v>TRS&gt;DIG</v>
      </c>
      <c r="Q88" s="7" t="str">
        <f aca="false">AA$4</f>
        <v>ENG&gt;DIG</v>
      </c>
      <c r="R88" s="10" t="n">
        <f aca="false">SUMPRODUCT((1-X$5:X$9)*(1-AA$5:AA$9))</f>
        <v>4</v>
      </c>
    </row>
    <row r="89" customFormat="false" ht="15" hidden="false" customHeight="false" outlineLevel="0" collapsed="false">
      <c r="A89" s="10" t="n">
        <v>4</v>
      </c>
      <c r="B89" s="2" t="s">
        <v>408</v>
      </c>
      <c r="C89" s="10" t="n">
        <f aca="false">Wiring!$G$6*Wiring!$F$11*Wiring!$D$10*Wiring!$H$8</f>
        <v>0</v>
      </c>
      <c r="P89" s="7" t="str">
        <f aca="false">X$4</f>
        <v>TRS&gt;DIG</v>
      </c>
      <c r="Q89" s="7" t="str">
        <f aca="false">AB$4</f>
        <v>DIG&gt;ENG</v>
      </c>
      <c r="R89" s="10" t="n">
        <f aca="false">SUMPRODUCT((1-X$5:X$9)*(1-AB$5:AB$9))</f>
        <v>4</v>
      </c>
    </row>
    <row r="90" customFormat="false" ht="15" hidden="false" customHeight="false" outlineLevel="0" collapsed="false">
      <c r="A90" s="10" t="n">
        <v>4</v>
      </c>
      <c r="B90" s="2" t="s">
        <v>409</v>
      </c>
      <c r="C90" s="10" t="n">
        <f aca="false">Wiring!$G$6*Wiring!$F$11*Wiring!$E$10*Wiring!$H$9</f>
        <v>0</v>
      </c>
      <c r="P90" s="7" t="str">
        <f aca="false">X$4</f>
        <v>TRS&gt;DIG</v>
      </c>
      <c r="Q90" s="7" t="str">
        <f aca="false">AC$4</f>
        <v>GOV&gt;TRS</v>
      </c>
      <c r="R90" s="10" t="n">
        <f aca="false">SUMPRODUCT((1-X$5:X$9)*(1-AC$5:AC$9))</f>
        <v>5</v>
      </c>
    </row>
    <row r="91" customFormat="false" ht="15" hidden="false" customHeight="false" outlineLevel="0" collapsed="false">
      <c r="A91" s="10" t="n">
        <v>5</v>
      </c>
      <c r="B91" s="2" t="s">
        <v>410</v>
      </c>
      <c r="C91" s="10" t="n">
        <f aca="false">Wiring!$C$6*Wiring!$D$7*Wiring!$E$8*Wiring!$F$9*Wiring!$H$10</f>
        <v>0</v>
      </c>
      <c r="P91" s="7" t="str">
        <f aca="false">X$4</f>
        <v>TRS&gt;DIG</v>
      </c>
      <c r="Q91" s="7" t="str">
        <f aca="false">AD$4</f>
        <v>GOV&gt;DIG</v>
      </c>
      <c r="R91" s="10" t="n">
        <f aca="false">SUMPRODUCT((1-X$5:X$9)*(1-AD$5:AD$9))</f>
        <v>5</v>
      </c>
    </row>
    <row r="92" customFormat="false" ht="15" hidden="false" customHeight="false" outlineLevel="0" collapsed="false">
      <c r="A92" s="10" t="n">
        <v>5</v>
      </c>
      <c r="B92" s="2" t="s">
        <v>411</v>
      </c>
      <c r="C92" s="10" t="n">
        <f aca="false">Wiring!$C$6*Wiring!$D$7*Wiring!$E$8*Wiring!$G$9*Wiring!$H$11</f>
        <v>0</v>
      </c>
      <c r="P92" s="7" t="str">
        <f aca="false">Y$4</f>
        <v>ENG&gt;IND</v>
      </c>
      <c r="Q92" s="7" t="str">
        <f aca="false">Z$4</f>
        <v>IND&gt;ENG</v>
      </c>
      <c r="R92" s="10" t="n">
        <f aca="false">SUMPRODUCT((1-Y$5:Y$9)*(1-Z$5:Z$9))</f>
        <v>3</v>
      </c>
    </row>
    <row r="93" customFormat="false" ht="15" hidden="false" customHeight="false" outlineLevel="0" collapsed="false">
      <c r="A93" s="10" t="n">
        <v>5</v>
      </c>
      <c r="B93" s="2" t="s">
        <v>412</v>
      </c>
      <c r="C93" s="10" t="n">
        <f aca="false">Wiring!$C$6*Wiring!$D$7*Wiring!$F$8*Wiring!$E$10*Wiring!$H$9</f>
        <v>0</v>
      </c>
      <c r="P93" s="7" t="str">
        <f aca="false">Y$4</f>
        <v>ENG&gt;IND</v>
      </c>
      <c r="Q93" s="7" t="str">
        <f aca="false">AA$4</f>
        <v>ENG&gt;DIG</v>
      </c>
      <c r="R93" s="10" t="n">
        <f aca="false">SUMPRODUCT((1-Y$5:Y$9)*(1-AA$5:AA$9))</f>
        <v>3</v>
      </c>
    </row>
    <row r="94" customFormat="false" ht="15" hidden="false" customHeight="false" outlineLevel="0" collapsed="false">
      <c r="A94" s="10" t="n">
        <v>5</v>
      </c>
      <c r="B94" s="2" t="s">
        <v>413</v>
      </c>
      <c r="C94" s="10" t="n">
        <f aca="false">Wiring!$C$6*Wiring!$D$7*Wiring!$F$8*Wiring!$G$10*Wiring!$H$11</f>
        <v>0</v>
      </c>
      <c r="P94" s="7" t="str">
        <f aca="false">Y$4</f>
        <v>ENG&gt;IND</v>
      </c>
      <c r="Q94" s="7" t="str">
        <f aca="false">AB$4</f>
        <v>DIG&gt;ENG</v>
      </c>
      <c r="R94" s="10" t="n">
        <f aca="false">SUMPRODUCT((1-Y$5:Y$9)*(1-AB$5:AB$9))</f>
        <v>4</v>
      </c>
    </row>
    <row r="95" customFormat="false" ht="15" hidden="false" customHeight="false" outlineLevel="0" collapsed="false">
      <c r="A95" s="10" t="n">
        <v>5</v>
      </c>
      <c r="B95" s="2" t="s">
        <v>414</v>
      </c>
      <c r="C95" s="10" t="n">
        <f aca="false">Wiring!$C$6*Wiring!$D$7*Wiring!$G$8*Wiring!$E$11*Wiring!$H$9</f>
        <v>0</v>
      </c>
      <c r="P95" s="7" t="str">
        <f aca="false">Y$4</f>
        <v>ENG&gt;IND</v>
      </c>
      <c r="Q95" s="7" t="str">
        <f aca="false">AC$4</f>
        <v>GOV&gt;TRS</v>
      </c>
      <c r="R95" s="10" t="n">
        <f aca="false">SUMPRODUCT((1-Y$5:Y$9)*(1-AC$5:AC$9))</f>
        <v>4</v>
      </c>
    </row>
    <row r="96" customFormat="false" ht="15" hidden="false" customHeight="false" outlineLevel="0" collapsed="false">
      <c r="A96" s="10" t="n">
        <v>5</v>
      </c>
      <c r="B96" s="2" t="s">
        <v>415</v>
      </c>
      <c r="C96" s="10" t="n">
        <f aca="false">Wiring!$C$6*Wiring!$D$7*Wiring!$G$8*Wiring!$F$11*Wiring!$H$10</f>
        <v>0</v>
      </c>
      <c r="P96" s="7" t="str">
        <f aca="false">Y$4</f>
        <v>ENG&gt;IND</v>
      </c>
      <c r="Q96" s="7" t="str">
        <f aca="false">AD$4</f>
        <v>GOV&gt;DIG</v>
      </c>
      <c r="R96" s="10" t="n">
        <f aca="false">SUMPRODUCT((1-Y$5:Y$9)*(1-AD$5:AD$9))</f>
        <v>4</v>
      </c>
    </row>
    <row r="97" customFormat="false" ht="15" hidden="false" customHeight="false" outlineLevel="0" collapsed="false">
      <c r="A97" s="10" t="n">
        <v>5</v>
      </c>
      <c r="B97" s="2" t="s">
        <v>416</v>
      </c>
      <c r="C97" s="10" t="n">
        <f aca="false">Wiring!$C$6*Wiring!$E$7*Wiring!$D$9*Wiring!$F$8*Wiring!$H$10</f>
        <v>0</v>
      </c>
      <c r="P97" s="7" t="str">
        <f aca="false">Z$4</f>
        <v>IND&gt;ENG</v>
      </c>
      <c r="Q97" s="7" t="str">
        <f aca="false">AA$4</f>
        <v>ENG&gt;DIG</v>
      </c>
      <c r="R97" s="10" t="n">
        <f aca="false">SUMPRODUCT((1-Z$5:Z$9)*(1-AA$5:AA$9))</f>
        <v>4</v>
      </c>
    </row>
    <row r="98" customFormat="false" ht="15" hidden="false" customHeight="false" outlineLevel="0" collapsed="false">
      <c r="A98" s="10" t="n">
        <v>5</v>
      </c>
      <c r="B98" s="2" t="s">
        <v>417</v>
      </c>
      <c r="C98" s="10" t="n">
        <f aca="false">Wiring!$C$6*Wiring!$E$7*Wiring!$D$9*Wiring!$G$8*Wiring!$H$11</f>
        <v>0</v>
      </c>
      <c r="P98" s="7" t="str">
        <f aca="false">Z$4</f>
        <v>IND&gt;ENG</v>
      </c>
      <c r="Q98" s="7" t="str">
        <f aca="false">AB$4</f>
        <v>DIG&gt;ENG</v>
      </c>
      <c r="R98" s="10" t="n">
        <f aca="false">SUMPRODUCT((1-Z$5:Z$9)*(1-AB$5:AB$9))</f>
        <v>3</v>
      </c>
    </row>
    <row r="99" customFormat="false" ht="15" hidden="false" customHeight="false" outlineLevel="0" collapsed="false">
      <c r="A99" s="10" t="n">
        <v>5</v>
      </c>
      <c r="B99" s="2" t="s">
        <v>418</v>
      </c>
      <c r="C99" s="10" t="n">
        <f aca="false">Wiring!$C$6*Wiring!$E$7*Wiring!$F$9*Wiring!$D$10*Wiring!$H$8</f>
        <v>0</v>
      </c>
      <c r="P99" s="7" t="str">
        <f aca="false">Z$4</f>
        <v>IND&gt;ENG</v>
      </c>
      <c r="Q99" s="7" t="str">
        <f aca="false">AC$4</f>
        <v>GOV&gt;TRS</v>
      </c>
      <c r="R99" s="10" t="n">
        <f aca="false">SUMPRODUCT((1-Z$5:Z$9)*(1-AC$5:AC$9))</f>
        <v>4</v>
      </c>
    </row>
    <row r="100" customFormat="false" ht="15" hidden="false" customHeight="false" outlineLevel="0" collapsed="false">
      <c r="A100" s="10" t="n">
        <v>5</v>
      </c>
      <c r="B100" s="2" t="s">
        <v>419</v>
      </c>
      <c r="C100" s="10" t="n">
        <f aca="false">Wiring!$C$6*Wiring!$E$7*Wiring!$F$9*Wiring!$G$10*Wiring!$H$11</f>
        <v>0</v>
      </c>
      <c r="P100" s="7" t="str">
        <f aca="false">Z$4</f>
        <v>IND&gt;ENG</v>
      </c>
      <c r="Q100" s="7" t="str">
        <f aca="false">AD$4</f>
        <v>GOV&gt;DIG</v>
      </c>
      <c r="R100" s="10" t="n">
        <f aca="false">SUMPRODUCT((1-Z$5:Z$9)*(1-AD$5:AD$9))</f>
        <v>4</v>
      </c>
    </row>
    <row r="101" customFormat="false" ht="15" hidden="false" customHeight="false" outlineLevel="0" collapsed="false">
      <c r="A101" s="10" t="n">
        <v>5</v>
      </c>
      <c r="B101" s="2" t="s">
        <v>420</v>
      </c>
      <c r="C101" s="10" t="n">
        <f aca="false">Wiring!$C$6*Wiring!$E$7*Wiring!$G$9*Wiring!$D$11*Wiring!$H$8</f>
        <v>0</v>
      </c>
      <c r="P101" s="7" t="str">
        <f aca="false">AA$4</f>
        <v>ENG&gt;DIG</v>
      </c>
      <c r="Q101" s="7" t="str">
        <f aca="false">AB$4</f>
        <v>DIG&gt;ENG</v>
      </c>
      <c r="R101" s="10" t="n">
        <f aca="false">SUMPRODUCT((1-AA$5:AA$9)*(1-AB$5:AB$9))</f>
        <v>3</v>
      </c>
    </row>
    <row r="102" customFormat="false" ht="15" hidden="false" customHeight="false" outlineLevel="0" collapsed="false">
      <c r="A102" s="10" t="n">
        <v>5</v>
      </c>
      <c r="B102" s="2" t="s">
        <v>421</v>
      </c>
      <c r="C102" s="10" t="n">
        <f aca="false">Wiring!$C$6*Wiring!$E$7*Wiring!$G$9*Wiring!$F$11*Wiring!$H$10</f>
        <v>0</v>
      </c>
      <c r="P102" s="7" t="str">
        <f aca="false">AA$4</f>
        <v>ENG&gt;DIG</v>
      </c>
      <c r="Q102" s="7" t="str">
        <f aca="false">AC$4</f>
        <v>GOV&gt;TRS</v>
      </c>
      <c r="R102" s="10" t="n">
        <f aca="false">SUMPRODUCT((1-AA$5:AA$9)*(1-AC$5:AC$9))</f>
        <v>4</v>
      </c>
    </row>
    <row r="103" customFormat="false" ht="15" hidden="false" customHeight="false" outlineLevel="0" collapsed="false">
      <c r="A103" s="10" t="n">
        <v>5</v>
      </c>
      <c r="B103" s="2" t="s">
        <v>422</v>
      </c>
      <c r="C103" s="10" t="n">
        <f aca="false">Wiring!$C$6*Wiring!$F$7*Wiring!$D$10*Wiring!$E$8*Wiring!$H$9</f>
        <v>0</v>
      </c>
      <c r="P103" s="7" t="str">
        <f aca="false">AA$4</f>
        <v>ENG&gt;DIG</v>
      </c>
      <c r="Q103" s="7" t="str">
        <f aca="false">AD$4</f>
        <v>GOV&gt;DIG</v>
      </c>
      <c r="R103" s="10" t="n">
        <f aca="false">SUMPRODUCT((1-AA$5:AA$9)*(1-AD$5:AD$9))</f>
        <v>4</v>
      </c>
    </row>
    <row r="104" customFormat="false" ht="15" hidden="false" customHeight="false" outlineLevel="0" collapsed="false">
      <c r="A104" s="10" t="n">
        <v>5</v>
      </c>
      <c r="B104" s="2" t="s">
        <v>423</v>
      </c>
      <c r="C104" s="10" t="n">
        <f aca="false">Wiring!$C$6*Wiring!$F$7*Wiring!$D$10*Wiring!$G$8*Wiring!$H$11</f>
        <v>0</v>
      </c>
      <c r="P104" s="7" t="str">
        <f aca="false">AB$4</f>
        <v>DIG&gt;ENG</v>
      </c>
      <c r="Q104" s="7" t="str">
        <f aca="false">AC$4</f>
        <v>GOV&gt;TRS</v>
      </c>
      <c r="R104" s="10" t="n">
        <f aca="false">SUMPRODUCT((1-AB$5:AB$9)*(1-AC$5:AC$9))</f>
        <v>4</v>
      </c>
    </row>
    <row r="105" customFormat="false" ht="15" hidden="false" customHeight="false" outlineLevel="0" collapsed="false">
      <c r="A105" s="10" t="n">
        <v>5</v>
      </c>
      <c r="B105" s="2" t="s">
        <v>424</v>
      </c>
      <c r="C105" s="10" t="n">
        <f aca="false">Wiring!$C$6*Wiring!$F$7*Wiring!$E$10*Wiring!$D$9*Wiring!$H$8</f>
        <v>0</v>
      </c>
      <c r="P105" s="7" t="str">
        <f aca="false">AB$4</f>
        <v>DIG&gt;ENG</v>
      </c>
      <c r="Q105" s="7" t="str">
        <f aca="false">AD$4</f>
        <v>GOV&gt;DIG</v>
      </c>
      <c r="R105" s="10" t="n">
        <f aca="false">SUMPRODUCT((1-AB$5:AB$9)*(1-AD$5:AD$9))</f>
        <v>4</v>
      </c>
    </row>
    <row r="106" customFormat="false" ht="15" hidden="false" customHeight="false" outlineLevel="0" collapsed="false">
      <c r="A106" s="10" t="n">
        <v>5</v>
      </c>
      <c r="B106" s="2" t="s">
        <v>425</v>
      </c>
      <c r="C106" s="10" t="n">
        <f aca="false">Wiring!$C$6*Wiring!$F$7*Wiring!$E$10*Wiring!$G$9*Wiring!$H$11</f>
        <v>0</v>
      </c>
      <c r="P106" s="7" t="str">
        <f aca="false">AC$4</f>
        <v>GOV&gt;TRS</v>
      </c>
      <c r="Q106" s="7" t="str">
        <f aca="false">AD$4</f>
        <v>GOV&gt;DIG</v>
      </c>
      <c r="R106" s="10" t="n">
        <f aca="false">SUMPRODUCT((1-AC$5:AC$9)*(1-AD$5:AD$9))</f>
        <v>5</v>
      </c>
    </row>
    <row r="107" customFormat="false" ht="15" hidden="false" customHeight="false" outlineLevel="0" collapsed="false">
      <c r="A107" s="10" t="n">
        <v>5</v>
      </c>
      <c r="B107" s="2" t="s">
        <v>426</v>
      </c>
      <c r="C107" s="10" t="n">
        <f aca="false">Wiring!$C$6*Wiring!$F$7*Wiring!$G$10*Wiring!$D$11*Wiring!$H$8</f>
        <v>0</v>
      </c>
    </row>
    <row r="108" customFormat="false" ht="15" hidden="false" customHeight="false" outlineLevel="0" collapsed="false">
      <c r="A108" s="10" t="n">
        <v>5</v>
      </c>
      <c r="B108" s="2" t="s">
        <v>427</v>
      </c>
      <c r="C108" s="10" t="n">
        <f aca="false">Wiring!$C$6*Wiring!$F$7*Wiring!$G$10*Wiring!$E$11*Wiring!$H$9</f>
        <v>0</v>
      </c>
    </row>
    <row r="109" customFormat="false" ht="15" hidden="false" customHeight="false" outlineLevel="0" collapsed="false">
      <c r="A109" s="10" t="n">
        <v>5</v>
      </c>
      <c r="B109" s="2" t="s">
        <v>428</v>
      </c>
      <c r="C109" s="10" t="n">
        <f aca="false">Wiring!$C$6*Wiring!$G$7*Wiring!$D$11*Wiring!$E$8*Wiring!$H$9</f>
        <v>0</v>
      </c>
    </row>
    <row r="110" customFormat="false" ht="15" hidden="false" customHeight="false" outlineLevel="0" collapsed="false">
      <c r="A110" s="10" t="n">
        <v>5</v>
      </c>
      <c r="B110" s="2" t="s">
        <v>429</v>
      </c>
      <c r="C110" s="10" t="n">
        <f aca="false">Wiring!$C$6*Wiring!$G$7*Wiring!$D$11*Wiring!$F$8*Wiring!$H$10</f>
        <v>0</v>
      </c>
    </row>
    <row r="111" customFormat="false" ht="15" hidden="false" customHeight="false" outlineLevel="0" collapsed="false">
      <c r="A111" s="10" t="n">
        <v>5</v>
      </c>
      <c r="B111" s="2" t="s">
        <v>430</v>
      </c>
      <c r="C111" s="10" t="n">
        <f aca="false">Wiring!$C$6*Wiring!$G$7*Wiring!$E$11*Wiring!$D$9*Wiring!$H$8</f>
        <v>0</v>
      </c>
    </row>
    <row r="112" customFormat="false" ht="15" hidden="false" customHeight="false" outlineLevel="0" collapsed="false">
      <c r="A112" s="10" t="n">
        <v>5</v>
      </c>
      <c r="B112" s="2" t="s">
        <v>431</v>
      </c>
      <c r="C112" s="10" t="n">
        <f aca="false">Wiring!$C$6*Wiring!$G$7*Wiring!$E$11*Wiring!$F$9*Wiring!$H$10</f>
        <v>0</v>
      </c>
    </row>
    <row r="113" customFormat="false" ht="15" hidden="false" customHeight="false" outlineLevel="0" collapsed="false">
      <c r="A113" s="10" t="n">
        <v>5</v>
      </c>
      <c r="B113" s="2" t="s">
        <v>432</v>
      </c>
      <c r="C113" s="10" t="n">
        <f aca="false">Wiring!$C$6*Wiring!$G$7*Wiring!$F$11*Wiring!$D$10*Wiring!$H$8</f>
        <v>0</v>
      </c>
    </row>
    <row r="114" customFormat="false" ht="15" hidden="false" customHeight="false" outlineLevel="0" collapsed="false">
      <c r="A114" s="10" t="n">
        <v>5</v>
      </c>
      <c r="B114" s="2" t="s">
        <v>433</v>
      </c>
      <c r="C114" s="10" t="n">
        <f aca="false">Wiring!$C$6*Wiring!$G$7*Wiring!$F$11*Wiring!$E$10*Wiring!$H$9</f>
        <v>0</v>
      </c>
    </row>
    <row r="115" customFormat="false" ht="15" hidden="false" customHeight="false" outlineLevel="0" collapsed="false">
      <c r="A115" s="10" t="n">
        <v>5</v>
      </c>
      <c r="B115" s="2" t="s">
        <v>434</v>
      </c>
      <c r="C115" s="10" t="n">
        <f aca="false">Wiring!$D$6*Wiring!$C$8*Wiring!$E$7*Wiring!$F$9*Wiring!$H$10</f>
        <v>0</v>
      </c>
    </row>
    <row r="116" customFormat="false" ht="15" hidden="false" customHeight="false" outlineLevel="0" collapsed="false">
      <c r="A116" s="10" t="n">
        <v>5</v>
      </c>
      <c r="B116" s="2" t="s">
        <v>435</v>
      </c>
      <c r="C116" s="10" t="n">
        <f aca="false">Wiring!$D$6*Wiring!$C$8*Wiring!$E$7*Wiring!$G$9*Wiring!$H$11</f>
        <v>0</v>
      </c>
    </row>
    <row r="117" customFormat="false" ht="15" hidden="false" customHeight="false" outlineLevel="0" collapsed="false">
      <c r="A117" s="10" t="n">
        <v>5</v>
      </c>
      <c r="B117" s="2" t="s">
        <v>436</v>
      </c>
      <c r="C117" s="10" t="n">
        <f aca="false">Wiring!$D$6*Wiring!$C$8*Wiring!$F$7*Wiring!$E$10*Wiring!$H$9</f>
        <v>0</v>
      </c>
    </row>
    <row r="118" customFormat="false" ht="15" hidden="false" customHeight="false" outlineLevel="0" collapsed="false">
      <c r="A118" s="10" t="n">
        <v>5</v>
      </c>
      <c r="B118" s="2" t="s">
        <v>437</v>
      </c>
      <c r="C118" s="10" t="n">
        <f aca="false">Wiring!$D$6*Wiring!$C$8*Wiring!$F$7*Wiring!$G$10*Wiring!$H$11</f>
        <v>0</v>
      </c>
    </row>
    <row r="119" customFormat="false" ht="15" hidden="false" customHeight="false" outlineLevel="0" collapsed="false">
      <c r="A119" s="10" t="n">
        <v>5</v>
      </c>
      <c r="B119" s="2" t="s">
        <v>438</v>
      </c>
      <c r="C119" s="10" t="n">
        <f aca="false">Wiring!$D$6*Wiring!$C$8*Wiring!$G$7*Wiring!$E$11*Wiring!$H$9</f>
        <v>0</v>
      </c>
    </row>
    <row r="120" customFormat="false" ht="15" hidden="false" customHeight="false" outlineLevel="0" collapsed="false">
      <c r="A120" s="10" t="n">
        <v>5</v>
      </c>
      <c r="B120" s="2" t="s">
        <v>439</v>
      </c>
      <c r="C120" s="10" t="n">
        <f aca="false">Wiring!$D$6*Wiring!$C$8*Wiring!$G$7*Wiring!$F$11*Wiring!$H$10</f>
        <v>0</v>
      </c>
    </row>
    <row r="121" customFormat="false" ht="15" hidden="false" customHeight="false" outlineLevel="0" collapsed="false">
      <c r="A121" s="10" t="n">
        <v>5</v>
      </c>
      <c r="B121" s="2" t="s">
        <v>440</v>
      </c>
      <c r="C121" s="10" t="n">
        <f aca="false">Wiring!$D$6*Wiring!$E$8*Wiring!$C$9*Wiring!$F$7*Wiring!$H$10</f>
        <v>0</v>
      </c>
    </row>
    <row r="122" customFormat="false" ht="15" hidden="false" customHeight="false" outlineLevel="0" collapsed="false">
      <c r="A122" s="10" t="n">
        <v>5</v>
      </c>
      <c r="B122" s="2" t="s">
        <v>441</v>
      </c>
      <c r="C122" s="10" t="n">
        <f aca="false">Wiring!$D$6*Wiring!$E$8*Wiring!$C$9*Wiring!$G$7*Wiring!$H$11</f>
        <v>0</v>
      </c>
    </row>
    <row r="123" customFormat="false" ht="15" hidden="false" customHeight="false" outlineLevel="0" collapsed="false">
      <c r="A123" s="10" t="n">
        <v>5</v>
      </c>
      <c r="B123" s="2" t="s">
        <v>442</v>
      </c>
      <c r="C123" s="10" t="n">
        <f aca="false">Wiring!$D$6*Wiring!$E$8*Wiring!$F$9*Wiring!$C$10*Wiring!$H$7</f>
        <v>0</v>
      </c>
    </row>
    <row r="124" customFormat="false" ht="15" hidden="false" customHeight="false" outlineLevel="0" collapsed="false">
      <c r="A124" s="10" t="n">
        <v>5</v>
      </c>
      <c r="B124" s="2" t="s">
        <v>443</v>
      </c>
      <c r="C124" s="10" t="n">
        <f aca="false">Wiring!$D$6*Wiring!$E$8*Wiring!$F$9*Wiring!$G$10*Wiring!$H$11</f>
        <v>0</v>
      </c>
    </row>
    <row r="125" customFormat="false" ht="15" hidden="false" customHeight="false" outlineLevel="0" collapsed="false">
      <c r="A125" s="10" t="n">
        <v>5</v>
      </c>
      <c r="B125" s="2" t="s">
        <v>444</v>
      </c>
      <c r="C125" s="10" t="n">
        <f aca="false">Wiring!$D$6*Wiring!$E$8*Wiring!$G$9*Wiring!$C$11*Wiring!$H$7</f>
        <v>0</v>
      </c>
    </row>
    <row r="126" customFormat="false" ht="15" hidden="false" customHeight="false" outlineLevel="0" collapsed="false">
      <c r="A126" s="10" t="n">
        <v>5</v>
      </c>
      <c r="B126" s="2" t="s">
        <v>445</v>
      </c>
      <c r="C126" s="10" t="n">
        <f aca="false">Wiring!$D$6*Wiring!$E$8*Wiring!$G$9*Wiring!$F$11*Wiring!$H$10</f>
        <v>0</v>
      </c>
    </row>
    <row r="127" customFormat="false" ht="15" hidden="false" customHeight="false" outlineLevel="0" collapsed="false">
      <c r="A127" s="10" t="n">
        <v>5</v>
      </c>
      <c r="B127" s="2" t="s">
        <v>446</v>
      </c>
      <c r="C127" s="10" t="n">
        <f aca="false">Wiring!$D$6*Wiring!$F$8*Wiring!$C$10*Wiring!$E$7*Wiring!$H$9</f>
        <v>0</v>
      </c>
    </row>
    <row r="128" customFormat="false" ht="15" hidden="false" customHeight="false" outlineLevel="0" collapsed="false">
      <c r="A128" s="10" t="n">
        <v>5</v>
      </c>
      <c r="B128" s="2" t="s">
        <v>447</v>
      </c>
      <c r="C128" s="10" t="n">
        <f aca="false">Wiring!$D$6*Wiring!$F$8*Wiring!$C$10*Wiring!$G$7*Wiring!$H$11</f>
        <v>0</v>
      </c>
    </row>
    <row r="129" customFormat="false" ht="15" hidden="false" customHeight="false" outlineLevel="0" collapsed="false">
      <c r="A129" s="10" t="n">
        <v>5</v>
      </c>
      <c r="B129" s="2" t="s">
        <v>448</v>
      </c>
      <c r="C129" s="10" t="n">
        <f aca="false">Wiring!$D$6*Wiring!$F$8*Wiring!$E$10*Wiring!$C$9*Wiring!$H$7</f>
        <v>0</v>
      </c>
    </row>
    <row r="130" customFormat="false" ht="15" hidden="false" customHeight="false" outlineLevel="0" collapsed="false">
      <c r="A130" s="10" t="n">
        <v>5</v>
      </c>
      <c r="B130" s="2" t="s">
        <v>449</v>
      </c>
      <c r="C130" s="10" t="n">
        <f aca="false">Wiring!$D$6*Wiring!$F$8*Wiring!$E$10*Wiring!$G$9*Wiring!$H$11</f>
        <v>0</v>
      </c>
    </row>
    <row r="131" customFormat="false" ht="15" hidden="false" customHeight="false" outlineLevel="0" collapsed="false">
      <c r="A131" s="10" t="n">
        <v>5</v>
      </c>
      <c r="B131" s="2" t="s">
        <v>450</v>
      </c>
      <c r="C131" s="10" t="n">
        <f aca="false">Wiring!$D$6*Wiring!$F$8*Wiring!$G$10*Wiring!$C$11*Wiring!$H$7</f>
        <v>0</v>
      </c>
    </row>
    <row r="132" customFormat="false" ht="15" hidden="false" customHeight="false" outlineLevel="0" collapsed="false">
      <c r="A132" s="10" t="n">
        <v>5</v>
      </c>
      <c r="B132" s="2" t="s">
        <v>451</v>
      </c>
      <c r="C132" s="10" t="n">
        <f aca="false">Wiring!$D$6*Wiring!$F$8*Wiring!$G$10*Wiring!$E$11*Wiring!$H$9</f>
        <v>0</v>
      </c>
    </row>
    <row r="133" customFormat="false" ht="15" hidden="false" customHeight="false" outlineLevel="0" collapsed="false">
      <c r="A133" s="10" t="n">
        <v>5</v>
      </c>
      <c r="B133" s="2" t="s">
        <v>452</v>
      </c>
      <c r="C133" s="10" t="n">
        <f aca="false">Wiring!$D$6*Wiring!$G$8*Wiring!$C$11*Wiring!$E$7*Wiring!$H$9</f>
        <v>0</v>
      </c>
    </row>
    <row r="134" customFormat="false" ht="15" hidden="false" customHeight="false" outlineLevel="0" collapsed="false">
      <c r="A134" s="10" t="n">
        <v>5</v>
      </c>
      <c r="B134" s="2" t="s">
        <v>453</v>
      </c>
      <c r="C134" s="10" t="n">
        <f aca="false">Wiring!$D$6*Wiring!$G$8*Wiring!$C$11*Wiring!$F$7*Wiring!$H$10</f>
        <v>0</v>
      </c>
    </row>
    <row r="135" customFormat="false" ht="15" hidden="false" customHeight="false" outlineLevel="0" collapsed="false">
      <c r="A135" s="10" t="n">
        <v>5</v>
      </c>
      <c r="B135" s="2" t="s">
        <v>454</v>
      </c>
      <c r="C135" s="10" t="n">
        <f aca="false">Wiring!$D$6*Wiring!$G$8*Wiring!$E$11*Wiring!$C$9*Wiring!$H$7</f>
        <v>0</v>
      </c>
    </row>
    <row r="136" customFormat="false" ht="15" hidden="false" customHeight="false" outlineLevel="0" collapsed="false">
      <c r="A136" s="10" t="n">
        <v>5</v>
      </c>
      <c r="B136" s="2" t="s">
        <v>455</v>
      </c>
      <c r="C136" s="10" t="n">
        <f aca="false">Wiring!$D$6*Wiring!$G$8*Wiring!$E$11*Wiring!$F$9*Wiring!$H$10</f>
        <v>0</v>
      </c>
    </row>
    <row r="137" customFormat="false" ht="15" hidden="false" customHeight="false" outlineLevel="0" collapsed="false">
      <c r="A137" s="10" t="n">
        <v>5</v>
      </c>
      <c r="B137" s="2" t="s">
        <v>456</v>
      </c>
      <c r="C137" s="10" t="n">
        <f aca="false">Wiring!$D$6*Wiring!$G$8*Wiring!$F$11*Wiring!$C$10*Wiring!$H$7</f>
        <v>0</v>
      </c>
    </row>
    <row r="138" customFormat="false" ht="15" hidden="false" customHeight="false" outlineLevel="0" collapsed="false">
      <c r="A138" s="10" t="n">
        <v>5</v>
      </c>
      <c r="B138" s="2" t="s">
        <v>457</v>
      </c>
      <c r="C138" s="10" t="n">
        <f aca="false">Wiring!$D$6*Wiring!$G$8*Wiring!$F$11*Wiring!$E$10*Wiring!$H$9</f>
        <v>0</v>
      </c>
    </row>
    <row r="139" customFormat="false" ht="15" hidden="false" customHeight="false" outlineLevel="0" collapsed="false">
      <c r="A139" s="10" t="n">
        <v>5</v>
      </c>
      <c r="B139" s="2" t="s">
        <v>458</v>
      </c>
      <c r="C139" s="10" t="n">
        <f aca="false">Wiring!$E$6*Wiring!$C$9*Wiring!$D$7*Wiring!$F$8*Wiring!$H$10</f>
        <v>0</v>
      </c>
    </row>
    <row r="140" customFormat="false" ht="15" hidden="false" customHeight="false" outlineLevel="0" collapsed="false">
      <c r="A140" s="10" t="n">
        <v>5</v>
      </c>
      <c r="B140" s="2" t="s">
        <v>459</v>
      </c>
      <c r="C140" s="10" t="n">
        <f aca="false">Wiring!$E$6*Wiring!$C$9*Wiring!$D$7*Wiring!$G$8*Wiring!$H$11</f>
        <v>0</v>
      </c>
    </row>
    <row r="141" customFormat="false" ht="15" hidden="false" customHeight="false" outlineLevel="0" collapsed="false">
      <c r="A141" s="10" t="n">
        <v>5</v>
      </c>
      <c r="B141" s="2" t="s">
        <v>460</v>
      </c>
      <c r="C141" s="10" t="n">
        <f aca="false">Wiring!$E$6*Wiring!$C$9*Wiring!$F$7*Wiring!$D$10*Wiring!$H$8</f>
        <v>0</v>
      </c>
    </row>
    <row r="142" customFormat="false" ht="15" hidden="false" customHeight="false" outlineLevel="0" collapsed="false">
      <c r="A142" s="10" t="n">
        <v>5</v>
      </c>
      <c r="B142" s="2" t="s">
        <v>461</v>
      </c>
      <c r="C142" s="10" t="n">
        <f aca="false">Wiring!$E$6*Wiring!$C$9*Wiring!$F$7*Wiring!$G$10*Wiring!$H$11</f>
        <v>0</v>
      </c>
    </row>
    <row r="143" customFormat="false" ht="15" hidden="false" customHeight="false" outlineLevel="0" collapsed="false">
      <c r="A143" s="10" t="n">
        <v>5</v>
      </c>
      <c r="B143" s="2" t="s">
        <v>462</v>
      </c>
      <c r="C143" s="10" t="n">
        <f aca="false">Wiring!$E$6*Wiring!$C$9*Wiring!$G$7*Wiring!$D$11*Wiring!$H$8</f>
        <v>0</v>
      </c>
    </row>
    <row r="144" customFormat="false" ht="15" hidden="false" customHeight="false" outlineLevel="0" collapsed="false">
      <c r="A144" s="10" t="n">
        <v>5</v>
      </c>
      <c r="B144" s="2" t="s">
        <v>463</v>
      </c>
      <c r="C144" s="10" t="n">
        <f aca="false">Wiring!$E$6*Wiring!$C$9*Wiring!$G$7*Wiring!$F$11*Wiring!$H$10</f>
        <v>0</v>
      </c>
    </row>
    <row r="145" customFormat="false" ht="15" hidden="false" customHeight="false" outlineLevel="0" collapsed="false">
      <c r="A145" s="10" t="n">
        <v>5</v>
      </c>
      <c r="B145" s="2" t="s">
        <v>464</v>
      </c>
      <c r="C145" s="10" t="n">
        <f aca="false">Wiring!$E$6*Wiring!$D$9*Wiring!$C$8*Wiring!$F$7*Wiring!$H$10</f>
        <v>0</v>
      </c>
    </row>
    <row r="146" customFormat="false" ht="15" hidden="false" customHeight="false" outlineLevel="0" collapsed="false">
      <c r="A146" s="10" t="n">
        <v>5</v>
      </c>
      <c r="B146" s="2" t="s">
        <v>465</v>
      </c>
      <c r="C146" s="10" t="n">
        <f aca="false">Wiring!$E$6*Wiring!$D$9*Wiring!$C$8*Wiring!$G$7*Wiring!$H$11</f>
        <v>0</v>
      </c>
    </row>
    <row r="147" customFormat="false" ht="15" hidden="false" customHeight="false" outlineLevel="0" collapsed="false">
      <c r="A147" s="10" t="n">
        <v>5</v>
      </c>
      <c r="B147" s="2" t="s">
        <v>466</v>
      </c>
      <c r="C147" s="10" t="n">
        <f aca="false">Wiring!$E$6*Wiring!$D$9*Wiring!$F$8*Wiring!$C$10*Wiring!$H$7</f>
        <v>0</v>
      </c>
    </row>
    <row r="148" customFormat="false" ht="15" hidden="false" customHeight="false" outlineLevel="0" collapsed="false">
      <c r="A148" s="10" t="n">
        <v>5</v>
      </c>
      <c r="B148" s="2" t="s">
        <v>467</v>
      </c>
      <c r="C148" s="10" t="n">
        <f aca="false">Wiring!$E$6*Wiring!$D$9*Wiring!$F$8*Wiring!$G$10*Wiring!$H$11</f>
        <v>0</v>
      </c>
    </row>
    <row r="149" customFormat="false" ht="15" hidden="false" customHeight="false" outlineLevel="0" collapsed="false">
      <c r="A149" s="10" t="n">
        <v>5</v>
      </c>
      <c r="B149" s="2" t="s">
        <v>468</v>
      </c>
      <c r="C149" s="10" t="n">
        <f aca="false">Wiring!$E$6*Wiring!$D$9*Wiring!$G$8*Wiring!$C$11*Wiring!$H$7</f>
        <v>0</v>
      </c>
    </row>
    <row r="150" customFormat="false" ht="15" hidden="false" customHeight="false" outlineLevel="0" collapsed="false">
      <c r="A150" s="10" t="n">
        <v>5</v>
      </c>
      <c r="B150" s="2" t="s">
        <v>469</v>
      </c>
      <c r="C150" s="10" t="n">
        <f aca="false">Wiring!$E$6*Wiring!$D$9*Wiring!$G$8*Wiring!$F$11*Wiring!$H$10</f>
        <v>0</v>
      </c>
    </row>
    <row r="151" customFormat="false" ht="15" hidden="false" customHeight="false" outlineLevel="0" collapsed="false">
      <c r="A151" s="10" t="n">
        <v>5</v>
      </c>
      <c r="B151" s="2" t="s">
        <v>470</v>
      </c>
      <c r="C151" s="10" t="n">
        <f aca="false">Wiring!$E$6*Wiring!$F$9*Wiring!$C$10*Wiring!$D$7*Wiring!$H$8</f>
        <v>0</v>
      </c>
    </row>
    <row r="152" customFormat="false" ht="15" hidden="false" customHeight="false" outlineLevel="0" collapsed="false">
      <c r="A152" s="10" t="n">
        <v>5</v>
      </c>
      <c r="B152" s="2" t="s">
        <v>471</v>
      </c>
      <c r="C152" s="10" t="n">
        <f aca="false">Wiring!$E$6*Wiring!$F$9*Wiring!$C$10*Wiring!$G$7*Wiring!$H$11</f>
        <v>0</v>
      </c>
    </row>
    <row r="153" customFormat="false" ht="15" hidden="false" customHeight="false" outlineLevel="0" collapsed="false">
      <c r="A153" s="10" t="n">
        <v>5</v>
      </c>
      <c r="B153" s="2" t="s">
        <v>472</v>
      </c>
      <c r="C153" s="10" t="n">
        <f aca="false">Wiring!$E$6*Wiring!$F$9*Wiring!$D$10*Wiring!$C$8*Wiring!$H$7</f>
        <v>0</v>
      </c>
    </row>
    <row r="154" customFormat="false" ht="15" hidden="false" customHeight="false" outlineLevel="0" collapsed="false">
      <c r="A154" s="10" t="n">
        <v>5</v>
      </c>
      <c r="B154" s="2" t="s">
        <v>473</v>
      </c>
      <c r="C154" s="10" t="n">
        <f aca="false">Wiring!$E$6*Wiring!$F$9*Wiring!$D$10*Wiring!$G$8*Wiring!$H$11</f>
        <v>0</v>
      </c>
    </row>
    <row r="155" customFormat="false" ht="15" hidden="false" customHeight="false" outlineLevel="0" collapsed="false">
      <c r="A155" s="10" t="n">
        <v>5</v>
      </c>
      <c r="B155" s="2" t="s">
        <v>474</v>
      </c>
      <c r="C155" s="10" t="n">
        <f aca="false">Wiring!$E$6*Wiring!$F$9*Wiring!$G$10*Wiring!$C$11*Wiring!$H$7</f>
        <v>0</v>
      </c>
    </row>
    <row r="156" customFormat="false" ht="15" hidden="false" customHeight="false" outlineLevel="0" collapsed="false">
      <c r="A156" s="10" t="n">
        <v>5</v>
      </c>
      <c r="B156" s="2" t="s">
        <v>475</v>
      </c>
      <c r="C156" s="10" t="n">
        <f aca="false">Wiring!$E$6*Wiring!$F$9*Wiring!$G$10*Wiring!$D$11*Wiring!$H$8</f>
        <v>0</v>
      </c>
    </row>
    <row r="157" customFormat="false" ht="15" hidden="false" customHeight="false" outlineLevel="0" collapsed="false">
      <c r="A157" s="10" t="n">
        <v>5</v>
      </c>
      <c r="B157" s="2" t="s">
        <v>476</v>
      </c>
      <c r="C157" s="10" t="n">
        <f aca="false">Wiring!$E$6*Wiring!$G$9*Wiring!$C$11*Wiring!$D$7*Wiring!$H$8</f>
        <v>0</v>
      </c>
    </row>
    <row r="158" customFormat="false" ht="15" hidden="false" customHeight="false" outlineLevel="0" collapsed="false">
      <c r="A158" s="10" t="n">
        <v>5</v>
      </c>
      <c r="B158" s="2" t="s">
        <v>477</v>
      </c>
      <c r="C158" s="10" t="n">
        <f aca="false">Wiring!$E$6*Wiring!$G$9*Wiring!$C$11*Wiring!$F$7*Wiring!$H$10</f>
        <v>0</v>
      </c>
    </row>
    <row r="159" customFormat="false" ht="15" hidden="false" customHeight="false" outlineLevel="0" collapsed="false">
      <c r="A159" s="10" t="n">
        <v>5</v>
      </c>
      <c r="B159" s="2" t="s">
        <v>478</v>
      </c>
      <c r="C159" s="10" t="n">
        <f aca="false">Wiring!$E$6*Wiring!$G$9*Wiring!$D$11*Wiring!$C$8*Wiring!$H$7</f>
        <v>0</v>
      </c>
    </row>
    <row r="160" customFormat="false" ht="15" hidden="false" customHeight="false" outlineLevel="0" collapsed="false">
      <c r="A160" s="10" t="n">
        <v>5</v>
      </c>
      <c r="B160" s="2" t="s">
        <v>479</v>
      </c>
      <c r="C160" s="10" t="n">
        <f aca="false">Wiring!$E$6*Wiring!$G$9*Wiring!$D$11*Wiring!$F$8*Wiring!$H$10</f>
        <v>0</v>
      </c>
    </row>
    <row r="161" customFormat="false" ht="15" hidden="false" customHeight="false" outlineLevel="0" collapsed="false">
      <c r="A161" s="10" t="n">
        <v>5</v>
      </c>
      <c r="B161" s="2" t="s">
        <v>480</v>
      </c>
      <c r="C161" s="10" t="n">
        <f aca="false">Wiring!$E$6*Wiring!$G$9*Wiring!$F$11*Wiring!$C$10*Wiring!$H$7</f>
        <v>0</v>
      </c>
    </row>
    <row r="162" customFormat="false" ht="15" hidden="false" customHeight="false" outlineLevel="0" collapsed="false">
      <c r="A162" s="10" t="n">
        <v>5</v>
      </c>
      <c r="B162" s="2" t="s">
        <v>481</v>
      </c>
      <c r="C162" s="10" t="n">
        <f aca="false">Wiring!$E$6*Wiring!$G$9*Wiring!$F$11*Wiring!$D$10*Wiring!$H$8</f>
        <v>0</v>
      </c>
    </row>
    <row r="163" customFormat="false" ht="15" hidden="false" customHeight="false" outlineLevel="0" collapsed="false">
      <c r="A163" s="10" t="n">
        <v>5</v>
      </c>
      <c r="B163" s="2" t="s">
        <v>482</v>
      </c>
      <c r="C163" s="10" t="n">
        <f aca="false">Wiring!$F$6*Wiring!$C$10*Wiring!$D$7*Wiring!$E$8*Wiring!$H$9</f>
        <v>0</v>
      </c>
    </row>
    <row r="164" customFormat="false" ht="15" hidden="false" customHeight="false" outlineLevel="0" collapsed="false">
      <c r="A164" s="10" t="n">
        <v>5</v>
      </c>
      <c r="B164" s="2" t="s">
        <v>483</v>
      </c>
      <c r="C164" s="10" t="n">
        <f aca="false">Wiring!$F$6*Wiring!$C$10*Wiring!$D$7*Wiring!$G$8*Wiring!$H$11</f>
        <v>0</v>
      </c>
    </row>
    <row r="165" customFormat="false" ht="15" hidden="false" customHeight="false" outlineLevel="0" collapsed="false">
      <c r="A165" s="10" t="n">
        <v>5</v>
      </c>
      <c r="B165" s="2" t="s">
        <v>484</v>
      </c>
      <c r="C165" s="10" t="n">
        <f aca="false">Wiring!$F$6*Wiring!$C$10*Wiring!$E$7*Wiring!$D$9*Wiring!$H$8</f>
        <v>0</v>
      </c>
    </row>
    <row r="166" customFormat="false" ht="15" hidden="false" customHeight="false" outlineLevel="0" collapsed="false">
      <c r="A166" s="10" t="n">
        <v>5</v>
      </c>
      <c r="B166" s="2" t="s">
        <v>485</v>
      </c>
      <c r="C166" s="10" t="n">
        <f aca="false">Wiring!$F$6*Wiring!$C$10*Wiring!$E$7*Wiring!$G$9*Wiring!$H$11</f>
        <v>0</v>
      </c>
    </row>
    <row r="167" customFormat="false" ht="15" hidden="false" customHeight="false" outlineLevel="0" collapsed="false">
      <c r="A167" s="10" t="n">
        <v>5</v>
      </c>
      <c r="B167" s="2" t="s">
        <v>486</v>
      </c>
      <c r="C167" s="10" t="n">
        <f aca="false">Wiring!$F$6*Wiring!$C$10*Wiring!$G$7*Wiring!$D$11*Wiring!$H$8</f>
        <v>0</v>
      </c>
    </row>
    <row r="168" customFormat="false" ht="15" hidden="false" customHeight="false" outlineLevel="0" collapsed="false">
      <c r="A168" s="10" t="n">
        <v>5</v>
      </c>
      <c r="B168" s="2" t="s">
        <v>487</v>
      </c>
      <c r="C168" s="10" t="n">
        <f aca="false">Wiring!$F$6*Wiring!$C$10*Wiring!$G$7*Wiring!$E$11*Wiring!$H$9</f>
        <v>0</v>
      </c>
    </row>
    <row r="169" customFormat="false" ht="15" hidden="false" customHeight="false" outlineLevel="0" collapsed="false">
      <c r="A169" s="10" t="n">
        <v>5</v>
      </c>
      <c r="B169" s="2" t="s">
        <v>488</v>
      </c>
      <c r="C169" s="10" t="n">
        <f aca="false">Wiring!$F$6*Wiring!$D$10*Wiring!$C$8*Wiring!$E$7*Wiring!$H$9</f>
        <v>0</v>
      </c>
    </row>
    <row r="170" customFormat="false" ht="15" hidden="false" customHeight="false" outlineLevel="0" collapsed="false">
      <c r="A170" s="10" t="n">
        <v>5</v>
      </c>
      <c r="B170" s="2" t="s">
        <v>489</v>
      </c>
      <c r="C170" s="10" t="n">
        <f aca="false">Wiring!$F$6*Wiring!$D$10*Wiring!$C$8*Wiring!$G$7*Wiring!$H$11</f>
        <v>0</v>
      </c>
    </row>
    <row r="171" customFormat="false" ht="15" hidden="false" customHeight="false" outlineLevel="0" collapsed="false">
      <c r="A171" s="10" t="n">
        <v>5</v>
      </c>
      <c r="B171" s="2" t="s">
        <v>490</v>
      </c>
      <c r="C171" s="10" t="n">
        <f aca="false">Wiring!$F$6*Wiring!$D$10*Wiring!$E$8*Wiring!$C$9*Wiring!$H$7</f>
        <v>0</v>
      </c>
    </row>
    <row r="172" customFormat="false" ht="15" hidden="false" customHeight="false" outlineLevel="0" collapsed="false">
      <c r="A172" s="10" t="n">
        <v>5</v>
      </c>
      <c r="B172" s="2" t="s">
        <v>491</v>
      </c>
      <c r="C172" s="10" t="n">
        <f aca="false">Wiring!$F$6*Wiring!$D$10*Wiring!$E$8*Wiring!$G$9*Wiring!$H$11</f>
        <v>0</v>
      </c>
    </row>
    <row r="173" customFormat="false" ht="15" hidden="false" customHeight="false" outlineLevel="0" collapsed="false">
      <c r="A173" s="10" t="n">
        <v>5</v>
      </c>
      <c r="B173" s="2" t="s">
        <v>492</v>
      </c>
      <c r="C173" s="10" t="n">
        <f aca="false">Wiring!$F$6*Wiring!$D$10*Wiring!$G$8*Wiring!$C$11*Wiring!$H$7</f>
        <v>0</v>
      </c>
    </row>
    <row r="174" customFormat="false" ht="15" hidden="false" customHeight="false" outlineLevel="0" collapsed="false">
      <c r="A174" s="10" t="n">
        <v>5</v>
      </c>
      <c r="B174" s="2" t="s">
        <v>493</v>
      </c>
      <c r="C174" s="10" t="n">
        <f aca="false">Wiring!$F$6*Wiring!$D$10*Wiring!$G$8*Wiring!$E$11*Wiring!$H$9</f>
        <v>0</v>
      </c>
    </row>
    <row r="175" customFormat="false" ht="15" hidden="false" customHeight="false" outlineLevel="0" collapsed="false">
      <c r="A175" s="10" t="n">
        <v>5</v>
      </c>
      <c r="B175" s="2" t="s">
        <v>494</v>
      </c>
      <c r="C175" s="10" t="n">
        <f aca="false">Wiring!$F$6*Wiring!$E$10*Wiring!$C$9*Wiring!$D$7*Wiring!$H$8</f>
        <v>0</v>
      </c>
    </row>
    <row r="176" customFormat="false" ht="15" hidden="false" customHeight="false" outlineLevel="0" collapsed="false">
      <c r="A176" s="10" t="n">
        <v>5</v>
      </c>
      <c r="B176" s="2" t="s">
        <v>495</v>
      </c>
      <c r="C176" s="10" t="n">
        <f aca="false">Wiring!$F$6*Wiring!$E$10*Wiring!$C$9*Wiring!$G$7*Wiring!$H$11</f>
        <v>0</v>
      </c>
    </row>
    <row r="177" customFormat="false" ht="15" hidden="false" customHeight="false" outlineLevel="0" collapsed="false">
      <c r="A177" s="10" t="n">
        <v>5</v>
      </c>
      <c r="B177" s="2" t="s">
        <v>496</v>
      </c>
      <c r="C177" s="10" t="n">
        <f aca="false">Wiring!$F$6*Wiring!$E$10*Wiring!$D$9*Wiring!$C$8*Wiring!$H$7</f>
        <v>0</v>
      </c>
    </row>
    <row r="178" customFormat="false" ht="15" hidden="false" customHeight="false" outlineLevel="0" collapsed="false">
      <c r="A178" s="10" t="n">
        <v>5</v>
      </c>
      <c r="B178" s="2" t="s">
        <v>497</v>
      </c>
      <c r="C178" s="10" t="n">
        <f aca="false">Wiring!$F$6*Wiring!$E$10*Wiring!$D$9*Wiring!$G$8*Wiring!$H$11</f>
        <v>0</v>
      </c>
    </row>
    <row r="179" customFormat="false" ht="15" hidden="false" customHeight="false" outlineLevel="0" collapsed="false">
      <c r="A179" s="10" t="n">
        <v>5</v>
      </c>
      <c r="B179" s="2" t="s">
        <v>498</v>
      </c>
      <c r="C179" s="10" t="n">
        <f aca="false">Wiring!$F$6*Wiring!$E$10*Wiring!$G$9*Wiring!$C$11*Wiring!$H$7</f>
        <v>0</v>
      </c>
    </row>
    <row r="180" customFormat="false" ht="15" hidden="false" customHeight="false" outlineLevel="0" collapsed="false">
      <c r="A180" s="10" t="n">
        <v>5</v>
      </c>
      <c r="B180" s="2" t="s">
        <v>499</v>
      </c>
      <c r="C180" s="10" t="n">
        <f aca="false">Wiring!$F$6*Wiring!$E$10*Wiring!$G$9*Wiring!$D$11*Wiring!$H$8</f>
        <v>0</v>
      </c>
    </row>
    <row r="181" customFormat="false" ht="15" hidden="false" customHeight="false" outlineLevel="0" collapsed="false">
      <c r="A181" s="10" t="n">
        <v>5</v>
      </c>
      <c r="B181" s="2" t="s">
        <v>500</v>
      </c>
      <c r="C181" s="10" t="n">
        <f aca="false">Wiring!$F$6*Wiring!$G$10*Wiring!$C$11*Wiring!$D$7*Wiring!$H$8</f>
        <v>0</v>
      </c>
    </row>
    <row r="182" customFormat="false" ht="15" hidden="false" customHeight="false" outlineLevel="0" collapsed="false">
      <c r="A182" s="10" t="n">
        <v>5</v>
      </c>
      <c r="B182" s="2" t="s">
        <v>501</v>
      </c>
      <c r="C182" s="10" t="n">
        <f aca="false">Wiring!$F$6*Wiring!$G$10*Wiring!$C$11*Wiring!$E$7*Wiring!$H$9</f>
        <v>0</v>
      </c>
    </row>
    <row r="183" customFormat="false" ht="15" hidden="false" customHeight="false" outlineLevel="0" collapsed="false">
      <c r="A183" s="10" t="n">
        <v>5</v>
      </c>
      <c r="B183" s="2" t="s">
        <v>502</v>
      </c>
      <c r="C183" s="10" t="n">
        <f aca="false">Wiring!$F$6*Wiring!$G$10*Wiring!$D$11*Wiring!$C$8*Wiring!$H$7</f>
        <v>0</v>
      </c>
    </row>
    <row r="184" customFormat="false" ht="15" hidden="false" customHeight="false" outlineLevel="0" collapsed="false">
      <c r="A184" s="10" t="n">
        <v>5</v>
      </c>
      <c r="B184" s="2" t="s">
        <v>503</v>
      </c>
      <c r="C184" s="10" t="n">
        <f aca="false">Wiring!$F$6*Wiring!$G$10*Wiring!$D$11*Wiring!$E$8*Wiring!$H$9</f>
        <v>0</v>
      </c>
    </row>
    <row r="185" customFormat="false" ht="15" hidden="false" customHeight="false" outlineLevel="0" collapsed="false">
      <c r="A185" s="10" t="n">
        <v>5</v>
      </c>
      <c r="B185" s="2" t="s">
        <v>504</v>
      </c>
      <c r="C185" s="10" t="n">
        <f aca="false">Wiring!$F$6*Wiring!$G$10*Wiring!$E$11*Wiring!$C$9*Wiring!$H$7</f>
        <v>0</v>
      </c>
    </row>
    <row r="186" customFormat="false" ht="15" hidden="false" customHeight="false" outlineLevel="0" collapsed="false">
      <c r="A186" s="10" t="n">
        <v>5</v>
      </c>
      <c r="B186" s="2" t="s">
        <v>505</v>
      </c>
      <c r="C186" s="10" t="n">
        <f aca="false">Wiring!$F$6*Wiring!$G$10*Wiring!$E$11*Wiring!$D$9*Wiring!$H$8</f>
        <v>0</v>
      </c>
    </row>
    <row r="187" customFormat="false" ht="15" hidden="false" customHeight="false" outlineLevel="0" collapsed="false">
      <c r="A187" s="10" t="n">
        <v>5</v>
      </c>
      <c r="B187" s="2" t="s">
        <v>506</v>
      </c>
      <c r="C187" s="10" t="n">
        <f aca="false">Wiring!$G$6*Wiring!$C$11*Wiring!$D$7*Wiring!$E$8*Wiring!$H$9</f>
        <v>0</v>
      </c>
    </row>
    <row r="188" customFormat="false" ht="15" hidden="false" customHeight="false" outlineLevel="0" collapsed="false">
      <c r="A188" s="10" t="n">
        <v>5</v>
      </c>
      <c r="B188" s="2" t="s">
        <v>507</v>
      </c>
      <c r="C188" s="10" t="n">
        <f aca="false">Wiring!$G$6*Wiring!$C$11*Wiring!$D$7*Wiring!$F$8*Wiring!$H$10</f>
        <v>0</v>
      </c>
    </row>
    <row r="189" customFormat="false" ht="15" hidden="false" customHeight="false" outlineLevel="0" collapsed="false">
      <c r="A189" s="10" t="n">
        <v>5</v>
      </c>
      <c r="B189" s="2" t="s">
        <v>508</v>
      </c>
      <c r="C189" s="10" t="n">
        <f aca="false">Wiring!$G$6*Wiring!$C$11*Wiring!$E$7*Wiring!$D$9*Wiring!$H$8</f>
        <v>0</v>
      </c>
    </row>
    <row r="190" customFormat="false" ht="15" hidden="false" customHeight="false" outlineLevel="0" collapsed="false">
      <c r="A190" s="10" t="n">
        <v>5</v>
      </c>
      <c r="B190" s="2" t="s">
        <v>509</v>
      </c>
      <c r="C190" s="10" t="n">
        <f aca="false">Wiring!$G$6*Wiring!$C$11*Wiring!$E$7*Wiring!$F$9*Wiring!$H$10</f>
        <v>0</v>
      </c>
    </row>
    <row r="191" customFormat="false" ht="15" hidden="false" customHeight="false" outlineLevel="0" collapsed="false">
      <c r="A191" s="10" t="n">
        <v>5</v>
      </c>
      <c r="B191" s="2" t="s">
        <v>510</v>
      </c>
      <c r="C191" s="10" t="n">
        <f aca="false">Wiring!$G$6*Wiring!$C$11*Wiring!$F$7*Wiring!$D$10*Wiring!$H$8</f>
        <v>0</v>
      </c>
    </row>
    <row r="192" customFormat="false" ht="15" hidden="false" customHeight="false" outlineLevel="0" collapsed="false">
      <c r="A192" s="10" t="n">
        <v>5</v>
      </c>
      <c r="B192" s="2" t="s">
        <v>511</v>
      </c>
      <c r="C192" s="10" t="n">
        <f aca="false">Wiring!$G$6*Wiring!$C$11*Wiring!$F$7*Wiring!$E$10*Wiring!$H$9</f>
        <v>0</v>
      </c>
    </row>
    <row r="193" customFormat="false" ht="15" hidden="false" customHeight="false" outlineLevel="0" collapsed="false">
      <c r="A193" s="10" t="n">
        <v>5</v>
      </c>
      <c r="B193" s="2" t="s">
        <v>512</v>
      </c>
      <c r="C193" s="10" t="n">
        <f aca="false">Wiring!$G$6*Wiring!$D$11*Wiring!$C$8*Wiring!$E$7*Wiring!$H$9</f>
        <v>0</v>
      </c>
    </row>
    <row r="194" customFormat="false" ht="15" hidden="false" customHeight="false" outlineLevel="0" collapsed="false">
      <c r="A194" s="10" t="n">
        <v>5</v>
      </c>
      <c r="B194" s="2" t="s">
        <v>513</v>
      </c>
      <c r="C194" s="10" t="n">
        <f aca="false">Wiring!$G$6*Wiring!$D$11*Wiring!$C$8*Wiring!$F$7*Wiring!$H$10</f>
        <v>0</v>
      </c>
    </row>
    <row r="195" customFormat="false" ht="15" hidden="false" customHeight="false" outlineLevel="0" collapsed="false">
      <c r="A195" s="10" t="n">
        <v>5</v>
      </c>
      <c r="B195" s="2" t="s">
        <v>514</v>
      </c>
      <c r="C195" s="10" t="n">
        <f aca="false">Wiring!$G$6*Wiring!$D$11*Wiring!$E$8*Wiring!$C$9*Wiring!$H$7</f>
        <v>0</v>
      </c>
    </row>
    <row r="196" customFormat="false" ht="15" hidden="false" customHeight="false" outlineLevel="0" collapsed="false">
      <c r="A196" s="10" t="n">
        <v>5</v>
      </c>
      <c r="B196" s="2" t="s">
        <v>515</v>
      </c>
      <c r="C196" s="10" t="n">
        <f aca="false">Wiring!$G$6*Wiring!$D$11*Wiring!$E$8*Wiring!$F$9*Wiring!$H$10</f>
        <v>0</v>
      </c>
    </row>
    <row r="197" customFormat="false" ht="15" hidden="false" customHeight="false" outlineLevel="0" collapsed="false">
      <c r="A197" s="10" t="n">
        <v>5</v>
      </c>
      <c r="B197" s="2" t="s">
        <v>516</v>
      </c>
      <c r="C197" s="10" t="n">
        <f aca="false">Wiring!$G$6*Wiring!$D$11*Wiring!$F$8*Wiring!$C$10*Wiring!$H$7</f>
        <v>0</v>
      </c>
    </row>
    <row r="198" customFormat="false" ht="15" hidden="false" customHeight="false" outlineLevel="0" collapsed="false">
      <c r="A198" s="10" t="n">
        <v>5</v>
      </c>
      <c r="B198" s="2" t="s">
        <v>517</v>
      </c>
      <c r="C198" s="10" t="n">
        <f aca="false">Wiring!$G$6*Wiring!$D$11*Wiring!$F$8*Wiring!$E$10*Wiring!$H$9</f>
        <v>0</v>
      </c>
    </row>
    <row r="199" customFormat="false" ht="15" hidden="false" customHeight="false" outlineLevel="0" collapsed="false">
      <c r="A199" s="10" t="n">
        <v>5</v>
      </c>
      <c r="B199" s="2" t="s">
        <v>518</v>
      </c>
      <c r="C199" s="10" t="n">
        <f aca="false">Wiring!$G$6*Wiring!$E$11*Wiring!$C$9*Wiring!$D$7*Wiring!$H$8</f>
        <v>0</v>
      </c>
    </row>
    <row r="200" customFormat="false" ht="15" hidden="false" customHeight="false" outlineLevel="0" collapsed="false">
      <c r="A200" s="10" t="n">
        <v>5</v>
      </c>
      <c r="B200" s="2" t="s">
        <v>519</v>
      </c>
      <c r="C200" s="10" t="n">
        <f aca="false">Wiring!$G$6*Wiring!$E$11*Wiring!$C$9*Wiring!$F$7*Wiring!$H$10</f>
        <v>0</v>
      </c>
    </row>
    <row r="201" customFormat="false" ht="15" hidden="false" customHeight="false" outlineLevel="0" collapsed="false">
      <c r="A201" s="10" t="n">
        <v>5</v>
      </c>
      <c r="B201" s="2" t="s">
        <v>520</v>
      </c>
      <c r="C201" s="10" t="n">
        <f aca="false">Wiring!$G$6*Wiring!$E$11*Wiring!$D$9*Wiring!$C$8*Wiring!$H$7</f>
        <v>0</v>
      </c>
    </row>
    <row r="202" customFormat="false" ht="15" hidden="false" customHeight="false" outlineLevel="0" collapsed="false">
      <c r="A202" s="10" t="n">
        <v>5</v>
      </c>
      <c r="B202" s="2" t="s">
        <v>521</v>
      </c>
      <c r="C202" s="10" t="n">
        <f aca="false">Wiring!$G$6*Wiring!$E$11*Wiring!$D$9*Wiring!$F$8*Wiring!$H$10</f>
        <v>0</v>
      </c>
    </row>
    <row r="203" customFormat="false" ht="15" hidden="false" customHeight="false" outlineLevel="0" collapsed="false">
      <c r="A203" s="10" t="n">
        <v>5</v>
      </c>
      <c r="B203" s="2" t="s">
        <v>522</v>
      </c>
      <c r="C203" s="10" t="n">
        <f aca="false">Wiring!$G$6*Wiring!$E$11*Wiring!$F$9*Wiring!$C$10*Wiring!$H$7</f>
        <v>0</v>
      </c>
    </row>
    <row r="204" customFormat="false" ht="15" hidden="false" customHeight="false" outlineLevel="0" collapsed="false">
      <c r="A204" s="10" t="n">
        <v>5</v>
      </c>
      <c r="B204" s="2" t="s">
        <v>523</v>
      </c>
      <c r="C204" s="10" t="n">
        <f aca="false">Wiring!$G$6*Wiring!$E$11*Wiring!$F$9*Wiring!$D$10*Wiring!$H$8</f>
        <v>0</v>
      </c>
    </row>
    <row r="205" customFormat="false" ht="15" hidden="false" customHeight="false" outlineLevel="0" collapsed="false">
      <c r="A205" s="10" t="n">
        <v>5</v>
      </c>
      <c r="B205" s="2" t="s">
        <v>524</v>
      </c>
      <c r="C205" s="10" t="n">
        <f aca="false">Wiring!$G$6*Wiring!$F$11*Wiring!$C$10*Wiring!$D$7*Wiring!$H$8</f>
        <v>0</v>
      </c>
    </row>
    <row r="206" customFormat="false" ht="15" hidden="false" customHeight="false" outlineLevel="0" collapsed="false">
      <c r="A206" s="10" t="n">
        <v>5</v>
      </c>
      <c r="B206" s="2" t="s">
        <v>525</v>
      </c>
      <c r="C206" s="10" t="n">
        <f aca="false">Wiring!$G$6*Wiring!$F$11*Wiring!$C$10*Wiring!$E$7*Wiring!$H$9</f>
        <v>0</v>
      </c>
    </row>
    <row r="207" customFormat="false" ht="15" hidden="false" customHeight="false" outlineLevel="0" collapsed="false">
      <c r="A207" s="10" t="n">
        <v>5</v>
      </c>
      <c r="B207" s="2" t="s">
        <v>526</v>
      </c>
      <c r="C207" s="10" t="n">
        <f aca="false">Wiring!$G$6*Wiring!$F$11*Wiring!$D$10*Wiring!$C$8*Wiring!$H$7</f>
        <v>0</v>
      </c>
    </row>
    <row r="208" customFormat="false" ht="15" hidden="false" customHeight="false" outlineLevel="0" collapsed="false">
      <c r="A208" s="10" t="n">
        <v>5</v>
      </c>
      <c r="B208" s="2" t="s">
        <v>527</v>
      </c>
      <c r="C208" s="10" t="n">
        <f aca="false">Wiring!$G$6*Wiring!$F$11*Wiring!$D$10*Wiring!$E$8*Wiring!$H$9</f>
        <v>0</v>
      </c>
    </row>
    <row r="209" customFormat="false" ht="15" hidden="false" customHeight="false" outlineLevel="0" collapsed="false">
      <c r="A209" s="10" t="n">
        <v>5</v>
      </c>
      <c r="B209" s="2" t="s">
        <v>528</v>
      </c>
      <c r="C209" s="10" t="n">
        <f aca="false">Wiring!$G$6*Wiring!$F$11*Wiring!$E$10*Wiring!$C$9*Wiring!$H$7</f>
        <v>0</v>
      </c>
    </row>
    <row r="210" customFormat="false" ht="15" hidden="false" customHeight="false" outlineLevel="0" collapsed="false">
      <c r="A210" s="10" t="n">
        <v>5</v>
      </c>
      <c r="B210" s="2" t="s">
        <v>529</v>
      </c>
      <c r="C210" s="10" t="n">
        <f aca="false">Wiring!$G$6*Wiring!$F$11*Wiring!$E$10*Wiring!$D$9*Wiring!$H$8</f>
        <v>0</v>
      </c>
    </row>
    <row r="211" customFormat="false" ht="15" hidden="false" customHeight="false" outlineLevel="0" collapsed="false">
      <c r="A211" s="10" t="n">
        <v>6</v>
      </c>
      <c r="B211" s="2" t="s">
        <v>530</v>
      </c>
      <c r="C211" s="10" t="n">
        <f aca="false">Wiring!$C$6*Wiring!$D$7*Wiring!$E$8*Wiring!$F$9*Wiring!$G$10*Wiring!$H$11</f>
        <v>0</v>
      </c>
    </row>
    <row r="212" customFormat="false" ht="15" hidden="false" customHeight="false" outlineLevel="0" collapsed="false">
      <c r="A212" s="10" t="n">
        <v>6</v>
      </c>
      <c r="B212" s="2" t="s">
        <v>531</v>
      </c>
      <c r="C212" s="10" t="n">
        <f aca="false">Wiring!$C$6*Wiring!$D$7*Wiring!$E$8*Wiring!$G$9*Wiring!$F$11*Wiring!$H$10</f>
        <v>0</v>
      </c>
    </row>
    <row r="213" customFormat="false" ht="15" hidden="false" customHeight="false" outlineLevel="0" collapsed="false">
      <c r="A213" s="10" t="n">
        <v>6</v>
      </c>
      <c r="B213" s="2" t="s">
        <v>532</v>
      </c>
      <c r="C213" s="10" t="n">
        <f aca="false">Wiring!$C$6*Wiring!$D$7*Wiring!$F$8*Wiring!$E$10*Wiring!$G$9*Wiring!$H$11</f>
        <v>0</v>
      </c>
    </row>
    <row r="214" customFormat="false" ht="15" hidden="false" customHeight="false" outlineLevel="0" collapsed="false">
      <c r="A214" s="10" t="n">
        <v>6</v>
      </c>
      <c r="B214" s="2" t="s">
        <v>533</v>
      </c>
      <c r="C214" s="10" t="n">
        <f aca="false">Wiring!$C$6*Wiring!$D$7*Wiring!$F$8*Wiring!$G$10*Wiring!$E$11*Wiring!$H$9</f>
        <v>0</v>
      </c>
    </row>
    <row r="215" customFormat="false" ht="15" hidden="false" customHeight="false" outlineLevel="0" collapsed="false">
      <c r="A215" s="10" t="n">
        <v>6</v>
      </c>
      <c r="B215" s="2" t="s">
        <v>534</v>
      </c>
      <c r="C215" s="10" t="n">
        <f aca="false">Wiring!$C$6*Wiring!$D$7*Wiring!$G$8*Wiring!$E$11*Wiring!$F$9*Wiring!$H$10</f>
        <v>0</v>
      </c>
    </row>
    <row r="216" customFormat="false" ht="15" hidden="false" customHeight="false" outlineLevel="0" collapsed="false">
      <c r="A216" s="10" t="n">
        <v>6</v>
      </c>
      <c r="B216" s="2" t="s">
        <v>535</v>
      </c>
      <c r="C216" s="10" t="n">
        <f aca="false">Wiring!$C$6*Wiring!$D$7*Wiring!$G$8*Wiring!$F$11*Wiring!$E$10*Wiring!$H$9</f>
        <v>0</v>
      </c>
    </row>
    <row r="217" customFormat="false" ht="15" hidden="false" customHeight="false" outlineLevel="0" collapsed="false">
      <c r="A217" s="10" t="n">
        <v>6</v>
      </c>
      <c r="B217" s="2" t="s">
        <v>536</v>
      </c>
      <c r="C217" s="10" t="n">
        <f aca="false">Wiring!$C$6*Wiring!$E$7*Wiring!$D$9*Wiring!$F$8*Wiring!$G$10*Wiring!$H$11</f>
        <v>0</v>
      </c>
    </row>
    <row r="218" customFormat="false" ht="15" hidden="false" customHeight="false" outlineLevel="0" collapsed="false">
      <c r="A218" s="10" t="n">
        <v>6</v>
      </c>
      <c r="B218" s="2" t="s">
        <v>537</v>
      </c>
      <c r="C218" s="10" t="n">
        <f aca="false">Wiring!$C$6*Wiring!$E$7*Wiring!$D$9*Wiring!$G$8*Wiring!$F$11*Wiring!$H$10</f>
        <v>0</v>
      </c>
    </row>
    <row r="219" customFormat="false" ht="15" hidden="false" customHeight="false" outlineLevel="0" collapsed="false">
      <c r="A219" s="10" t="n">
        <v>6</v>
      </c>
      <c r="B219" s="2" t="s">
        <v>538</v>
      </c>
      <c r="C219" s="10" t="n">
        <f aca="false">Wiring!$C$6*Wiring!$E$7*Wiring!$F$9*Wiring!$D$10*Wiring!$G$8*Wiring!$H$11</f>
        <v>0</v>
      </c>
    </row>
    <row r="220" customFormat="false" ht="15" hidden="false" customHeight="false" outlineLevel="0" collapsed="false">
      <c r="A220" s="10" t="n">
        <v>6</v>
      </c>
      <c r="B220" s="2" t="s">
        <v>539</v>
      </c>
      <c r="C220" s="10" t="n">
        <f aca="false">Wiring!$C$6*Wiring!$E$7*Wiring!$F$9*Wiring!$G$10*Wiring!$D$11*Wiring!$H$8</f>
        <v>0</v>
      </c>
    </row>
    <row r="221" customFormat="false" ht="15" hidden="false" customHeight="false" outlineLevel="0" collapsed="false">
      <c r="A221" s="10" t="n">
        <v>6</v>
      </c>
      <c r="B221" s="2" t="s">
        <v>540</v>
      </c>
      <c r="C221" s="10" t="n">
        <f aca="false">Wiring!$C$6*Wiring!$E$7*Wiring!$G$9*Wiring!$D$11*Wiring!$F$8*Wiring!$H$10</f>
        <v>0</v>
      </c>
    </row>
    <row r="222" customFormat="false" ht="15" hidden="false" customHeight="false" outlineLevel="0" collapsed="false">
      <c r="A222" s="10" t="n">
        <v>6</v>
      </c>
      <c r="B222" s="2" t="s">
        <v>541</v>
      </c>
      <c r="C222" s="10" t="n">
        <f aca="false">Wiring!$C$6*Wiring!$E$7*Wiring!$G$9*Wiring!$F$11*Wiring!$D$10*Wiring!$H$8</f>
        <v>0</v>
      </c>
    </row>
    <row r="223" customFormat="false" ht="15" hidden="false" customHeight="false" outlineLevel="0" collapsed="false">
      <c r="A223" s="10" t="n">
        <v>6</v>
      </c>
      <c r="B223" s="2" t="s">
        <v>542</v>
      </c>
      <c r="C223" s="10" t="n">
        <f aca="false">Wiring!$C$6*Wiring!$F$7*Wiring!$D$10*Wiring!$E$8*Wiring!$G$9*Wiring!$H$11</f>
        <v>0</v>
      </c>
    </row>
    <row r="224" customFormat="false" ht="15" hidden="false" customHeight="false" outlineLevel="0" collapsed="false">
      <c r="A224" s="10" t="n">
        <v>6</v>
      </c>
      <c r="B224" s="2" t="s">
        <v>543</v>
      </c>
      <c r="C224" s="10" t="n">
        <f aca="false">Wiring!$C$6*Wiring!$F$7*Wiring!$D$10*Wiring!$G$8*Wiring!$E$11*Wiring!$H$9</f>
        <v>0</v>
      </c>
    </row>
    <row r="225" customFormat="false" ht="15" hidden="false" customHeight="false" outlineLevel="0" collapsed="false">
      <c r="A225" s="10" t="n">
        <v>6</v>
      </c>
      <c r="B225" s="2" t="s">
        <v>544</v>
      </c>
      <c r="C225" s="10" t="n">
        <f aca="false">Wiring!$C$6*Wiring!$F$7*Wiring!$E$10*Wiring!$D$9*Wiring!$G$8*Wiring!$H$11</f>
        <v>0</v>
      </c>
    </row>
    <row r="226" customFormat="false" ht="15" hidden="false" customHeight="false" outlineLevel="0" collapsed="false">
      <c r="A226" s="10" t="n">
        <v>6</v>
      </c>
      <c r="B226" s="2" t="s">
        <v>545</v>
      </c>
      <c r="C226" s="10" t="n">
        <f aca="false">Wiring!$C$6*Wiring!$F$7*Wiring!$E$10*Wiring!$G$9*Wiring!$D$11*Wiring!$H$8</f>
        <v>0</v>
      </c>
    </row>
    <row r="227" customFormat="false" ht="15" hidden="false" customHeight="false" outlineLevel="0" collapsed="false">
      <c r="A227" s="10" t="n">
        <v>6</v>
      </c>
      <c r="B227" s="2" t="s">
        <v>546</v>
      </c>
      <c r="C227" s="10" t="n">
        <f aca="false">Wiring!$C$6*Wiring!$F$7*Wiring!$G$10*Wiring!$D$11*Wiring!$E$8*Wiring!$H$9</f>
        <v>0</v>
      </c>
    </row>
    <row r="228" customFormat="false" ht="15" hidden="false" customHeight="false" outlineLevel="0" collapsed="false">
      <c r="A228" s="10" t="n">
        <v>6</v>
      </c>
      <c r="B228" s="2" t="s">
        <v>547</v>
      </c>
      <c r="C228" s="10" t="n">
        <f aca="false">Wiring!$C$6*Wiring!$F$7*Wiring!$G$10*Wiring!$E$11*Wiring!$D$9*Wiring!$H$8</f>
        <v>0</v>
      </c>
    </row>
    <row r="229" customFormat="false" ht="15" hidden="false" customHeight="false" outlineLevel="0" collapsed="false">
      <c r="A229" s="10" t="n">
        <v>6</v>
      </c>
      <c r="B229" s="2" t="s">
        <v>548</v>
      </c>
      <c r="C229" s="10" t="n">
        <f aca="false">Wiring!$C$6*Wiring!$G$7*Wiring!$D$11*Wiring!$E$8*Wiring!$F$9*Wiring!$H$10</f>
        <v>0</v>
      </c>
    </row>
    <row r="230" customFormat="false" ht="15" hidden="false" customHeight="false" outlineLevel="0" collapsed="false">
      <c r="A230" s="10" t="n">
        <v>6</v>
      </c>
      <c r="B230" s="2" t="s">
        <v>549</v>
      </c>
      <c r="C230" s="10" t="n">
        <f aca="false">Wiring!$C$6*Wiring!$G$7*Wiring!$D$11*Wiring!$F$8*Wiring!$E$10*Wiring!$H$9</f>
        <v>0</v>
      </c>
    </row>
    <row r="231" customFormat="false" ht="15" hidden="false" customHeight="false" outlineLevel="0" collapsed="false">
      <c r="A231" s="10" t="n">
        <v>6</v>
      </c>
      <c r="B231" s="2" t="s">
        <v>550</v>
      </c>
      <c r="C231" s="10" t="n">
        <f aca="false">Wiring!$C$6*Wiring!$G$7*Wiring!$E$11*Wiring!$D$9*Wiring!$F$8*Wiring!$H$10</f>
        <v>0</v>
      </c>
    </row>
    <row r="232" customFormat="false" ht="15" hidden="false" customHeight="false" outlineLevel="0" collapsed="false">
      <c r="A232" s="10" t="n">
        <v>6</v>
      </c>
      <c r="B232" s="2" t="s">
        <v>551</v>
      </c>
      <c r="C232" s="10" t="n">
        <f aca="false">Wiring!$C$6*Wiring!$G$7*Wiring!$E$11*Wiring!$F$9*Wiring!$D$10*Wiring!$H$8</f>
        <v>0</v>
      </c>
    </row>
    <row r="233" customFormat="false" ht="15" hidden="false" customHeight="false" outlineLevel="0" collapsed="false">
      <c r="A233" s="10" t="n">
        <v>6</v>
      </c>
      <c r="B233" s="2" t="s">
        <v>552</v>
      </c>
      <c r="C233" s="10" t="n">
        <f aca="false">Wiring!$C$6*Wiring!$G$7*Wiring!$F$11*Wiring!$D$10*Wiring!$E$8*Wiring!$H$9</f>
        <v>0</v>
      </c>
    </row>
    <row r="234" customFormat="false" ht="15" hidden="false" customHeight="false" outlineLevel="0" collapsed="false">
      <c r="A234" s="10" t="n">
        <v>6</v>
      </c>
      <c r="B234" s="2" t="s">
        <v>553</v>
      </c>
      <c r="C234" s="10" t="n">
        <f aca="false">Wiring!$C$6*Wiring!$G$7*Wiring!$F$11*Wiring!$E$10*Wiring!$D$9*Wiring!$H$8</f>
        <v>0</v>
      </c>
    </row>
    <row r="235" customFormat="false" ht="15" hidden="false" customHeight="false" outlineLevel="0" collapsed="false">
      <c r="A235" s="10" t="n">
        <v>6</v>
      </c>
      <c r="B235" s="2" t="s">
        <v>554</v>
      </c>
      <c r="C235" s="10" t="n">
        <f aca="false">Wiring!$D$6*Wiring!$C$8*Wiring!$E$7*Wiring!$F$9*Wiring!$G$10*Wiring!$H$11</f>
        <v>0</v>
      </c>
    </row>
    <row r="236" customFormat="false" ht="15" hidden="false" customHeight="false" outlineLevel="0" collapsed="false">
      <c r="A236" s="10" t="n">
        <v>6</v>
      </c>
      <c r="B236" s="2" t="s">
        <v>555</v>
      </c>
      <c r="C236" s="10" t="n">
        <f aca="false">Wiring!$D$6*Wiring!$C$8*Wiring!$E$7*Wiring!$G$9*Wiring!$F$11*Wiring!$H$10</f>
        <v>0</v>
      </c>
    </row>
    <row r="237" customFormat="false" ht="15" hidden="false" customHeight="false" outlineLevel="0" collapsed="false">
      <c r="A237" s="10" t="n">
        <v>6</v>
      </c>
      <c r="B237" s="2" t="s">
        <v>556</v>
      </c>
      <c r="C237" s="10" t="n">
        <f aca="false">Wiring!$D$6*Wiring!$C$8*Wiring!$F$7*Wiring!$E$10*Wiring!$G$9*Wiring!$H$11</f>
        <v>0</v>
      </c>
    </row>
    <row r="238" customFormat="false" ht="15" hidden="false" customHeight="false" outlineLevel="0" collapsed="false">
      <c r="A238" s="10" t="n">
        <v>6</v>
      </c>
      <c r="B238" s="2" t="s">
        <v>557</v>
      </c>
      <c r="C238" s="10" t="n">
        <f aca="false">Wiring!$D$6*Wiring!$C$8*Wiring!$F$7*Wiring!$G$10*Wiring!$E$11*Wiring!$H$9</f>
        <v>0</v>
      </c>
    </row>
    <row r="239" customFormat="false" ht="15" hidden="false" customHeight="false" outlineLevel="0" collapsed="false">
      <c r="A239" s="10" t="n">
        <v>6</v>
      </c>
      <c r="B239" s="2" t="s">
        <v>558</v>
      </c>
      <c r="C239" s="10" t="n">
        <f aca="false">Wiring!$D$6*Wiring!$C$8*Wiring!$G$7*Wiring!$E$11*Wiring!$F$9*Wiring!$H$10</f>
        <v>0</v>
      </c>
    </row>
    <row r="240" customFormat="false" ht="15" hidden="false" customHeight="false" outlineLevel="0" collapsed="false">
      <c r="A240" s="10" t="n">
        <v>6</v>
      </c>
      <c r="B240" s="2" t="s">
        <v>559</v>
      </c>
      <c r="C240" s="10" t="n">
        <f aca="false">Wiring!$D$6*Wiring!$C$8*Wiring!$G$7*Wiring!$F$11*Wiring!$E$10*Wiring!$H$9</f>
        <v>0</v>
      </c>
    </row>
    <row r="241" customFormat="false" ht="15" hidden="false" customHeight="false" outlineLevel="0" collapsed="false">
      <c r="A241" s="10" t="n">
        <v>6</v>
      </c>
      <c r="B241" s="2" t="s">
        <v>560</v>
      </c>
      <c r="C241" s="10" t="n">
        <f aca="false">Wiring!$D$6*Wiring!$E$8*Wiring!$C$9*Wiring!$F$7*Wiring!$G$10*Wiring!$H$11</f>
        <v>0</v>
      </c>
    </row>
    <row r="242" customFormat="false" ht="15" hidden="false" customHeight="false" outlineLevel="0" collapsed="false">
      <c r="A242" s="10" t="n">
        <v>6</v>
      </c>
      <c r="B242" s="2" t="s">
        <v>561</v>
      </c>
      <c r="C242" s="10" t="n">
        <f aca="false">Wiring!$D$6*Wiring!$E$8*Wiring!$C$9*Wiring!$G$7*Wiring!$F$11*Wiring!$H$10</f>
        <v>0</v>
      </c>
    </row>
    <row r="243" customFormat="false" ht="15" hidden="false" customHeight="false" outlineLevel="0" collapsed="false">
      <c r="A243" s="10" t="n">
        <v>6</v>
      </c>
      <c r="B243" s="2" t="s">
        <v>562</v>
      </c>
      <c r="C243" s="10" t="n">
        <f aca="false">Wiring!$D$6*Wiring!$E$8*Wiring!$F$9*Wiring!$C$10*Wiring!$G$7*Wiring!$H$11</f>
        <v>0</v>
      </c>
    </row>
    <row r="244" customFormat="false" ht="15" hidden="false" customHeight="false" outlineLevel="0" collapsed="false">
      <c r="A244" s="10" t="n">
        <v>6</v>
      </c>
      <c r="B244" s="2" t="s">
        <v>563</v>
      </c>
      <c r="C244" s="10" t="n">
        <f aca="false">Wiring!$D$6*Wiring!$E$8*Wiring!$F$9*Wiring!$G$10*Wiring!$C$11*Wiring!$H$7</f>
        <v>0</v>
      </c>
    </row>
    <row r="245" customFormat="false" ht="15" hidden="false" customHeight="false" outlineLevel="0" collapsed="false">
      <c r="A245" s="10" t="n">
        <v>6</v>
      </c>
      <c r="B245" s="2" t="s">
        <v>564</v>
      </c>
      <c r="C245" s="10" t="n">
        <f aca="false">Wiring!$D$6*Wiring!$E$8*Wiring!$G$9*Wiring!$C$11*Wiring!$F$7*Wiring!$H$10</f>
        <v>0</v>
      </c>
    </row>
    <row r="246" customFormat="false" ht="15" hidden="false" customHeight="false" outlineLevel="0" collapsed="false">
      <c r="A246" s="10" t="n">
        <v>6</v>
      </c>
      <c r="B246" s="2" t="s">
        <v>565</v>
      </c>
      <c r="C246" s="10" t="n">
        <f aca="false">Wiring!$D$6*Wiring!$E$8*Wiring!$G$9*Wiring!$F$11*Wiring!$C$10*Wiring!$H$7</f>
        <v>0</v>
      </c>
    </row>
    <row r="247" customFormat="false" ht="15" hidden="false" customHeight="false" outlineLevel="0" collapsed="false">
      <c r="A247" s="10" t="n">
        <v>6</v>
      </c>
      <c r="B247" s="2" t="s">
        <v>566</v>
      </c>
      <c r="C247" s="10" t="n">
        <f aca="false">Wiring!$D$6*Wiring!$F$8*Wiring!$C$10*Wiring!$E$7*Wiring!$G$9*Wiring!$H$11</f>
        <v>0</v>
      </c>
    </row>
    <row r="248" customFormat="false" ht="15" hidden="false" customHeight="false" outlineLevel="0" collapsed="false">
      <c r="A248" s="10" t="n">
        <v>6</v>
      </c>
      <c r="B248" s="2" t="s">
        <v>567</v>
      </c>
      <c r="C248" s="10" t="n">
        <f aca="false">Wiring!$D$6*Wiring!$F$8*Wiring!$C$10*Wiring!$G$7*Wiring!$E$11*Wiring!$H$9</f>
        <v>0</v>
      </c>
    </row>
    <row r="249" customFormat="false" ht="15" hidden="false" customHeight="false" outlineLevel="0" collapsed="false">
      <c r="A249" s="10" t="n">
        <v>6</v>
      </c>
      <c r="B249" s="2" t="s">
        <v>568</v>
      </c>
      <c r="C249" s="10" t="n">
        <f aca="false">Wiring!$D$6*Wiring!$F$8*Wiring!$E$10*Wiring!$C$9*Wiring!$G$7*Wiring!$H$11</f>
        <v>0</v>
      </c>
    </row>
    <row r="250" customFormat="false" ht="15" hidden="false" customHeight="false" outlineLevel="0" collapsed="false">
      <c r="A250" s="10" t="n">
        <v>6</v>
      </c>
      <c r="B250" s="2" t="s">
        <v>569</v>
      </c>
      <c r="C250" s="10" t="n">
        <f aca="false">Wiring!$D$6*Wiring!$F$8*Wiring!$E$10*Wiring!$G$9*Wiring!$C$11*Wiring!$H$7</f>
        <v>0</v>
      </c>
    </row>
    <row r="251" customFormat="false" ht="15" hidden="false" customHeight="false" outlineLevel="0" collapsed="false">
      <c r="A251" s="10" t="n">
        <v>6</v>
      </c>
      <c r="B251" s="2" t="s">
        <v>570</v>
      </c>
      <c r="C251" s="10" t="n">
        <f aca="false">Wiring!$D$6*Wiring!$F$8*Wiring!$G$10*Wiring!$C$11*Wiring!$E$7*Wiring!$H$9</f>
        <v>0</v>
      </c>
    </row>
    <row r="252" customFormat="false" ht="15" hidden="false" customHeight="false" outlineLevel="0" collapsed="false">
      <c r="A252" s="10" t="n">
        <v>6</v>
      </c>
      <c r="B252" s="2" t="s">
        <v>571</v>
      </c>
      <c r="C252" s="10" t="n">
        <f aca="false">Wiring!$D$6*Wiring!$F$8*Wiring!$G$10*Wiring!$E$11*Wiring!$C$9*Wiring!$H$7</f>
        <v>0</v>
      </c>
    </row>
    <row r="253" customFormat="false" ht="15" hidden="false" customHeight="false" outlineLevel="0" collapsed="false">
      <c r="A253" s="10" t="n">
        <v>6</v>
      </c>
      <c r="B253" s="2" t="s">
        <v>572</v>
      </c>
      <c r="C253" s="10" t="n">
        <f aca="false">Wiring!$D$6*Wiring!$G$8*Wiring!$C$11*Wiring!$E$7*Wiring!$F$9*Wiring!$H$10</f>
        <v>0</v>
      </c>
    </row>
    <row r="254" customFormat="false" ht="15" hidden="false" customHeight="false" outlineLevel="0" collapsed="false">
      <c r="A254" s="10" t="n">
        <v>6</v>
      </c>
      <c r="B254" s="2" t="s">
        <v>573</v>
      </c>
      <c r="C254" s="10" t="n">
        <f aca="false">Wiring!$D$6*Wiring!$G$8*Wiring!$C$11*Wiring!$F$7*Wiring!$E$10*Wiring!$H$9</f>
        <v>0</v>
      </c>
    </row>
    <row r="255" customFormat="false" ht="15" hidden="false" customHeight="false" outlineLevel="0" collapsed="false">
      <c r="A255" s="10" t="n">
        <v>6</v>
      </c>
      <c r="B255" s="2" t="s">
        <v>574</v>
      </c>
      <c r="C255" s="10" t="n">
        <f aca="false">Wiring!$D$6*Wiring!$G$8*Wiring!$E$11*Wiring!$C$9*Wiring!$F$7*Wiring!$H$10</f>
        <v>0</v>
      </c>
    </row>
    <row r="256" customFormat="false" ht="15" hidden="false" customHeight="false" outlineLevel="0" collapsed="false">
      <c r="A256" s="10" t="n">
        <v>6</v>
      </c>
      <c r="B256" s="2" t="s">
        <v>575</v>
      </c>
      <c r="C256" s="10" t="n">
        <f aca="false">Wiring!$D$6*Wiring!$G$8*Wiring!$E$11*Wiring!$F$9*Wiring!$C$10*Wiring!$H$7</f>
        <v>0</v>
      </c>
    </row>
    <row r="257" customFormat="false" ht="15" hidden="false" customHeight="false" outlineLevel="0" collapsed="false">
      <c r="A257" s="10" t="n">
        <v>6</v>
      </c>
      <c r="B257" s="2" t="s">
        <v>576</v>
      </c>
      <c r="C257" s="10" t="n">
        <f aca="false">Wiring!$D$6*Wiring!$G$8*Wiring!$F$11*Wiring!$C$10*Wiring!$E$7*Wiring!$H$9</f>
        <v>0</v>
      </c>
    </row>
    <row r="258" customFormat="false" ht="15" hidden="false" customHeight="false" outlineLevel="0" collapsed="false">
      <c r="A258" s="10" t="n">
        <v>6</v>
      </c>
      <c r="B258" s="2" t="s">
        <v>577</v>
      </c>
      <c r="C258" s="10" t="n">
        <f aca="false">Wiring!$D$6*Wiring!$G$8*Wiring!$F$11*Wiring!$E$10*Wiring!$C$9*Wiring!$H$7</f>
        <v>0</v>
      </c>
    </row>
    <row r="259" customFormat="false" ht="15" hidden="false" customHeight="false" outlineLevel="0" collapsed="false">
      <c r="A259" s="10" t="n">
        <v>6</v>
      </c>
      <c r="B259" s="2" t="s">
        <v>578</v>
      </c>
      <c r="C259" s="10" t="n">
        <f aca="false">Wiring!$E$6*Wiring!$C$9*Wiring!$D$7*Wiring!$F$8*Wiring!$G$10*Wiring!$H$11</f>
        <v>0</v>
      </c>
    </row>
    <row r="260" customFormat="false" ht="15" hidden="false" customHeight="false" outlineLevel="0" collapsed="false">
      <c r="A260" s="10" t="n">
        <v>6</v>
      </c>
      <c r="B260" s="2" t="s">
        <v>579</v>
      </c>
      <c r="C260" s="10" t="n">
        <f aca="false">Wiring!$E$6*Wiring!$C$9*Wiring!$D$7*Wiring!$G$8*Wiring!$F$11*Wiring!$H$10</f>
        <v>0</v>
      </c>
    </row>
    <row r="261" customFormat="false" ht="15" hidden="false" customHeight="false" outlineLevel="0" collapsed="false">
      <c r="A261" s="10" t="n">
        <v>6</v>
      </c>
      <c r="B261" s="2" t="s">
        <v>580</v>
      </c>
      <c r="C261" s="10" t="n">
        <f aca="false">Wiring!$E$6*Wiring!$C$9*Wiring!$F$7*Wiring!$D$10*Wiring!$G$8*Wiring!$H$11</f>
        <v>0</v>
      </c>
    </row>
    <row r="262" customFormat="false" ht="15" hidden="false" customHeight="false" outlineLevel="0" collapsed="false">
      <c r="A262" s="10" t="n">
        <v>6</v>
      </c>
      <c r="B262" s="2" t="s">
        <v>581</v>
      </c>
      <c r="C262" s="10" t="n">
        <f aca="false">Wiring!$E$6*Wiring!$C$9*Wiring!$F$7*Wiring!$G$10*Wiring!$D$11*Wiring!$H$8</f>
        <v>0</v>
      </c>
    </row>
    <row r="263" customFormat="false" ht="15" hidden="false" customHeight="false" outlineLevel="0" collapsed="false">
      <c r="A263" s="10" t="n">
        <v>6</v>
      </c>
      <c r="B263" s="2" t="s">
        <v>582</v>
      </c>
      <c r="C263" s="10" t="n">
        <f aca="false">Wiring!$E$6*Wiring!$C$9*Wiring!$G$7*Wiring!$D$11*Wiring!$F$8*Wiring!$H$10</f>
        <v>0</v>
      </c>
    </row>
    <row r="264" customFormat="false" ht="15" hidden="false" customHeight="false" outlineLevel="0" collapsed="false">
      <c r="A264" s="10" t="n">
        <v>6</v>
      </c>
      <c r="B264" s="2" t="s">
        <v>583</v>
      </c>
      <c r="C264" s="10" t="n">
        <f aca="false">Wiring!$E$6*Wiring!$C$9*Wiring!$G$7*Wiring!$F$11*Wiring!$D$10*Wiring!$H$8</f>
        <v>0</v>
      </c>
    </row>
    <row r="265" customFormat="false" ht="15" hidden="false" customHeight="false" outlineLevel="0" collapsed="false">
      <c r="A265" s="10" t="n">
        <v>6</v>
      </c>
      <c r="B265" s="2" t="s">
        <v>584</v>
      </c>
      <c r="C265" s="10" t="n">
        <f aca="false">Wiring!$E$6*Wiring!$D$9*Wiring!$C$8*Wiring!$F$7*Wiring!$G$10*Wiring!$H$11</f>
        <v>0</v>
      </c>
    </row>
    <row r="266" customFormat="false" ht="15" hidden="false" customHeight="false" outlineLevel="0" collapsed="false">
      <c r="A266" s="10" t="n">
        <v>6</v>
      </c>
      <c r="B266" s="2" t="s">
        <v>585</v>
      </c>
      <c r="C266" s="10" t="n">
        <f aca="false">Wiring!$E$6*Wiring!$D$9*Wiring!$C$8*Wiring!$G$7*Wiring!$F$11*Wiring!$H$10</f>
        <v>0</v>
      </c>
    </row>
    <row r="267" customFormat="false" ht="15" hidden="false" customHeight="false" outlineLevel="0" collapsed="false">
      <c r="A267" s="10" t="n">
        <v>6</v>
      </c>
      <c r="B267" s="2" t="s">
        <v>586</v>
      </c>
      <c r="C267" s="10" t="n">
        <f aca="false">Wiring!$E$6*Wiring!$D$9*Wiring!$F$8*Wiring!$C$10*Wiring!$G$7*Wiring!$H$11</f>
        <v>0</v>
      </c>
    </row>
    <row r="268" customFormat="false" ht="15" hidden="false" customHeight="false" outlineLevel="0" collapsed="false">
      <c r="A268" s="10" t="n">
        <v>6</v>
      </c>
      <c r="B268" s="2" t="s">
        <v>587</v>
      </c>
      <c r="C268" s="10" t="n">
        <f aca="false">Wiring!$E$6*Wiring!$D$9*Wiring!$F$8*Wiring!$G$10*Wiring!$C$11*Wiring!$H$7</f>
        <v>0</v>
      </c>
    </row>
    <row r="269" customFormat="false" ht="15" hidden="false" customHeight="false" outlineLevel="0" collapsed="false">
      <c r="A269" s="10" t="n">
        <v>6</v>
      </c>
      <c r="B269" s="2" t="s">
        <v>588</v>
      </c>
      <c r="C269" s="10" t="n">
        <f aca="false">Wiring!$E$6*Wiring!$D$9*Wiring!$G$8*Wiring!$C$11*Wiring!$F$7*Wiring!$H$10</f>
        <v>0</v>
      </c>
    </row>
    <row r="270" customFormat="false" ht="15" hidden="false" customHeight="false" outlineLevel="0" collapsed="false">
      <c r="A270" s="10" t="n">
        <v>6</v>
      </c>
      <c r="B270" s="2" t="s">
        <v>589</v>
      </c>
      <c r="C270" s="10" t="n">
        <f aca="false">Wiring!$E$6*Wiring!$D$9*Wiring!$G$8*Wiring!$F$11*Wiring!$C$10*Wiring!$H$7</f>
        <v>0</v>
      </c>
    </row>
    <row r="271" customFormat="false" ht="15" hidden="false" customHeight="false" outlineLevel="0" collapsed="false">
      <c r="A271" s="10" t="n">
        <v>6</v>
      </c>
      <c r="B271" s="2" t="s">
        <v>590</v>
      </c>
      <c r="C271" s="10" t="n">
        <f aca="false">Wiring!$E$6*Wiring!$F$9*Wiring!$C$10*Wiring!$D$7*Wiring!$G$8*Wiring!$H$11</f>
        <v>0</v>
      </c>
    </row>
    <row r="272" customFormat="false" ht="15" hidden="false" customHeight="false" outlineLevel="0" collapsed="false">
      <c r="A272" s="10" t="n">
        <v>6</v>
      </c>
      <c r="B272" s="2" t="s">
        <v>591</v>
      </c>
      <c r="C272" s="10" t="n">
        <f aca="false">Wiring!$E$6*Wiring!$F$9*Wiring!$C$10*Wiring!$G$7*Wiring!$D$11*Wiring!$H$8</f>
        <v>0</v>
      </c>
    </row>
    <row r="273" customFormat="false" ht="15" hidden="false" customHeight="false" outlineLevel="0" collapsed="false">
      <c r="A273" s="10" t="n">
        <v>6</v>
      </c>
      <c r="B273" s="2" t="s">
        <v>592</v>
      </c>
      <c r="C273" s="10" t="n">
        <f aca="false">Wiring!$E$6*Wiring!$F$9*Wiring!$D$10*Wiring!$C$8*Wiring!$G$7*Wiring!$H$11</f>
        <v>0</v>
      </c>
    </row>
    <row r="274" customFormat="false" ht="15" hidden="false" customHeight="false" outlineLevel="0" collapsed="false">
      <c r="A274" s="10" t="n">
        <v>6</v>
      </c>
      <c r="B274" s="2" t="s">
        <v>593</v>
      </c>
      <c r="C274" s="10" t="n">
        <f aca="false">Wiring!$E$6*Wiring!$F$9*Wiring!$D$10*Wiring!$G$8*Wiring!$C$11*Wiring!$H$7</f>
        <v>0</v>
      </c>
    </row>
    <row r="275" customFormat="false" ht="15" hidden="false" customHeight="false" outlineLevel="0" collapsed="false">
      <c r="A275" s="10" t="n">
        <v>6</v>
      </c>
      <c r="B275" s="2" t="s">
        <v>594</v>
      </c>
      <c r="C275" s="10" t="n">
        <f aca="false">Wiring!$E$6*Wiring!$F$9*Wiring!$G$10*Wiring!$C$11*Wiring!$D$7*Wiring!$H$8</f>
        <v>0</v>
      </c>
    </row>
    <row r="276" customFormat="false" ht="15" hidden="false" customHeight="false" outlineLevel="0" collapsed="false">
      <c r="A276" s="10" t="n">
        <v>6</v>
      </c>
      <c r="B276" s="2" t="s">
        <v>595</v>
      </c>
      <c r="C276" s="10" t="n">
        <f aca="false">Wiring!$E$6*Wiring!$F$9*Wiring!$G$10*Wiring!$D$11*Wiring!$C$8*Wiring!$H$7</f>
        <v>0</v>
      </c>
    </row>
    <row r="277" customFormat="false" ht="15" hidden="false" customHeight="false" outlineLevel="0" collapsed="false">
      <c r="A277" s="10" t="n">
        <v>6</v>
      </c>
      <c r="B277" s="2" t="s">
        <v>596</v>
      </c>
      <c r="C277" s="10" t="n">
        <f aca="false">Wiring!$E$6*Wiring!$G$9*Wiring!$C$11*Wiring!$D$7*Wiring!$F$8*Wiring!$H$10</f>
        <v>0</v>
      </c>
    </row>
    <row r="278" customFormat="false" ht="15" hidden="false" customHeight="false" outlineLevel="0" collapsed="false">
      <c r="A278" s="10" t="n">
        <v>6</v>
      </c>
      <c r="B278" s="2" t="s">
        <v>597</v>
      </c>
      <c r="C278" s="10" t="n">
        <f aca="false">Wiring!$E$6*Wiring!$G$9*Wiring!$C$11*Wiring!$F$7*Wiring!$D$10*Wiring!$H$8</f>
        <v>0</v>
      </c>
    </row>
    <row r="279" customFormat="false" ht="15" hidden="false" customHeight="false" outlineLevel="0" collapsed="false">
      <c r="A279" s="10" t="n">
        <v>6</v>
      </c>
      <c r="B279" s="2" t="s">
        <v>598</v>
      </c>
      <c r="C279" s="10" t="n">
        <f aca="false">Wiring!$E$6*Wiring!$G$9*Wiring!$D$11*Wiring!$C$8*Wiring!$F$7*Wiring!$H$10</f>
        <v>0</v>
      </c>
    </row>
    <row r="280" customFormat="false" ht="15" hidden="false" customHeight="false" outlineLevel="0" collapsed="false">
      <c r="A280" s="10" t="n">
        <v>6</v>
      </c>
      <c r="B280" s="2" t="s">
        <v>599</v>
      </c>
      <c r="C280" s="10" t="n">
        <f aca="false">Wiring!$E$6*Wiring!$G$9*Wiring!$D$11*Wiring!$F$8*Wiring!$C$10*Wiring!$H$7</f>
        <v>0</v>
      </c>
    </row>
    <row r="281" customFormat="false" ht="15" hidden="false" customHeight="false" outlineLevel="0" collapsed="false">
      <c r="A281" s="10" t="n">
        <v>6</v>
      </c>
      <c r="B281" s="2" t="s">
        <v>600</v>
      </c>
      <c r="C281" s="10" t="n">
        <f aca="false">Wiring!$E$6*Wiring!$G$9*Wiring!$F$11*Wiring!$C$10*Wiring!$D$7*Wiring!$H$8</f>
        <v>0</v>
      </c>
    </row>
    <row r="282" customFormat="false" ht="15" hidden="false" customHeight="false" outlineLevel="0" collapsed="false">
      <c r="A282" s="10" t="n">
        <v>6</v>
      </c>
      <c r="B282" s="2" t="s">
        <v>601</v>
      </c>
      <c r="C282" s="10" t="n">
        <f aca="false">Wiring!$E$6*Wiring!$G$9*Wiring!$F$11*Wiring!$D$10*Wiring!$C$8*Wiring!$H$7</f>
        <v>0</v>
      </c>
    </row>
    <row r="283" customFormat="false" ht="15" hidden="false" customHeight="false" outlineLevel="0" collapsed="false">
      <c r="A283" s="10" t="n">
        <v>6</v>
      </c>
      <c r="B283" s="2" t="s">
        <v>602</v>
      </c>
      <c r="C283" s="10" t="n">
        <f aca="false">Wiring!$F$6*Wiring!$C$10*Wiring!$D$7*Wiring!$E$8*Wiring!$G$9*Wiring!$H$11</f>
        <v>0</v>
      </c>
    </row>
    <row r="284" customFormat="false" ht="15" hidden="false" customHeight="false" outlineLevel="0" collapsed="false">
      <c r="A284" s="10" t="n">
        <v>6</v>
      </c>
      <c r="B284" s="2" t="s">
        <v>603</v>
      </c>
      <c r="C284" s="10" t="n">
        <f aca="false">Wiring!$F$6*Wiring!$C$10*Wiring!$D$7*Wiring!$G$8*Wiring!$E$11*Wiring!$H$9</f>
        <v>0</v>
      </c>
    </row>
    <row r="285" customFormat="false" ht="15" hidden="false" customHeight="false" outlineLevel="0" collapsed="false">
      <c r="A285" s="10" t="n">
        <v>6</v>
      </c>
      <c r="B285" s="2" t="s">
        <v>604</v>
      </c>
      <c r="C285" s="10" t="n">
        <f aca="false">Wiring!$F$6*Wiring!$C$10*Wiring!$E$7*Wiring!$D$9*Wiring!$G$8*Wiring!$H$11</f>
        <v>0</v>
      </c>
    </row>
    <row r="286" customFormat="false" ht="15" hidden="false" customHeight="false" outlineLevel="0" collapsed="false">
      <c r="A286" s="10" t="n">
        <v>6</v>
      </c>
      <c r="B286" s="2" t="s">
        <v>605</v>
      </c>
      <c r="C286" s="10" t="n">
        <f aca="false">Wiring!$F$6*Wiring!$C$10*Wiring!$E$7*Wiring!$G$9*Wiring!$D$11*Wiring!$H$8</f>
        <v>0</v>
      </c>
    </row>
    <row r="287" customFormat="false" ht="15" hidden="false" customHeight="false" outlineLevel="0" collapsed="false">
      <c r="A287" s="10" t="n">
        <v>6</v>
      </c>
      <c r="B287" s="2" t="s">
        <v>606</v>
      </c>
      <c r="C287" s="10" t="n">
        <f aca="false">Wiring!$F$6*Wiring!$C$10*Wiring!$G$7*Wiring!$D$11*Wiring!$E$8*Wiring!$H$9</f>
        <v>0</v>
      </c>
    </row>
    <row r="288" customFormat="false" ht="15" hidden="false" customHeight="false" outlineLevel="0" collapsed="false">
      <c r="A288" s="10" t="n">
        <v>6</v>
      </c>
      <c r="B288" s="2" t="s">
        <v>607</v>
      </c>
      <c r="C288" s="10" t="n">
        <f aca="false">Wiring!$F$6*Wiring!$C$10*Wiring!$G$7*Wiring!$E$11*Wiring!$D$9*Wiring!$H$8</f>
        <v>0</v>
      </c>
    </row>
    <row r="289" customFormat="false" ht="15" hidden="false" customHeight="false" outlineLevel="0" collapsed="false">
      <c r="A289" s="10" t="n">
        <v>6</v>
      </c>
      <c r="B289" s="2" t="s">
        <v>608</v>
      </c>
      <c r="C289" s="10" t="n">
        <f aca="false">Wiring!$F$6*Wiring!$D$10*Wiring!$C$8*Wiring!$E$7*Wiring!$G$9*Wiring!$H$11</f>
        <v>0</v>
      </c>
    </row>
    <row r="290" customFormat="false" ht="15" hidden="false" customHeight="false" outlineLevel="0" collapsed="false">
      <c r="A290" s="10" t="n">
        <v>6</v>
      </c>
      <c r="B290" s="2" t="s">
        <v>609</v>
      </c>
      <c r="C290" s="10" t="n">
        <f aca="false">Wiring!$F$6*Wiring!$D$10*Wiring!$C$8*Wiring!$G$7*Wiring!$E$11*Wiring!$H$9</f>
        <v>0</v>
      </c>
    </row>
    <row r="291" customFormat="false" ht="15" hidden="false" customHeight="false" outlineLevel="0" collapsed="false">
      <c r="A291" s="10" t="n">
        <v>6</v>
      </c>
      <c r="B291" s="2" t="s">
        <v>610</v>
      </c>
      <c r="C291" s="10" t="n">
        <f aca="false">Wiring!$F$6*Wiring!$D$10*Wiring!$E$8*Wiring!$C$9*Wiring!$G$7*Wiring!$H$11</f>
        <v>0</v>
      </c>
    </row>
    <row r="292" customFormat="false" ht="15" hidden="false" customHeight="false" outlineLevel="0" collapsed="false">
      <c r="A292" s="10" t="n">
        <v>6</v>
      </c>
      <c r="B292" s="2" t="s">
        <v>611</v>
      </c>
      <c r="C292" s="10" t="n">
        <f aca="false">Wiring!$F$6*Wiring!$D$10*Wiring!$E$8*Wiring!$G$9*Wiring!$C$11*Wiring!$H$7</f>
        <v>0</v>
      </c>
    </row>
    <row r="293" customFormat="false" ht="15" hidden="false" customHeight="false" outlineLevel="0" collapsed="false">
      <c r="A293" s="10" t="n">
        <v>6</v>
      </c>
      <c r="B293" s="2" t="s">
        <v>612</v>
      </c>
      <c r="C293" s="10" t="n">
        <f aca="false">Wiring!$F$6*Wiring!$D$10*Wiring!$G$8*Wiring!$C$11*Wiring!$E$7*Wiring!$H$9</f>
        <v>0</v>
      </c>
    </row>
    <row r="294" customFormat="false" ht="15" hidden="false" customHeight="false" outlineLevel="0" collapsed="false">
      <c r="A294" s="10" t="n">
        <v>6</v>
      </c>
      <c r="B294" s="2" t="s">
        <v>613</v>
      </c>
      <c r="C294" s="10" t="n">
        <f aca="false">Wiring!$F$6*Wiring!$D$10*Wiring!$G$8*Wiring!$E$11*Wiring!$C$9*Wiring!$H$7</f>
        <v>0</v>
      </c>
    </row>
    <row r="295" customFormat="false" ht="15" hidden="false" customHeight="false" outlineLevel="0" collapsed="false">
      <c r="A295" s="10" t="n">
        <v>6</v>
      </c>
      <c r="B295" s="2" t="s">
        <v>614</v>
      </c>
      <c r="C295" s="10" t="n">
        <f aca="false">Wiring!$F$6*Wiring!$E$10*Wiring!$C$9*Wiring!$D$7*Wiring!$G$8*Wiring!$H$11</f>
        <v>0</v>
      </c>
    </row>
    <row r="296" customFormat="false" ht="15" hidden="false" customHeight="false" outlineLevel="0" collapsed="false">
      <c r="A296" s="10" t="n">
        <v>6</v>
      </c>
      <c r="B296" s="2" t="s">
        <v>615</v>
      </c>
      <c r="C296" s="10" t="n">
        <f aca="false">Wiring!$F$6*Wiring!$E$10*Wiring!$C$9*Wiring!$G$7*Wiring!$D$11*Wiring!$H$8</f>
        <v>0</v>
      </c>
    </row>
    <row r="297" customFormat="false" ht="15" hidden="false" customHeight="false" outlineLevel="0" collapsed="false">
      <c r="A297" s="10" t="n">
        <v>6</v>
      </c>
      <c r="B297" s="2" t="s">
        <v>616</v>
      </c>
      <c r="C297" s="10" t="n">
        <f aca="false">Wiring!$F$6*Wiring!$E$10*Wiring!$D$9*Wiring!$C$8*Wiring!$G$7*Wiring!$H$11</f>
        <v>0</v>
      </c>
    </row>
    <row r="298" customFormat="false" ht="15" hidden="false" customHeight="false" outlineLevel="0" collapsed="false">
      <c r="A298" s="10" t="n">
        <v>6</v>
      </c>
      <c r="B298" s="2" t="s">
        <v>617</v>
      </c>
      <c r="C298" s="10" t="n">
        <f aca="false">Wiring!$F$6*Wiring!$E$10*Wiring!$D$9*Wiring!$G$8*Wiring!$C$11*Wiring!$H$7</f>
        <v>0</v>
      </c>
    </row>
    <row r="299" customFormat="false" ht="15" hidden="false" customHeight="false" outlineLevel="0" collapsed="false">
      <c r="A299" s="10" t="n">
        <v>6</v>
      </c>
      <c r="B299" s="2" t="s">
        <v>618</v>
      </c>
      <c r="C299" s="10" t="n">
        <f aca="false">Wiring!$F$6*Wiring!$E$10*Wiring!$G$9*Wiring!$C$11*Wiring!$D$7*Wiring!$H$8</f>
        <v>0</v>
      </c>
    </row>
    <row r="300" customFormat="false" ht="15" hidden="false" customHeight="false" outlineLevel="0" collapsed="false">
      <c r="A300" s="10" t="n">
        <v>6</v>
      </c>
      <c r="B300" s="2" t="s">
        <v>619</v>
      </c>
      <c r="C300" s="10" t="n">
        <f aca="false">Wiring!$F$6*Wiring!$E$10*Wiring!$G$9*Wiring!$D$11*Wiring!$C$8*Wiring!$H$7</f>
        <v>0</v>
      </c>
    </row>
    <row r="301" customFormat="false" ht="15" hidden="false" customHeight="false" outlineLevel="0" collapsed="false">
      <c r="A301" s="10" t="n">
        <v>6</v>
      </c>
      <c r="B301" s="2" t="s">
        <v>620</v>
      </c>
      <c r="C301" s="10" t="n">
        <f aca="false">Wiring!$F$6*Wiring!$G$10*Wiring!$C$11*Wiring!$D$7*Wiring!$E$8*Wiring!$H$9</f>
        <v>0</v>
      </c>
    </row>
    <row r="302" customFormat="false" ht="15" hidden="false" customHeight="false" outlineLevel="0" collapsed="false">
      <c r="A302" s="10" t="n">
        <v>6</v>
      </c>
      <c r="B302" s="2" t="s">
        <v>621</v>
      </c>
      <c r="C302" s="10" t="n">
        <f aca="false">Wiring!$F$6*Wiring!$G$10*Wiring!$C$11*Wiring!$E$7*Wiring!$D$9*Wiring!$H$8</f>
        <v>0</v>
      </c>
    </row>
    <row r="303" customFormat="false" ht="15" hidden="false" customHeight="false" outlineLevel="0" collapsed="false">
      <c r="A303" s="10" t="n">
        <v>6</v>
      </c>
      <c r="B303" s="2" t="s">
        <v>622</v>
      </c>
      <c r="C303" s="10" t="n">
        <f aca="false">Wiring!$F$6*Wiring!$G$10*Wiring!$D$11*Wiring!$C$8*Wiring!$E$7*Wiring!$H$9</f>
        <v>0</v>
      </c>
    </row>
    <row r="304" customFormat="false" ht="15" hidden="false" customHeight="false" outlineLevel="0" collapsed="false">
      <c r="A304" s="10" t="n">
        <v>6</v>
      </c>
      <c r="B304" s="2" t="s">
        <v>623</v>
      </c>
      <c r="C304" s="10" t="n">
        <f aca="false">Wiring!$F$6*Wiring!$G$10*Wiring!$D$11*Wiring!$E$8*Wiring!$C$9*Wiring!$H$7</f>
        <v>0</v>
      </c>
    </row>
    <row r="305" customFormat="false" ht="15" hidden="false" customHeight="false" outlineLevel="0" collapsed="false">
      <c r="A305" s="10" t="n">
        <v>6</v>
      </c>
      <c r="B305" s="2" t="s">
        <v>624</v>
      </c>
      <c r="C305" s="10" t="n">
        <f aca="false">Wiring!$F$6*Wiring!$G$10*Wiring!$E$11*Wiring!$C$9*Wiring!$D$7*Wiring!$H$8</f>
        <v>0</v>
      </c>
    </row>
    <row r="306" customFormat="false" ht="15" hidden="false" customHeight="false" outlineLevel="0" collapsed="false">
      <c r="A306" s="10" t="n">
        <v>6</v>
      </c>
      <c r="B306" s="2" t="s">
        <v>625</v>
      </c>
      <c r="C306" s="10" t="n">
        <f aca="false">Wiring!$F$6*Wiring!$G$10*Wiring!$E$11*Wiring!$D$9*Wiring!$C$8*Wiring!$H$7</f>
        <v>0</v>
      </c>
    </row>
    <row r="307" customFormat="false" ht="15" hidden="false" customHeight="false" outlineLevel="0" collapsed="false">
      <c r="A307" s="10" t="n">
        <v>6</v>
      </c>
      <c r="B307" s="2" t="s">
        <v>626</v>
      </c>
      <c r="C307" s="10" t="n">
        <f aca="false">Wiring!$G$6*Wiring!$C$11*Wiring!$D$7*Wiring!$E$8*Wiring!$F$9*Wiring!$H$10</f>
        <v>0</v>
      </c>
    </row>
    <row r="308" customFormat="false" ht="15" hidden="false" customHeight="false" outlineLevel="0" collapsed="false">
      <c r="A308" s="10" t="n">
        <v>6</v>
      </c>
      <c r="B308" s="2" t="s">
        <v>627</v>
      </c>
      <c r="C308" s="10" t="n">
        <f aca="false">Wiring!$G$6*Wiring!$C$11*Wiring!$D$7*Wiring!$F$8*Wiring!$E$10*Wiring!$H$9</f>
        <v>0</v>
      </c>
    </row>
    <row r="309" customFormat="false" ht="15" hidden="false" customHeight="false" outlineLevel="0" collapsed="false">
      <c r="A309" s="10" t="n">
        <v>6</v>
      </c>
      <c r="B309" s="2" t="s">
        <v>628</v>
      </c>
      <c r="C309" s="10" t="n">
        <f aca="false">Wiring!$G$6*Wiring!$C$11*Wiring!$E$7*Wiring!$D$9*Wiring!$F$8*Wiring!$H$10</f>
        <v>0</v>
      </c>
    </row>
    <row r="310" customFormat="false" ht="15" hidden="false" customHeight="false" outlineLevel="0" collapsed="false">
      <c r="A310" s="10" t="n">
        <v>6</v>
      </c>
      <c r="B310" s="2" t="s">
        <v>629</v>
      </c>
      <c r="C310" s="10" t="n">
        <f aca="false">Wiring!$G$6*Wiring!$C$11*Wiring!$E$7*Wiring!$F$9*Wiring!$D$10*Wiring!$H$8</f>
        <v>0</v>
      </c>
    </row>
    <row r="311" customFormat="false" ht="15" hidden="false" customHeight="false" outlineLevel="0" collapsed="false">
      <c r="A311" s="10" t="n">
        <v>6</v>
      </c>
      <c r="B311" s="2" t="s">
        <v>630</v>
      </c>
      <c r="C311" s="10" t="n">
        <f aca="false">Wiring!$G$6*Wiring!$C$11*Wiring!$F$7*Wiring!$D$10*Wiring!$E$8*Wiring!$H$9</f>
        <v>0</v>
      </c>
    </row>
    <row r="312" customFormat="false" ht="15" hidden="false" customHeight="false" outlineLevel="0" collapsed="false">
      <c r="A312" s="10" t="n">
        <v>6</v>
      </c>
      <c r="B312" s="2" t="s">
        <v>631</v>
      </c>
      <c r="C312" s="10" t="n">
        <f aca="false">Wiring!$G$6*Wiring!$C$11*Wiring!$F$7*Wiring!$E$10*Wiring!$D$9*Wiring!$H$8</f>
        <v>0</v>
      </c>
    </row>
    <row r="313" customFormat="false" ht="15" hidden="false" customHeight="false" outlineLevel="0" collapsed="false">
      <c r="A313" s="10" t="n">
        <v>6</v>
      </c>
      <c r="B313" s="2" t="s">
        <v>632</v>
      </c>
      <c r="C313" s="10" t="n">
        <f aca="false">Wiring!$G$6*Wiring!$D$11*Wiring!$C$8*Wiring!$E$7*Wiring!$F$9*Wiring!$H$10</f>
        <v>0</v>
      </c>
    </row>
    <row r="314" customFormat="false" ht="15" hidden="false" customHeight="false" outlineLevel="0" collapsed="false">
      <c r="A314" s="10" t="n">
        <v>6</v>
      </c>
      <c r="B314" s="2" t="s">
        <v>633</v>
      </c>
      <c r="C314" s="10" t="n">
        <f aca="false">Wiring!$G$6*Wiring!$D$11*Wiring!$C$8*Wiring!$F$7*Wiring!$E$10*Wiring!$H$9</f>
        <v>0</v>
      </c>
    </row>
    <row r="315" customFormat="false" ht="15" hidden="false" customHeight="false" outlineLevel="0" collapsed="false">
      <c r="A315" s="10" t="n">
        <v>6</v>
      </c>
      <c r="B315" s="2" t="s">
        <v>634</v>
      </c>
      <c r="C315" s="10" t="n">
        <f aca="false">Wiring!$G$6*Wiring!$D$11*Wiring!$E$8*Wiring!$C$9*Wiring!$F$7*Wiring!$H$10</f>
        <v>0</v>
      </c>
    </row>
    <row r="316" customFormat="false" ht="15" hidden="false" customHeight="false" outlineLevel="0" collapsed="false">
      <c r="A316" s="10" t="n">
        <v>6</v>
      </c>
      <c r="B316" s="2" t="s">
        <v>635</v>
      </c>
      <c r="C316" s="10" t="n">
        <f aca="false">Wiring!$G$6*Wiring!$D$11*Wiring!$E$8*Wiring!$F$9*Wiring!$C$10*Wiring!$H$7</f>
        <v>0</v>
      </c>
    </row>
    <row r="317" customFormat="false" ht="15" hidden="false" customHeight="false" outlineLevel="0" collapsed="false">
      <c r="A317" s="10" t="n">
        <v>6</v>
      </c>
      <c r="B317" s="2" t="s">
        <v>636</v>
      </c>
      <c r="C317" s="10" t="n">
        <f aca="false">Wiring!$G$6*Wiring!$D$11*Wiring!$F$8*Wiring!$C$10*Wiring!$E$7*Wiring!$H$9</f>
        <v>0</v>
      </c>
    </row>
    <row r="318" customFormat="false" ht="15" hidden="false" customHeight="false" outlineLevel="0" collapsed="false">
      <c r="A318" s="10" t="n">
        <v>6</v>
      </c>
      <c r="B318" s="2" t="s">
        <v>637</v>
      </c>
      <c r="C318" s="10" t="n">
        <f aca="false">Wiring!$G$6*Wiring!$D$11*Wiring!$F$8*Wiring!$E$10*Wiring!$C$9*Wiring!$H$7</f>
        <v>0</v>
      </c>
    </row>
    <row r="319" customFormat="false" ht="15" hidden="false" customHeight="false" outlineLevel="0" collapsed="false">
      <c r="A319" s="10" t="n">
        <v>6</v>
      </c>
      <c r="B319" s="2" t="s">
        <v>638</v>
      </c>
      <c r="C319" s="10" t="n">
        <f aca="false">Wiring!$G$6*Wiring!$E$11*Wiring!$C$9*Wiring!$D$7*Wiring!$F$8*Wiring!$H$10</f>
        <v>0</v>
      </c>
    </row>
    <row r="320" customFormat="false" ht="15" hidden="false" customHeight="false" outlineLevel="0" collapsed="false">
      <c r="A320" s="10" t="n">
        <v>6</v>
      </c>
      <c r="B320" s="2" t="s">
        <v>639</v>
      </c>
      <c r="C320" s="10" t="n">
        <f aca="false">Wiring!$G$6*Wiring!$E$11*Wiring!$C$9*Wiring!$F$7*Wiring!$D$10*Wiring!$H$8</f>
        <v>0</v>
      </c>
    </row>
    <row r="321" customFormat="false" ht="15" hidden="false" customHeight="false" outlineLevel="0" collapsed="false">
      <c r="A321" s="10" t="n">
        <v>6</v>
      </c>
      <c r="B321" s="2" t="s">
        <v>640</v>
      </c>
      <c r="C321" s="10" t="n">
        <f aca="false">Wiring!$G$6*Wiring!$E$11*Wiring!$D$9*Wiring!$C$8*Wiring!$F$7*Wiring!$H$10</f>
        <v>0</v>
      </c>
    </row>
    <row r="322" customFormat="false" ht="15" hidden="false" customHeight="false" outlineLevel="0" collapsed="false">
      <c r="A322" s="10" t="n">
        <v>6</v>
      </c>
      <c r="B322" s="2" t="s">
        <v>641</v>
      </c>
      <c r="C322" s="10" t="n">
        <f aca="false">Wiring!$G$6*Wiring!$E$11*Wiring!$D$9*Wiring!$F$8*Wiring!$C$10*Wiring!$H$7</f>
        <v>0</v>
      </c>
    </row>
    <row r="323" customFormat="false" ht="15" hidden="false" customHeight="false" outlineLevel="0" collapsed="false">
      <c r="A323" s="10" t="n">
        <v>6</v>
      </c>
      <c r="B323" s="2" t="s">
        <v>642</v>
      </c>
      <c r="C323" s="10" t="n">
        <f aca="false">Wiring!$G$6*Wiring!$E$11*Wiring!$F$9*Wiring!$C$10*Wiring!$D$7*Wiring!$H$8</f>
        <v>0</v>
      </c>
    </row>
    <row r="324" customFormat="false" ht="15" hidden="false" customHeight="false" outlineLevel="0" collapsed="false">
      <c r="A324" s="10" t="n">
        <v>6</v>
      </c>
      <c r="B324" s="2" t="s">
        <v>643</v>
      </c>
      <c r="C324" s="10" t="n">
        <f aca="false">Wiring!$G$6*Wiring!$E$11*Wiring!$F$9*Wiring!$D$10*Wiring!$C$8*Wiring!$H$7</f>
        <v>0</v>
      </c>
    </row>
    <row r="325" customFormat="false" ht="15" hidden="false" customHeight="false" outlineLevel="0" collapsed="false">
      <c r="A325" s="10" t="n">
        <v>6</v>
      </c>
      <c r="B325" s="2" t="s">
        <v>644</v>
      </c>
      <c r="C325" s="10" t="n">
        <f aca="false">Wiring!$G$6*Wiring!$F$11*Wiring!$C$10*Wiring!$D$7*Wiring!$E$8*Wiring!$H$9</f>
        <v>0</v>
      </c>
    </row>
    <row r="326" customFormat="false" ht="15" hidden="false" customHeight="false" outlineLevel="0" collapsed="false">
      <c r="A326" s="10" t="n">
        <v>6</v>
      </c>
      <c r="B326" s="2" t="s">
        <v>645</v>
      </c>
      <c r="C326" s="10" t="n">
        <f aca="false">Wiring!$G$6*Wiring!$F$11*Wiring!$C$10*Wiring!$E$7*Wiring!$D$9*Wiring!$H$8</f>
        <v>0</v>
      </c>
    </row>
    <row r="327" customFormat="false" ht="15" hidden="false" customHeight="false" outlineLevel="0" collapsed="false">
      <c r="A327" s="10" t="n">
        <v>6</v>
      </c>
      <c r="B327" s="2" t="s">
        <v>646</v>
      </c>
      <c r="C327" s="10" t="n">
        <f aca="false">Wiring!$G$6*Wiring!$F$11*Wiring!$D$10*Wiring!$C$8*Wiring!$E$7*Wiring!$H$9</f>
        <v>0</v>
      </c>
    </row>
    <row r="328" customFormat="false" ht="15" hidden="false" customHeight="false" outlineLevel="0" collapsed="false">
      <c r="A328" s="10" t="n">
        <v>6</v>
      </c>
      <c r="B328" s="2" t="s">
        <v>647</v>
      </c>
      <c r="C328" s="10" t="n">
        <f aca="false">Wiring!$G$6*Wiring!$F$11*Wiring!$D$10*Wiring!$E$8*Wiring!$C$9*Wiring!$H$7</f>
        <v>0</v>
      </c>
    </row>
    <row r="329" customFormat="false" ht="15" hidden="false" customHeight="false" outlineLevel="0" collapsed="false">
      <c r="A329" s="10" t="n">
        <v>6</v>
      </c>
      <c r="B329" s="2" t="s">
        <v>648</v>
      </c>
      <c r="C329" s="10" t="n">
        <f aca="false">Wiring!$G$6*Wiring!$F$11*Wiring!$E$10*Wiring!$C$9*Wiring!$D$7*Wiring!$H$8</f>
        <v>0</v>
      </c>
    </row>
    <row r="330" customFormat="false" ht="15" hidden="false" customHeight="false" outlineLevel="0" collapsed="false">
      <c r="A330" s="10" t="n">
        <v>6</v>
      </c>
      <c r="B330" s="2" t="s">
        <v>649</v>
      </c>
      <c r="C330" s="10" t="n">
        <f aca="false">Wiring!$G$6*Wiring!$F$11*Wiring!$E$10*Wiring!$D$9*Wiring!$C$8*Wiring!$H$7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9"/>
    <col collapsed="false" customWidth="true" hidden="false" outlineLevel="0" max="8" min="8" style="0" width="46"/>
    <col collapsed="false" customWidth="true" hidden="false" outlineLevel="0" max="9" min="9" style="0" width="9"/>
    <col collapsed="false" customWidth="true" hidden="false" outlineLevel="0" max="10" min="10" style="0" width="40"/>
    <col collapsed="false" customWidth="true" hidden="false" outlineLevel="0" max="11" min="11" style="0" width="9"/>
    <col collapsed="false" customWidth="true" hidden="false" outlineLevel="0" max="13" min="13" style="0" width="14"/>
    <col collapsed="false" customWidth="true" hidden="false" outlineLevel="0" max="23" min="14" style="0" width="9"/>
  </cols>
  <sheetData>
    <row r="1" customFormat="false" ht="15" hidden="false" customHeight="false" outlineLevel="0" collapsed="false">
      <c r="A1" s="1" t="s">
        <v>650</v>
      </c>
    </row>
    <row r="2" customFormat="false" ht="15" hidden="false" customHeight="false" outlineLevel="0" collapsed="false">
      <c r="A2" s="9" t="s">
        <v>651</v>
      </c>
    </row>
    <row r="4" customFormat="false" ht="15" hidden="false" customHeight="false" outlineLevel="0" collapsed="false">
      <c r="A4" s="4" t="s">
        <v>652</v>
      </c>
      <c r="M4" s="4" t="s">
        <v>653</v>
      </c>
    </row>
    <row r="5" customFormat="false" ht="15" hidden="false" customHeight="false" outlineLevel="0" collapsed="false">
      <c r="A5" s="8" t="s">
        <v>18</v>
      </c>
      <c r="B5" s="8" t="s">
        <v>654</v>
      </c>
      <c r="M5" s="8" t="s">
        <v>18</v>
      </c>
      <c r="N5" s="8" t="s">
        <v>654</v>
      </c>
    </row>
    <row r="6" customFormat="false" ht="15" hidden="false" customHeight="false" outlineLevel="0" collapsed="false">
      <c r="A6" s="4" t="s">
        <v>23</v>
      </c>
      <c r="B6" s="2" t="str">
        <f aca="false">INDEX(Box,1)</f>
        <v>market</v>
      </c>
      <c r="M6" s="4" t="s">
        <v>23</v>
      </c>
      <c r="N6" s="2" t="str">
        <f aca="false">IF(Core!$K$94=1,"core","MKT")</f>
        <v>MKT</v>
      </c>
    </row>
    <row r="7" customFormat="false" ht="15" hidden="false" customHeight="false" outlineLevel="0" collapsed="false">
      <c r="A7" s="4" t="s">
        <v>28</v>
      </c>
      <c r="B7" s="2" t="str">
        <f aca="false">INDEX(Box,2)</f>
        <v>center</v>
      </c>
      <c r="M7" s="4" t="s">
        <v>28</v>
      </c>
      <c r="N7" s="2" t="str">
        <f aca="false">IF(Core!$K$95=1,"core","GOV")</f>
        <v>GOV</v>
      </c>
    </row>
    <row r="8" customFormat="false" ht="15" hidden="false" customHeight="false" outlineLevel="0" collapsed="false">
      <c r="A8" s="4" t="s">
        <v>32</v>
      </c>
      <c r="B8" s="2" t="str">
        <f aca="false">INDEX(Box,3)</f>
        <v>divisions</v>
      </c>
      <c r="M8" s="4" t="s">
        <v>32</v>
      </c>
      <c r="N8" s="2" t="str">
        <f aca="false">IF(Core!$K$96=1,"core","MAT")</f>
        <v>MAT</v>
      </c>
    </row>
    <row r="9" customFormat="false" ht="15" hidden="false" customHeight="false" outlineLevel="0" collapsed="false">
      <c r="A9" s="4" t="s">
        <v>37</v>
      </c>
      <c r="B9" s="2" t="str">
        <f aca="false">INDEX(Box,4)</f>
        <v>divisions</v>
      </c>
      <c r="M9" s="4" t="s">
        <v>37</v>
      </c>
      <c r="N9" s="2" t="str">
        <f aca="false">IF(Core!$K$97=1,"core","IND")</f>
        <v>core</v>
      </c>
    </row>
    <row r="10" customFormat="false" ht="15" hidden="false" customHeight="false" outlineLevel="0" collapsed="false">
      <c r="A10" s="4" t="s">
        <v>40</v>
      </c>
      <c r="B10" s="2" t="str">
        <f aca="false">INDEX(Box,5)</f>
        <v>divisions</v>
      </c>
      <c r="M10" s="4" t="s">
        <v>40</v>
      </c>
      <c r="N10" s="2" t="str">
        <f aca="false">IF(Core!$K$98=1,"core","DIG")</f>
        <v>core</v>
      </c>
    </row>
    <row r="11" customFormat="false" ht="15" hidden="false" customHeight="false" outlineLevel="0" collapsed="false">
      <c r="A11" s="4" t="s">
        <v>42</v>
      </c>
      <c r="B11" s="2" t="str">
        <f aca="false">INDEX(Box,6)</f>
        <v>center</v>
      </c>
      <c r="M11" s="4" t="s">
        <v>42</v>
      </c>
      <c r="N11" s="2" t="str">
        <f aca="false">IF(Core!$K$99=1,"core","ENG")</f>
        <v>core</v>
      </c>
    </row>
    <row r="12" customFormat="false" ht="15" hidden="false" customHeight="false" outlineLevel="0" collapsed="false">
      <c r="A12" s="4" t="s">
        <v>46</v>
      </c>
      <c r="B12" s="2" t="str">
        <f aca="false">INDEX(Box,7)</f>
        <v>center</v>
      </c>
      <c r="M12" s="4" t="s">
        <v>46</v>
      </c>
      <c r="N12" s="2" t="str">
        <f aca="false">IF(Core!$K$100=1,"core","TRS")</f>
        <v>core</v>
      </c>
    </row>
    <row r="14" customFormat="false" ht="15" hidden="false" customHeight="false" outlineLevel="0" collapsed="false">
      <c r="A14" s="8" t="s">
        <v>655</v>
      </c>
      <c r="B14" s="8" t="s">
        <v>656</v>
      </c>
      <c r="C14" s="8" t="s">
        <v>657</v>
      </c>
      <c r="D14" s="8" t="s">
        <v>658</v>
      </c>
      <c r="M14" s="8" t="s">
        <v>655</v>
      </c>
      <c r="N14" s="8" t="s">
        <v>656</v>
      </c>
      <c r="O14" s="8" t="s">
        <v>657</v>
      </c>
      <c r="P14" s="8" t="s">
        <v>658</v>
      </c>
    </row>
    <row r="15" customFormat="false" ht="15" hidden="false" customHeight="false" outlineLevel="0" collapsed="false">
      <c r="A15" s="7" t="str">
        <f aca="false">Declarations!B13</f>
        <v>MKT</v>
      </c>
      <c r="B15" s="7" t="str">
        <f aca="false">Declarations!C13</f>
        <v>IND</v>
      </c>
      <c r="C15" s="2" t="str">
        <f aca="false">INDEX($B$6:$B$12,MATCH(A15,$A$6:$A$12,0))</f>
        <v>market</v>
      </c>
      <c r="D15" s="2" t="str">
        <f aca="false">INDEX($B$6:$B$12,MATCH(B15,$A$6:$A$12,0))</f>
        <v>divisions</v>
      </c>
      <c r="M15" s="7" t="str">
        <f aca="false">Declarations!B13</f>
        <v>MKT</v>
      </c>
      <c r="N15" s="7" t="str">
        <f aca="false">Declarations!C13</f>
        <v>IND</v>
      </c>
      <c r="O15" s="2" t="str">
        <f aca="false">INDEX($N$6:$N$12,MATCH(M15,$M$6:$M$12,0))</f>
        <v>MKT</v>
      </c>
      <c r="P15" s="2" t="str">
        <f aca="false">INDEX($N$6:$N$12,MATCH(N15,$M$6:$M$12,0))</f>
        <v>core</v>
      </c>
    </row>
    <row r="16" customFormat="false" ht="15" hidden="false" customHeight="false" outlineLevel="0" collapsed="false">
      <c r="A16" s="7" t="str">
        <f aca="false">Declarations!B14</f>
        <v>MKT</v>
      </c>
      <c r="B16" s="7" t="str">
        <f aca="false">Declarations!C14</f>
        <v>DIG</v>
      </c>
      <c r="C16" s="2" t="str">
        <f aca="false">INDEX($B$6:$B$12,MATCH(A16,$A$6:$A$12,0))</f>
        <v>market</v>
      </c>
      <c r="D16" s="2" t="str">
        <f aca="false">INDEX($B$6:$B$12,MATCH(B16,$A$6:$A$12,0))</f>
        <v>divisions</v>
      </c>
      <c r="M16" s="7" t="str">
        <f aca="false">Declarations!B14</f>
        <v>MKT</v>
      </c>
      <c r="N16" s="7" t="str">
        <f aca="false">Declarations!C14</f>
        <v>DIG</v>
      </c>
      <c r="O16" s="2" t="str">
        <f aca="false">INDEX($N$6:$N$12,MATCH(M16,$M$6:$M$12,0))</f>
        <v>MKT</v>
      </c>
      <c r="P16" s="2" t="str">
        <f aca="false">INDEX($N$6:$N$12,MATCH(N16,$M$6:$M$12,0))</f>
        <v>core</v>
      </c>
    </row>
    <row r="17" customFormat="false" ht="15" hidden="false" customHeight="false" outlineLevel="0" collapsed="false">
      <c r="A17" s="7" t="str">
        <f aca="false">Declarations!B15</f>
        <v>MKT</v>
      </c>
      <c r="B17" s="7" t="str">
        <f aca="false">Declarations!C15</f>
        <v>MAT</v>
      </c>
      <c r="C17" s="2" t="str">
        <f aca="false">INDEX($B$6:$B$12,MATCH(A17,$A$6:$A$12,0))</f>
        <v>market</v>
      </c>
      <c r="D17" s="2" t="str">
        <f aca="false">INDEX($B$6:$B$12,MATCH(B17,$A$6:$A$12,0))</f>
        <v>divisions</v>
      </c>
      <c r="M17" s="7" t="str">
        <f aca="false">Declarations!B15</f>
        <v>MKT</v>
      </c>
      <c r="N17" s="7" t="str">
        <f aca="false">Declarations!C15</f>
        <v>MAT</v>
      </c>
      <c r="O17" s="2" t="str">
        <f aca="false">INDEX($N$6:$N$12,MATCH(M17,$M$6:$M$12,0))</f>
        <v>MKT</v>
      </c>
      <c r="P17" s="2" t="str">
        <f aca="false">INDEX($N$6:$N$12,MATCH(N17,$M$6:$M$12,0))</f>
        <v>MAT</v>
      </c>
    </row>
    <row r="18" customFormat="false" ht="15" hidden="false" customHeight="false" outlineLevel="0" collapsed="false">
      <c r="A18" s="7" t="str">
        <f aca="false">Declarations!B16</f>
        <v>IND</v>
      </c>
      <c r="B18" s="7" t="str">
        <f aca="false">Declarations!C16</f>
        <v>TRS</v>
      </c>
      <c r="C18" s="2" t="str">
        <f aca="false">INDEX($B$6:$B$12,MATCH(A18,$A$6:$A$12,0))</f>
        <v>divisions</v>
      </c>
      <c r="D18" s="2" t="str">
        <f aca="false">INDEX($B$6:$B$12,MATCH(B18,$A$6:$A$12,0))</f>
        <v>center</v>
      </c>
      <c r="M18" s="7" t="str">
        <f aca="false">Declarations!B16</f>
        <v>IND</v>
      </c>
      <c r="N18" s="7" t="str">
        <f aca="false">Declarations!C16</f>
        <v>TRS</v>
      </c>
      <c r="O18" s="2" t="str">
        <f aca="false">INDEX($N$6:$N$12,MATCH(M18,$M$6:$M$12,0))</f>
        <v>core</v>
      </c>
      <c r="P18" s="2" t="str">
        <f aca="false">INDEX($N$6:$N$12,MATCH(N18,$M$6:$M$12,0))</f>
        <v>core</v>
      </c>
    </row>
    <row r="19" customFormat="false" ht="15" hidden="false" customHeight="false" outlineLevel="0" collapsed="false">
      <c r="A19" s="7" t="str">
        <f aca="false">Declarations!B17</f>
        <v>DIG</v>
      </c>
      <c r="B19" s="7" t="str">
        <f aca="false">Declarations!C17</f>
        <v>TRS</v>
      </c>
      <c r="C19" s="2" t="str">
        <f aca="false">INDEX($B$6:$B$12,MATCH(A19,$A$6:$A$12,0))</f>
        <v>divisions</v>
      </c>
      <c r="D19" s="2" t="str">
        <f aca="false">INDEX($B$6:$B$12,MATCH(B19,$A$6:$A$12,0))</f>
        <v>center</v>
      </c>
      <c r="M19" s="7" t="str">
        <f aca="false">Declarations!B17</f>
        <v>DIG</v>
      </c>
      <c r="N19" s="7" t="str">
        <f aca="false">Declarations!C17</f>
        <v>TRS</v>
      </c>
      <c r="O19" s="2" t="str">
        <f aca="false">INDEX($N$6:$N$12,MATCH(M19,$M$6:$M$12,0))</f>
        <v>core</v>
      </c>
      <c r="P19" s="2" t="str">
        <f aca="false">INDEX($N$6:$N$12,MATCH(N19,$M$6:$M$12,0))</f>
        <v>core</v>
      </c>
    </row>
    <row r="20" customFormat="false" ht="15" hidden="false" customHeight="false" outlineLevel="0" collapsed="false">
      <c r="A20" s="7" t="str">
        <f aca="false">Declarations!B18</f>
        <v>MAT</v>
      </c>
      <c r="B20" s="7" t="str">
        <f aca="false">Declarations!C18</f>
        <v>TRS</v>
      </c>
      <c r="C20" s="2" t="str">
        <f aca="false">INDEX($B$6:$B$12,MATCH(A20,$A$6:$A$12,0))</f>
        <v>divisions</v>
      </c>
      <c r="D20" s="2" t="str">
        <f aca="false">INDEX($B$6:$B$12,MATCH(B20,$A$6:$A$12,0))</f>
        <v>center</v>
      </c>
      <c r="M20" s="7" t="str">
        <f aca="false">Declarations!B18</f>
        <v>MAT</v>
      </c>
      <c r="N20" s="7" t="str">
        <f aca="false">Declarations!C18</f>
        <v>TRS</v>
      </c>
      <c r="O20" s="2" t="str">
        <f aca="false">INDEX($N$6:$N$12,MATCH(M20,$M$6:$M$12,0))</f>
        <v>MAT</v>
      </c>
      <c r="P20" s="2" t="str">
        <f aca="false">INDEX($N$6:$N$12,MATCH(N20,$M$6:$M$12,0))</f>
        <v>core</v>
      </c>
    </row>
    <row r="21" customFormat="false" ht="15" hidden="false" customHeight="false" outlineLevel="0" collapsed="false">
      <c r="A21" s="7" t="str">
        <f aca="false">Declarations!B19</f>
        <v>TRS</v>
      </c>
      <c r="B21" s="7" t="str">
        <f aca="false">Declarations!C19</f>
        <v>IND</v>
      </c>
      <c r="C21" s="2" t="str">
        <f aca="false">INDEX($B$6:$B$12,MATCH(A21,$A$6:$A$12,0))</f>
        <v>center</v>
      </c>
      <c r="D21" s="2" t="str">
        <f aca="false">INDEX($B$6:$B$12,MATCH(B21,$A$6:$A$12,0))</f>
        <v>divisions</v>
      </c>
      <c r="M21" s="7" t="str">
        <f aca="false">Declarations!B19</f>
        <v>TRS</v>
      </c>
      <c r="N21" s="7" t="str">
        <f aca="false">Declarations!C19</f>
        <v>IND</v>
      </c>
      <c r="O21" s="2" t="str">
        <f aca="false">INDEX($N$6:$N$12,MATCH(M21,$M$6:$M$12,0))</f>
        <v>core</v>
      </c>
      <c r="P21" s="2" t="str">
        <f aca="false">INDEX($N$6:$N$12,MATCH(N21,$M$6:$M$12,0))</f>
        <v>core</v>
      </c>
    </row>
    <row r="22" customFormat="false" ht="15" hidden="false" customHeight="false" outlineLevel="0" collapsed="false">
      <c r="A22" s="7" t="str">
        <f aca="false">Declarations!B20</f>
        <v>TRS</v>
      </c>
      <c r="B22" s="7" t="str">
        <f aca="false">Declarations!C20</f>
        <v>DIG</v>
      </c>
      <c r="C22" s="2" t="str">
        <f aca="false">INDEX($B$6:$B$12,MATCH(A22,$A$6:$A$12,0))</f>
        <v>center</v>
      </c>
      <c r="D22" s="2" t="str">
        <f aca="false">INDEX($B$6:$B$12,MATCH(B22,$A$6:$A$12,0))</f>
        <v>divisions</v>
      </c>
      <c r="M22" s="7" t="str">
        <f aca="false">Declarations!B20</f>
        <v>TRS</v>
      </c>
      <c r="N22" s="7" t="str">
        <f aca="false">Declarations!C20</f>
        <v>DIG</v>
      </c>
      <c r="O22" s="2" t="str">
        <f aca="false">INDEX($N$6:$N$12,MATCH(M22,$M$6:$M$12,0))</f>
        <v>core</v>
      </c>
      <c r="P22" s="2" t="str">
        <f aca="false">INDEX($N$6:$N$12,MATCH(N22,$M$6:$M$12,0))</f>
        <v>core</v>
      </c>
    </row>
    <row r="23" customFormat="false" ht="15" hidden="false" customHeight="false" outlineLevel="0" collapsed="false">
      <c r="A23" s="7" t="str">
        <f aca="false">Declarations!B21</f>
        <v>ENG</v>
      </c>
      <c r="B23" s="7" t="str">
        <f aca="false">Declarations!C21</f>
        <v>IND</v>
      </c>
      <c r="C23" s="2" t="str">
        <f aca="false">INDEX($B$6:$B$12,MATCH(A23,$A$6:$A$12,0))</f>
        <v>center</v>
      </c>
      <c r="D23" s="2" t="str">
        <f aca="false">INDEX($B$6:$B$12,MATCH(B23,$A$6:$A$12,0))</f>
        <v>divisions</v>
      </c>
      <c r="M23" s="7" t="str">
        <f aca="false">Declarations!B21</f>
        <v>ENG</v>
      </c>
      <c r="N23" s="7" t="str">
        <f aca="false">Declarations!C21</f>
        <v>IND</v>
      </c>
      <c r="O23" s="2" t="str">
        <f aca="false">INDEX($N$6:$N$12,MATCH(M23,$M$6:$M$12,0))</f>
        <v>core</v>
      </c>
      <c r="P23" s="2" t="str">
        <f aca="false">INDEX($N$6:$N$12,MATCH(N23,$M$6:$M$12,0))</f>
        <v>core</v>
      </c>
    </row>
    <row r="24" customFormat="false" ht="15" hidden="false" customHeight="false" outlineLevel="0" collapsed="false">
      <c r="A24" s="7" t="str">
        <f aca="false">Declarations!B22</f>
        <v>IND</v>
      </c>
      <c r="B24" s="7" t="str">
        <f aca="false">Declarations!C22</f>
        <v>ENG</v>
      </c>
      <c r="C24" s="2" t="str">
        <f aca="false">INDEX($B$6:$B$12,MATCH(A24,$A$6:$A$12,0))</f>
        <v>divisions</v>
      </c>
      <c r="D24" s="2" t="str">
        <f aca="false">INDEX($B$6:$B$12,MATCH(B24,$A$6:$A$12,0))</f>
        <v>center</v>
      </c>
      <c r="M24" s="7" t="str">
        <f aca="false">Declarations!B22</f>
        <v>IND</v>
      </c>
      <c r="N24" s="7" t="str">
        <f aca="false">Declarations!C22</f>
        <v>ENG</v>
      </c>
      <c r="O24" s="2" t="str">
        <f aca="false">INDEX($N$6:$N$12,MATCH(M24,$M$6:$M$12,0))</f>
        <v>core</v>
      </c>
      <c r="P24" s="2" t="str">
        <f aca="false">INDEX($N$6:$N$12,MATCH(N24,$M$6:$M$12,0))</f>
        <v>core</v>
      </c>
    </row>
    <row r="25" customFormat="false" ht="15" hidden="false" customHeight="false" outlineLevel="0" collapsed="false">
      <c r="A25" s="7" t="str">
        <f aca="false">Declarations!B23</f>
        <v>ENG</v>
      </c>
      <c r="B25" s="7" t="str">
        <f aca="false">Declarations!C23</f>
        <v>DIG</v>
      </c>
      <c r="C25" s="2" t="str">
        <f aca="false">INDEX($B$6:$B$12,MATCH(A25,$A$6:$A$12,0))</f>
        <v>center</v>
      </c>
      <c r="D25" s="2" t="str">
        <f aca="false">INDEX($B$6:$B$12,MATCH(B25,$A$6:$A$12,0))</f>
        <v>divisions</v>
      </c>
      <c r="M25" s="7" t="str">
        <f aca="false">Declarations!B23</f>
        <v>ENG</v>
      </c>
      <c r="N25" s="7" t="str">
        <f aca="false">Declarations!C23</f>
        <v>DIG</v>
      </c>
      <c r="O25" s="2" t="str">
        <f aca="false">INDEX($N$6:$N$12,MATCH(M25,$M$6:$M$12,0))</f>
        <v>core</v>
      </c>
      <c r="P25" s="2" t="str">
        <f aca="false">INDEX($N$6:$N$12,MATCH(N25,$M$6:$M$12,0))</f>
        <v>core</v>
      </c>
    </row>
    <row r="26" customFormat="false" ht="15" hidden="false" customHeight="false" outlineLevel="0" collapsed="false">
      <c r="A26" s="7" t="str">
        <f aca="false">Declarations!B24</f>
        <v>DIG</v>
      </c>
      <c r="B26" s="7" t="str">
        <f aca="false">Declarations!C24</f>
        <v>ENG</v>
      </c>
      <c r="C26" s="2" t="str">
        <f aca="false">INDEX($B$6:$B$12,MATCH(A26,$A$6:$A$12,0))</f>
        <v>divisions</v>
      </c>
      <c r="D26" s="2" t="str">
        <f aca="false">INDEX($B$6:$B$12,MATCH(B26,$A$6:$A$12,0))</f>
        <v>center</v>
      </c>
      <c r="M26" s="7" t="str">
        <f aca="false">Declarations!B24</f>
        <v>DIG</v>
      </c>
      <c r="N26" s="7" t="str">
        <f aca="false">Declarations!C24</f>
        <v>ENG</v>
      </c>
      <c r="O26" s="2" t="str">
        <f aca="false">INDEX($N$6:$N$12,MATCH(M26,$M$6:$M$12,0))</f>
        <v>core</v>
      </c>
      <c r="P26" s="2" t="str">
        <f aca="false">INDEX($N$6:$N$12,MATCH(N26,$M$6:$M$12,0))</f>
        <v>core</v>
      </c>
    </row>
    <row r="27" customFormat="false" ht="15" hidden="false" customHeight="false" outlineLevel="0" collapsed="false">
      <c r="A27" s="7" t="str">
        <f aca="false">Declarations!B25</f>
        <v>GOV</v>
      </c>
      <c r="B27" s="7" t="str">
        <f aca="false">Declarations!C25</f>
        <v>TRS</v>
      </c>
      <c r="C27" s="2" t="str">
        <f aca="false">INDEX($B$6:$B$12,MATCH(A27,$A$6:$A$12,0))</f>
        <v>center</v>
      </c>
      <c r="D27" s="2" t="str">
        <f aca="false">INDEX($B$6:$B$12,MATCH(B27,$A$6:$A$12,0))</f>
        <v>center</v>
      </c>
      <c r="M27" s="7" t="str">
        <f aca="false">Declarations!B25</f>
        <v>GOV</v>
      </c>
      <c r="N27" s="7" t="str">
        <f aca="false">Declarations!C25</f>
        <v>TRS</v>
      </c>
      <c r="O27" s="2" t="str">
        <f aca="false">INDEX($N$6:$N$12,MATCH(M27,$M$6:$M$12,0))</f>
        <v>GOV</v>
      </c>
      <c r="P27" s="2" t="str">
        <f aca="false">INDEX($N$6:$N$12,MATCH(N27,$M$6:$M$12,0))</f>
        <v>core</v>
      </c>
    </row>
    <row r="28" customFormat="false" ht="15" hidden="false" customHeight="false" outlineLevel="0" collapsed="false">
      <c r="A28" s="7" t="str">
        <f aca="false">Declarations!B26</f>
        <v>GOV</v>
      </c>
      <c r="B28" s="7" t="str">
        <f aca="false">Declarations!C26</f>
        <v>DIG</v>
      </c>
      <c r="C28" s="2" t="str">
        <f aca="false">INDEX($B$6:$B$12,MATCH(A28,$A$6:$A$12,0))</f>
        <v>center</v>
      </c>
      <c r="D28" s="2" t="str">
        <f aca="false">INDEX($B$6:$B$12,MATCH(B28,$A$6:$A$12,0))</f>
        <v>divisions</v>
      </c>
      <c r="M28" s="7" t="str">
        <f aca="false">Declarations!B26</f>
        <v>GOV</v>
      </c>
      <c r="N28" s="7" t="str">
        <f aca="false">Declarations!C26</f>
        <v>DIG</v>
      </c>
      <c r="O28" s="2" t="str">
        <f aca="false">INDEX($N$6:$N$12,MATCH(M28,$M$6:$M$12,0))</f>
        <v>GOV</v>
      </c>
      <c r="P28" s="2" t="str">
        <f aca="false">INDEX($N$6:$N$12,MATCH(N28,$M$6:$M$12,0))</f>
        <v>core</v>
      </c>
    </row>
    <row r="30" customFormat="false" ht="15" hidden="false" customHeight="false" outlineLevel="0" collapsed="false">
      <c r="A30" s="4" t="s">
        <v>659</v>
      </c>
      <c r="M30" s="4" t="s">
        <v>659</v>
      </c>
    </row>
    <row r="31" customFormat="false" ht="15" hidden="false" customHeight="false" outlineLevel="0" collapsed="false">
      <c r="A31" s="8"/>
      <c r="B31" s="8" t="s">
        <v>25</v>
      </c>
      <c r="C31" s="8" t="s">
        <v>34</v>
      </c>
      <c r="D31" s="8" t="s">
        <v>30</v>
      </c>
      <c r="M31" s="8"/>
      <c r="N31" s="8" t="s">
        <v>23</v>
      </c>
      <c r="O31" s="8" t="s">
        <v>28</v>
      </c>
      <c r="P31" s="8" t="s">
        <v>32</v>
      </c>
      <c r="Q31" s="8" t="s">
        <v>660</v>
      </c>
    </row>
    <row r="32" customFormat="false" ht="15" hidden="false" customHeight="false" outlineLevel="0" collapsed="false">
      <c r="A32" s="4" t="s">
        <v>25</v>
      </c>
      <c r="B32" s="10" t="n">
        <v>0</v>
      </c>
      <c r="C32" s="10" t="n">
        <f aca="false">IF(COUNTIFS($C$15:$C$28,"market",$D$15:$D$28,"divisions")&gt;0,1,0)</f>
        <v>1</v>
      </c>
      <c r="D32" s="10" t="n">
        <f aca="false">IF(COUNTIFS($C$15:$C$28,"market",$D$15:$D$28,"center")&gt;0,1,0)</f>
        <v>0</v>
      </c>
      <c r="M32" s="4" t="s">
        <v>23</v>
      </c>
      <c r="N32" s="10" t="n">
        <v>0</v>
      </c>
      <c r="O32" s="10" t="n">
        <f aca="false">IF(COUNTIFS($O$15:$O$28,"MKT",$P$15:$P$28,"GOV")&gt;0,1,0)</f>
        <v>0</v>
      </c>
      <c r="P32" s="10" t="n">
        <f aca="false">IF(COUNTIFS($O$15:$O$28,"MKT",$P$15:$P$28,"MAT")&gt;0,1,0)</f>
        <v>1</v>
      </c>
      <c r="Q32" s="10" t="n">
        <f aca="false">IF(COUNTIFS($O$15:$O$28,"MKT",$P$15:$P$28,"core")&gt;0,1,0)</f>
        <v>1</v>
      </c>
    </row>
    <row r="33" customFormat="false" ht="15" hidden="false" customHeight="false" outlineLevel="0" collapsed="false">
      <c r="A33" s="4" t="s">
        <v>34</v>
      </c>
      <c r="B33" s="10" t="n">
        <f aca="false">IF(COUNTIFS($C$15:$C$28,"divisions",$D$15:$D$28,"market")&gt;0,1,0)</f>
        <v>0</v>
      </c>
      <c r="C33" s="10" t="n">
        <v>0</v>
      </c>
      <c r="D33" s="10" t="n">
        <f aca="false">IF(COUNTIFS($C$15:$C$28,"divisions",$D$15:$D$28,"center")&gt;0,1,0)</f>
        <v>1</v>
      </c>
      <c r="M33" s="4" t="s">
        <v>28</v>
      </c>
      <c r="N33" s="10" t="n">
        <f aca="false">IF(COUNTIFS($O$15:$O$28,"GOV",$P$15:$P$28,"MKT")&gt;0,1,0)</f>
        <v>0</v>
      </c>
      <c r="O33" s="10" t="n">
        <v>0</v>
      </c>
      <c r="P33" s="10" t="n">
        <f aca="false">IF(COUNTIFS($O$15:$O$28,"GOV",$P$15:$P$28,"MAT")&gt;0,1,0)</f>
        <v>0</v>
      </c>
      <c r="Q33" s="10" t="n">
        <f aca="false">IF(COUNTIFS($O$15:$O$28,"GOV",$P$15:$P$28,"core")&gt;0,1,0)</f>
        <v>1</v>
      </c>
    </row>
    <row r="34" customFormat="false" ht="15" hidden="false" customHeight="false" outlineLevel="0" collapsed="false">
      <c r="A34" s="4" t="s">
        <v>30</v>
      </c>
      <c r="B34" s="10" t="n">
        <f aca="false">IF(COUNTIFS($C$15:$C$28,"center",$D$15:$D$28,"market")&gt;0,1,0)</f>
        <v>0</v>
      </c>
      <c r="C34" s="10" t="n">
        <f aca="false">IF(COUNTIFS($C$15:$C$28,"center",$D$15:$D$28,"divisions")&gt;0,1,0)</f>
        <v>1</v>
      </c>
      <c r="D34" s="10" t="n">
        <v>0</v>
      </c>
      <c r="M34" s="4" t="s">
        <v>32</v>
      </c>
      <c r="N34" s="10" t="n">
        <f aca="false">IF(COUNTIFS($O$15:$O$28,"MAT",$P$15:$P$28,"MKT")&gt;0,1,0)</f>
        <v>0</v>
      </c>
      <c r="O34" s="10" t="n">
        <f aca="false">IF(COUNTIFS($O$15:$O$28,"MAT",$P$15:$P$28,"GOV")&gt;0,1,0)</f>
        <v>0</v>
      </c>
      <c r="P34" s="10" t="n">
        <v>0</v>
      </c>
      <c r="Q34" s="10" t="n">
        <f aca="false">IF(COUNTIFS($O$15:$O$28,"MAT",$P$15:$P$28,"core")&gt;0,1,0)</f>
        <v>1</v>
      </c>
    </row>
    <row r="35" customFormat="false" ht="15" hidden="false" customHeight="false" outlineLevel="0" collapsed="false">
      <c r="M35" s="4" t="s">
        <v>660</v>
      </c>
      <c r="N35" s="10" t="n">
        <f aca="false">IF(COUNTIFS($O$15:$O$28,"core",$P$15:$P$28,"MKT")&gt;0,1,0)</f>
        <v>0</v>
      </c>
      <c r="O35" s="10" t="n">
        <f aca="false">IF(COUNTIFS($O$15:$O$28,"core",$P$15:$P$28,"GOV")&gt;0,1,0)</f>
        <v>0</v>
      </c>
      <c r="P35" s="10" t="n">
        <f aca="false">IF(COUNTIFS($O$15:$O$28,"core",$P$15:$P$28,"MAT")&gt;0,1,0)</f>
        <v>0</v>
      </c>
      <c r="Q35" s="10" t="n">
        <v>0</v>
      </c>
    </row>
    <row r="36" customFormat="false" ht="15" hidden="false" customHeight="false" outlineLevel="0" collapsed="false">
      <c r="A36" s="4" t="s">
        <v>661</v>
      </c>
    </row>
    <row r="37" customFormat="false" ht="15" hidden="false" customHeight="false" outlineLevel="0" collapsed="false">
      <c r="A37" s="8"/>
      <c r="B37" s="8" t="s">
        <v>25</v>
      </c>
      <c r="C37" s="8" t="s">
        <v>34</v>
      </c>
      <c r="D37" s="8" t="s">
        <v>30</v>
      </c>
      <c r="M37" s="4" t="s">
        <v>661</v>
      </c>
    </row>
    <row r="38" customFormat="false" ht="15" hidden="false" customHeight="false" outlineLevel="0" collapsed="false">
      <c r="A38" s="4" t="s">
        <v>25</v>
      </c>
      <c r="B38" s="10" t="n">
        <f aca="false">$B$32*$B$32+$C$32*$B$33+$D$32*$B$34</f>
        <v>0</v>
      </c>
      <c r="C38" s="10" t="n">
        <f aca="false">$B$32*$C$32+$C$32*$C$33+$D$32*$C$34</f>
        <v>0</v>
      </c>
      <c r="D38" s="10" t="n">
        <f aca="false">$B$32*$D$32+$C$32*$D$33+$D$32*$D$34</f>
        <v>1</v>
      </c>
      <c r="M38" s="8"/>
      <c r="N38" s="8" t="s">
        <v>23</v>
      </c>
      <c r="O38" s="8" t="s">
        <v>28</v>
      </c>
      <c r="P38" s="8" t="s">
        <v>32</v>
      </c>
      <c r="Q38" s="8" t="s">
        <v>660</v>
      </c>
    </row>
    <row r="39" customFormat="false" ht="15" hidden="false" customHeight="false" outlineLevel="0" collapsed="false">
      <c r="A39" s="4" t="s">
        <v>34</v>
      </c>
      <c r="B39" s="10" t="n">
        <f aca="false">$B$33*$B$32+$C$33*$B$33+$D$33*$B$34</f>
        <v>0</v>
      </c>
      <c r="C39" s="10" t="n">
        <f aca="false">$B$33*$C$32+$C$33*$C$33+$D$33*$C$34</f>
        <v>1</v>
      </c>
      <c r="D39" s="10" t="n">
        <f aca="false">$B$33*$D$32+$C$33*$D$33+$D$33*$D$34</f>
        <v>0</v>
      </c>
      <c r="M39" s="4" t="s">
        <v>23</v>
      </c>
      <c r="N39" s="10" t="n">
        <f aca="false">$N$32*$N$32+$O$32*$N$33+$P$32*$N$34+$Q$32*$N$35</f>
        <v>0</v>
      </c>
      <c r="O39" s="10" t="n">
        <f aca="false">$N$32*$O$32+$O$32*$O$33+$P$32*$O$34+$Q$32*$O$35</f>
        <v>0</v>
      </c>
      <c r="P39" s="10" t="n">
        <f aca="false">$N$32*$P$32+$O$32*$P$33+$P$32*$P$34+$Q$32*$P$35</f>
        <v>0</v>
      </c>
      <c r="Q39" s="10" t="n">
        <f aca="false">$N$32*$Q$32+$O$32*$Q$33+$P$32*$Q$34+$Q$32*$Q$35</f>
        <v>1</v>
      </c>
    </row>
    <row r="40" customFormat="false" ht="15" hidden="false" customHeight="false" outlineLevel="0" collapsed="false">
      <c r="A40" s="4" t="s">
        <v>30</v>
      </c>
      <c r="B40" s="10" t="n">
        <f aca="false">$B$34*$B$32+$C$34*$B$33+$D$34*$B$34</f>
        <v>0</v>
      </c>
      <c r="C40" s="10" t="n">
        <f aca="false">$B$34*$C$32+$C$34*$C$33+$D$34*$C$34</f>
        <v>0</v>
      </c>
      <c r="D40" s="10" t="n">
        <f aca="false">$B$34*$D$32+$C$34*$D$33+$D$34*$D$34</f>
        <v>1</v>
      </c>
      <c r="M40" s="4" t="s">
        <v>28</v>
      </c>
      <c r="N40" s="10" t="n">
        <f aca="false">$N$33*$N$32+$O$33*$N$33+$P$33*$N$34+$Q$33*$N$35</f>
        <v>0</v>
      </c>
      <c r="O40" s="10" t="n">
        <f aca="false">$N$33*$O$32+$O$33*$O$33+$P$33*$O$34+$Q$33*$O$35</f>
        <v>0</v>
      </c>
      <c r="P40" s="10" t="n">
        <f aca="false">$N$33*$P$32+$O$33*$P$33+$P$33*$P$34+$Q$33*$P$35</f>
        <v>0</v>
      </c>
      <c r="Q40" s="10" t="n">
        <f aca="false">$N$33*$Q$32+$O$33*$Q$33+$P$33*$Q$34+$Q$33*$Q$35</f>
        <v>0</v>
      </c>
    </row>
    <row r="41" customFormat="false" ht="15" hidden="false" customHeight="false" outlineLevel="0" collapsed="false">
      <c r="M41" s="4" t="s">
        <v>32</v>
      </c>
      <c r="N41" s="10" t="n">
        <f aca="false">$N$34*$N$32+$O$34*$N$33+$P$34*$N$34+$Q$34*$N$35</f>
        <v>0</v>
      </c>
      <c r="O41" s="10" t="n">
        <f aca="false">$N$34*$O$32+$O$34*$O$33+$P$34*$O$34+$Q$34*$O$35</f>
        <v>0</v>
      </c>
      <c r="P41" s="10" t="n">
        <f aca="false">$N$34*$P$32+$O$34*$P$33+$P$34*$P$34+$Q$34*$P$35</f>
        <v>0</v>
      </c>
      <c r="Q41" s="10" t="n">
        <f aca="false">$N$34*$Q$32+$O$34*$Q$33+$P$34*$Q$34+$Q$34*$Q$35</f>
        <v>0</v>
      </c>
    </row>
    <row r="42" customFormat="false" ht="15" hidden="false" customHeight="false" outlineLevel="0" collapsed="false">
      <c r="A42" s="4" t="s">
        <v>662</v>
      </c>
      <c r="M42" s="4" t="s">
        <v>660</v>
      </c>
      <c r="N42" s="10" t="n">
        <f aca="false">$N$35*$N$32+$O$35*$N$33+$P$35*$N$34+$Q$35*$N$35</f>
        <v>0</v>
      </c>
      <c r="O42" s="10" t="n">
        <f aca="false">$N$35*$O$32+$O$35*$O$33+$P$35*$O$34+$Q$35*$O$35</f>
        <v>0</v>
      </c>
      <c r="P42" s="10" t="n">
        <f aca="false">$N$35*$P$32+$O$35*$P$33+$P$35*$P$34+$Q$35*$P$35</f>
        <v>0</v>
      </c>
      <c r="Q42" s="10" t="n">
        <f aca="false">$N$35*$Q$32+$O$35*$Q$33+$P$35*$Q$34+$Q$35*$Q$35</f>
        <v>0</v>
      </c>
    </row>
    <row r="43" customFormat="false" ht="15" hidden="false" customHeight="false" outlineLevel="0" collapsed="false">
      <c r="A43" s="8"/>
      <c r="B43" s="8" t="s">
        <v>25</v>
      </c>
      <c r="C43" s="8" t="s">
        <v>34</v>
      </c>
      <c r="D43" s="8" t="s">
        <v>30</v>
      </c>
    </row>
    <row r="44" customFormat="false" ht="15" hidden="false" customHeight="false" outlineLevel="0" collapsed="false">
      <c r="A44" s="4" t="s">
        <v>25</v>
      </c>
      <c r="B44" s="10" t="n">
        <f aca="false">$B$38*$B$32+$C$38*$B$33+$D$38*$B$34</f>
        <v>0</v>
      </c>
      <c r="C44" s="10" t="n">
        <f aca="false">$B$38*$C$32+$C$38*$C$33+$D$38*$C$34</f>
        <v>1</v>
      </c>
      <c r="D44" s="10" t="n">
        <f aca="false">$B$38*$D$32+$C$38*$D$33+$D$38*$D$34</f>
        <v>0</v>
      </c>
      <c r="M44" s="4" t="s">
        <v>662</v>
      </c>
    </row>
    <row r="45" customFormat="false" ht="15" hidden="false" customHeight="false" outlineLevel="0" collapsed="false">
      <c r="A45" s="4" t="s">
        <v>34</v>
      </c>
      <c r="B45" s="10" t="n">
        <f aca="false">$B$39*$B$32+$C$39*$B$33+$D$39*$B$34</f>
        <v>0</v>
      </c>
      <c r="C45" s="10" t="n">
        <f aca="false">$B$39*$C$32+$C$39*$C$33+$D$39*$C$34</f>
        <v>0</v>
      </c>
      <c r="D45" s="10" t="n">
        <f aca="false">$B$39*$D$32+$C$39*$D$33+$D$39*$D$34</f>
        <v>1</v>
      </c>
      <c r="M45" s="8"/>
      <c r="N45" s="8" t="s">
        <v>23</v>
      </c>
      <c r="O45" s="8" t="s">
        <v>28</v>
      </c>
      <c r="P45" s="8" t="s">
        <v>32</v>
      </c>
      <c r="Q45" s="8" t="s">
        <v>660</v>
      </c>
    </row>
    <row r="46" customFormat="false" ht="15" hidden="false" customHeight="false" outlineLevel="0" collapsed="false">
      <c r="A46" s="4" t="s">
        <v>30</v>
      </c>
      <c r="B46" s="10" t="n">
        <f aca="false">$B$40*$B$32+$C$40*$B$33+$D$40*$B$34</f>
        <v>0</v>
      </c>
      <c r="C46" s="10" t="n">
        <f aca="false">$B$40*$C$32+$C$40*$C$33+$D$40*$C$34</f>
        <v>1</v>
      </c>
      <c r="D46" s="10" t="n">
        <f aca="false">$B$40*$D$32+$C$40*$D$33+$D$40*$D$34</f>
        <v>0</v>
      </c>
      <c r="M46" s="4" t="s">
        <v>23</v>
      </c>
      <c r="N46" s="10" t="n">
        <f aca="false">$N$39*$N$32+$O$39*$N$33+$P$39*$N$34+$Q$39*$N$35</f>
        <v>0</v>
      </c>
      <c r="O46" s="10" t="n">
        <f aca="false">$N$39*$O$32+$O$39*$O$33+$P$39*$O$34+$Q$39*$O$35</f>
        <v>0</v>
      </c>
      <c r="P46" s="10" t="n">
        <f aca="false">$N$39*$P$32+$O$39*$P$33+$P$39*$P$34+$Q$39*$P$35</f>
        <v>0</v>
      </c>
      <c r="Q46" s="10" t="n">
        <f aca="false">$N$39*$Q$32+$O$39*$Q$33+$P$39*$Q$34+$Q$39*$Q$35</f>
        <v>0</v>
      </c>
    </row>
    <row r="47" customFormat="false" ht="15" hidden="false" customHeight="false" outlineLevel="0" collapsed="false">
      <c r="M47" s="4" t="s">
        <v>28</v>
      </c>
      <c r="N47" s="10" t="n">
        <f aca="false">$N$40*$N$32+$O$40*$N$33+$P$40*$N$34+$Q$40*$N$35</f>
        <v>0</v>
      </c>
      <c r="O47" s="10" t="n">
        <f aca="false">$N$40*$O$32+$O$40*$O$33+$P$40*$O$34+$Q$40*$O$35</f>
        <v>0</v>
      </c>
      <c r="P47" s="10" t="n">
        <f aca="false">$N$40*$P$32+$O$40*$P$33+$P$40*$P$34+$Q$40*$P$35</f>
        <v>0</v>
      </c>
      <c r="Q47" s="10" t="n">
        <f aca="false">$N$40*$Q$32+$O$40*$Q$33+$P$40*$Q$34+$Q$40*$Q$35</f>
        <v>0</v>
      </c>
    </row>
    <row r="48" customFormat="false" ht="15" hidden="false" customHeight="false" outlineLevel="0" collapsed="false">
      <c r="A48" s="4" t="s">
        <v>663</v>
      </c>
      <c r="M48" s="4" t="s">
        <v>32</v>
      </c>
      <c r="N48" s="10" t="n">
        <f aca="false">$N$41*$N$32+$O$41*$N$33+$P$41*$N$34+$Q$41*$N$35</f>
        <v>0</v>
      </c>
      <c r="O48" s="10" t="n">
        <f aca="false">$N$41*$O$32+$O$41*$O$33+$P$41*$O$34+$Q$41*$O$35</f>
        <v>0</v>
      </c>
      <c r="P48" s="10" t="n">
        <f aca="false">$N$41*$P$32+$O$41*$P$33+$P$41*$P$34+$Q$41*$P$35</f>
        <v>0</v>
      </c>
      <c r="Q48" s="10" t="n">
        <f aca="false">$N$41*$Q$32+$O$41*$Q$33+$P$41*$Q$34+$Q$41*$Q$35</f>
        <v>0</v>
      </c>
    </row>
    <row r="49" customFormat="false" ht="15" hidden="false" customHeight="false" outlineLevel="0" collapsed="false">
      <c r="A49" s="8"/>
      <c r="B49" s="8" t="s">
        <v>25</v>
      </c>
      <c r="C49" s="8" t="s">
        <v>34</v>
      </c>
      <c r="D49" s="8" t="s">
        <v>30</v>
      </c>
      <c r="M49" s="4" t="s">
        <v>660</v>
      </c>
      <c r="N49" s="10" t="n">
        <f aca="false">$N$42*$N$32+$O$42*$N$33+$P$42*$N$34+$Q$42*$N$35</f>
        <v>0</v>
      </c>
      <c r="O49" s="10" t="n">
        <f aca="false">$N$42*$O$32+$O$42*$O$33+$P$42*$O$34+$Q$42*$O$35</f>
        <v>0</v>
      </c>
      <c r="P49" s="10" t="n">
        <f aca="false">$N$42*$P$32+$O$42*$P$33+$P$42*$P$34+$Q$42*$P$35</f>
        <v>0</v>
      </c>
      <c r="Q49" s="10" t="n">
        <f aca="false">$N$42*$Q$32+$O$42*$Q$33+$P$42*$Q$34+$Q$42*$Q$35</f>
        <v>0</v>
      </c>
    </row>
    <row r="50" customFormat="false" ht="15" hidden="false" customHeight="false" outlineLevel="0" collapsed="false">
      <c r="A50" s="4" t="s">
        <v>25</v>
      </c>
      <c r="B50" s="10" t="n">
        <f aca="false">SIGN($B$32+$B$38+$B$44)</f>
        <v>0</v>
      </c>
      <c r="C50" s="10" t="n">
        <f aca="false">SIGN($C$32+$C$38+$C$44)</f>
        <v>1</v>
      </c>
      <c r="D50" s="10" t="n">
        <f aca="false">SIGN($D$32+$D$38+$D$44)</f>
        <v>1</v>
      </c>
    </row>
    <row r="51" customFormat="false" ht="15" hidden="false" customHeight="false" outlineLevel="0" collapsed="false">
      <c r="A51" s="4" t="s">
        <v>34</v>
      </c>
      <c r="B51" s="10" t="n">
        <f aca="false">SIGN($B$33+$B$39+$B$45)</f>
        <v>0</v>
      </c>
      <c r="C51" s="10" t="n">
        <f aca="false">SIGN($C$33+$C$39+$C$45)</f>
        <v>1</v>
      </c>
      <c r="D51" s="10" t="n">
        <f aca="false">SIGN($D$33+$D$39+$D$45)</f>
        <v>1</v>
      </c>
      <c r="M51" s="4" t="s">
        <v>663</v>
      </c>
    </row>
    <row r="52" customFormat="false" ht="15" hidden="false" customHeight="false" outlineLevel="0" collapsed="false">
      <c r="A52" s="4" t="s">
        <v>30</v>
      </c>
      <c r="B52" s="10" t="n">
        <f aca="false">SIGN($B$34+$B$40+$B$46)</f>
        <v>0</v>
      </c>
      <c r="C52" s="10" t="n">
        <f aca="false">SIGN($C$34+$C$40+$C$46)</f>
        <v>1</v>
      </c>
      <c r="D52" s="10" t="n">
        <f aca="false">SIGN($D$34+$D$40+$D$46)</f>
        <v>1</v>
      </c>
      <c r="M52" s="8"/>
      <c r="N52" s="8" t="s">
        <v>23</v>
      </c>
      <c r="O52" s="8" t="s">
        <v>28</v>
      </c>
      <c r="P52" s="8" t="s">
        <v>32</v>
      </c>
      <c r="Q52" s="8" t="s">
        <v>660</v>
      </c>
    </row>
    <row r="53" customFormat="false" ht="15" hidden="false" customHeight="false" outlineLevel="0" collapsed="false">
      <c r="M53" s="4" t="s">
        <v>23</v>
      </c>
      <c r="N53" s="10" t="n">
        <f aca="false">SIGN($N$32+$N$39+$N$46)</f>
        <v>0</v>
      </c>
      <c r="O53" s="10" t="n">
        <f aca="false">SIGN($O$32+$O$39+$O$46)</f>
        <v>0</v>
      </c>
      <c r="P53" s="10" t="n">
        <f aca="false">SIGN($P$32+$P$39+$P$46)</f>
        <v>1</v>
      </c>
      <c r="Q53" s="10" t="n">
        <f aca="false">SIGN($Q$32+$Q$39+$Q$46)</f>
        <v>1</v>
      </c>
    </row>
    <row r="54" customFormat="false" ht="15" hidden="false" customHeight="false" outlineLevel="0" collapsed="false">
      <c r="M54" s="4" t="s">
        <v>28</v>
      </c>
      <c r="N54" s="10" t="n">
        <f aca="false">SIGN($N$33+$N$40+$N$47)</f>
        <v>0</v>
      </c>
      <c r="O54" s="10" t="n">
        <f aca="false">SIGN($O$33+$O$40+$O$47)</f>
        <v>0</v>
      </c>
      <c r="P54" s="10" t="n">
        <f aca="false">SIGN($P$33+$P$40+$P$47)</f>
        <v>0</v>
      </c>
      <c r="Q54" s="10" t="n">
        <f aca="false">SIGN($Q$33+$Q$40+$Q$47)</f>
        <v>1</v>
      </c>
    </row>
    <row r="55" customFormat="false" ht="15" hidden="false" customHeight="false" outlineLevel="0" collapsed="false">
      <c r="M55" s="4" t="s">
        <v>32</v>
      </c>
      <c r="N55" s="10" t="n">
        <f aca="false">SIGN($N$34+$N$41+$N$48)</f>
        <v>0</v>
      </c>
      <c r="O55" s="10" t="n">
        <f aca="false">SIGN($O$34+$O$41+$O$48)</f>
        <v>0</v>
      </c>
      <c r="P55" s="10" t="n">
        <f aca="false">SIGN($P$34+$P$41+$P$48)</f>
        <v>0</v>
      </c>
      <c r="Q55" s="10" t="n">
        <f aca="false">SIGN($Q$34+$Q$41+$Q$48)</f>
        <v>1</v>
      </c>
    </row>
    <row r="56" customFormat="false" ht="15" hidden="false" customHeight="false" outlineLevel="0" collapsed="false">
      <c r="M56" s="4" t="s">
        <v>660</v>
      </c>
      <c r="N56" s="10" t="n">
        <f aca="false">SIGN($N$35+$N$42+$N$49)</f>
        <v>0</v>
      </c>
      <c r="O56" s="10" t="n">
        <f aca="false">SIGN($O$35+$O$42+$O$49)</f>
        <v>0</v>
      </c>
      <c r="P56" s="10" t="n">
        <f aca="false">SIGN($P$35+$P$42+$P$49)</f>
        <v>0</v>
      </c>
      <c r="Q56" s="10" t="n">
        <f aca="false">SIGN($Q$35+$Q$42+$Q$49)</f>
        <v>0</v>
      </c>
    </row>
    <row r="57" customFormat="false" ht="15" hidden="false" customHeight="false" outlineLevel="0" collapsed="false">
      <c r="A57" s="4" t="s">
        <v>664</v>
      </c>
    </row>
    <row r="58" customFormat="false" ht="15" hidden="false" customHeight="false" outlineLevel="0" collapsed="false">
      <c r="A58" s="8"/>
      <c r="B58" s="8" t="s">
        <v>23</v>
      </c>
      <c r="C58" s="8" t="s">
        <v>28</v>
      </c>
      <c r="D58" s="8" t="s">
        <v>32</v>
      </c>
      <c r="E58" s="8" t="s">
        <v>37</v>
      </c>
      <c r="F58" s="8" t="s">
        <v>40</v>
      </c>
      <c r="G58" s="8" t="s">
        <v>42</v>
      </c>
      <c r="H58" s="8" t="s">
        <v>46</v>
      </c>
    </row>
    <row r="59" customFormat="false" ht="15" hidden="false" customHeight="false" outlineLevel="0" collapsed="false">
      <c r="A59" s="4" t="s">
        <v>23</v>
      </c>
      <c r="B59" s="10" t="n">
        <f aca="false">IF(INDEX($B$6:$B$12,1)=INDEX($B$6:$B$12,1),0,INDEX($B$50:$D$52,MATCH(INDEX($B$6:$B$12,1),$A$50:$A$52,0),MATCH(INDEX($B$6:$B$12,1),$B$49:$D$49,0))*(1-Core!$B$83))</f>
        <v>0</v>
      </c>
      <c r="C59" s="10" t="n">
        <f aca="false">IF(INDEX($B$6:$B$12,1)=INDEX($B$6:$B$12,2),0,INDEX($B$50:$D$52,MATCH(INDEX($B$6:$B$12,1),$A$50:$A$52,0),MATCH(INDEX($B$6:$B$12,2),$B$49:$D$49,0))*(1-Core!$C$83))</f>
        <v>1</v>
      </c>
      <c r="D59" s="10" t="n">
        <f aca="false">IF(INDEX($B$6:$B$12,1)=INDEX($B$6:$B$12,3),0,INDEX($B$50:$D$52,MATCH(INDEX($B$6:$B$12,1),$A$50:$A$52,0),MATCH(INDEX($B$6:$B$12,3),$B$49:$D$49,0))*(1-Core!$D$83))</f>
        <v>0</v>
      </c>
      <c r="E59" s="10" t="n">
        <f aca="false">IF(INDEX($B$6:$B$12,1)=INDEX($B$6:$B$12,4),0,INDEX($B$50:$D$52,MATCH(INDEX($B$6:$B$12,1),$A$50:$A$52,0),MATCH(INDEX($B$6:$B$12,4),$B$49:$D$49,0))*(1-Core!$E$83))</f>
        <v>0</v>
      </c>
      <c r="F59" s="10" t="n">
        <f aca="false">IF(INDEX($B$6:$B$12,1)=INDEX($B$6:$B$12,5),0,INDEX($B$50:$D$52,MATCH(INDEX($B$6:$B$12,1),$A$50:$A$52,0),MATCH(INDEX($B$6:$B$12,5),$B$49:$D$49,0))*(1-Core!$F$83))</f>
        <v>0</v>
      </c>
      <c r="G59" s="10" t="n">
        <f aca="false">IF(INDEX($B$6:$B$12,1)=INDEX($B$6:$B$12,6),0,INDEX($B$50:$D$52,MATCH(INDEX($B$6:$B$12,1),$A$50:$A$52,0),MATCH(INDEX($B$6:$B$12,6),$B$49:$D$49,0))*(1-Core!$G$83))</f>
        <v>0</v>
      </c>
      <c r="H59" s="10" t="n">
        <f aca="false">IF(INDEX($B$6:$B$12,1)=INDEX($B$6:$B$12,7),0,INDEX($B$50:$D$52,MATCH(INDEX($B$6:$B$12,1),$A$50:$A$52,0),MATCH(INDEX($B$6:$B$12,7),$B$49:$D$49,0))*(1-Core!$H$83))</f>
        <v>0</v>
      </c>
    </row>
    <row r="60" customFormat="false" ht="15" hidden="false" customHeight="false" outlineLevel="0" collapsed="false">
      <c r="A60" s="4" t="s">
        <v>28</v>
      </c>
      <c r="B60" s="10" t="n">
        <f aca="false">IF(INDEX($B$6:$B$12,2)=INDEX($B$6:$B$12,1),0,INDEX($B$50:$D$52,MATCH(INDEX($B$6:$B$12,2),$A$50:$A$52,0),MATCH(INDEX($B$6:$B$12,1),$B$49:$D$49,0))*(1-Core!$B$84))</f>
        <v>0</v>
      </c>
      <c r="C60" s="10" t="n">
        <f aca="false">IF(INDEX($B$6:$B$12,2)=INDEX($B$6:$B$12,2),0,INDEX($B$50:$D$52,MATCH(INDEX($B$6:$B$12,2),$A$50:$A$52,0),MATCH(INDEX($B$6:$B$12,2),$B$49:$D$49,0))*(1-Core!$C$84))</f>
        <v>0</v>
      </c>
      <c r="D60" s="10" t="n">
        <f aca="false">IF(INDEX($B$6:$B$12,2)=INDEX($B$6:$B$12,3),0,INDEX($B$50:$D$52,MATCH(INDEX($B$6:$B$12,2),$A$50:$A$52,0),MATCH(INDEX($B$6:$B$12,3),$B$49:$D$49,0))*(1-Core!$D$84))</f>
        <v>1</v>
      </c>
      <c r="E60" s="10" t="n">
        <f aca="false">IF(INDEX($B$6:$B$12,2)=INDEX($B$6:$B$12,4),0,INDEX($B$50:$D$52,MATCH(INDEX($B$6:$B$12,2),$A$50:$A$52,0),MATCH(INDEX($B$6:$B$12,4),$B$49:$D$49,0))*(1-Core!$E$84))</f>
        <v>0</v>
      </c>
      <c r="F60" s="10" t="n">
        <f aca="false">IF(INDEX($B$6:$B$12,2)=INDEX($B$6:$B$12,5),0,INDEX($B$50:$D$52,MATCH(INDEX($B$6:$B$12,2),$A$50:$A$52,0),MATCH(INDEX($B$6:$B$12,5),$B$49:$D$49,0))*(1-Core!$F$84))</f>
        <v>0</v>
      </c>
      <c r="G60" s="10" t="n">
        <f aca="false">IF(INDEX($B$6:$B$12,2)=INDEX($B$6:$B$12,6),0,INDEX($B$50:$D$52,MATCH(INDEX($B$6:$B$12,2),$A$50:$A$52,0),MATCH(INDEX($B$6:$B$12,6),$B$49:$D$49,0))*(1-Core!$G$84))</f>
        <v>0</v>
      </c>
      <c r="H60" s="10" t="n">
        <f aca="false">IF(INDEX($B$6:$B$12,2)=INDEX($B$6:$B$12,7),0,INDEX($B$50:$D$52,MATCH(INDEX($B$6:$B$12,2),$A$50:$A$52,0),MATCH(INDEX($B$6:$B$12,7),$B$49:$D$49,0))*(1-Core!$H$84))</f>
        <v>0</v>
      </c>
    </row>
    <row r="61" customFormat="false" ht="15" hidden="false" customHeight="false" outlineLevel="0" collapsed="false">
      <c r="A61" s="4" t="s">
        <v>32</v>
      </c>
      <c r="B61" s="10" t="n">
        <f aca="false">IF(INDEX($B$6:$B$12,3)=INDEX($B$6:$B$12,1),0,INDEX($B$50:$D$52,MATCH(INDEX($B$6:$B$12,3),$A$50:$A$52,0),MATCH(INDEX($B$6:$B$12,1),$B$49:$D$49,0))*(1-Core!$B$85))</f>
        <v>0</v>
      </c>
      <c r="C61" s="10" t="n">
        <f aca="false">IF(INDEX($B$6:$B$12,3)=INDEX($B$6:$B$12,2),0,INDEX($B$50:$D$52,MATCH(INDEX($B$6:$B$12,3),$A$50:$A$52,0),MATCH(INDEX($B$6:$B$12,2),$B$49:$D$49,0))*(1-Core!$C$85))</f>
        <v>1</v>
      </c>
      <c r="D61" s="10" t="n">
        <f aca="false">IF(INDEX($B$6:$B$12,3)=INDEX($B$6:$B$12,3),0,INDEX($B$50:$D$52,MATCH(INDEX($B$6:$B$12,3),$A$50:$A$52,0),MATCH(INDEX($B$6:$B$12,3),$B$49:$D$49,0))*(1-Core!$D$85))</f>
        <v>0</v>
      </c>
      <c r="E61" s="10" t="n">
        <f aca="false">IF(INDEX($B$6:$B$12,3)=INDEX($B$6:$B$12,4),0,INDEX($B$50:$D$52,MATCH(INDEX($B$6:$B$12,3),$A$50:$A$52,0),MATCH(INDEX($B$6:$B$12,4),$B$49:$D$49,0))*(1-Core!$E$85))</f>
        <v>0</v>
      </c>
      <c r="F61" s="10" t="n">
        <f aca="false">IF(INDEX($B$6:$B$12,3)=INDEX($B$6:$B$12,5),0,INDEX($B$50:$D$52,MATCH(INDEX($B$6:$B$12,3),$A$50:$A$52,0),MATCH(INDEX($B$6:$B$12,5),$B$49:$D$49,0))*(1-Core!$F$85))</f>
        <v>0</v>
      </c>
      <c r="G61" s="10" t="n">
        <f aca="false">IF(INDEX($B$6:$B$12,3)=INDEX($B$6:$B$12,6),0,INDEX($B$50:$D$52,MATCH(INDEX($B$6:$B$12,3),$A$50:$A$52,0),MATCH(INDEX($B$6:$B$12,6),$B$49:$D$49,0))*(1-Core!$G$85))</f>
        <v>0</v>
      </c>
      <c r="H61" s="10" t="n">
        <f aca="false">IF(INDEX($B$6:$B$12,3)=INDEX($B$6:$B$12,7),0,INDEX($B$50:$D$52,MATCH(INDEX($B$6:$B$12,3),$A$50:$A$52,0),MATCH(INDEX($B$6:$B$12,7),$B$49:$D$49,0))*(1-Core!$H$85))</f>
        <v>0</v>
      </c>
      <c r="M61" s="4" t="s">
        <v>664</v>
      </c>
    </row>
    <row r="62" customFormat="false" ht="15" hidden="false" customHeight="false" outlineLevel="0" collapsed="false">
      <c r="A62" s="4" t="s">
        <v>37</v>
      </c>
      <c r="B62" s="10" t="n">
        <f aca="false">IF(INDEX($B$6:$B$12,4)=INDEX($B$6:$B$12,1),0,INDEX($B$50:$D$52,MATCH(INDEX($B$6:$B$12,4),$A$50:$A$52,0),MATCH(INDEX($B$6:$B$12,1),$B$49:$D$49,0))*(1-Core!$B$86))</f>
        <v>0</v>
      </c>
      <c r="C62" s="10" t="n">
        <f aca="false">IF(INDEX($B$6:$B$12,4)=INDEX($B$6:$B$12,2),0,INDEX($B$50:$D$52,MATCH(INDEX($B$6:$B$12,4),$A$50:$A$52,0),MATCH(INDEX($B$6:$B$12,2),$B$49:$D$49,0))*(1-Core!$C$86))</f>
        <v>1</v>
      </c>
      <c r="D62" s="10" t="n">
        <f aca="false">IF(INDEX($B$6:$B$12,4)=INDEX($B$6:$B$12,3),0,INDEX($B$50:$D$52,MATCH(INDEX($B$6:$B$12,4),$A$50:$A$52,0),MATCH(INDEX($B$6:$B$12,3),$B$49:$D$49,0))*(1-Core!$D$86))</f>
        <v>0</v>
      </c>
      <c r="E62" s="10" t="n">
        <f aca="false">IF(INDEX($B$6:$B$12,4)=INDEX($B$6:$B$12,4),0,INDEX($B$50:$D$52,MATCH(INDEX($B$6:$B$12,4),$A$50:$A$52,0),MATCH(INDEX($B$6:$B$12,4),$B$49:$D$49,0))*(1-Core!$E$86))</f>
        <v>0</v>
      </c>
      <c r="F62" s="10" t="n">
        <f aca="false">IF(INDEX($B$6:$B$12,4)=INDEX($B$6:$B$12,5),0,INDEX($B$50:$D$52,MATCH(INDEX($B$6:$B$12,4),$A$50:$A$52,0),MATCH(INDEX($B$6:$B$12,5),$B$49:$D$49,0))*(1-Core!$F$86))</f>
        <v>0</v>
      </c>
      <c r="G62" s="10" t="n">
        <f aca="false">IF(INDEX($B$6:$B$12,4)=INDEX($B$6:$B$12,6),0,INDEX($B$50:$D$52,MATCH(INDEX($B$6:$B$12,4),$A$50:$A$52,0),MATCH(INDEX($B$6:$B$12,6),$B$49:$D$49,0))*(1-Core!$G$86))</f>
        <v>0</v>
      </c>
      <c r="H62" s="10" t="n">
        <f aca="false">IF(INDEX($B$6:$B$12,4)=INDEX($B$6:$B$12,7),0,INDEX($B$50:$D$52,MATCH(INDEX($B$6:$B$12,4),$A$50:$A$52,0),MATCH(INDEX($B$6:$B$12,7),$B$49:$D$49,0))*(1-Core!$H$86))</f>
        <v>0</v>
      </c>
      <c r="M62" s="8"/>
      <c r="N62" s="8" t="s">
        <v>23</v>
      </c>
      <c r="O62" s="8" t="s">
        <v>28</v>
      </c>
      <c r="P62" s="8" t="s">
        <v>32</v>
      </c>
      <c r="Q62" s="8" t="s">
        <v>37</v>
      </c>
      <c r="R62" s="8" t="s">
        <v>40</v>
      </c>
      <c r="S62" s="8" t="s">
        <v>42</v>
      </c>
      <c r="T62" s="8" t="s">
        <v>46</v>
      </c>
    </row>
    <row r="63" customFormat="false" ht="15" hidden="false" customHeight="false" outlineLevel="0" collapsed="false">
      <c r="A63" s="4" t="s">
        <v>40</v>
      </c>
      <c r="B63" s="10" t="n">
        <f aca="false">IF(INDEX($B$6:$B$12,5)=INDEX($B$6:$B$12,1),0,INDEX($B$50:$D$52,MATCH(INDEX($B$6:$B$12,5),$A$50:$A$52,0),MATCH(INDEX($B$6:$B$12,1),$B$49:$D$49,0))*(1-Core!$B$87))</f>
        <v>0</v>
      </c>
      <c r="C63" s="10" t="n">
        <f aca="false">IF(INDEX($B$6:$B$12,5)=INDEX($B$6:$B$12,2),0,INDEX($B$50:$D$52,MATCH(INDEX($B$6:$B$12,5),$A$50:$A$52,0),MATCH(INDEX($B$6:$B$12,2),$B$49:$D$49,0))*(1-Core!$C$87))</f>
        <v>1</v>
      </c>
      <c r="D63" s="10" t="n">
        <f aca="false">IF(INDEX($B$6:$B$12,5)=INDEX($B$6:$B$12,3),0,INDEX($B$50:$D$52,MATCH(INDEX($B$6:$B$12,5),$A$50:$A$52,0),MATCH(INDEX($B$6:$B$12,3),$B$49:$D$49,0))*(1-Core!$D$87))</f>
        <v>0</v>
      </c>
      <c r="E63" s="10" t="n">
        <f aca="false">IF(INDEX($B$6:$B$12,5)=INDEX($B$6:$B$12,4),0,INDEX($B$50:$D$52,MATCH(INDEX($B$6:$B$12,5),$A$50:$A$52,0),MATCH(INDEX($B$6:$B$12,4),$B$49:$D$49,0))*(1-Core!$E$87))</f>
        <v>0</v>
      </c>
      <c r="F63" s="10" t="n">
        <f aca="false">IF(INDEX($B$6:$B$12,5)=INDEX($B$6:$B$12,5),0,INDEX($B$50:$D$52,MATCH(INDEX($B$6:$B$12,5),$A$50:$A$52,0),MATCH(INDEX($B$6:$B$12,5),$B$49:$D$49,0))*(1-Core!$F$87))</f>
        <v>0</v>
      </c>
      <c r="G63" s="10" t="n">
        <f aca="false">IF(INDEX($B$6:$B$12,5)=INDEX($B$6:$B$12,6),0,INDEX($B$50:$D$52,MATCH(INDEX($B$6:$B$12,5),$A$50:$A$52,0),MATCH(INDEX($B$6:$B$12,6),$B$49:$D$49,0))*(1-Core!$G$87))</f>
        <v>0</v>
      </c>
      <c r="H63" s="10" t="n">
        <f aca="false">IF(INDEX($B$6:$B$12,5)=INDEX($B$6:$B$12,7),0,INDEX($B$50:$D$52,MATCH(INDEX($B$6:$B$12,5),$A$50:$A$52,0),MATCH(INDEX($B$6:$B$12,7),$B$49:$D$49,0))*(1-Core!$H$87))</f>
        <v>0</v>
      </c>
      <c r="M63" s="4" t="s">
        <v>23</v>
      </c>
      <c r="N63" s="10" t="n">
        <f aca="false">IF(INDEX($N$6:$N$12,1)=INDEX($N$6:$N$12,1),0,INDEX($N$53:$Q$56,MATCH(INDEX($N$6:$N$12,1),$M$53:$M$56,0),MATCH(INDEX($N$6:$N$12,1),$N$52:$Q$52,0))*(1-Core!$B$83))</f>
        <v>0</v>
      </c>
      <c r="O63" s="10" t="n">
        <f aca="false">IF(INDEX($N$6:$N$12,1)=INDEX($N$6:$N$12,2),0,INDEX($N$53:$Q$56,MATCH(INDEX($N$6:$N$12,1),$M$53:$M$56,0),MATCH(INDEX($N$6:$N$12,2),$N$52:$Q$52,0))*(1-Core!$C$83))</f>
        <v>0</v>
      </c>
      <c r="P63" s="10" t="n">
        <f aca="false">IF(INDEX($N$6:$N$12,1)=INDEX($N$6:$N$12,3),0,INDEX($N$53:$Q$56,MATCH(INDEX($N$6:$N$12,1),$M$53:$M$56,0),MATCH(INDEX($N$6:$N$12,3),$N$52:$Q$52,0))*(1-Core!$D$83))</f>
        <v>0</v>
      </c>
      <c r="Q63" s="10" t="n">
        <f aca="false">IF(INDEX($N$6:$N$12,1)=INDEX($N$6:$N$12,4),0,INDEX($N$53:$Q$56,MATCH(INDEX($N$6:$N$12,1),$M$53:$M$56,0),MATCH(INDEX($N$6:$N$12,4),$N$52:$Q$52,0))*(1-Core!$E$83))</f>
        <v>0</v>
      </c>
      <c r="R63" s="10" t="n">
        <f aca="false">IF(INDEX($N$6:$N$12,1)=INDEX($N$6:$N$12,5),0,INDEX($N$53:$Q$56,MATCH(INDEX($N$6:$N$12,1),$M$53:$M$56,0),MATCH(INDEX($N$6:$N$12,5),$N$52:$Q$52,0))*(1-Core!$F$83))</f>
        <v>0</v>
      </c>
      <c r="S63" s="10" t="n">
        <f aca="false">IF(INDEX($N$6:$N$12,1)=INDEX($N$6:$N$12,6),0,INDEX($N$53:$Q$56,MATCH(INDEX($N$6:$N$12,1),$M$53:$M$56,0),MATCH(INDEX($N$6:$N$12,6),$N$52:$Q$52,0))*(1-Core!$G$83))</f>
        <v>0</v>
      </c>
      <c r="T63" s="10" t="n">
        <f aca="false">IF(INDEX($N$6:$N$12,1)=INDEX($N$6:$N$12,7),0,INDEX($N$53:$Q$56,MATCH(INDEX($N$6:$N$12,1),$M$53:$M$56,0),MATCH(INDEX($N$6:$N$12,7),$N$52:$Q$52,0))*(1-Core!$H$83))</f>
        <v>0</v>
      </c>
    </row>
    <row r="64" customFormat="false" ht="15" hidden="false" customHeight="false" outlineLevel="0" collapsed="false">
      <c r="A64" s="4" t="s">
        <v>42</v>
      </c>
      <c r="B64" s="10" t="n">
        <f aca="false">IF(INDEX($B$6:$B$12,6)=INDEX($B$6:$B$12,1),0,INDEX($B$50:$D$52,MATCH(INDEX($B$6:$B$12,6),$A$50:$A$52,0),MATCH(INDEX($B$6:$B$12,1),$B$49:$D$49,0))*(1-Core!$B$88))</f>
        <v>0</v>
      </c>
      <c r="C64" s="10" t="n">
        <f aca="false">IF(INDEX($B$6:$B$12,6)=INDEX($B$6:$B$12,2),0,INDEX($B$50:$D$52,MATCH(INDEX($B$6:$B$12,6),$A$50:$A$52,0),MATCH(INDEX($B$6:$B$12,2),$B$49:$D$49,0))*(1-Core!$C$88))</f>
        <v>0</v>
      </c>
      <c r="D64" s="10" t="n">
        <f aca="false">IF(INDEX($B$6:$B$12,6)=INDEX($B$6:$B$12,3),0,INDEX($B$50:$D$52,MATCH(INDEX($B$6:$B$12,6),$A$50:$A$52,0),MATCH(INDEX($B$6:$B$12,3),$B$49:$D$49,0))*(1-Core!$D$88))</f>
        <v>1</v>
      </c>
      <c r="E64" s="10" t="n">
        <f aca="false">IF(INDEX($B$6:$B$12,6)=INDEX($B$6:$B$12,4),0,INDEX($B$50:$D$52,MATCH(INDEX($B$6:$B$12,6),$A$50:$A$52,0),MATCH(INDEX($B$6:$B$12,4),$B$49:$D$49,0))*(1-Core!$E$88))</f>
        <v>0</v>
      </c>
      <c r="F64" s="10" t="n">
        <f aca="false">IF(INDEX($B$6:$B$12,6)=INDEX($B$6:$B$12,5),0,INDEX($B$50:$D$52,MATCH(INDEX($B$6:$B$12,6),$A$50:$A$52,0),MATCH(INDEX($B$6:$B$12,5),$B$49:$D$49,0))*(1-Core!$F$88))</f>
        <v>0</v>
      </c>
      <c r="G64" s="10" t="n">
        <f aca="false">IF(INDEX($B$6:$B$12,6)=INDEX($B$6:$B$12,6),0,INDEX($B$50:$D$52,MATCH(INDEX($B$6:$B$12,6),$A$50:$A$52,0),MATCH(INDEX($B$6:$B$12,6),$B$49:$D$49,0))*(1-Core!$G$88))</f>
        <v>0</v>
      </c>
      <c r="H64" s="10" t="n">
        <f aca="false">IF(INDEX($B$6:$B$12,6)=INDEX($B$6:$B$12,7),0,INDEX($B$50:$D$52,MATCH(INDEX($B$6:$B$12,6),$A$50:$A$52,0),MATCH(INDEX($B$6:$B$12,7),$B$49:$D$49,0))*(1-Core!$H$88))</f>
        <v>0</v>
      </c>
      <c r="M64" s="4" t="s">
        <v>28</v>
      </c>
      <c r="N64" s="10" t="n">
        <f aca="false">IF(INDEX($N$6:$N$12,2)=INDEX($N$6:$N$12,1),0,INDEX($N$53:$Q$56,MATCH(INDEX($N$6:$N$12,2),$M$53:$M$56,0),MATCH(INDEX($N$6:$N$12,1),$N$52:$Q$52,0))*(1-Core!$B$84))</f>
        <v>0</v>
      </c>
      <c r="O64" s="10" t="n">
        <f aca="false">IF(INDEX($N$6:$N$12,2)=INDEX($N$6:$N$12,2),0,INDEX($N$53:$Q$56,MATCH(INDEX($N$6:$N$12,2),$M$53:$M$56,0),MATCH(INDEX($N$6:$N$12,2),$N$52:$Q$52,0))*(1-Core!$C$84))</f>
        <v>0</v>
      </c>
      <c r="P64" s="10" t="n">
        <f aca="false">IF(INDEX($N$6:$N$12,2)=INDEX($N$6:$N$12,3),0,INDEX($N$53:$Q$56,MATCH(INDEX($N$6:$N$12,2),$M$53:$M$56,0),MATCH(INDEX($N$6:$N$12,3),$N$52:$Q$52,0))*(1-Core!$D$84))</f>
        <v>0</v>
      </c>
      <c r="Q64" s="10" t="n">
        <f aca="false">IF(INDEX($N$6:$N$12,2)=INDEX($N$6:$N$12,4),0,INDEX($N$53:$Q$56,MATCH(INDEX($N$6:$N$12,2),$M$53:$M$56,0),MATCH(INDEX($N$6:$N$12,4),$N$52:$Q$52,0))*(1-Core!$E$84))</f>
        <v>0</v>
      </c>
      <c r="R64" s="10" t="n">
        <f aca="false">IF(INDEX($N$6:$N$12,2)=INDEX($N$6:$N$12,5),0,INDEX($N$53:$Q$56,MATCH(INDEX($N$6:$N$12,2),$M$53:$M$56,0),MATCH(INDEX($N$6:$N$12,5),$N$52:$Q$52,0))*(1-Core!$F$84))</f>
        <v>0</v>
      </c>
      <c r="S64" s="10" t="n">
        <f aca="false">IF(INDEX($N$6:$N$12,2)=INDEX($N$6:$N$12,6),0,INDEX($N$53:$Q$56,MATCH(INDEX($N$6:$N$12,2),$M$53:$M$56,0),MATCH(INDEX($N$6:$N$12,6),$N$52:$Q$52,0))*(1-Core!$G$84))</f>
        <v>0</v>
      </c>
      <c r="T64" s="10" t="n">
        <f aca="false">IF(INDEX($N$6:$N$12,2)=INDEX($N$6:$N$12,7),0,INDEX($N$53:$Q$56,MATCH(INDEX($N$6:$N$12,2),$M$53:$M$56,0),MATCH(INDEX($N$6:$N$12,7),$N$52:$Q$52,0))*(1-Core!$H$84))</f>
        <v>0</v>
      </c>
    </row>
    <row r="65" customFormat="false" ht="15" hidden="false" customHeight="false" outlineLevel="0" collapsed="false">
      <c r="A65" s="4" t="s">
        <v>46</v>
      </c>
      <c r="B65" s="10" t="n">
        <f aca="false">IF(INDEX($B$6:$B$12,7)=INDEX($B$6:$B$12,1),0,INDEX($B$50:$D$52,MATCH(INDEX($B$6:$B$12,7),$A$50:$A$52,0),MATCH(INDEX($B$6:$B$12,1),$B$49:$D$49,0))*(1-Core!$B$89))</f>
        <v>0</v>
      </c>
      <c r="C65" s="10" t="n">
        <f aca="false">IF(INDEX($B$6:$B$12,7)=INDEX($B$6:$B$12,2),0,INDEX($B$50:$D$52,MATCH(INDEX($B$6:$B$12,7),$A$50:$A$52,0),MATCH(INDEX($B$6:$B$12,2),$B$49:$D$49,0))*(1-Core!$C$89))</f>
        <v>0</v>
      </c>
      <c r="D65" s="10" t="n">
        <f aca="false">IF(INDEX($B$6:$B$12,7)=INDEX($B$6:$B$12,3),0,INDEX($B$50:$D$52,MATCH(INDEX($B$6:$B$12,7),$A$50:$A$52,0),MATCH(INDEX($B$6:$B$12,3),$B$49:$D$49,0))*(1-Core!$D$89))</f>
        <v>1</v>
      </c>
      <c r="E65" s="10" t="n">
        <f aca="false">IF(INDEX($B$6:$B$12,7)=INDEX($B$6:$B$12,4),0,INDEX($B$50:$D$52,MATCH(INDEX($B$6:$B$12,7),$A$50:$A$52,0),MATCH(INDEX($B$6:$B$12,4),$B$49:$D$49,0))*(1-Core!$E$89))</f>
        <v>0</v>
      </c>
      <c r="F65" s="10" t="n">
        <f aca="false">IF(INDEX($B$6:$B$12,7)=INDEX($B$6:$B$12,5),0,INDEX($B$50:$D$52,MATCH(INDEX($B$6:$B$12,7),$A$50:$A$52,0),MATCH(INDEX($B$6:$B$12,5),$B$49:$D$49,0))*(1-Core!$F$89))</f>
        <v>0</v>
      </c>
      <c r="G65" s="10" t="n">
        <f aca="false">IF(INDEX($B$6:$B$12,7)=INDEX($B$6:$B$12,6),0,INDEX($B$50:$D$52,MATCH(INDEX($B$6:$B$12,7),$A$50:$A$52,0),MATCH(INDEX($B$6:$B$12,6),$B$49:$D$49,0))*(1-Core!$G$89))</f>
        <v>0</v>
      </c>
      <c r="H65" s="10" t="n">
        <f aca="false">IF(INDEX($B$6:$B$12,7)=INDEX($B$6:$B$12,7),0,INDEX($B$50:$D$52,MATCH(INDEX($B$6:$B$12,7),$A$50:$A$52,0),MATCH(INDEX($B$6:$B$12,7),$B$49:$D$49,0))*(1-Core!$H$89))</f>
        <v>0</v>
      </c>
      <c r="M65" s="4" t="s">
        <v>32</v>
      </c>
      <c r="N65" s="10" t="n">
        <f aca="false">IF(INDEX($N$6:$N$12,3)=INDEX($N$6:$N$12,1),0,INDEX($N$53:$Q$56,MATCH(INDEX($N$6:$N$12,3),$M$53:$M$56,0),MATCH(INDEX($N$6:$N$12,1),$N$52:$Q$52,0))*(1-Core!$B$85))</f>
        <v>0</v>
      </c>
      <c r="O65" s="10" t="n">
        <f aca="false">IF(INDEX($N$6:$N$12,3)=INDEX($N$6:$N$12,2),0,INDEX($N$53:$Q$56,MATCH(INDEX($N$6:$N$12,3),$M$53:$M$56,0),MATCH(INDEX($N$6:$N$12,2),$N$52:$Q$52,0))*(1-Core!$C$85))</f>
        <v>0</v>
      </c>
      <c r="P65" s="10" t="n">
        <f aca="false">IF(INDEX($N$6:$N$12,3)=INDEX($N$6:$N$12,3),0,INDEX($N$53:$Q$56,MATCH(INDEX($N$6:$N$12,3),$M$53:$M$56,0),MATCH(INDEX($N$6:$N$12,3),$N$52:$Q$52,0))*(1-Core!$D$85))</f>
        <v>0</v>
      </c>
      <c r="Q65" s="10" t="n">
        <f aca="false">IF(INDEX($N$6:$N$12,3)=INDEX($N$6:$N$12,4),0,INDEX($N$53:$Q$56,MATCH(INDEX($N$6:$N$12,3),$M$53:$M$56,0),MATCH(INDEX($N$6:$N$12,4),$N$52:$Q$52,0))*(1-Core!$E$85))</f>
        <v>0</v>
      </c>
      <c r="R65" s="10" t="n">
        <f aca="false">IF(INDEX($N$6:$N$12,3)=INDEX($N$6:$N$12,5),0,INDEX($N$53:$Q$56,MATCH(INDEX($N$6:$N$12,3),$M$53:$M$56,0),MATCH(INDEX($N$6:$N$12,5),$N$52:$Q$52,0))*(1-Core!$F$85))</f>
        <v>0</v>
      </c>
      <c r="S65" s="10" t="n">
        <f aca="false">IF(INDEX($N$6:$N$12,3)=INDEX($N$6:$N$12,6),0,INDEX($N$53:$Q$56,MATCH(INDEX($N$6:$N$12,3),$M$53:$M$56,0),MATCH(INDEX($N$6:$N$12,6),$N$52:$Q$52,0))*(1-Core!$G$85))</f>
        <v>0</v>
      </c>
      <c r="T65" s="10" t="n">
        <f aca="false">IF(INDEX($N$6:$N$12,3)=INDEX($N$6:$N$12,7),0,INDEX($N$53:$Q$56,MATCH(INDEX($N$6:$N$12,3),$M$53:$M$56,0),MATCH(INDEX($N$6:$N$12,7),$N$52:$Q$52,0))*(1-Core!$H$85))</f>
        <v>0</v>
      </c>
    </row>
    <row r="66" customFormat="false" ht="15" hidden="false" customHeight="false" outlineLevel="0" collapsed="false">
      <c r="M66" s="4" t="s">
        <v>37</v>
      </c>
      <c r="N66" s="10" t="n">
        <f aca="false">IF(INDEX($N$6:$N$12,4)=INDEX($N$6:$N$12,1),0,INDEX($N$53:$Q$56,MATCH(INDEX($N$6:$N$12,4),$M$53:$M$56,0),MATCH(INDEX($N$6:$N$12,1),$N$52:$Q$52,0))*(1-Core!$B$86))</f>
        <v>0</v>
      </c>
      <c r="O66" s="10" t="n">
        <f aca="false">IF(INDEX($N$6:$N$12,4)=INDEX($N$6:$N$12,2),0,INDEX($N$53:$Q$56,MATCH(INDEX($N$6:$N$12,4),$M$53:$M$56,0),MATCH(INDEX($N$6:$N$12,2),$N$52:$Q$52,0))*(1-Core!$C$86))</f>
        <v>0</v>
      </c>
      <c r="P66" s="10" t="n">
        <f aca="false">IF(INDEX($N$6:$N$12,4)=INDEX($N$6:$N$12,3),0,INDEX($N$53:$Q$56,MATCH(INDEX($N$6:$N$12,4),$M$53:$M$56,0),MATCH(INDEX($N$6:$N$12,3),$N$52:$Q$52,0))*(1-Core!$D$86))</f>
        <v>0</v>
      </c>
      <c r="Q66" s="10" t="n">
        <f aca="false">IF(INDEX($N$6:$N$12,4)=INDEX($N$6:$N$12,4),0,INDEX($N$53:$Q$56,MATCH(INDEX($N$6:$N$12,4),$M$53:$M$56,0),MATCH(INDEX($N$6:$N$12,4),$N$52:$Q$52,0))*(1-Core!$E$86))</f>
        <v>0</v>
      </c>
      <c r="R66" s="10" t="n">
        <f aca="false">IF(INDEX($N$6:$N$12,4)=INDEX($N$6:$N$12,5),0,INDEX($N$53:$Q$56,MATCH(INDEX($N$6:$N$12,4),$M$53:$M$56,0),MATCH(INDEX($N$6:$N$12,5),$N$52:$Q$52,0))*(1-Core!$F$86))</f>
        <v>0</v>
      </c>
      <c r="S66" s="10" t="n">
        <f aca="false">IF(INDEX($N$6:$N$12,4)=INDEX($N$6:$N$12,6),0,INDEX($N$53:$Q$56,MATCH(INDEX($N$6:$N$12,4),$M$53:$M$56,0),MATCH(INDEX($N$6:$N$12,6),$N$52:$Q$52,0))*(1-Core!$G$86))</f>
        <v>0</v>
      </c>
      <c r="T66" s="10" t="n">
        <f aca="false">IF(INDEX($N$6:$N$12,4)=INDEX($N$6:$N$12,7),0,INDEX($N$53:$Q$56,MATCH(INDEX($N$6:$N$12,4),$M$53:$M$56,0),MATCH(INDEX($N$6:$N$12,7),$N$52:$Q$52,0))*(1-Core!$H$86))</f>
        <v>0</v>
      </c>
    </row>
    <row r="67" customFormat="false" ht="15" hidden="false" customHeight="false" outlineLevel="0" collapsed="false">
      <c r="M67" s="4" t="s">
        <v>40</v>
      </c>
      <c r="N67" s="10" t="n">
        <f aca="false">IF(INDEX($N$6:$N$12,5)=INDEX($N$6:$N$12,1),0,INDEX($N$53:$Q$56,MATCH(INDEX($N$6:$N$12,5),$M$53:$M$56,0),MATCH(INDEX($N$6:$N$12,1),$N$52:$Q$52,0))*(1-Core!$B$87))</f>
        <v>0</v>
      </c>
      <c r="O67" s="10" t="n">
        <f aca="false">IF(INDEX($N$6:$N$12,5)=INDEX($N$6:$N$12,2),0,INDEX($N$53:$Q$56,MATCH(INDEX($N$6:$N$12,5),$M$53:$M$56,0),MATCH(INDEX($N$6:$N$12,2),$N$52:$Q$52,0))*(1-Core!$C$87))</f>
        <v>0</v>
      </c>
      <c r="P67" s="10" t="n">
        <f aca="false">IF(INDEX($N$6:$N$12,5)=INDEX($N$6:$N$12,3),0,INDEX($N$53:$Q$56,MATCH(INDEX($N$6:$N$12,5),$M$53:$M$56,0),MATCH(INDEX($N$6:$N$12,3),$N$52:$Q$52,0))*(1-Core!$D$87))</f>
        <v>0</v>
      </c>
      <c r="Q67" s="10" t="n">
        <f aca="false">IF(INDEX($N$6:$N$12,5)=INDEX($N$6:$N$12,4),0,INDEX($N$53:$Q$56,MATCH(INDEX($N$6:$N$12,5),$M$53:$M$56,0),MATCH(INDEX($N$6:$N$12,4),$N$52:$Q$52,0))*(1-Core!$E$87))</f>
        <v>0</v>
      </c>
      <c r="R67" s="10" t="n">
        <f aca="false">IF(INDEX($N$6:$N$12,5)=INDEX($N$6:$N$12,5),0,INDEX($N$53:$Q$56,MATCH(INDEX($N$6:$N$12,5),$M$53:$M$56,0),MATCH(INDEX($N$6:$N$12,5),$N$52:$Q$52,0))*(1-Core!$F$87))</f>
        <v>0</v>
      </c>
      <c r="S67" s="10" t="n">
        <f aca="false">IF(INDEX($N$6:$N$12,5)=INDEX($N$6:$N$12,6),0,INDEX($N$53:$Q$56,MATCH(INDEX($N$6:$N$12,5),$M$53:$M$56,0),MATCH(INDEX($N$6:$N$12,6),$N$52:$Q$52,0))*(1-Core!$G$87))</f>
        <v>0</v>
      </c>
      <c r="T67" s="10" t="n">
        <f aca="false">IF(INDEX($N$6:$N$12,5)=INDEX($N$6:$N$12,7),0,INDEX($N$53:$Q$56,MATCH(INDEX($N$6:$N$12,5),$M$53:$M$56,0),MATCH(INDEX($N$6:$N$12,7),$N$52:$Q$52,0))*(1-Core!$H$87))</f>
        <v>0</v>
      </c>
    </row>
    <row r="68" customFormat="false" ht="15" hidden="false" customHeight="false" outlineLevel="0" collapsed="false">
      <c r="A68" s="4" t="s">
        <v>665</v>
      </c>
      <c r="M68" s="4" t="s">
        <v>42</v>
      </c>
      <c r="N68" s="10" t="n">
        <f aca="false">IF(INDEX($N$6:$N$12,6)=INDEX($N$6:$N$12,1),0,INDEX($N$53:$Q$56,MATCH(INDEX($N$6:$N$12,6),$M$53:$M$56,0),MATCH(INDEX($N$6:$N$12,1),$N$52:$Q$52,0))*(1-Core!$B$88))</f>
        <v>0</v>
      </c>
      <c r="O68" s="10" t="n">
        <f aca="false">IF(INDEX($N$6:$N$12,6)=INDEX($N$6:$N$12,2),0,INDEX($N$53:$Q$56,MATCH(INDEX($N$6:$N$12,6),$M$53:$M$56,0),MATCH(INDEX($N$6:$N$12,2),$N$52:$Q$52,0))*(1-Core!$C$88))</f>
        <v>0</v>
      </c>
      <c r="P68" s="10" t="n">
        <f aca="false">IF(INDEX($N$6:$N$12,6)=INDEX($N$6:$N$12,3),0,INDEX($N$53:$Q$56,MATCH(INDEX($N$6:$N$12,6),$M$53:$M$56,0),MATCH(INDEX($N$6:$N$12,3),$N$52:$Q$52,0))*(1-Core!$D$88))</f>
        <v>0</v>
      </c>
      <c r="Q68" s="10" t="n">
        <f aca="false">IF(INDEX($N$6:$N$12,6)=INDEX($N$6:$N$12,4),0,INDEX($N$53:$Q$56,MATCH(INDEX($N$6:$N$12,6),$M$53:$M$56,0),MATCH(INDEX($N$6:$N$12,4),$N$52:$Q$52,0))*(1-Core!$E$88))</f>
        <v>0</v>
      </c>
      <c r="R68" s="10" t="n">
        <f aca="false">IF(INDEX($N$6:$N$12,6)=INDEX($N$6:$N$12,5),0,INDEX($N$53:$Q$56,MATCH(INDEX($N$6:$N$12,6),$M$53:$M$56,0),MATCH(INDEX($N$6:$N$12,5),$N$52:$Q$52,0))*(1-Core!$F$88))</f>
        <v>0</v>
      </c>
      <c r="S68" s="10" t="n">
        <f aca="false">IF(INDEX($N$6:$N$12,6)=INDEX($N$6:$N$12,6),0,INDEX($N$53:$Q$56,MATCH(INDEX($N$6:$N$12,6),$M$53:$M$56,0),MATCH(INDEX($N$6:$N$12,6),$N$52:$Q$52,0))*(1-Core!$G$88))</f>
        <v>0</v>
      </c>
      <c r="T68" s="10" t="n">
        <f aca="false">IF(INDEX($N$6:$N$12,6)=INDEX($N$6:$N$12,7),0,INDEX($N$53:$Q$56,MATCH(INDEX($N$6:$N$12,6),$M$53:$M$56,0),MATCH(INDEX($N$6:$N$12,7),$N$52:$Q$52,0))*(1-Core!$H$88))</f>
        <v>0</v>
      </c>
    </row>
    <row r="69" customFormat="false" ht="15" hidden="false" customHeight="false" outlineLevel="0" collapsed="false">
      <c r="A69" s="8"/>
      <c r="B69" s="8" t="s">
        <v>23</v>
      </c>
      <c r="C69" s="8" t="s">
        <v>28</v>
      </c>
      <c r="D69" s="8" t="s">
        <v>32</v>
      </c>
      <c r="E69" s="8" t="s">
        <v>37</v>
      </c>
      <c r="F69" s="8" t="s">
        <v>40</v>
      </c>
      <c r="G69" s="8" t="s">
        <v>42</v>
      </c>
      <c r="H69" s="8" t="s">
        <v>46</v>
      </c>
      <c r="M69" s="4" t="s">
        <v>46</v>
      </c>
      <c r="N69" s="10" t="n">
        <f aca="false">IF(INDEX($N$6:$N$12,7)=INDEX($N$6:$N$12,1),0,INDEX($N$53:$Q$56,MATCH(INDEX($N$6:$N$12,7),$M$53:$M$56,0),MATCH(INDEX($N$6:$N$12,1),$N$52:$Q$52,0))*(1-Core!$B$89))</f>
        <v>0</v>
      </c>
      <c r="O69" s="10" t="n">
        <f aca="false">IF(INDEX($N$6:$N$12,7)=INDEX($N$6:$N$12,2),0,INDEX($N$53:$Q$56,MATCH(INDEX($N$6:$N$12,7),$M$53:$M$56,0),MATCH(INDEX($N$6:$N$12,2),$N$52:$Q$52,0))*(1-Core!$C$89))</f>
        <v>0</v>
      </c>
      <c r="P69" s="10" t="n">
        <f aca="false">IF(INDEX($N$6:$N$12,7)=INDEX($N$6:$N$12,3),0,INDEX($N$53:$Q$56,MATCH(INDEX($N$6:$N$12,7),$M$53:$M$56,0),MATCH(INDEX($N$6:$N$12,3),$N$52:$Q$52,0))*(1-Core!$D$89))</f>
        <v>0</v>
      </c>
      <c r="Q69" s="10" t="n">
        <f aca="false">IF(INDEX($N$6:$N$12,7)=INDEX($N$6:$N$12,4),0,INDEX($N$53:$Q$56,MATCH(INDEX($N$6:$N$12,7),$M$53:$M$56,0),MATCH(INDEX($N$6:$N$12,4),$N$52:$Q$52,0))*(1-Core!$E$89))</f>
        <v>0</v>
      </c>
      <c r="R69" s="10" t="n">
        <f aca="false">IF(INDEX($N$6:$N$12,7)=INDEX($N$6:$N$12,5),0,INDEX($N$53:$Q$56,MATCH(INDEX($N$6:$N$12,7),$M$53:$M$56,0),MATCH(INDEX($N$6:$N$12,5),$N$52:$Q$52,0))*(1-Core!$F$89))</f>
        <v>0</v>
      </c>
      <c r="S69" s="10" t="n">
        <f aca="false">IF(INDEX($N$6:$N$12,7)=INDEX($N$6:$N$12,6),0,INDEX($N$53:$Q$56,MATCH(INDEX($N$6:$N$12,7),$M$53:$M$56,0),MATCH(INDEX($N$6:$N$12,6),$N$52:$Q$52,0))*(1-Core!$G$89))</f>
        <v>0</v>
      </c>
      <c r="T69" s="10" t="n">
        <f aca="false">IF(INDEX($N$6:$N$12,7)=INDEX($N$6:$N$12,7),0,INDEX($N$53:$Q$56,MATCH(INDEX($N$6:$N$12,7),$M$53:$M$56,0),MATCH(INDEX($N$6:$N$12,7),$N$52:$Q$52,0))*(1-Core!$H$89))</f>
        <v>0</v>
      </c>
    </row>
    <row r="70" customFormat="false" ht="15" hidden="false" customHeight="false" outlineLevel="0" collapsed="false">
      <c r="A70" s="4" t="s">
        <v>23</v>
      </c>
      <c r="B70" s="10" t="n">
        <f aca="false">IF(INDEX($B$6:$B$12,1)=INDEX($B$6:$B$12,1),0,Core!$B$83*(1-INDEX($B$50:$D$52,MATCH(INDEX($B$6:$B$12,1),$A$50:$A$52,0),MATCH(INDEX($B$6:$B$12,1),$B$49:$D$49,0))))</f>
        <v>0</v>
      </c>
      <c r="C70" s="10" t="n">
        <f aca="false">IF(INDEX($B$6:$B$12,1)=INDEX($B$6:$B$12,2),0,Core!$C$83*(1-INDEX($B$50:$D$52,MATCH(INDEX($B$6:$B$12,1),$A$50:$A$52,0),MATCH(INDEX($B$6:$B$12,2),$B$49:$D$49,0))))</f>
        <v>0</v>
      </c>
      <c r="D70" s="10" t="n">
        <f aca="false">IF(INDEX($B$6:$B$12,1)=INDEX($B$6:$B$12,3),0,Core!$D$83*(1-INDEX($B$50:$D$52,MATCH(INDEX($B$6:$B$12,1),$A$50:$A$52,0),MATCH(INDEX($B$6:$B$12,3),$B$49:$D$49,0))))</f>
        <v>0</v>
      </c>
      <c r="E70" s="10" t="n">
        <f aca="false">IF(INDEX($B$6:$B$12,1)=INDEX($B$6:$B$12,4),0,Core!$E$83*(1-INDEX($B$50:$D$52,MATCH(INDEX($B$6:$B$12,1),$A$50:$A$52,0),MATCH(INDEX($B$6:$B$12,4),$B$49:$D$49,0))))</f>
        <v>0</v>
      </c>
      <c r="F70" s="10" t="n">
        <f aca="false">IF(INDEX($B$6:$B$12,1)=INDEX($B$6:$B$12,5),0,Core!$F$83*(1-INDEX($B$50:$D$52,MATCH(INDEX($B$6:$B$12,1),$A$50:$A$52,0),MATCH(INDEX($B$6:$B$12,5),$B$49:$D$49,0))))</f>
        <v>0</v>
      </c>
      <c r="G70" s="10" t="n">
        <f aca="false">IF(INDEX($B$6:$B$12,1)=INDEX($B$6:$B$12,6),0,Core!$G$83*(1-INDEX($B$50:$D$52,MATCH(INDEX($B$6:$B$12,1),$A$50:$A$52,0),MATCH(INDEX($B$6:$B$12,6),$B$49:$D$49,0))))</f>
        <v>0</v>
      </c>
      <c r="H70" s="10" t="n">
        <f aca="false">IF(INDEX($B$6:$B$12,1)=INDEX($B$6:$B$12,7),0,Core!$H$83*(1-INDEX($B$50:$D$52,MATCH(INDEX($B$6:$B$12,1),$A$50:$A$52,0),MATCH(INDEX($B$6:$B$12,7),$B$49:$D$49,0))))</f>
        <v>0</v>
      </c>
    </row>
    <row r="71" customFormat="false" ht="15" hidden="false" customHeight="false" outlineLevel="0" collapsed="false">
      <c r="A71" s="4" t="s">
        <v>28</v>
      </c>
      <c r="B71" s="10" t="n">
        <f aca="false">IF(INDEX($B$6:$B$12,2)=INDEX($B$6:$B$12,1),0,Core!$B$84*(1-INDEX($B$50:$D$52,MATCH(INDEX($B$6:$B$12,2),$A$50:$A$52,0),MATCH(INDEX($B$6:$B$12,1),$B$49:$D$49,0))))</f>
        <v>0</v>
      </c>
      <c r="C71" s="10" t="n">
        <f aca="false">IF(INDEX($B$6:$B$12,2)=INDEX($B$6:$B$12,2),0,Core!$C$84*(1-INDEX($B$50:$D$52,MATCH(INDEX($B$6:$B$12,2),$A$50:$A$52,0),MATCH(INDEX($B$6:$B$12,2),$B$49:$D$49,0))))</f>
        <v>0</v>
      </c>
      <c r="D71" s="10" t="n">
        <f aca="false">IF(INDEX($B$6:$B$12,2)=INDEX($B$6:$B$12,3),0,Core!$D$84*(1-INDEX($B$50:$D$52,MATCH(INDEX($B$6:$B$12,2),$A$50:$A$52,0),MATCH(INDEX($B$6:$B$12,3),$B$49:$D$49,0))))</f>
        <v>0</v>
      </c>
      <c r="E71" s="10" t="n">
        <f aca="false">IF(INDEX($B$6:$B$12,2)=INDEX($B$6:$B$12,4),0,Core!$E$84*(1-INDEX($B$50:$D$52,MATCH(INDEX($B$6:$B$12,2),$A$50:$A$52,0),MATCH(INDEX($B$6:$B$12,4),$B$49:$D$49,0))))</f>
        <v>0</v>
      </c>
      <c r="F71" s="10" t="n">
        <f aca="false">IF(INDEX($B$6:$B$12,2)=INDEX($B$6:$B$12,5),0,Core!$F$84*(1-INDEX($B$50:$D$52,MATCH(INDEX($B$6:$B$12,2),$A$50:$A$52,0),MATCH(INDEX($B$6:$B$12,5),$B$49:$D$49,0))))</f>
        <v>0</v>
      </c>
      <c r="G71" s="10" t="n">
        <f aca="false">IF(INDEX($B$6:$B$12,2)=INDEX($B$6:$B$12,6),0,Core!$G$84*(1-INDEX($B$50:$D$52,MATCH(INDEX($B$6:$B$12,2),$A$50:$A$52,0),MATCH(INDEX($B$6:$B$12,6),$B$49:$D$49,0))))</f>
        <v>0</v>
      </c>
      <c r="H71" s="10" t="n">
        <f aca="false">IF(INDEX($B$6:$B$12,2)=INDEX($B$6:$B$12,7),0,Core!$H$84*(1-INDEX($B$50:$D$52,MATCH(INDEX($B$6:$B$12,2),$A$50:$A$52,0),MATCH(INDEX($B$6:$B$12,7),$B$49:$D$49,0))))</f>
        <v>0</v>
      </c>
    </row>
    <row r="72" customFormat="false" ht="15" hidden="false" customHeight="false" outlineLevel="0" collapsed="false">
      <c r="A72" s="4" t="s">
        <v>32</v>
      </c>
      <c r="B72" s="10" t="n">
        <f aca="false">IF(INDEX($B$6:$B$12,3)=INDEX($B$6:$B$12,1),0,Core!$B$85*(1-INDEX($B$50:$D$52,MATCH(INDEX($B$6:$B$12,3),$A$50:$A$52,0),MATCH(INDEX($B$6:$B$12,1),$B$49:$D$49,0))))</f>
        <v>0</v>
      </c>
      <c r="C72" s="10" t="n">
        <f aca="false">IF(INDEX($B$6:$B$12,3)=INDEX($B$6:$B$12,2),0,Core!$C$85*(1-INDEX($B$50:$D$52,MATCH(INDEX($B$6:$B$12,3),$A$50:$A$52,0),MATCH(INDEX($B$6:$B$12,2),$B$49:$D$49,0))))</f>
        <v>0</v>
      </c>
      <c r="D72" s="10" t="n">
        <f aca="false">IF(INDEX($B$6:$B$12,3)=INDEX($B$6:$B$12,3),0,Core!$D$85*(1-INDEX($B$50:$D$52,MATCH(INDEX($B$6:$B$12,3),$A$50:$A$52,0),MATCH(INDEX($B$6:$B$12,3),$B$49:$D$49,0))))</f>
        <v>0</v>
      </c>
      <c r="E72" s="10" t="n">
        <f aca="false">IF(INDEX($B$6:$B$12,3)=INDEX($B$6:$B$12,4),0,Core!$E$85*(1-INDEX($B$50:$D$52,MATCH(INDEX($B$6:$B$12,3),$A$50:$A$52,0),MATCH(INDEX($B$6:$B$12,4),$B$49:$D$49,0))))</f>
        <v>0</v>
      </c>
      <c r="F72" s="10" t="n">
        <f aca="false">IF(INDEX($B$6:$B$12,3)=INDEX($B$6:$B$12,5),0,Core!$F$85*(1-INDEX($B$50:$D$52,MATCH(INDEX($B$6:$B$12,3),$A$50:$A$52,0),MATCH(INDEX($B$6:$B$12,5),$B$49:$D$49,0))))</f>
        <v>0</v>
      </c>
      <c r="G72" s="10" t="n">
        <f aca="false">IF(INDEX($B$6:$B$12,3)=INDEX($B$6:$B$12,6),0,Core!$G$85*(1-INDEX($B$50:$D$52,MATCH(INDEX($B$6:$B$12,3),$A$50:$A$52,0),MATCH(INDEX($B$6:$B$12,6),$B$49:$D$49,0))))</f>
        <v>0</v>
      </c>
      <c r="H72" s="10" t="n">
        <f aca="false">IF(INDEX($B$6:$B$12,3)=INDEX($B$6:$B$12,7),0,Core!$H$85*(1-INDEX($B$50:$D$52,MATCH(INDEX($B$6:$B$12,3),$A$50:$A$52,0),MATCH(INDEX($B$6:$B$12,7),$B$49:$D$49,0))))</f>
        <v>0</v>
      </c>
      <c r="M72" s="4" t="s">
        <v>665</v>
      </c>
    </row>
    <row r="73" customFormat="false" ht="15" hidden="false" customHeight="false" outlineLevel="0" collapsed="false">
      <c r="A73" s="4" t="s">
        <v>37</v>
      </c>
      <c r="B73" s="10" t="n">
        <f aca="false">IF(INDEX($B$6:$B$12,4)=INDEX($B$6:$B$12,1),0,Core!$B$86*(1-INDEX($B$50:$D$52,MATCH(INDEX($B$6:$B$12,4),$A$50:$A$52,0),MATCH(INDEX($B$6:$B$12,1),$B$49:$D$49,0))))</f>
        <v>0</v>
      </c>
      <c r="C73" s="10" t="n">
        <f aca="false">IF(INDEX($B$6:$B$12,4)=INDEX($B$6:$B$12,2),0,Core!$C$86*(1-INDEX($B$50:$D$52,MATCH(INDEX($B$6:$B$12,4),$A$50:$A$52,0),MATCH(INDEX($B$6:$B$12,2),$B$49:$D$49,0))))</f>
        <v>0</v>
      </c>
      <c r="D73" s="10" t="n">
        <f aca="false">IF(INDEX($B$6:$B$12,4)=INDEX($B$6:$B$12,3),0,Core!$D$86*(1-INDEX($B$50:$D$52,MATCH(INDEX($B$6:$B$12,4),$A$50:$A$52,0),MATCH(INDEX($B$6:$B$12,3),$B$49:$D$49,0))))</f>
        <v>0</v>
      </c>
      <c r="E73" s="10" t="n">
        <f aca="false">IF(INDEX($B$6:$B$12,4)=INDEX($B$6:$B$12,4),0,Core!$E$86*(1-INDEX($B$50:$D$52,MATCH(INDEX($B$6:$B$12,4),$A$50:$A$52,0),MATCH(INDEX($B$6:$B$12,4),$B$49:$D$49,0))))</f>
        <v>0</v>
      </c>
      <c r="F73" s="10" t="n">
        <f aca="false">IF(INDEX($B$6:$B$12,4)=INDEX($B$6:$B$12,5),0,Core!$F$86*(1-INDEX($B$50:$D$52,MATCH(INDEX($B$6:$B$12,4),$A$50:$A$52,0),MATCH(INDEX($B$6:$B$12,5),$B$49:$D$49,0))))</f>
        <v>0</v>
      </c>
      <c r="G73" s="10" t="n">
        <f aca="false">IF(INDEX($B$6:$B$12,4)=INDEX($B$6:$B$12,6),0,Core!$G$86*(1-INDEX($B$50:$D$52,MATCH(INDEX($B$6:$B$12,4),$A$50:$A$52,0),MATCH(INDEX($B$6:$B$12,6),$B$49:$D$49,0))))</f>
        <v>0</v>
      </c>
      <c r="H73" s="10" t="n">
        <f aca="false">IF(INDEX($B$6:$B$12,4)=INDEX($B$6:$B$12,7),0,Core!$H$86*(1-INDEX($B$50:$D$52,MATCH(INDEX($B$6:$B$12,4),$A$50:$A$52,0),MATCH(INDEX($B$6:$B$12,7),$B$49:$D$49,0))))</f>
        <v>0</v>
      </c>
      <c r="M73" s="8"/>
      <c r="N73" s="8" t="s">
        <v>23</v>
      </c>
      <c r="O73" s="8" t="s">
        <v>28</v>
      </c>
      <c r="P73" s="8" t="s">
        <v>32</v>
      </c>
      <c r="Q73" s="8" t="s">
        <v>37</v>
      </c>
      <c r="R73" s="8" t="s">
        <v>40</v>
      </c>
      <c r="S73" s="8" t="s">
        <v>42</v>
      </c>
      <c r="T73" s="8" t="s">
        <v>46</v>
      </c>
    </row>
    <row r="74" customFormat="false" ht="15" hidden="false" customHeight="false" outlineLevel="0" collapsed="false">
      <c r="A74" s="4" t="s">
        <v>40</v>
      </c>
      <c r="B74" s="10" t="n">
        <f aca="false">IF(INDEX($B$6:$B$12,5)=INDEX($B$6:$B$12,1),0,Core!$B$87*(1-INDEX($B$50:$D$52,MATCH(INDEX($B$6:$B$12,5),$A$50:$A$52,0),MATCH(INDEX($B$6:$B$12,1),$B$49:$D$49,0))))</f>
        <v>0</v>
      </c>
      <c r="C74" s="10" t="n">
        <f aca="false">IF(INDEX($B$6:$B$12,5)=INDEX($B$6:$B$12,2),0,Core!$C$87*(1-INDEX($B$50:$D$52,MATCH(INDEX($B$6:$B$12,5),$A$50:$A$52,0),MATCH(INDEX($B$6:$B$12,2),$B$49:$D$49,0))))</f>
        <v>0</v>
      </c>
      <c r="D74" s="10" t="n">
        <f aca="false">IF(INDEX($B$6:$B$12,5)=INDEX($B$6:$B$12,3),0,Core!$D$87*(1-INDEX($B$50:$D$52,MATCH(INDEX($B$6:$B$12,5),$A$50:$A$52,0),MATCH(INDEX($B$6:$B$12,3),$B$49:$D$49,0))))</f>
        <v>0</v>
      </c>
      <c r="E74" s="10" t="n">
        <f aca="false">IF(INDEX($B$6:$B$12,5)=INDEX($B$6:$B$12,4),0,Core!$E$87*(1-INDEX($B$50:$D$52,MATCH(INDEX($B$6:$B$12,5),$A$50:$A$52,0),MATCH(INDEX($B$6:$B$12,4),$B$49:$D$49,0))))</f>
        <v>0</v>
      </c>
      <c r="F74" s="10" t="n">
        <f aca="false">IF(INDEX($B$6:$B$12,5)=INDEX($B$6:$B$12,5),0,Core!$F$87*(1-INDEX($B$50:$D$52,MATCH(INDEX($B$6:$B$12,5),$A$50:$A$52,0),MATCH(INDEX($B$6:$B$12,5),$B$49:$D$49,0))))</f>
        <v>0</v>
      </c>
      <c r="G74" s="10" t="n">
        <f aca="false">IF(INDEX($B$6:$B$12,5)=INDEX($B$6:$B$12,6),0,Core!$G$87*(1-INDEX($B$50:$D$52,MATCH(INDEX($B$6:$B$12,5),$A$50:$A$52,0),MATCH(INDEX($B$6:$B$12,6),$B$49:$D$49,0))))</f>
        <v>0</v>
      </c>
      <c r="H74" s="10" t="n">
        <f aca="false">IF(INDEX($B$6:$B$12,5)=INDEX($B$6:$B$12,7),0,Core!$H$87*(1-INDEX($B$50:$D$52,MATCH(INDEX($B$6:$B$12,5),$A$50:$A$52,0),MATCH(INDEX($B$6:$B$12,7),$B$49:$D$49,0))))</f>
        <v>0</v>
      </c>
      <c r="M74" s="4" t="s">
        <v>23</v>
      </c>
      <c r="N74" s="10" t="n">
        <f aca="false">IF(INDEX($N$6:$N$12,1)=INDEX($N$6:$N$12,1),0,Core!$B$83*(1-INDEX($N$53:$Q$56,MATCH(INDEX($N$6:$N$12,1),$M$53:$M$56,0),MATCH(INDEX($N$6:$N$12,1),$N$52:$Q$52,0))))</f>
        <v>0</v>
      </c>
      <c r="O74" s="10" t="n">
        <f aca="false">IF(INDEX($N$6:$N$12,1)=INDEX($N$6:$N$12,2),0,Core!$C$83*(1-INDEX($N$53:$Q$56,MATCH(INDEX($N$6:$N$12,1),$M$53:$M$56,0),MATCH(INDEX($N$6:$N$12,2),$N$52:$Q$52,0))))</f>
        <v>0</v>
      </c>
      <c r="P74" s="10" t="n">
        <f aca="false">IF(INDEX($N$6:$N$12,1)=INDEX($N$6:$N$12,3),0,Core!$D$83*(1-INDEX($N$53:$Q$56,MATCH(INDEX($N$6:$N$12,1),$M$53:$M$56,0),MATCH(INDEX($N$6:$N$12,3),$N$52:$Q$52,0))))</f>
        <v>0</v>
      </c>
      <c r="Q74" s="10" t="n">
        <f aca="false">IF(INDEX($N$6:$N$12,1)=INDEX($N$6:$N$12,4),0,Core!$E$83*(1-INDEX($N$53:$Q$56,MATCH(INDEX($N$6:$N$12,1),$M$53:$M$56,0),MATCH(INDEX($N$6:$N$12,4),$N$52:$Q$52,0))))</f>
        <v>0</v>
      </c>
      <c r="R74" s="10" t="n">
        <f aca="false">IF(INDEX($N$6:$N$12,1)=INDEX($N$6:$N$12,5),0,Core!$F$83*(1-INDEX($N$53:$Q$56,MATCH(INDEX($N$6:$N$12,1),$M$53:$M$56,0),MATCH(INDEX($N$6:$N$12,5),$N$52:$Q$52,0))))</f>
        <v>0</v>
      </c>
      <c r="S74" s="10" t="n">
        <f aca="false">IF(INDEX($N$6:$N$12,1)=INDEX($N$6:$N$12,6),0,Core!$G$83*(1-INDEX($N$53:$Q$56,MATCH(INDEX($N$6:$N$12,1),$M$53:$M$56,0),MATCH(INDEX($N$6:$N$12,6),$N$52:$Q$52,0))))</f>
        <v>0</v>
      </c>
      <c r="T74" s="10" t="n">
        <f aca="false">IF(INDEX($N$6:$N$12,1)=INDEX($N$6:$N$12,7),0,Core!$H$83*(1-INDEX($N$53:$Q$56,MATCH(INDEX($N$6:$N$12,1),$M$53:$M$56,0),MATCH(INDEX($N$6:$N$12,7),$N$52:$Q$52,0))))</f>
        <v>0</v>
      </c>
    </row>
    <row r="75" customFormat="false" ht="15" hidden="false" customHeight="false" outlineLevel="0" collapsed="false">
      <c r="A75" s="4" t="s">
        <v>42</v>
      </c>
      <c r="B75" s="10" t="n">
        <f aca="false">IF(INDEX($B$6:$B$12,6)=INDEX($B$6:$B$12,1),0,Core!$B$88*(1-INDEX($B$50:$D$52,MATCH(INDEX($B$6:$B$12,6),$A$50:$A$52,0),MATCH(INDEX($B$6:$B$12,1),$B$49:$D$49,0))))</f>
        <v>0</v>
      </c>
      <c r="C75" s="10" t="n">
        <f aca="false">IF(INDEX($B$6:$B$12,6)=INDEX($B$6:$B$12,2),0,Core!$C$88*(1-INDEX($B$50:$D$52,MATCH(INDEX($B$6:$B$12,6),$A$50:$A$52,0),MATCH(INDEX($B$6:$B$12,2),$B$49:$D$49,0))))</f>
        <v>0</v>
      </c>
      <c r="D75" s="10" t="n">
        <f aca="false">IF(INDEX($B$6:$B$12,6)=INDEX($B$6:$B$12,3),0,Core!$D$88*(1-INDEX($B$50:$D$52,MATCH(INDEX($B$6:$B$12,6),$A$50:$A$52,0),MATCH(INDEX($B$6:$B$12,3),$B$49:$D$49,0))))</f>
        <v>0</v>
      </c>
      <c r="E75" s="10" t="n">
        <f aca="false">IF(INDEX($B$6:$B$12,6)=INDEX($B$6:$B$12,4),0,Core!$E$88*(1-INDEX($B$50:$D$52,MATCH(INDEX($B$6:$B$12,6),$A$50:$A$52,0),MATCH(INDEX($B$6:$B$12,4),$B$49:$D$49,0))))</f>
        <v>0</v>
      </c>
      <c r="F75" s="10" t="n">
        <f aca="false">IF(INDEX($B$6:$B$12,6)=INDEX($B$6:$B$12,5),0,Core!$F$88*(1-INDEX($B$50:$D$52,MATCH(INDEX($B$6:$B$12,6),$A$50:$A$52,0),MATCH(INDEX($B$6:$B$12,5),$B$49:$D$49,0))))</f>
        <v>0</v>
      </c>
      <c r="G75" s="10" t="n">
        <f aca="false">IF(INDEX($B$6:$B$12,6)=INDEX($B$6:$B$12,6),0,Core!$G$88*(1-INDEX($B$50:$D$52,MATCH(INDEX($B$6:$B$12,6),$A$50:$A$52,0),MATCH(INDEX($B$6:$B$12,6),$B$49:$D$49,0))))</f>
        <v>0</v>
      </c>
      <c r="H75" s="10" t="n">
        <f aca="false">IF(INDEX($B$6:$B$12,6)=INDEX($B$6:$B$12,7),0,Core!$H$88*(1-INDEX($B$50:$D$52,MATCH(INDEX($B$6:$B$12,6),$A$50:$A$52,0),MATCH(INDEX($B$6:$B$12,7),$B$49:$D$49,0))))</f>
        <v>0</v>
      </c>
      <c r="M75" s="4" t="s">
        <v>28</v>
      </c>
      <c r="N75" s="10" t="n">
        <f aca="false">IF(INDEX($N$6:$N$12,2)=INDEX($N$6:$N$12,1),0,Core!$B$84*(1-INDEX($N$53:$Q$56,MATCH(INDEX($N$6:$N$12,2),$M$53:$M$56,0),MATCH(INDEX($N$6:$N$12,1),$N$52:$Q$52,0))))</f>
        <v>0</v>
      </c>
      <c r="O75" s="10" t="n">
        <f aca="false">IF(INDEX($N$6:$N$12,2)=INDEX($N$6:$N$12,2),0,Core!$C$84*(1-INDEX($N$53:$Q$56,MATCH(INDEX($N$6:$N$12,2),$M$53:$M$56,0),MATCH(INDEX($N$6:$N$12,2),$N$52:$Q$52,0))))</f>
        <v>0</v>
      </c>
      <c r="P75" s="10" t="n">
        <f aca="false">IF(INDEX($N$6:$N$12,2)=INDEX($N$6:$N$12,3),0,Core!$D$84*(1-INDEX($N$53:$Q$56,MATCH(INDEX($N$6:$N$12,2),$M$53:$M$56,0),MATCH(INDEX($N$6:$N$12,3),$N$52:$Q$52,0))))</f>
        <v>0</v>
      </c>
      <c r="Q75" s="10" t="n">
        <f aca="false">IF(INDEX($N$6:$N$12,2)=INDEX($N$6:$N$12,4),0,Core!$E$84*(1-INDEX($N$53:$Q$56,MATCH(INDEX($N$6:$N$12,2),$M$53:$M$56,0),MATCH(INDEX($N$6:$N$12,4),$N$52:$Q$52,0))))</f>
        <v>0</v>
      </c>
      <c r="R75" s="10" t="n">
        <f aca="false">IF(INDEX($N$6:$N$12,2)=INDEX($N$6:$N$12,5),0,Core!$F$84*(1-INDEX($N$53:$Q$56,MATCH(INDEX($N$6:$N$12,2),$M$53:$M$56,0),MATCH(INDEX($N$6:$N$12,5),$N$52:$Q$52,0))))</f>
        <v>0</v>
      </c>
      <c r="S75" s="10" t="n">
        <f aca="false">IF(INDEX($N$6:$N$12,2)=INDEX($N$6:$N$12,6),0,Core!$G$84*(1-INDEX($N$53:$Q$56,MATCH(INDEX($N$6:$N$12,2),$M$53:$M$56,0),MATCH(INDEX($N$6:$N$12,6),$N$52:$Q$52,0))))</f>
        <v>0</v>
      </c>
      <c r="T75" s="10" t="n">
        <f aca="false">IF(INDEX($N$6:$N$12,2)=INDEX($N$6:$N$12,7),0,Core!$H$84*(1-INDEX($N$53:$Q$56,MATCH(INDEX($N$6:$N$12,2),$M$53:$M$56,0),MATCH(INDEX($N$6:$N$12,7),$N$52:$Q$52,0))))</f>
        <v>0</v>
      </c>
    </row>
    <row r="76" customFormat="false" ht="15" hidden="false" customHeight="false" outlineLevel="0" collapsed="false">
      <c r="A76" s="4" t="s">
        <v>46</v>
      </c>
      <c r="B76" s="10" t="n">
        <f aca="false">IF(INDEX($B$6:$B$12,7)=INDEX($B$6:$B$12,1),0,Core!$B$89*(1-INDEX($B$50:$D$52,MATCH(INDEX($B$6:$B$12,7),$A$50:$A$52,0),MATCH(INDEX($B$6:$B$12,1),$B$49:$D$49,0))))</f>
        <v>0</v>
      </c>
      <c r="C76" s="10" t="n">
        <f aca="false">IF(INDEX($B$6:$B$12,7)=INDEX($B$6:$B$12,2),0,Core!$C$89*(1-INDEX($B$50:$D$52,MATCH(INDEX($B$6:$B$12,7),$A$50:$A$52,0),MATCH(INDEX($B$6:$B$12,2),$B$49:$D$49,0))))</f>
        <v>0</v>
      </c>
      <c r="D76" s="10" t="n">
        <f aca="false">IF(INDEX($B$6:$B$12,7)=INDEX($B$6:$B$12,3),0,Core!$D$89*(1-INDEX($B$50:$D$52,MATCH(INDEX($B$6:$B$12,7),$A$50:$A$52,0),MATCH(INDEX($B$6:$B$12,3),$B$49:$D$49,0))))</f>
        <v>0</v>
      </c>
      <c r="E76" s="10" t="n">
        <f aca="false">IF(INDEX($B$6:$B$12,7)=INDEX($B$6:$B$12,4),0,Core!$E$89*(1-INDEX($B$50:$D$52,MATCH(INDEX($B$6:$B$12,7),$A$50:$A$52,0),MATCH(INDEX($B$6:$B$12,4),$B$49:$D$49,0))))</f>
        <v>0</v>
      </c>
      <c r="F76" s="10" t="n">
        <f aca="false">IF(INDEX($B$6:$B$12,7)=INDEX($B$6:$B$12,5),0,Core!$F$89*(1-INDEX($B$50:$D$52,MATCH(INDEX($B$6:$B$12,7),$A$50:$A$52,0),MATCH(INDEX($B$6:$B$12,5),$B$49:$D$49,0))))</f>
        <v>0</v>
      </c>
      <c r="G76" s="10" t="n">
        <f aca="false">IF(INDEX($B$6:$B$12,7)=INDEX($B$6:$B$12,6),0,Core!$G$89*(1-INDEX($B$50:$D$52,MATCH(INDEX($B$6:$B$12,7),$A$50:$A$52,0),MATCH(INDEX($B$6:$B$12,6),$B$49:$D$49,0))))</f>
        <v>0</v>
      </c>
      <c r="H76" s="10" t="n">
        <f aca="false">IF(INDEX($B$6:$B$12,7)=INDEX($B$6:$B$12,7),0,Core!$H$89*(1-INDEX($B$50:$D$52,MATCH(INDEX($B$6:$B$12,7),$A$50:$A$52,0),MATCH(INDEX($B$6:$B$12,7),$B$49:$D$49,0))))</f>
        <v>0</v>
      </c>
      <c r="M76" s="4" t="s">
        <v>32</v>
      </c>
      <c r="N76" s="10" t="n">
        <f aca="false">IF(INDEX($N$6:$N$12,3)=INDEX($N$6:$N$12,1),0,Core!$B$85*(1-INDEX($N$53:$Q$56,MATCH(INDEX($N$6:$N$12,3),$M$53:$M$56,0),MATCH(INDEX($N$6:$N$12,1),$N$52:$Q$52,0))))</f>
        <v>0</v>
      </c>
      <c r="O76" s="10" t="n">
        <f aca="false">IF(INDEX($N$6:$N$12,3)=INDEX($N$6:$N$12,2),0,Core!$C$85*(1-INDEX($N$53:$Q$56,MATCH(INDEX($N$6:$N$12,3),$M$53:$M$56,0),MATCH(INDEX($N$6:$N$12,2),$N$52:$Q$52,0))))</f>
        <v>0</v>
      </c>
      <c r="P76" s="10" t="n">
        <f aca="false">IF(INDEX($N$6:$N$12,3)=INDEX($N$6:$N$12,3),0,Core!$D$85*(1-INDEX($N$53:$Q$56,MATCH(INDEX($N$6:$N$12,3),$M$53:$M$56,0),MATCH(INDEX($N$6:$N$12,3),$N$52:$Q$52,0))))</f>
        <v>0</v>
      </c>
      <c r="Q76" s="10" t="n">
        <f aca="false">IF(INDEX($N$6:$N$12,3)=INDEX($N$6:$N$12,4),0,Core!$E$85*(1-INDEX($N$53:$Q$56,MATCH(INDEX($N$6:$N$12,3),$M$53:$M$56,0),MATCH(INDEX($N$6:$N$12,4),$N$52:$Q$52,0))))</f>
        <v>0</v>
      </c>
      <c r="R76" s="10" t="n">
        <f aca="false">IF(INDEX($N$6:$N$12,3)=INDEX($N$6:$N$12,5),0,Core!$F$85*(1-INDEX($N$53:$Q$56,MATCH(INDEX($N$6:$N$12,3),$M$53:$M$56,0),MATCH(INDEX($N$6:$N$12,5),$N$52:$Q$52,0))))</f>
        <v>0</v>
      </c>
      <c r="S76" s="10" t="n">
        <f aca="false">IF(INDEX($N$6:$N$12,3)=INDEX($N$6:$N$12,6),0,Core!$G$85*(1-INDEX($N$53:$Q$56,MATCH(INDEX($N$6:$N$12,3),$M$53:$M$56,0),MATCH(INDEX($N$6:$N$12,6),$N$52:$Q$52,0))))</f>
        <v>0</v>
      </c>
      <c r="T76" s="10" t="n">
        <f aca="false">IF(INDEX($N$6:$N$12,3)=INDEX($N$6:$N$12,7),0,Core!$H$85*(1-INDEX($N$53:$Q$56,MATCH(INDEX($N$6:$N$12,3),$M$53:$M$56,0),MATCH(INDEX($N$6:$N$12,7),$N$52:$Q$52,0))))</f>
        <v>0</v>
      </c>
    </row>
    <row r="77" customFormat="false" ht="15" hidden="false" customHeight="false" outlineLevel="0" collapsed="false">
      <c r="M77" s="4" t="s">
        <v>37</v>
      </c>
      <c r="N77" s="10" t="n">
        <f aca="false">IF(INDEX($N$6:$N$12,4)=INDEX($N$6:$N$12,1),0,Core!$B$86*(1-INDEX($N$53:$Q$56,MATCH(INDEX($N$6:$N$12,4),$M$53:$M$56,0),MATCH(INDEX($N$6:$N$12,1),$N$52:$Q$52,0))))</f>
        <v>0</v>
      </c>
      <c r="O77" s="10" t="n">
        <f aca="false">IF(INDEX($N$6:$N$12,4)=INDEX($N$6:$N$12,2),0,Core!$C$86*(1-INDEX($N$53:$Q$56,MATCH(INDEX($N$6:$N$12,4),$M$53:$M$56,0),MATCH(INDEX($N$6:$N$12,2),$N$52:$Q$52,0))))</f>
        <v>0</v>
      </c>
      <c r="P77" s="10" t="n">
        <f aca="false">IF(INDEX($N$6:$N$12,4)=INDEX($N$6:$N$12,3),0,Core!$D$86*(1-INDEX($N$53:$Q$56,MATCH(INDEX($N$6:$N$12,4),$M$53:$M$56,0),MATCH(INDEX($N$6:$N$12,3),$N$52:$Q$52,0))))</f>
        <v>0</v>
      </c>
      <c r="Q77" s="10" t="n">
        <f aca="false">IF(INDEX($N$6:$N$12,4)=INDEX($N$6:$N$12,4),0,Core!$E$86*(1-INDEX($N$53:$Q$56,MATCH(INDEX($N$6:$N$12,4),$M$53:$M$56,0),MATCH(INDEX($N$6:$N$12,4),$N$52:$Q$52,0))))</f>
        <v>0</v>
      </c>
      <c r="R77" s="10" t="n">
        <f aca="false">IF(INDEX($N$6:$N$12,4)=INDEX($N$6:$N$12,5),0,Core!$F$86*(1-INDEX($N$53:$Q$56,MATCH(INDEX($N$6:$N$12,4),$M$53:$M$56,0),MATCH(INDEX($N$6:$N$12,5),$N$52:$Q$52,0))))</f>
        <v>0</v>
      </c>
      <c r="S77" s="10" t="n">
        <f aca="false">IF(INDEX($N$6:$N$12,4)=INDEX($N$6:$N$12,6),0,Core!$G$86*(1-INDEX($N$53:$Q$56,MATCH(INDEX($N$6:$N$12,4),$M$53:$M$56,0),MATCH(INDEX($N$6:$N$12,6),$N$52:$Q$52,0))))</f>
        <v>0</v>
      </c>
      <c r="T77" s="10" t="n">
        <f aca="false">IF(INDEX($N$6:$N$12,4)=INDEX($N$6:$N$12,7),0,Core!$H$86*(1-INDEX($N$53:$Q$56,MATCH(INDEX($N$6:$N$12,4),$M$53:$M$56,0),MATCH(INDEX($N$6:$N$12,7),$N$52:$Q$52,0))))</f>
        <v>0</v>
      </c>
    </row>
    <row r="78" customFormat="false" ht="15" hidden="false" customHeight="false" outlineLevel="0" collapsed="false">
      <c r="M78" s="4" t="s">
        <v>40</v>
      </c>
      <c r="N78" s="10" t="n">
        <f aca="false">IF(INDEX($N$6:$N$12,5)=INDEX($N$6:$N$12,1),0,Core!$B$87*(1-INDEX($N$53:$Q$56,MATCH(INDEX($N$6:$N$12,5),$M$53:$M$56,0),MATCH(INDEX($N$6:$N$12,1),$N$52:$Q$52,0))))</f>
        <v>0</v>
      </c>
      <c r="O78" s="10" t="n">
        <f aca="false">IF(INDEX($N$6:$N$12,5)=INDEX($N$6:$N$12,2),0,Core!$C$87*(1-INDEX($N$53:$Q$56,MATCH(INDEX($N$6:$N$12,5),$M$53:$M$56,0),MATCH(INDEX($N$6:$N$12,2),$N$52:$Q$52,0))))</f>
        <v>0</v>
      </c>
      <c r="P78" s="10" t="n">
        <f aca="false">IF(INDEX($N$6:$N$12,5)=INDEX($N$6:$N$12,3),0,Core!$D$87*(1-INDEX($N$53:$Q$56,MATCH(INDEX($N$6:$N$12,5),$M$53:$M$56,0),MATCH(INDEX($N$6:$N$12,3),$N$52:$Q$52,0))))</f>
        <v>0</v>
      </c>
      <c r="Q78" s="10" t="n">
        <f aca="false">IF(INDEX($N$6:$N$12,5)=INDEX($N$6:$N$12,4),0,Core!$E$87*(1-INDEX($N$53:$Q$56,MATCH(INDEX($N$6:$N$12,5),$M$53:$M$56,0),MATCH(INDEX($N$6:$N$12,4),$N$52:$Q$52,0))))</f>
        <v>0</v>
      </c>
      <c r="R78" s="10" t="n">
        <f aca="false">IF(INDEX($N$6:$N$12,5)=INDEX($N$6:$N$12,5),0,Core!$F$87*(1-INDEX($N$53:$Q$56,MATCH(INDEX($N$6:$N$12,5),$M$53:$M$56,0),MATCH(INDEX($N$6:$N$12,5),$N$52:$Q$52,0))))</f>
        <v>0</v>
      </c>
      <c r="S78" s="10" t="n">
        <f aca="false">IF(INDEX($N$6:$N$12,5)=INDEX($N$6:$N$12,6),0,Core!$G$87*(1-INDEX($N$53:$Q$56,MATCH(INDEX($N$6:$N$12,5),$M$53:$M$56,0),MATCH(INDEX($N$6:$N$12,6),$N$52:$Q$52,0))))</f>
        <v>0</v>
      </c>
      <c r="T78" s="10" t="n">
        <f aca="false">IF(INDEX($N$6:$N$12,5)=INDEX($N$6:$N$12,7),0,Core!$H$87*(1-INDEX($N$53:$Q$56,MATCH(INDEX($N$6:$N$12,5),$M$53:$M$56,0),MATCH(INDEX($N$6:$N$12,7),$N$52:$Q$52,0))))</f>
        <v>0</v>
      </c>
    </row>
    <row r="79" customFormat="false" ht="15" hidden="false" customHeight="false" outlineLevel="0" collapsed="false">
      <c r="M79" s="4" t="s">
        <v>42</v>
      </c>
      <c r="N79" s="10" t="n">
        <f aca="false">IF(INDEX($N$6:$N$12,6)=INDEX($N$6:$N$12,1),0,Core!$B$88*(1-INDEX($N$53:$Q$56,MATCH(INDEX($N$6:$N$12,6),$M$53:$M$56,0),MATCH(INDEX($N$6:$N$12,1),$N$52:$Q$52,0))))</f>
        <v>0</v>
      </c>
      <c r="O79" s="10" t="n">
        <f aca="false">IF(INDEX($N$6:$N$12,6)=INDEX($N$6:$N$12,2),0,Core!$C$88*(1-INDEX($N$53:$Q$56,MATCH(INDEX($N$6:$N$12,6),$M$53:$M$56,0),MATCH(INDEX($N$6:$N$12,2),$N$52:$Q$52,0))))</f>
        <v>0</v>
      </c>
      <c r="P79" s="10" t="n">
        <f aca="false">IF(INDEX($N$6:$N$12,6)=INDEX($N$6:$N$12,3),0,Core!$D$88*(1-INDEX($N$53:$Q$56,MATCH(INDEX($N$6:$N$12,6),$M$53:$M$56,0),MATCH(INDEX($N$6:$N$12,3),$N$52:$Q$52,0))))</f>
        <v>0</v>
      </c>
      <c r="Q79" s="10" t="n">
        <f aca="false">IF(INDEX($N$6:$N$12,6)=INDEX($N$6:$N$12,4),0,Core!$E$88*(1-INDEX($N$53:$Q$56,MATCH(INDEX($N$6:$N$12,6),$M$53:$M$56,0),MATCH(INDEX($N$6:$N$12,4),$N$52:$Q$52,0))))</f>
        <v>0</v>
      </c>
      <c r="R79" s="10" t="n">
        <f aca="false">IF(INDEX($N$6:$N$12,6)=INDEX($N$6:$N$12,5),0,Core!$F$88*(1-INDEX($N$53:$Q$56,MATCH(INDEX($N$6:$N$12,6),$M$53:$M$56,0),MATCH(INDEX($N$6:$N$12,5),$N$52:$Q$52,0))))</f>
        <v>0</v>
      </c>
      <c r="S79" s="10" t="n">
        <f aca="false">IF(INDEX($N$6:$N$12,6)=INDEX($N$6:$N$12,6),0,Core!$G$88*(1-INDEX($N$53:$Q$56,MATCH(INDEX($N$6:$N$12,6),$M$53:$M$56,0),MATCH(INDEX($N$6:$N$12,6),$N$52:$Q$52,0))))</f>
        <v>0</v>
      </c>
      <c r="T79" s="10" t="n">
        <f aca="false">IF(INDEX($N$6:$N$12,6)=INDEX($N$6:$N$12,7),0,Core!$H$88*(1-INDEX($N$53:$Q$56,MATCH(INDEX($N$6:$N$12,6),$M$53:$M$56,0),MATCH(INDEX($N$6:$N$12,7),$N$52:$Q$52,0))))</f>
        <v>0</v>
      </c>
    </row>
    <row r="80" customFormat="false" ht="15" hidden="false" customHeight="false" outlineLevel="0" collapsed="false">
      <c r="A80" s="4" t="s">
        <v>666</v>
      </c>
      <c r="M80" s="4" t="s">
        <v>46</v>
      </c>
      <c r="N80" s="10" t="n">
        <f aca="false">IF(INDEX($N$6:$N$12,7)=INDEX($N$6:$N$12,1),0,Core!$B$89*(1-INDEX($N$53:$Q$56,MATCH(INDEX($N$6:$N$12,7),$M$53:$M$56,0),MATCH(INDEX($N$6:$N$12,1),$N$52:$Q$52,0))))</f>
        <v>0</v>
      </c>
      <c r="O80" s="10" t="n">
        <f aca="false">IF(INDEX($N$6:$N$12,7)=INDEX($N$6:$N$12,2),0,Core!$C$89*(1-INDEX($N$53:$Q$56,MATCH(INDEX($N$6:$N$12,7),$M$53:$M$56,0),MATCH(INDEX($N$6:$N$12,2),$N$52:$Q$52,0))))</f>
        <v>0</v>
      </c>
      <c r="P80" s="10" t="n">
        <f aca="false">IF(INDEX($N$6:$N$12,7)=INDEX($N$6:$N$12,3),0,Core!$D$89*(1-INDEX($N$53:$Q$56,MATCH(INDEX($N$6:$N$12,7),$M$53:$M$56,0),MATCH(INDEX($N$6:$N$12,3),$N$52:$Q$52,0))))</f>
        <v>0</v>
      </c>
      <c r="Q80" s="10" t="n">
        <f aca="false">IF(INDEX($N$6:$N$12,7)=INDEX($N$6:$N$12,4),0,Core!$E$89*(1-INDEX($N$53:$Q$56,MATCH(INDEX($N$6:$N$12,7),$M$53:$M$56,0),MATCH(INDEX($N$6:$N$12,4),$N$52:$Q$52,0))))</f>
        <v>0</v>
      </c>
      <c r="R80" s="10" t="n">
        <f aca="false">IF(INDEX($N$6:$N$12,7)=INDEX($N$6:$N$12,5),0,Core!$F$89*(1-INDEX($N$53:$Q$56,MATCH(INDEX($N$6:$N$12,7),$M$53:$M$56,0),MATCH(INDEX($N$6:$N$12,5),$N$52:$Q$52,0))))</f>
        <v>0</v>
      </c>
      <c r="S80" s="10" t="n">
        <f aca="false">IF(INDEX($N$6:$N$12,7)=INDEX($N$6:$N$12,6),0,Core!$G$89*(1-INDEX($N$53:$Q$56,MATCH(INDEX($N$6:$N$12,7),$M$53:$M$56,0),MATCH(INDEX($N$6:$N$12,6),$N$52:$Q$52,0))))</f>
        <v>0</v>
      </c>
      <c r="T80" s="10" t="n">
        <f aca="false">IF(INDEX($N$6:$N$12,7)=INDEX($N$6:$N$12,7),0,Core!$H$89*(1-INDEX($N$53:$Q$56,MATCH(INDEX($N$6:$N$12,7),$M$53:$M$56,0),MATCH(INDEX($N$6:$N$12,7),$N$52:$Q$52,0))))</f>
        <v>0</v>
      </c>
    </row>
    <row r="81" customFormat="false" ht="15" hidden="false" customHeight="false" outlineLevel="0" collapsed="false">
      <c r="A81" s="8"/>
      <c r="B81" s="8" t="s">
        <v>37</v>
      </c>
      <c r="C81" s="8" t="s">
        <v>40</v>
      </c>
      <c r="D81" s="8" t="s">
        <v>32</v>
      </c>
    </row>
    <row r="82" customFormat="false" ht="15" hidden="false" customHeight="false" outlineLevel="0" collapsed="false">
      <c r="A82" s="4" t="s">
        <v>42</v>
      </c>
      <c r="B82" s="10" t="n">
        <f aca="false">Core!$E$142</f>
        <v>1</v>
      </c>
      <c r="C82" s="10" t="n">
        <f aca="false">Core!$F$142</f>
        <v>1</v>
      </c>
      <c r="D82" s="10" t="str">
        <f aca="false">Core!$D$142</f>
        <v>none</v>
      </c>
      <c r="H82" s="2" t="s">
        <v>667</v>
      </c>
      <c r="I82" s="10" t="n">
        <f aca="false">$C$52</f>
        <v>1</v>
      </c>
      <c r="J82" s="9" t="s">
        <v>668</v>
      </c>
    </row>
    <row r="83" customFormat="false" ht="15" hidden="false" customHeight="false" outlineLevel="0" collapsed="false">
      <c r="A83" s="4" t="s">
        <v>46</v>
      </c>
      <c r="B83" s="10" t="n">
        <f aca="false">Core!$E$143</f>
        <v>1</v>
      </c>
      <c r="C83" s="10" t="n">
        <f aca="false">Core!$F$143</f>
        <v>1</v>
      </c>
      <c r="D83" s="10" t="str">
        <f aca="false">Core!$D$143</f>
        <v>none</v>
      </c>
      <c r="H83" s="2" t="s">
        <v>669</v>
      </c>
      <c r="I83" s="10" t="n">
        <f aca="false">SUM(B93:D93)</f>
        <v>2</v>
      </c>
      <c r="J83" s="9" t="s">
        <v>670</v>
      </c>
    </row>
    <row r="84" customFormat="false" ht="15" hidden="false" customHeight="false" outlineLevel="0" collapsed="false">
      <c r="A84" s="4" t="s">
        <v>28</v>
      </c>
      <c r="B84" s="10" t="n">
        <f aca="false">Core!$E$138</f>
        <v>2</v>
      </c>
      <c r="C84" s="10" t="n">
        <f aca="false">Core!$F$138</f>
        <v>1</v>
      </c>
      <c r="D84" s="10" t="str">
        <f aca="false">Core!$D$138</f>
        <v>none</v>
      </c>
      <c r="H84" s="2" t="s">
        <v>671</v>
      </c>
      <c r="I84" s="10" t="n">
        <f aca="false">SUM($D$89:$D$91)</f>
        <v>0</v>
      </c>
      <c r="J84" s="9" t="s">
        <v>672</v>
      </c>
    </row>
    <row r="85" customFormat="false" ht="15" hidden="false" customHeight="false" outlineLevel="0" collapsed="false">
      <c r="H85" s="2" t="s">
        <v>673</v>
      </c>
      <c r="I85" s="10" t="n">
        <f aca="false">SUM($B$59:$H$65)</f>
        <v>7</v>
      </c>
      <c r="J85" s="9" t="s">
        <v>674</v>
      </c>
    </row>
    <row r="86" customFormat="false" ht="15" hidden="false" customHeight="false" outlineLevel="0" collapsed="false">
      <c r="H86" s="2" t="s">
        <v>675</v>
      </c>
      <c r="I86" s="10" t="n">
        <f aca="false">SUM($B$70:$H$76)</f>
        <v>0</v>
      </c>
      <c r="J86" s="9" t="s">
        <v>676</v>
      </c>
    </row>
    <row r="87" customFormat="false" ht="15" hidden="false" customHeight="false" outlineLevel="0" collapsed="false">
      <c r="A87" s="4" t="s">
        <v>677</v>
      </c>
      <c r="H87" s="2" t="s">
        <v>678</v>
      </c>
      <c r="I87" s="10" t="n">
        <f aca="false">SUM($N$63:$T$69)</f>
        <v>0</v>
      </c>
      <c r="J87" s="9" t="s">
        <v>679</v>
      </c>
    </row>
    <row r="88" customFormat="false" ht="15" hidden="false" customHeight="false" outlineLevel="0" collapsed="false">
      <c r="A88" s="8"/>
      <c r="B88" s="8" t="s">
        <v>37</v>
      </c>
      <c r="C88" s="8" t="s">
        <v>40</v>
      </c>
      <c r="D88" s="8" t="s">
        <v>32</v>
      </c>
      <c r="H88" s="2" t="s">
        <v>680</v>
      </c>
      <c r="I88" s="10" t="n">
        <f aca="false">SUM($N$74:$T$80)</f>
        <v>0</v>
      </c>
      <c r="J88" s="9" t="s">
        <v>185</v>
      </c>
    </row>
    <row r="89" customFormat="false" ht="15" hidden="false" customHeight="false" outlineLevel="0" collapsed="false">
      <c r="A89" s="4" t="s">
        <v>42</v>
      </c>
      <c r="B89" s="10" t="n">
        <f aca="false">Core!$E$88</f>
        <v>1</v>
      </c>
      <c r="C89" s="10" t="n">
        <f aca="false">Core!$F$88</f>
        <v>1</v>
      </c>
      <c r="D89" s="10" t="n">
        <f aca="false">Core!$D$88</f>
        <v>0</v>
      </c>
      <c r="H89" s="2" t="s">
        <v>681</v>
      </c>
      <c r="I89" s="10" t="n">
        <f aca="false">COUNTIFS(Arr_from,"IND",Arr_to,"DIG")+COUNTIFS(Arr_from,"DIG",Arr_to,"IND")+COUNTIFS(Arr_from,"IND",Arr_to,"MAT")+COUNTIFS(Arr_from,"MAT",Arr_to,"IND")+COUNTIFS(Arr_from,"DIG",Arr_to,"MAT")+COUNTIFS(Arr_from,"MAT",Arr_to,"DIG")</f>
        <v>0</v>
      </c>
      <c r="J89" s="9" t="s">
        <v>682</v>
      </c>
    </row>
    <row r="90" customFormat="false" ht="15" hidden="false" customHeight="false" outlineLevel="0" collapsed="false">
      <c r="A90" s="4" t="s">
        <v>46</v>
      </c>
      <c r="B90" s="10" t="n">
        <f aca="false">Core!$E$89</f>
        <v>1</v>
      </c>
      <c r="C90" s="10" t="n">
        <f aca="false">Core!$F$89</f>
        <v>1</v>
      </c>
      <c r="D90" s="10" t="n">
        <f aca="false">Core!$D$89</f>
        <v>0</v>
      </c>
    </row>
    <row r="91" customFormat="false" ht="15" hidden="false" customHeight="false" outlineLevel="0" collapsed="false">
      <c r="A91" s="4" t="s">
        <v>28</v>
      </c>
      <c r="B91" s="10" t="n">
        <f aca="false">Core!$E$84</f>
        <v>1</v>
      </c>
      <c r="C91" s="10" t="n">
        <f aca="false">Core!$F$84</f>
        <v>1</v>
      </c>
      <c r="D91" s="10" t="n">
        <f aca="false">Core!$D$84</f>
        <v>0</v>
      </c>
    </row>
    <row r="93" customFormat="false" ht="15" hidden="false" customHeight="false" outlineLevel="0" collapsed="false">
      <c r="A93" s="4" t="s">
        <v>683</v>
      </c>
      <c r="B93" s="10" t="n">
        <f aca="false">SIGN(SUM($B$89:$B$91))</f>
        <v>1</v>
      </c>
      <c r="C93" s="10" t="n">
        <f aca="false">SIGN(SUM($C$89:$C$91))</f>
        <v>1</v>
      </c>
      <c r="D93" s="10" t="n">
        <f aca="false">SIGN(SUM($D$89:$D$91))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9"/>
    <col collapsed="false" customWidth="true" hidden="false" outlineLevel="0" max="10" min="10" style="0" width="10"/>
    <col collapsed="false" customWidth="true" hidden="false" outlineLevel="0" max="11" min="11" style="0" width="48"/>
    <col collapsed="false" customWidth="true" hidden="false" outlineLevel="0" max="12" min="12" style="0" width="9"/>
    <col collapsed="false" customWidth="true" hidden="false" outlineLevel="0" max="13" min="13" style="0" width="40"/>
    <col collapsed="false" customWidth="true" hidden="false" outlineLevel="0" max="14" min="14" style="0" width="3"/>
    <col collapsed="false" customWidth="true" hidden="false" outlineLevel="0" max="15" min="15" style="0" width="7"/>
    <col collapsed="false" customWidth="true" hidden="false" outlineLevel="0" max="16" min="16" style="0" width="8"/>
    <col collapsed="false" customWidth="true" hidden="false" outlineLevel="0" max="17" min="17" style="0" width="12"/>
    <col collapsed="false" customWidth="true" hidden="false" outlineLevel="0" max="18" min="18" style="0" width="44"/>
    <col collapsed="false" customWidth="true" hidden="false" outlineLevel="0" max="22" min="19" style="0" width="12"/>
  </cols>
  <sheetData>
    <row r="1" customFormat="false" ht="15" hidden="false" customHeight="false" outlineLevel="0" collapsed="false">
      <c r="A1" s="1" t="s">
        <v>684</v>
      </c>
    </row>
    <row r="2" customFormat="false" ht="15" hidden="false" customHeight="false" outlineLevel="0" collapsed="false">
      <c r="A2" s="9" t="s">
        <v>685</v>
      </c>
    </row>
    <row r="4" customFormat="false" ht="15" hidden="false" customHeight="false" outlineLevel="0" collapsed="false">
      <c r="A4" s="4" t="s">
        <v>686</v>
      </c>
      <c r="O4" s="4" t="s">
        <v>687</v>
      </c>
      <c r="S4" s="4" t="s">
        <v>688</v>
      </c>
    </row>
    <row r="5" customFormat="false" ht="15" hidden="false" customHeight="false" outlineLevel="0" collapsed="false">
      <c r="A5" s="8"/>
      <c r="B5" s="8" t="s">
        <v>23</v>
      </c>
      <c r="C5" s="8" t="s">
        <v>28</v>
      </c>
      <c r="D5" s="8" t="s">
        <v>32</v>
      </c>
      <c r="E5" s="8" t="s">
        <v>37</v>
      </c>
      <c r="F5" s="8" t="s">
        <v>40</v>
      </c>
      <c r="G5" s="8" t="s">
        <v>42</v>
      </c>
      <c r="H5" s="8" t="s">
        <v>46</v>
      </c>
      <c r="O5" s="8" t="s">
        <v>689</v>
      </c>
      <c r="P5" s="8" t="s">
        <v>690</v>
      </c>
      <c r="Q5" s="8" t="s">
        <v>691</v>
      </c>
      <c r="S5" s="8" t="s">
        <v>692</v>
      </c>
      <c r="T5" s="8" t="s">
        <v>690</v>
      </c>
      <c r="U5" s="8" t="s">
        <v>693</v>
      </c>
      <c r="V5" s="8" t="s">
        <v>694</v>
      </c>
    </row>
    <row r="6" customFormat="false" ht="15" hidden="false" customHeight="false" outlineLevel="0" collapsed="false">
      <c r="A6" s="4" t="s">
        <v>695</v>
      </c>
      <c r="B6" s="10" t="n">
        <f aca="false">Declarations!B36</f>
        <v>0</v>
      </c>
      <c r="C6" s="10" t="n">
        <f aca="false">Declarations!C36</f>
        <v>0</v>
      </c>
      <c r="D6" s="10" t="n">
        <f aca="false">Declarations!D36</f>
        <v>0</v>
      </c>
      <c r="E6" s="10" t="n">
        <f aca="false">Declarations!E36</f>
        <v>0</v>
      </c>
      <c r="F6" s="10" t="n">
        <f aca="false">Declarations!F36</f>
        <v>0</v>
      </c>
      <c r="G6" s="10" t="n">
        <f aca="false">Declarations!G36</f>
        <v>0</v>
      </c>
      <c r="H6" s="10" t="n">
        <f aca="false">Declarations!H36</f>
        <v>1</v>
      </c>
      <c r="K6" s="2" t="s">
        <v>696</v>
      </c>
      <c r="L6" s="10" t="n">
        <f aca="false">SUM($B$15:$H$21)/2</f>
        <v>4</v>
      </c>
      <c r="M6" s="9" t="s">
        <v>697</v>
      </c>
      <c r="O6" s="10" t="n">
        <v>0</v>
      </c>
      <c r="P6" s="17" t="n">
        <f aca="false">O6/12</f>
        <v>0</v>
      </c>
      <c r="Q6" s="14" t="n">
        <f aca="false">Risk_target+(Risk_start-Risk_target)*EXP(-Risk_speed*P6)+Trough_depth*(P6/Trough_time)*EXP(1-P6/Trough_time)</f>
        <v>64</v>
      </c>
      <c r="S6" s="10" t="n">
        <v>0</v>
      </c>
      <c r="T6" s="18" t="n">
        <f aca="false">(MATCH(MAX($Q$6:$Q$66),$Q$6:$Q$66,0)-1)/12</f>
        <v>0.916666666666667</v>
      </c>
      <c r="U6" s="19" t="n">
        <f aca="false">-Risk_speed*(Risk_start-Risk_target)*EXP(-Risk_speed*T6)+Trough_depth/Trough_time*EXP(1-T6/Trough_time)*(1-T6/Trough_time)</f>
        <v>-0.115582393938262</v>
      </c>
      <c r="V6" s="14" t="n">
        <f aca="false">Risk_speed^2*(Risk_start-Risk_target)*EXP(-Risk_speed*T6)-Trough_depth/Trough_time^2*EXP(1-T6/Trough_time)*(2-T6/Trough_time)</f>
        <v>-13.7767287413722</v>
      </c>
    </row>
    <row r="7" customFormat="false" ht="15" hidden="false" customHeight="false" outlineLevel="0" collapsed="false">
      <c r="A7" s="4" t="s">
        <v>698</v>
      </c>
      <c r="B7" s="10" t="n">
        <f aca="false">Declarations!B37</f>
        <v>0</v>
      </c>
      <c r="C7" s="10" t="n">
        <f aca="false">Declarations!C37</f>
        <v>0</v>
      </c>
      <c r="D7" s="10" t="n">
        <f aca="false">Declarations!D37</f>
        <v>0</v>
      </c>
      <c r="E7" s="10" t="n">
        <f aca="false">Declarations!E37</f>
        <v>0</v>
      </c>
      <c r="F7" s="10" t="n">
        <f aca="false">Declarations!F37</f>
        <v>0</v>
      </c>
      <c r="G7" s="10" t="n">
        <f aca="false">Declarations!G37</f>
        <v>0</v>
      </c>
      <c r="H7" s="10" t="n">
        <f aca="false">Declarations!H37</f>
        <v>1</v>
      </c>
      <c r="K7" s="2" t="s">
        <v>699</v>
      </c>
      <c r="L7" s="10" t="n">
        <f aca="false">SUMPRODUCT(1/J59:J65)</f>
        <v>4</v>
      </c>
      <c r="M7" s="9" t="s">
        <v>700</v>
      </c>
      <c r="O7" s="10" t="n">
        <v>1</v>
      </c>
      <c r="P7" s="17" t="n">
        <f aca="false">O7/12</f>
        <v>0.0833333333333333</v>
      </c>
      <c r="Q7" s="14" t="n">
        <f aca="false">Risk_target+(Risk_start-Risk_target)*EXP(-Risk_speed*P7)+Trough_depth*(P7/Trough_time)*EXP(1-P7/Trough_time)</f>
        <v>66.0392847793643</v>
      </c>
      <c r="S7" s="10" t="n">
        <v>1</v>
      </c>
      <c r="T7" s="18" t="n">
        <f aca="false">T6-U6/V6</f>
        <v>0.908276983157027</v>
      </c>
      <c r="U7" s="19" t="n">
        <f aca="false">-Risk_speed*(Risk_start-Risk_target)*EXP(-Risk_speed*T7)+Trough_depth/Trough_time*EXP(1-T7/Trough_time)*(1-T7/Trough_time)</f>
        <v>0.000789798542721432</v>
      </c>
      <c r="V7" s="14" t="n">
        <f aca="false">Risk_speed^2*(Risk_start-Risk_target)*EXP(-Risk_speed*T7)-Trough_depth/Trough_time^2*EXP(1-T7/Trough_time)*(2-T7/Trough_time)</f>
        <v>-13.9653305970013</v>
      </c>
    </row>
    <row r="8" customFormat="false" ht="15" hidden="false" customHeight="false" outlineLevel="0" collapsed="false">
      <c r="A8" s="4" t="s">
        <v>74</v>
      </c>
      <c r="B8" s="10" t="n">
        <f aca="false">Declarations!B38</f>
        <v>0</v>
      </c>
      <c r="C8" s="10" t="n">
        <f aca="false">Declarations!C38</f>
        <v>0</v>
      </c>
      <c r="D8" s="10" t="n">
        <f aca="false">Declarations!D38</f>
        <v>0</v>
      </c>
      <c r="E8" s="10" t="n">
        <f aca="false">Declarations!E38</f>
        <v>1</v>
      </c>
      <c r="F8" s="10" t="n">
        <f aca="false">Declarations!F38</f>
        <v>0</v>
      </c>
      <c r="G8" s="10" t="n">
        <f aca="false">Declarations!G38</f>
        <v>0</v>
      </c>
      <c r="H8" s="10" t="n">
        <f aca="false">Declarations!H38</f>
        <v>0</v>
      </c>
      <c r="K8" s="2" t="s">
        <v>701</v>
      </c>
      <c r="L8" s="10" t="n">
        <f aca="false">L6-Wiring!$L$6+L7</f>
        <v>1</v>
      </c>
      <c r="M8" s="9" t="s">
        <v>702</v>
      </c>
      <c r="O8" s="10" t="n">
        <v>2</v>
      </c>
      <c r="P8" s="17" t="n">
        <f aca="false">O8/12</f>
        <v>0.166666666666667</v>
      </c>
      <c r="Q8" s="14" t="n">
        <f aca="false">Risk_target+(Risk_start-Risk_target)*EXP(-Risk_speed*P8)+Trough_depth*(P8/Trough_time)*EXP(1-P8/Trough_time)</f>
        <v>67.7617339192001</v>
      </c>
      <c r="S8" s="10" t="n">
        <v>2</v>
      </c>
      <c r="T8" s="18" t="n">
        <f aca="false">T7-U7/V7</f>
        <v>0.908333537388754</v>
      </c>
      <c r="U8" s="19" t="n">
        <f aca="false">-Risk_speed*(Risk_start-Risk_target)*EXP(-Risk_speed*T8)+Trough_depth/Trough_time*EXP(1-T8/Trough_time)*(1-T8/Trough_time)</f>
        <v>3.61344958399457E-008</v>
      </c>
      <c r="V8" s="14" t="n">
        <f aca="false">Risk_speed^2*(Risk_start-Risk_target)*EXP(-Risk_speed*T8)-Trough_depth/Trough_time^2*EXP(1-T8/Trough_time)*(2-T8/Trough_time)</f>
        <v>-13.9640527411795</v>
      </c>
    </row>
    <row r="9" customFormat="false" ht="15" hidden="false" customHeight="false" outlineLevel="0" collapsed="false">
      <c r="A9" s="4" t="s">
        <v>76</v>
      </c>
      <c r="B9" s="10" t="n">
        <f aca="false">Declarations!B39</f>
        <v>0</v>
      </c>
      <c r="C9" s="10" t="n">
        <f aca="false">Declarations!C39</f>
        <v>0</v>
      </c>
      <c r="D9" s="10" t="n">
        <f aca="false">Declarations!D39</f>
        <v>1</v>
      </c>
      <c r="E9" s="10" t="n">
        <f aca="false">Declarations!E39</f>
        <v>1</v>
      </c>
      <c r="F9" s="10" t="n">
        <f aca="false">Declarations!F39</f>
        <v>1</v>
      </c>
      <c r="G9" s="10" t="n">
        <f aca="false">Declarations!G39</f>
        <v>0</v>
      </c>
      <c r="H9" s="10" t="n">
        <f aca="false">Declarations!H39</f>
        <v>0</v>
      </c>
      <c r="K9" s="2" t="s">
        <v>703</v>
      </c>
      <c r="L9" s="10" t="n">
        <f aca="false">L8</f>
        <v>1</v>
      </c>
      <c r="M9" s="9" t="s">
        <v>704</v>
      </c>
      <c r="O9" s="10" t="n">
        <v>3</v>
      </c>
      <c r="P9" s="17" t="n">
        <f aca="false">O9/12</f>
        <v>0.25</v>
      </c>
      <c r="Q9" s="14" t="n">
        <f aca="false">Risk_target+(Risk_start-Risk_target)*EXP(-Risk_speed*P9)+Trough_depth*(P9/Trough_time)*EXP(1-P9/Trough_time)</f>
        <v>69.200179229987</v>
      </c>
      <c r="S9" s="10" t="n">
        <v>3</v>
      </c>
      <c r="T9" s="18" t="n">
        <f aca="false">T8-U8/V8</f>
        <v>0.908333539976434</v>
      </c>
      <c r="U9" s="19" t="n">
        <f aca="false">-Risk_speed*(Risk_start-Risk_target)*EXP(-Risk_speed*T9)+Trough_depth/Trough_time*EXP(1-T9/Trough_time)*(1-T9/Trough_time)</f>
        <v>0</v>
      </c>
      <c r="V9" s="14" t="n">
        <f aca="false">Risk_speed^2*(Risk_start-Risk_target)*EXP(-Risk_speed*T9)-Trough_depth/Trough_time^2*EXP(1-T9/Trough_time)*(2-T9/Trough_time)</f>
        <v>-13.9640526827123</v>
      </c>
    </row>
    <row r="10" customFormat="false" ht="15" hidden="false" customHeight="false" outlineLevel="0" collapsed="false">
      <c r="A10" s="4" t="s">
        <v>705</v>
      </c>
      <c r="B10" s="10" t="n">
        <f aca="false">Declarations!B40</f>
        <v>0</v>
      </c>
      <c r="C10" s="10" t="n">
        <f aca="false">Declarations!C40</f>
        <v>0</v>
      </c>
      <c r="D10" s="10" t="n">
        <f aca="false">Declarations!D40</f>
        <v>0</v>
      </c>
      <c r="E10" s="10" t="n">
        <f aca="false">Declarations!E40</f>
        <v>0</v>
      </c>
      <c r="F10" s="10" t="n">
        <f aca="false">Declarations!F40</f>
        <v>1</v>
      </c>
      <c r="G10" s="10" t="n">
        <f aca="false">Declarations!G40</f>
        <v>1</v>
      </c>
      <c r="H10" s="10" t="n">
        <f aca="false">Declarations!H40</f>
        <v>0</v>
      </c>
      <c r="K10" s="2" t="s">
        <v>706</v>
      </c>
      <c r="L10" s="10" t="n">
        <f aca="false">SUM(B80:B86)</f>
        <v>3</v>
      </c>
      <c r="M10" s="9" t="s">
        <v>707</v>
      </c>
      <c r="O10" s="10" t="n">
        <v>4</v>
      </c>
      <c r="P10" s="17" t="n">
        <f aca="false">O10/12</f>
        <v>0.333333333333333</v>
      </c>
      <c r="Q10" s="14" t="n">
        <f aca="false">Risk_target+(Risk_start-Risk_target)*EXP(-Risk_speed*P10)+Trough_depth*(P10/Trough_time)*EXP(1-P10/Trough_time)</f>
        <v>70.3844897361639</v>
      </c>
      <c r="S10" s="10" t="n">
        <v>4</v>
      </c>
      <c r="T10" s="18" t="n">
        <f aca="false">T9-U9/V9</f>
        <v>0.908333539976434</v>
      </c>
      <c r="U10" s="19" t="n">
        <f aca="false">-Risk_speed*(Risk_start-Risk_target)*EXP(-Risk_speed*T10)+Trough_depth/Trough_time*EXP(1-T10/Trough_time)*(1-T10/Trough_time)</f>
        <v>0</v>
      </c>
      <c r="V10" s="14" t="n">
        <f aca="false">Risk_speed^2*(Risk_start-Risk_target)*EXP(-Risk_speed*T10)-Trough_depth/Trough_time^2*EXP(1-T10/Trough_time)*(2-T10/Trough_time)</f>
        <v>-13.9640526827123</v>
      </c>
    </row>
    <row r="11" customFormat="false" ht="15" hidden="false" customHeight="false" outlineLevel="0" collapsed="false">
      <c r="K11" s="2" t="s">
        <v>708</v>
      </c>
      <c r="L11" s="10" t="n">
        <f aca="false">SUMPRODUCT(B80:B86,C80:C86)/2</f>
        <v>3</v>
      </c>
      <c r="M11" s="9" t="s">
        <v>709</v>
      </c>
      <c r="O11" s="10" t="n">
        <v>5</v>
      </c>
      <c r="P11" s="17" t="n">
        <f aca="false">O11/12</f>
        <v>0.416666666666667</v>
      </c>
      <c r="Q11" s="14" t="n">
        <f aca="false">Risk_target+(Risk_start-Risk_target)*EXP(-Risk_speed*P11)+Trough_depth*(P11/Trough_time)*EXP(1-P11/Trough_time)</f>
        <v>71.3418209025277</v>
      </c>
      <c r="S11" s="10" t="n">
        <v>5</v>
      </c>
      <c r="T11" s="18" t="n">
        <f aca="false">T10-U10/V10</f>
        <v>0.908333539976434</v>
      </c>
      <c r="U11" s="19" t="n">
        <f aca="false">-Risk_speed*(Risk_start-Risk_target)*EXP(-Risk_speed*T11)+Trough_depth/Trough_time*EXP(1-T11/Trough_time)*(1-T11/Trough_time)</f>
        <v>0</v>
      </c>
      <c r="V11" s="14" t="n">
        <f aca="false">Risk_speed^2*(Risk_start-Risk_target)*EXP(-Risk_speed*T11)-Trough_depth/Trough_time^2*EXP(1-T11/Trough_time)*(2-T11/Trough_time)</f>
        <v>-13.9640526827123</v>
      </c>
    </row>
    <row r="12" customFormat="false" ht="15" hidden="false" customHeight="false" outlineLevel="0" collapsed="false">
      <c r="K12" s="2" t="s">
        <v>710</v>
      </c>
      <c r="L12" s="10" t="n">
        <f aca="false">L6-L11</f>
        <v>1</v>
      </c>
      <c r="M12" s="9" t="s">
        <v>711</v>
      </c>
      <c r="O12" s="10" t="n">
        <v>6</v>
      </c>
      <c r="P12" s="17" t="n">
        <f aca="false">O12/12</f>
        <v>0.5</v>
      </c>
      <c r="Q12" s="14" t="n">
        <f aca="false">Risk_target+(Risk_start-Risk_target)*EXP(-Risk_speed*P12)+Trough_depth*(P12/Trough_time)*EXP(1-P12/Trough_time)</f>
        <v>72.0968437730057</v>
      </c>
      <c r="S12" s="10" t="n">
        <v>6</v>
      </c>
      <c r="T12" s="18" t="n">
        <f aca="false">T11-U11/V11</f>
        <v>0.908333539976434</v>
      </c>
      <c r="U12" s="19" t="n">
        <f aca="false">-Risk_speed*(Risk_start-Risk_target)*EXP(-Risk_speed*T12)+Trough_depth/Trough_time*EXP(1-T12/Trough_time)*(1-T12/Trough_time)</f>
        <v>0</v>
      </c>
      <c r="V12" s="14" t="n">
        <f aca="false">Risk_speed^2*(Risk_start-Risk_target)*EXP(-Risk_speed*T12)-Trough_depth/Trough_time^2*EXP(1-T12/Trough_time)*(2-T12/Trough_time)</f>
        <v>-13.9640526827123</v>
      </c>
    </row>
    <row r="13" customFormat="false" ht="15" hidden="false" customHeight="false" outlineLevel="0" collapsed="false">
      <c r="A13" s="4" t="s">
        <v>712</v>
      </c>
      <c r="K13" s="2" t="s">
        <v>713</v>
      </c>
      <c r="L13" s="10" t="n">
        <f aca="false">Wiring!$L$6-L10+IF(L10&gt;0,1,0)</f>
        <v>5</v>
      </c>
      <c r="O13" s="10" t="n">
        <v>7</v>
      </c>
      <c r="P13" s="17" t="n">
        <f aca="false">O13/12</f>
        <v>0.583333333333333</v>
      </c>
      <c r="Q13" s="14" t="n">
        <f aca="false">Risk_target+(Risk_start-Risk_target)*EXP(-Risk_speed*P13)+Trough_depth*(P13/Trough_time)*EXP(1-P13/Trough_time)</f>
        <v>72.6719555947814</v>
      </c>
    </row>
    <row r="14" customFormat="false" ht="15" hidden="false" customHeight="false" outlineLevel="0" collapsed="false">
      <c r="A14" s="8"/>
      <c r="B14" s="8" t="s">
        <v>23</v>
      </c>
      <c r="C14" s="8" t="s">
        <v>28</v>
      </c>
      <c r="D14" s="8" t="s">
        <v>32</v>
      </c>
      <c r="E14" s="8" t="s">
        <v>37</v>
      </c>
      <c r="F14" s="8" t="s">
        <v>40</v>
      </c>
      <c r="G14" s="8" t="s">
        <v>42</v>
      </c>
      <c r="H14" s="8" t="s">
        <v>46</v>
      </c>
      <c r="K14" s="2" t="s">
        <v>714</v>
      </c>
      <c r="L14" s="10" t="n">
        <f aca="false">L12-L13+L7</f>
        <v>0</v>
      </c>
      <c r="M14" s="9" t="s">
        <v>715</v>
      </c>
      <c r="O14" s="10" t="n">
        <v>8</v>
      </c>
      <c r="P14" s="17" t="n">
        <f aca="false">O14/12</f>
        <v>0.666666666666667</v>
      </c>
      <c r="Q14" s="14" t="n">
        <f aca="false">Risk_target+(Risk_start-Risk_target)*EXP(-Risk_speed*P14)+Trough_depth*(P14/Trough_time)*EXP(1-P14/Trough_time)</f>
        <v>73.0874733801265</v>
      </c>
    </row>
    <row r="15" customFormat="false" ht="15" hidden="false" customHeight="false" outlineLevel="0" collapsed="false">
      <c r="A15" s="4" t="s">
        <v>23</v>
      </c>
      <c r="B15" s="10" t="n">
        <v>0</v>
      </c>
      <c r="C15" s="10" t="n">
        <f aca="false">SIGN(SUMPRODUCT($B$6:$B$10,$C$6:$C$10))</f>
        <v>0</v>
      </c>
      <c r="D15" s="10" t="n">
        <f aca="false">SIGN(SUMPRODUCT($B$6:$B$10,$D$6:$D$10))</f>
        <v>0</v>
      </c>
      <c r="E15" s="10" t="n">
        <f aca="false">SIGN(SUMPRODUCT($B$6:$B$10,$E$6:$E$10))</f>
        <v>0</v>
      </c>
      <c r="F15" s="10" t="n">
        <f aca="false">SIGN(SUMPRODUCT($B$6:$B$10,$F$6:$F$10))</f>
        <v>0</v>
      </c>
      <c r="G15" s="10" t="n">
        <f aca="false">SIGN(SUMPRODUCT($B$6:$B$10,$G$6:$G$10))</f>
        <v>0</v>
      </c>
      <c r="H15" s="10" t="n">
        <f aca="false">SIGN(SUMPRODUCT($B$6:$B$10,$H$6:$H$10))</f>
        <v>0</v>
      </c>
      <c r="K15" s="2" t="s">
        <v>716</v>
      </c>
      <c r="L15" s="10" t="n">
        <f aca="false">COUNTIF(Declarations!I36:I40,1)</f>
        <v>3</v>
      </c>
      <c r="M15" s="9" t="s">
        <v>717</v>
      </c>
      <c r="O15" s="10" t="n">
        <v>9</v>
      </c>
      <c r="P15" s="17" t="n">
        <f aca="false">O15/12</f>
        <v>0.75</v>
      </c>
      <c r="Q15" s="14" t="n">
        <f aca="false">Risk_target+(Risk_start-Risk_target)*EXP(-Risk_speed*P15)+Trough_depth*(P15/Trough_time)*EXP(1-P15/Trough_time)</f>
        <v>73.3618117467716</v>
      </c>
      <c r="R15" s="2" t="s">
        <v>718</v>
      </c>
      <c r="S15" s="17" t="n">
        <f aca="false">MAX(Q6:Q66)</f>
        <v>73.5520635207556</v>
      </c>
    </row>
    <row r="16" customFormat="false" ht="15" hidden="false" customHeight="false" outlineLevel="0" collapsed="false">
      <c r="A16" s="4" t="s">
        <v>28</v>
      </c>
      <c r="B16" s="10" t="n">
        <f aca="false">SIGN(SUMPRODUCT($C$6:$C$10,$B$6:$B$10))</f>
        <v>0</v>
      </c>
      <c r="C16" s="10" t="n">
        <v>0</v>
      </c>
      <c r="D16" s="10" t="n">
        <f aca="false">SIGN(SUMPRODUCT($C$6:$C$10,$D$6:$D$10))</f>
        <v>0</v>
      </c>
      <c r="E16" s="10" t="n">
        <f aca="false">SIGN(SUMPRODUCT($C$6:$C$10,$E$6:$E$10))</f>
        <v>0</v>
      </c>
      <c r="F16" s="10" t="n">
        <f aca="false">SIGN(SUMPRODUCT($C$6:$C$10,$F$6:$F$10))</f>
        <v>0</v>
      </c>
      <c r="G16" s="10" t="n">
        <f aca="false">SIGN(SUMPRODUCT($C$6:$C$10,$G$6:$G$10))</f>
        <v>0</v>
      </c>
      <c r="H16" s="10" t="n">
        <f aca="false">SIGN(SUMPRODUCT($C$6:$C$10,$H$6:$H$10))</f>
        <v>0</v>
      </c>
      <c r="O16" s="10" t="n">
        <v>10</v>
      </c>
      <c r="P16" s="17" t="n">
        <f aca="false">O16/12</f>
        <v>0.833333333333333</v>
      </c>
      <c r="Q16" s="14" t="n">
        <f aca="false">Risk_target+(Risk_start-Risk_target)*EXP(-Risk_speed*P16)+Trough_depth*(P16/Trough_time)*EXP(1-P16/Trough_time)</f>
        <v>73.5116462745503</v>
      </c>
      <c r="R16" s="2" t="s">
        <v>719</v>
      </c>
      <c r="S16" s="17" t="n">
        <f aca="false">MATCH(S15,Q6:Q66,0)-1</f>
        <v>11</v>
      </c>
      <c r="T16" s="9" t="s">
        <v>720</v>
      </c>
    </row>
    <row r="17" customFormat="false" ht="15" hidden="false" customHeight="false" outlineLevel="0" collapsed="false">
      <c r="A17" s="4" t="s">
        <v>32</v>
      </c>
      <c r="B17" s="10" t="n">
        <f aca="false">SIGN(SUMPRODUCT($D$6:$D$10,$B$6:$B$10))</f>
        <v>0</v>
      </c>
      <c r="C17" s="10" t="n">
        <f aca="false">SIGN(SUMPRODUCT($D$6:$D$10,$C$6:$C$10))</f>
        <v>0</v>
      </c>
      <c r="D17" s="10" t="n">
        <v>0</v>
      </c>
      <c r="E17" s="10" t="n">
        <f aca="false">SIGN(SUMPRODUCT($D$6:$D$10,$E$6:$E$10))</f>
        <v>1</v>
      </c>
      <c r="F17" s="10" t="n">
        <f aca="false">SIGN(SUMPRODUCT($D$6:$D$10,$F$6:$F$10))</f>
        <v>1</v>
      </c>
      <c r="G17" s="10" t="n">
        <f aca="false">SIGN(SUMPRODUCT($D$6:$D$10,$G$6:$G$10))</f>
        <v>0</v>
      </c>
      <c r="H17" s="10" t="n">
        <f aca="false">SIGN(SUMPRODUCT($D$6:$D$10,$H$6:$H$10))</f>
        <v>0</v>
      </c>
      <c r="O17" s="10" t="n">
        <v>11</v>
      </c>
      <c r="P17" s="17" t="n">
        <f aca="false">O17/12</f>
        <v>0.916666666666667</v>
      </c>
      <c r="Q17" s="14" t="n">
        <f aca="false">Risk_target+(Risk_start-Risk_target)*EXP(-Risk_speed*P17)+Trough_depth*(P17/Trough_time)*EXP(1-P17/Trough_time)</f>
        <v>73.5520635207556</v>
      </c>
      <c r="R17" s="2" t="s">
        <v>721</v>
      </c>
      <c r="S17" s="17" t="n">
        <f aca="false">Risk_target+(Risk_start-Risk_target)*EXP(-Risk_speed*T12)+Trough_depth*(T12/Trough_time)*EXP(1-T12/Trough_time)</f>
        <v>73.5525461861166</v>
      </c>
      <c r="T17" s="9" t="s">
        <v>722</v>
      </c>
    </row>
    <row r="18" customFormat="false" ht="15" hidden="false" customHeight="false" outlineLevel="0" collapsed="false">
      <c r="A18" s="4" t="s">
        <v>37</v>
      </c>
      <c r="B18" s="10" t="n">
        <f aca="false">SIGN(SUMPRODUCT($E$6:$E$10,$B$6:$B$10))</f>
        <v>0</v>
      </c>
      <c r="C18" s="10" t="n">
        <f aca="false">SIGN(SUMPRODUCT($E$6:$E$10,$C$6:$C$10))</f>
        <v>0</v>
      </c>
      <c r="D18" s="10" t="n">
        <f aca="false">SIGN(SUMPRODUCT($E$6:$E$10,$D$6:$D$10))</f>
        <v>1</v>
      </c>
      <c r="E18" s="10" t="n">
        <v>0</v>
      </c>
      <c r="F18" s="10" t="n">
        <f aca="false">SIGN(SUMPRODUCT($E$6:$E$10,$F$6:$F$10))</f>
        <v>1</v>
      </c>
      <c r="G18" s="10" t="n">
        <f aca="false">SIGN(SUMPRODUCT($E$6:$E$10,$G$6:$G$10))</f>
        <v>0</v>
      </c>
      <c r="H18" s="10" t="n">
        <f aca="false">SIGN(SUMPRODUCT($E$6:$E$10,$H$6:$H$10))</f>
        <v>0</v>
      </c>
      <c r="O18" s="10" t="n">
        <v>12</v>
      </c>
      <c r="P18" s="17" t="n">
        <f aca="false">O18/12</f>
        <v>1</v>
      </c>
      <c r="Q18" s="14" t="n">
        <f aca="false">Risk_target+(Risk_start-Risk_target)*EXP(-Risk_speed*P18)+Trough_depth*(P18/Trough_time)*EXP(1-P18/Trough_time)</f>
        <v>73.4966987485625</v>
      </c>
      <c r="R18" s="2" t="s">
        <v>723</v>
      </c>
      <c r="S18" s="17" t="n">
        <f aca="false">12*T12</f>
        <v>10.9000024797172</v>
      </c>
      <c r="T18" s="9" t="s">
        <v>724</v>
      </c>
    </row>
    <row r="19" customFormat="false" ht="15" hidden="false" customHeight="false" outlineLevel="0" collapsed="false">
      <c r="A19" s="4" t="s">
        <v>40</v>
      </c>
      <c r="B19" s="10" t="n">
        <f aca="false">SIGN(SUMPRODUCT($F$6:$F$10,$B$6:$B$10))</f>
        <v>0</v>
      </c>
      <c r="C19" s="10" t="n">
        <f aca="false">SIGN(SUMPRODUCT($F$6:$F$10,$C$6:$C$10))</f>
        <v>0</v>
      </c>
      <c r="D19" s="10" t="n">
        <f aca="false">SIGN(SUMPRODUCT($F$6:$F$10,$D$6:$D$10))</f>
        <v>1</v>
      </c>
      <c r="E19" s="10" t="n">
        <f aca="false">SIGN(SUMPRODUCT($F$6:$F$10,$E$6:$E$10))</f>
        <v>1</v>
      </c>
      <c r="F19" s="10" t="n">
        <v>0</v>
      </c>
      <c r="G19" s="10" t="n">
        <f aca="false">SIGN(SUMPRODUCT($F$6:$F$10,$G$6:$G$10))</f>
        <v>1</v>
      </c>
      <c r="H19" s="10" t="n">
        <f aca="false">SIGN(SUMPRODUCT($F$6:$F$10,$H$6:$H$10))</f>
        <v>0</v>
      </c>
      <c r="O19" s="10" t="n">
        <v>13</v>
      </c>
      <c r="P19" s="17" t="n">
        <f aca="false">O19/12</f>
        <v>1.08333333333333</v>
      </c>
      <c r="Q19" s="14" t="n">
        <f aca="false">Risk_target+(Risk_start-Risk_target)*EXP(-Risk_speed*P19)+Trough_depth*(P19/Trough_time)*EXP(1-P19/Trough_time)</f>
        <v>73.357862341466</v>
      </c>
      <c r="R19" s="2" t="s">
        <v>725</v>
      </c>
      <c r="S19" s="17" t="n">
        <f aca="false">Ceiling-S17</f>
        <v>1.44745381388336</v>
      </c>
      <c r="T19" s="9" t="s">
        <v>726</v>
      </c>
    </row>
    <row r="20" customFormat="false" ht="15" hidden="false" customHeight="false" outlineLevel="0" collapsed="false">
      <c r="A20" s="4" t="s">
        <v>42</v>
      </c>
      <c r="B20" s="10" t="n">
        <f aca="false">SIGN(SUMPRODUCT($G$6:$G$10,$B$6:$B$10))</f>
        <v>0</v>
      </c>
      <c r="C20" s="10" t="n">
        <f aca="false">SIGN(SUMPRODUCT($G$6:$G$10,$C$6:$C$10))</f>
        <v>0</v>
      </c>
      <c r="D20" s="10" t="n">
        <f aca="false">SIGN(SUMPRODUCT($G$6:$G$10,$D$6:$D$10))</f>
        <v>0</v>
      </c>
      <c r="E20" s="10" t="n">
        <f aca="false">SIGN(SUMPRODUCT($G$6:$G$10,$E$6:$E$10))</f>
        <v>0</v>
      </c>
      <c r="F20" s="10" t="n">
        <f aca="false">SIGN(SUMPRODUCT($G$6:$G$10,$F$6:$F$10))</f>
        <v>1</v>
      </c>
      <c r="G20" s="10" t="n">
        <v>0</v>
      </c>
      <c r="H20" s="10" t="n">
        <f aca="false">SIGN(SUMPRODUCT($G$6:$G$10,$H$6:$H$10))</f>
        <v>0</v>
      </c>
      <c r="O20" s="10" t="n">
        <v>14</v>
      </c>
      <c r="P20" s="17" t="n">
        <f aca="false">O20/12</f>
        <v>1.16666666666667</v>
      </c>
      <c r="Q20" s="14" t="n">
        <f aca="false">Risk_target+(Risk_start-Risk_target)*EXP(-Risk_speed*P20)+Trough_depth*(P20/Trough_time)*EXP(1-P20/Trough_time)</f>
        <v>73.146655801452</v>
      </c>
      <c r="R20" s="2" t="s">
        <v>727</v>
      </c>
      <c r="S20" s="17" t="n">
        <f aca="false">IF(S19&lt;Risk_error,1,0)</f>
        <v>1</v>
      </c>
      <c r="T20" s="9" t="s">
        <v>728</v>
      </c>
    </row>
    <row r="21" customFormat="false" ht="15" hidden="false" customHeight="false" outlineLevel="0" collapsed="false">
      <c r="A21" s="4" t="s">
        <v>46</v>
      </c>
      <c r="B21" s="10" t="n">
        <f aca="false">SIGN(SUMPRODUCT($H$6:$H$10,$B$6:$B$10))</f>
        <v>0</v>
      </c>
      <c r="C21" s="10" t="n">
        <f aca="false">SIGN(SUMPRODUCT($H$6:$H$10,$C$6:$C$10))</f>
        <v>0</v>
      </c>
      <c r="D21" s="10" t="n">
        <f aca="false">SIGN(SUMPRODUCT($H$6:$H$10,$D$6:$D$10))</f>
        <v>0</v>
      </c>
      <c r="E21" s="10" t="n">
        <f aca="false">SIGN(SUMPRODUCT($H$6:$H$10,$E$6:$E$10))</f>
        <v>0</v>
      </c>
      <c r="F21" s="10" t="n">
        <f aca="false">SIGN(SUMPRODUCT($H$6:$H$10,$F$6:$F$10))</f>
        <v>0</v>
      </c>
      <c r="G21" s="10" t="n">
        <f aca="false">SIGN(SUMPRODUCT($H$6:$H$10,$G$6:$G$10))</f>
        <v>0</v>
      </c>
      <c r="H21" s="10" t="n">
        <v>0</v>
      </c>
      <c r="O21" s="10" t="n">
        <v>15</v>
      </c>
      <c r="P21" s="17" t="n">
        <f aca="false">O21/12</f>
        <v>1.25</v>
      </c>
      <c r="Q21" s="14" t="n">
        <f aca="false">Risk_target+(Risk_start-Risk_target)*EXP(-Risk_speed*P21)+Trough_depth*(P21/Trough_time)*EXP(1-P21/Trough_time)</f>
        <v>72.8730781591058</v>
      </c>
    </row>
    <row r="22" customFormat="false" ht="15" hidden="false" customHeight="false" outlineLevel="0" collapsed="false">
      <c r="O22" s="10" t="n">
        <v>16</v>
      </c>
      <c r="P22" s="17" t="n">
        <f aca="false">O22/12</f>
        <v>1.33333333333333</v>
      </c>
      <c r="Q22" s="14" t="n">
        <f aca="false">Risk_target+(Risk_start-Risk_target)*EXP(-Risk_speed*P22)+Trough_depth*(P22/Trough_time)*EXP(1-P22/Trough_time)</f>
        <v>72.5461235596317</v>
      </c>
    </row>
    <row r="23" customFormat="false" ht="15" hidden="false" customHeight="false" outlineLevel="0" collapsed="false">
      <c r="O23" s="10" t="n">
        <v>17</v>
      </c>
      <c r="P23" s="17" t="n">
        <f aca="false">O23/12</f>
        <v>1.41666666666667</v>
      </c>
      <c r="Q23" s="14" t="n">
        <f aca="false">Risk_target+(Risk_start-Risk_target)*EXP(-Risk_speed*P23)+Trough_depth*(P23/Trough_time)*EXP(1-P23/Trough_time)</f>
        <v>72.1738707294185</v>
      </c>
    </row>
    <row r="24" customFormat="false" ht="15" hidden="false" customHeight="false" outlineLevel="0" collapsed="false">
      <c r="A24" s="4" t="s">
        <v>729</v>
      </c>
      <c r="O24" s="10" t="n">
        <v>18</v>
      </c>
      <c r="P24" s="17" t="n">
        <f aca="false">O24/12</f>
        <v>1.5</v>
      </c>
      <c r="Q24" s="14" t="n">
        <f aca="false">Risk_target+(Risk_start-Risk_target)*EXP(-Risk_speed*P24)+Trough_depth*(P24/Trough_time)*EXP(1-P24/Trough_time)</f>
        <v>71.7635649729719</v>
      </c>
    </row>
    <row r="25" customFormat="false" ht="15" hidden="false" customHeight="false" outlineLevel="0" collapsed="false">
      <c r="A25" s="8"/>
      <c r="B25" s="8" t="s">
        <v>23</v>
      </c>
      <c r="C25" s="8" t="s">
        <v>28</v>
      </c>
      <c r="D25" s="8" t="s">
        <v>32</v>
      </c>
      <c r="E25" s="8" t="s">
        <v>37</v>
      </c>
      <c r="F25" s="8" t="s">
        <v>40</v>
      </c>
      <c r="G25" s="8" t="s">
        <v>42</v>
      </c>
      <c r="H25" s="8" t="s">
        <v>46</v>
      </c>
      <c r="O25" s="10" t="n">
        <v>19</v>
      </c>
      <c r="P25" s="17" t="n">
        <f aca="false">O25/12</f>
        <v>1.58333333333333</v>
      </c>
      <c r="Q25" s="14" t="n">
        <f aca="false">Risk_target+(Risk_start-Risk_target)*EXP(-Risk_speed*P25)+Trough_depth*(P25/Trough_time)*EXP(1-P25/Trough_time)</f>
        <v>71.3216932993983</v>
      </c>
    </row>
    <row r="26" customFormat="false" ht="15" hidden="false" customHeight="false" outlineLevel="0" collapsed="false">
      <c r="A26" s="4" t="s">
        <v>23</v>
      </c>
      <c r="B26" s="10" t="n">
        <v>1</v>
      </c>
      <c r="C26" s="10" t="n">
        <f aca="false">$C$15</f>
        <v>0</v>
      </c>
      <c r="D26" s="10" t="n">
        <f aca="false">$D$15</f>
        <v>0</v>
      </c>
      <c r="E26" s="10" t="n">
        <f aca="false">$E$15</f>
        <v>0</v>
      </c>
      <c r="F26" s="10" t="n">
        <f aca="false">$F$15</f>
        <v>0</v>
      </c>
      <c r="G26" s="10" t="n">
        <f aca="false">$G$15</f>
        <v>0</v>
      </c>
      <c r="H26" s="10" t="n">
        <f aca="false">$H$15</f>
        <v>0</v>
      </c>
      <c r="O26" s="10" t="n">
        <v>20</v>
      </c>
      <c r="P26" s="17" t="n">
        <f aca="false">O26/12</f>
        <v>1.66666666666667</v>
      </c>
      <c r="Q26" s="14" t="n">
        <f aca="false">Risk_target+(Risk_start-Risk_target)*EXP(-Risk_speed*P26)+Trough_depth*(P26/Trough_time)*EXP(1-P26/Trough_time)</f>
        <v>70.854053230863</v>
      </c>
    </row>
    <row r="27" customFormat="false" ht="15" hidden="false" customHeight="false" outlineLevel="0" collapsed="false">
      <c r="A27" s="4" t="s">
        <v>28</v>
      </c>
      <c r="B27" s="10" t="n">
        <f aca="false">$B$16</f>
        <v>0</v>
      </c>
      <c r="C27" s="10" t="n">
        <v>1</v>
      </c>
      <c r="D27" s="10" t="n">
        <f aca="false">$D$16</f>
        <v>0</v>
      </c>
      <c r="E27" s="10" t="n">
        <f aca="false">$E$16</f>
        <v>0</v>
      </c>
      <c r="F27" s="10" t="n">
        <f aca="false">$F$16</f>
        <v>0</v>
      </c>
      <c r="G27" s="10" t="n">
        <f aca="false">$G$16</f>
        <v>0</v>
      </c>
      <c r="H27" s="10" t="n">
        <f aca="false">$H$16</f>
        <v>0</v>
      </c>
      <c r="O27" s="10" t="n">
        <v>21</v>
      </c>
      <c r="P27" s="17" t="n">
        <f aca="false">O27/12</f>
        <v>1.75</v>
      </c>
      <c r="Q27" s="14" t="n">
        <f aca="false">Risk_target+(Risk_start-Risk_target)*EXP(-Risk_speed*P27)+Trough_depth*(P27/Trough_time)*EXP(1-P27/Trough_time)</f>
        <v>70.3658158022576</v>
      </c>
    </row>
    <row r="28" customFormat="false" ht="15" hidden="false" customHeight="false" outlineLevel="0" collapsed="false">
      <c r="A28" s="4" t="s">
        <v>32</v>
      </c>
      <c r="B28" s="10" t="n">
        <f aca="false">$B$17</f>
        <v>0</v>
      </c>
      <c r="C28" s="10" t="n">
        <f aca="false">$C$17</f>
        <v>0</v>
      </c>
      <c r="D28" s="10" t="n">
        <v>1</v>
      </c>
      <c r="E28" s="10" t="n">
        <f aca="false">$E$17</f>
        <v>1</v>
      </c>
      <c r="F28" s="10" t="n">
        <f aca="false">$F$17</f>
        <v>1</v>
      </c>
      <c r="G28" s="10" t="n">
        <f aca="false">$G$17</f>
        <v>0</v>
      </c>
      <c r="H28" s="10" t="n">
        <f aca="false">$H$17</f>
        <v>0</v>
      </c>
      <c r="O28" s="10" t="n">
        <v>22</v>
      </c>
      <c r="P28" s="17" t="n">
        <f aca="false">O28/12</f>
        <v>1.83333333333333</v>
      </c>
      <c r="Q28" s="14" t="n">
        <f aca="false">Risk_target+(Risk_start-Risk_target)*EXP(-Risk_speed*P28)+Trough_depth*(P28/Trough_time)*EXP(1-P28/Trough_time)</f>
        <v>69.861583221432</v>
      </c>
    </row>
    <row r="29" customFormat="false" ht="15" hidden="false" customHeight="false" outlineLevel="0" collapsed="false">
      <c r="A29" s="4" t="s">
        <v>37</v>
      </c>
      <c r="B29" s="10" t="n">
        <f aca="false">$B$18</f>
        <v>0</v>
      </c>
      <c r="C29" s="10" t="n">
        <f aca="false">$C$18</f>
        <v>0</v>
      </c>
      <c r="D29" s="10" t="n">
        <f aca="false">$D$18</f>
        <v>1</v>
      </c>
      <c r="E29" s="10" t="n">
        <v>1</v>
      </c>
      <c r="F29" s="10" t="n">
        <f aca="false">$F$18</f>
        <v>1</v>
      </c>
      <c r="G29" s="10" t="n">
        <f aca="false">$G$18</f>
        <v>0</v>
      </c>
      <c r="H29" s="10" t="n">
        <f aca="false">$H$18</f>
        <v>0</v>
      </c>
      <c r="O29" s="10" t="n">
        <v>23</v>
      </c>
      <c r="P29" s="17" t="n">
        <f aca="false">O29/12</f>
        <v>1.91666666666667</v>
      </c>
      <c r="Q29" s="14" t="n">
        <f aca="false">Risk_target+(Risk_start-Risk_target)*EXP(-Risk_speed*P29)+Trough_depth*(P29/Trough_time)*EXP(1-P29/Trough_time)</f>
        <v>69.3454416225273</v>
      </c>
    </row>
    <row r="30" customFormat="false" ht="15" hidden="false" customHeight="false" outlineLevel="0" collapsed="false">
      <c r="A30" s="4" t="s">
        <v>40</v>
      </c>
      <c r="B30" s="10" t="n">
        <f aca="false">$B$19</f>
        <v>0</v>
      </c>
      <c r="C30" s="10" t="n">
        <f aca="false">$C$19</f>
        <v>0</v>
      </c>
      <c r="D30" s="10" t="n">
        <f aca="false">$D$19</f>
        <v>1</v>
      </c>
      <c r="E30" s="10" t="n">
        <f aca="false">$E$19</f>
        <v>1</v>
      </c>
      <c r="F30" s="10" t="n">
        <v>1</v>
      </c>
      <c r="G30" s="10" t="n">
        <f aca="false">$G$19</f>
        <v>1</v>
      </c>
      <c r="H30" s="10" t="n">
        <f aca="false">$H$19</f>
        <v>0</v>
      </c>
      <c r="O30" s="10" t="n">
        <v>24</v>
      </c>
      <c r="P30" s="17" t="n">
        <f aca="false">O30/12</f>
        <v>2</v>
      </c>
      <c r="Q30" s="14" t="n">
        <f aca="false">Risk_target+(Risk_start-Risk_target)*EXP(-Risk_speed*P30)+Trough_depth*(P30/Trough_time)*EXP(1-P30/Trough_time)</f>
        <v>68.821009310951</v>
      </c>
    </row>
    <row r="31" customFormat="false" ht="15" hidden="false" customHeight="false" outlineLevel="0" collapsed="false">
      <c r="A31" s="4" t="s">
        <v>42</v>
      </c>
      <c r="B31" s="10" t="n">
        <f aca="false">$B$20</f>
        <v>0</v>
      </c>
      <c r="C31" s="10" t="n">
        <f aca="false">$C$20</f>
        <v>0</v>
      </c>
      <c r="D31" s="10" t="n">
        <f aca="false">$D$20</f>
        <v>0</v>
      </c>
      <c r="E31" s="10" t="n">
        <f aca="false">$E$20</f>
        <v>0</v>
      </c>
      <c r="F31" s="10" t="n">
        <f aca="false">$F$20</f>
        <v>1</v>
      </c>
      <c r="G31" s="10" t="n">
        <v>1</v>
      </c>
      <c r="H31" s="10" t="n">
        <f aca="false">$H$20</f>
        <v>0</v>
      </c>
      <c r="O31" s="10" t="n">
        <v>25</v>
      </c>
      <c r="P31" s="17" t="n">
        <f aca="false">O31/12</f>
        <v>2.08333333333333</v>
      </c>
      <c r="Q31" s="14" t="n">
        <f aca="false">Risk_target+(Risk_start-Risk_target)*EXP(-Risk_speed*P31)+Trough_depth*(P31/Trough_time)*EXP(1-P31/Trough_time)</f>
        <v>68.2914808671584</v>
      </c>
    </row>
    <row r="32" customFormat="false" ht="15" hidden="false" customHeight="false" outlineLevel="0" collapsed="false">
      <c r="A32" s="4" t="s">
        <v>46</v>
      </c>
      <c r="B32" s="10" t="n">
        <f aca="false">$B$21</f>
        <v>0</v>
      </c>
      <c r="C32" s="10" t="n">
        <f aca="false">$C$21</f>
        <v>0</v>
      </c>
      <c r="D32" s="10" t="n">
        <f aca="false">$D$21</f>
        <v>0</v>
      </c>
      <c r="E32" s="10" t="n">
        <f aca="false">$E$21</f>
        <v>0</v>
      </c>
      <c r="F32" s="10" t="n">
        <f aca="false">$F$21</f>
        <v>0</v>
      </c>
      <c r="G32" s="10" t="n">
        <f aca="false">$G$21</f>
        <v>0</v>
      </c>
      <c r="H32" s="10" t="n">
        <v>1</v>
      </c>
      <c r="O32" s="10" t="n">
        <v>26</v>
      </c>
      <c r="P32" s="17" t="n">
        <f aca="false">O32/12</f>
        <v>2.16666666666667</v>
      </c>
      <c r="Q32" s="14" t="n">
        <f aca="false">Risk_target+(Risk_start-Risk_target)*EXP(-Risk_speed*P32)+Trough_depth*(P32/Trough_time)*EXP(1-P32/Trough_time)</f>
        <v>67.7596674474404</v>
      </c>
    </row>
    <row r="33" customFormat="false" ht="15" hidden="false" customHeight="false" outlineLevel="0" collapsed="false">
      <c r="O33" s="10" t="n">
        <v>27</v>
      </c>
      <c r="P33" s="17" t="n">
        <f aca="false">O33/12</f>
        <v>2.25</v>
      </c>
      <c r="Q33" s="14" t="n">
        <f aca="false">Risk_target+(Risk_start-Risk_target)*EXP(-Risk_speed*P33)+Trough_depth*(P33/Trough_time)*EXP(1-P33/Trough_time)</f>
        <v>67.2280335931886</v>
      </c>
    </row>
    <row r="34" customFormat="false" ht="15" hidden="false" customHeight="false" outlineLevel="0" collapsed="false">
      <c r="O34" s="10" t="n">
        <v>28</v>
      </c>
      <c r="P34" s="17" t="n">
        <f aca="false">O34/12</f>
        <v>2.33333333333333</v>
      </c>
      <c r="Q34" s="14" t="n">
        <f aca="false">Risk_target+(Risk_start-Risk_target)*EXP(-Risk_speed*P34)+Trough_depth*(P34/Trough_time)*EXP(1-P34/Trough_time)</f>
        <v>66.6987308354428</v>
      </c>
    </row>
    <row r="35" customFormat="false" ht="15" hidden="false" customHeight="false" outlineLevel="0" collapsed="false">
      <c r="A35" s="4" t="s">
        <v>730</v>
      </c>
      <c r="O35" s="10" t="n">
        <v>29</v>
      </c>
      <c r="P35" s="17" t="n">
        <f aca="false">O35/12</f>
        <v>2.41666666666667</v>
      </c>
      <c r="Q35" s="14" t="n">
        <f aca="false">Risk_target+(Risk_start-Risk_target)*EXP(-Risk_speed*P35)+Trough_depth*(P35/Trough_time)*EXP(1-P35/Trough_time)</f>
        <v>66.1736283587675</v>
      </c>
    </row>
    <row r="36" customFormat="false" ht="15" hidden="false" customHeight="false" outlineLevel="0" collapsed="false">
      <c r="A36" s="8"/>
      <c r="B36" s="8" t="s">
        <v>23</v>
      </c>
      <c r="C36" s="8" t="s">
        <v>28</v>
      </c>
      <c r="D36" s="8" t="s">
        <v>32</v>
      </c>
      <c r="E36" s="8" t="s">
        <v>37</v>
      </c>
      <c r="F36" s="8" t="s">
        <v>40</v>
      </c>
      <c r="G36" s="8" t="s">
        <v>42</v>
      </c>
      <c r="H36" s="8" t="s">
        <v>46</v>
      </c>
      <c r="O36" s="10" t="n">
        <v>30</v>
      </c>
      <c r="P36" s="17" t="n">
        <f aca="false">O36/12</f>
        <v>2.5</v>
      </c>
      <c r="Q36" s="14" t="n">
        <f aca="false">Risk_target+(Risk_start-Risk_target)*EXP(-Risk_speed*P36)+Trough_depth*(P36/Trough_time)*EXP(1-P36/Trough_time)</f>
        <v>65.6543409675087</v>
      </c>
    </row>
    <row r="37" customFormat="false" ht="15" hidden="false" customHeight="false" outlineLevel="0" collapsed="false">
      <c r="A37" s="4" t="s">
        <v>23</v>
      </c>
      <c r="B37" s="10" t="n">
        <f aca="false">SIGN($B$26*$B$26+$C$26*$B$27+$D$26*$B$28+$E$26*$B$29+$F$26*$B$30+$G$26*$B$31+$H$26*$B$32)</f>
        <v>1</v>
      </c>
      <c r="C37" s="10" t="n">
        <f aca="false">SIGN($B$26*$C$26+$C$26*$C$27+$D$26*$C$28+$E$26*$C$29+$F$26*$C$30+$G$26*$C$31+$H$26*$C$32)</f>
        <v>0</v>
      </c>
      <c r="D37" s="10" t="n">
        <f aca="false">SIGN($B$26*$D$26+$C$26*$D$27+$D$26*$D$28+$E$26*$D$29+$F$26*$D$30+$G$26*$D$31+$H$26*$D$32)</f>
        <v>0</v>
      </c>
      <c r="E37" s="10" t="n">
        <f aca="false">SIGN($B$26*$E$26+$C$26*$E$27+$D$26*$E$28+$E$26*$E$29+$F$26*$E$30+$G$26*$E$31+$H$26*$E$32)</f>
        <v>0</v>
      </c>
      <c r="F37" s="10" t="n">
        <f aca="false">SIGN($B$26*$F$26+$C$26*$F$27+$D$26*$F$28+$E$26*$F$29+$F$26*$F$30+$G$26*$F$31+$H$26*$F$32)</f>
        <v>0</v>
      </c>
      <c r="G37" s="10" t="n">
        <f aca="false">SIGN($B$26*$G$26+$C$26*$G$27+$D$26*$G$28+$E$26*$G$29+$F$26*$G$30+$G$26*$G$31+$H$26*$G$32)</f>
        <v>0</v>
      </c>
      <c r="H37" s="10" t="n">
        <f aca="false">SIGN($B$26*$H$26+$C$26*$H$27+$D$26*$H$28+$E$26*$H$29+$F$26*$H$30+$G$26*$H$31+$H$26*$H$32)</f>
        <v>0</v>
      </c>
      <c r="O37" s="10" t="n">
        <v>31</v>
      </c>
      <c r="P37" s="17" t="n">
        <f aca="false">O37/12</f>
        <v>2.58333333333333</v>
      </c>
      <c r="Q37" s="14" t="n">
        <f aca="false">Risk_target+(Risk_start-Risk_target)*EXP(-Risk_speed*P37)+Trough_depth*(P37/Trough_time)*EXP(1-P37/Trough_time)</f>
        <v>65.1422545781151</v>
      </c>
    </row>
    <row r="38" customFormat="false" ht="15" hidden="false" customHeight="false" outlineLevel="0" collapsed="false">
      <c r="A38" s="4" t="s">
        <v>28</v>
      </c>
      <c r="B38" s="10" t="n">
        <f aca="false">SIGN($B$27*$B$26+$C$27*$B$27+$D$27*$B$28+$E$27*$B$29+$F$27*$B$30+$G$27*$B$31+$H$27*$B$32)</f>
        <v>0</v>
      </c>
      <c r="C38" s="10" t="n">
        <f aca="false">SIGN($B$27*$C$26+$C$27*$C$27+$D$27*$C$28+$E$27*$C$29+$F$27*$C$30+$G$27*$C$31+$H$27*$C$32)</f>
        <v>1</v>
      </c>
      <c r="D38" s="10" t="n">
        <f aca="false">SIGN($B$27*$D$26+$C$27*$D$27+$D$27*$D$28+$E$27*$D$29+$F$27*$D$30+$G$27*$D$31+$H$27*$D$32)</f>
        <v>0</v>
      </c>
      <c r="E38" s="10" t="n">
        <f aca="false">SIGN($B$27*$E$26+$C$27*$E$27+$D$27*$E$28+$E$27*$E$29+$F$27*$E$30+$G$27*$E$31+$H$27*$E$32)</f>
        <v>0</v>
      </c>
      <c r="F38" s="10" t="n">
        <f aca="false">SIGN($B$27*$F$26+$C$27*$F$27+$D$27*$F$28+$E$27*$F$29+$F$27*$F$30+$G$27*$F$31+$H$27*$F$32)</f>
        <v>0</v>
      </c>
      <c r="G38" s="10" t="n">
        <f aca="false">SIGN($B$27*$G$26+$C$27*$G$27+$D$27*$G$28+$E$27*$G$29+$F$27*$G$30+$G$27*$G$31+$H$27*$G$32)</f>
        <v>0</v>
      </c>
      <c r="H38" s="10" t="n">
        <f aca="false">SIGN($B$27*$H$26+$C$27*$H$27+$D$27*$H$28+$E$27*$H$29+$F$27*$H$30+$G$27*$H$31+$H$27*$H$32)</f>
        <v>0</v>
      </c>
      <c r="O38" s="10" t="n">
        <v>32</v>
      </c>
      <c r="P38" s="17" t="n">
        <f aca="false">O38/12</f>
        <v>2.66666666666667</v>
      </c>
      <c r="Q38" s="14" t="n">
        <f aca="false">Risk_target+(Risk_start-Risk_target)*EXP(-Risk_speed*P38)+Trough_depth*(P38/Trough_time)*EXP(1-P38/Trough_time)</f>
        <v>64.6385494433426</v>
      </c>
    </row>
    <row r="39" customFormat="false" ht="15" hidden="false" customHeight="false" outlineLevel="0" collapsed="false">
      <c r="A39" s="4" t="s">
        <v>32</v>
      </c>
      <c r="B39" s="10" t="n">
        <f aca="false">SIGN($B$28*$B$26+$C$28*$B$27+$D$28*$B$28+$E$28*$B$29+$F$28*$B$30+$G$28*$B$31+$H$28*$B$32)</f>
        <v>0</v>
      </c>
      <c r="C39" s="10" t="n">
        <f aca="false">SIGN($B$28*$C$26+$C$28*$C$27+$D$28*$C$28+$E$28*$C$29+$F$28*$C$30+$G$28*$C$31+$H$28*$C$32)</f>
        <v>0</v>
      </c>
      <c r="D39" s="10" t="n">
        <f aca="false">SIGN($B$28*$D$26+$C$28*$D$27+$D$28*$D$28+$E$28*$D$29+$F$28*$D$30+$G$28*$D$31+$H$28*$D$32)</f>
        <v>1</v>
      </c>
      <c r="E39" s="10" t="n">
        <f aca="false">SIGN($B$28*$E$26+$C$28*$E$27+$D$28*$E$28+$E$28*$E$29+$F$28*$E$30+$G$28*$E$31+$H$28*$E$32)</f>
        <v>1</v>
      </c>
      <c r="F39" s="10" t="n">
        <f aca="false">SIGN($B$28*$F$26+$C$28*$F$27+$D$28*$F$28+$E$28*$F$29+$F$28*$F$30+$G$28*$F$31+$H$28*$F$32)</f>
        <v>1</v>
      </c>
      <c r="G39" s="10" t="n">
        <f aca="false">SIGN($B$28*$G$26+$C$28*$G$27+$D$28*$G$28+$E$28*$G$29+$F$28*$G$30+$G$28*$G$31+$H$28*$G$32)</f>
        <v>1</v>
      </c>
      <c r="H39" s="10" t="n">
        <f aca="false">SIGN($B$28*$H$26+$C$28*$H$27+$D$28*$H$28+$E$28*$H$29+$F$28*$H$30+$G$28*$H$31+$H$28*$H$32)</f>
        <v>0</v>
      </c>
      <c r="O39" s="10" t="n">
        <v>33</v>
      </c>
      <c r="P39" s="17" t="n">
        <f aca="false">O39/12</f>
        <v>2.75</v>
      </c>
      <c r="Q39" s="14" t="n">
        <f aca="false">Risk_target+(Risk_start-Risk_target)*EXP(-Risk_speed*P39)+Trough_depth*(P39/Trough_time)*EXP(1-P39/Trough_time)</f>
        <v>64.144221297692</v>
      </c>
    </row>
    <row r="40" customFormat="false" ht="15" hidden="false" customHeight="false" outlineLevel="0" collapsed="false">
      <c r="A40" s="4" t="s">
        <v>37</v>
      </c>
      <c r="B40" s="10" t="n">
        <f aca="false">SIGN($B$29*$B$26+$C$29*$B$27+$D$29*$B$28+$E$29*$B$29+$F$29*$B$30+$G$29*$B$31+$H$29*$B$32)</f>
        <v>0</v>
      </c>
      <c r="C40" s="10" t="n">
        <f aca="false">SIGN($B$29*$C$26+$C$29*$C$27+$D$29*$C$28+$E$29*$C$29+$F$29*$C$30+$G$29*$C$31+$H$29*$C$32)</f>
        <v>0</v>
      </c>
      <c r="D40" s="10" t="n">
        <f aca="false">SIGN($B$29*$D$26+$C$29*$D$27+$D$29*$D$28+$E$29*$D$29+$F$29*$D$30+$G$29*$D$31+$H$29*$D$32)</f>
        <v>1</v>
      </c>
      <c r="E40" s="10" t="n">
        <f aca="false">SIGN($B$29*$E$26+$C$29*$E$27+$D$29*$E$28+$E$29*$E$29+$F$29*$E$30+$G$29*$E$31+$H$29*$E$32)</f>
        <v>1</v>
      </c>
      <c r="F40" s="10" t="n">
        <f aca="false">SIGN($B$29*$F$26+$C$29*$F$27+$D$29*$F$28+$E$29*$F$29+$F$29*$F$30+$G$29*$F$31+$H$29*$F$32)</f>
        <v>1</v>
      </c>
      <c r="G40" s="10" t="n">
        <f aca="false">SIGN($B$29*$G$26+$C$29*$G$27+$D$29*$G$28+$E$29*$G$29+$F$29*$G$30+$G$29*$G$31+$H$29*$G$32)</f>
        <v>1</v>
      </c>
      <c r="H40" s="10" t="n">
        <f aca="false">SIGN($B$29*$H$26+$C$29*$H$27+$D$29*$H$28+$E$29*$H$29+$F$29*$H$30+$G$29*$H$31+$H$29*$H$32)</f>
        <v>0</v>
      </c>
      <c r="O40" s="10" t="n">
        <v>34</v>
      </c>
      <c r="P40" s="17" t="n">
        <f aca="false">O40/12</f>
        <v>2.83333333333333</v>
      </c>
      <c r="Q40" s="14" t="n">
        <f aca="false">Risk_target+(Risk_start-Risk_target)*EXP(-Risk_speed*P40)+Trough_depth*(P40/Trough_time)*EXP(1-P40/Trough_time)</f>
        <v>63.6601005982351</v>
      </c>
    </row>
    <row r="41" customFormat="false" ht="15" hidden="false" customHeight="false" outlineLevel="0" collapsed="false">
      <c r="A41" s="4" t="s">
        <v>40</v>
      </c>
      <c r="B41" s="10" t="n">
        <f aca="false">SIGN($B$30*$B$26+$C$30*$B$27+$D$30*$B$28+$E$30*$B$29+$F$30*$B$30+$G$30*$B$31+$H$30*$B$32)</f>
        <v>0</v>
      </c>
      <c r="C41" s="10" t="n">
        <f aca="false">SIGN($B$30*$C$26+$C$30*$C$27+$D$30*$C$28+$E$30*$C$29+$F$30*$C$30+$G$30*$C$31+$H$30*$C$32)</f>
        <v>0</v>
      </c>
      <c r="D41" s="10" t="n">
        <f aca="false">SIGN($B$30*$D$26+$C$30*$D$27+$D$30*$D$28+$E$30*$D$29+$F$30*$D$30+$G$30*$D$31+$H$30*$D$32)</f>
        <v>1</v>
      </c>
      <c r="E41" s="10" t="n">
        <f aca="false">SIGN($B$30*$E$26+$C$30*$E$27+$D$30*$E$28+$E$30*$E$29+$F$30*$E$30+$G$30*$E$31+$H$30*$E$32)</f>
        <v>1</v>
      </c>
      <c r="F41" s="10" t="n">
        <f aca="false">SIGN($B$30*$F$26+$C$30*$F$27+$D$30*$F$28+$E$30*$F$29+$F$30*$F$30+$G$30*$F$31+$H$30*$F$32)</f>
        <v>1</v>
      </c>
      <c r="G41" s="10" t="n">
        <f aca="false">SIGN($B$30*$G$26+$C$30*$G$27+$D$30*$G$28+$E$30*$G$29+$F$30*$G$30+$G$30*$G$31+$H$30*$G$32)</f>
        <v>1</v>
      </c>
      <c r="H41" s="10" t="n">
        <f aca="false">SIGN($B$30*$H$26+$C$30*$H$27+$D$30*$H$28+$E$30*$H$29+$F$30*$H$30+$G$30*$H$31+$H$30*$H$32)</f>
        <v>0</v>
      </c>
      <c r="O41" s="10" t="n">
        <v>35</v>
      </c>
      <c r="P41" s="17" t="n">
        <f aca="false">O41/12</f>
        <v>2.91666666666667</v>
      </c>
      <c r="Q41" s="14" t="n">
        <f aca="false">Risk_target+(Risk_start-Risk_target)*EXP(-Risk_speed*P41)+Trough_depth*(P41/Trough_time)*EXP(1-P41/Trough_time)</f>
        <v>63.1868700209848</v>
      </c>
    </row>
    <row r="42" customFormat="false" ht="15" hidden="false" customHeight="false" outlineLevel="0" collapsed="false">
      <c r="A42" s="4" t="s">
        <v>42</v>
      </c>
      <c r="B42" s="10" t="n">
        <f aca="false">SIGN($B$31*$B$26+$C$31*$B$27+$D$31*$B$28+$E$31*$B$29+$F$31*$B$30+$G$31*$B$31+$H$31*$B$32)</f>
        <v>0</v>
      </c>
      <c r="C42" s="10" t="n">
        <f aca="false">SIGN($B$31*$C$26+$C$31*$C$27+$D$31*$C$28+$E$31*$C$29+$F$31*$C$30+$G$31*$C$31+$H$31*$C$32)</f>
        <v>0</v>
      </c>
      <c r="D42" s="10" t="n">
        <f aca="false">SIGN($B$31*$D$26+$C$31*$D$27+$D$31*$D$28+$E$31*$D$29+$F$31*$D$30+$G$31*$D$31+$H$31*$D$32)</f>
        <v>1</v>
      </c>
      <c r="E42" s="10" t="n">
        <f aca="false">SIGN($B$31*$E$26+$C$31*$E$27+$D$31*$E$28+$E$31*$E$29+$F$31*$E$30+$G$31*$E$31+$H$31*$E$32)</f>
        <v>1</v>
      </c>
      <c r="F42" s="10" t="n">
        <f aca="false">SIGN($B$31*$F$26+$C$31*$F$27+$D$31*$F$28+$E$31*$F$29+$F$31*$F$30+$G$31*$F$31+$H$31*$F$32)</f>
        <v>1</v>
      </c>
      <c r="G42" s="10" t="n">
        <f aca="false">SIGN($B$31*$G$26+$C$31*$G$27+$D$31*$G$28+$E$31*$G$29+$F$31*$G$30+$G$31*$G$31+$H$31*$G$32)</f>
        <v>1</v>
      </c>
      <c r="H42" s="10" t="n">
        <f aca="false">SIGN($B$31*$H$26+$C$31*$H$27+$D$31*$H$28+$E$31*$H$29+$F$31*$H$30+$G$31*$H$31+$H$31*$H$32)</f>
        <v>0</v>
      </c>
      <c r="O42" s="10" t="n">
        <v>36</v>
      </c>
      <c r="P42" s="17" t="n">
        <f aca="false">O42/12</f>
        <v>3</v>
      </c>
      <c r="Q42" s="14" t="n">
        <f aca="false">Risk_target+(Risk_start-Risk_target)*EXP(-Risk_speed*P42)+Trough_depth*(P42/Trough_time)*EXP(1-P42/Trough_time)</f>
        <v>62.7250803600537</v>
      </c>
    </row>
    <row r="43" customFormat="false" ht="15" hidden="false" customHeight="false" outlineLevel="0" collapsed="false">
      <c r="A43" s="4" t="s">
        <v>46</v>
      </c>
      <c r="B43" s="10" t="n">
        <f aca="false">SIGN($B$32*$B$26+$C$32*$B$27+$D$32*$B$28+$E$32*$B$29+$F$32*$B$30+$G$32*$B$31+$H$32*$B$32)</f>
        <v>0</v>
      </c>
      <c r="C43" s="10" t="n">
        <f aca="false">SIGN($B$32*$C$26+$C$32*$C$27+$D$32*$C$28+$E$32*$C$29+$F$32*$C$30+$G$32*$C$31+$H$32*$C$32)</f>
        <v>0</v>
      </c>
      <c r="D43" s="10" t="n">
        <f aca="false">SIGN($B$32*$D$26+$C$32*$D$27+$D$32*$D$28+$E$32*$D$29+$F$32*$D$30+$G$32*$D$31+$H$32*$D$32)</f>
        <v>0</v>
      </c>
      <c r="E43" s="10" t="n">
        <f aca="false">SIGN($B$32*$E$26+$C$32*$E$27+$D$32*$E$28+$E$32*$E$29+$F$32*$E$30+$G$32*$E$31+$H$32*$E$32)</f>
        <v>0</v>
      </c>
      <c r="F43" s="10" t="n">
        <f aca="false">SIGN($B$32*$F$26+$C$32*$F$27+$D$32*$F$28+$E$32*$F$29+$F$32*$F$30+$G$32*$F$31+$H$32*$F$32)</f>
        <v>0</v>
      </c>
      <c r="G43" s="10" t="n">
        <f aca="false">SIGN($B$32*$G$26+$C$32*$G$27+$D$32*$G$28+$E$32*$G$29+$F$32*$G$30+$G$32*$G$31+$H$32*$G$32)</f>
        <v>0</v>
      </c>
      <c r="H43" s="10" t="n">
        <f aca="false">SIGN($B$32*$H$26+$C$32*$H$27+$D$32*$H$28+$E$32*$H$29+$F$32*$H$30+$G$32*$H$31+$H$32*$H$32)</f>
        <v>1</v>
      </c>
      <c r="O43" s="10" t="n">
        <v>37</v>
      </c>
      <c r="P43" s="17" t="n">
        <f aca="false">O43/12</f>
        <v>3.08333333333333</v>
      </c>
      <c r="Q43" s="14" t="n">
        <f aca="false">Risk_target+(Risk_start-Risk_target)*EXP(-Risk_speed*P43)+Trough_depth*(P43/Trough_time)*EXP(1-P43/Trough_time)</f>
        <v>62.2751649649466</v>
      </c>
    </row>
    <row r="44" customFormat="false" ht="15" hidden="false" customHeight="false" outlineLevel="0" collapsed="false">
      <c r="O44" s="10" t="n">
        <v>38</v>
      </c>
      <c r="P44" s="17" t="n">
        <f aca="false">O44/12</f>
        <v>3.16666666666667</v>
      </c>
      <c r="Q44" s="14" t="n">
        <f aca="false">Risk_target+(Risk_start-Risk_target)*EXP(-Risk_speed*P44)+Trough_depth*(P44/Trough_time)*EXP(1-P44/Trough_time)</f>
        <v>61.8374528403716</v>
      </c>
    </row>
    <row r="45" customFormat="false" ht="15" hidden="false" customHeight="false" outlineLevel="0" collapsed="false">
      <c r="O45" s="10" t="n">
        <v>39</v>
      </c>
      <c r="P45" s="17" t="n">
        <f aca="false">O45/12</f>
        <v>3.25</v>
      </c>
      <c r="Q45" s="14" t="n">
        <f aca="false">Risk_target+(Risk_start-Risk_target)*EXP(-Risk_speed*P45)+Trough_depth*(P45/Trough_time)*EXP(1-P45/Trough_time)</f>
        <v>61.4121805228463</v>
      </c>
    </row>
    <row r="46" customFormat="false" ht="15" hidden="false" customHeight="false" outlineLevel="0" collapsed="false">
      <c r="A46" s="4" t="s">
        <v>731</v>
      </c>
      <c r="O46" s="10" t="n">
        <v>40</v>
      </c>
      <c r="P46" s="17" t="n">
        <f aca="false">O46/12</f>
        <v>3.33333333333333</v>
      </c>
      <c r="Q46" s="14" t="n">
        <f aca="false">Risk_target+(Risk_start-Risk_target)*EXP(-Risk_speed*P46)+Trough_depth*(P46/Trough_time)*EXP(1-P46/Trough_time)</f>
        <v>60.9995028390737</v>
      </c>
    </row>
    <row r="47" customFormat="false" ht="15" hidden="false" customHeight="false" outlineLevel="0" collapsed="false">
      <c r="A47" s="8"/>
      <c r="B47" s="8" t="s">
        <v>23</v>
      </c>
      <c r="C47" s="8" t="s">
        <v>28</v>
      </c>
      <c r="D47" s="8" t="s">
        <v>32</v>
      </c>
      <c r="E47" s="8" t="s">
        <v>37</v>
      </c>
      <c r="F47" s="8" t="s">
        <v>40</v>
      </c>
      <c r="G47" s="8" t="s">
        <v>42</v>
      </c>
      <c r="H47" s="8" t="s">
        <v>46</v>
      </c>
      <c r="O47" s="10" t="n">
        <v>41</v>
      </c>
      <c r="P47" s="17" t="n">
        <f aca="false">O47/12</f>
        <v>3.41666666666667</v>
      </c>
      <c r="Q47" s="14" t="n">
        <f aca="false">Risk_target+(Risk_start-Risk_target)*EXP(-Risk_speed*P47)+Trough_depth*(P47/Trough_time)*EXP(1-P47/Trough_time)</f>
        <v>60.5995026424849</v>
      </c>
    </row>
    <row r="48" customFormat="false" ht="15" hidden="false" customHeight="false" outlineLevel="0" collapsed="false">
      <c r="A48" s="4" t="s">
        <v>23</v>
      </c>
      <c r="B48" s="10" t="n">
        <f aca="false">SIGN($B$37*$B$37+$C$37*$B$38+$D$37*$B$39+$E$37*$B$40+$F$37*$B$41+$G$37*$B$42+$H$37*$B$43)</f>
        <v>1</v>
      </c>
      <c r="C48" s="10" t="n">
        <f aca="false">SIGN($B$37*$C$37+$C$37*$C$38+$D$37*$C$39+$E$37*$C$40+$F$37*$C$41+$G$37*$C$42+$H$37*$C$43)</f>
        <v>0</v>
      </c>
      <c r="D48" s="10" t="n">
        <f aca="false">SIGN($B$37*$D$37+$C$37*$D$38+$D$37*$D$39+$E$37*$D$40+$F$37*$D$41+$G$37*$D$42+$H$37*$D$43)</f>
        <v>0</v>
      </c>
      <c r="E48" s="10" t="n">
        <f aca="false">SIGN($B$37*$E$37+$C$37*$E$38+$D$37*$E$39+$E$37*$E$40+$F$37*$E$41+$G$37*$E$42+$H$37*$E$43)</f>
        <v>0</v>
      </c>
      <c r="F48" s="10" t="n">
        <f aca="false">SIGN($B$37*$F$37+$C$37*$F$38+$D$37*$F$39+$E$37*$F$40+$F$37*$F$41+$G$37*$F$42+$H$37*$F$43)</f>
        <v>0</v>
      </c>
      <c r="G48" s="10" t="n">
        <f aca="false">SIGN($B$37*$G$37+$C$37*$G$38+$D$37*$G$39+$E$37*$G$40+$F$37*$G$41+$G$37*$G$42+$H$37*$G$43)</f>
        <v>0</v>
      </c>
      <c r="H48" s="10" t="n">
        <f aca="false">SIGN($B$37*$H$37+$C$37*$H$38+$D$37*$H$39+$E$37*$H$40+$F$37*$H$41+$G$37*$H$42+$H$37*$H$43)</f>
        <v>0</v>
      </c>
      <c r="O48" s="10" t="n">
        <v>42</v>
      </c>
      <c r="P48" s="17" t="n">
        <f aca="false">O48/12</f>
        <v>3.5</v>
      </c>
      <c r="Q48" s="14" t="n">
        <f aca="false">Risk_target+(Risk_start-Risk_target)*EXP(-Risk_speed*P48)+Trough_depth*(P48/Trough_time)*EXP(1-P48/Trough_time)</f>
        <v>60.2121996164541</v>
      </c>
    </row>
    <row r="49" customFormat="false" ht="15" hidden="false" customHeight="false" outlineLevel="0" collapsed="false">
      <c r="A49" s="4" t="s">
        <v>28</v>
      </c>
      <c r="B49" s="10" t="n">
        <f aca="false">SIGN($B$38*$B$37+$C$38*$B$38+$D$38*$B$39+$E$38*$B$40+$F$38*$B$41+$G$38*$B$42+$H$38*$B$43)</f>
        <v>0</v>
      </c>
      <c r="C49" s="10" t="n">
        <f aca="false">SIGN($B$38*$C$37+$C$38*$C$38+$D$38*$C$39+$E$38*$C$40+$F$38*$C$41+$G$38*$C$42+$H$38*$C$43)</f>
        <v>1</v>
      </c>
      <c r="D49" s="10" t="n">
        <f aca="false">SIGN($B$38*$D$37+$C$38*$D$38+$D$38*$D$39+$E$38*$D$40+$F$38*$D$41+$G$38*$D$42+$H$38*$D$43)</f>
        <v>0</v>
      </c>
      <c r="E49" s="10" t="n">
        <f aca="false">SIGN($B$38*$E$37+$C$38*$E$38+$D$38*$E$39+$E$38*$E$40+$F$38*$E$41+$G$38*$E$42+$H$38*$E$43)</f>
        <v>0</v>
      </c>
      <c r="F49" s="10" t="n">
        <f aca="false">SIGN($B$38*$F$37+$C$38*$F$38+$D$38*$F$39+$E$38*$F$40+$F$38*$F$41+$G$38*$F$42+$H$38*$F$43)</f>
        <v>0</v>
      </c>
      <c r="G49" s="10" t="n">
        <f aca="false">SIGN($B$38*$G$37+$C$38*$G$38+$D$38*$G$39+$E$38*$G$40+$F$38*$G$41+$G$38*$G$42+$H$38*$G$43)</f>
        <v>0</v>
      </c>
      <c r="H49" s="10" t="n">
        <f aca="false">SIGN($B$38*$H$37+$C$38*$H$38+$D$38*$H$39+$E$38*$H$40+$F$38*$H$41+$G$38*$H$42+$H$38*$H$43)</f>
        <v>0</v>
      </c>
      <c r="O49" s="10" t="n">
        <v>43</v>
      </c>
      <c r="P49" s="17" t="n">
        <f aca="false">O49/12</f>
        <v>3.58333333333333</v>
      </c>
      <c r="Q49" s="14" t="n">
        <f aca="false">Risk_target+(Risk_start-Risk_target)*EXP(-Risk_speed*P49)+Trough_depth*(P49/Trough_time)*EXP(1-P49/Trough_time)</f>
        <v>59.8375582254175</v>
      </c>
    </row>
    <row r="50" customFormat="false" ht="15" hidden="false" customHeight="false" outlineLevel="0" collapsed="false">
      <c r="A50" s="4" t="s">
        <v>32</v>
      </c>
      <c r="B50" s="10" t="n">
        <f aca="false">SIGN($B$39*$B$37+$C$39*$B$38+$D$39*$B$39+$E$39*$B$40+$F$39*$B$41+$G$39*$B$42+$H$39*$B$43)</f>
        <v>0</v>
      </c>
      <c r="C50" s="10" t="n">
        <f aca="false">SIGN($B$39*$C$37+$C$39*$C$38+$D$39*$C$39+$E$39*$C$40+$F$39*$C$41+$G$39*$C$42+$H$39*$C$43)</f>
        <v>0</v>
      </c>
      <c r="D50" s="10" t="n">
        <f aca="false">SIGN($B$39*$D$37+$C$39*$D$38+$D$39*$D$39+$E$39*$D$40+$F$39*$D$41+$G$39*$D$42+$H$39*$D$43)</f>
        <v>1</v>
      </c>
      <c r="E50" s="10" t="n">
        <f aca="false">SIGN($B$39*$E$37+$C$39*$E$38+$D$39*$E$39+$E$39*$E$40+$F$39*$E$41+$G$39*$E$42+$H$39*$E$43)</f>
        <v>1</v>
      </c>
      <c r="F50" s="10" t="n">
        <f aca="false">SIGN($B$39*$F$37+$C$39*$F$38+$D$39*$F$39+$E$39*$F$40+$F$39*$F$41+$G$39*$F$42+$H$39*$F$43)</f>
        <v>1</v>
      </c>
      <c r="G50" s="10" t="n">
        <f aca="false">SIGN($B$39*$G$37+$C$39*$G$38+$D$39*$G$39+$E$39*$G$40+$F$39*$G$41+$G$39*$G$42+$H$39*$G$43)</f>
        <v>1</v>
      </c>
      <c r="H50" s="10" t="n">
        <f aca="false">SIGN($B$39*$H$37+$C$39*$H$38+$D$39*$H$39+$E$39*$H$40+$F$39*$H$41+$G$39*$H$42+$H$39*$H$43)</f>
        <v>0</v>
      </c>
      <c r="O50" s="10" t="n">
        <v>44</v>
      </c>
      <c r="P50" s="17" t="n">
        <f aca="false">O50/12</f>
        <v>3.66666666666667</v>
      </c>
      <c r="Q50" s="14" t="n">
        <f aca="false">Risk_target+(Risk_start-Risk_target)*EXP(-Risk_speed*P50)+Trough_depth*(P50/Trough_time)*EXP(1-P50/Trough_time)</f>
        <v>59.4754948884388</v>
      </c>
    </row>
    <row r="51" customFormat="false" ht="15" hidden="false" customHeight="false" outlineLevel="0" collapsed="false">
      <c r="A51" s="4" t="s">
        <v>37</v>
      </c>
      <c r="B51" s="10" t="n">
        <f aca="false">SIGN($B$40*$B$37+$C$40*$B$38+$D$40*$B$39+$E$40*$B$40+$F$40*$B$41+$G$40*$B$42+$H$40*$B$43)</f>
        <v>0</v>
      </c>
      <c r="C51" s="10" t="n">
        <f aca="false">SIGN($B$40*$C$37+$C$40*$C$38+$D$40*$C$39+$E$40*$C$40+$F$40*$C$41+$G$40*$C$42+$H$40*$C$43)</f>
        <v>0</v>
      </c>
      <c r="D51" s="10" t="n">
        <f aca="false">SIGN($B$40*$D$37+$C$40*$D$38+$D$40*$D$39+$E$40*$D$40+$F$40*$D$41+$G$40*$D$42+$H$40*$D$43)</f>
        <v>1</v>
      </c>
      <c r="E51" s="10" t="n">
        <f aca="false">SIGN($B$40*$E$37+$C$40*$E$38+$D$40*$E$39+$E$40*$E$40+$F$40*$E$41+$G$40*$E$42+$H$40*$E$43)</f>
        <v>1</v>
      </c>
      <c r="F51" s="10" t="n">
        <f aca="false">SIGN($B$40*$F$37+$C$40*$F$38+$D$40*$F$39+$E$40*$F$40+$F$40*$F$41+$G$40*$F$42+$H$40*$F$43)</f>
        <v>1</v>
      </c>
      <c r="G51" s="10" t="n">
        <f aca="false">SIGN($B$40*$G$37+$C$40*$G$38+$D$40*$G$39+$E$40*$G$40+$F$40*$G$41+$G$40*$G$42+$H$40*$G$43)</f>
        <v>1</v>
      </c>
      <c r="H51" s="10" t="n">
        <f aca="false">SIGN($B$40*$H$37+$C$40*$H$38+$D$40*$H$39+$E$40*$H$40+$F$40*$H$41+$G$40*$H$42+$H$40*$H$43)</f>
        <v>0</v>
      </c>
      <c r="O51" s="10" t="n">
        <v>45</v>
      </c>
      <c r="P51" s="17" t="n">
        <f aca="false">O51/12</f>
        <v>3.75</v>
      </c>
      <c r="Q51" s="14" t="n">
        <f aca="false">Risk_target+(Risk_start-Risk_target)*EXP(-Risk_speed*P51)+Trough_depth*(P51/Trough_time)*EXP(1-P51/Trough_time)</f>
        <v>59.1258844435986</v>
      </c>
    </row>
    <row r="52" customFormat="false" ht="15" hidden="false" customHeight="false" outlineLevel="0" collapsed="false">
      <c r="A52" s="4" t="s">
        <v>40</v>
      </c>
      <c r="B52" s="10" t="n">
        <f aca="false">SIGN($B$41*$B$37+$C$41*$B$38+$D$41*$B$39+$E$41*$B$40+$F$41*$B$41+$G$41*$B$42+$H$41*$B$43)</f>
        <v>0</v>
      </c>
      <c r="C52" s="10" t="n">
        <f aca="false">SIGN($B$41*$C$37+$C$41*$C$38+$D$41*$C$39+$E$41*$C$40+$F$41*$C$41+$G$41*$C$42+$H$41*$C$43)</f>
        <v>0</v>
      </c>
      <c r="D52" s="10" t="n">
        <f aca="false">SIGN($B$41*$D$37+$C$41*$D$38+$D$41*$D$39+$E$41*$D$40+$F$41*$D$41+$G$41*$D$42+$H$41*$D$43)</f>
        <v>1</v>
      </c>
      <c r="E52" s="10" t="n">
        <f aca="false">SIGN($B$41*$E$37+$C$41*$E$38+$D$41*$E$39+$E$41*$E$40+$F$41*$E$41+$G$41*$E$42+$H$41*$E$43)</f>
        <v>1</v>
      </c>
      <c r="F52" s="10" t="n">
        <f aca="false">SIGN($B$41*$F$37+$C$41*$F$38+$D$41*$F$39+$E$41*$F$40+$F$41*$F$41+$G$41*$F$42+$H$41*$F$43)</f>
        <v>1</v>
      </c>
      <c r="G52" s="10" t="n">
        <f aca="false">SIGN($B$41*$G$37+$C$41*$G$38+$D$41*$G$39+$E$41*$G$40+$F$41*$G$41+$G$41*$G$42+$H$41*$G$43)</f>
        <v>1</v>
      </c>
      <c r="H52" s="10" t="n">
        <f aca="false">SIGN($B$41*$H$37+$C$41*$H$38+$D$41*$H$39+$E$41*$H$40+$F$41*$H$41+$G$41*$H$42+$H$41*$H$43)</f>
        <v>0</v>
      </c>
      <c r="O52" s="10" t="n">
        <v>46</v>
      </c>
      <c r="P52" s="17" t="n">
        <f aca="false">O52/12</f>
        <v>3.83333333333333</v>
      </c>
      <c r="Q52" s="14" t="n">
        <f aca="false">Risk_target+(Risk_start-Risk_target)*EXP(-Risk_speed*P52)+Trough_depth*(P52/Trough_time)*EXP(1-P52/Trough_time)</f>
        <v>58.7885659659192</v>
      </c>
    </row>
    <row r="53" customFormat="false" ht="15" hidden="false" customHeight="false" outlineLevel="0" collapsed="false">
      <c r="A53" s="4" t="s">
        <v>42</v>
      </c>
      <c r="B53" s="10" t="n">
        <f aca="false">SIGN($B$42*$B$37+$C$42*$B$38+$D$42*$B$39+$E$42*$B$40+$F$42*$B$41+$G$42*$B$42+$H$42*$B$43)</f>
        <v>0</v>
      </c>
      <c r="C53" s="10" t="n">
        <f aca="false">SIGN($B$42*$C$37+$C$42*$C$38+$D$42*$C$39+$E$42*$C$40+$F$42*$C$41+$G$42*$C$42+$H$42*$C$43)</f>
        <v>0</v>
      </c>
      <c r="D53" s="10" t="n">
        <f aca="false">SIGN($B$42*$D$37+$C$42*$D$38+$D$42*$D$39+$E$42*$D$40+$F$42*$D$41+$G$42*$D$42+$H$42*$D$43)</f>
        <v>1</v>
      </c>
      <c r="E53" s="10" t="n">
        <f aca="false">SIGN($B$42*$E$37+$C$42*$E$38+$D$42*$E$39+$E$42*$E$40+$F$42*$E$41+$G$42*$E$42+$H$42*$E$43)</f>
        <v>1</v>
      </c>
      <c r="F53" s="10" t="n">
        <f aca="false">SIGN($B$42*$F$37+$C$42*$F$38+$D$42*$F$39+$E$42*$F$40+$F$42*$F$41+$G$42*$F$42+$H$42*$F$43)</f>
        <v>1</v>
      </c>
      <c r="G53" s="10" t="n">
        <f aca="false">SIGN($B$42*$G$37+$C$42*$G$38+$D$42*$G$39+$E$42*$G$40+$F$42*$G$41+$G$42*$G$42+$H$42*$G$43)</f>
        <v>1</v>
      </c>
      <c r="H53" s="10" t="n">
        <f aca="false">SIGN($B$42*$H$37+$C$42*$H$38+$D$42*$H$39+$E$42*$H$40+$F$42*$H$41+$G$42*$H$42+$H$42*$H$43)</f>
        <v>0</v>
      </c>
      <c r="O53" s="10" t="n">
        <v>47</v>
      </c>
      <c r="P53" s="17" t="n">
        <f aca="false">O53/12</f>
        <v>3.91666666666667</v>
      </c>
      <c r="Q53" s="14" t="n">
        <f aca="false">Risk_target+(Risk_start-Risk_target)*EXP(-Risk_speed*P53)+Trough_depth*(P53/Trough_time)*EXP(1-P53/Trough_time)</f>
        <v>58.463347996316</v>
      </c>
    </row>
    <row r="54" customFormat="false" ht="15" hidden="false" customHeight="false" outlineLevel="0" collapsed="false">
      <c r="A54" s="4" t="s">
        <v>46</v>
      </c>
      <c r="B54" s="10" t="n">
        <f aca="false">SIGN($B$43*$B$37+$C$43*$B$38+$D$43*$B$39+$E$43*$B$40+$F$43*$B$41+$G$43*$B$42+$H$43*$B$43)</f>
        <v>0</v>
      </c>
      <c r="C54" s="10" t="n">
        <f aca="false">SIGN($B$43*$C$37+$C$43*$C$38+$D$43*$C$39+$E$43*$C$40+$F$43*$C$41+$G$43*$C$42+$H$43*$C$43)</f>
        <v>0</v>
      </c>
      <c r="D54" s="10" t="n">
        <f aca="false">SIGN($B$43*$D$37+$C$43*$D$38+$D$43*$D$39+$E$43*$D$40+$F$43*$D$41+$G$43*$D$42+$H$43*$D$43)</f>
        <v>0</v>
      </c>
      <c r="E54" s="10" t="n">
        <f aca="false">SIGN($B$43*$E$37+$C$43*$E$38+$D$43*$E$39+$E$43*$E$40+$F$43*$E$41+$G$43*$E$42+$H$43*$E$43)</f>
        <v>0</v>
      </c>
      <c r="F54" s="10" t="n">
        <f aca="false">SIGN($B$43*$F$37+$C$43*$F$38+$D$43*$F$39+$E$43*$F$40+$F$43*$F$41+$G$43*$F$42+$H$43*$F$43)</f>
        <v>0</v>
      </c>
      <c r="G54" s="10" t="n">
        <f aca="false">SIGN($B$43*$G$37+$C$43*$G$38+$D$43*$G$39+$E$43*$G$40+$F$43*$G$41+$G$43*$G$42+$H$43*$G$43)</f>
        <v>0</v>
      </c>
      <c r="H54" s="10" t="n">
        <f aca="false">SIGN($B$43*$H$37+$C$43*$H$38+$D$43*$H$39+$E$43*$H$40+$F$43*$H$41+$G$43*$H$42+$H$43*$H$43)</f>
        <v>1</v>
      </c>
      <c r="O54" s="10" t="n">
        <v>48</v>
      </c>
      <c r="P54" s="17" t="n">
        <f aca="false">O54/12</f>
        <v>4</v>
      </c>
      <c r="Q54" s="14" t="n">
        <f aca="false">Risk_target+(Risk_start-Risk_target)*EXP(-Risk_speed*P54)+Trough_depth*(P54/Trough_time)*EXP(1-P54/Trough_time)</f>
        <v>58.1500132342694</v>
      </c>
    </row>
    <row r="55" customFormat="false" ht="15" hidden="false" customHeight="false" outlineLevel="0" collapsed="false">
      <c r="O55" s="10" t="n">
        <v>49</v>
      </c>
      <c r="P55" s="17" t="n">
        <f aca="false">O55/12</f>
        <v>4.08333333333333</v>
      </c>
      <c r="Q55" s="14" t="n">
        <f aca="false">Risk_target+(Risk_start-Risk_target)*EXP(-Risk_speed*P55)+Trough_depth*(P55/Trough_time)*EXP(1-P55/Trough_time)</f>
        <v>57.8483227424948</v>
      </c>
    </row>
    <row r="56" customFormat="false" ht="15" hidden="false" customHeight="false" outlineLevel="0" collapsed="false">
      <c r="O56" s="10" t="n">
        <v>50</v>
      </c>
      <c r="P56" s="17" t="n">
        <f aca="false">O56/12</f>
        <v>4.16666666666667</v>
      </c>
      <c r="Q56" s="14" t="n">
        <f aca="false">Risk_target+(Risk_start-Risk_target)*EXP(-Risk_speed*P56)+Trough_depth*(P56/Trough_time)*EXP(1-P56/Trough_time)</f>
        <v>57.5580197078313</v>
      </c>
    </row>
    <row r="57" customFormat="false" ht="15" hidden="false" customHeight="false" outlineLevel="0" collapsed="false">
      <c r="A57" s="4" t="s">
        <v>732</v>
      </c>
      <c r="O57" s="10" t="n">
        <v>51</v>
      </c>
      <c r="P57" s="17" t="n">
        <f aca="false">O57/12</f>
        <v>4.25</v>
      </c>
      <c r="Q57" s="14" t="n">
        <f aca="false">Risk_target+(Risk_start-Risk_target)*EXP(-Risk_speed*P57)+Trough_depth*(P57/Trough_time)*EXP(1-P57/Trough_time)</f>
        <v>57.2788327988341</v>
      </c>
    </row>
    <row r="58" customFormat="false" ht="15" hidden="false" customHeight="false" outlineLevel="0" collapsed="false">
      <c r="A58" s="8"/>
      <c r="B58" s="8" t="s">
        <v>23</v>
      </c>
      <c r="C58" s="8" t="s">
        <v>28</v>
      </c>
      <c r="D58" s="8" t="s">
        <v>32</v>
      </c>
      <c r="E58" s="8" t="s">
        <v>37</v>
      </c>
      <c r="F58" s="8" t="s">
        <v>40</v>
      </c>
      <c r="G58" s="8" t="s">
        <v>42</v>
      </c>
      <c r="H58" s="8" t="s">
        <v>46</v>
      </c>
      <c r="J58" s="8" t="s">
        <v>145</v>
      </c>
      <c r="O58" s="10" t="n">
        <v>52</v>
      </c>
      <c r="P58" s="17" t="n">
        <f aca="false">O58/12</f>
        <v>4.33333333333333</v>
      </c>
      <c r="Q58" s="14" t="n">
        <f aca="false">Risk_target+(Risk_start-Risk_target)*EXP(-Risk_speed*P58)+Trough_depth*(P58/Trough_time)*EXP(1-P58/Trough_time)</f>
        <v>57.0104791571291</v>
      </c>
    </row>
    <row r="59" customFormat="false" ht="15" hidden="false" customHeight="false" outlineLevel="0" collapsed="false">
      <c r="A59" s="4" t="s">
        <v>23</v>
      </c>
      <c r="B59" s="10" t="n">
        <f aca="false">SIGN($B$48*$B$48+$C$48*$B$49+$D$48*$B$50+$E$48*$B$51+$F$48*$B$52+$G$48*$B$53+$H$48*$B$54)</f>
        <v>1</v>
      </c>
      <c r="C59" s="10" t="n">
        <f aca="false">SIGN($B$48*$C$48+$C$48*$C$49+$D$48*$C$50+$E$48*$C$51+$F$48*$C$52+$G$48*$C$53+$H$48*$C$54)</f>
        <v>0</v>
      </c>
      <c r="D59" s="10" t="n">
        <f aca="false">SIGN($B$48*$D$48+$C$48*$D$49+$D$48*$D$50+$E$48*$D$51+$F$48*$D$52+$G$48*$D$53+$H$48*$D$54)</f>
        <v>0</v>
      </c>
      <c r="E59" s="10" t="n">
        <f aca="false">SIGN($B$48*$E$48+$C$48*$E$49+$D$48*$E$50+$E$48*$E$51+$F$48*$E$52+$G$48*$E$53+$H$48*$E$54)</f>
        <v>0</v>
      </c>
      <c r="F59" s="10" t="n">
        <f aca="false">SIGN($B$48*$F$48+$C$48*$F$49+$D$48*$F$50+$E$48*$F$51+$F$48*$F$52+$G$48*$F$53+$H$48*$F$54)</f>
        <v>0</v>
      </c>
      <c r="G59" s="10" t="n">
        <f aca="false">SIGN($B$48*$G$48+$C$48*$G$49+$D$48*$G$50+$E$48*$G$51+$F$48*$G$52+$G$48*$G$53+$H$48*$G$54)</f>
        <v>0</v>
      </c>
      <c r="H59" s="10" t="n">
        <f aca="false">SIGN($B$48*$H$48+$C$48*$H$49+$D$48*$H$50+$E$48*$H$51+$F$48*$H$52+$G$48*$H$53+$H$48*$H$54)</f>
        <v>0</v>
      </c>
      <c r="J59" s="10" t="n">
        <f aca="false">SUM($B$59:$H$59)</f>
        <v>1</v>
      </c>
      <c r="O59" s="10" t="n">
        <v>53</v>
      </c>
      <c r="P59" s="17" t="n">
        <f aca="false">O59/12</f>
        <v>4.41666666666667</v>
      </c>
      <c r="Q59" s="14" t="n">
        <f aca="false">Risk_target+(Risk_start-Risk_target)*EXP(-Risk_speed*P59)+Trough_depth*(P59/Trough_time)*EXP(1-P59/Trough_time)</f>
        <v>56.7526670564307</v>
      </c>
    </row>
    <row r="60" customFormat="false" ht="15" hidden="false" customHeight="false" outlineLevel="0" collapsed="false">
      <c r="A60" s="4" t="s">
        <v>28</v>
      </c>
      <c r="B60" s="10" t="n">
        <f aca="false">SIGN($B$49*$B$48+$C$49*$B$49+$D$49*$B$50+$E$49*$B$51+$F$49*$B$52+$G$49*$B$53+$H$49*$B$54)</f>
        <v>0</v>
      </c>
      <c r="C60" s="10" t="n">
        <f aca="false">SIGN($B$49*$C$48+$C$49*$C$49+$D$49*$C$50+$E$49*$C$51+$F$49*$C$52+$G$49*$C$53+$H$49*$C$54)</f>
        <v>1</v>
      </c>
      <c r="D60" s="10" t="n">
        <f aca="false">SIGN($B$49*$D$48+$C$49*$D$49+$D$49*$D$50+$E$49*$D$51+$F$49*$D$52+$G$49*$D$53+$H$49*$D$54)</f>
        <v>0</v>
      </c>
      <c r="E60" s="10" t="n">
        <f aca="false">SIGN($B$49*$E$48+$C$49*$E$49+$D$49*$E$50+$E$49*$E$51+$F$49*$E$52+$G$49*$E$53+$H$49*$E$54)</f>
        <v>0</v>
      </c>
      <c r="F60" s="10" t="n">
        <f aca="false">SIGN($B$49*$F$48+$C$49*$F$49+$D$49*$F$50+$E$49*$F$51+$F$49*$F$52+$G$49*$F$53+$H$49*$F$54)</f>
        <v>0</v>
      </c>
      <c r="G60" s="10" t="n">
        <f aca="false">SIGN($B$49*$G$48+$C$49*$G$49+$D$49*$G$50+$E$49*$G$51+$F$49*$G$52+$G$49*$G$53+$H$49*$G$54)</f>
        <v>0</v>
      </c>
      <c r="H60" s="10" t="n">
        <f aca="false">SIGN($B$49*$H$48+$C$49*$H$49+$D$49*$H$50+$E$49*$H$51+$F$49*$H$52+$G$49*$H$53+$H$49*$H$54)</f>
        <v>0</v>
      </c>
      <c r="J60" s="10" t="n">
        <f aca="false">SUM($B$60:$H$60)</f>
        <v>1</v>
      </c>
      <c r="O60" s="10" t="n">
        <v>54</v>
      </c>
      <c r="P60" s="17" t="n">
        <f aca="false">O60/12</f>
        <v>4.5</v>
      </c>
      <c r="Q60" s="14" t="n">
        <f aca="false">Risk_target+(Risk_start-Risk_target)*EXP(-Risk_speed*P60)+Trough_depth*(P60/Trough_time)*EXP(1-P60/Trough_time)</f>
        <v>56.5050982602328</v>
      </c>
    </row>
    <row r="61" customFormat="false" ht="15" hidden="false" customHeight="false" outlineLevel="0" collapsed="false">
      <c r="A61" s="4" t="s">
        <v>32</v>
      </c>
      <c r="B61" s="10" t="n">
        <f aca="false">SIGN($B$50*$B$48+$C$50*$B$49+$D$50*$B$50+$E$50*$B$51+$F$50*$B$52+$G$50*$B$53+$H$50*$B$54)</f>
        <v>0</v>
      </c>
      <c r="C61" s="10" t="n">
        <f aca="false">SIGN($B$50*$C$48+$C$50*$C$49+$D$50*$C$50+$E$50*$C$51+$F$50*$C$52+$G$50*$C$53+$H$50*$C$54)</f>
        <v>0</v>
      </c>
      <c r="D61" s="10" t="n">
        <f aca="false">SIGN($B$50*$D$48+$C$50*$D$49+$D$50*$D$50+$E$50*$D$51+$F$50*$D$52+$G$50*$D$53+$H$50*$D$54)</f>
        <v>1</v>
      </c>
      <c r="E61" s="10" t="n">
        <f aca="false">SIGN($B$50*$E$48+$C$50*$E$49+$D$50*$E$50+$E$50*$E$51+$F$50*$E$52+$G$50*$E$53+$H$50*$E$54)</f>
        <v>1</v>
      </c>
      <c r="F61" s="10" t="n">
        <f aca="false">SIGN($B$50*$F$48+$C$50*$F$49+$D$50*$F$50+$E$50*$F$51+$F$50*$F$52+$G$50*$F$53+$H$50*$F$54)</f>
        <v>1</v>
      </c>
      <c r="G61" s="10" t="n">
        <f aca="false">SIGN($B$50*$G$48+$C$50*$G$49+$D$50*$G$50+$E$50*$G$51+$F$50*$G$52+$G$50*$G$53+$H$50*$G$54)</f>
        <v>1</v>
      </c>
      <c r="H61" s="10" t="n">
        <f aca="false">SIGN($B$50*$H$48+$C$50*$H$49+$D$50*$H$50+$E$50*$H$51+$F$50*$H$52+$G$50*$H$53+$H$50*$H$54)</f>
        <v>0</v>
      </c>
      <c r="J61" s="10" t="n">
        <f aca="false">SUM($B$61:$H$61)</f>
        <v>4</v>
      </c>
      <c r="O61" s="10" t="n">
        <v>55</v>
      </c>
      <c r="P61" s="17" t="n">
        <f aca="false">O61/12</f>
        <v>4.58333333333333</v>
      </c>
      <c r="Q61" s="14" t="n">
        <f aca="false">Risk_target+(Risk_start-Risk_target)*EXP(-Risk_speed*P61)+Trough_depth*(P61/Trough_time)*EXP(1-P61/Trough_time)</f>
        <v>56.2674701065162</v>
      </c>
    </row>
    <row r="62" customFormat="false" ht="15" hidden="false" customHeight="false" outlineLevel="0" collapsed="false">
      <c r="A62" s="4" t="s">
        <v>37</v>
      </c>
      <c r="B62" s="10" t="n">
        <f aca="false">SIGN($B$51*$B$48+$C$51*$B$49+$D$51*$B$50+$E$51*$B$51+$F$51*$B$52+$G$51*$B$53+$H$51*$B$54)</f>
        <v>0</v>
      </c>
      <c r="C62" s="10" t="n">
        <f aca="false">SIGN($B$51*$C$48+$C$51*$C$49+$D$51*$C$50+$E$51*$C$51+$F$51*$C$52+$G$51*$C$53+$H$51*$C$54)</f>
        <v>0</v>
      </c>
      <c r="D62" s="10" t="n">
        <f aca="false">SIGN($B$51*$D$48+$C$51*$D$49+$D$51*$D$50+$E$51*$D$51+$F$51*$D$52+$G$51*$D$53+$H$51*$D$54)</f>
        <v>1</v>
      </c>
      <c r="E62" s="10" t="n">
        <f aca="false">SIGN($B$51*$E$48+$C$51*$E$49+$D$51*$E$50+$E$51*$E$51+$F$51*$E$52+$G$51*$E$53+$H$51*$E$54)</f>
        <v>1</v>
      </c>
      <c r="F62" s="10" t="n">
        <f aca="false">SIGN($B$51*$F$48+$C$51*$F$49+$D$51*$F$50+$E$51*$F$51+$F$51*$F$52+$G$51*$F$53+$H$51*$F$54)</f>
        <v>1</v>
      </c>
      <c r="G62" s="10" t="n">
        <f aca="false">SIGN($B$51*$G$48+$C$51*$G$49+$D$51*$G$50+$E$51*$G$51+$F$51*$G$52+$G$51*$G$53+$H$51*$G$54)</f>
        <v>1</v>
      </c>
      <c r="H62" s="10" t="n">
        <f aca="false">SIGN($B$51*$H$48+$C$51*$H$49+$D$51*$H$50+$E$51*$H$51+$F$51*$H$52+$G$51*$H$53+$H$51*$H$54)</f>
        <v>0</v>
      </c>
      <c r="J62" s="10" t="n">
        <f aca="false">SUM($B$62:$H$62)</f>
        <v>4</v>
      </c>
      <c r="O62" s="10" t="n">
        <v>56</v>
      </c>
      <c r="P62" s="17" t="n">
        <f aca="false">O62/12</f>
        <v>4.66666666666667</v>
      </c>
      <c r="Q62" s="14" t="n">
        <f aca="false">Risk_target+(Risk_start-Risk_target)*EXP(-Risk_speed*P62)+Trough_depth*(P62/Trough_time)*EXP(1-P62/Trough_time)</f>
        <v>56.0394773453784</v>
      </c>
    </row>
    <row r="63" customFormat="false" ht="15" hidden="false" customHeight="false" outlineLevel="0" collapsed="false">
      <c r="A63" s="4" t="s">
        <v>40</v>
      </c>
      <c r="B63" s="10" t="n">
        <f aca="false">SIGN($B$52*$B$48+$C$52*$B$49+$D$52*$B$50+$E$52*$B$51+$F$52*$B$52+$G$52*$B$53+$H$52*$B$54)</f>
        <v>0</v>
      </c>
      <c r="C63" s="10" t="n">
        <f aca="false">SIGN($B$52*$C$48+$C$52*$C$49+$D$52*$C$50+$E$52*$C$51+$F$52*$C$52+$G$52*$C$53+$H$52*$C$54)</f>
        <v>0</v>
      </c>
      <c r="D63" s="10" t="n">
        <f aca="false">SIGN($B$52*$D$48+$C$52*$D$49+$D$52*$D$50+$E$52*$D$51+$F$52*$D$52+$G$52*$D$53+$H$52*$D$54)</f>
        <v>1</v>
      </c>
      <c r="E63" s="10" t="n">
        <f aca="false">SIGN($B$52*$E$48+$C$52*$E$49+$D$52*$E$50+$E$52*$E$51+$F$52*$E$52+$G$52*$E$53+$H$52*$E$54)</f>
        <v>1</v>
      </c>
      <c r="F63" s="10" t="n">
        <f aca="false">SIGN($B$52*$F$48+$C$52*$F$49+$D$52*$F$50+$E$52*$F$51+$F$52*$F$52+$G$52*$F$53+$H$52*$F$54)</f>
        <v>1</v>
      </c>
      <c r="G63" s="10" t="n">
        <f aca="false">SIGN($B$52*$G$48+$C$52*$G$49+$D$52*$G$50+$E$52*$G$51+$F$52*$G$52+$G$52*$G$53+$H$52*$G$54)</f>
        <v>1</v>
      </c>
      <c r="H63" s="10" t="n">
        <f aca="false">SIGN($B$52*$H$48+$C$52*$H$49+$D$52*$H$50+$E$52*$H$51+$F$52*$H$52+$G$52*$H$53+$H$52*$H$54)</f>
        <v>0</v>
      </c>
      <c r="J63" s="10" t="n">
        <f aca="false">SUM($B$63:$H$63)</f>
        <v>4</v>
      </c>
      <c r="O63" s="10" t="n">
        <v>57</v>
      </c>
      <c r="P63" s="17" t="n">
        <f aca="false">O63/12</f>
        <v>4.75</v>
      </c>
      <c r="Q63" s="14" t="n">
        <f aca="false">Risk_target+(Risk_start-Risk_target)*EXP(-Risk_speed*P63)+Trough_depth*(P63/Trough_time)*EXP(1-P63/Trough_time)</f>
        <v>55.8208137532435</v>
      </c>
    </row>
    <row r="64" customFormat="false" ht="15" hidden="false" customHeight="false" outlineLevel="0" collapsed="false">
      <c r="A64" s="4" t="s">
        <v>42</v>
      </c>
      <c r="B64" s="10" t="n">
        <f aca="false">SIGN($B$53*$B$48+$C$53*$B$49+$D$53*$B$50+$E$53*$B$51+$F$53*$B$52+$G$53*$B$53+$H$53*$B$54)</f>
        <v>0</v>
      </c>
      <c r="C64" s="10" t="n">
        <f aca="false">SIGN($B$53*$C$48+$C$53*$C$49+$D$53*$C$50+$E$53*$C$51+$F$53*$C$52+$G$53*$C$53+$H$53*$C$54)</f>
        <v>0</v>
      </c>
      <c r="D64" s="10" t="n">
        <f aca="false">SIGN($B$53*$D$48+$C$53*$D$49+$D$53*$D$50+$E$53*$D$51+$F$53*$D$52+$G$53*$D$53+$H$53*$D$54)</f>
        <v>1</v>
      </c>
      <c r="E64" s="10" t="n">
        <f aca="false">SIGN($B$53*$E$48+$C$53*$E$49+$D$53*$E$50+$E$53*$E$51+$F$53*$E$52+$G$53*$E$53+$H$53*$E$54)</f>
        <v>1</v>
      </c>
      <c r="F64" s="10" t="n">
        <f aca="false">SIGN($B$53*$F$48+$C$53*$F$49+$D$53*$F$50+$E$53*$F$51+$F$53*$F$52+$G$53*$F$53+$H$53*$F$54)</f>
        <v>1</v>
      </c>
      <c r="G64" s="10" t="n">
        <f aca="false">SIGN($B$53*$G$48+$C$53*$G$49+$D$53*$G$50+$E$53*$G$51+$F$53*$G$52+$G$53*$G$53+$H$53*$G$54)</f>
        <v>1</v>
      </c>
      <c r="H64" s="10" t="n">
        <f aca="false">SIGN($B$53*$H$48+$C$53*$H$49+$D$53*$H$50+$E$53*$H$51+$F$53*$H$52+$G$53*$H$53+$H$53*$H$54)</f>
        <v>0</v>
      </c>
      <c r="J64" s="10" t="n">
        <f aca="false">SUM($B$64:$H$64)</f>
        <v>4</v>
      </c>
      <c r="O64" s="10" t="n">
        <v>58</v>
      </c>
      <c r="P64" s="17" t="n">
        <f aca="false">O64/12</f>
        <v>4.83333333333333</v>
      </c>
      <c r="Q64" s="14" t="n">
        <f aca="false">Risk_target+(Risk_start-Risk_target)*EXP(-Risk_speed*P64)+Trough_depth*(P64/Trough_time)*EXP(1-P64/Trough_time)</f>
        <v>55.6111735452535</v>
      </c>
    </row>
    <row r="65" customFormat="false" ht="15" hidden="false" customHeight="false" outlineLevel="0" collapsed="false">
      <c r="A65" s="4" t="s">
        <v>46</v>
      </c>
      <c r="B65" s="10" t="n">
        <f aca="false">SIGN($B$54*$B$48+$C$54*$B$49+$D$54*$B$50+$E$54*$B$51+$F$54*$B$52+$G$54*$B$53+$H$54*$B$54)</f>
        <v>0</v>
      </c>
      <c r="C65" s="10" t="n">
        <f aca="false">SIGN($B$54*$C$48+$C$54*$C$49+$D$54*$C$50+$E$54*$C$51+$F$54*$C$52+$G$54*$C$53+$H$54*$C$54)</f>
        <v>0</v>
      </c>
      <c r="D65" s="10" t="n">
        <f aca="false">SIGN($B$54*$D$48+$C$54*$D$49+$D$54*$D$50+$E$54*$D$51+$F$54*$D$52+$G$54*$D$53+$H$54*$D$54)</f>
        <v>0</v>
      </c>
      <c r="E65" s="10" t="n">
        <f aca="false">SIGN($B$54*$E$48+$C$54*$E$49+$D$54*$E$50+$E$54*$E$51+$F$54*$E$52+$G$54*$E$53+$H$54*$E$54)</f>
        <v>0</v>
      </c>
      <c r="F65" s="10" t="n">
        <f aca="false">SIGN($B$54*$F$48+$C$54*$F$49+$D$54*$F$50+$E$54*$F$51+$F$54*$F$52+$G$54*$F$53+$H$54*$F$54)</f>
        <v>0</v>
      </c>
      <c r="G65" s="10" t="n">
        <f aca="false">SIGN($B$54*$G$48+$C$54*$G$49+$D$54*$G$50+$E$54*$G$51+$F$54*$G$52+$G$54*$G$53+$H$54*$G$54)</f>
        <v>0</v>
      </c>
      <c r="H65" s="10" t="n">
        <f aca="false">SIGN($B$54*$H$48+$C$54*$H$49+$D$54*$H$50+$E$54*$H$51+$F$54*$H$52+$G$54*$H$53+$H$54*$H$54)</f>
        <v>1</v>
      </c>
      <c r="J65" s="10" t="n">
        <f aca="false">SUM($B$65:$H$65)</f>
        <v>1</v>
      </c>
      <c r="O65" s="10" t="n">
        <v>59</v>
      </c>
      <c r="P65" s="17" t="n">
        <f aca="false">O65/12</f>
        <v>4.91666666666667</v>
      </c>
      <c r="Q65" s="14" t="n">
        <f aca="false">Risk_target+(Risk_start-Risk_target)*EXP(-Risk_speed*P65)+Trough_depth*(P65/Trough_time)*EXP(1-P65/Trough_time)</f>
        <v>55.4102526055541</v>
      </c>
    </row>
    <row r="66" customFormat="false" ht="15" hidden="false" customHeight="false" outlineLevel="0" collapsed="false">
      <c r="O66" s="10" t="n">
        <v>60</v>
      </c>
      <c r="P66" s="17" t="n">
        <f aca="false">O66/12</f>
        <v>5</v>
      </c>
      <c r="Q66" s="14" t="n">
        <f aca="false">Risk_target+(Risk_start-Risk_target)*EXP(-Risk_speed*P66)+Trough_depth*(P66/Trough_time)*EXP(1-P66/Trough_time)</f>
        <v>55.2177495534504</v>
      </c>
    </row>
    <row r="69" customFormat="false" ht="15" hidden="false" customHeight="false" outlineLevel="0" collapsed="false">
      <c r="A69" s="4" t="s">
        <v>733</v>
      </c>
    </row>
    <row r="70" customFormat="false" ht="15" hidden="false" customHeight="false" outlineLevel="0" collapsed="false">
      <c r="A70" s="8" t="s">
        <v>734</v>
      </c>
      <c r="B70" s="8" t="s">
        <v>23</v>
      </c>
      <c r="C70" s="8" t="s">
        <v>28</v>
      </c>
      <c r="D70" s="8" t="s">
        <v>32</v>
      </c>
      <c r="E70" s="8" t="s">
        <v>37</v>
      </c>
      <c r="F70" s="8" t="s">
        <v>40</v>
      </c>
      <c r="G70" s="8" t="s">
        <v>42</v>
      </c>
      <c r="H70" s="8" t="s">
        <v>46</v>
      </c>
    </row>
    <row r="71" customFormat="false" ht="15" hidden="false" customHeight="false" outlineLevel="0" collapsed="false">
      <c r="A71" s="10" t="n">
        <v>0</v>
      </c>
      <c r="B71" s="10" t="n">
        <v>1</v>
      </c>
      <c r="C71" s="10" t="n">
        <v>1</v>
      </c>
      <c r="D71" s="10" t="n">
        <v>1</v>
      </c>
      <c r="E71" s="10" t="n">
        <v>1</v>
      </c>
      <c r="F71" s="10" t="n">
        <v>1</v>
      </c>
      <c r="G71" s="10" t="n">
        <v>1</v>
      </c>
      <c r="H71" s="10" t="n">
        <v>1</v>
      </c>
    </row>
    <row r="72" customFormat="false" ht="15" hidden="false" customHeight="false" outlineLevel="0" collapsed="false">
      <c r="A72" s="10" t="n">
        <v>1</v>
      </c>
      <c r="B72" s="10" t="n">
        <f aca="false">IF(AND(B71=1,SUMPRODUCT($B$15:$H$15,$B$71:$H$71)&gt;=2),1,0)</f>
        <v>0</v>
      </c>
      <c r="C72" s="10" t="n">
        <f aca="false">IF(AND(C71=1,SUMPRODUCT($B$16:$H$16,$B$71:$H$71)&gt;=2),1,0)</f>
        <v>0</v>
      </c>
      <c r="D72" s="10" t="n">
        <f aca="false">IF(AND(D71=1,SUMPRODUCT($B$17:$H$17,$B$71:$H$71)&gt;=2),1,0)</f>
        <v>1</v>
      </c>
      <c r="E72" s="10" t="n">
        <f aca="false">IF(AND(E71=1,SUMPRODUCT($B$18:$H$18,$B$71:$H$71)&gt;=2),1,0)</f>
        <v>1</v>
      </c>
      <c r="F72" s="10" t="n">
        <f aca="false">IF(AND(F71=1,SUMPRODUCT($B$19:$H$19,$B$71:$H$71)&gt;=2),1,0)</f>
        <v>1</v>
      </c>
      <c r="G72" s="10" t="n">
        <f aca="false">IF(AND(G71=1,SUMPRODUCT($B$20:$H$20,$B$71:$H$71)&gt;=2),1,0)</f>
        <v>0</v>
      </c>
      <c r="H72" s="10" t="n">
        <f aca="false">IF(AND(H71=1,SUMPRODUCT($B$21:$H$21,$B$71:$H$71)&gt;=2),1,0)</f>
        <v>0</v>
      </c>
    </row>
    <row r="73" customFormat="false" ht="15" hidden="false" customHeight="false" outlineLevel="0" collapsed="false">
      <c r="A73" s="10" t="n">
        <v>2</v>
      </c>
      <c r="B73" s="10" t="n">
        <f aca="false">IF(AND(B72=1,SUMPRODUCT($B$15:$H$15,$B$72:$H$72)&gt;=2),1,0)</f>
        <v>0</v>
      </c>
      <c r="C73" s="10" t="n">
        <f aca="false">IF(AND(C72=1,SUMPRODUCT($B$16:$H$16,$B$72:$H$72)&gt;=2),1,0)</f>
        <v>0</v>
      </c>
      <c r="D73" s="10" t="n">
        <f aca="false">IF(AND(D72=1,SUMPRODUCT($B$17:$H$17,$B$72:$H$72)&gt;=2),1,0)</f>
        <v>1</v>
      </c>
      <c r="E73" s="10" t="n">
        <f aca="false">IF(AND(E72=1,SUMPRODUCT($B$18:$H$18,$B$72:$H$72)&gt;=2),1,0)</f>
        <v>1</v>
      </c>
      <c r="F73" s="10" t="n">
        <f aca="false">IF(AND(F72=1,SUMPRODUCT($B$19:$H$19,$B$72:$H$72)&gt;=2),1,0)</f>
        <v>1</v>
      </c>
      <c r="G73" s="10" t="n">
        <f aca="false">IF(AND(G72=1,SUMPRODUCT($B$20:$H$20,$B$72:$H$72)&gt;=2),1,0)</f>
        <v>0</v>
      </c>
      <c r="H73" s="10" t="n">
        <f aca="false">IF(AND(H72=1,SUMPRODUCT($B$21:$H$21,$B$72:$H$72)&gt;=2),1,0)</f>
        <v>0</v>
      </c>
    </row>
    <row r="74" customFormat="false" ht="15" hidden="false" customHeight="false" outlineLevel="0" collapsed="false">
      <c r="A74" s="10" t="n">
        <v>3</v>
      </c>
      <c r="B74" s="10" t="n">
        <f aca="false">IF(AND(B73=1,SUMPRODUCT($B$15:$H$15,$B$73:$H$73)&gt;=2),1,0)</f>
        <v>0</v>
      </c>
      <c r="C74" s="10" t="n">
        <f aca="false">IF(AND(C73=1,SUMPRODUCT($B$16:$H$16,$B$73:$H$73)&gt;=2),1,0)</f>
        <v>0</v>
      </c>
      <c r="D74" s="10" t="n">
        <f aca="false">IF(AND(D73=1,SUMPRODUCT($B$17:$H$17,$B$73:$H$73)&gt;=2),1,0)</f>
        <v>1</v>
      </c>
      <c r="E74" s="10" t="n">
        <f aca="false">IF(AND(E73=1,SUMPRODUCT($B$18:$H$18,$B$73:$H$73)&gt;=2),1,0)</f>
        <v>1</v>
      </c>
      <c r="F74" s="10" t="n">
        <f aca="false">IF(AND(F73=1,SUMPRODUCT($B$19:$H$19,$B$73:$H$73)&gt;=2),1,0)</f>
        <v>1</v>
      </c>
      <c r="G74" s="10" t="n">
        <f aca="false">IF(AND(G73=1,SUMPRODUCT($B$20:$H$20,$B$73:$H$73)&gt;=2),1,0)</f>
        <v>0</v>
      </c>
      <c r="H74" s="10" t="n">
        <f aca="false">IF(AND(H73=1,SUMPRODUCT($B$21:$H$21,$B$73:$H$73)&gt;=2),1,0)</f>
        <v>0</v>
      </c>
    </row>
    <row r="75" customFormat="false" ht="15" hidden="false" customHeight="false" outlineLevel="0" collapsed="false">
      <c r="A75" s="10" t="n">
        <v>4</v>
      </c>
      <c r="B75" s="10" t="n">
        <f aca="false">IF(AND(B74=1,SUMPRODUCT($B$15:$H$15,$B$74:$H$74)&gt;=2),1,0)</f>
        <v>0</v>
      </c>
      <c r="C75" s="10" t="n">
        <f aca="false">IF(AND(C74=1,SUMPRODUCT($B$16:$H$16,$B$74:$H$74)&gt;=2),1,0)</f>
        <v>0</v>
      </c>
      <c r="D75" s="10" t="n">
        <f aca="false">IF(AND(D74=1,SUMPRODUCT($B$17:$H$17,$B$74:$H$74)&gt;=2),1,0)</f>
        <v>1</v>
      </c>
      <c r="E75" s="10" t="n">
        <f aca="false">IF(AND(E74=1,SUMPRODUCT($B$18:$H$18,$B$74:$H$74)&gt;=2),1,0)</f>
        <v>1</v>
      </c>
      <c r="F75" s="10" t="n">
        <f aca="false">IF(AND(F74=1,SUMPRODUCT($B$19:$H$19,$B$74:$H$74)&gt;=2),1,0)</f>
        <v>1</v>
      </c>
      <c r="G75" s="10" t="n">
        <f aca="false">IF(AND(G74=1,SUMPRODUCT($B$20:$H$20,$B$74:$H$74)&gt;=2),1,0)</f>
        <v>0</v>
      </c>
      <c r="H75" s="10" t="n">
        <f aca="false">IF(AND(H74=1,SUMPRODUCT($B$21:$H$21,$B$74:$H$74)&gt;=2),1,0)</f>
        <v>0</v>
      </c>
    </row>
    <row r="76" customFormat="false" ht="15" hidden="false" customHeight="false" outlineLevel="0" collapsed="false">
      <c r="A76" s="10" t="n">
        <v>5</v>
      </c>
      <c r="B76" s="10" t="n">
        <f aca="false">IF(AND(B75=1,SUMPRODUCT($B$15:$H$15,$B$75:$H$75)&gt;=2),1,0)</f>
        <v>0</v>
      </c>
      <c r="C76" s="10" t="n">
        <f aca="false">IF(AND(C75=1,SUMPRODUCT($B$16:$H$16,$B$75:$H$75)&gt;=2),1,0)</f>
        <v>0</v>
      </c>
      <c r="D76" s="10" t="n">
        <f aca="false">IF(AND(D75=1,SUMPRODUCT($B$17:$H$17,$B$75:$H$75)&gt;=2),1,0)</f>
        <v>1</v>
      </c>
      <c r="E76" s="10" t="n">
        <f aca="false">IF(AND(E75=1,SUMPRODUCT($B$18:$H$18,$B$75:$H$75)&gt;=2),1,0)</f>
        <v>1</v>
      </c>
      <c r="F76" s="10" t="n">
        <f aca="false">IF(AND(F75=1,SUMPRODUCT($B$19:$H$19,$B$75:$H$75)&gt;=2),1,0)</f>
        <v>1</v>
      </c>
      <c r="G76" s="10" t="n">
        <f aca="false">IF(AND(G75=1,SUMPRODUCT($B$20:$H$20,$B$75:$H$75)&gt;=2),1,0)</f>
        <v>0</v>
      </c>
      <c r="H76" s="10" t="n">
        <f aca="false">IF(AND(H75=1,SUMPRODUCT($B$21:$H$21,$B$75:$H$75)&gt;=2),1,0)</f>
        <v>0</v>
      </c>
    </row>
    <row r="77" customFormat="false" ht="15" hidden="false" customHeight="false" outlineLevel="0" collapsed="false">
      <c r="A77" s="10" t="n">
        <v>6</v>
      </c>
      <c r="B77" s="10" t="n">
        <f aca="false">IF(AND(B76=1,SUMPRODUCT($B$15:$H$15,$B$76:$H$76)&gt;=2),1,0)</f>
        <v>0</v>
      </c>
      <c r="C77" s="10" t="n">
        <f aca="false">IF(AND(C76=1,SUMPRODUCT($B$16:$H$16,$B$76:$H$76)&gt;=2),1,0)</f>
        <v>0</v>
      </c>
      <c r="D77" s="10" t="n">
        <f aca="false">IF(AND(D76=1,SUMPRODUCT($B$17:$H$17,$B$76:$H$76)&gt;=2),1,0)</f>
        <v>1</v>
      </c>
      <c r="E77" s="10" t="n">
        <f aca="false">IF(AND(E76=1,SUMPRODUCT($B$18:$H$18,$B$76:$H$76)&gt;=2),1,0)</f>
        <v>1</v>
      </c>
      <c r="F77" s="10" t="n">
        <f aca="false">IF(AND(F76=1,SUMPRODUCT($B$19:$H$19,$B$76:$H$76)&gt;=2),1,0)</f>
        <v>1</v>
      </c>
      <c r="G77" s="10" t="n">
        <f aca="false">IF(AND(G76=1,SUMPRODUCT($B$20:$H$20,$B$76:$H$76)&gt;=2),1,0)</f>
        <v>0</v>
      </c>
      <c r="H77" s="10" t="n">
        <f aca="false">IF(AND(H76=1,SUMPRODUCT($B$21:$H$21,$B$76:$H$76)&gt;=2),1,0)</f>
        <v>0</v>
      </c>
    </row>
    <row r="79" customFormat="false" ht="35.05" hidden="false" customHeight="false" outlineLevel="0" collapsed="false">
      <c r="A79" s="8" t="s">
        <v>211</v>
      </c>
      <c r="B79" s="8" t="s">
        <v>735</v>
      </c>
      <c r="C79" s="8" t="s">
        <v>736</v>
      </c>
    </row>
    <row r="80" customFormat="false" ht="15" hidden="false" customHeight="false" outlineLevel="0" collapsed="false">
      <c r="A80" s="4" t="s">
        <v>23</v>
      </c>
      <c r="B80" s="10" t="n">
        <f aca="false">B77</f>
        <v>0</v>
      </c>
      <c r="C80" s="10" t="n">
        <f aca="false">SUMPRODUCT($B$15:$H$15,$B$77:$H$77)</f>
        <v>0</v>
      </c>
    </row>
    <row r="81" customFormat="false" ht="15" hidden="false" customHeight="false" outlineLevel="0" collapsed="false">
      <c r="A81" s="4" t="s">
        <v>28</v>
      </c>
      <c r="B81" s="10" t="n">
        <f aca="false">C77</f>
        <v>0</v>
      </c>
      <c r="C81" s="10" t="n">
        <f aca="false">SUMPRODUCT($B$16:$H$16,$B$77:$H$77)</f>
        <v>0</v>
      </c>
    </row>
    <row r="82" customFormat="false" ht="15" hidden="false" customHeight="false" outlineLevel="0" collapsed="false">
      <c r="A82" s="4" t="s">
        <v>32</v>
      </c>
      <c r="B82" s="10" t="n">
        <f aca="false">D77</f>
        <v>1</v>
      </c>
      <c r="C82" s="10" t="n">
        <f aca="false">SUMPRODUCT($B$17:$H$17,$B$77:$H$77)</f>
        <v>2</v>
      </c>
    </row>
    <row r="83" customFormat="false" ht="15" hidden="false" customHeight="false" outlineLevel="0" collapsed="false">
      <c r="A83" s="4" t="s">
        <v>37</v>
      </c>
      <c r="B83" s="10" t="n">
        <f aca="false">E77</f>
        <v>1</v>
      </c>
      <c r="C83" s="10" t="n">
        <f aca="false">SUMPRODUCT($B$18:$H$18,$B$77:$H$77)</f>
        <v>2</v>
      </c>
    </row>
    <row r="84" customFormat="false" ht="15" hidden="false" customHeight="false" outlineLevel="0" collapsed="false">
      <c r="A84" s="4" t="s">
        <v>40</v>
      </c>
      <c r="B84" s="10" t="n">
        <f aca="false">F77</f>
        <v>1</v>
      </c>
      <c r="C84" s="10" t="n">
        <f aca="false">SUMPRODUCT($B$19:$H$19,$B$77:$H$77)</f>
        <v>2</v>
      </c>
    </row>
    <row r="85" customFormat="false" ht="15" hidden="false" customHeight="false" outlineLevel="0" collapsed="false">
      <c r="A85" s="4" t="s">
        <v>42</v>
      </c>
      <c r="B85" s="10" t="n">
        <f aca="false">G77</f>
        <v>0</v>
      </c>
      <c r="C85" s="10" t="n">
        <f aca="false">SUMPRODUCT($B$20:$H$20,$B$77:$H$77)</f>
        <v>1</v>
      </c>
    </row>
    <row r="86" customFormat="false" ht="15" hidden="false" customHeight="false" outlineLevel="0" collapsed="false">
      <c r="A86" s="4" t="s">
        <v>46</v>
      </c>
      <c r="B86" s="10" t="n">
        <f aca="false">H77</f>
        <v>0</v>
      </c>
      <c r="C86" s="10" t="n">
        <f aca="false">SUMPRODUCT($B$21:$H$21,$B$77:$H$77)</f>
        <v>0</v>
      </c>
    </row>
    <row r="90" customFormat="false" ht="15" hidden="false" customHeight="false" outlineLevel="0" collapsed="false">
      <c r="A90" s="4" t="s">
        <v>737</v>
      </c>
    </row>
    <row r="91" customFormat="false" ht="23.85" hidden="false" customHeight="false" outlineLevel="0" collapsed="false">
      <c r="A91" s="8" t="s">
        <v>738</v>
      </c>
      <c r="B91" s="8" t="s">
        <v>739</v>
      </c>
      <c r="C91" s="8" t="s">
        <v>740</v>
      </c>
      <c r="D91" s="8" t="s">
        <v>741</v>
      </c>
      <c r="E91" s="8" t="s">
        <v>742</v>
      </c>
    </row>
    <row r="92" customFormat="false" ht="15" hidden="false" customHeight="false" outlineLevel="0" collapsed="false">
      <c r="A92" s="2" t="s">
        <v>743</v>
      </c>
      <c r="B92" s="2" t="s">
        <v>744</v>
      </c>
      <c r="C92" s="2" t="s">
        <v>745</v>
      </c>
      <c r="D92" s="11" t="n">
        <v>-1</v>
      </c>
      <c r="E92" s="11" t="n">
        <v>1</v>
      </c>
      <c r="K92" s="2" t="s">
        <v>746</v>
      </c>
      <c r="L92" s="10" t="n">
        <f aca="false">Constraints!$B$110+Constraints!$B$117+Constraints!$B$124</f>
        <v>3</v>
      </c>
      <c r="M92" s="9" t="s">
        <v>747</v>
      </c>
    </row>
    <row r="93" customFormat="false" ht="15" hidden="false" customHeight="false" outlineLevel="0" collapsed="false">
      <c r="A93" s="2" t="s">
        <v>748</v>
      </c>
      <c r="B93" s="2" t="s">
        <v>745</v>
      </c>
      <c r="C93" s="2" t="s">
        <v>749</v>
      </c>
      <c r="D93" s="11" t="n">
        <v>-1</v>
      </c>
      <c r="E93" s="11" t="n">
        <v>1</v>
      </c>
      <c r="K93" s="2" t="s">
        <v>750</v>
      </c>
      <c r="L93" s="10" t="n">
        <f aca="false">Constraints!$B$103</f>
        <v>0</v>
      </c>
      <c r="M93" s="9" t="s">
        <v>751</v>
      </c>
    </row>
    <row r="94" customFormat="false" ht="15" hidden="false" customHeight="false" outlineLevel="0" collapsed="false">
      <c r="A94" s="2" t="s">
        <v>752</v>
      </c>
      <c r="B94" s="2" t="s">
        <v>749</v>
      </c>
      <c r="C94" s="2" t="s">
        <v>744</v>
      </c>
      <c r="D94" s="11" t="n">
        <v>-1</v>
      </c>
      <c r="E94" s="11" t="n">
        <v>1</v>
      </c>
      <c r="K94" s="2" t="s">
        <v>753</v>
      </c>
      <c r="L94" s="10" t="n">
        <f aca="false">SUM(D92:D94)</f>
        <v>-3</v>
      </c>
      <c r="M94" s="9" t="s">
        <v>754</v>
      </c>
    </row>
    <row r="95" customFormat="false" ht="15" hidden="false" customHeight="false" outlineLevel="0" collapsed="false">
      <c r="K95" s="2" t="s">
        <v>755</v>
      </c>
      <c r="L95" s="10" t="n">
        <f aca="false">SUM(B131:B134)</f>
        <v>-1</v>
      </c>
      <c r="M95" s="9" t="s">
        <v>756</v>
      </c>
    </row>
    <row r="96" customFormat="false" ht="15" hidden="false" customHeight="false" outlineLevel="0" collapsed="false">
      <c r="K96" s="2" t="s">
        <v>757</v>
      </c>
      <c r="L96" s="10" t="n">
        <f aca="false">Constraints!$B$143</f>
        <v>0</v>
      </c>
      <c r="M96" s="9" t="s">
        <v>758</v>
      </c>
    </row>
    <row r="97" customFormat="false" ht="15" hidden="false" customHeight="false" outlineLevel="0" collapsed="false">
      <c r="A97" s="4" t="s">
        <v>759</v>
      </c>
      <c r="K97" s="2" t="s">
        <v>760</v>
      </c>
      <c r="L97" s="10" t="n">
        <f aca="false">Constraints!$B$151+Constraints!$B$159+Constraints!$B$167+Constraints!$B$175</f>
        <v>4</v>
      </c>
      <c r="M97" s="9" t="s">
        <v>761</v>
      </c>
    </row>
    <row r="98" customFormat="false" ht="23.85" hidden="false" customHeight="false" outlineLevel="0" collapsed="false">
      <c r="A98" s="8" t="s">
        <v>762</v>
      </c>
      <c r="B98" s="8" t="s">
        <v>744</v>
      </c>
      <c r="C98" s="8" t="s">
        <v>745</v>
      </c>
      <c r="D98" s="8" t="s">
        <v>749</v>
      </c>
      <c r="K98" s="2" t="s">
        <v>763</v>
      </c>
      <c r="L98" s="10" t="n">
        <f aca="false">Constraints!$B$183</f>
        <v>1</v>
      </c>
      <c r="M98" s="9" t="s">
        <v>764</v>
      </c>
    </row>
    <row r="99" customFormat="false" ht="15" hidden="false" customHeight="false" outlineLevel="0" collapsed="false">
      <c r="A99" s="10" t="n">
        <v>0</v>
      </c>
      <c r="B99" s="10" t="n">
        <v>0</v>
      </c>
      <c r="C99" s="10" t="n">
        <v>0</v>
      </c>
      <c r="D99" s="10" t="n">
        <v>0</v>
      </c>
      <c r="K99" s="2" t="s">
        <v>765</v>
      </c>
      <c r="L99" s="10" t="n">
        <f aca="false">(E184-B184)/3</f>
        <v>1</v>
      </c>
      <c r="M99" s="9" t="s">
        <v>766</v>
      </c>
    </row>
    <row r="100" customFormat="false" ht="15" hidden="false" customHeight="false" outlineLevel="0" collapsed="false">
      <c r="A100" s="10" t="n">
        <v>1</v>
      </c>
      <c r="B100" s="10" t="n">
        <f aca="false">MIN(B99,IF($E$94=1,D99+$D$94,1000000000))</f>
        <v>-1</v>
      </c>
      <c r="C100" s="10" t="n">
        <f aca="false">MIN(C99,IF($E$92=1,B99+$D$92,1000000000))</f>
        <v>-1</v>
      </c>
      <c r="D100" s="10" t="n">
        <f aca="false">MIN(D99,IF($E$93=1,C99+$D$93,1000000000))</f>
        <v>-1</v>
      </c>
    </row>
    <row r="101" customFormat="false" ht="15" hidden="false" customHeight="false" outlineLevel="0" collapsed="false">
      <c r="A101" s="10" t="n">
        <v>2</v>
      </c>
      <c r="B101" s="10" t="n">
        <f aca="false">MIN(B100,IF($E$94=1,D100+$D$94,1000000000))</f>
        <v>-2</v>
      </c>
      <c r="C101" s="10" t="n">
        <f aca="false">MIN(C100,IF($E$92=1,B100+$D$92,1000000000))</f>
        <v>-2</v>
      </c>
      <c r="D101" s="10" t="n">
        <f aca="false">MIN(D100,IF($E$93=1,C100+$D$93,1000000000))</f>
        <v>-2</v>
      </c>
    </row>
    <row r="102" customFormat="false" ht="15" hidden="false" customHeight="false" outlineLevel="0" collapsed="false">
      <c r="A102" s="10" t="n">
        <v>3</v>
      </c>
      <c r="B102" s="10" t="n">
        <f aca="false">MIN(B101,IF($E$94=1,D101+$D$94,1000000000))</f>
        <v>-3</v>
      </c>
      <c r="C102" s="10" t="n">
        <f aca="false">MIN(C101,IF($E$92=1,B101+$D$92,1000000000))</f>
        <v>-3</v>
      </c>
      <c r="D102" s="10" t="n">
        <f aca="false">MIN(D101,IF($E$93=1,C101+$D$93,1000000000))</f>
        <v>-3</v>
      </c>
    </row>
    <row r="103" customFormat="false" ht="15" hidden="false" customHeight="false" outlineLevel="0" collapsed="false">
      <c r="A103" s="4" t="s">
        <v>767</v>
      </c>
      <c r="B103" s="10" t="n">
        <f aca="false">IF(IF($E$92=1,IF(C102&gt;B102+$D$92+0.000000001,1,0),0)+IF($E$93=1,IF(D102&gt;C102+$D$93+0.000000001,1,0),0)+IF($E$94=1,IF(B102&gt;D102+$D$94+0.000000001,1,0),0)=0,1,0)</f>
        <v>0</v>
      </c>
    </row>
    <row r="104" customFormat="false" ht="15" hidden="false" customHeight="false" outlineLevel="0" collapsed="false">
      <c r="A104" s="4" t="s">
        <v>768</v>
      </c>
      <c r="G104" s="4" t="s">
        <v>769</v>
      </c>
      <c r="H104" s="10" t="n">
        <v>0</v>
      </c>
      <c r="I104" s="10" t="n">
        <v>1</v>
      </c>
      <c r="J104" s="10" t="n">
        <v>1</v>
      </c>
    </row>
    <row r="105" customFormat="false" ht="23.85" hidden="false" customHeight="false" outlineLevel="0" collapsed="false">
      <c r="A105" s="8" t="s">
        <v>762</v>
      </c>
      <c r="B105" s="8" t="s">
        <v>744</v>
      </c>
      <c r="C105" s="8" t="s">
        <v>745</v>
      </c>
      <c r="D105" s="8" t="s">
        <v>749</v>
      </c>
    </row>
    <row r="106" customFormat="false" ht="15" hidden="false" customHeight="false" outlineLevel="0" collapsed="false">
      <c r="A106" s="10" t="n">
        <v>0</v>
      </c>
      <c r="B106" s="10" t="n">
        <v>0</v>
      </c>
      <c r="C106" s="10" t="n">
        <v>0</v>
      </c>
      <c r="D106" s="10" t="n">
        <v>0</v>
      </c>
    </row>
    <row r="107" customFormat="false" ht="15" hidden="false" customHeight="false" outlineLevel="0" collapsed="false">
      <c r="A107" s="10" t="n">
        <v>1</v>
      </c>
      <c r="B107" s="10" t="n">
        <f aca="false">MIN(B106,IF($J$104=1,D106+$D$94,1000000000))</f>
        <v>-1</v>
      </c>
      <c r="C107" s="10" t="n">
        <f aca="false">MIN(C106,IF($H$104=1,B106+$D$92,1000000000))</f>
        <v>0</v>
      </c>
      <c r="D107" s="10" t="n">
        <f aca="false">MIN(D106,IF($I$104=1,C106+$D$93,1000000000))</f>
        <v>-1</v>
      </c>
    </row>
    <row r="108" customFormat="false" ht="15" hidden="false" customHeight="false" outlineLevel="0" collapsed="false">
      <c r="A108" s="10" t="n">
        <v>2</v>
      </c>
      <c r="B108" s="10" t="n">
        <f aca="false">MIN(B107,IF($J$104=1,D107+$D$94,1000000000))</f>
        <v>-2</v>
      </c>
      <c r="C108" s="10" t="n">
        <f aca="false">MIN(C107,IF($H$104=1,B107+$D$92,1000000000))</f>
        <v>0</v>
      </c>
      <c r="D108" s="10" t="n">
        <f aca="false">MIN(D107,IF($I$104=1,C107+$D$93,1000000000))</f>
        <v>-1</v>
      </c>
    </row>
    <row r="109" customFormat="false" ht="15" hidden="false" customHeight="false" outlineLevel="0" collapsed="false">
      <c r="A109" s="10" t="n">
        <v>3</v>
      </c>
      <c r="B109" s="10" t="n">
        <f aca="false">MIN(B108,IF($J$104=1,D108+$D$94,1000000000))</f>
        <v>-2</v>
      </c>
      <c r="C109" s="10" t="n">
        <f aca="false">MIN(C108,IF($H$104=1,B108+$D$92,1000000000))</f>
        <v>0</v>
      </c>
      <c r="D109" s="10" t="n">
        <f aca="false">MIN(D108,IF($I$104=1,C108+$D$93,1000000000))</f>
        <v>-1</v>
      </c>
    </row>
    <row r="110" customFormat="false" ht="15" hidden="false" customHeight="false" outlineLevel="0" collapsed="false">
      <c r="A110" s="4" t="s">
        <v>767</v>
      </c>
      <c r="B110" s="10" t="n">
        <f aca="false">IF(IF($H$104=1,IF(C109&gt;B109+$D$92+0.000000001,1,0),0)+IF($I$104=1,IF(D109&gt;C109+$D$93+0.000000001,1,0),0)+IF($J$104=1,IF(B109&gt;D109+$D$94+0.000000001,1,0),0)=0,1,0)</f>
        <v>1</v>
      </c>
    </row>
    <row r="111" customFormat="false" ht="15" hidden="false" customHeight="false" outlineLevel="0" collapsed="false">
      <c r="A111" s="4" t="s">
        <v>770</v>
      </c>
      <c r="G111" s="4" t="s">
        <v>769</v>
      </c>
      <c r="H111" s="10" t="n">
        <v>1</v>
      </c>
      <c r="I111" s="10" t="n">
        <v>0</v>
      </c>
      <c r="J111" s="10" t="n">
        <v>1</v>
      </c>
    </row>
    <row r="112" customFormat="false" ht="23.85" hidden="false" customHeight="false" outlineLevel="0" collapsed="false">
      <c r="A112" s="8" t="s">
        <v>762</v>
      </c>
      <c r="B112" s="8" t="s">
        <v>744</v>
      </c>
      <c r="C112" s="8" t="s">
        <v>745</v>
      </c>
      <c r="D112" s="8" t="s">
        <v>749</v>
      </c>
    </row>
    <row r="113" customFormat="false" ht="15" hidden="false" customHeight="false" outlineLevel="0" collapsed="false">
      <c r="A113" s="10" t="n">
        <v>0</v>
      </c>
      <c r="B113" s="10" t="n">
        <v>0</v>
      </c>
      <c r="C113" s="10" t="n">
        <v>0</v>
      </c>
      <c r="D113" s="10" t="n">
        <v>0</v>
      </c>
    </row>
    <row r="114" customFormat="false" ht="15" hidden="false" customHeight="false" outlineLevel="0" collapsed="false">
      <c r="A114" s="10" t="n">
        <v>1</v>
      </c>
      <c r="B114" s="10" t="n">
        <f aca="false">MIN(B113,IF($J$111=1,D113+$D$94,1000000000))</f>
        <v>-1</v>
      </c>
      <c r="C114" s="10" t="n">
        <f aca="false">MIN(C113,IF($H$111=1,B113+$D$92,1000000000))</f>
        <v>-1</v>
      </c>
      <c r="D114" s="10" t="n">
        <f aca="false">MIN(D113,IF($I$111=1,C113+$D$93,1000000000))</f>
        <v>0</v>
      </c>
    </row>
    <row r="115" customFormat="false" ht="15" hidden="false" customHeight="false" outlineLevel="0" collapsed="false">
      <c r="A115" s="10" t="n">
        <v>2</v>
      </c>
      <c r="B115" s="10" t="n">
        <f aca="false">MIN(B114,IF($J$111=1,D114+$D$94,1000000000))</f>
        <v>-1</v>
      </c>
      <c r="C115" s="10" t="n">
        <f aca="false">MIN(C114,IF($H$111=1,B114+$D$92,1000000000))</f>
        <v>-2</v>
      </c>
      <c r="D115" s="10" t="n">
        <f aca="false">MIN(D114,IF($I$111=1,C114+$D$93,1000000000))</f>
        <v>0</v>
      </c>
    </row>
    <row r="116" customFormat="false" ht="15" hidden="false" customHeight="false" outlineLevel="0" collapsed="false">
      <c r="A116" s="10" t="n">
        <v>3</v>
      </c>
      <c r="B116" s="10" t="n">
        <f aca="false">MIN(B115,IF($J$111=1,D115+$D$94,1000000000))</f>
        <v>-1</v>
      </c>
      <c r="C116" s="10" t="n">
        <f aca="false">MIN(C115,IF($H$111=1,B115+$D$92,1000000000))</f>
        <v>-2</v>
      </c>
      <c r="D116" s="10" t="n">
        <f aca="false">MIN(D115,IF($I$111=1,C115+$D$93,1000000000))</f>
        <v>0</v>
      </c>
    </row>
    <row r="117" customFormat="false" ht="15" hidden="false" customHeight="false" outlineLevel="0" collapsed="false">
      <c r="A117" s="4" t="s">
        <v>767</v>
      </c>
      <c r="B117" s="10" t="n">
        <f aca="false">IF(IF($H$111=1,IF(C116&gt;B116+$D$92+0.000000001,1,0),0)+IF($I$111=1,IF(D116&gt;C116+$D$93+0.000000001,1,0),0)+IF($J$111=1,IF(B116&gt;D116+$D$94+0.000000001,1,0),0)=0,1,0)</f>
        <v>1</v>
      </c>
    </row>
    <row r="118" customFormat="false" ht="15" hidden="false" customHeight="false" outlineLevel="0" collapsed="false">
      <c r="A118" s="4" t="s">
        <v>771</v>
      </c>
      <c r="G118" s="4" t="s">
        <v>769</v>
      </c>
      <c r="H118" s="10" t="n">
        <v>1</v>
      </c>
      <c r="I118" s="10" t="n">
        <v>1</v>
      </c>
      <c r="J118" s="10" t="n">
        <v>0</v>
      </c>
    </row>
    <row r="119" customFormat="false" ht="23.85" hidden="false" customHeight="false" outlineLevel="0" collapsed="false">
      <c r="A119" s="8" t="s">
        <v>762</v>
      </c>
      <c r="B119" s="8" t="s">
        <v>744</v>
      </c>
      <c r="C119" s="8" t="s">
        <v>745</v>
      </c>
      <c r="D119" s="8" t="s">
        <v>749</v>
      </c>
    </row>
    <row r="120" customFormat="false" ht="15" hidden="false" customHeight="false" outlineLevel="0" collapsed="false">
      <c r="A120" s="10" t="n">
        <v>0</v>
      </c>
      <c r="B120" s="10" t="n">
        <v>0</v>
      </c>
      <c r="C120" s="10" t="n">
        <v>0</v>
      </c>
      <c r="D120" s="10" t="n">
        <v>0</v>
      </c>
    </row>
    <row r="121" customFormat="false" ht="15" hidden="false" customHeight="false" outlineLevel="0" collapsed="false">
      <c r="A121" s="10" t="n">
        <v>1</v>
      </c>
      <c r="B121" s="10" t="n">
        <f aca="false">MIN(B120,IF($J$118=1,D120+$D$94,1000000000))</f>
        <v>0</v>
      </c>
      <c r="C121" s="10" t="n">
        <f aca="false">MIN(C120,IF($H$118=1,B120+$D$92,1000000000))</f>
        <v>-1</v>
      </c>
      <c r="D121" s="10" t="n">
        <f aca="false">MIN(D120,IF($I$118=1,C120+$D$93,1000000000))</f>
        <v>-1</v>
      </c>
    </row>
    <row r="122" customFormat="false" ht="15" hidden="false" customHeight="false" outlineLevel="0" collapsed="false">
      <c r="A122" s="10" t="n">
        <v>2</v>
      </c>
      <c r="B122" s="10" t="n">
        <f aca="false">MIN(B121,IF($J$118=1,D121+$D$94,1000000000))</f>
        <v>0</v>
      </c>
      <c r="C122" s="10" t="n">
        <f aca="false">MIN(C121,IF($H$118=1,B121+$D$92,1000000000))</f>
        <v>-1</v>
      </c>
      <c r="D122" s="10" t="n">
        <f aca="false">MIN(D121,IF($I$118=1,C121+$D$93,1000000000))</f>
        <v>-2</v>
      </c>
    </row>
    <row r="123" customFormat="false" ht="15" hidden="false" customHeight="false" outlineLevel="0" collapsed="false">
      <c r="A123" s="10" t="n">
        <v>3</v>
      </c>
      <c r="B123" s="10" t="n">
        <f aca="false">MIN(B122,IF($J$118=1,D122+$D$94,1000000000))</f>
        <v>0</v>
      </c>
      <c r="C123" s="10" t="n">
        <f aca="false">MIN(C122,IF($H$118=1,B122+$D$92,1000000000))</f>
        <v>-1</v>
      </c>
      <c r="D123" s="10" t="n">
        <f aca="false">MIN(D122,IF($I$118=1,C122+$D$93,1000000000))</f>
        <v>-2</v>
      </c>
    </row>
    <row r="124" customFormat="false" ht="15" hidden="false" customHeight="false" outlineLevel="0" collapsed="false">
      <c r="A124" s="4" t="s">
        <v>767</v>
      </c>
      <c r="B124" s="10" t="n">
        <f aca="false">IF(IF($H$118=1,IF(C123&gt;B123+$D$92+0.000000001,1,0),0)+IF($I$118=1,IF(D123&gt;C123+$D$93+0.000000001,1,0),0)+IF($J$118=1,IF(B123&gt;D123+$D$94+0.000000001,1,0),0)=0,1,0)</f>
        <v>1</v>
      </c>
    </row>
    <row r="126" customFormat="false" ht="15" hidden="false" customHeight="false" outlineLevel="0" collapsed="false">
      <c r="A126" s="4" t="s">
        <v>772</v>
      </c>
    </row>
    <row r="127" customFormat="false" ht="15" hidden="false" customHeight="false" outlineLevel="0" collapsed="false">
      <c r="A127" s="2" t="s">
        <v>773</v>
      </c>
      <c r="B127" s="11" t="n">
        <v>2</v>
      </c>
    </row>
    <row r="128" customFormat="false" ht="15" hidden="false" customHeight="false" outlineLevel="0" collapsed="false">
      <c r="A128" s="2" t="s">
        <v>774</v>
      </c>
      <c r="B128" s="11" t="n">
        <v>3</v>
      </c>
    </row>
    <row r="130" customFormat="false" ht="46.25" hidden="false" customHeight="false" outlineLevel="0" collapsed="false">
      <c r="A130" s="8" t="s">
        <v>738</v>
      </c>
      <c r="B130" s="8" t="s">
        <v>775</v>
      </c>
      <c r="C130" s="8" t="s">
        <v>776</v>
      </c>
    </row>
    <row r="131" customFormat="false" ht="15" hidden="false" customHeight="false" outlineLevel="0" collapsed="false">
      <c r="A131" s="2" t="s">
        <v>777</v>
      </c>
      <c r="B131" s="11" t="n">
        <v>-1</v>
      </c>
      <c r="C131" s="11" t="n">
        <v>-1</v>
      </c>
    </row>
    <row r="132" customFormat="false" ht="15" hidden="false" customHeight="false" outlineLevel="0" collapsed="false">
      <c r="A132" s="2" t="s">
        <v>778</v>
      </c>
      <c r="B132" s="11" t="n">
        <v>-1</v>
      </c>
      <c r="C132" s="11" t="n">
        <v>-1</v>
      </c>
    </row>
    <row r="133" customFormat="false" ht="15" hidden="false" customHeight="false" outlineLevel="0" collapsed="false">
      <c r="A133" s="2" t="s">
        <v>779</v>
      </c>
      <c r="B133" s="11" t="n">
        <v>-1</v>
      </c>
      <c r="C133" s="11" t="n">
        <v>-1</v>
      </c>
    </row>
    <row r="134" customFormat="false" ht="15" hidden="false" customHeight="false" outlineLevel="0" collapsed="false">
      <c r="A134" s="2" t="s">
        <v>780</v>
      </c>
      <c r="B134" s="10" t="n">
        <f aca="false">B127</f>
        <v>2</v>
      </c>
      <c r="C134" s="10" t="n">
        <f aca="false">B128</f>
        <v>3</v>
      </c>
    </row>
    <row r="136" customFormat="false" ht="15" hidden="false" customHeight="false" outlineLevel="0" collapsed="false">
      <c r="A136" s="4" t="s">
        <v>781</v>
      </c>
    </row>
    <row r="137" customFormat="false" ht="23.85" hidden="false" customHeight="false" outlineLevel="0" collapsed="false">
      <c r="A137" s="8" t="s">
        <v>762</v>
      </c>
      <c r="B137" s="8" t="s">
        <v>782</v>
      </c>
      <c r="C137" s="8" t="s">
        <v>783</v>
      </c>
      <c r="D137" s="8" t="s">
        <v>784</v>
      </c>
      <c r="E137" s="8" t="s">
        <v>785</v>
      </c>
    </row>
    <row r="138" customFormat="false" ht="15" hidden="false" customHeight="false" outlineLevel="0" collapsed="false">
      <c r="A138" s="10" t="n">
        <v>0</v>
      </c>
      <c r="B138" s="10" t="n">
        <v>0</v>
      </c>
      <c r="C138" s="10" t="n">
        <v>0</v>
      </c>
      <c r="D138" s="10" t="n">
        <v>0</v>
      </c>
      <c r="E138" s="10" t="n">
        <v>0</v>
      </c>
    </row>
    <row r="139" customFormat="false" ht="15" hidden="false" customHeight="false" outlineLevel="0" collapsed="false">
      <c r="A139" s="10" t="n">
        <v>1</v>
      </c>
      <c r="B139" s="10" t="n">
        <f aca="false">MIN(B138,IF(1=1,C138+$B$131,1000000000))</f>
        <v>-1</v>
      </c>
      <c r="C139" s="10" t="n">
        <f aca="false">MIN(C138,IF(1=1,D138+$B$132,1000000000))</f>
        <v>-1</v>
      </c>
      <c r="D139" s="10" t="n">
        <f aca="false">MIN(D138,IF(1=1,E138+$B$133,1000000000))</f>
        <v>-1</v>
      </c>
      <c r="E139" s="10" t="n">
        <f aca="false">MIN(E138,IF(1=1,B138+$B$134,1000000000))</f>
        <v>0</v>
      </c>
    </row>
    <row r="140" customFormat="false" ht="15" hidden="false" customHeight="false" outlineLevel="0" collapsed="false">
      <c r="A140" s="10" t="n">
        <v>2</v>
      </c>
      <c r="B140" s="10" t="n">
        <f aca="false">MIN(B139,IF(1=1,C139+$B$131,1000000000))</f>
        <v>-2</v>
      </c>
      <c r="C140" s="10" t="n">
        <f aca="false">MIN(C139,IF(1=1,D139+$B$132,1000000000))</f>
        <v>-2</v>
      </c>
      <c r="D140" s="10" t="n">
        <f aca="false">MIN(D139,IF(1=1,E139+$B$133,1000000000))</f>
        <v>-1</v>
      </c>
      <c r="E140" s="10" t="n">
        <f aca="false">MIN(E139,IF(1=1,B139+$B$134,1000000000))</f>
        <v>0</v>
      </c>
    </row>
    <row r="141" customFormat="false" ht="15" hidden="false" customHeight="false" outlineLevel="0" collapsed="false">
      <c r="A141" s="10" t="n">
        <v>3</v>
      </c>
      <c r="B141" s="10" t="n">
        <f aca="false">MIN(B140,IF(1=1,C140+$B$131,1000000000))</f>
        <v>-3</v>
      </c>
      <c r="C141" s="10" t="n">
        <f aca="false">MIN(C140,IF(1=1,D140+$B$132,1000000000))</f>
        <v>-2</v>
      </c>
      <c r="D141" s="10" t="n">
        <f aca="false">MIN(D140,IF(1=1,E140+$B$133,1000000000))</f>
        <v>-1</v>
      </c>
      <c r="E141" s="10" t="n">
        <f aca="false">MIN(E140,IF(1=1,B140+$B$134,1000000000))</f>
        <v>0</v>
      </c>
    </row>
    <row r="142" customFormat="false" ht="15" hidden="false" customHeight="false" outlineLevel="0" collapsed="false">
      <c r="A142" s="10" t="n">
        <v>4</v>
      </c>
      <c r="B142" s="10" t="n">
        <f aca="false">MIN(B141,IF(1=1,C141+$B$131,1000000000))</f>
        <v>-3</v>
      </c>
      <c r="C142" s="10" t="n">
        <f aca="false">MIN(C141,IF(1=1,D141+$B$132,1000000000))</f>
        <v>-2</v>
      </c>
      <c r="D142" s="10" t="n">
        <f aca="false">MIN(D141,IF(1=1,E141+$B$133,1000000000))</f>
        <v>-1</v>
      </c>
      <c r="E142" s="10" t="n">
        <f aca="false">MIN(E141,IF(1=1,B141+$B$134,1000000000))</f>
        <v>-1</v>
      </c>
    </row>
    <row r="143" customFormat="false" ht="15" hidden="false" customHeight="false" outlineLevel="0" collapsed="false">
      <c r="A143" s="4" t="s">
        <v>767</v>
      </c>
      <c r="B143" s="10" t="n">
        <f aca="false">IF(IF(1=1,IF(B142&gt;C142+$B$131+0.000000001,1,0),0)+IF(1=1,IF(C142&gt;D142+$B$132+0.000000001,1,0),0)+IF(1=1,IF(D142&gt;E142+$B$133+0.000000001,1,0),0)+IF(1=1,IF(E142&gt;B142+$B$134+0.000000001,1,0),0)=0,1,0)</f>
        <v>0</v>
      </c>
    </row>
    <row r="144" customFormat="false" ht="15" hidden="false" customHeight="false" outlineLevel="0" collapsed="false">
      <c r="A144" s="4" t="s">
        <v>768</v>
      </c>
    </row>
    <row r="145" customFormat="false" ht="23.85" hidden="false" customHeight="false" outlineLevel="0" collapsed="false">
      <c r="A145" s="8" t="s">
        <v>762</v>
      </c>
      <c r="B145" s="8" t="s">
        <v>782</v>
      </c>
      <c r="C145" s="8" t="s">
        <v>783</v>
      </c>
      <c r="D145" s="8" t="s">
        <v>784</v>
      </c>
      <c r="E145" s="8" t="s">
        <v>785</v>
      </c>
    </row>
    <row r="146" customFormat="false" ht="15" hidden="false" customHeight="false" outlineLevel="0" collapsed="false">
      <c r="A146" s="10" t="n">
        <v>0</v>
      </c>
      <c r="B146" s="10" t="n">
        <v>0</v>
      </c>
      <c r="C146" s="10" t="n">
        <v>0</v>
      </c>
      <c r="D146" s="10" t="n">
        <v>0</v>
      </c>
      <c r="E146" s="10" t="n">
        <v>0</v>
      </c>
    </row>
    <row r="147" customFormat="false" ht="15" hidden="false" customHeight="false" outlineLevel="0" collapsed="false">
      <c r="A147" s="10" t="n">
        <v>1</v>
      </c>
      <c r="B147" s="10" t="n">
        <f aca="false">MIN(B146,IF(0=1,C146+$B$131,1000000000))</f>
        <v>0</v>
      </c>
      <c r="C147" s="10" t="n">
        <f aca="false">MIN(C146,IF(1=1,D146+$B$132,1000000000))</f>
        <v>-1</v>
      </c>
      <c r="D147" s="10" t="n">
        <f aca="false">MIN(D146,IF(1=1,E146+$B$133,1000000000))</f>
        <v>-1</v>
      </c>
      <c r="E147" s="10" t="n">
        <f aca="false">MIN(E146,IF(1=1,B146+$B$134,1000000000))</f>
        <v>0</v>
      </c>
    </row>
    <row r="148" customFormat="false" ht="15" hidden="false" customHeight="false" outlineLevel="0" collapsed="false">
      <c r="A148" s="10" t="n">
        <v>2</v>
      </c>
      <c r="B148" s="10" t="n">
        <f aca="false">MIN(B147,IF(0=1,C147+$B$131,1000000000))</f>
        <v>0</v>
      </c>
      <c r="C148" s="10" t="n">
        <f aca="false">MIN(C147,IF(1=1,D147+$B$132,1000000000))</f>
        <v>-2</v>
      </c>
      <c r="D148" s="10" t="n">
        <f aca="false">MIN(D147,IF(1=1,E147+$B$133,1000000000))</f>
        <v>-1</v>
      </c>
      <c r="E148" s="10" t="n">
        <f aca="false">MIN(E147,IF(1=1,B147+$B$134,1000000000))</f>
        <v>0</v>
      </c>
    </row>
    <row r="149" customFormat="false" ht="15" hidden="false" customHeight="false" outlineLevel="0" collapsed="false">
      <c r="A149" s="10" t="n">
        <v>3</v>
      </c>
      <c r="B149" s="10" t="n">
        <f aca="false">MIN(B148,IF(0=1,C148+$B$131,1000000000))</f>
        <v>0</v>
      </c>
      <c r="C149" s="10" t="n">
        <f aca="false">MIN(C148,IF(1=1,D148+$B$132,1000000000))</f>
        <v>-2</v>
      </c>
      <c r="D149" s="10" t="n">
        <f aca="false">MIN(D148,IF(1=1,E148+$B$133,1000000000))</f>
        <v>-1</v>
      </c>
      <c r="E149" s="10" t="n">
        <f aca="false">MIN(E148,IF(1=1,B148+$B$134,1000000000))</f>
        <v>0</v>
      </c>
    </row>
    <row r="150" customFormat="false" ht="15" hidden="false" customHeight="false" outlineLevel="0" collapsed="false">
      <c r="A150" s="10" t="n">
        <v>4</v>
      </c>
      <c r="B150" s="10" t="n">
        <f aca="false">MIN(B149,IF(0=1,C149+$B$131,1000000000))</f>
        <v>0</v>
      </c>
      <c r="C150" s="10" t="n">
        <f aca="false">MIN(C149,IF(1=1,D149+$B$132,1000000000))</f>
        <v>-2</v>
      </c>
      <c r="D150" s="10" t="n">
        <f aca="false">MIN(D149,IF(1=1,E149+$B$133,1000000000))</f>
        <v>-1</v>
      </c>
      <c r="E150" s="10" t="n">
        <f aca="false">MIN(E149,IF(1=1,B149+$B$134,1000000000))</f>
        <v>0</v>
      </c>
    </row>
    <row r="151" customFormat="false" ht="15" hidden="false" customHeight="false" outlineLevel="0" collapsed="false">
      <c r="A151" s="4" t="s">
        <v>767</v>
      </c>
      <c r="B151" s="10" t="n">
        <f aca="false">IF(IF(0=1,IF(B150&gt;C150+$B$131+0.000000001,1,0),0)+IF(1=1,IF(C150&gt;D150+$B$132+0.000000001,1,0),0)+IF(1=1,IF(D150&gt;E150+$B$133+0.000000001,1,0),0)+IF(1=1,IF(E150&gt;B150+$B$134+0.000000001,1,0),0)=0,1,0)</f>
        <v>1</v>
      </c>
    </row>
    <row r="152" customFormat="false" ht="15" hidden="false" customHeight="false" outlineLevel="0" collapsed="false">
      <c r="A152" s="4" t="s">
        <v>770</v>
      </c>
    </row>
    <row r="153" customFormat="false" ht="23.85" hidden="false" customHeight="false" outlineLevel="0" collapsed="false">
      <c r="A153" s="8" t="s">
        <v>762</v>
      </c>
      <c r="B153" s="8" t="s">
        <v>782</v>
      </c>
      <c r="C153" s="8" t="s">
        <v>783</v>
      </c>
      <c r="D153" s="8" t="s">
        <v>784</v>
      </c>
      <c r="E153" s="8" t="s">
        <v>785</v>
      </c>
    </row>
    <row r="154" customFormat="false" ht="15" hidden="false" customHeight="false" outlineLevel="0" collapsed="false">
      <c r="A154" s="10" t="n">
        <v>0</v>
      </c>
      <c r="B154" s="10" t="n">
        <v>0</v>
      </c>
      <c r="C154" s="10" t="n">
        <v>0</v>
      </c>
      <c r="D154" s="10" t="n">
        <v>0</v>
      </c>
      <c r="E154" s="10" t="n">
        <v>0</v>
      </c>
    </row>
    <row r="155" customFormat="false" ht="15" hidden="false" customHeight="false" outlineLevel="0" collapsed="false">
      <c r="A155" s="10" t="n">
        <v>1</v>
      </c>
      <c r="B155" s="10" t="n">
        <f aca="false">MIN(B154,IF(1=1,C154+$B$131,1000000000))</f>
        <v>-1</v>
      </c>
      <c r="C155" s="10" t="n">
        <f aca="false">MIN(C154,IF(0=1,D154+$B$132,1000000000))</f>
        <v>0</v>
      </c>
      <c r="D155" s="10" t="n">
        <f aca="false">MIN(D154,IF(1=1,E154+$B$133,1000000000))</f>
        <v>-1</v>
      </c>
      <c r="E155" s="10" t="n">
        <f aca="false">MIN(E154,IF(1=1,B154+$B$134,1000000000))</f>
        <v>0</v>
      </c>
    </row>
    <row r="156" customFormat="false" ht="15" hidden="false" customHeight="false" outlineLevel="0" collapsed="false">
      <c r="A156" s="10" t="n">
        <v>2</v>
      </c>
      <c r="B156" s="10" t="n">
        <f aca="false">MIN(B155,IF(1=1,C155+$B$131,1000000000))</f>
        <v>-1</v>
      </c>
      <c r="C156" s="10" t="n">
        <f aca="false">MIN(C155,IF(0=1,D155+$B$132,1000000000))</f>
        <v>0</v>
      </c>
      <c r="D156" s="10" t="n">
        <f aca="false">MIN(D155,IF(1=1,E155+$B$133,1000000000))</f>
        <v>-1</v>
      </c>
      <c r="E156" s="10" t="n">
        <f aca="false">MIN(E155,IF(1=1,B155+$B$134,1000000000))</f>
        <v>0</v>
      </c>
    </row>
    <row r="157" customFormat="false" ht="15" hidden="false" customHeight="false" outlineLevel="0" collapsed="false">
      <c r="A157" s="10" t="n">
        <v>3</v>
      </c>
      <c r="B157" s="10" t="n">
        <f aca="false">MIN(B156,IF(1=1,C156+$B$131,1000000000))</f>
        <v>-1</v>
      </c>
      <c r="C157" s="10" t="n">
        <f aca="false">MIN(C156,IF(0=1,D156+$B$132,1000000000))</f>
        <v>0</v>
      </c>
      <c r="D157" s="10" t="n">
        <f aca="false">MIN(D156,IF(1=1,E156+$B$133,1000000000))</f>
        <v>-1</v>
      </c>
      <c r="E157" s="10" t="n">
        <f aca="false">MIN(E156,IF(1=1,B156+$B$134,1000000000))</f>
        <v>0</v>
      </c>
    </row>
    <row r="158" customFormat="false" ht="15" hidden="false" customHeight="false" outlineLevel="0" collapsed="false">
      <c r="A158" s="10" t="n">
        <v>4</v>
      </c>
      <c r="B158" s="10" t="n">
        <f aca="false">MIN(B157,IF(1=1,C157+$B$131,1000000000))</f>
        <v>-1</v>
      </c>
      <c r="C158" s="10" t="n">
        <f aca="false">MIN(C157,IF(0=1,D157+$B$132,1000000000))</f>
        <v>0</v>
      </c>
      <c r="D158" s="10" t="n">
        <f aca="false">MIN(D157,IF(1=1,E157+$B$133,1000000000))</f>
        <v>-1</v>
      </c>
      <c r="E158" s="10" t="n">
        <f aca="false">MIN(E157,IF(1=1,B157+$B$134,1000000000))</f>
        <v>0</v>
      </c>
    </row>
    <row r="159" customFormat="false" ht="15" hidden="false" customHeight="false" outlineLevel="0" collapsed="false">
      <c r="A159" s="4" t="s">
        <v>767</v>
      </c>
      <c r="B159" s="10" t="n">
        <f aca="false">IF(IF(1=1,IF(B158&gt;C158+$B$131+0.000000001,1,0),0)+IF(0=1,IF(C158&gt;D158+$B$132+0.000000001,1,0),0)+IF(1=1,IF(D158&gt;E158+$B$133+0.000000001,1,0),0)+IF(1=1,IF(E158&gt;B158+$B$134+0.000000001,1,0),0)=0,1,0)</f>
        <v>1</v>
      </c>
    </row>
    <row r="160" customFormat="false" ht="15" hidden="false" customHeight="false" outlineLevel="0" collapsed="false">
      <c r="A160" s="4" t="s">
        <v>771</v>
      </c>
    </row>
    <row r="161" customFormat="false" ht="23.85" hidden="false" customHeight="false" outlineLevel="0" collapsed="false">
      <c r="A161" s="8" t="s">
        <v>762</v>
      </c>
      <c r="B161" s="8" t="s">
        <v>782</v>
      </c>
      <c r="C161" s="8" t="s">
        <v>783</v>
      </c>
      <c r="D161" s="8" t="s">
        <v>784</v>
      </c>
      <c r="E161" s="8" t="s">
        <v>785</v>
      </c>
    </row>
    <row r="162" customFormat="false" ht="15" hidden="false" customHeight="false" outlineLevel="0" collapsed="false">
      <c r="A162" s="10" t="n">
        <v>0</v>
      </c>
      <c r="B162" s="10" t="n">
        <v>0</v>
      </c>
      <c r="C162" s="10" t="n">
        <v>0</v>
      </c>
      <c r="D162" s="10" t="n">
        <v>0</v>
      </c>
      <c r="E162" s="10" t="n">
        <v>0</v>
      </c>
    </row>
    <row r="163" customFormat="false" ht="15" hidden="false" customHeight="false" outlineLevel="0" collapsed="false">
      <c r="A163" s="10" t="n">
        <v>1</v>
      </c>
      <c r="B163" s="10" t="n">
        <f aca="false">MIN(B162,IF(1=1,C162+$B$131,1000000000))</f>
        <v>-1</v>
      </c>
      <c r="C163" s="10" t="n">
        <f aca="false">MIN(C162,IF(1=1,D162+$B$132,1000000000))</f>
        <v>-1</v>
      </c>
      <c r="D163" s="10" t="n">
        <f aca="false">MIN(D162,IF(0=1,E162+$B$133,1000000000))</f>
        <v>0</v>
      </c>
      <c r="E163" s="10" t="n">
        <f aca="false">MIN(E162,IF(1=1,B162+$B$134,1000000000))</f>
        <v>0</v>
      </c>
    </row>
    <row r="164" customFormat="false" ht="15" hidden="false" customHeight="false" outlineLevel="0" collapsed="false">
      <c r="A164" s="10" t="n">
        <v>2</v>
      </c>
      <c r="B164" s="10" t="n">
        <f aca="false">MIN(B163,IF(1=1,C163+$B$131,1000000000))</f>
        <v>-2</v>
      </c>
      <c r="C164" s="10" t="n">
        <f aca="false">MIN(C163,IF(1=1,D163+$B$132,1000000000))</f>
        <v>-1</v>
      </c>
      <c r="D164" s="10" t="n">
        <f aca="false">MIN(D163,IF(0=1,E163+$B$133,1000000000))</f>
        <v>0</v>
      </c>
      <c r="E164" s="10" t="n">
        <f aca="false">MIN(E163,IF(1=1,B163+$B$134,1000000000))</f>
        <v>0</v>
      </c>
    </row>
    <row r="165" customFormat="false" ht="15" hidden="false" customHeight="false" outlineLevel="0" collapsed="false">
      <c r="A165" s="10" t="n">
        <v>3</v>
      </c>
      <c r="B165" s="10" t="n">
        <f aca="false">MIN(B164,IF(1=1,C164+$B$131,1000000000))</f>
        <v>-2</v>
      </c>
      <c r="C165" s="10" t="n">
        <f aca="false">MIN(C164,IF(1=1,D164+$B$132,1000000000))</f>
        <v>-1</v>
      </c>
      <c r="D165" s="10" t="n">
        <f aca="false">MIN(D164,IF(0=1,E164+$B$133,1000000000))</f>
        <v>0</v>
      </c>
      <c r="E165" s="10" t="n">
        <f aca="false">MIN(E164,IF(1=1,B164+$B$134,1000000000))</f>
        <v>0</v>
      </c>
    </row>
    <row r="166" customFormat="false" ht="15" hidden="false" customHeight="false" outlineLevel="0" collapsed="false">
      <c r="A166" s="10" t="n">
        <v>4</v>
      </c>
      <c r="B166" s="10" t="n">
        <f aca="false">MIN(B165,IF(1=1,C165+$B$131,1000000000))</f>
        <v>-2</v>
      </c>
      <c r="C166" s="10" t="n">
        <f aca="false">MIN(C165,IF(1=1,D165+$B$132,1000000000))</f>
        <v>-1</v>
      </c>
      <c r="D166" s="10" t="n">
        <f aca="false">MIN(D165,IF(0=1,E165+$B$133,1000000000))</f>
        <v>0</v>
      </c>
      <c r="E166" s="10" t="n">
        <f aca="false">MIN(E165,IF(1=1,B165+$B$134,1000000000))</f>
        <v>0</v>
      </c>
    </row>
    <row r="167" customFormat="false" ht="15" hidden="false" customHeight="false" outlineLevel="0" collapsed="false">
      <c r="A167" s="4" t="s">
        <v>767</v>
      </c>
      <c r="B167" s="10" t="n">
        <f aca="false">IF(IF(1=1,IF(B166&gt;C166+$B$131+0.000000001,1,0),0)+IF(1=1,IF(C166&gt;D166+$B$132+0.000000001,1,0),0)+IF(0=1,IF(D166&gt;E166+$B$133+0.000000001,1,0),0)+IF(1=1,IF(E166&gt;B166+$B$134+0.000000001,1,0),0)=0,1,0)</f>
        <v>1</v>
      </c>
    </row>
    <row r="168" customFormat="false" ht="15" hidden="false" customHeight="false" outlineLevel="0" collapsed="false">
      <c r="A168" s="4" t="s">
        <v>786</v>
      </c>
    </row>
    <row r="169" customFormat="false" ht="23.85" hidden="false" customHeight="false" outlineLevel="0" collapsed="false">
      <c r="A169" s="8" t="s">
        <v>762</v>
      </c>
      <c r="B169" s="8" t="s">
        <v>782</v>
      </c>
      <c r="C169" s="8" t="s">
        <v>783</v>
      </c>
      <c r="D169" s="8" t="s">
        <v>784</v>
      </c>
      <c r="E169" s="8" t="s">
        <v>785</v>
      </c>
    </row>
    <row r="170" customFormat="false" ht="15" hidden="false" customHeight="false" outlineLevel="0" collapsed="false">
      <c r="A170" s="10" t="n">
        <v>0</v>
      </c>
      <c r="B170" s="10" t="n">
        <v>0</v>
      </c>
      <c r="C170" s="10" t="n">
        <v>0</v>
      </c>
      <c r="D170" s="10" t="n">
        <v>0</v>
      </c>
      <c r="E170" s="10" t="n">
        <v>0</v>
      </c>
    </row>
    <row r="171" customFormat="false" ht="15" hidden="false" customHeight="false" outlineLevel="0" collapsed="false">
      <c r="A171" s="10" t="n">
        <v>1</v>
      </c>
      <c r="B171" s="10" t="n">
        <f aca="false">MIN(B170,IF(1=1,C170+$B$131,1000000000))</f>
        <v>-1</v>
      </c>
      <c r="C171" s="10" t="n">
        <f aca="false">MIN(C170,IF(1=1,D170+$B$132,1000000000))</f>
        <v>-1</v>
      </c>
      <c r="D171" s="10" t="n">
        <f aca="false">MIN(D170,IF(1=1,E170+$B$133,1000000000))</f>
        <v>-1</v>
      </c>
      <c r="E171" s="10" t="n">
        <f aca="false">MIN(E170,IF(0=1,B170+$B$134,1000000000))</f>
        <v>0</v>
      </c>
    </row>
    <row r="172" customFormat="false" ht="15" hidden="false" customHeight="false" outlineLevel="0" collapsed="false">
      <c r="A172" s="10" t="n">
        <v>2</v>
      </c>
      <c r="B172" s="10" t="n">
        <f aca="false">MIN(B171,IF(1=1,C171+$B$131,1000000000))</f>
        <v>-2</v>
      </c>
      <c r="C172" s="10" t="n">
        <f aca="false">MIN(C171,IF(1=1,D171+$B$132,1000000000))</f>
        <v>-2</v>
      </c>
      <c r="D172" s="10" t="n">
        <f aca="false">MIN(D171,IF(1=1,E171+$B$133,1000000000))</f>
        <v>-1</v>
      </c>
      <c r="E172" s="10" t="n">
        <f aca="false">MIN(E171,IF(0=1,B171+$B$134,1000000000))</f>
        <v>0</v>
      </c>
    </row>
    <row r="173" customFormat="false" ht="15" hidden="false" customHeight="false" outlineLevel="0" collapsed="false">
      <c r="A173" s="10" t="n">
        <v>3</v>
      </c>
      <c r="B173" s="10" t="n">
        <f aca="false">MIN(B172,IF(1=1,C172+$B$131,1000000000))</f>
        <v>-3</v>
      </c>
      <c r="C173" s="10" t="n">
        <f aca="false">MIN(C172,IF(1=1,D172+$B$132,1000000000))</f>
        <v>-2</v>
      </c>
      <c r="D173" s="10" t="n">
        <f aca="false">MIN(D172,IF(1=1,E172+$B$133,1000000000))</f>
        <v>-1</v>
      </c>
      <c r="E173" s="10" t="n">
        <f aca="false">MIN(E172,IF(0=1,B172+$B$134,1000000000))</f>
        <v>0</v>
      </c>
    </row>
    <row r="174" customFormat="false" ht="15" hidden="false" customHeight="false" outlineLevel="0" collapsed="false">
      <c r="A174" s="10" t="n">
        <v>4</v>
      </c>
      <c r="B174" s="10" t="n">
        <f aca="false">MIN(B173,IF(1=1,C173+$B$131,1000000000))</f>
        <v>-3</v>
      </c>
      <c r="C174" s="10" t="n">
        <f aca="false">MIN(C173,IF(1=1,D173+$B$132,1000000000))</f>
        <v>-2</v>
      </c>
      <c r="D174" s="10" t="n">
        <f aca="false">MIN(D173,IF(1=1,E173+$B$133,1000000000))</f>
        <v>-1</v>
      </c>
      <c r="E174" s="10" t="n">
        <f aca="false">MIN(E173,IF(0=1,B173+$B$134,1000000000))</f>
        <v>0</v>
      </c>
    </row>
    <row r="175" customFormat="false" ht="15" hidden="false" customHeight="false" outlineLevel="0" collapsed="false">
      <c r="A175" s="4" t="s">
        <v>767</v>
      </c>
      <c r="B175" s="10" t="n">
        <f aca="false">IF(IF(1=1,IF(B174&gt;C174+$B$131+0.000000001,1,0),0)+IF(1=1,IF(C174&gt;D174+$B$132+0.000000001,1,0),0)+IF(1=1,IF(D174&gt;E174+$B$133+0.000000001,1,0),0)+IF(0=1,IF(E174&gt;B174+$B$134+0.000000001,1,0),0)=0,1,0)</f>
        <v>1</v>
      </c>
    </row>
    <row r="176" customFormat="false" ht="15" hidden="false" customHeight="false" outlineLevel="0" collapsed="false">
      <c r="A176" s="4" t="s">
        <v>787</v>
      </c>
    </row>
    <row r="177" customFormat="false" ht="23.85" hidden="false" customHeight="false" outlineLevel="0" collapsed="false">
      <c r="A177" s="8" t="s">
        <v>762</v>
      </c>
      <c r="B177" s="8" t="s">
        <v>782</v>
      </c>
      <c r="C177" s="8" t="s">
        <v>783</v>
      </c>
      <c r="D177" s="8" t="s">
        <v>784</v>
      </c>
      <c r="E177" s="8" t="s">
        <v>785</v>
      </c>
    </row>
    <row r="178" customFormat="false" ht="15" hidden="false" customHeight="false" outlineLevel="0" collapsed="false">
      <c r="A178" s="10" t="n">
        <v>0</v>
      </c>
      <c r="B178" s="10" t="n">
        <v>0</v>
      </c>
      <c r="C178" s="10" t="n">
        <v>0</v>
      </c>
      <c r="D178" s="10" t="n">
        <v>0</v>
      </c>
      <c r="E178" s="10" t="n">
        <v>0</v>
      </c>
    </row>
    <row r="179" customFormat="false" ht="15" hidden="false" customHeight="false" outlineLevel="0" collapsed="false">
      <c r="A179" s="10" t="n">
        <v>1</v>
      </c>
      <c r="B179" s="10" t="n">
        <f aca="false">MIN(B178,IF(1=1,C178+$C$131,1000000000))</f>
        <v>-1</v>
      </c>
      <c r="C179" s="10" t="n">
        <f aca="false">MIN(C178,IF(1=1,D178+$C$132,1000000000))</f>
        <v>-1</v>
      </c>
      <c r="D179" s="10" t="n">
        <f aca="false">MIN(D178,IF(1=1,E178+$C$133,1000000000))</f>
        <v>-1</v>
      </c>
      <c r="E179" s="10" t="n">
        <f aca="false">MIN(E178,IF(1=1,B178+$C$134,1000000000))</f>
        <v>0</v>
      </c>
    </row>
    <row r="180" customFormat="false" ht="15" hidden="false" customHeight="false" outlineLevel="0" collapsed="false">
      <c r="A180" s="10" t="n">
        <v>2</v>
      </c>
      <c r="B180" s="10" t="n">
        <f aca="false">MIN(B179,IF(1=1,C179+$C$131,1000000000))</f>
        <v>-2</v>
      </c>
      <c r="C180" s="10" t="n">
        <f aca="false">MIN(C179,IF(1=1,D179+$C$132,1000000000))</f>
        <v>-2</v>
      </c>
      <c r="D180" s="10" t="n">
        <f aca="false">MIN(D179,IF(1=1,E179+$C$133,1000000000))</f>
        <v>-1</v>
      </c>
      <c r="E180" s="10" t="n">
        <f aca="false">MIN(E179,IF(1=1,B179+$C$134,1000000000))</f>
        <v>0</v>
      </c>
    </row>
    <row r="181" customFormat="false" ht="15" hidden="false" customHeight="false" outlineLevel="0" collapsed="false">
      <c r="A181" s="10" t="n">
        <v>3</v>
      </c>
      <c r="B181" s="10" t="n">
        <f aca="false">MIN(B180,IF(1=1,C180+$C$131,1000000000))</f>
        <v>-3</v>
      </c>
      <c r="C181" s="10" t="n">
        <f aca="false">MIN(C180,IF(1=1,D180+$C$132,1000000000))</f>
        <v>-2</v>
      </c>
      <c r="D181" s="10" t="n">
        <f aca="false">MIN(D180,IF(1=1,E180+$C$133,1000000000))</f>
        <v>-1</v>
      </c>
      <c r="E181" s="10" t="n">
        <f aca="false">MIN(E180,IF(1=1,B180+$C$134,1000000000))</f>
        <v>0</v>
      </c>
    </row>
    <row r="182" customFormat="false" ht="15" hidden="false" customHeight="false" outlineLevel="0" collapsed="false">
      <c r="A182" s="10" t="n">
        <v>4</v>
      </c>
      <c r="B182" s="10" t="n">
        <f aca="false">MIN(B181,IF(1=1,C181+$C$131,1000000000))</f>
        <v>-3</v>
      </c>
      <c r="C182" s="10" t="n">
        <f aca="false">MIN(C181,IF(1=1,D181+$C$132,1000000000))</f>
        <v>-2</v>
      </c>
      <c r="D182" s="10" t="n">
        <f aca="false">MIN(D181,IF(1=1,E181+$C$133,1000000000))</f>
        <v>-1</v>
      </c>
      <c r="E182" s="10" t="n">
        <f aca="false">MIN(E181,IF(1=1,B181+$C$134,1000000000))</f>
        <v>0</v>
      </c>
    </row>
    <row r="183" customFormat="false" ht="15" hidden="false" customHeight="false" outlineLevel="0" collapsed="false">
      <c r="A183" s="4" t="s">
        <v>767</v>
      </c>
      <c r="B183" s="10" t="n">
        <f aca="false">IF(IF(1=1,IF(B182&gt;C182+$C$131+0.000000001,1,0),0)+IF(1=1,IF(C182&gt;D182+$C$132+0.000000001,1,0),0)+IF(1=1,IF(D182&gt;E182+$C$133+0.000000001,1,0),0)+IF(1=1,IF(E182&gt;B182+$C$134+0.000000001,1,0),0)=0,1,0)</f>
        <v>1</v>
      </c>
    </row>
    <row r="184" customFormat="false" ht="15" hidden="false" customHeight="false" outlineLevel="0" collapsed="false">
      <c r="A184" s="4" t="s">
        <v>788</v>
      </c>
      <c r="B184" s="10" t="n">
        <f aca="false">B182-$B$182</f>
        <v>0</v>
      </c>
      <c r="C184" s="10" t="n">
        <f aca="false">C182-$B$182</f>
        <v>1</v>
      </c>
      <c r="D184" s="10" t="n">
        <f aca="false">D182-$B$182</f>
        <v>2</v>
      </c>
      <c r="E184" s="10" t="n">
        <f aca="false">E182-$B$182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70"/>
    <col collapsed="false" customWidth="true" hidden="false" outlineLevel="0" max="3" min="3" style="0" width="46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789</v>
      </c>
    </row>
    <row r="2" customFormat="false" ht="15" hidden="false" customHeight="false" outlineLevel="0" collapsed="false">
      <c r="A2" s="9" t="s">
        <v>790</v>
      </c>
    </row>
    <row r="4" customFormat="false" ht="15" hidden="false" customHeight="false" outlineLevel="0" collapsed="false">
      <c r="A4" s="8" t="s">
        <v>791</v>
      </c>
      <c r="B4" s="8" t="s">
        <v>792</v>
      </c>
      <c r="C4" s="8" t="s">
        <v>793</v>
      </c>
      <c r="D4" s="8" t="s">
        <v>794</v>
      </c>
    </row>
    <row r="5" customFormat="false" ht="15" hidden="false" customHeight="false" outlineLevel="0" collapsed="false">
      <c r="A5" s="2" t="s">
        <v>795</v>
      </c>
      <c r="B5" s="10" t="n">
        <f aca="false">Wiring!$L$6</f>
        <v>7</v>
      </c>
    </row>
    <row r="6" customFormat="false" ht="15" hidden="false" customHeight="false" outlineLevel="0" collapsed="false">
      <c r="A6" s="2" t="s">
        <v>796</v>
      </c>
      <c r="B6" s="10" t="n">
        <f aca="false">Wiring!$L$7</f>
        <v>14</v>
      </c>
    </row>
    <row r="7" customFormat="false" ht="15" hidden="false" customHeight="false" outlineLevel="0" collapsed="false">
      <c r="A7" s="2" t="s">
        <v>797</v>
      </c>
      <c r="B7" s="14" t="n">
        <f aca="false">Wiring!$L$9</f>
        <v>0.333333333333333</v>
      </c>
      <c r="C7" s="20" t="s">
        <v>798</v>
      </c>
      <c r="D7" s="20" t="s">
        <v>799</v>
      </c>
    </row>
    <row r="8" customFormat="false" ht="15" hidden="false" customHeight="false" outlineLevel="0" collapsed="false">
      <c r="A8" s="2" t="s">
        <v>800</v>
      </c>
      <c r="B8" s="10" t="n">
        <f aca="false">Wiring!$L$13</f>
        <v>8</v>
      </c>
      <c r="C8" s="20" t="s">
        <v>801</v>
      </c>
      <c r="D8" s="20" t="s">
        <v>802</v>
      </c>
    </row>
    <row r="9" customFormat="false" ht="15" hidden="false" customHeight="false" outlineLevel="0" collapsed="false">
      <c r="A9" s="2" t="s">
        <v>803</v>
      </c>
      <c r="B9" s="10" t="n">
        <f aca="false">Core!$N$7</f>
        <v>4</v>
      </c>
      <c r="C9" s="20" t="s">
        <v>804</v>
      </c>
      <c r="D9" s="20" t="s">
        <v>805</v>
      </c>
    </row>
    <row r="10" customFormat="false" ht="15" hidden="false" customHeight="false" outlineLevel="0" collapsed="false">
      <c r="A10" s="2" t="s">
        <v>806</v>
      </c>
      <c r="B10" s="10" t="n">
        <f aca="false">Core!$N$10</f>
        <v>2</v>
      </c>
      <c r="C10" s="20" t="s">
        <v>807</v>
      </c>
      <c r="D10" s="20" t="s">
        <v>808</v>
      </c>
    </row>
    <row r="11" customFormat="false" ht="15" hidden="false" customHeight="false" outlineLevel="0" collapsed="false">
      <c r="A11" s="2" t="s">
        <v>809</v>
      </c>
      <c r="B11" s="10" t="n">
        <f aca="false">Shock!$B$20</f>
        <v>2</v>
      </c>
      <c r="C11" s="20" t="s">
        <v>810</v>
      </c>
      <c r="D11" s="20" t="s">
        <v>811</v>
      </c>
    </row>
    <row r="12" customFormat="false" ht="15" hidden="false" customHeight="false" outlineLevel="0" collapsed="false">
      <c r="A12" s="2" t="s">
        <v>812</v>
      </c>
      <c r="B12" s="10" t="n">
        <f aca="false">Constraints!$L$8</f>
        <v>1</v>
      </c>
      <c r="C12" s="20" t="s">
        <v>813</v>
      </c>
    </row>
    <row r="15" customFormat="false" ht="15" hidden="false" customHeight="false" outlineLevel="0" collapsed="false">
      <c r="A15" s="8" t="s">
        <v>814</v>
      </c>
      <c r="B15" s="8" t="s">
        <v>815</v>
      </c>
      <c r="C15" s="8" t="s">
        <v>816</v>
      </c>
      <c r="D15" s="8" t="s">
        <v>817</v>
      </c>
    </row>
    <row r="16" customFormat="false" ht="15" hidden="false" customHeight="false" outlineLevel="0" collapsed="false">
      <c r="A16" s="4" t="s">
        <v>818</v>
      </c>
      <c r="B16" s="20" t="s">
        <v>819</v>
      </c>
      <c r="C16" s="10" t="n">
        <f aca="false">Wiring!$L$20</f>
        <v>14</v>
      </c>
      <c r="D16" s="2" t="str">
        <f aca="false">IF(C16=Wiring!$L$7,"pass","check")</f>
        <v>pass</v>
      </c>
    </row>
    <row r="17" customFormat="false" ht="15" hidden="false" customHeight="false" outlineLevel="0" collapsed="false">
      <c r="A17" s="4" t="s">
        <v>820</v>
      </c>
      <c r="B17" s="20" t="s">
        <v>821</v>
      </c>
      <c r="C17" s="10" t="n">
        <f aca="false">Wiring!$L$16</f>
        <v>28</v>
      </c>
      <c r="D17" s="2" t="str">
        <f aca="false">IF(C17&gt;0,"listed","none")</f>
        <v>listed</v>
      </c>
    </row>
    <row r="18" customFormat="false" ht="15" hidden="false" customHeight="false" outlineLevel="0" collapsed="false">
      <c r="A18" s="4" t="s">
        <v>820</v>
      </c>
      <c r="B18" s="20" t="s">
        <v>822</v>
      </c>
      <c r="C18" s="10" t="n">
        <f aca="false">Core!$N$9</f>
        <v>3</v>
      </c>
      <c r="D18" s="2" t="str">
        <f aca="false">IF(C18&gt;0,"pass","check")</f>
        <v>pass</v>
      </c>
    </row>
    <row r="19" customFormat="false" ht="15" hidden="false" customHeight="false" outlineLevel="0" collapsed="false">
      <c r="A19" s="4" t="s">
        <v>823</v>
      </c>
      <c r="B19" s="20" t="s">
        <v>824</v>
      </c>
      <c r="C19" s="10" t="n">
        <f aca="false">Constraints!$L$9</f>
        <v>1</v>
      </c>
      <c r="D19" s="2" t="str">
        <f aca="false">C19&amp;" joint review(s)"</f>
        <v>1 joint review(s)</v>
      </c>
    </row>
    <row r="20" customFormat="false" ht="15" hidden="false" customHeight="false" outlineLevel="0" collapsed="false">
      <c r="A20" s="4" t="s">
        <v>825</v>
      </c>
      <c r="B20" s="20" t="s">
        <v>826</v>
      </c>
      <c r="C20" s="10" t="n">
        <f aca="false">SummaryMap!$I$85</f>
        <v>7</v>
      </c>
      <c r="D20" s="2" t="str">
        <f aca="false">IF(C20&gt;0,"use it to clear, not to connect","pass")</f>
        <v>use it to clear, not to connect</v>
      </c>
    </row>
    <row r="21" customFormat="false" ht="15" hidden="false" customHeight="false" outlineLevel="0" collapsed="false">
      <c r="A21" s="4" t="s">
        <v>827</v>
      </c>
      <c r="B21" s="20" t="s">
        <v>828</v>
      </c>
      <c r="C21" s="10" t="n">
        <f aca="false">IF(AND(COUNTIF(Comp,"MKT"),COUNTIF(Comp,"IND"),COUNTIF(Comp,"DIG"),COUNTIF(Comp,"MAT"),COUNTIF(Comp,"TRS"),COUNTIFS(Arr_from,"MKT",Arr_type,"demand")=3,COUNTIFS(Arr_to,"TRS",Arr_type,"cash")=3),1,0)</f>
        <v>1</v>
      </c>
      <c r="D21" s="2" t="str">
        <f aca="false">IF(C21=1,"covered: answerable","not covered")</f>
        <v>covered: answerable</v>
      </c>
    </row>
    <row r="22" customFormat="false" ht="15" hidden="false" customHeight="false" outlineLevel="0" collapsed="false">
      <c r="A22" s="4" t="s">
        <v>827</v>
      </c>
      <c r="B22" s="20" t="s">
        <v>829</v>
      </c>
      <c r="C22" s="11" t="n">
        <v>0</v>
      </c>
      <c r="D22" s="2" t="str">
        <f aca="false">IF(C22=1,"covered","not covered: list the enrichment")</f>
        <v>not covered: list the enrichment</v>
      </c>
    </row>
    <row r="24" customFormat="false" ht="15" hidden="false" customHeight="false" outlineLevel="0" collapsed="false">
      <c r="A24" s="9" t="s">
        <v>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7"/>
    <col collapsed="false" customWidth="true" hidden="false" outlineLevel="0" max="10" min="10" style="0" width="10"/>
    <col collapsed="false" customWidth="true" hidden="false" outlineLevel="0" max="11" min="11" style="0" width="50"/>
    <col collapsed="false" customWidth="true" hidden="false" outlineLevel="0" max="12" min="12" style="0" width="9"/>
    <col collapsed="false" customWidth="true" hidden="false" outlineLevel="0" max="13" min="13" style="0" width="44"/>
  </cols>
  <sheetData>
    <row r="1" customFormat="false" ht="15" hidden="false" customHeight="false" outlineLevel="0" collapsed="false">
      <c r="A1" s="1" t="s">
        <v>831</v>
      </c>
    </row>
    <row r="2" customFormat="false" ht="15" hidden="false" customHeight="false" outlineLevel="0" collapsed="false">
      <c r="A2" s="9" t="s">
        <v>832</v>
      </c>
    </row>
    <row r="3" customFormat="false" ht="15" hidden="false" customHeight="false" outlineLevel="0" collapsed="false">
      <c r="A3" s="2" t="s">
        <v>833</v>
      </c>
      <c r="C3" s="11" t="n">
        <v>1</v>
      </c>
    </row>
    <row r="5" customFormat="false" ht="15" hidden="false" customHeight="false" outlineLevel="0" collapsed="false">
      <c r="A5" s="4" t="s">
        <v>834</v>
      </c>
    </row>
    <row r="6" customFormat="false" ht="15" hidden="false" customHeight="false" outlineLevel="0" collapsed="false">
      <c r="A6" s="8" t="s">
        <v>97</v>
      </c>
      <c r="B6" s="8" t="s">
        <v>23</v>
      </c>
      <c r="C6" s="8" t="s">
        <v>28</v>
      </c>
      <c r="D6" s="8" t="s">
        <v>32</v>
      </c>
      <c r="E6" s="8" t="s">
        <v>37</v>
      </c>
      <c r="F6" s="8" t="s">
        <v>40</v>
      </c>
      <c r="G6" s="8" t="s">
        <v>42</v>
      </c>
      <c r="H6" s="8" t="s">
        <v>46</v>
      </c>
      <c r="K6" s="2" t="s">
        <v>835</v>
      </c>
      <c r="L6" s="10" t="n">
        <f aca="false">SUM($B$7:$H$13)</f>
        <v>15</v>
      </c>
      <c r="M6" s="9" t="s">
        <v>836</v>
      </c>
    </row>
    <row r="7" customFormat="false" ht="15" hidden="false" customHeight="false" outlineLevel="0" collapsed="false">
      <c r="A7" s="4" t="s">
        <v>23</v>
      </c>
      <c r="B7" s="10" t="n">
        <f aca="false">MIN(1,Wiring!$B$6+IF(AND($A7="TRS",B$6="MAT"),$C$3,0))</f>
        <v>0</v>
      </c>
      <c r="C7" s="10" t="n">
        <f aca="false">MIN(1,Wiring!$C$6+IF(AND($A7="TRS",C$6="MAT"),$C$3,0))</f>
        <v>0</v>
      </c>
      <c r="D7" s="10" t="n">
        <f aca="false">MIN(1,Wiring!$D$6+IF(AND($A7="TRS",D$6="MAT"),$C$3,0))</f>
        <v>1</v>
      </c>
      <c r="E7" s="10" t="n">
        <f aca="false">MIN(1,Wiring!$E$6+IF(AND($A7="TRS",E$6="MAT"),$C$3,0))</f>
        <v>1</v>
      </c>
      <c r="F7" s="10" t="n">
        <f aca="false">MIN(1,Wiring!$F$6+IF(AND($A7="TRS",F$6="MAT"),$C$3,0))</f>
        <v>1</v>
      </c>
      <c r="G7" s="10" t="n">
        <f aca="false">MIN(1,Wiring!$G$6+IF(AND($A7="TRS",G$6="MAT"),$C$3,0))</f>
        <v>0</v>
      </c>
      <c r="H7" s="10" t="n">
        <f aca="false">MIN(1,Wiring!$H$6+IF(AND($A7="TRS",H$6="MAT"),$C$3,0))</f>
        <v>0</v>
      </c>
      <c r="K7" s="2" t="s">
        <v>797</v>
      </c>
      <c r="L7" s="14" t="n">
        <f aca="false">L6/(Wiring!$L$6*(Wiring!$L$6-1))</f>
        <v>0.357142857142857</v>
      </c>
      <c r="M7" s="9" t="s">
        <v>837</v>
      </c>
    </row>
    <row r="8" customFormat="false" ht="15" hidden="false" customHeight="false" outlineLevel="0" collapsed="false">
      <c r="A8" s="4" t="s">
        <v>28</v>
      </c>
      <c r="B8" s="10" t="n">
        <f aca="false">MIN(1,Wiring!$B$7+IF(AND($A8="TRS",B$6="MAT"),$C$3,0))</f>
        <v>0</v>
      </c>
      <c r="C8" s="10" t="n">
        <f aca="false">MIN(1,Wiring!$C$7+IF(AND($A8="TRS",C$6="MAT"),$C$3,0))</f>
        <v>0</v>
      </c>
      <c r="D8" s="10" t="n">
        <f aca="false">MIN(1,Wiring!$D$7+IF(AND($A8="TRS",D$6="MAT"),$C$3,0))</f>
        <v>0</v>
      </c>
      <c r="E8" s="10" t="n">
        <f aca="false">MIN(1,Wiring!$E$7+IF(AND($A8="TRS",E$6="MAT"),$C$3,0))</f>
        <v>0</v>
      </c>
      <c r="F8" s="10" t="n">
        <f aca="false">MIN(1,Wiring!$F$7+IF(AND($A8="TRS",F$6="MAT"),$C$3,0))</f>
        <v>1</v>
      </c>
      <c r="G8" s="10" t="n">
        <f aca="false">MIN(1,Wiring!$G$7+IF(AND($A8="TRS",G$6="MAT"),$C$3,0))</f>
        <v>0</v>
      </c>
      <c r="H8" s="10" t="n">
        <f aca="false">MIN(1,Wiring!$H$7+IF(AND($A8="TRS",H$6="MAT"),$C$3,0))</f>
        <v>1</v>
      </c>
      <c r="K8" s="2" t="s">
        <v>838</v>
      </c>
      <c r="L8" s="10" t="n">
        <f aca="false">L6-Wiring!$L$6+Wiring!$L$12-IF(Wiring!$D$79=1,0,$C$3)</f>
        <v>9</v>
      </c>
      <c r="M8" s="9" t="s">
        <v>839</v>
      </c>
    </row>
    <row r="9" customFormat="false" ht="15" hidden="false" customHeight="false" outlineLevel="0" collapsed="false">
      <c r="A9" s="4" t="s">
        <v>32</v>
      </c>
      <c r="B9" s="10" t="n">
        <f aca="false">MIN(1,Wiring!$B$8+IF(AND($A9="TRS",B$6="MAT"),$C$3,0))</f>
        <v>0</v>
      </c>
      <c r="C9" s="10" t="n">
        <f aca="false">MIN(1,Wiring!$C$8+IF(AND($A9="TRS",C$6="MAT"),$C$3,0))</f>
        <v>0</v>
      </c>
      <c r="D9" s="10" t="n">
        <f aca="false">MIN(1,Wiring!$D$8+IF(AND($A9="TRS",D$6="MAT"),$C$3,0))</f>
        <v>0</v>
      </c>
      <c r="E9" s="10" t="n">
        <f aca="false">MIN(1,Wiring!$E$8+IF(AND($A9="TRS",E$6="MAT"),$C$3,0))</f>
        <v>0</v>
      </c>
      <c r="F9" s="10" t="n">
        <f aca="false">MIN(1,Wiring!$F$8+IF(AND($A9="TRS",F$6="MAT"),$C$3,0))</f>
        <v>0</v>
      </c>
      <c r="G9" s="10" t="n">
        <f aca="false">MIN(1,Wiring!$G$8+IF(AND($A9="TRS",G$6="MAT"),$C$3,0))</f>
        <v>0</v>
      </c>
      <c r="H9" s="10" t="n">
        <f aca="false">MIN(1,Wiring!$H$8+IF(AND($A9="TRS",H$6="MAT"),$C$3,0))</f>
        <v>1</v>
      </c>
      <c r="K9" s="2" t="s">
        <v>840</v>
      </c>
      <c r="L9" s="10" t="n">
        <f aca="false">MAX($J$106:$J$112)</f>
        <v>5</v>
      </c>
      <c r="M9" s="9" t="s">
        <v>841</v>
      </c>
    </row>
    <row r="10" customFormat="false" ht="15" hidden="false" customHeight="false" outlineLevel="0" collapsed="false">
      <c r="A10" s="4" t="s">
        <v>37</v>
      </c>
      <c r="B10" s="10" t="n">
        <f aca="false">MIN(1,Wiring!$B$9+IF(AND($A10="TRS",B$6="MAT"),$C$3,0))</f>
        <v>0</v>
      </c>
      <c r="C10" s="10" t="n">
        <f aca="false">MIN(1,Wiring!$C$9+IF(AND($A10="TRS",C$6="MAT"),$C$3,0))</f>
        <v>0</v>
      </c>
      <c r="D10" s="10" t="n">
        <f aca="false">MIN(1,Wiring!$D$9+IF(AND($A10="TRS",D$6="MAT"),$C$3,0))</f>
        <v>0</v>
      </c>
      <c r="E10" s="10" t="n">
        <f aca="false">MIN(1,Wiring!$E$9+IF(AND($A10="TRS",E$6="MAT"),$C$3,0))</f>
        <v>0</v>
      </c>
      <c r="F10" s="10" t="n">
        <f aca="false">MIN(1,Wiring!$F$9+IF(AND($A10="TRS",F$6="MAT"),$C$3,0))</f>
        <v>0</v>
      </c>
      <c r="G10" s="10" t="n">
        <f aca="false">MIN(1,Wiring!$G$9+IF(AND($A10="TRS",G$6="MAT"),$C$3,0))</f>
        <v>1</v>
      </c>
      <c r="H10" s="10" t="n">
        <f aca="false">MIN(1,Wiring!$H$9+IF(AND($A10="TRS",H$6="MAT"),$C$3,0))</f>
        <v>1</v>
      </c>
      <c r="K10" s="2" t="s">
        <v>155</v>
      </c>
      <c r="L10" s="10" t="n">
        <f aca="false">MAX($H$139:$H$145)</f>
        <v>2</v>
      </c>
      <c r="M10" s="9" t="s">
        <v>842</v>
      </c>
    </row>
    <row r="11" customFormat="false" ht="15" hidden="false" customHeight="false" outlineLevel="0" collapsed="false">
      <c r="A11" s="4" t="s">
        <v>40</v>
      </c>
      <c r="B11" s="10" t="n">
        <f aca="false">MIN(1,Wiring!$B$10+IF(AND($A11="TRS",B$6="MAT"),$C$3,0))</f>
        <v>0</v>
      </c>
      <c r="C11" s="10" t="n">
        <f aca="false">MIN(1,Wiring!$C$10+IF(AND($A11="TRS",C$6="MAT"),$C$3,0))</f>
        <v>0</v>
      </c>
      <c r="D11" s="10" t="n">
        <f aca="false">MIN(1,Wiring!$D$10+IF(AND($A11="TRS",D$6="MAT"),$C$3,0))</f>
        <v>0</v>
      </c>
      <c r="E11" s="10" t="n">
        <f aca="false">MIN(1,Wiring!$E$10+IF(AND($A11="TRS",E$6="MAT"),$C$3,0))</f>
        <v>0</v>
      </c>
      <c r="F11" s="10" t="n">
        <f aca="false">MIN(1,Wiring!$F$10+IF(AND($A11="TRS",F$6="MAT"),$C$3,0))</f>
        <v>0</v>
      </c>
      <c r="G11" s="10" t="n">
        <f aca="false">MIN(1,Wiring!$G$10+IF(AND($A11="TRS",G$6="MAT"),$C$3,0))</f>
        <v>1</v>
      </c>
      <c r="H11" s="10" t="n">
        <f aca="false">MIN(1,Wiring!$H$10+IF(AND($A11="TRS",H$6="MAT"),$C$3,0))</f>
        <v>1</v>
      </c>
      <c r="K11" s="2" t="s">
        <v>806</v>
      </c>
      <c r="L11" s="10" t="n">
        <f aca="false">L10-1</f>
        <v>1</v>
      </c>
      <c r="M11" s="9" t="s">
        <v>704</v>
      </c>
    </row>
    <row r="12" customFormat="false" ht="15" hidden="false" customHeight="false" outlineLevel="0" collapsed="false">
      <c r="A12" s="4" t="s">
        <v>42</v>
      </c>
      <c r="B12" s="10" t="n">
        <f aca="false">MIN(1,Wiring!$B$11+IF(AND($A12="TRS",B$6="MAT"),$C$3,0))</f>
        <v>0</v>
      </c>
      <c r="C12" s="10" t="n">
        <f aca="false">MIN(1,Wiring!$C$11+IF(AND($A12="TRS",C$6="MAT"),$C$3,0))</f>
        <v>0</v>
      </c>
      <c r="D12" s="10" t="n">
        <f aca="false">MIN(1,Wiring!$D$11+IF(AND($A12="TRS",D$6="MAT"),$C$3,0))</f>
        <v>0</v>
      </c>
      <c r="E12" s="10" t="n">
        <f aca="false">MIN(1,Wiring!$E$11+IF(AND($A12="TRS",E$6="MAT"),$C$3,0))</f>
        <v>1</v>
      </c>
      <c r="F12" s="10" t="n">
        <f aca="false">MIN(1,Wiring!$F$11+IF(AND($A12="TRS",F$6="MAT"),$C$3,0))</f>
        <v>1</v>
      </c>
      <c r="G12" s="10" t="n">
        <f aca="false">MIN(1,Wiring!$G$11+IF(AND($A12="TRS",G$6="MAT"),$C$3,0))</f>
        <v>0</v>
      </c>
      <c r="H12" s="10" t="n">
        <f aca="false">MIN(1,Wiring!$H$11+IF(AND($A12="TRS",H$6="MAT"),$C$3,0))</f>
        <v>0</v>
      </c>
      <c r="K12" s="2" t="s">
        <v>671</v>
      </c>
      <c r="L12" s="10" t="n">
        <f aca="false">$D$100+$D$101+$D$96</f>
        <v>3</v>
      </c>
      <c r="M12" s="9" t="s">
        <v>843</v>
      </c>
    </row>
    <row r="13" customFormat="false" ht="15" hidden="false" customHeight="false" outlineLevel="0" collapsed="false">
      <c r="A13" s="4" t="s">
        <v>46</v>
      </c>
      <c r="B13" s="10" t="n">
        <f aca="false">MIN(1,Wiring!$B$12+IF(AND($A13="TRS",B$6="MAT"),$C$3,0))</f>
        <v>0</v>
      </c>
      <c r="C13" s="10" t="n">
        <f aca="false">MIN(1,Wiring!$C$12+IF(AND($A13="TRS",C$6="MAT"),$C$3,0))</f>
        <v>0</v>
      </c>
      <c r="D13" s="10" t="n">
        <f aca="false">MIN(1,Wiring!$D$12+IF(AND($A13="TRS",D$6="MAT"),$C$3,0))</f>
        <v>1</v>
      </c>
      <c r="E13" s="10" t="n">
        <f aca="false">MIN(1,Wiring!$E$12+IF(AND($A13="TRS",E$6="MAT"),$C$3,0))</f>
        <v>1</v>
      </c>
      <c r="F13" s="10" t="n">
        <f aca="false">MIN(1,Wiring!$F$12+IF(AND($A13="TRS",F$6="MAT"),$C$3,0))</f>
        <v>1</v>
      </c>
      <c r="G13" s="10" t="n">
        <f aca="false">MIN(1,Wiring!$G$12+IF(AND($A13="TRS",G$6="MAT"),$C$3,0))</f>
        <v>0</v>
      </c>
      <c r="H13" s="10" t="n">
        <f aca="false">MIN(1,Wiring!$H$12+IF(AND($A13="TRS",H$6="MAT"),$C$3,0))</f>
        <v>0</v>
      </c>
      <c r="K13" s="2" t="s">
        <v>844</v>
      </c>
      <c r="L13" s="10" t="n">
        <f aca="false">$H$149</f>
        <v>2</v>
      </c>
      <c r="M13" s="9" t="s">
        <v>845</v>
      </c>
    </row>
    <row r="14" customFormat="false" ht="15" hidden="false" customHeight="false" outlineLevel="0" collapsed="false">
      <c r="K14" s="2" t="s">
        <v>846</v>
      </c>
      <c r="L14" s="10" t="n">
        <f aca="false">$H$40</f>
        <v>13</v>
      </c>
      <c r="M14" s="9" t="s">
        <v>847</v>
      </c>
    </row>
    <row r="15" customFormat="false" ht="15" hidden="false" customHeight="false" outlineLevel="0" collapsed="false">
      <c r="K15" s="2" t="s">
        <v>848</v>
      </c>
      <c r="L15" s="10" t="n">
        <f aca="false">Constraints!$L$9</f>
        <v>1</v>
      </c>
      <c r="M15" s="9" t="s">
        <v>849</v>
      </c>
    </row>
    <row r="16" customFormat="false" ht="15" hidden="false" customHeight="false" outlineLevel="0" collapsed="false">
      <c r="A16" s="4" t="s">
        <v>148</v>
      </c>
    </row>
    <row r="17" customFormat="false" ht="15" hidden="false" customHeight="false" outlineLevel="0" collapsed="false">
      <c r="A17" s="8"/>
      <c r="B17" s="8" t="s">
        <v>23</v>
      </c>
      <c r="C17" s="8" t="s">
        <v>28</v>
      </c>
      <c r="D17" s="8" t="s">
        <v>32</v>
      </c>
      <c r="E17" s="8" t="s">
        <v>37</v>
      </c>
      <c r="F17" s="8" t="s">
        <v>40</v>
      </c>
      <c r="G17" s="8" t="s">
        <v>42</v>
      </c>
      <c r="H17" s="8" t="s">
        <v>46</v>
      </c>
    </row>
    <row r="18" customFormat="false" ht="15" hidden="false" customHeight="false" outlineLevel="0" collapsed="false">
      <c r="A18" s="4" t="s">
        <v>23</v>
      </c>
      <c r="B18" s="10" t="n">
        <f aca="false">$B$7*$B$7+$C$7*$B$8+$D$7*$B$9+$E$7*$B$10+$F$7*$B$11+$G$7*$B$12+$H$7*$B$13</f>
        <v>0</v>
      </c>
      <c r="C18" s="10" t="n">
        <f aca="false">$B$7*$C$7+$C$7*$C$8+$D$7*$C$9+$E$7*$C$10+$F$7*$C$11+$G$7*$C$12+$H$7*$C$13</f>
        <v>0</v>
      </c>
      <c r="D18" s="10" t="n">
        <f aca="false">$B$7*$D$7+$C$7*$D$8+$D$7*$D$9+$E$7*$D$10+$F$7*$D$11+$G$7*$D$12+$H$7*$D$13</f>
        <v>0</v>
      </c>
      <c r="E18" s="10" t="n">
        <f aca="false">$B$7*$E$7+$C$7*$E$8+$D$7*$E$9+$E$7*$E$10+$F$7*$E$11+$G$7*$E$12+$H$7*$E$13</f>
        <v>0</v>
      </c>
      <c r="F18" s="10" t="n">
        <f aca="false">$B$7*$F$7+$C$7*$F$8+$D$7*$F$9+$E$7*$F$10+$F$7*$F$11+$G$7*$F$12+$H$7*$F$13</f>
        <v>0</v>
      </c>
      <c r="G18" s="10" t="n">
        <f aca="false">$B$7*$G$7+$C$7*$G$8+$D$7*$G$9+$E$7*$G$10+$F$7*$G$11+$G$7*$G$12+$H$7*$G$13</f>
        <v>2</v>
      </c>
      <c r="H18" s="10" t="n">
        <f aca="false">$B$7*$H$7+$C$7*$H$8+$D$7*$H$9+$E$7*$H$10+$F$7*$H$11+$G$7*$H$12+$H$7*$H$13</f>
        <v>3</v>
      </c>
    </row>
    <row r="19" customFormat="false" ht="15" hidden="false" customHeight="false" outlineLevel="0" collapsed="false">
      <c r="A19" s="4" t="s">
        <v>28</v>
      </c>
      <c r="B19" s="10" t="n">
        <f aca="false">$B$8*$B$7+$C$8*$B$8+$D$8*$B$9+$E$8*$B$10+$F$8*$B$11+$G$8*$B$12+$H$8*$B$13</f>
        <v>0</v>
      </c>
      <c r="C19" s="10" t="n">
        <f aca="false">$B$8*$C$7+$C$8*$C$8+$D$8*$C$9+$E$8*$C$10+$F$8*$C$11+$G$8*$C$12+$H$8*$C$13</f>
        <v>0</v>
      </c>
      <c r="D19" s="10" t="n">
        <f aca="false">$B$8*$D$7+$C$8*$D$8+$D$8*$D$9+$E$8*$D$10+$F$8*$D$11+$G$8*$D$12+$H$8*$D$13</f>
        <v>1</v>
      </c>
      <c r="E19" s="10" t="n">
        <f aca="false">$B$8*$E$7+$C$8*$E$8+$D$8*$E$9+$E$8*$E$10+$F$8*$E$11+$G$8*$E$12+$H$8*$E$13</f>
        <v>1</v>
      </c>
      <c r="F19" s="10" t="n">
        <f aca="false">$B$8*$F$7+$C$8*$F$8+$D$8*$F$9+$E$8*$F$10+$F$8*$F$11+$G$8*$F$12+$H$8*$F$13</f>
        <v>1</v>
      </c>
      <c r="G19" s="10" t="n">
        <f aca="false">$B$8*$G$7+$C$8*$G$8+$D$8*$G$9+$E$8*$G$10+$F$8*$G$11+$G$8*$G$12+$H$8*$G$13</f>
        <v>1</v>
      </c>
      <c r="H19" s="10" t="n">
        <f aca="false">$B$8*$H$7+$C$8*$H$8+$D$8*$H$9+$E$8*$H$10+$F$8*$H$11+$G$8*$H$12+$H$8*$H$13</f>
        <v>1</v>
      </c>
    </row>
    <row r="20" customFormat="false" ht="15" hidden="false" customHeight="false" outlineLevel="0" collapsed="false">
      <c r="A20" s="4" t="s">
        <v>32</v>
      </c>
      <c r="B20" s="10" t="n">
        <f aca="false">$B$9*$B$7+$C$9*$B$8+$D$9*$B$9+$E$9*$B$10+$F$9*$B$11+$G$9*$B$12+$H$9*$B$13</f>
        <v>0</v>
      </c>
      <c r="C20" s="10" t="n">
        <f aca="false">$B$9*$C$7+$C$9*$C$8+$D$9*$C$9+$E$9*$C$10+$F$9*$C$11+$G$9*$C$12+$H$9*$C$13</f>
        <v>0</v>
      </c>
      <c r="D20" s="10" t="n">
        <f aca="false">$B$9*$D$7+$C$9*$D$8+$D$9*$D$9+$E$9*$D$10+$F$9*$D$11+$G$9*$D$12+$H$9*$D$13</f>
        <v>1</v>
      </c>
      <c r="E20" s="10" t="n">
        <f aca="false">$B$9*$E$7+$C$9*$E$8+$D$9*$E$9+$E$9*$E$10+$F$9*$E$11+$G$9*$E$12+$H$9*$E$13</f>
        <v>1</v>
      </c>
      <c r="F20" s="10" t="n">
        <f aca="false">$B$9*$F$7+$C$9*$F$8+$D$9*$F$9+$E$9*$F$10+$F$9*$F$11+$G$9*$F$12+$H$9*$F$13</f>
        <v>1</v>
      </c>
      <c r="G20" s="10" t="n">
        <f aca="false">$B$9*$G$7+$C$9*$G$8+$D$9*$G$9+$E$9*$G$10+$F$9*$G$11+$G$9*$G$12+$H$9*$G$13</f>
        <v>0</v>
      </c>
      <c r="H20" s="10" t="n">
        <f aca="false">$B$9*$H$7+$C$9*$H$8+$D$9*$H$9+$E$9*$H$10+$F$9*$H$11+$G$9*$H$12+$H$9*$H$13</f>
        <v>0</v>
      </c>
    </row>
    <row r="21" customFormat="false" ht="15" hidden="false" customHeight="false" outlineLevel="0" collapsed="false">
      <c r="A21" s="4" t="s">
        <v>37</v>
      </c>
      <c r="B21" s="10" t="n">
        <f aca="false">$B$10*$B$7+$C$10*$B$8+$D$10*$B$9+$E$10*$B$10+$F$10*$B$11+$G$10*$B$12+$H$10*$B$13</f>
        <v>0</v>
      </c>
      <c r="C21" s="10" t="n">
        <f aca="false">$B$10*$C$7+$C$10*$C$8+$D$10*$C$9+$E$10*$C$10+$F$10*$C$11+$G$10*$C$12+$H$10*$C$13</f>
        <v>0</v>
      </c>
      <c r="D21" s="10" t="n">
        <f aca="false">$B$10*$D$7+$C$10*$D$8+$D$10*$D$9+$E$10*$D$10+$F$10*$D$11+$G$10*$D$12+$H$10*$D$13</f>
        <v>1</v>
      </c>
      <c r="E21" s="10" t="n">
        <f aca="false">$B$10*$E$7+$C$10*$E$8+$D$10*$E$9+$E$10*$E$10+$F$10*$E$11+$G$10*$E$12+$H$10*$E$13</f>
        <v>2</v>
      </c>
      <c r="F21" s="10" t="n">
        <f aca="false">$B$10*$F$7+$C$10*$F$8+$D$10*$F$9+$E$10*$F$10+$F$10*$F$11+$G$10*$F$12+$H$10*$F$13</f>
        <v>2</v>
      </c>
      <c r="G21" s="10" t="n">
        <f aca="false">$B$10*$G$7+$C$10*$G$8+$D$10*$G$9+$E$10*$G$10+$F$10*$G$11+$G$10*$G$12+$H$10*$G$13</f>
        <v>0</v>
      </c>
      <c r="H21" s="10" t="n">
        <f aca="false">$B$10*$H$7+$C$10*$H$8+$D$10*$H$9+$E$10*$H$10+$F$10*$H$11+$G$10*$H$12+$H$10*$H$13</f>
        <v>0</v>
      </c>
    </row>
    <row r="22" customFormat="false" ht="15" hidden="false" customHeight="false" outlineLevel="0" collapsed="false">
      <c r="A22" s="4" t="s">
        <v>40</v>
      </c>
      <c r="B22" s="10" t="n">
        <f aca="false">$B$11*$B$7+$C$11*$B$8+$D$11*$B$9+$E$11*$B$10+$F$11*$B$11+$G$11*$B$12+$H$11*$B$13</f>
        <v>0</v>
      </c>
      <c r="C22" s="10" t="n">
        <f aca="false">$B$11*$C$7+$C$11*$C$8+$D$11*$C$9+$E$11*$C$10+$F$11*$C$11+$G$11*$C$12+$H$11*$C$13</f>
        <v>0</v>
      </c>
      <c r="D22" s="10" t="n">
        <f aca="false">$B$11*$D$7+$C$11*$D$8+$D$11*$D$9+$E$11*$D$10+$F$11*$D$11+$G$11*$D$12+$H$11*$D$13</f>
        <v>1</v>
      </c>
      <c r="E22" s="10" t="n">
        <f aca="false">$B$11*$E$7+$C$11*$E$8+$D$11*$E$9+$E$11*$E$10+$F$11*$E$11+$G$11*$E$12+$H$11*$E$13</f>
        <v>2</v>
      </c>
      <c r="F22" s="10" t="n">
        <f aca="false">$B$11*$F$7+$C$11*$F$8+$D$11*$F$9+$E$11*$F$10+$F$11*$F$11+$G$11*$F$12+$H$11*$F$13</f>
        <v>2</v>
      </c>
      <c r="G22" s="10" t="n">
        <f aca="false">$B$11*$G$7+$C$11*$G$8+$D$11*$G$9+$E$11*$G$10+$F$11*$G$11+$G$11*$G$12+$H$11*$G$13</f>
        <v>0</v>
      </c>
      <c r="H22" s="10" t="n">
        <f aca="false">$B$11*$H$7+$C$11*$H$8+$D$11*$H$9+$E$11*$H$10+$F$11*$H$11+$G$11*$H$12+$H$11*$H$13</f>
        <v>0</v>
      </c>
    </row>
    <row r="23" customFormat="false" ht="15" hidden="false" customHeight="false" outlineLevel="0" collapsed="false">
      <c r="A23" s="4" t="s">
        <v>42</v>
      </c>
      <c r="B23" s="10" t="n">
        <f aca="false">$B$12*$B$7+$C$12*$B$8+$D$12*$B$9+$E$12*$B$10+$F$12*$B$11+$G$12*$B$12+$H$12*$B$13</f>
        <v>0</v>
      </c>
      <c r="C23" s="10" t="n">
        <f aca="false">$B$12*$C$7+$C$12*$C$8+$D$12*$C$9+$E$12*$C$10+$F$12*$C$11+$G$12*$C$12+$H$12*$C$13</f>
        <v>0</v>
      </c>
      <c r="D23" s="10" t="n">
        <f aca="false">$B$12*$D$7+$C$12*$D$8+$D$12*$D$9+$E$12*$D$10+$F$12*$D$11+$G$12*$D$12+$H$12*$D$13</f>
        <v>0</v>
      </c>
      <c r="E23" s="10" t="n">
        <f aca="false">$B$12*$E$7+$C$12*$E$8+$D$12*$E$9+$E$12*$E$10+$F$12*$E$11+$G$12*$E$12+$H$12*$E$13</f>
        <v>0</v>
      </c>
      <c r="F23" s="10" t="n">
        <f aca="false">$B$12*$F$7+$C$12*$F$8+$D$12*$F$9+$E$12*$F$10+$F$12*$F$11+$G$12*$F$12+$H$12*$F$13</f>
        <v>0</v>
      </c>
      <c r="G23" s="10" t="n">
        <f aca="false">$B$12*$G$7+$C$12*$G$8+$D$12*$G$9+$E$12*$G$10+$F$12*$G$11+$G$12*$G$12+$H$12*$G$13</f>
        <v>2</v>
      </c>
      <c r="H23" s="10" t="n">
        <f aca="false">$B$12*$H$7+$C$12*$H$8+$D$12*$H$9+$E$12*$H$10+$F$12*$H$11+$G$12*$H$12+$H$12*$H$13</f>
        <v>2</v>
      </c>
    </row>
    <row r="24" customFormat="false" ht="15" hidden="false" customHeight="false" outlineLevel="0" collapsed="false">
      <c r="A24" s="4" t="s">
        <v>46</v>
      </c>
      <c r="B24" s="10" t="n">
        <f aca="false">$B$13*$B$7+$C$13*$B$8+$D$13*$B$9+$E$13*$B$10+$F$13*$B$11+$G$13*$B$12+$H$13*$B$13</f>
        <v>0</v>
      </c>
      <c r="C24" s="10" t="n">
        <f aca="false">$B$13*$C$7+$C$13*$C$8+$D$13*$C$9+$E$13*$C$10+$F$13*$C$11+$G$13*$C$12+$H$13*$C$13</f>
        <v>0</v>
      </c>
      <c r="D24" s="10" t="n">
        <f aca="false">$B$13*$D$7+$C$13*$D$8+$D$13*$D$9+$E$13*$D$10+$F$13*$D$11+$G$13*$D$12+$H$13*$D$13</f>
        <v>0</v>
      </c>
      <c r="E24" s="10" t="n">
        <f aca="false">$B$13*$E$7+$C$13*$E$8+$D$13*$E$9+$E$13*$E$10+$F$13*$E$11+$G$13*$E$12+$H$13*$E$13</f>
        <v>0</v>
      </c>
      <c r="F24" s="10" t="n">
        <f aca="false">$B$13*$F$7+$C$13*$F$8+$D$13*$F$9+$E$13*$F$10+$F$13*$F$11+$G$13*$F$12+$H$13*$F$13</f>
        <v>0</v>
      </c>
      <c r="G24" s="10" t="n">
        <f aca="false">$B$13*$G$7+$C$13*$G$8+$D$13*$G$9+$E$13*$G$10+$F$13*$G$11+$G$13*$G$12+$H$13*$G$13</f>
        <v>2</v>
      </c>
      <c r="H24" s="10" t="n">
        <f aca="false">$B$13*$H$7+$C$13*$H$8+$D$13*$H$9+$E$13*$H$10+$F$13*$H$11+$G$13*$H$12+$H$13*$H$13</f>
        <v>3</v>
      </c>
    </row>
    <row r="27" customFormat="false" ht="15" hidden="false" customHeight="false" outlineLevel="0" collapsed="false">
      <c r="A27" s="4" t="s">
        <v>165</v>
      </c>
    </row>
    <row r="28" customFormat="false" ht="15" hidden="false" customHeight="false" outlineLevel="0" collapsed="false">
      <c r="A28" s="8"/>
      <c r="B28" s="8" t="s">
        <v>23</v>
      </c>
      <c r="C28" s="8" t="s">
        <v>28</v>
      </c>
      <c r="D28" s="8" t="s">
        <v>32</v>
      </c>
      <c r="E28" s="8" t="s">
        <v>37</v>
      </c>
      <c r="F28" s="8" t="s">
        <v>40</v>
      </c>
      <c r="G28" s="8" t="s">
        <v>42</v>
      </c>
      <c r="H28" s="8" t="s">
        <v>46</v>
      </c>
    </row>
    <row r="29" customFormat="false" ht="15" hidden="false" customHeight="false" outlineLevel="0" collapsed="false">
      <c r="A29" s="4" t="s">
        <v>23</v>
      </c>
      <c r="B29" s="10" t="n">
        <f aca="false">$B$18*$B$7+$C$18*$B$8+$D$18*$B$9+$E$18*$B$10+$F$18*$B$11+$G$18*$B$12+$H$18*$B$13</f>
        <v>0</v>
      </c>
      <c r="C29" s="10" t="n">
        <f aca="false">$B$18*$C$7+$C$18*$C$8+$D$18*$C$9+$E$18*$C$10+$F$18*$C$11+$G$18*$C$12+$H$18*$C$13</f>
        <v>0</v>
      </c>
      <c r="D29" s="10" t="n">
        <f aca="false">$B$18*$D$7+$C$18*$D$8+$D$18*$D$9+$E$18*$D$10+$F$18*$D$11+$G$18*$D$12+$H$18*$D$13</f>
        <v>3</v>
      </c>
      <c r="E29" s="10" t="n">
        <f aca="false">$B$18*$E$7+$C$18*$E$8+$D$18*$E$9+$E$18*$E$10+$F$18*$E$11+$G$18*$E$12+$H$18*$E$13</f>
        <v>5</v>
      </c>
      <c r="F29" s="10" t="n">
        <f aca="false">$B$18*$F$7+$C$18*$F$8+$D$18*$F$9+$E$18*$F$10+$F$18*$F$11+$G$18*$F$12+$H$18*$F$13</f>
        <v>5</v>
      </c>
      <c r="G29" s="10" t="n">
        <f aca="false">$B$18*$G$7+$C$18*$G$8+$D$18*$G$9+$E$18*$G$10+$F$18*$G$11+$G$18*$G$12+$H$18*$G$13</f>
        <v>0</v>
      </c>
      <c r="H29" s="10" t="n">
        <f aca="false">$B$18*$H$7+$C$18*$H$8+$D$18*$H$9+$E$18*$H$10+$F$18*$H$11+$G$18*$H$12+$H$18*$H$13</f>
        <v>0</v>
      </c>
    </row>
    <row r="30" customFormat="false" ht="15" hidden="false" customHeight="false" outlineLevel="0" collapsed="false">
      <c r="A30" s="4" t="s">
        <v>28</v>
      </c>
      <c r="B30" s="10" t="n">
        <f aca="false">$B$19*$B$7+$C$19*$B$8+$D$19*$B$9+$E$19*$B$10+$F$19*$B$11+$G$19*$B$12+$H$19*$B$13</f>
        <v>0</v>
      </c>
      <c r="C30" s="10" t="n">
        <f aca="false">$B$19*$C$7+$C$19*$C$8+$D$19*$C$9+$E$19*$C$10+$F$19*$C$11+$G$19*$C$12+$H$19*$C$13</f>
        <v>0</v>
      </c>
      <c r="D30" s="10" t="n">
        <f aca="false">$B$19*$D$7+$C$19*$D$8+$D$19*$D$9+$E$19*$D$10+$F$19*$D$11+$G$19*$D$12+$H$19*$D$13</f>
        <v>1</v>
      </c>
      <c r="E30" s="10" t="n">
        <f aca="false">$B$19*$E$7+$C$19*$E$8+$D$19*$E$9+$E$19*$E$10+$F$19*$E$11+$G$19*$E$12+$H$19*$E$13</f>
        <v>2</v>
      </c>
      <c r="F30" s="10" t="n">
        <f aca="false">$B$19*$F$7+$C$19*$F$8+$D$19*$F$9+$E$19*$F$10+$F$19*$F$11+$G$19*$F$12+$H$19*$F$13</f>
        <v>2</v>
      </c>
      <c r="G30" s="10" t="n">
        <f aca="false">$B$19*$G$7+$C$19*$G$8+$D$19*$G$9+$E$19*$G$10+$F$19*$G$11+$G$19*$G$12+$H$19*$G$13</f>
        <v>2</v>
      </c>
      <c r="H30" s="10" t="n">
        <f aca="false">$B$19*$H$7+$C$19*$H$8+$D$19*$H$9+$E$19*$H$10+$F$19*$H$11+$G$19*$H$12+$H$19*$H$13</f>
        <v>3</v>
      </c>
    </row>
    <row r="31" customFormat="false" ht="15" hidden="false" customHeight="false" outlineLevel="0" collapsed="false">
      <c r="A31" s="4" t="s">
        <v>32</v>
      </c>
      <c r="B31" s="10" t="n">
        <f aca="false">$B$20*$B$7+$C$20*$B$8+$D$20*$B$9+$E$20*$B$10+$F$20*$B$11+$G$20*$B$12+$H$20*$B$13</f>
        <v>0</v>
      </c>
      <c r="C31" s="10" t="n">
        <f aca="false">$B$20*$C$7+$C$20*$C$8+$D$20*$C$9+$E$20*$C$10+$F$20*$C$11+$G$20*$C$12+$H$20*$C$13</f>
        <v>0</v>
      </c>
      <c r="D31" s="10" t="n">
        <f aca="false">$B$20*$D$7+$C$20*$D$8+$D$20*$D$9+$E$20*$D$10+$F$20*$D$11+$G$20*$D$12+$H$20*$D$13</f>
        <v>0</v>
      </c>
      <c r="E31" s="10" t="n">
        <f aca="false">$B$20*$E$7+$C$20*$E$8+$D$20*$E$9+$E$20*$E$10+$F$20*$E$11+$G$20*$E$12+$H$20*$E$13</f>
        <v>0</v>
      </c>
      <c r="F31" s="10" t="n">
        <f aca="false">$B$20*$F$7+$C$20*$F$8+$D$20*$F$9+$E$20*$F$10+$F$20*$F$11+$G$20*$F$12+$H$20*$F$13</f>
        <v>0</v>
      </c>
      <c r="G31" s="10" t="n">
        <f aca="false">$B$20*$G$7+$C$20*$G$8+$D$20*$G$9+$E$20*$G$10+$F$20*$G$11+$G$20*$G$12+$H$20*$G$13</f>
        <v>2</v>
      </c>
      <c r="H31" s="10" t="n">
        <f aca="false">$B$20*$H$7+$C$20*$H$8+$D$20*$H$9+$E$20*$H$10+$F$20*$H$11+$G$20*$H$12+$H$20*$H$13</f>
        <v>3</v>
      </c>
    </row>
    <row r="32" customFormat="false" ht="15" hidden="false" customHeight="false" outlineLevel="0" collapsed="false">
      <c r="A32" s="4" t="s">
        <v>37</v>
      </c>
      <c r="B32" s="10" t="n">
        <f aca="false">$B$21*$B$7+$C$21*$B$8+$D$21*$B$9+$E$21*$B$10+$F$21*$B$11+$G$21*$B$12+$H$21*$B$13</f>
        <v>0</v>
      </c>
      <c r="C32" s="10" t="n">
        <f aca="false">$B$21*$C$7+$C$21*$C$8+$D$21*$C$9+$E$21*$C$10+$F$21*$C$11+$G$21*$C$12+$H$21*$C$13</f>
        <v>0</v>
      </c>
      <c r="D32" s="10" t="n">
        <f aca="false">$B$21*$D$7+$C$21*$D$8+$D$21*$D$9+$E$21*$D$10+$F$21*$D$11+$G$21*$D$12+$H$21*$D$13</f>
        <v>0</v>
      </c>
      <c r="E32" s="10" t="n">
        <f aca="false">$B$21*$E$7+$C$21*$E$8+$D$21*$E$9+$E$21*$E$10+$F$21*$E$11+$G$21*$E$12+$H$21*$E$13</f>
        <v>0</v>
      </c>
      <c r="F32" s="10" t="n">
        <f aca="false">$B$21*$F$7+$C$21*$F$8+$D$21*$F$9+$E$21*$F$10+$F$21*$F$11+$G$21*$F$12+$H$21*$F$13</f>
        <v>0</v>
      </c>
      <c r="G32" s="10" t="n">
        <f aca="false">$B$21*$G$7+$C$21*$G$8+$D$21*$G$9+$E$21*$G$10+$F$21*$G$11+$G$21*$G$12+$H$21*$G$13</f>
        <v>4</v>
      </c>
      <c r="H32" s="10" t="n">
        <f aca="false">$B$21*$H$7+$C$21*$H$8+$D$21*$H$9+$E$21*$H$10+$F$21*$H$11+$G$21*$H$12+$H$21*$H$13</f>
        <v>5</v>
      </c>
    </row>
    <row r="33" customFormat="false" ht="15" hidden="false" customHeight="false" outlineLevel="0" collapsed="false">
      <c r="A33" s="4" t="s">
        <v>40</v>
      </c>
      <c r="B33" s="10" t="n">
        <f aca="false">$B$22*$B$7+$C$22*$B$8+$D$22*$B$9+$E$22*$B$10+$F$22*$B$11+$G$22*$B$12+$H$22*$B$13</f>
        <v>0</v>
      </c>
      <c r="C33" s="10" t="n">
        <f aca="false">$B$22*$C$7+$C$22*$C$8+$D$22*$C$9+$E$22*$C$10+$F$22*$C$11+$G$22*$C$12+$H$22*$C$13</f>
        <v>0</v>
      </c>
      <c r="D33" s="10" t="n">
        <f aca="false">$B$22*$D$7+$C$22*$D$8+$D$22*$D$9+$E$22*$D$10+$F$22*$D$11+$G$22*$D$12+$H$22*$D$13</f>
        <v>0</v>
      </c>
      <c r="E33" s="10" t="n">
        <f aca="false">$B$22*$E$7+$C$22*$E$8+$D$22*$E$9+$E$22*$E$10+$F$22*$E$11+$G$22*$E$12+$H$22*$E$13</f>
        <v>0</v>
      </c>
      <c r="F33" s="10" t="n">
        <f aca="false">$B$22*$F$7+$C$22*$F$8+$D$22*$F$9+$E$22*$F$10+$F$22*$F$11+$G$22*$F$12+$H$22*$F$13</f>
        <v>0</v>
      </c>
      <c r="G33" s="10" t="n">
        <f aca="false">$B$22*$G$7+$C$22*$G$8+$D$22*$G$9+$E$22*$G$10+$F$22*$G$11+$G$22*$G$12+$H$22*$G$13</f>
        <v>4</v>
      </c>
      <c r="H33" s="10" t="n">
        <f aca="false">$B$22*$H$7+$C$22*$H$8+$D$22*$H$9+$E$22*$H$10+$F$22*$H$11+$G$22*$H$12+$H$22*$H$13</f>
        <v>5</v>
      </c>
    </row>
    <row r="34" customFormat="false" ht="15" hidden="false" customHeight="false" outlineLevel="0" collapsed="false">
      <c r="A34" s="4" t="s">
        <v>42</v>
      </c>
      <c r="B34" s="10" t="n">
        <f aca="false">$B$23*$B$7+$C$23*$B$8+$D$23*$B$9+$E$23*$B$10+$F$23*$B$11+$G$23*$B$12+$H$23*$B$13</f>
        <v>0</v>
      </c>
      <c r="C34" s="10" t="n">
        <f aca="false">$B$23*$C$7+$C$23*$C$8+$D$23*$C$9+$E$23*$C$10+$F$23*$C$11+$G$23*$C$12+$H$23*$C$13</f>
        <v>0</v>
      </c>
      <c r="D34" s="10" t="n">
        <f aca="false">$B$23*$D$7+$C$23*$D$8+$D$23*$D$9+$E$23*$D$10+$F$23*$D$11+$G$23*$D$12+$H$23*$D$13</f>
        <v>2</v>
      </c>
      <c r="E34" s="10" t="n">
        <f aca="false">$B$23*$E$7+$C$23*$E$8+$D$23*$E$9+$E$23*$E$10+$F$23*$E$11+$G$23*$E$12+$H$23*$E$13</f>
        <v>4</v>
      </c>
      <c r="F34" s="10" t="n">
        <f aca="false">$B$23*$F$7+$C$23*$F$8+$D$23*$F$9+$E$23*$F$10+$F$23*$F$11+$G$23*$F$12+$H$23*$F$13</f>
        <v>4</v>
      </c>
      <c r="G34" s="10" t="n">
        <f aca="false">$B$23*$G$7+$C$23*$G$8+$D$23*$G$9+$E$23*$G$10+$F$23*$G$11+$G$23*$G$12+$H$23*$G$13</f>
        <v>0</v>
      </c>
      <c r="H34" s="10" t="n">
        <f aca="false">$B$23*$H$7+$C$23*$H$8+$D$23*$H$9+$E$23*$H$10+$F$23*$H$11+$G$23*$H$12+$H$23*$H$13</f>
        <v>0</v>
      </c>
    </row>
    <row r="35" customFormat="false" ht="15" hidden="false" customHeight="false" outlineLevel="0" collapsed="false">
      <c r="A35" s="4" t="s">
        <v>46</v>
      </c>
      <c r="B35" s="10" t="n">
        <f aca="false">$B$24*$B$7+$C$24*$B$8+$D$24*$B$9+$E$24*$B$10+$F$24*$B$11+$G$24*$B$12+$H$24*$B$13</f>
        <v>0</v>
      </c>
      <c r="C35" s="10" t="n">
        <f aca="false">$B$24*$C$7+$C$24*$C$8+$D$24*$C$9+$E$24*$C$10+$F$24*$C$11+$G$24*$C$12+$H$24*$C$13</f>
        <v>0</v>
      </c>
      <c r="D35" s="10" t="n">
        <f aca="false">$B$24*$D$7+$C$24*$D$8+$D$24*$D$9+$E$24*$D$10+$F$24*$D$11+$G$24*$D$12+$H$24*$D$13</f>
        <v>3</v>
      </c>
      <c r="E35" s="10" t="n">
        <f aca="false">$B$24*$E$7+$C$24*$E$8+$D$24*$E$9+$E$24*$E$10+$F$24*$E$11+$G$24*$E$12+$H$24*$E$13</f>
        <v>5</v>
      </c>
      <c r="F35" s="10" t="n">
        <f aca="false">$B$24*$F$7+$C$24*$F$8+$D$24*$F$9+$E$24*$F$10+$F$24*$F$11+$G$24*$F$12+$H$24*$F$13</f>
        <v>5</v>
      </c>
      <c r="G35" s="10" t="n">
        <f aca="false">$B$24*$G$7+$C$24*$G$8+$D$24*$G$9+$E$24*$G$10+$F$24*$G$11+$G$24*$G$12+$H$24*$G$13</f>
        <v>0</v>
      </c>
      <c r="H35" s="10" t="n">
        <f aca="false">$B$24*$H$7+$C$24*$H$8+$D$24*$H$9+$E$24*$H$10+$F$24*$H$11+$G$24*$H$12+$H$24*$H$13</f>
        <v>0</v>
      </c>
    </row>
    <row r="38" customFormat="false" ht="15" hidden="false" customHeight="false" outlineLevel="0" collapsed="false">
      <c r="A38" s="4" t="s">
        <v>172</v>
      </c>
    </row>
    <row r="39" customFormat="false" ht="15" hidden="false" customHeight="false" outlineLevel="0" collapsed="false">
      <c r="A39" s="8"/>
      <c r="B39" s="8" t="s">
        <v>23</v>
      </c>
      <c r="C39" s="8" t="s">
        <v>28</v>
      </c>
      <c r="D39" s="8" t="s">
        <v>32</v>
      </c>
      <c r="E39" s="8" t="s">
        <v>37</v>
      </c>
      <c r="F39" s="8" t="s">
        <v>40</v>
      </c>
      <c r="G39" s="8" t="s">
        <v>42</v>
      </c>
      <c r="H39" s="8" t="s">
        <v>46</v>
      </c>
    </row>
    <row r="40" customFormat="false" ht="15" hidden="false" customHeight="false" outlineLevel="0" collapsed="false">
      <c r="A40" s="4" t="s">
        <v>23</v>
      </c>
      <c r="B40" s="10" t="n">
        <f aca="false">$B$29*$B$7+$C$29*$B$8+$D$29*$B$9+$E$29*$B$10+$F$29*$B$11+$G$29*$B$12+$H$29*$B$13</f>
        <v>0</v>
      </c>
      <c r="C40" s="10" t="n">
        <f aca="false">$B$29*$C$7+$C$29*$C$8+$D$29*$C$9+$E$29*$C$10+$F$29*$C$11+$G$29*$C$12+$H$29*$C$13</f>
        <v>0</v>
      </c>
      <c r="D40" s="10" t="n">
        <f aca="false">$B$29*$D$7+$C$29*$D$8+$D$29*$D$9+$E$29*$D$10+$F$29*$D$11+$G$29*$D$12+$H$29*$D$13</f>
        <v>0</v>
      </c>
      <c r="E40" s="10" t="n">
        <f aca="false">$B$29*$E$7+$C$29*$E$8+$D$29*$E$9+$E$29*$E$10+$F$29*$E$11+$G$29*$E$12+$H$29*$E$13</f>
        <v>0</v>
      </c>
      <c r="F40" s="10" t="n">
        <f aca="false">$B$29*$F$7+$C$29*$F$8+$D$29*$F$9+$E$29*$F$10+$F$29*$F$11+$G$29*$F$12+$H$29*$F$13</f>
        <v>0</v>
      </c>
      <c r="G40" s="10" t="n">
        <f aca="false">$B$29*$G$7+$C$29*$G$8+$D$29*$G$9+$E$29*$G$10+$F$29*$G$11+$G$29*$G$12+$H$29*$G$13</f>
        <v>10</v>
      </c>
      <c r="H40" s="10" t="n">
        <f aca="false">$B$29*$H$7+$C$29*$H$8+$D$29*$H$9+$E$29*$H$10+$F$29*$H$11+$G$29*$H$12+$H$29*$H$13</f>
        <v>13</v>
      </c>
    </row>
    <row r="41" customFormat="false" ht="15" hidden="false" customHeight="false" outlineLevel="0" collapsed="false">
      <c r="A41" s="4" t="s">
        <v>28</v>
      </c>
      <c r="B41" s="10" t="n">
        <f aca="false">$B$30*$B$7+$C$30*$B$8+$D$30*$B$9+$E$30*$B$10+$F$30*$B$11+$G$30*$B$12+$H$30*$B$13</f>
        <v>0</v>
      </c>
      <c r="C41" s="10" t="n">
        <f aca="false">$B$30*$C$7+$C$30*$C$8+$D$30*$C$9+$E$30*$C$10+$F$30*$C$11+$G$30*$C$12+$H$30*$C$13</f>
        <v>0</v>
      </c>
      <c r="D41" s="10" t="n">
        <f aca="false">$B$30*$D$7+$C$30*$D$8+$D$30*$D$9+$E$30*$D$10+$F$30*$D$11+$G$30*$D$12+$H$30*$D$13</f>
        <v>3</v>
      </c>
      <c r="E41" s="10" t="n">
        <f aca="false">$B$30*$E$7+$C$30*$E$8+$D$30*$E$9+$E$30*$E$10+$F$30*$E$11+$G$30*$E$12+$H$30*$E$13</f>
        <v>5</v>
      </c>
      <c r="F41" s="10" t="n">
        <f aca="false">$B$30*$F$7+$C$30*$F$8+$D$30*$F$9+$E$30*$F$10+$F$30*$F$11+$G$30*$F$12+$H$30*$F$13</f>
        <v>5</v>
      </c>
      <c r="G41" s="10" t="n">
        <f aca="false">$B$30*$G$7+$C$30*$G$8+$D$30*$G$9+$E$30*$G$10+$F$30*$G$11+$G$30*$G$12+$H$30*$G$13</f>
        <v>4</v>
      </c>
      <c r="H41" s="10" t="n">
        <f aca="false">$B$30*$H$7+$C$30*$H$8+$D$30*$H$9+$E$30*$H$10+$F$30*$H$11+$G$30*$H$12+$H$30*$H$13</f>
        <v>5</v>
      </c>
    </row>
    <row r="42" customFormat="false" ht="15" hidden="false" customHeight="false" outlineLevel="0" collapsed="false">
      <c r="A42" s="4" t="s">
        <v>32</v>
      </c>
      <c r="B42" s="10" t="n">
        <f aca="false">$B$31*$B$7+$C$31*$B$8+$D$31*$B$9+$E$31*$B$10+$F$31*$B$11+$G$31*$B$12+$H$31*$B$13</f>
        <v>0</v>
      </c>
      <c r="C42" s="10" t="n">
        <f aca="false">$B$31*$C$7+$C$31*$C$8+$D$31*$C$9+$E$31*$C$10+$F$31*$C$11+$G$31*$C$12+$H$31*$C$13</f>
        <v>0</v>
      </c>
      <c r="D42" s="10" t="n">
        <f aca="false">$B$31*$D$7+$C$31*$D$8+$D$31*$D$9+$E$31*$D$10+$F$31*$D$11+$G$31*$D$12+$H$31*$D$13</f>
        <v>3</v>
      </c>
      <c r="E42" s="10" t="n">
        <f aca="false">$B$31*$E$7+$C$31*$E$8+$D$31*$E$9+$E$31*$E$10+$F$31*$E$11+$G$31*$E$12+$H$31*$E$13</f>
        <v>5</v>
      </c>
      <c r="F42" s="10" t="n">
        <f aca="false">$B$31*$F$7+$C$31*$F$8+$D$31*$F$9+$E$31*$F$10+$F$31*$F$11+$G$31*$F$12+$H$31*$F$13</f>
        <v>5</v>
      </c>
      <c r="G42" s="10" t="n">
        <f aca="false">$B$31*$G$7+$C$31*$G$8+$D$31*$G$9+$E$31*$G$10+$F$31*$G$11+$G$31*$G$12+$H$31*$G$13</f>
        <v>0</v>
      </c>
      <c r="H42" s="10" t="n">
        <f aca="false">$B$31*$H$7+$C$31*$H$8+$D$31*$H$9+$E$31*$H$10+$F$31*$H$11+$G$31*$H$12+$H$31*$H$13</f>
        <v>0</v>
      </c>
    </row>
    <row r="43" customFormat="false" ht="15" hidden="false" customHeight="false" outlineLevel="0" collapsed="false">
      <c r="A43" s="4" t="s">
        <v>37</v>
      </c>
      <c r="B43" s="10" t="n">
        <f aca="false">$B$32*$B$7+$C$32*$B$8+$D$32*$B$9+$E$32*$B$10+$F$32*$B$11+$G$32*$B$12+$H$32*$B$13</f>
        <v>0</v>
      </c>
      <c r="C43" s="10" t="n">
        <f aca="false">$B$32*$C$7+$C$32*$C$8+$D$32*$C$9+$E$32*$C$10+$F$32*$C$11+$G$32*$C$12+$H$32*$C$13</f>
        <v>0</v>
      </c>
      <c r="D43" s="10" t="n">
        <f aca="false">$B$32*$D$7+$C$32*$D$8+$D$32*$D$9+$E$32*$D$10+$F$32*$D$11+$G$32*$D$12+$H$32*$D$13</f>
        <v>5</v>
      </c>
      <c r="E43" s="10" t="n">
        <f aca="false">$B$32*$E$7+$C$32*$E$8+$D$32*$E$9+$E$32*$E$10+$F$32*$E$11+$G$32*$E$12+$H$32*$E$13</f>
        <v>9</v>
      </c>
      <c r="F43" s="10" t="n">
        <f aca="false">$B$32*$F$7+$C$32*$F$8+$D$32*$F$9+$E$32*$F$10+$F$32*$F$11+$G$32*$F$12+$H$32*$F$13</f>
        <v>9</v>
      </c>
      <c r="G43" s="10" t="n">
        <f aca="false">$B$32*$G$7+$C$32*$G$8+$D$32*$G$9+$E$32*$G$10+$F$32*$G$11+$G$32*$G$12+$H$32*$G$13</f>
        <v>0</v>
      </c>
      <c r="H43" s="10" t="n">
        <f aca="false">$B$32*$H$7+$C$32*$H$8+$D$32*$H$9+$E$32*$H$10+$F$32*$H$11+$G$32*$H$12+$H$32*$H$13</f>
        <v>0</v>
      </c>
    </row>
    <row r="44" customFormat="false" ht="15" hidden="false" customHeight="false" outlineLevel="0" collapsed="false">
      <c r="A44" s="4" t="s">
        <v>40</v>
      </c>
      <c r="B44" s="10" t="n">
        <f aca="false">$B$33*$B$7+$C$33*$B$8+$D$33*$B$9+$E$33*$B$10+$F$33*$B$11+$G$33*$B$12+$H$33*$B$13</f>
        <v>0</v>
      </c>
      <c r="C44" s="10" t="n">
        <f aca="false">$B$33*$C$7+$C$33*$C$8+$D$33*$C$9+$E$33*$C$10+$F$33*$C$11+$G$33*$C$12+$H$33*$C$13</f>
        <v>0</v>
      </c>
      <c r="D44" s="10" t="n">
        <f aca="false">$B$33*$D$7+$C$33*$D$8+$D$33*$D$9+$E$33*$D$10+$F$33*$D$11+$G$33*$D$12+$H$33*$D$13</f>
        <v>5</v>
      </c>
      <c r="E44" s="10" t="n">
        <f aca="false">$B$33*$E$7+$C$33*$E$8+$D$33*$E$9+$E$33*$E$10+$F$33*$E$11+$G$33*$E$12+$H$33*$E$13</f>
        <v>9</v>
      </c>
      <c r="F44" s="10" t="n">
        <f aca="false">$B$33*$F$7+$C$33*$F$8+$D$33*$F$9+$E$33*$F$10+$F$33*$F$11+$G$33*$F$12+$H$33*$F$13</f>
        <v>9</v>
      </c>
      <c r="G44" s="10" t="n">
        <f aca="false">$B$33*$G$7+$C$33*$G$8+$D$33*$G$9+$E$33*$G$10+$F$33*$G$11+$G$33*$G$12+$H$33*$G$13</f>
        <v>0</v>
      </c>
      <c r="H44" s="10" t="n">
        <f aca="false">$B$33*$H$7+$C$33*$H$8+$D$33*$H$9+$E$33*$H$10+$F$33*$H$11+$G$33*$H$12+$H$33*$H$13</f>
        <v>0</v>
      </c>
    </row>
    <row r="45" customFormat="false" ht="15" hidden="false" customHeight="false" outlineLevel="0" collapsed="false">
      <c r="A45" s="4" t="s">
        <v>42</v>
      </c>
      <c r="B45" s="10" t="n">
        <f aca="false">$B$34*$B$7+$C$34*$B$8+$D$34*$B$9+$E$34*$B$10+$F$34*$B$11+$G$34*$B$12+$H$34*$B$13</f>
        <v>0</v>
      </c>
      <c r="C45" s="10" t="n">
        <f aca="false">$B$34*$C$7+$C$34*$C$8+$D$34*$C$9+$E$34*$C$10+$F$34*$C$11+$G$34*$C$12+$H$34*$C$13</f>
        <v>0</v>
      </c>
      <c r="D45" s="10" t="n">
        <f aca="false">$B$34*$D$7+$C$34*$D$8+$D$34*$D$9+$E$34*$D$10+$F$34*$D$11+$G$34*$D$12+$H$34*$D$13</f>
        <v>0</v>
      </c>
      <c r="E45" s="10" t="n">
        <f aca="false">$B$34*$E$7+$C$34*$E$8+$D$34*$E$9+$E$34*$E$10+$F$34*$E$11+$G$34*$E$12+$H$34*$E$13</f>
        <v>0</v>
      </c>
      <c r="F45" s="10" t="n">
        <f aca="false">$B$34*$F$7+$C$34*$F$8+$D$34*$F$9+$E$34*$F$10+$F$34*$F$11+$G$34*$F$12+$H$34*$F$13</f>
        <v>0</v>
      </c>
      <c r="G45" s="10" t="n">
        <f aca="false">$B$34*$G$7+$C$34*$G$8+$D$34*$G$9+$E$34*$G$10+$F$34*$G$11+$G$34*$G$12+$H$34*$G$13</f>
        <v>8</v>
      </c>
      <c r="H45" s="10" t="n">
        <f aca="false">$B$34*$H$7+$C$34*$H$8+$D$34*$H$9+$E$34*$H$10+$F$34*$H$11+$G$34*$H$12+$H$34*$H$13</f>
        <v>10</v>
      </c>
    </row>
    <row r="46" customFormat="false" ht="15" hidden="false" customHeight="false" outlineLevel="0" collapsed="false">
      <c r="A46" s="4" t="s">
        <v>46</v>
      </c>
      <c r="B46" s="10" t="n">
        <f aca="false">$B$35*$B$7+$C$35*$B$8+$D$35*$B$9+$E$35*$B$10+$F$35*$B$11+$G$35*$B$12+$H$35*$B$13</f>
        <v>0</v>
      </c>
      <c r="C46" s="10" t="n">
        <f aca="false">$B$35*$C$7+$C$35*$C$8+$D$35*$C$9+$E$35*$C$10+$F$35*$C$11+$G$35*$C$12+$H$35*$C$13</f>
        <v>0</v>
      </c>
      <c r="D46" s="10" t="n">
        <f aca="false">$B$35*$D$7+$C$35*$D$8+$D$35*$D$9+$E$35*$D$10+$F$35*$D$11+$G$35*$D$12+$H$35*$D$13</f>
        <v>0</v>
      </c>
      <c r="E46" s="10" t="n">
        <f aca="false">$B$35*$E$7+$C$35*$E$8+$D$35*$E$9+$E$35*$E$10+$F$35*$E$11+$G$35*$E$12+$H$35*$E$13</f>
        <v>0</v>
      </c>
      <c r="F46" s="10" t="n">
        <f aca="false">$B$35*$F$7+$C$35*$F$8+$D$35*$F$9+$E$35*$F$10+$F$35*$F$11+$G$35*$F$12+$H$35*$F$13</f>
        <v>0</v>
      </c>
      <c r="G46" s="10" t="n">
        <f aca="false">$B$35*$G$7+$C$35*$G$8+$D$35*$G$9+$E$35*$G$10+$F$35*$G$11+$G$35*$G$12+$H$35*$G$13</f>
        <v>10</v>
      </c>
      <c r="H46" s="10" t="n">
        <f aca="false">$B$35*$H$7+$C$35*$H$8+$D$35*$H$9+$E$35*$H$10+$F$35*$H$11+$G$35*$H$12+$H$35*$H$13</f>
        <v>13</v>
      </c>
    </row>
    <row r="49" customFormat="false" ht="15" hidden="false" customHeight="false" outlineLevel="0" collapsed="false">
      <c r="A49" s="4" t="s">
        <v>179</v>
      </c>
    </row>
    <row r="50" customFormat="false" ht="15" hidden="false" customHeight="false" outlineLevel="0" collapsed="false">
      <c r="A50" s="8"/>
      <c r="B50" s="8" t="s">
        <v>23</v>
      </c>
      <c r="C50" s="8" t="s">
        <v>28</v>
      </c>
      <c r="D50" s="8" t="s">
        <v>32</v>
      </c>
      <c r="E50" s="8" t="s">
        <v>37</v>
      </c>
      <c r="F50" s="8" t="s">
        <v>40</v>
      </c>
      <c r="G50" s="8" t="s">
        <v>42</v>
      </c>
      <c r="H50" s="8" t="s">
        <v>46</v>
      </c>
    </row>
    <row r="51" customFormat="false" ht="15" hidden="false" customHeight="false" outlineLevel="0" collapsed="false">
      <c r="A51" s="4" t="s">
        <v>23</v>
      </c>
      <c r="B51" s="10" t="n">
        <f aca="false">$B$40*$B$7+$C$40*$B$8+$D$40*$B$9+$E$40*$B$10+$F$40*$B$11+$G$40*$B$12+$H$40*$B$13</f>
        <v>0</v>
      </c>
      <c r="C51" s="10" t="n">
        <f aca="false">$B$40*$C$7+$C$40*$C$8+$D$40*$C$9+$E$40*$C$10+$F$40*$C$11+$G$40*$C$12+$H$40*$C$13</f>
        <v>0</v>
      </c>
      <c r="D51" s="10" t="n">
        <f aca="false">$B$40*$D$7+$C$40*$D$8+$D$40*$D$9+$E$40*$D$10+$F$40*$D$11+$G$40*$D$12+$H$40*$D$13</f>
        <v>13</v>
      </c>
      <c r="E51" s="10" t="n">
        <f aca="false">$B$40*$E$7+$C$40*$E$8+$D$40*$E$9+$E$40*$E$10+$F$40*$E$11+$G$40*$E$12+$H$40*$E$13</f>
        <v>23</v>
      </c>
      <c r="F51" s="10" t="n">
        <f aca="false">$B$40*$F$7+$C$40*$F$8+$D$40*$F$9+$E$40*$F$10+$F$40*$F$11+$G$40*$F$12+$H$40*$F$13</f>
        <v>23</v>
      </c>
      <c r="G51" s="10" t="n">
        <f aca="false">$B$40*$G$7+$C$40*$G$8+$D$40*$G$9+$E$40*$G$10+$F$40*$G$11+$G$40*$G$12+$H$40*$G$13</f>
        <v>0</v>
      </c>
      <c r="H51" s="10" t="n">
        <f aca="false">$B$40*$H$7+$C$40*$H$8+$D$40*$H$9+$E$40*$H$10+$F$40*$H$11+$G$40*$H$12+$H$40*$H$13</f>
        <v>0</v>
      </c>
    </row>
    <row r="52" customFormat="false" ht="15" hidden="false" customHeight="false" outlineLevel="0" collapsed="false">
      <c r="A52" s="4" t="s">
        <v>28</v>
      </c>
      <c r="B52" s="10" t="n">
        <f aca="false">$B$41*$B$7+$C$41*$B$8+$D$41*$B$9+$E$41*$B$10+$F$41*$B$11+$G$41*$B$12+$H$41*$B$13</f>
        <v>0</v>
      </c>
      <c r="C52" s="10" t="n">
        <f aca="false">$B$41*$C$7+$C$41*$C$8+$D$41*$C$9+$E$41*$C$10+$F$41*$C$11+$G$41*$C$12+$H$41*$C$13</f>
        <v>0</v>
      </c>
      <c r="D52" s="10" t="n">
        <f aca="false">$B$41*$D$7+$C$41*$D$8+$D$41*$D$9+$E$41*$D$10+$F$41*$D$11+$G$41*$D$12+$H$41*$D$13</f>
        <v>5</v>
      </c>
      <c r="E52" s="10" t="n">
        <f aca="false">$B$41*$E$7+$C$41*$E$8+$D$41*$E$9+$E$41*$E$10+$F$41*$E$11+$G$41*$E$12+$H$41*$E$13</f>
        <v>9</v>
      </c>
      <c r="F52" s="10" t="n">
        <f aca="false">$B$41*$F$7+$C$41*$F$8+$D$41*$F$9+$E$41*$F$10+$F$41*$F$11+$G$41*$F$12+$H$41*$F$13</f>
        <v>9</v>
      </c>
      <c r="G52" s="10" t="n">
        <f aca="false">$B$41*$G$7+$C$41*$G$8+$D$41*$G$9+$E$41*$G$10+$F$41*$G$11+$G$41*$G$12+$H$41*$G$13</f>
        <v>10</v>
      </c>
      <c r="H52" s="10" t="n">
        <f aca="false">$B$41*$H$7+$C$41*$H$8+$D$41*$H$9+$E$41*$H$10+$F$41*$H$11+$G$41*$H$12+$H$41*$H$13</f>
        <v>13</v>
      </c>
    </row>
    <row r="53" customFormat="false" ht="15" hidden="false" customHeight="false" outlineLevel="0" collapsed="false">
      <c r="A53" s="4" t="s">
        <v>32</v>
      </c>
      <c r="B53" s="10" t="n">
        <f aca="false">$B$42*$B$7+$C$42*$B$8+$D$42*$B$9+$E$42*$B$10+$F$42*$B$11+$G$42*$B$12+$H$42*$B$13</f>
        <v>0</v>
      </c>
      <c r="C53" s="10" t="n">
        <f aca="false">$B$42*$C$7+$C$42*$C$8+$D$42*$C$9+$E$42*$C$10+$F$42*$C$11+$G$42*$C$12+$H$42*$C$13</f>
        <v>0</v>
      </c>
      <c r="D53" s="10" t="n">
        <f aca="false">$B$42*$D$7+$C$42*$D$8+$D$42*$D$9+$E$42*$D$10+$F$42*$D$11+$G$42*$D$12+$H$42*$D$13</f>
        <v>0</v>
      </c>
      <c r="E53" s="10" t="n">
        <f aca="false">$B$42*$E$7+$C$42*$E$8+$D$42*$E$9+$E$42*$E$10+$F$42*$E$11+$G$42*$E$12+$H$42*$E$13</f>
        <v>0</v>
      </c>
      <c r="F53" s="10" t="n">
        <f aca="false">$B$42*$F$7+$C$42*$F$8+$D$42*$F$9+$E$42*$F$10+$F$42*$F$11+$G$42*$F$12+$H$42*$F$13</f>
        <v>0</v>
      </c>
      <c r="G53" s="10" t="n">
        <f aca="false">$B$42*$G$7+$C$42*$G$8+$D$42*$G$9+$E$42*$G$10+$F$42*$G$11+$G$42*$G$12+$H$42*$G$13</f>
        <v>10</v>
      </c>
      <c r="H53" s="10" t="n">
        <f aca="false">$B$42*$H$7+$C$42*$H$8+$D$42*$H$9+$E$42*$H$10+$F$42*$H$11+$G$42*$H$12+$H$42*$H$13</f>
        <v>13</v>
      </c>
    </row>
    <row r="54" customFormat="false" ht="15" hidden="false" customHeight="false" outlineLevel="0" collapsed="false">
      <c r="A54" s="4" t="s">
        <v>37</v>
      </c>
      <c r="B54" s="10" t="n">
        <f aca="false">$B$43*$B$7+$C$43*$B$8+$D$43*$B$9+$E$43*$B$10+$F$43*$B$11+$G$43*$B$12+$H$43*$B$13</f>
        <v>0</v>
      </c>
      <c r="C54" s="10" t="n">
        <f aca="false">$B$43*$C$7+$C$43*$C$8+$D$43*$C$9+$E$43*$C$10+$F$43*$C$11+$G$43*$C$12+$H$43*$C$13</f>
        <v>0</v>
      </c>
      <c r="D54" s="10" t="n">
        <f aca="false">$B$43*$D$7+$C$43*$D$8+$D$43*$D$9+$E$43*$D$10+$F$43*$D$11+$G$43*$D$12+$H$43*$D$13</f>
        <v>0</v>
      </c>
      <c r="E54" s="10" t="n">
        <f aca="false">$B$43*$E$7+$C$43*$E$8+$D$43*$E$9+$E$43*$E$10+$F$43*$E$11+$G$43*$E$12+$H$43*$E$13</f>
        <v>0</v>
      </c>
      <c r="F54" s="10" t="n">
        <f aca="false">$B$43*$F$7+$C$43*$F$8+$D$43*$F$9+$E$43*$F$10+$F$43*$F$11+$G$43*$F$12+$H$43*$F$13</f>
        <v>0</v>
      </c>
      <c r="G54" s="10" t="n">
        <f aca="false">$B$43*$G$7+$C$43*$G$8+$D$43*$G$9+$E$43*$G$10+$F$43*$G$11+$G$43*$G$12+$H$43*$G$13</f>
        <v>18</v>
      </c>
      <c r="H54" s="10" t="n">
        <f aca="false">$B$43*$H$7+$C$43*$H$8+$D$43*$H$9+$E$43*$H$10+$F$43*$H$11+$G$43*$H$12+$H$43*$H$13</f>
        <v>23</v>
      </c>
    </row>
    <row r="55" customFormat="false" ht="15" hidden="false" customHeight="false" outlineLevel="0" collapsed="false">
      <c r="A55" s="4" t="s">
        <v>40</v>
      </c>
      <c r="B55" s="10" t="n">
        <f aca="false">$B$44*$B$7+$C$44*$B$8+$D$44*$B$9+$E$44*$B$10+$F$44*$B$11+$G$44*$B$12+$H$44*$B$13</f>
        <v>0</v>
      </c>
      <c r="C55" s="10" t="n">
        <f aca="false">$B$44*$C$7+$C$44*$C$8+$D$44*$C$9+$E$44*$C$10+$F$44*$C$11+$G$44*$C$12+$H$44*$C$13</f>
        <v>0</v>
      </c>
      <c r="D55" s="10" t="n">
        <f aca="false">$B$44*$D$7+$C$44*$D$8+$D$44*$D$9+$E$44*$D$10+$F$44*$D$11+$G$44*$D$12+$H$44*$D$13</f>
        <v>0</v>
      </c>
      <c r="E55" s="10" t="n">
        <f aca="false">$B$44*$E$7+$C$44*$E$8+$D$44*$E$9+$E$44*$E$10+$F$44*$E$11+$G$44*$E$12+$H$44*$E$13</f>
        <v>0</v>
      </c>
      <c r="F55" s="10" t="n">
        <f aca="false">$B$44*$F$7+$C$44*$F$8+$D$44*$F$9+$E$44*$F$10+$F$44*$F$11+$G$44*$F$12+$H$44*$F$13</f>
        <v>0</v>
      </c>
      <c r="G55" s="10" t="n">
        <f aca="false">$B$44*$G$7+$C$44*$G$8+$D$44*$G$9+$E$44*$G$10+$F$44*$G$11+$G$44*$G$12+$H$44*$G$13</f>
        <v>18</v>
      </c>
      <c r="H55" s="10" t="n">
        <f aca="false">$B$44*$H$7+$C$44*$H$8+$D$44*$H$9+$E$44*$H$10+$F$44*$H$11+$G$44*$H$12+$H$44*$H$13</f>
        <v>23</v>
      </c>
    </row>
    <row r="56" customFormat="false" ht="15" hidden="false" customHeight="false" outlineLevel="0" collapsed="false">
      <c r="A56" s="4" t="s">
        <v>42</v>
      </c>
      <c r="B56" s="10" t="n">
        <f aca="false">$B$45*$B$7+$C$45*$B$8+$D$45*$B$9+$E$45*$B$10+$F$45*$B$11+$G$45*$B$12+$H$45*$B$13</f>
        <v>0</v>
      </c>
      <c r="C56" s="10" t="n">
        <f aca="false">$B$45*$C$7+$C$45*$C$8+$D$45*$C$9+$E$45*$C$10+$F$45*$C$11+$G$45*$C$12+$H$45*$C$13</f>
        <v>0</v>
      </c>
      <c r="D56" s="10" t="n">
        <f aca="false">$B$45*$D$7+$C$45*$D$8+$D$45*$D$9+$E$45*$D$10+$F$45*$D$11+$G$45*$D$12+$H$45*$D$13</f>
        <v>10</v>
      </c>
      <c r="E56" s="10" t="n">
        <f aca="false">$B$45*$E$7+$C$45*$E$8+$D$45*$E$9+$E$45*$E$10+$F$45*$E$11+$G$45*$E$12+$H$45*$E$13</f>
        <v>18</v>
      </c>
      <c r="F56" s="10" t="n">
        <f aca="false">$B$45*$F$7+$C$45*$F$8+$D$45*$F$9+$E$45*$F$10+$F$45*$F$11+$G$45*$F$12+$H$45*$F$13</f>
        <v>18</v>
      </c>
      <c r="G56" s="10" t="n">
        <f aca="false">$B$45*$G$7+$C$45*$G$8+$D$45*$G$9+$E$45*$G$10+$F$45*$G$11+$G$45*$G$12+$H$45*$G$13</f>
        <v>0</v>
      </c>
      <c r="H56" s="10" t="n">
        <f aca="false">$B$45*$H$7+$C$45*$H$8+$D$45*$H$9+$E$45*$H$10+$F$45*$H$11+$G$45*$H$12+$H$45*$H$13</f>
        <v>0</v>
      </c>
    </row>
    <row r="57" customFormat="false" ht="15" hidden="false" customHeight="false" outlineLevel="0" collapsed="false">
      <c r="A57" s="4" t="s">
        <v>46</v>
      </c>
      <c r="B57" s="10" t="n">
        <f aca="false">$B$46*$B$7+$C$46*$B$8+$D$46*$B$9+$E$46*$B$10+$F$46*$B$11+$G$46*$B$12+$H$46*$B$13</f>
        <v>0</v>
      </c>
      <c r="C57" s="10" t="n">
        <f aca="false">$B$46*$C$7+$C$46*$C$8+$D$46*$C$9+$E$46*$C$10+$F$46*$C$11+$G$46*$C$12+$H$46*$C$13</f>
        <v>0</v>
      </c>
      <c r="D57" s="10" t="n">
        <f aca="false">$B$46*$D$7+$C$46*$D$8+$D$46*$D$9+$E$46*$D$10+$F$46*$D$11+$G$46*$D$12+$H$46*$D$13</f>
        <v>13</v>
      </c>
      <c r="E57" s="10" t="n">
        <f aca="false">$B$46*$E$7+$C$46*$E$8+$D$46*$E$9+$E$46*$E$10+$F$46*$E$11+$G$46*$E$12+$H$46*$E$13</f>
        <v>23</v>
      </c>
      <c r="F57" s="10" t="n">
        <f aca="false">$B$46*$F$7+$C$46*$F$8+$D$46*$F$9+$E$46*$F$10+$F$46*$F$11+$G$46*$F$12+$H$46*$F$13</f>
        <v>23</v>
      </c>
      <c r="G57" s="10" t="n">
        <f aca="false">$B$46*$G$7+$C$46*$G$8+$D$46*$G$9+$E$46*$G$10+$F$46*$G$11+$G$46*$G$12+$H$46*$G$13</f>
        <v>0</v>
      </c>
      <c r="H57" s="10" t="n">
        <f aca="false">$B$46*$H$7+$C$46*$H$8+$D$46*$H$9+$E$46*$H$10+$F$46*$H$11+$G$46*$H$12+$H$46*$H$13</f>
        <v>0</v>
      </c>
    </row>
    <row r="60" customFormat="false" ht="15" hidden="false" customHeight="false" outlineLevel="0" collapsed="false">
      <c r="A60" s="4" t="s">
        <v>181</v>
      </c>
    </row>
    <row r="61" customFormat="false" ht="15" hidden="false" customHeight="false" outlineLevel="0" collapsed="false">
      <c r="A61" s="8"/>
      <c r="B61" s="8" t="s">
        <v>23</v>
      </c>
      <c r="C61" s="8" t="s">
        <v>28</v>
      </c>
      <c r="D61" s="8" t="s">
        <v>32</v>
      </c>
      <c r="E61" s="8" t="s">
        <v>37</v>
      </c>
      <c r="F61" s="8" t="s">
        <v>40</v>
      </c>
      <c r="G61" s="8" t="s">
        <v>42</v>
      </c>
      <c r="H61" s="8" t="s">
        <v>46</v>
      </c>
    </row>
    <row r="62" customFormat="false" ht="15" hidden="false" customHeight="false" outlineLevel="0" collapsed="false">
      <c r="A62" s="4" t="s">
        <v>23</v>
      </c>
      <c r="B62" s="10" t="n">
        <f aca="false">$B$51*$B$7+$C$51*$B$8+$D$51*$B$9+$E$51*$B$10+$F$51*$B$11+$G$51*$B$12+$H$51*$B$13</f>
        <v>0</v>
      </c>
      <c r="C62" s="10" t="n">
        <f aca="false">$B$51*$C$7+$C$51*$C$8+$D$51*$C$9+$E$51*$C$10+$F$51*$C$11+$G$51*$C$12+$H$51*$C$13</f>
        <v>0</v>
      </c>
      <c r="D62" s="10" t="n">
        <f aca="false">$B$51*$D$7+$C$51*$D$8+$D$51*$D$9+$E$51*$D$10+$F$51*$D$11+$G$51*$D$12+$H$51*$D$13</f>
        <v>0</v>
      </c>
      <c r="E62" s="10" t="n">
        <f aca="false">$B$51*$E$7+$C$51*$E$8+$D$51*$E$9+$E$51*$E$10+$F$51*$E$11+$G$51*$E$12+$H$51*$E$13</f>
        <v>0</v>
      </c>
      <c r="F62" s="10" t="n">
        <f aca="false">$B$51*$F$7+$C$51*$F$8+$D$51*$F$9+$E$51*$F$10+$F$51*$F$11+$G$51*$F$12+$H$51*$F$13</f>
        <v>0</v>
      </c>
      <c r="G62" s="10" t="n">
        <f aca="false">$B$51*$G$7+$C$51*$G$8+$D$51*$G$9+$E$51*$G$10+$F$51*$G$11+$G$51*$G$12+$H$51*$G$13</f>
        <v>46</v>
      </c>
      <c r="H62" s="10" t="n">
        <f aca="false">$B$51*$H$7+$C$51*$H$8+$D$51*$H$9+$E$51*$H$10+$F$51*$H$11+$G$51*$H$12+$H$51*$H$13</f>
        <v>59</v>
      </c>
    </row>
    <row r="63" customFormat="false" ht="15" hidden="false" customHeight="false" outlineLevel="0" collapsed="false">
      <c r="A63" s="4" t="s">
        <v>28</v>
      </c>
      <c r="B63" s="10" t="n">
        <f aca="false">$B$52*$B$7+$C$52*$B$8+$D$52*$B$9+$E$52*$B$10+$F$52*$B$11+$G$52*$B$12+$H$52*$B$13</f>
        <v>0</v>
      </c>
      <c r="C63" s="10" t="n">
        <f aca="false">$B$52*$C$7+$C$52*$C$8+$D$52*$C$9+$E$52*$C$10+$F$52*$C$11+$G$52*$C$12+$H$52*$C$13</f>
        <v>0</v>
      </c>
      <c r="D63" s="10" t="n">
        <f aca="false">$B$52*$D$7+$C$52*$D$8+$D$52*$D$9+$E$52*$D$10+$F$52*$D$11+$G$52*$D$12+$H$52*$D$13</f>
        <v>13</v>
      </c>
      <c r="E63" s="10" t="n">
        <f aca="false">$B$52*$E$7+$C$52*$E$8+$D$52*$E$9+$E$52*$E$10+$F$52*$E$11+$G$52*$E$12+$H$52*$E$13</f>
        <v>23</v>
      </c>
      <c r="F63" s="10" t="n">
        <f aca="false">$B$52*$F$7+$C$52*$F$8+$D$52*$F$9+$E$52*$F$10+$F$52*$F$11+$G$52*$F$12+$H$52*$F$13</f>
        <v>23</v>
      </c>
      <c r="G63" s="10" t="n">
        <f aca="false">$B$52*$G$7+$C$52*$G$8+$D$52*$G$9+$E$52*$G$10+$F$52*$G$11+$G$52*$G$12+$H$52*$G$13</f>
        <v>18</v>
      </c>
      <c r="H63" s="10" t="n">
        <f aca="false">$B$52*$H$7+$C$52*$H$8+$D$52*$H$9+$E$52*$H$10+$F$52*$H$11+$G$52*$H$12+$H$52*$H$13</f>
        <v>23</v>
      </c>
    </row>
    <row r="64" customFormat="false" ht="15" hidden="false" customHeight="false" outlineLevel="0" collapsed="false">
      <c r="A64" s="4" t="s">
        <v>32</v>
      </c>
      <c r="B64" s="10" t="n">
        <f aca="false">$B$53*$B$7+$C$53*$B$8+$D$53*$B$9+$E$53*$B$10+$F$53*$B$11+$G$53*$B$12+$H$53*$B$13</f>
        <v>0</v>
      </c>
      <c r="C64" s="10" t="n">
        <f aca="false">$B$53*$C$7+$C$53*$C$8+$D$53*$C$9+$E$53*$C$10+$F$53*$C$11+$G$53*$C$12+$H$53*$C$13</f>
        <v>0</v>
      </c>
      <c r="D64" s="10" t="n">
        <f aca="false">$B$53*$D$7+$C$53*$D$8+$D$53*$D$9+$E$53*$D$10+$F$53*$D$11+$G$53*$D$12+$H$53*$D$13</f>
        <v>13</v>
      </c>
      <c r="E64" s="10" t="n">
        <f aca="false">$B$53*$E$7+$C$53*$E$8+$D$53*$E$9+$E$53*$E$10+$F$53*$E$11+$G$53*$E$12+$H$53*$E$13</f>
        <v>23</v>
      </c>
      <c r="F64" s="10" t="n">
        <f aca="false">$B$53*$F$7+$C$53*$F$8+$D$53*$F$9+$E$53*$F$10+$F$53*$F$11+$G$53*$F$12+$H$53*$F$13</f>
        <v>23</v>
      </c>
      <c r="G64" s="10" t="n">
        <f aca="false">$B$53*$G$7+$C$53*$G$8+$D$53*$G$9+$E$53*$G$10+$F$53*$G$11+$G$53*$G$12+$H$53*$G$13</f>
        <v>0</v>
      </c>
      <c r="H64" s="10" t="n">
        <f aca="false">$B$53*$H$7+$C$53*$H$8+$D$53*$H$9+$E$53*$H$10+$F$53*$H$11+$G$53*$H$12+$H$53*$H$13</f>
        <v>0</v>
      </c>
    </row>
    <row r="65" customFormat="false" ht="15" hidden="false" customHeight="false" outlineLevel="0" collapsed="false">
      <c r="A65" s="4" t="s">
        <v>37</v>
      </c>
      <c r="B65" s="10" t="n">
        <f aca="false">$B$54*$B$7+$C$54*$B$8+$D$54*$B$9+$E$54*$B$10+$F$54*$B$11+$G$54*$B$12+$H$54*$B$13</f>
        <v>0</v>
      </c>
      <c r="C65" s="10" t="n">
        <f aca="false">$B$54*$C$7+$C$54*$C$8+$D$54*$C$9+$E$54*$C$10+$F$54*$C$11+$G$54*$C$12+$H$54*$C$13</f>
        <v>0</v>
      </c>
      <c r="D65" s="10" t="n">
        <f aca="false">$B$54*$D$7+$C$54*$D$8+$D$54*$D$9+$E$54*$D$10+$F$54*$D$11+$G$54*$D$12+$H$54*$D$13</f>
        <v>23</v>
      </c>
      <c r="E65" s="10" t="n">
        <f aca="false">$B$54*$E$7+$C$54*$E$8+$D$54*$E$9+$E$54*$E$10+$F$54*$E$11+$G$54*$E$12+$H$54*$E$13</f>
        <v>41</v>
      </c>
      <c r="F65" s="10" t="n">
        <f aca="false">$B$54*$F$7+$C$54*$F$8+$D$54*$F$9+$E$54*$F$10+$F$54*$F$11+$G$54*$F$12+$H$54*$F$13</f>
        <v>41</v>
      </c>
      <c r="G65" s="10" t="n">
        <f aca="false">$B$54*$G$7+$C$54*$G$8+$D$54*$G$9+$E$54*$G$10+$F$54*$G$11+$G$54*$G$12+$H$54*$G$13</f>
        <v>0</v>
      </c>
      <c r="H65" s="10" t="n">
        <f aca="false">$B$54*$H$7+$C$54*$H$8+$D$54*$H$9+$E$54*$H$10+$F$54*$H$11+$G$54*$H$12+$H$54*$H$13</f>
        <v>0</v>
      </c>
    </row>
    <row r="66" customFormat="false" ht="15" hidden="false" customHeight="false" outlineLevel="0" collapsed="false">
      <c r="A66" s="4" t="s">
        <v>40</v>
      </c>
      <c r="B66" s="10" t="n">
        <f aca="false">$B$55*$B$7+$C$55*$B$8+$D$55*$B$9+$E$55*$B$10+$F$55*$B$11+$G$55*$B$12+$H$55*$B$13</f>
        <v>0</v>
      </c>
      <c r="C66" s="10" t="n">
        <f aca="false">$B$55*$C$7+$C$55*$C$8+$D$55*$C$9+$E$55*$C$10+$F$55*$C$11+$G$55*$C$12+$H$55*$C$13</f>
        <v>0</v>
      </c>
      <c r="D66" s="10" t="n">
        <f aca="false">$B$55*$D$7+$C$55*$D$8+$D$55*$D$9+$E$55*$D$10+$F$55*$D$11+$G$55*$D$12+$H$55*$D$13</f>
        <v>23</v>
      </c>
      <c r="E66" s="10" t="n">
        <f aca="false">$B$55*$E$7+$C$55*$E$8+$D$55*$E$9+$E$55*$E$10+$F$55*$E$11+$G$55*$E$12+$H$55*$E$13</f>
        <v>41</v>
      </c>
      <c r="F66" s="10" t="n">
        <f aca="false">$B$55*$F$7+$C$55*$F$8+$D$55*$F$9+$E$55*$F$10+$F$55*$F$11+$G$55*$F$12+$H$55*$F$13</f>
        <v>41</v>
      </c>
      <c r="G66" s="10" t="n">
        <f aca="false">$B$55*$G$7+$C$55*$G$8+$D$55*$G$9+$E$55*$G$10+$F$55*$G$11+$G$55*$G$12+$H$55*$G$13</f>
        <v>0</v>
      </c>
      <c r="H66" s="10" t="n">
        <f aca="false">$B$55*$H$7+$C$55*$H$8+$D$55*$H$9+$E$55*$H$10+$F$55*$H$11+$G$55*$H$12+$H$55*$H$13</f>
        <v>0</v>
      </c>
    </row>
    <row r="67" customFormat="false" ht="15" hidden="false" customHeight="false" outlineLevel="0" collapsed="false">
      <c r="A67" s="4" t="s">
        <v>42</v>
      </c>
      <c r="B67" s="10" t="n">
        <f aca="false">$B$56*$B$7+$C$56*$B$8+$D$56*$B$9+$E$56*$B$10+$F$56*$B$11+$G$56*$B$12+$H$56*$B$13</f>
        <v>0</v>
      </c>
      <c r="C67" s="10" t="n">
        <f aca="false">$B$56*$C$7+$C$56*$C$8+$D$56*$C$9+$E$56*$C$10+$F$56*$C$11+$G$56*$C$12+$H$56*$C$13</f>
        <v>0</v>
      </c>
      <c r="D67" s="10" t="n">
        <f aca="false">$B$56*$D$7+$C$56*$D$8+$D$56*$D$9+$E$56*$D$10+$F$56*$D$11+$G$56*$D$12+$H$56*$D$13</f>
        <v>0</v>
      </c>
      <c r="E67" s="10" t="n">
        <f aca="false">$B$56*$E$7+$C$56*$E$8+$D$56*$E$9+$E$56*$E$10+$F$56*$E$11+$G$56*$E$12+$H$56*$E$13</f>
        <v>0</v>
      </c>
      <c r="F67" s="10" t="n">
        <f aca="false">$B$56*$F$7+$C$56*$F$8+$D$56*$F$9+$E$56*$F$10+$F$56*$F$11+$G$56*$F$12+$H$56*$F$13</f>
        <v>0</v>
      </c>
      <c r="G67" s="10" t="n">
        <f aca="false">$B$56*$G$7+$C$56*$G$8+$D$56*$G$9+$E$56*$G$10+$F$56*$G$11+$G$56*$G$12+$H$56*$G$13</f>
        <v>36</v>
      </c>
      <c r="H67" s="10" t="n">
        <f aca="false">$B$56*$H$7+$C$56*$H$8+$D$56*$H$9+$E$56*$H$10+$F$56*$H$11+$G$56*$H$12+$H$56*$H$13</f>
        <v>46</v>
      </c>
    </row>
    <row r="68" customFormat="false" ht="15" hidden="false" customHeight="false" outlineLevel="0" collapsed="false">
      <c r="A68" s="4" t="s">
        <v>46</v>
      </c>
      <c r="B68" s="10" t="n">
        <f aca="false">$B$57*$B$7+$C$57*$B$8+$D$57*$B$9+$E$57*$B$10+$F$57*$B$11+$G$57*$B$12+$H$57*$B$13</f>
        <v>0</v>
      </c>
      <c r="C68" s="10" t="n">
        <f aca="false">$B$57*$C$7+$C$57*$C$8+$D$57*$C$9+$E$57*$C$10+$F$57*$C$11+$G$57*$C$12+$H$57*$C$13</f>
        <v>0</v>
      </c>
      <c r="D68" s="10" t="n">
        <f aca="false">$B$57*$D$7+$C$57*$D$8+$D$57*$D$9+$E$57*$D$10+$F$57*$D$11+$G$57*$D$12+$H$57*$D$13</f>
        <v>0</v>
      </c>
      <c r="E68" s="10" t="n">
        <f aca="false">$B$57*$E$7+$C$57*$E$8+$D$57*$E$9+$E$57*$E$10+$F$57*$E$11+$G$57*$E$12+$H$57*$E$13</f>
        <v>0</v>
      </c>
      <c r="F68" s="10" t="n">
        <f aca="false">$B$57*$F$7+$C$57*$F$8+$D$57*$F$9+$E$57*$F$10+$F$57*$F$11+$G$57*$F$12+$H$57*$F$13</f>
        <v>0</v>
      </c>
      <c r="G68" s="10" t="n">
        <f aca="false">$B$57*$G$7+$C$57*$G$8+$D$57*$G$9+$E$57*$G$10+$F$57*$G$11+$G$57*$G$12+$H$57*$G$13</f>
        <v>46</v>
      </c>
      <c r="H68" s="10" t="n">
        <f aca="false">$B$57*$H$7+$C$57*$H$8+$D$57*$H$9+$E$57*$H$10+$F$57*$H$11+$G$57*$H$12+$H$57*$H$13</f>
        <v>59</v>
      </c>
    </row>
    <row r="71" customFormat="false" ht="15" hidden="false" customHeight="false" outlineLevel="0" collapsed="false">
      <c r="A71" s="4" t="s">
        <v>186</v>
      </c>
    </row>
    <row r="72" customFormat="false" ht="15" hidden="false" customHeight="false" outlineLevel="0" collapsed="false">
      <c r="A72" s="8"/>
      <c r="B72" s="8" t="s">
        <v>23</v>
      </c>
      <c r="C72" s="8" t="s">
        <v>28</v>
      </c>
      <c r="D72" s="8" t="s">
        <v>32</v>
      </c>
      <c r="E72" s="8" t="s">
        <v>37</v>
      </c>
      <c r="F72" s="8" t="s">
        <v>40</v>
      </c>
      <c r="G72" s="8" t="s">
        <v>42</v>
      </c>
      <c r="H72" s="8" t="s">
        <v>46</v>
      </c>
    </row>
    <row r="73" customFormat="false" ht="15" hidden="false" customHeight="false" outlineLevel="0" collapsed="false">
      <c r="A73" s="4" t="s">
        <v>23</v>
      </c>
      <c r="B73" s="10" t="n">
        <f aca="false">$B$62*$B$7+$C$62*$B$8+$D$62*$B$9+$E$62*$B$10+$F$62*$B$11+$G$62*$B$12+$H$62*$B$13</f>
        <v>0</v>
      </c>
      <c r="C73" s="10" t="n">
        <f aca="false">$B$62*$C$7+$C$62*$C$8+$D$62*$C$9+$E$62*$C$10+$F$62*$C$11+$G$62*$C$12+$H$62*$C$13</f>
        <v>0</v>
      </c>
      <c r="D73" s="10" t="n">
        <f aca="false">$B$62*$D$7+$C$62*$D$8+$D$62*$D$9+$E$62*$D$10+$F$62*$D$11+$G$62*$D$12+$H$62*$D$13</f>
        <v>59</v>
      </c>
      <c r="E73" s="10" t="n">
        <f aca="false">$B$62*$E$7+$C$62*$E$8+$D$62*$E$9+$E$62*$E$10+$F$62*$E$11+$G$62*$E$12+$H$62*$E$13</f>
        <v>105</v>
      </c>
      <c r="F73" s="10" t="n">
        <f aca="false">$B$62*$F$7+$C$62*$F$8+$D$62*$F$9+$E$62*$F$10+$F$62*$F$11+$G$62*$F$12+$H$62*$F$13</f>
        <v>105</v>
      </c>
      <c r="G73" s="10" t="n">
        <f aca="false">$B$62*$G$7+$C$62*$G$8+$D$62*$G$9+$E$62*$G$10+$F$62*$G$11+$G$62*$G$12+$H$62*$G$13</f>
        <v>0</v>
      </c>
      <c r="H73" s="10" t="n">
        <f aca="false">$B$62*$H$7+$C$62*$H$8+$D$62*$H$9+$E$62*$H$10+$F$62*$H$11+$G$62*$H$12+$H$62*$H$13</f>
        <v>0</v>
      </c>
    </row>
    <row r="74" customFormat="false" ht="15" hidden="false" customHeight="false" outlineLevel="0" collapsed="false">
      <c r="A74" s="4" t="s">
        <v>28</v>
      </c>
      <c r="B74" s="10" t="n">
        <f aca="false">$B$63*$B$7+$C$63*$B$8+$D$63*$B$9+$E$63*$B$10+$F$63*$B$11+$G$63*$B$12+$H$63*$B$13</f>
        <v>0</v>
      </c>
      <c r="C74" s="10" t="n">
        <f aca="false">$B$63*$C$7+$C$63*$C$8+$D$63*$C$9+$E$63*$C$10+$F$63*$C$11+$G$63*$C$12+$H$63*$C$13</f>
        <v>0</v>
      </c>
      <c r="D74" s="10" t="n">
        <f aca="false">$B$63*$D$7+$C$63*$D$8+$D$63*$D$9+$E$63*$D$10+$F$63*$D$11+$G$63*$D$12+$H$63*$D$13</f>
        <v>23</v>
      </c>
      <c r="E74" s="10" t="n">
        <f aca="false">$B$63*$E$7+$C$63*$E$8+$D$63*$E$9+$E$63*$E$10+$F$63*$E$11+$G$63*$E$12+$H$63*$E$13</f>
        <v>41</v>
      </c>
      <c r="F74" s="10" t="n">
        <f aca="false">$B$63*$F$7+$C$63*$F$8+$D$63*$F$9+$E$63*$F$10+$F$63*$F$11+$G$63*$F$12+$H$63*$F$13</f>
        <v>41</v>
      </c>
      <c r="G74" s="10" t="n">
        <f aca="false">$B$63*$G$7+$C$63*$G$8+$D$63*$G$9+$E$63*$G$10+$F$63*$G$11+$G$63*$G$12+$H$63*$G$13</f>
        <v>46</v>
      </c>
      <c r="H74" s="10" t="n">
        <f aca="false">$B$63*$H$7+$C$63*$H$8+$D$63*$H$9+$E$63*$H$10+$F$63*$H$11+$G$63*$H$12+$H$63*$H$13</f>
        <v>59</v>
      </c>
    </row>
    <row r="75" customFormat="false" ht="15" hidden="false" customHeight="false" outlineLevel="0" collapsed="false">
      <c r="A75" s="4" t="s">
        <v>32</v>
      </c>
      <c r="B75" s="10" t="n">
        <f aca="false">$B$64*$B$7+$C$64*$B$8+$D$64*$B$9+$E$64*$B$10+$F$64*$B$11+$G$64*$B$12+$H$64*$B$13</f>
        <v>0</v>
      </c>
      <c r="C75" s="10" t="n">
        <f aca="false">$B$64*$C$7+$C$64*$C$8+$D$64*$C$9+$E$64*$C$10+$F$64*$C$11+$G$64*$C$12+$H$64*$C$13</f>
        <v>0</v>
      </c>
      <c r="D75" s="10" t="n">
        <f aca="false">$B$64*$D$7+$C$64*$D$8+$D$64*$D$9+$E$64*$D$10+$F$64*$D$11+$G$64*$D$12+$H$64*$D$13</f>
        <v>0</v>
      </c>
      <c r="E75" s="10" t="n">
        <f aca="false">$B$64*$E$7+$C$64*$E$8+$D$64*$E$9+$E$64*$E$10+$F$64*$E$11+$G$64*$E$12+$H$64*$E$13</f>
        <v>0</v>
      </c>
      <c r="F75" s="10" t="n">
        <f aca="false">$B$64*$F$7+$C$64*$F$8+$D$64*$F$9+$E$64*$F$10+$F$64*$F$11+$G$64*$F$12+$H$64*$F$13</f>
        <v>0</v>
      </c>
      <c r="G75" s="10" t="n">
        <f aca="false">$B$64*$G$7+$C$64*$G$8+$D$64*$G$9+$E$64*$G$10+$F$64*$G$11+$G$64*$G$12+$H$64*$G$13</f>
        <v>46</v>
      </c>
      <c r="H75" s="10" t="n">
        <f aca="false">$B$64*$H$7+$C$64*$H$8+$D$64*$H$9+$E$64*$H$10+$F$64*$H$11+$G$64*$H$12+$H$64*$H$13</f>
        <v>59</v>
      </c>
    </row>
    <row r="76" customFormat="false" ht="15" hidden="false" customHeight="false" outlineLevel="0" collapsed="false">
      <c r="A76" s="4" t="s">
        <v>37</v>
      </c>
      <c r="B76" s="10" t="n">
        <f aca="false">$B$65*$B$7+$C$65*$B$8+$D$65*$B$9+$E$65*$B$10+$F$65*$B$11+$G$65*$B$12+$H$65*$B$13</f>
        <v>0</v>
      </c>
      <c r="C76" s="10" t="n">
        <f aca="false">$B$65*$C$7+$C$65*$C$8+$D$65*$C$9+$E$65*$C$10+$F$65*$C$11+$G$65*$C$12+$H$65*$C$13</f>
        <v>0</v>
      </c>
      <c r="D76" s="10" t="n">
        <f aca="false">$B$65*$D$7+$C$65*$D$8+$D$65*$D$9+$E$65*$D$10+$F$65*$D$11+$G$65*$D$12+$H$65*$D$13</f>
        <v>0</v>
      </c>
      <c r="E76" s="10" t="n">
        <f aca="false">$B$65*$E$7+$C$65*$E$8+$D$65*$E$9+$E$65*$E$10+$F$65*$E$11+$G$65*$E$12+$H$65*$E$13</f>
        <v>0</v>
      </c>
      <c r="F76" s="10" t="n">
        <f aca="false">$B$65*$F$7+$C$65*$F$8+$D$65*$F$9+$E$65*$F$10+$F$65*$F$11+$G$65*$F$12+$H$65*$F$13</f>
        <v>0</v>
      </c>
      <c r="G76" s="10" t="n">
        <f aca="false">$B$65*$G$7+$C$65*$G$8+$D$65*$G$9+$E$65*$G$10+$F$65*$G$11+$G$65*$G$12+$H$65*$G$13</f>
        <v>82</v>
      </c>
      <c r="H76" s="10" t="n">
        <f aca="false">$B$65*$H$7+$C$65*$H$8+$D$65*$H$9+$E$65*$H$10+$F$65*$H$11+$G$65*$H$12+$H$65*$H$13</f>
        <v>105</v>
      </c>
    </row>
    <row r="77" customFormat="false" ht="15" hidden="false" customHeight="false" outlineLevel="0" collapsed="false">
      <c r="A77" s="4" t="s">
        <v>40</v>
      </c>
      <c r="B77" s="10" t="n">
        <f aca="false">$B$66*$B$7+$C$66*$B$8+$D$66*$B$9+$E$66*$B$10+$F$66*$B$11+$G$66*$B$12+$H$66*$B$13</f>
        <v>0</v>
      </c>
      <c r="C77" s="10" t="n">
        <f aca="false">$B$66*$C$7+$C$66*$C$8+$D$66*$C$9+$E$66*$C$10+$F$66*$C$11+$G$66*$C$12+$H$66*$C$13</f>
        <v>0</v>
      </c>
      <c r="D77" s="10" t="n">
        <f aca="false">$B$66*$D$7+$C$66*$D$8+$D$66*$D$9+$E$66*$D$10+$F$66*$D$11+$G$66*$D$12+$H$66*$D$13</f>
        <v>0</v>
      </c>
      <c r="E77" s="10" t="n">
        <f aca="false">$B$66*$E$7+$C$66*$E$8+$D$66*$E$9+$E$66*$E$10+$F$66*$E$11+$G$66*$E$12+$H$66*$E$13</f>
        <v>0</v>
      </c>
      <c r="F77" s="10" t="n">
        <f aca="false">$B$66*$F$7+$C$66*$F$8+$D$66*$F$9+$E$66*$F$10+$F$66*$F$11+$G$66*$F$12+$H$66*$F$13</f>
        <v>0</v>
      </c>
      <c r="G77" s="10" t="n">
        <f aca="false">$B$66*$G$7+$C$66*$G$8+$D$66*$G$9+$E$66*$G$10+$F$66*$G$11+$G$66*$G$12+$H$66*$G$13</f>
        <v>82</v>
      </c>
      <c r="H77" s="10" t="n">
        <f aca="false">$B$66*$H$7+$C$66*$H$8+$D$66*$H$9+$E$66*$H$10+$F$66*$H$11+$G$66*$H$12+$H$66*$H$13</f>
        <v>105</v>
      </c>
    </row>
    <row r="78" customFormat="false" ht="15" hidden="false" customHeight="false" outlineLevel="0" collapsed="false">
      <c r="A78" s="4" t="s">
        <v>42</v>
      </c>
      <c r="B78" s="10" t="n">
        <f aca="false">$B$67*$B$7+$C$67*$B$8+$D$67*$B$9+$E$67*$B$10+$F$67*$B$11+$G$67*$B$12+$H$67*$B$13</f>
        <v>0</v>
      </c>
      <c r="C78" s="10" t="n">
        <f aca="false">$B$67*$C$7+$C$67*$C$8+$D$67*$C$9+$E$67*$C$10+$F$67*$C$11+$G$67*$C$12+$H$67*$C$13</f>
        <v>0</v>
      </c>
      <c r="D78" s="10" t="n">
        <f aca="false">$B$67*$D$7+$C$67*$D$8+$D$67*$D$9+$E$67*$D$10+$F$67*$D$11+$G$67*$D$12+$H$67*$D$13</f>
        <v>46</v>
      </c>
      <c r="E78" s="10" t="n">
        <f aca="false">$B$67*$E$7+$C$67*$E$8+$D$67*$E$9+$E$67*$E$10+$F$67*$E$11+$G$67*$E$12+$H$67*$E$13</f>
        <v>82</v>
      </c>
      <c r="F78" s="10" t="n">
        <f aca="false">$B$67*$F$7+$C$67*$F$8+$D$67*$F$9+$E$67*$F$10+$F$67*$F$11+$G$67*$F$12+$H$67*$F$13</f>
        <v>82</v>
      </c>
      <c r="G78" s="10" t="n">
        <f aca="false">$B$67*$G$7+$C$67*$G$8+$D$67*$G$9+$E$67*$G$10+$F$67*$G$11+$G$67*$G$12+$H$67*$G$13</f>
        <v>0</v>
      </c>
      <c r="H78" s="10" t="n">
        <f aca="false">$B$67*$H$7+$C$67*$H$8+$D$67*$H$9+$E$67*$H$10+$F$67*$H$11+$G$67*$H$12+$H$67*$H$13</f>
        <v>0</v>
      </c>
    </row>
    <row r="79" customFormat="false" ht="15" hidden="false" customHeight="false" outlineLevel="0" collapsed="false">
      <c r="A79" s="4" t="s">
        <v>46</v>
      </c>
      <c r="B79" s="10" t="n">
        <f aca="false">$B$68*$B$7+$C$68*$B$8+$D$68*$B$9+$E$68*$B$10+$F$68*$B$11+$G$68*$B$12+$H$68*$B$13</f>
        <v>0</v>
      </c>
      <c r="C79" s="10" t="n">
        <f aca="false">$B$68*$C$7+$C$68*$C$8+$D$68*$C$9+$E$68*$C$10+$F$68*$C$11+$G$68*$C$12+$H$68*$C$13</f>
        <v>0</v>
      </c>
      <c r="D79" s="10" t="n">
        <f aca="false">$B$68*$D$7+$C$68*$D$8+$D$68*$D$9+$E$68*$D$10+$F$68*$D$11+$G$68*$D$12+$H$68*$D$13</f>
        <v>59</v>
      </c>
      <c r="E79" s="10" t="n">
        <f aca="false">$B$68*$E$7+$C$68*$E$8+$D$68*$E$9+$E$68*$E$10+$F$68*$E$11+$G$68*$E$12+$H$68*$E$13</f>
        <v>105</v>
      </c>
      <c r="F79" s="10" t="n">
        <f aca="false">$B$68*$F$7+$C$68*$F$8+$D$68*$F$9+$E$68*$F$10+$F$68*$F$11+$G$68*$F$12+$H$68*$F$13</f>
        <v>105</v>
      </c>
      <c r="G79" s="10" t="n">
        <f aca="false">$B$68*$G$7+$C$68*$G$8+$D$68*$G$9+$E$68*$G$10+$F$68*$G$11+$G$68*$G$12+$H$68*$G$13</f>
        <v>0</v>
      </c>
      <c r="H79" s="10" t="n">
        <f aca="false">$B$68*$H$7+$C$68*$H$8+$D$68*$H$9+$E$68*$H$10+$F$68*$H$11+$G$68*$H$12+$H$68*$H$13</f>
        <v>0</v>
      </c>
    </row>
    <row r="82" customFormat="false" ht="15" hidden="false" customHeight="false" outlineLevel="0" collapsed="false">
      <c r="A82" s="4" t="s">
        <v>200</v>
      </c>
    </row>
    <row r="83" customFormat="false" ht="15" hidden="false" customHeight="false" outlineLevel="0" collapsed="false">
      <c r="A83" s="8"/>
      <c r="B83" s="8" t="s">
        <v>23</v>
      </c>
      <c r="C83" s="8" t="s">
        <v>28</v>
      </c>
      <c r="D83" s="8" t="s">
        <v>32</v>
      </c>
      <c r="E83" s="8" t="s">
        <v>37</v>
      </c>
      <c r="F83" s="8" t="s">
        <v>40</v>
      </c>
      <c r="G83" s="8" t="s">
        <v>42</v>
      </c>
      <c r="H83" s="8" t="s">
        <v>46</v>
      </c>
    </row>
    <row r="84" customFormat="false" ht="15" hidden="false" customHeight="false" outlineLevel="0" collapsed="false">
      <c r="A84" s="4" t="s">
        <v>23</v>
      </c>
      <c r="B84" s="10" t="n">
        <f aca="false">$B$73*$B$7+$C$73*$B$8+$D$73*$B$9+$E$73*$B$10+$F$73*$B$11+$G$73*$B$12+$H$73*$B$13</f>
        <v>0</v>
      </c>
      <c r="C84" s="10" t="n">
        <f aca="false">$B$73*$C$7+$C$73*$C$8+$D$73*$C$9+$E$73*$C$10+$F$73*$C$11+$G$73*$C$12+$H$73*$C$13</f>
        <v>0</v>
      </c>
      <c r="D84" s="10" t="n">
        <f aca="false">$B$73*$D$7+$C$73*$D$8+$D$73*$D$9+$E$73*$D$10+$F$73*$D$11+$G$73*$D$12+$H$73*$D$13</f>
        <v>0</v>
      </c>
      <c r="E84" s="10" t="n">
        <f aca="false">$B$73*$E$7+$C$73*$E$8+$D$73*$E$9+$E$73*$E$10+$F$73*$E$11+$G$73*$E$12+$H$73*$E$13</f>
        <v>0</v>
      </c>
      <c r="F84" s="10" t="n">
        <f aca="false">$B$73*$F$7+$C$73*$F$8+$D$73*$F$9+$E$73*$F$10+$F$73*$F$11+$G$73*$F$12+$H$73*$F$13</f>
        <v>0</v>
      </c>
      <c r="G84" s="10" t="n">
        <f aca="false">$B$73*$G$7+$C$73*$G$8+$D$73*$G$9+$E$73*$G$10+$F$73*$G$11+$G$73*$G$12+$H$73*$G$13</f>
        <v>210</v>
      </c>
      <c r="H84" s="10" t="n">
        <f aca="false">$B$73*$H$7+$C$73*$H$8+$D$73*$H$9+$E$73*$H$10+$F$73*$H$11+$G$73*$H$12+$H$73*$H$13</f>
        <v>269</v>
      </c>
    </row>
    <row r="85" customFormat="false" ht="15" hidden="false" customHeight="false" outlineLevel="0" collapsed="false">
      <c r="A85" s="4" t="s">
        <v>28</v>
      </c>
      <c r="B85" s="10" t="n">
        <f aca="false">$B$74*$B$7+$C$74*$B$8+$D$74*$B$9+$E$74*$B$10+$F$74*$B$11+$G$74*$B$12+$H$74*$B$13</f>
        <v>0</v>
      </c>
      <c r="C85" s="10" t="n">
        <f aca="false">$B$74*$C$7+$C$74*$C$8+$D$74*$C$9+$E$74*$C$10+$F$74*$C$11+$G$74*$C$12+$H$74*$C$13</f>
        <v>0</v>
      </c>
      <c r="D85" s="10" t="n">
        <f aca="false">$B$74*$D$7+$C$74*$D$8+$D$74*$D$9+$E$74*$D$10+$F$74*$D$11+$G$74*$D$12+$H$74*$D$13</f>
        <v>59</v>
      </c>
      <c r="E85" s="10" t="n">
        <f aca="false">$B$74*$E$7+$C$74*$E$8+$D$74*$E$9+$E$74*$E$10+$F$74*$E$11+$G$74*$E$12+$H$74*$E$13</f>
        <v>105</v>
      </c>
      <c r="F85" s="10" t="n">
        <f aca="false">$B$74*$F$7+$C$74*$F$8+$D$74*$F$9+$E$74*$F$10+$F$74*$F$11+$G$74*$F$12+$H$74*$F$13</f>
        <v>105</v>
      </c>
      <c r="G85" s="10" t="n">
        <f aca="false">$B$74*$G$7+$C$74*$G$8+$D$74*$G$9+$E$74*$G$10+$F$74*$G$11+$G$74*$G$12+$H$74*$G$13</f>
        <v>82</v>
      </c>
      <c r="H85" s="10" t="n">
        <f aca="false">$B$74*$H$7+$C$74*$H$8+$D$74*$H$9+$E$74*$H$10+$F$74*$H$11+$G$74*$H$12+$H$74*$H$13</f>
        <v>105</v>
      </c>
    </row>
    <row r="86" customFormat="false" ht="15" hidden="false" customHeight="false" outlineLevel="0" collapsed="false">
      <c r="A86" s="4" t="s">
        <v>32</v>
      </c>
      <c r="B86" s="10" t="n">
        <f aca="false">$B$75*$B$7+$C$75*$B$8+$D$75*$B$9+$E$75*$B$10+$F$75*$B$11+$G$75*$B$12+$H$75*$B$13</f>
        <v>0</v>
      </c>
      <c r="C86" s="10" t="n">
        <f aca="false">$B$75*$C$7+$C$75*$C$8+$D$75*$C$9+$E$75*$C$10+$F$75*$C$11+$G$75*$C$12+$H$75*$C$13</f>
        <v>0</v>
      </c>
      <c r="D86" s="10" t="n">
        <f aca="false">$B$75*$D$7+$C$75*$D$8+$D$75*$D$9+$E$75*$D$10+$F$75*$D$11+$G$75*$D$12+$H$75*$D$13</f>
        <v>59</v>
      </c>
      <c r="E86" s="10" t="n">
        <f aca="false">$B$75*$E$7+$C$75*$E$8+$D$75*$E$9+$E$75*$E$10+$F$75*$E$11+$G$75*$E$12+$H$75*$E$13</f>
        <v>105</v>
      </c>
      <c r="F86" s="10" t="n">
        <f aca="false">$B$75*$F$7+$C$75*$F$8+$D$75*$F$9+$E$75*$F$10+$F$75*$F$11+$G$75*$F$12+$H$75*$F$13</f>
        <v>105</v>
      </c>
      <c r="G86" s="10" t="n">
        <f aca="false">$B$75*$G$7+$C$75*$G$8+$D$75*$G$9+$E$75*$G$10+$F$75*$G$11+$G$75*$G$12+$H$75*$G$13</f>
        <v>0</v>
      </c>
      <c r="H86" s="10" t="n">
        <f aca="false">$B$75*$H$7+$C$75*$H$8+$D$75*$H$9+$E$75*$H$10+$F$75*$H$11+$G$75*$H$12+$H$75*$H$13</f>
        <v>0</v>
      </c>
    </row>
    <row r="87" customFormat="false" ht="15" hidden="false" customHeight="false" outlineLevel="0" collapsed="false">
      <c r="A87" s="4" t="s">
        <v>37</v>
      </c>
      <c r="B87" s="10" t="n">
        <f aca="false">$B$76*$B$7+$C$76*$B$8+$D$76*$B$9+$E$76*$B$10+$F$76*$B$11+$G$76*$B$12+$H$76*$B$13</f>
        <v>0</v>
      </c>
      <c r="C87" s="10" t="n">
        <f aca="false">$B$76*$C$7+$C$76*$C$8+$D$76*$C$9+$E$76*$C$10+$F$76*$C$11+$G$76*$C$12+$H$76*$C$13</f>
        <v>0</v>
      </c>
      <c r="D87" s="10" t="n">
        <f aca="false">$B$76*$D$7+$C$76*$D$8+$D$76*$D$9+$E$76*$D$10+$F$76*$D$11+$G$76*$D$12+$H$76*$D$13</f>
        <v>105</v>
      </c>
      <c r="E87" s="10" t="n">
        <f aca="false">$B$76*$E$7+$C$76*$E$8+$D$76*$E$9+$E$76*$E$10+$F$76*$E$11+$G$76*$E$12+$H$76*$E$13</f>
        <v>187</v>
      </c>
      <c r="F87" s="10" t="n">
        <f aca="false">$B$76*$F$7+$C$76*$F$8+$D$76*$F$9+$E$76*$F$10+$F$76*$F$11+$G$76*$F$12+$H$76*$F$13</f>
        <v>187</v>
      </c>
      <c r="G87" s="10" t="n">
        <f aca="false">$B$76*$G$7+$C$76*$G$8+$D$76*$G$9+$E$76*$G$10+$F$76*$G$11+$G$76*$G$12+$H$76*$G$13</f>
        <v>0</v>
      </c>
      <c r="H87" s="10" t="n">
        <f aca="false">$B$76*$H$7+$C$76*$H$8+$D$76*$H$9+$E$76*$H$10+$F$76*$H$11+$G$76*$H$12+$H$76*$H$13</f>
        <v>0</v>
      </c>
    </row>
    <row r="88" customFormat="false" ht="15" hidden="false" customHeight="false" outlineLevel="0" collapsed="false">
      <c r="A88" s="4" t="s">
        <v>40</v>
      </c>
      <c r="B88" s="10" t="n">
        <f aca="false">$B$77*$B$7+$C$77*$B$8+$D$77*$B$9+$E$77*$B$10+$F$77*$B$11+$G$77*$B$12+$H$77*$B$13</f>
        <v>0</v>
      </c>
      <c r="C88" s="10" t="n">
        <f aca="false">$B$77*$C$7+$C$77*$C$8+$D$77*$C$9+$E$77*$C$10+$F$77*$C$11+$G$77*$C$12+$H$77*$C$13</f>
        <v>0</v>
      </c>
      <c r="D88" s="10" t="n">
        <f aca="false">$B$77*$D$7+$C$77*$D$8+$D$77*$D$9+$E$77*$D$10+$F$77*$D$11+$G$77*$D$12+$H$77*$D$13</f>
        <v>105</v>
      </c>
      <c r="E88" s="10" t="n">
        <f aca="false">$B$77*$E$7+$C$77*$E$8+$D$77*$E$9+$E$77*$E$10+$F$77*$E$11+$G$77*$E$12+$H$77*$E$13</f>
        <v>187</v>
      </c>
      <c r="F88" s="10" t="n">
        <f aca="false">$B$77*$F$7+$C$77*$F$8+$D$77*$F$9+$E$77*$F$10+$F$77*$F$11+$G$77*$F$12+$H$77*$F$13</f>
        <v>187</v>
      </c>
      <c r="G88" s="10" t="n">
        <f aca="false">$B$77*$G$7+$C$77*$G$8+$D$77*$G$9+$E$77*$G$10+$F$77*$G$11+$G$77*$G$12+$H$77*$G$13</f>
        <v>0</v>
      </c>
      <c r="H88" s="10" t="n">
        <f aca="false">$B$77*$H$7+$C$77*$H$8+$D$77*$H$9+$E$77*$H$10+$F$77*$H$11+$G$77*$H$12+$H$77*$H$13</f>
        <v>0</v>
      </c>
    </row>
    <row r="89" customFormat="false" ht="15" hidden="false" customHeight="false" outlineLevel="0" collapsed="false">
      <c r="A89" s="4" t="s">
        <v>42</v>
      </c>
      <c r="B89" s="10" t="n">
        <f aca="false">$B$78*$B$7+$C$78*$B$8+$D$78*$B$9+$E$78*$B$10+$F$78*$B$11+$G$78*$B$12+$H$78*$B$13</f>
        <v>0</v>
      </c>
      <c r="C89" s="10" t="n">
        <f aca="false">$B$78*$C$7+$C$78*$C$8+$D$78*$C$9+$E$78*$C$10+$F$78*$C$11+$G$78*$C$12+$H$78*$C$13</f>
        <v>0</v>
      </c>
      <c r="D89" s="10" t="n">
        <f aca="false">$B$78*$D$7+$C$78*$D$8+$D$78*$D$9+$E$78*$D$10+$F$78*$D$11+$G$78*$D$12+$H$78*$D$13</f>
        <v>0</v>
      </c>
      <c r="E89" s="10" t="n">
        <f aca="false">$B$78*$E$7+$C$78*$E$8+$D$78*$E$9+$E$78*$E$10+$F$78*$E$11+$G$78*$E$12+$H$78*$E$13</f>
        <v>0</v>
      </c>
      <c r="F89" s="10" t="n">
        <f aca="false">$B$78*$F$7+$C$78*$F$8+$D$78*$F$9+$E$78*$F$10+$F$78*$F$11+$G$78*$F$12+$H$78*$F$13</f>
        <v>0</v>
      </c>
      <c r="G89" s="10" t="n">
        <f aca="false">$B$78*$G$7+$C$78*$G$8+$D$78*$G$9+$E$78*$G$10+$F$78*$G$11+$G$78*$G$12+$H$78*$G$13</f>
        <v>164</v>
      </c>
      <c r="H89" s="10" t="n">
        <f aca="false">$B$78*$H$7+$C$78*$H$8+$D$78*$H$9+$E$78*$H$10+$F$78*$H$11+$G$78*$H$12+$H$78*$H$13</f>
        <v>210</v>
      </c>
    </row>
    <row r="90" customFormat="false" ht="15" hidden="false" customHeight="false" outlineLevel="0" collapsed="false">
      <c r="A90" s="4" t="s">
        <v>46</v>
      </c>
      <c r="B90" s="10" t="n">
        <f aca="false">$B$79*$B$7+$C$79*$B$8+$D$79*$B$9+$E$79*$B$10+$F$79*$B$11+$G$79*$B$12+$H$79*$B$13</f>
        <v>0</v>
      </c>
      <c r="C90" s="10" t="n">
        <f aca="false">$B$79*$C$7+$C$79*$C$8+$D$79*$C$9+$E$79*$C$10+$F$79*$C$11+$G$79*$C$12+$H$79*$C$13</f>
        <v>0</v>
      </c>
      <c r="D90" s="10" t="n">
        <f aca="false">$B$79*$D$7+$C$79*$D$8+$D$79*$D$9+$E$79*$D$10+$F$79*$D$11+$G$79*$D$12+$H$79*$D$13</f>
        <v>0</v>
      </c>
      <c r="E90" s="10" t="n">
        <f aca="false">$B$79*$E$7+$C$79*$E$8+$D$79*$E$9+$E$79*$E$10+$F$79*$E$11+$G$79*$E$12+$H$79*$E$13</f>
        <v>0</v>
      </c>
      <c r="F90" s="10" t="n">
        <f aca="false">$B$79*$F$7+$C$79*$F$8+$D$79*$F$9+$E$79*$F$10+$F$79*$F$11+$G$79*$F$12+$H$79*$F$13</f>
        <v>0</v>
      </c>
      <c r="G90" s="10" t="n">
        <f aca="false">$B$79*$G$7+$C$79*$G$8+$D$79*$G$9+$E$79*$G$10+$F$79*$G$11+$G$79*$G$12+$H$79*$G$13</f>
        <v>210</v>
      </c>
      <c r="H90" s="10" t="n">
        <f aca="false">$B$79*$H$7+$C$79*$H$8+$D$79*$H$9+$E$79*$H$10+$F$79*$H$11+$G$79*$H$12+$H$79*$H$13</f>
        <v>269</v>
      </c>
    </row>
    <row r="93" customFormat="false" ht="15" hidden="false" customHeight="false" outlineLevel="0" collapsed="false">
      <c r="A93" s="4" t="s">
        <v>850</v>
      </c>
    </row>
    <row r="94" customFormat="false" ht="15" hidden="false" customHeight="false" outlineLevel="0" collapsed="false">
      <c r="A94" s="8"/>
      <c r="B94" s="8" t="s">
        <v>23</v>
      </c>
      <c r="C94" s="8" t="s">
        <v>28</v>
      </c>
      <c r="D94" s="8" t="s">
        <v>32</v>
      </c>
      <c r="E94" s="8" t="s">
        <v>37</v>
      </c>
      <c r="F94" s="8" t="s">
        <v>40</v>
      </c>
      <c r="G94" s="8" t="s">
        <v>42</v>
      </c>
      <c r="H94" s="8" t="s">
        <v>46</v>
      </c>
    </row>
    <row r="95" customFormat="false" ht="15" hidden="false" customHeight="false" outlineLevel="0" collapsed="false">
      <c r="A95" s="4" t="s">
        <v>23</v>
      </c>
      <c r="B95" s="10" t="n">
        <f aca="false">SIGN($B$7+$B$18+$B$29+$B$40+$B$51+$B$62+$B$73)</f>
        <v>0</v>
      </c>
      <c r="C95" s="10" t="n">
        <f aca="false">SIGN($C$7+$C$18+$C$29+$C$40+$C$51+$C$62+$C$73)</f>
        <v>0</v>
      </c>
      <c r="D95" s="10" t="n">
        <f aca="false">SIGN($D$7+$D$18+$D$29+$D$40+$D$51+$D$62+$D$73)</f>
        <v>1</v>
      </c>
      <c r="E95" s="10" t="n">
        <f aca="false">SIGN($E$7+$E$18+$E$29+$E$40+$E$51+$E$62+$E$73)</f>
        <v>1</v>
      </c>
      <c r="F95" s="10" t="n">
        <f aca="false">SIGN($F$7+$F$18+$F$29+$F$40+$F$51+$F$62+$F$73)</f>
        <v>1</v>
      </c>
      <c r="G95" s="10" t="n">
        <f aca="false">SIGN($G$7+$G$18+$G$29+$G$40+$G$51+$G$62+$G$73)</f>
        <v>1</v>
      </c>
      <c r="H95" s="10" t="n">
        <f aca="false">SIGN($H$7+$H$18+$H$29+$H$40+$H$51+$H$62+$H$73)</f>
        <v>1</v>
      </c>
    </row>
    <row r="96" customFormat="false" ht="15" hidden="false" customHeight="false" outlineLevel="0" collapsed="false">
      <c r="A96" s="4" t="s">
        <v>28</v>
      </c>
      <c r="B96" s="10" t="n">
        <f aca="false">SIGN($B$8+$B$19+$B$30+$B$41+$B$52+$B$63+$B$74)</f>
        <v>0</v>
      </c>
      <c r="C96" s="10" t="n">
        <f aca="false">SIGN($C$8+$C$19+$C$30+$C$41+$C$52+$C$63+$C$74)</f>
        <v>0</v>
      </c>
      <c r="D96" s="10" t="n">
        <f aca="false">SIGN($D$8+$D$19+$D$30+$D$41+$D$52+$D$63+$D$74)</f>
        <v>1</v>
      </c>
      <c r="E96" s="10" t="n">
        <f aca="false">SIGN($E$8+$E$19+$E$30+$E$41+$E$52+$E$63+$E$74)</f>
        <v>1</v>
      </c>
      <c r="F96" s="10" t="n">
        <f aca="false">SIGN($F$8+$F$19+$F$30+$F$41+$F$52+$F$63+$F$74)</f>
        <v>1</v>
      </c>
      <c r="G96" s="10" t="n">
        <f aca="false">SIGN($G$8+$G$19+$G$30+$G$41+$G$52+$G$63+$G$74)</f>
        <v>1</v>
      </c>
      <c r="H96" s="10" t="n">
        <f aca="false">SIGN($H$8+$H$19+$H$30+$H$41+$H$52+$H$63+$H$74)</f>
        <v>1</v>
      </c>
    </row>
    <row r="97" customFormat="false" ht="15" hidden="false" customHeight="false" outlineLevel="0" collapsed="false">
      <c r="A97" s="4" t="s">
        <v>32</v>
      </c>
      <c r="B97" s="10" t="n">
        <f aca="false">SIGN($B$9+$B$20+$B$31+$B$42+$B$53+$B$64+$B$75)</f>
        <v>0</v>
      </c>
      <c r="C97" s="10" t="n">
        <f aca="false">SIGN($C$9+$C$20+$C$31+$C$42+$C$53+$C$64+$C$75)</f>
        <v>0</v>
      </c>
      <c r="D97" s="10" t="n">
        <f aca="false">SIGN($D$9+$D$20+$D$31+$D$42+$D$53+$D$64+$D$75)</f>
        <v>1</v>
      </c>
      <c r="E97" s="10" t="n">
        <f aca="false">SIGN($E$9+$E$20+$E$31+$E$42+$E$53+$E$64+$E$75)</f>
        <v>1</v>
      </c>
      <c r="F97" s="10" t="n">
        <f aca="false">SIGN($F$9+$F$20+$F$31+$F$42+$F$53+$F$64+$F$75)</f>
        <v>1</v>
      </c>
      <c r="G97" s="10" t="n">
        <f aca="false">SIGN($G$9+$G$20+$G$31+$G$42+$G$53+$G$64+$G$75)</f>
        <v>1</v>
      </c>
      <c r="H97" s="10" t="n">
        <f aca="false">SIGN($H$9+$H$20+$H$31+$H$42+$H$53+$H$64+$H$75)</f>
        <v>1</v>
      </c>
    </row>
    <row r="98" customFormat="false" ht="15" hidden="false" customHeight="false" outlineLevel="0" collapsed="false">
      <c r="A98" s="4" t="s">
        <v>37</v>
      </c>
      <c r="B98" s="10" t="n">
        <f aca="false">SIGN($B$10+$B$21+$B$32+$B$43+$B$54+$B$65+$B$76)</f>
        <v>0</v>
      </c>
      <c r="C98" s="10" t="n">
        <f aca="false">SIGN($C$10+$C$21+$C$32+$C$43+$C$54+$C$65+$C$76)</f>
        <v>0</v>
      </c>
      <c r="D98" s="10" t="n">
        <f aca="false">SIGN($D$10+$D$21+$D$32+$D$43+$D$54+$D$65+$D$76)</f>
        <v>1</v>
      </c>
      <c r="E98" s="10" t="n">
        <f aca="false">SIGN($E$10+$E$21+$E$32+$E$43+$E$54+$E$65+$E$76)</f>
        <v>1</v>
      </c>
      <c r="F98" s="10" t="n">
        <f aca="false">SIGN($F$10+$F$21+$F$32+$F$43+$F$54+$F$65+$F$76)</f>
        <v>1</v>
      </c>
      <c r="G98" s="10" t="n">
        <f aca="false">SIGN($G$10+$G$21+$G$32+$G$43+$G$54+$G$65+$G$76)</f>
        <v>1</v>
      </c>
      <c r="H98" s="10" t="n">
        <f aca="false">SIGN($H$10+$H$21+$H$32+$H$43+$H$54+$H$65+$H$76)</f>
        <v>1</v>
      </c>
    </row>
    <row r="99" customFormat="false" ht="15" hidden="false" customHeight="false" outlineLevel="0" collapsed="false">
      <c r="A99" s="4" t="s">
        <v>40</v>
      </c>
      <c r="B99" s="10" t="n">
        <f aca="false">SIGN($B$11+$B$22+$B$33+$B$44+$B$55+$B$66+$B$77)</f>
        <v>0</v>
      </c>
      <c r="C99" s="10" t="n">
        <f aca="false">SIGN($C$11+$C$22+$C$33+$C$44+$C$55+$C$66+$C$77)</f>
        <v>0</v>
      </c>
      <c r="D99" s="10" t="n">
        <f aca="false">SIGN($D$11+$D$22+$D$33+$D$44+$D$55+$D$66+$D$77)</f>
        <v>1</v>
      </c>
      <c r="E99" s="10" t="n">
        <f aca="false">SIGN($E$11+$E$22+$E$33+$E$44+$E$55+$E$66+$E$77)</f>
        <v>1</v>
      </c>
      <c r="F99" s="10" t="n">
        <f aca="false">SIGN($F$11+$F$22+$F$33+$F$44+$F$55+$F$66+$F$77)</f>
        <v>1</v>
      </c>
      <c r="G99" s="10" t="n">
        <f aca="false">SIGN($G$11+$G$22+$G$33+$G$44+$G$55+$G$66+$G$77)</f>
        <v>1</v>
      </c>
      <c r="H99" s="10" t="n">
        <f aca="false">SIGN($H$11+$H$22+$H$33+$H$44+$H$55+$H$66+$H$77)</f>
        <v>1</v>
      </c>
    </row>
    <row r="100" customFormat="false" ht="15" hidden="false" customHeight="false" outlineLevel="0" collapsed="false">
      <c r="A100" s="4" t="s">
        <v>42</v>
      </c>
      <c r="B100" s="10" t="n">
        <f aca="false">SIGN($B$12+$B$23+$B$34+$B$45+$B$56+$B$67+$B$78)</f>
        <v>0</v>
      </c>
      <c r="C100" s="10" t="n">
        <f aca="false">SIGN($C$12+$C$23+$C$34+$C$45+$C$56+$C$67+$C$78)</f>
        <v>0</v>
      </c>
      <c r="D100" s="10" t="n">
        <f aca="false">SIGN($D$12+$D$23+$D$34+$D$45+$D$56+$D$67+$D$78)</f>
        <v>1</v>
      </c>
      <c r="E100" s="10" t="n">
        <f aca="false">SIGN($E$12+$E$23+$E$34+$E$45+$E$56+$E$67+$E$78)</f>
        <v>1</v>
      </c>
      <c r="F100" s="10" t="n">
        <f aca="false">SIGN($F$12+$F$23+$F$34+$F$45+$F$56+$F$67+$F$78)</f>
        <v>1</v>
      </c>
      <c r="G100" s="10" t="n">
        <f aca="false">SIGN($G$12+$G$23+$G$34+$G$45+$G$56+$G$67+$G$78)</f>
        <v>1</v>
      </c>
      <c r="H100" s="10" t="n">
        <f aca="false">SIGN($H$12+$H$23+$H$34+$H$45+$H$56+$H$67+$H$78)</f>
        <v>1</v>
      </c>
    </row>
    <row r="101" customFormat="false" ht="15" hidden="false" customHeight="false" outlineLevel="0" collapsed="false">
      <c r="A101" s="4" t="s">
        <v>46</v>
      </c>
      <c r="B101" s="10" t="n">
        <f aca="false">SIGN($B$13+$B$24+$B$35+$B$46+$B$57+$B$68+$B$79)</f>
        <v>0</v>
      </c>
      <c r="C101" s="10" t="n">
        <f aca="false">SIGN($C$13+$C$24+$C$35+$C$46+$C$57+$C$68+$C$79)</f>
        <v>0</v>
      </c>
      <c r="D101" s="10" t="n">
        <f aca="false">SIGN($D$13+$D$24+$D$35+$D$46+$D$57+$D$68+$D$79)</f>
        <v>1</v>
      </c>
      <c r="E101" s="10" t="n">
        <f aca="false">SIGN($E$13+$E$24+$E$35+$E$46+$E$57+$E$68+$E$79)</f>
        <v>1</v>
      </c>
      <c r="F101" s="10" t="n">
        <f aca="false">SIGN($F$13+$F$24+$F$35+$F$46+$F$57+$F$68+$F$79)</f>
        <v>1</v>
      </c>
      <c r="G101" s="10" t="n">
        <f aca="false">SIGN($G$13+$G$24+$G$35+$G$46+$G$57+$G$68+$G$79)</f>
        <v>1</v>
      </c>
      <c r="H101" s="10" t="n">
        <f aca="false">SIGN($H$13+$H$24+$H$35+$H$46+$H$57+$H$68+$H$79)</f>
        <v>1</v>
      </c>
    </row>
    <row r="104" customFormat="false" ht="15" hidden="false" customHeight="false" outlineLevel="0" collapsed="false">
      <c r="A104" s="4" t="s">
        <v>205</v>
      </c>
    </row>
    <row r="105" customFormat="false" ht="23.85" hidden="false" customHeight="false" outlineLevel="0" collapsed="false">
      <c r="A105" s="8"/>
      <c r="B105" s="8" t="s">
        <v>23</v>
      </c>
      <c r="C105" s="8" t="s">
        <v>28</v>
      </c>
      <c r="D105" s="8" t="s">
        <v>32</v>
      </c>
      <c r="E105" s="8" t="s">
        <v>37</v>
      </c>
      <c r="F105" s="8" t="s">
        <v>40</v>
      </c>
      <c r="G105" s="8" t="s">
        <v>42</v>
      </c>
      <c r="H105" s="8" t="s">
        <v>46</v>
      </c>
      <c r="J105" s="8" t="s">
        <v>206</v>
      </c>
      <c r="K105" s="8" t="s">
        <v>207</v>
      </c>
    </row>
    <row r="106" customFormat="false" ht="15" hidden="false" customHeight="false" outlineLevel="0" collapsed="false">
      <c r="A106" s="4" t="s">
        <v>23</v>
      </c>
      <c r="B106" s="10" t="n">
        <v>1</v>
      </c>
      <c r="C106" s="10" t="n">
        <f aca="false">$C$95*$B$96</f>
        <v>0</v>
      </c>
      <c r="D106" s="10" t="n">
        <f aca="false">$D$95*$B$97</f>
        <v>0</v>
      </c>
      <c r="E106" s="10" t="n">
        <f aca="false">$E$95*$B$98</f>
        <v>0</v>
      </c>
      <c r="F106" s="10" t="n">
        <f aca="false">$F$95*$B$99</f>
        <v>0</v>
      </c>
      <c r="G106" s="10" t="n">
        <f aca="false">$G$95*$B$100</f>
        <v>0</v>
      </c>
      <c r="H106" s="10" t="n">
        <f aca="false">$H$95*$B$101</f>
        <v>0</v>
      </c>
      <c r="J106" s="10" t="n">
        <f aca="false">SUM($B$106:$H$106)</f>
        <v>1</v>
      </c>
      <c r="K106" s="10" t="n">
        <f aca="false">IF(J106&gt;1,1,0)</f>
        <v>0</v>
      </c>
    </row>
    <row r="107" customFormat="false" ht="15" hidden="false" customHeight="false" outlineLevel="0" collapsed="false">
      <c r="A107" s="4" t="s">
        <v>28</v>
      </c>
      <c r="B107" s="10" t="n">
        <f aca="false">$B$96*$C$95</f>
        <v>0</v>
      </c>
      <c r="C107" s="10" t="n">
        <v>1</v>
      </c>
      <c r="D107" s="10" t="n">
        <f aca="false">$D$96*$C$97</f>
        <v>0</v>
      </c>
      <c r="E107" s="10" t="n">
        <f aca="false">$E$96*$C$98</f>
        <v>0</v>
      </c>
      <c r="F107" s="10" t="n">
        <f aca="false">$F$96*$C$99</f>
        <v>0</v>
      </c>
      <c r="G107" s="10" t="n">
        <f aca="false">$G$96*$C$100</f>
        <v>0</v>
      </c>
      <c r="H107" s="10" t="n">
        <f aca="false">$H$96*$C$101</f>
        <v>0</v>
      </c>
      <c r="J107" s="10" t="n">
        <f aca="false">SUM($B$107:$H$107)</f>
        <v>1</v>
      </c>
      <c r="K107" s="10" t="n">
        <f aca="false">IF(J107&gt;1,1,0)</f>
        <v>0</v>
      </c>
    </row>
    <row r="108" customFormat="false" ht="15" hidden="false" customHeight="false" outlineLevel="0" collapsed="false">
      <c r="A108" s="4" t="s">
        <v>32</v>
      </c>
      <c r="B108" s="10" t="n">
        <f aca="false">$B$97*$D$95</f>
        <v>0</v>
      </c>
      <c r="C108" s="10" t="n">
        <f aca="false">$C$97*$D$96</f>
        <v>0</v>
      </c>
      <c r="D108" s="10" t="n">
        <v>1</v>
      </c>
      <c r="E108" s="10" t="n">
        <f aca="false">$E$97*$D$98</f>
        <v>1</v>
      </c>
      <c r="F108" s="10" t="n">
        <f aca="false">$F$97*$D$99</f>
        <v>1</v>
      </c>
      <c r="G108" s="10" t="n">
        <f aca="false">$G$97*$D$100</f>
        <v>1</v>
      </c>
      <c r="H108" s="10" t="n">
        <f aca="false">$H$97*$D$101</f>
        <v>1</v>
      </c>
      <c r="J108" s="10" t="n">
        <f aca="false">SUM($B$108:$H$108)</f>
        <v>5</v>
      </c>
      <c r="K108" s="10" t="n">
        <f aca="false">IF(J108&gt;1,1,0)</f>
        <v>1</v>
      </c>
    </row>
    <row r="109" customFormat="false" ht="15" hidden="false" customHeight="false" outlineLevel="0" collapsed="false">
      <c r="A109" s="4" t="s">
        <v>37</v>
      </c>
      <c r="B109" s="10" t="n">
        <f aca="false">$B$98*$E$95</f>
        <v>0</v>
      </c>
      <c r="C109" s="10" t="n">
        <f aca="false">$C$98*$E$96</f>
        <v>0</v>
      </c>
      <c r="D109" s="10" t="n">
        <f aca="false">$D$98*$E$97</f>
        <v>1</v>
      </c>
      <c r="E109" s="10" t="n">
        <v>1</v>
      </c>
      <c r="F109" s="10" t="n">
        <f aca="false">$F$98*$E$99</f>
        <v>1</v>
      </c>
      <c r="G109" s="10" t="n">
        <f aca="false">$G$98*$E$100</f>
        <v>1</v>
      </c>
      <c r="H109" s="10" t="n">
        <f aca="false">$H$98*$E$101</f>
        <v>1</v>
      </c>
      <c r="J109" s="10" t="n">
        <f aca="false">SUM($B$109:$H$109)</f>
        <v>5</v>
      </c>
      <c r="K109" s="10" t="n">
        <f aca="false">IF(J109&gt;1,1,0)</f>
        <v>1</v>
      </c>
    </row>
    <row r="110" customFormat="false" ht="15" hidden="false" customHeight="false" outlineLevel="0" collapsed="false">
      <c r="A110" s="4" t="s">
        <v>40</v>
      </c>
      <c r="B110" s="10" t="n">
        <f aca="false">$B$99*$F$95</f>
        <v>0</v>
      </c>
      <c r="C110" s="10" t="n">
        <f aca="false">$C$99*$F$96</f>
        <v>0</v>
      </c>
      <c r="D110" s="10" t="n">
        <f aca="false">$D$99*$F$97</f>
        <v>1</v>
      </c>
      <c r="E110" s="10" t="n">
        <f aca="false">$E$99*$F$98</f>
        <v>1</v>
      </c>
      <c r="F110" s="10" t="n">
        <v>1</v>
      </c>
      <c r="G110" s="10" t="n">
        <f aca="false">$G$99*$F$100</f>
        <v>1</v>
      </c>
      <c r="H110" s="10" t="n">
        <f aca="false">$H$99*$F$101</f>
        <v>1</v>
      </c>
      <c r="J110" s="10" t="n">
        <f aca="false">SUM($B$110:$H$110)</f>
        <v>5</v>
      </c>
      <c r="K110" s="10" t="n">
        <f aca="false">IF(J110&gt;1,1,0)</f>
        <v>1</v>
      </c>
    </row>
    <row r="111" customFormat="false" ht="15" hidden="false" customHeight="false" outlineLevel="0" collapsed="false">
      <c r="A111" s="4" t="s">
        <v>42</v>
      </c>
      <c r="B111" s="10" t="n">
        <f aca="false">$B$100*$G$95</f>
        <v>0</v>
      </c>
      <c r="C111" s="10" t="n">
        <f aca="false">$C$100*$G$96</f>
        <v>0</v>
      </c>
      <c r="D111" s="10" t="n">
        <f aca="false">$D$100*$G$97</f>
        <v>1</v>
      </c>
      <c r="E111" s="10" t="n">
        <f aca="false">$E$100*$G$98</f>
        <v>1</v>
      </c>
      <c r="F111" s="10" t="n">
        <f aca="false">$F$100*$G$99</f>
        <v>1</v>
      </c>
      <c r="G111" s="10" t="n">
        <v>1</v>
      </c>
      <c r="H111" s="10" t="n">
        <f aca="false">$H$100*$G$101</f>
        <v>1</v>
      </c>
      <c r="J111" s="10" t="n">
        <f aca="false">SUM($B$111:$H$111)</f>
        <v>5</v>
      </c>
      <c r="K111" s="10" t="n">
        <f aca="false">IF(J111&gt;1,1,0)</f>
        <v>1</v>
      </c>
    </row>
    <row r="112" customFormat="false" ht="15" hidden="false" customHeight="false" outlineLevel="0" collapsed="false">
      <c r="A112" s="4" t="s">
        <v>46</v>
      </c>
      <c r="B112" s="10" t="n">
        <f aca="false">$B$101*$H$95</f>
        <v>0</v>
      </c>
      <c r="C112" s="10" t="n">
        <f aca="false">$C$101*$H$96</f>
        <v>0</v>
      </c>
      <c r="D112" s="10" t="n">
        <f aca="false">$D$101*$H$97</f>
        <v>1</v>
      </c>
      <c r="E112" s="10" t="n">
        <f aca="false">$E$101*$H$98</f>
        <v>1</v>
      </c>
      <c r="F112" s="10" t="n">
        <f aca="false">$F$101*$H$99</f>
        <v>1</v>
      </c>
      <c r="G112" s="10" t="n">
        <f aca="false">$G$101*$H$100</f>
        <v>1</v>
      </c>
      <c r="H112" s="10" t="n">
        <v>1</v>
      </c>
      <c r="J112" s="10" t="n">
        <f aca="false">SUM($B$112:$H$112)</f>
        <v>5</v>
      </c>
      <c r="K112" s="10" t="n">
        <f aca="false">IF(J112&gt;1,1,0)</f>
        <v>1</v>
      </c>
    </row>
    <row r="115" customFormat="false" ht="15" hidden="false" customHeight="false" outlineLevel="0" collapsed="false">
      <c r="A115" s="4" t="s">
        <v>208</v>
      </c>
    </row>
    <row r="116" customFormat="false" ht="15" hidden="false" customHeight="false" outlineLevel="0" collapsed="false">
      <c r="A116" s="8"/>
      <c r="B116" s="8" t="s">
        <v>23</v>
      </c>
      <c r="C116" s="8" t="s">
        <v>28</v>
      </c>
      <c r="D116" s="8" t="s">
        <v>32</v>
      </c>
      <c r="E116" s="8" t="s">
        <v>37</v>
      </c>
      <c r="F116" s="8" t="s">
        <v>40</v>
      </c>
      <c r="G116" s="8" t="s">
        <v>42</v>
      </c>
      <c r="H116" s="8" t="s">
        <v>46</v>
      </c>
    </row>
    <row r="117" customFormat="false" ht="15" hidden="false" customHeight="false" outlineLevel="0" collapsed="false">
      <c r="A117" s="4" t="s">
        <v>23</v>
      </c>
      <c r="B117" s="10" t="n">
        <f aca="false">$B$7*$B$106+$C$7*$B$107+$D$7*$B$108+$E$7*$B$109+$F$7*$B$110+$G$7*$B$111+$H$7*$B$112</f>
        <v>0</v>
      </c>
      <c r="C117" s="10" t="n">
        <f aca="false">$B$7*$C$106+$C$7*$C$107+$D$7*$C$108+$E$7*$C$109+$F$7*$C$110+$G$7*$C$111+$H$7*$C$112</f>
        <v>0</v>
      </c>
      <c r="D117" s="10" t="n">
        <f aca="false">$B$7*$D$106+$C$7*$D$107+$D$7*$D$108+$E$7*$D$109+$F$7*$D$110+$G$7*$D$111+$H$7*$D$112</f>
        <v>3</v>
      </c>
      <c r="E117" s="10" t="n">
        <f aca="false">$B$7*$E$106+$C$7*$E$107+$D$7*$E$108+$E$7*$E$109+$F$7*$E$110+$G$7*$E$111+$H$7*$E$112</f>
        <v>3</v>
      </c>
      <c r="F117" s="10" t="n">
        <f aca="false">$B$7*$F$106+$C$7*$F$107+$D$7*$F$108+$E$7*$F$109+$F$7*$F$110+$G$7*$F$111+$H$7*$F$112</f>
        <v>3</v>
      </c>
      <c r="G117" s="10" t="n">
        <f aca="false">$B$7*$G$106+$C$7*$G$107+$D$7*$G$108+$E$7*$G$109+$F$7*$G$110+$G$7*$G$111+$H$7*$G$112</f>
        <v>3</v>
      </c>
      <c r="H117" s="10" t="n">
        <f aca="false">$B$7*$H$106+$C$7*$H$107+$D$7*$H$108+$E$7*$H$109+$F$7*$H$110+$G$7*$H$111+$H$7*$H$112</f>
        <v>3</v>
      </c>
    </row>
    <row r="118" customFormat="false" ht="15" hidden="false" customHeight="false" outlineLevel="0" collapsed="false">
      <c r="A118" s="4" t="s">
        <v>28</v>
      </c>
      <c r="B118" s="10" t="n">
        <f aca="false">$B$8*$B$106+$C$8*$B$107+$D$8*$B$108+$E$8*$B$109+$F$8*$B$110+$G$8*$B$111+$H$8*$B$112</f>
        <v>0</v>
      </c>
      <c r="C118" s="10" t="n">
        <f aca="false">$B$8*$C$106+$C$8*$C$107+$D$8*$C$108+$E$8*$C$109+$F$8*$C$110+$G$8*$C$111+$H$8*$C$112</f>
        <v>0</v>
      </c>
      <c r="D118" s="10" t="n">
        <f aca="false">$B$8*$D$106+$C$8*$D$107+$D$8*$D$108+$E$8*$D$109+$F$8*$D$110+$G$8*$D$111+$H$8*$D$112</f>
        <v>2</v>
      </c>
      <c r="E118" s="10" t="n">
        <f aca="false">$B$8*$E$106+$C$8*$E$107+$D$8*$E$108+$E$8*$E$109+$F$8*$E$110+$G$8*$E$111+$H$8*$E$112</f>
        <v>2</v>
      </c>
      <c r="F118" s="10" t="n">
        <f aca="false">$B$8*$F$106+$C$8*$F$107+$D$8*$F$108+$E$8*$F$109+$F$8*$F$110+$G$8*$F$111+$H$8*$F$112</f>
        <v>2</v>
      </c>
      <c r="G118" s="10" t="n">
        <f aca="false">$B$8*$G$106+$C$8*$G$107+$D$8*$G$108+$E$8*$G$109+$F$8*$G$110+$G$8*$G$111+$H$8*$G$112</f>
        <v>2</v>
      </c>
      <c r="H118" s="10" t="n">
        <f aca="false">$B$8*$H$106+$C$8*$H$107+$D$8*$H$108+$E$8*$H$109+$F$8*$H$110+$G$8*$H$111+$H$8*$H$112</f>
        <v>2</v>
      </c>
    </row>
    <row r="119" customFormat="false" ht="15" hidden="false" customHeight="false" outlineLevel="0" collapsed="false">
      <c r="A119" s="4" t="s">
        <v>32</v>
      </c>
      <c r="B119" s="10" t="n">
        <f aca="false">$B$9*$B$106+$C$9*$B$107+$D$9*$B$108+$E$9*$B$109+$F$9*$B$110+$G$9*$B$111+$H$9*$B$112</f>
        <v>0</v>
      </c>
      <c r="C119" s="10" t="n">
        <f aca="false">$B$9*$C$106+$C$9*$C$107+$D$9*$C$108+$E$9*$C$109+$F$9*$C$110+$G$9*$C$111+$H$9*$C$112</f>
        <v>0</v>
      </c>
      <c r="D119" s="10" t="n">
        <f aca="false">$B$9*$D$106+$C$9*$D$107+$D$9*$D$108+$E$9*$D$109+$F$9*$D$110+$G$9*$D$111+$H$9*$D$112</f>
        <v>1</v>
      </c>
      <c r="E119" s="10" t="n">
        <f aca="false">$B$9*$E$106+$C$9*$E$107+$D$9*$E$108+$E$9*$E$109+$F$9*$E$110+$G$9*$E$111+$H$9*$E$112</f>
        <v>1</v>
      </c>
      <c r="F119" s="10" t="n">
        <f aca="false">$B$9*$F$106+$C$9*$F$107+$D$9*$F$108+$E$9*$F$109+$F$9*$F$110+$G$9*$F$111+$H$9*$F$112</f>
        <v>1</v>
      </c>
      <c r="G119" s="10" t="n">
        <f aca="false">$B$9*$G$106+$C$9*$G$107+$D$9*$G$108+$E$9*$G$109+$F$9*$G$110+$G$9*$G$111+$H$9*$G$112</f>
        <v>1</v>
      </c>
      <c r="H119" s="10" t="n">
        <f aca="false">$B$9*$H$106+$C$9*$H$107+$D$9*$H$108+$E$9*$H$109+$F$9*$H$110+$G$9*$H$111+$H$9*$H$112</f>
        <v>1</v>
      </c>
    </row>
    <row r="120" customFormat="false" ht="15" hidden="false" customHeight="false" outlineLevel="0" collapsed="false">
      <c r="A120" s="4" t="s">
        <v>37</v>
      </c>
      <c r="B120" s="10" t="n">
        <f aca="false">$B$10*$B$106+$C$10*$B$107+$D$10*$B$108+$E$10*$B$109+$F$10*$B$110+$G$10*$B$111+$H$10*$B$112</f>
        <v>0</v>
      </c>
      <c r="C120" s="10" t="n">
        <f aca="false">$B$10*$C$106+$C$10*$C$107+$D$10*$C$108+$E$10*$C$109+$F$10*$C$110+$G$10*$C$111+$H$10*$C$112</f>
        <v>0</v>
      </c>
      <c r="D120" s="10" t="n">
        <f aca="false">$B$10*$D$106+$C$10*$D$107+$D$10*$D$108+$E$10*$D$109+$F$10*$D$110+$G$10*$D$111+$H$10*$D$112</f>
        <v>2</v>
      </c>
      <c r="E120" s="10" t="n">
        <f aca="false">$B$10*$E$106+$C$10*$E$107+$D$10*$E$108+$E$10*$E$109+$F$10*$E$110+$G$10*$E$111+$H$10*$E$112</f>
        <v>2</v>
      </c>
      <c r="F120" s="10" t="n">
        <f aca="false">$B$10*$F$106+$C$10*$F$107+$D$10*$F$108+$E$10*$F$109+$F$10*$F$110+$G$10*$F$111+$H$10*$F$112</f>
        <v>2</v>
      </c>
      <c r="G120" s="10" t="n">
        <f aca="false">$B$10*$G$106+$C$10*$G$107+$D$10*$G$108+$E$10*$G$109+$F$10*$G$110+$G$10*$G$111+$H$10*$G$112</f>
        <v>2</v>
      </c>
      <c r="H120" s="10" t="n">
        <f aca="false">$B$10*$H$106+$C$10*$H$107+$D$10*$H$108+$E$10*$H$109+$F$10*$H$110+$G$10*$H$111+$H$10*$H$112</f>
        <v>2</v>
      </c>
    </row>
    <row r="121" customFormat="false" ht="15" hidden="false" customHeight="false" outlineLevel="0" collapsed="false">
      <c r="A121" s="4" t="s">
        <v>40</v>
      </c>
      <c r="B121" s="10" t="n">
        <f aca="false">$B$11*$B$106+$C$11*$B$107+$D$11*$B$108+$E$11*$B$109+$F$11*$B$110+$G$11*$B$111+$H$11*$B$112</f>
        <v>0</v>
      </c>
      <c r="C121" s="10" t="n">
        <f aca="false">$B$11*$C$106+$C$11*$C$107+$D$11*$C$108+$E$11*$C$109+$F$11*$C$110+$G$11*$C$111+$H$11*$C$112</f>
        <v>0</v>
      </c>
      <c r="D121" s="10" t="n">
        <f aca="false">$B$11*$D$106+$C$11*$D$107+$D$11*$D$108+$E$11*$D$109+$F$11*$D$110+$G$11*$D$111+$H$11*$D$112</f>
        <v>2</v>
      </c>
      <c r="E121" s="10" t="n">
        <f aca="false">$B$11*$E$106+$C$11*$E$107+$D$11*$E$108+$E$11*$E$109+$F$11*$E$110+$G$11*$E$111+$H$11*$E$112</f>
        <v>2</v>
      </c>
      <c r="F121" s="10" t="n">
        <f aca="false">$B$11*$F$106+$C$11*$F$107+$D$11*$F$108+$E$11*$F$109+$F$11*$F$110+$G$11*$F$111+$H$11*$F$112</f>
        <v>2</v>
      </c>
      <c r="G121" s="10" t="n">
        <f aca="false">$B$11*$G$106+$C$11*$G$107+$D$11*$G$108+$E$11*$G$109+$F$11*$G$110+$G$11*$G$111+$H$11*$G$112</f>
        <v>2</v>
      </c>
      <c r="H121" s="10" t="n">
        <f aca="false">$B$11*$H$106+$C$11*$H$107+$D$11*$H$108+$E$11*$H$109+$F$11*$H$110+$G$11*$H$111+$H$11*$H$112</f>
        <v>2</v>
      </c>
    </row>
    <row r="122" customFormat="false" ht="15" hidden="false" customHeight="false" outlineLevel="0" collapsed="false">
      <c r="A122" s="4" t="s">
        <v>42</v>
      </c>
      <c r="B122" s="10" t="n">
        <f aca="false">$B$12*$B$106+$C$12*$B$107+$D$12*$B$108+$E$12*$B$109+$F$12*$B$110+$G$12*$B$111+$H$12*$B$112</f>
        <v>0</v>
      </c>
      <c r="C122" s="10" t="n">
        <f aca="false">$B$12*$C$106+$C$12*$C$107+$D$12*$C$108+$E$12*$C$109+$F$12*$C$110+$G$12*$C$111+$H$12*$C$112</f>
        <v>0</v>
      </c>
      <c r="D122" s="10" t="n">
        <f aca="false">$B$12*$D$106+$C$12*$D$107+$D$12*$D$108+$E$12*$D$109+$F$12*$D$110+$G$12*$D$111+$H$12*$D$112</f>
        <v>2</v>
      </c>
      <c r="E122" s="10" t="n">
        <f aca="false">$B$12*$E$106+$C$12*$E$107+$D$12*$E$108+$E$12*$E$109+$F$12*$E$110+$G$12*$E$111+$H$12*$E$112</f>
        <v>2</v>
      </c>
      <c r="F122" s="10" t="n">
        <f aca="false">$B$12*$F$106+$C$12*$F$107+$D$12*$F$108+$E$12*$F$109+$F$12*$F$110+$G$12*$F$111+$H$12*$F$112</f>
        <v>2</v>
      </c>
      <c r="G122" s="10" t="n">
        <f aca="false">$B$12*$G$106+$C$12*$G$107+$D$12*$G$108+$E$12*$G$109+$F$12*$G$110+$G$12*$G$111+$H$12*$G$112</f>
        <v>2</v>
      </c>
      <c r="H122" s="10" t="n">
        <f aca="false">$B$12*$H$106+$C$12*$H$107+$D$12*$H$108+$E$12*$H$109+$F$12*$H$110+$G$12*$H$111+$H$12*$H$112</f>
        <v>2</v>
      </c>
    </row>
    <row r="123" customFormat="false" ht="15" hidden="false" customHeight="false" outlineLevel="0" collapsed="false">
      <c r="A123" s="4" t="s">
        <v>46</v>
      </c>
      <c r="B123" s="10" t="n">
        <f aca="false">$B$13*$B$106+$C$13*$B$107+$D$13*$B$108+$E$13*$B$109+$F$13*$B$110+$G$13*$B$111+$H$13*$B$112</f>
        <v>0</v>
      </c>
      <c r="C123" s="10" t="n">
        <f aca="false">$B$13*$C$106+$C$13*$C$107+$D$13*$C$108+$E$13*$C$109+$F$13*$C$110+$G$13*$C$111+$H$13*$C$112</f>
        <v>0</v>
      </c>
      <c r="D123" s="10" t="n">
        <f aca="false">$B$13*$D$106+$C$13*$D$107+$D$13*$D$108+$E$13*$D$109+$F$13*$D$110+$G$13*$D$111+$H$13*$D$112</f>
        <v>3</v>
      </c>
      <c r="E123" s="10" t="n">
        <f aca="false">$B$13*$E$106+$C$13*$E$107+$D$13*$E$108+$E$13*$E$109+$F$13*$E$110+$G$13*$E$111+$H$13*$E$112</f>
        <v>3</v>
      </c>
      <c r="F123" s="10" t="n">
        <f aca="false">$B$13*$F$106+$C$13*$F$107+$D$13*$F$108+$E$13*$F$109+$F$13*$F$110+$G$13*$F$111+$H$13*$F$112</f>
        <v>3</v>
      </c>
      <c r="G123" s="10" t="n">
        <f aca="false">$B$13*$G$106+$C$13*$G$107+$D$13*$G$108+$E$13*$G$109+$F$13*$G$110+$G$13*$G$111+$H$13*$G$112</f>
        <v>3</v>
      </c>
      <c r="H123" s="10" t="n">
        <f aca="false">$B$13*$H$106+$C$13*$H$107+$D$13*$H$108+$E$13*$H$109+$F$13*$H$110+$G$13*$H$111+$H$13*$H$112</f>
        <v>3</v>
      </c>
    </row>
    <row r="126" customFormat="false" ht="15" hidden="false" customHeight="false" outlineLevel="0" collapsed="false">
      <c r="A126" s="4" t="s">
        <v>209</v>
      </c>
    </row>
    <row r="127" customFormat="false" ht="15" hidden="false" customHeight="false" outlineLevel="0" collapsed="false">
      <c r="A127" s="8"/>
      <c r="B127" s="8" t="s">
        <v>23</v>
      </c>
      <c r="C127" s="8" t="s">
        <v>28</v>
      </c>
      <c r="D127" s="8" t="s">
        <v>32</v>
      </c>
      <c r="E127" s="8" t="s">
        <v>37</v>
      </c>
      <c r="F127" s="8" t="s">
        <v>40</v>
      </c>
      <c r="G127" s="8" t="s">
        <v>42</v>
      </c>
      <c r="H127" s="8" t="s">
        <v>46</v>
      </c>
    </row>
    <row r="128" customFormat="false" ht="15" hidden="false" customHeight="false" outlineLevel="0" collapsed="false">
      <c r="A128" s="4" t="s">
        <v>23</v>
      </c>
      <c r="B128" s="10" t="n">
        <f aca="false">(1-$B$106)*SIGN($B$117)</f>
        <v>0</v>
      </c>
      <c r="C128" s="10" t="n">
        <f aca="false">(1-$C$106)*SIGN($C$117)</f>
        <v>0</v>
      </c>
      <c r="D128" s="10" t="n">
        <f aca="false">(1-$D$106)*SIGN($D$117)</f>
        <v>1</v>
      </c>
      <c r="E128" s="10" t="n">
        <f aca="false">(1-$E$106)*SIGN($E$117)</f>
        <v>1</v>
      </c>
      <c r="F128" s="10" t="n">
        <f aca="false">(1-$F$106)*SIGN($F$117)</f>
        <v>1</v>
      </c>
      <c r="G128" s="10" t="n">
        <f aca="false">(1-$G$106)*SIGN($G$117)</f>
        <v>1</v>
      </c>
      <c r="H128" s="10" t="n">
        <f aca="false">(1-$H$106)*SIGN($H$117)</f>
        <v>1</v>
      </c>
    </row>
    <row r="129" customFormat="false" ht="15" hidden="false" customHeight="false" outlineLevel="0" collapsed="false">
      <c r="A129" s="4" t="s">
        <v>28</v>
      </c>
      <c r="B129" s="10" t="n">
        <f aca="false">(1-$B$107)*SIGN($B$118)</f>
        <v>0</v>
      </c>
      <c r="C129" s="10" t="n">
        <f aca="false">(1-$C$107)*SIGN($C$118)</f>
        <v>0</v>
      </c>
      <c r="D129" s="10" t="n">
        <f aca="false">(1-$D$107)*SIGN($D$118)</f>
        <v>1</v>
      </c>
      <c r="E129" s="10" t="n">
        <f aca="false">(1-$E$107)*SIGN($E$118)</f>
        <v>1</v>
      </c>
      <c r="F129" s="10" t="n">
        <f aca="false">(1-$F$107)*SIGN($F$118)</f>
        <v>1</v>
      </c>
      <c r="G129" s="10" t="n">
        <f aca="false">(1-$G$107)*SIGN($G$118)</f>
        <v>1</v>
      </c>
      <c r="H129" s="10" t="n">
        <f aca="false">(1-$H$107)*SIGN($H$118)</f>
        <v>1</v>
      </c>
    </row>
    <row r="130" customFormat="false" ht="15" hidden="false" customHeight="false" outlineLevel="0" collapsed="false">
      <c r="A130" s="4" t="s">
        <v>32</v>
      </c>
      <c r="B130" s="10" t="n">
        <f aca="false">(1-$B$108)*SIGN($B$119)</f>
        <v>0</v>
      </c>
      <c r="C130" s="10" t="n">
        <f aca="false">(1-$C$108)*SIGN($C$119)</f>
        <v>0</v>
      </c>
      <c r="D130" s="10" t="n">
        <f aca="false">(1-$D$108)*SIGN($D$119)</f>
        <v>0</v>
      </c>
      <c r="E130" s="10" t="n">
        <f aca="false">(1-$E$108)*SIGN($E$119)</f>
        <v>0</v>
      </c>
      <c r="F130" s="10" t="n">
        <f aca="false">(1-$F$108)*SIGN($F$119)</f>
        <v>0</v>
      </c>
      <c r="G130" s="10" t="n">
        <f aca="false">(1-$G$108)*SIGN($G$119)</f>
        <v>0</v>
      </c>
      <c r="H130" s="10" t="n">
        <f aca="false">(1-$H$108)*SIGN($H$119)</f>
        <v>0</v>
      </c>
    </row>
    <row r="131" customFormat="false" ht="15" hidden="false" customHeight="false" outlineLevel="0" collapsed="false">
      <c r="A131" s="4" t="s">
        <v>37</v>
      </c>
      <c r="B131" s="10" t="n">
        <f aca="false">(1-$B$109)*SIGN($B$120)</f>
        <v>0</v>
      </c>
      <c r="C131" s="10" t="n">
        <f aca="false">(1-$C$109)*SIGN($C$120)</f>
        <v>0</v>
      </c>
      <c r="D131" s="10" t="n">
        <f aca="false">(1-$D$109)*SIGN($D$120)</f>
        <v>0</v>
      </c>
      <c r="E131" s="10" t="n">
        <f aca="false">(1-$E$109)*SIGN($E$120)</f>
        <v>0</v>
      </c>
      <c r="F131" s="10" t="n">
        <f aca="false">(1-$F$109)*SIGN($F$120)</f>
        <v>0</v>
      </c>
      <c r="G131" s="10" t="n">
        <f aca="false">(1-$G$109)*SIGN($G$120)</f>
        <v>0</v>
      </c>
      <c r="H131" s="10" t="n">
        <f aca="false">(1-$H$109)*SIGN($H$120)</f>
        <v>0</v>
      </c>
    </row>
    <row r="132" customFormat="false" ht="15" hidden="false" customHeight="false" outlineLevel="0" collapsed="false">
      <c r="A132" s="4" t="s">
        <v>40</v>
      </c>
      <c r="B132" s="10" t="n">
        <f aca="false">(1-$B$110)*SIGN($B$121)</f>
        <v>0</v>
      </c>
      <c r="C132" s="10" t="n">
        <f aca="false">(1-$C$110)*SIGN($C$121)</f>
        <v>0</v>
      </c>
      <c r="D132" s="10" t="n">
        <f aca="false">(1-$D$110)*SIGN($D$121)</f>
        <v>0</v>
      </c>
      <c r="E132" s="10" t="n">
        <f aca="false">(1-$E$110)*SIGN($E$121)</f>
        <v>0</v>
      </c>
      <c r="F132" s="10" t="n">
        <f aca="false">(1-$F$110)*SIGN($F$121)</f>
        <v>0</v>
      </c>
      <c r="G132" s="10" t="n">
        <f aca="false">(1-$G$110)*SIGN($G$121)</f>
        <v>0</v>
      </c>
      <c r="H132" s="10" t="n">
        <f aca="false">(1-$H$110)*SIGN($H$121)</f>
        <v>0</v>
      </c>
    </row>
    <row r="133" customFormat="false" ht="15" hidden="false" customHeight="false" outlineLevel="0" collapsed="false">
      <c r="A133" s="4" t="s">
        <v>42</v>
      </c>
      <c r="B133" s="10" t="n">
        <f aca="false">(1-$B$111)*SIGN($B$122)</f>
        <v>0</v>
      </c>
      <c r="C133" s="10" t="n">
        <f aca="false">(1-$C$111)*SIGN($C$122)</f>
        <v>0</v>
      </c>
      <c r="D133" s="10" t="n">
        <f aca="false">(1-$D$111)*SIGN($D$122)</f>
        <v>0</v>
      </c>
      <c r="E133" s="10" t="n">
        <f aca="false">(1-$E$111)*SIGN($E$122)</f>
        <v>0</v>
      </c>
      <c r="F133" s="10" t="n">
        <f aca="false">(1-$F$111)*SIGN($F$122)</f>
        <v>0</v>
      </c>
      <c r="G133" s="10" t="n">
        <f aca="false">(1-$G$111)*SIGN($G$122)</f>
        <v>0</v>
      </c>
      <c r="H133" s="10" t="n">
        <f aca="false">(1-$H$111)*SIGN($H$122)</f>
        <v>0</v>
      </c>
    </row>
    <row r="134" customFormat="false" ht="15" hidden="false" customHeight="false" outlineLevel="0" collapsed="false">
      <c r="A134" s="4" t="s">
        <v>46</v>
      </c>
      <c r="B134" s="10" t="n">
        <f aca="false">(1-$B$112)*SIGN($B$123)</f>
        <v>0</v>
      </c>
      <c r="C134" s="10" t="n">
        <f aca="false">(1-$C$112)*SIGN($C$123)</f>
        <v>0</v>
      </c>
      <c r="D134" s="10" t="n">
        <f aca="false">(1-$D$112)*SIGN($D$123)</f>
        <v>0</v>
      </c>
      <c r="E134" s="10" t="n">
        <f aca="false">(1-$E$112)*SIGN($E$123)</f>
        <v>0</v>
      </c>
      <c r="F134" s="10" t="n">
        <f aca="false">(1-$F$112)*SIGN($F$123)</f>
        <v>0</v>
      </c>
      <c r="G134" s="10" t="n">
        <f aca="false">(1-$G$112)*SIGN($G$123)</f>
        <v>0</v>
      </c>
      <c r="H134" s="10" t="n">
        <f aca="false">(1-$H$112)*SIGN($H$123)</f>
        <v>0</v>
      </c>
    </row>
    <row r="137" customFormat="false" ht="15" hidden="false" customHeight="false" outlineLevel="0" collapsed="false">
      <c r="A137" s="4" t="s">
        <v>210</v>
      </c>
    </row>
    <row r="138" customFormat="false" ht="15" hidden="false" customHeight="false" outlineLevel="0" collapsed="false">
      <c r="A138" s="8" t="s">
        <v>211</v>
      </c>
      <c r="B138" s="8" t="s">
        <v>212</v>
      </c>
      <c r="C138" s="8" t="s">
        <v>213</v>
      </c>
      <c r="D138" s="8" t="s">
        <v>214</v>
      </c>
      <c r="E138" s="8" t="s">
        <v>215</v>
      </c>
      <c r="F138" s="8" t="s">
        <v>216</v>
      </c>
      <c r="G138" s="8" t="s">
        <v>217</v>
      </c>
      <c r="H138" s="8" t="s">
        <v>218</v>
      </c>
    </row>
    <row r="139" customFormat="false" ht="15" hidden="false" customHeight="false" outlineLevel="0" collapsed="false">
      <c r="A139" s="4" t="s">
        <v>23</v>
      </c>
      <c r="B139" s="10" t="n">
        <v>1</v>
      </c>
      <c r="C139" s="10" t="n">
        <f aca="false">MAX(1,$B$128*($B$139+1),$B$129*($B$140+1),$B$130*($B$141+1),$B$131*($B$142+1),$B$132*($B$143+1),$B$133*($B$144+1),$B$134*($B$145+1))</f>
        <v>1</v>
      </c>
      <c r="D139" s="10" t="n">
        <f aca="false">MAX(1,$B$128*($C$139+1),$B$129*($C$140+1),$B$130*($C$141+1),$B$131*($C$142+1),$B$132*($C$143+1),$B$133*($C$144+1),$B$134*($C$145+1))</f>
        <v>1</v>
      </c>
      <c r="E139" s="10" t="n">
        <f aca="false">MAX(1,$B$128*($D$139+1),$B$129*($D$140+1),$B$130*($D$141+1),$B$131*($D$142+1),$B$132*($D$143+1),$B$133*($D$144+1),$B$134*($D$145+1))</f>
        <v>1</v>
      </c>
      <c r="F139" s="10" t="n">
        <f aca="false">MAX(1,$B$128*($E$139+1),$B$129*($E$140+1),$B$130*($E$141+1),$B$131*($E$142+1),$B$132*($E$143+1),$B$133*($E$144+1),$B$134*($E$145+1))</f>
        <v>1</v>
      </c>
      <c r="G139" s="10" t="n">
        <f aca="false">MAX(1,$B$128*($F$139+1),$B$129*($F$140+1),$B$130*($F$141+1),$B$131*($F$142+1),$B$132*($F$143+1),$B$133*($F$144+1),$B$134*($F$145+1))</f>
        <v>1</v>
      </c>
      <c r="H139" s="10" t="n">
        <f aca="false">MAX(1,$B$128*($G$139+1),$B$129*($G$140+1),$B$130*($G$141+1),$B$131*($G$142+1),$B$132*($G$143+1),$B$133*($G$144+1),$B$134*($G$145+1))</f>
        <v>1</v>
      </c>
    </row>
    <row r="140" customFormat="false" ht="15" hidden="false" customHeight="false" outlineLevel="0" collapsed="false">
      <c r="A140" s="4" t="s">
        <v>28</v>
      </c>
      <c r="B140" s="10" t="n">
        <v>1</v>
      </c>
      <c r="C140" s="10" t="n">
        <f aca="false">MAX(1,$C$128*($B$139+1),$C$129*($B$140+1),$C$130*($B$141+1),$C$131*($B$142+1),$C$132*($B$143+1),$C$133*($B$144+1),$C$134*($B$145+1))</f>
        <v>1</v>
      </c>
      <c r="D140" s="10" t="n">
        <f aca="false">MAX(1,$C$128*($C$139+1),$C$129*($C$140+1),$C$130*($C$141+1),$C$131*($C$142+1),$C$132*($C$143+1),$C$133*($C$144+1),$C$134*($C$145+1))</f>
        <v>1</v>
      </c>
      <c r="E140" s="10" t="n">
        <f aca="false">MAX(1,$C$128*($D$139+1),$C$129*($D$140+1),$C$130*($D$141+1),$C$131*($D$142+1),$C$132*($D$143+1),$C$133*($D$144+1),$C$134*($D$145+1))</f>
        <v>1</v>
      </c>
      <c r="F140" s="10" t="n">
        <f aca="false">MAX(1,$C$128*($E$139+1),$C$129*($E$140+1),$C$130*($E$141+1),$C$131*($E$142+1),$C$132*($E$143+1),$C$133*($E$144+1),$C$134*($E$145+1))</f>
        <v>1</v>
      </c>
      <c r="G140" s="10" t="n">
        <f aca="false">MAX(1,$C$128*($F$139+1),$C$129*($F$140+1),$C$130*($F$141+1),$C$131*($F$142+1),$C$132*($F$143+1),$C$133*($F$144+1),$C$134*($F$145+1))</f>
        <v>1</v>
      </c>
      <c r="H140" s="10" t="n">
        <f aca="false">MAX(1,$C$128*($G$139+1),$C$129*($G$140+1),$C$130*($G$141+1),$C$131*($G$142+1),$C$132*($G$143+1),$C$133*($G$144+1),$C$134*($G$145+1))</f>
        <v>1</v>
      </c>
    </row>
    <row r="141" customFormat="false" ht="15" hidden="false" customHeight="false" outlineLevel="0" collapsed="false">
      <c r="A141" s="4" t="s">
        <v>32</v>
      </c>
      <c r="B141" s="10" t="n">
        <v>1</v>
      </c>
      <c r="C141" s="10" t="n">
        <f aca="false">MAX(1,$D$128*($B$139+1),$D$129*($B$140+1),$D$130*($B$141+1),$D$131*($B$142+1),$D$132*($B$143+1),$D$133*($B$144+1),$D$134*($B$145+1))</f>
        <v>2</v>
      </c>
      <c r="D141" s="10" t="n">
        <f aca="false">MAX(1,$D$128*($C$139+1),$D$129*($C$140+1),$D$130*($C$141+1),$D$131*($C$142+1),$D$132*($C$143+1),$D$133*($C$144+1),$D$134*($C$145+1))</f>
        <v>2</v>
      </c>
      <c r="E141" s="10" t="n">
        <f aca="false">MAX(1,$D$128*($D$139+1),$D$129*($D$140+1),$D$130*($D$141+1),$D$131*($D$142+1),$D$132*($D$143+1),$D$133*($D$144+1),$D$134*($D$145+1))</f>
        <v>2</v>
      </c>
      <c r="F141" s="10" t="n">
        <f aca="false">MAX(1,$D$128*($E$139+1),$D$129*($E$140+1),$D$130*($E$141+1),$D$131*($E$142+1),$D$132*($E$143+1),$D$133*($E$144+1),$D$134*($E$145+1))</f>
        <v>2</v>
      </c>
      <c r="G141" s="10" t="n">
        <f aca="false">MAX(1,$D$128*($F$139+1),$D$129*($F$140+1),$D$130*($F$141+1),$D$131*($F$142+1),$D$132*($F$143+1),$D$133*($F$144+1),$D$134*($F$145+1))</f>
        <v>2</v>
      </c>
      <c r="H141" s="10" t="n">
        <f aca="false">MAX(1,$D$128*($G$139+1),$D$129*($G$140+1),$D$130*($G$141+1),$D$131*($G$142+1),$D$132*($G$143+1),$D$133*($G$144+1),$D$134*($G$145+1))</f>
        <v>2</v>
      </c>
    </row>
    <row r="142" customFormat="false" ht="15" hidden="false" customHeight="false" outlineLevel="0" collapsed="false">
      <c r="A142" s="4" t="s">
        <v>37</v>
      </c>
      <c r="B142" s="10" t="n">
        <v>1</v>
      </c>
      <c r="C142" s="10" t="n">
        <f aca="false">MAX(1,$E$128*($B$139+1),$E$129*($B$140+1),$E$130*($B$141+1),$E$131*($B$142+1),$E$132*($B$143+1),$E$133*($B$144+1),$E$134*($B$145+1))</f>
        <v>2</v>
      </c>
      <c r="D142" s="10" t="n">
        <f aca="false">MAX(1,$E$128*($C$139+1),$E$129*($C$140+1),$E$130*($C$141+1),$E$131*($C$142+1),$E$132*($C$143+1),$E$133*($C$144+1),$E$134*($C$145+1))</f>
        <v>2</v>
      </c>
      <c r="E142" s="10" t="n">
        <f aca="false">MAX(1,$E$128*($D$139+1),$E$129*($D$140+1),$E$130*($D$141+1),$E$131*($D$142+1),$E$132*($D$143+1),$E$133*($D$144+1),$E$134*($D$145+1))</f>
        <v>2</v>
      </c>
      <c r="F142" s="10" t="n">
        <f aca="false">MAX(1,$E$128*($E$139+1),$E$129*($E$140+1),$E$130*($E$141+1),$E$131*($E$142+1),$E$132*($E$143+1),$E$133*($E$144+1),$E$134*($E$145+1))</f>
        <v>2</v>
      </c>
      <c r="G142" s="10" t="n">
        <f aca="false">MAX(1,$E$128*($F$139+1),$E$129*($F$140+1),$E$130*($F$141+1),$E$131*($F$142+1),$E$132*($F$143+1),$E$133*($F$144+1),$E$134*($F$145+1))</f>
        <v>2</v>
      </c>
      <c r="H142" s="10" t="n">
        <f aca="false">MAX(1,$E$128*($G$139+1),$E$129*($G$140+1),$E$130*($G$141+1),$E$131*($G$142+1),$E$132*($G$143+1),$E$133*($G$144+1),$E$134*($G$145+1))</f>
        <v>2</v>
      </c>
    </row>
    <row r="143" customFormat="false" ht="15" hidden="false" customHeight="false" outlineLevel="0" collapsed="false">
      <c r="A143" s="4" t="s">
        <v>40</v>
      </c>
      <c r="B143" s="10" t="n">
        <v>1</v>
      </c>
      <c r="C143" s="10" t="n">
        <f aca="false">MAX(1,$F$128*($B$139+1),$F$129*($B$140+1),$F$130*($B$141+1),$F$131*($B$142+1),$F$132*($B$143+1),$F$133*($B$144+1),$F$134*($B$145+1))</f>
        <v>2</v>
      </c>
      <c r="D143" s="10" t="n">
        <f aca="false">MAX(1,$F$128*($C$139+1),$F$129*($C$140+1),$F$130*($C$141+1),$F$131*($C$142+1),$F$132*($C$143+1),$F$133*($C$144+1),$F$134*($C$145+1))</f>
        <v>2</v>
      </c>
      <c r="E143" s="10" t="n">
        <f aca="false">MAX(1,$F$128*($D$139+1),$F$129*($D$140+1),$F$130*($D$141+1),$F$131*($D$142+1),$F$132*($D$143+1),$F$133*($D$144+1),$F$134*($D$145+1))</f>
        <v>2</v>
      </c>
      <c r="F143" s="10" t="n">
        <f aca="false">MAX(1,$F$128*($E$139+1),$F$129*($E$140+1),$F$130*($E$141+1),$F$131*($E$142+1),$F$132*($E$143+1),$F$133*($E$144+1),$F$134*($E$145+1))</f>
        <v>2</v>
      </c>
      <c r="G143" s="10" t="n">
        <f aca="false">MAX(1,$F$128*($F$139+1),$F$129*($F$140+1),$F$130*($F$141+1),$F$131*($F$142+1),$F$132*($F$143+1),$F$133*($F$144+1),$F$134*($F$145+1))</f>
        <v>2</v>
      </c>
      <c r="H143" s="10" t="n">
        <f aca="false">MAX(1,$F$128*($G$139+1),$F$129*($G$140+1),$F$130*($G$141+1),$F$131*($G$142+1),$F$132*($G$143+1),$F$133*($G$144+1),$F$134*($G$145+1))</f>
        <v>2</v>
      </c>
    </row>
    <row r="144" customFormat="false" ht="15" hidden="false" customHeight="false" outlineLevel="0" collapsed="false">
      <c r="A144" s="4" t="s">
        <v>42</v>
      </c>
      <c r="B144" s="10" t="n">
        <v>1</v>
      </c>
      <c r="C144" s="10" t="n">
        <f aca="false">MAX(1,$G$128*($B$139+1),$G$129*($B$140+1),$G$130*($B$141+1),$G$131*($B$142+1),$G$132*($B$143+1),$G$133*($B$144+1),$G$134*($B$145+1))</f>
        <v>2</v>
      </c>
      <c r="D144" s="10" t="n">
        <f aca="false">MAX(1,$G$128*($C$139+1),$G$129*($C$140+1),$G$130*($C$141+1),$G$131*($C$142+1),$G$132*($C$143+1),$G$133*($C$144+1),$G$134*($C$145+1))</f>
        <v>2</v>
      </c>
      <c r="E144" s="10" t="n">
        <f aca="false">MAX(1,$G$128*($D$139+1),$G$129*($D$140+1),$G$130*($D$141+1),$G$131*($D$142+1),$G$132*($D$143+1),$G$133*($D$144+1),$G$134*($D$145+1))</f>
        <v>2</v>
      </c>
      <c r="F144" s="10" t="n">
        <f aca="false">MAX(1,$G$128*($E$139+1),$G$129*($E$140+1),$G$130*($E$141+1),$G$131*($E$142+1),$G$132*($E$143+1),$G$133*($E$144+1),$G$134*($E$145+1))</f>
        <v>2</v>
      </c>
      <c r="G144" s="10" t="n">
        <f aca="false">MAX(1,$G$128*($F$139+1),$G$129*($F$140+1),$G$130*($F$141+1),$G$131*($F$142+1),$G$132*($F$143+1),$G$133*($F$144+1),$G$134*($F$145+1))</f>
        <v>2</v>
      </c>
      <c r="H144" s="10" t="n">
        <f aca="false">MAX(1,$G$128*($G$139+1),$G$129*($G$140+1),$G$130*($G$141+1),$G$131*($G$142+1),$G$132*($G$143+1),$G$133*($G$144+1),$G$134*($G$145+1))</f>
        <v>2</v>
      </c>
    </row>
    <row r="145" customFormat="false" ht="15" hidden="false" customHeight="false" outlineLevel="0" collapsed="false">
      <c r="A145" s="4" t="s">
        <v>46</v>
      </c>
      <c r="B145" s="10" t="n">
        <v>1</v>
      </c>
      <c r="C145" s="10" t="n">
        <f aca="false">MAX(1,$H$128*($B$139+1),$H$129*($B$140+1),$H$130*($B$141+1),$H$131*($B$142+1),$H$132*($B$143+1),$H$133*($B$144+1),$H$134*($B$145+1))</f>
        <v>2</v>
      </c>
      <c r="D145" s="10" t="n">
        <f aca="false">MAX(1,$H$128*($C$139+1),$H$129*($C$140+1),$H$130*($C$141+1),$H$131*($C$142+1),$H$132*($C$143+1),$H$133*($C$144+1),$H$134*($C$145+1))</f>
        <v>2</v>
      </c>
      <c r="E145" s="10" t="n">
        <f aca="false">MAX(1,$H$128*($D$139+1),$H$129*($D$140+1),$H$130*($D$141+1),$H$131*($D$142+1),$H$132*($D$143+1),$H$133*($D$144+1),$H$134*($D$145+1))</f>
        <v>2</v>
      </c>
      <c r="F145" s="10" t="n">
        <f aca="false">MAX(1,$H$128*($E$139+1),$H$129*($E$140+1),$H$130*($E$141+1),$H$131*($E$142+1),$H$132*($E$143+1),$H$133*($E$144+1),$H$134*($E$145+1))</f>
        <v>2</v>
      </c>
      <c r="G145" s="10" t="n">
        <f aca="false">MAX(1,$H$128*($F$139+1),$H$129*($F$140+1),$H$130*($F$141+1),$H$131*($F$142+1),$H$132*($F$143+1),$H$133*($F$144+1),$H$134*($F$145+1))</f>
        <v>2</v>
      </c>
      <c r="H145" s="10" t="n">
        <f aca="false">MAX(1,$H$128*($G$139+1),$H$129*($G$140+1),$H$130*($G$141+1),$H$131*($G$142+1),$H$132*($G$143+1),$H$133*($G$144+1),$H$134*($G$145+1))</f>
        <v>2</v>
      </c>
    </row>
    <row r="147" customFormat="false" ht="15" hidden="false" customHeight="false" outlineLevel="0" collapsed="false">
      <c r="A147" s="4" t="s">
        <v>219</v>
      </c>
    </row>
    <row r="148" customFormat="false" ht="15" hidden="false" customHeight="false" outlineLevel="0" collapsed="false">
      <c r="A148" s="8"/>
      <c r="B148" s="8" t="s">
        <v>23</v>
      </c>
      <c r="C148" s="8" t="s">
        <v>28</v>
      </c>
      <c r="D148" s="8" t="s">
        <v>32</v>
      </c>
      <c r="E148" s="8" t="s">
        <v>37</v>
      </c>
      <c r="F148" s="8" t="s">
        <v>40</v>
      </c>
      <c r="G148" s="8" t="s">
        <v>42</v>
      </c>
      <c r="H148" s="8" t="s">
        <v>46</v>
      </c>
    </row>
    <row r="149" customFormat="false" ht="15" hidden="false" customHeight="false" outlineLevel="0" collapsed="false">
      <c r="A149" s="4" t="s">
        <v>23</v>
      </c>
      <c r="B149" s="10" t="str">
        <f aca="false">IF($B$7&gt;0,1,IF($B$18&gt;0,2,IF($B$29&gt;0,3,IF($B$40&gt;0,4,IF($B$51&gt;0,5,IF($B$62&gt;0,6,IF($B$73&gt;0,7,"none")))))))</f>
        <v>none</v>
      </c>
      <c r="C149" s="10" t="str">
        <f aca="false">IF($C$7&gt;0,1,IF($C$18&gt;0,2,IF($C$29&gt;0,3,IF($C$40&gt;0,4,IF($C$51&gt;0,5,IF($C$62&gt;0,6,IF($C$73&gt;0,7,"none")))))))</f>
        <v>none</v>
      </c>
      <c r="D149" s="10" t="n">
        <f aca="false">IF($D$7&gt;0,1,IF($D$18&gt;0,2,IF($D$29&gt;0,3,IF($D$40&gt;0,4,IF($D$51&gt;0,5,IF($D$62&gt;0,6,IF($D$73&gt;0,7,"none")))))))</f>
        <v>1</v>
      </c>
      <c r="E149" s="10" t="n">
        <f aca="false">IF($E$7&gt;0,1,IF($E$18&gt;0,2,IF($E$29&gt;0,3,IF($E$40&gt;0,4,IF($E$51&gt;0,5,IF($E$62&gt;0,6,IF($E$73&gt;0,7,"none")))))))</f>
        <v>1</v>
      </c>
      <c r="F149" s="10" t="n">
        <f aca="false">IF($F$7&gt;0,1,IF($F$18&gt;0,2,IF($F$29&gt;0,3,IF($F$40&gt;0,4,IF($F$51&gt;0,5,IF($F$62&gt;0,6,IF($F$73&gt;0,7,"none")))))))</f>
        <v>1</v>
      </c>
      <c r="G149" s="10" t="n">
        <f aca="false">IF($G$7&gt;0,1,IF($G$18&gt;0,2,IF($G$29&gt;0,3,IF($G$40&gt;0,4,IF($G$51&gt;0,5,IF($G$62&gt;0,6,IF($G$73&gt;0,7,"none")))))))</f>
        <v>2</v>
      </c>
      <c r="H149" s="10" t="n">
        <f aca="false">IF($H$7&gt;0,1,IF($H$18&gt;0,2,IF($H$29&gt;0,3,IF($H$40&gt;0,4,IF($H$51&gt;0,5,IF($H$62&gt;0,6,IF($H$73&gt;0,7,"none")))))))</f>
        <v>2</v>
      </c>
    </row>
    <row r="150" customFormat="false" ht="15" hidden="false" customHeight="false" outlineLevel="0" collapsed="false">
      <c r="A150" s="4" t="s">
        <v>28</v>
      </c>
      <c r="B150" s="10" t="str">
        <f aca="false">IF($B$8&gt;0,1,IF($B$19&gt;0,2,IF($B$30&gt;0,3,IF($B$41&gt;0,4,IF($B$52&gt;0,5,IF($B$63&gt;0,6,IF($B$74&gt;0,7,"none")))))))</f>
        <v>none</v>
      </c>
      <c r="C150" s="10" t="str">
        <f aca="false">IF($C$8&gt;0,1,IF($C$19&gt;0,2,IF($C$30&gt;0,3,IF($C$41&gt;0,4,IF($C$52&gt;0,5,IF($C$63&gt;0,6,IF($C$74&gt;0,7,"none")))))))</f>
        <v>none</v>
      </c>
      <c r="D150" s="10" t="n">
        <f aca="false">IF($D$8&gt;0,1,IF($D$19&gt;0,2,IF($D$30&gt;0,3,IF($D$41&gt;0,4,IF($D$52&gt;0,5,IF($D$63&gt;0,6,IF($D$74&gt;0,7,"none")))))))</f>
        <v>2</v>
      </c>
      <c r="E150" s="10" t="n">
        <f aca="false">IF($E$8&gt;0,1,IF($E$19&gt;0,2,IF($E$30&gt;0,3,IF($E$41&gt;0,4,IF($E$52&gt;0,5,IF($E$63&gt;0,6,IF($E$74&gt;0,7,"none")))))))</f>
        <v>2</v>
      </c>
      <c r="F150" s="10" t="n">
        <f aca="false">IF($F$8&gt;0,1,IF($F$19&gt;0,2,IF($F$30&gt;0,3,IF($F$41&gt;0,4,IF($F$52&gt;0,5,IF($F$63&gt;0,6,IF($F$74&gt;0,7,"none")))))))</f>
        <v>1</v>
      </c>
      <c r="G150" s="10" t="n">
        <f aca="false">IF($G$8&gt;0,1,IF($G$19&gt;0,2,IF($G$30&gt;0,3,IF($G$41&gt;0,4,IF($G$52&gt;0,5,IF($G$63&gt;0,6,IF($G$74&gt;0,7,"none")))))))</f>
        <v>2</v>
      </c>
      <c r="H150" s="10" t="n">
        <f aca="false">IF($H$8&gt;0,1,IF($H$19&gt;0,2,IF($H$30&gt;0,3,IF($H$41&gt;0,4,IF($H$52&gt;0,5,IF($H$63&gt;0,6,IF($H$74&gt;0,7,"none")))))))</f>
        <v>1</v>
      </c>
    </row>
    <row r="151" customFormat="false" ht="15" hidden="false" customHeight="false" outlineLevel="0" collapsed="false">
      <c r="A151" s="4" t="s">
        <v>32</v>
      </c>
      <c r="B151" s="10" t="str">
        <f aca="false">IF($B$9&gt;0,1,IF($B$20&gt;0,2,IF($B$31&gt;0,3,IF($B$42&gt;0,4,IF($B$53&gt;0,5,IF($B$64&gt;0,6,IF($B$75&gt;0,7,"none")))))))</f>
        <v>none</v>
      </c>
      <c r="C151" s="10" t="str">
        <f aca="false">IF($C$9&gt;0,1,IF($C$20&gt;0,2,IF($C$31&gt;0,3,IF($C$42&gt;0,4,IF($C$53&gt;0,5,IF($C$64&gt;0,6,IF($C$75&gt;0,7,"none")))))))</f>
        <v>none</v>
      </c>
      <c r="D151" s="10" t="n">
        <f aca="false">IF($D$9&gt;0,1,IF($D$20&gt;0,2,IF($D$31&gt;0,3,IF($D$42&gt;0,4,IF($D$53&gt;0,5,IF($D$64&gt;0,6,IF($D$75&gt;0,7,"none")))))))</f>
        <v>2</v>
      </c>
      <c r="E151" s="10" t="n">
        <f aca="false">IF($E$9&gt;0,1,IF($E$20&gt;0,2,IF($E$31&gt;0,3,IF($E$42&gt;0,4,IF($E$53&gt;0,5,IF($E$64&gt;0,6,IF($E$75&gt;0,7,"none")))))))</f>
        <v>2</v>
      </c>
      <c r="F151" s="10" t="n">
        <f aca="false">IF($F$9&gt;0,1,IF($F$20&gt;0,2,IF($F$31&gt;0,3,IF($F$42&gt;0,4,IF($F$53&gt;0,5,IF($F$64&gt;0,6,IF($F$75&gt;0,7,"none")))))))</f>
        <v>2</v>
      </c>
      <c r="G151" s="10" t="n">
        <f aca="false">IF($G$9&gt;0,1,IF($G$20&gt;0,2,IF($G$31&gt;0,3,IF($G$42&gt;0,4,IF($G$53&gt;0,5,IF($G$64&gt;0,6,IF($G$75&gt;0,7,"none")))))))</f>
        <v>3</v>
      </c>
      <c r="H151" s="10" t="n">
        <f aca="false">IF($H$9&gt;0,1,IF($H$20&gt;0,2,IF($H$31&gt;0,3,IF($H$42&gt;0,4,IF($H$53&gt;0,5,IF($H$64&gt;0,6,IF($H$75&gt;0,7,"none")))))))</f>
        <v>1</v>
      </c>
    </row>
    <row r="152" customFormat="false" ht="15" hidden="false" customHeight="false" outlineLevel="0" collapsed="false">
      <c r="A152" s="4" t="s">
        <v>37</v>
      </c>
      <c r="B152" s="10" t="str">
        <f aca="false">IF($B$10&gt;0,1,IF($B$21&gt;0,2,IF($B$32&gt;0,3,IF($B$43&gt;0,4,IF($B$54&gt;0,5,IF($B$65&gt;0,6,IF($B$76&gt;0,7,"none")))))))</f>
        <v>none</v>
      </c>
      <c r="C152" s="10" t="str">
        <f aca="false">IF($C$10&gt;0,1,IF($C$21&gt;0,2,IF($C$32&gt;0,3,IF($C$43&gt;0,4,IF($C$54&gt;0,5,IF($C$65&gt;0,6,IF($C$76&gt;0,7,"none")))))))</f>
        <v>none</v>
      </c>
      <c r="D152" s="10" t="n">
        <f aca="false">IF($D$10&gt;0,1,IF($D$21&gt;0,2,IF($D$32&gt;0,3,IF($D$43&gt;0,4,IF($D$54&gt;0,5,IF($D$65&gt;0,6,IF($D$76&gt;0,7,"none")))))))</f>
        <v>2</v>
      </c>
      <c r="E152" s="10" t="n">
        <f aca="false">IF($E$10&gt;0,1,IF($E$21&gt;0,2,IF($E$32&gt;0,3,IF($E$43&gt;0,4,IF($E$54&gt;0,5,IF($E$65&gt;0,6,IF($E$76&gt;0,7,"none")))))))</f>
        <v>2</v>
      </c>
      <c r="F152" s="10" t="n">
        <f aca="false">IF($F$10&gt;0,1,IF($F$21&gt;0,2,IF($F$32&gt;0,3,IF($F$43&gt;0,4,IF($F$54&gt;0,5,IF($F$65&gt;0,6,IF($F$76&gt;0,7,"none")))))))</f>
        <v>2</v>
      </c>
      <c r="G152" s="10" t="n">
        <f aca="false">IF($G$10&gt;0,1,IF($G$21&gt;0,2,IF($G$32&gt;0,3,IF($G$43&gt;0,4,IF($G$54&gt;0,5,IF($G$65&gt;0,6,IF($G$76&gt;0,7,"none")))))))</f>
        <v>1</v>
      </c>
      <c r="H152" s="10" t="n">
        <f aca="false">IF($H$10&gt;0,1,IF($H$21&gt;0,2,IF($H$32&gt;0,3,IF($H$43&gt;0,4,IF($H$54&gt;0,5,IF($H$65&gt;0,6,IF($H$76&gt;0,7,"none")))))))</f>
        <v>1</v>
      </c>
    </row>
    <row r="153" customFormat="false" ht="15" hidden="false" customHeight="false" outlineLevel="0" collapsed="false">
      <c r="A153" s="4" t="s">
        <v>40</v>
      </c>
      <c r="B153" s="10" t="str">
        <f aca="false">IF($B$11&gt;0,1,IF($B$22&gt;0,2,IF($B$33&gt;0,3,IF($B$44&gt;0,4,IF($B$55&gt;0,5,IF($B$66&gt;0,6,IF($B$77&gt;0,7,"none")))))))</f>
        <v>none</v>
      </c>
      <c r="C153" s="10" t="str">
        <f aca="false">IF($C$11&gt;0,1,IF($C$22&gt;0,2,IF($C$33&gt;0,3,IF($C$44&gt;0,4,IF($C$55&gt;0,5,IF($C$66&gt;0,6,IF($C$77&gt;0,7,"none")))))))</f>
        <v>none</v>
      </c>
      <c r="D153" s="10" t="n">
        <f aca="false">IF($D$11&gt;0,1,IF($D$22&gt;0,2,IF($D$33&gt;0,3,IF($D$44&gt;0,4,IF($D$55&gt;0,5,IF($D$66&gt;0,6,IF($D$77&gt;0,7,"none")))))))</f>
        <v>2</v>
      </c>
      <c r="E153" s="10" t="n">
        <f aca="false">IF($E$11&gt;0,1,IF($E$22&gt;0,2,IF($E$33&gt;0,3,IF($E$44&gt;0,4,IF($E$55&gt;0,5,IF($E$66&gt;0,6,IF($E$77&gt;0,7,"none")))))))</f>
        <v>2</v>
      </c>
      <c r="F153" s="10" t="n">
        <f aca="false">IF($F$11&gt;0,1,IF($F$22&gt;0,2,IF($F$33&gt;0,3,IF($F$44&gt;0,4,IF($F$55&gt;0,5,IF($F$66&gt;0,6,IF($F$77&gt;0,7,"none")))))))</f>
        <v>2</v>
      </c>
      <c r="G153" s="10" t="n">
        <f aca="false">IF($G$11&gt;0,1,IF($G$22&gt;0,2,IF($G$33&gt;0,3,IF($G$44&gt;0,4,IF($G$55&gt;0,5,IF($G$66&gt;0,6,IF($G$77&gt;0,7,"none")))))))</f>
        <v>1</v>
      </c>
      <c r="H153" s="10" t="n">
        <f aca="false">IF($H$11&gt;0,1,IF($H$22&gt;0,2,IF($H$33&gt;0,3,IF($H$44&gt;0,4,IF($H$55&gt;0,5,IF($H$66&gt;0,6,IF($H$77&gt;0,7,"none")))))))</f>
        <v>1</v>
      </c>
    </row>
    <row r="154" customFormat="false" ht="15" hidden="false" customHeight="false" outlineLevel="0" collapsed="false">
      <c r="A154" s="4" t="s">
        <v>42</v>
      </c>
      <c r="B154" s="10" t="str">
        <f aca="false">IF($B$12&gt;0,1,IF($B$23&gt;0,2,IF($B$34&gt;0,3,IF($B$45&gt;0,4,IF($B$56&gt;0,5,IF($B$67&gt;0,6,IF($B$78&gt;0,7,"none")))))))</f>
        <v>none</v>
      </c>
      <c r="C154" s="10" t="str">
        <f aca="false">IF($C$12&gt;0,1,IF($C$23&gt;0,2,IF($C$34&gt;0,3,IF($C$45&gt;0,4,IF($C$56&gt;0,5,IF($C$67&gt;0,6,IF($C$78&gt;0,7,"none")))))))</f>
        <v>none</v>
      </c>
      <c r="D154" s="10" t="n">
        <f aca="false">IF($D$12&gt;0,1,IF($D$23&gt;0,2,IF($D$34&gt;0,3,IF($D$45&gt;0,4,IF($D$56&gt;0,5,IF($D$67&gt;0,6,IF($D$78&gt;0,7,"none")))))))</f>
        <v>3</v>
      </c>
      <c r="E154" s="10" t="n">
        <f aca="false">IF($E$12&gt;0,1,IF($E$23&gt;0,2,IF($E$34&gt;0,3,IF($E$45&gt;0,4,IF($E$56&gt;0,5,IF($E$67&gt;0,6,IF($E$78&gt;0,7,"none")))))))</f>
        <v>1</v>
      </c>
      <c r="F154" s="10" t="n">
        <f aca="false">IF($F$12&gt;0,1,IF($F$23&gt;0,2,IF($F$34&gt;0,3,IF($F$45&gt;0,4,IF($F$56&gt;0,5,IF($F$67&gt;0,6,IF($F$78&gt;0,7,"none")))))))</f>
        <v>1</v>
      </c>
      <c r="G154" s="10" t="n">
        <f aca="false">IF($G$12&gt;0,1,IF($G$23&gt;0,2,IF($G$34&gt;0,3,IF($G$45&gt;0,4,IF($G$56&gt;0,5,IF($G$67&gt;0,6,IF($G$78&gt;0,7,"none")))))))</f>
        <v>2</v>
      </c>
      <c r="H154" s="10" t="n">
        <f aca="false">IF($H$12&gt;0,1,IF($H$23&gt;0,2,IF($H$34&gt;0,3,IF($H$45&gt;0,4,IF($H$56&gt;0,5,IF($H$67&gt;0,6,IF($H$78&gt;0,7,"none")))))))</f>
        <v>2</v>
      </c>
    </row>
    <row r="155" customFormat="false" ht="15" hidden="false" customHeight="false" outlineLevel="0" collapsed="false">
      <c r="A155" s="4" t="s">
        <v>46</v>
      </c>
      <c r="B155" s="10" t="str">
        <f aca="false">IF($B$13&gt;0,1,IF($B$24&gt;0,2,IF($B$35&gt;0,3,IF($B$46&gt;0,4,IF($B$57&gt;0,5,IF($B$68&gt;0,6,IF($B$79&gt;0,7,"none")))))))</f>
        <v>none</v>
      </c>
      <c r="C155" s="10" t="str">
        <f aca="false">IF($C$13&gt;0,1,IF($C$24&gt;0,2,IF($C$35&gt;0,3,IF($C$46&gt;0,4,IF($C$57&gt;0,5,IF($C$68&gt;0,6,IF($C$79&gt;0,7,"none")))))))</f>
        <v>none</v>
      </c>
      <c r="D155" s="10" t="n">
        <f aca="false">IF($D$13&gt;0,1,IF($D$24&gt;0,2,IF($D$35&gt;0,3,IF($D$46&gt;0,4,IF($D$57&gt;0,5,IF($D$68&gt;0,6,IF($D$79&gt;0,7,"none")))))))</f>
        <v>1</v>
      </c>
      <c r="E155" s="10" t="n">
        <f aca="false">IF($E$13&gt;0,1,IF($E$24&gt;0,2,IF($E$35&gt;0,3,IF($E$46&gt;0,4,IF($E$57&gt;0,5,IF($E$68&gt;0,6,IF($E$79&gt;0,7,"none")))))))</f>
        <v>1</v>
      </c>
      <c r="F155" s="10" t="n">
        <f aca="false">IF($F$13&gt;0,1,IF($F$24&gt;0,2,IF($F$35&gt;0,3,IF($F$46&gt;0,4,IF($F$57&gt;0,5,IF($F$68&gt;0,6,IF($F$79&gt;0,7,"none")))))))</f>
        <v>1</v>
      </c>
      <c r="G155" s="10" t="n">
        <f aca="false">IF($G$13&gt;0,1,IF($G$24&gt;0,2,IF($G$35&gt;0,3,IF($G$46&gt;0,4,IF($G$57&gt;0,5,IF($G$68&gt;0,6,IF($G$79&gt;0,7,"none")))))))</f>
        <v>2</v>
      </c>
      <c r="H155" s="10" t="n">
        <f aca="false">IF($H$13&gt;0,1,IF($H$24&gt;0,2,IF($H$35&gt;0,3,IF($H$46&gt;0,4,IF($H$57&gt;0,5,IF($H$68&gt;0,6,IF($H$79&gt;0,7,"none")))))))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851</v>
      </c>
      <c r="B1" s="8" t="s">
        <v>852</v>
      </c>
      <c r="C1" s="8" t="s">
        <v>853</v>
      </c>
    </row>
    <row r="2" customFormat="false" ht="15" hidden="false" customHeight="false" outlineLevel="0" collapsed="false">
      <c r="A2" s="2" t="s">
        <v>854</v>
      </c>
      <c r="B2" s="21" t="n">
        <v>7</v>
      </c>
      <c r="C2" s="2" t="s">
        <v>102</v>
      </c>
    </row>
    <row r="3" customFormat="false" ht="15" hidden="false" customHeight="false" outlineLevel="0" collapsed="false">
      <c r="A3" s="2" t="s">
        <v>855</v>
      </c>
      <c r="B3" s="21" t="n">
        <v>14</v>
      </c>
      <c r="C3" s="2" t="s">
        <v>104</v>
      </c>
    </row>
    <row r="4" customFormat="false" ht="15" hidden="false" customHeight="false" outlineLevel="0" collapsed="false">
      <c r="A4" s="2" t="s">
        <v>130</v>
      </c>
      <c r="B4" s="21" t="n">
        <v>3</v>
      </c>
      <c r="C4" s="2" t="s">
        <v>856</v>
      </c>
    </row>
    <row r="5" customFormat="false" ht="15" hidden="false" customHeight="false" outlineLevel="0" collapsed="false">
      <c r="A5" s="2" t="s">
        <v>132</v>
      </c>
      <c r="B5" s="21" t="n">
        <v>3</v>
      </c>
      <c r="C5" s="2" t="s">
        <v>857</v>
      </c>
    </row>
    <row r="6" customFormat="false" ht="15" hidden="false" customHeight="false" outlineLevel="0" collapsed="false">
      <c r="A6" s="2" t="s">
        <v>134</v>
      </c>
      <c r="B6" s="21" t="n">
        <v>2</v>
      </c>
      <c r="C6" s="2" t="s">
        <v>858</v>
      </c>
    </row>
    <row r="7" customFormat="false" ht="15" hidden="false" customHeight="false" outlineLevel="0" collapsed="false">
      <c r="A7" s="2" t="s">
        <v>136</v>
      </c>
      <c r="B7" s="21" t="n">
        <v>4</v>
      </c>
      <c r="C7" s="2" t="s">
        <v>859</v>
      </c>
    </row>
    <row r="8" customFormat="false" ht="15" hidden="false" customHeight="false" outlineLevel="0" collapsed="false">
      <c r="A8" s="2" t="s">
        <v>138</v>
      </c>
      <c r="B8" s="21" t="n">
        <v>2</v>
      </c>
      <c r="C8" s="2" t="s">
        <v>860</v>
      </c>
    </row>
    <row r="9" customFormat="false" ht="15" hidden="false" customHeight="false" outlineLevel="0" collapsed="false">
      <c r="A9" s="2" t="s">
        <v>126</v>
      </c>
      <c r="B9" s="21" t="n">
        <v>0</v>
      </c>
      <c r="C9" s="2" t="s">
        <v>861</v>
      </c>
    </row>
    <row r="10" customFormat="false" ht="15" hidden="false" customHeight="false" outlineLevel="0" collapsed="false">
      <c r="A10" s="2" t="s">
        <v>123</v>
      </c>
      <c r="B10" s="21" t="n">
        <v>0</v>
      </c>
      <c r="C10" s="2" t="s">
        <v>862</v>
      </c>
    </row>
    <row r="11" customFormat="false" ht="15" hidden="false" customHeight="false" outlineLevel="0" collapsed="false">
      <c r="A11" s="2" t="s">
        <v>863</v>
      </c>
      <c r="B11" s="21" t="n">
        <v>42</v>
      </c>
      <c r="C11" s="2" t="s">
        <v>864</v>
      </c>
    </row>
    <row r="12" customFormat="false" ht="15" hidden="false" customHeight="false" outlineLevel="0" collapsed="false">
      <c r="A12" s="2" t="s">
        <v>797</v>
      </c>
      <c r="B12" s="21" t="n">
        <v>0.333333333333333</v>
      </c>
      <c r="C12" s="2" t="s">
        <v>865</v>
      </c>
    </row>
    <row r="13" customFormat="false" ht="15" hidden="false" customHeight="false" outlineLevel="0" collapsed="false">
      <c r="A13" s="2" t="s">
        <v>866</v>
      </c>
      <c r="B13" s="21" t="n">
        <v>8</v>
      </c>
      <c r="C13" s="2" t="s">
        <v>115</v>
      </c>
    </row>
    <row r="14" customFormat="false" ht="15" hidden="false" customHeight="false" outlineLevel="0" collapsed="false">
      <c r="A14" s="2" t="s">
        <v>108</v>
      </c>
      <c r="B14" s="21" t="n">
        <v>4</v>
      </c>
      <c r="C14" s="2" t="s">
        <v>867</v>
      </c>
    </row>
    <row r="15" customFormat="false" ht="15" hidden="false" customHeight="false" outlineLevel="0" collapsed="false">
      <c r="A15" s="2" t="s">
        <v>868</v>
      </c>
      <c r="B15" s="21" t="n">
        <v>4</v>
      </c>
      <c r="C15" s="2" t="s">
        <v>869</v>
      </c>
    </row>
    <row r="16" customFormat="false" ht="15" hidden="false" customHeight="false" outlineLevel="0" collapsed="false">
      <c r="A16" s="2" t="s">
        <v>870</v>
      </c>
      <c r="B16" s="21" t="n">
        <v>1</v>
      </c>
      <c r="C16" s="2" t="s">
        <v>871</v>
      </c>
    </row>
    <row r="17" customFormat="false" ht="15" hidden="false" customHeight="false" outlineLevel="0" collapsed="false">
      <c r="A17" s="2" t="s">
        <v>840</v>
      </c>
      <c r="B17" s="21" t="n">
        <v>4</v>
      </c>
      <c r="C17" s="2" t="s">
        <v>872</v>
      </c>
    </row>
    <row r="18" customFormat="false" ht="15" hidden="false" customHeight="false" outlineLevel="0" collapsed="false">
      <c r="A18" s="2" t="s">
        <v>188</v>
      </c>
      <c r="B18" s="21" t="n">
        <v>6</v>
      </c>
      <c r="C18" s="2" t="s">
        <v>873</v>
      </c>
    </row>
    <row r="19" customFormat="false" ht="15" hidden="false" customHeight="false" outlineLevel="0" collapsed="false">
      <c r="A19" s="2" t="s">
        <v>187</v>
      </c>
      <c r="B19" s="21" t="n">
        <v>2</v>
      </c>
      <c r="C19" s="2" t="s">
        <v>874</v>
      </c>
    </row>
    <row r="20" customFormat="false" ht="15" hidden="false" customHeight="false" outlineLevel="0" collapsed="false">
      <c r="A20" s="2" t="s">
        <v>155</v>
      </c>
      <c r="B20" s="21" t="n">
        <v>3</v>
      </c>
      <c r="C20" s="2" t="s">
        <v>156</v>
      </c>
    </row>
    <row r="21" customFormat="false" ht="15" hidden="false" customHeight="false" outlineLevel="0" collapsed="false">
      <c r="A21" s="2" t="s">
        <v>162</v>
      </c>
      <c r="B21" s="21" t="n">
        <v>2</v>
      </c>
      <c r="C21" s="2" t="s">
        <v>163</v>
      </c>
    </row>
    <row r="22" customFormat="false" ht="15" hidden="false" customHeight="false" outlineLevel="0" collapsed="false">
      <c r="A22" s="2" t="s">
        <v>806</v>
      </c>
      <c r="B22" s="21" t="n">
        <v>2</v>
      </c>
      <c r="C22" s="2" t="s">
        <v>875</v>
      </c>
    </row>
    <row r="23" customFormat="false" ht="15" hidden="false" customHeight="false" outlineLevel="0" collapsed="false">
      <c r="A23" s="2" t="s">
        <v>876</v>
      </c>
      <c r="B23" s="21" t="n">
        <v>1</v>
      </c>
      <c r="C23" s="2" t="s">
        <v>877</v>
      </c>
    </row>
    <row r="24" customFormat="false" ht="15" hidden="false" customHeight="false" outlineLevel="0" collapsed="false">
      <c r="A24" s="2" t="s">
        <v>878</v>
      </c>
      <c r="B24" s="21" t="n">
        <v>1</v>
      </c>
      <c r="C24" s="2" t="s">
        <v>877</v>
      </c>
    </row>
    <row r="25" customFormat="false" ht="15" hidden="false" customHeight="false" outlineLevel="0" collapsed="false">
      <c r="A25" s="2" t="s">
        <v>879</v>
      </c>
      <c r="B25" s="21" t="n">
        <v>1</v>
      </c>
      <c r="C25" s="2" t="s">
        <v>877</v>
      </c>
    </row>
    <row r="26" customFormat="false" ht="15" hidden="false" customHeight="false" outlineLevel="0" collapsed="false">
      <c r="A26" s="2" t="s">
        <v>880</v>
      </c>
      <c r="B26" s="21" t="n">
        <v>2</v>
      </c>
      <c r="C26" s="2" t="s">
        <v>881</v>
      </c>
    </row>
    <row r="27" customFormat="false" ht="15" hidden="false" customHeight="false" outlineLevel="0" collapsed="false">
      <c r="A27" s="2" t="s">
        <v>882</v>
      </c>
      <c r="B27" s="21" t="n">
        <v>2</v>
      </c>
      <c r="C27" s="2" t="s">
        <v>881</v>
      </c>
    </row>
    <row r="28" customFormat="false" ht="15" hidden="false" customHeight="false" outlineLevel="0" collapsed="false">
      <c r="A28" s="2" t="s">
        <v>883</v>
      </c>
      <c r="B28" s="21" t="n">
        <v>0</v>
      </c>
      <c r="C28" s="2" t="s">
        <v>884</v>
      </c>
    </row>
    <row r="29" customFormat="false" ht="15" hidden="false" customHeight="false" outlineLevel="0" collapsed="false">
      <c r="A29" s="2" t="s">
        <v>224</v>
      </c>
      <c r="B29" s="21" t="n">
        <v>3</v>
      </c>
      <c r="C29" s="2" t="s">
        <v>885</v>
      </c>
    </row>
    <row r="30" customFormat="false" ht="15" hidden="false" customHeight="false" outlineLevel="0" collapsed="false">
      <c r="A30" s="2" t="s">
        <v>226</v>
      </c>
      <c r="B30" s="21" t="n">
        <v>5</v>
      </c>
      <c r="C30" s="2" t="s">
        <v>886</v>
      </c>
    </row>
    <row r="31" customFormat="false" ht="15" hidden="false" customHeight="false" outlineLevel="0" collapsed="false">
      <c r="A31" s="2" t="s">
        <v>887</v>
      </c>
      <c r="B31" s="21" t="n">
        <v>5</v>
      </c>
      <c r="C31" s="2" t="s">
        <v>315</v>
      </c>
    </row>
    <row r="32" customFormat="false" ht="15" hidden="false" customHeight="false" outlineLevel="0" collapsed="false">
      <c r="A32" s="2" t="s">
        <v>888</v>
      </c>
      <c r="B32" s="21" t="n">
        <v>3</v>
      </c>
      <c r="C32" s="2" t="s">
        <v>889</v>
      </c>
    </row>
    <row r="33" customFormat="false" ht="15" hidden="false" customHeight="false" outlineLevel="0" collapsed="false">
      <c r="A33" s="2" t="s">
        <v>890</v>
      </c>
      <c r="B33" s="21" t="n">
        <v>2</v>
      </c>
      <c r="C33" s="2" t="s">
        <v>891</v>
      </c>
    </row>
    <row r="34" customFormat="false" ht="15" hidden="false" customHeight="false" outlineLevel="0" collapsed="false">
      <c r="A34" s="2" t="s">
        <v>892</v>
      </c>
      <c r="B34" s="21" t="n">
        <v>3</v>
      </c>
      <c r="C34" s="2" t="s">
        <v>889</v>
      </c>
    </row>
    <row r="35" customFormat="false" ht="15" hidden="false" customHeight="false" outlineLevel="0" collapsed="false">
      <c r="A35" s="2" t="s">
        <v>342</v>
      </c>
      <c r="B35" s="21" t="n">
        <v>3</v>
      </c>
      <c r="C35" s="2" t="s">
        <v>889</v>
      </c>
    </row>
    <row r="36" customFormat="false" ht="15" hidden="false" customHeight="false" outlineLevel="0" collapsed="false">
      <c r="A36" s="2" t="s">
        <v>893</v>
      </c>
      <c r="B36" s="21" t="n">
        <v>0</v>
      </c>
      <c r="C36" s="2" t="s">
        <v>185</v>
      </c>
    </row>
    <row r="37" customFormat="false" ht="15" hidden="false" customHeight="false" outlineLevel="0" collapsed="false">
      <c r="A37" s="2" t="s">
        <v>894</v>
      </c>
      <c r="B37" s="21" t="n">
        <v>1</v>
      </c>
      <c r="C37" s="2" t="s">
        <v>895</v>
      </c>
    </row>
    <row r="38" customFormat="false" ht="15" hidden="false" customHeight="false" outlineLevel="0" collapsed="false">
      <c r="A38" s="2" t="s">
        <v>896</v>
      </c>
      <c r="B38" s="21" t="n">
        <v>1</v>
      </c>
      <c r="C38" s="2" t="s">
        <v>895</v>
      </c>
    </row>
    <row r="39" customFormat="false" ht="15" hidden="false" customHeight="false" outlineLevel="0" collapsed="false">
      <c r="A39" s="2" t="s">
        <v>232</v>
      </c>
      <c r="B39" s="21" t="n">
        <v>3</v>
      </c>
      <c r="C39" s="2" t="s">
        <v>233</v>
      </c>
    </row>
    <row r="40" customFormat="false" ht="15" hidden="false" customHeight="false" outlineLevel="0" collapsed="false">
      <c r="A40" s="2" t="s">
        <v>234</v>
      </c>
      <c r="B40" s="21" t="n">
        <v>10</v>
      </c>
      <c r="C40" s="2" t="s">
        <v>235</v>
      </c>
    </row>
    <row r="41" customFormat="false" ht="15" hidden="false" customHeight="false" outlineLevel="0" collapsed="false">
      <c r="A41" s="2" t="s">
        <v>236</v>
      </c>
      <c r="B41" s="21" t="n">
        <v>40</v>
      </c>
      <c r="C41" s="2" t="s">
        <v>237</v>
      </c>
    </row>
    <row r="42" customFormat="false" ht="15" hidden="false" customHeight="false" outlineLevel="0" collapsed="false">
      <c r="A42" s="2" t="s">
        <v>897</v>
      </c>
      <c r="B42" s="21" t="n">
        <v>0</v>
      </c>
      <c r="C42" s="2" t="s">
        <v>898</v>
      </c>
    </row>
    <row r="43" customFormat="false" ht="15" hidden="false" customHeight="false" outlineLevel="0" collapsed="false">
      <c r="A43" s="2" t="s">
        <v>899</v>
      </c>
      <c r="B43" s="21" t="n">
        <v>2</v>
      </c>
      <c r="C43" s="2" t="s">
        <v>900</v>
      </c>
    </row>
    <row r="44" customFormat="false" ht="15" hidden="false" customHeight="false" outlineLevel="0" collapsed="false">
      <c r="A44" s="2" t="s">
        <v>901</v>
      </c>
      <c r="B44" s="21" t="n">
        <v>0.647026986033245</v>
      </c>
      <c r="C44" s="2" t="s">
        <v>902</v>
      </c>
    </row>
    <row r="45" customFormat="false" ht="15" hidden="false" customHeight="false" outlineLevel="0" collapsed="false">
      <c r="A45" s="2" t="s">
        <v>903</v>
      </c>
      <c r="B45" s="21" t="n">
        <v>0.647026986033245</v>
      </c>
      <c r="C45" s="2" t="s">
        <v>904</v>
      </c>
    </row>
    <row r="46" customFormat="false" ht="15" hidden="false" customHeight="false" outlineLevel="0" collapsed="false">
      <c r="A46" s="2" t="s">
        <v>667</v>
      </c>
      <c r="B46" s="21" t="n">
        <v>1</v>
      </c>
      <c r="C46" s="2" t="s">
        <v>905</v>
      </c>
    </row>
    <row r="47" customFormat="false" ht="15" hidden="false" customHeight="false" outlineLevel="0" collapsed="false">
      <c r="A47" s="2" t="s">
        <v>669</v>
      </c>
      <c r="B47" s="21" t="n">
        <v>2</v>
      </c>
      <c r="C47" s="2" t="s">
        <v>906</v>
      </c>
    </row>
    <row r="48" customFormat="false" ht="15" hidden="false" customHeight="false" outlineLevel="0" collapsed="false">
      <c r="A48" s="2" t="s">
        <v>671</v>
      </c>
      <c r="B48" s="21" t="n">
        <v>0</v>
      </c>
      <c r="C48" s="2" t="s">
        <v>907</v>
      </c>
    </row>
    <row r="49" customFormat="false" ht="15" hidden="false" customHeight="false" outlineLevel="0" collapsed="false">
      <c r="A49" s="2" t="s">
        <v>678</v>
      </c>
      <c r="B49" s="21" t="n">
        <v>0</v>
      </c>
      <c r="C49" s="2" t="s">
        <v>908</v>
      </c>
    </row>
    <row r="50" customFormat="false" ht="15" hidden="false" customHeight="false" outlineLevel="0" collapsed="false">
      <c r="A50" s="2" t="s">
        <v>909</v>
      </c>
      <c r="B50" s="21" t="n">
        <v>0</v>
      </c>
      <c r="C50" s="2" t="s">
        <v>910</v>
      </c>
    </row>
    <row r="51" customFormat="false" ht="15" hidden="false" customHeight="false" outlineLevel="0" collapsed="false">
      <c r="A51" s="2" t="s">
        <v>911</v>
      </c>
      <c r="B51" s="21" t="n">
        <v>0.5</v>
      </c>
      <c r="C51" s="2" t="s">
        <v>912</v>
      </c>
    </row>
    <row r="52" customFormat="false" ht="15" hidden="false" customHeight="false" outlineLevel="0" collapsed="false">
      <c r="A52" s="2" t="s">
        <v>913</v>
      </c>
      <c r="B52" s="21" t="n">
        <v>3</v>
      </c>
      <c r="C52" s="2" t="s">
        <v>914</v>
      </c>
    </row>
    <row r="53" customFormat="false" ht="15" hidden="false" customHeight="false" outlineLevel="0" collapsed="false">
      <c r="A53" s="2" t="s">
        <v>915</v>
      </c>
      <c r="B53" s="21" t="n">
        <v>0</v>
      </c>
      <c r="C53" s="2" t="s">
        <v>916</v>
      </c>
    </row>
    <row r="54" customFormat="false" ht="15" hidden="false" customHeight="false" outlineLevel="0" collapsed="false">
      <c r="A54" s="2" t="s">
        <v>917</v>
      </c>
      <c r="B54" s="21" t="n">
        <v>-3</v>
      </c>
      <c r="C54" s="2" t="s">
        <v>918</v>
      </c>
    </row>
    <row r="55" customFormat="false" ht="15" hidden="false" customHeight="false" outlineLevel="0" collapsed="false">
      <c r="A55" s="2" t="s">
        <v>919</v>
      </c>
      <c r="B55" s="21" t="n">
        <v>-1</v>
      </c>
      <c r="C55" s="2" t="s">
        <v>920</v>
      </c>
    </row>
    <row r="56" customFormat="false" ht="15" hidden="false" customHeight="false" outlineLevel="0" collapsed="false">
      <c r="A56" s="2" t="s">
        <v>921</v>
      </c>
      <c r="B56" s="21" t="n">
        <v>0</v>
      </c>
      <c r="C56" s="2" t="s">
        <v>922</v>
      </c>
    </row>
    <row r="57" customFormat="false" ht="15" hidden="false" customHeight="false" outlineLevel="0" collapsed="false">
      <c r="A57" s="2" t="s">
        <v>923</v>
      </c>
      <c r="B57" s="21" t="n">
        <v>4</v>
      </c>
      <c r="C57" s="2" t="s">
        <v>761</v>
      </c>
    </row>
    <row r="58" customFormat="false" ht="15" hidden="false" customHeight="false" outlineLevel="0" collapsed="false">
      <c r="A58" s="2" t="s">
        <v>924</v>
      </c>
      <c r="B58" s="21" t="n">
        <v>1</v>
      </c>
      <c r="C58" s="2" t="s">
        <v>764</v>
      </c>
    </row>
    <row r="59" customFormat="false" ht="15" hidden="false" customHeight="false" outlineLevel="0" collapsed="false">
      <c r="A59" s="2" t="s">
        <v>925</v>
      </c>
      <c r="B59" s="21" t="n">
        <v>1</v>
      </c>
      <c r="C59" s="2" t="s">
        <v>766</v>
      </c>
    </row>
    <row r="60" customFormat="false" ht="15" hidden="false" customHeight="false" outlineLevel="0" collapsed="false">
      <c r="A60" s="2" t="s">
        <v>926</v>
      </c>
      <c r="B60" s="21" t="n">
        <v>4</v>
      </c>
      <c r="C60" s="2" t="s">
        <v>697</v>
      </c>
    </row>
    <row r="61" customFormat="false" ht="15" hidden="false" customHeight="false" outlineLevel="0" collapsed="false">
      <c r="A61" s="2" t="s">
        <v>927</v>
      </c>
      <c r="B61" s="21" t="n">
        <v>4</v>
      </c>
      <c r="C61" s="2" t="s">
        <v>697</v>
      </c>
    </row>
    <row r="62" customFormat="false" ht="15" hidden="false" customHeight="false" outlineLevel="0" collapsed="false">
      <c r="A62" s="2" t="s">
        <v>812</v>
      </c>
      <c r="B62" s="21" t="n">
        <v>1</v>
      </c>
      <c r="C62" s="2" t="s">
        <v>928</v>
      </c>
    </row>
    <row r="63" customFormat="false" ht="15" hidden="false" customHeight="false" outlineLevel="0" collapsed="false">
      <c r="A63" s="2" t="s">
        <v>848</v>
      </c>
      <c r="B63" s="21" t="n">
        <v>1</v>
      </c>
      <c r="C63" s="2" t="s">
        <v>929</v>
      </c>
    </row>
    <row r="64" customFormat="false" ht="15" hidden="false" customHeight="false" outlineLevel="0" collapsed="false">
      <c r="A64" s="2" t="s">
        <v>706</v>
      </c>
      <c r="B64" s="21" t="n">
        <v>3</v>
      </c>
      <c r="C64" s="2" t="s">
        <v>707</v>
      </c>
    </row>
    <row r="65" customFormat="false" ht="15" hidden="false" customHeight="false" outlineLevel="0" collapsed="false">
      <c r="A65" s="2" t="s">
        <v>930</v>
      </c>
      <c r="B65" s="21" t="n">
        <v>1</v>
      </c>
      <c r="C65" s="2" t="s">
        <v>931</v>
      </c>
    </row>
    <row r="66" customFormat="false" ht="15" hidden="false" customHeight="false" outlineLevel="0" collapsed="false">
      <c r="A66" s="2" t="s">
        <v>714</v>
      </c>
      <c r="B66" s="21" t="n">
        <v>0</v>
      </c>
      <c r="C66" s="2" t="s">
        <v>932</v>
      </c>
    </row>
    <row r="67" customFormat="false" ht="15" hidden="false" customHeight="false" outlineLevel="0" collapsed="false">
      <c r="A67" s="2" t="s">
        <v>933</v>
      </c>
      <c r="B67" s="21" t="n">
        <v>73.5525461861166</v>
      </c>
      <c r="C67" s="2" t="s">
        <v>722</v>
      </c>
    </row>
    <row r="68" customFormat="false" ht="15" hidden="false" customHeight="false" outlineLevel="0" collapsed="false">
      <c r="A68" s="2" t="s">
        <v>723</v>
      </c>
      <c r="B68" s="21" t="n">
        <v>10.9000021525502</v>
      </c>
      <c r="C68" s="2" t="s">
        <v>720</v>
      </c>
    </row>
    <row r="69" customFormat="false" ht="15" hidden="false" customHeight="false" outlineLevel="0" collapsed="false">
      <c r="A69" s="2" t="s">
        <v>934</v>
      </c>
      <c r="B69" s="21" t="n">
        <v>11</v>
      </c>
      <c r="C69" s="2" t="s">
        <v>935</v>
      </c>
    </row>
    <row r="70" customFormat="false" ht="15" hidden="false" customHeight="false" outlineLevel="0" collapsed="false">
      <c r="A70" s="2" t="s">
        <v>725</v>
      </c>
      <c r="B70" s="21" t="n">
        <v>1.44745381388336</v>
      </c>
      <c r="C70" s="2" t="s">
        <v>726</v>
      </c>
    </row>
    <row r="71" customFormat="false" ht="15" hidden="false" customHeight="false" outlineLevel="0" collapsed="false">
      <c r="A71" s="2" t="s">
        <v>936</v>
      </c>
      <c r="B71" s="21" t="n">
        <v>1</v>
      </c>
      <c r="C71" s="2" t="s">
        <v>937</v>
      </c>
    </row>
    <row r="72" customFormat="false" ht="15" hidden="false" customHeight="false" outlineLevel="0" collapsed="false">
      <c r="A72" s="2" t="s">
        <v>938</v>
      </c>
      <c r="B72" s="21" t="n">
        <v>5</v>
      </c>
      <c r="C72" s="2" t="s">
        <v>939</v>
      </c>
    </row>
    <row r="73" customFormat="false" ht="15" hidden="false" customHeight="false" outlineLevel="0" collapsed="false">
      <c r="A73" s="2" t="s">
        <v>940</v>
      </c>
      <c r="B73" s="21" t="n">
        <v>2</v>
      </c>
      <c r="C73" s="2" t="s">
        <v>842</v>
      </c>
    </row>
    <row r="74" customFormat="false" ht="15" hidden="false" customHeight="false" outlineLevel="0" collapsed="false">
      <c r="A74" s="2" t="s">
        <v>941</v>
      </c>
      <c r="B74" s="21" t="n">
        <v>1</v>
      </c>
      <c r="C74" s="2" t="s">
        <v>942</v>
      </c>
    </row>
    <row r="75" customFormat="false" ht="15" hidden="false" customHeight="false" outlineLevel="0" collapsed="false">
      <c r="A75" s="2" t="s">
        <v>943</v>
      </c>
      <c r="B75" s="21" t="n">
        <v>3</v>
      </c>
      <c r="C75" s="2" t="s">
        <v>944</v>
      </c>
    </row>
    <row r="76" customFormat="false" ht="15" hidden="false" customHeight="false" outlineLevel="0" collapsed="false">
      <c r="A76" s="2" t="s">
        <v>945</v>
      </c>
      <c r="B76" s="21" t="n">
        <v>1</v>
      </c>
      <c r="C76" s="2" t="s">
        <v>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851</v>
      </c>
      <c r="B1" s="8" t="s">
        <v>947</v>
      </c>
      <c r="C1" s="8" t="s">
        <v>852</v>
      </c>
      <c r="D1" s="8" t="s">
        <v>948</v>
      </c>
      <c r="E1" s="8" t="s">
        <v>949</v>
      </c>
      <c r="F1" s="8" t="s">
        <v>817</v>
      </c>
    </row>
    <row r="2" customFormat="false" ht="15" hidden="false" customHeight="false" outlineLevel="0" collapsed="false">
      <c r="A2" s="2" t="s">
        <v>854</v>
      </c>
      <c r="B2" s="18" t="n">
        <f aca="false">Wiring!$L$6</f>
        <v>7</v>
      </c>
      <c r="C2" s="22" t="n">
        <f aca="false">Reference_Values!B2</f>
        <v>7</v>
      </c>
      <c r="D2" s="19" t="n">
        <f aca="false">ABS(B2-C2)</f>
        <v>0</v>
      </c>
      <c r="E2" s="23" t="n">
        <v>0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855</v>
      </c>
      <c r="B3" s="18" t="n">
        <f aca="false">Wiring!$L$7</f>
        <v>14</v>
      </c>
      <c r="C3" s="22" t="n">
        <f aca="false">Reference_Values!B3</f>
        <v>14</v>
      </c>
      <c r="D3" s="19" t="n">
        <f aca="false">ABS(B3-C3)</f>
        <v>0</v>
      </c>
      <c r="E3" s="23" t="n">
        <v>0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130</v>
      </c>
      <c r="B4" s="18" t="n">
        <f aca="false">Wiring!$L$21</f>
        <v>3</v>
      </c>
      <c r="C4" s="22" t="n">
        <f aca="false">Reference_Values!B4</f>
        <v>3</v>
      </c>
      <c r="D4" s="19" t="n">
        <f aca="false">ABS(B4-C4)</f>
        <v>0</v>
      </c>
      <c r="E4" s="23" t="n">
        <v>0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132</v>
      </c>
      <c r="B5" s="18" t="n">
        <f aca="false">Wiring!$L$22</f>
        <v>3</v>
      </c>
      <c r="C5" s="22" t="n">
        <f aca="false">Reference_Values!B5</f>
        <v>3</v>
      </c>
      <c r="D5" s="19" t="n">
        <f aca="false">ABS(B5-C5)</f>
        <v>0</v>
      </c>
      <c r="E5" s="23" t="n">
        <v>0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134</v>
      </c>
      <c r="B6" s="18" t="n">
        <f aca="false">Wiring!$L$23</f>
        <v>2</v>
      </c>
      <c r="C6" s="22" t="n">
        <f aca="false">Reference_Values!B6</f>
        <v>2</v>
      </c>
      <c r="D6" s="19" t="n">
        <f aca="false">ABS(B6-C6)</f>
        <v>0</v>
      </c>
      <c r="E6" s="23" t="n">
        <v>0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136</v>
      </c>
      <c r="B7" s="18" t="n">
        <f aca="false">Wiring!$L$24</f>
        <v>4</v>
      </c>
      <c r="C7" s="22" t="n">
        <f aca="false">Reference_Values!B7</f>
        <v>4</v>
      </c>
      <c r="D7" s="19" t="n">
        <f aca="false">ABS(B7-C7)</f>
        <v>0</v>
      </c>
      <c r="E7" s="23" t="n">
        <v>0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138</v>
      </c>
      <c r="B8" s="18" t="n">
        <f aca="false">Wiring!$L$25</f>
        <v>2</v>
      </c>
      <c r="C8" s="22" t="n">
        <f aca="false">Reference_Values!B8</f>
        <v>2</v>
      </c>
      <c r="D8" s="19" t="n">
        <f aca="false">ABS(B8-C8)</f>
        <v>0</v>
      </c>
      <c r="E8" s="23" t="n">
        <v>0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126</v>
      </c>
      <c r="B9" s="18" t="n">
        <f aca="false">Wiring!$L$19</f>
        <v>0</v>
      </c>
      <c r="C9" s="22" t="n">
        <f aca="false">Reference_Values!B9</f>
        <v>0</v>
      </c>
      <c r="D9" s="19" t="n">
        <f aca="false">ABS(B9-C9)</f>
        <v>0</v>
      </c>
      <c r="E9" s="23" t="n">
        <v>0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123</v>
      </c>
      <c r="B10" s="18" t="n">
        <f aca="false">Wiring!$L$17</f>
        <v>0</v>
      </c>
      <c r="C10" s="22" t="n">
        <f aca="false">Reference_Values!B10</f>
        <v>0</v>
      </c>
      <c r="D10" s="19" t="n">
        <f aca="false">ABS(B10-C10)</f>
        <v>0</v>
      </c>
      <c r="E10" s="23" t="n">
        <v>0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863</v>
      </c>
      <c r="B11" s="18" t="n">
        <f aca="false">Wiring!$L$8</f>
        <v>42</v>
      </c>
      <c r="C11" s="22" t="n">
        <f aca="false">Reference_Values!B11</f>
        <v>42</v>
      </c>
      <c r="D11" s="19" t="n">
        <f aca="false">ABS(B11-C11)</f>
        <v>0</v>
      </c>
      <c r="E11" s="23" t="n">
        <v>0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797</v>
      </c>
      <c r="B12" s="18" t="n">
        <f aca="false">Wiring!$L$9</f>
        <v>0.333333333333333</v>
      </c>
      <c r="C12" s="22" t="n">
        <f aca="false">Reference_Values!B12</f>
        <v>0.333333333333333</v>
      </c>
      <c r="D12" s="19" t="n">
        <f aca="false">ABS(B12-C12)</f>
        <v>0</v>
      </c>
      <c r="E12" s="23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866</v>
      </c>
      <c r="B13" s="18" t="n">
        <f aca="false">Wiring!$L$13</f>
        <v>8</v>
      </c>
      <c r="C13" s="22" t="n">
        <f aca="false">Reference_Values!B13</f>
        <v>8</v>
      </c>
      <c r="D13" s="19" t="n">
        <f aca="false">ABS(B13-C13)</f>
        <v>0</v>
      </c>
      <c r="E13" s="23" t="n">
        <v>0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108</v>
      </c>
      <c r="B14" s="18" t="n">
        <f aca="false">Wiring!$L$10</f>
        <v>4</v>
      </c>
      <c r="C14" s="22" t="n">
        <f aca="false">Reference_Values!B14</f>
        <v>4</v>
      </c>
      <c r="D14" s="19" t="n">
        <f aca="false">ABS(B14-C14)</f>
        <v>0</v>
      </c>
      <c r="E14" s="23" t="n">
        <v>0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868</v>
      </c>
      <c r="B15" s="18" t="n">
        <f aca="false">Wiring!$L$15</f>
        <v>4</v>
      </c>
      <c r="C15" s="22" t="n">
        <f aca="false">Reference_Values!B15</f>
        <v>4</v>
      </c>
      <c r="D15" s="19" t="n">
        <f aca="false">ABS(B15-C15)</f>
        <v>0</v>
      </c>
      <c r="E15" s="23" t="n">
        <v>0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870</v>
      </c>
      <c r="B16" s="18" t="n">
        <f aca="false">Core!$N$6</f>
        <v>1</v>
      </c>
      <c r="C16" s="22" t="n">
        <f aca="false">Reference_Values!B16</f>
        <v>1</v>
      </c>
      <c r="D16" s="19" t="n">
        <f aca="false">ABS(B16-C16)</f>
        <v>0</v>
      </c>
      <c r="E16" s="23" t="n">
        <v>0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840</v>
      </c>
      <c r="B17" s="18" t="n">
        <f aca="false">Core!$N$7</f>
        <v>4</v>
      </c>
      <c r="C17" s="22" t="n">
        <f aca="false">Reference_Values!B17</f>
        <v>4</v>
      </c>
      <c r="D17" s="19" t="n">
        <f aca="false">ABS(B17-C17)</f>
        <v>0</v>
      </c>
      <c r="E17" s="23" t="n">
        <v>0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188</v>
      </c>
      <c r="B18" s="18" t="n">
        <f aca="false">Core!$N$60</f>
        <v>6</v>
      </c>
      <c r="C18" s="22" t="n">
        <f aca="false">Reference_Values!B18</f>
        <v>6</v>
      </c>
      <c r="D18" s="19" t="n">
        <f aca="false">ABS(B18-C18)</f>
        <v>0</v>
      </c>
      <c r="E18" s="23" t="n">
        <v>0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187</v>
      </c>
      <c r="B19" s="18" t="n">
        <f aca="false">Core!$N$59</f>
        <v>2</v>
      </c>
      <c r="C19" s="22" t="n">
        <f aca="false">Reference_Values!B19</f>
        <v>2</v>
      </c>
      <c r="D19" s="19" t="n">
        <f aca="false">ABS(B19-C19)</f>
        <v>0</v>
      </c>
      <c r="E19" s="23" t="n">
        <v>0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155</v>
      </c>
      <c r="B20" s="18" t="n">
        <f aca="false">Core!$N$9</f>
        <v>3</v>
      </c>
      <c r="C20" s="22" t="n">
        <f aca="false">Reference_Values!B20</f>
        <v>3</v>
      </c>
      <c r="D20" s="19" t="n">
        <f aca="false">ABS(B20-C20)</f>
        <v>0</v>
      </c>
      <c r="E20" s="23" t="n">
        <v>0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162</v>
      </c>
      <c r="B21" s="18" t="n">
        <f aca="false">Core!$N$13</f>
        <v>2</v>
      </c>
      <c r="C21" s="22" t="n">
        <f aca="false">Reference_Values!B21</f>
        <v>2</v>
      </c>
      <c r="D21" s="19" t="n">
        <f aca="false">ABS(B21-C21)</f>
        <v>0</v>
      </c>
      <c r="E21" s="23" t="n">
        <v>0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806</v>
      </c>
      <c r="B22" s="18" t="n">
        <f aca="false">Core!$N$10</f>
        <v>2</v>
      </c>
      <c r="C22" s="22" t="n">
        <f aca="false">Reference_Values!B22</f>
        <v>2</v>
      </c>
      <c r="D22" s="19" t="n">
        <f aca="false">ABS(B22-C22)</f>
        <v>0</v>
      </c>
      <c r="E22" s="23" t="n">
        <v>0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876</v>
      </c>
      <c r="B23" s="18" t="n">
        <f aca="false">Shock!$B$16</f>
        <v>1</v>
      </c>
      <c r="C23" s="22" t="n">
        <f aca="false">Reference_Values!B23</f>
        <v>1</v>
      </c>
      <c r="D23" s="19" t="n">
        <f aca="false">ABS(B23-C23)</f>
        <v>0</v>
      </c>
      <c r="E23" s="23" t="n">
        <v>0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878</v>
      </c>
      <c r="B24" s="18" t="n">
        <f aca="false">Shock!$B$17</f>
        <v>1</v>
      </c>
      <c r="C24" s="22" t="n">
        <f aca="false">Reference_Values!B24</f>
        <v>1</v>
      </c>
      <c r="D24" s="19" t="n">
        <f aca="false">ABS(B24-C24)</f>
        <v>0</v>
      </c>
      <c r="E24" s="23" t="n">
        <v>0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879</v>
      </c>
      <c r="B25" s="18" t="n">
        <f aca="false">Shock!$B$18</f>
        <v>1</v>
      </c>
      <c r="C25" s="22" t="n">
        <f aca="false">Reference_Values!B25</f>
        <v>1</v>
      </c>
      <c r="D25" s="19" t="n">
        <f aca="false">ABS(B25-C25)</f>
        <v>0</v>
      </c>
      <c r="E25" s="23" t="n">
        <v>0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880</v>
      </c>
      <c r="B26" s="18" t="n">
        <f aca="false">Shock!$B$19</f>
        <v>2</v>
      </c>
      <c r="C26" s="22" t="n">
        <f aca="false">Reference_Values!B26</f>
        <v>2</v>
      </c>
      <c r="D26" s="19" t="n">
        <f aca="false">ABS(B26-C26)</f>
        <v>0</v>
      </c>
      <c r="E26" s="23" t="n">
        <v>0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882</v>
      </c>
      <c r="B27" s="18" t="n">
        <f aca="false">Shock!$B$20</f>
        <v>2</v>
      </c>
      <c r="C27" s="22" t="n">
        <f aca="false">Reference_Values!B27</f>
        <v>2</v>
      </c>
      <c r="D27" s="19" t="n">
        <f aca="false">ABS(B27-C27)</f>
        <v>0</v>
      </c>
      <c r="E27" s="23" t="n">
        <v>0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883</v>
      </c>
      <c r="B28" s="18" t="n">
        <f aca="false">Shock!$C$7</f>
        <v>0</v>
      </c>
      <c r="C28" s="22" t="n">
        <f aca="false">Reference_Values!B28</f>
        <v>0</v>
      </c>
      <c r="D28" s="19" t="n">
        <f aca="false">ABS(B28-C28)</f>
        <v>0</v>
      </c>
      <c r="E28" s="23" t="n">
        <v>0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224</v>
      </c>
      <c r="B29" s="18" t="n">
        <f aca="false">Shock!$G$6</f>
        <v>3</v>
      </c>
      <c r="C29" s="22" t="n">
        <f aca="false">Reference_Values!B29</f>
        <v>3</v>
      </c>
      <c r="D29" s="19" t="n">
        <f aca="false">ABS(B29-C29)</f>
        <v>0</v>
      </c>
      <c r="E29" s="23" t="n">
        <v>0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226</v>
      </c>
      <c r="B30" s="18" t="n">
        <f aca="false">Shock!$G$7</f>
        <v>5</v>
      </c>
      <c r="C30" s="22" t="n">
        <f aca="false">Reference_Values!B30</f>
        <v>5</v>
      </c>
      <c r="D30" s="19" t="n">
        <f aca="false">ABS(B30-C30)</f>
        <v>0</v>
      </c>
      <c r="E30" s="23" t="n">
        <v>0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887</v>
      </c>
      <c r="B31" s="18" t="n">
        <f aca="false">Paths!$F$14</f>
        <v>5</v>
      </c>
      <c r="C31" s="22" t="n">
        <f aca="false">Reference_Values!B31</f>
        <v>5</v>
      </c>
      <c r="D31" s="19" t="n">
        <f aca="false">ABS(B31-C31)</f>
        <v>0</v>
      </c>
      <c r="E31" s="23" t="n">
        <v>0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888</v>
      </c>
      <c r="B32" s="18" t="n">
        <f aca="false">Paths!$F$15</f>
        <v>3</v>
      </c>
      <c r="C32" s="22" t="n">
        <f aca="false">Reference_Values!B32</f>
        <v>3</v>
      </c>
      <c r="D32" s="19" t="n">
        <f aca="false">ABS(B32-C32)</f>
        <v>0</v>
      </c>
      <c r="E32" s="23" t="n">
        <v>0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890</v>
      </c>
      <c r="B33" s="18" t="n">
        <f aca="false">Paths!$F$16</f>
        <v>2</v>
      </c>
      <c r="C33" s="22" t="n">
        <f aca="false">Reference_Values!B33</f>
        <v>2</v>
      </c>
      <c r="D33" s="19" t="n">
        <f aca="false">ABS(B33-C33)</f>
        <v>0</v>
      </c>
      <c r="E33" s="23" t="n">
        <v>0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892</v>
      </c>
      <c r="B34" s="18" t="n">
        <f aca="false">Paths!$F$19</f>
        <v>3</v>
      </c>
      <c r="C34" s="22" t="n">
        <f aca="false">Reference_Values!B34</f>
        <v>3</v>
      </c>
      <c r="D34" s="19" t="n">
        <f aca="false">ABS(B34-C34)</f>
        <v>0</v>
      </c>
      <c r="E34" s="23" t="n">
        <v>0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342</v>
      </c>
      <c r="B35" s="18" t="n">
        <f aca="false">Paths!$F$24</f>
        <v>3</v>
      </c>
      <c r="C35" s="22" t="n">
        <f aca="false">Reference_Values!B35</f>
        <v>3</v>
      </c>
      <c r="D35" s="19" t="n">
        <f aca="false">ABS(B35-C35)</f>
        <v>0</v>
      </c>
      <c r="E35" s="23" t="n">
        <v>0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893</v>
      </c>
      <c r="B36" s="18" t="n">
        <f aca="false">Paths!$F$20+Paths!$F$21</f>
        <v>0</v>
      </c>
      <c r="C36" s="22" t="n">
        <f aca="false">Reference_Values!B36</f>
        <v>0</v>
      </c>
      <c r="D36" s="19" t="n">
        <f aca="false">ABS(B36-C36)</f>
        <v>0</v>
      </c>
      <c r="E36" s="23" t="n">
        <v>0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894</v>
      </c>
      <c r="B37" s="18" t="n">
        <f aca="false">IF(Paths!$F$22=0,1,0)</f>
        <v>1</v>
      </c>
      <c r="C37" s="22" t="n">
        <f aca="false">Reference_Values!B37</f>
        <v>1</v>
      </c>
      <c r="D37" s="19" t="n">
        <f aca="false">ABS(B37-C37)</f>
        <v>0</v>
      </c>
      <c r="E37" s="23" t="n">
        <v>0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896</v>
      </c>
      <c r="B38" s="18" t="n">
        <f aca="false">IF(Paths!$F$23=0,1,0)</f>
        <v>1</v>
      </c>
      <c r="C38" s="22" t="n">
        <f aca="false">Reference_Values!B38</f>
        <v>1</v>
      </c>
      <c r="D38" s="19" t="n">
        <f aca="false">ABS(B38-C38)</f>
        <v>0</v>
      </c>
      <c r="E38" s="23" t="n">
        <v>0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232</v>
      </c>
      <c r="B39" s="18" t="n">
        <f aca="false">Shock!$G$10</f>
        <v>3</v>
      </c>
      <c r="C39" s="22" t="n">
        <f aca="false">Reference_Values!B39</f>
        <v>3</v>
      </c>
      <c r="D39" s="19" t="n">
        <f aca="false">ABS(B39-C39)</f>
        <v>0</v>
      </c>
      <c r="E39" s="23" t="n">
        <v>0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234</v>
      </c>
      <c r="B40" s="18" t="n">
        <f aca="false">Shock!$G$11</f>
        <v>10</v>
      </c>
      <c r="C40" s="22" t="n">
        <f aca="false">Reference_Values!B40</f>
        <v>10</v>
      </c>
      <c r="D40" s="19" t="n">
        <f aca="false">ABS(B40-C40)</f>
        <v>0</v>
      </c>
      <c r="E40" s="23" t="n">
        <v>0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236</v>
      </c>
      <c r="B41" s="18" t="n">
        <f aca="false">Shock!$G$12</f>
        <v>40</v>
      </c>
      <c r="C41" s="22" t="n">
        <f aca="false">Reference_Values!B41</f>
        <v>40</v>
      </c>
      <c r="D41" s="19" t="n">
        <f aca="false">ABS(B41-C41)</f>
        <v>0</v>
      </c>
      <c r="E41" s="23" t="n">
        <v>0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897</v>
      </c>
      <c r="B42" s="18" t="n">
        <f aca="false">Shock!$G$13</f>
        <v>0</v>
      </c>
      <c r="C42" s="22" t="n">
        <f aca="false">Reference_Values!B42</f>
        <v>0</v>
      </c>
      <c r="D42" s="19" t="n">
        <f aca="false">ABS(B42-C42)</f>
        <v>0</v>
      </c>
      <c r="E42" s="23" t="n">
        <v>0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899</v>
      </c>
      <c r="B43" s="18" t="n">
        <f aca="false">Shock!$D$120</f>
        <v>2</v>
      </c>
      <c r="C43" s="22" t="n">
        <f aca="false">Reference_Values!B43</f>
        <v>2</v>
      </c>
      <c r="D43" s="19" t="n">
        <f aca="false">ABS(B43-C43)</f>
        <v>0</v>
      </c>
      <c r="E43" s="23" t="n">
        <v>0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901</v>
      </c>
      <c r="B44" s="18" t="n">
        <f aca="false">Shock!$D$118</f>
        <v>0.647026986033245</v>
      </c>
      <c r="C44" s="22" t="n">
        <f aca="false">Reference_Values!B44</f>
        <v>0.647026986033245</v>
      </c>
      <c r="D44" s="19" t="n">
        <f aca="false">ABS(B44-C44)</f>
        <v>0</v>
      </c>
      <c r="E44" s="23" t="n">
        <v>1E-009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903</v>
      </c>
      <c r="B45" s="18" t="n">
        <f aca="false">Shock!$D$119</f>
        <v>0.647026986033245</v>
      </c>
      <c r="C45" s="22" t="n">
        <f aca="false">Reference_Values!B45</f>
        <v>0.647026986033245</v>
      </c>
      <c r="D45" s="19" t="n">
        <f aca="false">ABS(B45-C45)</f>
        <v>0</v>
      </c>
      <c r="E45" s="23" t="n">
        <v>1E-009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667</v>
      </c>
      <c r="B46" s="18" t="n">
        <f aca="false">SummaryMap!$I$82</f>
        <v>1</v>
      </c>
      <c r="C46" s="22" t="n">
        <f aca="false">Reference_Values!B46</f>
        <v>1</v>
      </c>
      <c r="D46" s="19" t="n">
        <f aca="false">ABS(B46-C46)</f>
        <v>0</v>
      </c>
      <c r="E46" s="23" t="n">
        <v>0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669</v>
      </c>
      <c r="B47" s="18" t="n">
        <f aca="false">SummaryMap!$I$83</f>
        <v>2</v>
      </c>
      <c r="C47" s="22" t="n">
        <f aca="false">Reference_Values!B47</f>
        <v>2</v>
      </c>
      <c r="D47" s="19" t="n">
        <f aca="false">ABS(B47-C47)</f>
        <v>0</v>
      </c>
      <c r="E47" s="23" t="n">
        <v>0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671</v>
      </c>
      <c r="B48" s="18" t="n">
        <f aca="false">SummaryMap!$I$84</f>
        <v>0</v>
      </c>
      <c r="C48" s="22" t="n">
        <f aca="false">Reference_Values!B48</f>
        <v>0</v>
      </c>
      <c r="D48" s="19" t="n">
        <f aca="false">ABS(B48-C48)</f>
        <v>0</v>
      </c>
      <c r="E48" s="23" t="n">
        <v>0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678</v>
      </c>
      <c r="B49" s="18" t="n">
        <f aca="false">SummaryMap!$I$87</f>
        <v>0</v>
      </c>
      <c r="C49" s="22" t="n">
        <f aca="false">Reference_Values!B49</f>
        <v>0</v>
      </c>
      <c r="D49" s="19" t="n">
        <f aca="false">ABS(B49-C49)</f>
        <v>0</v>
      </c>
      <c r="E49" s="23" t="n">
        <v>0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909</v>
      </c>
      <c r="B50" s="18" t="n">
        <f aca="false">Core!$N$79</f>
        <v>0</v>
      </c>
      <c r="C50" s="22" t="n">
        <f aca="false">Reference_Values!B50</f>
        <v>0</v>
      </c>
      <c r="D50" s="19" t="n">
        <f aca="false">ABS(B50-C50)</f>
        <v>0</v>
      </c>
      <c r="E50" s="23" t="n">
        <v>1E-009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911</v>
      </c>
      <c r="B51" s="18" t="n">
        <f aca="false">Core!$N$80</f>
        <v>0.5</v>
      </c>
      <c r="C51" s="22" t="n">
        <f aca="false">Reference_Values!B51</f>
        <v>0.5</v>
      </c>
      <c r="D51" s="19" t="n">
        <f aca="false">ABS(B51-C51)</f>
        <v>0</v>
      </c>
      <c r="E51" s="23" t="n">
        <v>1E-009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913</v>
      </c>
      <c r="B52" s="18" t="n">
        <f aca="false">Constraints!$L$92</f>
        <v>3</v>
      </c>
      <c r="C52" s="22" t="n">
        <f aca="false">Reference_Values!B52</f>
        <v>3</v>
      </c>
      <c r="D52" s="19" t="n">
        <f aca="false">ABS(B52-C52)</f>
        <v>0</v>
      </c>
      <c r="E52" s="23" t="n">
        <v>0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915</v>
      </c>
      <c r="B53" s="18" t="n">
        <f aca="false">Constraints!$L$93</f>
        <v>0</v>
      </c>
      <c r="C53" s="22" t="n">
        <f aca="false">Reference_Values!B53</f>
        <v>0</v>
      </c>
      <c r="D53" s="19" t="n">
        <f aca="false">ABS(B53-C53)</f>
        <v>0</v>
      </c>
      <c r="E53" s="23" t="n">
        <v>0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917</v>
      </c>
      <c r="B54" s="18" t="n">
        <f aca="false">Constraints!$L$94</f>
        <v>-3</v>
      </c>
      <c r="C54" s="22" t="n">
        <f aca="false">Reference_Values!B54</f>
        <v>-3</v>
      </c>
      <c r="D54" s="19" t="n">
        <f aca="false">ABS(B54-C54)</f>
        <v>0</v>
      </c>
      <c r="E54" s="23" t="n">
        <v>0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919</v>
      </c>
      <c r="B55" s="18" t="n">
        <f aca="false">Constraints!$L$95</f>
        <v>-1</v>
      </c>
      <c r="C55" s="22" t="n">
        <f aca="false">Reference_Values!B55</f>
        <v>-1</v>
      </c>
      <c r="D55" s="19" t="n">
        <f aca="false">ABS(B55-C55)</f>
        <v>0</v>
      </c>
      <c r="E55" s="23" t="n">
        <v>0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921</v>
      </c>
      <c r="B56" s="18" t="n">
        <f aca="false">Constraints!$L$96</f>
        <v>0</v>
      </c>
      <c r="C56" s="22" t="n">
        <f aca="false">Reference_Values!B56</f>
        <v>0</v>
      </c>
      <c r="D56" s="19" t="n">
        <f aca="false">ABS(B56-C56)</f>
        <v>0</v>
      </c>
      <c r="E56" s="23" t="n">
        <v>0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923</v>
      </c>
      <c r="B57" s="18" t="n">
        <f aca="false">Constraints!$L$97</f>
        <v>4</v>
      </c>
      <c r="C57" s="22" t="n">
        <f aca="false">Reference_Values!B57</f>
        <v>4</v>
      </c>
      <c r="D57" s="19" t="n">
        <f aca="false">ABS(B57-C57)</f>
        <v>0</v>
      </c>
      <c r="E57" s="23" t="n">
        <v>0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924</v>
      </c>
      <c r="B58" s="18" t="n">
        <f aca="false">Constraints!$L$98</f>
        <v>1</v>
      </c>
      <c r="C58" s="22" t="n">
        <f aca="false">Reference_Values!B58</f>
        <v>1</v>
      </c>
      <c r="D58" s="19" t="n">
        <f aca="false">ABS(B58-C58)</f>
        <v>0</v>
      </c>
      <c r="E58" s="23" t="n">
        <v>0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925</v>
      </c>
      <c r="B59" s="18" t="n">
        <f aca="false">Constraints!$L$99</f>
        <v>1</v>
      </c>
      <c r="C59" s="22" t="n">
        <f aca="false">Reference_Values!B59</f>
        <v>1</v>
      </c>
      <c r="D59" s="19" t="n">
        <f aca="false">ABS(B59-C59)</f>
        <v>0</v>
      </c>
      <c r="E59" s="23" t="n">
        <v>1E-009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926</v>
      </c>
      <c r="B60" s="18" t="n">
        <f aca="false">Constraints!$L$6</f>
        <v>4</v>
      </c>
      <c r="C60" s="22" t="n">
        <f aca="false">Reference_Values!B60</f>
        <v>4</v>
      </c>
      <c r="D60" s="19" t="n">
        <f aca="false">ABS(B60-C60)</f>
        <v>0</v>
      </c>
      <c r="E60" s="23" t="n">
        <v>0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927</v>
      </c>
      <c r="B61" s="18" t="n">
        <f aca="false">Constraints!$L$7</f>
        <v>4</v>
      </c>
      <c r="C61" s="22" t="n">
        <f aca="false">Reference_Values!B61</f>
        <v>4</v>
      </c>
      <c r="D61" s="19" t="n">
        <f aca="false">ABS(B61-C61)</f>
        <v>0</v>
      </c>
      <c r="E61" s="23" t="n">
        <v>1E-009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812</v>
      </c>
      <c r="B62" s="18" t="n">
        <f aca="false">Constraints!$L$8</f>
        <v>1</v>
      </c>
      <c r="C62" s="22" t="n">
        <f aca="false">Reference_Values!B62</f>
        <v>1</v>
      </c>
      <c r="D62" s="19" t="n">
        <f aca="false">ABS(B62-C62)</f>
        <v>0</v>
      </c>
      <c r="E62" s="23" t="n">
        <v>1E-009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848</v>
      </c>
      <c r="B63" s="18" t="n">
        <f aca="false">Constraints!$L$9</f>
        <v>1</v>
      </c>
      <c r="C63" s="22" t="n">
        <f aca="false">Reference_Values!B63</f>
        <v>1</v>
      </c>
      <c r="D63" s="19" t="n">
        <f aca="false">ABS(B63-C63)</f>
        <v>0</v>
      </c>
      <c r="E63" s="23" t="n">
        <v>1E-009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706</v>
      </c>
      <c r="B64" s="18" t="n">
        <f aca="false">Constraints!$L$10</f>
        <v>3</v>
      </c>
      <c r="C64" s="22" t="n">
        <f aca="false">Reference_Values!B64</f>
        <v>3</v>
      </c>
      <c r="D64" s="19" t="n">
        <f aca="false">ABS(B64-C64)</f>
        <v>0</v>
      </c>
      <c r="E64" s="23" t="n">
        <v>0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930</v>
      </c>
      <c r="B65" s="18" t="n">
        <f aca="false">Constraints!$L$12</f>
        <v>1</v>
      </c>
      <c r="C65" s="22" t="n">
        <f aca="false">Reference_Values!B65</f>
        <v>1</v>
      </c>
      <c r="D65" s="19" t="n">
        <f aca="false">ABS(B65-C65)</f>
        <v>0</v>
      </c>
      <c r="E65" s="23" t="n">
        <v>0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714</v>
      </c>
      <c r="B66" s="18" t="n">
        <f aca="false">Constraints!$L$14</f>
        <v>0</v>
      </c>
      <c r="C66" s="22" t="n">
        <f aca="false">Reference_Values!B66</f>
        <v>0</v>
      </c>
      <c r="D66" s="19" t="n">
        <f aca="false">ABS(B66-C66)</f>
        <v>0</v>
      </c>
      <c r="E66" s="23" t="n">
        <v>1E-009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933</v>
      </c>
      <c r="B67" s="18" t="n">
        <f aca="false">Constraints!$S$17</f>
        <v>73.5525461861166</v>
      </c>
      <c r="C67" s="22" t="n">
        <f aca="false">Reference_Values!B67</f>
        <v>73.5525461861166</v>
      </c>
      <c r="D67" s="19" t="n">
        <f aca="false">ABS(B67-C67)</f>
        <v>0</v>
      </c>
      <c r="E67" s="23" t="n">
        <v>1E-009</v>
      </c>
      <c r="F67" s="4" t="str">
        <f aca="false">IF(D67&lt;=E67,"PASS","FAIL")</f>
        <v>PASS</v>
      </c>
    </row>
    <row r="68" customFormat="false" ht="15" hidden="false" customHeight="false" outlineLevel="0" collapsed="false">
      <c r="A68" s="2" t="s">
        <v>723</v>
      </c>
      <c r="B68" s="18" t="n">
        <f aca="false">Constraints!$S$18</f>
        <v>10.9000024797172</v>
      </c>
      <c r="C68" s="22" t="n">
        <f aca="false">Reference_Values!B68</f>
        <v>10.9000021525502</v>
      </c>
      <c r="D68" s="19" t="n">
        <f aca="false">ABS(B68-C68)</f>
        <v>3.27166974400939E-007</v>
      </c>
      <c r="E68" s="23" t="n">
        <v>1E-006</v>
      </c>
      <c r="F68" s="4" t="str">
        <f aca="false">IF(D68&lt;=E68,"PASS","FAIL")</f>
        <v>PASS</v>
      </c>
    </row>
    <row r="69" customFormat="false" ht="15" hidden="false" customHeight="false" outlineLevel="0" collapsed="false">
      <c r="A69" s="2" t="s">
        <v>934</v>
      </c>
      <c r="B69" s="18" t="n">
        <f aca="false">Constraints!$S$16</f>
        <v>11</v>
      </c>
      <c r="C69" s="22" t="n">
        <f aca="false">Reference_Values!B69</f>
        <v>11</v>
      </c>
      <c r="D69" s="19" t="n">
        <f aca="false">ABS(B69-C69)</f>
        <v>0</v>
      </c>
      <c r="E69" s="23" t="n">
        <v>0</v>
      </c>
      <c r="F69" s="4" t="str">
        <f aca="false">IF(D69&lt;=E69,"PASS","FAIL")</f>
        <v>PASS</v>
      </c>
    </row>
    <row r="70" customFormat="false" ht="15" hidden="false" customHeight="false" outlineLevel="0" collapsed="false">
      <c r="A70" s="2" t="s">
        <v>725</v>
      </c>
      <c r="B70" s="18" t="n">
        <f aca="false">Constraints!$S$19</f>
        <v>1.44745381388336</v>
      </c>
      <c r="C70" s="22" t="n">
        <f aca="false">Reference_Values!B70</f>
        <v>1.44745381388336</v>
      </c>
      <c r="D70" s="19" t="n">
        <f aca="false">ABS(B70-C70)</f>
        <v>0</v>
      </c>
      <c r="E70" s="23" t="n">
        <v>1E-009</v>
      </c>
      <c r="F70" s="4" t="str">
        <f aca="false">IF(D70&lt;=E70,"PASS","FAIL")</f>
        <v>PASS</v>
      </c>
    </row>
    <row r="71" customFormat="false" ht="15" hidden="false" customHeight="false" outlineLevel="0" collapsed="false">
      <c r="A71" s="2" t="s">
        <v>936</v>
      </c>
      <c r="B71" s="18" t="n">
        <f aca="false">Constraints!$S$20</f>
        <v>1</v>
      </c>
      <c r="C71" s="22" t="n">
        <f aca="false">Reference_Values!B71</f>
        <v>1</v>
      </c>
      <c r="D71" s="19" t="n">
        <f aca="false">ABS(B71-C71)</f>
        <v>0</v>
      </c>
      <c r="E71" s="23" t="n">
        <v>0</v>
      </c>
      <c r="F71" s="4" t="str">
        <f aca="false">IF(D71&lt;=E71,"PASS","FAIL")</f>
        <v>PASS</v>
      </c>
    </row>
    <row r="72" customFormat="false" ht="15" hidden="false" customHeight="false" outlineLevel="0" collapsed="false">
      <c r="A72" s="2" t="s">
        <v>938</v>
      </c>
      <c r="B72" s="18" t="n">
        <f aca="false">WhatIf!$L$9</f>
        <v>5</v>
      </c>
      <c r="C72" s="22" t="n">
        <f aca="false">Reference_Values!B72</f>
        <v>5</v>
      </c>
      <c r="D72" s="19" t="n">
        <f aca="false">ABS(B72-C72)</f>
        <v>0</v>
      </c>
      <c r="E72" s="23" t="n">
        <v>0</v>
      </c>
      <c r="F72" s="4" t="str">
        <f aca="false">IF(D72&lt;=E72,"PASS","FAIL")</f>
        <v>PASS</v>
      </c>
    </row>
    <row r="73" customFormat="false" ht="15" hidden="false" customHeight="false" outlineLevel="0" collapsed="false">
      <c r="A73" s="2" t="s">
        <v>940</v>
      </c>
      <c r="B73" s="18" t="n">
        <f aca="false">WhatIf!$L$10</f>
        <v>2</v>
      </c>
      <c r="C73" s="22" t="n">
        <f aca="false">Reference_Values!B73</f>
        <v>2</v>
      </c>
      <c r="D73" s="19" t="n">
        <f aca="false">ABS(B73-C73)</f>
        <v>0</v>
      </c>
      <c r="E73" s="23" t="n">
        <v>0</v>
      </c>
      <c r="F73" s="4" t="str">
        <f aca="false">IF(D73&lt;=E73,"PASS","FAIL")</f>
        <v>PASS</v>
      </c>
    </row>
    <row r="74" customFormat="false" ht="15" hidden="false" customHeight="false" outlineLevel="0" collapsed="false">
      <c r="A74" s="2" t="s">
        <v>941</v>
      </c>
      <c r="B74" s="18" t="n">
        <f aca="false">WhatIf!$L$11</f>
        <v>1</v>
      </c>
      <c r="C74" s="22" t="n">
        <f aca="false">Reference_Values!B74</f>
        <v>1</v>
      </c>
      <c r="D74" s="19" t="n">
        <f aca="false">ABS(B74-C74)</f>
        <v>0</v>
      </c>
      <c r="E74" s="23" t="n">
        <v>0</v>
      </c>
      <c r="F74" s="4" t="str">
        <f aca="false">IF(D74&lt;=E74,"PASS","FAIL")</f>
        <v>PASS</v>
      </c>
    </row>
    <row r="75" customFormat="false" ht="15" hidden="false" customHeight="false" outlineLevel="0" collapsed="false">
      <c r="A75" s="2" t="s">
        <v>943</v>
      </c>
      <c r="B75" s="18" t="n">
        <f aca="false">WhatIf!$L$12</f>
        <v>3</v>
      </c>
      <c r="C75" s="22" t="n">
        <f aca="false">Reference_Values!B75</f>
        <v>3</v>
      </c>
      <c r="D75" s="19" t="n">
        <f aca="false">ABS(B75-C75)</f>
        <v>0</v>
      </c>
      <c r="E75" s="23" t="n">
        <v>0</v>
      </c>
      <c r="F75" s="4" t="str">
        <f aca="false">IF(D75&lt;=E75,"PASS","FAIL")</f>
        <v>PASS</v>
      </c>
    </row>
    <row r="76" customFormat="false" ht="15" hidden="false" customHeight="false" outlineLevel="0" collapsed="false">
      <c r="A76" s="2" t="s">
        <v>945</v>
      </c>
      <c r="B76" s="18" t="n">
        <f aca="false">WhatIf!$L$15</f>
        <v>1</v>
      </c>
      <c r="C76" s="22" t="n">
        <f aca="false">Reference_Values!B76</f>
        <v>1</v>
      </c>
      <c r="D76" s="19" t="n">
        <f aca="false">ABS(B76-C76)</f>
        <v>0</v>
      </c>
      <c r="E76" s="23" t="n">
        <v>1E-009</v>
      </c>
      <c r="F76" s="4" t="str">
        <f aca="false">IF(D76&lt;=E76,"PASS","FAIL")</f>
        <v>PASS</v>
      </c>
    </row>
    <row r="78" customFormat="false" ht="15" hidden="false" customHeight="false" outlineLevel="0" collapsed="false">
      <c r="A78" s="4" t="s">
        <v>950</v>
      </c>
      <c r="F78" s="4" t="str">
        <f aca="false">IF(COUNTIF(F2:F76,"PASS")=75,"ALL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2026-10-05T08:38:06Z</dcterms:created>
  <dc:creator>openpyxl</dc:creator>
  <dc:description/>
  <dc:language>en-US</dc:language>
  <cp:lastModifiedBy/>
  <dcterms:modified xsi:type="dcterms:W3CDTF">2026-10-05T08:38:06Z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