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CapitalVector" sheetId="3" state="visible" r:id="rId5"/>
    <sheet name="Rent" sheetId="4" state="visible" r:id="rId6"/>
    <sheet name="Rebuild" sheetId="5" state="visible" r:id="rId7"/>
    <sheet name="CutAndShock" sheetId="6" state="visible" r:id="rId8"/>
    <sheet name="Cash" sheetId="7" state="visible" r:id="rId9"/>
    <sheet name="Allocation" sheetId="8" state="visible" r:id="rId10"/>
    <sheet name="Ledger" sheetId="9" state="visible" r:id="rId11"/>
    <sheet name="Reference_Values" sheetId="10" state="visible" r:id="rId12"/>
    <sheet name="Checks" sheetId="11" state="visible" r:id="rId13"/>
  </sheets>
  <definedNames>
    <definedName function="false" hidden="false" name="Cap_q" vbProcedure="false">Declarations!$B$15</definedName>
    <definedName function="false" hidden="false" name="Cbar" vbProcedure="false">Declarations!$B$18</definedName>
    <definedName function="false" hidden="false" name="C_keep" vbProcedure="false">Declarations!$B$6</definedName>
    <definedName function="false" hidden="false" name="C_leave" vbProcedure="false">Declarations!$B$8</definedName>
    <definedName function="false" hidden="false" name="Delta_q" vbProcedure="false">Declarations!$B$14</definedName>
    <definedName function="false" hidden="false" name="Dep_year" vbProcedure="false">Declarations!$B$17</definedName>
    <definedName function="false" hidden="false" name="Discount" vbProcedure="false">Declarations!$B$11</definedName>
    <definedName function="false" hidden="false" name="Floor_c" vbProcedure="false">Declarations!$B$9</definedName>
    <definedName function="false" hidden="false" name="Liq_today" vbProcedure="false">Declarations!$B$4</definedName>
    <definedName function="false" hidden="false" name="Price_pt" vbProcedure="false">Declarations!$B$16</definedName>
    <definedName function="false" hidden="false" name="Proc_keep" vbProcedure="false">Declarations!$B$12</definedName>
    <definedName function="false" hidden="false" name="Proc_leave" vbProcedure="false">Declarations!$B$10</definedName>
    <definedName function="false" hidden="false" name="Pts_lost" vbProcedure="false">Declarations!$B$7</definedName>
    <definedName function="false" hidden="false" name="Rent_58" vbProcedure="false">Declarations!$B$19</definedName>
    <definedName function="false" hidden="false" name="Tech_share" vbProcedure="false">Declarations!$B$13</definedName>
    <definedName function="false" hidden="false" name="Tech_today" vbProcedure="false">Declarations!$B$5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<sst xmlns="http://schemas.openxmlformats.org/spreadsheetml/2006/main" count="620" uniqueCount="480">
  <si>
    <t xml:space="preserve">DCT Laboratory — Vol I, Ch 10: Enterprise Capital Architecture</t>
  </si>
  <si>
    <t xml:space="preserve">Seed 26110 · Companion to DCT_V1_Ch10_Lab.ipynb and AXIOM Lab 1.10 (module AXIOM-10). Money in $ million.</t>
  </si>
  <si>
    <t xml:space="preserve">Worked Example 10.1, Keep the Engineers or Rebuild Them?, with the book's declarations, and the five steps of AXIOM Lab 1.10, Meridian's Capital Ledger.</t>
  </si>
  <si>
    <t xml:space="preserve">Declarations: the inputs of Worked Example 10.1, Steps 1-2 (the sale's terms are Worked Example 3.1's).</t>
  </si>
  <si>
    <t xml:space="preserve">CapitalVector: the ten forms of Table 10.1, the profiles of Table 10.2, Meridian's capital readings (Table 5.2), and the sale read as a conversion (lab step 1).</t>
  </si>
  <si>
    <t xml:space="preserve">Rent: Meridian's capability rent and Figure 10.1's three stocks, year by year (Theorem 10.3(ii); lab step 2).</t>
  </si>
  <si>
    <t xml:space="preserve">Rebuild: the rebuild clock quarter by quarter, at the cap and at the old maintenance budget (Theorem 10.3(iii); Figure 10.3; Worked Example 10.1, Steps 3-4).</t>
  </si>
  <si>
    <t xml:space="preserve">CutAndShock: a four-quarter cut of the rent and a 30 percent write-off, with their recoveries (Proposition 10.4; Online Appendix 10.B.2; lab steps 2-3).</t>
  </si>
  <si>
    <t xml:space="preserve">Cash: Table 10.5, a $30 million ask, and the sensitivities of Online Appendix 10.B.6 (Worked Example 10.1, Step 5).</t>
  </si>
  <si>
    <t xml:space="preserve">Allocation: Figure 10.2's three policies and the shadow value (Theorems 10.2(i) and 10.4; Online Appendix 10.B.3-10.B.4; lab step 4).</t>
  </si>
  <si>
    <t xml:space="preserve">Ledger: the conversion chain and the plug auditor on two capital records (Theorems 10.1 and 10.5(iii); Online Appendix 10.B.5; lab step 5).</t>
  </si>
  <si>
    <t xml:space="preserve">Every result is a formula of the declarations.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</si>
  <si>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</si>
  <si>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</si>
  <si>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</si>
  <si>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</si>
  <si>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</si>
  <si>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10.1, Steps 1-2; the sale's terms are Worked Example 3.1's). Money in $ million; capability and technology in index points.</t>
  </si>
  <si>
    <t xml:space="preserve">Quantity</t>
  </si>
  <si>
    <t xml:space="preserve">Value</t>
  </si>
  <si>
    <t xml:space="preserve">Source</t>
  </si>
  <si>
    <t xml:space="preserve">Liquidity today ($ million)</t>
  </si>
  <si>
    <t xml:space="preserve">Table 3.1; Worked Example 3.1</t>
  </si>
  <si>
    <t xml:space="preserve">Technology platform today (index)</t>
  </si>
  <si>
    <t xml:space="preserve">Table 3.1</t>
  </si>
  <si>
    <t xml:space="preserve">Workforce capability with the engineering team (index)</t>
  </si>
  <si>
    <t xml:space="preserve">Capability points lost if the team goes with the unit</t>
  </si>
  <si>
    <t xml:space="preserve">Worked Example 3.1</t>
  </si>
  <si>
    <t xml:space="preserve">Workforce capability without the team (index)</t>
  </si>
  <si>
    <t xml:space="preserve">58 - 5 = 53</t>
  </si>
  <si>
    <t xml:space="preserve">Floor for the digital build and the automation program</t>
  </si>
  <si>
    <t xml:space="preserve">Worked Example 3.1; Figure 6.3</t>
  </si>
  <si>
    <t xml:space="preserve">Net proceeds if the team goes with the unit ($ million)</t>
  </si>
  <si>
    <t xml:space="preserve">Worked Example 10.1</t>
  </si>
  <si>
    <t xml:space="preserve">Discount to keep the team ($ million)</t>
  </si>
  <si>
    <t xml:space="preserve">Worked Example 3.1: $20 million in lower proceeds</t>
  </si>
  <si>
    <t xml:space="preserve">Net proceeds if Meridian keeps the team ($ million)</t>
  </si>
  <si>
    <t xml:space="preserve">$92 million</t>
  </si>
  <si>
    <t xml:space="preserve">Share of the technology position the unit takes</t>
  </si>
  <si>
    <t xml:space="preserve">Capability lost a quarter to attrition and the aging of skills, delta</t>
  </si>
  <si>
    <t xml:space="preserve">Worked Example 10.1, Step 2</t>
  </si>
  <si>
    <t xml:space="preserve">Most hiring and training a quarter (points)</t>
  </si>
  <si>
    <t xml:space="preserve">Worked Example 10.1, Step 2: the absorption cap</t>
  </si>
  <si>
    <t xml:space="preserve">Price of a capability point ($ million)</t>
  </si>
  <si>
    <t xml:space="preserve">The buyer's discount: $20 million for 5 points, also the cost of hiring and training</t>
  </si>
  <si>
    <t xml:space="preserve">Depreciation a year, 1 - (1 - delta)^4</t>
  </si>
  <si>
    <t xml:space="preserve">9.6 percent, inside the 6-11 percent attrition range of Table 4.3</t>
  </si>
  <si>
    <t xml:space="preserve">Ceiling under the cap, cap / delta</t>
  </si>
  <si>
    <t xml:space="preserve">Theorem 10.3(iii): 100</t>
  </si>
  <si>
    <t xml:space="preserve">Rent on 58 (points a quarter), delta x 58</t>
  </si>
  <si>
    <t xml:space="preserve">Theorem 10.3(ii): 1.45 points a quarter</t>
  </si>
  <si>
    <t xml:space="preserve">Capability as a capital stock, quarterly: C' = (1 - delta) C + I with 0 &lt;= I &lt;= cap (Equation 10.3).</t>
  </si>
  <si>
    <t xml:space="preserve">Build the capital vector: the ten forms of Table 10.1 and Meridian's readings (AXIOM Lab 1.10, step 1)</t>
  </si>
  <si>
    <t xml:space="preserve">Form (Table 10.1)</t>
  </si>
  <si>
    <t xml:space="preserve">Symbol</t>
  </si>
  <si>
    <t xml:space="preserve">Content</t>
  </si>
  <si>
    <t xml:space="preserve">Typical carrier</t>
  </si>
  <si>
    <t xml:space="preserve">Financial</t>
  </si>
  <si>
    <t xml:space="preserve">C_F</t>
  </si>
  <si>
    <t xml:space="preserve">money and funding capacity</t>
  </si>
  <si>
    <t xml:space="preserve">treasury</t>
  </si>
  <si>
    <t xml:space="preserve">Human</t>
  </si>
  <si>
    <t xml:space="preserve">C_H</t>
  </si>
  <si>
    <t xml:space="preserve">skills embodied in the workforce</t>
  </si>
  <si>
    <t xml:space="preserve">people, functions</t>
  </si>
  <si>
    <t xml:space="preserve">Intellectual</t>
  </si>
  <si>
    <t xml:space="preserve">C_I</t>
  </si>
  <si>
    <t xml:space="preserve">codified knowledge and IP</t>
  </si>
  <si>
    <t xml:space="preserve">IP estate; data</t>
  </si>
  <si>
    <t xml:space="preserve">Technological</t>
  </si>
  <si>
    <t xml:space="preserve">C_T</t>
  </si>
  <si>
    <t xml:space="preserve">installed systems and platforms</t>
  </si>
  <si>
    <t xml:space="preserve">operations; IT</t>
  </si>
  <si>
    <t xml:space="preserve">Organizational</t>
  </si>
  <si>
    <t xml:space="preserve">C_O</t>
  </si>
  <si>
    <t xml:space="preserve">routines and coordination capacity</t>
  </si>
  <si>
    <t xml:space="preserve">the wiring itself</t>
  </si>
  <si>
    <t xml:space="preserve">Relational</t>
  </si>
  <si>
    <t xml:space="preserve">C_R</t>
  </si>
  <si>
    <t xml:space="preserve">external trust and commitments</t>
  </si>
  <si>
    <t xml:space="preserve">boundary components</t>
  </si>
  <si>
    <t xml:space="preserve">Strategic</t>
  </si>
  <si>
    <t xml:space="preserve">C_S</t>
  </si>
  <si>
    <t xml:space="preserve">positional advantage and options</t>
  </si>
  <si>
    <t xml:space="preserve">corporate center</t>
  </si>
  <si>
    <t xml:space="preserve">Governance</t>
  </si>
  <si>
    <t xml:space="preserve">C_G</t>
  </si>
  <si>
    <t xml:space="preserve">decision quality and legitimacy</t>
  </si>
  <si>
    <t xml:space="preserve">board; governance</t>
  </si>
  <si>
    <t xml:space="preserve">Innovation</t>
  </si>
  <si>
    <t xml:space="preserve">C_N</t>
  </si>
  <si>
    <t xml:space="preserve">pipeline of unrealized options</t>
  </si>
  <si>
    <t xml:space="preserve">R&amp;D; ventures</t>
  </si>
  <si>
    <t xml:space="preserve">Informational</t>
  </si>
  <si>
    <t xml:space="preserve">C_Info</t>
  </si>
  <si>
    <t xml:space="preserve">decision-relevant data and models</t>
  </si>
  <si>
    <t xml:space="preserve">platforms; functions</t>
  </si>
  <si>
    <t xml:space="preserve">Forms in the capital vector (Equation 10.1)</t>
  </si>
  <si>
    <t xml:space="preserve">Form (Table 10.2)</t>
  </si>
  <si>
    <t xml:space="preserve">Depreciation a year (typical)</t>
  </si>
  <si>
    <t xml:space="preserve">Build time</t>
  </si>
  <si>
    <t xml:space="preserve">Tradable</t>
  </si>
  <si>
    <t xml:space="preserve">Separable</t>
  </si>
  <si>
    <t xml:space="preserve">about 0</t>
  </si>
  <si>
    <t xml:space="preserve">immediate</t>
  </si>
  <si>
    <t xml:space="preserve">fully</t>
  </si>
  <si>
    <t xml:space="preserve">0.10-0.25</t>
  </si>
  <si>
    <t xml:space="preserve">years</t>
  </si>
  <si>
    <t xml:space="preserve">at the margin</t>
  </si>
  <si>
    <t xml:space="preserve">no</t>
  </si>
  <si>
    <t xml:space="preserve">0.05-0.20</t>
  </si>
  <si>
    <t xml:space="preserve">partly</t>
  </si>
  <si>
    <t xml:space="preserve">yes</t>
  </si>
  <si>
    <t xml:space="preserve">0.15-0.30</t>
  </si>
  <si>
    <t xml:space="preserve">quarters to years</t>
  </si>
  <si>
    <t xml:space="preserve">in parts</t>
  </si>
  <si>
    <t xml:space="preserve">0.03-0.10</t>
  </si>
  <si>
    <t xml:space="preserve">0.05-0.15, plus breach</t>
  </si>
  <si>
    <t xml:space="preserve">tied to the regime</t>
  </si>
  <si>
    <t xml:space="preserve">rarely</t>
  </si>
  <si>
    <t xml:space="preserve">Table 10.2 profiles the forms of Definitions 10.3-10.9; the other three of the ten, governance, innovation and informational capital, are treated with the same machinery, and no result depends on the length of the list (Section 10.4).</t>
  </si>
  <si>
    <t xml:space="preserve">Meridian's capital reading (Table 5.2)</t>
  </si>
  <si>
    <t xml:space="preserve">Form</t>
  </si>
  <si>
    <t xml:space="preserve">Today</t>
  </si>
  <si>
    <t xml:space="preserve">Unit</t>
  </si>
  <si>
    <t xml:space="preserve">Measured by</t>
  </si>
  <si>
    <t xml:space="preserve">Error</t>
  </si>
  <si>
    <t xml:space="preserve">Carrier (Tables 9.1, 10.1)</t>
  </si>
  <si>
    <t xml:space="preserve">x1 liquidity</t>
  </si>
  <si>
    <t xml:space="preserve">financial</t>
  </si>
  <si>
    <t xml:space="preserve">$ million</t>
  </si>
  <si>
    <t xml:space="preserve">treasury systems</t>
  </si>
  <si>
    <t xml:space="preserve">+/-1%</t>
  </si>
  <si>
    <t xml:space="preserve">treasury (TRS)</t>
  </si>
  <si>
    <t xml:space="preserve">x2 net leverage (covenant 4.5x, Table 5.4)</t>
  </si>
  <si>
    <t xml:space="preserve">net debt / EBITDA</t>
  </si>
  <si>
    <t xml:space="preserve">audited accounts</t>
  </si>
  <si>
    <t xml:space="preserve">+/-2%</t>
  </si>
  <si>
    <t xml:space="preserve">x3 workforce capability</t>
  </si>
  <si>
    <t xml:space="preserve">human</t>
  </si>
  <si>
    <t xml:space="preserve">index 0-100</t>
  </si>
  <si>
    <t xml:space="preserve">skills survey</t>
  </si>
  <si>
    <t xml:space="preserve">+/-5 points</t>
  </si>
  <si>
    <t xml:space="preserve">engineering (ENG)</t>
  </si>
  <si>
    <t xml:space="preserve">x4 technology platform</t>
  </si>
  <si>
    <t xml:space="preserve">technological</t>
  </si>
  <si>
    <t xml:space="preserve">architecture audit</t>
  </si>
  <si>
    <t xml:space="preserve">+/-4 points</t>
  </si>
  <si>
    <t xml:space="preserve">none declared</t>
  </si>
  <si>
    <t xml:space="preserve">organizational</t>
  </si>
  <si>
    <t xml:space="preserve">latent</t>
  </si>
  <si>
    <t xml:space="preserve">no declared proxy (Section 4.5)</t>
  </si>
  <si>
    <t xml:space="preserve">widest</t>
  </si>
  <si>
    <t xml:space="preserve">The sale as a conversion (Theorem 10.1; Worked Example 10.1, Step 1)</t>
  </si>
  <si>
    <t xml:space="preserve">Keep the team</t>
  </si>
  <si>
    <t xml:space="preserve">Let it go</t>
  </si>
  <si>
    <t xml:space="preserve">Liquidity ($ million)</t>
  </si>
  <si>
    <t xml:space="preserve">Workforce capability</t>
  </si>
  <si>
    <t xml:space="preserve">Technology platform</t>
  </si>
  <si>
    <t xml:space="preserve">The sale converts part of Industrial Systems' technological, human and relational capital into financial capital; the discount is a market quote for a stock that never appears on the balance sheet.</t>
  </si>
  <si>
    <t xml:space="preserve">Price the rent: capital is a rental (Theorem 10.3(ii); Figure 10.1; Worked Example 10.1, Step 2; AXIOM Lab 1.10, step 2)</t>
  </si>
  <si>
    <t xml:space="preserve">Meridian's capability</t>
  </si>
  <si>
    <t xml:space="preserve">Reading</t>
  </si>
  <si>
    <t xml:space="preserve">Rent on 58, points a quarter</t>
  </si>
  <si>
    <t xml:space="preserve">Holding C* needs I = delta C* every period</t>
  </si>
  <si>
    <t xml:space="preserve">Rent on 58, points a year</t>
  </si>
  <si>
    <t xml:space="preserve">Rent on 58, $ million a quarter</t>
  </si>
  <si>
    <t xml:space="preserve">Rent on 58, $ million a year</t>
  </si>
  <si>
    <t xml:space="preserve">About $23 million a year, already in the operating budget</t>
  </si>
  <si>
    <t xml:space="preserve">Depreciation a year</t>
  </si>
  <si>
    <t xml:space="preserve">Figure 10.1: stock</t>
  </si>
  <si>
    <t xml:space="preserve">Target</t>
  </si>
  <si>
    <t xml:space="preserve">Rent a year</t>
  </si>
  <si>
    <t xml:space="preserve">Years to 90% at the rent</t>
  </si>
  <si>
    <t xml:space="preserve">Years to 90% at twice the rent</t>
  </si>
  <si>
    <t xml:space="preserve">Approximation (1/delta) ln 10</t>
  </si>
  <si>
    <t xml:space="preserve">First whole year at 90%, at the rent</t>
  </si>
  <si>
    <t xml:space="preserve">First whole year at 90%, twice the rent</t>
  </si>
  <si>
    <t xml:space="preserve">Twice the rent until the target is reached, then the rent. Slow stocks are cheap to hold and slow to build; spending compresses build time only up to the absorption cap.</t>
  </si>
  <si>
    <t xml:space="preserve">Year</t>
  </si>
  <si>
    <t xml:space="preserve">Organizational at the rent</t>
  </si>
  <si>
    <t xml:space="preserve">Organizational, twice the rent</t>
  </si>
  <si>
    <t xml:space="preserve">Human at the rent</t>
  </si>
  <si>
    <t xml:space="preserve">Human, twice the rent</t>
  </si>
  <si>
    <t xml:space="preserve">Technological at the rent</t>
  </si>
  <si>
    <t xml:space="preserve">Technological, twice the rent</t>
  </si>
  <si>
    <t xml:space="preserve">Run the rebuild clock: capability after the sale, quarter by quarter (Theorem 10.3(iii); Figure 10.3; Worked Example 10.1, Steps 3-4)</t>
  </si>
  <si>
    <t xml:space="preserve">2.5 / 0.025 = 100</t>
  </si>
  <si>
    <t xml:space="preserve">Fewest quarters from 53 to clear 55</t>
  </si>
  <si>
    <t xml:space="preserve">ln(47/45) / ln(1/0.975) = 1.7: two quarters in practice</t>
  </si>
  <si>
    <t xml:space="preserve">Fewest quarters from 53 to regain 58</t>
  </si>
  <si>
    <t xml:space="preserve">ln(47/42) / ln(1/0.975) = 4.4: five quarters</t>
  </si>
  <si>
    <t xml:space="preserve">Quarters below 55, rebuilding at the cap</t>
  </si>
  <si>
    <t xml:space="preserve">Table 10.5: 2</t>
  </si>
  <si>
    <t xml:space="preserve">Quarters below 58, rebuilding at the cap</t>
  </si>
  <si>
    <t xml:space="preserve">Table 10.5: 5</t>
  </si>
  <si>
    <t xml:space="preserve">Capability after one quarter at the cap</t>
  </si>
  <si>
    <t xml:space="preserve">Online Appendix 10.B.6: 54.18</t>
  </si>
  <si>
    <t xml:space="preserve">Capability after four quarters at the cap</t>
  </si>
  <si>
    <t xml:space="preserve">57.53</t>
  </si>
  <si>
    <t xml:space="preserve">Old budget: quarters below 55</t>
  </si>
  <si>
    <t xml:space="preserve">21 quarters, more than five years</t>
  </si>
  <si>
    <t xml:space="preserve">Old budget: capability after six years</t>
  </si>
  <si>
    <t xml:space="preserve">55.3</t>
  </si>
  <si>
    <t xml:space="preserve">Old budget: quarters to reach 57</t>
  </si>
  <si>
    <t xml:space="preserve">64 quarters</t>
  </si>
  <si>
    <t xml:space="preserve">Step 4: while capability is below 55 the digital build and the automation program are off the menu (Propositions 10.3 and 10.4). The sale removes them on the day it closes.</t>
  </si>
  <si>
    <t xml:space="preserve">Quarter after closing</t>
  </si>
  <si>
    <t xml:space="preserve">Keep: investment</t>
  </si>
  <si>
    <t xml:space="preserve">Keep: capability</t>
  </si>
  <si>
    <t xml:space="preserve">Rebuild at the cap: investment</t>
  </si>
  <si>
    <t xml:space="preserve">Rebuild: capability</t>
  </si>
  <si>
    <t xml:space="preserve">Old budget: investment</t>
  </si>
  <si>
    <t xml:space="preserve">Old budget: capability</t>
  </si>
  <si>
    <t xml:space="preserve">Closed form 58 - 5 x 0.975^k</t>
  </si>
  <si>
    <t xml:space="preserve">Cut the rent for four quarters; destroy 30 percent in one (Proposition 10.4; Section 11.8; Online Appendix 10.B.2; AXIOM Lab 1.10, steps 2-3)</t>
  </si>
  <si>
    <t xml:space="preserve">Quarters of the cut (no hiring or training)</t>
  </si>
  <si>
    <t xml:space="preserve">AXIOM Lab 1.10, step 2</t>
  </si>
  <si>
    <t xml:space="preserve">Share of capability destroyed in one quarter</t>
  </si>
  <si>
    <t xml:space="preserve">AXIOM Lab 1.10, step 3</t>
  </si>
  <si>
    <t xml:space="preserve">Quarter in which capability first falls below 55</t>
  </si>
  <si>
    <t xml:space="preserve">Section 11.8: below the floor within three quarters</t>
  </si>
  <si>
    <t xml:space="preserve">Capability at the end of the cut</t>
  </si>
  <si>
    <t xml:space="preserve">The cut's saving ($ million)</t>
  </si>
  <si>
    <t xml:space="preserve">the year's rent, about $23 million</t>
  </si>
  <si>
    <t xml:space="preserve">Old budget after the cut: quarters to clear 55</t>
  </si>
  <si>
    <t xml:space="preserve">and it never regains 58</t>
  </si>
  <si>
    <t xml:space="preserve">At the cap after the cut: quarters to clear 55</t>
  </si>
  <si>
    <t xml:space="preserve">At the cap after the cut: quarters to regain 58</t>
  </si>
  <si>
    <t xml:space="preserve">Investment at the cap over those quarters (points)</t>
  </si>
  <si>
    <t xml:space="preserve">The rent over the same quarters (points)</t>
  </si>
  <si>
    <t xml:space="preserve">Extra cost of rebuilding at the cap ($ million)</t>
  </si>
  <si>
    <t xml:space="preserve">the repurchase liability of the cut</t>
  </si>
  <si>
    <t xml:space="preserve">Capability after the write-off</t>
  </si>
  <si>
    <t xml:space="preserve">58 x 0.7 = 40.6</t>
  </si>
  <si>
    <t xml:space="preserve">At the cap: quarters to clear 55</t>
  </si>
  <si>
    <t xml:space="preserve">At the cap: quarters to regain 58</t>
  </si>
  <si>
    <t xml:space="preserve">one quarter to destroy, fourteen to rebuild</t>
  </si>
  <si>
    <t xml:space="preserve">Theorem 10.3(iii): fewest quarters back to 58</t>
  </si>
  <si>
    <t xml:space="preserve">Old budget: quarters to clear 55</t>
  </si>
  <si>
    <t xml:space="preserve">Repurchase: write-off below the floor, w (points)</t>
  </si>
  <si>
    <t xml:space="preserve">Online Appendix 10.B.2</t>
  </si>
  <si>
    <t xml:space="preserve">Repurchase: the floor, c</t>
  </si>
  <si>
    <t xml:space="preserve">Repurchase period, exact: ln((Cbar - c + w)/(Cbar - c)) / ln(1/(1 - delta))</t>
  </si>
  <si>
    <t xml:space="preserve">1.72 quarters</t>
  </si>
  <si>
    <t xml:space="preserve">Repurchase period, approximation: w / (delta (Cbar - c))</t>
  </si>
  <si>
    <t xml:space="preserve">1.78 quarters</t>
  </si>
  <si>
    <t xml:space="preserve">Quarter</t>
  </si>
  <si>
    <t xml:space="preserve">Cut, then the cap: investment</t>
  </si>
  <si>
    <t xml:space="preserve">Capability</t>
  </si>
  <si>
    <t xml:space="preserve">Cut, then the old budget: investment</t>
  </si>
  <si>
    <t xml:space="preserve">Write-off, then the cap: investment</t>
  </si>
  <si>
    <t xml:space="preserve">Write-off, then the old budget: investment</t>
  </si>
  <si>
    <t xml:space="preserve">Compare the cash: Table 10.5 and the sensitivities of Online Appendix 10.B.6 (Worked Example 10.1, Step 5)</t>
  </si>
  <si>
    <t xml:space="preserve">Table 10.5</t>
  </si>
  <si>
    <t xml:space="preserve">Let it go, rebuild</t>
  </si>
  <si>
    <t xml:space="preserve">Proceeds at closing ($ million)</t>
  </si>
  <si>
    <t xml:space="preserve">Capability at closing</t>
  </si>
  <si>
    <t xml:space="preserve">Quarters below the floor of 55</t>
  </si>
  <si>
    <t xml:space="preserve">Quarters below 58</t>
  </si>
  <si>
    <t xml:space="preserve">Capability investment over the rebuild window (points)</t>
  </si>
  <si>
    <t xml:space="preserve">Capability investment over the rebuild window ($ million)</t>
  </si>
  <si>
    <t xml:space="preserve">Proceeds net of that investment ($ million)</t>
  </si>
  <si>
    <t xml:space="preserve">Extra investment to rebuild (points)</t>
  </si>
  <si>
    <t xml:space="preserve">4.66 points</t>
  </si>
  <si>
    <t xml:space="preserve">Extra investment to rebuild ($ million)</t>
  </si>
  <si>
    <t xml:space="preserve">$18.6 million</t>
  </si>
  <si>
    <t xml:space="preserve">Rebuilding comes out ahead by ($ million)</t>
  </si>
  <si>
    <t xml:space="preserve">$1.4 million: in cash, a wash</t>
  </si>
  <si>
    <t xml:space="preserve">An ask to leave the team in place ($ million)</t>
  </si>
  <si>
    <t xml:space="preserve">Worked Example 10.1, For discussion</t>
  </si>
  <si>
    <t xml:space="preserve">Net proceeds if Meridian pays it and keeps the team</t>
  </si>
  <si>
    <t xml:space="preserve">Keeping then costs more in cash than rebuilding by</t>
  </si>
  <si>
    <t xml:space="preserve">about $11 million: the price of two quarters of digital-program time</t>
  </si>
  <si>
    <t xml:space="preserve">Online Appendix 10.B.6</t>
  </si>
  <si>
    <t xml:space="preserve">As declared</t>
  </si>
  <si>
    <t xml:space="preserve">Cap 2.0 a quarter</t>
  </si>
  <si>
    <t xml:space="preserve">Attrition 6% a year</t>
  </si>
  <si>
    <t xml:space="preserve">Attrition 11% a year</t>
  </si>
  <si>
    <t xml:space="preserve">Hiring and training cap (points a quarter)</t>
  </si>
  <si>
    <t xml:space="preserve">Attrition a year</t>
  </si>
  <si>
    <t xml:space="preserve">Attrition a quarter, (1 - a year)^(1/4) compounded</t>
  </si>
  <si>
    <t xml:space="preserve">Quarter capability clears 55</t>
  </si>
  <si>
    <t xml:space="preserve">Quarter capability regains 58</t>
  </si>
  <si>
    <t xml:space="preserve">Rebuild investment over the window (points)</t>
  </si>
  <si>
    <t xml:space="preserve">Holding 58 over the window (points)</t>
  </si>
  <si>
    <t xml:space="preserve">Extra cost of rebuilding ($ million)</t>
  </si>
  <si>
    <t xml:space="preserve">Online Appendix 10.B.6: in every case the extra proceeds of $20 million roughly pay for the rebuild; what differs is the time.</t>
  </si>
  <si>
    <t xml:space="preserve">As declared: investment</t>
  </si>
  <si>
    <t xml:space="preserve">Cap 2.0: investment</t>
  </si>
  <si>
    <t xml:space="preserve">Attrition 6%: investment</t>
  </si>
  <si>
    <t xml:space="preserve">Attrition 11%: investment</t>
  </si>
  <si>
    <t xml:space="preserve">Allocate a budget: fund the bottleneck (Theorems 10.2(i) and 10.4; Figure 10.2; AXIOM Lab 1.10, step 4)</t>
  </si>
  <si>
    <t xml:space="preserve">Section 10.7's technology company: delivery capacity F = min(C_T / 1.0, C_H / 0.5, C_O / 0.75). Capacity reads no financial capital: money left in cash adds nothing until it is converted.</t>
  </si>
  <si>
    <t xml:space="preserve">Stock C</t>
  </si>
  <si>
    <t xml:space="preserve">Requirement r</t>
  </si>
  <si>
    <t xml:space="preserve">Ratio C / r</t>
  </si>
  <si>
    <t xml:space="preserve">Online Appendix 10.B.3</t>
  </si>
  <si>
    <t xml:space="preserve">Form 1</t>
  </si>
  <si>
    <t xml:space="preserve">Form 2</t>
  </si>
  <si>
    <t xml:space="preserve">technology</t>
  </si>
  <si>
    <t xml:space="preserve">Capacity, the smallest ratio</t>
  </si>
  <si>
    <t xml:space="preserve">Budget</t>
  </si>
  <si>
    <t xml:space="preserve">Human capital's slack over the bottleneck</t>
  </si>
  <si>
    <t xml:space="preserve">Kink: budget that lifts form 1 to form 2's ratio</t>
  </si>
  <si>
    <t xml:space="preserve">Capacity reached</t>
  </si>
  <si>
    <t xml:space="preserve">Kink (Theorem 10.4(ii))</t>
  </si>
  <si>
    <t xml:space="preserve">Level l: the k-th smallest ratio</t>
  </si>
  <si>
    <t xml:space="preserve">Budget b(l) = sum max(r l - C, 0)</t>
  </si>
  <si>
    <t xml:space="preserve">Requirements of the funded forms</t>
  </si>
  <si>
    <t xml:space="preserve">Shadow value lambda</t>
  </si>
  <si>
    <t xml:space="preserve">Optimal allocation</t>
  </si>
  <si>
    <t xml:space="preserve">Online Appendix 10.B.4: complements C1^a C2^b</t>
  </si>
  <si>
    <t xml:space="preserve">Case 1</t>
  </si>
  <si>
    <t xml:space="preserve">Case 2</t>
  </si>
  <si>
    <t xml:space="preserve">a</t>
  </si>
  <si>
    <t xml:space="preserve">Budget at which all three tie and the bottleneck rotates</t>
  </si>
  <si>
    <t xml:space="preserve">b</t>
  </si>
  <si>
    <t xml:space="preserve">Stock C1</t>
  </si>
  <si>
    <t xml:space="preserve">Results</t>
  </si>
  <si>
    <t xml:space="preserve">Fund the bottleneck</t>
  </si>
  <si>
    <t xml:space="preserve">Equal split</t>
  </si>
  <si>
    <t xml:space="preserve">All to human capital</t>
  </si>
  <si>
    <t xml:space="preserve">Stock C2</t>
  </si>
  <si>
    <t xml:space="preserve">Capacity after 17.5 points</t>
  </si>
  <si>
    <t xml:space="preserve">Capacity after 30 points</t>
  </si>
  <si>
    <t xml:space="preserve">Final stock of form 1, a / (a + b) x (C1 + C2 + B)</t>
  </si>
  <si>
    <t xml:space="preserve">Capacity bought a point over the 30</t>
  </si>
  <si>
    <t xml:space="preserve">Final stock of form 2</t>
  </si>
  <si>
    <t xml:space="preserve">Bottleneck allocation of 30 points: technology, human, organizational</t>
  </si>
  <si>
    <t xml:space="preserve">Funding of form 1</t>
  </si>
  <si>
    <t xml:space="preserve">Theorem 10.4(i): every funded form earns the same marginal capacity, the shadow value lambda; an unfunded form's falls short of it. Here lambda = 1/1.75 = 0.571 until the tie, then 1/2.25 = 0.444.</t>
  </si>
  <si>
    <t xml:space="preserve">Funding of form 2</t>
  </si>
  <si>
    <t xml:space="preserve">Budget spent B</t>
  </si>
  <si>
    <t xml:space="preserve">Fund the bottleneck: capacity</t>
  </si>
  <si>
    <t xml:space="preserve">Equal split: capacity</t>
  </si>
  <si>
    <t xml:space="preserve">All to human capital: capacity</t>
  </si>
  <si>
    <t xml:space="preserve">Kink in force</t>
  </si>
  <si>
    <t xml:space="preserve">Audit the ledger: the plug as a detector (Theorems 10.1 and 10.5(iii); Online Appendix 10.B.1, 10.B.5; AXIOM Lab 1.10, step 5)</t>
  </si>
  <si>
    <t xml:space="preserve">Conversion chain (Online Appendix 10.B.1)</t>
  </si>
  <si>
    <t xml:space="preserve">Cash into a platform: efficiency</t>
  </si>
  <si>
    <t xml:space="preserve">Platform into usable capability: efficiency</t>
  </si>
  <si>
    <t xml:space="preserve">Share of the budget delivered as capability</t>
  </si>
  <si>
    <t xml:space="preserve">Conversion loss (Theorem 10.1(ii))</t>
  </si>
  <si>
    <t xml:space="preserve">Record A: the sale, booked without the engineering team. Columns B-E are what happened; the auditor sees the stocks (B, E) and the declared channels (F, G) only. The treasury books the unit at $92 million, the price without the team. Quarter 0 ends with the closing.</t>
  </si>
  <si>
    <t xml:space="preserve">Start</t>
  </si>
  <si>
    <t xml:space="preserve">Investment made</t>
  </si>
  <si>
    <t xml:space="preserve">Team leaves with the unit (undeclared)</t>
  </si>
  <si>
    <t xml:space="preserve">End</t>
  </si>
  <si>
    <t xml:space="preserve">Declared investment</t>
  </si>
  <si>
    <t xml:space="preserve">Decay, delta x start</t>
  </si>
  <si>
    <t xml:space="preserve">Plug</t>
  </si>
  <si>
    <t xml:space="preserve">Cash received</t>
  </si>
  <si>
    <t xml:space="preserve">Cash declared</t>
  </si>
  <si>
    <t xml:space="preserve">Cash plug</t>
  </si>
  <si>
    <t xml:space="preserve">Plug in the closing quarter (points)</t>
  </si>
  <si>
    <t xml:space="preserve">One outflow on capability and one inflow of cash, in the closing quarter, at $4 million a point: the team sold with the unit.</t>
  </si>
  <si>
    <t xml:space="preserve">Plugs in the other quarters, in absolute value</t>
  </si>
  <si>
    <t xml:space="preserve">Cash plug in the closing quarter ($ million)</t>
  </si>
  <si>
    <t xml:space="preserve">Price of the undeclared conversion ($ million a point)</t>
  </si>
  <si>
    <t xml:space="preserve">Record B: training is cut for the quarters of CutAndShock!B4, but the ledger still books the rent as invested and the training budget as spent.</t>
  </si>
  <si>
    <t xml:space="preserve">Training spend declared ($ million)</t>
  </si>
  <si>
    <t xml:space="preserve">Training spend made</t>
  </si>
  <si>
    <t xml:space="preserve">Quarters with a nonzero plug</t>
  </si>
  <si>
    <t xml:space="preserve">Plug a quarter during the cut (points)</t>
  </si>
  <si>
    <t xml:space="preserve">A persistent negative plug of the rent's size for exactly the quarters of the cut, mirrored in cash: the rent turned back into reported earnings (Section 11.8).</t>
  </si>
  <si>
    <t xml:space="preserve">Cash plug in all ($ million)</t>
  </si>
  <si>
    <t xml:space="preserve">Checkpoint</t>
  </si>
  <si>
    <t xml:space="preserve">Engine value</t>
  </si>
  <si>
    <t xml:space="preserve">Meaning (where in the book)</t>
  </si>
  <si>
    <t xml:space="preserve">Forms in the capital vector</t>
  </si>
  <si>
    <t xml:space="preserve">Table 10.1 and Equation 10.1: ten forms</t>
  </si>
  <si>
    <t xml:space="preserve">Price of a capability point</t>
  </si>
  <si>
    <t xml:space="preserve">Worked Example 10.1, Step 1: $4 million a point</t>
  </si>
  <si>
    <t xml:space="preserve">Liquidity after the sale, team goes</t>
  </si>
  <si>
    <t xml:space="preserve">Step 1: $732 million</t>
  </si>
  <si>
    <t xml:space="preserve">Liquidity after the sale, team kept</t>
  </si>
  <si>
    <t xml:space="preserve">Step 1: $712 million</t>
  </si>
  <si>
    <t xml:space="preserve">Technology after the sale</t>
  </si>
  <si>
    <t xml:space="preserve">Step 1: 41 to 36.9 either way</t>
  </si>
  <si>
    <t xml:space="preserve">Depreciation a year (percent)</t>
  </si>
  <si>
    <t xml:space="preserve">Online Appendix 10.B.6: 9.6 percent</t>
  </si>
  <si>
    <t xml:space="preserve">Step 2: 1.45 points a quarter</t>
  </si>
  <si>
    <t xml:space="preserve">Step 2: about $23 million a year</t>
  </si>
  <si>
    <t xml:space="preserve">Years to 90%, delta 5%, at the rent</t>
  </si>
  <si>
    <t xml:space="preserve">Figure 10.1: 44.9</t>
  </si>
  <si>
    <t xml:space="preserve">Years to 90%, delta 10%, at the rent</t>
  </si>
  <si>
    <t xml:space="preserve">Figure 10.1: 21.9</t>
  </si>
  <si>
    <t xml:space="preserve">Years to 90%, delta 25%, at the rent</t>
  </si>
  <si>
    <t xml:space="preserve">Figure 10.1: 8.0</t>
  </si>
  <si>
    <t xml:space="preserve">Years to 90%, delta 5%, twice the rent</t>
  </si>
  <si>
    <t xml:space="preserve">Figure 10.1: 11.7</t>
  </si>
  <si>
    <t xml:space="preserve">Years to 90%, delta 10%, twice the rent</t>
  </si>
  <si>
    <t xml:space="preserve">Figure 10.1: 5.7</t>
  </si>
  <si>
    <t xml:space="preserve">Years to 90%, delta 25%, twice the rent</t>
  </si>
  <si>
    <t xml:space="preserve">Figure 10.1: 2.1</t>
  </si>
  <si>
    <t xml:space="preserve">Ceiling under the cap</t>
  </si>
  <si>
    <t xml:space="preserve">Step 3: 100</t>
  </si>
  <si>
    <t xml:space="preserve">Step 3: 1.7; Online Appendix 10.B.2: 1.72</t>
  </si>
  <si>
    <t xml:space="preserve">Step 3: 4.4</t>
  </si>
  <si>
    <t xml:space="preserve">Online Appendix 10.B.6: 57.53</t>
  </si>
  <si>
    <t xml:space="preserve">Quarters below 55, rebuild at the cap</t>
  </si>
  <si>
    <t xml:space="preserve">Quarters below 58, rebuild at the cap</t>
  </si>
  <si>
    <t xml:space="preserve">Step 3: 21 quarters</t>
  </si>
  <si>
    <t xml:space="preserve">Online Appendix 10.B.6: 55.3</t>
  </si>
  <si>
    <t xml:space="preserve">Online Appendix 10.B.6: 64</t>
  </si>
  <si>
    <t xml:space="preserve">Rebuild investment over the window, points</t>
  </si>
  <si>
    <t xml:space="preserve">Table 10.5: 11.9 (Online Appendix: 11.91)</t>
  </si>
  <si>
    <t xml:space="preserve">Rebuild investment, $ million</t>
  </si>
  <si>
    <t xml:space="preserve">Table 10.5: 47.6</t>
  </si>
  <si>
    <t xml:space="preserve">Keep investment, $ million</t>
  </si>
  <si>
    <t xml:space="preserve">Table 10.5: 29.0</t>
  </si>
  <si>
    <t xml:space="preserve">Extra cost of rebuilding, $ million</t>
  </si>
  <si>
    <t xml:space="preserve">Step 5: $18.6 million</t>
  </si>
  <si>
    <t xml:space="preserve">Net proceeds, keep the team</t>
  </si>
  <si>
    <t xml:space="preserve">Table 10.5: 63.0</t>
  </si>
  <si>
    <t xml:space="preserve">Net proceeds, let it go and rebuild</t>
  </si>
  <si>
    <t xml:space="preserve">Table 10.5: 64.4</t>
  </si>
  <si>
    <t xml:space="preserve">Cap 2.0: quarter capability clears 55</t>
  </si>
  <si>
    <t xml:space="preserve">Online Appendix 10.B.6: 4</t>
  </si>
  <si>
    <t xml:space="preserve">Cap 2.0: quarter capability regains 58</t>
  </si>
  <si>
    <t xml:space="preserve">Online Appendix 10.B.6: 9</t>
  </si>
  <si>
    <t xml:space="preserve">Cap 2.0: extra cost, $ million</t>
  </si>
  <si>
    <t xml:space="preserve">Online Appendix 10.B.6: 17.8</t>
  </si>
  <si>
    <t xml:space="preserve">Attrition 6%: quarter capability clears 55</t>
  </si>
  <si>
    <t xml:space="preserve">Online Appendix 10.B.6: 2</t>
  </si>
  <si>
    <t xml:space="preserve">Attrition 6%: quarter capability regains 58</t>
  </si>
  <si>
    <t xml:space="preserve">Attrition 6%: extra cost, $ million</t>
  </si>
  <si>
    <t xml:space="preserve">Online Appendix 10.B.6: 19.4</t>
  </si>
  <si>
    <t xml:space="preserve">Attrition 11%: quarter capability clears 55</t>
  </si>
  <si>
    <t xml:space="preserve">Online Appendix 10.B.6: 3</t>
  </si>
  <si>
    <t xml:space="preserve">Attrition 11%: quarter capability regains 58</t>
  </si>
  <si>
    <t xml:space="preserve">Online Appendix 10.B.6: 6</t>
  </si>
  <si>
    <t xml:space="preserve">Attrition 11%: extra cost, $ million</t>
  </si>
  <si>
    <t xml:space="preserve">Online Appendix 10.B.6: 18.2</t>
  </si>
  <si>
    <t xml:space="preserve">A $30 million ask: keeping costs more by</t>
  </si>
  <si>
    <t xml:space="preserve">Online Appendix 10.B.6: about $11 million</t>
  </si>
  <si>
    <t xml:space="preserve">Skipped rent: quarter capability falls below 55</t>
  </si>
  <si>
    <t xml:space="preserve">Section 11.8: within three quarters</t>
  </si>
  <si>
    <t xml:space="preserve">Repurchase of 2 points, exact</t>
  </si>
  <si>
    <t xml:space="preserve">Online Appendix 10.B.2: 1.72</t>
  </si>
  <si>
    <t xml:space="preserve">Repurchase of 2 points, approximation</t>
  </si>
  <si>
    <t xml:space="preserve">Online Appendix 10.B.2: 1.78</t>
  </si>
  <si>
    <t xml:space="preserve">30% write-off: quarters back to 58 at the cap</t>
  </si>
  <si>
    <t xml:space="preserve">AXIOM Lab 1.10, step 3 (computed from the declarations)</t>
  </si>
  <si>
    <t xml:space="preserve">Four-quarter cut: extra cost of rebuilding at the cap</t>
  </si>
  <si>
    <t xml:space="preserve">AXIOM Lab 1.10, step 2 (computed from the declarations)</t>
  </si>
  <si>
    <t xml:space="preserve">Fund the bottleneck: capacity after 30</t>
  </si>
  <si>
    <t xml:space="preserve">Figure 10.2: 95.6</t>
  </si>
  <si>
    <t xml:space="preserve">Equal split: capacity after 30</t>
  </si>
  <si>
    <t xml:space="preserve">Figure 10.2: 90.0</t>
  </si>
  <si>
    <t xml:space="preserve">All to human capital: capacity after 30</t>
  </si>
  <si>
    <t xml:space="preserve">Figure 10.2: 80.0</t>
  </si>
  <si>
    <t xml:space="preserve">Shadow value before the tie</t>
  </si>
  <si>
    <t xml:space="preserve">Section 10.7: 0.57 a point</t>
  </si>
  <si>
    <t xml:space="preserve">Shadow value after the tie</t>
  </si>
  <si>
    <t xml:space="preserve">Section 10.7: 0.44 a point</t>
  </si>
  <si>
    <t xml:space="preserve">Budget at which all three tie</t>
  </si>
  <si>
    <t xml:space="preserve">Section 10.7: 17.5 points</t>
  </si>
  <si>
    <t xml:space="preserve">Equal split: capacity a point</t>
  </si>
  <si>
    <t xml:space="preserve">Section 10.7: 0.33 a point</t>
  </si>
  <si>
    <t xml:space="preserve">Online Appendix 10.B.3: capacity with 20</t>
  </si>
  <si>
    <t xml:space="preserve">Online Appendix 10.B.3: 20</t>
  </si>
  <si>
    <t xml:space="preserve">Online Appendix 10.B.4: funding of form 1</t>
  </si>
  <si>
    <t xml:space="preserve">Online Appendix 10.B.4: 13.3</t>
  </si>
  <si>
    <t xml:space="preserve">Conversion chain: share delivered</t>
  </si>
  <si>
    <t xml:space="preserve">Online Appendix 10.B.1: 56 percent</t>
  </si>
  <si>
    <t xml:space="preserve">Record A: plug in the closing quarter</t>
  </si>
  <si>
    <t xml:space="preserve">Theorem 10.5(iii): minus the 5 points the team took</t>
  </si>
  <si>
    <t xml:space="preserve">Record A: cash plug in the closing quarter</t>
  </si>
  <si>
    <t xml:space="preserve">The $20 million discount</t>
  </si>
  <si>
    <t xml:space="preserve">Record B: quarters with a nonzero plug</t>
  </si>
  <si>
    <t xml:space="preserve">Exactly the four quarters of the cut</t>
  </si>
  <si>
    <t xml:space="preserve">Record B: cash plug in all</t>
  </si>
  <si>
    <t xml:space="preserve">The year's rent, about $23 million (Section 11.8)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</si>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</sst>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0%"/>
    <numFmt numFmtId="168" formatCode="0.000"/>
    <numFmt numFmtId="169" formatCode="0.00"/>
    <numFmt numFmtId="170" formatCode="0.0%"/>
    <numFmt numFmtId="171" formatCode="0.00%"/>
    <numFmt numFmtId="172" formatCode="0.00000"/>
    <numFmt numFmtId="173" formatCode="0.0000"/>
    <numFmt numFmtId="174" formatCode="0.0E+00"/>
    <numFmt numFmtId="175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74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</row>
    <row r="4" customFormat="false" ht="15" hidden="false" customHeight="false" outlineLevel="0" collapsed="false">
      <c r="A4" s="2" t="s">
        <v>21</v>
      </c>
      <c r="B4" s="9" t="n">
        <v>620</v>
      </c>
      <c r="C4" s="10" t="s">
        <v>22</v>
      </c>
    </row>
    <row r="5" customFormat="false" ht="15" hidden="false" customHeight="false" outlineLevel="0" collapsed="false">
      <c r="A5" s="2" t="s">
        <v>23</v>
      </c>
      <c r="B5" s="11" t="n">
        <v>41</v>
      </c>
      <c r="C5" s="10" t="s">
        <v>24</v>
      </c>
    </row>
    <row r="6" customFormat="false" ht="15" hidden="false" customHeight="false" outlineLevel="0" collapsed="false">
      <c r="A6" s="2" t="s">
        <v>25</v>
      </c>
      <c r="B6" s="9" t="n">
        <v>58</v>
      </c>
      <c r="C6" s="10" t="s">
        <v>24</v>
      </c>
    </row>
    <row r="7" customFormat="false" ht="15" hidden="false" customHeight="false" outlineLevel="0" collapsed="false">
      <c r="A7" s="2" t="s">
        <v>26</v>
      </c>
      <c r="B7" s="9" t="n">
        <v>5</v>
      </c>
      <c r="C7" s="10" t="s">
        <v>27</v>
      </c>
    </row>
    <row r="8" customFormat="false" ht="15" hidden="false" customHeight="false" outlineLevel="0" collapsed="false">
      <c r="A8" s="2" t="s">
        <v>28</v>
      </c>
      <c r="B8" s="12" t="n">
        <f aca="false">B6-B7</f>
        <v>53</v>
      </c>
      <c r="C8" s="10" t="s">
        <v>29</v>
      </c>
    </row>
    <row r="9" customFormat="false" ht="15" hidden="false" customHeight="false" outlineLevel="0" collapsed="false">
      <c r="A9" s="2" t="s">
        <v>30</v>
      </c>
      <c r="B9" s="9" t="n">
        <v>55</v>
      </c>
      <c r="C9" s="10" t="s">
        <v>31</v>
      </c>
    </row>
    <row r="10" customFormat="false" ht="15" hidden="false" customHeight="false" outlineLevel="0" collapsed="false">
      <c r="A10" s="2" t="s">
        <v>32</v>
      </c>
      <c r="B10" s="9" t="n">
        <v>112</v>
      </c>
      <c r="C10" s="10" t="s">
        <v>33</v>
      </c>
    </row>
    <row r="11" customFormat="false" ht="15" hidden="false" customHeight="false" outlineLevel="0" collapsed="false">
      <c r="A11" s="2" t="s">
        <v>34</v>
      </c>
      <c r="B11" s="9" t="n">
        <v>20</v>
      </c>
      <c r="C11" s="10" t="s">
        <v>35</v>
      </c>
    </row>
    <row r="12" customFormat="false" ht="15" hidden="false" customHeight="false" outlineLevel="0" collapsed="false">
      <c r="A12" s="2" t="s">
        <v>36</v>
      </c>
      <c r="B12" s="12" t="n">
        <f aca="false">B10-B11</f>
        <v>92</v>
      </c>
      <c r="C12" s="10" t="s">
        <v>37</v>
      </c>
    </row>
    <row r="13" customFormat="false" ht="15" hidden="false" customHeight="false" outlineLevel="0" collapsed="false">
      <c r="A13" s="2" t="s">
        <v>38</v>
      </c>
      <c r="B13" s="13" t="n">
        <v>0.1</v>
      </c>
      <c r="C13" s="10" t="s">
        <v>27</v>
      </c>
    </row>
    <row r="14" customFormat="false" ht="15" hidden="false" customHeight="false" outlineLevel="0" collapsed="false">
      <c r="A14" s="2" t="s">
        <v>39</v>
      </c>
      <c r="B14" s="14" t="n">
        <v>0.025</v>
      </c>
      <c r="C14" s="10" t="s">
        <v>40</v>
      </c>
    </row>
    <row r="15" customFormat="false" ht="15" hidden="false" customHeight="false" outlineLevel="0" collapsed="false">
      <c r="A15" s="2" t="s">
        <v>41</v>
      </c>
      <c r="B15" s="11" t="n">
        <v>2.5</v>
      </c>
      <c r="C15" s="10" t="s">
        <v>42</v>
      </c>
    </row>
    <row r="16" customFormat="false" ht="15" hidden="false" customHeight="false" outlineLevel="0" collapsed="false">
      <c r="A16" s="2" t="s">
        <v>43</v>
      </c>
      <c r="B16" s="15" t="n">
        <f aca="false">B11/B7</f>
        <v>4</v>
      </c>
      <c r="C16" s="10" t="s">
        <v>44</v>
      </c>
    </row>
    <row r="17" customFormat="false" ht="15" hidden="false" customHeight="false" outlineLevel="0" collapsed="false">
      <c r="A17" s="2" t="s">
        <v>45</v>
      </c>
      <c r="B17" s="16" t="n">
        <f aca="false">1-(1-B14)^4</f>
        <v>0.0963121093750001</v>
      </c>
      <c r="C17" s="10" t="s">
        <v>46</v>
      </c>
    </row>
    <row r="18" customFormat="false" ht="15" hidden="false" customHeight="false" outlineLevel="0" collapsed="false">
      <c r="A18" s="2" t="s">
        <v>47</v>
      </c>
      <c r="B18" s="17" t="n">
        <f aca="false">B15/B14</f>
        <v>100</v>
      </c>
      <c r="C18" s="10" t="s">
        <v>48</v>
      </c>
    </row>
    <row r="19" customFormat="false" ht="15" hidden="false" customHeight="false" outlineLevel="0" collapsed="false">
      <c r="A19" s="2" t="s">
        <v>49</v>
      </c>
      <c r="B19" s="18" t="n">
        <f aca="false">B14*B6</f>
        <v>1.45</v>
      </c>
      <c r="C19" s="10" t="s">
        <v>50</v>
      </c>
    </row>
    <row r="21" customFormat="false" ht="15" hidden="false" customHeight="false" outlineLevel="0" collapsed="false">
      <c r="A21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52</v>
      </c>
    </row>
    <row r="3" customFormat="false" ht="15" hidden="false" customHeight="false" outlineLevel="0" collapsed="false">
      <c r="A3" s="8" t="s">
        <v>53</v>
      </c>
      <c r="B3" s="8" t="s">
        <v>54</v>
      </c>
      <c r="C3" s="8" t="s">
        <v>55</v>
      </c>
      <c r="D3" s="8" t="s">
        <v>56</v>
      </c>
    </row>
    <row r="4" customFormat="false" ht="15" hidden="false" customHeight="false" outlineLevel="0" collapsed="false">
      <c r="A4" s="2" t="s">
        <v>57</v>
      </c>
      <c r="B4" s="2" t="s">
        <v>58</v>
      </c>
      <c r="C4" s="2" t="s">
        <v>59</v>
      </c>
      <c r="D4" s="2" t="s">
        <v>60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63</v>
      </c>
      <c r="D5" s="2" t="s">
        <v>64</v>
      </c>
    </row>
    <row r="6" customFormat="false" ht="15" hidden="false" customHeight="false" outlineLevel="0" collapsed="false">
      <c r="A6" s="2" t="s">
        <v>65</v>
      </c>
      <c r="B6" s="2" t="s">
        <v>66</v>
      </c>
      <c r="C6" s="2" t="s">
        <v>67</v>
      </c>
      <c r="D6" s="2" t="s">
        <v>68</v>
      </c>
    </row>
    <row r="7" customFormat="false" ht="15" hidden="false" customHeight="false" outlineLevel="0" collapsed="false">
      <c r="A7" s="2" t="s">
        <v>69</v>
      </c>
      <c r="B7" s="2" t="s">
        <v>70</v>
      </c>
      <c r="C7" s="2" t="s">
        <v>71</v>
      </c>
      <c r="D7" s="2" t="s">
        <v>72</v>
      </c>
    </row>
    <row r="8" customFormat="false" ht="15" hidden="false" customHeight="false" outlineLevel="0" collapsed="false">
      <c r="A8" s="2" t="s">
        <v>73</v>
      </c>
      <c r="B8" s="2" t="s">
        <v>74</v>
      </c>
      <c r="C8" s="2" t="s">
        <v>75</v>
      </c>
      <c r="D8" s="2" t="s">
        <v>76</v>
      </c>
    </row>
    <row r="9" customFormat="false" ht="15" hidden="false" customHeight="false" outlineLevel="0" collapsed="false">
      <c r="A9" s="2" t="s">
        <v>77</v>
      </c>
      <c r="B9" s="2" t="s">
        <v>78</v>
      </c>
      <c r="C9" s="2" t="s">
        <v>79</v>
      </c>
      <c r="D9" s="2" t="s">
        <v>80</v>
      </c>
    </row>
    <row r="10" customFormat="false" ht="15" hidden="false" customHeight="false" outlineLevel="0" collapsed="false">
      <c r="A10" s="2" t="s">
        <v>81</v>
      </c>
      <c r="B10" s="2" t="s">
        <v>82</v>
      </c>
      <c r="C10" s="2" t="s">
        <v>83</v>
      </c>
      <c r="D10" s="2" t="s">
        <v>84</v>
      </c>
    </row>
    <row r="11" customFormat="false" ht="15" hidden="false" customHeight="false" outlineLevel="0" collapsed="false">
      <c r="A11" s="2" t="s">
        <v>85</v>
      </c>
      <c r="B11" s="2" t="s">
        <v>86</v>
      </c>
      <c r="C11" s="2" t="s">
        <v>87</v>
      </c>
      <c r="D11" s="2" t="s">
        <v>88</v>
      </c>
    </row>
    <row r="12" customFormat="false" ht="15" hidden="false" customHeight="false" outlineLevel="0" collapsed="false">
      <c r="A12" s="2" t="s">
        <v>89</v>
      </c>
      <c r="B12" s="2" t="s">
        <v>90</v>
      </c>
      <c r="C12" s="2" t="s">
        <v>91</v>
      </c>
      <c r="D12" s="2" t="s">
        <v>92</v>
      </c>
    </row>
    <row r="13" customFormat="false" ht="15" hidden="false" customHeight="false" outlineLevel="0" collapsed="false">
      <c r="A13" s="2" t="s">
        <v>93</v>
      </c>
      <c r="B13" s="2" t="s">
        <v>94</v>
      </c>
      <c r="C13" s="2" t="s">
        <v>95</v>
      </c>
      <c r="D13" s="2" t="s">
        <v>96</v>
      </c>
    </row>
    <row r="14" customFormat="false" ht="15" hidden="false" customHeight="false" outlineLevel="0" collapsed="false">
      <c r="A14" s="4" t="s">
        <v>97</v>
      </c>
      <c r="B14" s="12" t="n">
        <f aca="false">COUNTA(A4:A13)</f>
        <v>10</v>
      </c>
    </row>
    <row r="16" customFormat="false" ht="15" hidden="false" customHeight="false" outlineLevel="0" collapsed="false">
      <c r="A16" s="8" t="s">
        <v>98</v>
      </c>
      <c r="B16" s="8" t="s">
        <v>99</v>
      </c>
      <c r="C16" s="8" t="s">
        <v>100</v>
      </c>
      <c r="D16" s="8" t="s">
        <v>101</v>
      </c>
      <c r="E16" s="8" t="s">
        <v>102</v>
      </c>
    </row>
    <row r="17" customFormat="false" ht="15" hidden="false" customHeight="false" outlineLevel="0" collapsed="false">
      <c r="A17" s="2" t="s">
        <v>57</v>
      </c>
      <c r="B17" s="2" t="s">
        <v>103</v>
      </c>
      <c r="C17" s="2" t="s">
        <v>104</v>
      </c>
      <c r="D17" s="2" t="s">
        <v>105</v>
      </c>
      <c r="E17" s="2" t="s">
        <v>105</v>
      </c>
    </row>
    <row r="18" customFormat="false" ht="15" hidden="false" customHeight="false" outlineLevel="0" collapsed="false">
      <c r="A18" s="2" t="s">
        <v>61</v>
      </c>
      <c r="B18" s="2" t="s">
        <v>106</v>
      </c>
      <c r="C18" s="2" t="s">
        <v>107</v>
      </c>
      <c r="D18" s="2" t="s">
        <v>108</v>
      </c>
      <c r="E18" s="2" t="s">
        <v>109</v>
      </c>
    </row>
    <row r="19" customFormat="false" ht="15" hidden="false" customHeight="false" outlineLevel="0" collapsed="false">
      <c r="A19" s="2" t="s">
        <v>65</v>
      </c>
      <c r="B19" s="2" t="s">
        <v>110</v>
      </c>
      <c r="C19" s="2" t="s">
        <v>107</v>
      </c>
      <c r="D19" s="2" t="s">
        <v>111</v>
      </c>
      <c r="E19" s="2" t="s">
        <v>112</v>
      </c>
    </row>
    <row r="20" customFormat="false" ht="15" hidden="false" customHeight="false" outlineLevel="0" collapsed="false">
      <c r="A20" s="2" t="s">
        <v>69</v>
      </c>
      <c r="B20" s="2" t="s">
        <v>113</v>
      </c>
      <c r="C20" s="2" t="s">
        <v>114</v>
      </c>
      <c r="D20" s="2" t="s">
        <v>115</v>
      </c>
      <c r="E20" s="2" t="s">
        <v>111</v>
      </c>
    </row>
    <row r="21" customFormat="false" ht="15" hidden="false" customHeight="false" outlineLevel="0" collapsed="false">
      <c r="A21" s="2" t="s">
        <v>73</v>
      </c>
      <c r="B21" s="2" t="s">
        <v>116</v>
      </c>
      <c r="C21" s="2" t="s">
        <v>107</v>
      </c>
      <c r="D21" s="2" t="s">
        <v>109</v>
      </c>
      <c r="E21" s="2" t="s">
        <v>109</v>
      </c>
    </row>
    <row r="22" customFormat="false" ht="15" hidden="false" customHeight="false" outlineLevel="0" collapsed="false">
      <c r="A22" s="2" t="s">
        <v>77</v>
      </c>
      <c r="B22" s="2" t="s">
        <v>117</v>
      </c>
      <c r="C22" s="2" t="s">
        <v>107</v>
      </c>
      <c r="D22" s="2" t="s">
        <v>109</v>
      </c>
      <c r="E22" s="2" t="s">
        <v>109</v>
      </c>
    </row>
    <row r="23" customFormat="false" ht="15" hidden="false" customHeight="false" outlineLevel="0" collapsed="false">
      <c r="A23" s="2" t="s">
        <v>81</v>
      </c>
      <c r="B23" s="2" t="s">
        <v>118</v>
      </c>
      <c r="C23" s="2" t="s">
        <v>107</v>
      </c>
      <c r="D23" s="2" t="s">
        <v>119</v>
      </c>
      <c r="E23" s="2" t="s">
        <v>111</v>
      </c>
    </row>
    <row r="24" customFormat="false" ht="15" hidden="false" customHeight="false" outlineLevel="0" collapsed="false">
      <c r="A24" s="10" t="s">
        <v>120</v>
      </c>
    </row>
    <row r="26" customFormat="false" ht="15" hidden="false" customHeight="false" outlineLevel="0" collapsed="false">
      <c r="A26" s="8" t="s">
        <v>121</v>
      </c>
      <c r="B26" s="8" t="s">
        <v>122</v>
      </c>
      <c r="C26" s="8" t="s">
        <v>123</v>
      </c>
      <c r="D26" s="8" t="s">
        <v>124</v>
      </c>
      <c r="E26" s="8" t="s">
        <v>125</v>
      </c>
      <c r="F26" s="8" t="s">
        <v>126</v>
      </c>
      <c r="G26" s="8" t="s">
        <v>127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19" t="n">
        <f aca="false">Liq_today</f>
        <v>620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customFormat="false" ht="15" hidden="false" customHeight="false" outlineLevel="0" collapsed="false">
      <c r="A28" s="2" t="s">
        <v>134</v>
      </c>
      <c r="B28" s="2" t="s">
        <v>129</v>
      </c>
      <c r="C28" s="11" t="n">
        <v>3.4</v>
      </c>
      <c r="D28" s="2" t="s">
        <v>135</v>
      </c>
      <c r="E28" s="2" t="s">
        <v>136</v>
      </c>
      <c r="F28" s="2" t="s">
        <v>137</v>
      </c>
      <c r="G28" s="2" t="s">
        <v>133</v>
      </c>
    </row>
    <row r="29" customFormat="false" ht="15" hidden="false" customHeight="false" outlineLevel="0" collapsed="false">
      <c r="A29" s="2" t="s">
        <v>138</v>
      </c>
      <c r="B29" s="2" t="s">
        <v>139</v>
      </c>
      <c r="C29" s="19" t="n">
        <f aca="false">C_keep</f>
        <v>58</v>
      </c>
      <c r="D29" s="2" t="s">
        <v>140</v>
      </c>
      <c r="E29" s="2" t="s">
        <v>141</v>
      </c>
      <c r="F29" s="2" t="s">
        <v>142</v>
      </c>
      <c r="G29" s="2" t="s">
        <v>143</v>
      </c>
    </row>
    <row r="30" customFormat="false" ht="15" hidden="false" customHeight="false" outlineLevel="0" collapsed="false">
      <c r="A30" s="2" t="s">
        <v>144</v>
      </c>
      <c r="B30" s="2" t="s">
        <v>145</v>
      </c>
      <c r="C30" s="19" t="n">
        <f aca="false">Tech_today</f>
        <v>41</v>
      </c>
      <c r="D30" s="2" t="s">
        <v>140</v>
      </c>
      <c r="E30" s="2" t="s">
        <v>146</v>
      </c>
      <c r="F30" s="2" t="s">
        <v>147</v>
      </c>
      <c r="G30" s="2" t="s">
        <v>72</v>
      </c>
    </row>
    <row r="31" customFormat="false" ht="15" hidden="false" customHeight="false" outlineLevel="0" collapsed="false">
      <c r="A31" s="2" t="s">
        <v>148</v>
      </c>
      <c r="B31" s="2" t="s">
        <v>149</v>
      </c>
      <c r="C31" s="2" t="s">
        <v>150</v>
      </c>
      <c r="D31" s="2"/>
      <c r="E31" s="2" t="s">
        <v>151</v>
      </c>
      <c r="F31" s="2" t="s">
        <v>152</v>
      </c>
      <c r="G31" s="2" t="s">
        <v>76</v>
      </c>
    </row>
    <row r="33" customFormat="false" ht="23.85" hidden="false" customHeight="false" outlineLevel="0" collapsed="false">
      <c r="A33" s="8" t="s">
        <v>153</v>
      </c>
      <c r="B33" s="8" t="s">
        <v>123</v>
      </c>
      <c r="C33" s="8" t="s">
        <v>154</v>
      </c>
      <c r="D33" s="8" t="s">
        <v>155</v>
      </c>
    </row>
    <row r="34" customFormat="false" ht="15" hidden="false" customHeight="false" outlineLevel="0" collapsed="false">
      <c r="A34" s="2" t="s">
        <v>156</v>
      </c>
      <c r="B34" s="12" t="n">
        <f aca="false">Liq_today</f>
        <v>620</v>
      </c>
      <c r="C34" s="12" t="n">
        <f aca="false">Liq_today+Proc_keep</f>
        <v>712</v>
      </c>
      <c r="D34" s="12" t="n">
        <f aca="false">Liq_today+Proc_leave</f>
        <v>732</v>
      </c>
    </row>
    <row r="35" customFormat="false" ht="15" hidden="false" customHeight="false" outlineLevel="0" collapsed="false">
      <c r="A35" s="2" t="s">
        <v>157</v>
      </c>
      <c r="B35" s="17" t="n">
        <f aca="false">C_keep</f>
        <v>58</v>
      </c>
      <c r="C35" s="17" t="n">
        <f aca="false">C_keep</f>
        <v>58</v>
      </c>
      <c r="D35" s="17" t="n">
        <f aca="false">C_leave</f>
        <v>53</v>
      </c>
    </row>
    <row r="36" customFormat="false" ht="15" hidden="false" customHeight="false" outlineLevel="0" collapsed="false">
      <c r="A36" s="2" t="s">
        <v>158</v>
      </c>
      <c r="B36" s="17" t="n">
        <f aca="false">Tech_today</f>
        <v>41</v>
      </c>
      <c r="C36" s="17" t="n">
        <f aca="false">Tech_today*(1-Tech_share)</f>
        <v>36.9</v>
      </c>
      <c r="D36" s="17" t="n">
        <f aca="false">Tech_today*(1-Tech_share)</f>
        <v>36.9</v>
      </c>
    </row>
    <row r="37" customFormat="false" ht="15" hidden="false" customHeight="false" outlineLevel="0" collapsed="false">
      <c r="A37" s="4" t="s">
        <v>43</v>
      </c>
      <c r="B37" s="15" t="n">
        <f aca="false">(D34-C34)/(C35-D35)</f>
        <v>4</v>
      </c>
    </row>
    <row r="38" customFormat="false" ht="15" hidden="false" customHeight="false" outlineLevel="0" collapsed="false">
      <c r="A38" s="1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8"/>
  </cols>
  <sheetData>
    <row r="1" customFormat="false" ht="1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8" t="s">
        <v>161</v>
      </c>
      <c r="B3" s="8" t="s">
        <v>19</v>
      </c>
      <c r="C3" s="8" t="s">
        <v>162</v>
      </c>
    </row>
    <row r="4" customFormat="false" ht="15" hidden="false" customHeight="false" outlineLevel="0" collapsed="false">
      <c r="A4" s="2" t="s">
        <v>163</v>
      </c>
      <c r="B4" s="18" t="n">
        <f aca="false">Rent_58</f>
        <v>1.45</v>
      </c>
      <c r="C4" s="10" t="s">
        <v>164</v>
      </c>
    </row>
    <row r="5" customFormat="false" ht="15" hidden="false" customHeight="false" outlineLevel="0" collapsed="false">
      <c r="A5" s="2" t="s">
        <v>165</v>
      </c>
      <c r="B5" s="15" t="n">
        <f aca="false">4*B4</f>
        <v>5.8</v>
      </c>
      <c r="C5" s="10"/>
    </row>
    <row r="6" customFormat="false" ht="15" hidden="false" customHeight="false" outlineLevel="0" collapsed="false">
      <c r="A6" s="2" t="s">
        <v>166</v>
      </c>
      <c r="B6" s="15" t="n">
        <f aca="false">B4*Price_pt</f>
        <v>5.8</v>
      </c>
      <c r="C6" s="10"/>
    </row>
    <row r="7" customFormat="false" ht="15" hidden="false" customHeight="false" outlineLevel="0" collapsed="false">
      <c r="A7" s="2" t="s">
        <v>167</v>
      </c>
      <c r="B7" s="17" t="n">
        <f aca="false">4*B6</f>
        <v>23.2</v>
      </c>
      <c r="C7" s="10" t="s">
        <v>168</v>
      </c>
    </row>
    <row r="8" customFormat="false" ht="15" hidden="false" customHeight="false" outlineLevel="0" collapsed="false">
      <c r="A8" s="2" t="s">
        <v>169</v>
      </c>
      <c r="B8" s="20" t="n">
        <f aca="false">Dep_year</f>
        <v>0.0963121093750001</v>
      </c>
      <c r="C8" s="10"/>
    </row>
    <row r="10" customFormat="false" ht="23.85" hidden="false" customHeight="false" outlineLevel="0" collapsed="false">
      <c r="A10" s="8" t="s">
        <v>170</v>
      </c>
      <c r="B10" s="8" t="s">
        <v>169</v>
      </c>
      <c r="C10" s="8" t="s">
        <v>171</v>
      </c>
      <c r="D10" s="8" t="s">
        <v>172</v>
      </c>
      <c r="E10" s="8" t="s">
        <v>173</v>
      </c>
      <c r="F10" s="8" t="s">
        <v>174</v>
      </c>
      <c r="G10" s="8" t="s">
        <v>175</v>
      </c>
      <c r="H10" s="8" t="s">
        <v>176</v>
      </c>
      <c r="I10" s="8" t="s">
        <v>177</v>
      </c>
    </row>
    <row r="11" customFormat="false" ht="15" hidden="false" customHeight="false" outlineLevel="0" collapsed="false">
      <c r="A11" s="2" t="s">
        <v>149</v>
      </c>
      <c r="B11" s="21" t="n">
        <v>0.05</v>
      </c>
      <c r="C11" s="9" t="n">
        <v>100</v>
      </c>
      <c r="D11" s="17" t="n">
        <f aca="false">B11*C11</f>
        <v>5</v>
      </c>
      <c r="E11" s="15" t="n">
        <f aca="false">LN((D11/B11)/((D11/B11)-0.9*C11))/LN(1/(1-B11))</f>
        <v>44.8905674803549</v>
      </c>
      <c r="F11" s="15" t="n">
        <f aca="false">LN((2*D11/B11)/((2*D11/B11)-0.9*C11))/LN(1/(1-B11))</f>
        <v>11.6552662076765</v>
      </c>
      <c r="G11" s="17" t="n">
        <f aca="false">LN(10)/B11</f>
        <v>46.0517018598809</v>
      </c>
      <c r="H11" s="12" t="n">
        <f aca="false">COUNTIF(B16:B76,"&lt;"&amp;(0.9*C11))</f>
        <v>45</v>
      </c>
      <c r="I11" s="12" t="n">
        <f aca="false">COUNTIF(C16:C76,"&lt;"&amp;(0.9*C11))</f>
        <v>12</v>
      </c>
    </row>
    <row r="12" customFormat="false" ht="15" hidden="false" customHeight="false" outlineLevel="0" collapsed="false">
      <c r="A12" s="2" t="s">
        <v>139</v>
      </c>
      <c r="B12" s="21" t="n">
        <v>0.1</v>
      </c>
      <c r="C12" s="9" t="n">
        <v>100</v>
      </c>
      <c r="D12" s="17" t="n">
        <f aca="false">B12*C12</f>
        <v>10</v>
      </c>
      <c r="E12" s="15" t="n">
        <f aca="false">LN((D12/B12)/((D12/B12)-0.9*C12))/LN(1/(1-B12))</f>
        <v>21.8543453267828</v>
      </c>
      <c r="F12" s="15" t="n">
        <f aca="false">LN((2*D12/B12)/((2*D12/B12)-0.9*C12))/LN(1/(1-B12))</f>
        <v>5.67420344350993</v>
      </c>
      <c r="G12" s="17" t="n">
        <f aca="false">LN(10)/B12</f>
        <v>23.0258509299405</v>
      </c>
      <c r="H12" s="12" t="n">
        <f aca="false">COUNTIF(D16:D76,"&lt;"&amp;(0.9*C12))</f>
        <v>22</v>
      </c>
      <c r="I12" s="12" t="n">
        <f aca="false">COUNTIF(E16:E76,"&lt;"&amp;(0.9*C12))</f>
        <v>6</v>
      </c>
    </row>
    <row r="13" customFormat="false" ht="15" hidden="false" customHeight="false" outlineLevel="0" collapsed="false">
      <c r="A13" s="2" t="s">
        <v>145</v>
      </c>
      <c r="B13" s="21" t="n">
        <v>0.25</v>
      </c>
      <c r="C13" s="9" t="n">
        <v>100</v>
      </c>
      <c r="D13" s="17" t="n">
        <f aca="false">B13*C13</f>
        <v>25</v>
      </c>
      <c r="E13" s="15" t="n">
        <f aca="false">LN((D13/B13)/((D13/B13)-0.9*C13))/LN(1/(1-B13))</f>
        <v>8.0039227796511</v>
      </c>
      <c r="F13" s="15" t="n">
        <f aca="false">LN((2*D13/B13)/((2*D13/B13)-0.9*C13))/LN(1/(1-B13))</f>
        <v>2.07811698400437</v>
      </c>
      <c r="G13" s="17" t="n">
        <f aca="false">LN(10)/B13</f>
        <v>9.21034037197618</v>
      </c>
      <c r="H13" s="12" t="n">
        <f aca="false">COUNTIF(F16:F76,"&lt;"&amp;(0.9*C13))</f>
        <v>9</v>
      </c>
      <c r="I13" s="12" t="n">
        <f aca="false">COUNTIF(G16:G76,"&lt;"&amp;(0.9*C13))</f>
        <v>3</v>
      </c>
    </row>
    <row r="14" customFormat="false" ht="15" hidden="false" customHeight="false" outlineLevel="0" collapsed="false">
      <c r="A14" s="10" t="s">
        <v>178</v>
      </c>
    </row>
    <row r="15" customFormat="false" ht="23.85" hidden="false" customHeight="false" outlineLevel="0" collapsed="false">
      <c r="A15" s="8" t="s">
        <v>179</v>
      </c>
      <c r="B15" s="8" t="s">
        <v>180</v>
      </c>
      <c r="C15" s="8" t="s">
        <v>181</v>
      </c>
      <c r="D15" s="8" t="s">
        <v>182</v>
      </c>
      <c r="E15" s="8" t="s">
        <v>183</v>
      </c>
      <c r="F15" s="8" t="s">
        <v>184</v>
      </c>
      <c r="G15" s="8" t="s">
        <v>185</v>
      </c>
    </row>
    <row r="16" customFormat="false" ht="15" hidden="false" customHeight="false" outlineLevel="0" collapsed="false">
      <c r="A16" s="12" t="n">
        <v>0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</row>
    <row r="17" customFormat="false" ht="15" hidden="false" customHeight="false" outlineLevel="0" collapsed="false">
      <c r="A17" s="12" t="n">
        <v>1</v>
      </c>
      <c r="B17" s="15" t="n">
        <f aca="false">(1-$B$11)*B16+$D$11</f>
        <v>5</v>
      </c>
      <c r="C17" s="15" t="n">
        <f aca="false">(1-$B$11)*C16+MIN(2*$D$11,MAX($C$11-(1-$B$11)*C16,0))</f>
        <v>10</v>
      </c>
      <c r="D17" s="15" t="n">
        <f aca="false">(1-$B$12)*D16+$D$12</f>
        <v>10</v>
      </c>
      <c r="E17" s="15" t="n">
        <f aca="false">(1-$B$12)*E16+MIN(2*$D$12,MAX($C$12-(1-$B$12)*E16,0))</f>
        <v>20</v>
      </c>
      <c r="F17" s="15" t="n">
        <f aca="false">(1-$B$13)*F16+$D$13</f>
        <v>25</v>
      </c>
      <c r="G17" s="15" t="n">
        <f aca="false">(1-$B$13)*G16+MIN(2*$D$13,MAX($C$13-(1-$B$13)*G16,0))</f>
        <v>50</v>
      </c>
    </row>
    <row r="18" customFormat="false" ht="15" hidden="false" customHeight="false" outlineLevel="0" collapsed="false">
      <c r="A18" s="12" t="n">
        <v>2</v>
      </c>
      <c r="B18" s="15" t="n">
        <f aca="false">(1-$B$11)*B17+$D$11</f>
        <v>9.75</v>
      </c>
      <c r="C18" s="15" t="n">
        <f aca="false">(1-$B$11)*C17+MIN(2*$D$11,MAX($C$11-(1-$B$11)*C17,0))</f>
        <v>19.5</v>
      </c>
      <c r="D18" s="15" t="n">
        <f aca="false">(1-$B$12)*D17+$D$12</f>
        <v>19</v>
      </c>
      <c r="E18" s="15" t="n">
        <f aca="false">(1-$B$12)*E17+MIN(2*$D$12,MAX($C$12-(1-$B$12)*E17,0))</f>
        <v>38</v>
      </c>
      <c r="F18" s="15" t="n">
        <f aca="false">(1-$B$13)*F17+$D$13</f>
        <v>43.75</v>
      </c>
      <c r="G18" s="15" t="n">
        <f aca="false">(1-$B$13)*G17+MIN(2*$D$13,MAX($C$13-(1-$B$13)*G17,0))</f>
        <v>87.5</v>
      </c>
    </row>
    <row r="19" customFormat="false" ht="15" hidden="false" customHeight="false" outlineLevel="0" collapsed="false">
      <c r="A19" s="12" t="n">
        <v>3</v>
      </c>
      <c r="B19" s="15" t="n">
        <f aca="false">(1-$B$11)*B18+$D$11</f>
        <v>14.2625</v>
      </c>
      <c r="C19" s="15" t="n">
        <f aca="false">(1-$B$11)*C18+MIN(2*$D$11,MAX($C$11-(1-$B$11)*C18,0))</f>
        <v>28.525</v>
      </c>
      <c r="D19" s="15" t="n">
        <f aca="false">(1-$B$12)*D18+$D$12</f>
        <v>27.1</v>
      </c>
      <c r="E19" s="15" t="n">
        <f aca="false">(1-$B$12)*E18+MIN(2*$D$12,MAX($C$12-(1-$B$12)*E18,0))</f>
        <v>54.2</v>
      </c>
      <c r="F19" s="15" t="n">
        <f aca="false">(1-$B$13)*F18+$D$13</f>
        <v>57.8125</v>
      </c>
      <c r="G19" s="15" t="n">
        <f aca="false">(1-$B$13)*G18+MIN(2*$D$13,MAX($C$13-(1-$B$13)*G18,0))</f>
        <v>100</v>
      </c>
    </row>
    <row r="20" customFormat="false" ht="15" hidden="false" customHeight="false" outlineLevel="0" collapsed="false">
      <c r="A20" s="12" t="n">
        <v>4</v>
      </c>
      <c r="B20" s="15" t="n">
        <f aca="false">(1-$B$11)*B19+$D$11</f>
        <v>18.549375</v>
      </c>
      <c r="C20" s="15" t="n">
        <f aca="false">(1-$B$11)*C19+MIN(2*$D$11,MAX($C$11-(1-$B$11)*C19,0))</f>
        <v>37.09875</v>
      </c>
      <c r="D20" s="15" t="n">
        <f aca="false">(1-$B$12)*D19+$D$12</f>
        <v>34.39</v>
      </c>
      <c r="E20" s="15" t="n">
        <f aca="false">(1-$B$12)*E19+MIN(2*$D$12,MAX($C$12-(1-$B$12)*E19,0))</f>
        <v>68.78</v>
      </c>
      <c r="F20" s="15" t="n">
        <f aca="false">(1-$B$13)*F19+$D$13</f>
        <v>68.359375</v>
      </c>
      <c r="G20" s="15" t="n">
        <f aca="false">(1-$B$13)*G19+MIN(2*$D$13,MAX($C$13-(1-$B$13)*G19,0))</f>
        <v>100</v>
      </c>
    </row>
    <row r="21" customFormat="false" ht="15" hidden="false" customHeight="false" outlineLevel="0" collapsed="false">
      <c r="A21" s="12" t="n">
        <v>5</v>
      </c>
      <c r="B21" s="15" t="n">
        <f aca="false">(1-$B$11)*B20+$D$11</f>
        <v>22.62190625</v>
      </c>
      <c r="C21" s="15" t="n">
        <f aca="false">(1-$B$11)*C20+MIN(2*$D$11,MAX($C$11-(1-$B$11)*C20,0))</f>
        <v>45.2438125</v>
      </c>
      <c r="D21" s="15" t="n">
        <f aca="false">(1-$B$12)*D20+$D$12</f>
        <v>40.951</v>
      </c>
      <c r="E21" s="15" t="n">
        <f aca="false">(1-$B$12)*E20+MIN(2*$D$12,MAX($C$12-(1-$B$12)*E20,0))</f>
        <v>81.902</v>
      </c>
      <c r="F21" s="15" t="n">
        <f aca="false">(1-$B$13)*F20+$D$13</f>
        <v>76.26953125</v>
      </c>
      <c r="G21" s="15" t="n">
        <f aca="false">(1-$B$13)*G20+MIN(2*$D$13,MAX($C$13-(1-$B$13)*G20,0))</f>
        <v>100</v>
      </c>
    </row>
    <row r="22" customFormat="false" ht="15" hidden="false" customHeight="false" outlineLevel="0" collapsed="false">
      <c r="A22" s="12" t="n">
        <v>6</v>
      </c>
      <c r="B22" s="15" t="n">
        <f aca="false">(1-$B$11)*B21+$D$11</f>
        <v>26.4908109375</v>
      </c>
      <c r="C22" s="15" t="n">
        <f aca="false">(1-$B$11)*C21+MIN(2*$D$11,MAX($C$11-(1-$B$11)*C21,0))</f>
        <v>52.981621875</v>
      </c>
      <c r="D22" s="15" t="n">
        <f aca="false">(1-$B$12)*D21+$D$12</f>
        <v>46.8559</v>
      </c>
      <c r="E22" s="15" t="n">
        <f aca="false">(1-$B$12)*E21+MIN(2*$D$12,MAX($C$12-(1-$B$12)*E21,0))</f>
        <v>93.7118</v>
      </c>
      <c r="F22" s="15" t="n">
        <f aca="false">(1-$B$13)*F21+$D$13</f>
        <v>82.2021484375</v>
      </c>
      <c r="G22" s="15" t="n">
        <f aca="false">(1-$B$13)*G21+MIN(2*$D$13,MAX($C$13-(1-$B$13)*G21,0))</f>
        <v>100</v>
      </c>
    </row>
    <row r="23" customFormat="false" ht="15" hidden="false" customHeight="false" outlineLevel="0" collapsed="false">
      <c r="A23" s="12" t="n">
        <v>7</v>
      </c>
      <c r="B23" s="15" t="n">
        <f aca="false">(1-$B$11)*B22+$D$11</f>
        <v>30.166270390625</v>
      </c>
      <c r="C23" s="15" t="n">
        <f aca="false">(1-$B$11)*C22+MIN(2*$D$11,MAX($C$11-(1-$B$11)*C22,0))</f>
        <v>60.33254078125</v>
      </c>
      <c r="D23" s="15" t="n">
        <f aca="false">(1-$B$12)*D22+$D$12</f>
        <v>52.17031</v>
      </c>
      <c r="E23" s="15" t="n">
        <f aca="false">(1-$B$12)*E22+MIN(2*$D$12,MAX($C$12-(1-$B$12)*E22,0))</f>
        <v>100</v>
      </c>
      <c r="F23" s="15" t="n">
        <f aca="false">(1-$B$13)*F22+$D$13</f>
        <v>86.651611328125</v>
      </c>
      <c r="G23" s="15" t="n">
        <f aca="false">(1-$B$13)*G22+MIN(2*$D$13,MAX($C$13-(1-$B$13)*G22,0))</f>
        <v>100</v>
      </c>
    </row>
    <row r="24" customFormat="false" ht="15" hidden="false" customHeight="false" outlineLevel="0" collapsed="false">
      <c r="A24" s="12" t="n">
        <v>8</v>
      </c>
      <c r="B24" s="15" t="n">
        <f aca="false">(1-$B$11)*B23+$D$11</f>
        <v>33.6579568710937</v>
      </c>
      <c r="C24" s="15" t="n">
        <f aca="false">(1-$B$11)*C23+MIN(2*$D$11,MAX($C$11-(1-$B$11)*C23,0))</f>
        <v>67.3159137421875</v>
      </c>
      <c r="D24" s="15" t="n">
        <f aca="false">(1-$B$12)*D23+$D$12</f>
        <v>56.953279</v>
      </c>
      <c r="E24" s="15" t="n">
        <f aca="false">(1-$B$12)*E23+MIN(2*$D$12,MAX($C$12-(1-$B$12)*E23,0))</f>
        <v>100</v>
      </c>
      <c r="F24" s="15" t="n">
        <f aca="false">(1-$B$13)*F23+$D$13</f>
        <v>89.9887084960938</v>
      </c>
      <c r="G24" s="15" t="n">
        <f aca="false">(1-$B$13)*G23+MIN(2*$D$13,MAX($C$13-(1-$B$13)*G23,0))</f>
        <v>100</v>
      </c>
    </row>
    <row r="25" customFormat="false" ht="15" hidden="false" customHeight="false" outlineLevel="0" collapsed="false">
      <c r="A25" s="12" t="n">
        <v>9</v>
      </c>
      <c r="B25" s="15" t="n">
        <f aca="false">(1-$B$11)*B24+$D$11</f>
        <v>36.9750590275391</v>
      </c>
      <c r="C25" s="15" t="n">
        <f aca="false">(1-$B$11)*C24+MIN(2*$D$11,MAX($C$11-(1-$B$11)*C24,0))</f>
        <v>73.9501180550781</v>
      </c>
      <c r="D25" s="15" t="n">
        <f aca="false">(1-$B$12)*D24+$D$12</f>
        <v>61.2579511</v>
      </c>
      <c r="E25" s="15" t="n">
        <f aca="false">(1-$B$12)*E24+MIN(2*$D$12,MAX($C$12-(1-$B$12)*E24,0))</f>
        <v>100</v>
      </c>
      <c r="F25" s="15" t="n">
        <f aca="false">(1-$B$13)*F24+$D$13</f>
        <v>92.4915313720703</v>
      </c>
      <c r="G25" s="15" t="n">
        <f aca="false">(1-$B$13)*G24+MIN(2*$D$13,MAX($C$13-(1-$B$13)*G24,0))</f>
        <v>100</v>
      </c>
    </row>
    <row r="26" customFormat="false" ht="15" hidden="false" customHeight="false" outlineLevel="0" collapsed="false">
      <c r="A26" s="12" t="n">
        <v>10</v>
      </c>
      <c r="B26" s="15" t="n">
        <f aca="false">(1-$B$11)*B25+$D$11</f>
        <v>40.1263060761621</v>
      </c>
      <c r="C26" s="15" t="n">
        <f aca="false">(1-$B$11)*C25+MIN(2*$D$11,MAX($C$11-(1-$B$11)*C25,0))</f>
        <v>80.2526121523242</v>
      </c>
      <c r="D26" s="15" t="n">
        <f aca="false">(1-$B$12)*D25+$D$12</f>
        <v>65.13215599</v>
      </c>
      <c r="E26" s="15" t="n">
        <f aca="false">(1-$B$12)*E25+MIN(2*$D$12,MAX($C$12-(1-$B$12)*E25,0))</f>
        <v>100</v>
      </c>
      <c r="F26" s="15" t="n">
        <f aca="false">(1-$B$13)*F25+$D$13</f>
        <v>94.3686485290527</v>
      </c>
      <c r="G26" s="15" t="n">
        <f aca="false">(1-$B$13)*G25+MIN(2*$D$13,MAX($C$13-(1-$B$13)*G25,0))</f>
        <v>100</v>
      </c>
    </row>
    <row r="27" customFormat="false" ht="15" hidden="false" customHeight="false" outlineLevel="0" collapsed="false">
      <c r="A27" s="12" t="n">
        <v>11</v>
      </c>
      <c r="B27" s="15" t="n">
        <f aca="false">(1-$B$11)*B26+$D$11</f>
        <v>43.119990772354</v>
      </c>
      <c r="C27" s="15" t="n">
        <f aca="false">(1-$B$11)*C26+MIN(2*$D$11,MAX($C$11-(1-$B$11)*C26,0))</f>
        <v>86.239981544708</v>
      </c>
      <c r="D27" s="15" t="n">
        <f aca="false">(1-$B$12)*D26+$D$12</f>
        <v>68.618940391</v>
      </c>
      <c r="E27" s="15" t="n">
        <f aca="false">(1-$B$12)*E26+MIN(2*$D$12,MAX($C$12-(1-$B$12)*E26,0))</f>
        <v>100</v>
      </c>
      <c r="F27" s="15" t="n">
        <f aca="false">(1-$B$13)*F26+$D$13</f>
        <v>95.7764863967896</v>
      </c>
      <c r="G27" s="15" t="n">
        <f aca="false">(1-$B$13)*G26+MIN(2*$D$13,MAX($C$13-(1-$B$13)*G26,0))</f>
        <v>100</v>
      </c>
    </row>
    <row r="28" customFormat="false" ht="15" hidden="false" customHeight="false" outlineLevel="0" collapsed="false">
      <c r="A28" s="12" t="n">
        <v>12</v>
      </c>
      <c r="B28" s="15" t="n">
        <f aca="false">(1-$B$11)*B27+$D$11</f>
        <v>45.9639912337363</v>
      </c>
      <c r="C28" s="15" t="n">
        <f aca="false">(1-$B$11)*C27+MIN(2*$D$11,MAX($C$11-(1-$B$11)*C27,0))</f>
        <v>91.9279824674726</v>
      </c>
      <c r="D28" s="15" t="n">
        <f aca="false">(1-$B$12)*D27+$D$12</f>
        <v>71.7570463519</v>
      </c>
      <c r="E28" s="15" t="n">
        <f aca="false">(1-$B$12)*E27+MIN(2*$D$12,MAX($C$12-(1-$B$12)*E27,0))</f>
        <v>100</v>
      </c>
      <c r="F28" s="15" t="n">
        <f aca="false">(1-$B$13)*F27+$D$13</f>
        <v>96.8323647975922</v>
      </c>
      <c r="G28" s="15" t="n">
        <f aca="false">(1-$B$13)*G27+MIN(2*$D$13,MAX($C$13-(1-$B$13)*G27,0))</f>
        <v>100</v>
      </c>
    </row>
    <row r="29" customFormat="false" ht="15" hidden="false" customHeight="false" outlineLevel="0" collapsed="false">
      <c r="A29" s="12" t="n">
        <v>13</v>
      </c>
      <c r="B29" s="15" t="n">
        <f aca="false">(1-$B$11)*B28+$D$11</f>
        <v>48.6657916720495</v>
      </c>
      <c r="C29" s="15" t="n">
        <f aca="false">(1-$B$11)*C28+MIN(2*$D$11,MAX($C$11-(1-$B$11)*C28,0))</f>
        <v>97.331583344099</v>
      </c>
      <c r="D29" s="15" t="n">
        <f aca="false">(1-$B$12)*D28+$D$12</f>
        <v>74.58134171671</v>
      </c>
      <c r="E29" s="15" t="n">
        <f aca="false">(1-$B$12)*E28+MIN(2*$D$12,MAX($C$12-(1-$B$12)*E28,0))</f>
        <v>100</v>
      </c>
      <c r="F29" s="15" t="n">
        <f aca="false">(1-$B$13)*F28+$D$13</f>
        <v>97.6242735981941</v>
      </c>
      <c r="G29" s="15" t="n">
        <f aca="false">(1-$B$13)*G28+MIN(2*$D$13,MAX($C$13-(1-$B$13)*G28,0))</f>
        <v>100</v>
      </c>
    </row>
    <row r="30" customFormat="false" ht="15" hidden="false" customHeight="false" outlineLevel="0" collapsed="false">
      <c r="A30" s="12" t="n">
        <v>14</v>
      </c>
      <c r="B30" s="15" t="n">
        <f aca="false">(1-$B$11)*B29+$D$11</f>
        <v>51.232502088447</v>
      </c>
      <c r="C30" s="15" t="n">
        <f aca="false">(1-$B$11)*C29+MIN(2*$D$11,MAX($C$11-(1-$B$11)*C29,0))</f>
        <v>100</v>
      </c>
      <c r="D30" s="15" t="n">
        <f aca="false">(1-$B$12)*D29+$D$12</f>
        <v>77.123207545039</v>
      </c>
      <c r="E30" s="15" t="n">
        <f aca="false">(1-$B$12)*E29+MIN(2*$D$12,MAX($C$12-(1-$B$12)*E29,0))</f>
        <v>100</v>
      </c>
      <c r="F30" s="15" t="n">
        <f aca="false">(1-$B$13)*F29+$D$13</f>
        <v>98.2182051986456</v>
      </c>
      <c r="G30" s="15" t="n">
        <f aca="false">(1-$B$13)*G29+MIN(2*$D$13,MAX($C$13-(1-$B$13)*G29,0))</f>
        <v>100</v>
      </c>
    </row>
    <row r="31" customFormat="false" ht="15" hidden="false" customHeight="false" outlineLevel="0" collapsed="false">
      <c r="A31" s="12" t="n">
        <v>15</v>
      </c>
      <c r="B31" s="15" t="n">
        <f aca="false">(1-$B$11)*B30+$D$11</f>
        <v>53.6708769840247</v>
      </c>
      <c r="C31" s="15" t="n">
        <f aca="false">(1-$B$11)*C30+MIN(2*$D$11,MAX($C$11-(1-$B$11)*C30,0))</f>
        <v>100</v>
      </c>
      <c r="D31" s="15" t="n">
        <f aca="false">(1-$B$12)*D30+$D$12</f>
        <v>79.4108867905351</v>
      </c>
      <c r="E31" s="15" t="n">
        <f aca="false">(1-$B$12)*E30+MIN(2*$D$12,MAX($C$12-(1-$B$12)*E30,0))</f>
        <v>100</v>
      </c>
      <c r="F31" s="15" t="n">
        <f aca="false">(1-$B$13)*F30+$D$13</f>
        <v>98.6636538989842</v>
      </c>
      <c r="G31" s="15" t="n">
        <f aca="false">(1-$B$13)*G30+MIN(2*$D$13,MAX($C$13-(1-$B$13)*G30,0))</f>
        <v>100</v>
      </c>
    </row>
    <row r="32" customFormat="false" ht="15" hidden="false" customHeight="false" outlineLevel="0" collapsed="false">
      <c r="A32" s="12" t="n">
        <v>16</v>
      </c>
      <c r="B32" s="15" t="n">
        <f aca="false">(1-$B$11)*B31+$D$11</f>
        <v>55.9873331348234</v>
      </c>
      <c r="C32" s="15" t="n">
        <f aca="false">(1-$B$11)*C31+MIN(2*$D$11,MAX($C$11-(1-$B$11)*C31,0))</f>
        <v>100</v>
      </c>
      <c r="D32" s="15" t="n">
        <f aca="false">(1-$B$12)*D31+$D$12</f>
        <v>81.4697981114816</v>
      </c>
      <c r="E32" s="15" t="n">
        <f aca="false">(1-$B$12)*E31+MIN(2*$D$12,MAX($C$12-(1-$B$12)*E31,0))</f>
        <v>100</v>
      </c>
      <c r="F32" s="15" t="n">
        <f aca="false">(1-$B$13)*F31+$D$13</f>
        <v>98.9977404242382</v>
      </c>
      <c r="G32" s="15" t="n">
        <f aca="false">(1-$B$13)*G31+MIN(2*$D$13,MAX($C$13-(1-$B$13)*G31,0))</f>
        <v>100</v>
      </c>
    </row>
    <row r="33" customFormat="false" ht="15" hidden="false" customHeight="false" outlineLevel="0" collapsed="false">
      <c r="A33" s="12" t="n">
        <v>17</v>
      </c>
      <c r="B33" s="15" t="n">
        <f aca="false">(1-$B$11)*B32+$D$11</f>
        <v>58.1879664780823</v>
      </c>
      <c r="C33" s="15" t="n">
        <f aca="false">(1-$B$11)*C32+MIN(2*$D$11,MAX($C$11-(1-$B$11)*C32,0))</f>
        <v>100</v>
      </c>
      <c r="D33" s="15" t="n">
        <f aca="false">(1-$B$12)*D32+$D$12</f>
        <v>83.3228183003334</v>
      </c>
      <c r="E33" s="15" t="n">
        <f aca="false">(1-$B$12)*E32+MIN(2*$D$12,MAX($C$12-(1-$B$12)*E32,0))</f>
        <v>100</v>
      </c>
      <c r="F33" s="15" t="n">
        <f aca="false">(1-$B$13)*F32+$D$13</f>
        <v>99.2483053181786</v>
      </c>
      <c r="G33" s="15" t="n">
        <f aca="false">(1-$B$13)*G32+MIN(2*$D$13,MAX($C$13-(1-$B$13)*G32,0))</f>
        <v>100</v>
      </c>
    </row>
    <row r="34" customFormat="false" ht="15" hidden="false" customHeight="false" outlineLevel="0" collapsed="false">
      <c r="A34" s="12" t="n">
        <v>18</v>
      </c>
      <c r="B34" s="15" t="n">
        <f aca="false">(1-$B$11)*B33+$D$11</f>
        <v>60.2785681541781</v>
      </c>
      <c r="C34" s="15" t="n">
        <f aca="false">(1-$B$11)*C33+MIN(2*$D$11,MAX($C$11-(1-$B$11)*C33,0))</f>
        <v>100</v>
      </c>
      <c r="D34" s="15" t="n">
        <f aca="false">(1-$B$12)*D33+$D$12</f>
        <v>84.9905364703001</v>
      </c>
      <c r="E34" s="15" t="n">
        <f aca="false">(1-$B$12)*E33+MIN(2*$D$12,MAX($C$12-(1-$B$12)*E33,0))</f>
        <v>100</v>
      </c>
      <c r="F34" s="15" t="n">
        <f aca="false">(1-$B$13)*F33+$D$13</f>
        <v>99.436228988634</v>
      </c>
      <c r="G34" s="15" t="n">
        <f aca="false">(1-$B$13)*G33+MIN(2*$D$13,MAX($C$13-(1-$B$13)*G33,0))</f>
        <v>100</v>
      </c>
    </row>
    <row r="35" customFormat="false" ht="15" hidden="false" customHeight="false" outlineLevel="0" collapsed="false">
      <c r="A35" s="12" t="n">
        <v>19</v>
      </c>
      <c r="B35" s="15" t="n">
        <f aca="false">(1-$B$11)*B34+$D$11</f>
        <v>62.2646397464692</v>
      </c>
      <c r="C35" s="15" t="n">
        <f aca="false">(1-$B$11)*C34+MIN(2*$D$11,MAX($C$11-(1-$B$11)*C34,0))</f>
        <v>100</v>
      </c>
      <c r="D35" s="15" t="n">
        <f aca="false">(1-$B$12)*D34+$D$12</f>
        <v>86.4914828232701</v>
      </c>
      <c r="E35" s="15" t="n">
        <f aca="false">(1-$B$12)*E34+MIN(2*$D$12,MAX($C$12-(1-$B$12)*E34,0))</f>
        <v>100</v>
      </c>
      <c r="F35" s="15" t="n">
        <f aca="false">(1-$B$13)*F34+$D$13</f>
        <v>99.5771717414755</v>
      </c>
      <c r="G35" s="15" t="n">
        <f aca="false">(1-$B$13)*G34+MIN(2*$D$13,MAX($C$13-(1-$B$13)*G34,0))</f>
        <v>100</v>
      </c>
    </row>
    <row r="36" customFormat="false" ht="15" hidden="false" customHeight="false" outlineLevel="0" collapsed="false">
      <c r="A36" s="12" t="n">
        <v>20</v>
      </c>
      <c r="B36" s="15" t="n">
        <f aca="false">(1-$B$11)*B35+$D$11</f>
        <v>64.1514077591458</v>
      </c>
      <c r="C36" s="15" t="n">
        <f aca="false">(1-$B$11)*C35+MIN(2*$D$11,MAX($C$11-(1-$B$11)*C35,0))</f>
        <v>100</v>
      </c>
      <c r="D36" s="15" t="n">
        <f aca="false">(1-$B$12)*D35+$D$12</f>
        <v>87.8423345409431</v>
      </c>
      <c r="E36" s="15" t="n">
        <f aca="false">(1-$B$12)*E35+MIN(2*$D$12,MAX($C$12-(1-$B$12)*E35,0))</f>
        <v>100</v>
      </c>
      <c r="F36" s="15" t="n">
        <f aca="false">(1-$B$13)*F35+$D$13</f>
        <v>99.6828788061066</v>
      </c>
      <c r="G36" s="15" t="n">
        <f aca="false">(1-$B$13)*G35+MIN(2*$D$13,MAX($C$13-(1-$B$13)*G35,0))</f>
        <v>100</v>
      </c>
    </row>
    <row r="37" customFormat="false" ht="15" hidden="false" customHeight="false" outlineLevel="0" collapsed="false">
      <c r="A37" s="12" t="n">
        <v>21</v>
      </c>
      <c r="B37" s="15" t="n">
        <f aca="false">(1-$B$11)*B36+$D$11</f>
        <v>65.9438373711885</v>
      </c>
      <c r="C37" s="15" t="n">
        <f aca="false">(1-$B$11)*C36+MIN(2*$D$11,MAX($C$11-(1-$B$11)*C36,0))</f>
        <v>100</v>
      </c>
      <c r="D37" s="15" t="n">
        <f aca="false">(1-$B$12)*D36+$D$12</f>
        <v>89.0581010868488</v>
      </c>
      <c r="E37" s="15" t="n">
        <f aca="false">(1-$B$12)*E36+MIN(2*$D$12,MAX($C$12-(1-$B$12)*E36,0))</f>
        <v>100</v>
      </c>
      <c r="F37" s="15" t="n">
        <f aca="false">(1-$B$13)*F36+$D$13</f>
        <v>99.76215910458</v>
      </c>
      <c r="G37" s="15" t="n">
        <f aca="false">(1-$B$13)*G36+MIN(2*$D$13,MAX($C$13-(1-$B$13)*G36,0))</f>
        <v>100</v>
      </c>
    </row>
    <row r="38" customFormat="false" ht="15" hidden="false" customHeight="false" outlineLevel="0" collapsed="false">
      <c r="A38" s="12" t="n">
        <v>22</v>
      </c>
      <c r="B38" s="15" t="n">
        <f aca="false">(1-$B$11)*B37+$D$11</f>
        <v>67.646645502629</v>
      </c>
      <c r="C38" s="15" t="n">
        <f aca="false">(1-$B$11)*C37+MIN(2*$D$11,MAX($C$11-(1-$B$11)*C37,0))</f>
        <v>100</v>
      </c>
      <c r="D38" s="15" t="n">
        <f aca="false">(1-$B$12)*D37+$D$12</f>
        <v>90.1522909781639</v>
      </c>
      <c r="E38" s="15" t="n">
        <f aca="false">(1-$B$12)*E37+MIN(2*$D$12,MAX($C$12-(1-$B$12)*E37,0))</f>
        <v>100</v>
      </c>
      <c r="F38" s="15" t="n">
        <f aca="false">(1-$B$13)*F37+$D$13</f>
        <v>99.821619328435</v>
      </c>
      <c r="G38" s="15" t="n">
        <f aca="false">(1-$B$13)*G37+MIN(2*$D$13,MAX($C$13-(1-$B$13)*G37,0))</f>
        <v>100</v>
      </c>
    </row>
    <row r="39" customFormat="false" ht="15" hidden="false" customHeight="false" outlineLevel="0" collapsed="false">
      <c r="A39" s="12" t="n">
        <v>23</v>
      </c>
      <c r="B39" s="15" t="n">
        <f aca="false">(1-$B$11)*B38+$D$11</f>
        <v>69.2643132274976</v>
      </c>
      <c r="C39" s="15" t="n">
        <f aca="false">(1-$B$11)*C38+MIN(2*$D$11,MAX($C$11-(1-$B$11)*C38,0))</f>
        <v>100</v>
      </c>
      <c r="D39" s="15" t="n">
        <f aca="false">(1-$B$12)*D38+$D$12</f>
        <v>91.1370618803475</v>
      </c>
      <c r="E39" s="15" t="n">
        <f aca="false">(1-$B$12)*E38+MIN(2*$D$12,MAX($C$12-(1-$B$12)*E38,0))</f>
        <v>100</v>
      </c>
      <c r="F39" s="15" t="n">
        <f aca="false">(1-$B$13)*F38+$D$13</f>
        <v>99.8662144963262</v>
      </c>
      <c r="G39" s="15" t="n">
        <f aca="false">(1-$B$13)*G38+MIN(2*$D$13,MAX($C$13-(1-$B$13)*G38,0))</f>
        <v>100</v>
      </c>
    </row>
    <row r="40" customFormat="false" ht="15" hidden="false" customHeight="false" outlineLevel="0" collapsed="false">
      <c r="A40" s="12" t="n">
        <v>24</v>
      </c>
      <c r="B40" s="15" t="n">
        <f aca="false">(1-$B$11)*B39+$D$11</f>
        <v>70.8010975661227</v>
      </c>
      <c r="C40" s="15" t="n">
        <f aca="false">(1-$B$11)*C39+MIN(2*$D$11,MAX($C$11-(1-$B$11)*C39,0))</f>
        <v>100</v>
      </c>
      <c r="D40" s="15" t="n">
        <f aca="false">(1-$B$12)*D39+$D$12</f>
        <v>92.0233556923128</v>
      </c>
      <c r="E40" s="15" t="n">
        <f aca="false">(1-$B$12)*E39+MIN(2*$D$12,MAX($C$12-(1-$B$12)*E39,0))</f>
        <v>100</v>
      </c>
      <c r="F40" s="15" t="n">
        <f aca="false">(1-$B$13)*F39+$D$13</f>
        <v>99.8996608722447</v>
      </c>
      <c r="G40" s="15" t="n">
        <f aca="false">(1-$B$13)*G39+MIN(2*$D$13,MAX($C$13-(1-$B$13)*G39,0))</f>
        <v>100</v>
      </c>
    </row>
    <row r="41" customFormat="false" ht="15" hidden="false" customHeight="false" outlineLevel="0" collapsed="false">
      <c r="A41" s="12" t="n">
        <v>25</v>
      </c>
      <c r="B41" s="15" t="n">
        <f aca="false">(1-$B$11)*B40+$D$11</f>
        <v>72.2610426878166</v>
      </c>
      <c r="C41" s="15" t="n">
        <f aca="false">(1-$B$11)*C40+MIN(2*$D$11,MAX($C$11-(1-$B$11)*C40,0))</f>
        <v>100</v>
      </c>
      <c r="D41" s="15" t="n">
        <f aca="false">(1-$B$12)*D40+$D$12</f>
        <v>92.8210201230815</v>
      </c>
      <c r="E41" s="15" t="n">
        <f aca="false">(1-$B$12)*E40+MIN(2*$D$12,MAX($C$12-(1-$B$12)*E40,0))</f>
        <v>100</v>
      </c>
      <c r="F41" s="15" t="n">
        <f aca="false">(1-$B$13)*F40+$D$13</f>
        <v>99.9247456541835</v>
      </c>
      <c r="G41" s="15" t="n">
        <f aca="false">(1-$B$13)*G40+MIN(2*$D$13,MAX($C$13-(1-$B$13)*G40,0))</f>
        <v>100</v>
      </c>
    </row>
    <row r="42" customFormat="false" ht="15" hidden="false" customHeight="false" outlineLevel="0" collapsed="false">
      <c r="A42" s="12" t="n">
        <v>26</v>
      </c>
      <c r="B42" s="15" t="n">
        <f aca="false">(1-$B$11)*B41+$D$11</f>
        <v>73.6479905534257</v>
      </c>
      <c r="C42" s="15" t="n">
        <f aca="false">(1-$B$11)*C41+MIN(2*$D$11,MAX($C$11-(1-$B$11)*C41,0))</f>
        <v>100</v>
      </c>
      <c r="D42" s="15" t="n">
        <f aca="false">(1-$B$12)*D41+$D$12</f>
        <v>93.5389181107733</v>
      </c>
      <c r="E42" s="15" t="n">
        <f aca="false">(1-$B$12)*E41+MIN(2*$D$12,MAX($C$12-(1-$B$12)*E41,0))</f>
        <v>100</v>
      </c>
      <c r="F42" s="15" t="n">
        <f aca="false">(1-$B$13)*F41+$D$13</f>
        <v>99.9435592406376</v>
      </c>
      <c r="G42" s="15" t="n">
        <f aca="false">(1-$B$13)*G41+MIN(2*$D$13,MAX($C$13-(1-$B$13)*G41,0))</f>
        <v>100</v>
      </c>
    </row>
    <row r="43" customFormat="false" ht="15" hidden="false" customHeight="false" outlineLevel="0" collapsed="false">
      <c r="A43" s="12" t="n">
        <v>27</v>
      </c>
      <c r="B43" s="15" t="n">
        <f aca="false">(1-$B$11)*B42+$D$11</f>
        <v>74.9655910257544</v>
      </c>
      <c r="C43" s="15" t="n">
        <f aca="false">(1-$B$11)*C42+MIN(2*$D$11,MAX($C$11-(1-$B$11)*C42,0))</f>
        <v>100</v>
      </c>
      <c r="D43" s="15" t="n">
        <f aca="false">(1-$B$12)*D42+$D$12</f>
        <v>94.185026299696</v>
      </c>
      <c r="E43" s="15" t="n">
        <f aca="false">(1-$B$12)*E42+MIN(2*$D$12,MAX($C$12-(1-$B$12)*E42,0))</f>
        <v>100</v>
      </c>
      <c r="F43" s="15" t="n">
        <f aca="false">(1-$B$13)*F42+$D$13</f>
        <v>99.9576694304782</v>
      </c>
      <c r="G43" s="15" t="n">
        <f aca="false">(1-$B$13)*G42+MIN(2*$D$13,MAX($C$13-(1-$B$13)*G42,0))</f>
        <v>100</v>
      </c>
    </row>
    <row r="44" customFormat="false" ht="15" hidden="false" customHeight="false" outlineLevel="0" collapsed="false">
      <c r="A44" s="12" t="n">
        <v>28</v>
      </c>
      <c r="B44" s="15" t="n">
        <f aca="false">(1-$B$11)*B43+$D$11</f>
        <v>76.2173114744667</v>
      </c>
      <c r="C44" s="15" t="n">
        <f aca="false">(1-$B$11)*C43+MIN(2*$D$11,MAX($C$11-(1-$B$11)*C43,0))</f>
        <v>100</v>
      </c>
      <c r="D44" s="15" t="n">
        <f aca="false">(1-$B$12)*D43+$D$12</f>
        <v>94.7665236697264</v>
      </c>
      <c r="E44" s="15" t="n">
        <f aca="false">(1-$B$12)*E43+MIN(2*$D$12,MAX($C$12-(1-$B$12)*E43,0))</f>
        <v>100</v>
      </c>
      <c r="F44" s="15" t="n">
        <f aca="false">(1-$B$13)*F43+$D$13</f>
        <v>99.9682520728587</v>
      </c>
      <c r="G44" s="15" t="n">
        <f aca="false">(1-$B$13)*G43+MIN(2*$D$13,MAX($C$13-(1-$B$13)*G43,0))</f>
        <v>100</v>
      </c>
    </row>
    <row r="45" customFormat="false" ht="15" hidden="false" customHeight="false" outlineLevel="0" collapsed="false">
      <c r="A45" s="12" t="n">
        <v>29</v>
      </c>
      <c r="B45" s="15" t="n">
        <f aca="false">(1-$B$11)*B44+$D$11</f>
        <v>77.4064459007434</v>
      </c>
      <c r="C45" s="15" t="n">
        <f aca="false">(1-$B$11)*C44+MIN(2*$D$11,MAX($C$11-(1-$B$11)*C44,0))</f>
        <v>100</v>
      </c>
      <c r="D45" s="15" t="n">
        <f aca="false">(1-$B$12)*D44+$D$12</f>
        <v>95.2898713027538</v>
      </c>
      <c r="E45" s="15" t="n">
        <f aca="false">(1-$B$12)*E44+MIN(2*$D$12,MAX($C$12-(1-$B$12)*E44,0))</f>
        <v>100</v>
      </c>
      <c r="F45" s="15" t="n">
        <f aca="false">(1-$B$13)*F44+$D$13</f>
        <v>99.976189054644</v>
      </c>
      <c r="G45" s="15" t="n">
        <f aca="false">(1-$B$13)*G44+MIN(2*$D$13,MAX($C$13-(1-$B$13)*G44,0))</f>
        <v>100</v>
      </c>
    </row>
    <row r="46" customFormat="false" ht="15" hidden="false" customHeight="false" outlineLevel="0" collapsed="false">
      <c r="A46" s="12" t="n">
        <v>30</v>
      </c>
      <c r="B46" s="15" t="n">
        <f aca="false">(1-$B$11)*B45+$D$11</f>
        <v>78.5361236057062</v>
      </c>
      <c r="C46" s="15" t="n">
        <f aca="false">(1-$B$11)*C45+MIN(2*$D$11,MAX($C$11-(1-$B$11)*C45,0))</f>
        <v>100</v>
      </c>
      <c r="D46" s="15" t="n">
        <f aca="false">(1-$B$12)*D45+$D$12</f>
        <v>95.7608841724784</v>
      </c>
      <c r="E46" s="15" t="n">
        <f aca="false">(1-$B$12)*E45+MIN(2*$D$12,MAX($C$12-(1-$B$12)*E45,0))</f>
        <v>100</v>
      </c>
      <c r="F46" s="15" t="n">
        <f aca="false">(1-$B$13)*F45+$D$13</f>
        <v>99.982141790983</v>
      </c>
      <c r="G46" s="15" t="n">
        <f aca="false">(1-$B$13)*G45+MIN(2*$D$13,MAX($C$13-(1-$B$13)*G45,0))</f>
        <v>100</v>
      </c>
    </row>
    <row r="47" customFormat="false" ht="15" hidden="false" customHeight="false" outlineLevel="0" collapsed="false">
      <c r="A47" s="12" t="n">
        <v>31</v>
      </c>
      <c r="B47" s="15" t="n">
        <f aca="false">(1-$B$11)*B46+$D$11</f>
        <v>79.6093174254209</v>
      </c>
      <c r="C47" s="15" t="n">
        <f aca="false">(1-$B$11)*C46+MIN(2*$D$11,MAX($C$11-(1-$B$11)*C46,0))</f>
        <v>100</v>
      </c>
      <c r="D47" s="15" t="n">
        <f aca="false">(1-$B$12)*D46+$D$12</f>
        <v>96.1847957552306</v>
      </c>
      <c r="E47" s="15" t="n">
        <f aca="false">(1-$B$12)*E46+MIN(2*$D$12,MAX($C$12-(1-$B$12)*E46,0))</f>
        <v>100</v>
      </c>
      <c r="F47" s="15" t="n">
        <f aca="false">(1-$B$13)*F46+$D$13</f>
        <v>99.9866063432372</v>
      </c>
      <c r="G47" s="15" t="n">
        <f aca="false">(1-$B$13)*G46+MIN(2*$D$13,MAX($C$13-(1-$B$13)*G46,0))</f>
        <v>100</v>
      </c>
    </row>
    <row r="48" customFormat="false" ht="15" hidden="false" customHeight="false" outlineLevel="0" collapsed="false">
      <c r="A48" s="12" t="n">
        <v>32</v>
      </c>
      <c r="B48" s="15" t="n">
        <f aca="false">(1-$B$11)*B47+$D$11</f>
        <v>80.6288515541499</v>
      </c>
      <c r="C48" s="15" t="n">
        <f aca="false">(1-$B$11)*C47+MIN(2*$D$11,MAX($C$11-(1-$B$11)*C47,0))</f>
        <v>100</v>
      </c>
      <c r="D48" s="15" t="n">
        <f aca="false">(1-$B$12)*D47+$D$12</f>
        <v>96.5663161797075</v>
      </c>
      <c r="E48" s="15" t="n">
        <f aca="false">(1-$B$12)*E47+MIN(2*$D$12,MAX($C$12-(1-$B$12)*E47,0))</f>
        <v>100</v>
      </c>
      <c r="F48" s="15" t="n">
        <f aca="false">(1-$B$13)*F47+$D$13</f>
        <v>99.9899547574279</v>
      </c>
      <c r="G48" s="15" t="n">
        <f aca="false">(1-$B$13)*G47+MIN(2*$D$13,MAX($C$13-(1-$B$13)*G47,0))</f>
        <v>100</v>
      </c>
    </row>
    <row r="49" customFormat="false" ht="15" hidden="false" customHeight="false" outlineLevel="0" collapsed="false">
      <c r="A49" s="12" t="n">
        <v>33</v>
      </c>
      <c r="B49" s="15" t="n">
        <f aca="false">(1-$B$11)*B48+$D$11</f>
        <v>81.5974089764424</v>
      </c>
      <c r="C49" s="15" t="n">
        <f aca="false">(1-$B$11)*C48+MIN(2*$D$11,MAX($C$11-(1-$B$11)*C48,0))</f>
        <v>100</v>
      </c>
      <c r="D49" s="15" t="n">
        <f aca="false">(1-$B$12)*D48+$D$12</f>
        <v>96.9096845617368</v>
      </c>
      <c r="E49" s="15" t="n">
        <f aca="false">(1-$B$12)*E48+MIN(2*$D$12,MAX($C$12-(1-$B$12)*E48,0))</f>
        <v>100</v>
      </c>
      <c r="F49" s="15" t="n">
        <f aca="false">(1-$B$13)*F48+$D$13</f>
        <v>99.992466068071</v>
      </c>
      <c r="G49" s="15" t="n">
        <f aca="false">(1-$B$13)*G48+MIN(2*$D$13,MAX($C$13-(1-$B$13)*G48,0))</f>
        <v>100</v>
      </c>
    </row>
    <row r="50" customFormat="false" ht="15" hidden="false" customHeight="false" outlineLevel="0" collapsed="false">
      <c r="A50" s="12" t="n">
        <v>34</v>
      </c>
      <c r="B50" s="15" t="n">
        <f aca="false">(1-$B$11)*B49+$D$11</f>
        <v>82.5175385276202</v>
      </c>
      <c r="C50" s="15" t="n">
        <f aca="false">(1-$B$11)*C49+MIN(2*$D$11,MAX($C$11-(1-$B$11)*C49,0))</f>
        <v>100</v>
      </c>
      <c r="D50" s="15" t="n">
        <f aca="false">(1-$B$12)*D49+$D$12</f>
        <v>97.2187161055631</v>
      </c>
      <c r="E50" s="15" t="n">
        <f aca="false">(1-$B$12)*E49+MIN(2*$D$12,MAX($C$12-(1-$B$12)*E49,0))</f>
        <v>100</v>
      </c>
      <c r="F50" s="15" t="n">
        <f aca="false">(1-$B$13)*F49+$D$13</f>
        <v>99.9943495510532</v>
      </c>
      <c r="G50" s="15" t="n">
        <f aca="false">(1-$B$13)*G49+MIN(2*$D$13,MAX($C$13-(1-$B$13)*G49,0))</f>
        <v>100</v>
      </c>
    </row>
    <row r="51" customFormat="false" ht="15" hidden="false" customHeight="false" outlineLevel="0" collapsed="false">
      <c r="A51" s="12" t="n">
        <v>35</v>
      </c>
      <c r="B51" s="15" t="n">
        <f aca="false">(1-$B$11)*B50+$D$11</f>
        <v>83.3916616012392</v>
      </c>
      <c r="C51" s="15" t="n">
        <f aca="false">(1-$B$11)*C50+MIN(2*$D$11,MAX($C$11-(1-$B$11)*C50,0))</f>
        <v>100</v>
      </c>
      <c r="D51" s="15" t="n">
        <f aca="false">(1-$B$12)*D50+$D$12</f>
        <v>97.4968444950068</v>
      </c>
      <c r="E51" s="15" t="n">
        <f aca="false">(1-$B$12)*E50+MIN(2*$D$12,MAX($C$12-(1-$B$12)*E50,0))</f>
        <v>100</v>
      </c>
      <c r="F51" s="15" t="n">
        <f aca="false">(1-$B$13)*F50+$D$13</f>
        <v>99.9957621632899</v>
      </c>
      <c r="G51" s="15" t="n">
        <f aca="false">(1-$B$13)*G50+MIN(2*$D$13,MAX($C$13-(1-$B$13)*G50,0))</f>
        <v>100</v>
      </c>
    </row>
    <row r="52" customFormat="false" ht="15" hidden="false" customHeight="false" outlineLevel="0" collapsed="false">
      <c r="A52" s="12" t="n">
        <v>36</v>
      </c>
      <c r="B52" s="15" t="n">
        <f aca="false">(1-$B$11)*B51+$D$11</f>
        <v>84.2220785211773</v>
      </c>
      <c r="C52" s="15" t="n">
        <f aca="false">(1-$B$11)*C51+MIN(2*$D$11,MAX($C$11-(1-$B$11)*C51,0))</f>
        <v>100</v>
      </c>
      <c r="D52" s="15" t="n">
        <f aca="false">(1-$B$12)*D51+$D$12</f>
        <v>97.7471600455061</v>
      </c>
      <c r="E52" s="15" t="n">
        <f aca="false">(1-$B$12)*E51+MIN(2*$D$12,MAX($C$12-(1-$B$12)*E51,0))</f>
        <v>100</v>
      </c>
      <c r="F52" s="15" t="n">
        <f aca="false">(1-$B$13)*F51+$D$13</f>
        <v>99.9968216224674</v>
      </c>
      <c r="G52" s="15" t="n">
        <f aca="false">(1-$B$13)*G51+MIN(2*$D$13,MAX($C$13-(1-$B$13)*G51,0))</f>
        <v>100</v>
      </c>
    </row>
    <row r="53" customFormat="false" ht="15" hidden="false" customHeight="false" outlineLevel="0" collapsed="false">
      <c r="A53" s="12" t="n">
        <v>37</v>
      </c>
      <c r="B53" s="15" t="n">
        <f aca="false">(1-$B$11)*B52+$D$11</f>
        <v>85.0109745951184</v>
      </c>
      <c r="C53" s="15" t="n">
        <f aca="false">(1-$B$11)*C52+MIN(2*$D$11,MAX($C$11-(1-$B$11)*C52,0))</f>
        <v>100</v>
      </c>
      <c r="D53" s="15" t="n">
        <f aca="false">(1-$B$12)*D52+$D$12</f>
        <v>97.9724440409555</v>
      </c>
      <c r="E53" s="15" t="n">
        <f aca="false">(1-$B$12)*E52+MIN(2*$D$12,MAX($C$12-(1-$B$12)*E52,0))</f>
        <v>100</v>
      </c>
      <c r="F53" s="15" t="n">
        <f aca="false">(1-$B$13)*F52+$D$13</f>
        <v>99.9976162168506</v>
      </c>
      <c r="G53" s="15" t="n">
        <f aca="false">(1-$B$13)*G52+MIN(2*$D$13,MAX($C$13-(1-$B$13)*G52,0))</f>
        <v>100</v>
      </c>
    </row>
    <row r="54" customFormat="false" ht="15" hidden="false" customHeight="false" outlineLevel="0" collapsed="false">
      <c r="A54" s="12" t="n">
        <v>38</v>
      </c>
      <c r="B54" s="15" t="n">
        <f aca="false">(1-$B$11)*B53+$D$11</f>
        <v>85.7604258653625</v>
      </c>
      <c r="C54" s="15" t="n">
        <f aca="false">(1-$B$11)*C53+MIN(2*$D$11,MAX($C$11-(1-$B$11)*C53,0))</f>
        <v>100</v>
      </c>
      <c r="D54" s="15" t="n">
        <f aca="false">(1-$B$12)*D53+$D$12</f>
        <v>98.1751996368599</v>
      </c>
      <c r="E54" s="15" t="n">
        <f aca="false">(1-$B$12)*E53+MIN(2*$D$12,MAX($C$12-(1-$B$12)*E53,0))</f>
        <v>100</v>
      </c>
      <c r="F54" s="15" t="n">
        <f aca="false">(1-$B$13)*F53+$D$13</f>
        <v>99.9982121626379</v>
      </c>
      <c r="G54" s="15" t="n">
        <f aca="false">(1-$B$13)*G53+MIN(2*$D$13,MAX($C$13-(1-$B$13)*G53,0))</f>
        <v>100</v>
      </c>
    </row>
    <row r="55" customFormat="false" ht="15" hidden="false" customHeight="false" outlineLevel="0" collapsed="false">
      <c r="A55" s="12" t="n">
        <v>39</v>
      </c>
      <c r="B55" s="15" t="n">
        <f aca="false">(1-$B$11)*B54+$D$11</f>
        <v>86.4724045720943</v>
      </c>
      <c r="C55" s="15" t="n">
        <f aca="false">(1-$B$11)*C54+MIN(2*$D$11,MAX($C$11-(1-$B$11)*C54,0))</f>
        <v>100</v>
      </c>
      <c r="D55" s="15" t="n">
        <f aca="false">(1-$B$12)*D54+$D$12</f>
        <v>98.357679673174</v>
      </c>
      <c r="E55" s="15" t="n">
        <f aca="false">(1-$B$12)*E54+MIN(2*$D$12,MAX($C$12-(1-$B$12)*E54,0))</f>
        <v>100</v>
      </c>
      <c r="F55" s="15" t="n">
        <f aca="false">(1-$B$13)*F54+$D$13</f>
        <v>99.9986591219785</v>
      </c>
      <c r="G55" s="15" t="n">
        <f aca="false">(1-$B$13)*G54+MIN(2*$D$13,MAX($C$13-(1-$B$13)*G54,0))</f>
        <v>100</v>
      </c>
    </row>
    <row r="56" customFormat="false" ht="15" hidden="false" customHeight="false" outlineLevel="0" collapsed="false">
      <c r="A56" s="12" t="n">
        <v>40</v>
      </c>
      <c r="B56" s="15" t="n">
        <f aca="false">(1-$B$11)*B55+$D$11</f>
        <v>87.1487843434896</v>
      </c>
      <c r="C56" s="15" t="n">
        <f aca="false">(1-$B$11)*C55+MIN(2*$D$11,MAX($C$11-(1-$B$11)*C55,0))</f>
        <v>100</v>
      </c>
      <c r="D56" s="15" t="n">
        <f aca="false">(1-$B$12)*D55+$D$12</f>
        <v>98.5219117058566</v>
      </c>
      <c r="E56" s="15" t="n">
        <f aca="false">(1-$B$12)*E55+MIN(2*$D$12,MAX($C$12-(1-$B$12)*E55,0))</f>
        <v>100</v>
      </c>
      <c r="F56" s="15" t="n">
        <f aca="false">(1-$B$13)*F55+$D$13</f>
        <v>99.9989943414838</v>
      </c>
      <c r="G56" s="15" t="n">
        <f aca="false">(1-$B$13)*G55+MIN(2*$D$13,MAX($C$13-(1-$B$13)*G55,0))</f>
        <v>100</v>
      </c>
    </row>
    <row r="57" customFormat="false" ht="15" hidden="false" customHeight="false" outlineLevel="0" collapsed="false">
      <c r="A57" s="12" t="n">
        <v>41</v>
      </c>
      <c r="B57" s="15" t="n">
        <f aca="false">(1-$B$11)*B56+$D$11</f>
        <v>87.7913451263151</v>
      </c>
      <c r="C57" s="15" t="n">
        <f aca="false">(1-$B$11)*C56+MIN(2*$D$11,MAX($C$11-(1-$B$11)*C56,0))</f>
        <v>100</v>
      </c>
      <c r="D57" s="15" t="n">
        <f aca="false">(1-$B$12)*D56+$D$12</f>
        <v>98.6697205352709</v>
      </c>
      <c r="E57" s="15" t="n">
        <f aca="false">(1-$B$12)*E56+MIN(2*$D$12,MAX($C$12-(1-$B$12)*E56,0))</f>
        <v>100</v>
      </c>
      <c r="F57" s="15" t="n">
        <f aca="false">(1-$B$13)*F56+$D$13</f>
        <v>99.9992457561129</v>
      </c>
      <c r="G57" s="15" t="n">
        <f aca="false">(1-$B$13)*G56+MIN(2*$D$13,MAX($C$13-(1-$B$13)*G56,0))</f>
        <v>100</v>
      </c>
    </row>
    <row r="58" customFormat="false" ht="15" hidden="false" customHeight="false" outlineLevel="0" collapsed="false">
      <c r="A58" s="12" t="n">
        <v>42</v>
      </c>
      <c r="B58" s="15" t="n">
        <f aca="false">(1-$B$11)*B57+$D$11</f>
        <v>88.4017778699994</v>
      </c>
      <c r="C58" s="15" t="n">
        <f aca="false">(1-$B$11)*C57+MIN(2*$D$11,MAX($C$11-(1-$B$11)*C57,0))</f>
        <v>100</v>
      </c>
      <c r="D58" s="15" t="n">
        <f aca="false">(1-$B$12)*D57+$D$12</f>
        <v>98.8027484817438</v>
      </c>
      <c r="E58" s="15" t="n">
        <f aca="false">(1-$B$12)*E57+MIN(2*$D$12,MAX($C$12-(1-$B$12)*E57,0))</f>
        <v>100</v>
      </c>
      <c r="F58" s="15" t="n">
        <f aca="false">(1-$B$13)*F57+$D$13</f>
        <v>99.9994343170847</v>
      </c>
      <c r="G58" s="15" t="n">
        <f aca="false">(1-$B$13)*G57+MIN(2*$D$13,MAX($C$13-(1-$B$13)*G57,0))</f>
        <v>100</v>
      </c>
    </row>
    <row r="59" customFormat="false" ht="15" hidden="false" customHeight="false" outlineLevel="0" collapsed="false">
      <c r="A59" s="12" t="n">
        <v>43</v>
      </c>
      <c r="B59" s="15" t="n">
        <f aca="false">(1-$B$11)*B58+$D$11</f>
        <v>88.9816889764994</v>
      </c>
      <c r="C59" s="15" t="n">
        <f aca="false">(1-$B$11)*C58+MIN(2*$D$11,MAX($C$11-(1-$B$11)*C58,0))</f>
        <v>100</v>
      </c>
      <c r="D59" s="15" t="n">
        <f aca="false">(1-$B$12)*D58+$D$12</f>
        <v>98.9224736335694</v>
      </c>
      <c r="E59" s="15" t="n">
        <f aca="false">(1-$B$12)*E58+MIN(2*$D$12,MAX($C$12-(1-$B$12)*E58,0))</f>
        <v>100</v>
      </c>
      <c r="F59" s="15" t="n">
        <f aca="false">(1-$B$13)*F58+$D$13</f>
        <v>99.9995757378135</v>
      </c>
      <c r="G59" s="15" t="n">
        <f aca="false">(1-$B$13)*G58+MIN(2*$D$13,MAX($C$13-(1-$B$13)*G58,0))</f>
        <v>100</v>
      </c>
    </row>
    <row r="60" customFormat="false" ht="15" hidden="false" customHeight="false" outlineLevel="0" collapsed="false">
      <c r="A60" s="12" t="n">
        <v>44</v>
      </c>
      <c r="B60" s="15" t="n">
        <f aca="false">(1-$B$11)*B59+$D$11</f>
        <v>89.5326045276744</v>
      </c>
      <c r="C60" s="15" t="n">
        <f aca="false">(1-$B$11)*C59+MIN(2*$D$11,MAX($C$11-(1-$B$11)*C59,0))</f>
        <v>100</v>
      </c>
      <c r="D60" s="15" t="n">
        <f aca="false">(1-$B$12)*D59+$D$12</f>
        <v>99.0302262702125</v>
      </c>
      <c r="E60" s="15" t="n">
        <f aca="false">(1-$B$12)*E59+MIN(2*$D$12,MAX($C$12-(1-$B$12)*E59,0))</f>
        <v>100</v>
      </c>
      <c r="F60" s="15" t="n">
        <f aca="false">(1-$B$13)*F59+$D$13</f>
        <v>99.9996818033601</v>
      </c>
      <c r="G60" s="15" t="n">
        <f aca="false">(1-$B$13)*G59+MIN(2*$D$13,MAX($C$13-(1-$B$13)*G59,0))</f>
        <v>100</v>
      </c>
    </row>
    <row r="61" customFormat="false" ht="15" hidden="false" customHeight="false" outlineLevel="0" collapsed="false">
      <c r="A61" s="12" t="n">
        <v>45</v>
      </c>
      <c r="B61" s="15" t="n">
        <f aca="false">(1-$B$11)*B60+$D$11</f>
        <v>90.0559743012907</v>
      </c>
      <c r="C61" s="15" t="n">
        <f aca="false">(1-$B$11)*C60+MIN(2*$D$11,MAX($C$11-(1-$B$11)*C60,0))</f>
        <v>100</v>
      </c>
      <c r="D61" s="15" t="n">
        <f aca="false">(1-$B$12)*D60+$D$12</f>
        <v>99.1272036431912</v>
      </c>
      <c r="E61" s="15" t="n">
        <f aca="false">(1-$B$12)*E60+MIN(2*$D$12,MAX($C$12-(1-$B$12)*E60,0))</f>
        <v>100</v>
      </c>
      <c r="F61" s="15" t="n">
        <f aca="false">(1-$B$13)*F60+$D$13</f>
        <v>99.9997613525201</v>
      </c>
      <c r="G61" s="15" t="n">
        <f aca="false">(1-$B$13)*G60+MIN(2*$D$13,MAX($C$13-(1-$B$13)*G60,0))</f>
        <v>100</v>
      </c>
    </row>
    <row r="62" customFormat="false" ht="15" hidden="false" customHeight="false" outlineLevel="0" collapsed="false">
      <c r="A62" s="12" t="n">
        <v>46</v>
      </c>
      <c r="B62" s="15" t="n">
        <f aca="false">(1-$B$11)*B61+$D$11</f>
        <v>90.5531755862262</v>
      </c>
      <c r="C62" s="15" t="n">
        <f aca="false">(1-$B$11)*C61+MIN(2*$D$11,MAX($C$11-(1-$B$11)*C61,0))</f>
        <v>100</v>
      </c>
      <c r="D62" s="15" t="n">
        <f aca="false">(1-$B$12)*D61+$D$12</f>
        <v>99.2144832788721</v>
      </c>
      <c r="E62" s="15" t="n">
        <f aca="false">(1-$B$12)*E61+MIN(2*$D$12,MAX($C$12-(1-$B$12)*E61,0))</f>
        <v>100</v>
      </c>
      <c r="F62" s="15" t="n">
        <f aca="false">(1-$B$13)*F61+$D$13</f>
        <v>99.9998210143901</v>
      </c>
      <c r="G62" s="15" t="n">
        <f aca="false">(1-$B$13)*G61+MIN(2*$D$13,MAX($C$13-(1-$B$13)*G61,0))</f>
        <v>100</v>
      </c>
    </row>
    <row r="63" customFormat="false" ht="15" hidden="false" customHeight="false" outlineLevel="0" collapsed="false">
      <c r="A63" s="12" t="n">
        <v>47</v>
      </c>
      <c r="B63" s="15" t="n">
        <f aca="false">(1-$B$11)*B62+$D$11</f>
        <v>91.0255168069149</v>
      </c>
      <c r="C63" s="15" t="n">
        <f aca="false">(1-$B$11)*C62+MIN(2*$D$11,MAX($C$11-(1-$B$11)*C62,0))</f>
        <v>100</v>
      </c>
      <c r="D63" s="15" t="n">
        <f aca="false">(1-$B$12)*D62+$D$12</f>
        <v>99.2930349509849</v>
      </c>
      <c r="E63" s="15" t="n">
        <f aca="false">(1-$B$12)*E62+MIN(2*$D$12,MAX($C$12-(1-$B$12)*E62,0))</f>
        <v>100</v>
      </c>
      <c r="F63" s="15" t="n">
        <f aca="false">(1-$B$13)*F62+$D$13</f>
        <v>99.9998657607926</v>
      </c>
      <c r="G63" s="15" t="n">
        <f aca="false">(1-$B$13)*G62+MIN(2*$D$13,MAX($C$13-(1-$B$13)*G62,0))</f>
        <v>100</v>
      </c>
    </row>
    <row r="64" customFormat="false" ht="15" hidden="false" customHeight="false" outlineLevel="0" collapsed="false">
      <c r="A64" s="12" t="n">
        <v>48</v>
      </c>
      <c r="B64" s="15" t="n">
        <f aca="false">(1-$B$11)*B63+$D$11</f>
        <v>91.4742409665691</v>
      </c>
      <c r="C64" s="15" t="n">
        <f aca="false">(1-$B$11)*C63+MIN(2*$D$11,MAX($C$11-(1-$B$11)*C63,0))</f>
        <v>100</v>
      </c>
      <c r="D64" s="15" t="n">
        <f aca="false">(1-$B$12)*D63+$D$12</f>
        <v>99.3637314558864</v>
      </c>
      <c r="E64" s="15" t="n">
        <f aca="false">(1-$B$12)*E63+MIN(2*$D$12,MAX($C$12-(1-$B$12)*E63,0))</f>
        <v>100</v>
      </c>
      <c r="F64" s="15" t="n">
        <f aca="false">(1-$B$13)*F63+$D$13</f>
        <v>99.9998993205944</v>
      </c>
      <c r="G64" s="15" t="n">
        <f aca="false">(1-$B$13)*G63+MIN(2*$D$13,MAX($C$13-(1-$B$13)*G63,0))</f>
        <v>100</v>
      </c>
    </row>
    <row r="65" customFormat="false" ht="15" hidden="false" customHeight="false" outlineLevel="0" collapsed="false">
      <c r="A65" s="12" t="n">
        <v>49</v>
      </c>
      <c r="B65" s="15" t="n">
        <f aca="false">(1-$B$11)*B64+$D$11</f>
        <v>91.9005289182406</v>
      </c>
      <c r="C65" s="15" t="n">
        <f aca="false">(1-$B$11)*C64+MIN(2*$D$11,MAX($C$11-(1-$B$11)*C64,0))</f>
        <v>100</v>
      </c>
      <c r="D65" s="15" t="n">
        <f aca="false">(1-$B$12)*D64+$D$12</f>
        <v>99.4273583102978</v>
      </c>
      <c r="E65" s="15" t="n">
        <f aca="false">(1-$B$12)*E64+MIN(2*$D$12,MAX($C$12-(1-$B$12)*E64,0))</f>
        <v>100</v>
      </c>
      <c r="F65" s="15" t="n">
        <f aca="false">(1-$B$13)*F64+$D$13</f>
        <v>99.9999244904458</v>
      </c>
      <c r="G65" s="15" t="n">
        <f aca="false">(1-$B$13)*G64+MIN(2*$D$13,MAX($C$13-(1-$B$13)*G64,0))</f>
        <v>100</v>
      </c>
    </row>
    <row r="66" customFormat="false" ht="15" hidden="false" customHeight="false" outlineLevel="0" collapsed="false">
      <c r="A66" s="12" t="n">
        <v>50</v>
      </c>
      <c r="B66" s="15" t="n">
        <f aca="false">(1-$B$11)*B65+$D$11</f>
        <v>92.3055024723286</v>
      </c>
      <c r="C66" s="15" t="n">
        <f aca="false">(1-$B$11)*C65+MIN(2*$D$11,MAX($C$11-(1-$B$11)*C65,0))</f>
        <v>100</v>
      </c>
      <c r="D66" s="15" t="n">
        <f aca="false">(1-$B$12)*D65+$D$12</f>
        <v>99.484622479268</v>
      </c>
      <c r="E66" s="15" t="n">
        <f aca="false">(1-$B$12)*E65+MIN(2*$D$12,MAX($C$12-(1-$B$12)*E65,0))</f>
        <v>100</v>
      </c>
      <c r="F66" s="15" t="n">
        <f aca="false">(1-$B$13)*F65+$D$13</f>
        <v>99.9999433678344</v>
      </c>
      <c r="G66" s="15" t="n">
        <f aca="false">(1-$B$13)*G65+MIN(2*$D$13,MAX($C$13-(1-$B$13)*G65,0))</f>
        <v>100</v>
      </c>
    </row>
    <row r="67" customFormat="false" ht="15" hidden="false" customHeight="false" outlineLevel="0" collapsed="false">
      <c r="A67" s="12" t="n">
        <v>51</v>
      </c>
      <c r="B67" s="15" t="n">
        <f aca="false">(1-$B$11)*B66+$D$11</f>
        <v>92.6902273487122</v>
      </c>
      <c r="C67" s="15" t="n">
        <f aca="false">(1-$B$11)*C66+MIN(2*$D$11,MAX($C$11-(1-$B$11)*C66,0))</f>
        <v>100</v>
      </c>
      <c r="D67" s="15" t="n">
        <f aca="false">(1-$B$12)*D66+$D$12</f>
        <v>99.5361602313412</v>
      </c>
      <c r="E67" s="15" t="n">
        <f aca="false">(1-$B$12)*E66+MIN(2*$D$12,MAX($C$12-(1-$B$12)*E66,0))</f>
        <v>100</v>
      </c>
      <c r="F67" s="15" t="n">
        <f aca="false">(1-$B$13)*F66+$D$13</f>
        <v>99.9999575258758</v>
      </c>
      <c r="G67" s="15" t="n">
        <f aca="false">(1-$B$13)*G66+MIN(2*$D$13,MAX($C$13-(1-$B$13)*G66,0))</f>
        <v>100</v>
      </c>
    </row>
    <row r="68" customFormat="false" ht="15" hidden="false" customHeight="false" outlineLevel="0" collapsed="false">
      <c r="A68" s="12" t="n">
        <v>52</v>
      </c>
      <c r="B68" s="15" t="n">
        <f aca="false">(1-$B$11)*B67+$D$11</f>
        <v>93.0557159812766</v>
      </c>
      <c r="C68" s="15" t="n">
        <f aca="false">(1-$B$11)*C67+MIN(2*$D$11,MAX($C$11-(1-$B$11)*C67,0))</f>
        <v>100</v>
      </c>
      <c r="D68" s="15" t="n">
        <f aca="false">(1-$B$12)*D67+$D$12</f>
        <v>99.5825442082071</v>
      </c>
      <c r="E68" s="15" t="n">
        <f aca="false">(1-$B$12)*E67+MIN(2*$D$12,MAX($C$12-(1-$B$12)*E67,0))</f>
        <v>100</v>
      </c>
      <c r="F68" s="15" t="n">
        <f aca="false">(1-$B$13)*F67+$D$13</f>
        <v>99.9999681444068</v>
      </c>
      <c r="G68" s="15" t="n">
        <f aca="false">(1-$B$13)*G67+MIN(2*$D$13,MAX($C$13-(1-$B$13)*G67,0))</f>
        <v>100</v>
      </c>
    </row>
    <row r="69" customFormat="false" ht="15" hidden="false" customHeight="false" outlineLevel="0" collapsed="false">
      <c r="A69" s="12" t="n">
        <v>53</v>
      </c>
      <c r="B69" s="15" t="n">
        <f aca="false">(1-$B$11)*B68+$D$11</f>
        <v>93.4029301822127</v>
      </c>
      <c r="C69" s="15" t="n">
        <f aca="false">(1-$B$11)*C68+MIN(2*$D$11,MAX($C$11-(1-$B$11)*C68,0))</f>
        <v>100</v>
      </c>
      <c r="D69" s="15" t="n">
        <f aca="false">(1-$B$12)*D68+$D$12</f>
        <v>99.6242897873864</v>
      </c>
      <c r="E69" s="15" t="n">
        <f aca="false">(1-$B$12)*E68+MIN(2*$D$12,MAX($C$12-(1-$B$12)*E68,0))</f>
        <v>100</v>
      </c>
      <c r="F69" s="15" t="n">
        <f aca="false">(1-$B$13)*F68+$D$13</f>
        <v>99.9999761083051</v>
      </c>
      <c r="G69" s="15" t="n">
        <f aca="false">(1-$B$13)*G68+MIN(2*$D$13,MAX($C$13-(1-$B$13)*G68,0))</f>
        <v>100</v>
      </c>
    </row>
    <row r="70" customFormat="false" ht="15" hidden="false" customHeight="false" outlineLevel="0" collapsed="false">
      <c r="A70" s="12" t="n">
        <v>54</v>
      </c>
      <c r="B70" s="15" t="n">
        <f aca="false">(1-$B$11)*B69+$D$11</f>
        <v>93.7327836731021</v>
      </c>
      <c r="C70" s="15" t="n">
        <f aca="false">(1-$B$11)*C69+MIN(2*$D$11,MAX($C$11-(1-$B$11)*C69,0))</f>
        <v>100</v>
      </c>
      <c r="D70" s="15" t="n">
        <f aca="false">(1-$B$12)*D69+$D$12</f>
        <v>99.6618608086478</v>
      </c>
      <c r="E70" s="15" t="n">
        <f aca="false">(1-$B$12)*E69+MIN(2*$D$12,MAX($C$12-(1-$B$12)*E69,0))</f>
        <v>100</v>
      </c>
      <c r="F70" s="15" t="n">
        <f aca="false">(1-$B$13)*F69+$D$13</f>
        <v>99.9999820812289</v>
      </c>
      <c r="G70" s="15" t="n">
        <f aca="false">(1-$B$13)*G69+MIN(2*$D$13,MAX($C$13-(1-$B$13)*G69,0))</f>
        <v>100</v>
      </c>
    </row>
    <row r="71" customFormat="false" ht="15" hidden="false" customHeight="false" outlineLevel="0" collapsed="false">
      <c r="A71" s="12" t="n">
        <v>55</v>
      </c>
      <c r="B71" s="15" t="n">
        <f aca="false">(1-$B$11)*B70+$D$11</f>
        <v>94.046144489447</v>
      </c>
      <c r="C71" s="15" t="n">
        <f aca="false">(1-$B$11)*C70+MIN(2*$D$11,MAX($C$11-(1-$B$11)*C70,0))</f>
        <v>100</v>
      </c>
      <c r="D71" s="15" t="n">
        <f aca="false">(1-$B$12)*D70+$D$12</f>
        <v>99.695674727783</v>
      </c>
      <c r="E71" s="15" t="n">
        <f aca="false">(1-$B$12)*E70+MIN(2*$D$12,MAX($C$12-(1-$B$12)*E70,0))</f>
        <v>100</v>
      </c>
      <c r="F71" s="15" t="n">
        <f aca="false">(1-$B$13)*F70+$D$13</f>
        <v>99.9999865609216</v>
      </c>
      <c r="G71" s="15" t="n">
        <f aca="false">(1-$B$13)*G70+MIN(2*$D$13,MAX($C$13-(1-$B$13)*G70,0))</f>
        <v>100</v>
      </c>
    </row>
    <row r="72" customFormat="false" ht="15" hidden="false" customHeight="false" outlineLevel="0" collapsed="false">
      <c r="A72" s="12" t="n">
        <v>56</v>
      </c>
      <c r="B72" s="15" t="n">
        <f aca="false">(1-$B$11)*B71+$D$11</f>
        <v>94.3438372649746</v>
      </c>
      <c r="C72" s="15" t="n">
        <f aca="false">(1-$B$11)*C71+MIN(2*$D$11,MAX($C$11-(1-$B$11)*C71,0))</f>
        <v>100</v>
      </c>
      <c r="D72" s="15" t="n">
        <f aca="false">(1-$B$12)*D71+$D$12</f>
        <v>99.7261072550047</v>
      </c>
      <c r="E72" s="15" t="n">
        <f aca="false">(1-$B$12)*E71+MIN(2*$D$12,MAX($C$12-(1-$B$12)*E71,0))</f>
        <v>100</v>
      </c>
      <c r="F72" s="15" t="n">
        <f aca="false">(1-$B$13)*F71+$D$13</f>
        <v>99.9999899206912</v>
      </c>
      <c r="G72" s="15" t="n">
        <f aca="false">(1-$B$13)*G71+MIN(2*$D$13,MAX($C$13-(1-$B$13)*G71,0))</f>
        <v>100</v>
      </c>
    </row>
    <row r="73" customFormat="false" ht="15" hidden="false" customHeight="false" outlineLevel="0" collapsed="false">
      <c r="A73" s="12" t="n">
        <v>57</v>
      </c>
      <c r="B73" s="15" t="n">
        <f aca="false">(1-$B$11)*B72+$D$11</f>
        <v>94.6266454017259</v>
      </c>
      <c r="C73" s="15" t="n">
        <f aca="false">(1-$B$11)*C72+MIN(2*$D$11,MAX($C$11-(1-$B$11)*C72,0))</f>
        <v>100</v>
      </c>
      <c r="D73" s="15" t="n">
        <f aca="false">(1-$B$12)*D72+$D$12</f>
        <v>99.7534965295042</v>
      </c>
      <c r="E73" s="15" t="n">
        <f aca="false">(1-$B$12)*E72+MIN(2*$D$12,MAX($C$12-(1-$B$12)*E72,0))</f>
        <v>100</v>
      </c>
      <c r="F73" s="15" t="n">
        <f aca="false">(1-$B$13)*F72+$D$13</f>
        <v>99.9999924405184</v>
      </c>
      <c r="G73" s="15" t="n">
        <f aca="false">(1-$B$13)*G72+MIN(2*$D$13,MAX($C$13-(1-$B$13)*G72,0))</f>
        <v>100</v>
      </c>
    </row>
    <row r="74" customFormat="false" ht="15" hidden="false" customHeight="false" outlineLevel="0" collapsed="false">
      <c r="A74" s="12" t="n">
        <v>58</v>
      </c>
      <c r="B74" s="15" t="n">
        <f aca="false">(1-$B$11)*B73+$D$11</f>
        <v>94.8953131316396</v>
      </c>
      <c r="C74" s="15" t="n">
        <f aca="false">(1-$B$11)*C73+MIN(2*$D$11,MAX($C$11-(1-$B$11)*C73,0))</f>
        <v>100</v>
      </c>
      <c r="D74" s="15" t="n">
        <f aca="false">(1-$B$12)*D73+$D$12</f>
        <v>99.7781468765538</v>
      </c>
      <c r="E74" s="15" t="n">
        <f aca="false">(1-$B$12)*E73+MIN(2*$D$12,MAX($C$12-(1-$B$12)*E73,0))</f>
        <v>100</v>
      </c>
      <c r="F74" s="15" t="n">
        <f aca="false">(1-$B$13)*F73+$D$13</f>
        <v>99.9999943303888</v>
      </c>
      <c r="G74" s="15" t="n">
        <f aca="false">(1-$B$13)*G73+MIN(2*$D$13,MAX($C$13-(1-$B$13)*G73,0))</f>
        <v>100</v>
      </c>
    </row>
    <row r="75" customFormat="false" ht="15" hidden="false" customHeight="false" outlineLevel="0" collapsed="false">
      <c r="A75" s="12" t="n">
        <v>59</v>
      </c>
      <c r="B75" s="15" t="n">
        <f aca="false">(1-$B$11)*B74+$D$11</f>
        <v>95.1505474750576</v>
      </c>
      <c r="C75" s="15" t="n">
        <f aca="false">(1-$B$11)*C74+MIN(2*$D$11,MAX($C$11-(1-$B$11)*C74,0))</f>
        <v>100</v>
      </c>
      <c r="D75" s="15" t="n">
        <f aca="false">(1-$B$12)*D74+$D$12</f>
        <v>99.8003321888984</v>
      </c>
      <c r="E75" s="15" t="n">
        <f aca="false">(1-$B$12)*E74+MIN(2*$D$12,MAX($C$12-(1-$B$12)*E74,0))</f>
        <v>100</v>
      </c>
      <c r="F75" s="15" t="n">
        <f aca="false">(1-$B$13)*F74+$D$13</f>
        <v>99.9999957477916</v>
      </c>
      <c r="G75" s="15" t="n">
        <f aca="false">(1-$B$13)*G74+MIN(2*$D$13,MAX($C$13-(1-$B$13)*G74,0))</f>
        <v>100</v>
      </c>
    </row>
    <row r="76" customFormat="false" ht="15" hidden="false" customHeight="false" outlineLevel="0" collapsed="false">
      <c r="A76" s="12" t="n">
        <v>60</v>
      </c>
      <c r="B76" s="15" t="n">
        <f aca="false">(1-$B$11)*B75+$D$11</f>
        <v>95.3930201013047</v>
      </c>
      <c r="C76" s="15" t="n">
        <f aca="false">(1-$B$11)*C75+MIN(2*$D$11,MAX($C$11-(1-$B$11)*C75,0))</f>
        <v>100</v>
      </c>
      <c r="D76" s="15" t="n">
        <f aca="false">(1-$B$12)*D75+$D$12</f>
        <v>99.8202989700086</v>
      </c>
      <c r="E76" s="15" t="n">
        <f aca="false">(1-$B$12)*E75+MIN(2*$D$12,MAX($C$12-(1-$B$12)*E75,0))</f>
        <v>100</v>
      </c>
      <c r="F76" s="15" t="n">
        <f aca="false">(1-$B$13)*F75+$D$13</f>
        <v>99.9999968108437</v>
      </c>
      <c r="G76" s="15" t="n">
        <f aca="false">(1-$B$13)*G75+MIN(2*$D$13,MAX($C$13-(1-$B$13)*G75,0))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186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162</v>
      </c>
    </row>
    <row r="4" customFormat="false" ht="15" hidden="false" customHeight="false" outlineLevel="0" collapsed="false">
      <c r="A4" s="2" t="s">
        <v>47</v>
      </c>
      <c r="B4" s="17" t="n">
        <f aca="false">Cbar</f>
        <v>100</v>
      </c>
      <c r="C4" s="10" t="s">
        <v>187</v>
      </c>
    </row>
    <row r="5" customFormat="false" ht="15" hidden="false" customHeight="false" outlineLevel="0" collapsed="false">
      <c r="A5" s="2" t="s">
        <v>188</v>
      </c>
      <c r="B5" s="18" t="n">
        <f aca="false">LN((Cbar-C_leave)/(Cbar-Floor_c))/LN(1/(1-Delta_q))</f>
        <v>1.71757017695694</v>
      </c>
      <c r="C5" s="10" t="s">
        <v>189</v>
      </c>
    </row>
    <row r="6" customFormat="false" ht="15" hidden="false" customHeight="false" outlineLevel="0" collapsed="false">
      <c r="A6" s="2" t="s">
        <v>190</v>
      </c>
      <c r="B6" s="18" t="n">
        <f aca="false">LN((Cbar-C_leave)/(Cbar-C_keep))/LN(1/(1-Delta_q))</f>
        <v>4.44264303989051</v>
      </c>
      <c r="C6" s="10" t="s">
        <v>191</v>
      </c>
    </row>
    <row r="7" customFormat="false" ht="15" hidden="false" customHeight="false" outlineLevel="0" collapsed="false">
      <c r="A7" s="2" t="s">
        <v>192</v>
      </c>
      <c r="B7" s="12" t="n">
        <f aca="false">COUNTIF($E$17:$E$97,"&lt;"&amp;Floor_c)</f>
        <v>2</v>
      </c>
      <c r="C7" s="10" t="s">
        <v>193</v>
      </c>
    </row>
    <row r="8" customFormat="false" ht="15" hidden="false" customHeight="false" outlineLevel="0" collapsed="false">
      <c r="A8" s="2" t="s">
        <v>194</v>
      </c>
      <c r="B8" s="12" t="n">
        <f aca="false">COUNTIF($E$17:$E$97,"&lt;"&amp;(C_keep-0.000000001))</f>
        <v>5</v>
      </c>
      <c r="C8" s="10" t="s">
        <v>195</v>
      </c>
    </row>
    <row r="9" customFormat="false" ht="15" hidden="false" customHeight="false" outlineLevel="0" collapsed="false">
      <c r="A9" s="2" t="s">
        <v>196</v>
      </c>
      <c r="B9" s="18" t="n">
        <f aca="false">E18</f>
        <v>54.175</v>
      </c>
      <c r="C9" s="10" t="s">
        <v>197</v>
      </c>
    </row>
    <row r="10" customFormat="false" ht="15" hidden="false" customHeight="false" outlineLevel="0" collapsed="false">
      <c r="A10" s="2" t="s">
        <v>198</v>
      </c>
      <c r="B10" s="18" t="n">
        <f aca="false">E21</f>
        <v>57.526669140625</v>
      </c>
      <c r="C10" s="10" t="s">
        <v>199</v>
      </c>
    </row>
    <row r="11" customFormat="false" ht="15" hidden="false" customHeight="false" outlineLevel="0" collapsed="false">
      <c r="A11" s="2" t="s">
        <v>200</v>
      </c>
      <c r="B11" s="12" t="n">
        <f aca="false">COUNTIF($G$17:$G$97,"&lt;"&amp;Floor_c)</f>
        <v>21</v>
      </c>
      <c r="C11" s="10" t="s">
        <v>201</v>
      </c>
    </row>
    <row r="12" customFormat="false" ht="15" hidden="false" customHeight="false" outlineLevel="0" collapsed="false">
      <c r="A12" s="2" t="s">
        <v>202</v>
      </c>
      <c r="B12" s="18" t="n">
        <f aca="false">G41</f>
        <v>55.2767922077857</v>
      </c>
      <c r="C12" s="10" t="s">
        <v>203</v>
      </c>
    </row>
    <row r="13" customFormat="false" ht="15" hidden="false" customHeight="false" outlineLevel="0" collapsed="false">
      <c r="A13" s="2" t="s">
        <v>204</v>
      </c>
      <c r="B13" s="12" t="n">
        <f aca="false">COUNTIF($G$17:$G$97,"&lt;57")</f>
        <v>64</v>
      </c>
      <c r="C13" s="10" t="s">
        <v>205</v>
      </c>
    </row>
    <row r="14" customFormat="false" ht="15" hidden="false" customHeight="false" outlineLevel="0" collapsed="false">
      <c r="A14" s="10" t="s">
        <v>206</v>
      </c>
    </row>
    <row r="16" customFormat="false" ht="23.85" hidden="false" customHeight="false" outlineLevel="0" collapsed="false">
      <c r="A16" s="8" t="s">
        <v>207</v>
      </c>
      <c r="B16" s="8" t="s">
        <v>208</v>
      </c>
      <c r="C16" s="8" t="s">
        <v>209</v>
      </c>
      <c r="D16" s="8" t="s">
        <v>210</v>
      </c>
      <c r="E16" s="8" t="s">
        <v>211</v>
      </c>
      <c r="F16" s="8" t="s">
        <v>212</v>
      </c>
      <c r="G16" s="8" t="s">
        <v>213</v>
      </c>
      <c r="H16" s="8" t="s">
        <v>214</v>
      </c>
    </row>
    <row r="17" customFormat="false" ht="15" hidden="false" customHeight="false" outlineLevel="0" collapsed="false">
      <c r="A17" s="12" t="n">
        <v>0</v>
      </c>
      <c r="C17" s="18" t="n">
        <f aca="false">C_keep</f>
        <v>58</v>
      </c>
      <c r="E17" s="18" t="n">
        <f aca="false">C_leave</f>
        <v>53</v>
      </c>
      <c r="G17" s="18" t="n">
        <f aca="false">C_leave</f>
        <v>53</v>
      </c>
      <c r="H17" s="18" t="n">
        <f aca="false">C_keep-Pts_lost*(1-Delta_q)^A17</f>
        <v>53</v>
      </c>
    </row>
    <row r="18" customFormat="false" ht="15" hidden="false" customHeight="false" outlineLevel="0" collapsed="false">
      <c r="A18" s="12" t="n">
        <v>1</v>
      </c>
      <c r="B18" s="18" t="n">
        <f aca="false">Rent_58</f>
        <v>1.45</v>
      </c>
      <c r="C18" s="18" t="n">
        <f aca="false">(1-Delta_q)*C17+B18</f>
        <v>58</v>
      </c>
      <c r="D18" s="18" t="n">
        <f aca="false">MIN(Cap_q,MAX(C_keep-(1-Delta_q)*E17,0))</f>
        <v>2.5</v>
      </c>
      <c r="E18" s="18" t="n">
        <f aca="false">(1-Delta_q)*E17+D18</f>
        <v>54.175</v>
      </c>
      <c r="F18" s="18" t="n">
        <f aca="false">Rent_58</f>
        <v>1.45</v>
      </c>
      <c r="G18" s="18" t="n">
        <f aca="false">(1-Delta_q)*G17+F18</f>
        <v>53.125</v>
      </c>
      <c r="H18" s="18" t="n">
        <f aca="false">C_keep-Pts_lost*(1-Delta_q)^A18</f>
        <v>53.125</v>
      </c>
    </row>
    <row r="19" customFormat="false" ht="15" hidden="false" customHeight="false" outlineLevel="0" collapsed="false">
      <c r="A19" s="12" t="n">
        <v>2</v>
      </c>
      <c r="B19" s="18" t="n">
        <f aca="false">Rent_58</f>
        <v>1.45</v>
      </c>
      <c r="C19" s="18" t="n">
        <f aca="false">(1-Delta_q)*C18+B19</f>
        <v>58</v>
      </c>
      <c r="D19" s="18" t="n">
        <f aca="false">MIN(Cap_q,MAX(C_keep-(1-Delta_q)*E18,0))</f>
        <v>2.5</v>
      </c>
      <c r="E19" s="18" t="n">
        <f aca="false">(1-Delta_q)*E18+D19</f>
        <v>55.320625</v>
      </c>
      <c r="F19" s="18" t="n">
        <f aca="false">Rent_58</f>
        <v>1.45</v>
      </c>
      <c r="G19" s="18" t="n">
        <f aca="false">(1-Delta_q)*G18+F19</f>
        <v>53.246875</v>
      </c>
      <c r="H19" s="18" t="n">
        <f aca="false">C_keep-Pts_lost*(1-Delta_q)^A19</f>
        <v>53.246875</v>
      </c>
    </row>
    <row r="20" customFormat="false" ht="15" hidden="false" customHeight="false" outlineLevel="0" collapsed="false">
      <c r="A20" s="12" t="n">
        <v>3</v>
      </c>
      <c r="B20" s="18" t="n">
        <f aca="false">Rent_58</f>
        <v>1.45</v>
      </c>
      <c r="C20" s="18" t="n">
        <f aca="false">(1-Delta_q)*C19+B20</f>
        <v>58</v>
      </c>
      <c r="D20" s="18" t="n">
        <f aca="false">MIN(Cap_q,MAX(C_keep-(1-Delta_q)*E19,0))</f>
        <v>2.5</v>
      </c>
      <c r="E20" s="18" t="n">
        <f aca="false">(1-Delta_q)*E19+D20</f>
        <v>56.437609375</v>
      </c>
      <c r="F20" s="18" t="n">
        <f aca="false">Rent_58</f>
        <v>1.45</v>
      </c>
      <c r="G20" s="18" t="n">
        <f aca="false">(1-Delta_q)*G19+F20</f>
        <v>53.365703125</v>
      </c>
      <c r="H20" s="18" t="n">
        <f aca="false">C_keep-Pts_lost*(1-Delta_q)^A20</f>
        <v>53.365703125</v>
      </c>
    </row>
    <row r="21" customFormat="false" ht="15" hidden="false" customHeight="false" outlineLevel="0" collapsed="false">
      <c r="A21" s="12" t="n">
        <v>4</v>
      </c>
      <c r="B21" s="18" t="n">
        <f aca="false">Rent_58</f>
        <v>1.45</v>
      </c>
      <c r="C21" s="18" t="n">
        <f aca="false">(1-Delta_q)*C20+B21</f>
        <v>58</v>
      </c>
      <c r="D21" s="18" t="n">
        <f aca="false">MIN(Cap_q,MAX(C_keep-(1-Delta_q)*E20,0))</f>
        <v>2.5</v>
      </c>
      <c r="E21" s="18" t="n">
        <f aca="false">(1-Delta_q)*E20+D21</f>
        <v>57.526669140625</v>
      </c>
      <c r="F21" s="18" t="n">
        <f aca="false">Rent_58</f>
        <v>1.45</v>
      </c>
      <c r="G21" s="18" t="n">
        <f aca="false">(1-Delta_q)*G20+F21</f>
        <v>53.481560546875</v>
      </c>
      <c r="H21" s="18" t="n">
        <f aca="false">C_keep-Pts_lost*(1-Delta_q)^A21</f>
        <v>53.481560546875</v>
      </c>
    </row>
    <row r="22" customFormat="false" ht="15" hidden="false" customHeight="false" outlineLevel="0" collapsed="false">
      <c r="A22" s="12" t="n">
        <v>5</v>
      </c>
      <c r="B22" s="18" t="n">
        <f aca="false">Rent_58</f>
        <v>1.45</v>
      </c>
      <c r="C22" s="18" t="n">
        <f aca="false">(1-Delta_q)*C21+B22</f>
        <v>58</v>
      </c>
      <c r="D22" s="18" t="n">
        <f aca="false">MIN(Cap_q,MAX(C_keep-(1-Delta_q)*E21,0))</f>
        <v>1.91149758789063</v>
      </c>
      <c r="E22" s="18" t="n">
        <f aca="false">(1-Delta_q)*E21+D22</f>
        <v>58</v>
      </c>
      <c r="F22" s="18" t="n">
        <f aca="false">Rent_58</f>
        <v>1.45</v>
      </c>
      <c r="G22" s="18" t="n">
        <f aca="false">(1-Delta_q)*G21+F22</f>
        <v>53.5945215332031</v>
      </c>
      <c r="H22" s="18" t="n">
        <f aca="false">C_keep-Pts_lost*(1-Delta_q)^A22</f>
        <v>53.5945215332031</v>
      </c>
    </row>
    <row r="23" customFormat="false" ht="15" hidden="false" customHeight="false" outlineLevel="0" collapsed="false">
      <c r="A23" s="12" t="n">
        <v>6</v>
      </c>
      <c r="B23" s="18" t="n">
        <f aca="false">Rent_58</f>
        <v>1.45</v>
      </c>
      <c r="C23" s="18" t="n">
        <f aca="false">(1-Delta_q)*C22+B23</f>
        <v>58</v>
      </c>
      <c r="D23" s="18" t="n">
        <f aca="false">MIN(Cap_q,MAX(C_keep-(1-Delta_q)*E22,0))</f>
        <v>1.45</v>
      </c>
      <c r="E23" s="18" t="n">
        <f aca="false">(1-Delta_q)*E22+D23</f>
        <v>58</v>
      </c>
      <c r="F23" s="18" t="n">
        <f aca="false">Rent_58</f>
        <v>1.45</v>
      </c>
      <c r="G23" s="18" t="n">
        <f aca="false">(1-Delta_q)*G22+F23</f>
        <v>53.7046584948731</v>
      </c>
      <c r="H23" s="18" t="n">
        <f aca="false">C_keep-Pts_lost*(1-Delta_q)^A23</f>
        <v>53.704658494873</v>
      </c>
    </row>
    <row r="24" customFormat="false" ht="15" hidden="false" customHeight="false" outlineLevel="0" collapsed="false">
      <c r="A24" s="12" t="n">
        <v>7</v>
      </c>
      <c r="B24" s="18" t="n">
        <f aca="false">Rent_58</f>
        <v>1.45</v>
      </c>
      <c r="C24" s="18" t="n">
        <f aca="false">(1-Delta_q)*C23+B24</f>
        <v>58</v>
      </c>
      <c r="D24" s="18" t="n">
        <f aca="false">MIN(Cap_q,MAX(C_keep-(1-Delta_q)*E23,0))</f>
        <v>1.45</v>
      </c>
      <c r="E24" s="18" t="n">
        <f aca="false">(1-Delta_q)*E23+D24</f>
        <v>58</v>
      </c>
      <c r="F24" s="18" t="n">
        <f aca="false">Rent_58</f>
        <v>1.45</v>
      </c>
      <c r="G24" s="18" t="n">
        <f aca="false">(1-Delta_q)*G23+F24</f>
        <v>53.8120420325012</v>
      </c>
      <c r="H24" s="18" t="n">
        <f aca="false">C_keep-Pts_lost*(1-Delta_q)^A24</f>
        <v>53.8120420325012</v>
      </c>
    </row>
    <row r="25" customFormat="false" ht="15" hidden="false" customHeight="false" outlineLevel="0" collapsed="false">
      <c r="A25" s="12" t="n">
        <v>8</v>
      </c>
      <c r="B25" s="18" t="n">
        <f aca="false">Rent_58</f>
        <v>1.45</v>
      </c>
      <c r="C25" s="18" t="n">
        <f aca="false">(1-Delta_q)*C24+B25</f>
        <v>58</v>
      </c>
      <c r="D25" s="18" t="n">
        <f aca="false">MIN(Cap_q,MAX(C_keep-(1-Delta_q)*E24,0))</f>
        <v>1.45</v>
      </c>
      <c r="E25" s="18" t="n">
        <f aca="false">(1-Delta_q)*E24+D25</f>
        <v>58</v>
      </c>
      <c r="F25" s="18" t="n">
        <f aca="false">Rent_58</f>
        <v>1.45</v>
      </c>
      <c r="G25" s="18" t="n">
        <f aca="false">(1-Delta_q)*G24+F25</f>
        <v>53.9167409816887</v>
      </c>
      <c r="H25" s="18" t="n">
        <f aca="false">C_keep-Pts_lost*(1-Delta_q)^A25</f>
        <v>53.9167409816887</v>
      </c>
    </row>
    <row r="26" customFormat="false" ht="15" hidden="false" customHeight="false" outlineLevel="0" collapsed="false">
      <c r="A26" s="12" t="n">
        <v>9</v>
      </c>
      <c r="B26" s="18" t="n">
        <f aca="false">Rent_58</f>
        <v>1.45</v>
      </c>
      <c r="C26" s="18" t="n">
        <f aca="false">(1-Delta_q)*C25+B26</f>
        <v>58</v>
      </c>
      <c r="D26" s="18" t="n">
        <f aca="false">MIN(Cap_q,MAX(C_keep-(1-Delta_q)*E25,0))</f>
        <v>1.45</v>
      </c>
      <c r="E26" s="18" t="n">
        <f aca="false">(1-Delta_q)*E25+D26</f>
        <v>58</v>
      </c>
      <c r="F26" s="18" t="n">
        <f aca="false">Rent_58</f>
        <v>1.45</v>
      </c>
      <c r="G26" s="18" t="n">
        <f aca="false">(1-Delta_q)*G25+F26</f>
        <v>54.0188224571465</v>
      </c>
      <c r="H26" s="18" t="n">
        <f aca="false">C_keep-Pts_lost*(1-Delta_q)^A26</f>
        <v>54.0188224571465</v>
      </c>
    </row>
    <row r="27" customFormat="false" ht="15" hidden="false" customHeight="false" outlineLevel="0" collapsed="false">
      <c r="A27" s="12" t="n">
        <v>10</v>
      </c>
      <c r="B27" s="18" t="n">
        <f aca="false">Rent_58</f>
        <v>1.45</v>
      </c>
      <c r="C27" s="18" t="n">
        <f aca="false">(1-Delta_q)*C26+B27</f>
        <v>58</v>
      </c>
      <c r="D27" s="18" t="n">
        <f aca="false">MIN(Cap_q,MAX(C_keep-(1-Delta_q)*E26,0))</f>
        <v>1.45</v>
      </c>
      <c r="E27" s="18" t="n">
        <f aca="false">(1-Delta_q)*E26+D27</f>
        <v>58</v>
      </c>
      <c r="F27" s="18" t="n">
        <f aca="false">Rent_58</f>
        <v>1.45</v>
      </c>
      <c r="G27" s="18" t="n">
        <f aca="false">(1-Delta_q)*G26+F27</f>
        <v>54.1183518957178</v>
      </c>
      <c r="H27" s="18" t="n">
        <f aca="false">C_keep-Pts_lost*(1-Delta_q)^A27</f>
        <v>54.1183518957178</v>
      </c>
    </row>
    <row r="28" customFormat="false" ht="15" hidden="false" customHeight="false" outlineLevel="0" collapsed="false">
      <c r="A28" s="12" t="n">
        <v>11</v>
      </c>
      <c r="B28" s="18" t="n">
        <f aca="false">Rent_58</f>
        <v>1.45</v>
      </c>
      <c r="C28" s="18" t="n">
        <f aca="false">(1-Delta_q)*C27+B28</f>
        <v>58</v>
      </c>
      <c r="D28" s="18" t="n">
        <f aca="false">MIN(Cap_q,MAX(C_keep-(1-Delta_q)*E27,0))</f>
        <v>1.45</v>
      </c>
      <c r="E28" s="18" t="n">
        <f aca="false">(1-Delta_q)*E27+D28</f>
        <v>58</v>
      </c>
      <c r="F28" s="18" t="n">
        <f aca="false">Rent_58</f>
        <v>1.45</v>
      </c>
      <c r="G28" s="18" t="n">
        <f aca="false">(1-Delta_q)*G27+F28</f>
        <v>54.2153930983249</v>
      </c>
      <c r="H28" s="18" t="n">
        <f aca="false">C_keep-Pts_lost*(1-Delta_q)^A28</f>
        <v>54.2153930983249</v>
      </c>
    </row>
    <row r="29" customFormat="false" ht="15" hidden="false" customHeight="false" outlineLevel="0" collapsed="false">
      <c r="A29" s="12" t="n">
        <v>12</v>
      </c>
      <c r="B29" s="18" t="n">
        <f aca="false">Rent_58</f>
        <v>1.45</v>
      </c>
      <c r="C29" s="18" t="n">
        <f aca="false">(1-Delta_q)*C28+B29</f>
        <v>58</v>
      </c>
      <c r="D29" s="18" t="n">
        <f aca="false">MIN(Cap_q,MAX(C_keep-(1-Delta_q)*E28,0))</f>
        <v>1.45</v>
      </c>
      <c r="E29" s="18" t="n">
        <f aca="false">(1-Delta_q)*E28+D29</f>
        <v>58</v>
      </c>
      <c r="F29" s="18" t="n">
        <f aca="false">Rent_58</f>
        <v>1.45</v>
      </c>
      <c r="G29" s="18" t="n">
        <f aca="false">(1-Delta_q)*G28+F29</f>
        <v>54.3100082708668</v>
      </c>
      <c r="H29" s="18" t="n">
        <f aca="false">C_keep-Pts_lost*(1-Delta_q)^A29</f>
        <v>54.3100082708667</v>
      </c>
    </row>
    <row r="30" customFormat="false" ht="15" hidden="false" customHeight="false" outlineLevel="0" collapsed="false">
      <c r="A30" s="12" t="n">
        <v>13</v>
      </c>
      <c r="B30" s="18" t="n">
        <f aca="false">Rent_58</f>
        <v>1.45</v>
      </c>
      <c r="C30" s="18" t="n">
        <f aca="false">(1-Delta_q)*C29+B30</f>
        <v>58</v>
      </c>
      <c r="D30" s="18" t="n">
        <f aca="false">MIN(Cap_q,MAX(C_keep-(1-Delta_q)*E29,0))</f>
        <v>1.45</v>
      </c>
      <c r="E30" s="18" t="n">
        <f aca="false">(1-Delta_q)*E29+D30</f>
        <v>58</v>
      </c>
      <c r="F30" s="18" t="n">
        <f aca="false">Rent_58</f>
        <v>1.45</v>
      </c>
      <c r="G30" s="18" t="n">
        <f aca="false">(1-Delta_q)*G29+F30</f>
        <v>54.4022580640951</v>
      </c>
      <c r="H30" s="18" t="n">
        <f aca="false">C_keep-Pts_lost*(1-Delta_q)^A30</f>
        <v>54.4022580640951</v>
      </c>
    </row>
    <row r="31" customFormat="false" ht="15" hidden="false" customHeight="false" outlineLevel="0" collapsed="false">
      <c r="A31" s="12" t="n">
        <v>14</v>
      </c>
      <c r="B31" s="18" t="n">
        <f aca="false">Rent_58</f>
        <v>1.45</v>
      </c>
      <c r="C31" s="18" t="n">
        <f aca="false">(1-Delta_q)*C30+B31</f>
        <v>58</v>
      </c>
      <c r="D31" s="18" t="n">
        <f aca="false">MIN(Cap_q,MAX(C_keep-(1-Delta_q)*E30,0))</f>
        <v>1.45</v>
      </c>
      <c r="E31" s="18" t="n">
        <f aca="false">(1-Delta_q)*E30+D31</f>
        <v>58</v>
      </c>
      <c r="F31" s="18" t="n">
        <f aca="false">Rent_58</f>
        <v>1.45</v>
      </c>
      <c r="G31" s="18" t="n">
        <f aca="false">(1-Delta_q)*G30+F31</f>
        <v>54.4922016124927</v>
      </c>
      <c r="H31" s="18" t="n">
        <f aca="false">C_keep-Pts_lost*(1-Delta_q)^A31</f>
        <v>54.4922016124927</v>
      </c>
    </row>
    <row r="32" customFormat="false" ht="15" hidden="false" customHeight="false" outlineLevel="0" collapsed="false">
      <c r="A32" s="12" t="n">
        <v>15</v>
      </c>
      <c r="B32" s="18" t="n">
        <f aca="false">Rent_58</f>
        <v>1.45</v>
      </c>
      <c r="C32" s="18" t="n">
        <f aca="false">(1-Delta_q)*C31+B32</f>
        <v>58</v>
      </c>
      <c r="D32" s="18" t="n">
        <f aca="false">MIN(Cap_q,MAX(C_keep-(1-Delta_q)*E31,0))</f>
        <v>1.45</v>
      </c>
      <c r="E32" s="18" t="n">
        <f aca="false">(1-Delta_q)*E31+D32</f>
        <v>58</v>
      </c>
      <c r="F32" s="18" t="n">
        <f aca="false">Rent_58</f>
        <v>1.45</v>
      </c>
      <c r="G32" s="18" t="n">
        <f aca="false">(1-Delta_q)*G31+F32</f>
        <v>54.5798965721804</v>
      </c>
      <c r="H32" s="18" t="n">
        <f aca="false">C_keep-Pts_lost*(1-Delta_q)^A32</f>
        <v>54.5798965721804</v>
      </c>
    </row>
    <row r="33" customFormat="false" ht="15" hidden="false" customHeight="false" outlineLevel="0" collapsed="false">
      <c r="A33" s="12" t="n">
        <v>16</v>
      </c>
      <c r="B33" s="18" t="n">
        <f aca="false">Rent_58</f>
        <v>1.45</v>
      </c>
      <c r="C33" s="18" t="n">
        <f aca="false">(1-Delta_q)*C32+B33</f>
        <v>58</v>
      </c>
      <c r="D33" s="18" t="n">
        <f aca="false">MIN(Cap_q,MAX(C_keep-(1-Delta_q)*E32,0))</f>
        <v>1.45</v>
      </c>
      <c r="E33" s="18" t="n">
        <f aca="false">(1-Delta_q)*E32+D33</f>
        <v>58</v>
      </c>
      <c r="F33" s="18" t="n">
        <f aca="false">Rent_58</f>
        <v>1.45</v>
      </c>
      <c r="G33" s="18" t="n">
        <f aca="false">(1-Delta_q)*G32+F33</f>
        <v>54.6653991578759</v>
      </c>
      <c r="H33" s="18" t="n">
        <f aca="false">C_keep-Pts_lost*(1-Delta_q)^A33</f>
        <v>54.6653991578759</v>
      </c>
    </row>
    <row r="34" customFormat="false" ht="15" hidden="false" customHeight="false" outlineLevel="0" collapsed="false">
      <c r="A34" s="12" t="n">
        <v>17</v>
      </c>
      <c r="B34" s="18" t="n">
        <f aca="false">Rent_58</f>
        <v>1.45</v>
      </c>
      <c r="C34" s="18" t="n">
        <f aca="false">(1-Delta_q)*C33+B34</f>
        <v>58</v>
      </c>
      <c r="D34" s="18" t="n">
        <f aca="false">MIN(Cap_q,MAX(C_keep-(1-Delta_q)*E33,0))</f>
        <v>1.45</v>
      </c>
      <c r="E34" s="18" t="n">
        <f aca="false">(1-Delta_q)*E33+D34</f>
        <v>58</v>
      </c>
      <c r="F34" s="18" t="n">
        <f aca="false">Rent_58</f>
        <v>1.45</v>
      </c>
      <c r="G34" s="18" t="n">
        <f aca="false">(1-Delta_q)*G33+F34</f>
        <v>54.748764178929</v>
      </c>
      <c r="H34" s="18" t="n">
        <f aca="false">C_keep-Pts_lost*(1-Delta_q)^A34</f>
        <v>54.748764178929</v>
      </c>
    </row>
    <row r="35" customFormat="false" ht="15" hidden="false" customHeight="false" outlineLevel="0" collapsed="false">
      <c r="A35" s="12" t="n">
        <v>18</v>
      </c>
      <c r="B35" s="18" t="n">
        <f aca="false">Rent_58</f>
        <v>1.45</v>
      </c>
      <c r="C35" s="18" t="n">
        <f aca="false">(1-Delta_q)*C34+B35</f>
        <v>58</v>
      </c>
      <c r="D35" s="18" t="n">
        <f aca="false">MIN(Cap_q,MAX(C_keep-(1-Delta_q)*E34,0))</f>
        <v>1.45</v>
      </c>
      <c r="E35" s="18" t="n">
        <f aca="false">(1-Delta_q)*E34+D35</f>
        <v>58</v>
      </c>
      <c r="F35" s="18" t="n">
        <f aca="false">Rent_58</f>
        <v>1.45</v>
      </c>
      <c r="G35" s="18" t="n">
        <f aca="false">(1-Delta_q)*G34+F35</f>
        <v>54.8300450744558</v>
      </c>
      <c r="H35" s="18" t="n">
        <f aca="false">C_keep-Pts_lost*(1-Delta_q)^A35</f>
        <v>54.8300450744558</v>
      </c>
    </row>
    <row r="36" customFormat="false" ht="15" hidden="false" customHeight="false" outlineLevel="0" collapsed="false">
      <c r="A36" s="12" t="n">
        <v>19</v>
      </c>
      <c r="B36" s="18" t="n">
        <f aca="false">Rent_58</f>
        <v>1.45</v>
      </c>
      <c r="C36" s="18" t="n">
        <f aca="false">(1-Delta_q)*C35+B36</f>
        <v>58</v>
      </c>
      <c r="D36" s="18" t="n">
        <f aca="false">MIN(Cap_q,MAX(C_keep-(1-Delta_q)*E35,0))</f>
        <v>1.45</v>
      </c>
      <c r="E36" s="18" t="n">
        <f aca="false">(1-Delta_q)*E35+D36</f>
        <v>58</v>
      </c>
      <c r="F36" s="18" t="n">
        <f aca="false">Rent_58</f>
        <v>1.45</v>
      </c>
      <c r="G36" s="18" t="n">
        <f aca="false">(1-Delta_q)*G35+F36</f>
        <v>54.9092939475944</v>
      </c>
      <c r="H36" s="18" t="n">
        <f aca="false">C_keep-Pts_lost*(1-Delta_q)^A36</f>
        <v>54.9092939475944</v>
      </c>
    </row>
    <row r="37" customFormat="false" ht="15" hidden="false" customHeight="false" outlineLevel="0" collapsed="false">
      <c r="A37" s="12" t="n">
        <v>20</v>
      </c>
      <c r="B37" s="18" t="n">
        <f aca="false">Rent_58</f>
        <v>1.45</v>
      </c>
      <c r="C37" s="18" t="n">
        <f aca="false">(1-Delta_q)*C36+B37</f>
        <v>58</v>
      </c>
      <c r="D37" s="18" t="n">
        <f aca="false">MIN(Cap_q,MAX(C_keep-(1-Delta_q)*E36,0))</f>
        <v>1.45</v>
      </c>
      <c r="E37" s="18" t="n">
        <f aca="false">(1-Delta_q)*E36+D37</f>
        <v>58</v>
      </c>
      <c r="F37" s="18" t="n">
        <f aca="false">Rent_58</f>
        <v>1.45</v>
      </c>
      <c r="G37" s="18" t="n">
        <f aca="false">(1-Delta_q)*G36+F37</f>
        <v>54.9865615989045</v>
      </c>
      <c r="H37" s="18" t="n">
        <f aca="false">C_keep-Pts_lost*(1-Delta_q)^A37</f>
        <v>54.9865615989045</v>
      </c>
    </row>
    <row r="38" customFormat="false" ht="15" hidden="false" customHeight="false" outlineLevel="0" collapsed="false">
      <c r="A38" s="12" t="n">
        <v>21</v>
      </c>
      <c r="B38" s="18" t="n">
        <f aca="false">Rent_58</f>
        <v>1.45</v>
      </c>
      <c r="C38" s="18" t="n">
        <f aca="false">(1-Delta_q)*C37+B38</f>
        <v>58</v>
      </c>
      <c r="D38" s="18" t="n">
        <f aca="false">MIN(Cap_q,MAX(C_keep-(1-Delta_q)*E37,0))</f>
        <v>1.45</v>
      </c>
      <c r="E38" s="18" t="n">
        <f aca="false">(1-Delta_q)*E37+D38</f>
        <v>58</v>
      </c>
      <c r="F38" s="18" t="n">
        <f aca="false">Rent_58</f>
        <v>1.45</v>
      </c>
      <c r="G38" s="18" t="n">
        <f aca="false">(1-Delta_q)*G37+F38</f>
        <v>55.0618975589319</v>
      </c>
      <c r="H38" s="18" t="n">
        <f aca="false">C_keep-Pts_lost*(1-Delta_q)^A38</f>
        <v>55.0618975589319</v>
      </c>
    </row>
    <row r="39" customFormat="false" ht="15" hidden="false" customHeight="false" outlineLevel="0" collapsed="false">
      <c r="A39" s="12" t="n">
        <v>22</v>
      </c>
      <c r="B39" s="18" t="n">
        <f aca="false">Rent_58</f>
        <v>1.45</v>
      </c>
      <c r="C39" s="18" t="n">
        <f aca="false">(1-Delta_q)*C38+B39</f>
        <v>58</v>
      </c>
      <c r="D39" s="18" t="n">
        <f aca="false">MIN(Cap_q,MAX(C_keep-(1-Delta_q)*E38,0))</f>
        <v>1.45</v>
      </c>
      <c r="E39" s="18" t="n">
        <f aca="false">(1-Delta_q)*E38+D39</f>
        <v>58</v>
      </c>
      <c r="F39" s="18" t="n">
        <f aca="false">Rent_58</f>
        <v>1.45</v>
      </c>
      <c r="G39" s="18" t="n">
        <f aca="false">(1-Delta_q)*G38+F39</f>
        <v>55.1353501199586</v>
      </c>
      <c r="H39" s="18" t="n">
        <f aca="false">C_keep-Pts_lost*(1-Delta_q)^A39</f>
        <v>55.1353501199586</v>
      </c>
    </row>
    <row r="40" customFormat="false" ht="15" hidden="false" customHeight="false" outlineLevel="0" collapsed="false">
      <c r="A40" s="12" t="n">
        <v>23</v>
      </c>
      <c r="B40" s="18" t="n">
        <f aca="false">Rent_58</f>
        <v>1.45</v>
      </c>
      <c r="C40" s="18" t="n">
        <f aca="false">(1-Delta_q)*C39+B40</f>
        <v>58</v>
      </c>
      <c r="D40" s="18" t="n">
        <f aca="false">MIN(Cap_q,MAX(C_keep-(1-Delta_q)*E39,0))</f>
        <v>1.45</v>
      </c>
      <c r="E40" s="18" t="n">
        <f aca="false">(1-Delta_q)*E39+D40</f>
        <v>58</v>
      </c>
      <c r="F40" s="18" t="n">
        <f aca="false">Rent_58</f>
        <v>1.45</v>
      </c>
      <c r="G40" s="18" t="n">
        <f aca="false">(1-Delta_q)*G39+F40</f>
        <v>55.2069663669597</v>
      </c>
      <c r="H40" s="18" t="n">
        <f aca="false">C_keep-Pts_lost*(1-Delta_q)^A40</f>
        <v>55.2069663669596</v>
      </c>
    </row>
    <row r="41" customFormat="false" ht="15" hidden="false" customHeight="false" outlineLevel="0" collapsed="false">
      <c r="A41" s="12" t="n">
        <v>24</v>
      </c>
      <c r="B41" s="18" t="n">
        <f aca="false">Rent_58</f>
        <v>1.45</v>
      </c>
      <c r="C41" s="18" t="n">
        <f aca="false">(1-Delta_q)*C40+B41</f>
        <v>58</v>
      </c>
      <c r="D41" s="18" t="n">
        <f aca="false">MIN(Cap_q,MAX(C_keep-(1-Delta_q)*E40,0))</f>
        <v>1.45</v>
      </c>
      <c r="E41" s="18" t="n">
        <f aca="false">(1-Delta_q)*E40+D41</f>
        <v>58</v>
      </c>
      <c r="F41" s="18" t="n">
        <f aca="false">Rent_58</f>
        <v>1.45</v>
      </c>
      <c r="G41" s="18" t="n">
        <f aca="false">(1-Delta_q)*G40+F41</f>
        <v>55.2767922077857</v>
      </c>
      <c r="H41" s="18" t="n">
        <f aca="false">C_keep-Pts_lost*(1-Delta_q)^A41</f>
        <v>55.2767922077856</v>
      </c>
    </row>
    <row r="42" customFormat="false" ht="15" hidden="false" customHeight="false" outlineLevel="0" collapsed="false">
      <c r="A42" s="12" t="n">
        <v>25</v>
      </c>
      <c r="B42" s="18" t="n">
        <f aca="false">Rent_58</f>
        <v>1.45</v>
      </c>
      <c r="C42" s="18" t="n">
        <f aca="false">(1-Delta_q)*C41+B42</f>
        <v>58</v>
      </c>
      <c r="D42" s="18" t="n">
        <f aca="false">MIN(Cap_q,MAX(C_keep-(1-Delta_q)*E41,0))</f>
        <v>1.45</v>
      </c>
      <c r="E42" s="18" t="n">
        <f aca="false">(1-Delta_q)*E41+D42</f>
        <v>58</v>
      </c>
      <c r="F42" s="18" t="n">
        <f aca="false">Rent_58</f>
        <v>1.45</v>
      </c>
      <c r="G42" s="18" t="n">
        <f aca="false">(1-Delta_q)*G41+F42</f>
        <v>55.344872402591</v>
      </c>
      <c r="H42" s="18" t="n">
        <f aca="false">C_keep-Pts_lost*(1-Delta_q)^A42</f>
        <v>55.344872402591</v>
      </c>
    </row>
    <row r="43" customFormat="false" ht="15" hidden="false" customHeight="false" outlineLevel="0" collapsed="false">
      <c r="A43" s="12" t="n">
        <v>26</v>
      </c>
      <c r="B43" s="18" t="n">
        <f aca="false">Rent_58</f>
        <v>1.45</v>
      </c>
      <c r="C43" s="18" t="n">
        <f aca="false">(1-Delta_q)*C42+B43</f>
        <v>58</v>
      </c>
      <c r="D43" s="18" t="n">
        <f aca="false">MIN(Cap_q,MAX(C_keep-(1-Delta_q)*E42,0))</f>
        <v>1.45</v>
      </c>
      <c r="E43" s="18" t="n">
        <f aca="false">(1-Delta_q)*E42+D43</f>
        <v>58</v>
      </c>
      <c r="F43" s="18" t="n">
        <f aca="false">Rent_58</f>
        <v>1.45</v>
      </c>
      <c r="G43" s="18" t="n">
        <f aca="false">(1-Delta_q)*G42+F43</f>
        <v>55.4112505925263</v>
      </c>
      <c r="H43" s="18" t="n">
        <f aca="false">C_keep-Pts_lost*(1-Delta_q)^A43</f>
        <v>55.4112505925262</v>
      </c>
    </row>
    <row r="44" customFormat="false" ht="15" hidden="false" customHeight="false" outlineLevel="0" collapsed="false">
      <c r="A44" s="12" t="n">
        <v>27</v>
      </c>
      <c r="B44" s="18" t="n">
        <f aca="false">Rent_58</f>
        <v>1.45</v>
      </c>
      <c r="C44" s="18" t="n">
        <f aca="false">(1-Delta_q)*C43+B44</f>
        <v>58</v>
      </c>
      <c r="D44" s="18" t="n">
        <f aca="false">MIN(Cap_q,MAX(C_keep-(1-Delta_q)*E43,0))</f>
        <v>1.45</v>
      </c>
      <c r="E44" s="18" t="n">
        <f aca="false">(1-Delta_q)*E43+D44</f>
        <v>58</v>
      </c>
      <c r="F44" s="18" t="n">
        <f aca="false">Rent_58</f>
        <v>1.45</v>
      </c>
      <c r="G44" s="18" t="n">
        <f aca="false">(1-Delta_q)*G43+F44</f>
        <v>55.4759693277131</v>
      </c>
      <c r="H44" s="18" t="n">
        <f aca="false">C_keep-Pts_lost*(1-Delta_q)^A44</f>
        <v>55.4759693277131</v>
      </c>
    </row>
    <row r="45" customFormat="false" ht="15" hidden="false" customHeight="false" outlineLevel="0" collapsed="false">
      <c r="A45" s="12" t="n">
        <v>28</v>
      </c>
      <c r="B45" s="18" t="n">
        <f aca="false">Rent_58</f>
        <v>1.45</v>
      </c>
      <c r="C45" s="18" t="n">
        <f aca="false">(1-Delta_q)*C44+B45</f>
        <v>58</v>
      </c>
      <c r="D45" s="18" t="n">
        <f aca="false">MIN(Cap_q,MAX(C_keep-(1-Delta_q)*E44,0))</f>
        <v>1.45</v>
      </c>
      <c r="E45" s="18" t="n">
        <f aca="false">(1-Delta_q)*E44+D45</f>
        <v>58</v>
      </c>
      <c r="F45" s="18" t="n">
        <f aca="false">Rent_58</f>
        <v>1.45</v>
      </c>
      <c r="G45" s="18" t="n">
        <f aca="false">(1-Delta_q)*G44+F45</f>
        <v>55.5390700945203</v>
      </c>
      <c r="H45" s="18" t="n">
        <f aca="false">C_keep-Pts_lost*(1-Delta_q)^A45</f>
        <v>55.5390700945202</v>
      </c>
    </row>
    <row r="46" customFormat="false" ht="15" hidden="false" customHeight="false" outlineLevel="0" collapsed="false">
      <c r="A46" s="12" t="n">
        <v>29</v>
      </c>
      <c r="B46" s="18" t="n">
        <f aca="false">Rent_58</f>
        <v>1.45</v>
      </c>
      <c r="C46" s="18" t="n">
        <f aca="false">(1-Delta_q)*C45+B46</f>
        <v>58</v>
      </c>
      <c r="D46" s="18" t="n">
        <f aca="false">MIN(Cap_q,MAX(C_keep-(1-Delta_q)*E45,0))</f>
        <v>1.45</v>
      </c>
      <c r="E46" s="18" t="n">
        <f aca="false">(1-Delta_q)*E45+D46</f>
        <v>58</v>
      </c>
      <c r="F46" s="18" t="n">
        <f aca="false">Rent_58</f>
        <v>1.45</v>
      </c>
      <c r="G46" s="18" t="n">
        <f aca="false">(1-Delta_q)*G45+F46</f>
        <v>55.6005933421573</v>
      </c>
      <c r="H46" s="18" t="n">
        <f aca="false">C_keep-Pts_lost*(1-Delta_q)^A46</f>
        <v>55.6005933421572</v>
      </c>
    </row>
    <row r="47" customFormat="false" ht="15" hidden="false" customHeight="false" outlineLevel="0" collapsed="false">
      <c r="A47" s="12" t="n">
        <v>30</v>
      </c>
      <c r="B47" s="18" t="n">
        <f aca="false">Rent_58</f>
        <v>1.45</v>
      </c>
      <c r="C47" s="18" t="n">
        <f aca="false">(1-Delta_q)*C46+B47</f>
        <v>58</v>
      </c>
      <c r="D47" s="18" t="n">
        <f aca="false">MIN(Cap_q,MAX(C_keep-(1-Delta_q)*E46,0))</f>
        <v>1.45</v>
      </c>
      <c r="E47" s="18" t="n">
        <f aca="false">(1-Delta_q)*E46+D47</f>
        <v>58</v>
      </c>
      <c r="F47" s="18" t="n">
        <f aca="false">Rent_58</f>
        <v>1.45</v>
      </c>
      <c r="G47" s="18" t="n">
        <f aca="false">(1-Delta_q)*G46+F47</f>
        <v>55.6605785086033</v>
      </c>
      <c r="H47" s="18" t="n">
        <f aca="false">C_keep-Pts_lost*(1-Delta_q)^A47</f>
        <v>55.6605785086033</v>
      </c>
    </row>
    <row r="48" customFormat="false" ht="15" hidden="false" customHeight="false" outlineLevel="0" collapsed="false">
      <c r="A48" s="12" t="n">
        <v>31</v>
      </c>
      <c r="B48" s="18" t="n">
        <f aca="false">Rent_58</f>
        <v>1.45</v>
      </c>
      <c r="C48" s="18" t="n">
        <f aca="false">(1-Delta_q)*C47+B48</f>
        <v>58</v>
      </c>
      <c r="D48" s="18" t="n">
        <f aca="false">MIN(Cap_q,MAX(C_keep-(1-Delta_q)*E47,0))</f>
        <v>1.45</v>
      </c>
      <c r="E48" s="18" t="n">
        <f aca="false">(1-Delta_q)*E47+D48</f>
        <v>58</v>
      </c>
      <c r="F48" s="18" t="n">
        <f aca="false">Rent_58</f>
        <v>1.45</v>
      </c>
      <c r="G48" s="18" t="n">
        <f aca="false">(1-Delta_q)*G47+F48</f>
        <v>55.7190640458883</v>
      </c>
      <c r="H48" s="18" t="n">
        <f aca="false">C_keep-Pts_lost*(1-Delta_q)^A48</f>
        <v>55.7190640458882</v>
      </c>
    </row>
    <row r="49" customFormat="false" ht="15" hidden="false" customHeight="false" outlineLevel="0" collapsed="false">
      <c r="A49" s="12" t="n">
        <v>32</v>
      </c>
      <c r="B49" s="18" t="n">
        <f aca="false">Rent_58</f>
        <v>1.45</v>
      </c>
      <c r="C49" s="18" t="n">
        <f aca="false">(1-Delta_q)*C48+B49</f>
        <v>58</v>
      </c>
      <c r="D49" s="18" t="n">
        <f aca="false">MIN(Cap_q,MAX(C_keep-(1-Delta_q)*E48,0))</f>
        <v>1.45</v>
      </c>
      <c r="E49" s="18" t="n">
        <f aca="false">(1-Delta_q)*E48+D49</f>
        <v>58</v>
      </c>
      <c r="F49" s="18" t="n">
        <f aca="false">Rent_58</f>
        <v>1.45</v>
      </c>
      <c r="G49" s="18" t="n">
        <f aca="false">(1-Delta_q)*G48+F49</f>
        <v>55.7760874447411</v>
      </c>
      <c r="H49" s="18" t="n">
        <f aca="false">C_keep-Pts_lost*(1-Delta_q)^A49</f>
        <v>55.776087444741</v>
      </c>
    </row>
    <row r="50" customFormat="false" ht="15" hidden="false" customHeight="false" outlineLevel="0" collapsed="false">
      <c r="A50" s="12" t="n">
        <v>33</v>
      </c>
      <c r="B50" s="18" t="n">
        <f aca="false">Rent_58</f>
        <v>1.45</v>
      </c>
      <c r="C50" s="18" t="n">
        <f aca="false">(1-Delta_q)*C49+B50</f>
        <v>58</v>
      </c>
      <c r="D50" s="18" t="n">
        <f aca="false">MIN(Cap_q,MAX(C_keep-(1-Delta_q)*E49,0))</f>
        <v>1.45</v>
      </c>
      <c r="E50" s="18" t="n">
        <f aca="false">(1-Delta_q)*E49+D50</f>
        <v>58</v>
      </c>
      <c r="F50" s="18" t="n">
        <f aca="false">Rent_58</f>
        <v>1.45</v>
      </c>
      <c r="G50" s="18" t="n">
        <f aca="false">(1-Delta_q)*G49+F50</f>
        <v>55.8316852586225</v>
      </c>
      <c r="H50" s="18" t="n">
        <f aca="false">C_keep-Pts_lost*(1-Delta_q)^A50</f>
        <v>55.8316852586225</v>
      </c>
    </row>
    <row r="51" customFormat="false" ht="15" hidden="false" customHeight="false" outlineLevel="0" collapsed="false">
      <c r="A51" s="12" t="n">
        <v>34</v>
      </c>
      <c r="B51" s="18" t="n">
        <f aca="false">Rent_58</f>
        <v>1.45</v>
      </c>
      <c r="C51" s="18" t="n">
        <f aca="false">(1-Delta_q)*C50+B51</f>
        <v>58</v>
      </c>
      <c r="D51" s="18" t="n">
        <f aca="false">MIN(Cap_q,MAX(C_keep-(1-Delta_q)*E50,0))</f>
        <v>1.45</v>
      </c>
      <c r="E51" s="18" t="n">
        <f aca="false">(1-Delta_q)*E50+D51</f>
        <v>58</v>
      </c>
      <c r="F51" s="18" t="n">
        <f aca="false">Rent_58</f>
        <v>1.45</v>
      </c>
      <c r="G51" s="18" t="n">
        <f aca="false">(1-Delta_q)*G50+F51</f>
        <v>55.885893127157</v>
      </c>
      <c r="H51" s="18" t="n">
        <f aca="false">C_keep-Pts_lost*(1-Delta_q)^A51</f>
        <v>55.8858931271569</v>
      </c>
    </row>
    <row r="52" customFormat="false" ht="15" hidden="false" customHeight="false" outlineLevel="0" collapsed="false">
      <c r="A52" s="12" t="n">
        <v>35</v>
      </c>
      <c r="B52" s="18" t="n">
        <f aca="false">Rent_58</f>
        <v>1.45</v>
      </c>
      <c r="C52" s="18" t="n">
        <f aca="false">(1-Delta_q)*C51+B52</f>
        <v>58</v>
      </c>
      <c r="D52" s="18" t="n">
        <f aca="false">MIN(Cap_q,MAX(C_keep-(1-Delta_q)*E51,0))</f>
        <v>1.45</v>
      </c>
      <c r="E52" s="18" t="n">
        <f aca="false">(1-Delta_q)*E51+D52</f>
        <v>58</v>
      </c>
      <c r="F52" s="18" t="n">
        <f aca="false">Rent_58</f>
        <v>1.45</v>
      </c>
      <c r="G52" s="18" t="n">
        <f aca="false">(1-Delta_q)*G51+F52</f>
        <v>55.9387457989781</v>
      </c>
      <c r="H52" s="18" t="n">
        <f aca="false">C_keep-Pts_lost*(1-Delta_q)^A52</f>
        <v>55.938745798978</v>
      </c>
    </row>
    <row r="53" customFormat="false" ht="15" hidden="false" customHeight="false" outlineLevel="0" collapsed="false">
      <c r="A53" s="12" t="n">
        <v>36</v>
      </c>
      <c r="B53" s="18" t="n">
        <f aca="false">Rent_58</f>
        <v>1.45</v>
      </c>
      <c r="C53" s="18" t="n">
        <f aca="false">(1-Delta_q)*C52+B53</f>
        <v>58</v>
      </c>
      <c r="D53" s="18" t="n">
        <f aca="false">MIN(Cap_q,MAX(C_keep-(1-Delta_q)*E52,0))</f>
        <v>1.45</v>
      </c>
      <c r="E53" s="18" t="n">
        <f aca="false">(1-Delta_q)*E52+D53</f>
        <v>58</v>
      </c>
      <c r="F53" s="18" t="n">
        <f aca="false">Rent_58</f>
        <v>1.45</v>
      </c>
      <c r="G53" s="18" t="n">
        <f aca="false">(1-Delta_q)*G52+F53</f>
        <v>55.9902771540036</v>
      </c>
      <c r="H53" s="18" t="n">
        <f aca="false">C_keep-Pts_lost*(1-Delta_q)^A53</f>
        <v>55.9902771540036</v>
      </c>
    </row>
    <row r="54" customFormat="false" ht="15" hidden="false" customHeight="false" outlineLevel="0" collapsed="false">
      <c r="A54" s="12" t="n">
        <v>37</v>
      </c>
      <c r="B54" s="18" t="n">
        <f aca="false">Rent_58</f>
        <v>1.45</v>
      </c>
      <c r="C54" s="18" t="n">
        <f aca="false">(1-Delta_q)*C53+B54</f>
        <v>58</v>
      </c>
      <c r="D54" s="18" t="n">
        <f aca="false">MIN(Cap_q,MAX(C_keep-(1-Delta_q)*E53,0))</f>
        <v>1.45</v>
      </c>
      <c r="E54" s="18" t="n">
        <f aca="false">(1-Delta_q)*E53+D54</f>
        <v>58</v>
      </c>
      <c r="F54" s="18" t="n">
        <f aca="false">Rent_58</f>
        <v>1.45</v>
      </c>
      <c r="G54" s="18" t="n">
        <f aca="false">(1-Delta_q)*G53+F54</f>
        <v>56.0405202251535</v>
      </c>
      <c r="H54" s="18" t="n">
        <f aca="false">C_keep-Pts_lost*(1-Delta_q)^A54</f>
        <v>56.0405202251535</v>
      </c>
    </row>
    <row r="55" customFormat="false" ht="15" hidden="false" customHeight="false" outlineLevel="0" collapsed="false">
      <c r="A55" s="12" t="n">
        <v>38</v>
      </c>
      <c r="B55" s="18" t="n">
        <f aca="false">Rent_58</f>
        <v>1.45</v>
      </c>
      <c r="C55" s="18" t="n">
        <f aca="false">(1-Delta_q)*C54+B55</f>
        <v>58</v>
      </c>
      <c r="D55" s="18" t="n">
        <f aca="false">MIN(Cap_q,MAX(C_keep-(1-Delta_q)*E54,0))</f>
        <v>1.45</v>
      </c>
      <c r="E55" s="18" t="n">
        <f aca="false">(1-Delta_q)*E54+D55</f>
        <v>58</v>
      </c>
      <c r="F55" s="18" t="n">
        <f aca="false">Rent_58</f>
        <v>1.45</v>
      </c>
      <c r="G55" s="18" t="n">
        <f aca="false">(1-Delta_q)*G54+F55</f>
        <v>56.0895072195247</v>
      </c>
      <c r="H55" s="18" t="n">
        <f aca="false">C_keep-Pts_lost*(1-Delta_q)^A55</f>
        <v>56.0895072195246</v>
      </c>
    </row>
    <row r="56" customFormat="false" ht="15" hidden="false" customHeight="false" outlineLevel="0" collapsed="false">
      <c r="A56" s="12" t="n">
        <v>39</v>
      </c>
      <c r="B56" s="18" t="n">
        <f aca="false">Rent_58</f>
        <v>1.45</v>
      </c>
      <c r="C56" s="18" t="n">
        <f aca="false">(1-Delta_q)*C55+B56</f>
        <v>58</v>
      </c>
      <c r="D56" s="18" t="n">
        <f aca="false">MIN(Cap_q,MAX(C_keep-(1-Delta_q)*E55,0))</f>
        <v>1.45</v>
      </c>
      <c r="E56" s="18" t="n">
        <f aca="false">(1-Delta_q)*E55+D56</f>
        <v>58</v>
      </c>
      <c r="F56" s="18" t="n">
        <f aca="false">Rent_58</f>
        <v>1.45</v>
      </c>
      <c r="G56" s="18" t="n">
        <f aca="false">(1-Delta_q)*G55+F56</f>
        <v>56.1372695390366</v>
      </c>
      <c r="H56" s="18" t="n">
        <f aca="false">C_keep-Pts_lost*(1-Delta_q)^A56</f>
        <v>56.1372695390365</v>
      </c>
    </row>
    <row r="57" customFormat="false" ht="15" hidden="false" customHeight="false" outlineLevel="0" collapsed="false">
      <c r="A57" s="12" t="n">
        <v>40</v>
      </c>
      <c r="B57" s="18" t="n">
        <f aca="false">Rent_58</f>
        <v>1.45</v>
      </c>
      <c r="C57" s="18" t="n">
        <f aca="false">(1-Delta_q)*C56+B57</f>
        <v>58</v>
      </c>
      <c r="D57" s="18" t="n">
        <f aca="false">MIN(Cap_q,MAX(C_keep-(1-Delta_q)*E56,0))</f>
        <v>1.45</v>
      </c>
      <c r="E57" s="18" t="n">
        <f aca="false">(1-Delta_q)*E56+D57</f>
        <v>58</v>
      </c>
      <c r="F57" s="18" t="n">
        <f aca="false">Rent_58</f>
        <v>1.45</v>
      </c>
      <c r="G57" s="18" t="n">
        <f aca="false">(1-Delta_q)*G56+F57</f>
        <v>56.1838378005606</v>
      </c>
      <c r="H57" s="18" t="n">
        <f aca="false">C_keep-Pts_lost*(1-Delta_q)^A57</f>
        <v>56.1838378005606</v>
      </c>
    </row>
    <row r="58" customFormat="false" ht="15" hidden="false" customHeight="false" outlineLevel="0" collapsed="false">
      <c r="A58" s="12" t="n">
        <v>41</v>
      </c>
      <c r="B58" s="18" t="n">
        <f aca="false">Rent_58</f>
        <v>1.45</v>
      </c>
      <c r="C58" s="18" t="n">
        <f aca="false">(1-Delta_q)*C57+B58</f>
        <v>58</v>
      </c>
      <c r="D58" s="18" t="n">
        <f aca="false">MIN(Cap_q,MAX(C_keep-(1-Delta_q)*E57,0))</f>
        <v>1.45</v>
      </c>
      <c r="E58" s="18" t="n">
        <f aca="false">(1-Delta_q)*E57+D58</f>
        <v>58</v>
      </c>
      <c r="F58" s="18" t="n">
        <f aca="false">Rent_58</f>
        <v>1.45</v>
      </c>
      <c r="G58" s="18" t="n">
        <f aca="false">(1-Delta_q)*G57+F58</f>
        <v>56.2292418555466</v>
      </c>
      <c r="H58" s="18" t="n">
        <f aca="false">C_keep-Pts_lost*(1-Delta_q)^A58</f>
        <v>56.2292418555466</v>
      </c>
    </row>
    <row r="59" customFormat="false" ht="15" hidden="false" customHeight="false" outlineLevel="0" collapsed="false">
      <c r="A59" s="12" t="n">
        <v>42</v>
      </c>
      <c r="B59" s="18" t="n">
        <f aca="false">Rent_58</f>
        <v>1.45</v>
      </c>
      <c r="C59" s="18" t="n">
        <f aca="false">(1-Delta_q)*C58+B59</f>
        <v>58</v>
      </c>
      <c r="D59" s="18" t="n">
        <f aca="false">MIN(Cap_q,MAX(C_keep-(1-Delta_q)*E58,0))</f>
        <v>1.45</v>
      </c>
      <c r="E59" s="18" t="n">
        <f aca="false">(1-Delta_q)*E58+D59</f>
        <v>58</v>
      </c>
      <c r="F59" s="18" t="n">
        <f aca="false">Rent_58</f>
        <v>1.45</v>
      </c>
      <c r="G59" s="18" t="n">
        <f aca="false">(1-Delta_q)*G58+F59</f>
        <v>56.273510809158</v>
      </c>
      <c r="H59" s="18" t="n">
        <f aca="false">C_keep-Pts_lost*(1-Delta_q)^A59</f>
        <v>56.2735108091579</v>
      </c>
    </row>
    <row r="60" customFormat="false" ht="15" hidden="false" customHeight="false" outlineLevel="0" collapsed="false">
      <c r="A60" s="12" t="n">
        <v>43</v>
      </c>
      <c r="B60" s="18" t="n">
        <f aca="false">Rent_58</f>
        <v>1.45</v>
      </c>
      <c r="C60" s="18" t="n">
        <f aca="false">(1-Delta_q)*C59+B60</f>
        <v>58</v>
      </c>
      <c r="D60" s="18" t="n">
        <f aca="false">MIN(Cap_q,MAX(C_keep-(1-Delta_q)*E59,0))</f>
        <v>1.45</v>
      </c>
      <c r="E60" s="18" t="n">
        <f aca="false">(1-Delta_q)*E59+D60</f>
        <v>58</v>
      </c>
      <c r="F60" s="18" t="n">
        <f aca="false">Rent_58</f>
        <v>1.45</v>
      </c>
      <c r="G60" s="18" t="n">
        <f aca="false">(1-Delta_q)*G59+F60</f>
        <v>56.316673038929</v>
      </c>
      <c r="H60" s="18" t="n">
        <f aca="false">C_keep-Pts_lost*(1-Delta_q)^A60</f>
        <v>56.316673038929</v>
      </c>
    </row>
    <row r="61" customFormat="false" ht="15" hidden="false" customHeight="false" outlineLevel="0" collapsed="false">
      <c r="A61" s="12" t="n">
        <v>44</v>
      </c>
      <c r="B61" s="18" t="n">
        <f aca="false">Rent_58</f>
        <v>1.45</v>
      </c>
      <c r="C61" s="18" t="n">
        <f aca="false">(1-Delta_q)*C60+B61</f>
        <v>58</v>
      </c>
      <c r="D61" s="18" t="n">
        <f aca="false">MIN(Cap_q,MAX(C_keep-(1-Delta_q)*E60,0))</f>
        <v>1.45</v>
      </c>
      <c r="E61" s="18" t="n">
        <f aca="false">(1-Delta_q)*E60+D61</f>
        <v>58</v>
      </c>
      <c r="F61" s="18" t="n">
        <f aca="false">Rent_58</f>
        <v>1.45</v>
      </c>
      <c r="G61" s="18" t="n">
        <f aca="false">(1-Delta_q)*G60+F61</f>
        <v>56.3587562129558</v>
      </c>
      <c r="H61" s="18" t="n">
        <f aca="false">C_keep-Pts_lost*(1-Delta_q)^A61</f>
        <v>56.3587562129558</v>
      </c>
    </row>
    <row r="62" customFormat="false" ht="15" hidden="false" customHeight="false" outlineLevel="0" collapsed="false">
      <c r="A62" s="12" t="n">
        <v>45</v>
      </c>
      <c r="B62" s="18" t="n">
        <f aca="false">Rent_58</f>
        <v>1.45</v>
      </c>
      <c r="C62" s="18" t="n">
        <f aca="false">(1-Delta_q)*C61+B62</f>
        <v>58</v>
      </c>
      <c r="D62" s="18" t="n">
        <f aca="false">MIN(Cap_q,MAX(C_keep-(1-Delta_q)*E61,0))</f>
        <v>1.45</v>
      </c>
      <c r="E62" s="18" t="n">
        <f aca="false">(1-Delta_q)*E61+D62</f>
        <v>58</v>
      </c>
      <c r="F62" s="18" t="n">
        <f aca="false">Rent_58</f>
        <v>1.45</v>
      </c>
      <c r="G62" s="18" t="n">
        <f aca="false">(1-Delta_q)*G61+F62</f>
        <v>56.3997873076319</v>
      </c>
      <c r="H62" s="18" t="n">
        <f aca="false">C_keep-Pts_lost*(1-Delta_q)^A62</f>
        <v>56.3997873076319</v>
      </c>
    </row>
    <row r="63" customFormat="false" ht="15" hidden="false" customHeight="false" outlineLevel="0" collapsed="false">
      <c r="A63" s="12" t="n">
        <v>46</v>
      </c>
      <c r="B63" s="18" t="n">
        <f aca="false">Rent_58</f>
        <v>1.45</v>
      </c>
      <c r="C63" s="18" t="n">
        <f aca="false">(1-Delta_q)*C62+B63</f>
        <v>58</v>
      </c>
      <c r="D63" s="18" t="n">
        <f aca="false">MIN(Cap_q,MAX(C_keep-(1-Delta_q)*E62,0))</f>
        <v>1.45</v>
      </c>
      <c r="E63" s="18" t="n">
        <f aca="false">(1-Delta_q)*E62+D63</f>
        <v>58</v>
      </c>
      <c r="F63" s="18" t="n">
        <f aca="false">Rent_58</f>
        <v>1.45</v>
      </c>
      <c r="G63" s="18" t="n">
        <f aca="false">(1-Delta_q)*G62+F63</f>
        <v>56.4397926249411</v>
      </c>
      <c r="H63" s="18" t="n">
        <f aca="false">C_keep-Pts_lost*(1-Delta_q)^A63</f>
        <v>56.4397926249411</v>
      </c>
    </row>
    <row r="64" customFormat="false" ht="15" hidden="false" customHeight="false" outlineLevel="0" collapsed="false">
      <c r="A64" s="12" t="n">
        <v>47</v>
      </c>
      <c r="B64" s="18" t="n">
        <f aca="false">Rent_58</f>
        <v>1.45</v>
      </c>
      <c r="C64" s="18" t="n">
        <f aca="false">(1-Delta_q)*C63+B64</f>
        <v>58</v>
      </c>
      <c r="D64" s="18" t="n">
        <f aca="false">MIN(Cap_q,MAX(C_keep-(1-Delta_q)*E63,0))</f>
        <v>1.45</v>
      </c>
      <c r="E64" s="18" t="n">
        <f aca="false">(1-Delta_q)*E63+D64</f>
        <v>58</v>
      </c>
      <c r="F64" s="18" t="n">
        <f aca="false">Rent_58</f>
        <v>1.45</v>
      </c>
      <c r="G64" s="18" t="n">
        <f aca="false">(1-Delta_q)*G63+F64</f>
        <v>56.4787978093176</v>
      </c>
      <c r="H64" s="18" t="n">
        <f aca="false">C_keep-Pts_lost*(1-Delta_q)^A64</f>
        <v>56.4787978093175</v>
      </c>
    </row>
    <row r="65" customFormat="false" ht="15" hidden="false" customHeight="false" outlineLevel="0" collapsed="false">
      <c r="A65" s="12" t="n">
        <v>48</v>
      </c>
      <c r="B65" s="18" t="n">
        <f aca="false">Rent_58</f>
        <v>1.45</v>
      </c>
      <c r="C65" s="18" t="n">
        <f aca="false">(1-Delta_q)*C64+B65</f>
        <v>58</v>
      </c>
      <c r="D65" s="18" t="n">
        <f aca="false">MIN(Cap_q,MAX(C_keep-(1-Delta_q)*E64,0))</f>
        <v>1.45</v>
      </c>
      <c r="E65" s="18" t="n">
        <f aca="false">(1-Delta_q)*E64+D65</f>
        <v>58</v>
      </c>
      <c r="F65" s="18" t="n">
        <f aca="false">Rent_58</f>
        <v>1.45</v>
      </c>
      <c r="G65" s="18" t="n">
        <f aca="false">(1-Delta_q)*G64+F65</f>
        <v>56.5168278640846</v>
      </c>
      <c r="H65" s="18" t="n">
        <f aca="false">C_keep-Pts_lost*(1-Delta_q)^A65</f>
        <v>56.5168278640846</v>
      </c>
    </row>
    <row r="66" customFormat="false" ht="15" hidden="false" customHeight="false" outlineLevel="0" collapsed="false">
      <c r="A66" s="12" t="n">
        <v>49</v>
      </c>
      <c r="B66" s="18" t="n">
        <f aca="false">Rent_58</f>
        <v>1.45</v>
      </c>
      <c r="C66" s="18" t="n">
        <f aca="false">(1-Delta_q)*C65+B66</f>
        <v>58</v>
      </c>
      <c r="D66" s="18" t="n">
        <f aca="false">MIN(Cap_q,MAX(C_keep-(1-Delta_q)*E65,0))</f>
        <v>1.45</v>
      </c>
      <c r="E66" s="18" t="n">
        <f aca="false">(1-Delta_q)*E65+D66</f>
        <v>58</v>
      </c>
      <c r="F66" s="18" t="n">
        <f aca="false">Rent_58</f>
        <v>1.45</v>
      </c>
      <c r="G66" s="18" t="n">
        <f aca="false">(1-Delta_q)*G65+F66</f>
        <v>56.5539071674825</v>
      </c>
      <c r="H66" s="18" t="n">
        <f aca="false">C_keep-Pts_lost*(1-Delta_q)^A66</f>
        <v>56.5539071674825</v>
      </c>
    </row>
    <row r="67" customFormat="false" ht="15" hidden="false" customHeight="false" outlineLevel="0" collapsed="false">
      <c r="A67" s="12" t="n">
        <v>50</v>
      </c>
      <c r="B67" s="18" t="n">
        <f aca="false">Rent_58</f>
        <v>1.45</v>
      </c>
      <c r="C67" s="18" t="n">
        <f aca="false">(1-Delta_q)*C66+B67</f>
        <v>58</v>
      </c>
      <c r="D67" s="18" t="n">
        <f aca="false">MIN(Cap_q,MAX(C_keep-(1-Delta_q)*E66,0))</f>
        <v>1.45</v>
      </c>
      <c r="E67" s="18" t="n">
        <f aca="false">(1-Delta_q)*E66+D67</f>
        <v>58</v>
      </c>
      <c r="F67" s="18" t="n">
        <f aca="false">Rent_58</f>
        <v>1.45</v>
      </c>
      <c r="G67" s="18" t="n">
        <f aca="false">(1-Delta_q)*G66+F67</f>
        <v>56.5900594882955</v>
      </c>
      <c r="H67" s="18" t="n">
        <f aca="false">C_keep-Pts_lost*(1-Delta_q)^A67</f>
        <v>56.5900594882954</v>
      </c>
    </row>
    <row r="68" customFormat="false" ht="15" hidden="false" customHeight="false" outlineLevel="0" collapsed="false">
      <c r="A68" s="12" t="n">
        <v>51</v>
      </c>
      <c r="B68" s="18" t="n">
        <f aca="false">Rent_58</f>
        <v>1.45</v>
      </c>
      <c r="C68" s="18" t="n">
        <f aca="false">(1-Delta_q)*C67+B68</f>
        <v>58</v>
      </c>
      <c r="D68" s="18" t="n">
        <f aca="false">MIN(Cap_q,MAX(C_keep-(1-Delta_q)*E67,0))</f>
        <v>1.45</v>
      </c>
      <c r="E68" s="18" t="n">
        <f aca="false">(1-Delta_q)*E67+D68</f>
        <v>58</v>
      </c>
      <c r="F68" s="18" t="n">
        <f aca="false">Rent_58</f>
        <v>1.45</v>
      </c>
      <c r="G68" s="18" t="n">
        <f aca="false">(1-Delta_q)*G67+F68</f>
        <v>56.6253080010881</v>
      </c>
      <c r="H68" s="18" t="n">
        <f aca="false">C_keep-Pts_lost*(1-Delta_q)^A68</f>
        <v>56.625308001088</v>
      </c>
    </row>
    <row r="69" customFormat="false" ht="15" hidden="false" customHeight="false" outlineLevel="0" collapsed="false">
      <c r="A69" s="12" t="n">
        <v>52</v>
      </c>
      <c r="B69" s="18" t="n">
        <f aca="false">Rent_58</f>
        <v>1.45</v>
      </c>
      <c r="C69" s="18" t="n">
        <f aca="false">(1-Delta_q)*C68+B69</f>
        <v>58</v>
      </c>
      <c r="D69" s="18" t="n">
        <f aca="false">MIN(Cap_q,MAX(C_keep-(1-Delta_q)*E68,0))</f>
        <v>1.45</v>
      </c>
      <c r="E69" s="18" t="n">
        <f aca="false">(1-Delta_q)*E68+D69</f>
        <v>58</v>
      </c>
      <c r="F69" s="18" t="n">
        <f aca="false">Rent_58</f>
        <v>1.45</v>
      </c>
      <c r="G69" s="18" t="n">
        <f aca="false">(1-Delta_q)*G68+F69</f>
        <v>56.6596753010609</v>
      </c>
      <c r="H69" s="18" t="n">
        <f aca="false">C_keep-Pts_lost*(1-Delta_q)^A69</f>
        <v>56.6596753010608</v>
      </c>
    </row>
    <row r="70" customFormat="false" ht="15" hidden="false" customHeight="false" outlineLevel="0" collapsed="false">
      <c r="A70" s="12" t="n">
        <v>53</v>
      </c>
      <c r="B70" s="18" t="n">
        <f aca="false">Rent_58</f>
        <v>1.45</v>
      </c>
      <c r="C70" s="18" t="n">
        <f aca="false">(1-Delta_q)*C69+B70</f>
        <v>58</v>
      </c>
      <c r="D70" s="18" t="n">
        <f aca="false">MIN(Cap_q,MAX(C_keep-(1-Delta_q)*E69,0))</f>
        <v>1.45</v>
      </c>
      <c r="E70" s="18" t="n">
        <f aca="false">(1-Delta_q)*E69+D70</f>
        <v>58</v>
      </c>
      <c r="F70" s="18" t="n">
        <f aca="false">Rent_58</f>
        <v>1.45</v>
      </c>
      <c r="G70" s="18" t="n">
        <f aca="false">(1-Delta_q)*G69+F70</f>
        <v>56.6931834185344</v>
      </c>
      <c r="H70" s="18" t="n">
        <f aca="false">C_keep-Pts_lost*(1-Delta_q)^A70</f>
        <v>56.6931834185343</v>
      </c>
    </row>
    <row r="71" customFormat="false" ht="15" hidden="false" customHeight="false" outlineLevel="0" collapsed="false">
      <c r="A71" s="12" t="n">
        <v>54</v>
      </c>
      <c r="B71" s="18" t="n">
        <f aca="false">Rent_58</f>
        <v>1.45</v>
      </c>
      <c r="C71" s="18" t="n">
        <f aca="false">(1-Delta_q)*C70+B71</f>
        <v>58</v>
      </c>
      <c r="D71" s="18" t="n">
        <f aca="false">MIN(Cap_q,MAX(C_keep-(1-Delta_q)*E70,0))</f>
        <v>1.45</v>
      </c>
      <c r="E71" s="18" t="n">
        <f aca="false">(1-Delta_q)*E70+D71</f>
        <v>58</v>
      </c>
      <c r="F71" s="18" t="n">
        <f aca="false">Rent_58</f>
        <v>1.45</v>
      </c>
      <c r="G71" s="18" t="n">
        <f aca="false">(1-Delta_q)*G70+F71</f>
        <v>56.725853833071</v>
      </c>
      <c r="H71" s="18" t="n">
        <f aca="false">C_keep-Pts_lost*(1-Delta_q)^A71</f>
        <v>56.725853833071</v>
      </c>
    </row>
    <row r="72" customFormat="false" ht="15" hidden="false" customHeight="false" outlineLevel="0" collapsed="false">
      <c r="A72" s="12" t="n">
        <v>55</v>
      </c>
      <c r="B72" s="18" t="n">
        <f aca="false">Rent_58</f>
        <v>1.45</v>
      </c>
      <c r="C72" s="18" t="n">
        <f aca="false">(1-Delta_q)*C71+B72</f>
        <v>58</v>
      </c>
      <c r="D72" s="18" t="n">
        <f aca="false">MIN(Cap_q,MAX(C_keep-(1-Delta_q)*E71,0))</f>
        <v>1.45</v>
      </c>
      <c r="E72" s="18" t="n">
        <f aca="false">(1-Delta_q)*E71+D72</f>
        <v>58</v>
      </c>
      <c r="F72" s="18" t="n">
        <f aca="false">Rent_58</f>
        <v>1.45</v>
      </c>
      <c r="G72" s="18" t="n">
        <f aca="false">(1-Delta_q)*G71+F72</f>
        <v>56.7577074872442</v>
      </c>
      <c r="H72" s="18" t="n">
        <f aca="false">C_keep-Pts_lost*(1-Delta_q)^A72</f>
        <v>56.7577074872442</v>
      </c>
    </row>
    <row r="73" customFormat="false" ht="15" hidden="false" customHeight="false" outlineLevel="0" collapsed="false">
      <c r="A73" s="12" t="n">
        <v>56</v>
      </c>
      <c r="B73" s="18" t="n">
        <f aca="false">Rent_58</f>
        <v>1.45</v>
      </c>
      <c r="C73" s="18" t="n">
        <f aca="false">(1-Delta_q)*C72+B73</f>
        <v>58</v>
      </c>
      <c r="D73" s="18" t="n">
        <f aca="false">MIN(Cap_q,MAX(C_keep-(1-Delta_q)*E72,0))</f>
        <v>1.45</v>
      </c>
      <c r="E73" s="18" t="n">
        <f aca="false">(1-Delta_q)*E72+D73</f>
        <v>58</v>
      </c>
      <c r="F73" s="18" t="n">
        <f aca="false">Rent_58</f>
        <v>1.45</v>
      </c>
      <c r="G73" s="18" t="n">
        <f aca="false">(1-Delta_q)*G72+F73</f>
        <v>56.7887648000631</v>
      </c>
      <c r="H73" s="18" t="n">
        <f aca="false">C_keep-Pts_lost*(1-Delta_q)^A73</f>
        <v>56.7887648000631</v>
      </c>
    </row>
    <row r="74" customFormat="false" ht="15" hidden="false" customHeight="false" outlineLevel="0" collapsed="false">
      <c r="A74" s="12" t="n">
        <v>57</v>
      </c>
      <c r="B74" s="18" t="n">
        <f aca="false">Rent_58</f>
        <v>1.45</v>
      </c>
      <c r="C74" s="18" t="n">
        <f aca="false">(1-Delta_q)*C73+B74</f>
        <v>58</v>
      </c>
      <c r="D74" s="18" t="n">
        <f aca="false">MIN(Cap_q,MAX(C_keep-(1-Delta_q)*E73,0))</f>
        <v>1.45</v>
      </c>
      <c r="E74" s="18" t="n">
        <f aca="false">(1-Delta_q)*E73+D74</f>
        <v>58</v>
      </c>
      <c r="F74" s="18" t="n">
        <f aca="false">Rent_58</f>
        <v>1.45</v>
      </c>
      <c r="G74" s="18" t="n">
        <f aca="false">(1-Delta_q)*G73+F74</f>
        <v>56.8190456800615</v>
      </c>
      <c r="H74" s="18" t="n">
        <f aca="false">C_keep-Pts_lost*(1-Delta_q)^A74</f>
        <v>56.8190456800615</v>
      </c>
    </row>
    <row r="75" customFormat="false" ht="15" hidden="false" customHeight="false" outlineLevel="0" collapsed="false">
      <c r="A75" s="12" t="n">
        <v>58</v>
      </c>
      <c r="B75" s="18" t="n">
        <f aca="false">Rent_58</f>
        <v>1.45</v>
      </c>
      <c r="C75" s="18" t="n">
        <f aca="false">(1-Delta_q)*C74+B75</f>
        <v>58</v>
      </c>
      <c r="D75" s="18" t="n">
        <f aca="false">MIN(Cap_q,MAX(C_keep-(1-Delta_q)*E74,0))</f>
        <v>1.45</v>
      </c>
      <c r="E75" s="18" t="n">
        <f aca="false">(1-Delta_q)*E74+D75</f>
        <v>58</v>
      </c>
      <c r="F75" s="18" t="n">
        <f aca="false">Rent_58</f>
        <v>1.45</v>
      </c>
      <c r="G75" s="18" t="n">
        <f aca="false">(1-Delta_q)*G74+F75</f>
        <v>56.84856953806</v>
      </c>
      <c r="H75" s="18" t="n">
        <f aca="false">C_keep-Pts_lost*(1-Delta_q)^A75</f>
        <v>56.84856953806</v>
      </c>
    </row>
    <row r="76" customFormat="false" ht="15" hidden="false" customHeight="false" outlineLevel="0" collapsed="false">
      <c r="A76" s="12" t="n">
        <v>59</v>
      </c>
      <c r="B76" s="18" t="n">
        <f aca="false">Rent_58</f>
        <v>1.45</v>
      </c>
      <c r="C76" s="18" t="n">
        <f aca="false">(1-Delta_q)*C75+B76</f>
        <v>58</v>
      </c>
      <c r="D76" s="18" t="n">
        <f aca="false">MIN(Cap_q,MAX(C_keep-(1-Delta_q)*E75,0))</f>
        <v>1.45</v>
      </c>
      <c r="E76" s="18" t="n">
        <f aca="false">(1-Delta_q)*E75+D76</f>
        <v>58</v>
      </c>
      <c r="F76" s="18" t="n">
        <f aca="false">Rent_58</f>
        <v>1.45</v>
      </c>
      <c r="G76" s="18" t="n">
        <f aca="false">(1-Delta_q)*G75+F76</f>
        <v>56.8773552996085</v>
      </c>
      <c r="H76" s="18" t="n">
        <f aca="false">C_keep-Pts_lost*(1-Delta_q)^A76</f>
        <v>56.8773552996085</v>
      </c>
    </row>
    <row r="77" customFormat="false" ht="15" hidden="false" customHeight="false" outlineLevel="0" collapsed="false">
      <c r="A77" s="12" t="n">
        <v>60</v>
      </c>
      <c r="B77" s="18" t="n">
        <f aca="false">Rent_58</f>
        <v>1.45</v>
      </c>
      <c r="C77" s="18" t="n">
        <f aca="false">(1-Delta_q)*C76+B77</f>
        <v>58</v>
      </c>
      <c r="D77" s="18" t="n">
        <f aca="false">MIN(Cap_q,MAX(C_keep-(1-Delta_q)*E76,0))</f>
        <v>1.45</v>
      </c>
      <c r="E77" s="18" t="n">
        <f aca="false">(1-Delta_q)*E76+D77</f>
        <v>58</v>
      </c>
      <c r="F77" s="18" t="n">
        <f aca="false">Rent_58</f>
        <v>1.45</v>
      </c>
      <c r="G77" s="18" t="n">
        <f aca="false">(1-Delta_q)*G76+F77</f>
        <v>56.9054214171183</v>
      </c>
      <c r="H77" s="18" t="n">
        <f aca="false">C_keep-Pts_lost*(1-Delta_q)^A77</f>
        <v>56.9054214171183</v>
      </c>
    </row>
    <row r="78" customFormat="false" ht="15" hidden="false" customHeight="false" outlineLevel="0" collapsed="false">
      <c r="A78" s="12" t="n">
        <v>61</v>
      </c>
      <c r="B78" s="18" t="n">
        <f aca="false">Rent_58</f>
        <v>1.45</v>
      </c>
      <c r="C78" s="18" t="n">
        <f aca="false">(1-Delta_q)*C77+B78</f>
        <v>58</v>
      </c>
      <c r="D78" s="18" t="n">
        <f aca="false">MIN(Cap_q,MAX(C_keep-(1-Delta_q)*E77,0))</f>
        <v>1.45</v>
      </c>
      <c r="E78" s="18" t="n">
        <f aca="false">(1-Delta_q)*E77+D78</f>
        <v>58</v>
      </c>
      <c r="F78" s="18" t="n">
        <f aca="false">Rent_58</f>
        <v>1.45</v>
      </c>
      <c r="G78" s="18" t="n">
        <f aca="false">(1-Delta_q)*G77+F78</f>
        <v>56.9327858816903</v>
      </c>
      <c r="H78" s="18" t="n">
        <f aca="false">C_keep-Pts_lost*(1-Delta_q)^A78</f>
        <v>56.9327858816903</v>
      </c>
    </row>
    <row r="79" customFormat="false" ht="15" hidden="false" customHeight="false" outlineLevel="0" collapsed="false">
      <c r="A79" s="12" t="n">
        <v>62</v>
      </c>
      <c r="B79" s="18" t="n">
        <f aca="false">Rent_58</f>
        <v>1.45</v>
      </c>
      <c r="C79" s="18" t="n">
        <f aca="false">(1-Delta_q)*C78+B79</f>
        <v>58</v>
      </c>
      <c r="D79" s="18" t="n">
        <f aca="false">MIN(Cap_q,MAX(C_keep-(1-Delta_q)*E78,0))</f>
        <v>1.45</v>
      </c>
      <c r="E79" s="18" t="n">
        <f aca="false">(1-Delta_q)*E78+D79</f>
        <v>58</v>
      </c>
      <c r="F79" s="18" t="n">
        <f aca="false">Rent_58</f>
        <v>1.45</v>
      </c>
      <c r="G79" s="18" t="n">
        <f aca="false">(1-Delta_q)*G78+F79</f>
        <v>56.9594662346481</v>
      </c>
      <c r="H79" s="18" t="n">
        <f aca="false">C_keep-Pts_lost*(1-Delta_q)^A79</f>
        <v>56.959466234648</v>
      </c>
    </row>
    <row r="80" customFormat="false" ht="15" hidden="false" customHeight="false" outlineLevel="0" collapsed="false">
      <c r="A80" s="12" t="n">
        <v>63</v>
      </c>
      <c r="B80" s="18" t="n">
        <f aca="false">Rent_58</f>
        <v>1.45</v>
      </c>
      <c r="C80" s="18" t="n">
        <f aca="false">(1-Delta_q)*C79+B80</f>
        <v>58</v>
      </c>
      <c r="D80" s="18" t="n">
        <f aca="false">MIN(Cap_q,MAX(C_keep-(1-Delta_q)*E79,0))</f>
        <v>1.45</v>
      </c>
      <c r="E80" s="18" t="n">
        <f aca="false">(1-Delta_q)*E79+D80</f>
        <v>58</v>
      </c>
      <c r="F80" s="18" t="n">
        <f aca="false">Rent_58</f>
        <v>1.45</v>
      </c>
      <c r="G80" s="18" t="n">
        <f aca="false">(1-Delta_q)*G79+F80</f>
        <v>56.9854795787819</v>
      </c>
      <c r="H80" s="18" t="n">
        <f aca="false">C_keep-Pts_lost*(1-Delta_q)^A80</f>
        <v>56.9854795787818</v>
      </c>
    </row>
    <row r="81" customFormat="false" ht="15" hidden="false" customHeight="false" outlineLevel="0" collapsed="false">
      <c r="A81" s="12" t="n">
        <v>64</v>
      </c>
      <c r="B81" s="18" t="n">
        <f aca="false">Rent_58</f>
        <v>1.45</v>
      </c>
      <c r="C81" s="18" t="n">
        <f aca="false">(1-Delta_q)*C80+B81</f>
        <v>58</v>
      </c>
      <c r="D81" s="18" t="n">
        <f aca="false">MIN(Cap_q,MAX(C_keep-(1-Delta_q)*E80,0))</f>
        <v>1.45</v>
      </c>
      <c r="E81" s="18" t="n">
        <f aca="false">(1-Delta_q)*E80+D81</f>
        <v>58</v>
      </c>
      <c r="F81" s="18" t="n">
        <f aca="false">Rent_58</f>
        <v>1.45</v>
      </c>
      <c r="G81" s="18" t="n">
        <f aca="false">(1-Delta_q)*G80+F81</f>
        <v>57.0108425893123</v>
      </c>
      <c r="H81" s="18" t="n">
        <f aca="false">C_keep-Pts_lost*(1-Delta_q)^A81</f>
        <v>57.0108425893123</v>
      </c>
    </row>
    <row r="82" customFormat="false" ht="15" hidden="false" customHeight="false" outlineLevel="0" collapsed="false">
      <c r="A82" s="12" t="n">
        <v>65</v>
      </c>
      <c r="B82" s="18" t="n">
        <f aca="false">Rent_58</f>
        <v>1.45</v>
      </c>
      <c r="C82" s="18" t="n">
        <f aca="false">(1-Delta_q)*C81+B82</f>
        <v>58</v>
      </c>
      <c r="D82" s="18" t="n">
        <f aca="false">MIN(Cap_q,MAX(C_keep-(1-Delta_q)*E81,0))</f>
        <v>1.45</v>
      </c>
      <c r="E82" s="18" t="n">
        <f aca="false">(1-Delta_q)*E81+D82</f>
        <v>58</v>
      </c>
      <c r="F82" s="18" t="n">
        <f aca="false">Rent_58</f>
        <v>1.45</v>
      </c>
      <c r="G82" s="18" t="n">
        <f aca="false">(1-Delta_q)*G81+F82</f>
        <v>57.0355715245795</v>
      </c>
      <c r="H82" s="18" t="n">
        <f aca="false">C_keep-Pts_lost*(1-Delta_q)^A82</f>
        <v>57.0355715245795</v>
      </c>
    </row>
    <row r="83" customFormat="false" ht="15" hidden="false" customHeight="false" outlineLevel="0" collapsed="false">
      <c r="A83" s="12" t="n">
        <v>66</v>
      </c>
      <c r="B83" s="18" t="n">
        <f aca="false">Rent_58</f>
        <v>1.45</v>
      </c>
      <c r="C83" s="18" t="n">
        <f aca="false">(1-Delta_q)*C82+B83</f>
        <v>58</v>
      </c>
      <c r="D83" s="18" t="n">
        <f aca="false">MIN(Cap_q,MAX(C_keep-(1-Delta_q)*E82,0))</f>
        <v>1.45</v>
      </c>
      <c r="E83" s="18" t="n">
        <f aca="false">(1-Delta_q)*E82+D83</f>
        <v>58</v>
      </c>
      <c r="F83" s="18" t="n">
        <f aca="false">Rent_58</f>
        <v>1.45</v>
      </c>
      <c r="G83" s="18" t="n">
        <f aca="false">(1-Delta_q)*G82+F83</f>
        <v>57.059682236465</v>
      </c>
      <c r="H83" s="18" t="n">
        <f aca="false">C_keep-Pts_lost*(1-Delta_q)^A83</f>
        <v>57.059682236465</v>
      </c>
    </row>
    <row r="84" customFormat="false" ht="15" hidden="false" customHeight="false" outlineLevel="0" collapsed="false">
      <c r="A84" s="12" t="n">
        <v>67</v>
      </c>
      <c r="B84" s="18" t="n">
        <f aca="false">Rent_58</f>
        <v>1.45</v>
      </c>
      <c r="C84" s="18" t="n">
        <f aca="false">(1-Delta_q)*C83+B84</f>
        <v>58</v>
      </c>
      <c r="D84" s="18" t="n">
        <f aca="false">MIN(Cap_q,MAX(C_keep-(1-Delta_q)*E83,0))</f>
        <v>1.45</v>
      </c>
      <c r="E84" s="18" t="n">
        <f aca="false">(1-Delta_q)*E83+D84</f>
        <v>58</v>
      </c>
      <c r="F84" s="18" t="n">
        <f aca="false">Rent_58</f>
        <v>1.45</v>
      </c>
      <c r="G84" s="18" t="n">
        <f aca="false">(1-Delta_q)*G83+F84</f>
        <v>57.0831901805534</v>
      </c>
      <c r="H84" s="18" t="n">
        <f aca="false">C_keep-Pts_lost*(1-Delta_q)^A84</f>
        <v>57.0831901805534</v>
      </c>
    </row>
    <row r="85" customFormat="false" ht="15" hidden="false" customHeight="false" outlineLevel="0" collapsed="false">
      <c r="A85" s="12" t="n">
        <v>68</v>
      </c>
      <c r="B85" s="18" t="n">
        <f aca="false">Rent_58</f>
        <v>1.45</v>
      </c>
      <c r="C85" s="18" t="n">
        <f aca="false">(1-Delta_q)*C84+B85</f>
        <v>58</v>
      </c>
      <c r="D85" s="18" t="n">
        <f aca="false">MIN(Cap_q,MAX(C_keep-(1-Delta_q)*E84,0))</f>
        <v>1.45</v>
      </c>
      <c r="E85" s="18" t="n">
        <f aca="false">(1-Delta_q)*E84+D85</f>
        <v>58</v>
      </c>
      <c r="F85" s="18" t="n">
        <f aca="false">Rent_58</f>
        <v>1.45</v>
      </c>
      <c r="G85" s="18" t="n">
        <f aca="false">(1-Delta_q)*G84+F85</f>
        <v>57.1061104260396</v>
      </c>
      <c r="H85" s="18" t="n">
        <f aca="false">C_keep-Pts_lost*(1-Delta_q)^A85</f>
        <v>57.1061104260395</v>
      </c>
    </row>
    <row r="86" customFormat="false" ht="15" hidden="false" customHeight="false" outlineLevel="0" collapsed="false">
      <c r="A86" s="12" t="n">
        <v>69</v>
      </c>
      <c r="B86" s="18" t="n">
        <f aca="false">Rent_58</f>
        <v>1.45</v>
      </c>
      <c r="C86" s="18" t="n">
        <f aca="false">(1-Delta_q)*C85+B86</f>
        <v>58</v>
      </c>
      <c r="D86" s="18" t="n">
        <f aca="false">MIN(Cap_q,MAX(C_keep-(1-Delta_q)*E85,0))</f>
        <v>1.45</v>
      </c>
      <c r="E86" s="18" t="n">
        <f aca="false">(1-Delta_q)*E85+D86</f>
        <v>58</v>
      </c>
      <c r="F86" s="18" t="n">
        <f aca="false">Rent_58</f>
        <v>1.45</v>
      </c>
      <c r="G86" s="18" t="n">
        <f aca="false">(1-Delta_q)*G85+F86</f>
        <v>57.1284576653886</v>
      </c>
      <c r="H86" s="18" t="n">
        <f aca="false">C_keep-Pts_lost*(1-Delta_q)^A86</f>
        <v>57.1284576653885</v>
      </c>
    </row>
    <row r="87" customFormat="false" ht="15" hidden="false" customHeight="false" outlineLevel="0" collapsed="false">
      <c r="A87" s="12" t="n">
        <v>70</v>
      </c>
      <c r="B87" s="18" t="n">
        <f aca="false">Rent_58</f>
        <v>1.45</v>
      </c>
      <c r="C87" s="18" t="n">
        <f aca="false">(1-Delta_q)*C86+B87</f>
        <v>58</v>
      </c>
      <c r="D87" s="18" t="n">
        <f aca="false">MIN(Cap_q,MAX(C_keep-(1-Delta_q)*E86,0))</f>
        <v>1.45</v>
      </c>
      <c r="E87" s="18" t="n">
        <f aca="false">(1-Delta_q)*E86+D87</f>
        <v>58</v>
      </c>
      <c r="F87" s="18" t="n">
        <f aca="false">Rent_58</f>
        <v>1.45</v>
      </c>
      <c r="G87" s="18" t="n">
        <f aca="false">(1-Delta_q)*G86+F87</f>
        <v>57.1502462237539</v>
      </c>
      <c r="H87" s="18" t="n">
        <f aca="false">C_keep-Pts_lost*(1-Delta_q)^A87</f>
        <v>57.1502462237538</v>
      </c>
    </row>
    <row r="88" customFormat="false" ht="15" hidden="false" customHeight="false" outlineLevel="0" collapsed="false">
      <c r="A88" s="12" t="n">
        <v>71</v>
      </c>
      <c r="B88" s="18" t="n">
        <f aca="false">Rent_58</f>
        <v>1.45</v>
      </c>
      <c r="C88" s="18" t="n">
        <f aca="false">(1-Delta_q)*C87+B88</f>
        <v>58</v>
      </c>
      <c r="D88" s="18" t="n">
        <f aca="false">MIN(Cap_q,MAX(C_keep-(1-Delta_q)*E87,0))</f>
        <v>1.45</v>
      </c>
      <c r="E88" s="18" t="n">
        <f aca="false">(1-Delta_q)*E87+D88</f>
        <v>58</v>
      </c>
      <c r="F88" s="18" t="n">
        <f aca="false">Rent_58</f>
        <v>1.45</v>
      </c>
      <c r="G88" s="18" t="n">
        <f aca="false">(1-Delta_q)*G87+F88</f>
        <v>57.17149006816</v>
      </c>
      <c r="H88" s="18" t="n">
        <f aca="false">C_keep-Pts_lost*(1-Delta_q)^A88</f>
        <v>57.17149006816</v>
      </c>
    </row>
    <row r="89" customFormat="false" ht="15" hidden="false" customHeight="false" outlineLevel="0" collapsed="false">
      <c r="A89" s="12" t="n">
        <v>72</v>
      </c>
      <c r="B89" s="18" t="n">
        <f aca="false">Rent_58</f>
        <v>1.45</v>
      </c>
      <c r="C89" s="18" t="n">
        <f aca="false">(1-Delta_q)*C88+B89</f>
        <v>58</v>
      </c>
      <c r="D89" s="18" t="n">
        <f aca="false">MIN(Cap_q,MAX(C_keep-(1-Delta_q)*E88,0))</f>
        <v>1.45</v>
      </c>
      <c r="E89" s="18" t="n">
        <f aca="false">(1-Delta_q)*E88+D89</f>
        <v>58</v>
      </c>
      <c r="F89" s="18" t="n">
        <f aca="false">Rent_58</f>
        <v>1.45</v>
      </c>
      <c r="G89" s="18" t="n">
        <f aca="false">(1-Delta_q)*G88+F89</f>
        <v>57.192202816456</v>
      </c>
      <c r="H89" s="18" t="n">
        <f aca="false">C_keep-Pts_lost*(1-Delta_q)^A89</f>
        <v>57.192202816456</v>
      </c>
    </row>
    <row r="90" customFormat="false" ht="15" hidden="false" customHeight="false" outlineLevel="0" collapsed="false">
      <c r="A90" s="12" t="n">
        <v>73</v>
      </c>
      <c r="B90" s="18" t="n">
        <f aca="false">Rent_58</f>
        <v>1.45</v>
      </c>
      <c r="C90" s="18" t="n">
        <f aca="false">(1-Delta_q)*C89+B90</f>
        <v>58</v>
      </c>
      <c r="D90" s="18" t="n">
        <f aca="false">MIN(Cap_q,MAX(C_keep-(1-Delta_q)*E89,0))</f>
        <v>1.45</v>
      </c>
      <c r="E90" s="18" t="n">
        <f aca="false">(1-Delta_q)*E89+D90</f>
        <v>58</v>
      </c>
      <c r="F90" s="18" t="n">
        <f aca="false">Rent_58</f>
        <v>1.45</v>
      </c>
      <c r="G90" s="18" t="n">
        <f aca="false">(1-Delta_q)*G89+F90</f>
        <v>57.2123977460446</v>
      </c>
      <c r="H90" s="18" t="n">
        <f aca="false">C_keep-Pts_lost*(1-Delta_q)^A90</f>
        <v>57.2123977460446</v>
      </c>
    </row>
    <row r="91" customFormat="false" ht="15" hidden="false" customHeight="false" outlineLevel="0" collapsed="false">
      <c r="A91" s="12" t="n">
        <v>74</v>
      </c>
      <c r="B91" s="18" t="n">
        <f aca="false">Rent_58</f>
        <v>1.45</v>
      </c>
      <c r="C91" s="18" t="n">
        <f aca="false">(1-Delta_q)*C90+B91</f>
        <v>58</v>
      </c>
      <c r="D91" s="18" t="n">
        <f aca="false">MIN(Cap_q,MAX(C_keep-(1-Delta_q)*E90,0))</f>
        <v>1.45</v>
      </c>
      <c r="E91" s="18" t="n">
        <f aca="false">(1-Delta_q)*E90+D91</f>
        <v>58</v>
      </c>
      <c r="F91" s="18" t="n">
        <f aca="false">Rent_58</f>
        <v>1.45</v>
      </c>
      <c r="G91" s="18" t="n">
        <f aca="false">(1-Delta_q)*G90+F91</f>
        <v>57.2320878023935</v>
      </c>
      <c r="H91" s="18" t="n">
        <f aca="false">C_keep-Pts_lost*(1-Delta_q)^A91</f>
        <v>57.2320878023935</v>
      </c>
    </row>
    <row r="92" customFormat="false" ht="15" hidden="false" customHeight="false" outlineLevel="0" collapsed="false">
      <c r="A92" s="12" t="n">
        <v>75</v>
      </c>
      <c r="B92" s="18" t="n">
        <f aca="false">Rent_58</f>
        <v>1.45</v>
      </c>
      <c r="C92" s="18" t="n">
        <f aca="false">(1-Delta_q)*C91+B92</f>
        <v>58</v>
      </c>
      <c r="D92" s="18" t="n">
        <f aca="false">MIN(Cap_q,MAX(C_keep-(1-Delta_q)*E91,0))</f>
        <v>1.45</v>
      </c>
      <c r="E92" s="18" t="n">
        <f aca="false">(1-Delta_q)*E91+D92</f>
        <v>58</v>
      </c>
      <c r="F92" s="18" t="n">
        <f aca="false">Rent_58</f>
        <v>1.45</v>
      </c>
      <c r="G92" s="18" t="n">
        <f aca="false">(1-Delta_q)*G91+F92</f>
        <v>57.2512856073337</v>
      </c>
      <c r="H92" s="18" t="n">
        <f aca="false">C_keep-Pts_lost*(1-Delta_q)^A92</f>
        <v>57.2512856073336</v>
      </c>
    </row>
    <row r="93" customFormat="false" ht="15" hidden="false" customHeight="false" outlineLevel="0" collapsed="false">
      <c r="A93" s="12" t="n">
        <v>76</v>
      </c>
      <c r="B93" s="18" t="n">
        <f aca="false">Rent_58</f>
        <v>1.45</v>
      </c>
      <c r="C93" s="18" t="n">
        <f aca="false">(1-Delta_q)*C92+B93</f>
        <v>58</v>
      </c>
      <c r="D93" s="18" t="n">
        <f aca="false">MIN(Cap_q,MAX(C_keep-(1-Delta_q)*E92,0))</f>
        <v>1.45</v>
      </c>
      <c r="E93" s="18" t="n">
        <f aca="false">(1-Delta_q)*E92+D93</f>
        <v>58</v>
      </c>
      <c r="F93" s="18" t="n">
        <f aca="false">Rent_58</f>
        <v>1.45</v>
      </c>
      <c r="G93" s="18" t="n">
        <f aca="false">(1-Delta_q)*G92+F93</f>
        <v>57.2700034671503</v>
      </c>
      <c r="H93" s="18" t="n">
        <f aca="false">C_keep-Pts_lost*(1-Delta_q)^A93</f>
        <v>57.2700034671503</v>
      </c>
    </row>
    <row r="94" customFormat="false" ht="15" hidden="false" customHeight="false" outlineLevel="0" collapsed="false">
      <c r="A94" s="12" t="n">
        <v>77</v>
      </c>
      <c r="B94" s="18" t="n">
        <f aca="false">Rent_58</f>
        <v>1.45</v>
      </c>
      <c r="C94" s="18" t="n">
        <f aca="false">(1-Delta_q)*C93+B94</f>
        <v>58</v>
      </c>
      <c r="D94" s="18" t="n">
        <f aca="false">MIN(Cap_q,MAX(C_keep-(1-Delta_q)*E93,0))</f>
        <v>1.45</v>
      </c>
      <c r="E94" s="18" t="n">
        <f aca="false">(1-Delta_q)*E93+D94</f>
        <v>58</v>
      </c>
      <c r="F94" s="18" t="n">
        <f aca="false">Rent_58</f>
        <v>1.45</v>
      </c>
      <c r="G94" s="18" t="n">
        <f aca="false">(1-Delta_q)*G93+F94</f>
        <v>57.2882533804716</v>
      </c>
      <c r="H94" s="18" t="n">
        <f aca="false">C_keep-Pts_lost*(1-Delta_q)^A94</f>
        <v>57.2882533804715</v>
      </c>
    </row>
    <row r="95" customFormat="false" ht="15" hidden="false" customHeight="false" outlineLevel="0" collapsed="false">
      <c r="A95" s="12" t="n">
        <v>78</v>
      </c>
      <c r="B95" s="18" t="n">
        <f aca="false">Rent_58</f>
        <v>1.45</v>
      </c>
      <c r="C95" s="18" t="n">
        <f aca="false">(1-Delta_q)*C94+B95</f>
        <v>58</v>
      </c>
      <c r="D95" s="18" t="n">
        <f aca="false">MIN(Cap_q,MAX(C_keep-(1-Delta_q)*E94,0))</f>
        <v>1.45</v>
      </c>
      <c r="E95" s="18" t="n">
        <f aca="false">(1-Delta_q)*E94+D95</f>
        <v>58</v>
      </c>
      <c r="F95" s="18" t="n">
        <f aca="false">Rent_58</f>
        <v>1.45</v>
      </c>
      <c r="G95" s="18" t="n">
        <f aca="false">(1-Delta_q)*G94+F95</f>
        <v>57.3060470459598</v>
      </c>
      <c r="H95" s="18" t="n">
        <f aca="false">C_keep-Pts_lost*(1-Delta_q)^A95</f>
        <v>57.3060470459598</v>
      </c>
    </row>
    <row r="96" customFormat="false" ht="15" hidden="false" customHeight="false" outlineLevel="0" collapsed="false">
      <c r="A96" s="12" t="n">
        <v>79</v>
      </c>
      <c r="B96" s="18" t="n">
        <f aca="false">Rent_58</f>
        <v>1.45</v>
      </c>
      <c r="C96" s="18" t="n">
        <f aca="false">(1-Delta_q)*C95+B96</f>
        <v>58</v>
      </c>
      <c r="D96" s="18" t="n">
        <f aca="false">MIN(Cap_q,MAX(C_keep-(1-Delta_q)*E95,0))</f>
        <v>1.45</v>
      </c>
      <c r="E96" s="18" t="n">
        <f aca="false">(1-Delta_q)*E95+D96</f>
        <v>58</v>
      </c>
      <c r="F96" s="18" t="n">
        <f aca="false">Rent_58</f>
        <v>1.45</v>
      </c>
      <c r="G96" s="18" t="n">
        <f aca="false">(1-Delta_q)*G95+F96</f>
        <v>57.3233958698108</v>
      </c>
      <c r="H96" s="18" t="n">
        <f aca="false">C_keep-Pts_lost*(1-Delta_q)^A96</f>
        <v>57.3233958698108</v>
      </c>
    </row>
    <row r="97" customFormat="false" ht="15" hidden="false" customHeight="false" outlineLevel="0" collapsed="false">
      <c r="A97" s="12" t="n">
        <v>80</v>
      </c>
      <c r="B97" s="18" t="n">
        <f aca="false">Rent_58</f>
        <v>1.45</v>
      </c>
      <c r="C97" s="18" t="n">
        <f aca="false">(1-Delta_q)*C96+B97</f>
        <v>58</v>
      </c>
      <c r="D97" s="18" t="n">
        <f aca="false">MIN(Cap_q,MAX(C_keep-(1-Delta_q)*E96,0))</f>
        <v>1.45</v>
      </c>
      <c r="E97" s="18" t="n">
        <f aca="false">(1-Delta_q)*E96+D97</f>
        <v>58</v>
      </c>
      <c r="F97" s="18" t="n">
        <f aca="false">Rent_58</f>
        <v>1.45</v>
      </c>
      <c r="G97" s="18" t="n">
        <f aca="false">(1-Delta_q)*G96+F97</f>
        <v>57.3403109730655</v>
      </c>
      <c r="H97" s="18" t="n">
        <f aca="false">C_keep-Pts_lost*(1-Delta_q)^A97</f>
        <v>57.3403109730655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215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162</v>
      </c>
    </row>
    <row r="4" customFormat="false" ht="15" hidden="false" customHeight="false" outlineLevel="0" collapsed="false">
      <c r="A4" s="2" t="s">
        <v>216</v>
      </c>
      <c r="B4" s="9" t="n">
        <v>4</v>
      </c>
      <c r="C4" s="10" t="s">
        <v>217</v>
      </c>
    </row>
    <row r="5" customFormat="false" ht="15" hidden="false" customHeight="false" outlineLevel="0" collapsed="false">
      <c r="A5" s="2" t="s">
        <v>218</v>
      </c>
      <c r="B5" s="13" t="n">
        <v>0.3</v>
      </c>
      <c r="C5" s="10" t="s">
        <v>219</v>
      </c>
    </row>
    <row r="6" customFormat="false" ht="15" hidden="false" customHeight="false" outlineLevel="0" collapsed="false">
      <c r="A6" s="2" t="s">
        <v>220</v>
      </c>
      <c r="B6" s="12" t="n">
        <f aca="false">SUMPRODUCT(($A$28:$A$128&lt;=B4)*($C$28:$C$128&gt;=Floor_c))</f>
        <v>3</v>
      </c>
      <c r="C6" s="10" t="s">
        <v>221</v>
      </c>
    </row>
    <row r="7" customFormat="false" ht="15" hidden="false" customHeight="false" outlineLevel="0" collapsed="false">
      <c r="A7" s="2" t="s">
        <v>222</v>
      </c>
      <c r="B7" s="18" t="n">
        <f aca="false">INDEX($C$28:$C$128,B4+1)</f>
        <v>52.41389765625</v>
      </c>
      <c r="C7" s="10"/>
    </row>
    <row r="8" customFormat="false" ht="15" hidden="false" customHeight="false" outlineLevel="0" collapsed="false">
      <c r="A8" s="2" t="s">
        <v>223</v>
      </c>
      <c r="B8" s="17" t="n">
        <f aca="false">B4*Rent_58*Price_pt</f>
        <v>23.2</v>
      </c>
      <c r="C8" s="10" t="s">
        <v>224</v>
      </c>
    </row>
    <row r="9" customFormat="false" ht="15" hidden="false" customHeight="false" outlineLevel="0" collapsed="false">
      <c r="A9" s="2" t="s">
        <v>225</v>
      </c>
      <c r="B9" s="12" t="n">
        <f aca="false">1+SUMPRODUCT(($A$28:$A$128&gt;B4)*($E$28:$E$128&lt;Floor_c))</f>
        <v>25</v>
      </c>
      <c r="C9" s="10" t="s">
        <v>226</v>
      </c>
    </row>
    <row r="10" customFormat="false" ht="15" hidden="false" customHeight="false" outlineLevel="0" collapsed="false">
      <c r="A10" s="2" t="s">
        <v>227</v>
      </c>
      <c r="B10" s="12" t="n">
        <f aca="false">1+SUMPRODUCT(($A$28:$A$128&gt;B4)*($C$28:$C$128&lt;Floor_c))</f>
        <v>3</v>
      </c>
      <c r="C10" s="10"/>
    </row>
    <row r="11" customFormat="false" ht="15" hidden="false" customHeight="false" outlineLevel="0" collapsed="false">
      <c r="A11" s="2" t="s">
        <v>228</v>
      </c>
      <c r="B11" s="12" t="n">
        <f aca="false">1+SUMPRODUCT(($A$28:$A$128&gt;B4)*($C$28:$C$128&lt;(C_keep-0.000000001)))</f>
        <v>5</v>
      </c>
      <c r="C11" s="10"/>
    </row>
    <row r="12" customFormat="false" ht="15" hidden="false" customHeight="false" outlineLevel="0" collapsed="false">
      <c r="A12" s="2" t="s">
        <v>229</v>
      </c>
      <c r="B12" s="18" t="n">
        <f aca="false">SUMPRODUCT(($A$28:$A$128&gt;B4)*($A$28:$A$128&lt;=B4+B11)*$B$28:$B$128)</f>
        <v>12.4279098388366</v>
      </c>
      <c r="C12" s="10"/>
    </row>
    <row r="13" customFormat="false" ht="15" hidden="false" customHeight="false" outlineLevel="0" collapsed="false">
      <c r="A13" s="2" t="s">
        <v>230</v>
      </c>
      <c r="B13" s="18" t="n">
        <f aca="false">Rent_58*B11</f>
        <v>7.25</v>
      </c>
      <c r="C13" s="10"/>
    </row>
    <row r="14" customFormat="false" ht="15" hidden="false" customHeight="false" outlineLevel="0" collapsed="false">
      <c r="A14" s="2" t="s">
        <v>231</v>
      </c>
      <c r="B14" s="17" t="n">
        <f aca="false">(B12-B13)*Price_pt</f>
        <v>20.7116393553464</v>
      </c>
      <c r="C14" s="10" t="s">
        <v>232</v>
      </c>
    </row>
    <row r="16" customFormat="false" ht="15" hidden="false" customHeight="false" outlineLevel="0" collapsed="false">
      <c r="A16" s="2" t="s">
        <v>233</v>
      </c>
      <c r="B16" s="17" t="n">
        <f aca="false">C_keep*(1-B5)</f>
        <v>40.6</v>
      </c>
      <c r="C16" s="10" t="s">
        <v>234</v>
      </c>
    </row>
    <row r="17" customFormat="false" ht="15" hidden="false" customHeight="false" outlineLevel="0" collapsed="false">
      <c r="A17" s="2" t="s">
        <v>235</v>
      </c>
      <c r="B17" s="12" t="n">
        <f aca="false">COUNTIF($G$28:$G$128,"&lt;"&amp;Floor_c)</f>
        <v>11</v>
      </c>
      <c r="C17" s="10"/>
    </row>
    <row r="18" customFormat="false" ht="15" hidden="false" customHeight="false" outlineLevel="0" collapsed="false">
      <c r="A18" s="2" t="s">
        <v>236</v>
      </c>
      <c r="B18" s="12" t="n">
        <f aca="false">COUNTIF($G$28:$G$128,"&lt;"&amp;(C_keep-0.000000001))</f>
        <v>14</v>
      </c>
      <c r="C18" s="10" t="s">
        <v>237</v>
      </c>
    </row>
    <row r="19" customFormat="false" ht="15" hidden="false" customHeight="false" outlineLevel="0" collapsed="false">
      <c r="A19" s="2" t="s">
        <v>238</v>
      </c>
      <c r="B19" s="15" t="n">
        <f aca="false">LN((Cbar-B16)/(Cbar-C_keep))/LN(1/(1-Delta_q))</f>
        <v>13.6909407125734</v>
      </c>
      <c r="C19" s="10"/>
    </row>
    <row r="20" customFormat="false" ht="15" hidden="false" customHeight="false" outlineLevel="0" collapsed="false">
      <c r="A20" s="2" t="s">
        <v>239</v>
      </c>
      <c r="B20" s="12" t="n">
        <f aca="false">COUNTIF($I$28:$I$128,"&lt;"&amp;Floor_c)</f>
        <v>70</v>
      </c>
      <c r="C20" s="10" t="s">
        <v>226</v>
      </c>
    </row>
    <row r="22" customFormat="false" ht="15" hidden="false" customHeight="false" outlineLevel="0" collapsed="false">
      <c r="A22" s="2" t="s">
        <v>240</v>
      </c>
      <c r="B22" s="11" t="n">
        <v>2</v>
      </c>
      <c r="C22" s="10" t="s">
        <v>241</v>
      </c>
    </row>
    <row r="23" customFormat="false" ht="15" hidden="false" customHeight="false" outlineLevel="0" collapsed="false">
      <c r="A23" s="2" t="s">
        <v>242</v>
      </c>
      <c r="B23" s="19" t="n">
        <f aca="false">Floor_c</f>
        <v>55</v>
      </c>
      <c r="C23" s="10"/>
    </row>
    <row r="24" customFormat="false" ht="15" hidden="false" customHeight="false" outlineLevel="0" collapsed="false">
      <c r="A24" s="2" t="s">
        <v>243</v>
      </c>
      <c r="B24" s="18" t="n">
        <f aca="false">LN((Cbar-B23+B22)/(Cbar-B23))/LN(1/(1-Delta_q))</f>
        <v>1.71757017695694</v>
      </c>
      <c r="C24" s="10" t="s">
        <v>244</v>
      </c>
    </row>
    <row r="25" customFormat="false" ht="15" hidden="false" customHeight="false" outlineLevel="0" collapsed="false">
      <c r="A25" s="2" t="s">
        <v>245</v>
      </c>
      <c r="B25" s="18" t="n">
        <f aca="false">B22/(Delta_q*(Cbar-B23))</f>
        <v>1.77777777777778</v>
      </c>
      <c r="C25" s="10" t="s">
        <v>246</v>
      </c>
    </row>
    <row r="27" customFormat="false" ht="35.05" hidden="false" customHeight="false" outlineLevel="0" collapsed="false">
      <c r="A27" s="8" t="s">
        <v>247</v>
      </c>
      <c r="B27" s="8" t="s">
        <v>248</v>
      </c>
      <c r="C27" s="8" t="s">
        <v>249</v>
      </c>
      <c r="D27" s="8" t="s">
        <v>250</v>
      </c>
      <c r="E27" s="8" t="s">
        <v>249</v>
      </c>
      <c r="F27" s="8" t="s">
        <v>251</v>
      </c>
      <c r="G27" s="8" t="s">
        <v>249</v>
      </c>
      <c r="H27" s="8" t="s">
        <v>252</v>
      </c>
      <c r="I27" s="8" t="s">
        <v>249</v>
      </c>
    </row>
    <row r="28" customFormat="false" ht="15" hidden="false" customHeight="false" outlineLevel="0" collapsed="false">
      <c r="A28" s="12" t="n">
        <v>0</v>
      </c>
      <c r="C28" s="18" t="n">
        <f aca="false">C_keep</f>
        <v>58</v>
      </c>
      <c r="E28" s="18" t="n">
        <f aca="false">C_keep</f>
        <v>58</v>
      </c>
      <c r="G28" s="18" t="n">
        <f aca="false">$B$16</f>
        <v>40.6</v>
      </c>
      <c r="I28" s="18" t="n">
        <f aca="false">$B$16</f>
        <v>40.6</v>
      </c>
    </row>
    <row r="29" customFormat="false" ht="15" hidden="false" customHeight="false" outlineLevel="0" collapsed="false">
      <c r="A29" s="12" t="n">
        <v>1</v>
      </c>
      <c r="B29" s="18" t="n">
        <f aca="false">IF(A29&lt;=$B$4,0,MIN(Cap_q,MAX(C_keep-(1-Delta_q)*C28,0)))</f>
        <v>0</v>
      </c>
      <c r="C29" s="18" t="n">
        <f aca="false">(1-Delta_q)*C28+B29</f>
        <v>56.55</v>
      </c>
      <c r="D29" s="18" t="n">
        <f aca="false">IF(A29&lt;=$B$4,0,Rent_58)</f>
        <v>0</v>
      </c>
      <c r="E29" s="18" t="n">
        <f aca="false">(1-Delta_q)*E28+D29</f>
        <v>56.55</v>
      </c>
      <c r="F29" s="18" t="n">
        <f aca="false">MIN(Cap_q,MAX(C_keep-(1-Delta_q)*G28,0))</f>
        <v>2.5</v>
      </c>
      <c r="G29" s="18" t="n">
        <f aca="false">(1-Delta_q)*G28+F29</f>
        <v>42.085</v>
      </c>
      <c r="H29" s="18" t="n">
        <f aca="false">Rent_58</f>
        <v>1.45</v>
      </c>
      <c r="I29" s="18" t="n">
        <f aca="false">(1-Delta_q)*I28+H29</f>
        <v>41.035</v>
      </c>
    </row>
    <row r="30" customFormat="false" ht="15" hidden="false" customHeight="false" outlineLevel="0" collapsed="false">
      <c r="A30" s="12" t="n">
        <v>2</v>
      </c>
      <c r="B30" s="18" t="n">
        <f aca="false">IF(A30&lt;=$B$4,0,MIN(Cap_q,MAX(C_keep-(1-Delta_q)*C29,0)))</f>
        <v>0</v>
      </c>
      <c r="C30" s="18" t="n">
        <f aca="false">(1-Delta_q)*C29+B30</f>
        <v>55.13625</v>
      </c>
      <c r="D30" s="18" t="n">
        <f aca="false">IF(A30&lt;=$B$4,0,Rent_58)</f>
        <v>0</v>
      </c>
      <c r="E30" s="18" t="n">
        <f aca="false">(1-Delta_q)*E29+D30</f>
        <v>55.13625</v>
      </c>
      <c r="F30" s="18" t="n">
        <f aca="false">MIN(Cap_q,MAX(C_keep-(1-Delta_q)*G29,0))</f>
        <v>2.5</v>
      </c>
      <c r="G30" s="18" t="n">
        <f aca="false">(1-Delta_q)*G29+F30</f>
        <v>43.532875</v>
      </c>
      <c r="H30" s="18" t="n">
        <f aca="false">Rent_58</f>
        <v>1.45</v>
      </c>
      <c r="I30" s="18" t="n">
        <f aca="false">(1-Delta_q)*I29+H30</f>
        <v>41.459125</v>
      </c>
    </row>
    <row r="31" customFormat="false" ht="15" hidden="false" customHeight="false" outlineLevel="0" collapsed="false">
      <c r="A31" s="12" t="n">
        <v>3</v>
      </c>
      <c r="B31" s="18" t="n">
        <f aca="false">IF(A31&lt;=$B$4,0,MIN(Cap_q,MAX(C_keep-(1-Delta_q)*C30,0)))</f>
        <v>0</v>
      </c>
      <c r="C31" s="18" t="n">
        <f aca="false">(1-Delta_q)*C30+B31</f>
        <v>53.75784375</v>
      </c>
      <c r="D31" s="18" t="n">
        <f aca="false">IF(A31&lt;=$B$4,0,Rent_58)</f>
        <v>0</v>
      </c>
      <c r="E31" s="18" t="n">
        <f aca="false">(1-Delta_q)*E30+D31</f>
        <v>53.75784375</v>
      </c>
      <c r="F31" s="18" t="n">
        <f aca="false">MIN(Cap_q,MAX(C_keep-(1-Delta_q)*G30,0))</f>
        <v>2.5</v>
      </c>
      <c r="G31" s="18" t="n">
        <f aca="false">(1-Delta_q)*G30+F31</f>
        <v>44.944553125</v>
      </c>
      <c r="H31" s="18" t="n">
        <f aca="false">Rent_58</f>
        <v>1.45</v>
      </c>
      <c r="I31" s="18" t="n">
        <f aca="false">(1-Delta_q)*I30+H31</f>
        <v>41.872646875</v>
      </c>
    </row>
    <row r="32" customFormat="false" ht="15" hidden="false" customHeight="false" outlineLevel="0" collapsed="false">
      <c r="A32" s="12" t="n">
        <v>4</v>
      </c>
      <c r="B32" s="18" t="n">
        <f aca="false">IF(A32&lt;=$B$4,0,MIN(Cap_q,MAX(C_keep-(1-Delta_q)*C31,0)))</f>
        <v>0</v>
      </c>
      <c r="C32" s="18" t="n">
        <f aca="false">(1-Delta_q)*C31+B32</f>
        <v>52.41389765625</v>
      </c>
      <c r="D32" s="18" t="n">
        <f aca="false">IF(A32&lt;=$B$4,0,Rent_58)</f>
        <v>0</v>
      </c>
      <c r="E32" s="18" t="n">
        <f aca="false">(1-Delta_q)*E31+D32</f>
        <v>52.41389765625</v>
      </c>
      <c r="F32" s="18" t="n">
        <f aca="false">MIN(Cap_q,MAX(C_keep-(1-Delta_q)*G31,0))</f>
        <v>2.5</v>
      </c>
      <c r="G32" s="18" t="n">
        <f aca="false">(1-Delta_q)*G31+F32</f>
        <v>46.320939296875</v>
      </c>
      <c r="H32" s="18" t="n">
        <f aca="false">Rent_58</f>
        <v>1.45</v>
      </c>
      <c r="I32" s="18" t="n">
        <f aca="false">(1-Delta_q)*I31+H32</f>
        <v>42.275830703125</v>
      </c>
    </row>
    <row r="33" customFormat="false" ht="15" hidden="false" customHeight="false" outlineLevel="0" collapsed="false">
      <c r="A33" s="12" t="n">
        <v>5</v>
      </c>
      <c r="B33" s="18" t="n">
        <f aca="false">IF(A33&lt;=$B$4,0,MIN(Cap_q,MAX(C_keep-(1-Delta_q)*C32,0)))</f>
        <v>2.5</v>
      </c>
      <c r="C33" s="18" t="n">
        <f aca="false">(1-Delta_q)*C32+B33</f>
        <v>53.6035502148438</v>
      </c>
      <c r="D33" s="18" t="n">
        <f aca="false">IF(A33&lt;=$B$4,0,Rent_58)</f>
        <v>1.45</v>
      </c>
      <c r="E33" s="18" t="n">
        <f aca="false">(1-Delta_q)*E32+D33</f>
        <v>52.5535502148438</v>
      </c>
      <c r="F33" s="18" t="n">
        <f aca="false">MIN(Cap_q,MAX(C_keep-(1-Delta_q)*G32,0))</f>
        <v>2.5</v>
      </c>
      <c r="G33" s="18" t="n">
        <f aca="false">(1-Delta_q)*G32+F33</f>
        <v>47.6629158144531</v>
      </c>
      <c r="H33" s="18" t="n">
        <f aca="false">Rent_58</f>
        <v>1.45</v>
      </c>
      <c r="I33" s="18" t="n">
        <f aca="false">(1-Delta_q)*I32+H33</f>
        <v>42.6689349355469</v>
      </c>
    </row>
    <row r="34" customFormat="false" ht="15" hidden="false" customHeight="false" outlineLevel="0" collapsed="false">
      <c r="A34" s="12" t="n">
        <v>6</v>
      </c>
      <c r="B34" s="18" t="n">
        <f aca="false">IF(A34&lt;=$B$4,0,MIN(Cap_q,MAX(C_keep-(1-Delta_q)*C33,0)))</f>
        <v>2.5</v>
      </c>
      <c r="C34" s="18" t="n">
        <f aca="false">(1-Delta_q)*C33+B34</f>
        <v>54.7634614594727</v>
      </c>
      <c r="D34" s="18" t="n">
        <f aca="false">IF(A34&lt;=$B$4,0,Rent_58)</f>
        <v>1.45</v>
      </c>
      <c r="E34" s="18" t="n">
        <f aca="false">(1-Delta_q)*E33+D34</f>
        <v>52.6897114594727</v>
      </c>
      <c r="F34" s="18" t="n">
        <f aca="false">MIN(Cap_q,MAX(C_keep-(1-Delta_q)*G33,0))</f>
        <v>2.5</v>
      </c>
      <c r="G34" s="18" t="n">
        <f aca="false">(1-Delta_q)*G33+F34</f>
        <v>48.9713429190918</v>
      </c>
      <c r="H34" s="18" t="n">
        <f aca="false">Rent_58</f>
        <v>1.45</v>
      </c>
      <c r="I34" s="18" t="n">
        <f aca="false">(1-Delta_q)*I33+H34</f>
        <v>43.0522115621582</v>
      </c>
    </row>
    <row r="35" customFormat="false" ht="15" hidden="false" customHeight="false" outlineLevel="0" collapsed="false">
      <c r="A35" s="12" t="n">
        <v>7</v>
      </c>
      <c r="B35" s="18" t="n">
        <f aca="false">IF(A35&lt;=$B$4,0,MIN(Cap_q,MAX(C_keep-(1-Delta_q)*C34,0)))</f>
        <v>2.5</v>
      </c>
      <c r="C35" s="18" t="n">
        <f aca="false">(1-Delta_q)*C34+B35</f>
        <v>55.8943749229858</v>
      </c>
      <c r="D35" s="18" t="n">
        <f aca="false">IF(A35&lt;=$B$4,0,Rent_58)</f>
        <v>1.45</v>
      </c>
      <c r="E35" s="18" t="n">
        <f aca="false">(1-Delta_q)*E34+D35</f>
        <v>52.8224686729859</v>
      </c>
      <c r="F35" s="18" t="n">
        <f aca="false">MIN(Cap_q,MAX(C_keep-(1-Delta_q)*G34,0))</f>
        <v>2.5</v>
      </c>
      <c r="G35" s="18" t="n">
        <f aca="false">(1-Delta_q)*G34+F35</f>
        <v>50.2470593461145</v>
      </c>
      <c r="H35" s="18" t="n">
        <f aca="false">Rent_58</f>
        <v>1.45</v>
      </c>
      <c r="I35" s="18" t="n">
        <f aca="false">(1-Delta_q)*I34+H35</f>
        <v>43.4259062731043</v>
      </c>
    </row>
    <row r="36" customFormat="false" ht="15" hidden="false" customHeight="false" outlineLevel="0" collapsed="false">
      <c r="A36" s="12" t="n">
        <v>8</v>
      </c>
      <c r="B36" s="18" t="n">
        <f aca="false">IF(A36&lt;=$B$4,0,MIN(Cap_q,MAX(C_keep-(1-Delta_q)*C35,0)))</f>
        <v>2.5</v>
      </c>
      <c r="C36" s="18" t="n">
        <f aca="false">(1-Delta_q)*C35+B36</f>
        <v>56.9970155499112</v>
      </c>
      <c r="D36" s="18" t="n">
        <f aca="false">IF(A36&lt;=$B$4,0,Rent_58)</f>
        <v>1.45</v>
      </c>
      <c r="E36" s="18" t="n">
        <f aca="false">(1-Delta_q)*E35+D36</f>
        <v>52.9519069561612</v>
      </c>
      <c r="F36" s="18" t="n">
        <f aca="false">MIN(Cap_q,MAX(C_keep-(1-Delta_q)*G35,0))</f>
        <v>2.5</v>
      </c>
      <c r="G36" s="18" t="n">
        <f aca="false">(1-Delta_q)*G35+F36</f>
        <v>51.4908828624616</v>
      </c>
      <c r="H36" s="18" t="n">
        <f aca="false">Rent_58</f>
        <v>1.45</v>
      </c>
      <c r="I36" s="18" t="n">
        <f aca="false">(1-Delta_q)*I35+H36</f>
        <v>43.7902586162766</v>
      </c>
    </row>
    <row r="37" customFormat="false" ht="15" hidden="false" customHeight="false" outlineLevel="0" collapsed="false">
      <c r="A37" s="12" t="n">
        <v>9</v>
      </c>
      <c r="B37" s="18" t="n">
        <f aca="false">IF(A37&lt;=$B$4,0,MIN(Cap_q,MAX(C_keep-(1-Delta_q)*C36,0)))</f>
        <v>2.42790983883659</v>
      </c>
      <c r="C37" s="18" t="n">
        <f aca="false">(1-Delta_q)*C36+B37</f>
        <v>58</v>
      </c>
      <c r="D37" s="18" t="n">
        <f aca="false">IF(A37&lt;=$B$4,0,Rent_58)</f>
        <v>1.45</v>
      </c>
      <c r="E37" s="18" t="n">
        <f aca="false">(1-Delta_q)*E36+D37</f>
        <v>53.0781092822572</v>
      </c>
      <c r="F37" s="18" t="n">
        <f aca="false">MIN(Cap_q,MAX(C_keep-(1-Delta_q)*G36,0))</f>
        <v>2.5</v>
      </c>
      <c r="G37" s="18" t="n">
        <f aca="false">(1-Delta_q)*G36+F37</f>
        <v>52.7036107909001</v>
      </c>
      <c r="H37" s="18" t="n">
        <f aca="false">Rent_58</f>
        <v>1.45</v>
      </c>
      <c r="I37" s="18" t="n">
        <f aca="false">(1-Delta_q)*I36+H37</f>
        <v>44.1455021508697</v>
      </c>
    </row>
    <row r="38" customFormat="false" ht="15" hidden="false" customHeight="false" outlineLevel="0" collapsed="false">
      <c r="A38" s="12" t="n">
        <v>10</v>
      </c>
      <c r="B38" s="18" t="n">
        <f aca="false">IF(A38&lt;=$B$4,0,MIN(Cap_q,MAX(C_keep-(1-Delta_q)*C37,0)))</f>
        <v>1.45</v>
      </c>
      <c r="C38" s="18" t="n">
        <f aca="false">(1-Delta_q)*C37+B38</f>
        <v>58</v>
      </c>
      <c r="D38" s="18" t="n">
        <f aca="false">IF(A38&lt;=$B$4,0,Rent_58)</f>
        <v>1.45</v>
      </c>
      <c r="E38" s="18" t="n">
        <f aca="false">(1-Delta_q)*E37+D38</f>
        <v>53.2011565502007</v>
      </c>
      <c r="F38" s="18" t="n">
        <f aca="false">MIN(Cap_q,MAX(C_keep-(1-Delta_q)*G37,0))</f>
        <v>2.5</v>
      </c>
      <c r="G38" s="18" t="n">
        <f aca="false">(1-Delta_q)*G37+F38</f>
        <v>53.8860205211276</v>
      </c>
      <c r="H38" s="18" t="n">
        <f aca="false">Rent_58</f>
        <v>1.45</v>
      </c>
      <c r="I38" s="18" t="n">
        <f aca="false">(1-Delta_q)*I37+H38</f>
        <v>44.491864597098</v>
      </c>
    </row>
    <row r="39" customFormat="false" ht="15" hidden="false" customHeight="false" outlineLevel="0" collapsed="false">
      <c r="A39" s="12" t="n">
        <v>11</v>
      </c>
      <c r="B39" s="18" t="n">
        <f aca="false">IF(A39&lt;=$B$4,0,MIN(Cap_q,MAX(C_keep-(1-Delta_q)*C38,0)))</f>
        <v>1.45</v>
      </c>
      <c r="C39" s="18" t="n">
        <f aca="false">(1-Delta_q)*C38+B39</f>
        <v>58</v>
      </c>
      <c r="D39" s="18" t="n">
        <f aca="false">IF(A39&lt;=$B$4,0,Rent_58)</f>
        <v>1.45</v>
      </c>
      <c r="E39" s="18" t="n">
        <f aca="false">(1-Delta_q)*E38+D39</f>
        <v>53.3211276364457</v>
      </c>
      <c r="F39" s="18" t="n">
        <f aca="false">MIN(Cap_q,MAX(C_keep-(1-Delta_q)*G38,0))</f>
        <v>2.5</v>
      </c>
      <c r="G39" s="18" t="n">
        <f aca="false">(1-Delta_q)*G38+F39</f>
        <v>55.0388700080994</v>
      </c>
      <c r="H39" s="18" t="n">
        <f aca="false">Rent_58</f>
        <v>1.45</v>
      </c>
      <c r="I39" s="18" t="n">
        <f aca="false">(1-Delta_q)*I38+H39</f>
        <v>44.8295679821705</v>
      </c>
    </row>
    <row r="40" customFormat="false" ht="15" hidden="false" customHeight="false" outlineLevel="0" collapsed="false">
      <c r="A40" s="12" t="n">
        <v>12</v>
      </c>
      <c r="B40" s="18" t="n">
        <f aca="false">IF(A40&lt;=$B$4,0,MIN(Cap_q,MAX(C_keep-(1-Delta_q)*C39,0)))</f>
        <v>1.45</v>
      </c>
      <c r="C40" s="18" t="n">
        <f aca="false">(1-Delta_q)*C39+B40</f>
        <v>58</v>
      </c>
      <c r="D40" s="18" t="n">
        <f aca="false">IF(A40&lt;=$B$4,0,Rent_58)</f>
        <v>1.45</v>
      </c>
      <c r="E40" s="18" t="n">
        <f aca="false">(1-Delta_q)*E39+D40</f>
        <v>53.4380994455346</v>
      </c>
      <c r="F40" s="18" t="n">
        <f aca="false">MIN(Cap_q,MAX(C_keep-(1-Delta_q)*G39,0))</f>
        <v>2.5</v>
      </c>
      <c r="G40" s="18" t="n">
        <f aca="false">(1-Delta_q)*G39+F40</f>
        <v>56.1628982578969</v>
      </c>
      <c r="H40" s="18" t="n">
        <f aca="false">Rent_58</f>
        <v>1.45</v>
      </c>
      <c r="I40" s="18" t="n">
        <f aca="false">(1-Delta_q)*I39+H40</f>
        <v>45.1588287826163</v>
      </c>
    </row>
    <row r="41" customFormat="false" ht="15" hidden="false" customHeight="false" outlineLevel="0" collapsed="false">
      <c r="A41" s="12" t="n">
        <v>13</v>
      </c>
      <c r="B41" s="18" t="n">
        <f aca="false">IF(A41&lt;=$B$4,0,MIN(Cap_q,MAX(C_keep-(1-Delta_q)*C40,0)))</f>
        <v>1.45</v>
      </c>
      <c r="C41" s="18" t="n">
        <f aca="false">(1-Delta_q)*C40+B41</f>
        <v>58</v>
      </c>
      <c r="D41" s="18" t="n">
        <f aca="false">IF(A41&lt;=$B$4,0,Rent_58)</f>
        <v>1.45</v>
      </c>
      <c r="E41" s="18" t="n">
        <f aca="false">(1-Delta_q)*E40+D41</f>
        <v>53.5521469593962</v>
      </c>
      <c r="F41" s="18" t="n">
        <f aca="false">MIN(Cap_q,MAX(C_keep-(1-Delta_q)*G40,0))</f>
        <v>2.5</v>
      </c>
      <c r="G41" s="18" t="n">
        <f aca="false">(1-Delta_q)*G40+F41</f>
        <v>57.2588258014495</v>
      </c>
      <c r="H41" s="18" t="n">
        <f aca="false">Rent_58</f>
        <v>1.45</v>
      </c>
      <c r="I41" s="18" t="n">
        <f aca="false">(1-Delta_q)*I40+H41</f>
        <v>45.4798580630509</v>
      </c>
    </row>
    <row r="42" customFormat="false" ht="15" hidden="false" customHeight="false" outlineLevel="0" collapsed="false">
      <c r="A42" s="12" t="n">
        <v>14</v>
      </c>
      <c r="B42" s="18" t="n">
        <f aca="false">IF(A42&lt;=$B$4,0,MIN(Cap_q,MAX(C_keep-(1-Delta_q)*C41,0)))</f>
        <v>1.45</v>
      </c>
      <c r="C42" s="18" t="n">
        <f aca="false">(1-Delta_q)*C41+B42</f>
        <v>58</v>
      </c>
      <c r="D42" s="18" t="n">
        <f aca="false">IF(A42&lt;=$B$4,0,Rent_58)</f>
        <v>1.45</v>
      </c>
      <c r="E42" s="18" t="n">
        <f aca="false">(1-Delta_q)*E41+D42</f>
        <v>53.6633432854113</v>
      </c>
      <c r="F42" s="18" t="n">
        <f aca="false">MIN(Cap_q,MAX(C_keep-(1-Delta_q)*G41,0))</f>
        <v>2.17264484358675</v>
      </c>
      <c r="G42" s="18" t="n">
        <f aca="false">(1-Delta_q)*G41+F42</f>
        <v>58</v>
      </c>
      <c r="H42" s="18" t="n">
        <f aca="false">Rent_58</f>
        <v>1.45</v>
      </c>
      <c r="I42" s="18" t="n">
        <f aca="false">(1-Delta_q)*I41+H42</f>
        <v>45.7928616114746</v>
      </c>
    </row>
    <row r="43" customFormat="false" ht="15" hidden="false" customHeight="false" outlineLevel="0" collapsed="false">
      <c r="A43" s="12" t="n">
        <v>15</v>
      </c>
      <c r="B43" s="18" t="n">
        <f aca="false">IF(A43&lt;=$B$4,0,MIN(Cap_q,MAX(C_keep-(1-Delta_q)*C42,0)))</f>
        <v>1.45</v>
      </c>
      <c r="C43" s="18" t="n">
        <f aca="false">(1-Delta_q)*C42+B43</f>
        <v>58</v>
      </c>
      <c r="D43" s="18" t="n">
        <f aca="false">IF(A43&lt;=$B$4,0,Rent_58)</f>
        <v>1.45</v>
      </c>
      <c r="E43" s="18" t="n">
        <f aca="false">(1-Delta_q)*E42+D43</f>
        <v>53.771759703276</v>
      </c>
      <c r="F43" s="18" t="n">
        <f aca="false">MIN(Cap_q,MAX(C_keep-(1-Delta_q)*G42,0))</f>
        <v>1.45</v>
      </c>
      <c r="G43" s="18" t="n">
        <f aca="false">(1-Delta_q)*G42+F43</f>
        <v>58</v>
      </c>
      <c r="H43" s="18" t="n">
        <f aca="false">Rent_58</f>
        <v>1.45</v>
      </c>
      <c r="I43" s="18" t="n">
        <f aca="false">(1-Delta_q)*I42+H43</f>
        <v>46.0980400711877</v>
      </c>
    </row>
    <row r="44" customFormat="false" ht="15" hidden="false" customHeight="false" outlineLevel="0" collapsed="false">
      <c r="A44" s="12" t="n">
        <v>16</v>
      </c>
      <c r="B44" s="18" t="n">
        <f aca="false">IF(A44&lt;=$B$4,0,MIN(Cap_q,MAX(C_keep-(1-Delta_q)*C43,0)))</f>
        <v>1.45</v>
      </c>
      <c r="C44" s="18" t="n">
        <f aca="false">(1-Delta_q)*C43+B44</f>
        <v>58</v>
      </c>
      <c r="D44" s="18" t="n">
        <f aca="false">IF(A44&lt;=$B$4,0,Rent_58)</f>
        <v>1.45</v>
      </c>
      <c r="E44" s="18" t="n">
        <f aca="false">(1-Delta_q)*E43+D44</f>
        <v>53.8774657106941</v>
      </c>
      <c r="F44" s="18" t="n">
        <f aca="false">MIN(Cap_q,MAX(C_keep-(1-Delta_q)*G43,0))</f>
        <v>1.45</v>
      </c>
      <c r="G44" s="18" t="n">
        <f aca="false">(1-Delta_q)*G43+F44</f>
        <v>58</v>
      </c>
      <c r="H44" s="18" t="n">
        <f aca="false">Rent_58</f>
        <v>1.45</v>
      </c>
      <c r="I44" s="18" t="n">
        <f aca="false">(1-Delta_q)*I43+H44</f>
        <v>46.3955890694081</v>
      </c>
    </row>
    <row r="45" customFormat="false" ht="15" hidden="false" customHeight="false" outlineLevel="0" collapsed="false">
      <c r="A45" s="12" t="n">
        <v>17</v>
      </c>
      <c r="B45" s="18" t="n">
        <f aca="false">IF(A45&lt;=$B$4,0,MIN(Cap_q,MAX(C_keep-(1-Delta_q)*C44,0)))</f>
        <v>1.45</v>
      </c>
      <c r="C45" s="18" t="n">
        <f aca="false">(1-Delta_q)*C44+B45</f>
        <v>58</v>
      </c>
      <c r="D45" s="18" t="n">
        <f aca="false">IF(A45&lt;=$B$4,0,Rent_58)</f>
        <v>1.45</v>
      </c>
      <c r="E45" s="18" t="n">
        <f aca="false">(1-Delta_q)*E44+D45</f>
        <v>53.9805290679268</v>
      </c>
      <c r="F45" s="18" t="n">
        <f aca="false">MIN(Cap_q,MAX(C_keep-(1-Delta_q)*G44,0))</f>
        <v>1.45</v>
      </c>
      <c r="G45" s="18" t="n">
        <f aca="false">(1-Delta_q)*G44+F45</f>
        <v>58</v>
      </c>
      <c r="H45" s="18" t="n">
        <f aca="false">Rent_58</f>
        <v>1.45</v>
      </c>
      <c r="I45" s="18" t="n">
        <f aca="false">(1-Delta_q)*I44+H45</f>
        <v>46.6856993426729</v>
      </c>
    </row>
    <row r="46" customFormat="false" ht="15" hidden="false" customHeight="false" outlineLevel="0" collapsed="false">
      <c r="A46" s="12" t="n">
        <v>18</v>
      </c>
      <c r="B46" s="18" t="n">
        <f aca="false">IF(A46&lt;=$B$4,0,MIN(Cap_q,MAX(C_keep-(1-Delta_q)*C45,0)))</f>
        <v>1.45</v>
      </c>
      <c r="C46" s="18" t="n">
        <f aca="false">(1-Delta_q)*C45+B46</f>
        <v>58</v>
      </c>
      <c r="D46" s="18" t="n">
        <f aca="false">IF(A46&lt;=$B$4,0,Rent_58)</f>
        <v>1.45</v>
      </c>
      <c r="E46" s="18" t="n">
        <f aca="false">(1-Delta_q)*E45+D46</f>
        <v>54.0810158412286</v>
      </c>
      <c r="F46" s="18" t="n">
        <f aca="false">MIN(Cap_q,MAX(C_keep-(1-Delta_q)*G45,0))</f>
        <v>1.45</v>
      </c>
      <c r="G46" s="18" t="n">
        <f aca="false">(1-Delta_q)*G45+F46</f>
        <v>58</v>
      </c>
      <c r="H46" s="18" t="n">
        <f aca="false">Rent_58</f>
        <v>1.45</v>
      </c>
      <c r="I46" s="18" t="n">
        <f aca="false">(1-Delta_q)*I45+H46</f>
        <v>46.968556859106</v>
      </c>
    </row>
    <row r="47" customFormat="false" ht="15" hidden="false" customHeight="false" outlineLevel="0" collapsed="false">
      <c r="A47" s="12" t="n">
        <v>19</v>
      </c>
      <c r="B47" s="18" t="n">
        <f aca="false">IF(A47&lt;=$B$4,0,MIN(Cap_q,MAX(C_keep-(1-Delta_q)*C46,0)))</f>
        <v>1.45</v>
      </c>
      <c r="C47" s="18" t="n">
        <f aca="false">(1-Delta_q)*C46+B47</f>
        <v>58</v>
      </c>
      <c r="D47" s="18" t="n">
        <f aca="false">IF(A47&lt;=$B$4,0,Rent_58)</f>
        <v>1.45</v>
      </c>
      <c r="E47" s="18" t="n">
        <f aca="false">(1-Delta_q)*E46+D47</f>
        <v>54.1789904451979</v>
      </c>
      <c r="F47" s="18" t="n">
        <f aca="false">MIN(Cap_q,MAX(C_keep-(1-Delta_q)*G46,0))</f>
        <v>1.45</v>
      </c>
      <c r="G47" s="18" t="n">
        <f aca="false">(1-Delta_q)*G46+F47</f>
        <v>58</v>
      </c>
      <c r="H47" s="18" t="n">
        <f aca="false">Rent_58</f>
        <v>1.45</v>
      </c>
      <c r="I47" s="18" t="n">
        <f aca="false">(1-Delta_q)*I46+H47</f>
        <v>47.2443429376284</v>
      </c>
    </row>
    <row r="48" customFormat="false" ht="15" hidden="false" customHeight="false" outlineLevel="0" collapsed="false">
      <c r="A48" s="12" t="n">
        <v>20</v>
      </c>
      <c r="B48" s="18" t="n">
        <f aca="false">IF(A48&lt;=$B$4,0,MIN(Cap_q,MAX(C_keep-(1-Delta_q)*C47,0)))</f>
        <v>1.45</v>
      </c>
      <c r="C48" s="18" t="n">
        <f aca="false">(1-Delta_q)*C47+B48</f>
        <v>58</v>
      </c>
      <c r="D48" s="18" t="n">
        <f aca="false">IF(A48&lt;=$B$4,0,Rent_58)</f>
        <v>1.45</v>
      </c>
      <c r="E48" s="18" t="n">
        <f aca="false">(1-Delta_q)*E47+D48</f>
        <v>54.274515684068</v>
      </c>
      <c r="F48" s="18" t="n">
        <f aca="false">MIN(Cap_q,MAX(C_keep-(1-Delta_q)*G47,0))</f>
        <v>1.45</v>
      </c>
      <c r="G48" s="18" t="n">
        <f aca="false">(1-Delta_q)*G47+F48</f>
        <v>58</v>
      </c>
      <c r="H48" s="18" t="n">
        <f aca="false">Rent_58</f>
        <v>1.45</v>
      </c>
      <c r="I48" s="18" t="n">
        <f aca="false">(1-Delta_q)*I47+H48</f>
        <v>47.5132343641877</v>
      </c>
    </row>
    <row r="49" customFormat="false" ht="15" hidden="false" customHeight="false" outlineLevel="0" collapsed="false">
      <c r="A49" s="12" t="n">
        <v>21</v>
      </c>
      <c r="B49" s="18" t="n">
        <f aca="false">IF(A49&lt;=$B$4,0,MIN(Cap_q,MAX(C_keep-(1-Delta_q)*C48,0)))</f>
        <v>1.45</v>
      </c>
      <c r="C49" s="18" t="n">
        <f aca="false">(1-Delta_q)*C48+B49</f>
        <v>58</v>
      </c>
      <c r="D49" s="18" t="n">
        <f aca="false">IF(A49&lt;=$B$4,0,Rent_58)</f>
        <v>1.45</v>
      </c>
      <c r="E49" s="18" t="n">
        <f aca="false">(1-Delta_q)*E48+D49</f>
        <v>54.3676527919663</v>
      </c>
      <c r="F49" s="18" t="n">
        <f aca="false">MIN(Cap_q,MAX(C_keep-(1-Delta_q)*G48,0))</f>
        <v>1.45</v>
      </c>
      <c r="G49" s="18" t="n">
        <f aca="false">(1-Delta_q)*G48+F49</f>
        <v>58</v>
      </c>
      <c r="H49" s="18" t="n">
        <f aca="false">Rent_58</f>
        <v>1.45</v>
      </c>
      <c r="I49" s="18" t="n">
        <f aca="false">(1-Delta_q)*I48+H49</f>
        <v>47.775403505083</v>
      </c>
    </row>
    <row r="50" customFormat="false" ht="15" hidden="false" customHeight="false" outlineLevel="0" collapsed="false">
      <c r="A50" s="12" t="n">
        <v>22</v>
      </c>
      <c r="B50" s="18" t="n">
        <f aca="false">IF(A50&lt;=$B$4,0,MIN(Cap_q,MAX(C_keep-(1-Delta_q)*C49,0)))</f>
        <v>1.45</v>
      </c>
      <c r="C50" s="18" t="n">
        <f aca="false">(1-Delta_q)*C49+B50</f>
        <v>58</v>
      </c>
      <c r="D50" s="18" t="n">
        <f aca="false">IF(A50&lt;=$B$4,0,Rent_58)</f>
        <v>1.45</v>
      </c>
      <c r="E50" s="18" t="n">
        <f aca="false">(1-Delta_q)*E49+D50</f>
        <v>54.4584614721671</v>
      </c>
      <c r="F50" s="18" t="n">
        <f aca="false">MIN(Cap_q,MAX(C_keep-(1-Delta_q)*G49,0))</f>
        <v>1.45</v>
      </c>
      <c r="G50" s="18" t="n">
        <f aca="false">(1-Delta_q)*G49+F50</f>
        <v>58</v>
      </c>
      <c r="H50" s="18" t="n">
        <f aca="false">Rent_58</f>
        <v>1.45</v>
      </c>
      <c r="I50" s="18" t="n">
        <f aca="false">(1-Delta_q)*I49+H50</f>
        <v>48.0310184174559</v>
      </c>
    </row>
    <row r="51" customFormat="false" ht="15" hidden="false" customHeight="false" outlineLevel="0" collapsed="false">
      <c r="A51" s="12" t="n">
        <v>23</v>
      </c>
      <c r="B51" s="18" t="n">
        <f aca="false">IF(A51&lt;=$B$4,0,MIN(Cap_q,MAX(C_keep-(1-Delta_q)*C50,0)))</f>
        <v>1.45</v>
      </c>
      <c r="C51" s="18" t="n">
        <f aca="false">(1-Delta_q)*C50+B51</f>
        <v>58</v>
      </c>
      <c r="D51" s="18" t="n">
        <f aca="false">IF(A51&lt;=$B$4,0,Rent_58)</f>
        <v>1.45</v>
      </c>
      <c r="E51" s="18" t="n">
        <f aca="false">(1-Delta_q)*E50+D51</f>
        <v>54.5469999353629</v>
      </c>
      <c r="F51" s="18" t="n">
        <f aca="false">MIN(Cap_q,MAX(C_keep-(1-Delta_q)*G50,0))</f>
        <v>1.45</v>
      </c>
      <c r="G51" s="18" t="n">
        <f aca="false">(1-Delta_q)*G50+F51</f>
        <v>58</v>
      </c>
      <c r="H51" s="18" t="n">
        <f aca="false">Rent_58</f>
        <v>1.45</v>
      </c>
      <c r="I51" s="18" t="n">
        <f aca="false">(1-Delta_q)*I50+H51</f>
        <v>48.2802429570195</v>
      </c>
    </row>
    <row r="52" customFormat="false" ht="15" hidden="false" customHeight="false" outlineLevel="0" collapsed="false">
      <c r="A52" s="12" t="n">
        <v>24</v>
      </c>
      <c r="B52" s="18" t="n">
        <f aca="false">IF(A52&lt;=$B$4,0,MIN(Cap_q,MAX(C_keep-(1-Delta_q)*C51,0)))</f>
        <v>1.45</v>
      </c>
      <c r="C52" s="18" t="n">
        <f aca="false">(1-Delta_q)*C51+B52</f>
        <v>58</v>
      </c>
      <c r="D52" s="18" t="n">
        <f aca="false">IF(A52&lt;=$B$4,0,Rent_58)</f>
        <v>1.45</v>
      </c>
      <c r="E52" s="18" t="n">
        <f aca="false">(1-Delta_q)*E51+D52</f>
        <v>54.6333249369788</v>
      </c>
      <c r="F52" s="18" t="n">
        <f aca="false">MIN(Cap_q,MAX(C_keep-(1-Delta_q)*G51,0))</f>
        <v>1.45</v>
      </c>
      <c r="G52" s="18" t="n">
        <f aca="false">(1-Delta_q)*G51+F52</f>
        <v>58</v>
      </c>
      <c r="H52" s="18" t="n">
        <f aca="false">Rent_58</f>
        <v>1.45</v>
      </c>
      <c r="I52" s="18" t="n">
        <f aca="false">(1-Delta_q)*I51+H52</f>
        <v>48.523236883094</v>
      </c>
    </row>
    <row r="53" customFormat="false" ht="15" hidden="false" customHeight="false" outlineLevel="0" collapsed="false">
      <c r="A53" s="12" t="n">
        <v>25</v>
      </c>
      <c r="B53" s="18" t="n">
        <f aca="false">IF(A53&lt;=$B$4,0,MIN(Cap_q,MAX(C_keep-(1-Delta_q)*C52,0)))</f>
        <v>1.45</v>
      </c>
      <c r="C53" s="18" t="n">
        <f aca="false">(1-Delta_q)*C52+B53</f>
        <v>58</v>
      </c>
      <c r="D53" s="18" t="n">
        <f aca="false">IF(A53&lt;=$B$4,0,Rent_58)</f>
        <v>1.45</v>
      </c>
      <c r="E53" s="18" t="n">
        <f aca="false">(1-Delta_q)*E52+D53</f>
        <v>54.7174918135544</v>
      </c>
      <c r="F53" s="18" t="n">
        <f aca="false">MIN(Cap_q,MAX(C_keep-(1-Delta_q)*G52,0))</f>
        <v>1.45</v>
      </c>
      <c r="G53" s="18" t="n">
        <f aca="false">(1-Delta_q)*G52+F53</f>
        <v>58</v>
      </c>
      <c r="H53" s="18" t="n">
        <f aca="false">Rent_58</f>
        <v>1.45</v>
      </c>
      <c r="I53" s="18" t="n">
        <f aca="false">(1-Delta_q)*I52+H53</f>
        <v>48.7601559610167</v>
      </c>
    </row>
    <row r="54" customFormat="false" ht="15" hidden="false" customHeight="false" outlineLevel="0" collapsed="false">
      <c r="A54" s="12" t="n">
        <v>26</v>
      </c>
      <c r="B54" s="18" t="n">
        <f aca="false">IF(A54&lt;=$B$4,0,MIN(Cap_q,MAX(C_keep-(1-Delta_q)*C53,0)))</f>
        <v>1.45</v>
      </c>
      <c r="C54" s="18" t="n">
        <f aca="false">(1-Delta_q)*C53+B54</f>
        <v>58</v>
      </c>
      <c r="D54" s="18" t="n">
        <f aca="false">IF(A54&lt;=$B$4,0,Rent_58)</f>
        <v>1.45</v>
      </c>
      <c r="E54" s="18" t="n">
        <f aca="false">(1-Delta_q)*E53+D54</f>
        <v>54.7995545182155</v>
      </c>
      <c r="F54" s="18" t="n">
        <f aca="false">MIN(Cap_q,MAX(C_keep-(1-Delta_q)*G53,0))</f>
        <v>1.45</v>
      </c>
      <c r="G54" s="18" t="n">
        <f aca="false">(1-Delta_q)*G53+F54</f>
        <v>58</v>
      </c>
      <c r="H54" s="18" t="n">
        <f aca="false">Rent_58</f>
        <v>1.45</v>
      </c>
      <c r="I54" s="18" t="n">
        <f aca="false">(1-Delta_q)*I53+H54</f>
        <v>48.9911520619913</v>
      </c>
    </row>
    <row r="55" customFormat="false" ht="15" hidden="false" customHeight="false" outlineLevel="0" collapsed="false">
      <c r="A55" s="12" t="n">
        <v>27</v>
      </c>
      <c r="B55" s="18" t="n">
        <f aca="false">IF(A55&lt;=$B$4,0,MIN(Cap_q,MAX(C_keep-(1-Delta_q)*C54,0)))</f>
        <v>1.45</v>
      </c>
      <c r="C55" s="18" t="n">
        <f aca="false">(1-Delta_q)*C54+B55</f>
        <v>58</v>
      </c>
      <c r="D55" s="18" t="n">
        <f aca="false">IF(A55&lt;=$B$4,0,Rent_58)</f>
        <v>1.45</v>
      </c>
      <c r="E55" s="18" t="n">
        <f aca="false">(1-Delta_q)*E54+D55</f>
        <v>54.8795656552601</v>
      </c>
      <c r="F55" s="18" t="n">
        <f aca="false">MIN(Cap_q,MAX(C_keep-(1-Delta_q)*G54,0))</f>
        <v>1.45</v>
      </c>
      <c r="G55" s="18" t="n">
        <f aca="false">(1-Delta_q)*G54+F55</f>
        <v>58</v>
      </c>
      <c r="H55" s="18" t="n">
        <f aca="false">Rent_58</f>
        <v>1.45</v>
      </c>
      <c r="I55" s="18" t="n">
        <f aca="false">(1-Delta_q)*I54+H55</f>
        <v>49.2163732604415</v>
      </c>
    </row>
    <row r="56" customFormat="false" ht="15" hidden="false" customHeight="false" outlineLevel="0" collapsed="false">
      <c r="A56" s="12" t="n">
        <v>28</v>
      </c>
      <c r="B56" s="18" t="n">
        <f aca="false">IF(A56&lt;=$B$4,0,MIN(Cap_q,MAX(C_keep-(1-Delta_q)*C55,0)))</f>
        <v>1.45</v>
      </c>
      <c r="C56" s="18" t="n">
        <f aca="false">(1-Delta_q)*C55+B56</f>
        <v>58</v>
      </c>
      <c r="D56" s="18" t="n">
        <f aca="false">IF(A56&lt;=$B$4,0,Rent_58)</f>
        <v>1.45</v>
      </c>
      <c r="E56" s="18" t="n">
        <f aca="false">(1-Delta_q)*E55+D56</f>
        <v>54.9575765138786</v>
      </c>
      <c r="F56" s="18" t="n">
        <f aca="false">MIN(Cap_q,MAX(C_keep-(1-Delta_q)*G55,0))</f>
        <v>1.45</v>
      </c>
      <c r="G56" s="18" t="n">
        <f aca="false">(1-Delta_q)*G55+F56</f>
        <v>58</v>
      </c>
      <c r="H56" s="18" t="n">
        <f aca="false">Rent_58</f>
        <v>1.45</v>
      </c>
      <c r="I56" s="18" t="n">
        <f aca="false">(1-Delta_q)*I55+H56</f>
        <v>49.4359639289305</v>
      </c>
    </row>
    <row r="57" customFormat="false" ht="15" hidden="false" customHeight="false" outlineLevel="0" collapsed="false">
      <c r="A57" s="12" t="n">
        <v>29</v>
      </c>
      <c r="B57" s="18" t="n">
        <f aca="false">IF(A57&lt;=$B$4,0,MIN(Cap_q,MAX(C_keep-(1-Delta_q)*C56,0)))</f>
        <v>1.45</v>
      </c>
      <c r="C57" s="18" t="n">
        <f aca="false">(1-Delta_q)*C56+B57</f>
        <v>58</v>
      </c>
      <c r="D57" s="18" t="n">
        <f aca="false">IF(A57&lt;=$B$4,0,Rent_58)</f>
        <v>1.45</v>
      </c>
      <c r="E57" s="18" t="n">
        <f aca="false">(1-Delta_q)*E56+D57</f>
        <v>55.0336371010317</v>
      </c>
      <c r="F57" s="18" t="n">
        <f aca="false">MIN(Cap_q,MAX(C_keep-(1-Delta_q)*G56,0))</f>
        <v>1.45</v>
      </c>
      <c r="G57" s="18" t="n">
        <f aca="false">(1-Delta_q)*G56+F57</f>
        <v>58</v>
      </c>
      <c r="H57" s="18" t="n">
        <f aca="false">Rent_58</f>
        <v>1.45</v>
      </c>
      <c r="I57" s="18" t="n">
        <f aca="false">(1-Delta_q)*I56+H57</f>
        <v>49.6500648307072</v>
      </c>
    </row>
    <row r="58" customFormat="false" ht="15" hidden="false" customHeight="false" outlineLevel="0" collapsed="false">
      <c r="A58" s="12" t="n">
        <v>30</v>
      </c>
      <c r="B58" s="18" t="n">
        <f aca="false">IF(A58&lt;=$B$4,0,MIN(Cap_q,MAX(C_keep-(1-Delta_q)*C57,0)))</f>
        <v>1.45</v>
      </c>
      <c r="C58" s="18" t="n">
        <f aca="false">(1-Delta_q)*C57+B58</f>
        <v>58</v>
      </c>
      <c r="D58" s="18" t="n">
        <f aca="false">IF(A58&lt;=$B$4,0,Rent_58)</f>
        <v>1.45</v>
      </c>
      <c r="E58" s="18" t="n">
        <f aca="false">(1-Delta_q)*E57+D58</f>
        <v>55.1077961735059</v>
      </c>
      <c r="F58" s="18" t="n">
        <f aca="false">MIN(Cap_q,MAX(C_keep-(1-Delta_q)*G57,0))</f>
        <v>1.45</v>
      </c>
      <c r="G58" s="18" t="n">
        <f aca="false">(1-Delta_q)*G57+F58</f>
        <v>58</v>
      </c>
      <c r="H58" s="18" t="n">
        <f aca="false">Rent_58</f>
        <v>1.45</v>
      </c>
      <c r="I58" s="18" t="n">
        <f aca="false">(1-Delta_q)*I57+H58</f>
        <v>49.8588132099395</v>
      </c>
    </row>
    <row r="59" customFormat="false" ht="15" hidden="false" customHeight="false" outlineLevel="0" collapsed="false">
      <c r="A59" s="12" t="n">
        <v>31</v>
      </c>
      <c r="B59" s="18" t="n">
        <f aca="false">IF(A59&lt;=$B$4,0,MIN(Cap_q,MAX(C_keep-(1-Delta_q)*C58,0)))</f>
        <v>1.45</v>
      </c>
      <c r="C59" s="18" t="n">
        <f aca="false">(1-Delta_q)*C58+B59</f>
        <v>58</v>
      </c>
      <c r="D59" s="18" t="n">
        <f aca="false">IF(A59&lt;=$B$4,0,Rent_58)</f>
        <v>1.45</v>
      </c>
      <c r="E59" s="18" t="n">
        <f aca="false">(1-Delta_q)*E58+D59</f>
        <v>55.1801012691682</v>
      </c>
      <c r="F59" s="18" t="n">
        <f aca="false">MIN(Cap_q,MAX(C_keep-(1-Delta_q)*G58,0))</f>
        <v>1.45</v>
      </c>
      <c r="G59" s="18" t="n">
        <f aca="false">(1-Delta_q)*G58+F59</f>
        <v>58</v>
      </c>
      <c r="H59" s="18" t="n">
        <f aca="false">Rent_58</f>
        <v>1.45</v>
      </c>
      <c r="I59" s="18" t="n">
        <f aca="false">(1-Delta_q)*I58+H59</f>
        <v>50.062342879691</v>
      </c>
    </row>
    <row r="60" customFormat="false" ht="15" hidden="false" customHeight="false" outlineLevel="0" collapsed="false">
      <c r="A60" s="12" t="n">
        <v>32</v>
      </c>
      <c r="B60" s="18" t="n">
        <f aca="false">IF(A60&lt;=$B$4,0,MIN(Cap_q,MAX(C_keep-(1-Delta_q)*C59,0)))</f>
        <v>1.45</v>
      </c>
      <c r="C60" s="18" t="n">
        <f aca="false">(1-Delta_q)*C59+B60</f>
        <v>58</v>
      </c>
      <c r="D60" s="18" t="n">
        <f aca="false">IF(A60&lt;=$B$4,0,Rent_58)</f>
        <v>1.45</v>
      </c>
      <c r="E60" s="18" t="n">
        <f aca="false">(1-Delta_q)*E59+D60</f>
        <v>55.250598737439</v>
      </c>
      <c r="F60" s="18" t="n">
        <f aca="false">MIN(Cap_q,MAX(C_keep-(1-Delta_q)*G59,0))</f>
        <v>1.45</v>
      </c>
      <c r="G60" s="18" t="n">
        <f aca="false">(1-Delta_q)*G59+F60</f>
        <v>58</v>
      </c>
      <c r="H60" s="18" t="n">
        <f aca="false">Rent_58</f>
        <v>1.45</v>
      </c>
      <c r="I60" s="18" t="n">
        <f aca="false">(1-Delta_q)*I59+H60</f>
        <v>50.2607843076988</v>
      </c>
    </row>
    <row r="61" customFormat="false" ht="15" hidden="false" customHeight="false" outlineLevel="0" collapsed="false">
      <c r="A61" s="12" t="n">
        <v>33</v>
      </c>
      <c r="B61" s="18" t="n">
        <f aca="false">IF(A61&lt;=$B$4,0,MIN(Cap_q,MAX(C_keep-(1-Delta_q)*C60,0)))</f>
        <v>1.45</v>
      </c>
      <c r="C61" s="18" t="n">
        <f aca="false">(1-Delta_q)*C60+B61</f>
        <v>58</v>
      </c>
      <c r="D61" s="18" t="n">
        <f aca="false">IF(A61&lt;=$B$4,0,Rent_58)</f>
        <v>1.45</v>
      </c>
      <c r="E61" s="18" t="n">
        <f aca="false">(1-Delta_q)*E60+D61</f>
        <v>55.3193337690031</v>
      </c>
      <c r="F61" s="18" t="n">
        <f aca="false">MIN(Cap_q,MAX(C_keep-(1-Delta_q)*G60,0))</f>
        <v>1.45</v>
      </c>
      <c r="G61" s="18" t="n">
        <f aca="false">(1-Delta_q)*G60+F61</f>
        <v>58</v>
      </c>
      <c r="H61" s="18" t="n">
        <f aca="false">Rent_58</f>
        <v>1.45</v>
      </c>
      <c r="I61" s="18" t="n">
        <f aca="false">(1-Delta_q)*I60+H61</f>
        <v>50.4542647000063</v>
      </c>
    </row>
    <row r="62" customFormat="false" ht="15" hidden="false" customHeight="false" outlineLevel="0" collapsed="false">
      <c r="A62" s="12" t="n">
        <v>34</v>
      </c>
      <c r="B62" s="18" t="n">
        <f aca="false">IF(A62&lt;=$B$4,0,MIN(Cap_q,MAX(C_keep-(1-Delta_q)*C61,0)))</f>
        <v>1.45</v>
      </c>
      <c r="C62" s="18" t="n">
        <f aca="false">(1-Delta_q)*C61+B62</f>
        <v>58</v>
      </c>
      <c r="D62" s="18" t="n">
        <f aca="false">IF(A62&lt;=$B$4,0,Rent_58)</f>
        <v>1.45</v>
      </c>
      <c r="E62" s="18" t="n">
        <f aca="false">(1-Delta_q)*E61+D62</f>
        <v>55.386350424778</v>
      </c>
      <c r="F62" s="18" t="n">
        <f aca="false">MIN(Cap_q,MAX(C_keep-(1-Delta_q)*G61,0))</f>
        <v>1.45</v>
      </c>
      <c r="G62" s="18" t="n">
        <f aca="false">(1-Delta_q)*G61+F62</f>
        <v>58</v>
      </c>
      <c r="H62" s="18" t="n">
        <f aca="false">Rent_58</f>
        <v>1.45</v>
      </c>
      <c r="I62" s="18" t="n">
        <f aca="false">(1-Delta_q)*I61+H62</f>
        <v>50.6429080825061</v>
      </c>
    </row>
    <row r="63" customFormat="false" ht="15" hidden="false" customHeight="false" outlineLevel="0" collapsed="false">
      <c r="A63" s="12" t="n">
        <v>35</v>
      </c>
      <c r="B63" s="18" t="n">
        <f aca="false">IF(A63&lt;=$B$4,0,MIN(Cap_q,MAX(C_keep-(1-Delta_q)*C62,0)))</f>
        <v>1.45</v>
      </c>
      <c r="C63" s="18" t="n">
        <f aca="false">(1-Delta_q)*C62+B63</f>
        <v>58</v>
      </c>
      <c r="D63" s="18" t="n">
        <f aca="false">IF(A63&lt;=$B$4,0,Rent_58)</f>
        <v>1.45</v>
      </c>
      <c r="E63" s="18" t="n">
        <f aca="false">(1-Delta_q)*E62+D63</f>
        <v>55.4516916641585</v>
      </c>
      <c r="F63" s="18" t="n">
        <f aca="false">MIN(Cap_q,MAX(C_keep-(1-Delta_q)*G62,0))</f>
        <v>1.45</v>
      </c>
      <c r="G63" s="18" t="n">
        <f aca="false">(1-Delta_q)*G62+F63</f>
        <v>58</v>
      </c>
      <c r="H63" s="18" t="n">
        <f aca="false">Rent_58</f>
        <v>1.45</v>
      </c>
      <c r="I63" s="18" t="n">
        <f aca="false">(1-Delta_q)*I62+H63</f>
        <v>50.8268353804435</v>
      </c>
    </row>
    <row r="64" customFormat="false" ht="15" hidden="false" customHeight="false" outlineLevel="0" collapsed="false">
      <c r="A64" s="12" t="n">
        <v>36</v>
      </c>
      <c r="B64" s="18" t="n">
        <f aca="false">IF(A64&lt;=$B$4,0,MIN(Cap_q,MAX(C_keep-(1-Delta_q)*C63,0)))</f>
        <v>1.45</v>
      </c>
      <c r="C64" s="18" t="n">
        <f aca="false">(1-Delta_q)*C63+B64</f>
        <v>58</v>
      </c>
      <c r="D64" s="18" t="n">
        <f aca="false">IF(A64&lt;=$B$4,0,Rent_58)</f>
        <v>1.45</v>
      </c>
      <c r="E64" s="18" t="n">
        <f aca="false">(1-Delta_q)*E63+D64</f>
        <v>55.5153993725546</v>
      </c>
      <c r="F64" s="18" t="n">
        <f aca="false">MIN(Cap_q,MAX(C_keep-(1-Delta_q)*G63,0))</f>
        <v>1.45</v>
      </c>
      <c r="G64" s="18" t="n">
        <f aca="false">(1-Delta_q)*G63+F64</f>
        <v>58</v>
      </c>
      <c r="H64" s="18" t="n">
        <f aca="false">Rent_58</f>
        <v>1.45</v>
      </c>
      <c r="I64" s="18" t="n">
        <f aca="false">(1-Delta_q)*I63+H64</f>
        <v>51.0061644959324</v>
      </c>
    </row>
    <row r="65" customFormat="false" ht="15" hidden="false" customHeight="false" outlineLevel="0" collapsed="false">
      <c r="A65" s="12" t="n">
        <v>37</v>
      </c>
      <c r="B65" s="18" t="n">
        <f aca="false">IF(A65&lt;=$B$4,0,MIN(Cap_q,MAX(C_keep-(1-Delta_q)*C64,0)))</f>
        <v>1.45</v>
      </c>
      <c r="C65" s="18" t="n">
        <f aca="false">(1-Delta_q)*C64+B65</f>
        <v>58</v>
      </c>
      <c r="D65" s="18" t="n">
        <f aca="false">IF(A65&lt;=$B$4,0,Rent_58)</f>
        <v>1.45</v>
      </c>
      <c r="E65" s="18" t="n">
        <f aca="false">(1-Delta_q)*E64+D65</f>
        <v>55.5775143882407</v>
      </c>
      <c r="F65" s="18" t="n">
        <f aca="false">MIN(Cap_q,MAX(C_keep-(1-Delta_q)*G64,0))</f>
        <v>1.45</v>
      </c>
      <c r="G65" s="18" t="n">
        <f aca="false">(1-Delta_q)*G64+F65</f>
        <v>58</v>
      </c>
      <c r="H65" s="18" t="n">
        <f aca="false">Rent_58</f>
        <v>1.45</v>
      </c>
      <c r="I65" s="18" t="n">
        <f aca="false">(1-Delta_q)*I64+H65</f>
        <v>51.1810103835341</v>
      </c>
    </row>
    <row r="66" customFormat="false" ht="15" hidden="false" customHeight="false" outlineLevel="0" collapsed="false">
      <c r="A66" s="12" t="n">
        <v>38</v>
      </c>
      <c r="B66" s="18" t="n">
        <f aca="false">IF(A66&lt;=$B$4,0,MIN(Cap_q,MAX(C_keep-(1-Delta_q)*C65,0)))</f>
        <v>1.45</v>
      </c>
      <c r="C66" s="18" t="n">
        <f aca="false">(1-Delta_q)*C65+B66</f>
        <v>58</v>
      </c>
      <c r="D66" s="18" t="n">
        <f aca="false">IF(A66&lt;=$B$4,0,Rent_58)</f>
        <v>1.45</v>
      </c>
      <c r="E66" s="18" t="n">
        <f aca="false">(1-Delta_q)*E65+D66</f>
        <v>55.6380765285347</v>
      </c>
      <c r="F66" s="18" t="n">
        <f aca="false">MIN(Cap_q,MAX(C_keep-(1-Delta_q)*G65,0))</f>
        <v>1.45</v>
      </c>
      <c r="G66" s="18" t="n">
        <f aca="false">(1-Delta_q)*G65+F66</f>
        <v>58</v>
      </c>
      <c r="H66" s="18" t="n">
        <f aca="false">Rent_58</f>
        <v>1.45</v>
      </c>
      <c r="I66" s="18" t="n">
        <f aca="false">(1-Delta_q)*I65+H66</f>
        <v>51.3514851239457</v>
      </c>
    </row>
    <row r="67" customFormat="false" ht="15" hidden="false" customHeight="false" outlineLevel="0" collapsed="false">
      <c r="A67" s="12" t="n">
        <v>39</v>
      </c>
      <c r="B67" s="18" t="n">
        <f aca="false">IF(A67&lt;=$B$4,0,MIN(Cap_q,MAX(C_keep-(1-Delta_q)*C66,0)))</f>
        <v>1.45</v>
      </c>
      <c r="C67" s="18" t="n">
        <f aca="false">(1-Delta_q)*C66+B67</f>
        <v>58</v>
      </c>
      <c r="D67" s="18" t="n">
        <f aca="false">IF(A67&lt;=$B$4,0,Rent_58)</f>
        <v>1.45</v>
      </c>
      <c r="E67" s="18" t="n">
        <f aca="false">(1-Delta_q)*E66+D67</f>
        <v>55.6971246153213</v>
      </c>
      <c r="F67" s="18" t="n">
        <f aca="false">MIN(Cap_q,MAX(C_keep-(1-Delta_q)*G66,0))</f>
        <v>1.45</v>
      </c>
      <c r="G67" s="18" t="n">
        <f aca="false">(1-Delta_q)*G66+F67</f>
        <v>58</v>
      </c>
      <c r="H67" s="18" t="n">
        <f aca="false">Rent_58</f>
        <v>1.45</v>
      </c>
      <c r="I67" s="18" t="n">
        <f aca="false">(1-Delta_q)*I66+H67</f>
        <v>51.5176979958471</v>
      </c>
    </row>
    <row r="68" customFormat="false" ht="15" hidden="false" customHeight="false" outlineLevel="0" collapsed="false">
      <c r="A68" s="12" t="n">
        <v>40</v>
      </c>
      <c r="B68" s="18" t="n">
        <f aca="false">IF(A68&lt;=$B$4,0,MIN(Cap_q,MAX(C_keep-(1-Delta_q)*C67,0)))</f>
        <v>1.45</v>
      </c>
      <c r="C68" s="18" t="n">
        <f aca="false">(1-Delta_q)*C67+B68</f>
        <v>58</v>
      </c>
      <c r="D68" s="18" t="n">
        <f aca="false">IF(A68&lt;=$B$4,0,Rent_58)</f>
        <v>1.45</v>
      </c>
      <c r="E68" s="18" t="n">
        <f aca="false">(1-Delta_q)*E67+D68</f>
        <v>55.7546964999383</v>
      </c>
      <c r="F68" s="18" t="n">
        <f aca="false">MIN(Cap_q,MAX(C_keep-(1-Delta_q)*G67,0))</f>
        <v>1.45</v>
      </c>
      <c r="G68" s="18" t="n">
        <f aca="false">(1-Delta_q)*G67+F68</f>
        <v>58</v>
      </c>
      <c r="H68" s="18" t="n">
        <f aca="false">Rent_58</f>
        <v>1.45</v>
      </c>
      <c r="I68" s="18" t="n">
        <f aca="false">(1-Delta_q)*I67+H68</f>
        <v>51.6797555459509</v>
      </c>
    </row>
    <row r="69" customFormat="false" ht="15" hidden="false" customHeight="false" outlineLevel="0" collapsed="false">
      <c r="A69" s="12" t="n">
        <v>41</v>
      </c>
      <c r="B69" s="18" t="n">
        <f aca="false">IF(A69&lt;=$B$4,0,MIN(Cap_q,MAX(C_keep-(1-Delta_q)*C68,0)))</f>
        <v>1.45</v>
      </c>
      <c r="C69" s="18" t="n">
        <f aca="false">(1-Delta_q)*C68+B69</f>
        <v>58</v>
      </c>
      <c r="D69" s="18" t="n">
        <f aca="false">IF(A69&lt;=$B$4,0,Rent_58)</f>
        <v>1.45</v>
      </c>
      <c r="E69" s="18" t="n">
        <f aca="false">(1-Delta_q)*E68+D69</f>
        <v>55.8108290874398</v>
      </c>
      <c r="F69" s="18" t="n">
        <f aca="false">MIN(Cap_q,MAX(C_keep-(1-Delta_q)*G68,0))</f>
        <v>1.45</v>
      </c>
      <c r="G69" s="18" t="n">
        <f aca="false">(1-Delta_q)*G68+F69</f>
        <v>58</v>
      </c>
      <c r="H69" s="18" t="n">
        <f aca="false">Rent_58</f>
        <v>1.45</v>
      </c>
      <c r="I69" s="18" t="n">
        <f aca="false">(1-Delta_q)*I68+H69</f>
        <v>51.8377616573021</v>
      </c>
    </row>
    <row r="70" customFormat="false" ht="15" hidden="false" customHeight="false" outlineLevel="0" collapsed="false">
      <c r="A70" s="12" t="n">
        <v>42</v>
      </c>
      <c r="B70" s="18" t="n">
        <f aca="false">IF(A70&lt;=$B$4,0,MIN(Cap_q,MAX(C_keep-(1-Delta_q)*C69,0)))</f>
        <v>1.45</v>
      </c>
      <c r="C70" s="18" t="n">
        <f aca="false">(1-Delta_q)*C69+B70</f>
        <v>58</v>
      </c>
      <c r="D70" s="18" t="n">
        <f aca="false">IF(A70&lt;=$B$4,0,Rent_58)</f>
        <v>1.45</v>
      </c>
      <c r="E70" s="18" t="n">
        <f aca="false">(1-Delta_q)*E69+D70</f>
        <v>55.8655583602538</v>
      </c>
      <c r="F70" s="18" t="n">
        <f aca="false">MIN(Cap_q,MAX(C_keep-(1-Delta_q)*G69,0))</f>
        <v>1.45</v>
      </c>
      <c r="G70" s="18" t="n">
        <f aca="false">(1-Delta_q)*G69+F70</f>
        <v>58</v>
      </c>
      <c r="H70" s="18" t="n">
        <f aca="false">Rent_58</f>
        <v>1.45</v>
      </c>
      <c r="I70" s="18" t="n">
        <f aca="false">(1-Delta_q)*I69+H70</f>
        <v>51.9918176158696</v>
      </c>
    </row>
    <row r="71" customFormat="false" ht="15" hidden="false" customHeight="false" outlineLevel="0" collapsed="false">
      <c r="A71" s="12" t="n">
        <v>43</v>
      </c>
      <c r="B71" s="18" t="n">
        <f aca="false">IF(A71&lt;=$B$4,0,MIN(Cap_q,MAX(C_keep-(1-Delta_q)*C70,0)))</f>
        <v>1.45</v>
      </c>
      <c r="C71" s="18" t="n">
        <f aca="false">(1-Delta_q)*C70+B71</f>
        <v>58</v>
      </c>
      <c r="D71" s="18" t="n">
        <f aca="false">IF(A71&lt;=$B$4,0,Rent_58)</f>
        <v>1.45</v>
      </c>
      <c r="E71" s="18" t="n">
        <f aca="false">(1-Delta_q)*E70+D71</f>
        <v>55.9189194012475</v>
      </c>
      <c r="F71" s="18" t="n">
        <f aca="false">MIN(Cap_q,MAX(C_keep-(1-Delta_q)*G70,0))</f>
        <v>1.45</v>
      </c>
      <c r="G71" s="18" t="n">
        <f aca="false">(1-Delta_q)*G70+F71</f>
        <v>58</v>
      </c>
      <c r="H71" s="18" t="n">
        <f aca="false">Rent_58</f>
        <v>1.45</v>
      </c>
      <c r="I71" s="18" t="n">
        <f aca="false">(1-Delta_q)*I70+H71</f>
        <v>52.1420221754729</v>
      </c>
    </row>
    <row r="72" customFormat="false" ht="15" hidden="false" customHeight="false" outlineLevel="0" collapsed="false">
      <c r="A72" s="12" t="n">
        <v>44</v>
      </c>
      <c r="B72" s="18" t="n">
        <f aca="false">IF(A72&lt;=$B$4,0,MIN(Cap_q,MAX(C_keep-(1-Delta_q)*C71,0)))</f>
        <v>1.45</v>
      </c>
      <c r="C72" s="18" t="n">
        <f aca="false">(1-Delta_q)*C71+B72</f>
        <v>58</v>
      </c>
      <c r="D72" s="18" t="n">
        <f aca="false">IF(A72&lt;=$B$4,0,Rent_58)</f>
        <v>1.45</v>
      </c>
      <c r="E72" s="18" t="n">
        <f aca="false">(1-Delta_q)*E71+D72</f>
        <v>55.9709464162163</v>
      </c>
      <c r="F72" s="18" t="n">
        <f aca="false">MIN(Cap_q,MAX(C_keep-(1-Delta_q)*G71,0))</f>
        <v>1.45</v>
      </c>
      <c r="G72" s="18" t="n">
        <f aca="false">(1-Delta_q)*G71+F72</f>
        <v>58</v>
      </c>
      <c r="H72" s="18" t="n">
        <f aca="false">Rent_58</f>
        <v>1.45</v>
      </c>
      <c r="I72" s="18" t="n">
        <f aca="false">(1-Delta_q)*I71+H72</f>
        <v>52.288471621086</v>
      </c>
    </row>
    <row r="73" customFormat="false" ht="15" hidden="false" customHeight="false" outlineLevel="0" collapsed="false">
      <c r="A73" s="12" t="n">
        <v>45</v>
      </c>
      <c r="B73" s="18" t="n">
        <f aca="false">IF(A73&lt;=$B$4,0,MIN(Cap_q,MAX(C_keep-(1-Delta_q)*C72,0)))</f>
        <v>1.45</v>
      </c>
      <c r="C73" s="18" t="n">
        <f aca="false">(1-Delta_q)*C72+B73</f>
        <v>58</v>
      </c>
      <c r="D73" s="18" t="n">
        <f aca="false">IF(A73&lt;=$B$4,0,Rent_58)</f>
        <v>1.45</v>
      </c>
      <c r="E73" s="18" t="n">
        <f aca="false">(1-Delta_q)*E72+D73</f>
        <v>56.0216727558109</v>
      </c>
      <c r="F73" s="18" t="n">
        <f aca="false">MIN(Cap_q,MAX(C_keep-(1-Delta_q)*G72,0))</f>
        <v>1.45</v>
      </c>
      <c r="G73" s="18" t="n">
        <f aca="false">(1-Delta_q)*G72+F73</f>
        <v>58</v>
      </c>
      <c r="H73" s="18" t="n">
        <f aca="false">Rent_58</f>
        <v>1.45</v>
      </c>
      <c r="I73" s="18" t="n">
        <f aca="false">(1-Delta_q)*I72+H73</f>
        <v>52.4312598305589</v>
      </c>
    </row>
    <row r="74" customFormat="false" ht="15" hidden="false" customHeight="false" outlineLevel="0" collapsed="false">
      <c r="A74" s="12" t="n">
        <v>46</v>
      </c>
      <c r="B74" s="18" t="n">
        <f aca="false">IF(A74&lt;=$B$4,0,MIN(Cap_q,MAX(C_keep-(1-Delta_q)*C73,0)))</f>
        <v>1.45</v>
      </c>
      <c r="C74" s="18" t="n">
        <f aca="false">(1-Delta_q)*C73+B74</f>
        <v>58</v>
      </c>
      <c r="D74" s="18" t="n">
        <f aca="false">IF(A74&lt;=$B$4,0,Rent_58)</f>
        <v>1.45</v>
      </c>
      <c r="E74" s="18" t="n">
        <f aca="false">(1-Delta_q)*E73+D74</f>
        <v>56.0711309369156</v>
      </c>
      <c r="F74" s="18" t="n">
        <f aca="false">MIN(Cap_q,MAX(C_keep-(1-Delta_q)*G73,0))</f>
        <v>1.45</v>
      </c>
      <c r="G74" s="18" t="n">
        <f aca="false">(1-Delta_q)*G73+F74</f>
        <v>58</v>
      </c>
      <c r="H74" s="18" t="n">
        <f aca="false">Rent_58</f>
        <v>1.45</v>
      </c>
      <c r="I74" s="18" t="n">
        <f aca="false">(1-Delta_q)*I73+H74</f>
        <v>52.5704783347949</v>
      </c>
    </row>
    <row r="75" customFormat="false" ht="15" hidden="false" customHeight="false" outlineLevel="0" collapsed="false">
      <c r="A75" s="12" t="n">
        <v>47</v>
      </c>
      <c r="B75" s="18" t="n">
        <f aca="false">IF(A75&lt;=$B$4,0,MIN(Cap_q,MAX(C_keep-(1-Delta_q)*C74,0)))</f>
        <v>1.45</v>
      </c>
      <c r="C75" s="18" t="n">
        <f aca="false">(1-Delta_q)*C74+B75</f>
        <v>58</v>
      </c>
      <c r="D75" s="18" t="n">
        <f aca="false">IF(A75&lt;=$B$4,0,Rent_58)</f>
        <v>1.45</v>
      </c>
      <c r="E75" s="18" t="n">
        <f aca="false">(1-Delta_q)*E74+D75</f>
        <v>56.1193526634928</v>
      </c>
      <c r="F75" s="18" t="n">
        <f aca="false">MIN(Cap_q,MAX(C_keep-(1-Delta_q)*G74,0))</f>
        <v>1.45</v>
      </c>
      <c r="G75" s="18" t="n">
        <f aca="false">(1-Delta_q)*G74+F75</f>
        <v>58</v>
      </c>
      <c r="H75" s="18" t="n">
        <f aca="false">Rent_58</f>
        <v>1.45</v>
      </c>
      <c r="I75" s="18" t="n">
        <f aca="false">(1-Delta_q)*I74+H75</f>
        <v>52.706216376425</v>
      </c>
    </row>
    <row r="76" customFormat="false" ht="15" hidden="false" customHeight="false" outlineLevel="0" collapsed="false">
      <c r="A76" s="12" t="n">
        <v>48</v>
      </c>
      <c r="B76" s="18" t="n">
        <f aca="false">IF(A76&lt;=$B$4,0,MIN(Cap_q,MAX(C_keep-(1-Delta_q)*C75,0)))</f>
        <v>1.45</v>
      </c>
      <c r="C76" s="18" t="n">
        <f aca="false">(1-Delta_q)*C75+B76</f>
        <v>58</v>
      </c>
      <c r="D76" s="18" t="n">
        <f aca="false">IF(A76&lt;=$B$4,0,Rent_58)</f>
        <v>1.45</v>
      </c>
      <c r="E76" s="18" t="n">
        <f aca="false">(1-Delta_q)*E75+D76</f>
        <v>56.1663688469054</v>
      </c>
      <c r="F76" s="18" t="n">
        <f aca="false">MIN(Cap_q,MAX(C_keep-(1-Delta_q)*G75,0))</f>
        <v>1.45</v>
      </c>
      <c r="G76" s="18" t="n">
        <f aca="false">(1-Delta_q)*G75+F76</f>
        <v>58</v>
      </c>
      <c r="H76" s="18" t="n">
        <f aca="false">Rent_58</f>
        <v>1.45</v>
      </c>
      <c r="I76" s="18" t="n">
        <f aca="false">(1-Delta_q)*I75+H76</f>
        <v>52.8385609670144</v>
      </c>
    </row>
    <row r="77" customFormat="false" ht="15" hidden="false" customHeight="false" outlineLevel="0" collapsed="false">
      <c r="A77" s="12" t="n">
        <v>49</v>
      </c>
      <c r="B77" s="18" t="n">
        <f aca="false">IF(A77&lt;=$B$4,0,MIN(Cap_q,MAX(C_keep-(1-Delta_q)*C76,0)))</f>
        <v>1.45</v>
      </c>
      <c r="C77" s="18" t="n">
        <f aca="false">(1-Delta_q)*C76+B77</f>
        <v>58</v>
      </c>
      <c r="D77" s="18" t="n">
        <f aca="false">IF(A77&lt;=$B$4,0,Rent_58)</f>
        <v>1.45</v>
      </c>
      <c r="E77" s="18" t="n">
        <f aca="false">(1-Delta_q)*E76+D77</f>
        <v>56.2122096257328</v>
      </c>
      <c r="F77" s="18" t="n">
        <f aca="false">MIN(Cap_q,MAX(C_keep-(1-Delta_q)*G76,0))</f>
        <v>1.45</v>
      </c>
      <c r="G77" s="18" t="n">
        <f aca="false">(1-Delta_q)*G76+F77</f>
        <v>58</v>
      </c>
      <c r="H77" s="18" t="n">
        <f aca="false">Rent_58</f>
        <v>1.45</v>
      </c>
      <c r="I77" s="18" t="n">
        <f aca="false">(1-Delta_q)*I76+H77</f>
        <v>52.9675969428391</v>
      </c>
    </row>
    <row r="78" customFormat="false" ht="15" hidden="false" customHeight="false" outlineLevel="0" collapsed="false">
      <c r="A78" s="12" t="n">
        <v>50</v>
      </c>
      <c r="B78" s="18" t="n">
        <f aca="false">IF(A78&lt;=$B$4,0,MIN(Cap_q,MAX(C_keep-(1-Delta_q)*C77,0)))</f>
        <v>1.45</v>
      </c>
      <c r="C78" s="18" t="n">
        <f aca="false">(1-Delta_q)*C77+B78</f>
        <v>58</v>
      </c>
      <c r="D78" s="18" t="n">
        <f aca="false">IF(A78&lt;=$B$4,0,Rent_58)</f>
        <v>1.45</v>
      </c>
      <c r="E78" s="18" t="n">
        <f aca="false">(1-Delta_q)*E77+D78</f>
        <v>56.2569043850895</v>
      </c>
      <c r="F78" s="18" t="n">
        <f aca="false">MIN(Cap_q,MAX(C_keep-(1-Delta_q)*G77,0))</f>
        <v>1.45</v>
      </c>
      <c r="G78" s="18" t="n">
        <f aca="false">(1-Delta_q)*G77+F78</f>
        <v>58</v>
      </c>
      <c r="H78" s="18" t="n">
        <f aca="false">Rent_58</f>
        <v>1.45</v>
      </c>
      <c r="I78" s="18" t="n">
        <f aca="false">(1-Delta_q)*I77+H78</f>
        <v>53.0934070192681</v>
      </c>
    </row>
    <row r="79" customFormat="false" ht="15" hidden="false" customHeight="false" outlineLevel="0" collapsed="false">
      <c r="A79" s="12" t="n">
        <v>51</v>
      </c>
      <c r="B79" s="18" t="n">
        <f aca="false">IF(A79&lt;=$B$4,0,MIN(Cap_q,MAX(C_keep-(1-Delta_q)*C78,0)))</f>
        <v>1.45</v>
      </c>
      <c r="C79" s="18" t="n">
        <f aca="false">(1-Delta_q)*C78+B79</f>
        <v>58</v>
      </c>
      <c r="D79" s="18" t="n">
        <f aca="false">IF(A79&lt;=$B$4,0,Rent_58)</f>
        <v>1.45</v>
      </c>
      <c r="E79" s="18" t="n">
        <f aca="false">(1-Delta_q)*E78+D79</f>
        <v>56.3004817754622</v>
      </c>
      <c r="F79" s="18" t="n">
        <f aca="false">MIN(Cap_q,MAX(C_keep-(1-Delta_q)*G78,0))</f>
        <v>1.45</v>
      </c>
      <c r="G79" s="18" t="n">
        <f aca="false">(1-Delta_q)*G78+F79</f>
        <v>58</v>
      </c>
      <c r="H79" s="18" t="n">
        <f aca="false">Rent_58</f>
        <v>1.45</v>
      </c>
      <c r="I79" s="18" t="n">
        <f aca="false">(1-Delta_q)*I78+H79</f>
        <v>53.2160718437864</v>
      </c>
    </row>
    <row r="80" customFormat="false" ht="15" hidden="false" customHeight="false" outlineLevel="0" collapsed="false">
      <c r="A80" s="12" t="n">
        <v>52</v>
      </c>
      <c r="B80" s="18" t="n">
        <f aca="false">IF(A80&lt;=$B$4,0,MIN(Cap_q,MAX(C_keep-(1-Delta_q)*C79,0)))</f>
        <v>1.45</v>
      </c>
      <c r="C80" s="18" t="n">
        <f aca="false">(1-Delta_q)*C79+B80</f>
        <v>58</v>
      </c>
      <c r="D80" s="18" t="n">
        <f aca="false">IF(A80&lt;=$B$4,0,Rent_58)</f>
        <v>1.45</v>
      </c>
      <c r="E80" s="18" t="n">
        <f aca="false">(1-Delta_q)*E79+D80</f>
        <v>56.3429697310757</v>
      </c>
      <c r="F80" s="18" t="n">
        <f aca="false">MIN(Cap_q,MAX(C_keep-(1-Delta_q)*G79,0))</f>
        <v>1.45</v>
      </c>
      <c r="G80" s="18" t="n">
        <f aca="false">(1-Delta_q)*G79+F80</f>
        <v>58</v>
      </c>
      <c r="H80" s="18" t="n">
        <f aca="false">Rent_58</f>
        <v>1.45</v>
      </c>
      <c r="I80" s="18" t="n">
        <f aca="false">(1-Delta_q)*I79+H80</f>
        <v>53.3356700476917</v>
      </c>
    </row>
    <row r="81" customFormat="false" ht="15" hidden="false" customHeight="false" outlineLevel="0" collapsed="false">
      <c r="A81" s="12" t="n">
        <v>53</v>
      </c>
      <c r="B81" s="18" t="n">
        <f aca="false">IF(A81&lt;=$B$4,0,MIN(Cap_q,MAX(C_keep-(1-Delta_q)*C80,0)))</f>
        <v>1.45</v>
      </c>
      <c r="C81" s="18" t="n">
        <f aca="false">(1-Delta_q)*C80+B81</f>
        <v>58</v>
      </c>
      <c r="D81" s="18" t="n">
        <f aca="false">IF(A81&lt;=$B$4,0,Rent_58)</f>
        <v>1.45</v>
      </c>
      <c r="E81" s="18" t="n">
        <f aca="false">(1-Delta_q)*E80+D81</f>
        <v>56.3843954877988</v>
      </c>
      <c r="F81" s="18" t="n">
        <f aca="false">MIN(Cap_q,MAX(C_keep-(1-Delta_q)*G80,0))</f>
        <v>1.45</v>
      </c>
      <c r="G81" s="18" t="n">
        <f aca="false">(1-Delta_q)*G80+F81</f>
        <v>58</v>
      </c>
      <c r="H81" s="18" t="n">
        <f aca="false">Rent_58</f>
        <v>1.45</v>
      </c>
      <c r="I81" s="18" t="n">
        <f aca="false">(1-Delta_q)*I80+H81</f>
        <v>53.4522782964994</v>
      </c>
    </row>
    <row r="82" customFormat="false" ht="15" hidden="false" customHeight="false" outlineLevel="0" collapsed="false">
      <c r="A82" s="12" t="n">
        <v>54</v>
      </c>
      <c r="B82" s="18" t="n">
        <f aca="false">IF(A82&lt;=$B$4,0,MIN(Cap_q,MAX(C_keep-(1-Delta_q)*C81,0)))</f>
        <v>1.45</v>
      </c>
      <c r="C82" s="18" t="n">
        <f aca="false">(1-Delta_q)*C81+B82</f>
        <v>58</v>
      </c>
      <c r="D82" s="18" t="n">
        <f aca="false">IF(A82&lt;=$B$4,0,Rent_58)</f>
        <v>1.45</v>
      </c>
      <c r="E82" s="18" t="n">
        <f aca="false">(1-Delta_q)*E81+D82</f>
        <v>56.4247856006038</v>
      </c>
      <c r="F82" s="18" t="n">
        <f aca="false">MIN(Cap_q,MAX(C_keep-(1-Delta_q)*G81,0))</f>
        <v>1.45</v>
      </c>
      <c r="G82" s="18" t="n">
        <f aca="false">(1-Delta_q)*G81+F82</f>
        <v>58</v>
      </c>
      <c r="H82" s="18" t="n">
        <f aca="false">Rent_58</f>
        <v>1.45</v>
      </c>
      <c r="I82" s="18" t="n">
        <f aca="false">(1-Delta_q)*I81+H82</f>
        <v>53.5659713390869</v>
      </c>
    </row>
    <row r="83" customFormat="false" ht="15" hidden="false" customHeight="false" outlineLevel="0" collapsed="false">
      <c r="A83" s="12" t="n">
        <v>55</v>
      </c>
      <c r="B83" s="18" t="n">
        <f aca="false">IF(A83&lt;=$B$4,0,MIN(Cap_q,MAX(C_keep-(1-Delta_q)*C82,0)))</f>
        <v>1.45</v>
      </c>
      <c r="C83" s="18" t="n">
        <f aca="false">(1-Delta_q)*C82+B83</f>
        <v>58</v>
      </c>
      <c r="D83" s="18" t="n">
        <f aca="false">IF(A83&lt;=$B$4,0,Rent_58)</f>
        <v>1.45</v>
      </c>
      <c r="E83" s="18" t="n">
        <f aca="false">(1-Delta_q)*E82+D83</f>
        <v>56.4641659605887</v>
      </c>
      <c r="F83" s="18" t="n">
        <f aca="false">MIN(Cap_q,MAX(C_keep-(1-Delta_q)*G82,0))</f>
        <v>1.45</v>
      </c>
      <c r="G83" s="18" t="n">
        <f aca="false">(1-Delta_q)*G82+F83</f>
        <v>58</v>
      </c>
      <c r="H83" s="18" t="n">
        <f aca="false">Rent_58</f>
        <v>1.45</v>
      </c>
      <c r="I83" s="18" t="n">
        <f aca="false">(1-Delta_q)*I82+H83</f>
        <v>53.6768220556098</v>
      </c>
    </row>
    <row r="84" customFormat="false" ht="15" hidden="false" customHeight="false" outlineLevel="0" collapsed="false">
      <c r="A84" s="12" t="n">
        <v>56</v>
      </c>
      <c r="B84" s="18" t="n">
        <f aca="false">IF(A84&lt;=$B$4,0,MIN(Cap_q,MAX(C_keep-(1-Delta_q)*C83,0)))</f>
        <v>1.45</v>
      </c>
      <c r="C84" s="18" t="n">
        <f aca="false">(1-Delta_q)*C83+B84</f>
        <v>58</v>
      </c>
      <c r="D84" s="18" t="n">
        <f aca="false">IF(A84&lt;=$B$4,0,Rent_58)</f>
        <v>1.45</v>
      </c>
      <c r="E84" s="18" t="n">
        <f aca="false">(1-Delta_q)*E83+D84</f>
        <v>56.502561811574</v>
      </c>
      <c r="F84" s="18" t="n">
        <f aca="false">MIN(Cap_q,MAX(C_keep-(1-Delta_q)*G83,0))</f>
        <v>1.45</v>
      </c>
      <c r="G84" s="18" t="n">
        <f aca="false">(1-Delta_q)*G83+F84</f>
        <v>58</v>
      </c>
      <c r="H84" s="18" t="n">
        <f aca="false">Rent_58</f>
        <v>1.45</v>
      </c>
      <c r="I84" s="18" t="n">
        <f aca="false">(1-Delta_q)*I83+H84</f>
        <v>53.7849015042195</v>
      </c>
    </row>
    <row r="85" customFormat="false" ht="15" hidden="false" customHeight="false" outlineLevel="0" collapsed="false">
      <c r="A85" s="12" t="n">
        <v>57</v>
      </c>
      <c r="B85" s="18" t="n">
        <f aca="false">IF(A85&lt;=$B$4,0,MIN(Cap_q,MAX(C_keep-(1-Delta_q)*C84,0)))</f>
        <v>1.45</v>
      </c>
      <c r="C85" s="18" t="n">
        <f aca="false">(1-Delta_q)*C84+B85</f>
        <v>58</v>
      </c>
      <c r="D85" s="18" t="n">
        <f aca="false">IF(A85&lt;=$B$4,0,Rent_58)</f>
        <v>1.45</v>
      </c>
      <c r="E85" s="18" t="n">
        <f aca="false">(1-Delta_q)*E84+D85</f>
        <v>56.5399977662847</v>
      </c>
      <c r="F85" s="18" t="n">
        <f aca="false">MIN(Cap_q,MAX(C_keep-(1-Delta_q)*G84,0))</f>
        <v>1.45</v>
      </c>
      <c r="G85" s="18" t="n">
        <f aca="false">(1-Delta_q)*G84+F85</f>
        <v>58</v>
      </c>
      <c r="H85" s="18" t="n">
        <f aca="false">Rent_58</f>
        <v>1.45</v>
      </c>
      <c r="I85" s="18" t="n">
        <f aca="false">(1-Delta_q)*I84+H85</f>
        <v>53.890278966614</v>
      </c>
    </row>
    <row r="86" customFormat="false" ht="15" hidden="false" customHeight="false" outlineLevel="0" collapsed="false">
      <c r="A86" s="12" t="n">
        <v>58</v>
      </c>
      <c r="B86" s="18" t="n">
        <f aca="false">IF(A86&lt;=$B$4,0,MIN(Cap_q,MAX(C_keep-(1-Delta_q)*C85,0)))</f>
        <v>1.45</v>
      </c>
      <c r="C86" s="18" t="n">
        <f aca="false">(1-Delta_q)*C85+B86</f>
        <v>58</v>
      </c>
      <c r="D86" s="18" t="n">
        <f aca="false">IF(A86&lt;=$B$4,0,Rent_58)</f>
        <v>1.45</v>
      </c>
      <c r="E86" s="18" t="n">
        <f aca="false">(1-Delta_q)*E85+D86</f>
        <v>56.5764978221276</v>
      </c>
      <c r="F86" s="18" t="n">
        <f aca="false">MIN(Cap_q,MAX(C_keep-(1-Delta_q)*G85,0))</f>
        <v>1.45</v>
      </c>
      <c r="G86" s="18" t="n">
        <f aca="false">(1-Delta_q)*G85+F86</f>
        <v>58</v>
      </c>
      <c r="H86" s="18" t="n">
        <f aca="false">Rent_58</f>
        <v>1.45</v>
      </c>
      <c r="I86" s="18" t="n">
        <f aca="false">(1-Delta_q)*I85+H86</f>
        <v>53.9930219924487</v>
      </c>
    </row>
    <row r="87" customFormat="false" ht="15" hidden="false" customHeight="false" outlineLevel="0" collapsed="false">
      <c r="A87" s="12" t="n">
        <v>59</v>
      </c>
      <c r="B87" s="18" t="n">
        <f aca="false">IF(A87&lt;=$B$4,0,MIN(Cap_q,MAX(C_keep-(1-Delta_q)*C86,0)))</f>
        <v>1.45</v>
      </c>
      <c r="C87" s="18" t="n">
        <f aca="false">(1-Delta_q)*C86+B87</f>
        <v>58</v>
      </c>
      <c r="D87" s="18" t="n">
        <f aca="false">IF(A87&lt;=$B$4,0,Rent_58)</f>
        <v>1.45</v>
      </c>
      <c r="E87" s="18" t="n">
        <f aca="false">(1-Delta_q)*E86+D87</f>
        <v>56.6120853765744</v>
      </c>
      <c r="F87" s="18" t="n">
        <f aca="false">MIN(Cap_q,MAX(C_keep-(1-Delta_q)*G86,0))</f>
        <v>1.45</v>
      </c>
      <c r="G87" s="18" t="n">
        <f aca="false">(1-Delta_q)*G86+F87</f>
        <v>58</v>
      </c>
      <c r="H87" s="18" t="n">
        <f aca="false">Rent_58</f>
        <v>1.45</v>
      </c>
      <c r="I87" s="18" t="n">
        <f aca="false">(1-Delta_q)*I86+H87</f>
        <v>54.0931964426375</v>
      </c>
    </row>
    <row r="88" customFormat="false" ht="15" hidden="false" customHeight="false" outlineLevel="0" collapsed="false">
      <c r="A88" s="12" t="n">
        <v>60</v>
      </c>
      <c r="B88" s="18" t="n">
        <f aca="false">IF(A88&lt;=$B$4,0,MIN(Cap_q,MAX(C_keep-(1-Delta_q)*C87,0)))</f>
        <v>1.45</v>
      </c>
      <c r="C88" s="18" t="n">
        <f aca="false">(1-Delta_q)*C87+B88</f>
        <v>58</v>
      </c>
      <c r="D88" s="18" t="n">
        <f aca="false">IF(A88&lt;=$B$4,0,Rent_58)</f>
        <v>1.45</v>
      </c>
      <c r="E88" s="18" t="n">
        <f aca="false">(1-Delta_q)*E87+D88</f>
        <v>56.64678324216</v>
      </c>
      <c r="F88" s="18" t="n">
        <f aca="false">MIN(Cap_q,MAX(C_keep-(1-Delta_q)*G87,0))</f>
        <v>1.45</v>
      </c>
      <c r="G88" s="18" t="n">
        <f aca="false">(1-Delta_q)*G87+F88</f>
        <v>58</v>
      </c>
      <c r="H88" s="18" t="n">
        <f aca="false">Rent_58</f>
        <v>1.45</v>
      </c>
      <c r="I88" s="18" t="n">
        <f aca="false">(1-Delta_q)*I87+H88</f>
        <v>54.1908665315715</v>
      </c>
    </row>
    <row r="89" customFormat="false" ht="15" hidden="false" customHeight="false" outlineLevel="0" collapsed="false">
      <c r="A89" s="12" t="n">
        <v>61</v>
      </c>
      <c r="B89" s="18" t="n">
        <f aca="false">IF(A89&lt;=$B$4,0,MIN(Cap_q,MAX(C_keep-(1-Delta_q)*C88,0)))</f>
        <v>1.45</v>
      </c>
      <c r="C89" s="18" t="n">
        <f aca="false">(1-Delta_q)*C88+B89</f>
        <v>58</v>
      </c>
      <c r="D89" s="18" t="n">
        <f aca="false">IF(A89&lt;=$B$4,0,Rent_58)</f>
        <v>1.45</v>
      </c>
      <c r="E89" s="18" t="n">
        <f aca="false">(1-Delta_q)*E88+D89</f>
        <v>56.680613661106</v>
      </c>
      <c r="F89" s="18" t="n">
        <f aca="false">MIN(Cap_q,MAX(C_keep-(1-Delta_q)*G88,0))</f>
        <v>1.45</v>
      </c>
      <c r="G89" s="18" t="n">
        <f aca="false">(1-Delta_q)*G88+F89</f>
        <v>58</v>
      </c>
      <c r="H89" s="18" t="n">
        <f aca="false">Rent_58</f>
        <v>1.45</v>
      </c>
      <c r="I89" s="18" t="n">
        <f aca="false">(1-Delta_q)*I88+H89</f>
        <v>54.2860948682823</v>
      </c>
    </row>
    <row r="90" customFormat="false" ht="15" hidden="false" customHeight="false" outlineLevel="0" collapsed="false">
      <c r="A90" s="12" t="n">
        <v>62</v>
      </c>
      <c r="B90" s="18" t="n">
        <f aca="false">IF(A90&lt;=$B$4,0,MIN(Cap_q,MAX(C_keep-(1-Delta_q)*C89,0)))</f>
        <v>1.45</v>
      </c>
      <c r="C90" s="18" t="n">
        <f aca="false">(1-Delta_q)*C89+B90</f>
        <v>58</v>
      </c>
      <c r="D90" s="18" t="n">
        <f aca="false">IF(A90&lt;=$B$4,0,Rent_58)</f>
        <v>1.45</v>
      </c>
      <c r="E90" s="18" t="n">
        <f aca="false">(1-Delta_q)*E89+D90</f>
        <v>56.7135983195784</v>
      </c>
      <c r="F90" s="18" t="n">
        <f aca="false">MIN(Cap_q,MAX(C_keep-(1-Delta_q)*G89,0))</f>
        <v>1.45</v>
      </c>
      <c r="G90" s="18" t="n">
        <f aca="false">(1-Delta_q)*G89+F90</f>
        <v>58</v>
      </c>
      <c r="H90" s="18" t="n">
        <f aca="false">Rent_58</f>
        <v>1.45</v>
      </c>
      <c r="I90" s="18" t="n">
        <f aca="false">(1-Delta_q)*I89+H90</f>
        <v>54.3789424965752</v>
      </c>
    </row>
    <row r="91" customFormat="false" ht="15" hidden="false" customHeight="false" outlineLevel="0" collapsed="false">
      <c r="A91" s="12" t="n">
        <v>63</v>
      </c>
      <c r="B91" s="18" t="n">
        <f aca="false">IF(A91&lt;=$B$4,0,MIN(Cap_q,MAX(C_keep-(1-Delta_q)*C90,0)))</f>
        <v>1.45</v>
      </c>
      <c r="C91" s="18" t="n">
        <f aca="false">(1-Delta_q)*C90+B91</f>
        <v>58</v>
      </c>
      <c r="D91" s="18" t="n">
        <f aca="false">IF(A91&lt;=$B$4,0,Rent_58)</f>
        <v>1.45</v>
      </c>
      <c r="E91" s="18" t="n">
        <f aca="false">(1-Delta_q)*E90+D91</f>
        <v>56.7457583615889</v>
      </c>
      <c r="F91" s="18" t="n">
        <f aca="false">MIN(Cap_q,MAX(C_keep-(1-Delta_q)*G90,0))</f>
        <v>1.45</v>
      </c>
      <c r="G91" s="18" t="n">
        <f aca="false">(1-Delta_q)*G90+F91</f>
        <v>58</v>
      </c>
      <c r="H91" s="18" t="n">
        <f aca="false">Rent_58</f>
        <v>1.45</v>
      </c>
      <c r="I91" s="18" t="n">
        <f aca="false">(1-Delta_q)*I90+H91</f>
        <v>54.4694689341608</v>
      </c>
    </row>
    <row r="92" customFormat="false" ht="15" hidden="false" customHeight="false" outlineLevel="0" collapsed="false">
      <c r="A92" s="12" t="n">
        <v>64</v>
      </c>
      <c r="B92" s="18" t="n">
        <f aca="false">IF(A92&lt;=$B$4,0,MIN(Cap_q,MAX(C_keep-(1-Delta_q)*C91,0)))</f>
        <v>1.45</v>
      </c>
      <c r="C92" s="18" t="n">
        <f aca="false">(1-Delta_q)*C91+B92</f>
        <v>58</v>
      </c>
      <c r="D92" s="18" t="n">
        <f aca="false">IF(A92&lt;=$B$4,0,Rent_58)</f>
        <v>1.45</v>
      </c>
      <c r="E92" s="18" t="n">
        <f aca="false">(1-Delta_q)*E91+D92</f>
        <v>56.7771144025492</v>
      </c>
      <c r="F92" s="18" t="n">
        <f aca="false">MIN(Cap_q,MAX(C_keep-(1-Delta_q)*G91,0))</f>
        <v>1.45</v>
      </c>
      <c r="G92" s="18" t="n">
        <f aca="false">(1-Delta_q)*G91+F92</f>
        <v>58</v>
      </c>
      <c r="H92" s="18" t="n">
        <f aca="false">Rent_58</f>
        <v>1.45</v>
      </c>
      <c r="I92" s="18" t="n">
        <f aca="false">(1-Delta_q)*I91+H92</f>
        <v>54.5577322108068</v>
      </c>
    </row>
    <row r="93" customFormat="false" ht="15" hidden="false" customHeight="false" outlineLevel="0" collapsed="false">
      <c r="A93" s="12" t="n">
        <v>65</v>
      </c>
      <c r="B93" s="18" t="n">
        <f aca="false">IF(A93&lt;=$B$4,0,MIN(Cap_q,MAX(C_keep-(1-Delta_q)*C92,0)))</f>
        <v>1.45</v>
      </c>
      <c r="C93" s="18" t="n">
        <f aca="false">(1-Delta_q)*C92+B93</f>
        <v>58</v>
      </c>
      <c r="D93" s="18" t="n">
        <f aca="false">IF(A93&lt;=$B$4,0,Rent_58)</f>
        <v>1.45</v>
      </c>
      <c r="E93" s="18" t="n">
        <f aca="false">(1-Delta_q)*E92+D93</f>
        <v>56.8076865424855</v>
      </c>
      <c r="F93" s="18" t="n">
        <f aca="false">MIN(Cap_q,MAX(C_keep-(1-Delta_q)*G92,0))</f>
        <v>1.45</v>
      </c>
      <c r="G93" s="18" t="n">
        <f aca="false">(1-Delta_q)*G92+F93</f>
        <v>58</v>
      </c>
      <c r="H93" s="18" t="n">
        <f aca="false">Rent_58</f>
        <v>1.45</v>
      </c>
      <c r="I93" s="18" t="n">
        <f aca="false">(1-Delta_q)*I92+H93</f>
        <v>54.6437889055366</v>
      </c>
    </row>
    <row r="94" customFormat="false" ht="15" hidden="false" customHeight="false" outlineLevel="0" collapsed="false">
      <c r="A94" s="12" t="n">
        <v>66</v>
      </c>
      <c r="B94" s="18" t="n">
        <f aca="false">IF(A94&lt;=$B$4,0,MIN(Cap_q,MAX(C_keep-(1-Delta_q)*C93,0)))</f>
        <v>1.45</v>
      </c>
      <c r="C94" s="18" t="n">
        <f aca="false">(1-Delta_q)*C93+B94</f>
        <v>58</v>
      </c>
      <c r="D94" s="18" t="n">
        <f aca="false">IF(A94&lt;=$B$4,0,Rent_58)</f>
        <v>1.45</v>
      </c>
      <c r="E94" s="18" t="n">
        <f aca="false">(1-Delta_q)*E93+D94</f>
        <v>56.8374943789233</v>
      </c>
      <c r="F94" s="18" t="n">
        <f aca="false">MIN(Cap_q,MAX(C_keep-(1-Delta_q)*G93,0))</f>
        <v>1.45</v>
      </c>
      <c r="G94" s="18" t="n">
        <f aca="false">(1-Delta_q)*G93+F94</f>
        <v>58</v>
      </c>
      <c r="H94" s="18" t="n">
        <f aca="false">Rent_58</f>
        <v>1.45</v>
      </c>
      <c r="I94" s="18" t="n">
        <f aca="false">(1-Delta_q)*I93+H94</f>
        <v>54.7276941828982</v>
      </c>
    </row>
    <row r="95" customFormat="false" ht="15" hidden="false" customHeight="false" outlineLevel="0" collapsed="false">
      <c r="A95" s="12" t="n">
        <v>67</v>
      </c>
      <c r="B95" s="18" t="n">
        <f aca="false">IF(A95&lt;=$B$4,0,MIN(Cap_q,MAX(C_keep-(1-Delta_q)*C94,0)))</f>
        <v>1.45</v>
      </c>
      <c r="C95" s="18" t="n">
        <f aca="false">(1-Delta_q)*C94+B95</f>
        <v>58</v>
      </c>
      <c r="D95" s="18" t="n">
        <f aca="false">IF(A95&lt;=$B$4,0,Rent_58)</f>
        <v>1.45</v>
      </c>
      <c r="E95" s="18" t="n">
        <f aca="false">(1-Delta_q)*E94+D95</f>
        <v>56.8665570194503</v>
      </c>
      <c r="F95" s="18" t="n">
        <f aca="false">MIN(Cap_q,MAX(C_keep-(1-Delta_q)*G94,0))</f>
        <v>1.45</v>
      </c>
      <c r="G95" s="18" t="n">
        <f aca="false">(1-Delta_q)*G94+F95</f>
        <v>58</v>
      </c>
      <c r="H95" s="18" t="n">
        <f aca="false">Rent_58</f>
        <v>1.45</v>
      </c>
      <c r="I95" s="18" t="n">
        <f aca="false">(1-Delta_q)*I94+H95</f>
        <v>54.8095018283258</v>
      </c>
    </row>
    <row r="96" customFormat="false" ht="15" hidden="false" customHeight="false" outlineLevel="0" collapsed="false">
      <c r="A96" s="12" t="n">
        <v>68</v>
      </c>
      <c r="B96" s="18" t="n">
        <f aca="false">IF(A96&lt;=$B$4,0,MIN(Cap_q,MAX(C_keep-(1-Delta_q)*C95,0)))</f>
        <v>1.45</v>
      </c>
      <c r="C96" s="18" t="n">
        <f aca="false">(1-Delta_q)*C95+B96</f>
        <v>58</v>
      </c>
      <c r="D96" s="18" t="n">
        <f aca="false">IF(A96&lt;=$B$4,0,Rent_58)</f>
        <v>1.45</v>
      </c>
      <c r="E96" s="18" t="n">
        <f aca="false">(1-Delta_q)*E95+D96</f>
        <v>56.894893093964</v>
      </c>
      <c r="F96" s="18" t="n">
        <f aca="false">MIN(Cap_q,MAX(C_keep-(1-Delta_q)*G95,0))</f>
        <v>1.45</v>
      </c>
      <c r="G96" s="18" t="n">
        <f aca="false">(1-Delta_q)*G95+F96</f>
        <v>58</v>
      </c>
      <c r="H96" s="18" t="n">
        <f aca="false">Rent_58</f>
        <v>1.45</v>
      </c>
      <c r="I96" s="18" t="n">
        <f aca="false">(1-Delta_q)*I95+H96</f>
        <v>54.8892642826176</v>
      </c>
    </row>
    <row r="97" customFormat="false" ht="15" hidden="false" customHeight="false" outlineLevel="0" collapsed="false">
      <c r="A97" s="12" t="n">
        <v>69</v>
      </c>
      <c r="B97" s="18" t="n">
        <f aca="false">IF(A97&lt;=$B$4,0,MIN(Cap_q,MAX(C_keep-(1-Delta_q)*C96,0)))</f>
        <v>1.45</v>
      </c>
      <c r="C97" s="18" t="n">
        <f aca="false">(1-Delta_q)*C96+B97</f>
        <v>58</v>
      </c>
      <c r="D97" s="18" t="n">
        <f aca="false">IF(A97&lt;=$B$4,0,Rent_58)</f>
        <v>1.45</v>
      </c>
      <c r="E97" s="18" t="n">
        <f aca="false">(1-Delta_q)*E96+D97</f>
        <v>56.9225207666149</v>
      </c>
      <c r="F97" s="18" t="n">
        <f aca="false">MIN(Cap_q,MAX(C_keep-(1-Delta_q)*G96,0))</f>
        <v>1.45</v>
      </c>
      <c r="G97" s="18" t="n">
        <f aca="false">(1-Delta_q)*G96+F97</f>
        <v>58</v>
      </c>
      <c r="H97" s="18" t="n">
        <f aca="false">Rent_58</f>
        <v>1.45</v>
      </c>
      <c r="I97" s="18" t="n">
        <f aca="false">(1-Delta_q)*I96+H97</f>
        <v>54.9670326755522</v>
      </c>
    </row>
    <row r="98" customFormat="false" ht="15" hidden="false" customHeight="false" outlineLevel="0" collapsed="false">
      <c r="A98" s="12" t="n">
        <v>70</v>
      </c>
      <c r="B98" s="18" t="n">
        <f aca="false">IF(A98&lt;=$B$4,0,MIN(Cap_q,MAX(C_keep-(1-Delta_q)*C97,0)))</f>
        <v>1.45</v>
      </c>
      <c r="C98" s="18" t="n">
        <f aca="false">(1-Delta_q)*C97+B98</f>
        <v>58</v>
      </c>
      <c r="D98" s="18" t="n">
        <f aca="false">IF(A98&lt;=$B$4,0,Rent_58)</f>
        <v>1.45</v>
      </c>
      <c r="E98" s="18" t="n">
        <f aca="false">(1-Delta_q)*E97+D98</f>
        <v>56.9494577474495</v>
      </c>
      <c r="F98" s="18" t="n">
        <f aca="false">MIN(Cap_q,MAX(C_keep-(1-Delta_q)*G97,0))</f>
        <v>1.45</v>
      </c>
      <c r="G98" s="18" t="n">
        <f aca="false">(1-Delta_q)*G97+F98</f>
        <v>58</v>
      </c>
      <c r="H98" s="18" t="n">
        <f aca="false">Rent_58</f>
        <v>1.45</v>
      </c>
      <c r="I98" s="18" t="n">
        <f aca="false">(1-Delta_q)*I97+H98</f>
        <v>55.0428568586634</v>
      </c>
    </row>
    <row r="99" customFormat="false" ht="15" hidden="false" customHeight="false" outlineLevel="0" collapsed="false">
      <c r="A99" s="12" t="n">
        <v>71</v>
      </c>
      <c r="B99" s="18" t="n">
        <f aca="false">IF(A99&lt;=$B$4,0,MIN(Cap_q,MAX(C_keep-(1-Delta_q)*C98,0)))</f>
        <v>1.45</v>
      </c>
      <c r="C99" s="18" t="n">
        <f aca="false">(1-Delta_q)*C98+B99</f>
        <v>58</v>
      </c>
      <c r="D99" s="18" t="n">
        <f aca="false">IF(A99&lt;=$B$4,0,Rent_58)</f>
        <v>1.45</v>
      </c>
      <c r="E99" s="18" t="n">
        <f aca="false">(1-Delta_q)*E98+D99</f>
        <v>56.9757213037633</v>
      </c>
      <c r="F99" s="18" t="n">
        <f aca="false">MIN(Cap_q,MAX(C_keep-(1-Delta_q)*G98,0))</f>
        <v>1.45</v>
      </c>
      <c r="G99" s="18" t="n">
        <f aca="false">(1-Delta_q)*G98+F99</f>
        <v>58</v>
      </c>
      <c r="H99" s="18" t="n">
        <f aca="false">Rent_58</f>
        <v>1.45</v>
      </c>
      <c r="I99" s="18" t="n">
        <f aca="false">(1-Delta_q)*I98+H99</f>
        <v>55.1167854371968</v>
      </c>
    </row>
    <row r="100" customFormat="false" ht="15" hidden="false" customHeight="false" outlineLevel="0" collapsed="false">
      <c r="A100" s="12" t="n">
        <v>72</v>
      </c>
      <c r="B100" s="18" t="n">
        <f aca="false">IF(A100&lt;=$B$4,0,MIN(Cap_q,MAX(C_keep-(1-Delta_q)*C99,0)))</f>
        <v>1.45</v>
      </c>
      <c r="C100" s="18" t="n">
        <f aca="false">(1-Delta_q)*C99+B100</f>
        <v>58</v>
      </c>
      <c r="D100" s="18" t="n">
        <f aca="false">IF(A100&lt;=$B$4,0,Rent_58)</f>
        <v>1.45</v>
      </c>
      <c r="E100" s="18" t="n">
        <f aca="false">(1-Delta_q)*E99+D100</f>
        <v>57.0013282711692</v>
      </c>
      <c r="F100" s="18" t="n">
        <f aca="false">MIN(Cap_q,MAX(C_keep-(1-Delta_q)*G99,0))</f>
        <v>1.45</v>
      </c>
      <c r="G100" s="18" t="n">
        <f aca="false">(1-Delta_q)*G99+F100</f>
        <v>58</v>
      </c>
      <c r="H100" s="18" t="n">
        <f aca="false">Rent_58</f>
        <v>1.45</v>
      </c>
      <c r="I100" s="18" t="n">
        <f aca="false">(1-Delta_q)*I99+H100</f>
        <v>55.1888658012669</v>
      </c>
    </row>
    <row r="101" customFormat="false" ht="15" hidden="false" customHeight="false" outlineLevel="0" collapsed="false">
      <c r="A101" s="12" t="n">
        <v>73</v>
      </c>
      <c r="B101" s="18" t="n">
        <f aca="false">IF(A101&lt;=$B$4,0,MIN(Cap_q,MAX(C_keep-(1-Delta_q)*C100,0)))</f>
        <v>1.45</v>
      </c>
      <c r="C101" s="18" t="n">
        <f aca="false">(1-Delta_q)*C100+B101</f>
        <v>58</v>
      </c>
      <c r="D101" s="18" t="n">
        <f aca="false">IF(A101&lt;=$B$4,0,Rent_58)</f>
        <v>1.45</v>
      </c>
      <c r="E101" s="18" t="n">
        <f aca="false">(1-Delta_q)*E100+D101</f>
        <v>57.02629506439</v>
      </c>
      <c r="F101" s="18" t="n">
        <f aca="false">MIN(Cap_q,MAX(C_keep-(1-Delta_q)*G100,0))</f>
        <v>1.45</v>
      </c>
      <c r="G101" s="18" t="n">
        <f aca="false">(1-Delta_q)*G100+F101</f>
        <v>58</v>
      </c>
      <c r="H101" s="18" t="n">
        <f aca="false">Rent_58</f>
        <v>1.45</v>
      </c>
      <c r="I101" s="18" t="n">
        <f aca="false">(1-Delta_q)*I100+H101</f>
        <v>55.2591441562352</v>
      </c>
    </row>
    <row r="102" customFormat="false" ht="15" hidden="false" customHeight="false" outlineLevel="0" collapsed="false">
      <c r="A102" s="12" t="n">
        <v>74</v>
      </c>
      <c r="B102" s="18" t="n">
        <f aca="false">IF(A102&lt;=$B$4,0,MIN(Cap_q,MAX(C_keep-(1-Delta_q)*C101,0)))</f>
        <v>1.45</v>
      </c>
      <c r="C102" s="18" t="n">
        <f aca="false">(1-Delta_q)*C101+B102</f>
        <v>58</v>
      </c>
      <c r="D102" s="18" t="n">
        <f aca="false">IF(A102&lt;=$B$4,0,Rent_58)</f>
        <v>1.45</v>
      </c>
      <c r="E102" s="18" t="n">
        <f aca="false">(1-Delta_q)*E101+D102</f>
        <v>57.0506376877802</v>
      </c>
      <c r="F102" s="18" t="n">
        <f aca="false">MIN(Cap_q,MAX(C_keep-(1-Delta_q)*G101,0))</f>
        <v>1.45</v>
      </c>
      <c r="G102" s="18" t="n">
        <f aca="false">(1-Delta_q)*G101+F102</f>
        <v>58</v>
      </c>
      <c r="H102" s="18" t="n">
        <f aca="false">Rent_58</f>
        <v>1.45</v>
      </c>
      <c r="I102" s="18" t="n">
        <f aca="false">(1-Delta_q)*I101+H102</f>
        <v>55.3276655523293</v>
      </c>
    </row>
    <row r="103" customFormat="false" ht="15" hidden="false" customHeight="false" outlineLevel="0" collapsed="false">
      <c r="A103" s="12" t="n">
        <v>75</v>
      </c>
      <c r="B103" s="18" t="n">
        <f aca="false">IF(A103&lt;=$B$4,0,MIN(Cap_q,MAX(C_keep-(1-Delta_q)*C102,0)))</f>
        <v>1.45</v>
      </c>
      <c r="C103" s="18" t="n">
        <f aca="false">(1-Delta_q)*C102+B103</f>
        <v>58</v>
      </c>
      <c r="D103" s="18" t="n">
        <f aca="false">IF(A103&lt;=$B$4,0,Rent_58)</f>
        <v>1.45</v>
      </c>
      <c r="E103" s="18" t="n">
        <f aca="false">(1-Delta_q)*E102+D103</f>
        <v>57.0743717455857</v>
      </c>
      <c r="F103" s="18" t="n">
        <f aca="false">MIN(Cap_q,MAX(C_keep-(1-Delta_q)*G102,0))</f>
        <v>1.45</v>
      </c>
      <c r="G103" s="18" t="n">
        <f aca="false">(1-Delta_q)*G102+F103</f>
        <v>58</v>
      </c>
      <c r="H103" s="18" t="n">
        <f aca="false">Rent_58</f>
        <v>1.45</v>
      </c>
      <c r="I103" s="18" t="n">
        <f aca="false">(1-Delta_q)*I102+H103</f>
        <v>55.3944739135211</v>
      </c>
    </row>
    <row r="104" customFormat="false" ht="15" hidden="false" customHeight="false" outlineLevel="0" collapsed="false">
      <c r="A104" s="12" t="n">
        <v>76</v>
      </c>
      <c r="B104" s="18" t="n">
        <f aca="false">IF(A104&lt;=$B$4,0,MIN(Cap_q,MAX(C_keep-(1-Delta_q)*C103,0)))</f>
        <v>1.45</v>
      </c>
      <c r="C104" s="18" t="n">
        <f aca="false">(1-Delta_q)*C103+B104</f>
        <v>58</v>
      </c>
      <c r="D104" s="18" t="n">
        <f aca="false">IF(A104&lt;=$B$4,0,Rent_58)</f>
        <v>1.45</v>
      </c>
      <c r="E104" s="18" t="n">
        <f aca="false">(1-Delta_q)*E103+D104</f>
        <v>57.0975124519461</v>
      </c>
      <c r="F104" s="18" t="n">
        <f aca="false">MIN(Cap_q,MAX(C_keep-(1-Delta_q)*G103,0))</f>
        <v>1.45</v>
      </c>
      <c r="G104" s="18" t="n">
        <f aca="false">(1-Delta_q)*G103+F104</f>
        <v>58</v>
      </c>
      <c r="H104" s="18" t="n">
        <f aca="false">Rent_58</f>
        <v>1.45</v>
      </c>
      <c r="I104" s="18" t="n">
        <f aca="false">(1-Delta_q)*I103+H104</f>
        <v>55.4596120656831</v>
      </c>
    </row>
    <row r="105" customFormat="false" ht="15" hidden="false" customHeight="false" outlineLevel="0" collapsed="false">
      <c r="A105" s="12" t="n">
        <v>77</v>
      </c>
      <c r="B105" s="18" t="n">
        <f aca="false">IF(A105&lt;=$B$4,0,MIN(Cap_q,MAX(C_keep-(1-Delta_q)*C104,0)))</f>
        <v>1.45</v>
      </c>
      <c r="C105" s="18" t="n">
        <f aca="false">(1-Delta_q)*C104+B105</f>
        <v>58</v>
      </c>
      <c r="D105" s="18" t="n">
        <f aca="false">IF(A105&lt;=$B$4,0,Rent_58)</f>
        <v>1.45</v>
      </c>
      <c r="E105" s="18" t="n">
        <f aca="false">(1-Delta_q)*E104+D105</f>
        <v>57.1200746406474</v>
      </c>
      <c r="F105" s="18" t="n">
        <f aca="false">MIN(Cap_q,MAX(C_keep-(1-Delta_q)*G104,0))</f>
        <v>1.45</v>
      </c>
      <c r="G105" s="18" t="n">
        <f aca="false">(1-Delta_q)*G104+F105</f>
        <v>58</v>
      </c>
      <c r="H105" s="18" t="n">
        <f aca="false">Rent_58</f>
        <v>1.45</v>
      </c>
      <c r="I105" s="18" t="n">
        <f aca="false">(1-Delta_q)*I104+H105</f>
        <v>55.523121764041</v>
      </c>
    </row>
    <row r="106" customFormat="false" ht="15" hidden="false" customHeight="false" outlineLevel="0" collapsed="false">
      <c r="A106" s="12" t="n">
        <v>78</v>
      </c>
      <c r="B106" s="18" t="n">
        <f aca="false">IF(A106&lt;=$B$4,0,MIN(Cap_q,MAX(C_keep-(1-Delta_q)*C105,0)))</f>
        <v>1.45</v>
      </c>
      <c r="C106" s="18" t="n">
        <f aca="false">(1-Delta_q)*C105+B106</f>
        <v>58</v>
      </c>
      <c r="D106" s="18" t="n">
        <f aca="false">IF(A106&lt;=$B$4,0,Rent_58)</f>
        <v>1.45</v>
      </c>
      <c r="E106" s="18" t="n">
        <f aca="false">(1-Delta_q)*E105+D106</f>
        <v>57.1420727746313</v>
      </c>
      <c r="F106" s="18" t="n">
        <f aca="false">MIN(Cap_q,MAX(C_keep-(1-Delta_q)*G105,0))</f>
        <v>1.45</v>
      </c>
      <c r="G106" s="18" t="n">
        <f aca="false">(1-Delta_q)*G105+F106</f>
        <v>58</v>
      </c>
      <c r="H106" s="18" t="n">
        <f aca="false">Rent_58</f>
        <v>1.45</v>
      </c>
      <c r="I106" s="18" t="n">
        <f aca="false">(1-Delta_q)*I105+H106</f>
        <v>55.58504371994</v>
      </c>
    </row>
    <row r="107" customFormat="false" ht="15" hidden="false" customHeight="false" outlineLevel="0" collapsed="false">
      <c r="A107" s="12" t="n">
        <v>79</v>
      </c>
      <c r="B107" s="18" t="n">
        <f aca="false">IF(A107&lt;=$B$4,0,MIN(Cap_q,MAX(C_keep-(1-Delta_q)*C106,0)))</f>
        <v>1.45</v>
      </c>
      <c r="C107" s="18" t="n">
        <f aca="false">(1-Delta_q)*C106+B107</f>
        <v>58</v>
      </c>
      <c r="D107" s="18" t="n">
        <f aca="false">IF(A107&lt;=$B$4,0,Rent_58)</f>
        <v>1.45</v>
      </c>
      <c r="E107" s="18" t="n">
        <f aca="false">(1-Delta_q)*E106+D107</f>
        <v>57.1635209552655</v>
      </c>
      <c r="F107" s="18" t="n">
        <f aca="false">MIN(Cap_q,MAX(C_keep-(1-Delta_q)*G106,0))</f>
        <v>1.45</v>
      </c>
      <c r="G107" s="18" t="n">
        <f aca="false">(1-Delta_q)*G106+F107</f>
        <v>58</v>
      </c>
      <c r="H107" s="18" t="n">
        <f aca="false">Rent_58</f>
        <v>1.45</v>
      </c>
      <c r="I107" s="18" t="n">
        <f aca="false">(1-Delta_q)*I106+H107</f>
        <v>55.6454176269415</v>
      </c>
    </row>
    <row r="108" customFormat="false" ht="15" hidden="false" customHeight="false" outlineLevel="0" collapsed="false">
      <c r="A108" s="12" t="n">
        <v>80</v>
      </c>
      <c r="B108" s="18" t="n">
        <f aca="false">IF(A108&lt;=$B$4,0,MIN(Cap_q,MAX(C_keep-(1-Delta_q)*C107,0)))</f>
        <v>1.45</v>
      </c>
      <c r="C108" s="18" t="n">
        <f aca="false">(1-Delta_q)*C107+B108</f>
        <v>58</v>
      </c>
      <c r="D108" s="18" t="n">
        <f aca="false">IF(A108&lt;=$B$4,0,Rent_58)</f>
        <v>1.45</v>
      </c>
      <c r="E108" s="18" t="n">
        <f aca="false">(1-Delta_q)*E107+D108</f>
        <v>57.1844329313838</v>
      </c>
      <c r="F108" s="18" t="n">
        <f aca="false">MIN(Cap_q,MAX(C_keep-(1-Delta_q)*G107,0))</f>
        <v>1.45</v>
      </c>
      <c r="G108" s="18" t="n">
        <f aca="false">(1-Delta_q)*G107+F108</f>
        <v>58</v>
      </c>
      <c r="H108" s="18" t="n">
        <f aca="false">Rent_58</f>
        <v>1.45</v>
      </c>
      <c r="I108" s="18" t="n">
        <f aca="false">(1-Delta_q)*I107+H108</f>
        <v>55.7042821862679</v>
      </c>
    </row>
    <row r="109" customFormat="false" ht="15" hidden="false" customHeight="false" outlineLevel="0" collapsed="false">
      <c r="A109" s="12" t="n">
        <v>81</v>
      </c>
      <c r="B109" s="18" t="n">
        <f aca="false">IF(A109&lt;=$B$4,0,MIN(Cap_q,MAX(C_keep-(1-Delta_q)*C108,0)))</f>
        <v>1.45</v>
      </c>
      <c r="C109" s="18" t="n">
        <f aca="false">(1-Delta_q)*C108+B109</f>
        <v>58</v>
      </c>
      <c r="D109" s="18" t="n">
        <f aca="false">IF(A109&lt;=$B$4,0,Rent_58)</f>
        <v>1.45</v>
      </c>
      <c r="E109" s="18" t="n">
        <f aca="false">(1-Delta_q)*E108+D109</f>
        <v>57.2048221080992</v>
      </c>
      <c r="F109" s="18" t="n">
        <f aca="false">MIN(Cap_q,MAX(C_keep-(1-Delta_q)*G108,0))</f>
        <v>1.45</v>
      </c>
      <c r="G109" s="18" t="n">
        <f aca="false">(1-Delta_q)*G108+F109</f>
        <v>58</v>
      </c>
      <c r="H109" s="18" t="n">
        <f aca="false">Rent_58</f>
        <v>1.45</v>
      </c>
      <c r="I109" s="18" t="n">
        <f aca="false">(1-Delta_q)*I108+H109</f>
        <v>55.7616751316112</v>
      </c>
    </row>
    <row r="110" customFormat="false" ht="15" hidden="false" customHeight="false" outlineLevel="0" collapsed="false">
      <c r="A110" s="12" t="n">
        <v>82</v>
      </c>
      <c r="B110" s="18" t="n">
        <f aca="false">IF(A110&lt;=$B$4,0,MIN(Cap_q,MAX(C_keep-(1-Delta_q)*C109,0)))</f>
        <v>1.45</v>
      </c>
      <c r="C110" s="18" t="n">
        <f aca="false">(1-Delta_q)*C109+B110</f>
        <v>58</v>
      </c>
      <c r="D110" s="18" t="n">
        <f aca="false">IF(A110&lt;=$B$4,0,Rent_58)</f>
        <v>1.45</v>
      </c>
      <c r="E110" s="18" t="n">
        <f aca="false">(1-Delta_q)*E109+D110</f>
        <v>57.2247015553968</v>
      </c>
      <c r="F110" s="18" t="n">
        <f aca="false">MIN(Cap_q,MAX(C_keep-(1-Delta_q)*G109,0))</f>
        <v>1.45</v>
      </c>
      <c r="G110" s="18" t="n">
        <f aca="false">(1-Delta_q)*G109+F110</f>
        <v>58</v>
      </c>
      <c r="H110" s="18" t="n">
        <f aca="false">Rent_58</f>
        <v>1.45</v>
      </c>
      <c r="I110" s="18" t="n">
        <f aca="false">(1-Delta_q)*I109+H110</f>
        <v>55.817633253321</v>
      </c>
    </row>
    <row r="111" customFormat="false" ht="15" hidden="false" customHeight="false" outlineLevel="0" collapsed="false">
      <c r="A111" s="12" t="n">
        <v>83</v>
      </c>
      <c r="B111" s="18" t="n">
        <f aca="false">IF(A111&lt;=$B$4,0,MIN(Cap_q,MAX(C_keep-(1-Delta_q)*C110,0)))</f>
        <v>1.45</v>
      </c>
      <c r="C111" s="18" t="n">
        <f aca="false">(1-Delta_q)*C110+B111</f>
        <v>58</v>
      </c>
      <c r="D111" s="18" t="n">
        <f aca="false">IF(A111&lt;=$B$4,0,Rent_58)</f>
        <v>1.45</v>
      </c>
      <c r="E111" s="18" t="n">
        <f aca="false">(1-Delta_q)*E110+D111</f>
        <v>57.2440840165119</v>
      </c>
      <c r="F111" s="18" t="n">
        <f aca="false">MIN(Cap_q,MAX(C_keep-(1-Delta_q)*G110,0))</f>
        <v>1.45</v>
      </c>
      <c r="G111" s="18" t="n">
        <f aca="false">(1-Delta_q)*G110+F111</f>
        <v>58</v>
      </c>
      <c r="H111" s="18" t="n">
        <f aca="false">Rent_58</f>
        <v>1.45</v>
      </c>
      <c r="I111" s="18" t="n">
        <f aca="false">(1-Delta_q)*I110+H111</f>
        <v>55.8721924219879</v>
      </c>
    </row>
    <row r="112" customFormat="false" ht="15" hidden="false" customHeight="false" outlineLevel="0" collapsed="false">
      <c r="A112" s="12" t="n">
        <v>84</v>
      </c>
      <c r="B112" s="18" t="n">
        <f aca="false">IF(A112&lt;=$B$4,0,MIN(Cap_q,MAX(C_keep-(1-Delta_q)*C111,0)))</f>
        <v>1.45</v>
      </c>
      <c r="C112" s="18" t="n">
        <f aca="false">(1-Delta_q)*C111+B112</f>
        <v>58</v>
      </c>
      <c r="D112" s="18" t="n">
        <f aca="false">IF(A112&lt;=$B$4,0,Rent_58)</f>
        <v>1.45</v>
      </c>
      <c r="E112" s="18" t="n">
        <f aca="false">(1-Delta_q)*E111+D112</f>
        <v>57.2629819160991</v>
      </c>
      <c r="F112" s="18" t="n">
        <f aca="false">MIN(Cap_q,MAX(C_keep-(1-Delta_q)*G111,0))</f>
        <v>1.45</v>
      </c>
      <c r="G112" s="18" t="n">
        <f aca="false">(1-Delta_q)*G111+F112</f>
        <v>58</v>
      </c>
      <c r="H112" s="18" t="n">
        <f aca="false">Rent_58</f>
        <v>1.45</v>
      </c>
      <c r="I112" s="18" t="n">
        <f aca="false">(1-Delta_q)*I111+H112</f>
        <v>55.9253876114382</v>
      </c>
    </row>
    <row r="113" customFormat="false" ht="15" hidden="false" customHeight="false" outlineLevel="0" collapsed="false">
      <c r="A113" s="12" t="n">
        <v>85</v>
      </c>
      <c r="B113" s="18" t="n">
        <f aca="false">IF(A113&lt;=$B$4,0,MIN(Cap_q,MAX(C_keep-(1-Delta_q)*C112,0)))</f>
        <v>1.45</v>
      </c>
      <c r="C113" s="18" t="n">
        <f aca="false">(1-Delta_q)*C112+B113</f>
        <v>58</v>
      </c>
      <c r="D113" s="18" t="n">
        <f aca="false">IF(A113&lt;=$B$4,0,Rent_58)</f>
        <v>1.45</v>
      </c>
      <c r="E113" s="18" t="n">
        <f aca="false">(1-Delta_q)*E112+D113</f>
        <v>57.2814073681966</v>
      </c>
      <c r="F113" s="18" t="n">
        <f aca="false">MIN(Cap_q,MAX(C_keep-(1-Delta_q)*G112,0))</f>
        <v>1.45</v>
      </c>
      <c r="G113" s="18" t="n">
        <f aca="false">(1-Delta_q)*G112+F113</f>
        <v>58</v>
      </c>
      <c r="H113" s="18" t="n">
        <f aca="false">Rent_58</f>
        <v>1.45</v>
      </c>
      <c r="I113" s="18" t="n">
        <f aca="false">(1-Delta_q)*I112+H113</f>
        <v>55.9772529211523</v>
      </c>
    </row>
    <row r="114" customFormat="false" ht="15" hidden="false" customHeight="false" outlineLevel="0" collapsed="false">
      <c r="A114" s="12" t="n">
        <v>86</v>
      </c>
      <c r="B114" s="18" t="n">
        <f aca="false">IF(A114&lt;=$B$4,0,MIN(Cap_q,MAX(C_keep-(1-Delta_q)*C113,0)))</f>
        <v>1.45</v>
      </c>
      <c r="C114" s="18" t="n">
        <f aca="false">(1-Delta_q)*C113+B114</f>
        <v>58</v>
      </c>
      <c r="D114" s="18" t="n">
        <f aca="false">IF(A114&lt;=$B$4,0,Rent_58)</f>
        <v>1.45</v>
      </c>
      <c r="E114" s="18" t="n">
        <f aca="false">(1-Delta_q)*E113+D114</f>
        <v>57.2993721839917</v>
      </c>
      <c r="F114" s="18" t="n">
        <f aca="false">MIN(Cap_q,MAX(C_keep-(1-Delta_q)*G113,0))</f>
        <v>1.45</v>
      </c>
      <c r="G114" s="18" t="n">
        <f aca="false">(1-Delta_q)*G113+F114</f>
        <v>58</v>
      </c>
      <c r="H114" s="18" t="n">
        <f aca="false">Rent_58</f>
        <v>1.45</v>
      </c>
      <c r="I114" s="18" t="n">
        <f aca="false">(1-Delta_q)*I113+H114</f>
        <v>56.0278215981235</v>
      </c>
    </row>
    <row r="115" customFormat="false" ht="15" hidden="false" customHeight="false" outlineLevel="0" collapsed="false">
      <c r="A115" s="12" t="n">
        <v>87</v>
      </c>
      <c r="B115" s="18" t="n">
        <f aca="false">IF(A115&lt;=$B$4,0,MIN(Cap_q,MAX(C_keep-(1-Delta_q)*C114,0)))</f>
        <v>1.45</v>
      </c>
      <c r="C115" s="18" t="n">
        <f aca="false">(1-Delta_q)*C114+B115</f>
        <v>58</v>
      </c>
      <c r="D115" s="18" t="n">
        <f aca="false">IF(A115&lt;=$B$4,0,Rent_58)</f>
        <v>1.45</v>
      </c>
      <c r="E115" s="18" t="n">
        <f aca="false">(1-Delta_q)*E114+D115</f>
        <v>57.3168878793919</v>
      </c>
      <c r="F115" s="18" t="n">
        <f aca="false">MIN(Cap_q,MAX(C_keep-(1-Delta_q)*G114,0))</f>
        <v>1.45</v>
      </c>
      <c r="G115" s="18" t="n">
        <f aca="false">(1-Delta_q)*G114+F115</f>
        <v>58</v>
      </c>
      <c r="H115" s="18" t="n">
        <f aca="false">Rent_58</f>
        <v>1.45</v>
      </c>
      <c r="I115" s="18" t="n">
        <f aca="false">(1-Delta_q)*I114+H115</f>
        <v>56.0771260581704</v>
      </c>
    </row>
    <row r="116" customFormat="false" ht="15" hidden="false" customHeight="false" outlineLevel="0" collapsed="false">
      <c r="A116" s="12" t="n">
        <v>88</v>
      </c>
      <c r="B116" s="18" t="n">
        <f aca="false">IF(A116&lt;=$B$4,0,MIN(Cap_q,MAX(C_keep-(1-Delta_q)*C115,0)))</f>
        <v>1.45</v>
      </c>
      <c r="C116" s="18" t="n">
        <f aca="false">(1-Delta_q)*C115+B116</f>
        <v>58</v>
      </c>
      <c r="D116" s="18" t="n">
        <f aca="false">IF(A116&lt;=$B$4,0,Rent_58)</f>
        <v>1.45</v>
      </c>
      <c r="E116" s="18" t="n">
        <f aca="false">(1-Delta_q)*E115+D116</f>
        <v>57.3339656824071</v>
      </c>
      <c r="F116" s="18" t="n">
        <f aca="false">MIN(Cap_q,MAX(C_keep-(1-Delta_q)*G115,0))</f>
        <v>1.45</v>
      </c>
      <c r="G116" s="18" t="n">
        <f aca="false">(1-Delta_q)*G115+F116</f>
        <v>58</v>
      </c>
      <c r="H116" s="18" t="n">
        <f aca="false">Rent_58</f>
        <v>1.45</v>
      </c>
      <c r="I116" s="18" t="n">
        <f aca="false">(1-Delta_q)*I115+H116</f>
        <v>56.1251979067161</v>
      </c>
    </row>
    <row r="117" customFormat="false" ht="15" hidden="false" customHeight="false" outlineLevel="0" collapsed="false">
      <c r="A117" s="12" t="n">
        <v>89</v>
      </c>
      <c r="B117" s="18" t="n">
        <f aca="false">IF(A117&lt;=$B$4,0,MIN(Cap_q,MAX(C_keep-(1-Delta_q)*C116,0)))</f>
        <v>1.45</v>
      </c>
      <c r="C117" s="18" t="n">
        <f aca="false">(1-Delta_q)*C116+B117</f>
        <v>58</v>
      </c>
      <c r="D117" s="18" t="n">
        <f aca="false">IF(A117&lt;=$B$4,0,Rent_58)</f>
        <v>1.45</v>
      </c>
      <c r="E117" s="18" t="n">
        <f aca="false">(1-Delta_q)*E116+D117</f>
        <v>57.3506165403469</v>
      </c>
      <c r="F117" s="18" t="n">
        <f aca="false">MIN(Cap_q,MAX(C_keep-(1-Delta_q)*G116,0))</f>
        <v>1.45</v>
      </c>
      <c r="G117" s="18" t="n">
        <f aca="false">(1-Delta_q)*G116+F117</f>
        <v>58</v>
      </c>
      <c r="H117" s="18" t="n">
        <f aca="false">Rent_58</f>
        <v>1.45</v>
      </c>
      <c r="I117" s="18" t="n">
        <f aca="false">(1-Delta_q)*I116+H117</f>
        <v>56.1720679590482</v>
      </c>
    </row>
    <row r="118" customFormat="false" ht="15" hidden="false" customHeight="false" outlineLevel="0" collapsed="false">
      <c r="A118" s="12" t="n">
        <v>90</v>
      </c>
      <c r="B118" s="18" t="n">
        <f aca="false">IF(A118&lt;=$B$4,0,MIN(Cap_q,MAX(C_keep-(1-Delta_q)*C117,0)))</f>
        <v>1.45</v>
      </c>
      <c r="C118" s="18" t="n">
        <f aca="false">(1-Delta_q)*C117+B118</f>
        <v>58</v>
      </c>
      <c r="D118" s="18" t="n">
        <f aca="false">IF(A118&lt;=$B$4,0,Rent_58)</f>
        <v>1.45</v>
      </c>
      <c r="E118" s="18" t="n">
        <f aca="false">(1-Delta_q)*E117+D118</f>
        <v>57.3668511268382</v>
      </c>
      <c r="F118" s="18" t="n">
        <f aca="false">MIN(Cap_q,MAX(C_keep-(1-Delta_q)*G117,0))</f>
        <v>1.45</v>
      </c>
      <c r="G118" s="18" t="n">
        <f aca="false">(1-Delta_q)*G117+F118</f>
        <v>58</v>
      </c>
      <c r="H118" s="18" t="n">
        <f aca="false">Rent_58</f>
        <v>1.45</v>
      </c>
      <c r="I118" s="18" t="n">
        <f aca="false">(1-Delta_q)*I117+H118</f>
        <v>56.217766260072</v>
      </c>
    </row>
    <row r="119" customFormat="false" ht="15" hidden="false" customHeight="false" outlineLevel="0" collapsed="false">
      <c r="A119" s="12" t="n">
        <v>91</v>
      </c>
      <c r="B119" s="18" t="n">
        <f aca="false">IF(A119&lt;=$B$4,0,MIN(Cap_q,MAX(C_keep-(1-Delta_q)*C118,0)))</f>
        <v>1.45</v>
      </c>
      <c r="C119" s="18" t="n">
        <f aca="false">(1-Delta_q)*C118+B119</f>
        <v>58</v>
      </c>
      <c r="D119" s="18" t="n">
        <f aca="false">IF(A119&lt;=$B$4,0,Rent_58)</f>
        <v>1.45</v>
      </c>
      <c r="E119" s="18" t="n">
        <f aca="false">(1-Delta_q)*E118+D119</f>
        <v>57.3826798486673</v>
      </c>
      <c r="F119" s="18" t="n">
        <f aca="false">MIN(Cap_q,MAX(C_keep-(1-Delta_q)*G118,0))</f>
        <v>1.45</v>
      </c>
      <c r="G119" s="18" t="n">
        <f aca="false">(1-Delta_q)*G118+F119</f>
        <v>58</v>
      </c>
      <c r="H119" s="18" t="n">
        <f aca="false">Rent_58</f>
        <v>1.45</v>
      </c>
      <c r="I119" s="18" t="n">
        <f aca="false">(1-Delta_q)*I118+H119</f>
        <v>56.2623221035702</v>
      </c>
    </row>
    <row r="120" customFormat="false" ht="15" hidden="false" customHeight="false" outlineLevel="0" collapsed="false">
      <c r="A120" s="12" t="n">
        <v>92</v>
      </c>
      <c r="B120" s="18" t="n">
        <f aca="false">IF(A120&lt;=$B$4,0,MIN(Cap_q,MAX(C_keep-(1-Delta_q)*C119,0)))</f>
        <v>1.45</v>
      </c>
      <c r="C120" s="18" t="n">
        <f aca="false">(1-Delta_q)*C119+B120</f>
        <v>58</v>
      </c>
      <c r="D120" s="18" t="n">
        <f aca="false">IF(A120&lt;=$B$4,0,Rent_58)</f>
        <v>1.45</v>
      </c>
      <c r="E120" s="18" t="n">
        <f aca="false">(1-Delta_q)*E119+D120</f>
        <v>57.3981128524506</v>
      </c>
      <c r="F120" s="18" t="n">
        <f aca="false">MIN(Cap_q,MAX(C_keep-(1-Delta_q)*G119,0))</f>
        <v>1.45</v>
      </c>
      <c r="G120" s="18" t="n">
        <f aca="false">(1-Delta_q)*G119+F120</f>
        <v>58</v>
      </c>
      <c r="H120" s="18" t="n">
        <f aca="false">Rent_58</f>
        <v>1.45</v>
      </c>
      <c r="I120" s="18" t="n">
        <f aca="false">(1-Delta_q)*I119+H120</f>
        <v>56.305764050981</v>
      </c>
    </row>
    <row r="121" customFormat="false" ht="15" hidden="false" customHeight="false" outlineLevel="0" collapsed="false">
      <c r="A121" s="12" t="n">
        <v>93</v>
      </c>
      <c r="B121" s="18" t="n">
        <f aca="false">IF(A121&lt;=$B$4,0,MIN(Cap_q,MAX(C_keep-(1-Delta_q)*C120,0)))</f>
        <v>1.45</v>
      </c>
      <c r="C121" s="18" t="n">
        <f aca="false">(1-Delta_q)*C120+B121</f>
        <v>58</v>
      </c>
      <c r="D121" s="18" t="n">
        <f aca="false">IF(A121&lt;=$B$4,0,Rent_58)</f>
        <v>1.45</v>
      </c>
      <c r="E121" s="18" t="n">
        <f aca="false">(1-Delta_q)*E120+D121</f>
        <v>57.4131600311393</v>
      </c>
      <c r="F121" s="18" t="n">
        <f aca="false">MIN(Cap_q,MAX(C_keep-(1-Delta_q)*G120,0))</f>
        <v>1.45</v>
      </c>
      <c r="G121" s="18" t="n">
        <f aca="false">(1-Delta_q)*G120+F121</f>
        <v>58</v>
      </c>
      <c r="H121" s="18" t="n">
        <f aca="false">Rent_58</f>
        <v>1.45</v>
      </c>
      <c r="I121" s="18" t="n">
        <f aca="false">(1-Delta_q)*I120+H121</f>
        <v>56.3481199497065</v>
      </c>
    </row>
    <row r="122" customFormat="false" ht="15" hidden="false" customHeight="false" outlineLevel="0" collapsed="false">
      <c r="A122" s="12" t="n">
        <v>94</v>
      </c>
      <c r="B122" s="18" t="n">
        <f aca="false">IF(A122&lt;=$B$4,0,MIN(Cap_q,MAX(C_keep-(1-Delta_q)*C121,0)))</f>
        <v>1.45</v>
      </c>
      <c r="C122" s="18" t="n">
        <f aca="false">(1-Delta_q)*C121+B122</f>
        <v>58</v>
      </c>
      <c r="D122" s="18" t="n">
        <f aca="false">IF(A122&lt;=$B$4,0,Rent_58)</f>
        <v>1.45</v>
      </c>
      <c r="E122" s="18" t="n">
        <f aca="false">(1-Delta_q)*E121+D122</f>
        <v>57.4278310303609</v>
      </c>
      <c r="F122" s="18" t="n">
        <f aca="false">MIN(Cap_q,MAX(C_keep-(1-Delta_q)*G121,0))</f>
        <v>1.45</v>
      </c>
      <c r="G122" s="18" t="n">
        <f aca="false">(1-Delta_q)*G121+F122</f>
        <v>58</v>
      </c>
      <c r="H122" s="18" t="n">
        <f aca="false">Rent_58</f>
        <v>1.45</v>
      </c>
      <c r="I122" s="18" t="n">
        <f aca="false">(1-Delta_q)*I121+H122</f>
        <v>56.3894169509638</v>
      </c>
    </row>
    <row r="123" customFormat="false" ht="15" hidden="false" customHeight="false" outlineLevel="0" collapsed="false">
      <c r="A123" s="12" t="n">
        <v>95</v>
      </c>
      <c r="B123" s="18" t="n">
        <f aca="false">IF(A123&lt;=$B$4,0,MIN(Cap_q,MAX(C_keep-(1-Delta_q)*C122,0)))</f>
        <v>1.45</v>
      </c>
      <c r="C123" s="18" t="n">
        <f aca="false">(1-Delta_q)*C122+B123</f>
        <v>58</v>
      </c>
      <c r="D123" s="18" t="n">
        <f aca="false">IF(A123&lt;=$B$4,0,Rent_58)</f>
        <v>1.45</v>
      </c>
      <c r="E123" s="18" t="n">
        <f aca="false">(1-Delta_q)*E122+D123</f>
        <v>57.4421352546018</v>
      </c>
      <c r="F123" s="18" t="n">
        <f aca="false">MIN(Cap_q,MAX(C_keep-(1-Delta_q)*G122,0))</f>
        <v>1.45</v>
      </c>
      <c r="G123" s="18" t="n">
        <f aca="false">(1-Delta_q)*G122+F123</f>
        <v>58</v>
      </c>
      <c r="H123" s="18" t="n">
        <f aca="false">Rent_58</f>
        <v>1.45</v>
      </c>
      <c r="I123" s="18" t="n">
        <f aca="false">(1-Delta_q)*I122+H123</f>
        <v>56.4296815271897</v>
      </c>
    </row>
    <row r="124" customFormat="false" ht="15" hidden="false" customHeight="false" outlineLevel="0" collapsed="false">
      <c r="A124" s="12" t="n">
        <v>96</v>
      </c>
      <c r="B124" s="18" t="n">
        <f aca="false">IF(A124&lt;=$B$4,0,MIN(Cap_q,MAX(C_keep-(1-Delta_q)*C123,0)))</f>
        <v>1.45</v>
      </c>
      <c r="C124" s="18" t="n">
        <f aca="false">(1-Delta_q)*C123+B124</f>
        <v>58</v>
      </c>
      <c r="D124" s="18" t="n">
        <f aca="false">IF(A124&lt;=$B$4,0,Rent_58)</f>
        <v>1.45</v>
      </c>
      <c r="E124" s="18" t="n">
        <f aca="false">(1-Delta_q)*E123+D124</f>
        <v>57.4560818732368</v>
      </c>
      <c r="F124" s="18" t="n">
        <f aca="false">MIN(Cap_q,MAX(C_keep-(1-Delta_q)*G123,0))</f>
        <v>1.45</v>
      </c>
      <c r="G124" s="18" t="n">
        <f aca="false">(1-Delta_q)*G123+F124</f>
        <v>58</v>
      </c>
      <c r="H124" s="18" t="n">
        <f aca="false">Rent_58</f>
        <v>1.45</v>
      </c>
      <c r="I124" s="18" t="n">
        <f aca="false">(1-Delta_q)*I123+H124</f>
        <v>56.46893948901</v>
      </c>
    </row>
    <row r="125" customFormat="false" ht="15" hidden="false" customHeight="false" outlineLevel="0" collapsed="false">
      <c r="A125" s="12" t="n">
        <v>97</v>
      </c>
      <c r="B125" s="18" t="n">
        <f aca="false">IF(A125&lt;=$B$4,0,MIN(Cap_q,MAX(C_keep-(1-Delta_q)*C124,0)))</f>
        <v>1.45</v>
      </c>
      <c r="C125" s="18" t="n">
        <f aca="false">(1-Delta_q)*C124+B125</f>
        <v>58</v>
      </c>
      <c r="D125" s="18" t="n">
        <f aca="false">IF(A125&lt;=$B$4,0,Rent_58)</f>
        <v>1.45</v>
      </c>
      <c r="E125" s="18" t="n">
        <f aca="false">(1-Delta_q)*E124+D125</f>
        <v>57.4696798264059</v>
      </c>
      <c r="F125" s="18" t="n">
        <f aca="false">MIN(Cap_q,MAX(C_keep-(1-Delta_q)*G124,0))</f>
        <v>1.45</v>
      </c>
      <c r="G125" s="18" t="n">
        <f aca="false">(1-Delta_q)*G124+F125</f>
        <v>58</v>
      </c>
      <c r="H125" s="18" t="n">
        <f aca="false">Rent_58</f>
        <v>1.45</v>
      </c>
      <c r="I125" s="18" t="n">
        <f aca="false">(1-Delta_q)*I124+H125</f>
        <v>56.5072160017847</v>
      </c>
    </row>
    <row r="126" customFormat="false" ht="15" hidden="false" customHeight="false" outlineLevel="0" collapsed="false">
      <c r="A126" s="12" t="n">
        <v>98</v>
      </c>
      <c r="B126" s="18" t="n">
        <f aca="false">IF(A126&lt;=$B$4,0,MIN(Cap_q,MAX(C_keep-(1-Delta_q)*C125,0)))</f>
        <v>1.45</v>
      </c>
      <c r="C126" s="18" t="n">
        <f aca="false">(1-Delta_q)*C125+B126</f>
        <v>58</v>
      </c>
      <c r="D126" s="18" t="n">
        <f aca="false">IF(A126&lt;=$B$4,0,Rent_58)</f>
        <v>1.45</v>
      </c>
      <c r="E126" s="18" t="n">
        <f aca="false">(1-Delta_q)*E125+D126</f>
        <v>57.4829378307457</v>
      </c>
      <c r="F126" s="18" t="n">
        <f aca="false">MIN(Cap_q,MAX(C_keep-(1-Delta_q)*G125,0))</f>
        <v>1.45</v>
      </c>
      <c r="G126" s="18" t="n">
        <f aca="false">(1-Delta_q)*G125+F126</f>
        <v>58</v>
      </c>
      <c r="H126" s="18" t="n">
        <f aca="false">Rent_58</f>
        <v>1.45</v>
      </c>
      <c r="I126" s="18" t="n">
        <f aca="false">(1-Delta_q)*I125+H126</f>
        <v>56.5445356017401</v>
      </c>
    </row>
    <row r="127" customFormat="false" ht="15" hidden="false" customHeight="false" outlineLevel="0" collapsed="false">
      <c r="A127" s="12" t="n">
        <v>99</v>
      </c>
      <c r="B127" s="18" t="n">
        <f aca="false">IF(A127&lt;=$B$4,0,MIN(Cap_q,MAX(C_keep-(1-Delta_q)*C126,0)))</f>
        <v>1.45</v>
      </c>
      <c r="C127" s="18" t="n">
        <f aca="false">(1-Delta_q)*C126+B127</f>
        <v>58</v>
      </c>
      <c r="D127" s="18" t="n">
        <f aca="false">IF(A127&lt;=$B$4,0,Rent_58)</f>
        <v>1.45</v>
      </c>
      <c r="E127" s="18" t="n">
        <f aca="false">(1-Delta_q)*E126+D127</f>
        <v>57.4958643849771</v>
      </c>
      <c r="F127" s="18" t="n">
        <f aca="false">MIN(Cap_q,MAX(C_keep-(1-Delta_q)*G126,0))</f>
        <v>1.45</v>
      </c>
      <c r="G127" s="18" t="n">
        <f aca="false">(1-Delta_q)*G126+F127</f>
        <v>58</v>
      </c>
      <c r="H127" s="18" t="n">
        <f aca="false">Rent_58</f>
        <v>1.45</v>
      </c>
      <c r="I127" s="18" t="n">
        <f aca="false">(1-Delta_q)*I126+H127</f>
        <v>56.5809222116966</v>
      </c>
    </row>
    <row r="128" customFormat="false" ht="15" hidden="false" customHeight="false" outlineLevel="0" collapsed="false">
      <c r="A128" s="12" t="n">
        <v>100</v>
      </c>
      <c r="B128" s="18" t="n">
        <f aca="false">IF(A128&lt;=$B$4,0,MIN(Cap_q,MAX(C_keep-(1-Delta_q)*C127,0)))</f>
        <v>1.45</v>
      </c>
      <c r="C128" s="18" t="n">
        <f aca="false">(1-Delta_q)*C127+B128</f>
        <v>58</v>
      </c>
      <c r="D128" s="18" t="n">
        <f aca="false">IF(A128&lt;=$B$4,0,Rent_58)</f>
        <v>1.45</v>
      </c>
      <c r="E128" s="18" t="n">
        <f aca="false">(1-Delta_q)*E127+D128</f>
        <v>57.5084677753527</v>
      </c>
      <c r="F128" s="18" t="n">
        <f aca="false">MIN(Cap_q,MAX(C_keep-(1-Delta_q)*G127,0))</f>
        <v>1.45</v>
      </c>
      <c r="G128" s="18" t="n">
        <f aca="false">(1-Delta_q)*G127+F128</f>
        <v>58</v>
      </c>
      <c r="H128" s="18" t="n">
        <f aca="false">Rent_58</f>
        <v>1.45</v>
      </c>
      <c r="I128" s="18" t="n">
        <f aca="false">(1-Delta_q)*I127+H128</f>
        <v>56.6163991564042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253</v>
      </c>
    </row>
    <row r="3" customFormat="false" ht="15" hidden="false" customHeight="false" outlineLevel="0" collapsed="false">
      <c r="A3" s="8" t="s">
        <v>254</v>
      </c>
      <c r="B3" s="8" t="s">
        <v>154</v>
      </c>
      <c r="C3" s="8" t="s">
        <v>255</v>
      </c>
    </row>
    <row r="4" customFormat="false" ht="15" hidden="false" customHeight="false" outlineLevel="0" collapsed="false">
      <c r="A4" s="2" t="s">
        <v>256</v>
      </c>
      <c r="B4" s="12" t="n">
        <f aca="false">Proc_keep</f>
        <v>92</v>
      </c>
      <c r="C4" s="12" t="n">
        <f aca="false">Proc_leave</f>
        <v>112</v>
      </c>
    </row>
    <row r="5" customFormat="false" ht="15" hidden="false" customHeight="false" outlineLevel="0" collapsed="false">
      <c r="A5" s="2" t="s">
        <v>257</v>
      </c>
      <c r="B5" s="12" t="n">
        <f aca="false">C_keep</f>
        <v>58</v>
      </c>
      <c r="C5" s="12" t="n">
        <f aca="false">C_leave</f>
        <v>53</v>
      </c>
    </row>
    <row r="6" customFormat="false" ht="15" hidden="false" customHeight="false" outlineLevel="0" collapsed="false">
      <c r="A6" s="2" t="s">
        <v>258</v>
      </c>
      <c r="B6" s="12" t="n">
        <f aca="false">COUNTIF(Rebuild!$C$17:$C$97,"&lt;"&amp;Floor_c)</f>
        <v>0</v>
      </c>
      <c r="C6" s="12" t="n">
        <f aca="false">Rebuild!B7</f>
        <v>2</v>
      </c>
    </row>
    <row r="7" customFormat="false" ht="15" hidden="false" customHeight="false" outlineLevel="0" collapsed="false">
      <c r="A7" s="2" t="s">
        <v>259</v>
      </c>
      <c r="B7" s="12" t="n">
        <f aca="false">COUNTIF(Rebuild!$C$17:$C$97,"&lt;"&amp;(C_keep-0.000000001))</f>
        <v>0</v>
      </c>
      <c r="C7" s="12" t="n">
        <f aca="false">Rebuild!B8</f>
        <v>5</v>
      </c>
    </row>
    <row r="8" customFormat="false" ht="15" hidden="false" customHeight="false" outlineLevel="0" collapsed="false">
      <c r="A8" s="2" t="s">
        <v>260</v>
      </c>
      <c r="B8" s="15" t="n">
        <f aca="false">Rent_58*$C$7</f>
        <v>7.25</v>
      </c>
      <c r="C8" s="15" t="n">
        <f aca="false">SUMPRODUCT((Rebuild!$A$17:$A$97&gt;=1)*(Rebuild!$A$17:$A$97&lt;=$C$7)*Rebuild!$D$17:$D$97)</f>
        <v>11.9114975878906</v>
      </c>
    </row>
    <row r="9" customFormat="false" ht="15" hidden="false" customHeight="false" outlineLevel="0" collapsed="false">
      <c r="A9" s="2" t="s">
        <v>261</v>
      </c>
      <c r="B9" s="17" t="n">
        <f aca="false">B8*Price_pt</f>
        <v>29</v>
      </c>
      <c r="C9" s="17" t="n">
        <f aca="false">C8*Price_pt</f>
        <v>47.6459903515625</v>
      </c>
    </row>
    <row r="10" customFormat="false" ht="15" hidden="false" customHeight="false" outlineLevel="0" collapsed="false">
      <c r="A10" s="2" t="s">
        <v>262</v>
      </c>
      <c r="B10" s="17" t="n">
        <f aca="false">B4-B9</f>
        <v>63</v>
      </c>
      <c r="C10" s="17" t="n">
        <f aca="false">C4-C9</f>
        <v>64.3540096484375</v>
      </c>
    </row>
    <row r="12" customFormat="false" ht="15" hidden="false" customHeight="false" outlineLevel="0" collapsed="false">
      <c r="A12" s="2" t="s">
        <v>263</v>
      </c>
      <c r="B12" s="15" t="n">
        <f aca="false">C8-B8</f>
        <v>4.66149758789063</v>
      </c>
      <c r="C12" s="10" t="s">
        <v>264</v>
      </c>
    </row>
    <row r="13" customFormat="false" ht="15" hidden="false" customHeight="false" outlineLevel="0" collapsed="false">
      <c r="A13" s="2" t="s">
        <v>265</v>
      </c>
      <c r="B13" s="17" t="n">
        <f aca="false">C9-B9</f>
        <v>18.6459903515625</v>
      </c>
      <c r="C13" s="10" t="s">
        <v>266</v>
      </c>
    </row>
    <row r="14" customFormat="false" ht="15" hidden="false" customHeight="false" outlineLevel="0" collapsed="false">
      <c r="A14" s="2" t="s">
        <v>267</v>
      </c>
      <c r="B14" s="17" t="n">
        <f aca="false">C10-B10</f>
        <v>1.35400964843748</v>
      </c>
      <c r="C14" s="10" t="s">
        <v>268</v>
      </c>
    </row>
    <row r="16" customFormat="false" ht="15" hidden="false" customHeight="false" outlineLevel="0" collapsed="false">
      <c r="A16" s="2" t="s">
        <v>269</v>
      </c>
      <c r="B16" s="11" t="n">
        <v>30</v>
      </c>
      <c r="C16" s="10" t="s">
        <v>270</v>
      </c>
    </row>
    <row r="17" customFormat="false" ht="15" hidden="false" customHeight="false" outlineLevel="0" collapsed="false">
      <c r="A17" s="2" t="s">
        <v>271</v>
      </c>
      <c r="B17" s="17" t="n">
        <f aca="false">Proc_leave-B16-B9</f>
        <v>53</v>
      </c>
      <c r="C17" s="10"/>
    </row>
    <row r="18" customFormat="false" ht="15" hidden="false" customHeight="false" outlineLevel="0" collapsed="false">
      <c r="A18" s="2" t="s">
        <v>272</v>
      </c>
      <c r="B18" s="17" t="n">
        <f aca="false">C10-B17</f>
        <v>11.3540096484375</v>
      </c>
      <c r="C18" s="10" t="s">
        <v>273</v>
      </c>
    </row>
    <row r="20" customFormat="false" ht="15" hidden="false" customHeight="false" outlineLevel="0" collapsed="false">
      <c r="A20" s="8" t="s">
        <v>274</v>
      </c>
      <c r="B20" s="8" t="s">
        <v>275</v>
      </c>
      <c r="C20" s="8" t="s">
        <v>276</v>
      </c>
      <c r="D20" s="8" t="s">
        <v>277</v>
      </c>
      <c r="E20" s="8" t="s">
        <v>278</v>
      </c>
    </row>
    <row r="21" customFormat="false" ht="15" hidden="false" customHeight="false" outlineLevel="0" collapsed="false">
      <c r="A21" s="2" t="s">
        <v>279</v>
      </c>
      <c r="B21" s="17" t="n">
        <f aca="false">Cap_q</f>
        <v>2.5</v>
      </c>
      <c r="C21" s="11" t="n">
        <v>2</v>
      </c>
      <c r="D21" s="17" t="n">
        <f aca="false">Cap_q</f>
        <v>2.5</v>
      </c>
      <c r="E21" s="17" t="n">
        <f aca="false">Cap_q</f>
        <v>2.5</v>
      </c>
    </row>
    <row r="22" customFormat="false" ht="15" hidden="false" customHeight="false" outlineLevel="0" collapsed="false">
      <c r="A22" s="2" t="s">
        <v>280</v>
      </c>
      <c r="B22" s="16" t="n">
        <f aca="false">Dep_year</f>
        <v>0.0963121093750001</v>
      </c>
      <c r="C22" s="16" t="n">
        <f aca="false">Dep_year</f>
        <v>0.0963121093750001</v>
      </c>
      <c r="D22" s="22" t="n">
        <v>0.06</v>
      </c>
      <c r="E22" s="22" t="n">
        <v>0.11</v>
      </c>
    </row>
    <row r="23" customFormat="false" ht="15" hidden="false" customHeight="false" outlineLevel="0" collapsed="false">
      <c r="A23" s="2" t="s">
        <v>281</v>
      </c>
      <c r="B23" s="23" t="n">
        <f aca="false">Delta_q</f>
        <v>0.025</v>
      </c>
      <c r="C23" s="23" t="n">
        <f aca="false">Delta_q</f>
        <v>0.025</v>
      </c>
      <c r="D23" s="23" t="n">
        <f aca="false">1-(1-D22)^(1/4)</f>
        <v>0.0153498227881814</v>
      </c>
      <c r="E23" s="23" t="n">
        <f aca="false">1-(1-E22)^(1/4)</f>
        <v>0.0287131663583304</v>
      </c>
    </row>
    <row r="24" customFormat="false" ht="15" hidden="false" customHeight="false" outlineLevel="0" collapsed="false">
      <c r="A24" s="2" t="s">
        <v>282</v>
      </c>
      <c r="B24" s="12" t="n">
        <f aca="false">COUNTIF($C$32:$C$72,"&lt;"&amp;Floor_c)</f>
        <v>2</v>
      </c>
      <c r="C24" s="12" t="n">
        <f aca="false">COUNTIF($E$32:$E$72,"&lt;"&amp;Floor_c)</f>
        <v>4</v>
      </c>
      <c r="D24" s="12" t="n">
        <f aca="false">COUNTIF($G$32:$G$72,"&lt;"&amp;Floor_c)</f>
        <v>2</v>
      </c>
      <c r="E24" s="12" t="n">
        <f aca="false">COUNTIF($I$32:$I$72,"&lt;"&amp;Floor_c)</f>
        <v>3</v>
      </c>
    </row>
    <row r="25" customFormat="false" ht="15" hidden="false" customHeight="false" outlineLevel="0" collapsed="false">
      <c r="A25" s="2" t="s">
        <v>283</v>
      </c>
      <c r="B25" s="12" t="n">
        <f aca="false">COUNTIF($C$32:$C$72,"&lt;"&amp;(C_keep-0.000000001))</f>
        <v>5</v>
      </c>
      <c r="C25" s="12" t="n">
        <f aca="false">COUNTIF($E$32:$E$72,"&lt;"&amp;(C_keep-0.000000001))</f>
        <v>9</v>
      </c>
      <c r="D25" s="12" t="n">
        <f aca="false">COUNTIF($G$32:$G$72,"&lt;"&amp;(C_keep-0.000000001))</f>
        <v>4</v>
      </c>
      <c r="E25" s="12" t="n">
        <f aca="false">COUNTIF($I$32:$I$72,"&lt;"&amp;(C_keep-0.000000001))</f>
        <v>6</v>
      </c>
    </row>
    <row r="26" customFormat="false" ht="15" hidden="false" customHeight="false" outlineLevel="0" collapsed="false">
      <c r="A26" s="2" t="s">
        <v>284</v>
      </c>
      <c r="B26" s="18" t="n">
        <f aca="false">SUMPRODUCT(($A$32:$A$72&gt;=1)*($A$32:$A$72&lt;=B25)*$B$32:$B$72)</f>
        <v>11.9114975878906</v>
      </c>
      <c r="C26" s="18" t="n">
        <f aca="false">SUMPRODUCT(($A$32:$A$72&gt;=1)*($A$32:$A$72&lt;=C25)*$D$32:$D$72)</f>
        <v>17.4983587314091</v>
      </c>
      <c r="D26" s="18" t="n">
        <f aca="false">SUMPRODUCT(($A$32:$A$72&gt;=1)*($A$32:$A$72&lt;=D25)*$F$32:$F$72)</f>
        <v>8.40790021292673</v>
      </c>
      <c r="E26" s="18" t="n">
        <f aca="false">SUMPRODUCT(($A$32:$A$72&gt;=1)*($A$32:$A$72&lt;=E25)*$H$32:$H$72)</f>
        <v>14.5363100125204</v>
      </c>
    </row>
    <row r="27" customFormat="false" ht="15" hidden="false" customHeight="false" outlineLevel="0" collapsed="false">
      <c r="A27" s="2" t="s">
        <v>285</v>
      </c>
      <c r="B27" s="18" t="n">
        <f aca="false">B23*C_keep*B25</f>
        <v>7.25</v>
      </c>
      <c r="C27" s="18" t="n">
        <f aca="false">C23*C_keep*C25</f>
        <v>13.05</v>
      </c>
      <c r="D27" s="18" t="n">
        <f aca="false">D23*C_keep*D25</f>
        <v>3.56115888685809</v>
      </c>
      <c r="E27" s="18" t="n">
        <f aca="false">E23*C_keep*E25</f>
        <v>9.99218189269899</v>
      </c>
    </row>
    <row r="28" customFormat="false" ht="15" hidden="false" customHeight="false" outlineLevel="0" collapsed="false">
      <c r="A28" s="2" t="s">
        <v>286</v>
      </c>
      <c r="B28" s="17" t="n">
        <f aca="false">(B26-B27)*Price_pt</f>
        <v>18.6459903515625</v>
      </c>
      <c r="C28" s="17" t="n">
        <f aca="false">(C26-C27)*Price_pt</f>
        <v>17.7934349256362</v>
      </c>
      <c r="D28" s="17" t="n">
        <f aca="false">(D26-D27)*Price_pt</f>
        <v>19.3869653042745</v>
      </c>
      <c r="E28" s="17" t="n">
        <f aca="false">(E26-E27)*Price_pt</f>
        <v>18.1765124792855</v>
      </c>
    </row>
    <row r="29" customFormat="false" ht="15" hidden="false" customHeight="false" outlineLevel="0" collapsed="false">
      <c r="A29" s="10" t="s">
        <v>287</v>
      </c>
    </row>
    <row r="31" customFormat="false" ht="23.85" hidden="false" customHeight="false" outlineLevel="0" collapsed="false">
      <c r="A31" s="8" t="s">
        <v>207</v>
      </c>
      <c r="B31" s="8" t="s">
        <v>288</v>
      </c>
      <c r="C31" s="8" t="s">
        <v>249</v>
      </c>
      <c r="D31" s="8" t="s">
        <v>289</v>
      </c>
      <c r="E31" s="8" t="s">
        <v>249</v>
      </c>
      <c r="F31" s="8" t="s">
        <v>290</v>
      </c>
      <c r="G31" s="8" t="s">
        <v>249</v>
      </c>
      <c r="H31" s="8" t="s">
        <v>291</v>
      </c>
      <c r="I31" s="8" t="s">
        <v>249</v>
      </c>
    </row>
    <row r="32" customFormat="false" ht="15" hidden="false" customHeight="false" outlineLevel="0" collapsed="false">
      <c r="A32" s="12" t="n">
        <v>0</v>
      </c>
      <c r="C32" s="18" t="n">
        <f aca="false">C_leave</f>
        <v>53</v>
      </c>
      <c r="E32" s="18" t="n">
        <f aca="false">C_leave</f>
        <v>53</v>
      </c>
      <c r="G32" s="18" t="n">
        <f aca="false">C_leave</f>
        <v>53</v>
      </c>
      <c r="I32" s="18" t="n">
        <f aca="false">C_leave</f>
        <v>53</v>
      </c>
    </row>
    <row r="33" customFormat="false" ht="15" hidden="false" customHeight="false" outlineLevel="0" collapsed="false">
      <c r="A33" s="12" t="n">
        <v>1</v>
      </c>
      <c r="B33" s="18" t="n">
        <f aca="false">MIN($B$21,MAX(C_keep-(1-$B$23)*C32,0))</f>
        <v>2.5</v>
      </c>
      <c r="C33" s="18" t="n">
        <f aca="false">(1-$B$23)*C32+B33</f>
        <v>54.175</v>
      </c>
      <c r="D33" s="18" t="n">
        <f aca="false">MIN($C$21,MAX(C_keep-(1-$C$23)*E32,0))</f>
        <v>2</v>
      </c>
      <c r="E33" s="18" t="n">
        <f aca="false">(1-$C$23)*E32+D33</f>
        <v>53.675</v>
      </c>
      <c r="F33" s="18" t="n">
        <f aca="false">MIN($D$21,MAX(C_keep-(1-$D$23)*G32,0))</f>
        <v>2.5</v>
      </c>
      <c r="G33" s="18" t="n">
        <f aca="false">(1-$D$23)*G32+F33</f>
        <v>54.6864593922264</v>
      </c>
      <c r="H33" s="18" t="n">
        <f aca="false">MIN($E$21,MAX(C_keep-(1-$E$23)*I32,0))</f>
        <v>2.5</v>
      </c>
      <c r="I33" s="18" t="n">
        <f aca="false">(1-$E$23)*I32+H33</f>
        <v>53.9782021830085</v>
      </c>
    </row>
    <row r="34" customFormat="false" ht="15" hidden="false" customHeight="false" outlineLevel="0" collapsed="false">
      <c r="A34" s="12" t="n">
        <v>2</v>
      </c>
      <c r="B34" s="18" t="n">
        <f aca="false">MIN($B$21,MAX(C_keep-(1-$B$23)*C33,0))</f>
        <v>2.5</v>
      </c>
      <c r="C34" s="18" t="n">
        <f aca="false">(1-$B$23)*C33+B34</f>
        <v>55.320625</v>
      </c>
      <c r="D34" s="18" t="n">
        <f aca="false">MIN($C$21,MAX(C_keep-(1-$C$23)*E33,0))</f>
        <v>2</v>
      </c>
      <c r="E34" s="18" t="n">
        <f aca="false">(1-$C$23)*E33+D34</f>
        <v>54.333125</v>
      </c>
      <c r="F34" s="18" t="n">
        <f aca="false">MIN($D$21,MAX(C_keep-(1-$D$23)*G33,0))</f>
        <v>2.5</v>
      </c>
      <c r="G34" s="18" t="n">
        <f aca="false">(1-$D$23)*G33+F34</f>
        <v>56.3470319316426</v>
      </c>
      <c r="H34" s="18" t="n">
        <f aca="false">MIN($E$21,MAX(C_keep-(1-$E$23)*I33,0))</f>
        <v>2.5</v>
      </c>
      <c r="I34" s="18" t="n">
        <f aca="false">(1-$E$23)*I33+H34</f>
        <v>54.9283170840042</v>
      </c>
    </row>
    <row r="35" customFormat="false" ht="15" hidden="false" customHeight="false" outlineLevel="0" collapsed="false">
      <c r="A35" s="12" t="n">
        <v>3</v>
      </c>
      <c r="B35" s="18" t="n">
        <f aca="false">MIN($B$21,MAX(C_keep-(1-$B$23)*C34,0))</f>
        <v>2.5</v>
      </c>
      <c r="C35" s="18" t="n">
        <f aca="false">(1-$B$23)*C34+B35</f>
        <v>56.437609375</v>
      </c>
      <c r="D35" s="18" t="n">
        <f aca="false">MIN($C$21,MAX(C_keep-(1-$C$23)*E34,0))</f>
        <v>2</v>
      </c>
      <c r="E35" s="18" t="n">
        <f aca="false">(1-$C$23)*E34+D35</f>
        <v>54.974796875</v>
      </c>
      <c r="F35" s="18" t="n">
        <f aca="false">MIN($D$21,MAX(C_keep-(1-$D$23)*G34,0))</f>
        <v>2.5</v>
      </c>
      <c r="G35" s="18" t="n">
        <f aca="false">(1-$D$23)*G34+F35</f>
        <v>57.9821149768519</v>
      </c>
      <c r="H35" s="18" t="n">
        <f aca="false">MIN($E$21,MAX(C_keep-(1-$E$23)*I34,0))</f>
        <v>2.5</v>
      </c>
      <c r="I35" s="18" t="n">
        <f aca="false">(1-$E$23)*I34+H35</f>
        <v>55.851151177788</v>
      </c>
    </row>
    <row r="36" customFormat="false" ht="15" hidden="false" customHeight="false" outlineLevel="0" collapsed="false">
      <c r="A36" s="12" t="n">
        <v>4</v>
      </c>
      <c r="B36" s="18" t="n">
        <f aca="false">MIN($B$21,MAX(C_keep-(1-$B$23)*C35,0))</f>
        <v>2.5</v>
      </c>
      <c r="C36" s="18" t="n">
        <f aca="false">(1-$B$23)*C35+B36</f>
        <v>57.526669140625</v>
      </c>
      <c r="D36" s="18" t="n">
        <f aca="false">MIN($C$21,MAX(C_keep-(1-$C$23)*E35,0))</f>
        <v>2</v>
      </c>
      <c r="E36" s="18" t="n">
        <f aca="false">(1-$C$23)*E35+D36</f>
        <v>55.600426953125</v>
      </c>
      <c r="F36" s="18" t="n">
        <f aca="false">MIN($D$21,MAX(C_keep-(1-$D$23)*G35,0))</f>
        <v>0.907900212926727</v>
      </c>
      <c r="G36" s="18" t="n">
        <f aca="false">(1-$D$23)*G35+F36</f>
        <v>58</v>
      </c>
      <c r="H36" s="18" t="n">
        <f aca="false">MIN($E$21,MAX(C_keep-(1-$E$23)*I35,0))</f>
        <v>2.5</v>
      </c>
      <c r="I36" s="18" t="n">
        <f aca="false">(1-$E$23)*I35+H36</f>
        <v>56.7474877827159</v>
      </c>
    </row>
    <row r="37" customFormat="false" ht="15" hidden="false" customHeight="false" outlineLevel="0" collapsed="false">
      <c r="A37" s="12" t="n">
        <v>5</v>
      </c>
      <c r="B37" s="18" t="n">
        <f aca="false">MIN($B$21,MAX(C_keep-(1-$B$23)*C36,0))</f>
        <v>1.91149758789063</v>
      </c>
      <c r="C37" s="18" t="n">
        <f aca="false">(1-$B$23)*C36+B37</f>
        <v>58</v>
      </c>
      <c r="D37" s="18" t="n">
        <f aca="false">MIN($C$21,MAX(C_keep-(1-$C$23)*E36,0))</f>
        <v>2</v>
      </c>
      <c r="E37" s="18" t="n">
        <f aca="false">(1-$C$23)*E36+D37</f>
        <v>56.2104162792969</v>
      </c>
      <c r="F37" s="18" t="n">
        <f aca="false">MIN($D$21,MAX(C_keep-(1-$D$23)*G36,0))</f>
        <v>0.890289721714524</v>
      </c>
      <c r="G37" s="18" t="n">
        <f aca="false">(1-$D$23)*G36+F37</f>
        <v>58</v>
      </c>
      <c r="H37" s="18" t="n">
        <f aca="false">MIN($E$21,MAX(C_keep-(1-$E$23)*I36,0))</f>
        <v>2.5</v>
      </c>
      <c r="I37" s="18" t="n">
        <f aca="false">(1-$E$23)*I36+H37</f>
        <v>57.6180877255935</v>
      </c>
    </row>
    <row r="38" customFormat="false" ht="15" hidden="false" customHeight="false" outlineLevel="0" collapsed="false">
      <c r="A38" s="12" t="n">
        <v>6</v>
      </c>
      <c r="B38" s="18" t="n">
        <f aca="false">MIN($B$21,MAX(C_keep-(1-$B$23)*C37,0))</f>
        <v>1.45</v>
      </c>
      <c r="C38" s="18" t="n">
        <f aca="false">(1-$B$23)*C37+B38</f>
        <v>58</v>
      </c>
      <c r="D38" s="18" t="n">
        <f aca="false">MIN($C$21,MAX(C_keep-(1-$C$23)*E37,0))</f>
        <v>2</v>
      </c>
      <c r="E38" s="18" t="n">
        <f aca="false">(1-$C$23)*E37+D38</f>
        <v>56.8051558723144</v>
      </c>
      <c r="F38" s="18" t="n">
        <f aca="false">MIN($D$21,MAX(C_keep-(1-$D$23)*G37,0))</f>
        <v>0.890289721714524</v>
      </c>
      <c r="G38" s="18" t="n">
        <f aca="false">(1-$D$23)*G37+F38</f>
        <v>58</v>
      </c>
      <c r="H38" s="18" t="n">
        <f aca="false">MIN($E$21,MAX(C_keep-(1-$E$23)*I37,0))</f>
        <v>2.03631001252035</v>
      </c>
      <c r="I38" s="18" t="n">
        <f aca="false">(1-$E$23)*I37+H38</f>
        <v>58</v>
      </c>
    </row>
    <row r="39" customFormat="false" ht="15" hidden="false" customHeight="false" outlineLevel="0" collapsed="false">
      <c r="A39" s="12" t="n">
        <v>7</v>
      </c>
      <c r="B39" s="18" t="n">
        <f aca="false">MIN($B$21,MAX(C_keep-(1-$B$23)*C38,0))</f>
        <v>1.45</v>
      </c>
      <c r="C39" s="18" t="n">
        <f aca="false">(1-$B$23)*C38+B39</f>
        <v>58</v>
      </c>
      <c r="D39" s="18" t="n">
        <f aca="false">MIN($C$21,MAX(C_keep-(1-$C$23)*E38,0))</f>
        <v>2</v>
      </c>
      <c r="E39" s="18" t="n">
        <f aca="false">(1-$C$23)*E38+D39</f>
        <v>57.3850269755066</v>
      </c>
      <c r="F39" s="18" t="n">
        <f aca="false">MIN($D$21,MAX(C_keep-(1-$D$23)*G38,0))</f>
        <v>0.890289721714524</v>
      </c>
      <c r="G39" s="18" t="n">
        <f aca="false">(1-$D$23)*G38+F39</f>
        <v>58</v>
      </c>
      <c r="H39" s="18" t="n">
        <f aca="false">MIN($E$21,MAX(C_keep-(1-$E$23)*I38,0))</f>
        <v>1.66536364878316</v>
      </c>
      <c r="I39" s="18" t="n">
        <f aca="false">(1-$E$23)*I38+H39</f>
        <v>58</v>
      </c>
    </row>
    <row r="40" customFormat="false" ht="15" hidden="false" customHeight="false" outlineLevel="0" collapsed="false">
      <c r="A40" s="12" t="n">
        <v>8</v>
      </c>
      <c r="B40" s="18" t="n">
        <f aca="false">MIN($B$21,MAX(C_keep-(1-$B$23)*C39,0))</f>
        <v>1.45</v>
      </c>
      <c r="C40" s="18" t="n">
        <f aca="false">(1-$B$23)*C39+B40</f>
        <v>58</v>
      </c>
      <c r="D40" s="18" t="n">
        <f aca="false">MIN($C$21,MAX(C_keep-(1-$C$23)*E39,0))</f>
        <v>2</v>
      </c>
      <c r="E40" s="18" t="n">
        <f aca="false">(1-$C$23)*E39+D40</f>
        <v>57.9504013011189</v>
      </c>
      <c r="F40" s="18" t="n">
        <f aca="false">MIN($D$21,MAX(C_keep-(1-$D$23)*G39,0))</f>
        <v>0.890289721714524</v>
      </c>
      <c r="G40" s="18" t="n">
        <f aca="false">(1-$D$23)*G39+F40</f>
        <v>58</v>
      </c>
      <c r="H40" s="18" t="n">
        <f aca="false">MIN($E$21,MAX(C_keep-(1-$E$23)*I39,0))</f>
        <v>1.66536364878316</v>
      </c>
      <c r="I40" s="18" t="n">
        <f aca="false">(1-$E$23)*I39+H40</f>
        <v>58</v>
      </c>
    </row>
    <row r="41" customFormat="false" ht="15" hidden="false" customHeight="false" outlineLevel="0" collapsed="false">
      <c r="A41" s="12" t="n">
        <v>9</v>
      </c>
      <c r="B41" s="18" t="n">
        <f aca="false">MIN($B$21,MAX(C_keep-(1-$B$23)*C40,0))</f>
        <v>1.45</v>
      </c>
      <c r="C41" s="18" t="n">
        <f aca="false">(1-$B$23)*C40+B41</f>
        <v>58</v>
      </c>
      <c r="D41" s="18" t="n">
        <f aca="false">MIN($C$21,MAX(C_keep-(1-$C$23)*E40,0))</f>
        <v>1.49835873140906</v>
      </c>
      <c r="E41" s="18" t="n">
        <f aca="false">(1-$C$23)*E40+D41</f>
        <v>58</v>
      </c>
      <c r="F41" s="18" t="n">
        <f aca="false">MIN($D$21,MAX(C_keep-(1-$D$23)*G40,0))</f>
        <v>0.890289721714524</v>
      </c>
      <c r="G41" s="18" t="n">
        <f aca="false">(1-$D$23)*G40+F41</f>
        <v>58</v>
      </c>
      <c r="H41" s="18" t="n">
        <f aca="false">MIN($E$21,MAX(C_keep-(1-$E$23)*I40,0))</f>
        <v>1.66536364878316</v>
      </c>
      <c r="I41" s="18" t="n">
        <f aca="false">(1-$E$23)*I40+H41</f>
        <v>58</v>
      </c>
    </row>
    <row r="42" customFormat="false" ht="15" hidden="false" customHeight="false" outlineLevel="0" collapsed="false">
      <c r="A42" s="12" t="n">
        <v>10</v>
      </c>
      <c r="B42" s="18" t="n">
        <f aca="false">MIN($B$21,MAX(C_keep-(1-$B$23)*C41,0))</f>
        <v>1.45</v>
      </c>
      <c r="C42" s="18" t="n">
        <f aca="false">(1-$B$23)*C41+B42</f>
        <v>58</v>
      </c>
      <c r="D42" s="18" t="n">
        <f aca="false">MIN($C$21,MAX(C_keep-(1-$C$23)*E41,0))</f>
        <v>1.45</v>
      </c>
      <c r="E42" s="18" t="n">
        <f aca="false">(1-$C$23)*E41+D42</f>
        <v>58</v>
      </c>
      <c r="F42" s="18" t="n">
        <f aca="false">MIN($D$21,MAX(C_keep-(1-$D$23)*G41,0))</f>
        <v>0.890289721714524</v>
      </c>
      <c r="G42" s="18" t="n">
        <f aca="false">(1-$D$23)*G41+F42</f>
        <v>58</v>
      </c>
      <c r="H42" s="18" t="n">
        <f aca="false">MIN($E$21,MAX(C_keep-(1-$E$23)*I41,0))</f>
        <v>1.66536364878316</v>
      </c>
      <c r="I42" s="18" t="n">
        <f aca="false">(1-$E$23)*I41+H42</f>
        <v>58</v>
      </c>
    </row>
    <row r="43" customFormat="false" ht="15" hidden="false" customHeight="false" outlineLevel="0" collapsed="false">
      <c r="A43" s="12" t="n">
        <v>11</v>
      </c>
      <c r="B43" s="18" t="n">
        <f aca="false">MIN($B$21,MAX(C_keep-(1-$B$23)*C42,0))</f>
        <v>1.45</v>
      </c>
      <c r="C43" s="18" t="n">
        <f aca="false">(1-$B$23)*C42+B43</f>
        <v>58</v>
      </c>
      <c r="D43" s="18" t="n">
        <f aca="false">MIN($C$21,MAX(C_keep-(1-$C$23)*E42,0))</f>
        <v>1.45</v>
      </c>
      <c r="E43" s="18" t="n">
        <f aca="false">(1-$C$23)*E42+D43</f>
        <v>58</v>
      </c>
      <c r="F43" s="18" t="n">
        <f aca="false">MIN($D$21,MAX(C_keep-(1-$D$23)*G42,0))</f>
        <v>0.890289721714524</v>
      </c>
      <c r="G43" s="18" t="n">
        <f aca="false">(1-$D$23)*G42+F43</f>
        <v>58</v>
      </c>
      <c r="H43" s="18" t="n">
        <f aca="false">MIN($E$21,MAX(C_keep-(1-$E$23)*I42,0))</f>
        <v>1.66536364878316</v>
      </c>
      <c r="I43" s="18" t="n">
        <f aca="false">(1-$E$23)*I42+H43</f>
        <v>58</v>
      </c>
    </row>
    <row r="44" customFormat="false" ht="15" hidden="false" customHeight="false" outlineLevel="0" collapsed="false">
      <c r="A44" s="12" t="n">
        <v>12</v>
      </c>
      <c r="B44" s="18" t="n">
        <f aca="false">MIN($B$21,MAX(C_keep-(1-$B$23)*C43,0))</f>
        <v>1.45</v>
      </c>
      <c r="C44" s="18" t="n">
        <f aca="false">(1-$B$23)*C43+B44</f>
        <v>58</v>
      </c>
      <c r="D44" s="18" t="n">
        <f aca="false">MIN($C$21,MAX(C_keep-(1-$C$23)*E43,0))</f>
        <v>1.45</v>
      </c>
      <c r="E44" s="18" t="n">
        <f aca="false">(1-$C$23)*E43+D44</f>
        <v>58</v>
      </c>
      <c r="F44" s="18" t="n">
        <f aca="false">MIN($D$21,MAX(C_keep-(1-$D$23)*G43,0))</f>
        <v>0.890289721714524</v>
      </c>
      <c r="G44" s="18" t="n">
        <f aca="false">(1-$D$23)*G43+F44</f>
        <v>58</v>
      </c>
      <c r="H44" s="18" t="n">
        <f aca="false">MIN($E$21,MAX(C_keep-(1-$E$23)*I43,0))</f>
        <v>1.66536364878316</v>
      </c>
      <c r="I44" s="18" t="n">
        <f aca="false">(1-$E$23)*I43+H44</f>
        <v>58</v>
      </c>
    </row>
    <row r="45" customFormat="false" ht="15" hidden="false" customHeight="false" outlineLevel="0" collapsed="false">
      <c r="A45" s="12" t="n">
        <v>13</v>
      </c>
      <c r="B45" s="18" t="n">
        <f aca="false">MIN($B$21,MAX(C_keep-(1-$B$23)*C44,0))</f>
        <v>1.45</v>
      </c>
      <c r="C45" s="18" t="n">
        <f aca="false">(1-$B$23)*C44+B45</f>
        <v>58</v>
      </c>
      <c r="D45" s="18" t="n">
        <f aca="false">MIN($C$21,MAX(C_keep-(1-$C$23)*E44,0))</f>
        <v>1.45</v>
      </c>
      <c r="E45" s="18" t="n">
        <f aca="false">(1-$C$23)*E44+D45</f>
        <v>58</v>
      </c>
      <c r="F45" s="18" t="n">
        <f aca="false">MIN($D$21,MAX(C_keep-(1-$D$23)*G44,0))</f>
        <v>0.890289721714524</v>
      </c>
      <c r="G45" s="18" t="n">
        <f aca="false">(1-$D$23)*G44+F45</f>
        <v>58</v>
      </c>
      <c r="H45" s="18" t="n">
        <f aca="false">MIN($E$21,MAX(C_keep-(1-$E$23)*I44,0))</f>
        <v>1.66536364878316</v>
      </c>
      <c r="I45" s="18" t="n">
        <f aca="false">(1-$E$23)*I44+H45</f>
        <v>58</v>
      </c>
    </row>
    <row r="46" customFormat="false" ht="15" hidden="false" customHeight="false" outlineLevel="0" collapsed="false">
      <c r="A46" s="12" t="n">
        <v>14</v>
      </c>
      <c r="B46" s="18" t="n">
        <f aca="false">MIN($B$21,MAX(C_keep-(1-$B$23)*C45,0))</f>
        <v>1.45</v>
      </c>
      <c r="C46" s="18" t="n">
        <f aca="false">(1-$B$23)*C45+B46</f>
        <v>58</v>
      </c>
      <c r="D46" s="18" t="n">
        <f aca="false">MIN($C$21,MAX(C_keep-(1-$C$23)*E45,0))</f>
        <v>1.45</v>
      </c>
      <c r="E46" s="18" t="n">
        <f aca="false">(1-$C$23)*E45+D46</f>
        <v>58</v>
      </c>
      <c r="F46" s="18" t="n">
        <f aca="false">MIN($D$21,MAX(C_keep-(1-$D$23)*G45,0))</f>
        <v>0.890289721714524</v>
      </c>
      <c r="G46" s="18" t="n">
        <f aca="false">(1-$D$23)*G45+F46</f>
        <v>58</v>
      </c>
      <c r="H46" s="18" t="n">
        <f aca="false">MIN($E$21,MAX(C_keep-(1-$E$23)*I45,0))</f>
        <v>1.66536364878316</v>
      </c>
      <c r="I46" s="18" t="n">
        <f aca="false">(1-$E$23)*I45+H46</f>
        <v>58</v>
      </c>
    </row>
    <row r="47" customFormat="false" ht="15" hidden="false" customHeight="false" outlineLevel="0" collapsed="false">
      <c r="A47" s="12" t="n">
        <v>15</v>
      </c>
      <c r="B47" s="18" t="n">
        <f aca="false">MIN($B$21,MAX(C_keep-(1-$B$23)*C46,0))</f>
        <v>1.45</v>
      </c>
      <c r="C47" s="18" t="n">
        <f aca="false">(1-$B$23)*C46+B47</f>
        <v>58</v>
      </c>
      <c r="D47" s="18" t="n">
        <f aca="false">MIN($C$21,MAX(C_keep-(1-$C$23)*E46,0))</f>
        <v>1.45</v>
      </c>
      <c r="E47" s="18" t="n">
        <f aca="false">(1-$C$23)*E46+D47</f>
        <v>58</v>
      </c>
      <c r="F47" s="18" t="n">
        <f aca="false">MIN($D$21,MAX(C_keep-(1-$D$23)*G46,0))</f>
        <v>0.890289721714524</v>
      </c>
      <c r="G47" s="18" t="n">
        <f aca="false">(1-$D$23)*G46+F47</f>
        <v>58</v>
      </c>
      <c r="H47" s="18" t="n">
        <f aca="false">MIN($E$21,MAX(C_keep-(1-$E$23)*I46,0))</f>
        <v>1.66536364878316</v>
      </c>
      <c r="I47" s="18" t="n">
        <f aca="false">(1-$E$23)*I46+H47</f>
        <v>58</v>
      </c>
    </row>
    <row r="48" customFormat="false" ht="15" hidden="false" customHeight="false" outlineLevel="0" collapsed="false">
      <c r="A48" s="12" t="n">
        <v>16</v>
      </c>
      <c r="B48" s="18" t="n">
        <f aca="false">MIN($B$21,MAX(C_keep-(1-$B$23)*C47,0))</f>
        <v>1.45</v>
      </c>
      <c r="C48" s="18" t="n">
        <f aca="false">(1-$B$23)*C47+B48</f>
        <v>58</v>
      </c>
      <c r="D48" s="18" t="n">
        <f aca="false">MIN($C$21,MAX(C_keep-(1-$C$23)*E47,0))</f>
        <v>1.45</v>
      </c>
      <c r="E48" s="18" t="n">
        <f aca="false">(1-$C$23)*E47+D48</f>
        <v>58</v>
      </c>
      <c r="F48" s="18" t="n">
        <f aca="false">MIN($D$21,MAX(C_keep-(1-$D$23)*G47,0))</f>
        <v>0.890289721714524</v>
      </c>
      <c r="G48" s="18" t="n">
        <f aca="false">(1-$D$23)*G47+F48</f>
        <v>58</v>
      </c>
      <c r="H48" s="18" t="n">
        <f aca="false">MIN($E$21,MAX(C_keep-(1-$E$23)*I47,0))</f>
        <v>1.66536364878316</v>
      </c>
      <c r="I48" s="18" t="n">
        <f aca="false">(1-$E$23)*I47+H48</f>
        <v>58</v>
      </c>
    </row>
    <row r="49" customFormat="false" ht="15" hidden="false" customHeight="false" outlineLevel="0" collapsed="false">
      <c r="A49" s="12" t="n">
        <v>17</v>
      </c>
      <c r="B49" s="18" t="n">
        <f aca="false">MIN($B$21,MAX(C_keep-(1-$B$23)*C48,0))</f>
        <v>1.45</v>
      </c>
      <c r="C49" s="18" t="n">
        <f aca="false">(1-$B$23)*C48+B49</f>
        <v>58</v>
      </c>
      <c r="D49" s="18" t="n">
        <f aca="false">MIN($C$21,MAX(C_keep-(1-$C$23)*E48,0))</f>
        <v>1.45</v>
      </c>
      <c r="E49" s="18" t="n">
        <f aca="false">(1-$C$23)*E48+D49</f>
        <v>58</v>
      </c>
      <c r="F49" s="18" t="n">
        <f aca="false">MIN($D$21,MAX(C_keep-(1-$D$23)*G48,0))</f>
        <v>0.890289721714524</v>
      </c>
      <c r="G49" s="18" t="n">
        <f aca="false">(1-$D$23)*G48+F49</f>
        <v>58</v>
      </c>
      <c r="H49" s="18" t="n">
        <f aca="false">MIN($E$21,MAX(C_keep-(1-$E$23)*I48,0))</f>
        <v>1.66536364878316</v>
      </c>
      <c r="I49" s="18" t="n">
        <f aca="false">(1-$E$23)*I48+H49</f>
        <v>58</v>
      </c>
    </row>
    <row r="50" customFormat="false" ht="15" hidden="false" customHeight="false" outlineLevel="0" collapsed="false">
      <c r="A50" s="12" t="n">
        <v>18</v>
      </c>
      <c r="B50" s="18" t="n">
        <f aca="false">MIN($B$21,MAX(C_keep-(1-$B$23)*C49,0))</f>
        <v>1.45</v>
      </c>
      <c r="C50" s="18" t="n">
        <f aca="false">(1-$B$23)*C49+B50</f>
        <v>58</v>
      </c>
      <c r="D50" s="18" t="n">
        <f aca="false">MIN($C$21,MAX(C_keep-(1-$C$23)*E49,0))</f>
        <v>1.45</v>
      </c>
      <c r="E50" s="18" t="n">
        <f aca="false">(1-$C$23)*E49+D50</f>
        <v>58</v>
      </c>
      <c r="F50" s="18" t="n">
        <f aca="false">MIN($D$21,MAX(C_keep-(1-$D$23)*G49,0))</f>
        <v>0.890289721714524</v>
      </c>
      <c r="G50" s="18" t="n">
        <f aca="false">(1-$D$23)*G49+F50</f>
        <v>58</v>
      </c>
      <c r="H50" s="18" t="n">
        <f aca="false">MIN($E$21,MAX(C_keep-(1-$E$23)*I49,0))</f>
        <v>1.66536364878316</v>
      </c>
      <c r="I50" s="18" t="n">
        <f aca="false">(1-$E$23)*I49+H50</f>
        <v>58</v>
      </c>
    </row>
    <row r="51" customFormat="false" ht="15" hidden="false" customHeight="false" outlineLevel="0" collapsed="false">
      <c r="A51" s="12" t="n">
        <v>19</v>
      </c>
      <c r="B51" s="18" t="n">
        <f aca="false">MIN($B$21,MAX(C_keep-(1-$B$23)*C50,0))</f>
        <v>1.45</v>
      </c>
      <c r="C51" s="18" t="n">
        <f aca="false">(1-$B$23)*C50+B51</f>
        <v>58</v>
      </c>
      <c r="D51" s="18" t="n">
        <f aca="false">MIN($C$21,MAX(C_keep-(1-$C$23)*E50,0))</f>
        <v>1.45</v>
      </c>
      <c r="E51" s="18" t="n">
        <f aca="false">(1-$C$23)*E50+D51</f>
        <v>58</v>
      </c>
      <c r="F51" s="18" t="n">
        <f aca="false">MIN($D$21,MAX(C_keep-(1-$D$23)*G50,0))</f>
        <v>0.890289721714524</v>
      </c>
      <c r="G51" s="18" t="n">
        <f aca="false">(1-$D$23)*G50+F51</f>
        <v>58</v>
      </c>
      <c r="H51" s="18" t="n">
        <f aca="false">MIN($E$21,MAX(C_keep-(1-$E$23)*I50,0))</f>
        <v>1.66536364878316</v>
      </c>
      <c r="I51" s="18" t="n">
        <f aca="false">(1-$E$23)*I50+H51</f>
        <v>58</v>
      </c>
    </row>
    <row r="52" customFormat="false" ht="15" hidden="false" customHeight="false" outlineLevel="0" collapsed="false">
      <c r="A52" s="12" t="n">
        <v>20</v>
      </c>
      <c r="B52" s="18" t="n">
        <f aca="false">MIN($B$21,MAX(C_keep-(1-$B$23)*C51,0))</f>
        <v>1.45</v>
      </c>
      <c r="C52" s="18" t="n">
        <f aca="false">(1-$B$23)*C51+B52</f>
        <v>58</v>
      </c>
      <c r="D52" s="18" t="n">
        <f aca="false">MIN($C$21,MAX(C_keep-(1-$C$23)*E51,0))</f>
        <v>1.45</v>
      </c>
      <c r="E52" s="18" t="n">
        <f aca="false">(1-$C$23)*E51+D52</f>
        <v>58</v>
      </c>
      <c r="F52" s="18" t="n">
        <f aca="false">MIN($D$21,MAX(C_keep-(1-$D$23)*G51,0))</f>
        <v>0.890289721714524</v>
      </c>
      <c r="G52" s="18" t="n">
        <f aca="false">(1-$D$23)*G51+F52</f>
        <v>58</v>
      </c>
      <c r="H52" s="18" t="n">
        <f aca="false">MIN($E$21,MAX(C_keep-(1-$E$23)*I51,0))</f>
        <v>1.66536364878316</v>
      </c>
      <c r="I52" s="18" t="n">
        <f aca="false">(1-$E$23)*I51+H52</f>
        <v>58</v>
      </c>
    </row>
    <row r="53" customFormat="false" ht="15" hidden="false" customHeight="false" outlineLevel="0" collapsed="false">
      <c r="A53" s="12" t="n">
        <v>21</v>
      </c>
      <c r="B53" s="18" t="n">
        <f aca="false">MIN($B$21,MAX(C_keep-(1-$B$23)*C52,0))</f>
        <v>1.45</v>
      </c>
      <c r="C53" s="18" t="n">
        <f aca="false">(1-$B$23)*C52+B53</f>
        <v>58</v>
      </c>
      <c r="D53" s="18" t="n">
        <f aca="false">MIN($C$21,MAX(C_keep-(1-$C$23)*E52,0))</f>
        <v>1.45</v>
      </c>
      <c r="E53" s="18" t="n">
        <f aca="false">(1-$C$23)*E52+D53</f>
        <v>58</v>
      </c>
      <c r="F53" s="18" t="n">
        <f aca="false">MIN($D$21,MAX(C_keep-(1-$D$23)*G52,0))</f>
        <v>0.890289721714524</v>
      </c>
      <c r="G53" s="18" t="n">
        <f aca="false">(1-$D$23)*G52+F53</f>
        <v>58</v>
      </c>
      <c r="H53" s="18" t="n">
        <f aca="false">MIN($E$21,MAX(C_keep-(1-$E$23)*I52,0))</f>
        <v>1.66536364878316</v>
      </c>
      <c r="I53" s="18" t="n">
        <f aca="false">(1-$E$23)*I52+H53</f>
        <v>58</v>
      </c>
    </row>
    <row r="54" customFormat="false" ht="15" hidden="false" customHeight="false" outlineLevel="0" collapsed="false">
      <c r="A54" s="12" t="n">
        <v>22</v>
      </c>
      <c r="B54" s="18" t="n">
        <f aca="false">MIN($B$21,MAX(C_keep-(1-$B$23)*C53,0))</f>
        <v>1.45</v>
      </c>
      <c r="C54" s="18" t="n">
        <f aca="false">(1-$B$23)*C53+B54</f>
        <v>58</v>
      </c>
      <c r="D54" s="18" t="n">
        <f aca="false">MIN($C$21,MAX(C_keep-(1-$C$23)*E53,0))</f>
        <v>1.45</v>
      </c>
      <c r="E54" s="18" t="n">
        <f aca="false">(1-$C$23)*E53+D54</f>
        <v>58</v>
      </c>
      <c r="F54" s="18" t="n">
        <f aca="false">MIN($D$21,MAX(C_keep-(1-$D$23)*G53,0))</f>
        <v>0.890289721714524</v>
      </c>
      <c r="G54" s="18" t="n">
        <f aca="false">(1-$D$23)*G53+F54</f>
        <v>58</v>
      </c>
      <c r="H54" s="18" t="n">
        <f aca="false">MIN($E$21,MAX(C_keep-(1-$E$23)*I53,0))</f>
        <v>1.66536364878316</v>
      </c>
      <c r="I54" s="18" t="n">
        <f aca="false">(1-$E$23)*I53+H54</f>
        <v>58</v>
      </c>
    </row>
    <row r="55" customFormat="false" ht="15" hidden="false" customHeight="false" outlineLevel="0" collapsed="false">
      <c r="A55" s="12" t="n">
        <v>23</v>
      </c>
      <c r="B55" s="18" t="n">
        <f aca="false">MIN($B$21,MAX(C_keep-(1-$B$23)*C54,0))</f>
        <v>1.45</v>
      </c>
      <c r="C55" s="18" t="n">
        <f aca="false">(1-$B$23)*C54+B55</f>
        <v>58</v>
      </c>
      <c r="D55" s="18" t="n">
        <f aca="false">MIN($C$21,MAX(C_keep-(1-$C$23)*E54,0))</f>
        <v>1.45</v>
      </c>
      <c r="E55" s="18" t="n">
        <f aca="false">(1-$C$23)*E54+D55</f>
        <v>58</v>
      </c>
      <c r="F55" s="18" t="n">
        <f aca="false">MIN($D$21,MAX(C_keep-(1-$D$23)*G54,0))</f>
        <v>0.890289721714524</v>
      </c>
      <c r="G55" s="18" t="n">
        <f aca="false">(1-$D$23)*G54+F55</f>
        <v>58</v>
      </c>
      <c r="H55" s="18" t="n">
        <f aca="false">MIN($E$21,MAX(C_keep-(1-$E$23)*I54,0))</f>
        <v>1.66536364878316</v>
      </c>
      <c r="I55" s="18" t="n">
        <f aca="false">(1-$E$23)*I54+H55</f>
        <v>58</v>
      </c>
    </row>
    <row r="56" customFormat="false" ht="15" hidden="false" customHeight="false" outlineLevel="0" collapsed="false">
      <c r="A56" s="12" t="n">
        <v>24</v>
      </c>
      <c r="B56" s="18" t="n">
        <f aca="false">MIN($B$21,MAX(C_keep-(1-$B$23)*C55,0))</f>
        <v>1.45</v>
      </c>
      <c r="C56" s="18" t="n">
        <f aca="false">(1-$B$23)*C55+B56</f>
        <v>58</v>
      </c>
      <c r="D56" s="18" t="n">
        <f aca="false">MIN($C$21,MAX(C_keep-(1-$C$23)*E55,0))</f>
        <v>1.45</v>
      </c>
      <c r="E56" s="18" t="n">
        <f aca="false">(1-$C$23)*E55+D56</f>
        <v>58</v>
      </c>
      <c r="F56" s="18" t="n">
        <f aca="false">MIN($D$21,MAX(C_keep-(1-$D$23)*G55,0))</f>
        <v>0.890289721714524</v>
      </c>
      <c r="G56" s="18" t="n">
        <f aca="false">(1-$D$23)*G55+F56</f>
        <v>58</v>
      </c>
      <c r="H56" s="18" t="n">
        <f aca="false">MIN($E$21,MAX(C_keep-(1-$E$23)*I55,0))</f>
        <v>1.66536364878316</v>
      </c>
      <c r="I56" s="18" t="n">
        <f aca="false">(1-$E$23)*I55+H56</f>
        <v>58</v>
      </c>
    </row>
    <row r="57" customFormat="false" ht="15" hidden="false" customHeight="false" outlineLevel="0" collapsed="false">
      <c r="A57" s="12" t="n">
        <v>25</v>
      </c>
      <c r="B57" s="18" t="n">
        <f aca="false">MIN($B$21,MAX(C_keep-(1-$B$23)*C56,0))</f>
        <v>1.45</v>
      </c>
      <c r="C57" s="18" t="n">
        <f aca="false">(1-$B$23)*C56+B57</f>
        <v>58</v>
      </c>
      <c r="D57" s="18" t="n">
        <f aca="false">MIN($C$21,MAX(C_keep-(1-$C$23)*E56,0))</f>
        <v>1.45</v>
      </c>
      <c r="E57" s="18" t="n">
        <f aca="false">(1-$C$23)*E56+D57</f>
        <v>58</v>
      </c>
      <c r="F57" s="18" t="n">
        <f aca="false">MIN($D$21,MAX(C_keep-(1-$D$23)*G56,0))</f>
        <v>0.890289721714524</v>
      </c>
      <c r="G57" s="18" t="n">
        <f aca="false">(1-$D$23)*G56+F57</f>
        <v>58</v>
      </c>
      <c r="H57" s="18" t="n">
        <f aca="false">MIN($E$21,MAX(C_keep-(1-$E$23)*I56,0))</f>
        <v>1.66536364878316</v>
      </c>
      <c r="I57" s="18" t="n">
        <f aca="false">(1-$E$23)*I56+H57</f>
        <v>58</v>
      </c>
    </row>
    <row r="58" customFormat="false" ht="15" hidden="false" customHeight="false" outlineLevel="0" collapsed="false">
      <c r="A58" s="12" t="n">
        <v>26</v>
      </c>
      <c r="B58" s="18" t="n">
        <f aca="false">MIN($B$21,MAX(C_keep-(1-$B$23)*C57,0))</f>
        <v>1.45</v>
      </c>
      <c r="C58" s="18" t="n">
        <f aca="false">(1-$B$23)*C57+B58</f>
        <v>58</v>
      </c>
      <c r="D58" s="18" t="n">
        <f aca="false">MIN($C$21,MAX(C_keep-(1-$C$23)*E57,0))</f>
        <v>1.45</v>
      </c>
      <c r="E58" s="18" t="n">
        <f aca="false">(1-$C$23)*E57+D58</f>
        <v>58</v>
      </c>
      <c r="F58" s="18" t="n">
        <f aca="false">MIN($D$21,MAX(C_keep-(1-$D$23)*G57,0))</f>
        <v>0.890289721714524</v>
      </c>
      <c r="G58" s="18" t="n">
        <f aca="false">(1-$D$23)*G57+F58</f>
        <v>58</v>
      </c>
      <c r="H58" s="18" t="n">
        <f aca="false">MIN($E$21,MAX(C_keep-(1-$E$23)*I57,0))</f>
        <v>1.66536364878316</v>
      </c>
      <c r="I58" s="18" t="n">
        <f aca="false">(1-$E$23)*I57+H58</f>
        <v>58</v>
      </c>
    </row>
    <row r="59" customFormat="false" ht="15" hidden="false" customHeight="false" outlineLevel="0" collapsed="false">
      <c r="A59" s="12" t="n">
        <v>27</v>
      </c>
      <c r="B59" s="18" t="n">
        <f aca="false">MIN($B$21,MAX(C_keep-(1-$B$23)*C58,0))</f>
        <v>1.45</v>
      </c>
      <c r="C59" s="18" t="n">
        <f aca="false">(1-$B$23)*C58+B59</f>
        <v>58</v>
      </c>
      <c r="D59" s="18" t="n">
        <f aca="false">MIN($C$21,MAX(C_keep-(1-$C$23)*E58,0))</f>
        <v>1.45</v>
      </c>
      <c r="E59" s="18" t="n">
        <f aca="false">(1-$C$23)*E58+D59</f>
        <v>58</v>
      </c>
      <c r="F59" s="18" t="n">
        <f aca="false">MIN($D$21,MAX(C_keep-(1-$D$23)*G58,0))</f>
        <v>0.890289721714524</v>
      </c>
      <c r="G59" s="18" t="n">
        <f aca="false">(1-$D$23)*G58+F59</f>
        <v>58</v>
      </c>
      <c r="H59" s="18" t="n">
        <f aca="false">MIN($E$21,MAX(C_keep-(1-$E$23)*I58,0))</f>
        <v>1.66536364878316</v>
      </c>
      <c r="I59" s="18" t="n">
        <f aca="false">(1-$E$23)*I58+H59</f>
        <v>58</v>
      </c>
    </row>
    <row r="60" customFormat="false" ht="15" hidden="false" customHeight="false" outlineLevel="0" collapsed="false">
      <c r="A60" s="12" t="n">
        <v>28</v>
      </c>
      <c r="B60" s="18" t="n">
        <f aca="false">MIN($B$21,MAX(C_keep-(1-$B$23)*C59,0))</f>
        <v>1.45</v>
      </c>
      <c r="C60" s="18" t="n">
        <f aca="false">(1-$B$23)*C59+B60</f>
        <v>58</v>
      </c>
      <c r="D60" s="18" t="n">
        <f aca="false">MIN($C$21,MAX(C_keep-(1-$C$23)*E59,0))</f>
        <v>1.45</v>
      </c>
      <c r="E60" s="18" t="n">
        <f aca="false">(1-$C$23)*E59+D60</f>
        <v>58</v>
      </c>
      <c r="F60" s="18" t="n">
        <f aca="false">MIN($D$21,MAX(C_keep-(1-$D$23)*G59,0))</f>
        <v>0.890289721714524</v>
      </c>
      <c r="G60" s="18" t="n">
        <f aca="false">(1-$D$23)*G59+F60</f>
        <v>58</v>
      </c>
      <c r="H60" s="18" t="n">
        <f aca="false">MIN($E$21,MAX(C_keep-(1-$E$23)*I59,0))</f>
        <v>1.66536364878316</v>
      </c>
      <c r="I60" s="18" t="n">
        <f aca="false">(1-$E$23)*I59+H60</f>
        <v>58</v>
      </c>
    </row>
    <row r="61" customFormat="false" ht="15" hidden="false" customHeight="false" outlineLevel="0" collapsed="false">
      <c r="A61" s="12" t="n">
        <v>29</v>
      </c>
      <c r="B61" s="18" t="n">
        <f aca="false">MIN($B$21,MAX(C_keep-(1-$B$23)*C60,0))</f>
        <v>1.45</v>
      </c>
      <c r="C61" s="18" t="n">
        <f aca="false">(1-$B$23)*C60+B61</f>
        <v>58</v>
      </c>
      <c r="D61" s="18" t="n">
        <f aca="false">MIN($C$21,MAX(C_keep-(1-$C$23)*E60,0))</f>
        <v>1.45</v>
      </c>
      <c r="E61" s="18" t="n">
        <f aca="false">(1-$C$23)*E60+D61</f>
        <v>58</v>
      </c>
      <c r="F61" s="18" t="n">
        <f aca="false">MIN($D$21,MAX(C_keep-(1-$D$23)*G60,0))</f>
        <v>0.890289721714524</v>
      </c>
      <c r="G61" s="18" t="n">
        <f aca="false">(1-$D$23)*G60+F61</f>
        <v>58</v>
      </c>
      <c r="H61" s="18" t="n">
        <f aca="false">MIN($E$21,MAX(C_keep-(1-$E$23)*I60,0))</f>
        <v>1.66536364878316</v>
      </c>
      <c r="I61" s="18" t="n">
        <f aca="false">(1-$E$23)*I60+H61</f>
        <v>58</v>
      </c>
    </row>
    <row r="62" customFormat="false" ht="15" hidden="false" customHeight="false" outlineLevel="0" collapsed="false">
      <c r="A62" s="12" t="n">
        <v>30</v>
      </c>
      <c r="B62" s="18" t="n">
        <f aca="false">MIN($B$21,MAX(C_keep-(1-$B$23)*C61,0))</f>
        <v>1.45</v>
      </c>
      <c r="C62" s="18" t="n">
        <f aca="false">(1-$B$23)*C61+B62</f>
        <v>58</v>
      </c>
      <c r="D62" s="18" t="n">
        <f aca="false">MIN($C$21,MAX(C_keep-(1-$C$23)*E61,0))</f>
        <v>1.45</v>
      </c>
      <c r="E62" s="18" t="n">
        <f aca="false">(1-$C$23)*E61+D62</f>
        <v>58</v>
      </c>
      <c r="F62" s="18" t="n">
        <f aca="false">MIN($D$21,MAX(C_keep-(1-$D$23)*G61,0))</f>
        <v>0.890289721714524</v>
      </c>
      <c r="G62" s="18" t="n">
        <f aca="false">(1-$D$23)*G61+F62</f>
        <v>58</v>
      </c>
      <c r="H62" s="18" t="n">
        <f aca="false">MIN($E$21,MAX(C_keep-(1-$E$23)*I61,0))</f>
        <v>1.66536364878316</v>
      </c>
      <c r="I62" s="18" t="n">
        <f aca="false">(1-$E$23)*I61+H62</f>
        <v>58</v>
      </c>
    </row>
    <row r="63" customFormat="false" ht="15" hidden="false" customHeight="false" outlineLevel="0" collapsed="false">
      <c r="A63" s="12" t="n">
        <v>31</v>
      </c>
      <c r="B63" s="18" t="n">
        <f aca="false">MIN($B$21,MAX(C_keep-(1-$B$23)*C62,0))</f>
        <v>1.45</v>
      </c>
      <c r="C63" s="18" t="n">
        <f aca="false">(1-$B$23)*C62+B63</f>
        <v>58</v>
      </c>
      <c r="D63" s="18" t="n">
        <f aca="false">MIN($C$21,MAX(C_keep-(1-$C$23)*E62,0))</f>
        <v>1.45</v>
      </c>
      <c r="E63" s="18" t="n">
        <f aca="false">(1-$C$23)*E62+D63</f>
        <v>58</v>
      </c>
      <c r="F63" s="18" t="n">
        <f aca="false">MIN($D$21,MAX(C_keep-(1-$D$23)*G62,0))</f>
        <v>0.890289721714524</v>
      </c>
      <c r="G63" s="18" t="n">
        <f aca="false">(1-$D$23)*G62+F63</f>
        <v>58</v>
      </c>
      <c r="H63" s="18" t="n">
        <f aca="false">MIN($E$21,MAX(C_keep-(1-$E$23)*I62,0))</f>
        <v>1.66536364878316</v>
      </c>
      <c r="I63" s="18" t="n">
        <f aca="false">(1-$E$23)*I62+H63</f>
        <v>58</v>
      </c>
    </row>
    <row r="64" customFormat="false" ht="15" hidden="false" customHeight="false" outlineLevel="0" collapsed="false">
      <c r="A64" s="12" t="n">
        <v>32</v>
      </c>
      <c r="B64" s="18" t="n">
        <f aca="false">MIN($B$21,MAX(C_keep-(1-$B$23)*C63,0))</f>
        <v>1.45</v>
      </c>
      <c r="C64" s="18" t="n">
        <f aca="false">(1-$B$23)*C63+B64</f>
        <v>58</v>
      </c>
      <c r="D64" s="18" t="n">
        <f aca="false">MIN($C$21,MAX(C_keep-(1-$C$23)*E63,0))</f>
        <v>1.45</v>
      </c>
      <c r="E64" s="18" t="n">
        <f aca="false">(1-$C$23)*E63+D64</f>
        <v>58</v>
      </c>
      <c r="F64" s="18" t="n">
        <f aca="false">MIN($D$21,MAX(C_keep-(1-$D$23)*G63,0))</f>
        <v>0.890289721714524</v>
      </c>
      <c r="G64" s="18" t="n">
        <f aca="false">(1-$D$23)*G63+F64</f>
        <v>58</v>
      </c>
      <c r="H64" s="18" t="n">
        <f aca="false">MIN($E$21,MAX(C_keep-(1-$E$23)*I63,0))</f>
        <v>1.66536364878316</v>
      </c>
      <c r="I64" s="18" t="n">
        <f aca="false">(1-$E$23)*I63+H64</f>
        <v>58</v>
      </c>
    </row>
    <row r="65" customFormat="false" ht="15" hidden="false" customHeight="false" outlineLevel="0" collapsed="false">
      <c r="A65" s="12" t="n">
        <v>33</v>
      </c>
      <c r="B65" s="18" t="n">
        <f aca="false">MIN($B$21,MAX(C_keep-(1-$B$23)*C64,0))</f>
        <v>1.45</v>
      </c>
      <c r="C65" s="18" t="n">
        <f aca="false">(1-$B$23)*C64+B65</f>
        <v>58</v>
      </c>
      <c r="D65" s="18" t="n">
        <f aca="false">MIN($C$21,MAX(C_keep-(1-$C$23)*E64,0))</f>
        <v>1.45</v>
      </c>
      <c r="E65" s="18" t="n">
        <f aca="false">(1-$C$23)*E64+D65</f>
        <v>58</v>
      </c>
      <c r="F65" s="18" t="n">
        <f aca="false">MIN($D$21,MAX(C_keep-(1-$D$23)*G64,0))</f>
        <v>0.890289721714524</v>
      </c>
      <c r="G65" s="18" t="n">
        <f aca="false">(1-$D$23)*G64+F65</f>
        <v>58</v>
      </c>
      <c r="H65" s="18" t="n">
        <f aca="false">MIN($E$21,MAX(C_keep-(1-$E$23)*I64,0))</f>
        <v>1.66536364878316</v>
      </c>
      <c r="I65" s="18" t="n">
        <f aca="false">(1-$E$23)*I64+H65</f>
        <v>58</v>
      </c>
    </row>
    <row r="66" customFormat="false" ht="15" hidden="false" customHeight="false" outlineLevel="0" collapsed="false">
      <c r="A66" s="12" t="n">
        <v>34</v>
      </c>
      <c r="B66" s="18" t="n">
        <f aca="false">MIN($B$21,MAX(C_keep-(1-$B$23)*C65,0))</f>
        <v>1.45</v>
      </c>
      <c r="C66" s="18" t="n">
        <f aca="false">(1-$B$23)*C65+B66</f>
        <v>58</v>
      </c>
      <c r="D66" s="18" t="n">
        <f aca="false">MIN($C$21,MAX(C_keep-(1-$C$23)*E65,0))</f>
        <v>1.45</v>
      </c>
      <c r="E66" s="18" t="n">
        <f aca="false">(1-$C$23)*E65+D66</f>
        <v>58</v>
      </c>
      <c r="F66" s="18" t="n">
        <f aca="false">MIN($D$21,MAX(C_keep-(1-$D$23)*G65,0))</f>
        <v>0.890289721714524</v>
      </c>
      <c r="G66" s="18" t="n">
        <f aca="false">(1-$D$23)*G65+F66</f>
        <v>58</v>
      </c>
      <c r="H66" s="18" t="n">
        <f aca="false">MIN($E$21,MAX(C_keep-(1-$E$23)*I65,0))</f>
        <v>1.66536364878316</v>
      </c>
      <c r="I66" s="18" t="n">
        <f aca="false">(1-$E$23)*I65+H66</f>
        <v>58</v>
      </c>
    </row>
    <row r="67" customFormat="false" ht="15" hidden="false" customHeight="false" outlineLevel="0" collapsed="false">
      <c r="A67" s="12" t="n">
        <v>35</v>
      </c>
      <c r="B67" s="18" t="n">
        <f aca="false">MIN($B$21,MAX(C_keep-(1-$B$23)*C66,0))</f>
        <v>1.45</v>
      </c>
      <c r="C67" s="18" t="n">
        <f aca="false">(1-$B$23)*C66+B67</f>
        <v>58</v>
      </c>
      <c r="D67" s="18" t="n">
        <f aca="false">MIN($C$21,MAX(C_keep-(1-$C$23)*E66,0))</f>
        <v>1.45</v>
      </c>
      <c r="E67" s="18" t="n">
        <f aca="false">(1-$C$23)*E66+D67</f>
        <v>58</v>
      </c>
      <c r="F67" s="18" t="n">
        <f aca="false">MIN($D$21,MAX(C_keep-(1-$D$23)*G66,0))</f>
        <v>0.890289721714524</v>
      </c>
      <c r="G67" s="18" t="n">
        <f aca="false">(1-$D$23)*G66+F67</f>
        <v>58</v>
      </c>
      <c r="H67" s="18" t="n">
        <f aca="false">MIN($E$21,MAX(C_keep-(1-$E$23)*I66,0))</f>
        <v>1.66536364878316</v>
      </c>
      <c r="I67" s="18" t="n">
        <f aca="false">(1-$E$23)*I66+H67</f>
        <v>58</v>
      </c>
    </row>
    <row r="68" customFormat="false" ht="15" hidden="false" customHeight="false" outlineLevel="0" collapsed="false">
      <c r="A68" s="12" t="n">
        <v>36</v>
      </c>
      <c r="B68" s="18" t="n">
        <f aca="false">MIN($B$21,MAX(C_keep-(1-$B$23)*C67,0))</f>
        <v>1.45</v>
      </c>
      <c r="C68" s="18" t="n">
        <f aca="false">(1-$B$23)*C67+B68</f>
        <v>58</v>
      </c>
      <c r="D68" s="18" t="n">
        <f aca="false">MIN($C$21,MAX(C_keep-(1-$C$23)*E67,0))</f>
        <v>1.45</v>
      </c>
      <c r="E68" s="18" t="n">
        <f aca="false">(1-$C$23)*E67+D68</f>
        <v>58</v>
      </c>
      <c r="F68" s="18" t="n">
        <f aca="false">MIN($D$21,MAX(C_keep-(1-$D$23)*G67,0))</f>
        <v>0.890289721714524</v>
      </c>
      <c r="G68" s="18" t="n">
        <f aca="false">(1-$D$23)*G67+F68</f>
        <v>58</v>
      </c>
      <c r="H68" s="18" t="n">
        <f aca="false">MIN($E$21,MAX(C_keep-(1-$E$23)*I67,0))</f>
        <v>1.66536364878316</v>
      </c>
      <c r="I68" s="18" t="n">
        <f aca="false">(1-$E$23)*I67+H68</f>
        <v>58</v>
      </c>
    </row>
    <row r="69" customFormat="false" ht="15" hidden="false" customHeight="false" outlineLevel="0" collapsed="false">
      <c r="A69" s="12" t="n">
        <v>37</v>
      </c>
      <c r="B69" s="18" t="n">
        <f aca="false">MIN($B$21,MAX(C_keep-(1-$B$23)*C68,0))</f>
        <v>1.45</v>
      </c>
      <c r="C69" s="18" t="n">
        <f aca="false">(1-$B$23)*C68+B69</f>
        <v>58</v>
      </c>
      <c r="D69" s="18" t="n">
        <f aca="false">MIN($C$21,MAX(C_keep-(1-$C$23)*E68,0))</f>
        <v>1.45</v>
      </c>
      <c r="E69" s="18" t="n">
        <f aca="false">(1-$C$23)*E68+D69</f>
        <v>58</v>
      </c>
      <c r="F69" s="18" t="n">
        <f aca="false">MIN($D$21,MAX(C_keep-(1-$D$23)*G68,0))</f>
        <v>0.890289721714524</v>
      </c>
      <c r="G69" s="18" t="n">
        <f aca="false">(1-$D$23)*G68+F69</f>
        <v>58</v>
      </c>
      <c r="H69" s="18" t="n">
        <f aca="false">MIN($E$21,MAX(C_keep-(1-$E$23)*I68,0))</f>
        <v>1.66536364878316</v>
      </c>
      <c r="I69" s="18" t="n">
        <f aca="false">(1-$E$23)*I68+H69</f>
        <v>58</v>
      </c>
    </row>
    <row r="70" customFormat="false" ht="15" hidden="false" customHeight="false" outlineLevel="0" collapsed="false">
      <c r="A70" s="12" t="n">
        <v>38</v>
      </c>
      <c r="B70" s="18" t="n">
        <f aca="false">MIN($B$21,MAX(C_keep-(1-$B$23)*C69,0))</f>
        <v>1.45</v>
      </c>
      <c r="C70" s="18" t="n">
        <f aca="false">(1-$B$23)*C69+B70</f>
        <v>58</v>
      </c>
      <c r="D70" s="18" t="n">
        <f aca="false">MIN($C$21,MAX(C_keep-(1-$C$23)*E69,0))</f>
        <v>1.45</v>
      </c>
      <c r="E70" s="18" t="n">
        <f aca="false">(1-$C$23)*E69+D70</f>
        <v>58</v>
      </c>
      <c r="F70" s="18" t="n">
        <f aca="false">MIN($D$21,MAX(C_keep-(1-$D$23)*G69,0))</f>
        <v>0.890289721714524</v>
      </c>
      <c r="G70" s="18" t="n">
        <f aca="false">(1-$D$23)*G69+F70</f>
        <v>58</v>
      </c>
      <c r="H70" s="18" t="n">
        <f aca="false">MIN($E$21,MAX(C_keep-(1-$E$23)*I69,0))</f>
        <v>1.66536364878316</v>
      </c>
      <c r="I70" s="18" t="n">
        <f aca="false">(1-$E$23)*I69+H70</f>
        <v>58</v>
      </c>
    </row>
    <row r="71" customFormat="false" ht="15" hidden="false" customHeight="false" outlineLevel="0" collapsed="false">
      <c r="A71" s="12" t="n">
        <v>39</v>
      </c>
      <c r="B71" s="18" t="n">
        <f aca="false">MIN($B$21,MAX(C_keep-(1-$B$23)*C70,0))</f>
        <v>1.45</v>
      </c>
      <c r="C71" s="18" t="n">
        <f aca="false">(1-$B$23)*C70+B71</f>
        <v>58</v>
      </c>
      <c r="D71" s="18" t="n">
        <f aca="false">MIN($C$21,MAX(C_keep-(1-$C$23)*E70,0))</f>
        <v>1.45</v>
      </c>
      <c r="E71" s="18" t="n">
        <f aca="false">(1-$C$23)*E70+D71</f>
        <v>58</v>
      </c>
      <c r="F71" s="18" t="n">
        <f aca="false">MIN($D$21,MAX(C_keep-(1-$D$23)*G70,0))</f>
        <v>0.890289721714524</v>
      </c>
      <c r="G71" s="18" t="n">
        <f aca="false">(1-$D$23)*G70+F71</f>
        <v>58</v>
      </c>
      <c r="H71" s="18" t="n">
        <f aca="false">MIN($E$21,MAX(C_keep-(1-$E$23)*I70,0))</f>
        <v>1.66536364878316</v>
      </c>
      <c r="I71" s="18" t="n">
        <f aca="false">(1-$E$23)*I70+H71</f>
        <v>58</v>
      </c>
    </row>
    <row r="72" customFormat="false" ht="15" hidden="false" customHeight="false" outlineLevel="0" collapsed="false">
      <c r="A72" s="12" t="n">
        <v>40</v>
      </c>
      <c r="B72" s="18" t="n">
        <f aca="false">MIN($B$21,MAX(C_keep-(1-$B$23)*C71,0))</f>
        <v>1.45</v>
      </c>
      <c r="C72" s="18" t="n">
        <f aca="false">(1-$B$23)*C71+B72</f>
        <v>58</v>
      </c>
      <c r="D72" s="18" t="n">
        <f aca="false">MIN($C$21,MAX(C_keep-(1-$C$23)*E71,0))</f>
        <v>1.45</v>
      </c>
      <c r="E72" s="18" t="n">
        <f aca="false">(1-$C$23)*E71+D72</f>
        <v>58</v>
      </c>
      <c r="F72" s="18" t="n">
        <f aca="false">MIN($D$21,MAX(C_keep-(1-$D$23)*G71,0))</f>
        <v>0.890289721714524</v>
      </c>
      <c r="G72" s="18" t="n">
        <f aca="false">(1-$D$23)*G71+F72</f>
        <v>58</v>
      </c>
      <c r="H72" s="18" t="n">
        <f aca="false">MIN($E$21,MAX(C_keep-(1-$E$23)*I71,0))</f>
        <v>1.66536364878316</v>
      </c>
      <c r="I72" s="18" t="n">
        <f aca="false">(1-$E$23)*I71+H72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3"/>
    <col collapsed="false" customWidth="true" hidden="false" outlineLevel="0" max="8" min="8" style="0" width="50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10" t="s">
        <v>293</v>
      </c>
    </row>
    <row r="3" customFormat="false" ht="15" hidden="false" customHeight="false" outlineLevel="0" collapsed="false">
      <c r="A3" s="8" t="s">
        <v>122</v>
      </c>
      <c r="B3" s="8" t="s">
        <v>294</v>
      </c>
      <c r="C3" s="8" t="s">
        <v>295</v>
      </c>
      <c r="D3" s="8" t="s">
        <v>296</v>
      </c>
      <c r="H3" s="8" t="s">
        <v>297</v>
      </c>
      <c r="I3" s="8" t="s">
        <v>298</v>
      </c>
      <c r="J3" s="8" t="s">
        <v>299</v>
      </c>
    </row>
    <row r="4" customFormat="false" ht="15" hidden="false" customHeight="false" outlineLevel="0" collapsed="false">
      <c r="A4" s="2" t="s">
        <v>300</v>
      </c>
      <c r="B4" s="11" t="n">
        <v>80</v>
      </c>
      <c r="C4" s="21" t="n">
        <v>1</v>
      </c>
      <c r="D4" s="17" t="n">
        <f aca="false">B4/C4</f>
        <v>80</v>
      </c>
      <c r="H4" s="2" t="s">
        <v>294</v>
      </c>
      <c r="I4" s="21" t="n">
        <v>10</v>
      </c>
      <c r="J4" s="21" t="n">
        <v>30</v>
      </c>
    </row>
    <row r="5" customFormat="false" ht="15" hidden="false" customHeight="false" outlineLevel="0" collapsed="false">
      <c r="A5" s="2" t="s">
        <v>139</v>
      </c>
      <c r="B5" s="11" t="n">
        <v>45</v>
      </c>
      <c r="C5" s="21" t="n">
        <v>0.5</v>
      </c>
      <c r="D5" s="17" t="n">
        <f aca="false">B5/C5</f>
        <v>90</v>
      </c>
      <c r="H5" s="2" t="s">
        <v>295</v>
      </c>
      <c r="I5" s="21" t="n">
        <v>1</v>
      </c>
      <c r="J5" s="21" t="n">
        <v>2</v>
      </c>
    </row>
    <row r="6" customFormat="false" ht="15" hidden="false" customHeight="false" outlineLevel="0" collapsed="false">
      <c r="A6" s="2" t="s">
        <v>149</v>
      </c>
      <c r="B6" s="11" t="n">
        <v>60</v>
      </c>
      <c r="C6" s="21" t="n">
        <v>0.75</v>
      </c>
      <c r="D6" s="17" t="n">
        <f aca="false">B6/C6</f>
        <v>80</v>
      </c>
      <c r="H6" s="2" t="s">
        <v>296</v>
      </c>
      <c r="I6" s="15" t="n">
        <f aca="false">I4/I5</f>
        <v>10</v>
      </c>
      <c r="J6" s="15" t="n">
        <f aca="false">J4/J5</f>
        <v>15</v>
      </c>
    </row>
    <row r="7" customFormat="false" ht="15" hidden="false" customHeight="false" outlineLevel="0" collapsed="false">
      <c r="A7" s="4" t="s">
        <v>301</v>
      </c>
      <c r="B7" s="17" t="n">
        <f aca="false">MIN(D4:D6)</f>
        <v>80</v>
      </c>
      <c r="H7" s="2" t="s">
        <v>302</v>
      </c>
      <c r="I7" s="11" t="n">
        <v>20</v>
      </c>
    </row>
    <row r="8" customFormat="false" ht="15" hidden="false" customHeight="false" outlineLevel="0" collapsed="false">
      <c r="A8" s="2" t="s">
        <v>303</v>
      </c>
      <c r="B8" s="16" t="n">
        <f aca="false">D5/B7-1</f>
        <v>0.125</v>
      </c>
      <c r="H8" s="2" t="s">
        <v>304</v>
      </c>
      <c r="I8" s="15" t="n">
        <f aca="false">MAX(I5*MAX(I6,J6)-I4,0)+MAX(J5*MAX(I6,J6)-J4,0)</f>
        <v>5</v>
      </c>
    </row>
    <row r="9" customFormat="false" ht="15" hidden="false" customHeight="false" outlineLevel="0" collapsed="false">
      <c r="H9" s="2" t="s">
        <v>305</v>
      </c>
      <c r="I9" s="15" t="n">
        <f aca="false">IF(I7&lt;=I8,MIN(I6,J6)+I7/IF(I6&lt;J6,I5,J5),MAX(I6,J6)+(I7-I8)/(I5+J5))</f>
        <v>20</v>
      </c>
    </row>
    <row r="10" customFormat="false" ht="23.85" hidden="false" customHeight="false" outlineLevel="0" collapsed="false">
      <c r="A10" s="8" t="s">
        <v>306</v>
      </c>
      <c r="B10" s="8" t="s">
        <v>307</v>
      </c>
      <c r="C10" s="8" t="s">
        <v>308</v>
      </c>
      <c r="D10" s="8" t="s">
        <v>309</v>
      </c>
      <c r="E10" s="8" t="s">
        <v>310</v>
      </c>
      <c r="H10" s="2" t="s">
        <v>311</v>
      </c>
      <c r="I10" s="15" t="n">
        <f aca="false">MAX(I5*I9-I4,0)</f>
        <v>10</v>
      </c>
      <c r="J10" s="15" t="n">
        <f aca="false">MAX(J5*I9-J4,0)</f>
        <v>10</v>
      </c>
    </row>
    <row r="11" customFormat="false" ht="15" hidden="false" customHeight="false" outlineLevel="0" collapsed="false">
      <c r="A11" s="12" t="n">
        <v>1</v>
      </c>
      <c r="B11" s="15" t="n">
        <f aca="false">SMALL($D$4:$D$6,A11)</f>
        <v>80</v>
      </c>
      <c r="C11" s="15" t="n">
        <f aca="false">SUMPRODUCT(($C$4:$C$6*B11-$B$4:$B$6&gt;0)*($C$4:$C$6*B11-$B$4:$B$6))</f>
        <v>0</v>
      </c>
      <c r="D11" s="15" t="n">
        <f aca="false">SUMPRODUCT(($D$4:$D$6&lt;=B11+0.000000001)*$C$4:$C$6)</f>
        <v>1.75</v>
      </c>
      <c r="E11" s="24" t="n">
        <f aca="false">1/D11</f>
        <v>0.571428571428571</v>
      </c>
    </row>
    <row r="12" customFormat="false" ht="15" hidden="false" customHeight="false" outlineLevel="0" collapsed="false">
      <c r="A12" s="12" t="n">
        <v>2</v>
      </c>
      <c r="B12" s="15" t="n">
        <f aca="false">SMALL($D$4:$D$6,A12)</f>
        <v>80</v>
      </c>
      <c r="C12" s="15" t="n">
        <f aca="false">SUMPRODUCT(($C$4:$C$6*B12-$B$4:$B$6&gt;0)*($C$4:$C$6*B12-$B$4:$B$6))</f>
        <v>0</v>
      </c>
      <c r="D12" s="15" t="n">
        <f aca="false">SUMPRODUCT(($D$4:$D$6&lt;=B12+0.000000001)*$C$4:$C$6)</f>
        <v>1.75</v>
      </c>
      <c r="E12" s="24" t="n">
        <f aca="false">1/D12</f>
        <v>0.571428571428571</v>
      </c>
      <c r="H12" s="8" t="s">
        <v>312</v>
      </c>
      <c r="I12" s="8" t="s">
        <v>313</v>
      </c>
      <c r="J12" s="8" t="s">
        <v>314</v>
      </c>
    </row>
    <row r="13" customFormat="false" ht="15" hidden="false" customHeight="false" outlineLevel="0" collapsed="false">
      <c r="A13" s="12" t="n">
        <v>3</v>
      </c>
      <c r="B13" s="15" t="n">
        <f aca="false">SMALL($D$4:$D$6,A13)</f>
        <v>90</v>
      </c>
      <c r="C13" s="15" t="n">
        <f aca="false">SUMPRODUCT(($C$4:$C$6*B13-$B$4:$B$6&gt;0)*($C$4:$C$6*B13-$B$4:$B$6))</f>
        <v>17.5</v>
      </c>
      <c r="D13" s="15" t="n">
        <f aca="false">SUMPRODUCT(($D$4:$D$6&lt;=B13+0.000000001)*$C$4:$C$6)</f>
        <v>2.25</v>
      </c>
      <c r="E13" s="24" t="n">
        <f aca="false">1/D13</f>
        <v>0.444444444444444</v>
      </c>
      <c r="H13" s="2" t="s">
        <v>315</v>
      </c>
      <c r="I13" s="21" t="n">
        <v>0.3</v>
      </c>
      <c r="J13" s="21" t="n">
        <v>0.4</v>
      </c>
    </row>
    <row r="14" customFormat="false" ht="15" hidden="false" customHeight="false" outlineLevel="0" collapsed="false">
      <c r="A14" s="2" t="s">
        <v>316</v>
      </c>
      <c r="B14" s="15" t="n">
        <f aca="false">C13</f>
        <v>17.5</v>
      </c>
      <c r="H14" s="2" t="s">
        <v>317</v>
      </c>
      <c r="I14" s="21" t="n">
        <v>0.3</v>
      </c>
      <c r="J14" s="21" t="n">
        <v>0.2</v>
      </c>
    </row>
    <row r="15" customFormat="false" ht="15" hidden="false" customHeight="false" outlineLevel="0" collapsed="false">
      <c r="H15" s="2" t="s">
        <v>318</v>
      </c>
      <c r="I15" s="21" t="n">
        <v>40</v>
      </c>
      <c r="J15" s="21" t="n">
        <v>40</v>
      </c>
    </row>
    <row r="16" customFormat="false" ht="15" hidden="false" customHeight="false" outlineLevel="0" collapsed="false">
      <c r="A16" s="8" t="s">
        <v>319</v>
      </c>
      <c r="B16" s="8" t="s">
        <v>320</v>
      </c>
      <c r="C16" s="8" t="s">
        <v>321</v>
      </c>
      <c r="D16" s="8" t="s">
        <v>322</v>
      </c>
      <c r="H16" s="2" t="s">
        <v>323</v>
      </c>
      <c r="I16" s="21" t="n">
        <v>20</v>
      </c>
      <c r="J16" s="21" t="n">
        <v>20</v>
      </c>
    </row>
    <row r="17" customFormat="false" ht="15" hidden="false" customHeight="false" outlineLevel="0" collapsed="false">
      <c r="A17" s="2" t="s">
        <v>324</v>
      </c>
      <c r="B17" s="15" t="n">
        <f aca="false">INDEX($B$25:$B$85,MATCH(17.5,$A$25:$A$85,0))</f>
        <v>90</v>
      </c>
      <c r="C17" s="15" t="n">
        <f aca="false">INDEX($C$25:$C$85,MATCH(17.5,$A$25:$A$85,0))</f>
        <v>85.8333333333333</v>
      </c>
      <c r="D17" s="15" t="n">
        <f aca="false">INDEX($D$25:$D$85,MATCH(17.5,$A$25:$A$85,0))</f>
        <v>80</v>
      </c>
      <c r="H17" s="2" t="s">
        <v>302</v>
      </c>
      <c r="I17" s="21" t="n">
        <v>20</v>
      </c>
      <c r="J17" s="21" t="n">
        <v>20</v>
      </c>
    </row>
    <row r="18" customFormat="false" ht="15" hidden="false" customHeight="false" outlineLevel="0" collapsed="false">
      <c r="A18" s="2" t="s">
        <v>325</v>
      </c>
      <c r="B18" s="15" t="n">
        <f aca="false">INDEX($B$25:$B$85,MATCH(30,$A$25:$A$85,0))</f>
        <v>95.5555555555556</v>
      </c>
      <c r="C18" s="15" t="n">
        <f aca="false">INDEX($C$25:$C$85,MATCH(30,$A$25:$A$85,0))</f>
        <v>90</v>
      </c>
      <c r="D18" s="15" t="n">
        <f aca="false">INDEX($D$25:$D$85,MATCH(30,$A$25:$A$85,0))</f>
        <v>80</v>
      </c>
      <c r="H18" s="2" t="s">
        <v>326</v>
      </c>
      <c r="I18" s="15" t="n">
        <f aca="false">I13/(I13+I14)*(I15+I16+I17)</f>
        <v>40</v>
      </c>
      <c r="J18" s="15" t="n">
        <f aca="false">J13/(J13+J14)*(J15+J16+J17)</f>
        <v>53.3333333333333</v>
      </c>
    </row>
    <row r="19" customFormat="false" ht="15" hidden="false" customHeight="false" outlineLevel="0" collapsed="false">
      <c r="A19" s="2" t="s">
        <v>327</v>
      </c>
      <c r="B19" s="18" t="n">
        <f aca="false">(B18-$B$7)/30</f>
        <v>0.518518518518519</v>
      </c>
      <c r="C19" s="18" t="n">
        <f aca="false">(C18-$B$7)/30</f>
        <v>0.333333333333333</v>
      </c>
      <c r="D19" s="18" t="n">
        <f aca="false">(D18-$B$7)/30</f>
        <v>0</v>
      </c>
      <c r="H19" s="2" t="s">
        <v>328</v>
      </c>
      <c r="I19" s="15" t="n">
        <f aca="false">I14/(I13+I14)*(I15+I16+I17)</f>
        <v>40</v>
      </c>
      <c r="J19" s="15" t="n">
        <f aca="false">J14/(J13+J14)*(J15+J16+J17)</f>
        <v>26.6666666666667</v>
      </c>
    </row>
    <row r="20" customFormat="false" ht="15" hidden="false" customHeight="false" outlineLevel="0" collapsed="false">
      <c r="A20" s="2" t="s">
        <v>329</v>
      </c>
      <c r="B20" s="15" t="n">
        <f aca="false">MAX($C$4*$B$18-$B$4,0)</f>
        <v>15.5555555555556</v>
      </c>
      <c r="C20" s="15" t="n">
        <f aca="false">MAX($C$5*$B$18-$B$5,0)</f>
        <v>2.77777777777778</v>
      </c>
      <c r="D20" s="15" t="n">
        <f aca="false">MAX($C$6*$B$18-$B$6,0)</f>
        <v>11.6666666666667</v>
      </c>
      <c r="H20" s="2" t="s">
        <v>330</v>
      </c>
      <c r="I20" s="15" t="n">
        <f aca="false">I18-I15</f>
        <v>0</v>
      </c>
      <c r="J20" s="15" t="n">
        <f aca="false">J18-J15</f>
        <v>13.3333333333333</v>
      </c>
    </row>
    <row r="21" customFormat="false" ht="15" hidden="false" customHeight="false" outlineLevel="0" collapsed="false">
      <c r="A21" s="10" t="s">
        <v>331</v>
      </c>
      <c r="H21" s="2" t="s">
        <v>332</v>
      </c>
      <c r="I21" s="15" t="n">
        <f aca="false">I19-I16</f>
        <v>20</v>
      </c>
      <c r="J21" s="15" t="n">
        <f aca="false">J19-J16</f>
        <v>6.66666666666666</v>
      </c>
    </row>
    <row r="24" customFormat="false" ht="23.85" hidden="false" customHeight="false" outlineLevel="0" collapsed="false">
      <c r="A24" s="8" t="s">
        <v>333</v>
      </c>
      <c r="B24" s="8" t="s">
        <v>334</v>
      </c>
      <c r="C24" s="8" t="s">
        <v>335</v>
      </c>
      <c r="D24" s="8" t="s">
        <v>336</v>
      </c>
      <c r="E24" s="8" t="s">
        <v>337</v>
      </c>
    </row>
    <row r="25" customFormat="false" ht="15" hidden="false" customHeight="false" outlineLevel="0" collapsed="false">
      <c r="A25" s="17" t="n">
        <v>0</v>
      </c>
      <c r="B25" s="15" t="n">
        <f aca="false">INDEX($B$11:$B$13,E25)+(A25-INDEX($C$11:$C$13,E25))/INDEX($D$11:$D$13,E25)</f>
        <v>80</v>
      </c>
      <c r="C25" s="15" t="n">
        <f aca="false">MIN(($B$4+A25/3)/$C$4,($B$5+A25/3)/$C$5,($B$6+A25/3)/$C$6)</f>
        <v>80</v>
      </c>
      <c r="D25" s="15" t="n">
        <f aca="false">MIN($B$4/$C$4,($B$5+A25)/$C$5,$B$6/$C$6)</f>
        <v>80</v>
      </c>
      <c r="E25" s="12" t="n">
        <f aca="false">MATCH(A25,$C$11:$C$13,1)</f>
        <v>2</v>
      </c>
    </row>
    <row r="26" customFormat="false" ht="15" hidden="false" customHeight="false" outlineLevel="0" collapsed="false">
      <c r="A26" s="17" t="n">
        <v>0.5</v>
      </c>
      <c r="B26" s="15" t="n">
        <f aca="false">INDEX($B$11:$B$13,E26)+(A26-INDEX($C$11:$C$13,E26))/INDEX($D$11:$D$13,E26)</f>
        <v>80.2857142857143</v>
      </c>
      <c r="C26" s="15" t="n">
        <f aca="false">MIN(($B$4+A26/3)/$C$4,($B$5+A26/3)/$C$5,($B$6+A26/3)/$C$6)</f>
        <v>80.1666666666667</v>
      </c>
      <c r="D26" s="15" t="n">
        <f aca="false">MIN($B$4/$C$4,($B$5+A26)/$C$5,$B$6/$C$6)</f>
        <v>80</v>
      </c>
      <c r="E26" s="12" t="n">
        <f aca="false">MATCH(A26,$C$11:$C$13,1)</f>
        <v>2</v>
      </c>
    </row>
    <row r="27" customFormat="false" ht="15" hidden="false" customHeight="false" outlineLevel="0" collapsed="false">
      <c r="A27" s="17" t="n">
        <v>1</v>
      </c>
      <c r="B27" s="15" t="n">
        <f aca="false">INDEX($B$11:$B$13,E27)+(A27-INDEX($C$11:$C$13,E27))/INDEX($D$11:$D$13,E27)</f>
        <v>80.5714285714286</v>
      </c>
      <c r="C27" s="15" t="n">
        <f aca="false">MIN(($B$4+A27/3)/$C$4,($B$5+A27/3)/$C$5,($B$6+A27/3)/$C$6)</f>
        <v>80.3333333333333</v>
      </c>
      <c r="D27" s="15" t="n">
        <f aca="false">MIN($B$4/$C$4,($B$5+A27)/$C$5,$B$6/$C$6)</f>
        <v>80</v>
      </c>
      <c r="E27" s="12" t="n">
        <f aca="false">MATCH(A27,$C$11:$C$13,1)</f>
        <v>2</v>
      </c>
    </row>
    <row r="28" customFormat="false" ht="15" hidden="false" customHeight="false" outlineLevel="0" collapsed="false">
      <c r="A28" s="17" t="n">
        <v>1.5</v>
      </c>
      <c r="B28" s="15" t="n">
        <f aca="false">INDEX($B$11:$B$13,E28)+(A28-INDEX($C$11:$C$13,E28))/INDEX($D$11:$D$13,E28)</f>
        <v>80.8571428571429</v>
      </c>
      <c r="C28" s="15" t="n">
        <f aca="false">MIN(($B$4+A28/3)/$C$4,($B$5+A28/3)/$C$5,($B$6+A28/3)/$C$6)</f>
        <v>80.5</v>
      </c>
      <c r="D28" s="15" t="n">
        <f aca="false">MIN($B$4/$C$4,($B$5+A28)/$C$5,$B$6/$C$6)</f>
        <v>80</v>
      </c>
      <c r="E28" s="12" t="n">
        <f aca="false">MATCH(A28,$C$11:$C$13,1)</f>
        <v>2</v>
      </c>
    </row>
    <row r="29" customFormat="false" ht="15" hidden="false" customHeight="false" outlineLevel="0" collapsed="false">
      <c r="A29" s="17" t="n">
        <v>2</v>
      </c>
      <c r="B29" s="15" t="n">
        <f aca="false">INDEX($B$11:$B$13,E29)+(A29-INDEX($C$11:$C$13,E29))/INDEX($D$11:$D$13,E29)</f>
        <v>81.1428571428571</v>
      </c>
      <c r="C29" s="15" t="n">
        <f aca="false">MIN(($B$4+A29/3)/$C$4,($B$5+A29/3)/$C$5,($B$6+A29/3)/$C$6)</f>
        <v>80.6666666666667</v>
      </c>
      <c r="D29" s="15" t="n">
        <f aca="false">MIN($B$4/$C$4,($B$5+A29)/$C$5,$B$6/$C$6)</f>
        <v>80</v>
      </c>
      <c r="E29" s="12" t="n">
        <f aca="false">MATCH(A29,$C$11:$C$13,1)</f>
        <v>2</v>
      </c>
    </row>
    <row r="30" customFormat="false" ht="15" hidden="false" customHeight="false" outlineLevel="0" collapsed="false">
      <c r="A30" s="17" t="n">
        <v>2.5</v>
      </c>
      <c r="B30" s="15" t="n">
        <f aca="false">INDEX($B$11:$B$13,E30)+(A30-INDEX($C$11:$C$13,E30))/INDEX($D$11:$D$13,E30)</f>
        <v>81.4285714285714</v>
      </c>
      <c r="C30" s="15" t="n">
        <f aca="false">MIN(($B$4+A30/3)/$C$4,($B$5+A30/3)/$C$5,($B$6+A30/3)/$C$6)</f>
        <v>80.8333333333333</v>
      </c>
      <c r="D30" s="15" t="n">
        <f aca="false">MIN($B$4/$C$4,($B$5+A30)/$C$5,$B$6/$C$6)</f>
        <v>80</v>
      </c>
      <c r="E30" s="12" t="n">
        <f aca="false">MATCH(A30,$C$11:$C$13,1)</f>
        <v>2</v>
      </c>
    </row>
    <row r="31" customFormat="false" ht="15" hidden="false" customHeight="false" outlineLevel="0" collapsed="false">
      <c r="A31" s="17" t="n">
        <v>3</v>
      </c>
      <c r="B31" s="15" t="n">
        <f aca="false">INDEX($B$11:$B$13,E31)+(A31-INDEX($C$11:$C$13,E31))/INDEX($D$11:$D$13,E31)</f>
        <v>81.7142857142857</v>
      </c>
      <c r="C31" s="15" t="n">
        <f aca="false">MIN(($B$4+A31/3)/$C$4,($B$5+A31/3)/$C$5,($B$6+A31/3)/$C$6)</f>
        <v>81</v>
      </c>
      <c r="D31" s="15" t="n">
        <f aca="false">MIN($B$4/$C$4,($B$5+A31)/$C$5,$B$6/$C$6)</f>
        <v>80</v>
      </c>
      <c r="E31" s="12" t="n">
        <f aca="false">MATCH(A31,$C$11:$C$13,1)</f>
        <v>2</v>
      </c>
    </row>
    <row r="32" customFormat="false" ht="15" hidden="false" customHeight="false" outlineLevel="0" collapsed="false">
      <c r="A32" s="17" t="n">
        <v>3.5</v>
      </c>
      <c r="B32" s="15" t="n">
        <f aca="false">INDEX($B$11:$B$13,E32)+(A32-INDEX($C$11:$C$13,E32))/INDEX($D$11:$D$13,E32)</f>
        <v>82</v>
      </c>
      <c r="C32" s="15" t="n">
        <f aca="false">MIN(($B$4+A32/3)/$C$4,($B$5+A32/3)/$C$5,($B$6+A32/3)/$C$6)</f>
        <v>81.1666666666667</v>
      </c>
      <c r="D32" s="15" t="n">
        <f aca="false">MIN($B$4/$C$4,($B$5+A32)/$C$5,$B$6/$C$6)</f>
        <v>80</v>
      </c>
      <c r="E32" s="12" t="n">
        <f aca="false">MATCH(A32,$C$11:$C$13,1)</f>
        <v>2</v>
      </c>
    </row>
    <row r="33" customFormat="false" ht="15" hidden="false" customHeight="false" outlineLevel="0" collapsed="false">
      <c r="A33" s="17" t="n">
        <v>4</v>
      </c>
      <c r="B33" s="15" t="n">
        <f aca="false">INDEX($B$11:$B$13,E33)+(A33-INDEX($C$11:$C$13,E33))/INDEX($D$11:$D$13,E33)</f>
        <v>82.2857142857143</v>
      </c>
      <c r="C33" s="15" t="n">
        <f aca="false">MIN(($B$4+A33/3)/$C$4,($B$5+A33/3)/$C$5,($B$6+A33/3)/$C$6)</f>
        <v>81.3333333333333</v>
      </c>
      <c r="D33" s="15" t="n">
        <f aca="false">MIN($B$4/$C$4,($B$5+A33)/$C$5,$B$6/$C$6)</f>
        <v>80</v>
      </c>
      <c r="E33" s="12" t="n">
        <f aca="false">MATCH(A33,$C$11:$C$13,1)</f>
        <v>2</v>
      </c>
    </row>
    <row r="34" customFormat="false" ht="15" hidden="false" customHeight="false" outlineLevel="0" collapsed="false">
      <c r="A34" s="17" t="n">
        <v>4.5</v>
      </c>
      <c r="B34" s="15" t="n">
        <f aca="false">INDEX($B$11:$B$13,E34)+(A34-INDEX($C$11:$C$13,E34))/INDEX($D$11:$D$13,E34)</f>
        <v>82.5714285714286</v>
      </c>
      <c r="C34" s="15" t="n">
        <f aca="false">MIN(($B$4+A34/3)/$C$4,($B$5+A34/3)/$C$5,($B$6+A34/3)/$C$6)</f>
        <v>81.5</v>
      </c>
      <c r="D34" s="15" t="n">
        <f aca="false">MIN($B$4/$C$4,($B$5+A34)/$C$5,$B$6/$C$6)</f>
        <v>80</v>
      </c>
      <c r="E34" s="12" t="n">
        <f aca="false">MATCH(A34,$C$11:$C$13,1)</f>
        <v>2</v>
      </c>
    </row>
    <row r="35" customFormat="false" ht="15" hidden="false" customHeight="false" outlineLevel="0" collapsed="false">
      <c r="A35" s="17" t="n">
        <v>5</v>
      </c>
      <c r="B35" s="15" t="n">
        <f aca="false">INDEX($B$11:$B$13,E35)+(A35-INDEX($C$11:$C$13,E35))/INDEX($D$11:$D$13,E35)</f>
        <v>82.8571428571429</v>
      </c>
      <c r="C35" s="15" t="n">
        <f aca="false">MIN(($B$4+A35/3)/$C$4,($B$5+A35/3)/$C$5,($B$6+A35/3)/$C$6)</f>
        <v>81.6666666666667</v>
      </c>
      <c r="D35" s="15" t="n">
        <f aca="false">MIN($B$4/$C$4,($B$5+A35)/$C$5,$B$6/$C$6)</f>
        <v>80</v>
      </c>
      <c r="E35" s="12" t="n">
        <f aca="false">MATCH(A35,$C$11:$C$13,1)</f>
        <v>2</v>
      </c>
    </row>
    <row r="36" customFormat="false" ht="15" hidden="false" customHeight="false" outlineLevel="0" collapsed="false">
      <c r="A36" s="17" t="n">
        <v>5.5</v>
      </c>
      <c r="B36" s="15" t="n">
        <f aca="false">INDEX($B$11:$B$13,E36)+(A36-INDEX($C$11:$C$13,E36))/INDEX($D$11:$D$13,E36)</f>
        <v>83.1428571428571</v>
      </c>
      <c r="C36" s="15" t="n">
        <f aca="false">MIN(($B$4+A36/3)/$C$4,($B$5+A36/3)/$C$5,($B$6+A36/3)/$C$6)</f>
        <v>81.8333333333333</v>
      </c>
      <c r="D36" s="15" t="n">
        <f aca="false">MIN($B$4/$C$4,($B$5+A36)/$C$5,$B$6/$C$6)</f>
        <v>80</v>
      </c>
      <c r="E36" s="12" t="n">
        <f aca="false">MATCH(A36,$C$11:$C$13,1)</f>
        <v>2</v>
      </c>
    </row>
    <row r="37" customFormat="false" ht="15" hidden="false" customHeight="false" outlineLevel="0" collapsed="false">
      <c r="A37" s="17" t="n">
        <v>6</v>
      </c>
      <c r="B37" s="15" t="n">
        <f aca="false">INDEX($B$11:$B$13,E37)+(A37-INDEX($C$11:$C$13,E37))/INDEX($D$11:$D$13,E37)</f>
        <v>83.4285714285714</v>
      </c>
      <c r="C37" s="15" t="n">
        <f aca="false">MIN(($B$4+A37/3)/$C$4,($B$5+A37/3)/$C$5,($B$6+A37/3)/$C$6)</f>
        <v>82</v>
      </c>
      <c r="D37" s="15" t="n">
        <f aca="false">MIN($B$4/$C$4,($B$5+A37)/$C$5,$B$6/$C$6)</f>
        <v>80</v>
      </c>
      <c r="E37" s="12" t="n">
        <f aca="false">MATCH(A37,$C$11:$C$13,1)</f>
        <v>2</v>
      </c>
    </row>
    <row r="38" customFormat="false" ht="15" hidden="false" customHeight="false" outlineLevel="0" collapsed="false">
      <c r="A38" s="17" t="n">
        <v>6.5</v>
      </c>
      <c r="B38" s="15" t="n">
        <f aca="false">INDEX($B$11:$B$13,E38)+(A38-INDEX($C$11:$C$13,E38))/INDEX($D$11:$D$13,E38)</f>
        <v>83.7142857142857</v>
      </c>
      <c r="C38" s="15" t="n">
        <f aca="false">MIN(($B$4+A38/3)/$C$4,($B$5+A38/3)/$C$5,($B$6+A38/3)/$C$6)</f>
        <v>82.1666666666667</v>
      </c>
      <c r="D38" s="15" t="n">
        <f aca="false">MIN($B$4/$C$4,($B$5+A38)/$C$5,$B$6/$C$6)</f>
        <v>80</v>
      </c>
      <c r="E38" s="12" t="n">
        <f aca="false">MATCH(A38,$C$11:$C$13,1)</f>
        <v>2</v>
      </c>
    </row>
    <row r="39" customFormat="false" ht="15" hidden="false" customHeight="false" outlineLevel="0" collapsed="false">
      <c r="A39" s="17" t="n">
        <v>7</v>
      </c>
      <c r="B39" s="15" t="n">
        <f aca="false">INDEX($B$11:$B$13,E39)+(A39-INDEX($C$11:$C$13,E39))/INDEX($D$11:$D$13,E39)</f>
        <v>84</v>
      </c>
      <c r="C39" s="15" t="n">
        <f aca="false">MIN(($B$4+A39/3)/$C$4,($B$5+A39/3)/$C$5,($B$6+A39/3)/$C$6)</f>
        <v>82.3333333333333</v>
      </c>
      <c r="D39" s="15" t="n">
        <f aca="false">MIN($B$4/$C$4,($B$5+A39)/$C$5,$B$6/$C$6)</f>
        <v>80</v>
      </c>
      <c r="E39" s="12" t="n">
        <f aca="false">MATCH(A39,$C$11:$C$13,1)</f>
        <v>2</v>
      </c>
    </row>
    <row r="40" customFormat="false" ht="15" hidden="false" customHeight="false" outlineLevel="0" collapsed="false">
      <c r="A40" s="17" t="n">
        <v>7.5</v>
      </c>
      <c r="B40" s="15" t="n">
        <f aca="false">INDEX($B$11:$B$13,E40)+(A40-INDEX($C$11:$C$13,E40))/INDEX($D$11:$D$13,E40)</f>
        <v>84.2857142857143</v>
      </c>
      <c r="C40" s="15" t="n">
        <f aca="false">MIN(($B$4+A40/3)/$C$4,($B$5+A40/3)/$C$5,($B$6+A40/3)/$C$6)</f>
        <v>82.5</v>
      </c>
      <c r="D40" s="15" t="n">
        <f aca="false">MIN($B$4/$C$4,($B$5+A40)/$C$5,$B$6/$C$6)</f>
        <v>80</v>
      </c>
      <c r="E40" s="12" t="n">
        <f aca="false">MATCH(A40,$C$11:$C$13,1)</f>
        <v>2</v>
      </c>
    </row>
    <row r="41" customFormat="false" ht="15" hidden="false" customHeight="false" outlineLevel="0" collapsed="false">
      <c r="A41" s="17" t="n">
        <v>8</v>
      </c>
      <c r="B41" s="15" t="n">
        <f aca="false">INDEX($B$11:$B$13,E41)+(A41-INDEX($C$11:$C$13,E41))/INDEX($D$11:$D$13,E41)</f>
        <v>84.5714285714286</v>
      </c>
      <c r="C41" s="15" t="n">
        <f aca="false">MIN(($B$4+A41/3)/$C$4,($B$5+A41/3)/$C$5,($B$6+A41/3)/$C$6)</f>
        <v>82.6666666666667</v>
      </c>
      <c r="D41" s="15" t="n">
        <f aca="false">MIN($B$4/$C$4,($B$5+A41)/$C$5,$B$6/$C$6)</f>
        <v>80</v>
      </c>
      <c r="E41" s="12" t="n">
        <f aca="false">MATCH(A41,$C$11:$C$13,1)</f>
        <v>2</v>
      </c>
    </row>
    <row r="42" customFormat="false" ht="15" hidden="false" customHeight="false" outlineLevel="0" collapsed="false">
      <c r="A42" s="17" t="n">
        <v>8.5</v>
      </c>
      <c r="B42" s="15" t="n">
        <f aca="false">INDEX($B$11:$B$13,E42)+(A42-INDEX($C$11:$C$13,E42))/INDEX($D$11:$D$13,E42)</f>
        <v>84.8571428571429</v>
      </c>
      <c r="C42" s="15" t="n">
        <f aca="false">MIN(($B$4+A42/3)/$C$4,($B$5+A42/3)/$C$5,($B$6+A42/3)/$C$6)</f>
        <v>82.8333333333333</v>
      </c>
      <c r="D42" s="15" t="n">
        <f aca="false">MIN($B$4/$C$4,($B$5+A42)/$C$5,$B$6/$C$6)</f>
        <v>80</v>
      </c>
      <c r="E42" s="12" t="n">
        <f aca="false">MATCH(A42,$C$11:$C$13,1)</f>
        <v>2</v>
      </c>
    </row>
    <row r="43" customFormat="false" ht="15" hidden="false" customHeight="false" outlineLevel="0" collapsed="false">
      <c r="A43" s="17" t="n">
        <v>9</v>
      </c>
      <c r="B43" s="15" t="n">
        <f aca="false">INDEX($B$11:$B$13,E43)+(A43-INDEX($C$11:$C$13,E43))/INDEX($D$11:$D$13,E43)</f>
        <v>85.1428571428571</v>
      </c>
      <c r="C43" s="15" t="n">
        <f aca="false">MIN(($B$4+A43/3)/$C$4,($B$5+A43/3)/$C$5,($B$6+A43/3)/$C$6)</f>
        <v>83</v>
      </c>
      <c r="D43" s="15" t="n">
        <f aca="false">MIN($B$4/$C$4,($B$5+A43)/$C$5,$B$6/$C$6)</f>
        <v>80</v>
      </c>
      <c r="E43" s="12" t="n">
        <f aca="false">MATCH(A43,$C$11:$C$13,1)</f>
        <v>2</v>
      </c>
    </row>
    <row r="44" customFormat="false" ht="15" hidden="false" customHeight="false" outlineLevel="0" collapsed="false">
      <c r="A44" s="17" t="n">
        <v>9.5</v>
      </c>
      <c r="B44" s="15" t="n">
        <f aca="false">INDEX($B$11:$B$13,E44)+(A44-INDEX($C$11:$C$13,E44))/INDEX($D$11:$D$13,E44)</f>
        <v>85.4285714285714</v>
      </c>
      <c r="C44" s="15" t="n">
        <f aca="false">MIN(($B$4+A44/3)/$C$4,($B$5+A44/3)/$C$5,($B$6+A44/3)/$C$6)</f>
        <v>83.1666666666667</v>
      </c>
      <c r="D44" s="15" t="n">
        <f aca="false">MIN($B$4/$C$4,($B$5+A44)/$C$5,$B$6/$C$6)</f>
        <v>80</v>
      </c>
      <c r="E44" s="12" t="n">
        <f aca="false">MATCH(A44,$C$11:$C$13,1)</f>
        <v>2</v>
      </c>
    </row>
    <row r="45" customFormat="false" ht="15" hidden="false" customHeight="false" outlineLevel="0" collapsed="false">
      <c r="A45" s="17" t="n">
        <v>10</v>
      </c>
      <c r="B45" s="15" t="n">
        <f aca="false">INDEX($B$11:$B$13,E45)+(A45-INDEX($C$11:$C$13,E45))/INDEX($D$11:$D$13,E45)</f>
        <v>85.7142857142857</v>
      </c>
      <c r="C45" s="15" t="n">
        <f aca="false">MIN(($B$4+A45/3)/$C$4,($B$5+A45/3)/$C$5,($B$6+A45/3)/$C$6)</f>
        <v>83.3333333333333</v>
      </c>
      <c r="D45" s="15" t="n">
        <f aca="false">MIN($B$4/$C$4,($B$5+A45)/$C$5,$B$6/$C$6)</f>
        <v>80</v>
      </c>
      <c r="E45" s="12" t="n">
        <f aca="false">MATCH(A45,$C$11:$C$13,1)</f>
        <v>2</v>
      </c>
    </row>
    <row r="46" customFormat="false" ht="15" hidden="false" customHeight="false" outlineLevel="0" collapsed="false">
      <c r="A46" s="17" t="n">
        <v>10.5</v>
      </c>
      <c r="B46" s="15" t="n">
        <f aca="false">INDEX($B$11:$B$13,E46)+(A46-INDEX($C$11:$C$13,E46))/INDEX($D$11:$D$13,E46)</f>
        <v>86</v>
      </c>
      <c r="C46" s="15" t="n">
        <f aca="false">MIN(($B$4+A46/3)/$C$4,($B$5+A46/3)/$C$5,($B$6+A46/3)/$C$6)</f>
        <v>83.5</v>
      </c>
      <c r="D46" s="15" t="n">
        <f aca="false">MIN($B$4/$C$4,($B$5+A46)/$C$5,$B$6/$C$6)</f>
        <v>80</v>
      </c>
      <c r="E46" s="12" t="n">
        <f aca="false">MATCH(A46,$C$11:$C$13,1)</f>
        <v>2</v>
      </c>
    </row>
    <row r="47" customFormat="false" ht="15" hidden="false" customHeight="false" outlineLevel="0" collapsed="false">
      <c r="A47" s="17" t="n">
        <v>11</v>
      </c>
      <c r="B47" s="15" t="n">
        <f aca="false">INDEX($B$11:$B$13,E47)+(A47-INDEX($C$11:$C$13,E47))/INDEX($D$11:$D$13,E47)</f>
        <v>86.2857142857143</v>
      </c>
      <c r="C47" s="15" t="n">
        <f aca="false">MIN(($B$4+A47/3)/$C$4,($B$5+A47/3)/$C$5,($B$6+A47/3)/$C$6)</f>
        <v>83.6666666666667</v>
      </c>
      <c r="D47" s="15" t="n">
        <f aca="false">MIN($B$4/$C$4,($B$5+A47)/$C$5,$B$6/$C$6)</f>
        <v>80</v>
      </c>
      <c r="E47" s="12" t="n">
        <f aca="false">MATCH(A47,$C$11:$C$13,1)</f>
        <v>2</v>
      </c>
    </row>
    <row r="48" customFormat="false" ht="15" hidden="false" customHeight="false" outlineLevel="0" collapsed="false">
      <c r="A48" s="17" t="n">
        <v>11.5</v>
      </c>
      <c r="B48" s="15" t="n">
        <f aca="false">INDEX($B$11:$B$13,E48)+(A48-INDEX($C$11:$C$13,E48))/INDEX($D$11:$D$13,E48)</f>
        <v>86.5714285714286</v>
      </c>
      <c r="C48" s="15" t="n">
        <f aca="false">MIN(($B$4+A48/3)/$C$4,($B$5+A48/3)/$C$5,($B$6+A48/3)/$C$6)</f>
        <v>83.8333333333333</v>
      </c>
      <c r="D48" s="15" t="n">
        <f aca="false">MIN($B$4/$C$4,($B$5+A48)/$C$5,$B$6/$C$6)</f>
        <v>80</v>
      </c>
      <c r="E48" s="12" t="n">
        <f aca="false">MATCH(A48,$C$11:$C$13,1)</f>
        <v>2</v>
      </c>
    </row>
    <row r="49" customFormat="false" ht="15" hidden="false" customHeight="false" outlineLevel="0" collapsed="false">
      <c r="A49" s="17" t="n">
        <v>12</v>
      </c>
      <c r="B49" s="15" t="n">
        <f aca="false">INDEX($B$11:$B$13,E49)+(A49-INDEX($C$11:$C$13,E49))/INDEX($D$11:$D$13,E49)</f>
        <v>86.8571428571429</v>
      </c>
      <c r="C49" s="15" t="n">
        <f aca="false">MIN(($B$4+A49/3)/$C$4,($B$5+A49/3)/$C$5,($B$6+A49/3)/$C$6)</f>
        <v>84</v>
      </c>
      <c r="D49" s="15" t="n">
        <f aca="false">MIN($B$4/$C$4,($B$5+A49)/$C$5,$B$6/$C$6)</f>
        <v>80</v>
      </c>
      <c r="E49" s="12" t="n">
        <f aca="false">MATCH(A49,$C$11:$C$13,1)</f>
        <v>2</v>
      </c>
    </row>
    <row r="50" customFormat="false" ht="15" hidden="false" customHeight="false" outlineLevel="0" collapsed="false">
      <c r="A50" s="17" t="n">
        <v>12.5</v>
      </c>
      <c r="B50" s="15" t="n">
        <f aca="false">INDEX($B$11:$B$13,E50)+(A50-INDEX($C$11:$C$13,E50))/INDEX($D$11:$D$13,E50)</f>
        <v>87.1428571428571</v>
      </c>
      <c r="C50" s="15" t="n">
        <f aca="false">MIN(($B$4+A50/3)/$C$4,($B$5+A50/3)/$C$5,($B$6+A50/3)/$C$6)</f>
        <v>84.1666666666667</v>
      </c>
      <c r="D50" s="15" t="n">
        <f aca="false">MIN($B$4/$C$4,($B$5+A50)/$C$5,$B$6/$C$6)</f>
        <v>80</v>
      </c>
      <c r="E50" s="12" t="n">
        <f aca="false">MATCH(A50,$C$11:$C$13,1)</f>
        <v>2</v>
      </c>
    </row>
    <row r="51" customFormat="false" ht="15" hidden="false" customHeight="false" outlineLevel="0" collapsed="false">
      <c r="A51" s="17" t="n">
        <v>13</v>
      </c>
      <c r="B51" s="15" t="n">
        <f aca="false">INDEX($B$11:$B$13,E51)+(A51-INDEX($C$11:$C$13,E51))/INDEX($D$11:$D$13,E51)</f>
        <v>87.4285714285714</v>
      </c>
      <c r="C51" s="15" t="n">
        <f aca="false">MIN(($B$4+A51/3)/$C$4,($B$5+A51/3)/$C$5,($B$6+A51/3)/$C$6)</f>
        <v>84.3333333333333</v>
      </c>
      <c r="D51" s="15" t="n">
        <f aca="false">MIN($B$4/$C$4,($B$5+A51)/$C$5,$B$6/$C$6)</f>
        <v>80</v>
      </c>
      <c r="E51" s="12" t="n">
        <f aca="false">MATCH(A51,$C$11:$C$13,1)</f>
        <v>2</v>
      </c>
    </row>
    <row r="52" customFormat="false" ht="15" hidden="false" customHeight="false" outlineLevel="0" collapsed="false">
      <c r="A52" s="17" t="n">
        <v>13.5</v>
      </c>
      <c r="B52" s="15" t="n">
        <f aca="false">INDEX($B$11:$B$13,E52)+(A52-INDEX($C$11:$C$13,E52))/INDEX($D$11:$D$13,E52)</f>
        <v>87.7142857142857</v>
      </c>
      <c r="C52" s="15" t="n">
        <f aca="false">MIN(($B$4+A52/3)/$C$4,($B$5+A52/3)/$C$5,($B$6+A52/3)/$C$6)</f>
        <v>84.5</v>
      </c>
      <c r="D52" s="15" t="n">
        <f aca="false">MIN($B$4/$C$4,($B$5+A52)/$C$5,$B$6/$C$6)</f>
        <v>80</v>
      </c>
      <c r="E52" s="12" t="n">
        <f aca="false">MATCH(A52,$C$11:$C$13,1)</f>
        <v>2</v>
      </c>
    </row>
    <row r="53" customFormat="false" ht="15" hidden="false" customHeight="false" outlineLevel="0" collapsed="false">
      <c r="A53" s="17" t="n">
        <v>14</v>
      </c>
      <c r="B53" s="15" t="n">
        <f aca="false">INDEX($B$11:$B$13,E53)+(A53-INDEX($C$11:$C$13,E53))/INDEX($D$11:$D$13,E53)</f>
        <v>88</v>
      </c>
      <c r="C53" s="15" t="n">
        <f aca="false">MIN(($B$4+A53/3)/$C$4,($B$5+A53/3)/$C$5,($B$6+A53/3)/$C$6)</f>
        <v>84.6666666666667</v>
      </c>
      <c r="D53" s="15" t="n">
        <f aca="false">MIN($B$4/$C$4,($B$5+A53)/$C$5,$B$6/$C$6)</f>
        <v>80</v>
      </c>
      <c r="E53" s="12" t="n">
        <f aca="false">MATCH(A53,$C$11:$C$13,1)</f>
        <v>2</v>
      </c>
    </row>
    <row r="54" customFormat="false" ht="15" hidden="false" customHeight="false" outlineLevel="0" collapsed="false">
      <c r="A54" s="17" t="n">
        <v>14.5</v>
      </c>
      <c r="B54" s="15" t="n">
        <f aca="false">INDEX($B$11:$B$13,E54)+(A54-INDEX($C$11:$C$13,E54))/INDEX($D$11:$D$13,E54)</f>
        <v>88.2857142857143</v>
      </c>
      <c r="C54" s="15" t="n">
        <f aca="false">MIN(($B$4+A54/3)/$C$4,($B$5+A54/3)/$C$5,($B$6+A54/3)/$C$6)</f>
        <v>84.8333333333333</v>
      </c>
      <c r="D54" s="15" t="n">
        <f aca="false">MIN($B$4/$C$4,($B$5+A54)/$C$5,$B$6/$C$6)</f>
        <v>80</v>
      </c>
      <c r="E54" s="12" t="n">
        <f aca="false">MATCH(A54,$C$11:$C$13,1)</f>
        <v>2</v>
      </c>
    </row>
    <row r="55" customFormat="false" ht="15" hidden="false" customHeight="false" outlineLevel="0" collapsed="false">
      <c r="A55" s="17" t="n">
        <v>15</v>
      </c>
      <c r="B55" s="15" t="n">
        <f aca="false">INDEX($B$11:$B$13,E55)+(A55-INDEX($C$11:$C$13,E55))/INDEX($D$11:$D$13,E55)</f>
        <v>88.5714285714286</v>
      </c>
      <c r="C55" s="15" t="n">
        <f aca="false">MIN(($B$4+A55/3)/$C$4,($B$5+A55/3)/$C$5,($B$6+A55/3)/$C$6)</f>
        <v>85</v>
      </c>
      <c r="D55" s="15" t="n">
        <f aca="false">MIN($B$4/$C$4,($B$5+A55)/$C$5,$B$6/$C$6)</f>
        <v>80</v>
      </c>
      <c r="E55" s="12" t="n">
        <f aca="false">MATCH(A55,$C$11:$C$13,1)</f>
        <v>2</v>
      </c>
    </row>
    <row r="56" customFormat="false" ht="15" hidden="false" customHeight="false" outlineLevel="0" collapsed="false">
      <c r="A56" s="17" t="n">
        <v>15.5</v>
      </c>
      <c r="B56" s="15" t="n">
        <f aca="false">INDEX($B$11:$B$13,E56)+(A56-INDEX($C$11:$C$13,E56))/INDEX($D$11:$D$13,E56)</f>
        <v>88.8571428571429</v>
      </c>
      <c r="C56" s="15" t="n">
        <f aca="false">MIN(($B$4+A56/3)/$C$4,($B$5+A56/3)/$C$5,($B$6+A56/3)/$C$6)</f>
        <v>85.1666666666667</v>
      </c>
      <c r="D56" s="15" t="n">
        <f aca="false">MIN($B$4/$C$4,($B$5+A56)/$C$5,$B$6/$C$6)</f>
        <v>80</v>
      </c>
      <c r="E56" s="12" t="n">
        <f aca="false">MATCH(A56,$C$11:$C$13,1)</f>
        <v>2</v>
      </c>
    </row>
    <row r="57" customFormat="false" ht="15" hidden="false" customHeight="false" outlineLevel="0" collapsed="false">
      <c r="A57" s="17" t="n">
        <v>16</v>
      </c>
      <c r="B57" s="15" t="n">
        <f aca="false">INDEX($B$11:$B$13,E57)+(A57-INDEX($C$11:$C$13,E57))/INDEX($D$11:$D$13,E57)</f>
        <v>89.1428571428571</v>
      </c>
      <c r="C57" s="15" t="n">
        <f aca="false">MIN(($B$4+A57/3)/$C$4,($B$5+A57/3)/$C$5,($B$6+A57/3)/$C$6)</f>
        <v>85.3333333333333</v>
      </c>
      <c r="D57" s="15" t="n">
        <f aca="false">MIN($B$4/$C$4,($B$5+A57)/$C$5,$B$6/$C$6)</f>
        <v>80</v>
      </c>
      <c r="E57" s="12" t="n">
        <f aca="false">MATCH(A57,$C$11:$C$13,1)</f>
        <v>2</v>
      </c>
    </row>
    <row r="58" customFormat="false" ht="15" hidden="false" customHeight="false" outlineLevel="0" collapsed="false">
      <c r="A58" s="17" t="n">
        <v>16.5</v>
      </c>
      <c r="B58" s="15" t="n">
        <f aca="false">INDEX($B$11:$B$13,E58)+(A58-INDEX($C$11:$C$13,E58))/INDEX($D$11:$D$13,E58)</f>
        <v>89.4285714285714</v>
      </c>
      <c r="C58" s="15" t="n">
        <f aca="false">MIN(($B$4+A58/3)/$C$4,($B$5+A58/3)/$C$5,($B$6+A58/3)/$C$6)</f>
        <v>85.5</v>
      </c>
      <c r="D58" s="15" t="n">
        <f aca="false">MIN($B$4/$C$4,($B$5+A58)/$C$5,$B$6/$C$6)</f>
        <v>80</v>
      </c>
      <c r="E58" s="12" t="n">
        <f aca="false">MATCH(A58,$C$11:$C$13,1)</f>
        <v>2</v>
      </c>
    </row>
    <row r="59" customFormat="false" ht="15" hidden="false" customHeight="false" outlineLevel="0" collapsed="false">
      <c r="A59" s="17" t="n">
        <v>17</v>
      </c>
      <c r="B59" s="15" t="n">
        <f aca="false">INDEX($B$11:$B$13,E59)+(A59-INDEX($C$11:$C$13,E59))/INDEX($D$11:$D$13,E59)</f>
        <v>89.7142857142857</v>
      </c>
      <c r="C59" s="15" t="n">
        <f aca="false">MIN(($B$4+A59/3)/$C$4,($B$5+A59/3)/$C$5,($B$6+A59/3)/$C$6)</f>
        <v>85.6666666666667</v>
      </c>
      <c r="D59" s="15" t="n">
        <f aca="false">MIN($B$4/$C$4,($B$5+A59)/$C$5,$B$6/$C$6)</f>
        <v>80</v>
      </c>
      <c r="E59" s="12" t="n">
        <f aca="false">MATCH(A59,$C$11:$C$13,1)</f>
        <v>2</v>
      </c>
    </row>
    <row r="60" customFormat="false" ht="15" hidden="false" customHeight="false" outlineLevel="0" collapsed="false">
      <c r="A60" s="17" t="n">
        <v>17.5</v>
      </c>
      <c r="B60" s="15" t="n">
        <f aca="false">INDEX($B$11:$B$13,E60)+(A60-INDEX($C$11:$C$13,E60))/INDEX($D$11:$D$13,E60)</f>
        <v>90</v>
      </c>
      <c r="C60" s="15" t="n">
        <f aca="false">MIN(($B$4+A60/3)/$C$4,($B$5+A60/3)/$C$5,($B$6+A60/3)/$C$6)</f>
        <v>85.8333333333333</v>
      </c>
      <c r="D60" s="15" t="n">
        <f aca="false">MIN($B$4/$C$4,($B$5+A60)/$C$5,$B$6/$C$6)</f>
        <v>80</v>
      </c>
      <c r="E60" s="12" t="n">
        <f aca="false">MATCH(A60,$C$11:$C$13,1)</f>
        <v>3</v>
      </c>
    </row>
    <row r="61" customFormat="false" ht="15" hidden="false" customHeight="false" outlineLevel="0" collapsed="false">
      <c r="A61" s="17" t="n">
        <v>18</v>
      </c>
      <c r="B61" s="15" t="n">
        <f aca="false">INDEX($B$11:$B$13,E61)+(A61-INDEX($C$11:$C$13,E61))/INDEX($D$11:$D$13,E61)</f>
        <v>90.2222222222222</v>
      </c>
      <c r="C61" s="15" t="n">
        <f aca="false">MIN(($B$4+A61/3)/$C$4,($B$5+A61/3)/$C$5,($B$6+A61/3)/$C$6)</f>
        <v>86</v>
      </c>
      <c r="D61" s="15" t="n">
        <f aca="false">MIN($B$4/$C$4,($B$5+A61)/$C$5,$B$6/$C$6)</f>
        <v>80</v>
      </c>
      <c r="E61" s="12" t="n">
        <f aca="false">MATCH(A61,$C$11:$C$13,1)</f>
        <v>3</v>
      </c>
    </row>
    <row r="62" customFormat="false" ht="15" hidden="false" customHeight="false" outlineLevel="0" collapsed="false">
      <c r="A62" s="17" t="n">
        <v>18.5</v>
      </c>
      <c r="B62" s="15" t="n">
        <f aca="false">INDEX($B$11:$B$13,E62)+(A62-INDEX($C$11:$C$13,E62))/INDEX($D$11:$D$13,E62)</f>
        <v>90.4444444444444</v>
      </c>
      <c r="C62" s="15" t="n">
        <f aca="false">MIN(($B$4+A62/3)/$C$4,($B$5+A62/3)/$C$5,($B$6+A62/3)/$C$6)</f>
        <v>86.1666666666667</v>
      </c>
      <c r="D62" s="15" t="n">
        <f aca="false">MIN($B$4/$C$4,($B$5+A62)/$C$5,$B$6/$C$6)</f>
        <v>80</v>
      </c>
      <c r="E62" s="12" t="n">
        <f aca="false">MATCH(A62,$C$11:$C$13,1)</f>
        <v>3</v>
      </c>
    </row>
    <row r="63" customFormat="false" ht="15" hidden="false" customHeight="false" outlineLevel="0" collapsed="false">
      <c r="A63" s="17" t="n">
        <v>19</v>
      </c>
      <c r="B63" s="15" t="n">
        <f aca="false">INDEX($B$11:$B$13,E63)+(A63-INDEX($C$11:$C$13,E63))/INDEX($D$11:$D$13,E63)</f>
        <v>90.6666666666667</v>
      </c>
      <c r="C63" s="15" t="n">
        <f aca="false">MIN(($B$4+A63/3)/$C$4,($B$5+A63/3)/$C$5,($B$6+A63/3)/$C$6)</f>
        <v>86.3333333333333</v>
      </c>
      <c r="D63" s="15" t="n">
        <f aca="false">MIN($B$4/$C$4,($B$5+A63)/$C$5,$B$6/$C$6)</f>
        <v>80</v>
      </c>
      <c r="E63" s="12" t="n">
        <f aca="false">MATCH(A63,$C$11:$C$13,1)</f>
        <v>3</v>
      </c>
    </row>
    <row r="64" customFormat="false" ht="15" hidden="false" customHeight="false" outlineLevel="0" collapsed="false">
      <c r="A64" s="17" t="n">
        <v>19.5</v>
      </c>
      <c r="B64" s="15" t="n">
        <f aca="false">INDEX($B$11:$B$13,E64)+(A64-INDEX($C$11:$C$13,E64))/INDEX($D$11:$D$13,E64)</f>
        <v>90.8888888888889</v>
      </c>
      <c r="C64" s="15" t="n">
        <f aca="false">MIN(($B$4+A64/3)/$C$4,($B$5+A64/3)/$C$5,($B$6+A64/3)/$C$6)</f>
        <v>86.5</v>
      </c>
      <c r="D64" s="15" t="n">
        <f aca="false">MIN($B$4/$C$4,($B$5+A64)/$C$5,$B$6/$C$6)</f>
        <v>80</v>
      </c>
      <c r="E64" s="12" t="n">
        <f aca="false">MATCH(A64,$C$11:$C$13,1)</f>
        <v>3</v>
      </c>
    </row>
    <row r="65" customFormat="false" ht="15" hidden="false" customHeight="false" outlineLevel="0" collapsed="false">
      <c r="A65" s="17" t="n">
        <v>20</v>
      </c>
      <c r="B65" s="15" t="n">
        <f aca="false">INDEX($B$11:$B$13,E65)+(A65-INDEX($C$11:$C$13,E65))/INDEX($D$11:$D$13,E65)</f>
        <v>91.1111111111111</v>
      </c>
      <c r="C65" s="15" t="n">
        <f aca="false">MIN(($B$4+A65/3)/$C$4,($B$5+A65/3)/$C$5,($B$6+A65/3)/$C$6)</f>
        <v>86.6666666666667</v>
      </c>
      <c r="D65" s="15" t="n">
        <f aca="false">MIN($B$4/$C$4,($B$5+A65)/$C$5,$B$6/$C$6)</f>
        <v>80</v>
      </c>
      <c r="E65" s="12" t="n">
        <f aca="false">MATCH(A65,$C$11:$C$13,1)</f>
        <v>3</v>
      </c>
    </row>
    <row r="66" customFormat="false" ht="15" hidden="false" customHeight="false" outlineLevel="0" collapsed="false">
      <c r="A66" s="17" t="n">
        <v>20.5</v>
      </c>
      <c r="B66" s="15" t="n">
        <f aca="false">INDEX($B$11:$B$13,E66)+(A66-INDEX($C$11:$C$13,E66))/INDEX($D$11:$D$13,E66)</f>
        <v>91.3333333333333</v>
      </c>
      <c r="C66" s="15" t="n">
        <f aca="false">MIN(($B$4+A66/3)/$C$4,($B$5+A66/3)/$C$5,($B$6+A66/3)/$C$6)</f>
        <v>86.8333333333333</v>
      </c>
      <c r="D66" s="15" t="n">
        <f aca="false">MIN($B$4/$C$4,($B$5+A66)/$C$5,$B$6/$C$6)</f>
        <v>80</v>
      </c>
      <c r="E66" s="12" t="n">
        <f aca="false">MATCH(A66,$C$11:$C$13,1)</f>
        <v>3</v>
      </c>
    </row>
    <row r="67" customFormat="false" ht="15" hidden="false" customHeight="false" outlineLevel="0" collapsed="false">
      <c r="A67" s="17" t="n">
        <v>21</v>
      </c>
      <c r="B67" s="15" t="n">
        <f aca="false">INDEX($B$11:$B$13,E67)+(A67-INDEX($C$11:$C$13,E67))/INDEX($D$11:$D$13,E67)</f>
        <v>91.5555555555556</v>
      </c>
      <c r="C67" s="15" t="n">
        <f aca="false">MIN(($B$4+A67/3)/$C$4,($B$5+A67/3)/$C$5,($B$6+A67/3)/$C$6)</f>
        <v>87</v>
      </c>
      <c r="D67" s="15" t="n">
        <f aca="false">MIN($B$4/$C$4,($B$5+A67)/$C$5,$B$6/$C$6)</f>
        <v>80</v>
      </c>
      <c r="E67" s="12" t="n">
        <f aca="false">MATCH(A67,$C$11:$C$13,1)</f>
        <v>3</v>
      </c>
    </row>
    <row r="68" customFormat="false" ht="15" hidden="false" customHeight="false" outlineLevel="0" collapsed="false">
      <c r="A68" s="17" t="n">
        <v>21.5</v>
      </c>
      <c r="B68" s="15" t="n">
        <f aca="false">INDEX($B$11:$B$13,E68)+(A68-INDEX($C$11:$C$13,E68))/INDEX($D$11:$D$13,E68)</f>
        <v>91.7777777777778</v>
      </c>
      <c r="C68" s="15" t="n">
        <f aca="false">MIN(($B$4+A68/3)/$C$4,($B$5+A68/3)/$C$5,($B$6+A68/3)/$C$6)</f>
        <v>87.1666666666667</v>
      </c>
      <c r="D68" s="15" t="n">
        <f aca="false">MIN($B$4/$C$4,($B$5+A68)/$C$5,$B$6/$C$6)</f>
        <v>80</v>
      </c>
      <c r="E68" s="12" t="n">
        <f aca="false">MATCH(A68,$C$11:$C$13,1)</f>
        <v>3</v>
      </c>
    </row>
    <row r="69" customFormat="false" ht="15" hidden="false" customHeight="false" outlineLevel="0" collapsed="false">
      <c r="A69" s="17" t="n">
        <v>22</v>
      </c>
      <c r="B69" s="15" t="n">
        <f aca="false">INDEX($B$11:$B$13,E69)+(A69-INDEX($C$11:$C$13,E69))/INDEX($D$11:$D$13,E69)</f>
        <v>92</v>
      </c>
      <c r="C69" s="15" t="n">
        <f aca="false">MIN(($B$4+A69/3)/$C$4,($B$5+A69/3)/$C$5,($B$6+A69/3)/$C$6)</f>
        <v>87.3333333333333</v>
      </c>
      <c r="D69" s="15" t="n">
        <f aca="false">MIN($B$4/$C$4,($B$5+A69)/$C$5,$B$6/$C$6)</f>
        <v>80</v>
      </c>
      <c r="E69" s="12" t="n">
        <f aca="false">MATCH(A69,$C$11:$C$13,1)</f>
        <v>3</v>
      </c>
    </row>
    <row r="70" customFormat="false" ht="15" hidden="false" customHeight="false" outlineLevel="0" collapsed="false">
      <c r="A70" s="17" t="n">
        <v>22.5</v>
      </c>
      <c r="B70" s="15" t="n">
        <f aca="false">INDEX($B$11:$B$13,E70)+(A70-INDEX($C$11:$C$13,E70))/INDEX($D$11:$D$13,E70)</f>
        <v>92.2222222222222</v>
      </c>
      <c r="C70" s="15" t="n">
        <f aca="false">MIN(($B$4+A70/3)/$C$4,($B$5+A70/3)/$C$5,($B$6+A70/3)/$C$6)</f>
        <v>87.5</v>
      </c>
      <c r="D70" s="15" t="n">
        <f aca="false">MIN($B$4/$C$4,($B$5+A70)/$C$5,$B$6/$C$6)</f>
        <v>80</v>
      </c>
      <c r="E70" s="12" t="n">
        <f aca="false">MATCH(A70,$C$11:$C$13,1)</f>
        <v>3</v>
      </c>
    </row>
    <row r="71" customFormat="false" ht="15" hidden="false" customHeight="false" outlineLevel="0" collapsed="false">
      <c r="A71" s="17" t="n">
        <v>23</v>
      </c>
      <c r="B71" s="15" t="n">
        <f aca="false">INDEX($B$11:$B$13,E71)+(A71-INDEX($C$11:$C$13,E71))/INDEX($D$11:$D$13,E71)</f>
        <v>92.4444444444444</v>
      </c>
      <c r="C71" s="15" t="n">
        <f aca="false">MIN(($B$4+A71/3)/$C$4,($B$5+A71/3)/$C$5,($B$6+A71/3)/$C$6)</f>
        <v>87.6666666666667</v>
      </c>
      <c r="D71" s="15" t="n">
        <f aca="false">MIN($B$4/$C$4,($B$5+A71)/$C$5,$B$6/$C$6)</f>
        <v>80</v>
      </c>
      <c r="E71" s="12" t="n">
        <f aca="false">MATCH(A71,$C$11:$C$13,1)</f>
        <v>3</v>
      </c>
    </row>
    <row r="72" customFormat="false" ht="15" hidden="false" customHeight="false" outlineLevel="0" collapsed="false">
      <c r="A72" s="17" t="n">
        <v>23.5</v>
      </c>
      <c r="B72" s="15" t="n">
        <f aca="false">INDEX($B$11:$B$13,E72)+(A72-INDEX($C$11:$C$13,E72))/INDEX($D$11:$D$13,E72)</f>
        <v>92.6666666666667</v>
      </c>
      <c r="C72" s="15" t="n">
        <f aca="false">MIN(($B$4+A72/3)/$C$4,($B$5+A72/3)/$C$5,($B$6+A72/3)/$C$6)</f>
        <v>87.8333333333333</v>
      </c>
      <c r="D72" s="15" t="n">
        <f aca="false">MIN($B$4/$C$4,($B$5+A72)/$C$5,$B$6/$C$6)</f>
        <v>80</v>
      </c>
      <c r="E72" s="12" t="n">
        <f aca="false">MATCH(A72,$C$11:$C$13,1)</f>
        <v>3</v>
      </c>
    </row>
    <row r="73" customFormat="false" ht="15" hidden="false" customHeight="false" outlineLevel="0" collapsed="false">
      <c r="A73" s="17" t="n">
        <v>24</v>
      </c>
      <c r="B73" s="15" t="n">
        <f aca="false">INDEX($B$11:$B$13,E73)+(A73-INDEX($C$11:$C$13,E73))/INDEX($D$11:$D$13,E73)</f>
        <v>92.8888888888889</v>
      </c>
      <c r="C73" s="15" t="n">
        <f aca="false">MIN(($B$4+A73/3)/$C$4,($B$5+A73/3)/$C$5,($B$6+A73/3)/$C$6)</f>
        <v>88</v>
      </c>
      <c r="D73" s="15" t="n">
        <f aca="false">MIN($B$4/$C$4,($B$5+A73)/$C$5,$B$6/$C$6)</f>
        <v>80</v>
      </c>
      <c r="E73" s="12" t="n">
        <f aca="false">MATCH(A73,$C$11:$C$13,1)</f>
        <v>3</v>
      </c>
    </row>
    <row r="74" customFormat="false" ht="15" hidden="false" customHeight="false" outlineLevel="0" collapsed="false">
      <c r="A74" s="17" t="n">
        <v>24.5</v>
      </c>
      <c r="B74" s="15" t="n">
        <f aca="false">INDEX($B$11:$B$13,E74)+(A74-INDEX($C$11:$C$13,E74))/INDEX($D$11:$D$13,E74)</f>
        <v>93.1111111111111</v>
      </c>
      <c r="C74" s="15" t="n">
        <f aca="false">MIN(($B$4+A74/3)/$C$4,($B$5+A74/3)/$C$5,($B$6+A74/3)/$C$6)</f>
        <v>88.1666666666667</v>
      </c>
      <c r="D74" s="15" t="n">
        <f aca="false">MIN($B$4/$C$4,($B$5+A74)/$C$5,$B$6/$C$6)</f>
        <v>80</v>
      </c>
      <c r="E74" s="12" t="n">
        <f aca="false">MATCH(A74,$C$11:$C$13,1)</f>
        <v>3</v>
      </c>
    </row>
    <row r="75" customFormat="false" ht="15" hidden="false" customHeight="false" outlineLevel="0" collapsed="false">
      <c r="A75" s="17" t="n">
        <v>25</v>
      </c>
      <c r="B75" s="15" t="n">
        <f aca="false">INDEX($B$11:$B$13,E75)+(A75-INDEX($C$11:$C$13,E75))/INDEX($D$11:$D$13,E75)</f>
        <v>93.3333333333333</v>
      </c>
      <c r="C75" s="15" t="n">
        <f aca="false">MIN(($B$4+A75/3)/$C$4,($B$5+A75/3)/$C$5,($B$6+A75/3)/$C$6)</f>
        <v>88.3333333333333</v>
      </c>
      <c r="D75" s="15" t="n">
        <f aca="false">MIN($B$4/$C$4,($B$5+A75)/$C$5,$B$6/$C$6)</f>
        <v>80</v>
      </c>
      <c r="E75" s="12" t="n">
        <f aca="false">MATCH(A75,$C$11:$C$13,1)</f>
        <v>3</v>
      </c>
    </row>
    <row r="76" customFormat="false" ht="15" hidden="false" customHeight="false" outlineLevel="0" collapsed="false">
      <c r="A76" s="17" t="n">
        <v>25.5</v>
      </c>
      <c r="B76" s="15" t="n">
        <f aca="false">INDEX($B$11:$B$13,E76)+(A76-INDEX($C$11:$C$13,E76))/INDEX($D$11:$D$13,E76)</f>
        <v>93.5555555555556</v>
      </c>
      <c r="C76" s="15" t="n">
        <f aca="false">MIN(($B$4+A76/3)/$C$4,($B$5+A76/3)/$C$5,($B$6+A76/3)/$C$6)</f>
        <v>88.5</v>
      </c>
      <c r="D76" s="15" t="n">
        <f aca="false">MIN($B$4/$C$4,($B$5+A76)/$C$5,$B$6/$C$6)</f>
        <v>80</v>
      </c>
      <c r="E76" s="12" t="n">
        <f aca="false">MATCH(A76,$C$11:$C$13,1)</f>
        <v>3</v>
      </c>
    </row>
    <row r="77" customFormat="false" ht="15" hidden="false" customHeight="false" outlineLevel="0" collapsed="false">
      <c r="A77" s="17" t="n">
        <v>26</v>
      </c>
      <c r="B77" s="15" t="n">
        <f aca="false">INDEX($B$11:$B$13,E77)+(A77-INDEX($C$11:$C$13,E77))/INDEX($D$11:$D$13,E77)</f>
        <v>93.7777777777778</v>
      </c>
      <c r="C77" s="15" t="n">
        <f aca="false">MIN(($B$4+A77/3)/$C$4,($B$5+A77/3)/$C$5,($B$6+A77/3)/$C$6)</f>
        <v>88.6666666666667</v>
      </c>
      <c r="D77" s="15" t="n">
        <f aca="false">MIN($B$4/$C$4,($B$5+A77)/$C$5,$B$6/$C$6)</f>
        <v>80</v>
      </c>
      <c r="E77" s="12" t="n">
        <f aca="false">MATCH(A77,$C$11:$C$13,1)</f>
        <v>3</v>
      </c>
    </row>
    <row r="78" customFormat="false" ht="15" hidden="false" customHeight="false" outlineLevel="0" collapsed="false">
      <c r="A78" s="17" t="n">
        <v>26.5</v>
      </c>
      <c r="B78" s="15" t="n">
        <f aca="false">INDEX($B$11:$B$13,E78)+(A78-INDEX($C$11:$C$13,E78))/INDEX($D$11:$D$13,E78)</f>
        <v>94</v>
      </c>
      <c r="C78" s="15" t="n">
        <f aca="false">MIN(($B$4+A78/3)/$C$4,($B$5+A78/3)/$C$5,($B$6+A78/3)/$C$6)</f>
        <v>88.8333333333333</v>
      </c>
      <c r="D78" s="15" t="n">
        <f aca="false">MIN($B$4/$C$4,($B$5+A78)/$C$5,$B$6/$C$6)</f>
        <v>80</v>
      </c>
      <c r="E78" s="12" t="n">
        <f aca="false">MATCH(A78,$C$11:$C$13,1)</f>
        <v>3</v>
      </c>
    </row>
    <row r="79" customFormat="false" ht="15" hidden="false" customHeight="false" outlineLevel="0" collapsed="false">
      <c r="A79" s="17" t="n">
        <v>27</v>
      </c>
      <c r="B79" s="15" t="n">
        <f aca="false">INDEX($B$11:$B$13,E79)+(A79-INDEX($C$11:$C$13,E79))/INDEX($D$11:$D$13,E79)</f>
        <v>94.2222222222222</v>
      </c>
      <c r="C79" s="15" t="n">
        <f aca="false">MIN(($B$4+A79/3)/$C$4,($B$5+A79/3)/$C$5,($B$6+A79/3)/$C$6)</f>
        <v>89</v>
      </c>
      <c r="D79" s="15" t="n">
        <f aca="false">MIN($B$4/$C$4,($B$5+A79)/$C$5,$B$6/$C$6)</f>
        <v>80</v>
      </c>
      <c r="E79" s="12" t="n">
        <f aca="false">MATCH(A79,$C$11:$C$13,1)</f>
        <v>3</v>
      </c>
    </row>
    <row r="80" customFormat="false" ht="15" hidden="false" customHeight="false" outlineLevel="0" collapsed="false">
      <c r="A80" s="17" t="n">
        <v>27.5</v>
      </c>
      <c r="B80" s="15" t="n">
        <f aca="false">INDEX($B$11:$B$13,E80)+(A80-INDEX($C$11:$C$13,E80))/INDEX($D$11:$D$13,E80)</f>
        <v>94.4444444444444</v>
      </c>
      <c r="C80" s="15" t="n">
        <f aca="false">MIN(($B$4+A80/3)/$C$4,($B$5+A80/3)/$C$5,($B$6+A80/3)/$C$6)</f>
        <v>89.1666666666667</v>
      </c>
      <c r="D80" s="15" t="n">
        <f aca="false">MIN($B$4/$C$4,($B$5+A80)/$C$5,$B$6/$C$6)</f>
        <v>80</v>
      </c>
      <c r="E80" s="12" t="n">
        <f aca="false">MATCH(A80,$C$11:$C$13,1)</f>
        <v>3</v>
      </c>
    </row>
    <row r="81" customFormat="false" ht="15" hidden="false" customHeight="false" outlineLevel="0" collapsed="false">
      <c r="A81" s="17" t="n">
        <v>28</v>
      </c>
      <c r="B81" s="15" t="n">
        <f aca="false">INDEX($B$11:$B$13,E81)+(A81-INDEX($C$11:$C$13,E81))/INDEX($D$11:$D$13,E81)</f>
        <v>94.6666666666667</v>
      </c>
      <c r="C81" s="15" t="n">
        <f aca="false">MIN(($B$4+A81/3)/$C$4,($B$5+A81/3)/$C$5,($B$6+A81/3)/$C$6)</f>
        <v>89.3333333333333</v>
      </c>
      <c r="D81" s="15" t="n">
        <f aca="false">MIN($B$4/$C$4,($B$5+A81)/$C$5,$B$6/$C$6)</f>
        <v>80</v>
      </c>
      <c r="E81" s="12" t="n">
        <f aca="false">MATCH(A81,$C$11:$C$13,1)</f>
        <v>3</v>
      </c>
    </row>
    <row r="82" customFormat="false" ht="15" hidden="false" customHeight="false" outlineLevel="0" collapsed="false">
      <c r="A82" s="17" t="n">
        <v>28.5</v>
      </c>
      <c r="B82" s="15" t="n">
        <f aca="false">INDEX($B$11:$B$13,E82)+(A82-INDEX($C$11:$C$13,E82))/INDEX($D$11:$D$13,E82)</f>
        <v>94.8888888888889</v>
      </c>
      <c r="C82" s="15" t="n">
        <f aca="false">MIN(($B$4+A82/3)/$C$4,($B$5+A82/3)/$C$5,($B$6+A82/3)/$C$6)</f>
        <v>89.5</v>
      </c>
      <c r="D82" s="15" t="n">
        <f aca="false">MIN($B$4/$C$4,($B$5+A82)/$C$5,$B$6/$C$6)</f>
        <v>80</v>
      </c>
      <c r="E82" s="12" t="n">
        <f aca="false">MATCH(A82,$C$11:$C$13,1)</f>
        <v>3</v>
      </c>
    </row>
    <row r="83" customFormat="false" ht="15" hidden="false" customHeight="false" outlineLevel="0" collapsed="false">
      <c r="A83" s="17" t="n">
        <v>29</v>
      </c>
      <c r="B83" s="15" t="n">
        <f aca="false">INDEX($B$11:$B$13,E83)+(A83-INDEX($C$11:$C$13,E83))/INDEX($D$11:$D$13,E83)</f>
        <v>95.1111111111111</v>
      </c>
      <c r="C83" s="15" t="n">
        <f aca="false">MIN(($B$4+A83/3)/$C$4,($B$5+A83/3)/$C$5,($B$6+A83/3)/$C$6)</f>
        <v>89.6666666666667</v>
      </c>
      <c r="D83" s="15" t="n">
        <f aca="false">MIN($B$4/$C$4,($B$5+A83)/$C$5,$B$6/$C$6)</f>
        <v>80</v>
      </c>
      <c r="E83" s="12" t="n">
        <f aca="false">MATCH(A83,$C$11:$C$13,1)</f>
        <v>3</v>
      </c>
    </row>
    <row r="84" customFormat="false" ht="15" hidden="false" customHeight="false" outlineLevel="0" collapsed="false">
      <c r="A84" s="17" t="n">
        <v>29.5</v>
      </c>
      <c r="B84" s="15" t="n">
        <f aca="false">INDEX($B$11:$B$13,E84)+(A84-INDEX($C$11:$C$13,E84))/INDEX($D$11:$D$13,E84)</f>
        <v>95.3333333333333</v>
      </c>
      <c r="C84" s="15" t="n">
        <f aca="false">MIN(($B$4+A84/3)/$C$4,($B$5+A84/3)/$C$5,($B$6+A84/3)/$C$6)</f>
        <v>89.8333333333333</v>
      </c>
      <c r="D84" s="15" t="n">
        <f aca="false">MIN($B$4/$C$4,($B$5+A84)/$C$5,$B$6/$C$6)</f>
        <v>80</v>
      </c>
      <c r="E84" s="12" t="n">
        <f aca="false">MATCH(A84,$C$11:$C$13,1)</f>
        <v>3</v>
      </c>
    </row>
    <row r="85" customFormat="false" ht="15" hidden="false" customHeight="false" outlineLevel="0" collapsed="false">
      <c r="A85" s="17" t="n">
        <v>30</v>
      </c>
      <c r="B85" s="15" t="n">
        <f aca="false">INDEX($B$11:$B$13,E85)+(A85-INDEX($C$11:$C$13,E85))/INDEX($D$11:$D$13,E85)</f>
        <v>95.5555555555556</v>
      </c>
      <c r="C85" s="15" t="n">
        <f aca="false">MIN(($B$4+A85/3)/$C$4,($B$5+A85/3)/$C$5,($B$6+A85/3)/$C$6)</f>
        <v>90</v>
      </c>
      <c r="D85" s="15" t="n">
        <f aca="false">MIN($B$4/$C$4,($B$5+A85)/$C$5,$B$6/$C$6)</f>
        <v>80</v>
      </c>
      <c r="E85" s="12" t="n">
        <f aca="false">MATCH(A85,$C$11:$C$13,1)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338</v>
      </c>
    </row>
    <row r="3" customFormat="false" ht="15" hidden="false" customHeight="false" outlineLevel="0" collapsed="false">
      <c r="A3" s="8" t="s">
        <v>339</v>
      </c>
      <c r="B3" s="8" t="s">
        <v>19</v>
      </c>
    </row>
    <row r="4" customFormat="false" ht="15" hidden="false" customHeight="false" outlineLevel="0" collapsed="false">
      <c r="A4" s="2" t="s">
        <v>340</v>
      </c>
      <c r="B4" s="13" t="n">
        <v>0.8</v>
      </c>
    </row>
    <row r="5" customFormat="false" ht="15" hidden="false" customHeight="false" outlineLevel="0" collapsed="false">
      <c r="A5" s="2" t="s">
        <v>341</v>
      </c>
      <c r="B5" s="13" t="n">
        <v>0.7</v>
      </c>
    </row>
    <row r="6" customFormat="false" ht="15" hidden="false" customHeight="false" outlineLevel="0" collapsed="false">
      <c r="A6" s="2" t="s">
        <v>342</v>
      </c>
      <c r="B6" s="25" t="n">
        <f aca="false">B4*B5</f>
        <v>0.56</v>
      </c>
    </row>
    <row r="7" customFormat="false" ht="15" hidden="false" customHeight="false" outlineLevel="0" collapsed="false">
      <c r="A7" s="2" t="s">
        <v>343</v>
      </c>
      <c r="B7" s="25" t="n">
        <f aca="false">1-B6</f>
        <v>0.44</v>
      </c>
    </row>
    <row r="9" customFormat="false" ht="15" hidden="false" customHeight="false" outlineLevel="0" collapsed="false">
      <c r="A9" s="10" t="s">
        <v>344</v>
      </c>
    </row>
    <row r="10" customFormat="false" ht="23.85" hidden="false" customHeight="false" outlineLevel="0" collapsed="false">
      <c r="A10" s="8" t="s">
        <v>247</v>
      </c>
      <c r="B10" s="8" t="s">
        <v>345</v>
      </c>
      <c r="C10" s="8" t="s">
        <v>346</v>
      </c>
      <c r="D10" s="8" t="s">
        <v>347</v>
      </c>
      <c r="E10" s="8" t="s">
        <v>348</v>
      </c>
      <c r="F10" s="8" t="s">
        <v>349</v>
      </c>
      <c r="G10" s="8" t="s">
        <v>350</v>
      </c>
      <c r="H10" s="8" t="s">
        <v>351</v>
      </c>
      <c r="I10" s="8" t="s">
        <v>352</v>
      </c>
      <c r="J10" s="8" t="s">
        <v>353</v>
      </c>
      <c r="K10" s="8" t="s">
        <v>354</v>
      </c>
    </row>
    <row r="11" customFormat="false" ht="15" hidden="false" customHeight="false" outlineLevel="0" collapsed="false">
      <c r="A11" s="12" t="n">
        <v>-1</v>
      </c>
      <c r="B11" s="18" t="n">
        <f aca="false">C_keep</f>
        <v>58</v>
      </c>
      <c r="C11" s="18" t="n">
        <f aca="false">Rent_58</f>
        <v>1.45</v>
      </c>
      <c r="D11" s="18" t="n">
        <v>0</v>
      </c>
      <c r="E11" s="18" t="n">
        <f aca="false">(1-Delta_q)*B11+C11-D11</f>
        <v>58</v>
      </c>
      <c r="F11" s="18" t="n">
        <f aca="false">C11</f>
        <v>1.45</v>
      </c>
      <c r="G11" s="18" t="n">
        <f aca="false">Delta_q*B11</f>
        <v>1.45</v>
      </c>
      <c r="H11" s="18" t="n">
        <f aca="false">E11-B11-(F11-G11)</f>
        <v>0</v>
      </c>
      <c r="I11" s="17" t="n">
        <v>0</v>
      </c>
      <c r="J11" s="17" t="n">
        <v>0</v>
      </c>
      <c r="K11" s="17" t="n">
        <f aca="false">I11-J11</f>
        <v>0</v>
      </c>
    </row>
    <row r="12" customFormat="false" ht="15" hidden="false" customHeight="false" outlineLevel="0" collapsed="false">
      <c r="A12" s="12" t="n">
        <v>0</v>
      </c>
      <c r="B12" s="18" t="n">
        <f aca="false">E11</f>
        <v>58</v>
      </c>
      <c r="C12" s="18" t="n">
        <f aca="false">Rent_58</f>
        <v>1.45</v>
      </c>
      <c r="D12" s="18" t="n">
        <f aca="false">Pts_lost</f>
        <v>5</v>
      </c>
      <c r="E12" s="18" t="n">
        <f aca="false">(1-Delta_q)*B12+C12-D12</f>
        <v>53</v>
      </c>
      <c r="F12" s="18" t="n">
        <f aca="false">C12</f>
        <v>1.45</v>
      </c>
      <c r="G12" s="18" t="n">
        <f aca="false">Delta_q*B12</f>
        <v>1.45</v>
      </c>
      <c r="H12" s="18" t="n">
        <f aca="false">E12-B12-(F12-G12)</f>
        <v>-5</v>
      </c>
      <c r="I12" s="17" t="n">
        <f aca="false">Proc_leave</f>
        <v>112</v>
      </c>
      <c r="J12" s="17" t="n">
        <f aca="false">Proc_keep</f>
        <v>92</v>
      </c>
      <c r="K12" s="17" t="n">
        <f aca="false">I12-J12</f>
        <v>20</v>
      </c>
    </row>
    <row r="13" customFormat="false" ht="15" hidden="false" customHeight="false" outlineLevel="0" collapsed="false">
      <c r="A13" s="12" t="n">
        <v>1</v>
      </c>
      <c r="B13" s="18" t="n">
        <f aca="false">E12</f>
        <v>53</v>
      </c>
      <c r="C13" s="18" t="n">
        <f aca="false">MIN(Cap_q,MAX(C_keep-(1-Delta_q)*B13,0))</f>
        <v>2.5</v>
      </c>
      <c r="D13" s="18" t="n">
        <v>0</v>
      </c>
      <c r="E13" s="18" t="n">
        <f aca="false">(1-Delta_q)*B13+C13-D13</f>
        <v>54.175</v>
      </c>
      <c r="F13" s="18" t="n">
        <f aca="false">C13</f>
        <v>2.5</v>
      </c>
      <c r="G13" s="18" t="n">
        <f aca="false">Delta_q*B13</f>
        <v>1.325</v>
      </c>
      <c r="H13" s="18" t="n">
        <f aca="false">E13-B13-(F13-G13)</f>
        <v>0</v>
      </c>
      <c r="I13" s="17" t="n">
        <v>0</v>
      </c>
      <c r="J13" s="17" t="n">
        <v>0</v>
      </c>
      <c r="K13" s="17" t="n">
        <f aca="false">I13-J13</f>
        <v>0</v>
      </c>
    </row>
    <row r="14" customFormat="false" ht="15" hidden="false" customHeight="false" outlineLevel="0" collapsed="false">
      <c r="A14" s="12" t="n">
        <v>2</v>
      </c>
      <c r="B14" s="18" t="n">
        <f aca="false">E13</f>
        <v>54.175</v>
      </c>
      <c r="C14" s="18" t="n">
        <f aca="false">MIN(Cap_q,MAX(C_keep-(1-Delta_q)*B14,0))</f>
        <v>2.5</v>
      </c>
      <c r="D14" s="18" t="n">
        <v>0</v>
      </c>
      <c r="E14" s="18" t="n">
        <f aca="false">(1-Delta_q)*B14+C14-D14</f>
        <v>55.320625</v>
      </c>
      <c r="F14" s="18" t="n">
        <f aca="false">C14</f>
        <v>2.5</v>
      </c>
      <c r="G14" s="18" t="n">
        <f aca="false">Delta_q*B14</f>
        <v>1.354375</v>
      </c>
      <c r="H14" s="18" t="n">
        <f aca="false">E14-B14-(F14-G14)</f>
        <v>-4.44089209850063E-015</v>
      </c>
      <c r="I14" s="17" t="n">
        <v>0</v>
      </c>
      <c r="J14" s="17" t="n">
        <v>0</v>
      </c>
      <c r="K14" s="17" t="n">
        <f aca="false">I14-J14</f>
        <v>0</v>
      </c>
    </row>
    <row r="15" customFormat="false" ht="15" hidden="false" customHeight="false" outlineLevel="0" collapsed="false">
      <c r="A15" s="12" t="n">
        <v>3</v>
      </c>
      <c r="B15" s="18" t="n">
        <f aca="false">E14</f>
        <v>55.320625</v>
      </c>
      <c r="C15" s="18" t="n">
        <f aca="false">MIN(Cap_q,MAX(C_keep-(1-Delta_q)*B15,0))</f>
        <v>2.5</v>
      </c>
      <c r="D15" s="18" t="n">
        <v>0</v>
      </c>
      <c r="E15" s="18" t="n">
        <f aca="false">(1-Delta_q)*B15+C15-D15</f>
        <v>56.437609375</v>
      </c>
      <c r="F15" s="18" t="n">
        <f aca="false">C15</f>
        <v>2.5</v>
      </c>
      <c r="G15" s="18" t="n">
        <f aca="false">Delta_q*B15</f>
        <v>1.383015625</v>
      </c>
      <c r="H15" s="18" t="n">
        <f aca="false">E15-B15-(F15-G15)</f>
        <v>0</v>
      </c>
      <c r="I15" s="17" t="n">
        <v>0</v>
      </c>
      <c r="J15" s="17" t="n">
        <v>0</v>
      </c>
      <c r="K15" s="17" t="n">
        <f aca="false">I15-J15</f>
        <v>0</v>
      </c>
    </row>
    <row r="16" customFormat="false" ht="15" hidden="false" customHeight="false" outlineLevel="0" collapsed="false">
      <c r="A16" s="12" t="n">
        <v>4</v>
      </c>
      <c r="B16" s="18" t="n">
        <f aca="false">E15</f>
        <v>56.437609375</v>
      </c>
      <c r="C16" s="18" t="n">
        <f aca="false">MIN(Cap_q,MAX(C_keep-(1-Delta_q)*B16,0))</f>
        <v>2.5</v>
      </c>
      <c r="D16" s="18" t="n">
        <v>0</v>
      </c>
      <c r="E16" s="18" t="n">
        <f aca="false">(1-Delta_q)*B16+C16-D16</f>
        <v>57.526669140625</v>
      </c>
      <c r="F16" s="18" t="n">
        <f aca="false">C16</f>
        <v>2.5</v>
      </c>
      <c r="G16" s="18" t="n">
        <f aca="false">Delta_q*B16</f>
        <v>1.410940234375</v>
      </c>
      <c r="H16" s="18" t="n">
        <f aca="false">E16-B16-(F16-G16)</f>
        <v>0</v>
      </c>
      <c r="I16" s="17" t="n">
        <v>0</v>
      </c>
      <c r="J16" s="17" t="n">
        <v>0</v>
      </c>
      <c r="K16" s="17" t="n">
        <f aca="false">I16-J16</f>
        <v>0</v>
      </c>
    </row>
    <row r="17" customFormat="false" ht="15" hidden="false" customHeight="false" outlineLevel="0" collapsed="false">
      <c r="A17" s="12" t="n">
        <v>5</v>
      </c>
      <c r="B17" s="18" t="n">
        <f aca="false">E16</f>
        <v>57.526669140625</v>
      </c>
      <c r="C17" s="18" t="n">
        <f aca="false">MIN(Cap_q,MAX(C_keep-(1-Delta_q)*B17,0))</f>
        <v>1.91149758789063</v>
      </c>
      <c r="D17" s="18" t="n">
        <v>0</v>
      </c>
      <c r="E17" s="18" t="n">
        <f aca="false">(1-Delta_q)*B17+C17-D17</f>
        <v>58</v>
      </c>
      <c r="F17" s="18" t="n">
        <f aca="false">C17</f>
        <v>1.91149758789063</v>
      </c>
      <c r="G17" s="18" t="n">
        <f aca="false">Delta_q*B17</f>
        <v>1.43816672851563</v>
      </c>
      <c r="H17" s="18" t="n">
        <f aca="false">E17-B17-(F17-G17)</f>
        <v>0</v>
      </c>
      <c r="I17" s="17" t="n">
        <v>0</v>
      </c>
      <c r="J17" s="17" t="n">
        <v>0</v>
      </c>
      <c r="K17" s="17" t="n">
        <f aca="false">I17-J17</f>
        <v>0</v>
      </c>
    </row>
    <row r="19" customFormat="false" ht="15" hidden="false" customHeight="false" outlineLevel="0" collapsed="false">
      <c r="A19" s="2" t="s">
        <v>355</v>
      </c>
      <c r="B19" s="18" t="n">
        <f aca="false">H12</f>
        <v>-5</v>
      </c>
      <c r="C19" s="10" t="s">
        <v>356</v>
      </c>
    </row>
    <row r="20" customFormat="false" ht="15" hidden="false" customHeight="false" outlineLevel="0" collapsed="false">
      <c r="A20" s="2" t="s">
        <v>357</v>
      </c>
      <c r="B20" s="26" t="n">
        <f aca="false">SUMPRODUCT(ABS(H11:H17))-ABS(H12)</f>
        <v>0</v>
      </c>
    </row>
    <row r="21" customFormat="false" ht="15" hidden="false" customHeight="false" outlineLevel="0" collapsed="false">
      <c r="A21" s="2" t="s">
        <v>358</v>
      </c>
      <c r="B21" s="17" t="n">
        <f aca="false">K12</f>
        <v>20</v>
      </c>
    </row>
    <row r="22" customFormat="false" ht="15" hidden="false" customHeight="false" outlineLevel="0" collapsed="false">
      <c r="A22" s="2" t="s">
        <v>359</v>
      </c>
      <c r="B22" s="15" t="n">
        <f aca="false">-B21/B19</f>
        <v>4</v>
      </c>
    </row>
    <row r="24" customFormat="false" ht="15" hidden="false" customHeight="false" outlineLevel="0" collapsed="false">
      <c r="A24" s="10" t="s">
        <v>360</v>
      </c>
    </row>
    <row r="25" customFormat="false" ht="23.85" hidden="false" customHeight="false" outlineLevel="0" collapsed="false">
      <c r="A25" s="8" t="s">
        <v>247</v>
      </c>
      <c r="B25" s="8" t="s">
        <v>345</v>
      </c>
      <c r="C25" s="8" t="s">
        <v>346</v>
      </c>
      <c r="D25" s="8" t="s">
        <v>348</v>
      </c>
      <c r="E25" s="8" t="s">
        <v>349</v>
      </c>
      <c r="F25" s="8" t="s">
        <v>350</v>
      </c>
      <c r="G25" s="8" t="s">
        <v>351</v>
      </c>
      <c r="H25" s="8" t="s">
        <v>361</v>
      </c>
      <c r="I25" s="8" t="s">
        <v>362</v>
      </c>
      <c r="J25" s="8" t="s">
        <v>354</v>
      </c>
    </row>
    <row r="26" customFormat="false" ht="15" hidden="false" customHeight="false" outlineLevel="0" collapsed="false">
      <c r="A26" s="12" t="n">
        <v>1</v>
      </c>
      <c r="B26" s="18" t="n">
        <f aca="false">C_keep</f>
        <v>58</v>
      </c>
      <c r="C26" s="18" t="n">
        <f aca="false">IF(A26&lt;=CutAndShock!$B$4,0,Rent_58)</f>
        <v>0</v>
      </c>
      <c r="D26" s="18" t="n">
        <f aca="false">(1-Delta_q)*B26+C26</f>
        <v>56.55</v>
      </c>
      <c r="E26" s="18" t="n">
        <f aca="false">Rent_58</f>
        <v>1.45</v>
      </c>
      <c r="F26" s="18" t="n">
        <f aca="false">Delta_q*B26</f>
        <v>1.45</v>
      </c>
      <c r="G26" s="18" t="n">
        <f aca="false">D26-B26-(E26-F26)</f>
        <v>-1.45</v>
      </c>
      <c r="H26" s="17" t="n">
        <f aca="false">E26*Price_pt</f>
        <v>5.8</v>
      </c>
      <c r="I26" s="17" t="n">
        <f aca="false">C26*Price_pt</f>
        <v>0</v>
      </c>
      <c r="J26" s="17" t="n">
        <f aca="false">H26-I26</f>
        <v>5.8</v>
      </c>
    </row>
    <row r="27" customFormat="false" ht="15" hidden="false" customHeight="false" outlineLevel="0" collapsed="false">
      <c r="A27" s="12" t="n">
        <v>2</v>
      </c>
      <c r="B27" s="18" t="n">
        <f aca="false">D26</f>
        <v>56.55</v>
      </c>
      <c r="C27" s="18" t="n">
        <f aca="false">IF(A27&lt;=CutAndShock!$B$4,0,Rent_58)</f>
        <v>0</v>
      </c>
      <c r="D27" s="18" t="n">
        <f aca="false">(1-Delta_q)*B27+C27</f>
        <v>55.13625</v>
      </c>
      <c r="E27" s="18" t="n">
        <f aca="false">Rent_58</f>
        <v>1.45</v>
      </c>
      <c r="F27" s="18" t="n">
        <f aca="false">Delta_q*B27</f>
        <v>1.41375</v>
      </c>
      <c r="G27" s="18" t="n">
        <f aca="false">D27-B27-(E27-F27)</f>
        <v>-1.45</v>
      </c>
      <c r="H27" s="17" t="n">
        <f aca="false">E27*Price_pt</f>
        <v>5.8</v>
      </c>
      <c r="I27" s="17" t="n">
        <f aca="false">C27*Price_pt</f>
        <v>0</v>
      </c>
      <c r="J27" s="17" t="n">
        <f aca="false">H27-I27</f>
        <v>5.8</v>
      </c>
    </row>
    <row r="28" customFormat="false" ht="15" hidden="false" customHeight="false" outlineLevel="0" collapsed="false">
      <c r="A28" s="12" t="n">
        <v>3</v>
      </c>
      <c r="B28" s="18" t="n">
        <f aca="false">D27</f>
        <v>55.13625</v>
      </c>
      <c r="C28" s="18" t="n">
        <f aca="false">IF(A28&lt;=CutAndShock!$B$4,0,Rent_58)</f>
        <v>0</v>
      </c>
      <c r="D28" s="18" t="n">
        <f aca="false">(1-Delta_q)*B28+C28</f>
        <v>53.75784375</v>
      </c>
      <c r="E28" s="18" t="n">
        <f aca="false">Rent_58</f>
        <v>1.45</v>
      </c>
      <c r="F28" s="18" t="n">
        <f aca="false">Delta_q*B28</f>
        <v>1.37840625</v>
      </c>
      <c r="G28" s="18" t="n">
        <f aca="false">D28-B28-(E28-F28)</f>
        <v>-1.45</v>
      </c>
      <c r="H28" s="17" t="n">
        <f aca="false">E28*Price_pt</f>
        <v>5.8</v>
      </c>
      <c r="I28" s="17" t="n">
        <f aca="false">C28*Price_pt</f>
        <v>0</v>
      </c>
      <c r="J28" s="17" t="n">
        <f aca="false">H28-I28</f>
        <v>5.8</v>
      </c>
    </row>
    <row r="29" customFormat="false" ht="15" hidden="false" customHeight="false" outlineLevel="0" collapsed="false">
      <c r="A29" s="12" t="n">
        <v>4</v>
      </c>
      <c r="B29" s="18" t="n">
        <f aca="false">D28</f>
        <v>53.75784375</v>
      </c>
      <c r="C29" s="18" t="n">
        <f aca="false">IF(A29&lt;=CutAndShock!$B$4,0,Rent_58)</f>
        <v>0</v>
      </c>
      <c r="D29" s="18" t="n">
        <f aca="false">(1-Delta_q)*B29+C29</f>
        <v>52.41389765625</v>
      </c>
      <c r="E29" s="18" t="n">
        <f aca="false">Rent_58</f>
        <v>1.45</v>
      </c>
      <c r="F29" s="18" t="n">
        <f aca="false">Delta_q*B29</f>
        <v>1.34394609375</v>
      </c>
      <c r="G29" s="18" t="n">
        <f aca="false">D29-B29-(E29-F29)</f>
        <v>-1.45</v>
      </c>
      <c r="H29" s="17" t="n">
        <f aca="false">E29*Price_pt</f>
        <v>5.8</v>
      </c>
      <c r="I29" s="17" t="n">
        <f aca="false">C29*Price_pt</f>
        <v>0</v>
      </c>
      <c r="J29" s="17" t="n">
        <f aca="false">H29-I29</f>
        <v>5.8</v>
      </c>
    </row>
    <row r="30" customFormat="false" ht="15" hidden="false" customHeight="false" outlineLevel="0" collapsed="false">
      <c r="A30" s="12" t="n">
        <v>5</v>
      </c>
      <c r="B30" s="18" t="n">
        <f aca="false">D29</f>
        <v>52.41389765625</v>
      </c>
      <c r="C30" s="18" t="n">
        <f aca="false">IF(A30&lt;=CutAndShock!$B$4,0,Rent_58)</f>
        <v>1.45</v>
      </c>
      <c r="D30" s="18" t="n">
        <f aca="false">(1-Delta_q)*B30+C30</f>
        <v>52.5535502148438</v>
      </c>
      <c r="E30" s="18" t="n">
        <f aca="false">Rent_58</f>
        <v>1.45</v>
      </c>
      <c r="F30" s="18" t="n">
        <f aca="false">Delta_q*B30</f>
        <v>1.31034744140625</v>
      </c>
      <c r="G30" s="18" t="n">
        <f aca="false">D30-B30-(E30-F30)</f>
        <v>2.44249065417534E-015</v>
      </c>
      <c r="H30" s="17" t="n">
        <f aca="false">E30*Price_pt</f>
        <v>5.8</v>
      </c>
      <c r="I30" s="17" t="n">
        <f aca="false">C30*Price_pt</f>
        <v>5.8</v>
      </c>
      <c r="J30" s="17" t="n">
        <f aca="false">H30-I30</f>
        <v>0</v>
      </c>
    </row>
    <row r="31" customFormat="false" ht="15" hidden="false" customHeight="false" outlineLevel="0" collapsed="false">
      <c r="A31" s="12" t="n">
        <v>6</v>
      </c>
      <c r="B31" s="18" t="n">
        <f aca="false">D30</f>
        <v>52.5535502148438</v>
      </c>
      <c r="C31" s="18" t="n">
        <f aca="false">IF(A31&lt;=CutAndShock!$B$4,0,Rent_58)</f>
        <v>1.45</v>
      </c>
      <c r="D31" s="18" t="n">
        <f aca="false">(1-Delta_q)*B31+C31</f>
        <v>52.6897114594727</v>
      </c>
      <c r="E31" s="18" t="n">
        <f aca="false">Rent_58</f>
        <v>1.45</v>
      </c>
      <c r="F31" s="18" t="n">
        <f aca="false">Delta_q*B31</f>
        <v>1.31383875537109</v>
      </c>
      <c r="G31" s="18" t="n">
        <f aca="false">D31-B31-(E31-F31)</f>
        <v>2.44249065417534E-015</v>
      </c>
      <c r="H31" s="17" t="n">
        <f aca="false">E31*Price_pt</f>
        <v>5.8</v>
      </c>
      <c r="I31" s="17" t="n">
        <f aca="false">C31*Price_pt</f>
        <v>5.8</v>
      </c>
      <c r="J31" s="17" t="n">
        <f aca="false">H31-I31</f>
        <v>0</v>
      </c>
    </row>
    <row r="32" customFormat="false" ht="15" hidden="false" customHeight="false" outlineLevel="0" collapsed="false">
      <c r="A32" s="12" t="n">
        <v>7</v>
      </c>
      <c r="B32" s="18" t="n">
        <f aca="false">D31</f>
        <v>52.6897114594727</v>
      </c>
      <c r="C32" s="18" t="n">
        <f aca="false">IF(A32&lt;=CutAndShock!$B$4,0,Rent_58)</f>
        <v>1.45</v>
      </c>
      <c r="D32" s="18" t="n">
        <f aca="false">(1-Delta_q)*B32+C32</f>
        <v>52.8224686729859</v>
      </c>
      <c r="E32" s="18" t="n">
        <f aca="false">Rent_58</f>
        <v>1.45</v>
      </c>
      <c r="F32" s="18" t="n">
        <f aca="false">Delta_q*B32</f>
        <v>1.31724278648682</v>
      </c>
      <c r="G32" s="18" t="n">
        <f aca="false">D32-B32-(E32-F32)</f>
        <v>3.77475828372553E-015</v>
      </c>
      <c r="H32" s="17" t="n">
        <f aca="false">E32*Price_pt</f>
        <v>5.8</v>
      </c>
      <c r="I32" s="17" t="n">
        <f aca="false">C32*Price_pt</f>
        <v>5.8</v>
      </c>
      <c r="J32" s="17" t="n">
        <f aca="false">H32-I32</f>
        <v>0</v>
      </c>
    </row>
    <row r="33" customFormat="false" ht="15" hidden="false" customHeight="false" outlineLevel="0" collapsed="false">
      <c r="A33" s="12" t="n">
        <v>8</v>
      </c>
      <c r="B33" s="18" t="n">
        <f aca="false">D32</f>
        <v>52.8224686729859</v>
      </c>
      <c r="C33" s="18" t="n">
        <f aca="false">IF(A33&lt;=CutAndShock!$B$4,0,Rent_58)</f>
        <v>1.45</v>
      </c>
      <c r="D33" s="18" t="n">
        <f aca="false">(1-Delta_q)*B33+C33</f>
        <v>52.9519069561612</v>
      </c>
      <c r="E33" s="18" t="n">
        <f aca="false">Rent_58</f>
        <v>1.45</v>
      </c>
      <c r="F33" s="18" t="n">
        <f aca="false">Delta_q*B33</f>
        <v>1.32056171682465</v>
      </c>
      <c r="G33" s="18" t="n">
        <f aca="false">D33-B33-(E33-F33)</f>
        <v>0</v>
      </c>
      <c r="H33" s="17" t="n">
        <f aca="false">E33*Price_pt</f>
        <v>5.8</v>
      </c>
      <c r="I33" s="17" t="n">
        <f aca="false">C33*Price_pt</f>
        <v>5.8</v>
      </c>
      <c r="J33" s="17" t="n">
        <f aca="false">H33-I33</f>
        <v>0</v>
      </c>
    </row>
    <row r="35" customFormat="false" ht="15" hidden="false" customHeight="false" outlineLevel="0" collapsed="false">
      <c r="A35" s="2" t="s">
        <v>363</v>
      </c>
      <c r="B35" s="12" t="n">
        <f aca="false">COUNTIF(G26:G33,"&lt;-1E-9")+COUNTIF(G26:G33,"&gt;1E-9")</f>
        <v>4</v>
      </c>
    </row>
    <row r="36" customFormat="false" ht="15" hidden="false" customHeight="false" outlineLevel="0" collapsed="false">
      <c r="A36" s="2" t="s">
        <v>364</v>
      </c>
      <c r="B36" s="18" t="n">
        <f aca="false">MIN(G26:G33)</f>
        <v>-1.45</v>
      </c>
      <c r="C36" s="10" t="s">
        <v>365</v>
      </c>
    </row>
    <row r="37" customFormat="false" ht="15" hidden="false" customHeight="false" outlineLevel="0" collapsed="false">
      <c r="A37" s="2" t="s">
        <v>366</v>
      </c>
      <c r="B37" s="17" t="n">
        <f aca="false">SUM(J26:J33)</f>
        <v>23.2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367</v>
      </c>
      <c r="B1" s="8" t="s">
        <v>368</v>
      </c>
      <c r="C1" s="8" t="s">
        <v>369</v>
      </c>
    </row>
    <row r="2" customFormat="false" ht="15" hidden="false" customHeight="false" outlineLevel="0" collapsed="false">
      <c r="A2" s="2" t="s">
        <v>370</v>
      </c>
      <c r="B2" s="27" t="n">
        <v>10</v>
      </c>
      <c r="C2" s="2" t="s">
        <v>371</v>
      </c>
    </row>
    <row r="3" customFormat="false" ht="15" hidden="false" customHeight="false" outlineLevel="0" collapsed="false">
      <c r="A3" s="2" t="s">
        <v>372</v>
      </c>
      <c r="B3" s="27" t="n">
        <v>4</v>
      </c>
      <c r="C3" s="2" t="s">
        <v>373</v>
      </c>
    </row>
    <row r="4" customFormat="false" ht="15" hidden="false" customHeight="false" outlineLevel="0" collapsed="false">
      <c r="A4" s="2" t="s">
        <v>374</v>
      </c>
      <c r="B4" s="27" t="n">
        <v>732</v>
      </c>
      <c r="C4" s="2" t="s">
        <v>375</v>
      </c>
    </row>
    <row r="5" customFormat="false" ht="15" hidden="false" customHeight="false" outlineLevel="0" collapsed="false">
      <c r="A5" s="2" t="s">
        <v>376</v>
      </c>
      <c r="B5" s="27" t="n">
        <v>712</v>
      </c>
      <c r="C5" s="2" t="s">
        <v>377</v>
      </c>
    </row>
    <row r="6" customFormat="false" ht="15" hidden="false" customHeight="false" outlineLevel="0" collapsed="false">
      <c r="A6" s="2" t="s">
        <v>378</v>
      </c>
      <c r="B6" s="27" t="n">
        <v>36.9</v>
      </c>
      <c r="C6" s="2" t="s">
        <v>379</v>
      </c>
    </row>
    <row r="7" customFormat="false" ht="15" hidden="false" customHeight="false" outlineLevel="0" collapsed="false">
      <c r="A7" s="2" t="s">
        <v>380</v>
      </c>
      <c r="B7" s="27" t="n">
        <v>9.63121093750001</v>
      </c>
      <c r="C7" s="2" t="s">
        <v>381</v>
      </c>
    </row>
    <row r="8" customFormat="false" ht="15" hidden="false" customHeight="false" outlineLevel="0" collapsed="false">
      <c r="A8" s="2" t="s">
        <v>163</v>
      </c>
      <c r="B8" s="27" t="n">
        <v>1.45</v>
      </c>
      <c r="C8" s="2" t="s">
        <v>382</v>
      </c>
    </row>
    <row r="9" customFormat="false" ht="15" hidden="false" customHeight="false" outlineLevel="0" collapsed="false">
      <c r="A9" s="2" t="s">
        <v>167</v>
      </c>
      <c r="B9" s="27" t="n">
        <v>23.2</v>
      </c>
      <c r="C9" s="2" t="s">
        <v>383</v>
      </c>
    </row>
    <row r="10" customFormat="false" ht="15" hidden="false" customHeight="false" outlineLevel="0" collapsed="false">
      <c r="A10" s="2" t="s">
        <v>384</v>
      </c>
      <c r="B10" s="27" t="n">
        <v>44.8905674803549</v>
      </c>
      <c r="C10" s="2" t="s">
        <v>385</v>
      </c>
    </row>
    <row r="11" customFormat="false" ht="15" hidden="false" customHeight="false" outlineLevel="0" collapsed="false">
      <c r="A11" s="2" t="s">
        <v>386</v>
      </c>
      <c r="B11" s="27" t="n">
        <v>21.8543453267828</v>
      </c>
      <c r="C11" s="2" t="s">
        <v>387</v>
      </c>
    </row>
    <row r="12" customFormat="false" ht="15" hidden="false" customHeight="false" outlineLevel="0" collapsed="false">
      <c r="A12" s="2" t="s">
        <v>388</v>
      </c>
      <c r="B12" s="27" t="n">
        <v>8.0039227796511</v>
      </c>
      <c r="C12" s="2" t="s">
        <v>389</v>
      </c>
    </row>
    <row r="13" customFormat="false" ht="15" hidden="false" customHeight="false" outlineLevel="0" collapsed="false">
      <c r="A13" s="2" t="s">
        <v>390</v>
      </c>
      <c r="B13" s="27" t="n">
        <v>11.6552662076765</v>
      </c>
      <c r="C13" s="2" t="s">
        <v>391</v>
      </c>
    </row>
    <row r="14" customFormat="false" ht="15" hidden="false" customHeight="false" outlineLevel="0" collapsed="false">
      <c r="A14" s="2" t="s">
        <v>392</v>
      </c>
      <c r="B14" s="27" t="n">
        <v>5.67420344350993</v>
      </c>
      <c r="C14" s="2" t="s">
        <v>393</v>
      </c>
    </row>
    <row r="15" customFormat="false" ht="15" hidden="false" customHeight="false" outlineLevel="0" collapsed="false">
      <c r="A15" s="2" t="s">
        <v>394</v>
      </c>
      <c r="B15" s="27" t="n">
        <v>2.07811698400437</v>
      </c>
      <c r="C15" s="2" t="s">
        <v>395</v>
      </c>
    </row>
    <row r="16" customFormat="false" ht="15" hidden="false" customHeight="false" outlineLevel="0" collapsed="false">
      <c r="A16" s="2" t="s">
        <v>396</v>
      </c>
      <c r="B16" s="27" t="n">
        <v>100</v>
      </c>
      <c r="C16" s="2" t="s">
        <v>397</v>
      </c>
    </row>
    <row r="17" customFormat="false" ht="15" hidden="false" customHeight="false" outlineLevel="0" collapsed="false">
      <c r="A17" s="2" t="s">
        <v>188</v>
      </c>
      <c r="B17" s="27" t="n">
        <v>1.71757017695694</v>
      </c>
      <c r="C17" s="2" t="s">
        <v>398</v>
      </c>
    </row>
    <row r="18" customFormat="false" ht="15" hidden="false" customHeight="false" outlineLevel="0" collapsed="false">
      <c r="A18" s="2" t="s">
        <v>190</v>
      </c>
      <c r="B18" s="27" t="n">
        <v>4.44264303989051</v>
      </c>
      <c r="C18" s="2" t="s">
        <v>399</v>
      </c>
    </row>
    <row r="19" customFormat="false" ht="15" hidden="false" customHeight="false" outlineLevel="0" collapsed="false">
      <c r="A19" s="2" t="s">
        <v>196</v>
      </c>
      <c r="B19" s="27" t="n">
        <v>54.175</v>
      </c>
      <c r="C19" s="2" t="s">
        <v>197</v>
      </c>
    </row>
    <row r="20" customFormat="false" ht="15" hidden="false" customHeight="false" outlineLevel="0" collapsed="false">
      <c r="A20" s="2" t="s">
        <v>198</v>
      </c>
      <c r="B20" s="27" t="n">
        <v>57.526669140625</v>
      </c>
      <c r="C20" s="2" t="s">
        <v>400</v>
      </c>
    </row>
    <row r="21" customFormat="false" ht="15" hidden="false" customHeight="false" outlineLevel="0" collapsed="false">
      <c r="A21" s="2" t="s">
        <v>401</v>
      </c>
      <c r="B21" s="27" t="n">
        <v>2</v>
      </c>
      <c r="C21" s="2" t="s">
        <v>193</v>
      </c>
    </row>
    <row r="22" customFormat="false" ht="15" hidden="false" customHeight="false" outlineLevel="0" collapsed="false">
      <c r="A22" s="2" t="s">
        <v>402</v>
      </c>
      <c r="B22" s="27" t="n">
        <v>5</v>
      </c>
      <c r="C22" s="2" t="s">
        <v>195</v>
      </c>
    </row>
    <row r="23" customFormat="false" ht="15" hidden="false" customHeight="false" outlineLevel="0" collapsed="false">
      <c r="A23" s="2" t="s">
        <v>200</v>
      </c>
      <c r="B23" s="27" t="n">
        <v>21</v>
      </c>
      <c r="C23" s="2" t="s">
        <v>403</v>
      </c>
    </row>
    <row r="24" customFormat="false" ht="15" hidden="false" customHeight="false" outlineLevel="0" collapsed="false">
      <c r="A24" s="2" t="s">
        <v>202</v>
      </c>
      <c r="B24" s="27" t="n">
        <v>55.2767922077857</v>
      </c>
      <c r="C24" s="2" t="s">
        <v>404</v>
      </c>
    </row>
    <row r="25" customFormat="false" ht="15" hidden="false" customHeight="false" outlineLevel="0" collapsed="false">
      <c r="A25" s="2" t="s">
        <v>204</v>
      </c>
      <c r="B25" s="27" t="n">
        <v>64</v>
      </c>
      <c r="C25" s="2" t="s">
        <v>405</v>
      </c>
    </row>
    <row r="26" customFormat="false" ht="15" hidden="false" customHeight="false" outlineLevel="0" collapsed="false">
      <c r="A26" s="2" t="s">
        <v>406</v>
      </c>
      <c r="B26" s="27" t="n">
        <v>11.9114975878906</v>
      </c>
      <c r="C26" s="2" t="s">
        <v>407</v>
      </c>
    </row>
    <row r="27" customFormat="false" ht="15" hidden="false" customHeight="false" outlineLevel="0" collapsed="false">
      <c r="A27" s="2" t="s">
        <v>408</v>
      </c>
      <c r="B27" s="27" t="n">
        <v>47.6459903515625</v>
      </c>
      <c r="C27" s="2" t="s">
        <v>409</v>
      </c>
    </row>
    <row r="28" customFormat="false" ht="15" hidden="false" customHeight="false" outlineLevel="0" collapsed="false">
      <c r="A28" s="2" t="s">
        <v>410</v>
      </c>
      <c r="B28" s="27" t="n">
        <v>29</v>
      </c>
      <c r="C28" s="2" t="s">
        <v>411</v>
      </c>
    </row>
    <row r="29" customFormat="false" ht="15" hidden="false" customHeight="false" outlineLevel="0" collapsed="false">
      <c r="A29" s="2" t="s">
        <v>412</v>
      </c>
      <c r="B29" s="27" t="n">
        <v>18.6459903515625</v>
      </c>
      <c r="C29" s="2" t="s">
        <v>413</v>
      </c>
    </row>
    <row r="30" customFormat="false" ht="15" hidden="false" customHeight="false" outlineLevel="0" collapsed="false">
      <c r="A30" s="2" t="s">
        <v>414</v>
      </c>
      <c r="B30" s="27" t="n">
        <v>63</v>
      </c>
      <c r="C30" s="2" t="s">
        <v>415</v>
      </c>
    </row>
    <row r="31" customFormat="false" ht="15" hidden="false" customHeight="false" outlineLevel="0" collapsed="false">
      <c r="A31" s="2" t="s">
        <v>416</v>
      </c>
      <c r="B31" s="27" t="n">
        <v>64.3540096484375</v>
      </c>
      <c r="C31" s="2" t="s">
        <v>417</v>
      </c>
    </row>
    <row r="32" customFormat="false" ht="15" hidden="false" customHeight="false" outlineLevel="0" collapsed="false">
      <c r="A32" s="2" t="s">
        <v>418</v>
      </c>
      <c r="B32" s="27" t="n">
        <v>4</v>
      </c>
      <c r="C32" s="2" t="s">
        <v>419</v>
      </c>
    </row>
    <row r="33" customFormat="false" ht="15" hidden="false" customHeight="false" outlineLevel="0" collapsed="false">
      <c r="A33" s="2" t="s">
        <v>420</v>
      </c>
      <c r="B33" s="27" t="n">
        <v>9</v>
      </c>
      <c r="C33" s="2" t="s">
        <v>421</v>
      </c>
    </row>
    <row r="34" customFormat="false" ht="15" hidden="false" customHeight="false" outlineLevel="0" collapsed="false">
      <c r="A34" s="2" t="s">
        <v>422</v>
      </c>
      <c r="B34" s="27" t="n">
        <v>17.7934349256362</v>
      </c>
      <c r="C34" s="2" t="s">
        <v>423</v>
      </c>
    </row>
    <row r="35" customFormat="false" ht="15" hidden="false" customHeight="false" outlineLevel="0" collapsed="false">
      <c r="A35" s="2" t="s">
        <v>424</v>
      </c>
      <c r="B35" s="27" t="n">
        <v>2</v>
      </c>
      <c r="C35" s="2" t="s">
        <v>425</v>
      </c>
    </row>
    <row r="36" customFormat="false" ht="15" hidden="false" customHeight="false" outlineLevel="0" collapsed="false">
      <c r="A36" s="2" t="s">
        <v>426</v>
      </c>
      <c r="B36" s="27" t="n">
        <v>4</v>
      </c>
      <c r="C36" s="2" t="s">
        <v>419</v>
      </c>
    </row>
    <row r="37" customFormat="false" ht="15" hidden="false" customHeight="false" outlineLevel="0" collapsed="false">
      <c r="A37" s="2" t="s">
        <v>427</v>
      </c>
      <c r="B37" s="27" t="n">
        <v>19.3869653042746</v>
      </c>
      <c r="C37" s="2" t="s">
        <v>428</v>
      </c>
    </row>
    <row r="38" customFormat="false" ht="15" hidden="false" customHeight="false" outlineLevel="0" collapsed="false">
      <c r="A38" s="2" t="s">
        <v>429</v>
      </c>
      <c r="B38" s="27" t="n">
        <v>3</v>
      </c>
      <c r="C38" s="2" t="s">
        <v>430</v>
      </c>
    </row>
    <row r="39" customFormat="false" ht="15" hidden="false" customHeight="false" outlineLevel="0" collapsed="false">
      <c r="A39" s="2" t="s">
        <v>431</v>
      </c>
      <c r="B39" s="27" t="n">
        <v>6</v>
      </c>
      <c r="C39" s="2" t="s">
        <v>432</v>
      </c>
    </row>
    <row r="40" customFormat="false" ht="15" hidden="false" customHeight="false" outlineLevel="0" collapsed="false">
      <c r="A40" s="2" t="s">
        <v>433</v>
      </c>
      <c r="B40" s="27" t="n">
        <v>18.1765124792855</v>
      </c>
      <c r="C40" s="2" t="s">
        <v>434</v>
      </c>
    </row>
    <row r="41" customFormat="false" ht="15" hidden="false" customHeight="false" outlineLevel="0" collapsed="false">
      <c r="A41" s="2" t="s">
        <v>435</v>
      </c>
      <c r="B41" s="27" t="n">
        <v>11.3540096484375</v>
      </c>
      <c r="C41" s="2" t="s">
        <v>436</v>
      </c>
    </row>
    <row r="42" customFormat="false" ht="15" hidden="false" customHeight="false" outlineLevel="0" collapsed="false">
      <c r="A42" s="2" t="s">
        <v>437</v>
      </c>
      <c r="B42" s="27" t="n">
        <v>3</v>
      </c>
      <c r="C42" s="2" t="s">
        <v>438</v>
      </c>
    </row>
    <row r="43" customFormat="false" ht="15" hidden="false" customHeight="false" outlineLevel="0" collapsed="false">
      <c r="A43" s="2" t="s">
        <v>439</v>
      </c>
      <c r="B43" s="27" t="n">
        <v>1.71757017695694</v>
      </c>
      <c r="C43" s="2" t="s">
        <v>440</v>
      </c>
    </row>
    <row r="44" customFormat="false" ht="15" hidden="false" customHeight="false" outlineLevel="0" collapsed="false">
      <c r="A44" s="2" t="s">
        <v>441</v>
      </c>
      <c r="B44" s="27" t="n">
        <v>1.77777777777778</v>
      </c>
      <c r="C44" s="2" t="s">
        <v>442</v>
      </c>
    </row>
    <row r="45" customFormat="false" ht="15" hidden="false" customHeight="false" outlineLevel="0" collapsed="false">
      <c r="A45" s="2" t="s">
        <v>443</v>
      </c>
      <c r="B45" s="27" t="n">
        <v>14</v>
      </c>
      <c r="C45" s="2" t="s">
        <v>444</v>
      </c>
    </row>
    <row r="46" customFormat="false" ht="15" hidden="false" customHeight="false" outlineLevel="0" collapsed="false">
      <c r="A46" s="2" t="s">
        <v>445</v>
      </c>
      <c r="B46" s="27" t="n">
        <v>20.7116393553464</v>
      </c>
      <c r="C46" s="2" t="s">
        <v>446</v>
      </c>
    </row>
    <row r="47" customFormat="false" ht="15" hidden="false" customHeight="false" outlineLevel="0" collapsed="false">
      <c r="A47" s="2" t="s">
        <v>447</v>
      </c>
      <c r="B47" s="27" t="n">
        <v>95.5555555555556</v>
      </c>
      <c r="C47" s="2" t="s">
        <v>448</v>
      </c>
    </row>
    <row r="48" customFormat="false" ht="15" hidden="false" customHeight="false" outlineLevel="0" collapsed="false">
      <c r="A48" s="2" t="s">
        <v>449</v>
      </c>
      <c r="B48" s="27" t="n">
        <v>90</v>
      </c>
      <c r="C48" s="2" t="s">
        <v>450</v>
      </c>
    </row>
    <row r="49" customFormat="false" ht="15" hidden="false" customHeight="false" outlineLevel="0" collapsed="false">
      <c r="A49" s="2" t="s">
        <v>451</v>
      </c>
      <c r="B49" s="27" t="n">
        <v>80</v>
      </c>
      <c r="C49" s="2" t="s">
        <v>452</v>
      </c>
    </row>
    <row r="50" customFormat="false" ht="15" hidden="false" customHeight="false" outlineLevel="0" collapsed="false">
      <c r="A50" s="2" t="s">
        <v>453</v>
      </c>
      <c r="B50" s="27" t="n">
        <v>0.571428571428571</v>
      </c>
      <c r="C50" s="2" t="s">
        <v>454</v>
      </c>
    </row>
    <row r="51" customFormat="false" ht="15" hidden="false" customHeight="false" outlineLevel="0" collapsed="false">
      <c r="A51" s="2" t="s">
        <v>455</v>
      </c>
      <c r="B51" s="27" t="n">
        <v>0.444444444444444</v>
      </c>
      <c r="C51" s="2" t="s">
        <v>456</v>
      </c>
    </row>
    <row r="52" customFormat="false" ht="15" hidden="false" customHeight="false" outlineLevel="0" collapsed="false">
      <c r="A52" s="2" t="s">
        <v>457</v>
      </c>
      <c r="B52" s="27" t="n">
        <v>17.5</v>
      </c>
      <c r="C52" s="2" t="s">
        <v>458</v>
      </c>
    </row>
    <row r="53" customFormat="false" ht="15" hidden="false" customHeight="false" outlineLevel="0" collapsed="false">
      <c r="A53" s="2" t="s">
        <v>459</v>
      </c>
      <c r="B53" s="27" t="n">
        <v>0.333333333333333</v>
      </c>
      <c r="C53" s="2" t="s">
        <v>460</v>
      </c>
    </row>
    <row r="54" customFormat="false" ht="15" hidden="false" customHeight="false" outlineLevel="0" collapsed="false">
      <c r="A54" s="2" t="s">
        <v>461</v>
      </c>
      <c r="B54" s="27" t="n">
        <v>20</v>
      </c>
      <c r="C54" s="2" t="s">
        <v>462</v>
      </c>
    </row>
    <row r="55" customFormat="false" ht="15" hidden="false" customHeight="false" outlineLevel="0" collapsed="false">
      <c r="A55" s="2" t="s">
        <v>463</v>
      </c>
      <c r="B55" s="27" t="n">
        <v>13.3333333333333</v>
      </c>
      <c r="C55" s="2" t="s">
        <v>464</v>
      </c>
    </row>
    <row r="56" customFormat="false" ht="15" hidden="false" customHeight="false" outlineLevel="0" collapsed="false">
      <c r="A56" s="2" t="s">
        <v>465</v>
      </c>
      <c r="B56" s="27" t="n">
        <v>0.56</v>
      </c>
      <c r="C56" s="2" t="s">
        <v>466</v>
      </c>
    </row>
    <row r="57" customFormat="false" ht="15" hidden="false" customHeight="false" outlineLevel="0" collapsed="false">
      <c r="A57" s="2" t="s">
        <v>467</v>
      </c>
      <c r="B57" s="27" t="n">
        <v>-5</v>
      </c>
      <c r="C57" s="2" t="s">
        <v>468</v>
      </c>
    </row>
    <row r="58" customFormat="false" ht="15" hidden="false" customHeight="false" outlineLevel="0" collapsed="false">
      <c r="A58" s="2" t="s">
        <v>469</v>
      </c>
      <c r="B58" s="27" t="n">
        <v>20</v>
      </c>
      <c r="C58" s="2" t="s">
        <v>470</v>
      </c>
    </row>
    <row r="59" customFormat="false" ht="15" hidden="false" customHeight="false" outlineLevel="0" collapsed="false">
      <c r="A59" s="2" t="s">
        <v>471</v>
      </c>
      <c r="B59" s="27" t="n">
        <v>4</v>
      </c>
      <c r="C59" s="2" t="s">
        <v>472</v>
      </c>
    </row>
    <row r="60" customFormat="false" ht="15" hidden="false" customHeight="false" outlineLevel="0" collapsed="false">
      <c r="A60" s="2" t="s">
        <v>473</v>
      </c>
      <c r="B60" s="27" t="n">
        <v>23.2</v>
      </c>
      <c r="C60" s="2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367</v>
      </c>
      <c r="B1" s="8" t="s">
        <v>475</v>
      </c>
      <c r="C1" s="8" t="s">
        <v>368</v>
      </c>
      <c r="D1" s="8" t="s">
        <v>476</v>
      </c>
      <c r="E1" s="8" t="s">
        <v>477</v>
      </c>
      <c r="F1" s="8" t="s">
        <v>478</v>
      </c>
    </row>
    <row r="2" customFormat="false" ht="15" hidden="false" customHeight="false" outlineLevel="0" collapsed="false">
      <c r="A2" s="2" t="s">
        <v>370</v>
      </c>
      <c r="B2" s="28" t="n">
        <f aca="false">CapitalVector!B14</f>
        <v>10</v>
      </c>
      <c r="C2" s="29" t="n">
        <f aca="false">Reference_Values!B2</f>
        <v>10</v>
      </c>
      <c r="D2" s="26" t="n">
        <f aca="false">ABS(B2-C2)</f>
        <v>0</v>
      </c>
      <c r="E2" s="30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372</v>
      </c>
      <c r="B3" s="28" t="n">
        <f aca="false">CapitalVector!B37</f>
        <v>4</v>
      </c>
      <c r="C3" s="29" t="n">
        <f aca="false">Reference_Values!B3</f>
        <v>4</v>
      </c>
      <c r="D3" s="26" t="n">
        <f aca="false">ABS(B3-C3)</f>
        <v>0</v>
      </c>
      <c r="E3" s="30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374</v>
      </c>
      <c r="B4" s="28" t="n">
        <f aca="false">CapitalVector!D34</f>
        <v>732</v>
      </c>
      <c r="C4" s="29" t="n">
        <f aca="false">Reference_Values!B4</f>
        <v>732</v>
      </c>
      <c r="D4" s="26" t="n">
        <f aca="false">ABS(B4-C4)</f>
        <v>0</v>
      </c>
      <c r="E4" s="30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376</v>
      </c>
      <c r="B5" s="28" t="n">
        <f aca="false">CapitalVector!C34</f>
        <v>712</v>
      </c>
      <c r="C5" s="29" t="n">
        <f aca="false">Reference_Values!B5</f>
        <v>712</v>
      </c>
      <c r="D5" s="26" t="n">
        <f aca="false">ABS(B5-C5)</f>
        <v>0</v>
      </c>
      <c r="E5" s="30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378</v>
      </c>
      <c r="B6" s="28" t="n">
        <f aca="false">CapitalVector!C36</f>
        <v>36.9</v>
      </c>
      <c r="C6" s="29" t="n">
        <f aca="false">Reference_Values!B6</f>
        <v>36.9</v>
      </c>
      <c r="D6" s="26" t="n">
        <f aca="false">ABS(B6-C6)</f>
        <v>0</v>
      </c>
      <c r="E6" s="30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380</v>
      </c>
      <c r="B7" s="28" t="n">
        <f aca="false">100*Rent!B8</f>
        <v>9.63121093750001</v>
      </c>
      <c r="C7" s="29" t="n">
        <f aca="false">Reference_Values!B7</f>
        <v>9.63121093750001</v>
      </c>
      <c r="D7" s="26" t="n">
        <f aca="false">ABS(B7-C7)</f>
        <v>0</v>
      </c>
      <c r="E7" s="30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163</v>
      </c>
      <c r="B8" s="28" t="n">
        <f aca="false">Rent!B4</f>
        <v>1.45</v>
      </c>
      <c r="C8" s="29" t="n">
        <f aca="false">Reference_Values!B8</f>
        <v>1.45</v>
      </c>
      <c r="D8" s="26" t="n">
        <f aca="false">ABS(B8-C8)</f>
        <v>0</v>
      </c>
      <c r="E8" s="30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167</v>
      </c>
      <c r="B9" s="28" t="n">
        <f aca="false">Rent!B7</f>
        <v>23.2</v>
      </c>
      <c r="C9" s="29" t="n">
        <f aca="false">Reference_Values!B9</f>
        <v>23.2</v>
      </c>
      <c r="D9" s="26" t="n">
        <f aca="false">ABS(B9-C9)</f>
        <v>0</v>
      </c>
      <c r="E9" s="30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384</v>
      </c>
      <c r="B10" s="28" t="n">
        <f aca="false">Rent!E11</f>
        <v>44.8905674803549</v>
      </c>
      <c r="C10" s="29" t="n">
        <f aca="false">Reference_Values!B10</f>
        <v>44.8905674803549</v>
      </c>
      <c r="D10" s="26" t="n">
        <f aca="false">ABS(B10-C10)</f>
        <v>0</v>
      </c>
      <c r="E10" s="30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386</v>
      </c>
      <c r="B11" s="28" t="n">
        <f aca="false">Rent!E12</f>
        <v>21.8543453267828</v>
      </c>
      <c r="C11" s="29" t="n">
        <f aca="false">Reference_Values!B11</f>
        <v>21.8543453267828</v>
      </c>
      <c r="D11" s="26" t="n">
        <f aca="false">ABS(B11-C11)</f>
        <v>0</v>
      </c>
      <c r="E11" s="30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388</v>
      </c>
      <c r="B12" s="28" t="n">
        <f aca="false">Rent!E13</f>
        <v>8.0039227796511</v>
      </c>
      <c r="C12" s="29" t="n">
        <f aca="false">Reference_Values!B12</f>
        <v>8.0039227796511</v>
      </c>
      <c r="D12" s="26" t="n">
        <f aca="false">ABS(B12-C12)</f>
        <v>0</v>
      </c>
      <c r="E12" s="30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390</v>
      </c>
      <c r="B13" s="28" t="n">
        <f aca="false">Rent!F11</f>
        <v>11.6552662076765</v>
      </c>
      <c r="C13" s="29" t="n">
        <f aca="false">Reference_Values!B13</f>
        <v>11.6552662076765</v>
      </c>
      <c r="D13" s="26" t="n">
        <f aca="false">ABS(B13-C13)</f>
        <v>0</v>
      </c>
      <c r="E13" s="30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392</v>
      </c>
      <c r="B14" s="28" t="n">
        <f aca="false">Rent!F12</f>
        <v>5.67420344350993</v>
      </c>
      <c r="C14" s="29" t="n">
        <f aca="false">Reference_Values!B14</f>
        <v>5.67420344350993</v>
      </c>
      <c r="D14" s="26" t="n">
        <f aca="false">ABS(B14-C14)</f>
        <v>0</v>
      </c>
      <c r="E14" s="30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394</v>
      </c>
      <c r="B15" s="28" t="n">
        <f aca="false">Rent!F13</f>
        <v>2.07811698400437</v>
      </c>
      <c r="C15" s="29" t="n">
        <f aca="false">Reference_Values!B15</f>
        <v>2.07811698400437</v>
      </c>
      <c r="D15" s="26" t="n">
        <f aca="false">ABS(B15-C15)</f>
        <v>0</v>
      </c>
      <c r="E15" s="30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396</v>
      </c>
      <c r="B16" s="28" t="n">
        <f aca="false">Rebuild!B4</f>
        <v>100</v>
      </c>
      <c r="C16" s="29" t="n">
        <f aca="false">Reference_Values!B16</f>
        <v>100</v>
      </c>
      <c r="D16" s="26" t="n">
        <f aca="false">ABS(B16-C16)</f>
        <v>0</v>
      </c>
      <c r="E16" s="30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188</v>
      </c>
      <c r="B17" s="28" t="n">
        <f aca="false">Rebuild!B5</f>
        <v>1.71757017695694</v>
      </c>
      <c r="C17" s="29" t="n">
        <f aca="false">Reference_Values!B17</f>
        <v>1.71757017695694</v>
      </c>
      <c r="D17" s="26" t="n">
        <f aca="false">ABS(B17-C17)</f>
        <v>0</v>
      </c>
      <c r="E17" s="30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190</v>
      </c>
      <c r="B18" s="28" t="n">
        <f aca="false">Rebuild!B6</f>
        <v>4.44264303989051</v>
      </c>
      <c r="C18" s="29" t="n">
        <f aca="false">Reference_Values!B18</f>
        <v>4.44264303989051</v>
      </c>
      <c r="D18" s="26" t="n">
        <f aca="false">ABS(B18-C18)</f>
        <v>0</v>
      </c>
      <c r="E18" s="30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196</v>
      </c>
      <c r="B19" s="28" t="n">
        <f aca="false">Rebuild!B9</f>
        <v>54.175</v>
      </c>
      <c r="C19" s="29" t="n">
        <f aca="false">Reference_Values!B19</f>
        <v>54.175</v>
      </c>
      <c r="D19" s="26" t="n">
        <f aca="false">ABS(B19-C19)</f>
        <v>0</v>
      </c>
      <c r="E19" s="30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198</v>
      </c>
      <c r="B20" s="28" t="n">
        <f aca="false">Rebuild!B10</f>
        <v>57.526669140625</v>
      </c>
      <c r="C20" s="29" t="n">
        <f aca="false">Reference_Values!B20</f>
        <v>57.526669140625</v>
      </c>
      <c r="D20" s="26" t="n">
        <f aca="false">ABS(B20-C20)</f>
        <v>0</v>
      </c>
      <c r="E20" s="30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401</v>
      </c>
      <c r="B21" s="28" t="n">
        <f aca="false">Rebuild!B7</f>
        <v>2</v>
      </c>
      <c r="C21" s="29" t="n">
        <f aca="false">Reference_Values!B21</f>
        <v>2</v>
      </c>
      <c r="D21" s="26" t="n">
        <f aca="false">ABS(B21-C21)</f>
        <v>0</v>
      </c>
      <c r="E21" s="30" t="n">
        <v>0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402</v>
      </c>
      <c r="B22" s="28" t="n">
        <f aca="false">Rebuild!B8</f>
        <v>5</v>
      </c>
      <c r="C22" s="29" t="n">
        <f aca="false">Reference_Values!B22</f>
        <v>5</v>
      </c>
      <c r="D22" s="26" t="n">
        <f aca="false">ABS(B22-C22)</f>
        <v>0</v>
      </c>
      <c r="E22" s="30" t="n">
        <v>0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200</v>
      </c>
      <c r="B23" s="28" t="n">
        <f aca="false">Rebuild!B11</f>
        <v>21</v>
      </c>
      <c r="C23" s="29" t="n">
        <f aca="false">Reference_Values!B23</f>
        <v>21</v>
      </c>
      <c r="D23" s="26" t="n">
        <f aca="false">ABS(B23-C23)</f>
        <v>0</v>
      </c>
      <c r="E23" s="30" t="n">
        <v>0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202</v>
      </c>
      <c r="B24" s="28" t="n">
        <f aca="false">Rebuild!B12</f>
        <v>55.2767922077857</v>
      </c>
      <c r="C24" s="29" t="n">
        <f aca="false">Reference_Values!B24</f>
        <v>55.2767922077857</v>
      </c>
      <c r="D24" s="26" t="n">
        <f aca="false">ABS(B24-C24)</f>
        <v>0</v>
      </c>
      <c r="E24" s="30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204</v>
      </c>
      <c r="B25" s="28" t="n">
        <f aca="false">Rebuild!B13</f>
        <v>64</v>
      </c>
      <c r="C25" s="29" t="n">
        <f aca="false">Reference_Values!B25</f>
        <v>64</v>
      </c>
      <c r="D25" s="26" t="n">
        <f aca="false">ABS(B25-C25)</f>
        <v>0</v>
      </c>
      <c r="E25" s="30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406</v>
      </c>
      <c r="B26" s="28" t="n">
        <f aca="false">Cash!C8</f>
        <v>11.9114975878906</v>
      </c>
      <c r="C26" s="29" t="n">
        <f aca="false">Reference_Values!B26</f>
        <v>11.9114975878906</v>
      </c>
      <c r="D26" s="26" t="n">
        <f aca="false">ABS(B26-C26)</f>
        <v>0</v>
      </c>
      <c r="E26" s="30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408</v>
      </c>
      <c r="B27" s="28" t="n">
        <f aca="false">Cash!C9</f>
        <v>47.6459903515625</v>
      </c>
      <c r="C27" s="29" t="n">
        <f aca="false">Reference_Values!B27</f>
        <v>47.6459903515625</v>
      </c>
      <c r="D27" s="26" t="n">
        <f aca="false">ABS(B27-C27)</f>
        <v>0</v>
      </c>
      <c r="E27" s="30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410</v>
      </c>
      <c r="B28" s="28" t="n">
        <f aca="false">Cash!B9</f>
        <v>29</v>
      </c>
      <c r="C28" s="29" t="n">
        <f aca="false">Reference_Values!B28</f>
        <v>29</v>
      </c>
      <c r="D28" s="26" t="n">
        <f aca="false">ABS(B28-C28)</f>
        <v>0</v>
      </c>
      <c r="E28" s="30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412</v>
      </c>
      <c r="B29" s="28" t="n">
        <f aca="false">Cash!B13</f>
        <v>18.6459903515625</v>
      </c>
      <c r="C29" s="29" t="n">
        <f aca="false">Reference_Values!B29</f>
        <v>18.6459903515625</v>
      </c>
      <c r="D29" s="26" t="n">
        <f aca="false">ABS(B29-C29)</f>
        <v>0</v>
      </c>
      <c r="E29" s="30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414</v>
      </c>
      <c r="B30" s="28" t="n">
        <f aca="false">Cash!B10</f>
        <v>63</v>
      </c>
      <c r="C30" s="29" t="n">
        <f aca="false">Reference_Values!B30</f>
        <v>63</v>
      </c>
      <c r="D30" s="26" t="n">
        <f aca="false">ABS(B30-C30)</f>
        <v>0</v>
      </c>
      <c r="E30" s="30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416</v>
      </c>
      <c r="B31" s="28" t="n">
        <f aca="false">Cash!C10</f>
        <v>64.3540096484375</v>
      </c>
      <c r="C31" s="29" t="n">
        <f aca="false">Reference_Values!B31</f>
        <v>64.3540096484375</v>
      </c>
      <c r="D31" s="26" t="n">
        <f aca="false">ABS(B31-C31)</f>
        <v>0</v>
      </c>
      <c r="E31" s="30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418</v>
      </c>
      <c r="B32" s="28" t="n">
        <f aca="false">Cash!C24</f>
        <v>4</v>
      </c>
      <c r="C32" s="29" t="n">
        <f aca="false">Reference_Values!B32</f>
        <v>4</v>
      </c>
      <c r="D32" s="26" t="n">
        <f aca="false">ABS(B32-C32)</f>
        <v>0</v>
      </c>
      <c r="E32" s="30" t="n">
        <v>0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420</v>
      </c>
      <c r="B33" s="28" t="n">
        <f aca="false">Cash!C25</f>
        <v>9</v>
      </c>
      <c r="C33" s="29" t="n">
        <f aca="false">Reference_Values!B33</f>
        <v>9</v>
      </c>
      <c r="D33" s="26" t="n">
        <f aca="false">ABS(B33-C33)</f>
        <v>0</v>
      </c>
      <c r="E33" s="30" t="n">
        <v>0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422</v>
      </c>
      <c r="B34" s="28" t="n">
        <f aca="false">Cash!C28</f>
        <v>17.7934349256362</v>
      </c>
      <c r="C34" s="29" t="n">
        <f aca="false">Reference_Values!B34</f>
        <v>17.7934349256362</v>
      </c>
      <c r="D34" s="26" t="n">
        <f aca="false">ABS(B34-C34)</f>
        <v>0</v>
      </c>
      <c r="E34" s="30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424</v>
      </c>
      <c r="B35" s="28" t="n">
        <f aca="false">Cash!D24</f>
        <v>2</v>
      </c>
      <c r="C35" s="29" t="n">
        <f aca="false">Reference_Values!B35</f>
        <v>2</v>
      </c>
      <c r="D35" s="26" t="n">
        <f aca="false">ABS(B35-C35)</f>
        <v>0</v>
      </c>
      <c r="E35" s="30" t="n">
        <v>0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426</v>
      </c>
      <c r="B36" s="28" t="n">
        <f aca="false">Cash!D25</f>
        <v>4</v>
      </c>
      <c r="C36" s="29" t="n">
        <f aca="false">Reference_Values!B36</f>
        <v>4</v>
      </c>
      <c r="D36" s="26" t="n">
        <f aca="false">ABS(B36-C36)</f>
        <v>0</v>
      </c>
      <c r="E36" s="30" t="n">
        <v>0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427</v>
      </c>
      <c r="B37" s="28" t="n">
        <f aca="false">Cash!D28</f>
        <v>19.3869653042745</v>
      </c>
      <c r="C37" s="29" t="n">
        <f aca="false">Reference_Values!B37</f>
        <v>19.3869653042746</v>
      </c>
      <c r="D37" s="26" t="n">
        <f aca="false">ABS(B37-C37)</f>
        <v>0</v>
      </c>
      <c r="E37" s="30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429</v>
      </c>
      <c r="B38" s="28" t="n">
        <f aca="false">Cash!E24</f>
        <v>3</v>
      </c>
      <c r="C38" s="29" t="n">
        <f aca="false">Reference_Values!B38</f>
        <v>3</v>
      </c>
      <c r="D38" s="26" t="n">
        <f aca="false">ABS(B38-C38)</f>
        <v>0</v>
      </c>
      <c r="E38" s="30" t="n">
        <v>0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431</v>
      </c>
      <c r="B39" s="28" t="n">
        <f aca="false">Cash!E25</f>
        <v>6</v>
      </c>
      <c r="C39" s="29" t="n">
        <f aca="false">Reference_Values!B39</f>
        <v>6</v>
      </c>
      <c r="D39" s="26" t="n">
        <f aca="false">ABS(B39-C39)</f>
        <v>0</v>
      </c>
      <c r="E39" s="30" t="n">
        <v>0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433</v>
      </c>
      <c r="B40" s="28" t="n">
        <f aca="false">Cash!E28</f>
        <v>18.1765124792855</v>
      </c>
      <c r="C40" s="29" t="n">
        <f aca="false">Reference_Values!B40</f>
        <v>18.1765124792855</v>
      </c>
      <c r="D40" s="26" t="n">
        <f aca="false">ABS(B40-C40)</f>
        <v>0</v>
      </c>
      <c r="E40" s="30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435</v>
      </c>
      <c r="B41" s="28" t="n">
        <f aca="false">Cash!B18</f>
        <v>11.3540096484375</v>
      </c>
      <c r="C41" s="29" t="n">
        <f aca="false">Reference_Values!B41</f>
        <v>11.3540096484375</v>
      </c>
      <c r="D41" s="26" t="n">
        <f aca="false">ABS(B41-C41)</f>
        <v>0</v>
      </c>
      <c r="E41" s="30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437</v>
      </c>
      <c r="B42" s="28" t="n">
        <f aca="false">CutAndShock!B6</f>
        <v>3</v>
      </c>
      <c r="C42" s="29" t="n">
        <f aca="false">Reference_Values!B42</f>
        <v>3</v>
      </c>
      <c r="D42" s="26" t="n">
        <f aca="false">ABS(B42-C42)</f>
        <v>0</v>
      </c>
      <c r="E42" s="30" t="n">
        <v>0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439</v>
      </c>
      <c r="B43" s="28" t="n">
        <f aca="false">CutAndShock!B24</f>
        <v>1.71757017695694</v>
      </c>
      <c r="C43" s="29" t="n">
        <f aca="false">Reference_Values!B43</f>
        <v>1.71757017695694</v>
      </c>
      <c r="D43" s="26" t="n">
        <f aca="false">ABS(B43-C43)</f>
        <v>0</v>
      </c>
      <c r="E43" s="30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441</v>
      </c>
      <c r="B44" s="28" t="n">
        <f aca="false">CutAndShock!B25</f>
        <v>1.77777777777778</v>
      </c>
      <c r="C44" s="29" t="n">
        <f aca="false">Reference_Values!B44</f>
        <v>1.77777777777778</v>
      </c>
      <c r="D44" s="26" t="n">
        <f aca="false">ABS(B44-C44)</f>
        <v>0</v>
      </c>
      <c r="E44" s="30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443</v>
      </c>
      <c r="B45" s="28" t="n">
        <f aca="false">CutAndShock!B18</f>
        <v>14</v>
      </c>
      <c r="C45" s="29" t="n">
        <f aca="false">Reference_Values!B45</f>
        <v>14</v>
      </c>
      <c r="D45" s="26" t="n">
        <f aca="false">ABS(B45-C45)</f>
        <v>0</v>
      </c>
      <c r="E45" s="30" t="n">
        <v>0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445</v>
      </c>
      <c r="B46" s="28" t="n">
        <f aca="false">CutAndShock!B14</f>
        <v>20.7116393553464</v>
      </c>
      <c r="C46" s="29" t="n">
        <f aca="false">Reference_Values!B46</f>
        <v>20.7116393553464</v>
      </c>
      <c r="D46" s="26" t="n">
        <f aca="false">ABS(B46-C46)</f>
        <v>0</v>
      </c>
      <c r="E46" s="30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447</v>
      </c>
      <c r="B47" s="28" t="n">
        <f aca="false">Allocation!B18</f>
        <v>95.5555555555556</v>
      </c>
      <c r="C47" s="29" t="n">
        <f aca="false">Reference_Values!B47</f>
        <v>95.5555555555556</v>
      </c>
      <c r="D47" s="26" t="n">
        <f aca="false">ABS(B47-C47)</f>
        <v>0</v>
      </c>
      <c r="E47" s="30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449</v>
      </c>
      <c r="B48" s="28" t="n">
        <f aca="false">Allocation!C18</f>
        <v>90</v>
      </c>
      <c r="C48" s="29" t="n">
        <f aca="false">Reference_Values!B48</f>
        <v>90</v>
      </c>
      <c r="D48" s="26" t="n">
        <f aca="false">ABS(B48-C48)</f>
        <v>0</v>
      </c>
      <c r="E48" s="30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451</v>
      </c>
      <c r="B49" s="28" t="n">
        <f aca="false">Allocation!D18</f>
        <v>80</v>
      </c>
      <c r="C49" s="29" t="n">
        <f aca="false">Reference_Values!B49</f>
        <v>80</v>
      </c>
      <c r="D49" s="26" t="n">
        <f aca="false">ABS(B49-C49)</f>
        <v>0</v>
      </c>
      <c r="E49" s="30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453</v>
      </c>
      <c r="B50" s="28" t="n">
        <f aca="false">Allocation!E11</f>
        <v>0.571428571428571</v>
      </c>
      <c r="C50" s="29" t="n">
        <f aca="false">Reference_Values!B50</f>
        <v>0.571428571428571</v>
      </c>
      <c r="D50" s="26" t="n">
        <f aca="false">ABS(B50-C50)</f>
        <v>0</v>
      </c>
      <c r="E50" s="30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455</v>
      </c>
      <c r="B51" s="28" t="n">
        <f aca="false">Allocation!E13</f>
        <v>0.444444444444444</v>
      </c>
      <c r="C51" s="29" t="n">
        <f aca="false">Reference_Values!B51</f>
        <v>0.444444444444444</v>
      </c>
      <c r="D51" s="26" t="n">
        <f aca="false">ABS(B51-C51)</f>
        <v>0</v>
      </c>
      <c r="E51" s="30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457</v>
      </c>
      <c r="B52" s="28" t="n">
        <f aca="false">Allocation!B14</f>
        <v>17.5</v>
      </c>
      <c r="C52" s="29" t="n">
        <f aca="false">Reference_Values!B52</f>
        <v>17.5</v>
      </c>
      <c r="D52" s="26" t="n">
        <f aca="false">ABS(B52-C52)</f>
        <v>0</v>
      </c>
      <c r="E52" s="30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459</v>
      </c>
      <c r="B53" s="28" t="n">
        <f aca="false">Allocation!C19</f>
        <v>0.333333333333333</v>
      </c>
      <c r="C53" s="29" t="n">
        <f aca="false">Reference_Values!B53</f>
        <v>0.333333333333333</v>
      </c>
      <c r="D53" s="26" t="n">
        <f aca="false">ABS(B53-C53)</f>
        <v>0</v>
      </c>
      <c r="E53" s="30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461</v>
      </c>
      <c r="B54" s="28" t="n">
        <f aca="false">Allocation!I9</f>
        <v>20</v>
      </c>
      <c r="C54" s="29" t="n">
        <f aca="false">Reference_Values!B54</f>
        <v>20</v>
      </c>
      <c r="D54" s="26" t="n">
        <f aca="false">ABS(B54-C54)</f>
        <v>0</v>
      </c>
      <c r="E54" s="30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463</v>
      </c>
      <c r="B55" s="28" t="n">
        <f aca="false">Allocation!J20</f>
        <v>13.3333333333333</v>
      </c>
      <c r="C55" s="29" t="n">
        <f aca="false">Reference_Values!B55</f>
        <v>13.3333333333333</v>
      </c>
      <c r="D55" s="26" t="n">
        <f aca="false">ABS(B55-C55)</f>
        <v>0</v>
      </c>
      <c r="E55" s="30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465</v>
      </c>
      <c r="B56" s="28" t="n">
        <f aca="false">Ledger!B6</f>
        <v>0.56</v>
      </c>
      <c r="C56" s="29" t="n">
        <f aca="false">Reference_Values!B56</f>
        <v>0.56</v>
      </c>
      <c r="D56" s="26" t="n">
        <f aca="false">ABS(B56-C56)</f>
        <v>0</v>
      </c>
      <c r="E56" s="30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467</v>
      </c>
      <c r="B57" s="28" t="n">
        <f aca="false">Ledger!B19</f>
        <v>-5</v>
      </c>
      <c r="C57" s="29" t="n">
        <f aca="false">Reference_Values!B57</f>
        <v>-5</v>
      </c>
      <c r="D57" s="26" t="n">
        <f aca="false">ABS(B57-C57)</f>
        <v>0</v>
      </c>
      <c r="E57" s="30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469</v>
      </c>
      <c r="B58" s="28" t="n">
        <f aca="false">Ledger!B21</f>
        <v>20</v>
      </c>
      <c r="C58" s="29" t="n">
        <f aca="false">Reference_Values!B58</f>
        <v>20</v>
      </c>
      <c r="D58" s="26" t="n">
        <f aca="false">ABS(B58-C58)</f>
        <v>0</v>
      </c>
      <c r="E58" s="30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471</v>
      </c>
      <c r="B59" s="28" t="n">
        <f aca="false">Ledger!B35</f>
        <v>4</v>
      </c>
      <c r="C59" s="29" t="n">
        <f aca="false">Reference_Values!B59</f>
        <v>4</v>
      </c>
      <c r="D59" s="26" t="n">
        <f aca="false">ABS(B59-C59)</f>
        <v>0</v>
      </c>
      <c r="E59" s="30" t="n">
        <v>0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473</v>
      </c>
      <c r="B60" s="28" t="n">
        <f aca="false">Ledger!B37</f>
        <v>23.2</v>
      </c>
      <c r="C60" s="29" t="n">
        <f aca="false">Reference_Values!B60</f>
        <v>23.2</v>
      </c>
      <c r="D60" s="26" t="n">
        <f aca="false">ABS(B60-C60)</f>
        <v>0</v>
      </c>
      <c r="E60" s="30" t="n">
        <v>1E-009</v>
      </c>
      <c r="F60" s="4" t="str">
        <f aca="false">IF(D60&lt;=E60,"PASS","FAIL")</f>
        <v>PASS</v>
      </c>
    </row>
    <row r="62" customFormat="false" ht="15" hidden="false" customHeight="false" outlineLevel="0" collapsed="false">
      <c r="A62" s="4" t="s">
        <v>479</v>
      </c>
      <c r="F62" s="4" t="str">
        <f aca="false">IF(COUNTIF(F2:F60,"PASS")=59,"ALL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2026-10-05T08:38:12Z</dcterms:created>
  <dc:creator>openpyxl</dc:creator>
  <dc:description/>
  <dc:language>en-US</dc:language>
  <cp:lastModifiedBy/>
  <dcterms:modified xsi:type="dcterms:W3CDTF">2026-10-05T08:38:12Z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