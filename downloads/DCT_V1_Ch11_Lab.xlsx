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Paths" sheetId="3" state="visible" r:id="rId5"/>
    <sheet name="Dashboard" sheetId="4" state="visible" r:id="rId6"/>
    <sheet name="Dependencies" sheetId="5" state="visible" r:id="rId7"/>
    <sheet name="Weights" sheetId="6" state="visible" r:id="rId8"/>
    <sheet name="Yardsticks" sheetId="7" state="visible" r:id="rId9"/>
    <sheet name="Ratios" sheetId="8" state="visible" r:id="rId10"/>
    <sheet name="Frontier" sheetId="9" state="visible" r:id="rId11"/>
    <sheet name="Window" sheetId="10" state="visible" r:id="rId12"/>
    <sheet name="Apparatus" sheetId="11" state="visible" r:id="rId13"/>
    <sheet name="Reference_Values" sheetId="12" state="visible" r:id="rId14"/>
    <sheet name="Checks" sheetId="13" state="visible" r:id="rId15"/>
  </sheets>
  <definedNames>
    <definedName function="false" hidden="false" name="Sale_t" vbProcedure="false">Declarations!$B$10</definedName>
    <definedName function="false" hidden="false" name="Score_today" vbProcedure="false">Declarations!$B$8</definedName>
    <definedName function="false" hidden="false" name="S_E" vbProcedure="false">Declarations!$D$6</definedName>
    <definedName function="false" hidden="false" name="S_L" vbProcedure="false">Declarations!$D$4</definedName>
    <definedName function="false" hidden="false" name="S_R" vbProcedure="false">Declarations!$D$7</definedName>
    <definedName function="false" hidden="false" name="S_T" vbProcedure="false">Declarations!$D$5</definedName>
    <definedName function="false" hidden="false" name="Today_E" vbProcedure="false">Declarations!$B$6</definedName>
    <definedName function="false" hidden="false" name="Today_L" vbProcedure="false">Declarations!$B$4</definedName>
    <definedName function="false" hidden="false" name="Today_R" vbProcedure="false">Declarations!$B$7</definedName>
    <definedName function="false" hidden="false" name="Today_T" vbProcedure="false">Declarations!$B$5</definedName>
    <definedName function="false" hidden="false" name="W_E" vbProcedure="false">Declarations!$C$6</definedName>
    <definedName function="false" hidden="false" name="W_L" vbProcedure="false">Declarations!$C$4</definedName>
    <definedName function="false" hidden="false" name="W_R" vbProcedure="false">Declarations!$C$7</definedName>
    <definedName function="false" hidden="false" name="W_T" vbProcedure="false">Declarations!$C$5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<sst xmlns="http://schemas.openxmlformats.org/spreadsheetml/2006/main" count="1210" uniqueCount="695">
  <si>
    <t xml:space="preserve">DCT Laboratory — Vol I, Ch 11: Enterprise Performance Architecture</t>
  </si>
  <si>
    <t xml:space="preserve">Seed 26111 · Companion to DCT_V1_Ch11_Lab.ipynb and AXIOM Lab 1.11 (module AXIOM-11). Readings in index points; money in $ million.</t>
  </si>
  <si>
    <t xml:space="preserve">Worked Example 11.1, Who Really Chose Digital?, with the book's declarations, and the five steps of AXIOM Lab 1.11, Auditing Meridian's Scorecard.</t>
  </si>
  <si>
    <t xml:space="preserve">Declarations: the CFO's scorecard (Worked Example 1.1) and the Chapter 1 model's parameters (Online Appendix 1.B.4).</t>
  </si>
  <si>
    <t xml:space="preserve">Paths: the four readings of each option and the scorecard, month by month for five years (Figure 11.3; Online Appendix 11.B.6).</t>
  </si>
  <si>
    <t xml:space="preserve">Dashboard: Table 11.2's ten dimensions, Meridian's six with supports, indicators and bands, Proposition 11.1's twin, and Section 11.8's sustainability line (lab step 1).</t>
  </si>
  <si>
    <t xml:space="preserve">Dependencies: Table 11.4's lag floors recomputed from Chapter 9's fourteen arrows (Theorem 11.3(i)).</t>
  </si>
  <si>
    <t xml:space="preserve">Weights: dominance, the tie 1.6 points of weight away, the weight sweep, and the shares of weightings (Theorem 11.2(ii); Figure 11.1; Online Appendix 11.B.2; lab step 2).</t>
  </si>
  <si>
    <t xml:space="preserve">Yardsticks: best-to-worst and percentage scales, their effective weights, and two other reference groups (Theorem 11.2(iii); Online Appendix 11.B.3; lab step 3).</t>
  </si>
  <si>
    <t xml:space="preserve">Ratios: the rate-and-mix bridge for Theorem 11.5's two divisions and Table 11.5's bank, a mix bench, target cascades and roll-ups (lab step 4).</t>
  </si>
  <si>
    <t xml:space="preserve">Frontier: the indivisible programs and Figure 11.2's exchange rate (Theorem 11.4; lab step 5).</t>
  </si>
  <si>
    <t xml:space="preserve">Window: the annual reviews and the J-curve's evaluation window (Theorem 11.3(iii); Online Appendix 11.B.1; lab step 5).</t>
  </si>
  <si>
    <t xml:space="preserve">Apparatus: Table 11.6, Table 11.3's rules and a gate on the board's risk appetite (Worked Example 11.1, Step 5).</t>
  </si>
  <si>
    <t xml:space="preserve">Every result is a formula of the declarations, except the simulated shares and odds (engine values). Reference_Values and Checks: the notebook engine's numbers and a PASS/FAIL comparison.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</si>
  <si>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</si>
  <si>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</si>
  <si>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</si>
  <si>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</si>
  <si>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</si>
  <si>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(Worked Example 11.1, the situation; Worked Example 1.1; the Chapter 1 model of Online Appendix 1.B.4). Readings in index points; liquidity indexed to today = 100 ($620 million).</t>
  </si>
  <si>
    <t xml:space="preserve">Reading</t>
  </si>
  <si>
    <t xml:space="preserve">Today (Chapter 3)</t>
  </si>
  <si>
    <t xml:space="preserve">Weight in the CFO's scorecard</t>
  </si>
  <si>
    <t xml:space="preserve">Sign (lower risk is better)</t>
  </si>
  <si>
    <t xml:space="preserve">Measurement error (Table 5.2)</t>
  </si>
  <si>
    <t xml:space="preserve">Tag (Table 5.2)</t>
  </si>
  <si>
    <t xml:space="preserve">Liquidity</t>
  </si>
  <si>
    <t xml:space="preserve">+/-1%</t>
  </si>
  <si>
    <t xml:space="preserve">ECA: capital</t>
  </si>
  <si>
    <t xml:space="preserve">Technology</t>
  </si>
  <si>
    <t xml:space="preserve">+/-4</t>
  </si>
  <si>
    <t xml:space="preserve">Efficiency</t>
  </si>
  <si>
    <t xml:space="preserve">+/-3</t>
  </si>
  <si>
    <t xml:space="preserve">EPA: performance</t>
  </si>
  <si>
    <t xml:space="preserve">Strategic risk</t>
  </si>
  <si>
    <t xml:space="preserve">+/-6</t>
  </si>
  <si>
    <t xml:space="preserve">ERRA: risk</t>
  </si>
  <si>
    <t xml:space="preserve">Today's score, the weights times (L, T, E, -R)</t>
  </si>
  <si>
    <t xml:space="preserve">Worked Example 1.1: (100 + 41 + 71 - 64)/4 = 37.0</t>
  </si>
  <si>
    <t xml:space="preserve">$ million a liquidity index point</t>
  </si>
  <si>
    <t xml:space="preserve">Today = 100 = $620 million</t>
  </si>
  <si>
    <t xml:space="preserve">The restructuring's sale closes (years)</t>
  </si>
  <si>
    <t xml:space="preserve">The jump J applies from t = 1</t>
  </si>
  <si>
    <t xml:space="preserve">Option</t>
  </si>
  <si>
    <t xml:space="preserve">Target</t>
  </si>
  <si>
    <t xml:space="preserve">Speed k a year</t>
  </si>
  <si>
    <t xml:space="preserve">Trough sigma D</t>
  </si>
  <si>
    <t xml:space="preserve">Trough time tau (years)</t>
  </si>
  <si>
    <t xml:space="preserve">Jump J at the sale</t>
  </si>
  <si>
    <t xml:space="preserve">Start x(0)</t>
  </si>
  <si>
    <t xml:space="preserve">Digital</t>
  </si>
  <si>
    <t xml:space="preserve">Restructuring</t>
  </si>
  <si>
    <t xml:space="preserve">Turnaround</t>
  </si>
  <si>
    <t xml:space="preserve">Online Appendix 1.B.4: x(t) = target + (x(0) - target) e^(-k t) + sigma D (t / tau) e^(1 - t / tau) + J 1{t &gt;= 1}, t in years. A trough of zero needs no trough time; blank cells are zero.</t>
  </si>
  <si>
    <t xml:space="preserve">The Chapter 1 model month by month: four readings for each option and the CFO's scorecard (Worked Example 11.1, Step 4; Figure 11.3; Online Appendix 11.B.6)</t>
  </si>
  <si>
    <t xml:space="preserve">Each reading follows Online Appendix 1.B.4's model with the parameters on Declarations; the score is the weights times (L, T, E, -R). Flags: 1 when the statement is true that month.</t>
  </si>
  <si>
    <t xml:space="preserve">Reading the paths</t>
  </si>
  <si>
    <t xml:space="preserve">Value</t>
  </si>
  <si>
    <t xml:space="preserve">Book</t>
  </si>
  <si>
    <t xml:space="preserve">Month</t>
  </si>
  <si>
    <t xml:space="preserve">t (years)</t>
  </si>
  <si>
    <t xml:space="preserve">Digital: liquidity</t>
  </si>
  <si>
    <t xml:space="preserve">Digital: technology</t>
  </si>
  <si>
    <t xml:space="preserve">Digital: efficiency</t>
  </si>
  <si>
    <t xml:space="preserve">Digital: strategic risk</t>
  </si>
  <si>
    <t xml:space="preserve">Restructuring: liquidity</t>
  </si>
  <si>
    <t xml:space="preserve">Restructuring: technology</t>
  </si>
  <si>
    <t xml:space="preserve">Restructuring: efficiency</t>
  </si>
  <si>
    <t xml:space="preserve">Restructuring: strategic risk</t>
  </si>
  <si>
    <t xml:space="preserve">Turnaround: liquidity</t>
  </si>
  <si>
    <t xml:space="preserve">Turnaround: technology</t>
  </si>
  <si>
    <t xml:space="preserve">Turnaround: efficiency</t>
  </si>
  <si>
    <t xml:space="preserve">Turnaround: strategic risk</t>
  </si>
  <si>
    <t xml:space="preserve">Score: digital</t>
  </si>
  <si>
    <t xml:space="preserve">Score: restructuring</t>
  </si>
  <si>
    <t xml:space="preserve">Score: turnaround</t>
  </si>
  <si>
    <t xml:space="preserve">Digital below today's score</t>
  </si>
  <si>
    <t xml:space="preserve">Digital ahead of the turnaround</t>
  </si>
  <si>
    <t xml:space="preserve">Digital ahead of restructuring</t>
  </si>
  <si>
    <t xml:space="preserve">Digital's rank</t>
  </si>
  <si>
    <t xml:space="preserve">|Restructuring - turnaround|</t>
  </si>
  <si>
    <t xml:space="preserve">Digital's low</t>
  </si>
  <si>
    <t xml:space="preserve">32.11 at month 11</t>
  </si>
  <si>
    <t xml:space="preserve">Month of digital's low</t>
  </si>
  <si>
    <t xml:space="preserve">Last month digital is below today's score</t>
  </si>
  <si>
    <t xml:space="preserve">month 28</t>
  </si>
  <si>
    <t xml:space="preserve">Month digital regains today's score</t>
  </si>
  <si>
    <t xml:space="preserve">month 29</t>
  </si>
  <si>
    <t xml:space="preserve">Digital's score that month</t>
  </si>
  <si>
    <t xml:space="preserve">37.19</t>
  </si>
  <si>
    <t xml:space="preserve">Month digital passes the turnaround</t>
  </si>
  <si>
    <t xml:space="preserve">month 33</t>
  </si>
  <si>
    <t xml:space="preserve">38.74</t>
  </si>
  <si>
    <t xml:space="preserve">The turnaround's score that month</t>
  </si>
  <si>
    <t xml:space="preserve">38.41</t>
  </si>
  <si>
    <t xml:space="preserve">Month digital passes restructuring</t>
  </si>
  <si>
    <t xml:space="preserve">month 56</t>
  </si>
  <si>
    <t xml:space="preserve">46.15</t>
  </si>
  <si>
    <t xml:space="preserve">Restructuring's score that month</t>
  </si>
  <si>
    <t xml:space="preserve">Restructuring's jump when the sale closes (month 12 less month 11)</t>
  </si>
  <si>
    <t xml:space="preserve">+6.57</t>
  </si>
  <si>
    <t xml:space="preserve">Largest gap, restructuring and turnaround, before the sale</t>
  </si>
  <si>
    <t xml:space="preserve">less than 0.1 point</t>
  </si>
  <si>
    <t xml:space="preserve">Build the dashboard: Table 11.2's dimensions, Meridian's six with their supports and indicators, and the sustainability line (AXIOM Lab 1.11, step 1; Tables 11.2 and 11.4; Section 11.8)</t>
  </si>
  <si>
    <t xml:space="preserve">Symbol</t>
  </si>
  <si>
    <t xml:space="preserve">Dimension (Table 11.2)</t>
  </si>
  <si>
    <t xml:space="preserve">What it measures per period</t>
  </si>
  <si>
    <t xml:space="preserve">Sample indicators</t>
  </si>
  <si>
    <t xml:space="preserve">P_F</t>
  </si>
  <si>
    <t xml:space="preserve">Financial</t>
  </si>
  <si>
    <t xml:space="preserve">earnings, cash, returns on capital</t>
  </si>
  <si>
    <t xml:space="preserve">margin, ROIC, free cash flow</t>
  </si>
  <si>
    <t xml:space="preserve">P_O</t>
  </si>
  <si>
    <t xml:space="preserve">Operational</t>
  </si>
  <si>
    <t xml:space="preserve">throughput, quality, delivery, cost</t>
  </si>
  <si>
    <t xml:space="preserve">equipment effectiveness, defects</t>
  </si>
  <si>
    <t xml:space="preserve">P_S</t>
  </si>
  <si>
    <t xml:space="preserve">Strategic</t>
  </si>
  <si>
    <t xml:space="preserve">position gained: share, options</t>
  </si>
  <si>
    <t xml:space="preserve">share change, win rate</t>
  </si>
  <si>
    <t xml:space="preserve">P_H</t>
  </si>
  <si>
    <t xml:space="preserve">Human</t>
  </si>
  <si>
    <t xml:space="preserve">capability applied and grown</t>
  </si>
  <si>
    <t xml:space="preserve">output per employee, retention</t>
  </si>
  <si>
    <t xml:space="preserve">P_T</t>
  </si>
  <si>
    <t xml:space="preserve">Technological</t>
  </si>
  <si>
    <t xml:space="preserve">platform uptime and speed of change</t>
  </si>
  <si>
    <t xml:space="preserve">availability, cycle time</t>
  </si>
  <si>
    <t xml:space="preserve">P_I</t>
  </si>
  <si>
    <t xml:space="preserve">Innovation</t>
  </si>
  <si>
    <t xml:space="preserve">validated novelty shipped</t>
  </si>
  <si>
    <t xml:space="preserve">new-product revenue share</t>
  </si>
  <si>
    <t xml:space="preserve">P_G</t>
  </si>
  <si>
    <t xml:space="preserve">Governance</t>
  </si>
  <si>
    <t xml:space="preserve">quality of decisions and controls</t>
  </si>
  <si>
    <t xml:space="preserve">audit findings, incidents</t>
  </si>
  <si>
    <t xml:space="preserve">P_E</t>
  </si>
  <si>
    <t xml:space="preserve">Environmental</t>
  </si>
  <si>
    <t xml:space="preserve">footprint per unit of output</t>
  </si>
  <si>
    <t xml:space="preserve">intensity metrics</t>
  </si>
  <si>
    <t xml:space="preserve">P_R</t>
  </si>
  <si>
    <t xml:space="preserve">Resilience</t>
  </si>
  <si>
    <t xml:space="preserve">shock absorption, shown or ready</t>
  </si>
  <si>
    <t xml:space="preserve">recovery half-life, buffer days</t>
  </si>
  <si>
    <t xml:space="preserve">P_ESG</t>
  </si>
  <si>
    <t xml:space="preserve">Sustainability</t>
  </si>
  <si>
    <t xml:space="preserve">the above, without depleting capital</t>
  </si>
  <si>
    <t xml:space="preserve">Definition 11.11</t>
  </si>
  <si>
    <t xml:space="preserve">Dimensions of the performance vector (Equation 11.2)</t>
  </si>
  <si>
    <t xml:space="preserve">Meridian's dimension (Table 11.4)</t>
  </si>
  <si>
    <t xml:space="preserve">Support on Chapter 9's architecture</t>
  </si>
  <si>
    <t xml:space="preserve">Indicator (Table 5.2)</t>
  </si>
  <si>
    <t xml:space="preserve">Today</t>
  </si>
  <si>
    <t xml:space="preserve">Error</t>
  </si>
  <si>
    <t xml:space="preserve">Band today: low</t>
  </si>
  <si>
    <t xml:space="preserve">Band today: high</t>
  </si>
  <si>
    <t xml:space="preserve">Unit</t>
  </si>
  <si>
    <t xml:space="preserve">P_F financial</t>
  </si>
  <si>
    <t xml:space="preserve">treasury</t>
  </si>
  <si>
    <t xml:space="preserve">ROIC (x6)</t>
  </si>
  <si>
    <t xml:space="preserve">percent; error in percentage points</t>
  </si>
  <si>
    <t xml:space="preserve">P_O operational</t>
  </si>
  <si>
    <t xml:space="preserve">Industrial Systems, Materials</t>
  </si>
  <si>
    <t xml:space="preserve">operational efficiency (x5)</t>
  </si>
  <si>
    <t xml:space="preserve">index</t>
  </si>
  <si>
    <t xml:space="preserve">P_S strategic</t>
  </si>
  <si>
    <t xml:space="preserve">the three divisions</t>
  </si>
  <si>
    <t xml:space="preserve">market share (x8)</t>
  </si>
  <si>
    <t xml:space="preserve">P_T technological</t>
  </si>
  <si>
    <t xml:space="preserve">none declared</t>
  </si>
  <si>
    <t xml:space="preserve">blind until an indicator reads Digital</t>
  </si>
  <si>
    <t xml:space="preserve">P_I innovation</t>
  </si>
  <si>
    <t xml:space="preserve">Digital, engineering</t>
  </si>
  <si>
    <t xml:space="preserve">blind until an indicator reads Digital and engineering</t>
  </si>
  <si>
    <t xml:space="preserve">P_R resilience</t>
  </si>
  <si>
    <t xml:space="preserve">liquidity above the board's floor (x1)</t>
  </si>
  <si>
    <t xml:space="preserve">$ million; liquidity error +/-1% (Definition 11.12: a buffer margin)</t>
  </si>
  <si>
    <t xml:space="preserve">Dimensions without a declared indicator (blind by construction, Section 11.4)</t>
  </si>
  <si>
    <t xml:space="preserve">The CFO's scorecard reads</t>
  </si>
  <si>
    <t xml:space="preserve">Performance readings among the four</t>
  </si>
  <si>
    <t xml:space="preserve">Proposition 11.1 (Online Appendix 11.B): the same EBITDA, different resilience</t>
  </si>
  <si>
    <t xml:space="preserve">Meridian's liquidity ($ million)</t>
  </si>
  <si>
    <t xml:space="preserve">Table 3.1</t>
  </si>
  <si>
    <t xml:space="preserve">The board's liquidity floor ($ million)</t>
  </si>
  <si>
    <t xml:space="preserve">Table 5.4</t>
  </si>
  <si>
    <t xml:space="preserve">Revenue ($ million)</t>
  </si>
  <si>
    <t xml:space="preserve">Chapter 1</t>
  </si>
  <si>
    <t xml:space="preserve">EBITDA margin</t>
  </si>
  <si>
    <t xml:space="preserve">EBITDA ($ million)</t>
  </si>
  <si>
    <t xml:space="preserve">about $496 million</t>
  </si>
  <si>
    <t xml:space="preserve">A twin's liquidity, same EBITDA ($ million)</t>
  </si>
  <si>
    <t xml:space="preserve">A shock that drains ($ million)</t>
  </si>
  <si>
    <t xml:space="preserve">Meridian after the shock ($ million)</t>
  </si>
  <si>
    <t xml:space="preserve">above the floor</t>
  </si>
  <si>
    <t xml:space="preserve">The twin after the shock ($ million)</t>
  </si>
  <si>
    <t xml:space="preserve">below the floor</t>
  </si>
  <si>
    <t xml:space="preserve">Meridian against the floor</t>
  </si>
  <si>
    <t xml:space="preserve">The twin against the floor</t>
  </si>
  <si>
    <t xml:space="preserve">Section 11.8: the sustainability line (Worked Example 10.1's rent)</t>
  </si>
  <si>
    <t xml:space="preserve">Capability lost a quarter to attrition, delta</t>
  </si>
  <si>
    <t xml:space="preserve">Worked Example 10.1</t>
  </si>
  <si>
    <t xml:space="preserve">Workforce capability held</t>
  </si>
  <si>
    <t xml:space="preserve">Price of a capability point ($ million)</t>
  </si>
  <si>
    <t xml:space="preserve">the buyer's discount, $20m for 5 points</t>
  </si>
  <si>
    <t xml:space="preserve">Floor for the digital build</t>
  </si>
  <si>
    <t xml:space="preserve">Rent, points a quarter, delta x 58</t>
  </si>
  <si>
    <t xml:space="preserve">1.45</t>
  </si>
  <si>
    <t xml:space="preserve">Rent, $ million a year</t>
  </si>
  <si>
    <t xml:space="preserve">about $23 million a year</t>
  </si>
  <si>
    <t xml:space="preserve">Quarter with no rent</t>
  </si>
  <si>
    <t xml:space="preserve">Capability</t>
  </si>
  <si>
    <t xml:space="preserve">First quarter below the floor of 55</t>
  </si>
  <si>
    <t xml:space="preserve">Skipping the rent adds it to reported EBITDA while capability falls below 55 within three quarters: performance borrowed from a stock (Definition 11.11).</t>
  </si>
  <si>
    <t xml:space="preserve">Table 11.4's lag floors from Chapter 9's architecture: distances between the supports (Theorem 11.3(i); AXIOM Lab 1.11, step 1)</t>
  </si>
  <si>
    <t xml:space="preserve">The fewest arrows from one component to another is the fewest quarters in which a shock can travel between them; 99 means no path. Distances by repeated min-plus squaring: D2 = D1 * D1, D4, D8.</t>
  </si>
  <si>
    <t xml:space="preserve">From</t>
  </si>
  <si>
    <t xml:space="preserve">To</t>
  </si>
  <si>
    <t xml:space="preserve">Arrow (Chapter 9)</t>
  </si>
  <si>
    <t xml:space="preserve">MKT</t>
  </si>
  <si>
    <t xml:space="preserve">IND</t>
  </si>
  <si>
    <t xml:space="preserve">demand</t>
  </si>
  <si>
    <t xml:space="preserve">DIG</t>
  </si>
  <si>
    <t xml:space="preserve">MAT</t>
  </si>
  <si>
    <t xml:space="preserve">TRS</t>
  </si>
  <si>
    <t xml:space="preserve">cash</t>
  </si>
  <si>
    <t xml:space="preserve">funding</t>
  </si>
  <si>
    <t xml:space="preserve">ENG</t>
  </si>
  <si>
    <t xml:space="preserve">capability</t>
  </si>
  <si>
    <t xml:space="preserve">GOV</t>
  </si>
  <si>
    <t xml:space="preserve">policy</t>
  </si>
  <si>
    <t xml:space="preserve">Arrows (from row to column)</t>
  </si>
  <si>
    <t xml:space="preserve">D1: one arrow</t>
  </si>
  <si>
    <t xml:space="preserve">D2: at most 2 arrows</t>
  </si>
  <si>
    <t xml:space="preserve">D4: at most 4 arrows</t>
  </si>
  <si>
    <t xml:space="preserve">D8: at most 8 arrows</t>
  </si>
  <si>
    <t xml:space="preserve">Dimension</t>
  </si>
  <si>
    <t xml:space="preserve">Support (Table 11.4)</t>
  </si>
  <si>
    <t xml:space="preserve">IND, MAT</t>
  </si>
  <si>
    <t xml:space="preserve">IND, DIG, MAT</t>
  </si>
  <si>
    <t xml:space="preserve">DIG, ENG</t>
  </si>
  <si>
    <t xml:space="preserve">Lag floor (quarters): distance from the row's support to the column's</t>
  </si>
  <si>
    <t xml:space="preserve">Table 11.4 as printed: the declared lag floors (blank: no material effect declared)</t>
  </si>
  <si>
    <t xml:space="preserve">---</t>
  </si>
  <si>
    <t xml:space="preserve">Declared sign of the medium-run effect</t>
  </si>
  <si>
    <t xml:space="preserve">+</t>
  </si>
  <si>
    <t xml:space="preserve">-</t>
  </si>
  <si>
    <t xml:space="preserve">Declared floor equal to the computed distance (1 = yes)</t>
  </si>
  <si>
    <t xml:space="preserve">Declared lag floors</t>
  </si>
  <si>
    <t xml:space="preserve">Table 11.4: 20 entries</t>
  </si>
  <si>
    <t xml:space="preserve">Declared lag floors equal to the distances</t>
  </si>
  <si>
    <t xml:space="preserve">all of them</t>
  </si>
  <si>
    <t xml:space="preserve">Digital to Industrial Systems (quarters)</t>
  </si>
  <si>
    <t xml:space="preserve">nothing done in Digital reaches Industrial Systems' operations in less than two quarters</t>
  </si>
  <si>
    <t xml:space="preserve">Digital to Materials (99: no path)</t>
  </si>
  <si>
    <t xml:space="preserve">no path leads from Digital to Materials at all</t>
  </si>
  <si>
    <t xml:space="preserve">Check for dominance and sweep the weights (Worked Example 11.1, Steps 1-2; Theorem 11.2(ii); Figure 11.1; Online Appendix 11.B.2; AXIOM Lab 1.11, step 2)</t>
  </si>
  <si>
    <t xml:space="preserve">Year 5 (month 60)</t>
  </si>
  <si>
    <t xml:space="preserve">Score</t>
  </si>
  <si>
    <t xml:space="preserve">Signed (strategic risk reversed)</t>
  </si>
  <si>
    <t xml:space="preserve">Does the first option dominate the second? (Step 1)</t>
  </si>
  <si>
    <t xml:space="preserve">At least as good, of 4</t>
  </si>
  <si>
    <t xml:space="preserve">Better, of 4</t>
  </si>
  <si>
    <t xml:space="preserve">Dominates</t>
  </si>
  <si>
    <t xml:space="preserve">Digital over restructuring</t>
  </si>
  <si>
    <t xml:space="preserve">Digital over turnaround</t>
  </si>
  <si>
    <t xml:space="preserve">Restructuring over digital</t>
  </si>
  <si>
    <t xml:space="preserve">Restructuring over turnaround</t>
  </si>
  <si>
    <t xml:space="preserve">Turnaround over digital</t>
  </si>
  <si>
    <t xml:space="preserve">Turnaround over restructuring</t>
  </si>
  <si>
    <t xml:space="preserve">Pairs in which one option dominates another</t>
  </si>
  <si>
    <t xml:space="preserve">Digital less restructuring, d (signed)</t>
  </si>
  <si>
    <t xml:space="preserve">Digital's technology lead</t>
  </si>
  <si>
    <t xml:space="preserve">36.8</t>
  </si>
  <si>
    <t xml:space="preserve">Restructuring's liquidity lead</t>
  </si>
  <si>
    <t xml:space="preserve">26.8</t>
  </si>
  <si>
    <t xml:space="preserve">Restructuring's strategic-risk lead</t>
  </si>
  <si>
    <t xml:space="preserve">5.8</t>
  </si>
  <si>
    <t xml:space="preserve">Restructuring's efficiency lead</t>
  </si>
  <si>
    <t xml:space="preserve">0.1; inside efficiency's +/-3 error</t>
  </si>
  <si>
    <t xml:space="preserve">Digital's lead at equal weights, w . d</t>
  </si>
  <si>
    <t xml:space="preserve">1.01</t>
  </si>
  <si>
    <t xml:space="preserve">Lead lost per point of weight moved from technology to liquidity</t>
  </si>
  <si>
    <t xml:space="preserve">0.64</t>
  </si>
  <si>
    <t xml:space="preserve">Weight moved at the tie, t* = w . d / (d_T - d_L)</t>
  </si>
  <si>
    <t xml:space="preserve">Points of weight moved at the tie</t>
  </si>
  <si>
    <t xml:space="preserve">1.6</t>
  </si>
  <si>
    <t xml:space="preserve">Tie: weight on liquidity (%)</t>
  </si>
  <si>
    <t xml:space="preserve">26.6</t>
  </si>
  <si>
    <t xml:space="preserve">Tie: weight on technology (%)</t>
  </si>
  <si>
    <t xml:space="preserve">23.4</t>
  </si>
  <si>
    <t xml:space="preserve">Tie moving weight from technology to strategic risk (points)</t>
  </si>
  <si>
    <t xml:space="preserve">2.4</t>
  </si>
  <si>
    <t xml:space="preserve">Tie moving weight from technology to efficiency (points)</t>
  </si>
  <si>
    <t xml:space="preserve">2.7</t>
  </si>
  <si>
    <t xml:space="preserve">Largest change of the lead per point of weight moved, (max d - min d)/100</t>
  </si>
  <si>
    <t xml:space="preserve">Online Appendix 11.B.2</t>
  </si>
  <si>
    <t xml:space="preserve">So no change of weights smaller than (points) can tie</t>
  </si>
  <si>
    <t xml:space="preserve">the move from technology to liquidity</t>
  </si>
  <si>
    <t xml:space="preserve">Points moved from technology to liquidity</t>
  </si>
  <si>
    <t xml:space="preserve">Weight on liquidity</t>
  </si>
  <si>
    <t xml:space="preserve">Weight on technology</t>
  </si>
  <si>
    <t xml:space="preserve">Weight on efficiency</t>
  </si>
  <si>
    <t xml:space="preserve">Weight on strategic risk</t>
  </si>
  <si>
    <t xml:space="preserve">First</t>
  </si>
  <si>
    <t xml:space="preserve">Row 47 is the tie (1.59 points): the two leaders score the same there. Theorem 11.2(ii): between options that do not dominate each other, the weights choose.</t>
  </si>
  <si>
    <t xml:space="preserve">Weightings uniform on the simplex (Online Appendix 11.B.6)</t>
  </si>
  <si>
    <t xml:space="preserve">Share ranking first</t>
  </si>
  <si>
    <t xml:space="preserve">49.4%</t>
  </si>
  <si>
    <t xml:space="preserve">49.3%</t>
  </si>
  <si>
    <t xml:space="preserve">1.3%</t>
  </si>
  <si>
    <t xml:space="preserve">Turnaround first: least weight on efficiency</t>
  </si>
  <si>
    <t xml:space="preserve">at least 68 percent</t>
  </si>
  <si>
    <t xml:space="preserve">Turnaround first: most weight on technology</t>
  </si>
  <si>
    <t xml:space="preserve">at most 13 percent</t>
  </si>
  <si>
    <t xml:space="preserve">Engine values: 200,000 weightings drawn in the notebook with seed 26111, as in the book. The count measures how much of the space of weights each option wins; it is not a probability that either is better.</t>
  </si>
  <si>
    <t xml:space="preserve">Change the yardstick and the reference group (Worked Example 11.1, Step 3; Theorem 11.2(iii); Online Appendix 11.B.3; AXIOM Lab 1.11, step 3)</t>
  </si>
  <si>
    <t xml:space="preserve">Signed readings, Year 5</t>
  </si>
  <si>
    <t xml:space="preserve">Best option 100, worst 0: the three options (the book's)</t>
  </si>
  <si>
    <t xml:space="preserve">Score, equal weights</t>
  </si>
  <si>
    <t xml:space="preserve">Worst of the reference group</t>
  </si>
  <si>
    <t xml:space="preserve">Best of the reference group</t>
  </si>
  <si>
    <t xml:space="preserve">Spread</t>
  </si>
  <si>
    <t xml:space="preserve">Effective weights, as shares: (w / spread) / sum</t>
  </si>
  <si>
    <t xml:space="preserve">Rescaled strategic-risk difference (restructuring's lead)</t>
  </si>
  <si>
    <t xml:space="preserve">34</t>
  </si>
  <si>
    <t xml:space="preserve">Rescaled technology lead (digital's)</t>
  </si>
  <si>
    <t xml:space="preserve">93</t>
  </si>
  <si>
    <t xml:space="preserve">Rescaled liquidity deficit (digital's)</t>
  </si>
  <si>
    <t xml:space="preserve">100</t>
  </si>
  <si>
    <t xml:space="preserve">Percentage improvement on today</t>
  </si>
  <si>
    <t xml:space="preserve">Effective weights, as shares: (w / today) / sum</t>
  </si>
  <si>
    <t xml:space="preserve">Digital's lead on this scale (points)</t>
  </si>
  <si>
    <t xml:space="preserve">by 13 points</t>
  </si>
  <si>
    <t xml:space="preserve">Technology's gain on today under digital (%)</t>
  </si>
  <si>
    <t xml:space="preserve">84 percent</t>
  </si>
  <si>
    <t xml:space="preserve">Theorem 11.2(iii)'s example</t>
  </si>
  <si>
    <t xml:space="preserve">Dimension 1</t>
  </si>
  <si>
    <t xml:space="preserve">Dimension 2</t>
  </si>
  <si>
    <t xml:space="preserve">Weights</t>
  </si>
  <si>
    <t xml:space="preserve">Option A</t>
  </si>
  <si>
    <t xml:space="preserve">Option B</t>
  </si>
  <si>
    <t xml:space="preserve">Rescaling a</t>
  </si>
  <si>
    <t xml:space="preserve">Option A after the rescaling</t>
  </si>
  <si>
    <t xml:space="preserve">Option B after the rescaling</t>
  </si>
  <si>
    <t xml:space="preserve">Best 100, worst 0 against the options and today's company (computed)</t>
  </si>
  <si>
    <t xml:space="preserve">Best 100, worst 0 against the two leaders alone (computed)</t>
  </si>
  <si>
    <t xml:space="preserve">The two lower blocks switch the reference group, as the lab's normalization panel does; they are computed from the book's Year-5 readings. Against the two leaders, efficiency's 0.09-point gap, inside its +/-3 error, carries 98 percent of the effective weight.</t>
  </si>
  <si>
    <t xml:space="preserve">Roll up a ratio: rate and mix (Theorem 11.5; Table 11.5; Online Appendix 11.B.5; AXIOM Lab 1.11, step 4)</t>
  </si>
  <si>
    <t xml:space="preserve">Group ratio R = sum of the divisional ratios weighted by their shares of the denominator; R' - R = rate effect sum s'(r' - r) + mix effect sum (s' - s) r (Theorem 11.5(i)).</t>
  </si>
  <si>
    <t xml:space="preserve">Theorem 11.5(i): two divisions (margin)</t>
  </si>
  <si>
    <t xml:space="preserve">Last year: profit</t>
  </si>
  <si>
    <t xml:space="preserve">Last year: revenue</t>
  </si>
  <si>
    <t xml:space="preserve">This year: profit</t>
  </si>
  <si>
    <t xml:space="preserve">This year: revenue</t>
  </si>
  <si>
    <t xml:space="preserve">Ratio last year</t>
  </si>
  <si>
    <t xml:space="preserve">Ratio this year</t>
  </si>
  <si>
    <t xml:space="preserve">Share last year</t>
  </si>
  <si>
    <t xml:space="preserve">Share this year</t>
  </si>
  <si>
    <t xml:space="preserve">Division 1</t>
  </si>
  <si>
    <t xml:space="preserve">Division 2</t>
  </si>
  <si>
    <t xml:space="preserve">Group ratio last year (%), pooled</t>
  </si>
  <si>
    <t xml:space="preserve">Theorem 11.5(i): 18.3 to 18.0 percent; rate +0.0133, mix -0.0167</t>
  </si>
  <si>
    <t xml:space="preserve">Group ratio this year (%), pooled</t>
  </si>
  <si>
    <t xml:space="preserve">Rate effect (points)</t>
  </si>
  <si>
    <t xml:space="preserve">Mix effect (points)</t>
  </si>
  <si>
    <t xml:space="preserve">Rate plus mix less the change (should be 0)</t>
  </si>
  <si>
    <t xml:space="preserve">Unweighted average of the divisional ratios, last year (%)</t>
  </si>
  <si>
    <t xml:space="preserve">Unweighted average of the divisional ratios, this year (%)</t>
  </si>
  <si>
    <t xml:space="preserve">Table 11.5: the bank (cost-income ratio, lower is better)</t>
  </si>
  <si>
    <t xml:space="preserve">Last year: costs</t>
  </si>
  <si>
    <t xml:space="preserve">Last year: income</t>
  </si>
  <si>
    <t xml:space="preserve">This year: costs</t>
  </si>
  <si>
    <t xml:space="preserve">This year: income</t>
  </si>
  <si>
    <t xml:space="preserve">Retail</t>
  </si>
  <si>
    <t xml:space="preserve">Markets</t>
  </si>
  <si>
    <t xml:space="preserve">Table 11.5: 81.7 to 82.0 percent; rate -1.3 points, mix +1.7; Online Appendix 11.B.5</t>
  </si>
  <si>
    <t xml:space="preserve">Mix bench: share of revenue in division 1 (this year's margins held)</t>
  </si>
  <si>
    <t xml:space="preserve">Group margin at last year's margins (%)</t>
  </si>
  <si>
    <t xml:space="preserve">Group margin at this year's margins (%)</t>
  </si>
  <si>
    <t xml:space="preserve">Below last year's group margin?</t>
  </si>
  <si>
    <t xml:space="preserve">Share below which this year's group margin is under last year's (computed)</t>
  </si>
  <si>
    <t xml:space="preserve">division 1 keeps one third</t>
  </si>
  <si>
    <t xml:space="preserve">Theorem 11.5(ii): capacity shared by three units</t>
  </si>
  <si>
    <t xml:space="preserve">Target of each unit</t>
  </si>
  <si>
    <t xml:space="preserve">the same for the three</t>
  </si>
  <si>
    <t xml:space="preserve">Any two targets together</t>
  </si>
  <si>
    <t xml:space="preserve">every pair fits</t>
  </si>
  <si>
    <t xml:space="preserve">All three together</t>
  </si>
  <si>
    <t xml:space="preserve">together they do not</t>
  </si>
  <si>
    <t xml:space="preserve">Pairwise agreement, joint feasibility</t>
  </si>
  <si>
    <t xml:space="preserve">a joint review of the cycle is required</t>
  </si>
  <si>
    <t xml:space="preserve">Theorem 11.5(iii): group ratio with equal revenue (%)</t>
  </si>
  <si>
    <t xml:space="preserve">same divisional ratios, 20% and 15%</t>
  </si>
  <si>
    <t xml:space="preserve">... when division 1's revenue doubles (%)</t>
  </si>
  <si>
    <t xml:space="preserve">a ratio rolls up only with its denominators</t>
  </si>
  <si>
    <t xml:space="preserve">Walk the frontier (Theorem 11.4; Proposition 11.2; Figure 11.2; Online Appendix 11.B.4; AXIOM Lab 1.11, step 5)</t>
  </si>
  <si>
    <t xml:space="preserve">Indivisible program (Theorem 11.4(iii))</t>
  </si>
  <si>
    <t xml:space="preserve">Margin gain (points)</t>
  </si>
  <si>
    <t xml:space="preserve">Resilience gain (months)</t>
  </si>
  <si>
    <t xml:space="preserve">Programs that dominate it</t>
  </si>
  <si>
    <t xml:space="preserve">Resilience program</t>
  </si>
  <si>
    <t xml:space="preserve">Balanced program</t>
  </si>
  <si>
    <t xml:space="preserve">Margin program</t>
  </si>
  <si>
    <t xml:space="preserve">Pareto-optimal programs (dominated by none)</t>
  </si>
  <si>
    <t xml:space="preserve">Weight on margin, w1 (w2 = 1 - w1)</t>
  </si>
  <si>
    <t xml:space="preserve">Ranked first</t>
  </si>
  <si>
    <t xml:space="preserve">Positive weightings (of 99) that rank the balanced program first</t>
  </si>
  <si>
    <t xml:space="preserve">never: max(10 w1, 10 w2) &gt;= 5 &gt; 4</t>
  </si>
  <si>
    <t xml:space="preserve">Online Appendix 11.B.4: programs (0, m), (a, a), (m, 0)</t>
  </si>
  <si>
    <t xml:space="preserve">a</t>
  </si>
  <si>
    <t xml:space="preserve">m</t>
  </si>
  <si>
    <t xml:space="preserve">Equal-weight score of (a, a)</t>
  </si>
  <si>
    <t xml:space="preserve">Of an end program</t>
  </si>
  <si>
    <t xml:space="preserve">Verdict</t>
  </si>
  <si>
    <t xml:space="preserve">Balanced program (4, 4)</t>
  </si>
  <si>
    <t xml:space="preserve">Balanced program (5, 5)</t>
  </si>
  <si>
    <t xml:space="preserve">Balanced program (6, 6)</t>
  </si>
  <si>
    <t xml:space="preserve">Figure 11.2, left: the frontier (m / MX)^2 + (r / RY)^2 = 1</t>
  </si>
  <si>
    <t xml:space="preserve">Largest margin MX (%)</t>
  </si>
  <si>
    <t xml:space="preserve">Largest liquidity cover RY (months)</t>
  </si>
  <si>
    <t xml:space="preserve">Operating point: margin (%)</t>
  </si>
  <si>
    <t xml:space="preserve">Operating point: cover (months)</t>
  </si>
  <si>
    <t xml:space="preserve">(m / MX)^2 + (r / RY)^2 at the operating point</t>
  </si>
  <si>
    <t xml:space="preserve">below 1: inside, both can improve (Proposition 11.2)</t>
  </si>
  <si>
    <t xml:space="preserve">Factor that takes both to the frontier</t>
  </si>
  <si>
    <t xml:space="preserve">Frontier point: margin (%)</t>
  </si>
  <si>
    <t xml:space="preserve">Frontier point: cover (months)</t>
  </si>
  <si>
    <t xml:space="preserve">Slope of the frontier there, -(RY^2 m) / (MX^2 r)</t>
  </si>
  <si>
    <t xml:space="preserve">Theorem 11.4(iv): -w1/w2</t>
  </si>
  <si>
    <t xml:space="preserve">Months of cover a point of margin costs</t>
  </si>
  <si>
    <t xml:space="preserve">0.84</t>
  </si>
  <si>
    <t xml:space="preserve">Move the window: annual reviews and the J-curve's evaluation window (Worked Example 11.1, Step 4; Theorem 11.3(iii); Equation 11.3; Online Appendix 11.B.1; AXIOM Lab 1.11, step 5)</t>
  </si>
  <si>
    <t xml:space="preserve">Annual review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</si>
  <si>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</si>
  <si>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</si>
  <si>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</si>
  <si>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</si>
  <si>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</si>
  <si>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Years 1 and 2 rank digital last, Years 3 and 4 second; only a five-year window ranks it first. The month-by-month paths and the months of Figure 11.3 are on Paths.</t>
  </si>
  <si>
    <t xml:space="preserve">Online Appendix 11.B.1: a program that costs c u now and gains Delta, decaying at delta</t>
  </si>
  <si>
    <t xml:space="preserve">Cost now, c u</t>
  </si>
  <si>
    <t xml:space="preserve">First period's gain, Delta = gamma b u</t>
  </si>
  <si>
    <t xml:space="preserve">Window without decay, 1 + c u / Delta (Equation 11.3)</t>
  </si>
  <si>
    <t xml:space="preserve">4.3 periods</t>
  </si>
  <si>
    <t xml:space="preserve">Decay a period, delta</t>
  </si>
  <si>
    <t xml:space="preserve">c delta / (gamma b)</t>
  </si>
  <si>
    <t xml:space="preserve">Pays back over some window?</t>
  </si>
  <si>
    <t xml:space="preserve">Window: 1 + ln(1/(1 - x)) / ln(1/(1 - delta))</t>
  </si>
  <si>
    <t xml:space="preserve">Cumulative, H = 1</t>
  </si>
  <si>
    <t xml:space="preserve">Cumulative, H = 2</t>
  </si>
  <si>
    <t xml:space="preserve">Cumulative, H = 3</t>
  </si>
  <si>
    <t xml:space="preserve">Cumulative, H = 4</t>
  </si>
  <si>
    <t xml:space="preserve">Cumulative, H = 5</t>
  </si>
  <si>
    <t xml:space="preserve">Cumulative, H = 6</t>
  </si>
  <si>
    <t xml:space="preserve">Cumulative, H = 7</t>
  </si>
  <si>
    <t xml:space="preserve">Cumulative, H = 8</t>
  </si>
  <si>
    <t xml:space="preserve">Cumulative, H = 9</t>
  </si>
  <si>
    <t xml:space="preserve">Cumulative, H = 10</t>
  </si>
  <si>
    <t xml:space="preserve">Cumulative, H = 11</t>
  </si>
  <si>
    <t xml:space="preserve">Cumulative, H = 12</t>
  </si>
  <si>
    <t xml:space="preserve">First window with a gain</t>
  </si>
  <si>
    <t xml:space="preserve">Windows with a gain (H up to 12)</t>
  </si>
  <si>
    <t xml:space="preserve">A window shorter than the payback window reports a sound program as a loss: correctly for the window, wrongly for the program. At 30 percent decay the benefit fades before it repays the cost.</t>
  </si>
  <si>
    <t xml:space="preserve">Declare the apparatus: Table 11.6 and a gate (Worked Example 11.1, Step 5; Tables 11.3 and 11.6)</t>
  </si>
  <si>
    <t xml:space="preserve">Table 11.6: declaration (equal weights, index points, Year 5 unless stated)</t>
  </si>
  <si>
    <t xml:space="preserve">The CFO's scorecard</t>
  </si>
  <si>
    <t xml:space="preserve">2 points of weight moved from technology to liquidity</t>
  </si>
  <si>
    <t xml:space="preserve">Best option 100, worst 0</t>
  </si>
  <si>
    <t xml:space="preserve">Review at Year 1</t>
  </si>
  <si>
    <t xml:space="preserve">Review at Year 3</t>
  </si>
  <si>
    <t xml:space="preserve">Declarations that rank digital first</t>
  </si>
  <si>
    <t xml:space="preserve">Declarations that rank restructuring first</t>
  </si>
  <si>
    <t xml:space="preserve">Each declaration is a legitimate choice; none is a fact about the options. Declare the weights (1.6 points from a tie), the yardstick and its reference group, the rule and any gates, and the review window (at least five years for the digital program).</t>
  </si>
  <si>
    <t xml:space="preserve">Table 11.3: aggregation rule</t>
  </si>
  <si>
    <t xml:space="preserve">Compensation</t>
  </si>
  <si>
    <t xml:space="preserve">A zero on one dimension</t>
  </si>
  <si>
    <t xml:space="preserve">Reads as</t>
  </si>
  <si>
    <t xml:space="preserve">Weighted average</t>
  </si>
  <si>
    <t xml:space="preserve">full, at fixed rates</t>
  </si>
  <si>
    <t xml:space="preserve">is absorbed</t>
  </si>
  <si>
    <t xml:space="preserve">a portfolio of scores</t>
  </si>
  <si>
    <t xml:space="preserve">Weighted geometric mean</t>
  </si>
  <si>
    <t xml:space="preserve">at a price that soars near zero</t>
  </si>
  <si>
    <t xml:space="preserve">zeroes the index</t>
  </si>
  <si>
    <t xml:space="preserve">balance demanded</t>
  </si>
  <si>
    <t xml:space="preserve">Minimum</t>
  </si>
  <si>
    <t xml:space="preserve">none</t>
  </si>
  <si>
    <t xml:space="preserve">sets the index</t>
  </si>
  <si>
    <t xml:space="preserve">the weakest link governs</t>
  </si>
  <si>
    <t xml:space="preserve">Lexicographic</t>
  </si>
  <si>
    <t xml:space="preserve">none across priority tiers</t>
  </si>
  <si>
    <t xml:space="preserve">fails its tier</t>
  </si>
  <si>
    <t xml:space="preserve">gates, then scores</t>
  </si>
  <si>
    <t xml:space="preserve">A gate on the board's risk appetite (Worked Example 11.1, For discussion)</t>
  </si>
  <si>
    <t xml:space="preserve">P(breach)</t>
  </si>
  <si>
    <t xml:space="preserve">The board's appetite: at most this chance of breaching the $350 million floor</t>
  </si>
  <si>
    <t xml:space="preserve">Digital program as planned (Worked Example 8.1; seed 8)</t>
  </si>
  <si>
    <t xml:space="preserve">With the standby line and the phased build (seed 8)</t>
  </si>
  <si>
    <t xml:space="preserve">Versions of the digital program that pass the gate</t>
  </si>
  <si>
    <t xml:space="preserve">Engine values: 100,000 paths of Worked Example 8.1's uncertainty model, drawn in the notebook with random seed 8 as in the book (24.6 and 3.0 percent). A weight would let technology buy back the breach risk at a fixed rate; the lexicographic gate of Table 11.3 does not.</t>
  </si>
  <si>
    <t xml:space="preserve">Checkpoint</t>
  </si>
  <si>
    <t xml:space="preserve">Engine value</t>
  </si>
  <si>
    <t xml:space="preserve">Meaning (where in the book)</t>
  </si>
  <si>
    <t xml:space="preserve">Today's score</t>
  </si>
  <si>
    <t xml:space="preserve">Worked Example 1.1: 37.0</t>
  </si>
  <si>
    <t xml:space="preserve">Year 5: digital liquidity</t>
  </si>
  <si>
    <t xml:space="preserve">Online Appendix 11.B.6</t>
  </si>
  <si>
    <t xml:space="preserve">Year 5: digital technology</t>
  </si>
  <si>
    <t xml:space="preserve">Table 1.9: 75.6</t>
  </si>
  <si>
    <t xml:space="preserve">Year 5: digital efficiency</t>
  </si>
  <si>
    <t xml:space="preserve">Year 5: digital strategic risk</t>
  </si>
  <si>
    <t xml:space="preserve">Year 5: restructuring liquidity</t>
  </si>
  <si>
    <t xml:space="preserve">Year 5: restructuring technology</t>
  </si>
  <si>
    <t xml:space="preserve">Year 5: restructuring efficiency</t>
  </si>
  <si>
    <t xml:space="preserve">Year 5: restructuring strategic risk</t>
  </si>
  <si>
    <t xml:space="preserve">Year 5: turnaround liquidity</t>
  </si>
  <si>
    <t xml:space="preserve">Year 5: turnaround technology</t>
  </si>
  <si>
    <t xml:space="preserve">Year 5: turnaround efficiency</t>
  </si>
  <si>
    <t xml:space="preserve">Year 5: turnaround strategic risk</t>
  </si>
  <si>
    <t xml:space="preserve">Year 5 score: digital</t>
  </si>
  <si>
    <t xml:space="preserve">Table 11.6: 47.1, 46.1, 38.4</t>
  </si>
  <si>
    <t xml:space="preserve">Year 5 score: restructuring</t>
  </si>
  <si>
    <t xml:space="preserve">Year 5 score: turnaround</t>
  </si>
  <si>
    <t xml:space="preserve">Worked Example 11.1, Step 1: none</t>
  </si>
  <si>
    <t xml:space="preserve">Step 1: 36.8</t>
  </si>
  <si>
    <t xml:space="preserve">Step 1: 26.8</t>
  </si>
  <si>
    <t xml:space="preserve">Step 1: 5.8</t>
  </si>
  <si>
    <t xml:space="preserve">Step 1: 0.1</t>
  </si>
  <si>
    <t xml:space="preserve">Digital's lead at equal weights</t>
  </si>
  <si>
    <t xml:space="preserve">Online Appendix 11.B.2: 1.01</t>
  </si>
  <si>
    <t xml:space="preserve">Lead lost per point of weight moved</t>
  </si>
  <si>
    <t xml:space="preserve">Step 2: 0.64</t>
  </si>
  <si>
    <t xml:space="preserve">Step 2; Figure 11.1: 1.6</t>
  </si>
  <si>
    <t xml:space="preserve">Step 2: 26.6</t>
  </si>
  <si>
    <t xml:space="preserve">Step 2: 23.4</t>
  </si>
  <si>
    <t xml:space="preserve">2 points moved: digital</t>
  </si>
  <si>
    <t xml:space="preserve">Table 11.6: 47.5</t>
  </si>
  <si>
    <t xml:space="preserve">2 points moved: restructuring</t>
  </si>
  <si>
    <t xml:space="preserve">Table 11.6: 47.7</t>
  </si>
  <si>
    <t xml:space="preserve">2 points moved: turnaround</t>
  </si>
  <si>
    <t xml:space="preserve">Table 11.6: 39.8</t>
  </si>
  <si>
    <t xml:space="preserve">Tie moving weight to strategic risk (points)</t>
  </si>
  <si>
    <t xml:space="preserve">Online Appendix 11.B.2: 2.4</t>
  </si>
  <si>
    <t xml:space="preserve">Tie moving weight to efficiency (points)</t>
  </si>
  <si>
    <t xml:space="preserve">Online Appendix 11.B.2: 2.7</t>
  </si>
  <si>
    <t xml:space="preserve">Smallest weight change that can tie (points)</t>
  </si>
  <si>
    <t xml:space="preserve">Online Appendix 11.B.2: no smaller change ties</t>
  </si>
  <si>
    <t xml:space="preserve">Best 100, worst 0: digital</t>
  </si>
  <si>
    <t xml:space="preserve">Step 3; Table 11.6: 41.4, 52.3, 35.3</t>
  </si>
  <si>
    <t xml:space="preserve">Best 100, worst 0: restructuring</t>
  </si>
  <si>
    <t xml:space="preserve">Best 100, worst 0: turnaround</t>
  </si>
  <si>
    <t xml:space="preserve">Spread of liquidity across the options</t>
  </si>
  <si>
    <t xml:space="preserve">Online Appendix 11.B.3: 26.8, 39.7, 5.0, 16.9</t>
  </si>
  <si>
    <t xml:space="preserve">Spread of technology across the options</t>
  </si>
  <si>
    <t xml:space="preserve">Spread of efficiency across the options</t>
  </si>
  <si>
    <t xml:space="preserve">Spread of strategic risk across the options</t>
  </si>
  <si>
    <t xml:space="preserve">Rescaled strategic-risk difference</t>
  </si>
  <si>
    <t xml:space="preserve">Step 3: 34</t>
  </si>
  <si>
    <t xml:space="preserve">Rescaled technology lead</t>
  </si>
  <si>
    <t xml:space="preserve">Step 3: 93</t>
  </si>
  <si>
    <t xml:space="preserve">Rescaled liquidity deficit</t>
  </si>
  <si>
    <t xml:space="preserve">Step 3: 100</t>
  </si>
  <si>
    <t xml:space="preserve">Percentage on today: digital</t>
  </si>
  <si>
    <t xml:space="preserve">Step 3; Table 11.6: 24.0, 10.6, 0.0</t>
  </si>
  <si>
    <t xml:space="preserve">Percentage on today: restructuring</t>
  </si>
  <si>
    <t xml:space="preserve">Percentage on today: turnaround</t>
  </si>
  <si>
    <t xml:space="preserve">Step 3: 84 percent</t>
  </si>
  <si>
    <t xml:space="preserve">Percentage scale: digital's lead</t>
  </si>
  <si>
    <t xml:space="preserve">Online Appendix 11.B.3: 13 points</t>
  </si>
  <si>
    <t xml:space="preserve">Effective weight, best-worst: liquidity (%)</t>
  </si>
  <si>
    <t xml:space="preserve">Online Appendix 11.B.3: 12, 8, 62, 18</t>
  </si>
  <si>
    <t xml:space="preserve">Effective weight, best-worst: technology (%)</t>
  </si>
  <si>
    <t xml:space="preserve">Effective weight, best-worst: efficiency (%)</t>
  </si>
  <si>
    <t xml:space="preserve">Effective weight, best-worst: strategic risk (%)</t>
  </si>
  <si>
    <t xml:space="preserve">Effective weight, percentage: liquidity (%)</t>
  </si>
  <si>
    <t xml:space="preserve">Online Appendix 11.B.3: 16, 38, 22, 24</t>
  </si>
  <si>
    <t xml:space="preserve">Effective weight, percentage: technology (%)</t>
  </si>
  <si>
    <t xml:space="preserve">Effective weight, percentage: efficiency (%)</t>
  </si>
  <si>
    <t xml:space="preserve">Effective weight, percentage: strategic risk (%)</t>
  </si>
  <si>
    <t xml:space="preserve">Theorem 11.2(iii): A after rescaling</t>
  </si>
  <si>
    <t xml:space="preserve">Appendix 11.A: 6</t>
  </si>
  <si>
    <t xml:space="preserve">Theorem 11.2(iii): B after rescaling</t>
  </si>
  <si>
    <t xml:space="preserve">Appendix 11.A: 7</t>
  </si>
  <si>
    <t xml:space="preserve">Reference group with today: digital</t>
  </si>
  <si>
    <t xml:space="preserve">AXIOM Lab 1.11, step 3 (computed from the Year-5 readings)</t>
  </si>
  <si>
    <t xml:space="preserve">Reference group with today: restructuring</t>
  </si>
  <si>
    <t xml:space="preserve">AXIOM Lab 1.11, step 3 (computed)</t>
  </si>
  <si>
    <t xml:space="preserve">Two leaders alone: digital</t>
  </si>
  <si>
    <t xml:space="preserve">Two leaders alone: restructuring</t>
  </si>
  <si>
    <t xml:space="preserve">Two leaders alone: effective weight on efficiency</t>
  </si>
  <si>
    <t xml:space="preserve">Two divisions: group margin before (%)</t>
  </si>
  <si>
    <t xml:space="preserve">Theorem 11.5(i): 18.3 (0.1833)</t>
  </si>
  <si>
    <t xml:space="preserve">Two divisions: group margin after (%)</t>
  </si>
  <si>
    <t xml:space="preserve">Theorem 11.5(i): 18.0</t>
  </si>
  <si>
    <t xml:space="preserve">Two divisions: rate effect (points)</t>
  </si>
  <si>
    <t xml:space="preserve">Appendix 11.A: +0.0133</t>
  </si>
  <si>
    <t xml:space="preserve">Two divisions: mix effect (points)</t>
  </si>
  <si>
    <t xml:space="preserve">Appendix 11.A: -0.0167</t>
  </si>
  <si>
    <t xml:space="preserve">Bank: group cost-income before (%)</t>
  </si>
  <si>
    <t xml:space="preserve">Table 11.5: 81.7</t>
  </si>
  <si>
    <t xml:space="preserve">Bank: group cost-income after (%)</t>
  </si>
  <si>
    <t xml:space="preserve">Table 11.5: 82.0</t>
  </si>
  <si>
    <t xml:space="preserve">Bank: rate effect (points)</t>
  </si>
  <si>
    <t xml:space="preserve">Table 11.5: -1.3; Online Appendix 11.B.5: -1.33</t>
  </si>
  <si>
    <t xml:space="preserve">Bank: mix effect (points)</t>
  </si>
  <si>
    <t xml:space="preserve">Table 11.5: +1.7; Online Appendix 11.B.5: +1.67</t>
  </si>
  <si>
    <t xml:space="preserve">Bank: unweighted average before (%)</t>
  </si>
  <si>
    <t xml:space="preserve">Online Appendix 11.B.5: 82.5</t>
  </si>
  <si>
    <t xml:space="preserve">Bank: unweighted average after (%)</t>
  </si>
  <si>
    <t xml:space="preserve">Online Appendix 11.B.5: 81.0</t>
  </si>
  <si>
    <t xml:space="preserve">Mix bench: share below which the group falls</t>
  </si>
  <si>
    <t xml:space="preserve">AXIOM Lab 1.11, step 4 (computed from the theorem's example)</t>
  </si>
  <si>
    <t xml:space="preserve">Shared capacity: three targets together</t>
  </si>
  <si>
    <t xml:space="preserve">Appendix 11.A: 12 &gt; 10</t>
  </si>
  <si>
    <t xml:space="preserve">Indivisible programs: weightings ranking (4, 4) first</t>
  </si>
  <si>
    <t xml:space="preserve">Theorem 11.4(iii): never</t>
  </si>
  <si>
    <t xml:space="preserve">Indivisible programs: Pareto-optimal programs</t>
  </si>
  <si>
    <t xml:space="preserve">Theorem 11.4(iii): all three</t>
  </si>
  <si>
    <t xml:space="preserve">Frontier: months of cover a margin point</t>
  </si>
  <si>
    <t xml:space="preserve">Figure 11.2: 0.84</t>
  </si>
  <si>
    <t xml:space="preserve">Figure 11.2 (computed)</t>
  </si>
  <si>
    <t xml:space="preserve">Online Appendix 11.B.6: 32.11</t>
  </si>
  <si>
    <t xml:space="preserve">Step 4: month 11</t>
  </si>
  <si>
    <t xml:space="preserve">Step 4: month 29</t>
  </si>
  <si>
    <t xml:space="preserve">Digital at month 29</t>
  </si>
  <si>
    <t xml:space="preserve">Online Appendix 11.B.6: 37.19</t>
  </si>
  <si>
    <t xml:space="preserve">Step 4: month 33</t>
  </si>
  <si>
    <t xml:space="preserve">Digital at month 33</t>
  </si>
  <si>
    <t xml:space="preserve">Online Appendix 11.B.6: 38.74</t>
  </si>
  <si>
    <t xml:space="preserve">Turnaround at month 33</t>
  </si>
  <si>
    <t xml:space="preserve">Online Appendix 11.B.6: 38.41</t>
  </si>
  <si>
    <t xml:space="preserve">Step 4: month 56</t>
  </si>
  <si>
    <t xml:space="preserve">Digital at month 56</t>
  </si>
  <si>
    <t xml:space="preserve">Online Appendix 11.B.6: 46.15</t>
  </si>
  <si>
    <t xml:space="preserve">Restructuring at month 56</t>
  </si>
  <si>
    <t xml:space="preserve">Month 56 (computed)</t>
  </si>
  <si>
    <t xml:space="preserve">Year 1 review: digital</t>
  </si>
  <si>
    <t xml:space="preserve">Year 1 review: restructuring</t>
  </si>
  <si>
    <t xml:space="preserve">Year 1 review: turnaround</t>
  </si>
  <si>
    <t xml:space="preserve">Year 2 review: digital</t>
  </si>
  <si>
    <t xml:space="preserve">Year 2 review: restructuring</t>
  </si>
  <si>
    <t xml:space="preserve">Year 2 review: turnaround</t>
  </si>
  <si>
    <t xml:space="preserve">Year 3 review: digital</t>
  </si>
  <si>
    <t xml:space="preserve">Year 3 review: restructuring</t>
  </si>
  <si>
    <t xml:space="preserve">Year 3 review: turnaround</t>
  </si>
  <si>
    <t xml:space="preserve">Year 4 review: digital</t>
  </si>
  <si>
    <t xml:space="preserve">Year 4 review: restructuring</t>
  </si>
  <si>
    <t xml:space="preserve">Year 4 review: turnaround</t>
  </si>
  <si>
    <t xml:space="preserve">Digital's rank at the Year 1 review</t>
  </si>
  <si>
    <t xml:space="preserve">Step 4: last, last, second, second, first</t>
  </si>
  <si>
    <t xml:space="preserve">Digital's rank at the Year 2 review</t>
  </si>
  <si>
    <t xml:space="preserve">Digital's rank at the Year 3 review</t>
  </si>
  <si>
    <t xml:space="preserve">Digital's rank at the Year 4 review</t>
  </si>
  <si>
    <t xml:space="preserve">Digital's rank at the Year 5 review</t>
  </si>
  <si>
    <t xml:space="preserve">Restructuring's jump at the sale</t>
  </si>
  <si>
    <t xml:space="preserve">Online Appendix 11.B.6: 6.57</t>
  </si>
  <si>
    <t xml:space="preserve">Online Appendix 11.B.6: less than 0.1 point</t>
  </si>
  <si>
    <t xml:space="preserve">Payback window, no decay</t>
  </si>
  <si>
    <t xml:space="preserve">Online Appendix 11.B.1: 4.3</t>
  </si>
  <si>
    <t xml:space="preserve">Payback window, 10% decay</t>
  </si>
  <si>
    <t xml:space="preserve">Online Appendix 11.B.1: 4.8</t>
  </si>
  <si>
    <t xml:space="preserve">Payback window, 20% decay</t>
  </si>
  <si>
    <t xml:space="preserve">Online Appendix 11.B.1: 5.9</t>
  </si>
  <si>
    <t xml:space="preserve">30% decay: windows that pay back</t>
  </si>
  <si>
    <t xml:space="preserve">Online Appendix 11.B.1: never</t>
  </si>
  <si>
    <t xml:space="preserve">Table 11.4: declared lag floors</t>
  </si>
  <si>
    <t xml:space="preserve">Table 11.4: lag floors equal to the distances</t>
  </si>
  <si>
    <t xml:space="preserve">Table 11.4 from Chapter 9's architecture</t>
  </si>
  <si>
    <t xml:space="preserve">Lag floor, Digital to Industrial Systems</t>
  </si>
  <si>
    <t xml:space="preserve">Section 11.6: two quarters</t>
  </si>
  <si>
    <t xml:space="preserve">Section 11.6: no path</t>
  </si>
  <si>
    <t xml:space="preserve">Dimensions of the performance vector</t>
  </si>
  <si>
    <t xml:space="preserve">Equation 11.2; Table 11.2</t>
  </si>
  <si>
    <t xml:space="preserve">Dashboard: dimensions without a declared indicator</t>
  </si>
  <si>
    <t xml:space="preserve">Section 11.4: cover the supports</t>
  </si>
  <si>
    <t xml:space="preserve">Scorecard readings tagged performance</t>
  </si>
  <si>
    <t xml:space="preserve">Table 5.2: efficiency only</t>
  </si>
  <si>
    <t xml:space="preserve">Section 11.8: capability rent, $ million a year</t>
  </si>
  <si>
    <t xml:space="preserve">Section 11.8: quarter capability falls below 55</t>
  </si>
  <si>
    <t xml:space="preserve">within three quarters</t>
  </si>
  <si>
    <t xml:space="preserve">Proposition 11.1: EBITDA ($ million)</t>
  </si>
  <si>
    <t xml:space="preserve">Online Appendix 11.B: about $496 million</t>
  </si>
  <si>
    <t xml:space="preserve">Proposition 11.1: the twin after the shock ($ million)</t>
  </si>
  <si>
    <t xml:space="preserve">Online Appendix 11.B: $0.30 billion</t>
  </si>
  <si>
    <t xml:space="preserve">Table 11.6: declarations ranking digital first</t>
  </si>
  <si>
    <t xml:space="preserve">Table 11.6: two of six</t>
  </si>
  <si>
    <t xml:space="preserve">Table 11.6: declarations ranking restructuring first</t>
  </si>
  <si>
    <t xml:space="preserve">Table 11.6: four of six</t>
  </si>
  <si>
    <t xml:space="preserve">Gate: versions of the digital program that pass</t>
  </si>
  <si>
    <t xml:space="preserve">24.6% fails, 3.0% passes (seed 8)</t>
  </si>
  <si>
    <t xml:space="preserve">Workbook formula value</t>
  </si>
  <si>
    <t xml:space="preserve">|diff|</t>
  </si>
  <si>
    <t xml:space="preserve">Tolerance</t>
  </si>
  <si>
    <t xml:space="preserve">Status</t>
  </si>
  <si>
    <t xml:space="preserve">All checkpoints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</si>
</sst>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"/>
    <numFmt numFmtId="166" formatCode="0.00"/>
    <numFmt numFmtId="167" formatCode="0"/>
    <numFmt numFmtId="168" formatCode="0.0000"/>
    <numFmt numFmtId="169" formatCode="0.000"/>
    <numFmt numFmtId="170" formatCode="0.0%"/>
    <numFmt numFmtId="171" formatCode="0.0E+00"/>
    <numFmt numFmtId="172" formatCode="0%"/>
    <numFmt numFmtId="173" formatCode="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3.8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23.8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23.85" hidden="false" customHeight="false" outlineLevel="0" collapsed="false">
      <c r="B9" s="3" t="s">
        <v>7</v>
      </c>
    </row>
    <row r="10" customFormat="false" ht="23.85" hidden="false" customHeight="false" outlineLevel="0" collapsed="false">
      <c r="B10" s="3" t="s">
        <v>8</v>
      </c>
    </row>
    <row r="11" customFormat="false" ht="15" hidden="false" customHeight="false" outlineLevel="0" collapsed="false">
      <c r="B11" s="3" t="s">
        <v>9</v>
      </c>
    </row>
    <row r="12" customFormat="false" ht="15" hidden="false" customHeight="false" outlineLevel="0" collapsed="false">
      <c r="B12" s="3" t="s">
        <v>10</v>
      </c>
    </row>
    <row r="13" customFormat="false" ht="15" hidden="false" customHeight="false" outlineLevel="0" collapsed="false">
      <c r="B13" s="3" t="s">
        <v>11</v>
      </c>
    </row>
    <row r="14" customFormat="false" ht="15" hidden="false" customHeight="false" outlineLevel="0" collapsed="false">
      <c r="B14" s="3" t="s">
        <v>12</v>
      </c>
    </row>
    <row r="15" customFormat="false" ht="23.85" hidden="false" customHeight="false" outlineLevel="0" collapsed="false">
      <c r="B15" s="3" t="s">
        <v>13</v>
      </c>
    </row>
    <row r="17" customFormat="false" ht="15" hidden="false" customHeight="false" outlineLevel="0" collapsed="false">
      <c r="B17" s="4" t="s">
        <v>14</v>
      </c>
    </row>
    <row r="18" customFormat="false" ht="15" hidden="false" customHeight="false" outlineLevel="0" collapsed="false">
      <c r="B18" s="5" t="s">
        <v>15</v>
      </c>
    </row>
    <row r="19" customFormat="false" ht="15" hidden="false" customHeight="false" outlineLevel="0" collapsed="false">
      <c r="B19" s="2" t="s">
        <v>16</v>
      </c>
    </row>
    <row r="20" customFormat="false" ht="15" hidden="false" customHeight="false" outlineLevel="0" collapsed="false">
      <c r="B20" s="6" t="s">
        <v>17</v>
      </c>
    </row>
    <row r="21" customFormat="false" ht="15" hidden="false" customHeight="false" outlineLevel="0" collapsed="false">
      <c r="B21" s="7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19</v>
      </c>
    </row>
    <row r="3" customFormat="false" ht="23.85" hidden="false" customHeight="false" outlineLevel="0" collapsed="false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</row>
    <row r="4" customFormat="false" ht="15" hidden="false" customHeight="false" outlineLevel="0" collapsed="false">
      <c r="A4" s="2" t="s">
        <v>26</v>
      </c>
      <c r="B4" s="9" t="n">
        <v>100</v>
      </c>
      <c r="C4" s="10" t="n">
        <v>0.25</v>
      </c>
      <c r="D4" s="11" t="n">
        <v>1</v>
      </c>
      <c r="E4" s="12" t="s">
        <v>27</v>
      </c>
      <c r="F4" s="12" t="s">
        <v>28</v>
      </c>
    </row>
    <row r="5" customFormat="false" ht="15" hidden="false" customHeight="false" outlineLevel="0" collapsed="false">
      <c r="A5" s="2" t="s">
        <v>29</v>
      </c>
      <c r="B5" s="9" t="n">
        <v>41</v>
      </c>
      <c r="C5" s="10" t="n">
        <v>0.25</v>
      </c>
      <c r="D5" s="11" t="n">
        <v>1</v>
      </c>
      <c r="E5" s="12" t="s">
        <v>30</v>
      </c>
      <c r="F5" s="12" t="s">
        <v>28</v>
      </c>
    </row>
    <row r="6" customFormat="false" ht="15" hidden="false" customHeight="false" outlineLevel="0" collapsed="false">
      <c r="A6" s="2" t="s">
        <v>31</v>
      </c>
      <c r="B6" s="9" t="n">
        <v>71</v>
      </c>
      <c r="C6" s="10" t="n">
        <v>0.25</v>
      </c>
      <c r="D6" s="11" t="n">
        <v>1</v>
      </c>
      <c r="E6" s="12" t="s">
        <v>32</v>
      </c>
      <c r="F6" s="12" t="s">
        <v>33</v>
      </c>
    </row>
    <row r="7" customFormat="false" ht="15" hidden="false" customHeight="false" outlineLevel="0" collapsed="false">
      <c r="A7" s="2" t="s">
        <v>34</v>
      </c>
      <c r="B7" s="9" t="n">
        <v>64</v>
      </c>
      <c r="C7" s="10" t="n">
        <v>0.25</v>
      </c>
      <c r="D7" s="11" t="n">
        <v>-1</v>
      </c>
      <c r="E7" s="12" t="s">
        <v>35</v>
      </c>
      <c r="F7" s="12" t="s">
        <v>36</v>
      </c>
    </row>
    <row r="8" customFormat="false" ht="15" hidden="false" customHeight="false" outlineLevel="0" collapsed="false">
      <c r="A8" s="2" t="s">
        <v>37</v>
      </c>
      <c r="B8" s="13" t="n">
        <f aca="false">SUMPRODUCT(B4:B7,C4:C7,D4:D7)</f>
        <v>37</v>
      </c>
      <c r="C8" s="14" t="s">
        <v>38</v>
      </c>
    </row>
    <row r="9" customFormat="false" ht="15" hidden="false" customHeight="false" outlineLevel="0" collapsed="false">
      <c r="A9" s="2" t="s">
        <v>39</v>
      </c>
      <c r="B9" s="9" t="n">
        <v>6.2</v>
      </c>
      <c r="C9" s="14" t="s">
        <v>40</v>
      </c>
    </row>
    <row r="10" customFormat="false" ht="15" hidden="false" customHeight="false" outlineLevel="0" collapsed="false">
      <c r="A10" s="2" t="s">
        <v>41</v>
      </c>
      <c r="B10" s="9" t="n">
        <v>1</v>
      </c>
      <c r="C10" s="14" t="s">
        <v>42</v>
      </c>
    </row>
    <row r="13" customFormat="false" ht="23.85" hidden="false" customHeight="false" outlineLevel="0" collapsed="false">
      <c r="A13" s="8" t="s">
        <v>43</v>
      </c>
      <c r="B13" s="8" t="s">
        <v>20</v>
      </c>
      <c r="C13" s="8" t="s">
        <v>44</v>
      </c>
      <c r="D13" s="8" t="s">
        <v>45</v>
      </c>
      <c r="E13" s="8" t="s">
        <v>46</v>
      </c>
      <c r="F13" s="8" t="s">
        <v>47</v>
      </c>
      <c r="G13" s="8" t="s">
        <v>48</v>
      </c>
      <c r="H13" s="8" t="s">
        <v>49</v>
      </c>
    </row>
    <row r="14" customFormat="false" ht="15" hidden="false" customHeight="false" outlineLevel="0" collapsed="false">
      <c r="A14" s="2" t="s">
        <v>50</v>
      </c>
      <c r="B14" s="2" t="s">
        <v>26</v>
      </c>
      <c r="C14" s="11" t="n">
        <v>112</v>
      </c>
      <c r="D14" s="10" t="n">
        <v>0.35</v>
      </c>
      <c r="E14" s="11" t="n">
        <v>-28</v>
      </c>
      <c r="F14" s="9" t="n">
        <v>2</v>
      </c>
      <c r="G14" s="11" t="n">
        <v>0</v>
      </c>
      <c r="H14" s="15" t="n">
        <f aca="false">$B$4</f>
        <v>100</v>
      </c>
    </row>
    <row r="15" customFormat="false" ht="15" hidden="false" customHeight="false" outlineLevel="0" collapsed="false">
      <c r="A15" s="2" t="s">
        <v>50</v>
      </c>
      <c r="B15" s="2" t="s">
        <v>29</v>
      </c>
      <c r="C15" s="11" t="n">
        <v>78</v>
      </c>
      <c r="D15" s="10" t="n">
        <v>0.55</v>
      </c>
      <c r="E15" s="11" t="n">
        <v>0</v>
      </c>
      <c r="G15" s="11" t="n">
        <v>0</v>
      </c>
      <c r="H15" s="15" t="n">
        <f aca="false">$B$5</f>
        <v>41</v>
      </c>
    </row>
    <row r="16" customFormat="false" ht="15" hidden="false" customHeight="false" outlineLevel="0" collapsed="false">
      <c r="A16" s="2" t="s">
        <v>50</v>
      </c>
      <c r="B16" s="2" t="s">
        <v>31</v>
      </c>
      <c r="C16" s="11" t="n">
        <v>77</v>
      </c>
      <c r="D16" s="10" t="n">
        <v>0.5</v>
      </c>
      <c r="E16" s="11" t="n">
        <v>-9</v>
      </c>
      <c r="F16" s="9" t="n">
        <v>1.5</v>
      </c>
      <c r="G16" s="11" t="n">
        <v>0</v>
      </c>
      <c r="H16" s="15" t="n">
        <f aca="false">$B$6</f>
        <v>71</v>
      </c>
    </row>
    <row r="17" customFormat="false" ht="15" hidden="false" customHeight="false" outlineLevel="0" collapsed="false">
      <c r="A17" s="2" t="s">
        <v>50</v>
      </c>
      <c r="B17" s="2" t="s">
        <v>34</v>
      </c>
      <c r="C17" s="11" t="n">
        <v>51</v>
      </c>
      <c r="D17" s="10" t="n">
        <v>0.4</v>
      </c>
      <c r="E17" s="11" t="n">
        <v>14</v>
      </c>
      <c r="F17" s="9" t="n">
        <v>1.2</v>
      </c>
      <c r="G17" s="11" t="n">
        <v>0</v>
      </c>
      <c r="H17" s="15" t="n">
        <f aca="false">$B$7</f>
        <v>64</v>
      </c>
    </row>
    <row r="18" customFormat="false" ht="15" hidden="false" customHeight="false" outlineLevel="0" collapsed="false">
      <c r="A18" s="2" t="s">
        <v>51</v>
      </c>
      <c r="B18" s="2" t="s">
        <v>26</v>
      </c>
      <c r="C18" s="11" t="n">
        <v>104</v>
      </c>
      <c r="D18" s="10" t="n">
        <v>0.3</v>
      </c>
      <c r="E18" s="11" t="n">
        <v>0</v>
      </c>
      <c r="G18" s="11" t="n">
        <v>18</v>
      </c>
      <c r="H18" s="15" t="n">
        <f aca="false">$B$4</f>
        <v>100</v>
      </c>
    </row>
    <row r="19" customFormat="false" ht="15" hidden="false" customHeight="false" outlineLevel="0" collapsed="false">
      <c r="A19" s="2" t="s">
        <v>51</v>
      </c>
      <c r="B19" s="2" t="s">
        <v>29</v>
      </c>
      <c r="C19" s="11" t="n">
        <v>38</v>
      </c>
      <c r="D19" s="10" t="n">
        <v>0.25</v>
      </c>
      <c r="E19" s="11" t="n">
        <v>0</v>
      </c>
      <c r="G19" s="11" t="n">
        <v>0</v>
      </c>
      <c r="H19" s="15" t="n">
        <f aca="false">$B$5</f>
        <v>41</v>
      </c>
    </row>
    <row r="20" customFormat="false" ht="15" hidden="false" customHeight="false" outlineLevel="0" collapsed="false">
      <c r="A20" s="2" t="s">
        <v>51</v>
      </c>
      <c r="B20" s="2" t="s">
        <v>31</v>
      </c>
      <c r="C20" s="11" t="n">
        <v>74</v>
      </c>
      <c r="D20" s="10" t="n">
        <v>0.45</v>
      </c>
      <c r="E20" s="11" t="n">
        <v>0</v>
      </c>
      <c r="G20" s="11" t="n">
        <v>0</v>
      </c>
      <c r="H20" s="15" t="n">
        <f aca="false">$B$6</f>
        <v>71</v>
      </c>
    </row>
    <row r="21" customFormat="false" ht="15" hidden="false" customHeight="false" outlineLevel="0" collapsed="false">
      <c r="A21" s="2" t="s">
        <v>51</v>
      </c>
      <c r="B21" s="2" t="s">
        <v>34</v>
      </c>
      <c r="C21" s="11" t="n">
        <v>56</v>
      </c>
      <c r="D21" s="10" t="n">
        <v>0.35</v>
      </c>
      <c r="E21" s="11" t="n">
        <v>0</v>
      </c>
      <c r="G21" s="11" t="n">
        <v>-8</v>
      </c>
      <c r="H21" s="15" t="n">
        <f aca="false">$B$7</f>
        <v>64</v>
      </c>
    </row>
    <row r="22" customFormat="false" ht="15" hidden="false" customHeight="false" outlineLevel="0" collapsed="false">
      <c r="A22" s="2" t="s">
        <v>52</v>
      </c>
      <c r="B22" s="2" t="s">
        <v>26</v>
      </c>
      <c r="C22" s="11" t="n">
        <v>106</v>
      </c>
      <c r="D22" s="10" t="n">
        <v>0.45</v>
      </c>
      <c r="E22" s="11" t="n">
        <v>0</v>
      </c>
      <c r="G22" s="11" t="n">
        <v>0</v>
      </c>
      <c r="H22" s="15" t="n">
        <f aca="false">$B$4</f>
        <v>100</v>
      </c>
    </row>
    <row r="23" customFormat="false" ht="15" hidden="false" customHeight="false" outlineLevel="0" collapsed="false">
      <c r="A23" s="2" t="s">
        <v>52</v>
      </c>
      <c r="B23" s="2" t="s">
        <v>29</v>
      </c>
      <c r="C23" s="11" t="n">
        <v>33</v>
      </c>
      <c r="D23" s="10" t="n">
        <v>0.2</v>
      </c>
      <c r="E23" s="11" t="n">
        <v>0</v>
      </c>
      <c r="G23" s="11" t="n">
        <v>0</v>
      </c>
      <c r="H23" s="15" t="n">
        <f aca="false">$B$5</f>
        <v>41</v>
      </c>
    </row>
    <row r="24" customFormat="false" ht="15" hidden="false" customHeight="false" outlineLevel="0" collapsed="false">
      <c r="A24" s="2" t="s">
        <v>52</v>
      </c>
      <c r="B24" s="2" t="s">
        <v>31</v>
      </c>
      <c r="C24" s="11" t="n">
        <v>79</v>
      </c>
      <c r="D24" s="10" t="n">
        <v>0.6</v>
      </c>
      <c r="E24" s="11" t="n">
        <v>0</v>
      </c>
      <c r="G24" s="11" t="n">
        <v>0</v>
      </c>
      <c r="H24" s="15" t="n">
        <f aca="false">$B$6</f>
        <v>71</v>
      </c>
    </row>
    <row r="25" customFormat="false" ht="15" hidden="false" customHeight="false" outlineLevel="0" collapsed="false">
      <c r="A25" s="2" t="s">
        <v>52</v>
      </c>
      <c r="B25" s="2" t="s">
        <v>34</v>
      </c>
      <c r="C25" s="11" t="n">
        <v>67</v>
      </c>
      <c r="D25" s="10" t="n">
        <v>0.3</v>
      </c>
      <c r="E25" s="11" t="n">
        <v>0</v>
      </c>
      <c r="G25" s="11" t="n">
        <v>0</v>
      </c>
      <c r="H25" s="15" t="n">
        <f aca="false">$B$7</f>
        <v>64</v>
      </c>
    </row>
    <row r="27" customFormat="false" ht="15" hidden="false" customHeight="false" outlineLevel="0" collapsed="false">
      <c r="A27" s="14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22" min="3" style="0" width="12"/>
    <col collapsed="false" customWidth="true" hidden="false" outlineLevel="0" max="23" min="23" style="0" width="3"/>
    <col collapsed="false" customWidth="true" hidden="false" outlineLevel="0" max="24" min="24" style="0" width="60"/>
    <col collapsed="false" customWidth="true" hidden="false" outlineLevel="0" max="25" min="25" style="0" width="12"/>
    <col collapsed="false" customWidth="true" hidden="false" outlineLevel="0" max="26" min="26" style="0" width="22"/>
  </cols>
  <sheetData>
    <row r="1" customFormat="false" ht="15" hidden="false" customHeight="false" outlineLevel="0" collapsed="false">
      <c r="A1" s="1" t="s">
        <v>54</v>
      </c>
    </row>
    <row r="2" customFormat="false" ht="15" hidden="false" customHeight="false" outlineLevel="0" collapsed="false">
      <c r="A2" s="14" t="s">
        <v>55</v>
      </c>
    </row>
    <row r="3" customFormat="false" ht="15" hidden="false" customHeight="false" outlineLevel="0" collapsed="false">
      <c r="X3" s="8" t="s">
        <v>56</v>
      </c>
      <c r="Y3" s="8" t="s">
        <v>57</v>
      </c>
      <c r="Z3" s="8" t="s">
        <v>58</v>
      </c>
    </row>
    <row r="4" customFormat="false" ht="46.25" hidden="false" customHeight="false" outlineLevel="0" collapsed="false">
      <c r="A4" s="8" t="s">
        <v>59</v>
      </c>
      <c r="B4" s="8" t="s">
        <v>60</v>
      </c>
      <c r="C4" s="8" t="s">
        <v>61</v>
      </c>
      <c r="D4" s="8" t="s">
        <v>62</v>
      </c>
      <c r="E4" s="8" t="s">
        <v>63</v>
      </c>
      <c r="F4" s="8" t="s">
        <v>64</v>
      </c>
      <c r="G4" s="8" t="s">
        <v>65</v>
      </c>
      <c r="H4" s="8" t="s">
        <v>66</v>
      </c>
      <c r="I4" s="8" t="s">
        <v>67</v>
      </c>
      <c r="J4" s="8" t="s">
        <v>68</v>
      </c>
      <c r="K4" s="8" t="s">
        <v>69</v>
      </c>
      <c r="L4" s="8" t="s">
        <v>70</v>
      </c>
      <c r="M4" s="8" t="s">
        <v>71</v>
      </c>
      <c r="N4" s="8" t="s">
        <v>72</v>
      </c>
      <c r="O4" s="8" t="s">
        <v>73</v>
      </c>
      <c r="P4" s="8" t="s">
        <v>74</v>
      </c>
      <c r="Q4" s="8" t="s">
        <v>75</v>
      </c>
      <c r="R4" s="8" t="s">
        <v>76</v>
      </c>
      <c r="S4" s="8" t="s">
        <v>77</v>
      </c>
      <c r="T4" s="8" t="s">
        <v>78</v>
      </c>
      <c r="U4" s="8" t="s">
        <v>79</v>
      </c>
      <c r="V4" s="8" t="s">
        <v>80</v>
      </c>
      <c r="X4" s="2" t="s">
        <v>81</v>
      </c>
      <c r="Y4" s="13" t="n">
        <f aca="false">MIN($O$5:$O$65)</f>
        <v>32.1064672146718</v>
      </c>
      <c r="Z4" s="14" t="s">
        <v>82</v>
      </c>
    </row>
    <row r="5" customFormat="false" ht="15" hidden="false" customHeight="false" outlineLevel="0" collapsed="false">
      <c r="A5" s="16" t="n">
        <v>0</v>
      </c>
      <c r="B5" s="17" t="n">
        <f aca="false">A5/12</f>
        <v>0</v>
      </c>
      <c r="C5" s="17" t="n">
        <f aca="false">Declarations!$C$14+(Declarations!$H$14-Declarations!$C$14)*EXP(-Declarations!$D$14*$B5)+IF(Declarations!$E$14=0,0,Declarations!$E$14*($B5/Declarations!$F$14)*EXP(1-$B5/Declarations!$F$14))+Declarations!$G$14*IF($B5&gt;=Sale_t,1,0)</f>
        <v>100</v>
      </c>
      <c r="D5" s="17" t="n">
        <f aca="false">Declarations!$C$15+(Declarations!$H$15-Declarations!$C$15)*EXP(-Declarations!$D$15*$B5)+IF(Declarations!$E$15=0,0,Declarations!$E$15*($B5/Declarations!$F$15)*EXP(1-$B5/Declarations!$F$15))+Declarations!$G$15*IF($B5&gt;=Sale_t,1,0)</f>
        <v>41</v>
      </c>
      <c r="E5" s="17" t="n">
        <f aca="false">Declarations!$C$16+(Declarations!$H$16-Declarations!$C$16)*EXP(-Declarations!$D$16*$B5)+IF(Declarations!$E$16=0,0,Declarations!$E$16*($B5/Declarations!$F$16)*EXP(1-$B5/Declarations!$F$16))+Declarations!$G$16*IF($B5&gt;=Sale_t,1,0)</f>
        <v>71</v>
      </c>
      <c r="F5" s="17" t="n">
        <f aca="false">Declarations!$C$17+(Declarations!$H$17-Declarations!$C$17)*EXP(-Declarations!$D$17*$B5)+IF(Declarations!$E$17=0,0,Declarations!$E$17*($B5/Declarations!$F$17)*EXP(1-$B5/Declarations!$F$17))+Declarations!$G$17*IF($B5&gt;=Sale_t,1,0)</f>
        <v>64</v>
      </c>
      <c r="G5" s="17" t="n">
        <f aca="false">Declarations!$C$18+(Declarations!$H$18-Declarations!$C$18)*EXP(-Declarations!$D$18*$B5)+IF(Declarations!$E$18=0,0,Declarations!$E$18*($B5/Declarations!$F$18)*EXP(1-$B5/Declarations!$F$18))+Declarations!$G$18*IF($B5&gt;=Sale_t,1,0)</f>
        <v>100</v>
      </c>
      <c r="H5" s="17" t="n">
        <f aca="false">Declarations!$C$19+(Declarations!$H$19-Declarations!$C$19)*EXP(-Declarations!$D$19*$B5)+IF(Declarations!$E$19=0,0,Declarations!$E$19*($B5/Declarations!$F$19)*EXP(1-$B5/Declarations!$F$19))+Declarations!$G$19*IF($B5&gt;=Sale_t,1,0)</f>
        <v>41</v>
      </c>
      <c r="I5" s="17" t="n">
        <f aca="false">Declarations!$C$20+(Declarations!$H$20-Declarations!$C$20)*EXP(-Declarations!$D$20*$B5)+IF(Declarations!$E$20=0,0,Declarations!$E$20*($B5/Declarations!$F$20)*EXP(1-$B5/Declarations!$F$20))+Declarations!$G$20*IF($B5&gt;=Sale_t,1,0)</f>
        <v>71</v>
      </c>
      <c r="J5" s="17" t="n">
        <f aca="false">Declarations!$C$21+(Declarations!$H$21-Declarations!$C$21)*EXP(-Declarations!$D$21*$B5)+IF(Declarations!$E$21=0,0,Declarations!$E$21*($B5/Declarations!$F$21)*EXP(1-$B5/Declarations!$F$21))+Declarations!$G$21*IF($B5&gt;=Sale_t,1,0)</f>
        <v>64</v>
      </c>
      <c r="K5" s="17" t="n">
        <f aca="false">Declarations!$C$22+(Declarations!$H$22-Declarations!$C$22)*EXP(-Declarations!$D$22*$B5)+IF(Declarations!$E$22=0,0,Declarations!$E$22*($B5/Declarations!$F$22)*EXP(1-$B5/Declarations!$F$22))+Declarations!$G$22*IF($B5&gt;=Sale_t,1,0)</f>
        <v>100</v>
      </c>
      <c r="L5" s="17" t="n">
        <f aca="false">Declarations!$C$23+(Declarations!$H$23-Declarations!$C$23)*EXP(-Declarations!$D$23*$B5)+IF(Declarations!$E$23=0,0,Declarations!$E$23*($B5/Declarations!$F$23)*EXP(1-$B5/Declarations!$F$23))+Declarations!$G$23*IF($B5&gt;=Sale_t,1,0)</f>
        <v>41</v>
      </c>
      <c r="M5" s="17" t="n">
        <f aca="false">Declarations!$C$24+(Declarations!$H$24-Declarations!$C$24)*EXP(-Declarations!$D$24*$B5)+IF(Declarations!$E$24=0,0,Declarations!$E$24*($B5/Declarations!$F$24)*EXP(1-$B5/Declarations!$F$24))+Declarations!$G$24*IF($B5&gt;=Sale_t,1,0)</f>
        <v>71</v>
      </c>
      <c r="N5" s="17" t="n">
        <f aca="false">Declarations!$C$25+(Declarations!$H$25-Declarations!$C$25)*EXP(-Declarations!$D$25*$B5)+IF(Declarations!$E$25=0,0,Declarations!$E$25*($B5/Declarations!$F$25)*EXP(1-$B5/Declarations!$F$25))+Declarations!$G$25*IF($B5&gt;=Sale_t,1,0)</f>
        <v>64</v>
      </c>
      <c r="O5" s="17" t="n">
        <f aca="false">W_L*S_L*C5+W_T*S_T*D5+W_E*S_E*E5+W_R*S_R*F5</f>
        <v>37</v>
      </c>
      <c r="P5" s="17" t="n">
        <f aca="false">W_L*S_L*G5+W_T*S_T*H5+W_E*S_E*I5+W_R*S_R*J5</f>
        <v>37</v>
      </c>
      <c r="Q5" s="17" t="n">
        <f aca="false">W_L*S_L*K5+W_T*S_T*L5+W_E*S_E*M5+W_R*S_R*N5</f>
        <v>37</v>
      </c>
      <c r="R5" s="16" t="n">
        <f aca="false">IF(O5&lt;Score_today,1,0)</f>
        <v>0</v>
      </c>
      <c r="S5" s="16" t="n">
        <f aca="false">IF(O5&gt;Q5,1,0)</f>
        <v>0</v>
      </c>
      <c r="T5" s="16" t="n">
        <f aca="false">IF(O5&gt;P5,1,0)</f>
        <v>0</v>
      </c>
      <c r="U5" s="16" t="n">
        <f aca="false">1+IF(P5&gt;O5,1,0)+IF(Q5&gt;O5,1,0)</f>
        <v>1</v>
      </c>
      <c r="V5" s="17" t="n">
        <f aca="false">ABS(P5-Q5)</f>
        <v>0</v>
      </c>
      <c r="X5" s="2" t="s">
        <v>83</v>
      </c>
      <c r="Y5" s="16" t="n">
        <f aca="false">INDEX($A$5:$A$65,MATCH(Y4,$O$5:$O$65,0))</f>
        <v>11</v>
      </c>
      <c r="Z5" s="14"/>
    </row>
    <row r="6" customFormat="false" ht="15" hidden="false" customHeight="false" outlineLevel="0" collapsed="false">
      <c r="A6" s="16" t="n">
        <v>1</v>
      </c>
      <c r="B6" s="17" t="n">
        <f aca="false">A6/12</f>
        <v>0.0833333333333333</v>
      </c>
      <c r="C6" s="17" t="n">
        <f aca="false">Declarations!$C$14+(Declarations!$H$14-Declarations!$C$14)*EXP(-Declarations!$D$14*$B6)+IF(Declarations!$E$14=0,0,Declarations!$E$14*($B6/Declarations!$F$14)*EXP(1-$B6/Declarations!$F$14))+Declarations!$G$14*IF($B6&gt;=Sale_t,1,0)</f>
        <v>97.3030399475751</v>
      </c>
      <c r="D6" s="17" t="n">
        <f aca="false">Declarations!$C$15+(Declarations!$H$15-Declarations!$C$15)*EXP(-Declarations!$D$15*$B6)+IF(Declarations!$E$15=0,0,Declarations!$E$15*($B6/Declarations!$F$15)*EXP(1-$B6/Declarations!$F$15))+Declarations!$G$15*IF($B6&gt;=Sale_t,1,0)</f>
        <v>42.6575574826973</v>
      </c>
      <c r="E6" s="17" t="n">
        <f aca="false">Declarations!$C$16+(Declarations!$H$16-Declarations!$C$16)*EXP(-Declarations!$D$16*$B6)+IF(Declarations!$E$16=0,0,Declarations!$E$16*($B6/Declarations!$F$16)*EXP(1-$B6/Declarations!$F$16))+Declarations!$G$16*IF($B6&gt;=Sale_t,1,0)</f>
        <v>69.9591710399512</v>
      </c>
      <c r="F6" s="17" t="n">
        <f aca="false">Declarations!$C$17+(Declarations!$H$17-Declarations!$C$17)*EXP(-Declarations!$D$17*$B6)+IF(Declarations!$E$17=0,0,Declarations!$E$17*($B6/Declarations!$F$17)*EXP(1-$B6/Declarations!$F$17))+Declarations!$G$17*IF($B6&gt;=Sale_t,1,0)</f>
        <v>66.0392847793643</v>
      </c>
      <c r="G6" s="17" t="n">
        <f aca="false">Declarations!$C$18+(Declarations!$H$18-Declarations!$C$18)*EXP(-Declarations!$D$18*$B6)+IF(Declarations!$E$18=0,0,Declarations!$E$18*($B6/Declarations!$F$18)*EXP(1-$B6/Declarations!$F$18))+Declarations!$G$18*IF($B6&gt;=Sale_t,1,0)</f>
        <v>100.098760351887</v>
      </c>
      <c r="H6" s="17" t="n">
        <f aca="false">Declarations!$C$19+(Declarations!$H$19-Declarations!$C$19)*EXP(-Declarations!$D$19*$B6)+IF(Declarations!$E$19=0,0,Declarations!$E$19*($B6/Declarations!$F$19)*EXP(1-$B6/Declarations!$F$19))+Declarations!$G$19*IF($B6&gt;=Sale_t,1,0)</f>
        <v>40.9381465439937</v>
      </c>
      <c r="I6" s="17" t="n">
        <f aca="false">Declarations!$C$20+(Declarations!$H$20-Declarations!$C$20)*EXP(-Declarations!$D$20*$B6)+IF(Declarations!$E$20=0,0,Declarations!$E$20*($B6/Declarations!$F$20)*EXP(1-$B6/Declarations!$F$20))+Declarations!$G$20*IF($B6&gt;=Sale_t,1,0)</f>
        <v>71.1104167468375</v>
      </c>
      <c r="J6" s="17" t="n">
        <f aca="false">Declarations!$C$21+(Declarations!$H$21-Declarations!$C$21)*EXP(-Declarations!$D$21*$B6)+IF(Declarations!$E$21=0,0,Declarations!$E$21*($B6/Declarations!$F$21)*EXP(1-$B6/Declarations!$F$21))+Declarations!$G$21*IF($B6&gt;=Sale_t,1,0)</f>
        <v>63.7700366017094</v>
      </c>
      <c r="K6" s="17" t="n">
        <f aca="false">Declarations!$C$22+(Declarations!$H$22-Declarations!$C$22)*EXP(-Declarations!$D$22*$B6)+IF(Declarations!$E$22=0,0,Declarations!$E$22*($B6/Declarations!$F$22)*EXP(1-$B6/Declarations!$F$22))+Declarations!$G$22*IF($B6&gt;=Sale_t,1,0)</f>
        <v>100.220833493675</v>
      </c>
      <c r="L6" s="17" t="n">
        <f aca="false">Declarations!$C$23+(Declarations!$H$23-Declarations!$C$23)*EXP(-Declarations!$D$23*$B6)+IF(Declarations!$E$23=0,0,Declarations!$E$23*($B6/Declarations!$F$23)*EXP(1-$B6/Declarations!$F$23))+Declarations!$G$23*IF($B6&gt;=Sale_t,1,0)</f>
        <v>40.8677716305729</v>
      </c>
      <c r="M6" s="17" t="n">
        <f aca="false">Declarations!$C$24+(Declarations!$H$24-Declarations!$C$24)*EXP(-Declarations!$D$24*$B6)+IF(Declarations!$E$24=0,0,Declarations!$E$24*($B6/Declarations!$F$24)*EXP(1-$B6/Declarations!$F$24))+Declarations!$G$24*IF($B6&gt;=Sale_t,1,0)</f>
        <v>71.3901646039943</v>
      </c>
      <c r="N6" s="17" t="n">
        <f aca="false">Declarations!$C$25+(Declarations!$H$25-Declarations!$C$25)*EXP(-Declarations!$D$25*$B6)+IF(Declarations!$E$25=0,0,Declarations!$E$25*($B6/Declarations!$F$25)*EXP(1-$B6/Declarations!$F$25))+Declarations!$G$25*IF($B6&gt;=Sale_t,1,0)</f>
        <v>64.074070263915</v>
      </c>
      <c r="O6" s="17" t="n">
        <f aca="false">W_L*S_L*C6+W_T*S_T*D6+W_E*S_E*E6+W_R*S_R*F6</f>
        <v>35.9701209227148</v>
      </c>
      <c r="P6" s="17" t="n">
        <f aca="false">W_L*S_L*G6+W_T*S_T*H6+W_E*S_E*I6+W_R*S_R*J6</f>
        <v>37.0943217602521</v>
      </c>
      <c r="Q6" s="17" t="n">
        <f aca="false">W_L*S_L*K6+W_T*S_T*L6+W_E*S_E*M6+W_R*S_R*N6</f>
        <v>37.1011748660818</v>
      </c>
      <c r="R6" s="16" t="n">
        <f aca="false">IF(O6&lt;Score_today,1,0)</f>
        <v>1</v>
      </c>
      <c r="S6" s="16" t="n">
        <f aca="false">IF(O6&gt;Q6,1,0)</f>
        <v>0</v>
      </c>
      <c r="T6" s="16" t="n">
        <f aca="false">IF(O6&gt;P6,1,0)</f>
        <v>0</v>
      </c>
      <c r="U6" s="16" t="n">
        <f aca="false">1+IF(P6&gt;O6,1,0)+IF(Q6&gt;O6,1,0)</f>
        <v>3</v>
      </c>
      <c r="V6" s="17" t="n">
        <f aca="false">ABS(P6-Q6)</f>
        <v>0.00685310582969123</v>
      </c>
      <c r="X6" s="2" t="s">
        <v>84</v>
      </c>
      <c r="Y6" s="16" t="n">
        <f aca="false">_xlfn.MAXIFS($A$5:$A$65,$R$5:$R$65,1)</f>
        <v>28</v>
      </c>
      <c r="Z6" s="14" t="s">
        <v>85</v>
      </c>
    </row>
    <row r="7" customFormat="false" ht="15" hidden="false" customHeight="false" outlineLevel="0" collapsed="false">
      <c r="A7" s="16" t="n">
        <v>2</v>
      </c>
      <c r="B7" s="17" t="n">
        <f aca="false">A7/12</f>
        <v>0.166666666666667</v>
      </c>
      <c r="C7" s="17" t="n">
        <f aca="false">Declarations!$C$14+(Declarations!$H$14-Declarations!$C$14)*EXP(-Declarations!$D$14*$B7)+IF(Declarations!$E$14=0,0,Declarations!$E$14*($B7/Declarations!$F$14)*EXP(1-$B7/Declarations!$F$14))+Declarations!$G$14*IF($B7&gt;=Sale_t,1,0)</f>
        <v>94.8444479029731</v>
      </c>
      <c r="D7" s="17" t="n">
        <f aca="false">Declarations!$C$15+(Declarations!$H$15-Declarations!$C$15)*EXP(-Declarations!$D$15*$B7)+IF(Declarations!$E$15=0,0,Declarations!$E$15*($B7/Declarations!$F$15)*EXP(1-$B7/Declarations!$F$15))+Declarations!$G$15*IF($B7&gt;=Sale_t,1,0)</f>
        <v>44.2408582948961</v>
      </c>
      <c r="E7" s="17" t="n">
        <f aca="false">Declarations!$C$16+(Declarations!$H$16-Declarations!$C$16)*EXP(-Declarations!$D$16*$B7)+IF(Declarations!$E$16=0,0,Declarations!$E$16*($B7/Declarations!$F$16)*EXP(1-$B7/Declarations!$F$16))+Declarations!$G$16*IF($B7&gt;=Sale_t,1,0)</f>
        <v>69.0473080579369</v>
      </c>
      <c r="F7" s="17" t="n">
        <f aca="false">Declarations!$C$17+(Declarations!$H$17-Declarations!$C$17)*EXP(-Declarations!$D$17*$B7)+IF(Declarations!$E$17=0,0,Declarations!$E$17*($B7/Declarations!$F$17)*EXP(1-$B7/Declarations!$F$17))+Declarations!$G$17*IF($B7&gt;=Sale_t,1,0)</f>
        <v>67.7617339192001</v>
      </c>
      <c r="G7" s="17" t="n">
        <f aca="false">Declarations!$C$18+(Declarations!$H$18-Declarations!$C$18)*EXP(-Declarations!$D$18*$B7)+IF(Declarations!$E$18=0,0,Declarations!$E$18*($B7/Declarations!$F$18)*EXP(1-$B7/Declarations!$F$18))+Declarations!$G$18*IF($B7&gt;=Sale_t,1,0)</f>
        <v>100.195082301997</v>
      </c>
      <c r="H7" s="17" t="n">
        <f aca="false">Declarations!$C$19+(Declarations!$H$19-Declarations!$C$19)*EXP(-Declarations!$D$19*$B7)+IF(Declarations!$E$19=0,0,Declarations!$E$19*($B7/Declarations!$F$19)*EXP(1-$B7/Declarations!$F$19))+Declarations!$G$19*IF($B7&gt;=Sale_t,1,0)</f>
        <v>40.8775683713274</v>
      </c>
      <c r="I7" s="17" t="n">
        <f aca="false">Declarations!$C$20+(Declarations!$H$20-Declarations!$C$20)*EXP(-Declarations!$D$20*$B7)+IF(Declarations!$E$20=0,0,Declarations!$E$20*($B7/Declarations!$F$20)*EXP(1-$B7/Declarations!$F$20))+Declarations!$G$20*IF($B7&gt;=Sale_t,1,0)</f>
        <v>71.2167695410143</v>
      </c>
      <c r="J7" s="17" t="n">
        <f aca="false">Declarations!$C$21+(Declarations!$H$21-Declarations!$C$21)*EXP(-Declarations!$D$21*$B7)+IF(Declarations!$E$21=0,0,Declarations!$E$21*($B7/Declarations!$F$21)*EXP(1-$B7/Declarations!$F$21))+Declarations!$G$21*IF($B7&gt;=Sale_t,1,0)</f>
        <v>63.5466835989879</v>
      </c>
      <c r="K7" s="17" t="n">
        <f aca="false">Declarations!$C$22+(Declarations!$H$22-Declarations!$C$22)*EXP(-Declarations!$D$22*$B7)+IF(Declarations!$E$22=0,0,Declarations!$E$22*($B7/Declarations!$F$22)*EXP(1-$B7/Declarations!$F$22))+Declarations!$G$22*IF($B7&gt;=Sale_t,1,0)</f>
        <v>100.433539082029</v>
      </c>
      <c r="L7" s="17" t="n">
        <f aca="false">Declarations!$C$23+(Declarations!$H$23-Declarations!$C$23)*EXP(-Declarations!$D$23*$B7)+IF(Declarations!$E$23=0,0,Declarations!$E$23*($B7/Declarations!$F$23)*EXP(1-$B7/Declarations!$F$23))+Declarations!$G$23*IF($B7&gt;=Sale_t,1,0)</f>
        <v>40.737728803856</v>
      </c>
      <c r="M7" s="17" t="n">
        <f aca="false">Declarations!$C$24+(Declarations!$H$24-Declarations!$C$24)*EXP(-Declarations!$D$24*$B7)+IF(Declarations!$E$24=0,0,Declarations!$E$24*($B7/Declarations!$F$24)*EXP(1-$B7/Declarations!$F$24))+Declarations!$G$24*IF($B7&gt;=Sale_t,1,0)</f>
        <v>71.7613006557123</v>
      </c>
      <c r="N7" s="17" t="n">
        <f aca="false">Declarations!$C$25+(Declarations!$H$25-Declarations!$C$25)*EXP(-Declarations!$D$25*$B7)+IF(Declarations!$E$25=0,0,Declarations!$E$25*($B7/Declarations!$F$25)*EXP(1-$B7/Declarations!$F$25))+Declarations!$G$25*IF($B7&gt;=Sale_t,1,0)</f>
        <v>64.1463117264979</v>
      </c>
      <c r="O7" s="17" t="n">
        <f aca="false">W_L*S_L*C7+W_T*S_T*D7+W_E*S_E*E7+W_R*S_R*F7</f>
        <v>35.0927200841515</v>
      </c>
      <c r="P7" s="17" t="n">
        <f aca="false">W_L*S_L*G7+W_T*S_T*H7+W_E*S_E*I7+W_R*S_R*J7</f>
        <v>37.1856841538377</v>
      </c>
      <c r="Q7" s="17" t="n">
        <f aca="false">W_L*S_L*K7+W_T*S_T*L7+W_E*S_E*M7+W_R*S_R*N7</f>
        <v>37.1965642037748</v>
      </c>
      <c r="R7" s="16" t="n">
        <f aca="false">IF(O7&lt;Score_today,1,0)</f>
        <v>1</v>
      </c>
      <c r="S7" s="16" t="n">
        <f aca="false">IF(O7&gt;Q7,1,0)</f>
        <v>0</v>
      </c>
      <c r="T7" s="16" t="n">
        <f aca="false">IF(O7&gt;P7,1,0)</f>
        <v>0</v>
      </c>
      <c r="U7" s="16" t="n">
        <f aca="false">1+IF(P7&gt;O7,1,0)+IF(Q7&gt;O7,1,0)</f>
        <v>3</v>
      </c>
      <c r="V7" s="17" t="n">
        <f aca="false">ABS(P7-Q7)</f>
        <v>0.0108800499370574</v>
      </c>
      <c r="X7" s="2" t="s">
        <v>86</v>
      </c>
      <c r="Y7" s="16" t="n">
        <f aca="false">Y6+1</f>
        <v>29</v>
      </c>
      <c r="Z7" s="14" t="s">
        <v>87</v>
      </c>
    </row>
    <row r="8" customFormat="false" ht="15" hidden="false" customHeight="false" outlineLevel="0" collapsed="false">
      <c r="A8" s="16" t="n">
        <v>3</v>
      </c>
      <c r="B8" s="17" t="n">
        <f aca="false">A8/12</f>
        <v>0.25</v>
      </c>
      <c r="C8" s="17" t="n">
        <f aca="false">Declarations!$C$14+(Declarations!$H$14-Declarations!$C$14)*EXP(-Declarations!$D$14*$B8)+IF(Declarations!$E$14=0,0,Declarations!$E$14*($B8/Declarations!$F$14)*EXP(1-$B8/Declarations!$F$14))+Declarations!$G$14*IF($B8&gt;=Sale_t,1,0)</f>
        <v>92.6093100113046</v>
      </c>
      <c r="D8" s="17" t="n">
        <f aca="false">Declarations!$C$15+(Declarations!$H$15-Declarations!$C$15)*EXP(-Declarations!$D$15*$B8)+IF(Declarations!$E$15=0,0,Declarations!$E$15*($B8/Declarations!$F$15)*EXP(1-$B8/Declarations!$F$15))+Declarations!$G$15*IF($B8&gt;=Sale_t,1,0)</f>
        <v>45.7532290501052</v>
      </c>
      <c r="E8" s="17" t="n">
        <f aca="false">Declarations!$C$16+(Declarations!$H$16-Declarations!$C$16)*EXP(-Declarations!$D$16*$B8)+IF(Declarations!$E$16=0,0,Declarations!$E$16*($B8/Declarations!$F$16)*EXP(1-$B8/Declarations!$F$16))+Declarations!$G$16*IF($B8&gt;=Sale_t,1,0)</f>
        <v>68.2535547481532</v>
      </c>
      <c r="F8" s="17" t="n">
        <f aca="false">Declarations!$C$17+(Declarations!$H$17-Declarations!$C$17)*EXP(-Declarations!$D$17*$B8)+IF(Declarations!$E$17=0,0,Declarations!$E$17*($B8/Declarations!$F$17)*EXP(1-$B8/Declarations!$F$17))+Declarations!$G$17*IF($B8&gt;=Sale_t,1,0)</f>
        <v>69.200179229987</v>
      </c>
      <c r="G8" s="17" t="n">
        <f aca="false">Declarations!$C$18+(Declarations!$H$18-Declarations!$C$18)*EXP(-Declarations!$D$18*$B8)+IF(Declarations!$E$18=0,0,Declarations!$E$18*($B8/Declarations!$F$18)*EXP(1-$B8/Declarations!$F$18))+Declarations!$G$18*IF($B8&gt;=Sale_t,1,0)</f>
        <v>100.289026054686</v>
      </c>
      <c r="H8" s="17" t="n">
        <f aca="false">Declarations!$C$19+(Declarations!$H$19-Declarations!$C$19)*EXP(-Declarations!$D$19*$B8)+IF(Declarations!$E$19=0,0,Declarations!$E$19*($B8/Declarations!$F$19)*EXP(1-$B8/Declarations!$F$19))+Declarations!$G$19*IF($B8&gt;=Sale_t,1,0)</f>
        <v>40.8182391884404</v>
      </c>
      <c r="I8" s="17" t="n">
        <f aca="false">Declarations!$C$20+(Declarations!$H$20-Declarations!$C$20)*EXP(-Declarations!$D$20*$B8)+IF(Declarations!$E$20=0,0,Declarations!$E$20*($B8/Declarations!$F$20)*EXP(1-$B8/Declarations!$F$20))+Declarations!$G$20*IF($B8&gt;=Sale_t,1,0)</f>
        <v>71.3192079586745</v>
      </c>
      <c r="J8" s="17" t="n">
        <f aca="false">Declarations!$C$21+(Declarations!$H$21-Declarations!$C$21)*EXP(-Declarations!$D$21*$B8)+IF(Declarations!$E$21=0,0,Declarations!$E$21*($B8/Declarations!$F$21)*EXP(1-$B8/Declarations!$F$21))+Declarations!$G$21*IF($B8&gt;=Sale_t,1,0)</f>
        <v>63.329750973207</v>
      </c>
      <c r="K8" s="17" t="n">
        <f aca="false">Declarations!$C$22+(Declarations!$H$22-Declarations!$C$22)*EXP(-Declarations!$D$22*$B8)+IF(Declarations!$E$22=0,0,Declarations!$E$22*($B8/Declarations!$F$22)*EXP(1-$B8/Declarations!$F$22))+Declarations!$G$22*IF($B8&gt;=Sale_t,1,0)</f>
        <v>100.638415917349</v>
      </c>
      <c r="L8" s="17" t="n">
        <f aca="false">Declarations!$C$23+(Declarations!$H$23-Declarations!$C$23)*EXP(-Declarations!$D$23*$B8)+IF(Declarations!$E$23=0,0,Declarations!$E$23*($B8/Declarations!$F$23)*EXP(1-$B8/Declarations!$F$23))+Declarations!$G$23*IF($B8&gt;=Sale_t,1,0)</f>
        <v>40.6098353960057</v>
      </c>
      <c r="M8" s="17" t="n">
        <f aca="false">Declarations!$C$24+(Declarations!$H$24-Declarations!$C$24)*EXP(-Declarations!$D$24*$B8)+IF(Declarations!$E$24=0,0,Declarations!$E$24*($B8/Declarations!$F$24)*EXP(1-$B8/Declarations!$F$24))+Declarations!$G$24*IF($B8&gt;=Sale_t,1,0)</f>
        <v>72.1143361885995</v>
      </c>
      <c r="N8" s="17" t="n">
        <f aca="false">Declarations!$C$25+(Declarations!$H$25-Declarations!$C$25)*EXP(-Declarations!$D$25*$B8)+IF(Declarations!$E$25=0,0,Declarations!$E$25*($B8/Declarations!$F$25)*EXP(1-$B8/Declarations!$F$25))+Declarations!$G$25*IF($B8&gt;=Sale_t,1,0)</f>
        <v>64.2167695410143</v>
      </c>
      <c r="O8" s="17" t="n">
        <f aca="false">W_L*S_L*C8+W_T*S_T*D8+W_E*S_E*E8+W_R*S_R*F8</f>
        <v>34.353978644894</v>
      </c>
      <c r="P8" s="17" t="n">
        <f aca="false">W_L*S_L*G8+W_T*S_T*H8+W_E*S_E*I8+W_R*S_R*J8</f>
        <v>37.2741805571484</v>
      </c>
      <c r="Q8" s="17" t="n">
        <f aca="false">W_L*S_L*K8+W_T*S_T*L8+W_E*S_E*M8+W_R*S_R*N8</f>
        <v>37.286454490235</v>
      </c>
      <c r="R8" s="16" t="n">
        <f aca="false">IF(O8&lt;Score_today,1,0)</f>
        <v>1</v>
      </c>
      <c r="S8" s="16" t="n">
        <f aca="false">IF(O8&gt;Q8,1,0)</f>
        <v>0</v>
      </c>
      <c r="T8" s="16" t="n">
        <f aca="false">IF(O8&gt;P8,1,0)</f>
        <v>0</v>
      </c>
      <c r="U8" s="16" t="n">
        <f aca="false">1+IF(P8&gt;O8,1,0)+IF(Q8&gt;O8,1,0)</f>
        <v>3</v>
      </c>
      <c r="V8" s="17" t="n">
        <f aca="false">ABS(P8-Q8)</f>
        <v>0.01227393308654</v>
      </c>
      <c r="X8" s="2" t="s">
        <v>88</v>
      </c>
      <c r="Y8" s="13" t="n">
        <f aca="false">INDEX($O$5:$O$65,Y7+1)</f>
        <v>37.1874101717979</v>
      </c>
      <c r="Z8" s="14" t="s">
        <v>89</v>
      </c>
    </row>
    <row r="9" customFormat="false" ht="15" hidden="false" customHeight="false" outlineLevel="0" collapsed="false">
      <c r="A9" s="16" t="n">
        <v>4</v>
      </c>
      <c r="B9" s="17" t="n">
        <f aca="false">A9/12</f>
        <v>0.333333333333333</v>
      </c>
      <c r="C9" s="17" t="n">
        <f aca="false">Declarations!$C$14+(Declarations!$H$14-Declarations!$C$14)*EXP(-Declarations!$D$14*$B9)+IF(Declarations!$E$14=0,0,Declarations!$E$14*($B9/Declarations!$F$14)*EXP(1-$B9/Declarations!$F$14))+Declarations!$G$14*IF($B9&gt;=Sale_t,1,0)</f>
        <v>90.5835312573105</v>
      </c>
      <c r="D9" s="17" t="n">
        <f aca="false">Declarations!$C$15+(Declarations!$H$15-Declarations!$C$15)*EXP(-Declarations!$D$15*$B9)+IF(Declarations!$E$15=0,0,Declarations!$E$15*($B9/Declarations!$F$15)*EXP(1-$B9/Declarations!$F$15))+Declarations!$G$15*IF($B9&gt;=Sale_t,1,0)</f>
        <v>47.1978473333707</v>
      </c>
      <c r="E9" s="17" t="n">
        <f aca="false">Declarations!$C$16+(Declarations!$H$16-Declarations!$C$16)*EXP(-Declarations!$D$16*$B9)+IF(Declarations!$E$16=0,0,Declarations!$E$16*($B9/Declarations!$F$16)*EXP(1-$B9/Declarations!$F$16))+Declarations!$G$16*IF($B9&gt;=Sale_t,1,0)</f>
        <v>67.5678497872238</v>
      </c>
      <c r="F9" s="17" t="n">
        <f aca="false">Declarations!$C$17+(Declarations!$H$17-Declarations!$C$17)*EXP(-Declarations!$D$17*$B9)+IF(Declarations!$E$17=0,0,Declarations!$E$17*($B9/Declarations!$F$17)*EXP(1-$B9/Declarations!$F$17))+Declarations!$G$17*IF($B9&gt;=Sale_t,1,0)</f>
        <v>70.3844897361639</v>
      </c>
      <c r="G9" s="17" t="n">
        <f aca="false">Declarations!$C$18+(Declarations!$H$18-Declarations!$C$18)*EXP(-Declarations!$D$18*$B9)+IF(Declarations!$E$18=0,0,Declarations!$E$18*($B9/Declarations!$F$18)*EXP(1-$B9/Declarations!$F$18))+Declarations!$G$18*IF($B9&gt;=Sale_t,1,0)</f>
        <v>100.380650327856</v>
      </c>
      <c r="H9" s="17" t="n">
        <f aca="false">Declarations!$C$19+(Declarations!$H$19-Declarations!$C$19)*EXP(-Declarations!$D$19*$B9)+IF(Declarations!$E$19=0,0,Declarations!$E$19*($B9/Declarations!$F$19)*EXP(1-$B9/Declarations!$F$19))+Declarations!$G$19*IF($B9&gt;=Sale_t,1,0)</f>
        <v>40.760133243888</v>
      </c>
      <c r="I9" s="17" t="n">
        <f aca="false">Declarations!$C$20+(Declarations!$H$20-Declarations!$C$20)*EXP(-Declarations!$D$20*$B9)+IF(Declarations!$E$20=0,0,Declarations!$E$20*($B9/Declarations!$F$20)*EXP(1-$B9/Declarations!$F$20))+Declarations!$G$20*IF($B9&gt;=Sale_t,1,0)</f>
        <v>71.4178760707248</v>
      </c>
      <c r="J9" s="17" t="n">
        <f aca="false">Declarations!$C$21+(Declarations!$H$21-Declarations!$C$21)*EXP(-Declarations!$D$21*$B9)+IF(Declarations!$E$21=0,0,Declarations!$E$21*($B9/Declarations!$F$21)*EXP(1-$B9/Declarations!$F$21))+Declarations!$G$21*IF($B9&gt;=Sale_t,1,0)</f>
        <v>63.1190541679042</v>
      </c>
      <c r="K9" s="17" t="n">
        <f aca="false">Declarations!$C$22+(Declarations!$H$22-Declarations!$C$22)*EXP(-Declarations!$D$22*$B9)+IF(Declarations!$E$22=0,0,Declarations!$E$22*($B9/Declarations!$F$22)*EXP(1-$B9/Declarations!$F$22))+Declarations!$G$22*IF($B9&gt;=Sale_t,1,0)</f>
        <v>100.83575214145</v>
      </c>
      <c r="L9" s="17" t="n">
        <f aca="false">Declarations!$C$23+(Declarations!$H$23-Declarations!$C$23)*EXP(-Declarations!$D$23*$B9)+IF(Declarations!$E$23=0,0,Declarations!$E$23*($B9/Declarations!$F$23)*EXP(1-$B9/Declarations!$F$23))+Declarations!$G$23*IF($B9&gt;=Sale_t,1,0)</f>
        <v>40.4840558802529</v>
      </c>
      <c r="M9" s="17" t="n">
        <f aca="false">Declarations!$C$24+(Declarations!$H$24-Declarations!$C$24)*EXP(-Declarations!$D$24*$B9)+IF(Declarations!$E$24=0,0,Declarations!$E$24*($B9/Declarations!$F$24)*EXP(1-$B9/Declarations!$F$24))+Declarations!$G$24*IF($B9&gt;=Sale_t,1,0)</f>
        <v>72.4501539753761</v>
      </c>
      <c r="N9" s="17" t="n">
        <f aca="false">Declarations!$C$25+(Declarations!$H$25-Declarations!$C$25)*EXP(-Declarations!$D$25*$B9)+IF(Declarations!$E$25=0,0,Declarations!$E$25*($B9/Declarations!$F$25)*EXP(1-$B9/Declarations!$F$25))+Declarations!$G$25*IF($B9&gt;=Sale_t,1,0)</f>
        <v>64.2854877458921</v>
      </c>
      <c r="O9" s="17" t="n">
        <f aca="false">W_L*S_L*C9+W_T*S_T*D9+W_E*S_E*E9+W_R*S_R*F9</f>
        <v>33.7411846604353</v>
      </c>
      <c r="P9" s="17" t="n">
        <f aca="false">W_L*S_L*G9+W_T*S_T*H9+W_E*S_E*I9+W_R*S_R*J9</f>
        <v>37.3599013686412</v>
      </c>
      <c r="Q9" s="17" t="n">
        <f aca="false">W_L*S_L*K9+W_T*S_T*L9+W_E*S_E*M9+W_R*S_R*N9</f>
        <v>37.3711185627967</v>
      </c>
      <c r="R9" s="16" t="n">
        <f aca="false">IF(O9&lt;Score_today,1,0)</f>
        <v>1</v>
      </c>
      <c r="S9" s="16" t="n">
        <f aca="false">IF(O9&gt;Q9,1,0)</f>
        <v>0</v>
      </c>
      <c r="T9" s="16" t="n">
        <f aca="false">IF(O9&gt;P9,1,0)</f>
        <v>0</v>
      </c>
      <c r="U9" s="16" t="n">
        <f aca="false">1+IF(P9&gt;O9,1,0)+IF(Q9&gt;O9,1,0)</f>
        <v>3</v>
      </c>
      <c r="V9" s="17" t="n">
        <f aca="false">ABS(P9-Q9)</f>
        <v>0.0112171941554564</v>
      </c>
      <c r="X9" s="2" t="s">
        <v>90</v>
      </c>
      <c r="Y9" s="16" t="n">
        <f aca="false">INDEX($A$5:$A$65,MATCH(1,$S$5:$S$65,0))</f>
        <v>33</v>
      </c>
      <c r="Z9" s="14" t="s">
        <v>91</v>
      </c>
    </row>
    <row r="10" customFormat="false" ht="15" hidden="false" customHeight="false" outlineLevel="0" collapsed="false">
      <c r="A10" s="16" t="n">
        <v>5</v>
      </c>
      <c r="B10" s="17" t="n">
        <f aca="false">A10/12</f>
        <v>0.416666666666667</v>
      </c>
      <c r="C10" s="17" t="n">
        <f aca="false">Declarations!$C$14+(Declarations!$H$14-Declarations!$C$14)*EXP(-Declarations!$D$14*$B10)+IF(Declarations!$E$14=0,0,Declarations!$E$14*($B10/Declarations!$F$14)*EXP(1-$B10/Declarations!$F$14))+Declarations!$G$14*IF($B10&gt;=Sale_t,1,0)</f>
        <v>88.7537935113045</v>
      </c>
      <c r="D10" s="17" t="n">
        <f aca="false">Declarations!$C$15+(Declarations!$H$15-Declarations!$C$15)*EXP(-Declarations!$D$15*$B10)+IF(Declarations!$E$15=0,0,Declarations!$E$15*($B10/Declarations!$F$15)*EXP(1-$B10/Declarations!$F$15))+Declarations!$G$15*IF($B10&gt;=Sale_t,1,0)</f>
        <v>48.5777483775804</v>
      </c>
      <c r="E10" s="17" t="n">
        <f aca="false">Declarations!$C$16+(Declarations!$H$16-Declarations!$C$16)*EXP(-Declarations!$D$16*$B10)+IF(Declarations!$E$16=0,0,Declarations!$E$16*($B10/Declarations!$F$16)*EXP(1-$B10/Declarations!$F$16))+Declarations!$G$16*IF($B10&gt;=Sale_t,1,0)</f>
        <v>66.980872687564</v>
      </c>
      <c r="F10" s="17" t="n">
        <f aca="false">Declarations!$C$17+(Declarations!$H$17-Declarations!$C$17)*EXP(-Declarations!$D$17*$B10)+IF(Declarations!$E$17=0,0,Declarations!$E$17*($B10/Declarations!$F$17)*EXP(1-$B10/Declarations!$F$17))+Declarations!$G$17*IF($B10&gt;=Sale_t,1,0)</f>
        <v>71.3418209025277</v>
      </c>
      <c r="G10" s="17" t="n">
        <f aca="false">Declarations!$C$18+(Declarations!$H$18-Declarations!$C$18)*EXP(-Declarations!$D$18*$B10)+IF(Declarations!$E$18=0,0,Declarations!$E$18*($B10/Declarations!$F$18)*EXP(1-$B10/Declarations!$F$18))+Declarations!$G$18*IF($B10&gt;=Sale_t,1,0)</f>
        <v>100.470012389662</v>
      </c>
      <c r="H10" s="17" t="n">
        <f aca="false">Declarations!$C$19+(Declarations!$H$19-Declarations!$C$19)*EXP(-Declarations!$D$19*$B10)+IF(Declarations!$E$19=0,0,Declarations!$E$19*($B10/Declarations!$F$19)*EXP(1-$B10/Declarations!$F$19))+Declarations!$G$19*IF($B10&gt;=Sale_t,1,0)</f>
        <v>40.7032253171639</v>
      </c>
      <c r="I10" s="17" t="n">
        <f aca="false">Declarations!$C$20+(Declarations!$H$20-Declarations!$C$20)*EXP(-Declarations!$D$20*$B10)+IF(Declarations!$E$20=0,0,Declarations!$E$20*($B10/Declarations!$F$20)*EXP(1-$B10/Declarations!$F$20))+Declarations!$G$20*IF($B10&gt;=Sale_t,1,0)</f>
        <v>71.5129126454588</v>
      </c>
      <c r="J10" s="17" t="n">
        <f aca="false">Declarations!$C$21+(Declarations!$H$21-Declarations!$C$21)*EXP(-Declarations!$D$21*$B10)+IF(Declarations!$E$21=0,0,Declarations!$E$21*($B10/Declarations!$F$21)*EXP(1-$B10/Declarations!$F$21))+Declarations!$G$21*IF($B10&gt;=Sale_t,1,0)</f>
        <v>62.9144139317709</v>
      </c>
      <c r="K10" s="17" t="n">
        <f aca="false">Declarations!$C$22+(Declarations!$H$22-Declarations!$C$22)*EXP(-Declarations!$D$22*$B10)+IF(Declarations!$E$22=0,0,Declarations!$E$22*($B10/Declarations!$F$22)*EXP(1-$B10/Declarations!$F$22))+Declarations!$G$22*IF($B10&gt;=Sale_t,1,0)</f>
        <v>101.025825290918</v>
      </c>
      <c r="L10" s="17" t="n">
        <f aca="false">Declarations!$C$23+(Declarations!$H$23-Declarations!$C$23)*EXP(-Declarations!$D$23*$B10)+IF(Declarations!$E$23=0,0,Declarations!$E$23*($B10/Declarations!$F$23)*EXP(1-$B10/Declarations!$F$23))+Declarations!$G$23*IF($B10&gt;=Sale_t,1,0)</f>
        <v>40.3603553170346</v>
      </c>
      <c r="M10" s="17" t="n">
        <f aca="false">Declarations!$C$24+(Declarations!$H$24-Declarations!$C$24)*EXP(-Declarations!$D$24*$B10)+IF(Declarations!$E$24=0,0,Declarations!$E$24*($B10/Declarations!$F$24)*EXP(1-$B10/Declarations!$F$24))+Declarations!$G$24*IF($B10&gt;=Sale_t,1,0)</f>
        <v>72.7695937354288</v>
      </c>
      <c r="N10" s="17" t="n">
        <f aca="false">Declarations!$C$25+(Declarations!$H$25-Declarations!$C$25)*EXP(-Declarations!$D$25*$B10)+IF(Declarations!$E$25=0,0,Declarations!$E$25*($B10/Declarations!$F$25)*EXP(1-$B10/Declarations!$F$25))+Declarations!$G$25*IF($B10&gt;=Sale_t,1,0)</f>
        <v>64.3525092922462</v>
      </c>
      <c r="O10" s="17" t="n">
        <f aca="false">W_L*S_L*C10+W_T*S_T*D10+W_E*S_E*E10+W_R*S_R*F10</f>
        <v>33.2426484184803</v>
      </c>
      <c r="P10" s="17" t="n">
        <f aca="false">W_L*S_L*G10+W_T*S_T*H10+W_E*S_E*I10+W_R*S_R*J10</f>
        <v>37.4429341051283</v>
      </c>
      <c r="Q10" s="17" t="n">
        <f aca="false">W_L*S_L*K10+W_T*S_T*L10+W_E*S_E*M10+W_R*S_R*N10</f>
        <v>37.4508162627837</v>
      </c>
      <c r="R10" s="16" t="n">
        <f aca="false">IF(O10&lt;Score_today,1,0)</f>
        <v>1</v>
      </c>
      <c r="S10" s="16" t="n">
        <f aca="false">IF(O10&gt;Q10,1,0)</f>
        <v>0</v>
      </c>
      <c r="T10" s="16" t="n">
        <f aca="false">IF(O10&gt;P10,1,0)</f>
        <v>0</v>
      </c>
      <c r="U10" s="16" t="n">
        <f aca="false">1+IF(P10&gt;O10,1,0)+IF(Q10&gt;O10,1,0)</f>
        <v>3</v>
      </c>
      <c r="V10" s="17" t="n">
        <f aca="false">ABS(P10-Q10)</f>
        <v>0.00788215765533096</v>
      </c>
      <c r="X10" s="2" t="s">
        <v>88</v>
      </c>
      <c r="Y10" s="13" t="n">
        <f aca="false">INDEX($O$5:$O$65,Y9+1)</f>
        <v>38.7426826822583</v>
      </c>
      <c r="Z10" s="14" t="s">
        <v>92</v>
      </c>
    </row>
    <row r="11" customFormat="false" ht="15" hidden="false" customHeight="false" outlineLevel="0" collapsed="false">
      <c r="A11" s="16" t="n">
        <v>6</v>
      </c>
      <c r="B11" s="17" t="n">
        <f aca="false">A11/12</f>
        <v>0.5</v>
      </c>
      <c r="C11" s="17" t="n">
        <f aca="false">Declarations!$C$14+(Declarations!$H$14-Declarations!$C$14)*EXP(-Declarations!$D$14*$B11)+IF(Declarations!$E$14=0,0,Declarations!$E$14*($B11/Declarations!$F$14)*EXP(1-$B11/Declarations!$F$14))+Declarations!$G$14*IF($B11&gt;=Sale_t,1,0)</f>
        <v>87.1075156344808</v>
      </c>
      <c r="D11" s="17" t="n">
        <f aca="false">Declarations!$C$15+(Declarations!$H$15-Declarations!$C$15)*EXP(-Declarations!$D$15*$B11)+IF(Declarations!$E$15=0,0,Declarations!$E$15*($B11/Declarations!$F$15)*EXP(1-$B11/Declarations!$F$15))+Declarations!$G$15*IF($B11&gt;=Sale_t,1,0)</f>
        <v>49.8958314406762</v>
      </c>
      <c r="E11" s="17" t="n">
        <f aca="false">Declarations!$C$16+(Declarations!$H$16-Declarations!$C$16)*EXP(-Declarations!$D$16*$B11)+IF(Declarations!$E$16=0,0,Declarations!$E$16*($B11/Declarations!$F$16)*EXP(1-$B11/Declarations!$F$16))+Declarations!$G$16*IF($B11&gt;=Sale_t,1,0)</f>
        <v>66.4839931784075</v>
      </c>
      <c r="F11" s="17" t="n">
        <f aca="false">Declarations!$C$17+(Declarations!$H$17-Declarations!$C$17)*EXP(-Declarations!$D$17*$B11)+IF(Declarations!$E$17=0,0,Declarations!$E$17*($B11/Declarations!$F$17)*EXP(1-$B11/Declarations!$F$17))+Declarations!$G$17*IF($B11&gt;=Sale_t,1,0)</f>
        <v>72.0968437730057</v>
      </c>
      <c r="G11" s="17" t="n">
        <f aca="false">Declarations!$C$18+(Declarations!$H$18-Declarations!$C$18)*EXP(-Declarations!$D$18*$B11)+IF(Declarations!$E$18=0,0,Declarations!$E$18*($B11/Declarations!$F$18)*EXP(1-$B11/Declarations!$F$18))+Declarations!$G$18*IF($B11&gt;=Sale_t,1,0)</f>
        <v>100.5571680943</v>
      </c>
      <c r="H11" s="17" t="n">
        <f aca="false">Declarations!$C$19+(Declarations!$H$19-Declarations!$C$19)*EXP(-Declarations!$D$19*$B11)+IF(Declarations!$E$19=0,0,Declarations!$E$19*($B11/Declarations!$F$19)*EXP(1-$B11/Declarations!$F$19))+Declarations!$G$19*IF($B11&gt;=Sale_t,1,0)</f>
        <v>40.6474907077538</v>
      </c>
      <c r="I11" s="17" t="n">
        <f aca="false">Declarations!$C$20+(Declarations!$H$20-Declarations!$C$20)*EXP(-Declarations!$D$20*$B11)+IF(Declarations!$E$20=0,0,Declarations!$E$20*($B11/Declarations!$F$20)*EXP(1-$B11/Declarations!$F$20))+Declarations!$G$20*IF($B11&gt;=Sale_t,1,0)</f>
        <v>71.6044513437219</v>
      </c>
      <c r="J11" s="17" t="n">
        <f aca="false">Declarations!$C$21+(Declarations!$H$21-Declarations!$C$21)*EXP(-Declarations!$D$21*$B11)+IF(Declarations!$E$21=0,0,Declarations!$E$21*($B11/Declarations!$F$21)*EXP(1-$B11/Declarations!$F$21))+Declarations!$G$21*IF($B11&gt;=Sale_t,1,0)</f>
        <v>62.7156561661537</v>
      </c>
      <c r="K11" s="17" t="n">
        <f aca="false">Declarations!$C$22+(Declarations!$H$22-Declarations!$C$22)*EXP(-Declarations!$D$22*$B11)+IF(Declarations!$E$22=0,0,Declarations!$E$22*($B11/Declarations!$F$22)*EXP(1-$B11/Declarations!$F$22))+Declarations!$G$22*IF($B11&gt;=Sale_t,1,0)</f>
        <v>101.208902687444</v>
      </c>
      <c r="L11" s="17" t="n">
        <f aca="false">Declarations!$C$23+(Declarations!$H$23-Declarations!$C$23)*EXP(-Declarations!$D$23*$B11)+IF(Declarations!$E$23=0,0,Declarations!$E$23*($B11/Declarations!$F$23)*EXP(1-$B11/Declarations!$F$23))+Declarations!$G$23*IF($B11&gt;=Sale_t,1,0)</f>
        <v>40.2386993442877</v>
      </c>
      <c r="M11" s="17" t="n">
        <f aca="false">Declarations!$C$24+(Declarations!$H$24-Declarations!$C$24)*EXP(-Declarations!$D$24*$B11)+IF(Declarations!$E$24=0,0,Declarations!$E$24*($B11/Declarations!$F$24)*EXP(1-$B11/Declarations!$F$24))+Declarations!$G$24*IF($B11&gt;=Sale_t,1,0)</f>
        <v>73.0734542345463</v>
      </c>
      <c r="N11" s="17" t="n">
        <f aca="false">Declarations!$C$25+(Declarations!$H$25-Declarations!$C$25)*EXP(-Declarations!$D$25*$B11)+IF(Declarations!$E$25=0,0,Declarations!$E$25*($B11/Declarations!$F$25)*EXP(1-$B11/Declarations!$F$25))+Declarations!$G$25*IF($B11&gt;=Sale_t,1,0)</f>
        <v>64.4178760707248</v>
      </c>
      <c r="O11" s="17" t="n">
        <f aca="false">W_L*S_L*C11+W_T*S_T*D11+W_E*S_E*E11+W_R*S_R*F11</f>
        <v>32.8476241201397</v>
      </c>
      <c r="P11" s="17" t="n">
        <f aca="false">W_L*S_L*G11+W_T*S_T*H11+W_E*S_E*I11+W_R*S_R*J11</f>
        <v>37.5233634949054</v>
      </c>
      <c r="Q11" s="17" t="n">
        <f aca="false">W_L*S_L*K11+W_T*S_T*L11+W_E*S_E*M11+W_R*S_R*N11</f>
        <v>37.5257950488882</v>
      </c>
      <c r="R11" s="16" t="n">
        <f aca="false">IF(O11&lt;Score_today,1,0)</f>
        <v>1</v>
      </c>
      <c r="S11" s="16" t="n">
        <f aca="false">IF(O11&gt;Q11,1,0)</f>
        <v>0</v>
      </c>
      <c r="T11" s="16" t="n">
        <f aca="false">IF(O11&gt;P11,1,0)</f>
        <v>0</v>
      </c>
      <c r="U11" s="16" t="n">
        <f aca="false">1+IF(P11&gt;O11,1,0)+IF(Q11&gt;O11,1,0)</f>
        <v>3</v>
      </c>
      <c r="V11" s="17" t="n">
        <f aca="false">ABS(P11-Q11)</f>
        <v>0.00243155398276684</v>
      </c>
      <c r="X11" s="2" t="s">
        <v>93</v>
      </c>
      <c r="Y11" s="13" t="n">
        <f aca="false">INDEX($Q$5:$Q$65,Y9+1)</f>
        <v>38.4133131725227</v>
      </c>
      <c r="Z11" s="14" t="s">
        <v>94</v>
      </c>
    </row>
    <row r="12" customFormat="false" ht="15" hidden="false" customHeight="false" outlineLevel="0" collapsed="false">
      <c r="A12" s="16" t="n">
        <v>7</v>
      </c>
      <c r="B12" s="17" t="n">
        <f aca="false">A12/12</f>
        <v>0.583333333333333</v>
      </c>
      <c r="C12" s="17" t="n">
        <f aca="false">Declarations!$C$14+(Declarations!$H$14-Declarations!$C$14)*EXP(-Declarations!$D$14*$B12)+IF(Declarations!$E$14=0,0,Declarations!$E$14*($B12/Declarations!$F$14)*EXP(1-$B12/Declarations!$F$14))+Declarations!$G$14*IF($B12&gt;=Sale_t,1,0)</f>
        <v>85.6328155454083</v>
      </c>
      <c r="D12" s="17" t="n">
        <f aca="false">Declarations!$C$15+(Declarations!$H$15-Declarations!$C$15)*EXP(-Declarations!$D$15*$B12)+IF(Declarations!$E$15=0,0,Declarations!$E$15*($B12/Declarations!$F$15)*EXP(1-$B12/Declarations!$F$15))+Declarations!$G$15*IF($B12&gt;=Sale_t,1,0)</f>
        <v>51.154865897176</v>
      </c>
      <c r="E12" s="17" t="n">
        <f aca="false">Declarations!$C$16+(Declarations!$H$16-Declarations!$C$16)*EXP(-Declarations!$D$16*$B12)+IF(Declarations!$E$16=0,0,Declarations!$E$16*($B12/Declarations!$F$16)*EXP(1-$B12/Declarations!$F$16))+Declarations!$G$16*IF($B12&gt;=Sale_t,1,0)</f>
        <v>66.0692238914704</v>
      </c>
      <c r="F12" s="17" t="n">
        <f aca="false">Declarations!$C$17+(Declarations!$H$17-Declarations!$C$17)*EXP(-Declarations!$D$17*$B12)+IF(Declarations!$E$17=0,0,Declarations!$E$17*($B12/Declarations!$F$17)*EXP(1-$B12/Declarations!$F$17))+Declarations!$G$17*IF($B12&gt;=Sale_t,1,0)</f>
        <v>72.6719555947814</v>
      </c>
      <c r="G12" s="17" t="n">
        <f aca="false">Declarations!$C$18+(Declarations!$H$18-Declarations!$C$18)*EXP(-Declarations!$D$18*$B12)+IF(Declarations!$E$18=0,0,Declarations!$E$18*($B12/Declarations!$F$18)*EXP(1-$B12/Declarations!$F$18))+Declarations!$G$18*IF($B12&gt;=Sale_t,1,0)</f>
        <v>100.642171916923</v>
      </c>
      <c r="H12" s="17" t="n">
        <f aca="false">Declarations!$C$19+(Declarations!$H$19-Declarations!$C$19)*EXP(-Declarations!$D$19*$B12)+IF(Declarations!$E$19=0,0,Declarations!$E$19*($B12/Declarations!$F$19)*EXP(1-$B12/Declarations!$F$19))+Declarations!$G$19*IF($B12&gt;=Sale_t,1,0)</f>
        <v>40.5929052244141</v>
      </c>
      <c r="I12" s="17" t="n">
        <f aca="false">Declarations!$C$20+(Declarations!$H$20-Declarations!$C$20)*EXP(-Declarations!$D$20*$B12)+IF(Declarations!$E$20=0,0,Declarations!$E$20*($B12/Declarations!$F$20)*EXP(1-$B12/Declarations!$F$20))+Declarations!$G$20*IF($B12&gt;=Sale_t,1,0)</f>
        <v>71.6926209068943</v>
      </c>
      <c r="J12" s="17" t="n">
        <f aca="false">Declarations!$C$21+(Declarations!$H$21-Declarations!$C$21)*EXP(-Declarations!$D$21*$B12)+IF(Declarations!$E$21=0,0,Declarations!$E$21*($B12/Declarations!$F$21)*EXP(1-$B12/Declarations!$F$21))+Declarations!$G$21*IF($B12&gt;=Sale_t,1,0)</f>
        <v>62.5226117769387</v>
      </c>
      <c r="K12" s="17" t="n">
        <f aca="false">Declarations!$C$22+(Declarations!$H$22-Declarations!$C$22)*EXP(-Declarations!$D$22*$B12)+IF(Declarations!$E$22=0,0,Declarations!$E$22*($B12/Declarations!$F$22)*EXP(1-$B12/Declarations!$F$22))+Declarations!$G$22*IF($B12&gt;=Sale_t,1,0)</f>
        <v>101.385241813789</v>
      </c>
      <c r="L12" s="17" t="n">
        <f aca="false">Declarations!$C$23+(Declarations!$H$23-Declarations!$C$23)*EXP(-Declarations!$D$23*$B12)+IF(Declarations!$E$23=0,0,Declarations!$E$23*($B12/Declarations!$F$23)*EXP(1-$B12/Declarations!$F$23))+Declarations!$G$23*IF($B12&gt;=Sale_t,1,0)</f>
        <v>40.1190541679042</v>
      </c>
      <c r="M12" s="17" t="n">
        <f aca="false">Declarations!$C$24+(Declarations!$H$24-Declarations!$C$24)*EXP(-Declarations!$D$24*$B12)+IF(Declarations!$E$24=0,0,Declarations!$E$24*($B12/Declarations!$F$24)*EXP(1-$B12/Declarations!$F$24))+Declarations!$G$24*IF($B12&gt;=Sale_t,1,0)</f>
        <v>73.3624952822503</v>
      </c>
      <c r="N12" s="17" t="n">
        <f aca="false">Declarations!$C$25+(Declarations!$H$25-Declarations!$C$25)*EXP(-Declarations!$D$25*$B12)+IF(Declarations!$E$25=0,0,Declarations!$E$25*($B12/Declarations!$F$25)*EXP(1-$B12/Declarations!$F$25))+Declarations!$G$25*IF($B12&gt;=Sale_t,1,0)</f>
        <v>64.4816289376924</v>
      </c>
      <c r="O12" s="17" t="n">
        <f aca="false">W_L*S_L*C12+W_T*S_T*D12+W_E*S_E*E12+W_R*S_R*F12</f>
        <v>32.5462374348183</v>
      </c>
      <c r="P12" s="17" t="n">
        <f aca="false">W_L*S_L*G12+W_T*S_T*H12+W_E*S_E*I12+W_R*S_R*J12</f>
        <v>37.6012715678232</v>
      </c>
      <c r="Q12" s="17" t="n">
        <f aca="false">W_L*S_L*K12+W_T*S_T*L12+W_E*S_E*M12+W_R*S_R*N12</f>
        <v>37.5962905815627</v>
      </c>
      <c r="R12" s="16" t="n">
        <f aca="false">IF(O12&lt;Score_today,1,0)</f>
        <v>1</v>
      </c>
      <c r="S12" s="16" t="n">
        <f aca="false">IF(O12&gt;Q12,1,0)</f>
        <v>0</v>
      </c>
      <c r="T12" s="16" t="n">
        <f aca="false">IF(O12&gt;P12,1,0)</f>
        <v>0</v>
      </c>
      <c r="U12" s="16" t="n">
        <f aca="false">1+IF(P12&gt;O12,1,0)+IF(Q12&gt;O12,1,0)</f>
        <v>3</v>
      </c>
      <c r="V12" s="17" t="n">
        <f aca="false">ABS(P12-Q12)</f>
        <v>0.00498098626055565</v>
      </c>
      <c r="X12" s="2" t="s">
        <v>95</v>
      </c>
      <c r="Y12" s="16" t="n">
        <f aca="false">INDEX($A$5:$A$65,MATCH(1,$T$5:$T$65,0))</f>
        <v>56</v>
      </c>
      <c r="Z12" s="14" t="s">
        <v>96</v>
      </c>
    </row>
    <row r="13" customFormat="false" ht="15" hidden="false" customHeight="false" outlineLevel="0" collapsed="false">
      <c r="A13" s="16" t="n">
        <v>8</v>
      </c>
      <c r="B13" s="17" t="n">
        <f aca="false">A13/12</f>
        <v>0.666666666666667</v>
      </c>
      <c r="C13" s="17" t="n">
        <f aca="false">Declarations!$C$14+(Declarations!$H$14-Declarations!$C$14)*EXP(-Declarations!$D$14*$B13)+IF(Declarations!$E$14=0,0,Declarations!$E$14*($B13/Declarations!$F$14)*EXP(1-$B13/Declarations!$F$14))+Declarations!$G$14*IF($B13&gt;=Sale_t,1,0)</f>
        <v>84.318474154115</v>
      </c>
      <c r="D13" s="17" t="n">
        <f aca="false">Declarations!$C$15+(Declarations!$H$15-Declarations!$C$15)*EXP(-Declarations!$D$15*$B13)+IF(Declarations!$E$15=0,0,Declarations!$E$15*($B13/Declarations!$F$15)*EXP(1-$B13/Declarations!$F$15))+Declarations!$G$15*IF($B13&gt;=Sale_t,1,0)</f>
        <v>52.3574970568017</v>
      </c>
      <c r="E13" s="17" t="n">
        <f aca="false">Declarations!$C$16+(Declarations!$H$16-Declarations!$C$16)*EXP(-Declarations!$D$16*$B13)+IF(Declarations!$E$16=0,0,Declarations!$E$16*($B13/Declarations!$F$16)*EXP(1-$B13/Declarations!$F$16))+Declarations!$G$16*IF($B13&gt;=Sale_t,1,0)</f>
        <v>65.7291761420234</v>
      </c>
      <c r="F13" s="17" t="n">
        <f aca="false">Declarations!$C$17+(Declarations!$H$17-Declarations!$C$17)*EXP(-Declarations!$D$17*$B13)+IF(Declarations!$E$17=0,0,Declarations!$E$17*($B13/Declarations!$F$17)*EXP(1-$B13/Declarations!$F$17))+Declarations!$G$17*IF($B13&gt;=Sale_t,1,0)</f>
        <v>73.0874733801265</v>
      </c>
      <c r="G13" s="17" t="n">
        <f aca="false">Declarations!$C$18+(Declarations!$H$18-Declarations!$C$18)*EXP(-Declarations!$D$18*$B13)+IF(Declarations!$E$18=0,0,Declarations!$E$18*($B13/Declarations!$F$18)*EXP(1-$B13/Declarations!$F$18))+Declarations!$G$18*IF($B13&gt;=Sale_t,1,0)</f>
        <v>100.725076987688</v>
      </c>
      <c r="H13" s="17" t="n">
        <f aca="false">Declarations!$C$19+(Declarations!$H$19-Declarations!$C$19)*EXP(-Declarations!$D$19*$B13)+IF(Declarations!$E$19=0,0,Declarations!$E$19*($B13/Declarations!$F$19)*EXP(1-$B13/Declarations!$F$19))+Declarations!$G$19*IF($B13&gt;=Sale_t,1,0)</f>
        <v>40.5394451746718</v>
      </c>
      <c r="I13" s="17" t="n">
        <f aca="false">Declarations!$C$20+(Declarations!$H$20-Declarations!$C$20)*EXP(-Declarations!$D$20*$B13)+IF(Declarations!$E$20=0,0,Declarations!$E$20*($B13/Declarations!$F$20)*EXP(1-$B13/Declarations!$F$20))+Declarations!$G$20*IF($B13&gt;=Sale_t,1,0)</f>
        <v>71.7775453379549</v>
      </c>
      <c r="J13" s="17" t="n">
        <f aca="false">Declarations!$C$21+(Declarations!$H$21-Declarations!$C$21)*EXP(-Declarations!$D$21*$B13)+IF(Declarations!$E$21=0,0,Declarations!$E$21*($B13/Declarations!$F$21)*EXP(1-$B13/Declarations!$F$21))+Declarations!$G$21*IF($B13&gt;=Sale_t,1,0)</f>
        <v>62.3351165306943</v>
      </c>
      <c r="K13" s="17" t="n">
        <f aca="false">Declarations!$C$22+(Declarations!$H$22-Declarations!$C$22)*EXP(-Declarations!$D$22*$B13)+IF(Declarations!$E$22=0,0,Declarations!$E$22*($B13/Declarations!$F$22)*EXP(1-$B13/Declarations!$F$22))+Declarations!$G$22*IF($B13&gt;=Sale_t,1,0)</f>
        <v>101.55509067591</v>
      </c>
      <c r="L13" s="17" t="n">
        <f aca="false">Declarations!$C$23+(Declarations!$H$23-Declarations!$C$23)*EXP(-Declarations!$D$23*$B13)+IF(Declarations!$E$23=0,0,Declarations!$E$23*($B13/Declarations!$F$23)*EXP(1-$B13/Declarations!$F$23))+Declarations!$G$23*IF($B13&gt;=Sale_t,1,0)</f>
        <v>40.0013865523436</v>
      </c>
      <c r="M13" s="17" t="n">
        <f aca="false">Declarations!$C$24+(Declarations!$H$24-Declarations!$C$24)*EXP(-Declarations!$D$24*$B13)+IF(Declarations!$E$24=0,0,Declarations!$E$24*($B13/Declarations!$F$24)*EXP(1-$B13/Declarations!$F$24))+Declarations!$G$24*IF($B13&gt;=Sale_t,1,0)</f>
        <v>73.6374396317149</v>
      </c>
      <c r="N13" s="17" t="n">
        <f aca="false">Declarations!$C$25+(Declarations!$H$25-Declarations!$C$25)*EXP(-Declarations!$D$25*$B13)+IF(Declarations!$E$25=0,0,Declarations!$E$25*($B13/Declarations!$F$25)*EXP(1-$B13/Declarations!$F$25))+Declarations!$G$25*IF($B13&gt;=Sale_t,1,0)</f>
        <v>64.5438077407661</v>
      </c>
      <c r="O13" s="17" t="n">
        <f aca="false">W_L*S_L*C13+W_T*S_T*D13+W_E*S_E*E13+W_R*S_R*F13</f>
        <v>32.3294184932034</v>
      </c>
      <c r="P13" s="17" t="n">
        <f aca="false">W_L*S_L*G13+W_T*S_T*H13+W_E*S_E*I13+W_R*S_R*J13</f>
        <v>37.6767377424051</v>
      </c>
      <c r="Q13" s="17" t="n">
        <f aca="false">W_L*S_L*K13+W_T*S_T*L13+W_E*S_E*M13+W_R*S_R*N13</f>
        <v>37.6625272798005</v>
      </c>
      <c r="R13" s="16" t="n">
        <f aca="false">IF(O13&lt;Score_today,1,0)</f>
        <v>1</v>
      </c>
      <c r="S13" s="16" t="n">
        <f aca="false">IF(O13&gt;Q13,1,0)</f>
        <v>0</v>
      </c>
      <c r="T13" s="16" t="n">
        <f aca="false">IF(O13&gt;P13,1,0)</f>
        <v>0</v>
      </c>
      <c r="U13" s="16" t="n">
        <f aca="false">1+IF(P13&gt;O13,1,0)+IF(Q13&gt;O13,1,0)</f>
        <v>3</v>
      </c>
      <c r="V13" s="17" t="n">
        <f aca="false">ABS(P13-Q13)</f>
        <v>0.014210462604602</v>
      </c>
      <c r="X13" s="2" t="s">
        <v>88</v>
      </c>
      <c r="Y13" s="13" t="n">
        <f aca="false">INDEX($O$5:$O$65,Y12+1)</f>
        <v>46.1453791954431</v>
      </c>
      <c r="Z13" s="14" t="s">
        <v>97</v>
      </c>
    </row>
    <row r="14" customFormat="false" ht="15" hidden="false" customHeight="false" outlineLevel="0" collapsed="false">
      <c r="A14" s="16" t="n">
        <v>9</v>
      </c>
      <c r="B14" s="17" t="n">
        <f aca="false">A14/12</f>
        <v>0.75</v>
      </c>
      <c r="C14" s="17" t="n">
        <f aca="false">Declarations!$C$14+(Declarations!$H$14-Declarations!$C$14)*EXP(-Declarations!$D$14*$B14)+IF(Declarations!$E$14=0,0,Declarations!$E$14*($B14/Declarations!$F$14)*EXP(1-$B14/Declarations!$F$14))+Declarations!$G$14*IF($B14&gt;=Sale_t,1,0)</f>
        <v>83.1539010745388</v>
      </c>
      <c r="D14" s="17" t="n">
        <f aca="false">Declarations!$C$15+(Declarations!$H$15-Declarations!$C$15)*EXP(-Declarations!$D$15*$B14)+IF(Declarations!$E$15=0,0,Declarations!$E$15*($B14/Declarations!$F$15)*EXP(1-$B14/Declarations!$F$15))+Declarations!$G$15*IF($B14&gt;=Sale_t,1,0)</f>
        <v>53.5062517224391</v>
      </c>
      <c r="E14" s="17" t="n">
        <f aca="false">Declarations!$C$16+(Declarations!$H$16-Declarations!$C$16)*EXP(-Declarations!$D$16*$B14)+IF(Declarations!$E$16=0,0,Declarations!$E$16*($B14/Declarations!$F$16)*EXP(1-$B14/Declarations!$F$16))+Declarations!$G$16*IF($B14&gt;=Sale_t,1,0)</f>
        <v>65.4570186091036</v>
      </c>
      <c r="F14" s="17" t="n">
        <f aca="false">Declarations!$C$17+(Declarations!$H$17-Declarations!$C$17)*EXP(-Declarations!$D$17*$B14)+IF(Declarations!$E$17=0,0,Declarations!$E$17*($B14/Declarations!$F$17)*EXP(1-$B14/Declarations!$F$17))+Declarations!$G$17*IF($B14&gt;=Sale_t,1,0)</f>
        <v>73.3618117467716</v>
      </c>
      <c r="G14" s="17" t="n">
        <f aca="false">Declarations!$C$18+(Declarations!$H$18-Declarations!$C$18)*EXP(-Declarations!$D$18*$B14)+IF(Declarations!$E$18=0,0,Declarations!$E$18*($B14/Declarations!$F$18)*EXP(1-$B14/Declarations!$F$18))+Declarations!$G$18*IF($B14&gt;=Sale_t,1,0)</f>
        <v>100.805935124962</v>
      </c>
      <c r="H14" s="17" t="n">
        <f aca="false">Declarations!$C$19+(Declarations!$H$19-Declarations!$C$19)*EXP(-Declarations!$D$19*$B14)+IF(Declarations!$E$19=0,0,Declarations!$E$19*($B14/Declarations!$F$19)*EXP(1-$B14/Declarations!$F$19))+Declarations!$G$19*IF($B14&gt;=Sale_t,1,0)</f>
        <v>40.4870873545412</v>
      </c>
      <c r="I14" s="17" t="n">
        <f aca="false">Declarations!$C$20+(Declarations!$H$20-Declarations!$C$20)*EXP(-Declarations!$D$20*$B14)+IF(Declarations!$E$20=0,0,Declarations!$E$20*($B14/Declarations!$F$20)*EXP(1-$B14/Declarations!$F$20))+Declarations!$G$20*IF($B14&gt;=Sale_t,1,0)</f>
        <v>71.8593440758805</v>
      </c>
      <c r="J14" s="17" t="n">
        <f aca="false">Declarations!$C$21+(Declarations!$H$21-Declarations!$C$21)*EXP(-Declarations!$D$21*$B14)+IF(Declarations!$E$21=0,0,Declarations!$E$21*($B14/Declarations!$F$21)*EXP(1-$B14/Declarations!$F$21))+Declarations!$G$21*IF($B14&gt;=Sale_t,1,0)</f>
        <v>62.1530109149486</v>
      </c>
      <c r="K14" s="17" t="n">
        <f aca="false">Declarations!$C$22+(Declarations!$H$22-Declarations!$C$22)*EXP(-Declarations!$D$22*$B14)+IF(Declarations!$E$22=0,0,Declarations!$E$22*($B14/Declarations!$F$22)*EXP(1-$B14/Declarations!$F$22))+Declarations!$G$22*IF($B14&gt;=Sale_t,1,0)</f>
        <v>101.718688151761</v>
      </c>
      <c r="L14" s="17" t="n">
        <f aca="false">Declarations!$C$23+(Declarations!$H$23-Declarations!$C$23)*EXP(-Declarations!$D$23*$B14)+IF(Declarations!$E$23=0,0,Declarations!$E$23*($B14/Declarations!$F$23)*EXP(1-$B14/Declarations!$F$23))+Declarations!$G$23*IF($B14&gt;=Sale_t,1,0)</f>
        <v>39.8856638114005</v>
      </c>
      <c r="M14" s="17" t="n">
        <f aca="false">Declarations!$C$24+(Declarations!$H$24-Declarations!$C$24)*EXP(-Declarations!$D$24*$B14)+IF(Declarations!$E$24=0,0,Declarations!$E$24*($B14/Declarations!$F$24)*EXP(1-$B14/Declarations!$F$24))+Declarations!$G$24*IF($B14&gt;=Sale_t,1,0)</f>
        <v>73.8989747870258</v>
      </c>
      <c r="N14" s="17" t="n">
        <f aca="false">Declarations!$C$25+(Declarations!$H$25-Declarations!$C$25)*EXP(-Declarations!$D$25*$B14)+IF(Declarations!$E$25=0,0,Declarations!$E$25*($B14/Declarations!$F$25)*EXP(1-$B14/Declarations!$F$25))+Declarations!$G$25*IF($B14&gt;=Sale_t,1,0)</f>
        <v>64.6044513437219</v>
      </c>
      <c r="O14" s="17" t="n">
        <f aca="false">W_L*S_L*C14+W_T*S_T*D14+W_E*S_E*E14+W_R*S_R*F14</f>
        <v>32.1888399148275</v>
      </c>
      <c r="P14" s="17" t="n">
        <f aca="false">W_L*S_L*G14+W_T*S_T*H14+W_E*S_E*I14+W_R*S_R*J14</f>
        <v>37.7498389101089</v>
      </c>
      <c r="Q14" s="17" t="n">
        <f aca="false">W_L*S_L*K14+W_T*S_T*L14+W_E*S_E*M14+W_R*S_R*N14</f>
        <v>37.7247188516163</v>
      </c>
      <c r="R14" s="16" t="n">
        <f aca="false">IF(O14&lt;Score_today,1,0)</f>
        <v>1</v>
      </c>
      <c r="S14" s="16" t="n">
        <f aca="false">IF(O14&gt;Q14,1,0)</f>
        <v>0</v>
      </c>
      <c r="T14" s="16" t="n">
        <f aca="false">IF(O14&gt;P14,1,0)</f>
        <v>0</v>
      </c>
      <c r="U14" s="16" t="n">
        <f aca="false">1+IF(P14&gt;O14,1,0)+IF(Q14&gt;O14,1,0)</f>
        <v>3</v>
      </c>
      <c r="V14" s="17" t="n">
        <f aca="false">ABS(P14-Q14)</f>
        <v>0.0251200584925542</v>
      </c>
      <c r="X14" s="2" t="s">
        <v>98</v>
      </c>
      <c r="Y14" s="13" t="n">
        <f aca="false">INDEX($P$5:$P$65,Y12+1)</f>
        <v>46.0045580071332</v>
      </c>
      <c r="Z14" s="14"/>
    </row>
    <row r="15" customFormat="false" ht="15" hidden="false" customHeight="false" outlineLevel="0" collapsed="false">
      <c r="A15" s="16" t="n">
        <v>10</v>
      </c>
      <c r="B15" s="17" t="n">
        <f aca="false">A15/12</f>
        <v>0.833333333333333</v>
      </c>
      <c r="C15" s="17" t="n">
        <f aca="false">Declarations!$C$14+(Declarations!$H$14-Declarations!$C$14)*EXP(-Declarations!$D$14*$B15)+IF(Declarations!$E$14=0,0,Declarations!$E$14*($B15/Declarations!$F$14)*EXP(1-$B15/Declarations!$F$14))+Declarations!$G$14*IF($B15&gt;=Sale_t,1,0)</f>
        <v>82.129102030291</v>
      </c>
      <c r="D15" s="17" t="n">
        <f aca="false">Declarations!$C$15+(Declarations!$H$15-Declarations!$C$15)*EXP(-Declarations!$D$15*$B15)+IF(Declarations!$E$15=0,0,Declarations!$E$15*($B15/Declarations!$F$15)*EXP(1-$B15/Declarations!$F$15))+Declarations!$G$15*IF($B15&gt;=Sale_t,1,0)</f>
        <v>54.6035434991088</v>
      </c>
      <c r="E15" s="17" t="n">
        <f aca="false">Declarations!$C$16+(Declarations!$H$16-Declarations!$C$16)*EXP(-Declarations!$D$16*$B15)+IF(Declarations!$E$16=0,0,Declarations!$E$16*($B15/Declarations!$F$16)*EXP(1-$B15/Declarations!$F$16))+Declarations!$G$16*IF($B15&gt;=Sale_t,1,0)</f>
        <v>65.2464387307634</v>
      </c>
      <c r="F15" s="17" t="n">
        <f aca="false">Declarations!$C$17+(Declarations!$H$17-Declarations!$C$17)*EXP(-Declarations!$D$17*$B15)+IF(Declarations!$E$17=0,0,Declarations!$E$17*($B15/Declarations!$F$17)*EXP(1-$B15/Declarations!$F$17))+Declarations!$G$17*IF($B15&gt;=Sale_t,1,0)</f>
        <v>73.5116462745503</v>
      </c>
      <c r="G15" s="17" t="n">
        <f aca="false">Declarations!$C$18+(Declarations!$H$18-Declarations!$C$18)*EXP(-Declarations!$D$18*$B15)+IF(Declarations!$E$18=0,0,Declarations!$E$18*($B15/Declarations!$F$18)*EXP(1-$B15/Declarations!$F$18))+Declarations!$G$18*IF($B15&gt;=Sale_t,1,0)</f>
        <v>100.884796867714</v>
      </c>
      <c r="H15" s="17" t="n">
        <f aca="false">Declarations!$C$19+(Declarations!$H$19-Declarations!$C$19)*EXP(-Declarations!$D$19*$B15)+IF(Declarations!$E$19=0,0,Declarations!$E$19*($B15/Declarations!$F$19)*EXP(1-$B15/Declarations!$F$19))+Declarations!$G$19*IF($B15&gt;=Sale_t,1,0)</f>
        <v>40.4358090384519</v>
      </c>
      <c r="I15" s="17" t="n">
        <f aca="false">Declarations!$C$20+(Declarations!$H$20-Declarations!$C$20)*EXP(-Declarations!$D$20*$B15)+IF(Declarations!$E$20=0,0,Declarations!$E$20*($B15/Declarations!$F$20)*EXP(1-$B15/Declarations!$F$20))+Declarations!$G$20*IF($B15&gt;=Sale_t,1,0)</f>
        <v>71.9381321636271</v>
      </c>
      <c r="J15" s="17" t="n">
        <f aca="false">Declarations!$C$21+(Declarations!$H$21-Declarations!$C$21)*EXP(-Declarations!$D$21*$B15)+IF(Declarations!$E$21=0,0,Declarations!$E$21*($B15/Declarations!$F$21)*EXP(1-$B15/Declarations!$F$21))+Declarations!$G$21*IF($B15&gt;=Sale_t,1,0)</f>
        <v>61.9761400024835</v>
      </c>
      <c r="K15" s="17" t="n">
        <f aca="false">Declarations!$C$22+(Declarations!$H$22-Declarations!$C$22)*EXP(-Declarations!$D$22*$B15)+IF(Declarations!$E$22=0,0,Declarations!$E$22*($B15/Declarations!$F$22)*EXP(1-$B15/Declarations!$F$22))+Declarations!$G$22*IF($B15&gt;=Sale_t,1,0)</f>
        <v>101.876264327254</v>
      </c>
      <c r="L15" s="17" t="n">
        <f aca="false">Declarations!$C$23+(Declarations!$H$23-Declarations!$C$23)*EXP(-Declarations!$D$23*$B15)+IF(Declarations!$E$23=0,0,Declarations!$E$23*($B15/Declarations!$F$23)*EXP(1-$B15/Declarations!$F$23))+Declarations!$G$23*IF($B15&gt;=Sale_t,1,0)</f>
        <v>39.7718537991249</v>
      </c>
      <c r="M15" s="17" t="n">
        <f aca="false">Declarations!$C$24+(Declarations!$H$24-Declarations!$C$24)*EXP(-Declarations!$D$24*$B15)+IF(Declarations!$E$24=0,0,Declarations!$E$24*($B15/Declarations!$F$24)*EXP(1-$B15/Declarations!$F$24))+Declarations!$G$24*IF($B15&gt;=Sale_t,1,0)</f>
        <v>74.1477547222989</v>
      </c>
      <c r="N15" s="17" t="n">
        <f aca="false">Declarations!$C$25+(Declarations!$H$25-Declarations!$C$25)*EXP(-Declarations!$D$25*$B15)+IF(Declarations!$E$25=0,0,Declarations!$E$25*($B15/Declarations!$F$25)*EXP(1-$B15/Declarations!$F$25))+Declarations!$G$25*IF($B15&gt;=Sale_t,1,0)</f>
        <v>64.6635976507858</v>
      </c>
      <c r="O15" s="17" t="n">
        <f aca="false">W_L*S_L*C15+W_T*S_T*D15+W_E*S_E*E15+W_R*S_R*F15</f>
        <v>32.1168594964032</v>
      </c>
      <c r="P15" s="17" t="n">
        <f aca="false">W_L*S_L*G15+W_T*S_T*H15+W_E*S_E*I15+W_R*S_R*J15</f>
        <v>37.8206495168275</v>
      </c>
      <c r="Q15" s="17" t="n">
        <f aca="false">W_L*S_L*K15+W_T*S_T*L15+W_E*S_E*M15+W_R*S_R*N15</f>
        <v>37.7830687994731</v>
      </c>
      <c r="R15" s="16" t="n">
        <f aca="false">IF(O15&lt;Score_today,1,0)</f>
        <v>1</v>
      </c>
      <c r="S15" s="16" t="n">
        <f aca="false">IF(O15&gt;Q15,1,0)</f>
        <v>0</v>
      </c>
      <c r="T15" s="16" t="n">
        <f aca="false">IF(O15&gt;P15,1,0)</f>
        <v>0</v>
      </c>
      <c r="U15" s="16" t="n">
        <f aca="false">1+IF(P15&gt;O15,1,0)+IF(Q15&gt;O15,1,0)</f>
        <v>3</v>
      </c>
      <c r="V15" s="17" t="n">
        <f aca="false">ABS(P15-Q15)</f>
        <v>0.037580717354416</v>
      </c>
      <c r="X15" s="2" t="s">
        <v>99</v>
      </c>
      <c r="Y15" s="13" t="n">
        <f aca="false">P17-P16</f>
        <v>6.5664434317472</v>
      </c>
      <c r="Z15" s="14" t="s">
        <v>100</v>
      </c>
    </row>
    <row r="16" customFormat="false" ht="15" hidden="false" customHeight="false" outlineLevel="0" collapsed="false">
      <c r="A16" s="16" t="n">
        <v>11</v>
      </c>
      <c r="B16" s="17" t="n">
        <f aca="false">A16/12</f>
        <v>0.916666666666667</v>
      </c>
      <c r="C16" s="17" t="n">
        <f aca="false">Declarations!$C$14+(Declarations!$H$14-Declarations!$C$14)*EXP(-Declarations!$D$14*$B16)+IF(Declarations!$E$14=0,0,Declarations!$E$14*($B16/Declarations!$F$14)*EXP(1-$B16/Declarations!$F$14))+Declarations!$G$14*IF($B16&gt;=Sale_t,1,0)</f>
        <v>81.2346478726594</v>
      </c>
      <c r="D16" s="17" t="n">
        <f aca="false">Declarations!$C$15+(Declarations!$H$15-Declarations!$C$15)*EXP(-Declarations!$D$15*$B16)+IF(Declarations!$E$15=0,0,Declarations!$E$15*($B16/Declarations!$F$15)*EXP(1-$B16/Declarations!$F$15))+Declarations!$G$15*IF($B16&gt;=Sale_t,1,0)</f>
        <v>55.6516778650994</v>
      </c>
      <c r="E16" s="17" t="n">
        <f aca="false">Declarations!$C$16+(Declarations!$H$16-Declarations!$C$16)*EXP(-Declarations!$D$16*$B16)+IF(Declarations!$E$16=0,0,Declarations!$E$16*($B16/Declarations!$F$16)*EXP(1-$B16/Declarations!$F$16))+Declarations!$G$16*IF($B16&gt;=Sale_t,1,0)</f>
        <v>65.0916066416841</v>
      </c>
      <c r="F16" s="17" t="n">
        <f aca="false">Declarations!$C$17+(Declarations!$H$17-Declarations!$C$17)*EXP(-Declarations!$D$17*$B16)+IF(Declarations!$E$17=0,0,Declarations!$E$17*($B16/Declarations!$F$17)*EXP(1-$B16/Declarations!$F$17))+Declarations!$G$17*IF($B16&gt;=Sale_t,1,0)</f>
        <v>73.5520635207556</v>
      </c>
      <c r="G16" s="17" t="n">
        <f aca="false">Declarations!$C$18+(Declarations!$H$18-Declarations!$C$18)*EXP(-Declarations!$D$18*$B16)+IF(Declarations!$E$18=0,0,Declarations!$E$18*($B16/Declarations!$F$18)*EXP(1-$B16/Declarations!$F$18))+Declarations!$G$18*IF($B16&gt;=Sale_t,1,0)</f>
        <v>100.9617115071</v>
      </c>
      <c r="H16" s="17" t="n">
        <f aca="false">Declarations!$C$19+(Declarations!$H$19-Declarations!$C$19)*EXP(-Declarations!$D$19*$B16)+IF(Declarations!$E$19=0,0,Declarations!$E$19*($B16/Declarations!$F$19)*EXP(1-$B16/Declarations!$F$19))+Declarations!$G$19*IF($B16&gt;=Sale_t,1,0)</f>
        <v>40.3855879693854</v>
      </c>
      <c r="I16" s="17" t="n">
        <f aca="false">Declarations!$C$20+(Declarations!$H$20-Declarations!$C$20)*EXP(-Declarations!$D$20*$B16)+IF(Declarations!$E$20=0,0,Declarations!$E$20*($B16/Declarations!$F$20)*EXP(1-$B16/Declarations!$F$20))+Declarations!$G$20*IF($B16&gt;=Sale_t,1,0)</f>
        <v>72.0140204099275</v>
      </c>
      <c r="J16" s="17" t="n">
        <f aca="false">Declarations!$C$21+(Declarations!$H$21-Declarations!$C$21)*EXP(-Declarations!$D$21*$B16)+IF(Declarations!$E$21=0,0,Declarations!$E$21*($B16/Declarations!$F$21)*EXP(1-$B16/Declarations!$F$21))+Declarations!$G$21*IF($B16&gt;=Sale_t,1,0)</f>
        <v>61.8043533195295</v>
      </c>
      <c r="K16" s="17" t="n">
        <f aca="false">Declarations!$C$22+(Declarations!$H$22-Declarations!$C$22)*EXP(-Declarations!$D$22*$B16)+IF(Declarations!$E$22=0,0,Declarations!$E$22*($B16/Declarations!$F$22)*EXP(1-$B16/Declarations!$F$22))+Declarations!$G$22*IF($B16&gt;=Sale_t,1,0)</f>
        <v>102.028040819855</v>
      </c>
      <c r="L16" s="17" t="n">
        <f aca="false">Declarations!$C$23+(Declarations!$H$23-Declarations!$C$23)*EXP(-Declarations!$D$23*$B16)+IF(Declarations!$E$23=0,0,Declarations!$E$23*($B16/Declarations!$F$23)*EXP(1-$B16/Declarations!$F$23))+Declarations!$G$23*IF($B16&gt;=Sale_t,1,0)</f>
        <v>39.6599249008928</v>
      </c>
      <c r="M16" s="17" t="n">
        <f aca="false">Declarations!$C$24+(Declarations!$H$24-Declarations!$C$24)*EXP(-Declarations!$D$24*$B16)+IF(Declarations!$E$24=0,0,Declarations!$E$24*($B16/Declarations!$F$24)*EXP(1-$B16/Declarations!$F$24))+Declarations!$G$24*IF($B16&gt;=Sale_t,1,0)</f>
        <v>74.3844015169561</v>
      </c>
      <c r="N16" s="17" t="n">
        <f aca="false">Declarations!$C$25+(Declarations!$H$25-Declarations!$C$25)*EXP(-Declarations!$D$25*$B16)+IF(Declarations!$E$25=0,0,Declarations!$E$25*($B16/Declarations!$F$25)*EXP(1-$B16/Declarations!$F$25))+Declarations!$G$25*IF($B16&gt;=Sale_t,1,0)</f>
        <v>64.7212836303251</v>
      </c>
      <c r="O16" s="17" t="n">
        <f aca="false">W_L*S_L*C16+W_T*S_T*D16+W_E*S_E*E16+W_R*S_R*F16</f>
        <v>32.1064672146718</v>
      </c>
      <c r="P16" s="17" t="n">
        <f aca="false">W_L*S_L*G16+W_T*S_T*H16+W_E*S_E*I16+W_R*S_R*J16</f>
        <v>37.8892416417209</v>
      </c>
      <c r="Q16" s="17" t="n">
        <f aca="false">W_L*S_L*K16+W_T*S_T*L16+W_E*S_E*M16+W_R*S_R*N16</f>
        <v>37.8377709018447</v>
      </c>
      <c r="R16" s="16" t="n">
        <f aca="false">IF(O16&lt;Score_today,1,0)</f>
        <v>1</v>
      </c>
      <c r="S16" s="16" t="n">
        <f aca="false">IF(O16&gt;Q16,1,0)</f>
        <v>0</v>
      </c>
      <c r="T16" s="16" t="n">
        <f aca="false">IF(O16&gt;P16,1,0)</f>
        <v>0</v>
      </c>
      <c r="U16" s="16" t="n">
        <f aca="false">1+IF(P16&gt;O16,1,0)+IF(Q16&gt;O16,1,0)</f>
        <v>3</v>
      </c>
      <c r="V16" s="17" t="n">
        <f aca="false">ABS(P16-Q16)</f>
        <v>0.0514707398761658</v>
      </c>
      <c r="X16" s="2" t="s">
        <v>101</v>
      </c>
      <c r="Y16" s="18" t="n">
        <f aca="false">MAX(V5:V16)</f>
        <v>0.0514707398761658</v>
      </c>
      <c r="Z16" s="14" t="s">
        <v>102</v>
      </c>
    </row>
    <row r="17" customFormat="false" ht="15" hidden="false" customHeight="false" outlineLevel="0" collapsed="false">
      <c r="A17" s="16" t="n">
        <v>12</v>
      </c>
      <c r="B17" s="17" t="n">
        <f aca="false">A17/12</f>
        <v>1</v>
      </c>
      <c r="C17" s="17" t="n">
        <f aca="false">Declarations!$C$14+(Declarations!$H$14-Declarations!$C$14)*EXP(-Declarations!$D$14*$B17)+IF(Declarations!$E$14=0,0,Declarations!$E$14*($B17/Declarations!$F$14)*EXP(1-$B17/Declarations!$F$14))+Declarations!$G$14*IF($B17&gt;=Sale_t,1,0)</f>
        <v>80.4616451335736</v>
      </c>
      <c r="D17" s="17" t="n">
        <f aca="false">Declarations!$C$15+(Declarations!$H$15-Declarations!$C$15)*EXP(-Declarations!$D$15*$B17)+IF(Declarations!$E$15=0,0,Declarations!$E$15*($B17/Declarations!$F$15)*EXP(1-$B17/Declarations!$F$15))+Declarations!$G$15*IF($B17&gt;=Sale_t,1,0)</f>
        <v>56.652857015922</v>
      </c>
      <c r="E17" s="17" t="n">
        <f aca="false">Declarations!$C$16+(Declarations!$H$16-Declarations!$C$16)*EXP(-Declarations!$D$16*$B17)+IF(Declarations!$E$16=0,0,Declarations!$E$16*($B17/Declarations!$F$16)*EXP(1-$B17/Declarations!$F$16))+Declarations!$G$16*IF($B17&gt;=Sale_t,1,0)</f>
        <v>64.9871414912077</v>
      </c>
      <c r="F17" s="17" t="n">
        <f aca="false">Declarations!$C$17+(Declarations!$H$17-Declarations!$C$17)*EXP(-Declarations!$D$17*$B17)+IF(Declarations!$E$17=0,0,Declarations!$E$17*($B17/Declarations!$F$17)*EXP(1-$B17/Declarations!$F$17))+Declarations!$G$17*IF($B17&gt;=Sale_t,1,0)</f>
        <v>73.4966987485625</v>
      </c>
      <c r="G17" s="17" t="n">
        <f aca="false">Declarations!$C$18+(Declarations!$H$18-Declarations!$C$18)*EXP(-Declarations!$D$18*$B17)+IF(Declarations!$E$18=0,0,Declarations!$E$18*($B17/Declarations!$F$18)*EXP(1-$B17/Declarations!$F$18))+Declarations!$G$18*IF($B17&gt;=Sale_t,1,0)</f>
        <v>119.036727117273</v>
      </c>
      <c r="H17" s="17" t="n">
        <f aca="false">Declarations!$C$19+(Declarations!$H$19-Declarations!$C$19)*EXP(-Declarations!$D$19*$B17)+IF(Declarations!$E$19=0,0,Declarations!$E$19*($B17/Declarations!$F$19)*EXP(1-$B17/Declarations!$F$19))+Declarations!$G$19*IF($B17&gt;=Sale_t,1,0)</f>
        <v>40.3364023492142</v>
      </c>
      <c r="I17" s="17" t="n">
        <f aca="false">Declarations!$C$20+(Declarations!$H$20-Declarations!$C$20)*EXP(-Declarations!$D$20*$B17)+IF(Declarations!$E$20=0,0,Declarations!$E$20*($B17/Declarations!$F$20)*EXP(1-$B17/Declarations!$F$20))+Declarations!$G$20*IF($B17&gt;=Sale_t,1,0)</f>
        <v>72.0871155451347</v>
      </c>
      <c r="J17" s="17" t="n">
        <f aca="false">Declarations!$C$21+(Declarations!$H$21-Declarations!$C$21)*EXP(-Declarations!$D$21*$B17)+IF(Declarations!$E$21=0,0,Declarations!$E$21*($B17/Declarations!$F$21)*EXP(1-$B17/Declarations!$F$21))+Declarations!$G$21*IF($B17&gt;=Sale_t,1,0)</f>
        <v>53.6375047177497</v>
      </c>
      <c r="K17" s="17" t="n">
        <f aca="false">Declarations!$C$22+(Declarations!$H$22-Declarations!$C$22)*EXP(-Declarations!$D$22*$B17)+IF(Declarations!$E$22=0,0,Declarations!$E$22*($B17/Declarations!$F$22)*EXP(1-$B17/Declarations!$F$22))+Declarations!$G$22*IF($B17&gt;=Sale_t,1,0)</f>
        <v>102.174231090269</v>
      </c>
      <c r="L17" s="17" t="n">
        <f aca="false">Declarations!$C$23+(Declarations!$H$23-Declarations!$C$23)*EXP(-Declarations!$D$23*$B17)+IF(Declarations!$E$23=0,0,Declarations!$E$23*($B17/Declarations!$F$23)*EXP(1-$B17/Declarations!$F$23))+Declarations!$G$23*IF($B17&gt;=Sale_t,1,0)</f>
        <v>39.5498460246239</v>
      </c>
      <c r="M17" s="17" t="n">
        <f aca="false">Declarations!$C$24+(Declarations!$H$24-Declarations!$C$24)*EXP(-Declarations!$D$24*$B17)+IF(Declarations!$E$24=0,0,Declarations!$E$24*($B17/Declarations!$F$24)*EXP(1-$B17/Declarations!$F$24))+Declarations!$G$24*IF($B17&gt;=Sale_t,1,0)</f>
        <v>74.6095069112478</v>
      </c>
      <c r="N17" s="17" t="n">
        <f aca="false">Declarations!$C$25+(Declarations!$H$25-Declarations!$C$25)*EXP(-Declarations!$D$25*$B17)+IF(Declarations!$E$25=0,0,Declarations!$E$25*($B17/Declarations!$F$25)*EXP(1-$B17/Declarations!$F$25))+Declarations!$G$25*IF($B17&gt;=Sale_t,1,0)</f>
        <v>64.7775453379549</v>
      </c>
      <c r="O17" s="17" t="n">
        <f aca="false">W_L*S_L*C17+W_T*S_T*D17+W_E*S_E*E17+W_R*S_R*F17</f>
        <v>32.1512362230352</v>
      </c>
      <c r="P17" s="17" t="n">
        <f aca="false">W_L*S_L*G17+W_T*S_T*H17+W_E*S_E*I17+W_R*S_R*J17</f>
        <v>44.4556850734681</v>
      </c>
      <c r="Q17" s="17" t="n">
        <f aca="false">W_L*S_L*K17+W_T*S_T*L17+W_E*S_E*M17+W_R*S_R*N17</f>
        <v>37.8890096720465</v>
      </c>
      <c r="R17" s="16" t="n">
        <f aca="false">IF(O17&lt;Score_today,1,0)</f>
        <v>1</v>
      </c>
      <c r="S17" s="16" t="n">
        <f aca="false">IF(O17&gt;Q17,1,0)</f>
        <v>0</v>
      </c>
      <c r="T17" s="16" t="n">
        <f aca="false">IF(O17&gt;P17,1,0)</f>
        <v>0</v>
      </c>
      <c r="U17" s="16" t="n">
        <f aca="false">1+IF(P17&gt;O17,1,0)+IF(Q17&gt;O17,1,0)</f>
        <v>3</v>
      </c>
      <c r="V17" s="17" t="n">
        <f aca="false">ABS(P17-Q17)</f>
        <v>6.56667540142153</v>
      </c>
    </row>
    <row r="18" customFormat="false" ht="15" hidden="false" customHeight="false" outlineLevel="0" collapsed="false">
      <c r="A18" s="16" t="n">
        <v>13</v>
      </c>
      <c r="B18" s="17" t="n">
        <f aca="false">A18/12</f>
        <v>1.08333333333333</v>
      </c>
      <c r="C18" s="17" t="n">
        <f aca="false">Declarations!$C$14+(Declarations!$H$14-Declarations!$C$14)*EXP(-Declarations!$D$14*$B18)+IF(Declarations!$E$14=0,0,Declarations!$E$14*($B18/Declarations!$F$14)*EXP(1-$B18/Declarations!$F$14))+Declarations!$G$14*IF($B18&gt;=Sale_t,1,0)</f>
        <v>79.801708039877</v>
      </c>
      <c r="D18" s="17" t="n">
        <f aca="false">Declarations!$C$15+(Declarations!$H$15-Declarations!$C$15)*EXP(-Declarations!$D$15*$B18)+IF(Declarations!$E$15=0,0,Declarations!$E$15*($B18/Declarations!$F$15)*EXP(1-$B18/Declarations!$F$15))+Declarations!$G$15*IF($B18&gt;=Sale_t,1,0)</f>
        <v>57.609184491259</v>
      </c>
      <c r="E18" s="17" t="n">
        <f aca="false">Declarations!$C$16+(Declarations!$H$16-Declarations!$C$16)*EXP(-Declarations!$D$16*$B18)+IF(Declarations!$E$16=0,0,Declarations!$E$16*($B18/Declarations!$F$16)*EXP(1-$B18/Declarations!$F$16))+Declarations!$G$16*IF($B18&gt;=Sale_t,1,0)</f>
        <v>64.9280799899194</v>
      </c>
      <c r="F18" s="17" t="n">
        <f aca="false">Declarations!$C$17+(Declarations!$H$17-Declarations!$C$17)*EXP(-Declarations!$D$17*$B18)+IF(Declarations!$E$17=0,0,Declarations!$E$17*($B18/Declarations!$F$17)*EXP(1-$B18/Declarations!$F$17))+Declarations!$G$17*IF($B18&gt;=Sale_t,1,0)</f>
        <v>73.357862341466</v>
      </c>
      <c r="G18" s="17" t="n">
        <f aca="false">Declarations!$C$18+(Declarations!$H$18-Declarations!$C$18)*EXP(-Declarations!$D$18*$B18)+IF(Declarations!$E$18=0,0,Declarations!$E$18*($B18/Declarations!$F$18)*EXP(1-$B18/Declarations!$F$18))+Declarations!$G$18*IF($B18&gt;=Sale_t,1,0)</f>
        <v>119.109890585432</v>
      </c>
      <c r="H18" s="17" t="n">
        <f aca="false">Declarations!$C$19+(Declarations!$H$19-Declarations!$C$19)*EXP(-Declarations!$D$19*$B18)+IF(Declarations!$E$19=0,0,Declarations!$E$19*($B18/Declarations!$F$19)*EXP(1-$B18/Declarations!$F$19))+Declarations!$G$19*IF($B18&gt;=Sale_t,1,0)</f>
        <v>40.2882308292409</v>
      </c>
      <c r="I18" s="17" t="n">
        <f aca="false">Declarations!$C$20+(Declarations!$H$20-Declarations!$C$20)*EXP(-Declarations!$D$20*$B18)+IF(Declarations!$E$20=0,0,Declarations!$E$20*($B18/Declarations!$F$20)*EXP(1-$B18/Declarations!$F$20))+Declarations!$G$20*IF($B18&gt;=Sale_t,1,0)</f>
        <v>72.1575203713288</v>
      </c>
      <c r="J18" s="17" t="n">
        <f aca="false">Declarations!$C$21+(Declarations!$H$21-Declarations!$C$21)*EXP(-Declarations!$D$21*$B18)+IF(Declarations!$E$21=0,0,Declarations!$E$21*($B18/Declarations!$F$21)*EXP(1-$B18/Declarations!$F$21))+Declarations!$G$21*IF($B18&gt;=Sale_t,1,0)</f>
        <v>53.4754522499031</v>
      </c>
      <c r="K18" s="17" t="n">
        <f aca="false">Declarations!$C$22+(Declarations!$H$22-Declarations!$C$22)*EXP(-Declarations!$D$22*$B18)+IF(Declarations!$E$22=0,0,Declarations!$E$22*($B18/Declarations!$F$22)*EXP(1-$B18/Declarations!$F$22))+Declarations!$G$22*IF($B18&gt;=Sale_t,1,0)</f>
        <v>102.315040742658</v>
      </c>
      <c r="L18" s="17" t="n">
        <f aca="false">Declarations!$C$23+(Declarations!$H$23-Declarations!$C$23)*EXP(-Declarations!$D$23*$B18)+IF(Declarations!$E$23=0,0,Declarations!$E$23*($B18/Declarations!$F$23)*EXP(1-$B18/Declarations!$F$23))+Declarations!$G$23*IF($B18&gt;=Sale_t,1,0)</f>
        <v>39.4415865921446</v>
      </c>
      <c r="M18" s="17" t="n">
        <f aca="false">Declarations!$C$24+(Declarations!$H$24-Declarations!$C$24)*EXP(-Declarations!$D$24*$B18)+IF(Declarations!$E$24=0,0,Declarations!$E$24*($B18/Declarations!$F$24)*EXP(1-$B18/Declarations!$F$24))+Declarations!$G$24*IF($B18&gt;=Sale_t,1,0)</f>
        <v>74.8236337859119</v>
      </c>
      <c r="N18" s="17" t="n">
        <f aca="false">Declarations!$C$25+(Declarations!$H$25-Declarations!$C$25)*EXP(-Declarations!$D$25*$B18)+IF(Declarations!$E$25=0,0,Declarations!$E$25*($B18/Declarations!$F$25)*EXP(1-$B18/Declarations!$F$25))+Declarations!$G$25*IF($B18&gt;=Sale_t,1,0)</f>
        <v>64.8324179390738</v>
      </c>
      <c r="O18" s="17" t="n">
        <f aca="false">W_L*S_L*C18+W_T*S_T*D18+W_E*S_E*E18+W_R*S_R*F18</f>
        <v>32.2452775448974</v>
      </c>
      <c r="P18" s="17" t="n">
        <f aca="false">W_L*S_L*G18+W_T*S_T*H18+W_E*S_E*I18+W_R*S_R*J18</f>
        <v>44.5200473840246</v>
      </c>
      <c r="Q18" s="17" t="n">
        <f aca="false">W_L*S_L*K18+W_T*S_T*L18+W_E*S_E*M18+W_R*S_R*N18</f>
        <v>37.9369607954101</v>
      </c>
      <c r="R18" s="16" t="n">
        <f aca="false">IF(O18&lt;Score_today,1,0)</f>
        <v>1</v>
      </c>
      <c r="S18" s="16" t="n">
        <f aca="false">IF(O18&gt;Q18,1,0)</f>
        <v>0</v>
      </c>
      <c r="T18" s="16" t="n">
        <f aca="false">IF(O18&gt;P18,1,0)</f>
        <v>0</v>
      </c>
      <c r="U18" s="16" t="n">
        <f aca="false">1+IF(P18&gt;O18,1,0)+IF(Q18&gt;O18,1,0)</f>
        <v>3</v>
      </c>
      <c r="V18" s="17" t="n">
        <f aca="false">ABS(P18-Q18)</f>
        <v>6.58308658861451</v>
      </c>
    </row>
    <row r="19" customFormat="false" ht="15" hidden="false" customHeight="false" outlineLevel="0" collapsed="false">
      <c r="A19" s="16" t="n">
        <v>14</v>
      </c>
      <c r="B19" s="17" t="n">
        <f aca="false">A19/12</f>
        <v>1.16666666666667</v>
      </c>
      <c r="C19" s="17" t="n">
        <f aca="false">Declarations!$C$14+(Declarations!$H$14-Declarations!$C$14)*EXP(-Declarations!$D$14*$B19)+IF(Declarations!$E$14=0,0,Declarations!$E$14*($B19/Declarations!$F$14)*EXP(1-$B19/Declarations!$F$14))+Declarations!$G$14*IF($B19&gt;=Sale_t,1,0)</f>
        <v>79.2469319187023</v>
      </c>
      <c r="D19" s="17" t="n">
        <f aca="false">Declarations!$C$15+(Declarations!$H$15-Declarations!$C$15)*EXP(-Declarations!$D$15*$B19)+IF(Declarations!$E$15=0,0,Declarations!$E$15*($B19/Declarations!$F$15)*EXP(1-$B19/Declarations!$F$15))+Declarations!$G$15*IF($B19&gt;=Sale_t,1,0)</f>
        <v>58.5226695946323</v>
      </c>
      <c r="E19" s="17" t="n">
        <f aca="false">Declarations!$C$16+(Declarations!$H$16-Declarations!$C$16)*EXP(-Declarations!$D$16*$B19)+IF(Declarations!$E$16=0,0,Declarations!$E$16*($B19/Declarations!$F$16)*EXP(1-$B19/Declarations!$F$16))+Declarations!$G$16*IF($B19&gt;=Sale_t,1,0)</f>
        <v>64.9098470423679</v>
      </c>
      <c r="F19" s="17" t="n">
        <f aca="false">Declarations!$C$17+(Declarations!$H$17-Declarations!$C$17)*EXP(-Declarations!$D$17*$B19)+IF(Declarations!$E$17=0,0,Declarations!$E$17*($B19/Declarations!$F$17)*EXP(1-$B19/Declarations!$F$17))+Declarations!$G$17*IF($B19&gt;=Sale_t,1,0)</f>
        <v>73.146655801452</v>
      </c>
      <c r="G19" s="17" t="n">
        <f aca="false">Declarations!$C$18+(Declarations!$H$18-Declarations!$C$18)*EXP(-Declarations!$D$18*$B19)+IF(Declarations!$E$18=0,0,Declarations!$E$18*($B19/Declarations!$F$18)*EXP(1-$B19/Declarations!$F$18))+Declarations!$G$18*IF($B19&gt;=Sale_t,1,0)</f>
        <v>119.181247641125</v>
      </c>
      <c r="H19" s="17" t="n">
        <f aca="false">Declarations!$C$19+(Declarations!$H$19-Declarations!$C$19)*EXP(-Declarations!$D$19*$B19)+IF(Declarations!$E$19=0,0,Declarations!$E$19*($B19/Declarations!$F$19)*EXP(1-$B19/Declarations!$F$19))+Declarations!$G$19*IF($B19&gt;=Sale_t,1,0)</f>
        <v>40.2410525009313</v>
      </c>
      <c r="I19" s="17" t="n">
        <f aca="false">Declarations!$C$20+(Declarations!$H$20-Declarations!$C$20)*EXP(-Declarations!$D$20*$B19)+IF(Declarations!$E$20=0,0,Declarations!$E$20*($B19/Declarations!$F$20)*EXP(1-$B19/Declarations!$F$20))+Declarations!$G$20*IF($B19&gt;=Sale_t,1,0)</f>
        <v>72.2253339068996</v>
      </c>
      <c r="J19" s="17" t="n">
        <f aca="false">Declarations!$C$21+(Declarations!$H$21-Declarations!$C$21)*EXP(-Declarations!$D$21*$B19)+IF(Declarations!$E$21=0,0,Declarations!$E$21*($B19/Declarations!$F$21)*EXP(1-$B19/Declarations!$F$21))+Declarations!$G$21*IF($B19&gt;=Sale_t,1,0)</f>
        <v>53.3180580490824</v>
      </c>
      <c r="K19" s="17" t="n">
        <f aca="false">Declarations!$C$22+(Declarations!$H$22-Declarations!$C$22)*EXP(-Declarations!$D$22*$B19)+IF(Declarations!$E$22=0,0,Declarations!$E$22*($B19/Declarations!$F$22)*EXP(1-$B19/Declarations!$F$22))+Declarations!$G$22*IF($B19&gt;=Sale_t,1,0)</f>
        <v>102.450667813799</v>
      </c>
      <c r="L19" s="17" t="n">
        <f aca="false">Declarations!$C$23+(Declarations!$H$23-Declarations!$C$23)*EXP(-Declarations!$D$23*$B19)+IF(Declarations!$E$23=0,0,Declarations!$E$23*($B19/Declarations!$F$23)*EXP(1-$B19/Declarations!$F$23))+Declarations!$G$23*IF($B19&gt;=Sale_t,1,0)</f>
        <v>39.3351165306943</v>
      </c>
      <c r="M19" s="17" t="n">
        <f aca="false">Declarations!$C$24+(Declarations!$H$24-Declarations!$C$24)*EXP(-Declarations!$D$24*$B19)+IF(Declarations!$E$24=0,0,Declarations!$E$24*($B19/Declarations!$F$24)*EXP(1-$B19/Declarations!$F$24))+Declarations!$G$24*IF($B19&gt;=Sale_t,1,0)</f>
        <v>75.0273175696687</v>
      </c>
      <c r="N19" s="17" t="n">
        <f aca="false">Declarations!$C$25+(Declarations!$H$25-Declarations!$C$25)*EXP(-Declarations!$D$25*$B19)+IF(Declarations!$E$25=0,0,Declarations!$E$25*($B19/Declarations!$F$25)*EXP(1-$B19/Declarations!$F$25))+Declarations!$G$25*IF($B19&gt;=Sale_t,1,0)</f>
        <v>64.8859357308439</v>
      </c>
      <c r="O19" s="17" t="n">
        <f aca="false">W_L*S_L*C19+W_T*S_T*D19+W_E*S_E*E19+W_R*S_R*F19</f>
        <v>32.3831981885627</v>
      </c>
      <c r="P19" s="17" t="n">
        <f aca="false">W_L*S_L*G19+W_T*S_T*H19+W_E*S_E*I19+W_R*S_R*J19</f>
        <v>44.5823939999684</v>
      </c>
      <c r="Q19" s="17" t="n">
        <f aca="false">W_L*S_L*K19+W_T*S_T*L19+W_E*S_E*M19+W_R*S_R*N19</f>
        <v>37.9817915458296</v>
      </c>
      <c r="R19" s="16" t="n">
        <f aca="false">IF(O19&lt;Score_today,1,0)</f>
        <v>1</v>
      </c>
      <c r="S19" s="16" t="n">
        <f aca="false">IF(O19&gt;Q19,1,0)</f>
        <v>0</v>
      </c>
      <c r="T19" s="16" t="n">
        <f aca="false">IF(O19&gt;P19,1,0)</f>
        <v>0</v>
      </c>
      <c r="U19" s="16" t="n">
        <f aca="false">1+IF(P19&gt;O19,1,0)+IF(Q19&gt;O19,1,0)</f>
        <v>3</v>
      </c>
      <c r="V19" s="17" t="n">
        <f aca="false">ABS(P19-Q19)</f>
        <v>6.60060245413884</v>
      </c>
    </row>
    <row r="20" customFormat="false" ht="15" hidden="false" customHeight="false" outlineLevel="0" collapsed="false">
      <c r="A20" s="16" t="n">
        <v>15</v>
      </c>
      <c r="B20" s="17" t="n">
        <f aca="false">A20/12</f>
        <v>1.25</v>
      </c>
      <c r="C20" s="17" t="n">
        <f aca="false">Declarations!$C$14+(Declarations!$H$14-Declarations!$C$14)*EXP(-Declarations!$D$14*$B20)+IF(Declarations!$E$14=0,0,Declarations!$E$14*($B20/Declarations!$F$14)*EXP(1-$B20/Declarations!$F$14))+Declarations!$G$14*IF($B20&gt;=Sale_t,1,0)</f>
        <v>78.7898679270468</v>
      </c>
      <c r="D20" s="17" t="n">
        <f aca="false">Declarations!$C$15+(Declarations!$H$15-Declarations!$C$15)*EXP(-Declarations!$D$15*$B20)+IF(Declarations!$E$15=0,0,Declarations!$E$15*($B20/Declarations!$F$15)*EXP(1-$B20/Declarations!$F$15))+Declarations!$G$15*IF($B20&gt;=Sale_t,1,0)</f>
        <v>59.3952316150752</v>
      </c>
      <c r="E20" s="17" t="n">
        <f aca="false">Declarations!$C$16+(Declarations!$H$16-Declarations!$C$16)*EXP(-Declarations!$D$16*$B20)+IF(Declarations!$E$16=0,0,Declarations!$E$16*($B20/Declarations!$F$16)*EXP(1-$B20/Declarations!$F$16))+Declarations!$G$16*IF($B20&gt;=Sale_t,1,0)</f>
        <v>64.9282283323937</v>
      </c>
      <c r="F20" s="17" t="n">
        <f aca="false">Declarations!$C$17+(Declarations!$H$17-Declarations!$C$17)*EXP(-Declarations!$D$17*$B20)+IF(Declarations!$E$17=0,0,Declarations!$E$17*($B20/Declarations!$F$17)*EXP(1-$B20/Declarations!$F$17))+Declarations!$G$17*IF($B20&gt;=Sale_t,1,0)</f>
        <v>72.8730781591058</v>
      </c>
      <c r="G20" s="17" t="n">
        <f aca="false">Declarations!$C$18+(Declarations!$H$18-Declarations!$C$18)*EXP(-Declarations!$D$18*$B20)+IF(Declarations!$E$18=0,0,Declarations!$E$18*($B20/Declarations!$F$18)*EXP(1-$B20/Declarations!$F$18))+Declarations!$G$18*IF($B20&gt;=Sale_t,1,0)</f>
        <v>119.250842884836</v>
      </c>
      <c r="H20" s="17" t="n">
        <f aca="false">Declarations!$C$19+(Declarations!$H$19-Declarations!$C$19)*EXP(-Declarations!$D$19*$B20)+IF(Declarations!$E$19=0,0,Declarations!$E$19*($B20/Declarations!$F$19)*EXP(1-$B20/Declarations!$F$19))+Declarations!$G$19*IF($B20&gt;=Sale_t,1,0)</f>
        <v>40.1948468868399</v>
      </c>
      <c r="I20" s="17" t="n">
        <f aca="false">Declarations!$C$20+(Declarations!$H$20-Declarations!$C$20)*EXP(-Declarations!$D$20*$B20)+IF(Declarations!$E$20=0,0,Declarations!$E$20*($B20/Declarations!$F$20)*EXP(1-$B20/Declarations!$F$20))+Declarations!$G$20*IF($B20&gt;=Sale_t,1,0)</f>
        <v>72.2906515258072</v>
      </c>
      <c r="J20" s="17" t="n">
        <f aca="false">Declarations!$C$21+(Declarations!$H$21-Declarations!$C$21)*EXP(-Declarations!$D$21*$B20)+IF(Declarations!$E$21=0,0,Declarations!$E$21*($B20/Declarations!$F$21)*EXP(1-$B20/Declarations!$F$21))+Declarations!$G$21*IF($B20&gt;=Sale_t,1,0)</f>
        <v>53.1651882114231</v>
      </c>
      <c r="K20" s="17" t="n">
        <f aca="false">Declarations!$C$22+(Declarations!$H$22-Declarations!$C$22)*EXP(-Declarations!$D$22*$B20)+IF(Declarations!$E$22=0,0,Declarations!$E$22*($B20/Declarations!$F$22)*EXP(1-$B20/Declarations!$F$22))+Declarations!$G$22*IF($B20&gt;=Sale_t,1,0)</f>
        <v>102.581303051614</v>
      </c>
      <c r="L20" s="17" t="n">
        <f aca="false">Declarations!$C$23+(Declarations!$H$23-Declarations!$C$23)*EXP(-Declarations!$D$23*$B20)+IF(Declarations!$E$23=0,0,Declarations!$E$23*($B20/Declarations!$F$23)*EXP(1-$B20/Declarations!$F$23))+Declarations!$G$23*IF($B20&gt;=Sale_t,1,0)</f>
        <v>39.2304062645712</v>
      </c>
      <c r="M20" s="17" t="n">
        <f aca="false">Declarations!$C$24+(Declarations!$H$24-Declarations!$C$24)*EXP(-Declarations!$D$24*$B20)+IF(Declarations!$E$24=0,0,Declarations!$E$24*($B20/Declarations!$F$24)*EXP(1-$B20/Declarations!$F$24))+Declarations!$G$24*IF($B20&gt;=Sale_t,1,0)</f>
        <v>75.2210675780719</v>
      </c>
      <c r="N20" s="17" t="n">
        <f aca="false">Declarations!$C$25+(Declarations!$H$25-Declarations!$C$25)*EXP(-Declarations!$D$25*$B20)+IF(Declarations!$E$25=0,0,Declarations!$E$25*($B20/Declarations!$F$25)*EXP(1-$B20/Declarations!$F$25))+Declarations!$G$25*IF($B20&gt;=Sale_t,1,0)</f>
        <v>64.9381321636271</v>
      </c>
      <c r="O20" s="17" t="n">
        <f aca="false">W_L*S_L*C20+W_T*S_T*D20+W_E*S_E*E20+W_R*S_R*F20</f>
        <v>32.5600624288525</v>
      </c>
      <c r="P20" s="17" t="n">
        <f aca="false">W_L*S_L*G20+W_T*S_T*H20+W_E*S_E*I20+W_R*S_R*J20</f>
        <v>44.642788271515</v>
      </c>
      <c r="Q20" s="17" t="n">
        <f aca="false">W_L*S_L*K20+W_T*S_T*L20+W_E*S_E*M20+W_R*S_R*N20</f>
        <v>38.0236611826576</v>
      </c>
      <c r="R20" s="16" t="n">
        <f aca="false">IF(O20&lt;Score_today,1,0)</f>
        <v>1</v>
      </c>
      <c r="S20" s="16" t="n">
        <f aca="false">IF(O20&gt;Q20,1,0)</f>
        <v>0</v>
      </c>
      <c r="T20" s="16" t="n">
        <f aca="false">IF(O20&gt;P20,1,0)</f>
        <v>0</v>
      </c>
      <c r="U20" s="16" t="n">
        <f aca="false">1+IF(P20&gt;O20,1,0)+IF(Q20&gt;O20,1,0)</f>
        <v>3</v>
      </c>
      <c r="V20" s="17" t="n">
        <f aca="false">ABS(P20-Q20)</f>
        <v>6.61912708885741</v>
      </c>
    </row>
    <row r="21" customFormat="false" ht="15" hidden="false" customHeight="false" outlineLevel="0" collapsed="false">
      <c r="A21" s="16" t="n">
        <v>16</v>
      </c>
      <c r="B21" s="17" t="n">
        <f aca="false">A21/12</f>
        <v>1.33333333333333</v>
      </c>
      <c r="C21" s="17" t="n">
        <f aca="false">Declarations!$C$14+(Declarations!$H$14-Declarations!$C$14)*EXP(-Declarations!$D$14*$B21)+IF(Declarations!$E$14=0,0,Declarations!$E$14*($B21/Declarations!$F$14)*EXP(1-$B21/Declarations!$F$14))+Declarations!$G$14*IF($B21&gt;=Sale_t,1,0)</f>
        <v>78.423499041783</v>
      </c>
      <c r="D21" s="17" t="n">
        <f aca="false">Declarations!$C$15+(Declarations!$H$15-Declarations!$C$15)*EXP(-Declarations!$D$15*$B21)+IF(Declarations!$E$15=0,0,Declarations!$E$15*($B21/Declarations!$F$15)*EXP(1-$B21/Declarations!$F$15))+Declarations!$G$15*IF($B21&gt;=Sale_t,1,0)</f>
        <v>60.2287038596774</v>
      </c>
      <c r="E21" s="17" t="n">
        <f aca="false">Declarations!$C$16+(Declarations!$H$16-Declarations!$C$16)*EXP(-Declarations!$D$16*$B21)+IF(Declarations!$E$16=0,0,Declarations!$E$16*($B21/Declarations!$F$16)*EXP(1-$B21/Declarations!$F$16))+Declarations!$G$16*IF($B21&gt;=Sale_t,1,0)</f>
        <v>64.9793447358696</v>
      </c>
      <c r="F21" s="17" t="n">
        <f aca="false">Declarations!$C$17+(Declarations!$H$17-Declarations!$C$17)*EXP(-Declarations!$D$17*$B21)+IF(Declarations!$E$17=0,0,Declarations!$E$17*($B21/Declarations!$F$17)*EXP(1-$B21/Declarations!$F$17))+Declarations!$G$17*IF($B21&gt;=Sale_t,1,0)</f>
        <v>72.5461235596317</v>
      </c>
      <c r="G21" s="17" t="n">
        <f aca="false">Declarations!$C$18+(Declarations!$H$18-Declarations!$C$18)*EXP(-Declarations!$D$18*$B21)+IF(Declarations!$E$18=0,0,Declarations!$E$18*($B21/Declarations!$F$18)*EXP(1-$B21/Declarations!$F$18))+Declarations!$G$18*IF($B21&gt;=Sale_t,1,0)</f>
        <v>119.318719815857</v>
      </c>
      <c r="H21" s="17" t="n">
        <f aca="false">Declarations!$C$19+(Declarations!$H$19-Declarations!$C$19)*EXP(-Declarations!$D$19*$B21)+IF(Declarations!$E$19=0,0,Declarations!$E$19*($B21/Declarations!$F$19)*EXP(1-$B21/Declarations!$F$19))+Declarations!$G$19*IF($B21&gt;=Sale_t,1,0)</f>
        <v>40.1495939317214</v>
      </c>
      <c r="I21" s="17" t="n">
        <f aca="false">Declarations!$C$20+(Declarations!$H$20-Declarations!$C$20)*EXP(-Declarations!$D$20*$B21)+IF(Declarations!$E$20=0,0,Declarations!$E$20*($B21/Declarations!$F$20)*EXP(1-$B21/Declarations!$F$20))+Declarations!$G$20*IF($B21&gt;=Sale_t,1,0)</f>
        <v>72.3535650917179</v>
      </c>
      <c r="J21" s="17" t="n">
        <f aca="false">Declarations!$C$21+(Declarations!$H$21-Declarations!$C$21)*EXP(-Declarations!$D$21*$B21)+IF(Declarations!$E$21=0,0,Declarations!$E$21*($B21/Declarations!$F$21)*EXP(1-$B21/Declarations!$F$21))+Declarations!$G$21*IF($B21&gt;=Sale_t,1,0)</f>
        <v>53.0167126821845</v>
      </c>
      <c r="K21" s="17" t="n">
        <f aca="false">Declarations!$C$22+(Declarations!$H$22-Declarations!$C$22)*EXP(-Declarations!$D$22*$B21)+IF(Declarations!$E$22=0,0,Declarations!$E$22*($B21/Declarations!$F$22)*EXP(1-$B21/Declarations!$F$22))+Declarations!$G$22*IF($B21&gt;=Sale_t,1,0)</f>
        <v>102.707130183436</v>
      </c>
      <c r="L21" s="17" t="n">
        <f aca="false">Declarations!$C$23+(Declarations!$H$23-Declarations!$C$23)*EXP(-Declarations!$D$23*$B21)+IF(Declarations!$E$23=0,0,Declarations!$E$23*($B21/Declarations!$F$23)*EXP(1-$B21/Declarations!$F$23))+Declarations!$G$23*IF($B21&gt;=Sale_t,1,0)</f>
        <v>39.1274267069172</v>
      </c>
      <c r="M21" s="17" t="n">
        <f aca="false">Declarations!$C$24+(Declarations!$H$24-Declarations!$C$24)*EXP(-Declarations!$D$24*$B21)+IF(Declarations!$E$24=0,0,Declarations!$E$24*($B21/Declarations!$F$24)*EXP(1-$B21/Declarations!$F$24))+Declarations!$G$24*IF($B21&gt;=Sale_t,1,0)</f>
        <v>75.4053682870622</v>
      </c>
      <c r="N21" s="17" t="n">
        <f aca="false">Declarations!$C$25+(Declarations!$H$25-Declarations!$C$25)*EXP(-Declarations!$D$25*$B21)+IF(Declarations!$E$25=0,0,Declarations!$E$25*($B21/Declarations!$F$25)*EXP(1-$B21/Declarations!$F$25))+Declarations!$G$25*IF($B21&gt;=Sale_t,1,0)</f>
        <v>64.9890398618931</v>
      </c>
      <c r="O21" s="17" t="n">
        <f aca="false">W_L*S_L*C21+W_T*S_T*D21+W_E*S_E*E21+W_R*S_R*F21</f>
        <v>32.7713560194246</v>
      </c>
      <c r="P21" s="17" t="n">
        <f aca="false">W_L*S_L*G21+W_T*S_T*H21+W_E*S_E*I21+W_R*S_R*J21</f>
        <v>44.7012915392781</v>
      </c>
      <c r="Q21" s="17" t="n">
        <f aca="false">W_L*S_L*K21+W_T*S_T*L21+W_E*S_E*M21+W_R*S_R*N21</f>
        <v>38.0627213288806</v>
      </c>
      <c r="R21" s="16" t="n">
        <f aca="false">IF(O21&lt;Score_today,1,0)</f>
        <v>1</v>
      </c>
      <c r="S21" s="16" t="n">
        <f aca="false">IF(O21&gt;Q21,1,0)</f>
        <v>0</v>
      </c>
      <c r="T21" s="16" t="n">
        <f aca="false">IF(O21&gt;P21,1,0)</f>
        <v>0</v>
      </c>
      <c r="U21" s="16" t="n">
        <f aca="false">1+IF(P21&gt;O21,1,0)+IF(Q21&gt;O21,1,0)</f>
        <v>3</v>
      </c>
      <c r="V21" s="17" t="n">
        <f aca="false">ABS(P21-Q21)</f>
        <v>6.63857021039753</v>
      </c>
    </row>
    <row r="22" customFormat="false" ht="15" hidden="false" customHeight="false" outlineLevel="0" collapsed="false">
      <c r="A22" s="16" t="n">
        <v>17</v>
      </c>
      <c r="B22" s="17" t="n">
        <f aca="false">A22/12</f>
        <v>1.41666666666667</v>
      </c>
      <c r="C22" s="17" t="n">
        <f aca="false">Declarations!$C$14+(Declarations!$H$14-Declarations!$C$14)*EXP(-Declarations!$D$14*$B22)+IF(Declarations!$E$14=0,0,Declarations!$E$14*($B22/Declarations!$F$14)*EXP(1-$B22/Declarations!$F$14))+Declarations!$G$14*IF($B22&gt;=Sale_t,1,0)</f>
        <v>78.1412172493408</v>
      </c>
      <c r="D22" s="17" t="n">
        <f aca="false">Declarations!$C$15+(Declarations!$H$15-Declarations!$C$15)*EXP(-Declarations!$D$15*$B22)+IF(Declarations!$E$15=0,0,Declarations!$E$15*($B22/Declarations!$F$15)*EXP(1-$B22/Declarations!$F$15))+Declarations!$G$15*IF($B22&gt;=Sale_t,1,0)</f>
        <v>61.024837505478</v>
      </c>
      <c r="E22" s="17" t="n">
        <f aca="false">Declarations!$C$16+(Declarations!$H$16-Declarations!$C$16)*EXP(-Declarations!$D$16*$B22)+IF(Declarations!$E$16=0,0,Declarations!$E$16*($B22/Declarations!$F$16)*EXP(1-$B22/Declarations!$F$16))+Declarations!$G$16*IF($B22&gt;=Sale_t,1,0)</f>
        <v>65.0596284434855</v>
      </c>
      <c r="F22" s="17" t="n">
        <f aca="false">Declarations!$C$17+(Declarations!$H$17-Declarations!$C$17)*EXP(-Declarations!$D$17*$B22)+IF(Declarations!$E$17=0,0,Declarations!$E$17*($B22/Declarations!$F$17)*EXP(1-$B22/Declarations!$F$17))+Declarations!$G$17*IF($B22&gt;=Sale_t,1,0)</f>
        <v>72.1738707294185</v>
      </c>
      <c r="G22" s="17" t="n">
        <f aca="false">Declarations!$C$18+(Declarations!$H$18-Declarations!$C$18)*EXP(-Declarations!$D$18*$B22)+IF(Declarations!$E$18=0,0,Declarations!$E$18*($B22/Declarations!$F$18)*EXP(1-$B22/Declarations!$F$18))+Declarations!$G$18*IF($B22&gt;=Sale_t,1,0)</f>
        <v>119.384920859481</v>
      </c>
      <c r="H22" s="17" t="n">
        <f aca="false">Declarations!$C$19+(Declarations!$H$19-Declarations!$C$19)*EXP(-Declarations!$D$19*$B22)+IF(Declarations!$E$19=0,0,Declarations!$E$19*($B22/Declarations!$F$19)*EXP(1-$B22/Declarations!$F$19))+Declarations!$G$19*IF($B22&gt;=Sale_t,1,0)</f>
        <v>40.1052739938257</v>
      </c>
      <c r="I22" s="17" t="n">
        <f aca="false">Declarations!$C$20+(Declarations!$H$20-Declarations!$C$20)*EXP(-Declarations!$D$20*$B22)+IF(Declarations!$E$20=0,0,Declarations!$E$20*($B22/Declarations!$F$20)*EXP(1-$B22/Declarations!$F$20))+Declarations!$G$20*IF($B22&gt;=Sale_t,1,0)</f>
        <v>72.414163087202</v>
      </c>
      <c r="J22" s="17" t="n">
        <f aca="false">Declarations!$C$21+(Declarations!$H$21-Declarations!$C$21)*EXP(-Declarations!$D$21*$B22)+IF(Declarations!$E$21=0,0,Declarations!$E$21*($B22/Declarations!$F$21)*EXP(1-$B22/Declarations!$F$21))+Declarations!$G$21*IF($B22&gt;=Sale_t,1,0)</f>
        <v>52.8725051451041</v>
      </c>
      <c r="K22" s="17" t="n">
        <f aca="false">Declarations!$C$22+(Declarations!$H$22-Declarations!$C$22)*EXP(-Declarations!$D$22*$B22)+IF(Declarations!$E$22=0,0,Declarations!$E$22*($B22/Declarations!$F$22)*EXP(1-$B22/Declarations!$F$22))+Declarations!$G$22*IF($B22&gt;=Sale_t,1,0)</f>
        <v>102.828326174404</v>
      </c>
      <c r="L22" s="17" t="n">
        <f aca="false">Declarations!$C$23+(Declarations!$H$23-Declarations!$C$23)*EXP(-Declarations!$D$23*$B22)+IF(Declarations!$E$23=0,0,Declarations!$E$23*($B22/Declarations!$F$23)*EXP(1-$B22/Declarations!$F$23))+Declarations!$G$23*IF($B22&gt;=Sale_t,1,0)</f>
        <v>39.0261492516373</v>
      </c>
      <c r="M22" s="17" t="n">
        <f aca="false">Declarations!$C$24+(Declarations!$H$24-Declarations!$C$24)*EXP(-Declarations!$D$24*$B22)+IF(Declarations!$E$24=0,0,Declarations!$E$24*($B22/Declarations!$F$24)*EXP(1-$B22/Declarations!$F$24))+Declarations!$G$24*IF($B22&gt;=Sale_t,1,0)</f>
        <v>75.5806805444102</v>
      </c>
      <c r="N22" s="17" t="n">
        <f aca="false">Declarations!$C$25+(Declarations!$H$25-Declarations!$C$25)*EXP(-Declarations!$D$25*$B22)+IF(Declarations!$E$25=0,0,Declarations!$E$25*($B22/Declarations!$F$25)*EXP(1-$B22/Declarations!$F$25))+Declarations!$G$25*IF($B22&gt;=Sale_t,1,0)</f>
        <v>65.0386906446105</v>
      </c>
      <c r="O22" s="17" t="n">
        <f aca="false">W_L*S_L*C22+W_T*S_T*D22+W_E*S_E*E22+W_R*S_R*F22</f>
        <v>33.0129531172215</v>
      </c>
      <c r="P22" s="17" t="n">
        <f aca="false">W_L*S_L*G22+W_T*S_T*H22+W_E*S_E*I22+W_R*S_R*J22</f>
        <v>44.7579631988511</v>
      </c>
      <c r="Q22" s="17" t="n">
        <f aca="false">W_L*S_L*K22+W_T*S_T*L22+W_E*S_E*M22+W_R*S_R*N22</f>
        <v>38.0991163314602</v>
      </c>
      <c r="R22" s="16" t="n">
        <f aca="false">IF(O22&lt;Score_today,1,0)</f>
        <v>1</v>
      </c>
      <c r="S22" s="16" t="n">
        <f aca="false">IF(O22&gt;Q22,1,0)</f>
        <v>0</v>
      </c>
      <c r="T22" s="16" t="n">
        <f aca="false">IF(O22&gt;P22,1,0)</f>
        <v>0</v>
      </c>
      <c r="U22" s="16" t="n">
        <f aca="false">1+IF(P22&gt;O22,1,0)+IF(Q22&gt;O22,1,0)</f>
        <v>3</v>
      </c>
      <c r="V22" s="17" t="n">
        <f aca="false">ABS(P22-Q22)</f>
        <v>6.65884686739081</v>
      </c>
    </row>
    <row r="23" customFormat="false" ht="15" hidden="false" customHeight="false" outlineLevel="0" collapsed="false">
      <c r="A23" s="16" t="n">
        <v>18</v>
      </c>
      <c r="B23" s="17" t="n">
        <f aca="false">A23/12</f>
        <v>1.5</v>
      </c>
      <c r="C23" s="17" t="n">
        <f aca="false">Declarations!$C$14+(Declarations!$H$14-Declarations!$C$14)*EXP(-Declarations!$D$14*$B23)+IF(Declarations!$E$14=0,0,Declarations!$E$14*($B23/Declarations!$F$14)*EXP(1-$B23/Declarations!$F$14))+Declarations!$G$14*IF($B23&gt;=Sale_t,1,0)</f>
        <v>77.9368018771557</v>
      </c>
      <c r="D23" s="17" t="n">
        <f aca="false">Declarations!$C$15+(Declarations!$H$15-Declarations!$C$15)*EXP(-Declarations!$D$15*$B23)+IF(Declarations!$E$15=0,0,Declarations!$E$15*($B23/Declarations!$F$15)*EXP(1-$B23/Declarations!$F$15))+Declarations!$G$15*IF($B23&gt;=Sale_t,1,0)</f>
        <v>61.7853052787969</v>
      </c>
      <c r="E23" s="17" t="n">
        <f aca="false">Declarations!$C$16+(Declarations!$H$16-Declarations!$C$16)*EXP(-Declarations!$D$16*$B23)+IF(Declarations!$E$16=0,0,Declarations!$E$16*($B23/Declarations!$F$16)*EXP(1-$B23/Declarations!$F$16))+Declarations!$G$16*IF($B23&gt;=Sale_t,1,0)</f>
        <v>65.1658006835539</v>
      </c>
      <c r="F23" s="17" t="n">
        <f aca="false">Declarations!$C$17+(Declarations!$H$17-Declarations!$C$17)*EXP(-Declarations!$D$17*$B23)+IF(Declarations!$E$17=0,0,Declarations!$E$17*($B23/Declarations!$F$17)*EXP(1-$B23/Declarations!$F$17))+Declarations!$G$17*IF($B23&gt;=Sale_t,1,0)</f>
        <v>71.7635649729719</v>
      </c>
      <c r="G23" s="17" t="n">
        <f aca="false">Declarations!$C$18+(Declarations!$H$18-Declarations!$C$18)*EXP(-Declarations!$D$18*$B23)+IF(Declarations!$E$18=0,0,Declarations!$E$18*($B23/Declarations!$F$18)*EXP(1-$B23/Declarations!$F$18))+Declarations!$G$18*IF($B23&gt;=Sale_t,1,0)</f>
        <v>119.449487393513</v>
      </c>
      <c r="H23" s="17" t="n">
        <f aca="false">Declarations!$C$19+(Declarations!$H$19-Declarations!$C$19)*EXP(-Declarations!$D$19*$B23)+IF(Declarations!$E$19=0,0,Declarations!$E$19*($B23/Declarations!$F$19)*EXP(1-$B23/Declarations!$F$19))+Declarations!$G$19*IF($B23&gt;=Sale_t,1,0)</f>
        <v>40.0618678363729</v>
      </c>
      <c r="I23" s="17" t="n">
        <f aca="false">Declarations!$C$20+(Declarations!$H$20-Declarations!$C$20)*EXP(-Declarations!$D$20*$B23)+IF(Declarations!$E$20=0,0,Declarations!$E$20*($B23/Declarations!$F$20)*EXP(1-$B23/Declarations!$F$20))+Declarations!$G$20*IF($B23&gt;=Sale_t,1,0)</f>
        <v>72.4725307381774</v>
      </c>
      <c r="J23" s="17" t="n">
        <f aca="false">Declarations!$C$21+(Declarations!$H$21-Declarations!$C$21)*EXP(-Declarations!$D$21*$B23)+IF(Declarations!$E$21=0,0,Declarations!$E$21*($B23/Declarations!$F$21)*EXP(1-$B23/Declarations!$F$21))+Declarations!$G$21*IF($B23&gt;=Sale_t,1,0)</f>
        <v>52.7324429149345</v>
      </c>
      <c r="K23" s="17" t="n">
        <f aca="false">Declarations!$C$22+(Declarations!$H$22-Declarations!$C$22)*EXP(-Declarations!$D$22*$B23)+IF(Declarations!$E$22=0,0,Declarations!$E$22*($B23/Declarations!$F$22)*EXP(1-$B23/Declarations!$F$22))+Declarations!$G$22*IF($B23&gt;=Sale_t,1,0)</f>
        <v>102.945061476355</v>
      </c>
      <c r="L23" s="17" t="n">
        <f aca="false">Declarations!$C$23+(Declarations!$H$23-Declarations!$C$23)*EXP(-Declarations!$D$23*$B23)+IF(Declarations!$E$23=0,0,Declarations!$E$23*($B23/Declarations!$F$23)*EXP(1-$B23/Declarations!$F$23))+Declarations!$G$23*IF($B23&gt;=Sale_t,1,0)</f>
        <v>38.9265457654537</v>
      </c>
      <c r="M23" s="17" t="n">
        <f aca="false">Declarations!$C$24+(Declarations!$H$24-Declarations!$C$24)*EXP(-Declarations!$D$24*$B23)+IF(Declarations!$E$24=0,0,Declarations!$E$24*($B23/Declarations!$F$24)*EXP(1-$B23/Declarations!$F$24))+Declarations!$G$24*IF($B23&gt;=Sale_t,1,0)</f>
        <v>75.7474427220752</v>
      </c>
      <c r="N23" s="17" t="n">
        <f aca="false">Declarations!$C$25+(Declarations!$H$25-Declarations!$C$25)*EXP(-Declarations!$D$25*$B23)+IF(Declarations!$E$25=0,0,Declarations!$E$25*($B23/Declarations!$F$25)*EXP(1-$B23/Declarations!$F$25))+Declarations!$G$25*IF($B23&gt;=Sale_t,1,0)</f>
        <v>65.0871155451347</v>
      </c>
      <c r="O23" s="17" t="n">
        <f aca="false">W_L*S_L*C23+W_T*S_T*D23+W_E*S_E*E23+W_R*S_R*F23</f>
        <v>33.2810857166336</v>
      </c>
      <c r="P23" s="17" t="n">
        <f aca="false">W_L*S_L*G23+W_T*S_T*H23+W_E*S_E*I23+W_R*S_R*J23</f>
        <v>44.8128607632822</v>
      </c>
      <c r="Q23" s="17" t="n">
        <f aca="false">W_L*S_L*K23+W_T*S_T*L23+W_E*S_E*M23+W_R*S_R*N23</f>
        <v>38.1329836046872</v>
      </c>
      <c r="R23" s="16" t="n">
        <f aca="false">IF(O23&lt;Score_today,1,0)</f>
        <v>1</v>
      </c>
      <c r="S23" s="16" t="n">
        <f aca="false">IF(O23&gt;Q23,1,0)</f>
        <v>0</v>
      </c>
      <c r="T23" s="16" t="n">
        <f aca="false">IF(O23&gt;P23,1,0)</f>
        <v>0</v>
      </c>
      <c r="U23" s="16" t="n">
        <f aca="false">1+IF(P23&gt;O23,1,0)+IF(Q23&gt;O23,1,0)</f>
        <v>3</v>
      </c>
      <c r="V23" s="17" t="n">
        <f aca="false">ABS(P23-Q23)</f>
        <v>6.67987715859493</v>
      </c>
    </row>
    <row r="24" customFormat="false" ht="15" hidden="false" customHeight="false" outlineLevel="0" collapsed="false">
      <c r="A24" s="16" t="n">
        <v>19</v>
      </c>
      <c r="B24" s="17" t="n">
        <f aca="false">A24/12</f>
        <v>1.58333333333333</v>
      </c>
      <c r="C24" s="17" t="n">
        <f aca="false">Declarations!$C$14+(Declarations!$H$14-Declarations!$C$14)*EXP(-Declarations!$D$14*$B24)+IF(Declarations!$E$14=0,0,Declarations!$E$14*($B24/Declarations!$F$14)*EXP(1-$B24/Declarations!$F$14))+Declarations!$G$14*IF($B24&gt;=Sale_t,1,0)</f>
        <v>77.8043990117055</v>
      </c>
      <c r="D24" s="17" t="n">
        <f aca="false">Declarations!$C$15+(Declarations!$H$15-Declarations!$C$15)*EXP(-Declarations!$D$15*$B24)+IF(Declarations!$E$15=0,0,Declarations!$E$15*($B24/Declarations!$F$15)*EXP(1-$B24/Declarations!$F$15))+Declarations!$G$15*IF($B24&gt;=Sale_t,1,0)</f>
        <v>62.511704969737</v>
      </c>
      <c r="E24" s="17" t="n">
        <f aca="false">Declarations!$C$16+(Declarations!$H$16-Declarations!$C$16)*EXP(-Declarations!$D$16*$B24)+IF(Declarations!$E$16=0,0,Declarations!$E$16*($B24/Declarations!$F$16)*EXP(1-$B24/Declarations!$F$16))+Declarations!$G$16*IF($B24&gt;=Sale_t,1,0)</f>
        <v>65.2948509417047</v>
      </c>
      <c r="F24" s="17" t="n">
        <f aca="false">Declarations!$C$17+(Declarations!$H$17-Declarations!$C$17)*EXP(-Declarations!$D$17*$B24)+IF(Declarations!$E$17=0,0,Declarations!$E$17*($B24/Declarations!$F$17)*EXP(1-$B24/Declarations!$F$17))+Declarations!$G$17*IF($B24&gt;=Sale_t,1,0)</f>
        <v>71.3216932993983</v>
      </c>
      <c r="G24" s="17" t="n">
        <f aca="false">Declarations!$C$18+(Declarations!$H$18-Declarations!$C$18)*EXP(-Declarations!$D$18*$B24)+IF(Declarations!$E$18=0,0,Declarations!$E$18*($B24/Declarations!$F$18)*EXP(1-$B24/Declarations!$F$18))+Declarations!$G$18*IF($B24&gt;=Sale_t,1,0)</f>
        <v>119.51245977414</v>
      </c>
      <c r="H24" s="17" t="n">
        <f aca="false">Declarations!$C$19+(Declarations!$H$19-Declarations!$C$19)*EXP(-Declarations!$D$19*$B24)+IF(Declarations!$E$19=0,0,Declarations!$E$19*($B24/Declarations!$F$19)*EXP(1-$B24/Declarations!$F$19))+Declarations!$G$19*IF($B24&gt;=Sale_t,1,0)</f>
        <v>40.0193566192036</v>
      </c>
      <c r="I24" s="17" t="n">
        <f aca="false">Declarations!$C$20+(Declarations!$H$20-Declarations!$C$20)*EXP(-Declarations!$D$20*$B24)+IF(Declarations!$E$20=0,0,Declarations!$E$20*($B24/Declarations!$F$20)*EXP(1-$B24/Declarations!$F$20))+Declarations!$G$20*IF($B24&gt;=Sale_t,1,0)</f>
        <v>72.5287501337723</v>
      </c>
      <c r="J24" s="17" t="n">
        <f aca="false">Declarations!$C$21+(Declarations!$H$21-Declarations!$C$21)*EXP(-Declarations!$D$21*$B24)+IF(Declarations!$E$21=0,0,Declarations!$E$21*($B24/Declarations!$F$21)*EXP(1-$B24/Declarations!$F$21))+Declarations!$G$21*IF($B24&gt;=Sale_t,1,0)</f>
        <v>52.5964068330677</v>
      </c>
      <c r="K24" s="17" t="n">
        <f aca="false">Declarations!$C$22+(Declarations!$H$22-Declarations!$C$22)*EXP(-Declarations!$D$22*$B24)+IF(Declarations!$E$22=0,0,Declarations!$E$22*($B24/Declarations!$F$22)*EXP(1-$B24/Declarations!$F$22))+Declarations!$G$22*IF($B24&gt;=Sale_t,1,0)</f>
        <v>103.057500267545</v>
      </c>
      <c r="L24" s="17" t="n">
        <f aca="false">Declarations!$C$23+(Declarations!$H$23-Declarations!$C$23)*EXP(-Declarations!$D$23*$B24)+IF(Declarations!$E$23=0,0,Declarations!$E$23*($B24/Declarations!$F$23)*EXP(1-$B24/Declarations!$F$23))+Declarations!$G$23*IF($B24&gt;=Sale_t,1,0)</f>
        <v>38.8285885800911</v>
      </c>
      <c r="M24" s="17" t="n">
        <f aca="false">Declarations!$C$24+(Declarations!$H$24-Declarations!$C$24)*EXP(-Declarations!$D$24*$B24)+IF(Declarations!$E$24=0,0,Declarations!$E$24*($B24/Declarations!$F$24)*EXP(1-$B24/Declarations!$F$24))+Declarations!$G$24*IF($B24&gt;=Sale_t,1,0)</f>
        <v>75.906071812364</v>
      </c>
      <c r="N24" s="17" t="n">
        <f aca="false">Declarations!$C$25+(Declarations!$H$25-Declarations!$C$25)*EXP(-Declarations!$D$25*$B24)+IF(Declarations!$E$25=0,0,Declarations!$E$25*($B24/Declarations!$F$25)*EXP(1-$B24/Declarations!$F$25))+Declarations!$G$25*IF($B24&gt;=Sale_t,1,0)</f>
        <v>65.134344830605</v>
      </c>
      <c r="O24" s="17" t="n">
        <f aca="false">W_L*S_L*C24+W_T*S_T*D24+W_E*S_E*E24+W_R*S_R*F24</f>
        <v>33.5723154059372</v>
      </c>
      <c r="P24" s="17" t="n">
        <f aca="false">W_L*S_L*G24+W_T*S_T*H24+W_E*S_E*I24+W_R*S_R*J24</f>
        <v>44.866039923512</v>
      </c>
      <c r="Q24" s="17" t="n">
        <f aca="false">W_L*S_L*K24+W_T*S_T*L24+W_E*S_E*M24+W_R*S_R*N24</f>
        <v>38.1644539573487</v>
      </c>
      <c r="R24" s="16" t="n">
        <f aca="false">IF(O24&lt;Score_today,1,0)</f>
        <v>1</v>
      </c>
      <c r="S24" s="16" t="n">
        <f aca="false">IF(O24&gt;Q24,1,0)</f>
        <v>0</v>
      </c>
      <c r="T24" s="16" t="n">
        <f aca="false">IF(O24&gt;P24,1,0)</f>
        <v>0</v>
      </c>
      <c r="U24" s="16" t="n">
        <f aca="false">1+IF(P24&gt;O24,1,0)+IF(Q24&gt;O24,1,0)</f>
        <v>3</v>
      </c>
      <c r="V24" s="17" t="n">
        <f aca="false">ABS(P24-Q24)</f>
        <v>6.70158596616336</v>
      </c>
    </row>
    <row r="25" customFormat="false" ht="15" hidden="false" customHeight="false" outlineLevel="0" collapsed="false">
      <c r="A25" s="16" t="n">
        <v>20</v>
      </c>
      <c r="B25" s="17" t="n">
        <f aca="false">A25/12</f>
        <v>1.66666666666667</v>
      </c>
      <c r="C25" s="17" t="n">
        <f aca="false">Declarations!$C$14+(Declarations!$H$14-Declarations!$C$14)*EXP(-Declarations!$D$14*$B25)+IF(Declarations!$E$14=0,0,Declarations!$E$14*($B25/Declarations!$F$14)*EXP(1-$B25/Declarations!$F$14))+Declarations!$G$14*IF($B25&gt;=Sale_t,1,0)</f>
        <v>77.738501950561</v>
      </c>
      <c r="D25" s="17" t="n">
        <f aca="false">Declarations!$C$15+(Declarations!$H$15-Declarations!$C$15)*EXP(-Declarations!$D$15*$B25)+IF(Declarations!$E$15=0,0,Declarations!$E$15*($B25/Declarations!$F$15)*EXP(1-$B25/Declarations!$F$15))+Declarations!$G$15*IF($B25&gt;=Sale_t,1,0)</f>
        <v>63.2055627892406</v>
      </c>
      <c r="E25" s="17" t="n">
        <f aca="false">Declarations!$C$16+(Declarations!$H$16-Declarations!$C$16)*EXP(-Declarations!$D$16*$B25)+IF(Declarations!$E$16=0,0,Declarations!$E$16*($B25/Declarations!$F$16)*EXP(1-$B25/Declarations!$F$16))+Declarations!$G$16*IF($B25&gt;=Sale_t,1,0)</f>
        <v>65.4440175808138</v>
      </c>
      <c r="F25" s="17" t="n">
        <f aca="false">Declarations!$C$17+(Declarations!$H$17-Declarations!$C$17)*EXP(-Declarations!$D$17*$B25)+IF(Declarations!$E$17=0,0,Declarations!$E$17*($B25/Declarations!$F$17)*EXP(1-$B25/Declarations!$F$17))+Declarations!$G$17*IF($B25&gt;=Sale_t,1,0)</f>
        <v>70.854053230863</v>
      </c>
      <c r="G25" s="17" t="n">
        <f aca="false">Declarations!$C$18+(Declarations!$H$18-Declarations!$C$18)*EXP(-Declarations!$D$18*$B25)+IF(Declarations!$E$18=0,0,Declarations!$E$18*($B25/Declarations!$F$18)*EXP(1-$B25/Declarations!$F$18))+Declarations!$G$18*IF($B25&gt;=Sale_t,1,0)</f>
        <v>119.573877361149</v>
      </c>
      <c r="H25" s="17" t="n">
        <f aca="false">Declarations!$C$19+(Declarations!$H$19-Declarations!$C$19)*EXP(-Declarations!$D$19*$B25)+IF(Declarations!$E$19=0,0,Declarations!$E$19*($B25/Declarations!$F$19)*EXP(1-$B25/Declarations!$F$19))+Declarations!$G$19*IF($B25&gt;=Sale_t,1,0)</f>
        <v>39.9777218906013</v>
      </c>
      <c r="I25" s="17" t="n">
        <f aca="false">Declarations!$C$20+(Declarations!$H$20-Declarations!$C$20)*EXP(-Declarations!$D$20*$B25)+IF(Declarations!$E$20=0,0,Declarations!$E$20*($B25/Declarations!$F$20)*EXP(1-$B25/Declarations!$F$20))+Declarations!$G$20*IF($B25&gt;=Sale_t,1,0)</f>
        <v>72.582900341777</v>
      </c>
      <c r="J25" s="17" t="n">
        <f aca="false">Declarations!$C$21+(Declarations!$H$21-Declarations!$C$21)*EXP(-Declarations!$D$21*$B25)+IF(Declarations!$E$21=0,0,Declarations!$E$21*($B25/Declarations!$F$21)*EXP(1-$B25/Declarations!$F$21))+Declarations!$G$21*IF($B25&gt;=Sale_t,1,0)</f>
        <v>52.4642811661604</v>
      </c>
      <c r="K25" s="17" t="n">
        <f aca="false">Declarations!$C$22+(Declarations!$H$22-Declarations!$C$22)*EXP(-Declarations!$D$22*$B25)+IF(Declarations!$E$22=0,0,Declarations!$E$22*($B25/Declarations!$F$22)*EXP(1-$B25/Declarations!$F$22))+Declarations!$G$22*IF($B25&gt;=Sale_t,1,0)</f>
        <v>103.165800683554</v>
      </c>
      <c r="L25" s="17" t="n">
        <f aca="false">Declarations!$C$23+(Declarations!$H$23-Declarations!$C$23)*EXP(-Declarations!$D$23*$B25)+IF(Declarations!$E$23=0,0,Declarations!$E$23*($B25/Declarations!$F$23)*EXP(1-$B25/Declarations!$F$23))+Declarations!$G$23*IF($B25&gt;=Sale_t,1,0)</f>
        <v>38.7322504845903</v>
      </c>
      <c r="M25" s="17" t="n">
        <f aca="false">Declarations!$C$24+(Declarations!$H$24-Declarations!$C$24)*EXP(-Declarations!$D$24*$B25)+IF(Declarations!$E$24=0,0,Declarations!$E$24*($B25/Declarations!$F$24)*EXP(1-$B25/Declarations!$F$24))+Declarations!$G$24*IF($B25&gt;=Sale_t,1,0)</f>
        <v>76.0569644706285</v>
      </c>
      <c r="N25" s="17" t="n">
        <f aca="false">Declarations!$C$25+(Declarations!$H$25-Declarations!$C$25)*EXP(-Declarations!$D$25*$B25)+IF(Declarations!$E$25=0,0,Declarations!$E$25*($B25/Declarations!$F$25)*EXP(1-$B25/Declarations!$F$25))+Declarations!$G$25*IF($B25&gt;=Sale_t,1,0)</f>
        <v>65.1804080208621</v>
      </c>
      <c r="O25" s="17" t="n">
        <f aca="false">W_L*S_L*C25+W_T*S_T*D25+W_E*S_E*E25+W_R*S_R*F25</f>
        <v>33.8835072724381</v>
      </c>
      <c r="P25" s="17" t="n">
        <f aca="false">W_L*S_L*G25+W_T*S_T*H25+W_E*S_E*I25+W_R*S_R*J25</f>
        <v>44.9175546068419</v>
      </c>
      <c r="Q25" s="17" t="n">
        <f aca="false">W_L*S_L*K25+W_T*S_T*L25+W_E*S_E*M25+W_R*S_R*N25</f>
        <v>38.1936519044777</v>
      </c>
      <c r="R25" s="16" t="n">
        <f aca="false">IF(O25&lt;Score_today,1,0)</f>
        <v>1</v>
      </c>
      <c r="S25" s="16" t="n">
        <f aca="false">IF(O25&gt;Q25,1,0)</f>
        <v>0</v>
      </c>
      <c r="T25" s="16" t="n">
        <f aca="false">IF(O25&gt;P25,1,0)</f>
        <v>0</v>
      </c>
      <c r="U25" s="16" t="n">
        <f aca="false">1+IF(P25&gt;O25,1,0)+IF(Q25&gt;O25,1,0)</f>
        <v>3</v>
      </c>
      <c r="V25" s="17" t="n">
        <f aca="false">ABS(P25-Q25)</f>
        <v>6.7239027023642</v>
      </c>
    </row>
    <row r="26" customFormat="false" ht="15" hidden="false" customHeight="false" outlineLevel="0" collapsed="false">
      <c r="A26" s="16" t="n">
        <v>21</v>
      </c>
      <c r="B26" s="17" t="n">
        <f aca="false">A26/12</f>
        <v>1.75</v>
      </c>
      <c r="C26" s="17" t="n">
        <f aca="false">Declarations!$C$14+(Declarations!$H$14-Declarations!$C$14)*EXP(-Declarations!$D$14*$B26)+IF(Declarations!$E$14=0,0,Declarations!$E$14*($B26/Declarations!$F$14)*EXP(1-$B26/Declarations!$F$14))+Declarations!$G$14*IF($B26&gt;=Sale_t,1,0)</f>
        <v>77.7339326383525</v>
      </c>
      <c r="D26" s="17" t="n">
        <f aca="false">Declarations!$C$15+(Declarations!$H$15-Declarations!$C$15)*EXP(-Declarations!$D$15*$B26)+IF(Declarations!$E$15=0,0,Declarations!$E$15*($B26/Declarations!$F$15)*EXP(1-$B26/Declarations!$F$15))+Declarations!$G$15*IF($B26&gt;=Sale_t,1,0)</f>
        <v>63.8683365757539</v>
      </c>
      <c r="E26" s="17" t="n">
        <f aca="false">Declarations!$C$16+(Declarations!$H$16-Declarations!$C$16)*EXP(-Declarations!$D$16*$B26)+IF(Declarations!$E$16=0,0,Declarations!$E$16*($B26/Declarations!$F$16)*EXP(1-$B26/Declarations!$F$16))+Declarations!$G$16*IF($B26&gt;=Sale_t,1,0)</f>
        <v>65.6107697705775</v>
      </c>
      <c r="F26" s="17" t="n">
        <f aca="false">Declarations!$C$17+(Declarations!$H$17-Declarations!$C$17)*EXP(-Declarations!$D$17*$B26)+IF(Declarations!$E$17=0,0,Declarations!$E$17*($B26/Declarations!$F$17)*EXP(1-$B26/Declarations!$F$17))+Declarations!$G$17*IF($B26&gt;=Sale_t,1,0)</f>
        <v>70.3658158022576</v>
      </c>
      <c r="G26" s="17" t="n">
        <f aca="false">Declarations!$C$18+(Declarations!$H$18-Declarations!$C$18)*EXP(-Declarations!$D$18*$B26)+IF(Declarations!$E$18=0,0,Declarations!$E$18*($B26/Declarations!$F$18)*EXP(1-$B26/Declarations!$F$18))+Declarations!$G$18*IF($B26&gt;=Sale_t,1,0)</f>
        <v>119.633778542533</v>
      </c>
      <c r="H26" s="17" t="n">
        <f aca="false">Declarations!$C$19+(Declarations!$H$19-Declarations!$C$19)*EXP(-Declarations!$D$19*$B26)+IF(Declarations!$E$19=0,0,Declarations!$E$19*($B26/Declarations!$F$19)*EXP(1-$B26/Declarations!$F$19))+Declarations!$G$19*IF($B26&gt;=Sale_t,1,0)</f>
        <v>39.9369455792837</v>
      </c>
      <c r="I26" s="17" t="n">
        <f aca="false">Declarations!$C$20+(Declarations!$H$20-Declarations!$C$20)*EXP(-Declarations!$D$20*$B26)+IF(Declarations!$E$20=0,0,Declarations!$E$20*($B26/Declarations!$F$20)*EXP(1-$B26/Declarations!$F$20))+Declarations!$G$20*IF($B26&gt;=Sale_t,1,0)</f>
        <v>72.6350575198455</v>
      </c>
      <c r="J26" s="17" t="n">
        <f aca="false">Declarations!$C$21+(Declarations!$H$21-Declarations!$C$21)*EXP(-Declarations!$D$21*$B26)+IF(Declarations!$E$21=0,0,Declarations!$E$21*($B26/Declarations!$F$21)*EXP(1-$B26/Declarations!$F$21))+Declarations!$G$21*IF($B26&gt;=Sale_t,1,0)</f>
        <v>52.3359535076735</v>
      </c>
      <c r="K26" s="17" t="n">
        <f aca="false">Declarations!$C$22+(Declarations!$H$22-Declarations!$C$22)*EXP(-Declarations!$D$22*$B26)+IF(Declarations!$E$22=0,0,Declarations!$E$22*($B26/Declarations!$F$22)*EXP(1-$B26/Declarations!$F$22))+Declarations!$G$22*IF($B26&gt;=Sale_t,1,0)</f>
        <v>103.270115039691</v>
      </c>
      <c r="L26" s="17" t="n">
        <f aca="false">Declarations!$C$23+(Declarations!$H$23-Declarations!$C$23)*EXP(-Declarations!$D$23*$B26)+IF(Declarations!$E$23=0,0,Declarations!$E$23*($B26/Declarations!$F$23)*EXP(1-$B26/Declarations!$F$23))+Declarations!$G$23*IF($B26&gt;=Sale_t,1,0)</f>
        <v>38.6375047177497</v>
      </c>
      <c r="M26" s="17" t="n">
        <f aca="false">Declarations!$C$24+(Declarations!$H$24-Declarations!$C$24)*EXP(-Declarations!$D$24*$B26)+IF(Declarations!$E$24=0,0,Declarations!$E$24*($B26/Declarations!$F$24)*EXP(1-$B26/Declarations!$F$24))+Declarations!$G$24*IF($B26&gt;=Sale_t,1,0)</f>
        <v>76.2004980071108</v>
      </c>
      <c r="N26" s="17" t="n">
        <f aca="false">Declarations!$C$25+(Declarations!$H$25-Declarations!$C$25)*EXP(-Declarations!$D$25*$B26)+IF(Declarations!$E$25=0,0,Declarations!$E$25*($B26/Declarations!$F$25)*EXP(1-$B26/Declarations!$F$25))+Declarations!$G$25*IF($B26&gt;=Sale_t,1,0)</f>
        <v>65.2253339068996</v>
      </c>
      <c r="O26" s="17" t="n">
        <f aca="false">W_L*S_L*C26+W_T*S_T*D26+W_E*S_E*E26+W_R*S_R*F26</f>
        <v>34.2118057956066</v>
      </c>
      <c r="P26" s="17" t="n">
        <f aca="false">W_L*S_L*G26+W_T*S_T*H26+W_E*S_E*I26+W_R*S_R*J26</f>
        <v>44.9674570334971</v>
      </c>
      <c r="Q26" s="17" t="n">
        <f aca="false">W_L*S_L*K26+W_T*S_T*L26+W_E*S_E*M26+W_R*S_R*N26</f>
        <v>38.220695964413</v>
      </c>
      <c r="R26" s="16" t="n">
        <f aca="false">IF(O26&lt;Score_today,1,0)</f>
        <v>1</v>
      </c>
      <c r="S26" s="16" t="n">
        <f aca="false">IF(O26&gt;Q26,1,0)</f>
        <v>0</v>
      </c>
      <c r="T26" s="16" t="n">
        <f aca="false">IF(O26&gt;P26,1,0)</f>
        <v>0</v>
      </c>
      <c r="U26" s="16" t="n">
        <f aca="false">1+IF(P26&gt;O26,1,0)+IF(Q26&gt;O26,1,0)</f>
        <v>3</v>
      </c>
      <c r="V26" s="17" t="n">
        <f aca="false">ABS(P26-Q26)</f>
        <v>6.74676106908413</v>
      </c>
    </row>
    <row r="27" customFormat="false" ht="15" hidden="false" customHeight="false" outlineLevel="0" collapsed="false">
      <c r="A27" s="16" t="n">
        <v>22</v>
      </c>
      <c r="B27" s="17" t="n">
        <f aca="false">A27/12</f>
        <v>1.83333333333333</v>
      </c>
      <c r="C27" s="17" t="n">
        <f aca="false">Declarations!$C$14+(Declarations!$H$14-Declarations!$C$14)*EXP(-Declarations!$D$14*$B27)+IF(Declarations!$E$14=0,0,Declarations!$E$14*($B27/Declarations!$F$14)*EXP(1-$B27/Declarations!$F$14))+Declarations!$G$14*IF($B27&gt;=Sale_t,1,0)</f>
        <v>77.785824038926</v>
      </c>
      <c r="D27" s="17" t="n">
        <f aca="false">Declarations!$C$15+(Declarations!$H$15-Declarations!$C$15)*EXP(-Declarations!$D$15*$B27)+IF(Declarations!$E$15=0,0,Declarations!$E$15*($B27/Declarations!$F$15)*EXP(1-$B27/Declarations!$F$15))+Declarations!$G$15*IF($B27&gt;=Sale_t,1,0)</f>
        <v>64.5014188582355</v>
      </c>
      <c r="E27" s="17" t="n">
        <f aca="false">Declarations!$C$16+(Declarations!$H$16-Declarations!$C$16)*EXP(-Declarations!$D$16*$B27)+IF(Declarations!$E$16=0,0,Declarations!$E$16*($B27/Declarations!$F$16)*EXP(1-$B27/Declarations!$F$16))+Declarations!$G$16*IF($B27&gt;=Sale_t,1,0)</f>
        <v>65.792790641846</v>
      </c>
      <c r="F27" s="17" t="n">
        <f aca="false">Declarations!$C$17+(Declarations!$H$17-Declarations!$C$17)*EXP(-Declarations!$D$17*$B27)+IF(Declarations!$E$17=0,0,Declarations!$E$17*($B27/Declarations!$F$17)*EXP(1-$B27/Declarations!$F$17))+Declarations!$G$17*IF($B27&gt;=Sale_t,1,0)</f>
        <v>69.861583221432</v>
      </c>
      <c r="G27" s="17" t="n">
        <f aca="false">Declarations!$C$18+(Declarations!$H$18-Declarations!$C$18)*EXP(-Declarations!$D$18*$B27)+IF(Declarations!$E$18=0,0,Declarations!$E$18*($B27/Declarations!$F$18)*EXP(1-$B27/Declarations!$F$18))+Declarations!$G$18*IF($B27&gt;=Sale_t,1,0)</f>
        <v>119.692200758478</v>
      </c>
      <c r="H27" s="17" t="n">
        <f aca="false">Declarations!$C$19+(Declarations!$H$19-Declarations!$C$19)*EXP(-Declarations!$D$19*$B27)+IF(Declarations!$E$19=0,0,Declarations!$E$19*($B27/Declarations!$F$19)*EXP(1-$B27/Declarations!$F$19))+Declarations!$G$19*IF($B27&gt;=Sale_t,1,0)</f>
        <v>39.8970099865588</v>
      </c>
      <c r="I27" s="17" t="n">
        <f aca="false">Declarations!$C$20+(Declarations!$H$20-Declarations!$C$20)*EXP(-Declarations!$D$20*$B27)+IF(Declarations!$E$20=0,0,Declarations!$E$20*($B27/Declarations!$F$20)*EXP(1-$B27/Declarations!$F$20))+Declarations!$G$20*IF($B27&gt;=Sale_t,1,0)</f>
        <v>72.6852950226052</v>
      </c>
      <c r="J27" s="17" t="n">
        <f aca="false">Declarations!$C$21+(Declarations!$H$21-Declarations!$C$21)*EXP(-Declarations!$D$21*$B27)+IF(Declarations!$E$21=0,0,Declarations!$E$21*($B27/Declarations!$F$21)*EXP(1-$B27/Declarations!$F$21))+Declarations!$G$21*IF($B27&gt;=Sale_t,1,0)</f>
        <v>52.2113146822417</v>
      </c>
      <c r="K27" s="17" t="n">
        <f aca="false">Declarations!$C$22+(Declarations!$H$22-Declarations!$C$22)*EXP(-Declarations!$D$22*$B27)+IF(Declarations!$E$22=0,0,Declarations!$E$22*($B27/Declarations!$F$22)*EXP(1-$B27/Declarations!$F$22))+Declarations!$G$22*IF($B27&gt;=Sale_t,1,0)</f>
        <v>103.37059004521</v>
      </c>
      <c r="L27" s="17" t="n">
        <f aca="false">Declarations!$C$23+(Declarations!$H$23-Declarations!$C$23)*EXP(-Declarations!$D$23*$B27)+IF(Declarations!$E$23=0,0,Declarations!$E$23*($B27/Declarations!$F$23)*EXP(1-$B27/Declarations!$F$23))+Declarations!$G$23*IF($B27&gt;=Sale_t,1,0)</f>
        <v>38.5443249606915</v>
      </c>
      <c r="M27" s="17" t="n">
        <f aca="false">Declarations!$C$24+(Declarations!$H$24-Declarations!$C$24)*EXP(-Declarations!$D$24*$B27)+IF(Declarations!$E$24=0,0,Declarations!$E$24*($B27/Declarations!$F$24)*EXP(1-$B27/Declarations!$F$24))+Declarations!$G$24*IF($B27&gt;=Sale_t,1,0)</f>
        <v>76.3370313304154</v>
      </c>
      <c r="N27" s="17" t="n">
        <f aca="false">Declarations!$C$25+(Declarations!$H$25-Declarations!$C$25)*EXP(-Declarations!$D$25*$B27)+IF(Declarations!$E$25=0,0,Declarations!$E$25*($B27/Declarations!$F$25)*EXP(1-$B27/Declarations!$F$25))+Declarations!$G$25*IF($B27&gt;=Sale_t,1,0)</f>
        <v>65.2691505688585</v>
      </c>
      <c r="O27" s="17" t="n">
        <f aca="false">W_L*S_L*C27+W_T*S_T*D27+W_E*S_E*E27+W_R*S_R*F27</f>
        <v>34.5546125793939</v>
      </c>
      <c r="P27" s="17" t="n">
        <f aca="false">W_L*S_L*G27+W_T*S_T*H27+W_E*S_E*I27+W_R*S_R*J27</f>
        <v>45.0157977713501</v>
      </c>
      <c r="Q27" s="17" t="n">
        <f aca="false">W_L*S_L*K27+W_T*S_T*L27+W_E*S_E*M27+W_R*S_R*N27</f>
        <v>38.2456989418647</v>
      </c>
      <c r="R27" s="16" t="n">
        <f aca="false">IF(O27&lt;Score_today,1,0)</f>
        <v>1</v>
      </c>
      <c r="S27" s="16" t="n">
        <f aca="false">IF(O27&gt;Q27,1,0)</f>
        <v>0</v>
      </c>
      <c r="T27" s="16" t="n">
        <f aca="false">IF(O27&gt;P27,1,0)</f>
        <v>0</v>
      </c>
      <c r="U27" s="16" t="n">
        <f aca="false">1+IF(P27&gt;O27,1,0)+IF(Q27&gt;O27,1,0)</f>
        <v>3</v>
      </c>
      <c r="V27" s="17" t="n">
        <f aca="false">ABS(P27-Q27)</f>
        <v>6.77009882948541</v>
      </c>
    </row>
    <row r="28" customFormat="false" ht="15" hidden="false" customHeight="false" outlineLevel="0" collapsed="false">
      <c r="A28" s="16" t="n">
        <v>23</v>
      </c>
      <c r="B28" s="17" t="n">
        <f aca="false">A28/12</f>
        <v>1.91666666666667</v>
      </c>
      <c r="C28" s="17" t="n">
        <f aca="false">Declarations!$C$14+(Declarations!$H$14-Declarations!$C$14)*EXP(-Declarations!$D$14*$B28)+IF(Declarations!$E$14=0,0,Declarations!$E$14*($B28/Declarations!$F$14)*EXP(1-$B28/Declarations!$F$14))+Declarations!$G$14*IF($B28&gt;=Sale_t,1,0)</f>
        <v>77.8896033982143</v>
      </c>
      <c r="D28" s="17" t="n">
        <f aca="false">Declarations!$C$15+(Declarations!$H$15-Declarations!$C$15)*EXP(-Declarations!$D$15*$B28)+IF(Declarations!$E$15=0,0,Declarations!$E$15*($B28/Declarations!$F$15)*EXP(1-$B28/Declarations!$F$15))+Declarations!$G$15*IF($B28&gt;=Sale_t,1,0)</f>
        <v>65.1061397819471</v>
      </c>
      <c r="E28" s="17" t="n">
        <f aca="false">Declarations!$C$16+(Declarations!$H$16-Declarations!$C$16)*EXP(-Declarations!$D$16*$B28)+IF(Declarations!$E$16=0,0,Declarations!$E$16*($B28/Declarations!$F$16)*EXP(1-$B28/Declarations!$F$16))+Declarations!$G$16*IF($B28&gt;=Sale_t,1,0)</f>
        <v>65.987961586177</v>
      </c>
      <c r="F28" s="17" t="n">
        <f aca="false">Declarations!$C$17+(Declarations!$H$17-Declarations!$C$17)*EXP(-Declarations!$D$17*$B28)+IF(Declarations!$E$17=0,0,Declarations!$E$17*($B28/Declarations!$F$17)*EXP(1-$B28/Declarations!$F$17))+Declarations!$G$17*IF($B28&gt;=Sale_t,1,0)</f>
        <v>69.3454416225273</v>
      </c>
      <c r="G28" s="17" t="n">
        <f aca="false">Declarations!$C$18+(Declarations!$H$18-Declarations!$C$18)*EXP(-Declarations!$D$18*$B28)+IF(Declarations!$E$18=0,0,Declarations!$E$18*($B28/Declarations!$F$18)*EXP(1-$B28/Declarations!$F$18))+Declarations!$G$18*IF($B28&gt;=Sale_t,1,0)</f>
        <v>119.749180524772</v>
      </c>
      <c r="H28" s="17" t="n">
        <f aca="false">Declarations!$C$19+(Declarations!$H$19-Declarations!$C$19)*EXP(-Declarations!$D$19*$B28)+IF(Declarations!$E$19=0,0,Declarations!$E$19*($B28/Declarations!$F$19)*EXP(1-$B28/Declarations!$F$19))+Declarations!$G$19*IF($B28&gt;=Sale_t,1,0)</f>
        <v>39.8578977786431</v>
      </c>
      <c r="I28" s="17" t="n">
        <f aca="false">Declarations!$C$20+(Declarations!$H$20-Declarations!$C$20)*EXP(-Declarations!$D$20*$B28)+IF(Declarations!$E$20=0,0,Declarations!$E$20*($B28/Declarations!$F$20)*EXP(1-$B28/Declarations!$F$20))+Declarations!$G$20*IF($B28&gt;=Sale_t,1,0)</f>
        <v>72.7336835048235</v>
      </c>
      <c r="J28" s="17" t="n">
        <f aca="false">Declarations!$C$21+(Declarations!$H$21-Declarations!$C$21)*EXP(-Declarations!$D$21*$B28)+IF(Declarations!$E$21=0,0,Declarations!$E$21*($B28/Declarations!$F$21)*EXP(1-$B28/Declarations!$F$21))+Declarations!$G$21*IF($B28&gt;=Sale_t,1,0)</f>
        <v>52.0902586527917</v>
      </c>
      <c r="K28" s="17" t="n">
        <f aca="false">Declarations!$C$22+(Declarations!$H$22-Declarations!$C$22)*EXP(-Declarations!$D$22*$B28)+IF(Declarations!$E$22=0,0,Declarations!$E$22*($B28/Declarations!$F$22)*EXP(1-$B28/Declarations!$F$22))+Declarations!$G$22*IF($B28&gt;=Sale_t,1,0)</f>
        <v>103.467367009647</v>
      </c>
      <c r="L28" s="17" t="n">
        <f aca="false">Declarations!$C$23+(Declarations!$H$23-Declarations!$C$23)*EXP(-Declarations!$D$23*$B28)+IF(Declarations!$E$23=0,0,Declarations!$E$23*($B28/Declarations!$F$23)*EXP(1-$B28/Declarations!$F$23))+Declarations!$G$23*IF($B28&gt;=Sale_t,1,0)</f>
        <v>38.4526853295508</v>
      </c>
      <c r="M28" s="17" t="n">
        <f aca="false">Declarations!$C$24+(Declarations!$H$24-Declarations!$C$24)*EXP(-Declarations!$D$24*$B28)+IF(Declarations!$E$24=0,0,Declarations!$E$24*($B28/Declarations!$F$24)*EXP(1-$B28/Declarations!$F$24))+Declarations!$G$24*IF($B28&gt;=Sale_t,1,0)</f>
        <v>76.4669058449676</v>
      </c>
      <c r="N28" s="17" t="n">
        <f aca="false">Declarations!$C$25+(Declarations!$H$25-Declarations!$C$25)*EXP(-Declarations!$D$25*$B28)+IF(Declarations!$E$25=0,0,Declarations!$E$25*($B28/Declarations!$F$25)*EXP(1-$B28/Declarations!$F$25))+Declarations!$G$25*IF($B28&gt;=Sale_t,1,0)</f>
        <v>65.3118853935791</v>
      </c>
      <c r="O28" s="17" t="n">
        <f aca="false">W_L*S_L*C28+W_T*S_T*D28+W_E*S_E*E28+W_R*S_R*F28</f>
        <v>34.9095657859528</v>
      </c>
      <c r="P28" s="17" t="n">
        <f aca="false">W_L*S_L*G28+W_T*S_T*H28+W_E*S_E*I28+W_R*S_R*J28</f>
        <v>45.0626257888617</v>
      </c>
      <c r="Q28" s="17" t="n">
        <f aca="false">W_L*S_L*K28+W_T*S_T*L28+W_E*S_E*M28+W_R*S_R*N28</f>
        <v>38.2687681976466</v>
      </c>
      <c r="R28" s="16" t="n">
        <f aca="false">IF(O28&lt;Score_today,1,0)</f>
        <v>1</v>
      </c>
      <c r="S28" s="16" t="n">
        <f aca="false">IF(O28&gt;Q28,1,0)</f>
        <v>0</v>
      </c>
      <c r="T28" s="16" t="n">
        <f aca="false">IF(O28&gt;P28,1,0)</f>
        <v>0</v>
      </c>
      <c r="U28" s="16" t="n">
        <f aca="false">1+IF(P28&gt;O28,1,0)+IF(Q28&gt;O28,1,0)</f>
        <v>3</v>
      </c>
      <c r="V28" s="17" t="n">
        <f aca="false">ABS(P28-Q28)</f>
        <v>6.79385759121519</v>
      </c>
    </row>
    <row r="29" customFormat="false" ht="15" hidden="false" customHeight="false" outlineLevel="0" collapsed="false">
      <c r="A29" s="16" t="n">
        <v>24</v>
      </c>
      <c r="B29" s="17" t="n">
        <f aca="false">A29/12</f>
        <v>2</v>
      </c>
      <c r="C29" s="17" t="n">
        <f aca="false">Declarations!$C$14+(Declarations!$H$14-Declarations!$C$14)*EXP(-Declarations!$D$14*$B29)+IF(Declarations!$E$14=0,0,Declarations!$E$14*($B29/Declarations!$F$14)*EXP(1-$B29/Declarations!$F$14))+Declarations!$G$14*IF($B29&gt;=Sale_t,1,0)</f>
        <v>78.0409763545031</v>
      </c>
      <c r="D29" s="17" t="n">
        <f aca="false">Declarations!$C$15+(Declarations!$H$15-Declarations!$C$15)*EXP(-Declarations!$D$15*$B29)+IF(Declarations!$E$15=0,0,Declarations!$E$15*($B29/Declarations!$F$15)*EXP(1-$B29/Declarations!$F$15))+Declarations!$G$15*IF($B29&gt;=Sale_t,1,0)</f>
        <v>65.6837699031711</v>
      </c>
      <c r="E29" s="17" t="n">
        <f aca="false">Declarations!$C$16+(Declarations!$H$16-Declarations!$C$16)*EXP(-Declarations!$D$16*$B29)+IF(Declarations!$E$16=0,0,Declarations!$E$16*($B29/Declarations!$F$16)*EXP(1-$B29/Declarations!$F$16))+Declarations!$G$16*IF($B29&gt;=Sale_t,1,0)</f>
        <v>66.1943476260859</v>
      </c>
      <c r="F29" s="17" t="n">
        <f aca="false">Declarations!$C$17+(Declarations!$H$17-Declarations!$C$17)*EXP(-Declarations!$D$17*$B29)+IF(Declarations!$E$17=0,0,Declarations!$E$17*($B29/Declarations!$F$17)*EXP(1-$B29/Declarations!$F$17))+Declarations!$G$17*IF($B29&gt;=Sale_t,1,0)</f>
        <v>68.821009310951</v>
      </c>
      <c r="G29" s="17" t="n">
        <f aca="false">Declarations!$C$18+(Declarations!$H$18-Declarations!$C$18)*EXP(-Declarations!$D$18*$B29)+IF(Declarations!$E$18=0,0,Declarations!$E$18*($B29/Declarations!$F$18)*EXP(1-$B29/Declarations!$F$18))+Declarations!$G$18*IF($B29&gt;=Sale_t,1,0)</f>
        <v>119.804753455624</v>
      </c>
      <c r="H29" s="17" t="n">
        <f aca="false">Declarations!$C$19+(Declarations!$H$19-Declarations!$C$19)*EXP(-Declarations!$D$19*$B29)+IF(Declarations!$E$19=0,0,Declarations!$E$19*($B29/Declarations!$F$19)*EXP(1-$B29/Declarations!$F$19))+Declarations!$G$19*IF($B29&gt;=Sale_t,1,0)</f>
        <v>39.8195919791379</v>
      </c>
      <c r="I29" s="17" t="n">
        <f aca="false">Declarations!$C$20+(Declarations!$H$20-Declarations!$C$20)*EXP(-Declarations!$D$20*$B29)+IF(Declarations!$E$20=0,0,Declarations!$E$20*($B29/Declarations!$F$20)*EXP(1-$B29/Declarations!$F$20))+Declarations!$G$20*IF($B29&gt;=Sale_t,1,0)</f>
        <v>72.7802910207782</v>
      </c>
      <c r="J29" s="17" t="n">
        <f aca="false">Declarations!$C$21+(Declarations!$H$21-Declarations!$C$21)*EXP(-Declarations!$D$21*$B29)+IF(Declarations!$E$21=0,0,Declarations!$E$21*($B29/Declarations!$F$21)*EXP(1-$B29/Declarations!$F$21))+Declarations!$G$21*IF($B29&gt;=Sale_t,1,0)</f>
        <v>51.9726824303313</v>
      </c>
      <c r="K29" s="17" t="n">
        <f aca="false">Declarations!$C$22+(Declarations!$H$22-Declarations!$C$22)*EXP(-Declarations!$D$22*$B29)+IF(Declarations!$E$22=0,0,Declarations!$E$22*($B29/Declarations!$F$22)*EXP(1-$B29/Declarations!$F$22))+Declarations!$G$22*IF($B29&gt;=Sale_t,1,0)</f>
        <v>103.560582041556</v>
      </c>
      <c r="L29" s="17" t="n">
        <f aca="false">Declarations!$C$23+(Declarations!$H$23-Declarations!$C$23)*EXP(-Declarations!$D$23*$B29)+IF(Declarations!$E$23=0,0,Declarations!$E$23*($B29/Declarations!$F$23)*EXP(1-$B29/Declarations!$F$23))+Declarations!$G$23*IF($B29&gt;=Sale_t,1,0)</f>
        <v>38.3625603682851</v>
      </c>
      <c r="M29" s="17" t="n">
        <f aca="false">Declarations!$C$24+(Declarations!$H$24-Declarations!$C$24)*EXP(-Declarations!$D$24*$B29)+IF(Declarations!$E$24=0,0,Declarations!$E$24*($B29/Declarations!$F$24)*EXP(1-$B29/Declarations!$F$24))+Declarations!$G$24*IF($B29&gt;=Sale_t,1,0)</f>
        <v>76.5904463047024</v>
      </c>
      <c r="N29" s="17" t="n">
        <f aca="false">Declarations!$C$25+(Declarations!$H$25-Declarations!$C$25)*EXP(-Declarations!$D$25*$B29)+IF(Declarations!$E$25=0,0,Declarations!$E$25*($B29/Declarations!$F$25)*EXP(1-$B29/Declarations!$F$25))+Declarations!$G$25*IF($B29&gt;=Sale_t,1,0)</f>
        <v>65.3535650917179</v>
      </c>
      <c r="O29" s="17" t="n">
        <f aca="false">W_L*S_L*C29+W_T*S_T*D29+W_E*S_E*E29+W_R*S_R*F29</f>
        <v>35.2745211432023</v>
      </c>
      <c r="P29" s="17" t="n">
        <f aca="false">W_L*S_L*G29+W_T*S_T*H29+W_E*S_E*I29+W_R*S_R*J29</f>
        <v>45.1079885063022</v>
      </c>
      <c r="Q29" s="17" t="n">
        <f aca="false">W_L*S_L*K29+W_T*S_T*L29+W_E*S_E*M29+W_R*S_R*N29</f>
        <v>38.2900059057065</v>
      </c>
      <c r="R29" s="16" t="n">
        <f aca="false">IF(O29&lt;Score_today,1,0)</f>
        <v>1</v>
      </c>
      <c r="S29" s="16" t="n">
        <f aca="false">IF(O29&gt;Q29,1,0)</f>
        <v>0</v>
      </c>
      <c r="T29" s="16" t="n">
        <f aca="false">IF(O29&gt;P29,1,0)</f>
        <v>0</v>
      </c>
      <c r="U29" s="16" t="n">
        <f aca="false">1+IF(P29&gt;O29,1,0)+IF(Q29&gt;O29,1,0)</f>
        <v>3</v>
      </c>
      <c r="V29" s="17" t="n">
        <f aca="false">ABS(P29-Q29)</f>
        <v>6.81798260059568</v>
      </c>
    </row>
    <row r="30" customFormat="false" ht="15" hidden="false" customHeight="false" outlineLevel="0" collapsed="false">
      <c r="A30" s="16" t="n">
        <v>25</v>
      </c>
      <c r="B30" s="17" t="n">
        <f aca="false">A30/12</f>
        <v>2.08333333333333</v>
      </c>
      <c r="C30" s="17" t="n">
        <f aca="false">Declarations!$C$14+(Declarations!$H$14-Declarations!$C$14)*EXP(-Declarations!$D$14*$B30)+IF(Declarations!$E$14=0,0,Declarations!$E$14*($B30/Declarations!$F$14)*EXP(1-$B30/Declarations!$F$14))+Declarations!$G$14*IF($B30&gt;=Sale_t,1,0)</f>
        <v>78.2359118548215</v>
      </c>
      <c r="D30" s="17" t="n">
        <f aca="false">Declarations!$C$15+(Declarations!$H$15-Declarations!$C$15)*EXP(-Declarations!$D$15*$B30)+IF(Declarations!$E$15=0,0,Declarations!$E$15*($B30/Declarations!$F$15)*EXP(1-$B30/Declarations!$F$15))+Declarations!$G$15*IF($B30&gt;=Sale_t,1,0)</f>
        <v>66.2355228587284</v>
      </c>
      <c r="E30" s="17" t="n">
        <f aca="false">Declarations!$C$16+(Declarations!$H$16-Declarations!$C$16)*EXP(-Declarations!$D$16*$B30)+IF(Declarations!$E$16=0,0,Declarations!$E$16*($B30/Declarations!$F$16)*EXP(1-$B30/Declarations!$F$16))+Declarations!$G$16*IF($B30&gt;=Sale_t,1,0)</f>
        <v>66.4101837861788</v>
      </c>
      <c r="F30" s="17" t="n">
        <f aca="false">Declarations!$C$17+(Declarations!$H$17-Declarations!$C$17)*EXP(-Declarations!$D$17*$B30)+IF(Declarations!$E$17=0,0,Declarations!$E$17*($B30/Declarations!$F$17)*EXP(1-$B30/Declarations!$F$17))+Declarations!$G$17*IF($B30&gt;=Sale_t,1,0)</f>
        <v>68.2914808671584</v>
      </c>
      <c r="G30" s="17" t="n">
        <f aca="false">Declarations!$C$18+(Declarations!$H$18-Declarations!$C$18)*EXP(-Declarations!$D$18*$B30)+IF(Declarations!$E$18=0,0,Declarations!$E$18*($B30/Declarations!$F$18)*EXP(1-$B30/Declarations!$F$18))+Declarations!$G$18*IF($B30&gt;=Sale_t,1,0)</f>
        <v>119.858954285924</v>
      </c>
      <c r="H30" s="17" t="n">
        <f aca="false">Declarations!$C$19+(Declarations!$H$19-Declarations!$C$19)*EXP(-Declarations!$D$19*$B30)+IF(Declarations!$E$19=0,0,Declarations!$E$19*($B30/Declarations!$F$19)*EXP(1-$B30/Declarations!$F$19))+Declarations!$G$19*IF($B30&gt;=Sale_t,1,0)</f>
        <v>39.7820759616609</v>
      </c>
      <c r="I30" s="17" t="n">
        <f aca="false">Declarations!$C$20+(Declarations!$H$20-Declarations!$C$20)*EXP(-Declarations!$D$20*$B30)+IF(Declarations!$E$20=0,0,Declarations!$E$20*($B30/Declarations!$F$20)*EXP(1-$B30/Declarations!$F$20))+Declarations!$G$20*IF($B30&gt;=Sale_t,1,0)</f>
        <v>72.8251831199696</v>
      </c>
      <c r="J30" s="17" t="n">
        <f aca="false">Declarations!$C$21+(Declarations!$H$21-Declarations!$C$21)*EXP(-Declarations!$D$21*$B30)+IF(Declarations!$E$21=0,0,Declarations!$E$21*($B30/Declarations!$F$21)*EXP(1-$B30/Declarations!$F$21))+Declarations!$G$21*IF($B30&gt;=Sale_t,1,0)</f>
        <v>51.8584859863302</v>
      </c>
      <c r="K30" s="17" t="n">
        <f aca="false">Declarations!$C$22+(Declarations!$H$22-Declarations!$C$22)*EXP(-Declarations!$D$22*$B30)+IF(Declarations!$E$22=0,0,Declarations!$E$22*($B30/Declarations!$F$22)*EXP(1-$B30/Declarations!$F$22))+Declarations!$G$22*IF($B30&gt;=Sale_t,1,0)</f>
        <v>103.650366239939</v>
      </c>
      <c r="L30" s="17" t="n">
        <f aca="false">Declarations!$C$23+(Declarations!$H$23-Declarations!$C$23)*EXP(-Declarations!$D$23*$B30)+IF(Declarations!$E$23=0,0,Declarations!$E$23*($B30/Declarations!$F$23)*EXP(1-$B30/Declarations!$F$23))+Declarations!$G$23*IF($B30&gt;=Sale_t,1,0)</f>
        <v>38.2739250416036</v>
      </c>
      <c r="M30" s="17" t="n">
        <f aca="false">Declarations!$C$24+(Declarations!$H$24-Declarations!$C$24)*EXP(-Declarations!$D$24*$B30)+IF(Declarations!$E$24=0,0,Declarations!$E$24*($B30/Declarations!$F$24)*EXP(1-$B30/Declarations!$F$24))+Declarations!$G$24*IF($B30&gt;=Sale_t,1,0)</f>
        <v>76.7079616251185</v>
      </c>
      <c r="N30" s="17" t="n">
        <f aca="false">Declarations!$C$25+(Declarations!$H$25-Declarations!$C$25)*EXP(-Declarations!$D$25*$B30)+IF(Declarations!$E$25=0,0,Declarations!$E$25*($B30/Declarations!$F$25)*EXP(1-$B30/Declarations!$F$25))+Declarations!$G$25*IF($B30&gt;=Sale_t,1,0)</f>
        <v>65.394215714443</v>
      </c>
      <c r="O30" s="17" t="n">
        <f aca="false">W_L*S_L*C30+W_T*S_T*D30+W_E*S_E*E30+W_R*S_R*F30</f>
        <v>35.6475344081426</v>
      </c>
      <c r="P30" s="17" t="n">
        <f aca="false">W_L*S_L*G30+W_T*S_T*H30+W_E*S_E*I30+W_R*S_R*J30</f>
        <v>45.1519318453061</v>
      </c>
      <c r="Q30" s="17" t="n">
        <f aca="false">W_L*S_L*K30+W_T*S_T*L30+W_E*S_E*M30+W_R*S_R*N30</f>
        <v>38.3095092980546</v>
      </c>
      <c r="R30" s="16" t="n">
        <f aca="false">IF(O30&lt;Score_today,1,0)</f>
        <v>1</v>
      </c>
      <c r="S30" s="16" t="n">
        <f aca="false">IF(O30&gt;Q30,1,0)</f>
        <v>0</v>
      </c>
      <c r="T30" s="16" t="n">
        <f aca="false">IF(O30&gt;P30,1,0)</f>
        <v>0</v>
      </c>
      <c r="U30" s="16" t="n">
        <f aca="false">1+IF(P30&gt;O30,1,0)+IF(Q30&gt;O30,1,0)</f>
        <v>3</v>
      </c>
      <c r="V30" s="17" t="n">
        <f aca="false">ABS(P30-Q30)</f>
        <v>6.84242254725153</v>
      </c>
    </row>
    <row r="31" customFormat="false" ht="15" hidden="false" customHeight="false" outlineLevel="0" collapsed="false">
      <c r="A31" s="16" t="n">
        <v>26</v>
      </c>
      <c r="B31" s="17" t="n">
        <f aca="false">A31/12</f>
        <v>2.16666666666667</v>
      </c>
      <c r="C31" s="17" t="n">
        <f aca="false">Declarations!$C$14+(Declarations!$H$14-Declarations!$C$14)*EXP(-Declarations!$D$14*$B31)+IF(Declarations!$E$14=0,0,Declarations!$E$14*($B31/Declarations!$F$14)*EXP(1-$B31/Declarations!$F$14))+Declarations!$G$14*IF($B31&gt;=Sale_t,1,0)</f>
        <v>78.4706278381456</v>
      </c>
      <c r="D31" s="17" t="n">
        <f aca="false">Declarations!$C$15+(Declarations!$H$15-Declarations!$C$15)*EXP(-Declarations!$D$15*$B31)+IF(Declarations!$E$15=0,0,Declarations!$E$15*($B31/Declarations!$F$15)*EXP(1-$B31/Declarations!$F$15))+Declarations!$G$15*IF($B31&gt;=Sale_t,1,0)</f>
        <v>66.762557915905</v>
      </c>
      <c r="E31" s="17" t="n">
        <f aca="false">Declarations!$C$16+(Declarations!$H$16-Declarations!$C$16)*EXP(-Declarations!$D$16*$B31)+IF(Declarations!$E$16=0,0,Declarations!$E$16*($B31/Declarations!$F$16)*EXP(1-$B31/Declarations!$F$16))+Declarations!$G$16*IF($B31&gt;=Sale_t,1,0)</f>
        <v>66.6338623997701</v>
      </c>
      <c r="F31" s="17" t="n">
        <f aca="false">Declarations!$C$17+(Declarations!$H$17-Declarations!$C$17)*EXP(-Declarations!$D$17*$B31)+IF(Declarations!$E$17=0,0,Declarations!$E$17*($B31/Declarations!$F$17)*EXP(1-$B31/Declarations!$F$17))+Declarations!$G$17*IF($B31&gt;=Sale_t,1,0)</f>
        <v>67.7596674474404</v>
      </c>
      <c r="G31" s="17" t="n">
        <f aca="false">Declarations!$C$18+(Declarations!$H$18-Declarations!$C$18)*EXP(-Declarations!$D$18*$B31)+IF(Declarations!$E$18=0,0,Declarations!$E$18*($B31/Declarations!$F$18)*EXP(1-$B31/Declarations!$F$18))+Declarations!$G$18*IF($B31&gt;=Sale_t,1,0)</f>
        <v>119.911816892956</v>
      </c>
      <c r="H31" s="17" t="n">
        <f aca="false">Declarations!$C$19+(Declarations!$H$19-Declarations!$C$19)*EXP(-Declarations!$D$19*$B31)+IF(Declarations!$E$19=0,0,Declarations!$E$19*($B31/Declarations!$F$19)*EXP(1-$B31/Declarations!$F$19))+Declarations!$G$19*IF($B31&gt;=Sale_t,1,0)</f>
        <v>39.7453334426294</v>
      </c>
      <c r="I31" s="17" t="n">
        <f aca="false">Declarations!$C$20+(Declarations!$H$20-Declarations!$C$20)*EXP(-Declarations!$D$20*$B31)+IF(Declarations!$E$20=0,0,Declarations!$E$20*($B31/Declarations!$F$20)*EXP(1-$B31/Declarations!$F$20))+Declarations!$G$20*IF($B31&gt;=Sale_t,1,0)</f>
        <v>72.8684229393105</v>
      </c>
      <c r="J31" s="17" t="n">
        <f aca="false">Declarations!$C$21+(Declarations!$H$21-Declarations!$C$21)*EXP(-Declarations!$D$21*$B31)+IF(Declarations!$E$21=0,0,Declarations!$E$21*($B31/Declarations!$F$21)*EXP(1-$B31/Declarations!$F$21))+Declarations!$G$21*IF($B31&gt;=Sale_t,1,0)</f>
        <v>51.7475721676211</v>
      </c>
      <c r="K31" s="17" t="n">
        <f aca="false">Declarations!$C$22+(Declarations!$H$22-Declarations!$C$22)*EXP(-Declarations!$D$22*$B31)+IF(Declarations!$E$22=0,0,Declarations!$E$22*($B31/Declarations!$F$22)*EXP(1-$B31/Declarations!$F$22))+Declarations!$G$22*IF($B31&gt;=Sale_t,1,0)</f>
        <v>103.736845878621</v>
      </c>
      <c r="L31" s="17" t="n">
        <f aca="false">Declarations!$C$23+(Declarations!$H$23-Declarations!$C$23)*EXP(-Declarations!$D$23*$B31)+IF(Declarations!$E$23=0,0,Declarations!$E$23*($B31/Declarations!$F$23)*EXP(1-$B31/Declarations!$F$23))+Declarations!$G$23*IF($B31&gt;=Sale_t,1,0)</f>
        <v>38.1867547280121</v>
      </c>
      <c r="M31" s="17" t="n">
        <f aca="false">Declarations!$C$24+(Declarations!$H$24-Declarations!$C$24)*EXP(-Declarations!$D$24*$B31)+IF(Declarations!$E$24=0,0,Declarations!$E$24*($B31/Declarations!$F$24)*EXP(1-$B31/Declarations!$F$24))+Declarations!$G$24*IF($B31&gt;=Sale_t,1,0)</f>
        <v>76.8197456557279</v>
      </c>
      <c r="N31" s="17" t="n">
        <f aca="false">Declarations!$C$25+(Declarations!$H$25-Declarations!$C$25)*EXP(-Declarations!$D$25*$B31)+IF(Declarations!$E$25=0,0,Declarations!$E$25*($B31/Declarations!$F$25)*EXP(1-$B31/Declarations!$F$25))+Declarations!$G$25*IF($B31&gt;=Sale_t,1,0)</f>
        <v>65.433862669717</v>
      </c>
      <c r="O31" s="17" t="n">
        <f aca="false">W_L*S_L*C31+W_T*S_T*D31+W_E*S_E*E31+W_R*S_R*F31</f>
        <v>36.0268451765951</v>
      </c>
      <c r="P31" s="17" t="n">
        <f aca="false">W_L*S_L*G31+W_T*S_T*H31+W_E*S_E*I31+W_R*S_R*J31</f>
        <v>45.1945002768187</v>
      </c>
      <c r="Q31" s="17" t="n">
        <f aca="false">W_L*S_L*K31+W_T*S_T*L31+W_E*S_E*M31+W_R*S_R*N31</f>
        <v>38.327370898161</v>
      </c>
      <c r="R31" s="16" t="n">
        <f aca="false">IF(O31&lt;Score_today,1,0)</f>
        <v>1</v>
      </c>
      <c r="S31" s="16" t="n">
        <f aca="false">IF(O31&gt;Q31,1,0)</f>
        <v>0</v>
      </c>
      <c r="T31" s="16" t="n">
        <f aca="false">IF(O31&gt;P31,1,0)</f>
        <v>0</v>
      </c>
      <c r="U31" s="16" t="n">
        <f aca="false">1+IF(P31&gt;O31,1,0)+IF(Q31&gt;O31,1,0)</f>
        <v>3</v>
      </c>
      <c r="V31" s="17" t="n">
        <f aca="false">ABS(P31-Q31)</f>
        <v>6.86712937865768</v>
      </c>
    </row>
    <row r="32" customFormat="false" ht="15" hidden="false" customHeight="false" outlineLevel="0" collapsed="false">
      <c r="A32" s="16" t="n">
        <v>27</v>
      </c>
      <c r="B32" s="17" t="n">
        <f aca="false">A32/12</f>
        <v>2.25</v>
      </c>
      <c r="C32" s="17" t="n">
        <f aca="false">Declarations!$C$14+(Declarations!$H$14-Declarations!$C$14)*EXP(-Declarations!$D$14*$B32)+IF(Declarations!$E$14=0,0,Declarations!$E$14*($B32/Declarations!$F$14)*EXP(1-$B32/Declarations!$F$14))+Declarations!$G$14*IF($B32&gt;=Sale_t,1,0)</f>
        <v>78.7415776479672</v>
      </c>
      <c r="D32" s="17" t="n">
        <f aca="false">Declarations!$C$15+(Declarations!$H$15-Declarations!$C$15)*EXP(-Declarations!$D$15*$B32)+IF(Declarations!$E$15=0,0,Declarations!$E$15*($B32/Declarations!$F$15)*EXP(1-$B32/Declarations!$F$15))+Declarations!$G$15*IF($B32&gt;=Sale_t,1,0)</f>
        <v>67.2659824081448</v>
      </c>
      <c r="E32" s="17" t="n">
        <f aca="false">Declarations!$C$16+(Declarations!$H$16-Declarations!$C$16)*EXP(-Declarations!$D$16*$B32)+IF(Declarations!$E$16=0,0,Declarations!$E$16*($B32/Declarations!$F$16)*EXP(1-$B32/Declarations!$F$16))+Declarations!$G$16*IF($B32&gt;=Sale_t,1,0)</f>
        <v>66.8639212897294</v>
      </c>
      <c r="F32" s="17" t="n">
        <f aca="false">Declarations!$C$17+(Declarations!$H$17-Declarations!$C$17)*EXP(-Declarations!$D$17*$B32)+IF(Declarations!$E$17=0,0,Declarations!$E$17*($B32/Declarations!$F$17)*EXP(1-$B32/Declarations!$F$17))+Declarations!$G$17*IF($B32&gt;=Sale_t,1,0)</f>
        <v>67.2280335931886</v>
      </c>
      <c r="G32" s="17" t="n">
        <f aca="false">Declarations!$C$18+(Declarations!$H$18-Declarations!$C$18)*EXP(-Declarations!$D$18*$B32)+IF(Declarations!$E$18=0,0,Declarations!$E$18*($B32/Declarations!$F$18)*EXP(1-$B32/Declarations!$F$18))+Declarations!$G$18*IF($B32&gt;=Sale_t,1,0)</f>
        <v>119.96337431757</v>
      </c>
      <c r="H32" s="17" t="n">
        <f aca="false">Declarations!$C$19+(Declarations!$H$19-Declarations!$C$19)*EXP(-Declarations!$D$19*$B32)+IF(Declarations!$E$19=0,0,Declarations!$E$19*($B32/Declarations!$F$19)*EXP(1-$B32/Declarations!$F$19))+Declarations!$G$19*IF($B32&gt;=Sale_t,1,0)</f>
        <v>39.7093484741928</v>
      </c>
      <c r="I32" s="17" t="n">
        <f aca="false">Declarations!$C$20+(Declarations!$H$20-Declarations!$C$20)*EXP(-Declarations!$D$20*$B32)+IF(Declarations!$E$20=0,0,Declarations!$E$20*($B32/Declarations!$F$20)*EXP(1-$B32/Declarations!$F$20))+Declarations!$G$20*IF($B32&gt;=Sale_t,1,0)</f>
        <v>72.910071291923</v>
      </c>
      <c r="J32" s="17" t="n">
        <f aca="false">Declarations!$C$21+(Declarations!$H$21-Declarations!$C$21)*EXP(-Declarations!$D$21*$B32)+IF(Declarations!$E$21=0,0,Declarations!$E$21*($B32/Declarations!$F$21)*EXP(1-$B32/Declarations!$F$21))+Declarations!$G$21*IF($B32&gt;=Sale_t,1,0)</f>
        <v>51.6398466137454</v>
      </c>
      <c r="K32" s="17" t="n">
        <f aca="false">Declarations!$C$22+(Declarations!$H$22-Declarations!$C$22)*EXP(-Declarations!$D$22*$B32)+IF(Declarations!$E$22=0,0,Declarations!$E$22*($B32/Declarations!$F$22)*EXP(1-$B32/Declarations!$F$22))+Declarations!$G$22*IF($B32&gt;=Sale_t,1,0)</f>
        <v>103.820142583846</v>
      </c>
      <c r="L32" s="17" t="n">
        <f aca="false">Declarations!$C$23+(Declarations!$H$23-Declarations!$C$23)*EXP(-Declarations!$D$23*$B32)+IF(Declarations!$E$23=0,0,Declarations!$E$23*($B32/Declarations!$F$23)*EXP(1-$B32/Declarations!$F$23))+Declarations!$G$23*IF($B32&gt;=Sale_t,1,0)</f>
        <v>38.1010252129742</v>
      </c>
      <c r="M32" s="17" t="n">
        <f aca="false">Declarations!$C$24+(Declarations!$H$24-Declarations!$C$24)*EXP(-Declarations!$D$24*$B32)+IF(Declarations!$E$24=0,0,Declarations!$E$24*($B32/Declarations!$F$24)*EXP(1-$B32/Declarations!$F$24))+Declarations!$G$24*IF($B32&gt;=Sale_t,1,0)</f>
        <v>76.9260779148329</v>
      </c>
      <c r="N32" s="17" t="n">
        <f aca="false">Declarations!$C$25+(Declarations!$H$25-Declarations!$C$25)*EXP(-Declarations!$D$25*$B32)+IF(Declarations!$E$25=0,0,Declarations!$E$25*($B32/Declarations!$F$25)*EXP(1-$B32/Declarations!$F$25))+Declarations!$G$25*IF($B32&gt;=Sale_t,1,0)</f>
        <v>65.4725307381774</v>
      </c>
      <c r="O32" s="17" t="n">
        <f aca="false">W_L*S_L*C32+W_T*S_T*D32+W_E*S_E*E32+W_R*S_R*F32</f>
        <v>36.4108619381632</v>
      </c>
      <c r="P32" s="17" t="n">
        <f aca="false">W_L*S_L*G32+W_T*S_T*H32+W_E*S_E*I32+W_R*S_R*J32</f>
        <v>45.235736867485</v>
      </c>
      <c r="Q32" s="17" t="n">
        <f aca="false">W_L*S_L*K32+W_T*S_T*L32+W_E*S_E*M32+W_R*S_R*N32</f>
        <v>38.3436787433689</v>
      </c>
      <c r="R32" s="16" t="n">
        <f aca="false">IF(O32&lt;Score_today,1,0)</f>
        <v>1</v>
      </c>
      <c r="S32" s="16" t="n">
        <f aca="false">IF(O32&gt;Q32,1,0)</f>
        <v>0</v>
      </c>
      <c r="T32" s="16" t="n">
        <f aca="false">IF(O32&gt;P32,1,0)</f>
        <v>0</v>
      </c>
      <c r="U32" s="16" t="n">
        <f aca="false">1+IF(P32&gt;O32,1,0)+IF(Q32&gt;O32,1,0)</f>
        <v>3</v>
      </c>
      <c r="V32" s="17" t="n">
        <f aca="false">ABS(P32-Q32)</f>
        <v>6.89205812411613</v>
      </c>
    </row>
    <row r="33" customFormat="false" ht="15" hidden="false" customHeight="false" outlineLevel="0" collapsed="false">
      <c r="A33" s="16" t="n">
        <v>28</v>
      </c>
      <c r="B33" s="17" t="n">
        <f aca="false">A33/12</f>
        <v>2.33333333333333</v>
      </c>
      <c r="C33" s="17" t="n">
        <f aca="false">Declarations!$C$14+(Declarations!$H$14-Declarations!$C$14)*EXP(-Declarations!$D$14*$B33)+IF(Declarations!$E$14=0,0,Declarations!$E$14*($B33/Declarations!$F$14)*EXP(1-$B33/Declarations!$F$14))+Declarations!$G$14*IF($B33&gt;=Sale_t,1,0)</f>
        <v>79.045437138559</v>
      </c>
      <c r="D33" s="17" t="n">
        <f aca="false">Declarations!$C$15+(Declarations!$H$15-Declarations!$C$15)*EXP(-Declarations!$D$15*$B33)+IF(Declarations!$E$15=0,0,Declarations!$E$15*($B33/Declarations!$F$15)*EXP(1-$B33/Declarations!$F$15))+Declarations!$G$15*IF($B33&gt;=Sale_t,1,0)</f>
        <v>67.7468540616254</v>
      </c>
      <c r="E33" s="17" t="n">
        <f aca="false">Declarations!$C$16+(Declarations!$H$16-Declarations!$C$16)*EXP(-Declarations!$D$16*$B33)+IF(Declarations!$E$16=0,0,Declarations!$E$16*($B33/Declarations!$F$16)*EXP(1-$B33/Declarations!$F$16))+Declarations!$G$16*IF($B33&gt;=Sale_t,1,0)</f>
        <v>67.0990327661884</v>
      </c>
      <c r="F33" s="17" t="n">
        <f aca="false">Declarations!$C$17+(Declarations!$H$17-Declarations!$C$17)*EXP(-Declarations!$D$17*$B33)+IF(Declarations!$E$17=0,0,Declarations!$E$17*($B33/Declarations!$F$17)*EXP(1-$B33/Declarations!$F$17))+Declarations!$G$17*IF($B33&gt;=Sale_t,1,0)</f>
        <v>66.6987308354428</v>
      </c>
      <c r="G33" s="17" t="n">
        <f aca="false">Declarations!$C$18+(Declarations!$H$18-Declarations!$C$18)*EXP(-Declarations!$D$18*$B33)+IF(Declarations!$E$18=0,0,Declarations!$E$18*($B33/Declarations!$F$18)*EXP(1-$B33/Declarations!$F$18))+Declarations!$G$18*IF($B33&gt;=Sale_t,1,0)</f>
        <v>120.013658784834</v>
      </c>
      <c r="H33" s="17" t="n">
        <f aca="false">Declarations!$C$19+(Declarations!$H$19-Declarations!$C$19)*EXP(-Declarations!$D$19*$B33)+IF(Declarations!$E$19=0,0,Declarations!$E$19*($B33/Declarations!$F$19)*EXP(1-$B33/Declarations!$F$19))+Declarations!$G$19*IF($B33&gt;=Sale_t,1,0)</f>
        <v>39.6741054373101</v>
      </c>
      <c r="I33" s="17" t="n">
        <f aca="false">Declarations!$C$20+(Declarations!$H$20-Declarations!$C$20)*EXP(-Declarations!$D$20*$B33)+IF(Declarations!$E$20=0,0,Declarations!$E$20*($B33/Declarations!$F$20)*EXP(1-$B33/Declarations!$F$20))+Declarations!$G$20*IF($B33&gt;=Sale_t,1,0)</f>
        <v>72.9501867526665</v>
      </c>
      <c r="J33" s="17" t="n">
        <f aca="false">Declarations!$C$21+(Declarations!$H$21-Declarations!$C$21)*EXP(-Declarations!$D$21*$B33)+IF(Declarations!$E$21=0,0,Declarations!$E$21*($B33/Declarations!$F$21)*EXP(1-$B33/Declarations!$F$21))+Declarations!$G$21*IF($B33&gt;=Sale_t,1,0)</f>
        <v>51.5352176766762</v>
      </c>
      <c r="K33" s="17" t="n">
        <f aca="false">Declarations!$C$22+(Declarations!$H$22-Declarations!$C$22)*EXP(-Declarations!$D$22*$B33)+IF(Declarations!$E$22=0,0,Declarations!$E$22*($B33/Declarations!$F$22)*EXP(1-$B33/Declarations!$F$22))+Declarations!$G$22*IF($B33&gt;=Sale_t,1,0)</f>
        <v>103.900373505333</v>
      </c>
      <c r="L33" s="17" t="n">
        <f aca="false">Declarations!$C$23+(Declarations!$H$23-Declarations!$C$23)*EXP(-Declarations!$D$23*$B33)+IF(Declarations!$E$23=0,0,Declarations!$E$23*($B33/Declarations!$F$23)*EXP(1-$B33/Declarations!$F$23))+Declarations!$G$23*IF($B33&gt;=Sale_t,1,0)</f>
        <v>38.0167126821845</v>
      </c>
      <c r="M33" s="17" t="n">
        <f aca="false">Declarations!$C$24+(Declarations!$H$24-Declarations!$C$24)*EXP(-Declarations!$D$24*$B33)+IF(Declarations!$E$24=0,0,Declarations!$E$24*($B33/Declarations!$F$24)*EXP(1-$B33/Declarations!$F$24))+Declarations!$G$24*IF($B33&gt;=Sale_t,1,0)</f>
        <v>77.0272242884672</v>
      </c>
      <c r="N33" s="17" t="n">
        <f aca="false">Declarations!$C$25+(Declarations!$H$25-Declarations!$C$25)*EXP(-Declarations!$D$25*$B33)+IF(Declarations!$E$25=0,0,Declarations!$E$25*($B33/Declarations!$F$25)*EXP(1-$B33/Declarations!$F$25))+Declarations!$G$25*IF($B33&gt;=Sale_t,1,0)</f>
        <v>65.5102440886258</v>
      </c>
      <c r="O33" s="17" t="n">
        <f aca="false">W_L*S_L*C33+W_T*S_T*D33+W_E*S_E*E33+W_R*S_R*F33</f>
        <v>36.7981482827325</v>
      </c>
      <c r="P33" s="17" t="n">
        <f aca="false">W_L*S_L*G33+W_T*S_T*H33+W_E*S_E*I33+W_R*S_R*J33</f>
        <v>45.2756833245337</v>
      </c>
      <c r="Q33" s="17" t="n">
        <f aca="false">W_L*S_L*K33+W_T*S_T*L33+W_E*S_E*M33+W_R*S_R*N33</f>
        <v>38.3585165968397</v>
      </c>
      <c r="R33" s="16" t="n">
        <f aca="false">IF(O33&lt;Score_today,1,0)</f>
        <v>1</v>
      </c>
      <c r="S33" s="16" t="n">
        <f aca="false">IF(O33&gt;Q33,1,0)</f>
        <v>0</v>
      </c>
      <c r="T33" s="16" t="n">
        <f aca="false">IF(O33&gt;P33,1,0)</f>
        <v>0</v>
      </c>
      <c r="U33" s="16" t="n">
        <f aca="false">1+IF(P33&gt;O33,1,0)+IF(Q33&gt;O33,1,0)</f>
        <v>3</v>
      </c>
      <c r="V33" s="17" t="n">
        <f aca="false">ABS(P33-Q33)</f>
        <v>6.91716672769398</v>
      </c>
    </row>
    <row r="34" customFormat="false" ht="15" hidden="false" customHeight="false" outlineLevel="0" collapsed="false">
      <c r="A34" s="16" t="n">
        <v>29</v>
      </c>
      <c r="B34" s="17" t="n">
        <f aca="false">A34/12</f>
        <v>2.41666666666667</v>
      </c>
      <c r="C34" s="17" t="n">
        <f aca="false">Declarations!$C$14+(Declarations!$H$14-Declarations!$C$14)*EXP(-Declarations!$D$14*$B34)+IF(Declarations!$E$14=0,0,Declarations!$E$14*($B34/Declarations!$F$14)*EXP(1-$B34/Declarations!$F$14))+Declarations!$G$14*IF($B34&gt;=Sale_t,1,0)</f>
        <v>79.3790924409648</v>
      </c>
      <c r="D34" s="17" t="n">
        <f aca="false">Declarations!$C$15+(Declarations!$H$15-Declarations!$C$15)*EXP(-Declarations!$D$15*$B34)+IF(Declarations!$E$15=0,0,Declarations!$E$15*($B34/Declarations!$F$15)*EXP(1-$B34/Declarations!$F$15))+Declarations!$G$15*IF($B34&gt;=Sale_t,1,0)</f>
        <v>68.2061832176076</v>
      </c>
      <c r="E34" s="17" t="n">
        <f aca="false">Declarations!$C$16+(Declarations!$H$16-Declarations!$C$16)*EXP(-Declarations!$D$16*$B34)+IF(Declarations!$E$16=0,0,Declarations!$E$16*($B34/Declarations!$F$16)*EXP(1-$B34/Declarations!$F$16))+Declarations!$G$16*IF($B34&gt;=Sale_t,1,0)</f>
        <v>67.3379933873867</v>
      </c>
      <c r="F34" s="17" t="n">
        <f aca="false">Declarations!$C$17+(Declarations!$H$17-Declarations!$C$17)*EXP(-Declarations!$D$17*$B34)+IF(Declarations!$E$17=0,0,Declarations!$E$17*($B34/Declarations!$F$17)*EXP(1-$B34/Declarations!$F$17))+Declarations!$G$17*IF($B34&gt;=Sale_t,1,0)</f>
        <v>66.1736283587675</v>
      </c>
      <c r="G34" s="17" t="n">
        <f aca="false">Declarations!$C$18+(Declarations!$H$18-Declarations!$C$18)*EXP(-Declarations!$D$18*$B34)+IF(Declarations!$E$18=0,0,Declarations!$E$18*($B34/Declarations!$F$18)*EXP(1-$B34/Declarations!$F$18))+Declarations!$G$18*IF($B34&gt;=Sale_t,1,0)</f>
        <v>120.062701724179</v>
      </c>
      <c r="H34" s="17" t="n">
        <f aca="false">Declarations!$C$19+(Declarations!$H$19-Declarations!$C$19)*EXP(-Declarations!$D$19*$B34)+IF(Declarations!$E$19=0,0,Declarations!$E$19*($B34/Declarations!$F$19)*EXP(1-$B34/Declarations!$F$19))+Declarations!$G$19*IF($B34&gt;=Sale_t,1,0)</f>
        <v>39.6395890349713</v>
      </c>
      <c r="I34" s="17" t="n">
        <f aca="false">Declarations!$C$20+(Declarations!$H$20-Declarations!$C$20)*EXP(-Declarations!$D$20*$B34)+IF(Declarations!$E$20=0,0,Declarations!$E$20*($B34/Declarations!$F$20)*EXP(1-$B34/Declarations!$F$20))+Declarations!$G$20*IF($B34&gt;=Sale_t,1,0)</f>
        <v>72.988825740519</v>
      </c>
      <c r="J34" s="17" t="n">
        <f aca="false">Declarations!$C$21+(Declarations!$H$21-Declarations!$C$21)*EXP(-Declarations!$D$21*$B34)+IF(Declarations!$E$21=0,0,Declarations!$E$21*($B34/Declarations!$F$21)*EXP(1-$B34/Declarations!$F$21))+Declarations!$G$21*IF($B34&gt;=Sale_t,1,0)</f>
        <v>51.433596342848</v>
      </c>
      <c r="K34" s="17" t="n">
        <f aca="false">Declarations!$C$22+(Declarations!$H$22-Declarations!$C$22)*EXP(-Declarations!$D$22*$B34)+IF(Declarations!$E$22=0,0,Declarations!$E$22*($B34/Declarations!$F$22)*EXP(1-$B34/Declarations!$F$22))+Declarations!$G$22*IF($B34&gt;=Sale_t,1,0)</f>
        <v>103.977651481038</v>
      </c>
      <c r="L34" s="17" t="n">
        <f aca="false">Declarations!$C$23+(Declarations!$H$23-Declarations!$C$23)*EXP(-Declarations!$D$23*$B34)+IF(Declarations!$E$23=0,0,Declarations!$E$23*($B34/Declarations!$F$23)*EXP(1-$B34/Declarations!$F$23))+Declarations!$G$23*IF($B34&gt;=Sale_t,1,0)</f>
        <v>37.9337937149533</v>
      </c>
      <c r="M34" s="17" t="n">
        <f aca="false">Declarations!$C$24+(Declarations!$H$24-Declarations!$C$24)*EXP(-Declarations!$D$24*$B34)+IF(Declarations!$E$24=0,0,Declarations!$E$24*($B34/Declarations!$F$24)*EXP(1-$B34/Declarations!$F$24))+Declarations!$G$24*IF($B34&gt;=Sale_t,1,0)</f>
        <v>77.1234376952496</v>
      </c>
      <c r="N34" s="17" t="n">
        <f aca="false">Declarations!$C$25+(Declarations!$H$25-Declarations!$C$25)*EXP(-Declarations!$D$25*$B34)+IF(Declarations!$E$25=0,0,Declarations!$E$25*($B34/Declarations!$F$25)*EXP(1-$B34/Declarations!$F$25))+Declarations!$G$25*IF($B34&gt;=Sale_t,1,0)</f>
        <v>65.5470262931339</v>
      </c>
      <c r="O34" s="17" t="n">
        <f aca="false">W_L*S_L*C34+W_T*S_T*D34+W_E*S_E*E34+W_R*S_R*F34</f>
        <v>37.1874101717979</v>
      </c>
      <c r="P34" s="17" t="n">
        <f aca="false">W_L*S_L*G34+W_T*S_T*H34+W_E*S_E*I34+W_R*S_R*J34</f>
        <v>45.3143800392052</v>
      </c>
      <c r="Q34" s="17" t="n">
        <f aca="false">W_L*S_L*K34+W_T*S_T*L34+W_E*S_E*M34+W_R*S_R*N34</f>
        <v>38.3719641495268</v>
      </c>
      <c r="R34" s="16" t="n">
        <f aca="false">IF(O34&lt;Score_today,1,0)</f>
        <v>0</v>
      </c>
      <c r="S34" s="16" t="n">
        <f aca="false">IF(O34&gt;Q34,1,0)</f>
        <v>0</v>
      </c>
      <c r="T34" s="16" t="n">
        <f aca="false">IF(O34&gt;P34,1,0)</f>
        <v>0</v>
      </c>
      <c r="U34" s="16" t="n">
        <f aca="false">1+IF(P34&gt;O34,1,0)+IF(Q34&gt;O34,1,0)</f>
        <v>3</v>
      </c>
      <c r="V34" s="17" t="n">
        <f aca="false">ABS(P34-Q34)</f>
        <v>6.94241588967844</v>
      </c>
    </row>
    <row r="35" customFormat="false" ht="15" hidden="false" customHeight="false" outlineLevel="0" collapsed="false">
      <c r="A35" s="16" t="n">
        <v>30</v>
      </c>
      <c r="B35" s="17" t="n">
        <f aca="false">A35/12</f>
        <v>2.5</v>
      </c>
      <c r="C35" s="17" t="n">
        <f aca="false">Declarations!$C$14+(Declarations!$H$14-Declarations!$C$14)*EXP(-Declarations!$D$14*$B35)+IF(Declarations!$E$14=0,0,Declarations!$E$14*($B35/Declarations!$F$14)*EXP(1-$B35/Declarations!$F$14))+Declarations!$G$14*IF($B35&gt;=Sale_t,1,0)</f>
        <v>79.7396283563587</v>
      </c>
      <c r="D35" s="17" t="n">
        <f aca="false">Declarations!$C$15+(Declarations!$H$15-Declarations!$C$15)*EXP(-Declarations!$D$15*$B35)+IF(Declarations!$E$15=0,0,Declarations!$E$15*($B35/Declarations!$F$15)*EXP(1-$B35/Declarations!$F$15))+Declarations!$G$15*IF($B35&gt;=Sale_t,1,0)</f>
        <v>68.6449349552244</v>
      </c>
      <c r="E35" s="17" t="n">
        <f aca="false">Declarations!$C$16+(Declarations!$H$16-Declarations!$C$16)*EXP(-Declarations!$D$16*$B35)+IF(Declarations!$E$16=0,0,Declarations!$E$16*($B35/Declarations!$F$16)*EXP(1-$B35/Declarations!$F$16))+Declarations!$G$16*IF($B35&gt;=Sale_t,1,0)</f>
        <v>67.57971443335</v>
      </c>
      <c r="F35" s="17" t="n">
        <f aca="false">Declarations!$C$17+(Declarations!$H$17-Declarations!$C$17)*EXP(-Declarations!$D$17*$B35)+IF(Declarations!$E$17=0,0,Declarations!$E$17*($B35/Declarations!$F$17)*EXP(1-$B35/Declarations!$F$17))+Declarations!$G$17*IF($B35&gt;=Sale_t,1,0)</f>
        <v>65.6543409675087</v>
      </c>
      <c r="G35" s="17" t="n">
        <f aca="false">Declarations!$C$18+(Declarations!$H$18-Declarations!$C$18)*EXP(-Declarations!$D$18*$B35)+IF(Declarations!$E$18=0,0,Declarations!$E$18*($B35/Declarations!$F$18)*EXP(1-$B35/Declarations!$F$18))+Declarations!$G$18*IF($B35&gt;=Sale_t,1,0)</f>
        <v>120.110533789036</v>
      </c>
      <c r="H35" s="17" t="n">
        <f aca="false">Declarations!$C$19+(Declarations!$H$19-Declarations!$C$19)*EXP(-Declarations!$D$19*$B35)+IF(Declarations!$E$19=0,0,Declarations!$E$19*($B35/Declarations!$F$19)*EXP(1-$B35/Declarations!$F$19))+Declarations!$G$19*IF($B35&gt;=Sale_t,1,0)</f>
        <v>39.605784285557</v>
      </c>
      <c r="I35" s="17" t="n">
        <f aca="false">Declarations!$C$20+(Declarations!$H$20-Declarations!$C$20)*EXP(-Declarations!$D$20*$B35)+IF(Declarations!$E$20=0,0,Declarations!$E$20*($B35/Declarations!$F$20)*EXP(1-$B35/Declarations!$F$20))+Declarations!$G$20*IF($B35&gt;=Sale_t,1,0)</f>
        <v>73.026042597925</v>
      </c>
      <c r="J35" s="17" t="n">
        <f aca="false">Declarations!$C$21+(Declarations!$H$21-Declarations!$C$21)*EXP(-Declarations!$D$21*$B35)+IF(Declarations!$E$21=0,0,Declarations!$E$21*($B35/Declarations!$F$21)*EXP(1-$B35/Declarations!$F$21))+Declarations!$G$21*IF($B35&gt;=Sale_t,1,0)</f>
        <v>51.3348961574281</v>
      </c>
      <c r="K35" s="17" t="n">
        <f aca="false">Declarations!$C$22+(Declarations!$H$22-Declarations!$C$22)*EXP(-Declarations!$D$22*$B35)+IF(Declarations!$E$22=0,0,Declarations!$E$22*($B35/Declarations!$F$22)*EXP(1-$B35/Declarations!$F$22))+Declarations!$G$22*IF($B35&gt;=Sale_t,1,0)</f>
        <v>104.05208519585</v>
      </c>
      <c r="L35" s="17" t="n">
        <f aca="false">Declarations!$C$23+(Declarations!$H$23-Declarations!$C$23)*EXP(-Declarations!$D$23*$B35)+IF(Declarations!$E$23=0,0,Declarations!$E$23*($B35/Declarations!$F$23)*EXP(1-$B35/Declarations!$F$23))+Declarations!$G$23*IF($B35&gt;=Sale_t,1,0)</f>
        <v>37.8522452777011</v>
      </c>
      <c r="M35" s="17" t="n">
        <f aca="false">Declarations!$C$24+(Declarations!$H$24-Declarations!$C$24)*EXP(-Declarations!$D$24*$B35)+IF(Declarations!$E$24=0,0,Declarations!$E$24*($B35/Declarations!$F$24)*EXP(1-$B35/Declarations!$F$24))+Declarations!$G$24*IF($B35&gt;=Sale_t,1,0)</f>
        <v>77.2149587188126</v>
      </c>
      <c r="N35" s="17" t="n">
        <f aca="false">Declarations!$C$25+(Declarations!$H$25-Declarations!$C$25)*EXP(-Declarations!$D$25*$B35)+IF(Declarations!$E$25=0,0,Declarations!$E$25*($B35/Declarations!$F$25)*EXP(1-$B35/Declarations!$F$25))+Declarations!$G$25*IF($B35&gt;=Sale_t,1,0)</f>
        <v>65.582900341777</v>
      </c>
      <c r="O35" s="17" t="n">
        <f aca="false">W_L*S_L*C35+W_T*S_T*D35+W_E*S_E*E35+W_R*S_R*F35</f>
        <v>37.5774841943561</v>
      </c>
      <c r="P35" s="17" t="n">
        <f aca="false">W_L*S_L*G35+W_T*S_T*H35+W_E*S_E*I35+W_R*S_R*J35</f>
        <v>45.3518661287725</v>
      </c>
      <c r="Q35" s="17" t="n">
        <f aca="false">W_L*S_L*K35+W_T*S_T*L35+W_E*S_E*M35+W_R*S_R*N35</f>
        <v>38.3840972126466</v>
      </c>
      <c r="R35" s="16" t="n">
        <f aca="false">IF(O35&lt;Score_today,1,0)</f>
        <v>0</v>
      </c>
      <c r="S35" s="16" t="n">
        <f aca="false">IF(O35&gt;Q35,1,0)</f>
        <v>0</v>
      </c>
      <c r="T35" s="16" t="n">
        <f aca="false">IF(O35&gt;P35,1,0)</f>
        <v>0</v>
      </c>
      <c r="U35" s="16" t="n">
        <f aca="false">1+IF(P35&gt;O35,1,0)+IF(Q35&gt;O35,1,0)</f>
        <v>3</v>
      </c>
      <c r="V35" s="17" t="n">
        <f aca="false">ABS(P35-Q35)</f>
        <v>6.96776891612581</v>
      </c>
    </row>
    <row r="36" customFormat="false" ht="15" hidden="false" customHeight="false" outlineLevel="0" collapsed="false">
      <c r="A36" s="16" t="n">
        <v>31</v>
      </c>
      <c r="B36" s="17" t="n">
        <f aca="false">A36/12</f>
        <v>2.58333333333333</v>
      </c>
      <c r="C36" s="17" t="n">
        <f aca="false">Declarations!$C$14+(Declarations!$H$14-Declarations!$C$14)*EXP(-Declarations!$D$14*$B36)+IF(Declarations!$E$14=0,0,Declarations!$E$14*($B36/Declarations!$F$14)*EXP(1-$B36/Declarations!$F$14))+Declarations!$G$14*IF($B36&gt;=Sale_t,1,0)</f>
        <v>80.1243173459593</v>
      </c>
      <c r="D36" s="17" t="n">
        <f aca="false">Declarations!$C$15+(Declarations!$H$15-Declarations!$C$15)*EXP(-Declarations!$D$15*$B36)+IF(Declarations!$E$15=0,0,Declarations!$E$15*($B36/Declarations!$F$15)*EXP(1-$B36/Declarations!$F$15))+Declarations!$G$15*IF($B36&gt;=Sale_t,1,0)</f>
        <v>69.0640311191727</v>
      </c>
      <c r="E36" s="17" t="n">
        <f aca="false">Declarations!$C$16+(Declarations!$H$16-Declarations!$C$16)*EXP(-Declarations!$D$16*$B36)+IF(Declarations!$E$16=0,0,Declarations!$E$16*($B36/Declarations!$F$16)*EXP(1-$B36/Declarations!$F$16))+Declarations!$G$16*IF($B36&gt;=Sale_t,1,0)</f>
        <v>67.8232130453035</v>
      </c>
      <c r="F36" s="17" t="n">
        <f aca="false">Declarations!$C$17+(Declarations!$H$17-Declarations!$C$17)*EXP(-Declarations!$D$17*$B36)+IF(Declarations!$E$17=0,0,Declarations!$E$17*($B36/Declarations!$F$17)*EXP(1-$B36/Declarations!$F$17))+Declarations!$G$17*IF($B36&gt;=Sale_t,1,0)</f>
        <v>65.1422545781151</v>
      </c>
      <c r="G36" s="17" t="n">
        <f aca="false">Declarations!$C$18+(Declarations!$H$18-Declarations!$C$18)*EXP(-Declarations!$D$18*$B36)+IF(Declarations!$E$18=0,0,Declarations!$E$18*($B36/Declarations!$F$18)*EXP(1-$B36/Declarations!$F$18))+Declarations!$G$18*IF($B36&gt;=Sale_t,1,0)</f>
        <v>120.157184876004</v>
      </c>
      <c r="H36" s="17" t="n">
        <f aca="false">Declarations!$C$19+(Declarations!$H$19-Declarations!$C$19)*EXP(-Declarations!$D$19*$B36)+IF(Declarations!$E$19=0,0,Declarations!$E$19*($B36/Declarations!$F$19)*EXP(1-$B36/Declarations!$F$19))+Declarations!$G$19*IF($B36&gt;=Sale_t,1,0)</f>
        <v>39.5726765163362</v>
      </c>
      <c r="I36" s="17" t="n">
        <f aca="false">Declarations!$C$20+(Declarations!$H$20-Declarations!$C$20)*EXP(-Declarations!$D$20*$B36)+IF(Declarations!$E$20=0,0,Declarations!$E$20*($B36/Declarations!$F$20)*EXP(1-$B36/Declarations!$F$20))+Declarations!$G$20*IF($B36&gt;=Sale_t,1,0)</f>
        <v>73.0618896672234</v>
      </c>
      <c r="J36" s="17" t="n">
        <f aca="false">Declarations!$C$21+(Declarations!$H$21-Declarations!$C$21)*EXP(-Declarations!$D$21*$B36)+IF(Declarations!$E$21=0,0,Declarations!$E$21*($B36/Declarations!$F$21)*EXP(1-$B36/Declarations!$F$21))+Declarations!$G$21*IF($B36&gt;=Sale_t,1,0)</f>
        <v>51.2390331507645</v>
      </c>
      <c r="K36" s="17" t="n">
        <f aca="false">Declarations!$C$22+(Declarations!$H$22-Declarations!$C$22)*EXP(-Declarations!$D$22*$B36)+IF(Declarations!$E$22=0,0,Declarations!$E$22*($B36/Declarations!$F$22)*EXP(1-$B36/Declarations!$F$22))+Declarations!$G$22*IF($B36&gt;=Sale_t,1,0)</f>
        <v>104.123779334447</v>
      </c>
      <c r="L36" s="17" t="n">
        <f aca="false">Declarations!$C$23+(Declarations!$H$23-Declarations!$C$23)*EXP(-Declarations!$D$23*$B36)+IF(Declarations!$E$23=0,0,Declarations!$E$23*($B36/Declarations!$F$23)*EXP(1-$B36/Declarations!$F$23))+Declarations!$G$23*IF($B36&gt;=Sale_t,1,0)</f>
        <v>37.7720447175597</v>
      </c>
      <c r="M36" s="17" t="n">
        <f aca="false">Declarations!$C$24+(Declarations!$H$24-Declarations!$C$24)*EXP(-Declarations!$D$24*$B36)+IF(Declarations!$E$24=0,0,Declarations!$E$24*($B36/Declarations!$F$24)*EXP(1-$B36/Declarations!$F$24))+Declarations!$G$24*IF($B36&gt;=Sale_t,1,0)</f>
        <v>77.3020162093861</v>
      </c>
      <c r="N36" s="17" t="n">
        <f aca="false">Declarations!$C$25+(Declarations!$H$25-Declarations!$C$25)*EXP(-Declarations!$D$25*$B36)+IF(Declarations!$E$25=0,0,Declarations!$E$25*($B36/Declarations!$F$25)*EXP(1-$B36/Declarations!$F$25))+Declarations!$G$25*IF($B36&gt;=Sale_t,1,0)</f>
        <v>65.6178886570031</v>
      </c>
      <c r="O36" s="17" t="n">
        <f aca="false">W_L*S_L*C36+W_T*S_T*D36+W_E*S_E*E36+W_R*S_R*F36</f>
        <v>37.9673267330801</v>
      </c>
      <c r="P36" s="17" t="n">
        <f aca="false">W_L*S_L*G36+W_T*S_T*H36+W_E*S_E*I36+W_R*S_R*J36</f>
        <v>45.3881794771998</v>
      </c>
      <c r="Q36" s="17" t="n">
        <f aca="false">W_L*S_L*K36+W_T*S_T*L36+W_E*S_E*M36+W_R*S_R*N36</f>
        <v>38.3949879010974</v>
      </c>
      <c r="R36" s="16" t="n">
        <f aca="false">IF(O36&lt;Score_today,1,0)</f>
        <v>0</v>
      </c>
      <c r="S36" s="16" t="n">
        <f aca="false">IF(O36&gt;Q36,1,0)</f>
        <v>0</v>
      </c>
      <c r="T36" s="16" t="n">
        <f aca="false">IF(O36&gt;P36,1,0)</f>
        <v>0</v>
      </c>
      <c r="U36" s="16" t="n">
        <f aca="false">1+IF(P36&gt;O36,1,0)+IF(Q36&gt;O36,1,0)</f>
        <v>3</v>
      </c>
      <c r="V36" s="17" t="n">
        <f aca="false">ABS(P36-Q36)</f>
        <v>6.99319157610243</v>
      </c>
    </row>
    <row r="37" customFormat="false" ht="15" hidden="false" customHeight="false" outlineLevel="0" collapsed="false">
      <c r="A37" s="16" t="n">
        <v>32</v>
      </c>
      <c r="B37" s="17" t="n">
        <f aca="false">A37/12</f>
        <v>2.66666666666667</v>
      </c>
      <c r="C37" s="17" t="n">
        <f aca="false">Declarations!$C$14+(Declarations!$H$14-Declarations!$C$14)*EXP(-Declarations!$D$14*$B37)+IF(Declarations!$E$14=0,0,Declarations!$E$14*($B37/Declarations!$F$14)*EXP(1-$B37/Declarations!$F$14))+Declarations!$G$14*IF($B37&gt;=Sale_t,1,0)</f>
        <v>80.5306090881554</v>
      </c>
      <c r="D37" s="17" t="n">
        <f aca="false">Declarations!$C$15+(Declarations!$H$15-Declarations!$C$15)*EXP(-Declarations!$D$15*$B37)+IF(Declarations!$E$15=0,0,Declarations!$E$15*($B37/Declarations!$F$15)*EXP(1-$B37/Declarations!$F$15))+Declarations!$G$15*IF($B37&gt;=Sale_t,1,0)</f>
        <v>69.4643522565664</v>
      </c>
      <c r="E37" s="17" t="n">
        <f aca="false">Declarations!$C$16+(Declarations!$H$16-Declarations!$C$16)*EXP(-Declarations!$D$16*$B37)+IF(Declarations!$E$16=0,0,Declarations!$E$16*($B37/Declarations!$F$16)*EXP(1-$B37/Declarations!$F$16))+Declarations!$G$16*IF($B37&gt;=Sale_t,1,0)</f>
        <v>68.0676039867308</v>
      </c>
      <c r="F37" s="17" t="n">
        <f aca="false">Declarations!$C$17+(Declarations!$H$17-Declarations!$C$17)*EXP(-Declarations!$D$17*$B37)+IF(Declarations!$E$17=0,0,Declarations!$E$17*($B37/Declarations!$F$17)*EXP(1-$B37/Declarations!$F$17))+Declarations!$G$17*IF($B37&gt;=Sale_t,1,0)</f>
        <v>64.6385494433426</v>
      </c>
      <c r="G37" s="17" t="n">
        <f aca="false">Declarations!$C$18+(Declarations!$H$18-Declarations!$C$18)*EXP(-Declarations!$D$18*$B37)+IF(Declarations!$E$18=0,0,Declarations!$E$18*($B37/Declarations!$F$18)*EXP(1-$B37/Declarations!$F$18))+Declarations!$G$18*IF($B37&gt;=Sale_t,1,0)</f>
        <v>120.202684143531</v>
      </c>
      <c r="H37" s="17" t="n">
        <f aca="false">Declarations!$C$19+(Declarations!$H$19-Declarations!$C$19)*EXP(-Declarations!$D$19*$B37)+IF(Declarations!$E$19=0,0,Declarations!$E$19*($B37/Declarations!$F$19)*EXP(1-$B37/Declarations!$F$19))+Declarations!$G$19*IF($B37&gt;=Sale_t,1,0)</f>
        <v>39.5402513570978</v>
      </c>
      <c r="I37" s="17" t="n">
        <f aca="false">Declarations!$C$20+(Declarations!$H$20-Declarations!$C$20)*EXP(-Declarations!$D$20*$B37)+IF(Declarations!$E$20=0,0,Declarations!$E$20*($B37/Declarations!$F$20)*EXP(1-$B37/Declarations!$F$20))+Declarations!$G$20*IF($B37&gt;=Sale_t,1,0)</f>
        <v>73.0964173642634</v>
      </c>
      <c r="J37" s="17" t="n">
        <f aca="false">Declarations!$C$21+(Declarations!$H$21-Declarations!$C$21)*EXP(-Declarations!$D$21*$B37)+IF(Declarations!$E$21=0,0,Declarations!$E$21*($B37/Declarations!$F$21)*EXP(1-$B37/Declarations!$F$21))+Declarations!$G$21*IF($B37&gt;=Sale_t,1,0)</f>
        <v>51.1459257669488</v>
      </c>
      <c r="K37" s="17" t="n">
        <f aca="false">Declarations!$C$22+(Declarations!$H$22-Declarations!$C$22)*EXP(-Declarations!$D$22*$B37)+IF(Declarations!$E$22=0,0,Declarations!$E$22*($B37/Declarations!$F$22)*EXP(1-$B37/Declarations!$F$22))+Declarations!$G$22*IF($B37&gt;=Sale_t,1,0)</f>
        <v>104.192834728527</v>
      </c>
      <c r="L37" s="17" t="n">
        <f aca="false">Declarations!$C$23+(Declarations!$H$23-Declarations!$C$23)*EXP(-Declarations!$D$23*$B37)+IF(Declarations!$E$23=0,0,Declarations!$E$23*($B37/Declarations!$F$23)*EXP(1-$B37/Declarations!$F$23))+Declarations!$G$23*IF($B37&gt;=Sale_t,1,0)</f>
        <v>37.6931697560803</v>
      </c>
      <c r="M37" s="17" t="n">
        <f aca="false">Declarations!$C$24+(Declarations!$H$24-Declarations!$C$24)*EXP(-Declarations!$D$24*$B37)+IF(Declarations!$E$24=0,0,Declarations!$E$24*($B37/Declarations!$F$24)*EXP(1-$B37/Declarations!$F$24))+Declarations!$G$24*IF($B37&gt;=Sale_t,1,0)</f>
        <v>77.3848278560428</v>
      </c>
      <c r="N37" s="17" t="n">
        <f aca="false">Declarations!$C$25+(Declarations!$H$25-Declarations!$C$25)*EXP(-Declarations!$D$25*$B37)+IF(Declarations!$E$25=0,0,Declarations!$E$25*($B37/Declarations!$F$25)*EXP(1-$B37/Declarations!$F$25))+Declarations!$G$25*IF($B37&gt;=Sale_t,1,0)</f>
        <v>65.6520131076483</v>
      </c>
      <c r="O37" s="17" t="n">
        <f aca="false">W_L*S_L*C37+W_T*S_T*D37+W_E*S_E*E37+W_R*S_R*F37</f>
        <v>38.3560039720275</v>
      </c>
      <c r="P37" s="17" t="n">
        <f aca="false">W_L*S_L*G37+W_T*S_T*H37+W_E*S_E*I37+W_R*S_R*J37</f>
        <v>45.4233567744859</v>
      </c>
      <c r="Q37" s="17" t="n">
        <f aca="false">W_L*S_L*K37+W_T*S_T*L37+W_E*S_E*M37+W_R*S_R*N37</f>
        <v>38.4047048082504</v>
      </c>
      <c r="R37" s="16" t="n">
        <f aca="false">IF(O37&lt;Score_today,1,0)</f>
        <v>0</v>
      </c>
      <c r="S37" s="16" t="n">
        <f aca="false">IF(O37&gt;Q37,1,0)</f>
        <v>0</v>
      </c>
      <c r="T37" s="16" t="n">
        <f aca="false">IF(O37&gt;P37,1,0)</f>
        <v>0</v>
      </c>
      <c r="U37" s="16" t="n">
        <f aca="false">1+IF(P37&gt;O37,1,0)+IF(Q37&gt;O37,1,0)</f>
        <v>3</v>
      </c>
      <c r="V37" s="17" t="n">
        <f aca="false">ABS(P37-Q37)</f>
        <v>7.01865196623551</v>
      </c>
    </row>
    <row r="38" customFormat="false" ht="15" hidden="false" customHeight="false" outlineLevel="0" collapsed="false">
      <c r="A38" s="16" t="n">
        <v>33</v>
      </c>
      <c r="B38" s="17" t="n">
        <f aca="false">A38/12</f>
        <v>2.75</v>
      </c>
      <c r="C38" s="17" t="n">
        <f aca="false">Declarations!$C$14+(Declarations!$H$14-Declarations!$C$14)*EXP(-Declarations!$D$14*$B38)+IF(Declarations!$E$14=0,0,Declarations!$E$14*($B38/Declarations!$F$14)*EXP(1-$B38/Declarations!$F$14))+Declarations!$G$14*IF($B38&gt;=Sale_t,1,0)</f>
        <v>80.9561205749002</v>
      </c>
      <c r="D38" s="17" t="n">
        <f aca="false">Declarations!$C$15+(Declarations!$H$15-Declarations!$C$15)*EXP(-Declarations!$D$15*$B38)+IF(Declarations!$E$15=0,0,Declarations!$E$15*($B38/Declarations!$F$15)*EXP(1-$B38/Declarations!$F$15))+Declarations!$G$15*IF($B38&gt;=Sale_t,1,0)</f>
        <v>69.8467394670203</v>
      </c>
      <c r="E38" s="17" t="n">
        <f aca="false">Declarations!$C$16+(Declarations!$H$16-Declarations!$C$16)*EXP(-Declarations!$D$16*$B38)+IF(Declarations!$E$16=0,0,Declarations!$E$16*($B38/Declarations!$F$16)*EXP(1-$B38/Declarations!$F$16))+Declarations!$G$16*IF($B38&gt;=Sale_t,1,0)</f>
        <v>68.3120919848047</v>
      </c>
      <c r="F38" s="17" t="n">
        <f aca="false">Declarations!$C$17+(Declarations!$H$17-Declarations!$C$17)*EXP(-Declarations!$D$17*$B38)+IF(Declarations!$E$17=0,0,Declarations!$E$17*($B38/Declarations!$F$17)*EXP(1-$B38/Declarations!$F$17))+Declarations!$G$17*IF($B38&gt;=Sale_t,1,0)</f>
        <v>64.144221297692</v>
      </c>
      <c r="G38" s="17" t="n">
        <f aca="false">Declarations!$C$18+(Declarations!$H$18-Declarations!$C$18)*EXP(-Declarations!$D$18*$B38)+IF(Declarations!$E$18=0,0,Declarations!$E$18*($B38/Declarations!$F$18)*EXP(1-$B38/Declarations!$F$18))+Declarations!$G$18*IF($B38&gt;=Sale_t,1,0)</f>
        <v>120.24706003014</v>
      </c>
      <c r="H38" s="17" t="n">
        <f aca="false">Declarations!$C$19+(Declarations!$H$19-Declarations!$C$19)*EXP(-Declarations!$D$19*$B38)+IF(Declarations!$E$19=0,0,Declarations!$E$19*($B38/Declarations!$F$19)*EXP(1-$B38/Declarations!$F$19))+Declarations!$G$19*IF($B38&gt;=Sale_t,1,0)</f>
        <v>39.5084947339128</v>
      </c>
      <c r="I38" s="17" t="n">
        <f aca="false">Declarations!$C$20+(Declarations!$H$20-Declarations!$C$20)*EXP(-Declarations!$D$20*$B38)+IF(Declarations!$E$20=0,0,Declarations!$E$20*($B38/Declarations!$F$20)*EXP(1-$B38/Declarations!$F$20))+Declarations!$G$20*IF($B38&gt;=Sale_t,1,0)</f>
        <v>73.129674249309</v>
      </c>
      <c r="J38" s="17" t="n">
        <f aca="false">Declarations!$C$21+(Declarations!$H$21-Declarations!$C$21)*EXP(-Declarations!$D$21*$B38)+IF(Declarations!$E$21=0,0,Declarations!$E$21*($B38/Declarations!$F$21)*EXP(1-$B38/Declarations!$F$21))+Declarations!$G$21*IF($B38&gt;=Sale_t,1,0)</f>
        <v>51.0554947944316</v>
      </c>
      <c r="K38" s="17" t="n">
        <f aca="false">Declarations!$C$22+(Declarations!$H$22-Declarations!$C$22)*EXP(-Declarations!$D$22*$B38)+IF(Declarations!$E$22=0,0,Declarations!$E$22*($B38/Declarations!$F$22)*EXP(1-$B38/Declarations!$F$22))+Declarations!$G$22*IF($B38&gt;=Sale_t,1,0)</f>
        <v>104.259348498618</v>
      </c>
      <c r="L38" s="17" t="n">
        <f aca="false">Declarations!$C$23+(Declarations!$H$23-Declarations!$C$23)*EXP(-Declarations!$D$23*$B38)+IF(Declarations!$E$23=0,0,Declarations!$E$23*($B38/Declarations!$F$23)*EXP(1-$B38/Declarations!$F$23))+Declarations!$G$23*IF($B38&gt;=Sale_t,1,0)</f>
        <v>37.6155984830439</v>
      </c>
      <c r="M38" s="17" t="n">
        <f aca="false">Declarations!$C$24+(Declarations!$H$24-Declarations!$C$24)*EXP(-Declarations!$D$24*$B38)+IF(Declarations!$E$24=0,0,Declarations!$E$24*($B38/Declarations!$F$24)*EXP(1-$B38/Declarations!$F$24))+Declarations!$G$24*IF($B38&gt;=Sale_t,1,0)</f>
        <v>77.463600731034</v>
      </c>
      <c r="N38" s="17" t="n">
        <f aca="false">Declarations!$C$25+(Declarations!$H$25-Declarations!$C$25)*EXP(-Declarations!$D$25*$B38)+IF(Declarations!$E$25=0,0,Declarations!$E$25*($B38/Declarations!$F$25)*EXP(1-$B38/Declarations!$F$25))+Declarations!$G$25*IF($B38&gt;=Sale_t,1,0)</f>
        <v>65.6852950226052</v>
      </c>
      <c r="O38" s="17" t="n">
        <f aca="false">W_L*S_L*C38+W_T*S_T*D38+W_E*S_E*E38+W_R*S_R*F38</f>
        <v>38.7426826822583</v>
      </c>
      <c r="P38" s="17" t="n">
        <f aca="false">W_L*S_L*G38+W_T*S_T*H38+W_E*S_E*I38+W_R*S_R*J38</f>
        <v>45.4574335547326</v>
      </c>
      <c r="Q38" s="17" t="n">
        <f aca="false">W_L*S_L*K38+W_T*S_T*L38+W_E*S_E*M38+W_R*S_R*N38</f>
        <v>38.4133131725227</v>
      </c>
      <c r="R38" s="16" t="n">
        <f aca="false">IF(O38&lt;Score_today,1,0)</f>
        <v>0</v>
      </c>
      <c r="S38" s="16" t="n">
        <f aca="false">IF(O38&gt;Q38,1,0)</f>
        <v>1</v>
      </c>
      <c r="T38" s="16" t="n">
        <f aca="false">IF(O38&gt;P38,1,0)</f>
        <v>0</v>
      </c>
      <c r="U38" s="16" t="n">
        <f aca="false">1+IF(P38&gt;O38,1,0)+IF(Q38&gt;O38,1,0)</f>
        <v>2</v>
      </c>
      <c r="V38" s="17" t="n">
        <f aca="false">ABS(P38-Q38)</f>
        <v>7.04412038220993</v>
      </c>
    </row>
    <row r="39" customFormat="false" ht="15" hidden="false" customHeight="false" outlineLevel="0" collapsed="false">
      <c r="A39" s="16" t="n">
        <v>34</v>
      </c>
      <c r="B39" s="17" t="n">
        <f aca="false">A39/12</f>
        <v>2.83333333333333</v>
      </c>
      <c r="C39" s="17" t="n">
        <f aca="false">Declarations!$C$14+(Declarations!$H$14-Declarations!$C$14)*EXP(-Declarations!$D$14*$B39)+IF(Declarations!$E$14=0,0,Declarations!$E$14*($B39/Declarations!$F$14)*EXP(1-$B39/Declarations!$F$14))+Declarations!$G$14*IF($B39&gt;=Sale_t,1,0)</f>
        <v>81.3986267207659</v>
      </c>
      <c r="D39" s="17" t="n">
        <f aca="false">Declarations!$C$15+(Declarations!$H$15-Declarations!$C$15)*EXP(-Declarations!$D$15*$B39)+IF(Declarations!$E$15=0,0,Declarations!$E$15*($B39/Declarations!$F$15)*EXP(1-$B39/Declarations!$F$15))+Declarations!$G$15*IF($B39&gt;=Sale_t,1,0)</f>
        <v>70.2119961698534</v>
      </c>
      <c r="E39" s="17" t="n">
        <f aca="false">Declarations!$C$16+(Declarations!$H$16-Declarations!$C$16)*EXP(-Declarations!$D$16*$B39)+IF(Declarations!$E$16=0,0,Declarations!$E$16*($B39/Declarations!$F$16)*EXP(1-$B39/Declarations!$F$16))+Declarations!$G$16*IF($B39&gt;=Sale_t,1,0)</f>
        <v>68.5559646135639</v>
      </c>
      <c r="F39" s="17" t="n">
        <f aca="false">Declarations!$C$17+(Declarations!$H$17-Declarations!$C$17)*EXP(-Declarations!$D$17*$B39)+IF(Declarations!$E$17=0,0,Declarations!$E$17*($B39/Declarations!$F$17)*EXP(1-$B39/Declarations!$F$17))+Declarations!$G$17*IF($B39&gt;=Sale_t,1,0)</f>
        <v>63.6601005982351</v>
      </c>
      <c r="G39" s="17" t="n">
        <f aca="false">Declarations!$C$18+(Declarations!$H$18-Declarations!$C$18)*EXP(-Declarations!$D$18*$B39)+IF(Declarations!$E$18=0,0,Declarations!$E$18*($B39/Declarations!$F$18)*EXP(1-$B39/Declarations!$F$18))+Declarations!$G$18*IF($B39&gt;=Sale_t,1,0)</f>
        <v>120.290340272205</v>
      </c>
      <c r="H39" s="17" t="n">
        <f aca="false">Declarations!$C$19+(Declarations!$H$19-Declarations!$C$19)*EXP(-Declarations!$D$19*$B39)+IF(Declarations!$E$19=0,0,Declarations!$E$19*($B39/Declarations!$F$19)*EXP(1-$B39/Declarations!$F$19))+Declarations!$G$19*IF($B39&gt;=Sale_t,1,0)</f>
        <v>39.4773928630262</v>
      </c>
      <c r="I39" s="17" t="n">
        <f aca="false">Declarations!$C$20+(Declarations!$H$20-Declarations!$C$20)*EXP(-Declarations!$D$20*$B39)+IF(Declarations!$E$20=0,0,Declarations!$E$20*($B39/Declarations!$F$20)*EXP(1-$B39/Declarations!$F$20))+Declarations!$G$20*IF($B39&gt;=Sale_t,1,0)</f>
        <v>73.1617070953358</v>
      </c>
      <c r="J39" s="17" t="n">
        <f aca="false">Declarations!$C$21+(Declarations!$H$21-Declarations!$C$21)*EXP(-Declarations!$D$21*$B39)+IF(Declarations!$E$21=0,0,Declarations!$E$21*($B39/Declarations!$F$21)*EXP(1-$B39/Declarations!$F$21))+Declarations!$G$21*IF($B39&gt;=Sale_t,1,0)</f>
        <v>50.9676632986332</v>
      </c>
      <c r="K39" s="17" t="n">
        <f aca="false">Declarations!$C$22+(Declarations!$H$22-Declarations!$C$22)*EXP(-Declarations!$D$22*$B39)+IF(Declarations!$E$22=0,0,Declarations!$E$22*($B39/Declarations!$F$22)*EXP(1-$B39/Declarations!$F$22))+Declarations!$G$22*IF($B39&gt;=Sale_t,1,0)</f>
        <v>104.323414190672</v>
      </c>
      <c r="L39" s="17" t="n">
        <f aca="false">Declarations!$C$23+(Declarations!$H$23-Declarations!$C$23)*EXP(-Declarations!$D$23*$B39)+IF(Declarations!$E$23=0,0,Declarations!$E$23*($B39/Declarations!$F$23)*EXP(1-$B39/Declarations!$F$23))+Declarations!$G$23*IF($B39&gt;=Sale_t,1,0)</f>
        <v>37.539309350376</v>
      </c>
      <c r="M39" s="17" t="n">
        <f aca="false">Declarations!$C$24+(Declarations!$H$24-Declarations!$C$24)*EXP(-Declarations!$D$24*$B39)+IF(Declarations!$E$24=0,0,Declarations!$E$24*($B39/Declarations!$F$24)*EXP(1-$B39/Declarations!$F$24))+Declarations!$G$24*IF($B39&gt;=Sale_t,1,0)</f>
        <v>77.5385318075781</v>
      </c>
      <c r="N39" s="17" t="n">
        <f aca="false">Declarations!$C$25+(Declarations!$H$25-Declarations!$C$25)*EXP(-Declarations!$D$25*$B39)+IF(Declarations!$E$25=0,0,Declarations!$E$25*($B39/Declarations!$F$25)*EXP(1-$B39/Declarations!$F$25))+Declarations!$G$25*IF($B39&gt;=Sale_t,1,0)</f>
        <v>65.7177552041538</v>
      </c>
      <c r="O39" s="17" t="n">
        <f aca="false">W_L*S_L*C39+W_T*S_T*D39+W_E*S_E*E39+W_R*S_R*F39</f>
        <v>39.126621726487</v>
      </c>
      <c r="P39" s="17" t="n">
        <f aca="false">W_L*S_L*G39+W_T*S_T*H39+W_E*S_E*I39+W_R*S_R*J39</f>
        <v>45.4904442329835</v>
      </c>
      <c r="Q39" s="17" t="n">
        <f aca="false">W_L*S_L*K39+W_T*S_T*L39+W_E*S_E*M39+W_R*S_R*N39</f>
        <v>38.420875036118</v>
      </c>
      <c r="R39" s="16" t="n">
        <f aca="false">IF(O39&lt;Score_today,1,0)</f>
        <v>0</v>
      </c>
      <c r="S39" s="16" t="n">
        <f aca="false">IF(O39&gt;Q39,1,0)</f>
        <v>1</v>
      </c>
      <c r="T39" s="16" t="n">
        <f aca="false">IF(O39&gt;P39,1,0)</f>
        <v>0</v>
      </c>
      <c r="U39" s="16" t="n">
        <f aca="false">1+IF(P39&gt;O39,1,0)+IF(Q39&gt;O39,1,0)</f>
        <v>2</v>
      </c>
      <c r="V39" s="17" t="n">
        <f aca="false">ABS(P39-Q39)</f>
        <v>7.06956919686549</v>
      </c>
    </row>
    <row r="40" customFormat="false" ht="15" hidden="false" customHeight="false" outlineLevel="0" collapsed="false">
      <c r="A40" s="16" t="n">
        <v>35</v>
      </c>
      <c r="B40" s="17" t="n">
        <f aca="false">A40/12</f>
        <v>2.91666666666667</v>
      </c>
      <c r="C40" s="17" t="n">
        <f aca="false">Declarations!$C$14+(Declarations!$H$14-Declarations!$C$14)*EXP(-Declarations!$D$14*$B40)+IF(Declarations!$E$14=0,0,Declarations!$E$14*($B40/Declarations!$F$14)*EXP(1-$B40/Declarations!$F$14))+Declarations!$G$14*IF($B40&gt;=Sale_t,1,0)</f>
        <v>81.8560514593246</v>
      </c>
      <c r="D40" s="17" t="n">
        <f aca="false">Declarations!$C$15+(Declarations!$H$15-Declarations!$C$15)*EXP(-Declarations!$D$15*$B40)+IF(Declarations!$E$15=0,0,Declarations!$E$15*($B40/Declarations!$F$15)*EXP(1-$B40/Declarations!$F$15))+Declarations!$G$15*IF($B40&gt;=Sale_t,1,0)</f>
        <v>70.5608897921219</v>
      </c>
      <c r="E40" s="17" t="n">
        <f aca="false">Declarations!$C$16+(Declarations!$H$16-Declarations!$C$16)*EXP(-Declarations!$D$16*$B40)+IF(Declarations!$E$16=0,0,Declarations!$E$16*($B40/Declarations!$F$16)*EXP(1-$B40/Declarations!$F$16))+Declarations!$G$16*IF($B40&gt;=Sale_t,1,0)</f>
        <v>68.7985856826848</v>
      </c>
      <c r="F40" s="17" t="n">
        <f aca="false">Declarations!$C$17+(Declarations!$H$17-Declarations!$C$17)*EXP(-Declarations!$D$17*$B40)+IF(Declarations!$E$17=0,0,Declarations!$E$17*($B40/Declarations!$F$17)*EXP(1-$B40/Declarations!$F$17))+Declarations!$G$17*IF($B40&gt;=Sale_t,1,0)</f>
        <v>63.1868700209848</v>
      </c>
      <c r="G40" s="17" t="n">
        <f aca="false">Declarations!$C$18+(Declarations!$H$18-Declarations!$C$18)*EXP(-Declarations!$D$18*$B40)+IF(Declarations!$E$18=0,0,Declarations!$E$18*($B40/Declarations!$F$18)*EXP(1-$B40/Declarations!$F$18))+Declarations!$G$18*IF($B40&gt;=Sale_t,1,0)</f>
        <v>120.332551921286</v>
      </c>
      <c r="H40" s="17" t="n">
        <f aca="false">Declarations!$C$19+(Declarations!$H$19-Declarations!$C$19)*EXP(-Declarations!$D$19*$B40)+IF(Declarations!$E$19=0,0,Declarations!$E$19*($B40/Declarations!$F$19)*EXP(1-$B40/Declarations!$F$19))+Declarations!$G$19*IF($B40&gt;=Sale_t,1,0)</f>
        <v>39.4469322448738</v>
      </c>
      <c r="I40" s="17" t="n">
        <f aca="false">Declarations!$C$20+(Declarations!$H$20-Declarations!$C$20)*EXP(-Declarations!$D$20*$B40)+IF(Declarations!$E$20=0,0,Declarations!$E$20*($B40/Declarations!$F$20)*EXP(1-$B40/Declarations!$F$20))+Declarations!$G$20*IF($B40&gt;=Sale_t,1,0)</f>
        <v>73.1925609538125</v>
      </c>
      <c r="J40" s="17" t="n">
        <f aca="false">Declarations!$C$21+(Declarations!$H$21-Declarations!$C$21)*EXP(-Declarations!$D$21*$B40)+IF(Declarations!$E$21=0,0,Declarations!$E$21*($B40/Declarations!$F$21)*EXP(1-$B40/Declarations!$F$21))+Declarations!$G$21*IF($B40&gt;=Sale_t,1,0)</f>
        <v>50.8823565564912</v>
      </c>
      <c r="K40" s="17" t="n">
        <f aca="false">Declarations!$C$22+(Declarations!$H$22-Declarations!$C$22)*EXP(-Declarations!$D$22*$B40)+IF(Declarations!$E$22=0,0,Declarations!$E$22*($B40/Declarations!$F$22)*EXP(1-$B40/Declarations!$F$22))+Declarations!$G$22*IF($B40&gt;=Sale_t,1,0)</f>
        <v>104.385121907625</v>
      </c>
      <c r="L40" s="17" t="n">
        <f aca="false">Declarations!$C$23+(Declarations!$H$23-Declarations!$C$23)*EXP(-Declarations!$D$23*$B40)+IF(Declarations!$E$23=0,0,Declarations!$E$23*($B40/Declarations!$F$23)*EXP(1-$B40/Declarations!$F$23))+Declarations!$G$23*IF($B40&gt;=Sale_t,1,0)</f>
        <v>37.4642811661604</v>
      </c>
      <c r="M40" s="17" t="n">
        <f aca="false">Declarations!$C$24+(Declarations!$H$24-Declarations!$C$24)*EXP(-Declarations!$D$24*$B40)+IF(Declarations!$E$24=0,0,Declarations!$E$24*($B40/Declarations!$F$24)*EXP(1-$B40/Declarations!$F$24))+Declarations!$G$24*IF($B40&gt;=Sale_t,1,0)</f>
        <v>77.6098084523964</v>
      </c>
      <c r="N40" s="17" t="n">
        <f aca="false">Declarations!$C$25+(Declarations!$H$25-Declarations!$C$25)*EXP(-Declarations!$D$25*$B40)+IF(Declarations!$E$25=0,0,Declarations!$E$25*($B40/Declarations!$F$25)*EXP(1-$B40/Declarations!$F$25))+Declarations!$G$25*IF($B40&gt;=Sale_t,1,0)</f>
        <v>65.7494139409645</v>
      </c>
      <c r="O40" s="17" t="n">
        <f aca="false">W_L*S_L*C40+W_T*S_T*D40+W_E*S_E*E40+W_R*S_R*F40</f>
        <v>39.5071642282866</v>
      </c>
      <c r="P40" s="17" t="n">
        <f aca="false">W_L*S_L*G40+W_T*S_T*H40+W_E*S_E*I40+W_R*S_R*J40</f>
        <v>45.5224221408703</v>
      </c>
      <c r="Q40" s="17" t="n">
        <f aca="false">W_L*S_L*K40+W_T*S_T*L40+W_E*S_E*M40+W_R*S_R*N40</f>
        <v>38.4274493963043</v>
      </c>
      <c r="R40" s="16" t="n">
        <f aca="false">IF(O40&lt;Score_today,1,0)</f>
        <v>0</v>
      </c>
      <c r="S40" s="16" t="n">
        <f aca="false">IF(O40&gt;Q40,1,0)</f>
        <v>1</v>
      </c>
      <c r="T40" s="16" t="n">
        <f aca="false">IF(O40&gt;P40,1,0)</f>
        <v>0</v>
      </c>
      <c r="U40" s="16" t="n">
        <f aca="false">1+IF(P40&gt;O40,1,0)+IF(Q40&gt;O40,1,0)</f>
        <v>2</v>
      </c>
      <c r="V40" s="17" t="n">
        <f aca="false">ABS(P40-Q40)</f>
        <v>7.09497274456596</v>
      </c>
    </row>
    <row r="41" customFormat="false" ht="15" hidden="false" customHeight="false" outlineLevel="0" collapsed="false">
      <c r="A41" s="16" t="n">
        <v>36</v>
      </c>
      <c r="B41" s="17" t="n">
        <f aca="false">A41/12</f>
        <v>3</v>
      </c>
      <c r="C41" s="17" t="n">
        <f aca="false">Declarations!$C$14+(Declarations!$H$14-Declarations!$C$14)*EXP(-Declarations!$D$14*$B41)+IF(Declarations!$E$14=0,0,Declarations!$E$14*($B41/Declarations!$F$14)*EXP(1-$B41/Declarations!$F$14))+Declarations!$G$14*IF($B41&gt;=Sale_t,1,0)</f>
        <v>82.3264593027355</v>
      </c>
      <c r="D41" s="17" t="n">
        <f aca="false">Declarations!$C$15+(Declarations!$H$15-Declarations!$C$15)*EXP(-Declarations!$D$15*$B41)+IF(Declarations!$E$15=0,0,Declarations!$E$15*($B41/Declarations!$F$15)*EXP(1-$B41/Declarations!$F$15))+Declarations!$G$15*IF($B41&gt;=Sale_t,1,0)</f>
        <v>70.8941533810321</v>
      </c>
      <c r="E41" s="17" t="n">
        <f aca="false">Declarations!$C$16+(Declarations!$H$16-Declarations!$C$16)*EXP(-Declarations!$D$16*$B41)+IF(Declarations!$E$16=0,0,Declarations!$E$16*($B41/Declarations!$F$16)*EXP(1-$B41/Declarations!$F$16))+Declarations!$G$16*IF($B41&gt;=Sale_t,1,0)</f>
        <v>69.0393890980235</v>
      </c>
      <c r="F41" s="17" t="n">
        <f aca="false">Declarations!$C$17+(Declarations!$H$17-Declarations!$C$17)*EXP(-Declarations!$D$17*$B41)+IF(Declarations!$E$17=0,0,Declarations!$E$17*($B41/Declarations!$F$17)*EXP(1-$B41/Declarations!$F$17))+Declarations!$G$17*IF($B41&gt;=Sale_t,1,0)</f>
        <v>62.7250803600537</v>
      </c>
      <c r="G41" s="17" t="n">
        <f aca="false">Declarations!$C$18+(Declarations!$H$18-Declarations!$C$18)*EXP(-Declarations!$D$18*$B41)+IF(Declarations!$E$18=0,0,Declarations!$E$18*($B41/Declarations!$F$18)*EXP(1-$B41/Declarations!$F$18))+Declarations!$G$18*IF($B41&gt;=Sale_t,1,0)</f>
        <v>120.373721361038</v>
      </c>
      <c r="H41" s="17" t="n">
        <f aca="false">Declarations!$C$19+(Declarations!$H$19-Declarations!$C$19)*EXP(-Declarations!$D$19*$B41)+IF(Declarations!$E$19=0,0,Declarations!$E$19*($B41/Declarations!$F$19)*EXP(1-$B41/Declarations!$F$19))+Declarations!$G$19*IF($B41&gt;=Sale_t,1,0)</f>
        <v>39.417099658223</v>
      </c>
      <c r="I41" s="17" t="n">
        <f aca="false">Declarations!$C$20+(Declarations!$H$20-Declarations!$C$20)*EXP(-Declarations!$D$20*$B41)+IF(Declarations!$E$20=0,0,Declarations!$E$20*($B41/Declarations!$F$20)*EXP(1-$B41/Declarations!$F$20))+Declarations!$G$20*IF($B41&gt;=Sale_t,1,0)</f>
        <v>73.2222792180623</v>
      </c>
      <c r="J41" s="17" t="n">
        <f aca="false">Declarations!$C$21+(Declarations!$H$21-Declarations!$C$21)*EXP(-Declarations!$D$21*$B41)+IF(Declarations!$E$21=0,0,Declarations!$E$21*($B41/Declarations!$F$21)*EXP(1-$B41/Declarations!$F$21))+Declarations!$G$21*IF($B41&gt;=Sale_t,1,0)</f>
        <v>50.7995019928892</v>
      </c>
      <c r="K41" s="17" t="n">
        <f aca="false">Declarations!$C$22+(Declarations!$H$22-Declarations!$C$22)*EXP(-Declarations!$D$22*$B41)+IF(Declarations!$E$22=0,0,Declarations!$E$22*($B41/Declarations!$F$22)*EXP(1-$B41/Declarations!$F$22))+Declarations!$G$22*IF($B41&gt;=Sale_t,1,0)</f>
        <v>104.444558436125</v>
      </c>
      <c r="L41" s="17" t="n">
        <f aca="false">Declarations!$C$23+(Declarations!$H$23-Declarations!$C$23)*EXP(-Declarations!$D$23*$B41)+IF(Declarations!$E$23=0,0,Declarations!$E$23*($B41/Declarations!$F$23)*EXP(1-$B41/Declarations!$F$23))+Declarations!$G$23*IF($B41&gt;=Sale_t,1,0)</f>
        <v>37.3904930887522</v>
      </c>
      <c r="M41" s="17" t="n">
        <f aca="false">Declarations!$C$24+(Declarations!$H$24-Declarations!$C$24)*EXP(-Declarations!$D$24*$B41)+IF(Declarations!$E$24=0,0,Declarations!$E$24*($B41/Declarations!$F$24)*EXP(1-$B41/Declarations!$F$24))+Declarations!$G$24*IF($B41&gt;=Sale_t,1,0)</f>
        <v>77.6776088942273</v>
      </c>
      <c r="N41" s="17" t="n">
        <f aca="false">Declarations!$C$25+(Declarations!$H$25-Declarations!$C$25)*EXP(-Declarations!$D$25*$B41)+IF(Declarations!$E$25=0,0,Declarations!$E$25*($B41/Declarations!$F$25)*EXP(1-$B41/Declarations!$F$25))+Declarations!$G$25*IF($B41&gt;=Sale_t,1,0)</f>
        <v>65.7802910207782</v>
      </c>
      <c r="O41" s="17" t="n">
        <f aca="false">W_L*S_L*C41+W_T*S_T*D41+W_E*S_E*E41+W_R*S_R*F41</f>
        <v>39.8837303554344</v>
      </c>
      <c r="P41" s="17" t="n">
        <f aca="false">W_L*S_L*G41+W_T*S_T*H41+W_E*S_E*I41+W_R*S_R*J41</f>
        <v>45.5533995611084</v>
      </c>
      <c r="Q41" s="17" t="n">
        <f aca="false">W_L*S_L*K41+W_T*S_T*L41+W_E*S_E*M41+W_R*S_R*N41</f>
        <v>38.4330923495815</v>
      </c>
      <c r="R41" s="16" t="n">
        <f aca="false">IF(O41&lt;Score_today,1,0)</f>
        <v>0</v>
      </c>
      <c r="S41" s="16" t="n">
        <f aca="false">IF(O41&gt;Q41,1,0)</f>
        <v>1</v>
      </c>
      <c r="T41" s="16" t="n">
        <f aca="false">IF(O41&gt;P41,1,0)</f>
        <v>0</v>
      </c>
      <c r="U41" s="16" t="n">
        <f aca="false">1+IF(P41&gt;O41,1,0)+IF(Q41&gt;O41,1,0)</f>
        <v>2</v>
      </c>
      <c r="V41" s="17" t="n">
        <f aca="false">ABS(P41-Q41)</f>
        <v>7.12030721152694</v>
      </c>
    </row>
    <row r="42" customFormat="false" ht="15" hidden="false" customHeight="false" outlineLevel="0" collapsed="false">
      <c r="A42" s="16" t="n">
        <v>37</v>
      </c>
      <c r="B42" s="17" t="n">
        <f aca="false">A42/12</f>
        <v>3.08333333333333</v>
      </c>
      <c r="C42" s="17" t="n">
        <f aca="false">Declarations!$C$14+(Declarations!$H$14-Declarations!$C$14)*EXP(-Declarations!$D$14*$B42)+IF(Declarations!$E$14=0,0,Declarations!$E$14*($B42/Declarations!$F$14)*EXP(1-$B42/Declarations!$F$14))+Declarations!$G$14*IF($B42&gt;=Sale_t,1,0)</f>
        <v>82.8080473415731</v>
      </c>
      <c r="D42" s="17" t="n">
        <f aca="false">Declarations!$C$15+(Declarations!$H$15-Declarations!$C$15)*EXP(-Declarations!$D$15*$B42)+IF(Declarations!$E$15=0,0,Declarations!$E$15*($B42/Declarations!$F$15)*EXP(1-$B42/Declarations!$F$15))+Declarations!$G$15*IF($B42&gt;=Sale_t,1,0)</f>
        <v>71.2124871441178</v>
      </c>
      <c r="E42" s="17" t="n">
        <f aca="false">Declarations!$C$16+(Declarations!$H$16-Declarations!$C$16)*EXP(-Declarations!$D$16*$B42)+IF(Declarations!$E$16=0,0,Declarations!$E$16*($B42/Declarations!$F$16)*EXP(1-$B42/Declarations!$F$16))+Declarations!$G$16*IF($B42&gt;=Sale_t,1,0)</f>
        <v>69.2778731622786</v>
      </c>
      <c r="F42" s="17" t="n">
        <f aca="false">Declarations!$C$17+(Declarations!$H$17-Declarations!$C$17)*EXP(-Declarations!$D$17*$B42)+IF(Declarations!$E$17=0,0,Declarations!$E$17*($B42/Declarations!$F$17)*EXP(1-$B42/Declarations!$F$17))+Declarations!$G$17*IF($B42&gt;=Sale_t,1,0)</f>
        <v>62.2751649649466</v>
      </c>
      <c r="G42" s="17" t="n">
        <f aca="false">Declarations!$C$18+(Declarations!$H$18-Declarations!$C$18)*EXP(-Declarations!$D$18*$B42)+IF(Declarations!$E$18=0,0,Declarations!$E$18*($B42/Declarations!$F$18)*EXP(1-$B42/Declarations!$F$18))+Declarations!$G$18*IF($B42&gt;=Sale_t,1,0)</f>
        <v>120.4138743237</v>
      </c>
      <c r="H42" s="17" t="n">
        <f aca="false">Declarations!$C$19+(Declarations!$H$19-Declarations!$C$19)*EXP(-Declarations!$D$19*$B42)+IF(Declarations!$E$19=0,0,Declarations!$E$19*($B42/Declarations!$F$19)*EXP(1-$B42/Declarations!$F$19))+Declarations!$G$19*IF($B42&gt;=Sale_t,1,0)</f>
        <v>39.3878821544342</v>
      </c>
      <c r="I42" s="17" t="n">
        <f aca="false">Declarations!$C$20+(Declarations!$H$20-Declarations!$C$20)*EXP(-Declarations!$D$20*$B42)+IF(Declarations!$E$20=0,0,Declarations!$E$20*($B42/Declarations!$F$20)*EXP(1-$B42/Declarations!$F$20))+Declarations!$G$20*IF($B42&gt;=Sale_t,1,0)</f>
        <v>73.2509036842922</v>
      </c>
      <c r="J42" s="17" t="n">
        <f aca="false">Declarations!$C$21+(Declarations!$H$21-Declarations!$C$21)*EXP(-Declarations!$D$21*$B42)+IF(Declarations!$E$21=0,0,Declarations!$E$21*($B42/Declarations!$F$21)*EXP(1-$B42/Declarations!$F$21))+Declarations!$G$21*IF($B42&gt;=Sale_t,1,0)</f>
        <v>50.7190291189135</v>
      </c>
      <c r="K42" s="17" t="n">
        <f aca="false">Declarations!$C$22+(Declarations!$H$22-Declarations!$C$22)*EXP(-Declarations!$D$22*$B42)+IF(Declarations!$E$22=0,0,Declarations!$E$22*($B42/Declarations!$F$22)*EXP(1-$B42/Declarations!$F$22))+Declarations!$G$22*IF($B42&gt;=Sale_t,1,0)</f>
        <v>104.501807368584</v>
      </c>
      <c r="L42" s="17" t="n">
        <f aca="false">Declarations!$C$23+(Declarations!$H$23-Declarations!$C$23)*EXP(-Declarations!$D$23*$B42)+IF(Declarations!$E$23=0,0,Declarations!$E$23*($B42/Declarations!$F$23)*EXP(1-$B42/Declarations!$F$23))+Declarations!$G$23*IF($B42&gt;=Sale_t,1,0)</f>
        <v>37.3179246209889</v>
      </c>
      <c r="M42" s="17" t="n">
        <f aca="false">Declarations!$C$24+(Declarations!$H$24-Declarations!$C$24)*EXP(-Declarations!$D$24*$B42)+IF(Declarations!$E$24=0,0,Declarations!$E$24*($B42/Declarations!$F$24)*EXP(1-$B42/Declarations!$F$24))+Declarations!$G$24*IF($B42&gt;=Sale_t,1,0)</f>
        <v>77.742102669491</v>
      </c>
      <c r="N42" s="17" t="n">
        <f aca="false">Declarations!$C$25+(Declarations!$H$25-Declarations!$C$25)*EXP(-Declarations!$D$25*$B42)+IF(Declarations!$E$25=0,0,Declarations!$E$25*($B42/Declarations!$F$25)*EXP(1-$B42/Declarations!$F$25))+Declarations!$G$25*IF($B42&gt;=Sale_t,1,0)</f>
        <v>65.810405742775</v>
      </c>
      <c r="O42" s="17" t="n">
        <f aca="false">W_L*S_L*C42+W_T*S_T*D42+W_E*S_E*E42+W_R*S_R*F42</f>
        <v>40.2558106707557</v>
      </c>
      <c r="P42" s="17" t="n">
        <f aca="false">W_L*S_L*G42+W_T*S_T*H42+W_E*S_E*I42+W_R*S_R*J42</f>
        <v>45.5834077608782</v>
      </c>
      <c r="Q42" s="17" t="n">
        <f aca="false">W_L*S_L*K42+W_T*S_T*L42+W_E*S_E*M42+W_R*S_R*N42</f>
        <v>38.4378572290723</v>
      </c>
      <c r="R42" s="16" t="n">
        <f aca="false">IF(O42&lt;Score_today,1,0)</f>
        <v>0</v>
      </c>
      <c r="S42" s="16" t="n">
        <f aca="false">IF(O42&gt;Q42,1,0)</f>
        <v>1</v>
      </c>
      <c r="T42" s="16" t="n">
        <f aca="false">IF(O42&gt;P42,1,0)</f>
        <v>0</v>
      </c>
      <c r="U42" s="16" t="n">
        <f aca="false">1+IF(P42&gt;O42,1,0)+IF(Q42&gt;O42,1,0)</f>
        <v>2</v>
      </c>
      <c r="V42" s="17" t="n">
        <f aca="false">ABS(P42-Q42)</f>
        <v>7.14555053180595</v>
      </c>
    </row>
    <row r="43" customFormat="false" ht="15" hidden="false" customHeight="false" outlineLevel="0" collapsed="false">
      <c r="A43" s="16" t="n">
        <v>38</v>
      </c>
      <c r="B43" s="17" t="n">
        <f aca="false">A43/12</f>
        <v>3.16666666666667</v>
      </c>
      <c r="C43" s="17" t="n">
        <f aca="false">Declarations!$C$14+(Declarations!$H$14-Declarations!$C$14)*EXP(-Declarations!$D$14*$B43)+IF(Declarations!$E$14=0,0,Declarations!$E$14*($B43/Declarations!$F$14)*EXP(1-$B43/Declarations!$F$14))+Declarations!$G$14*IF($B43&gt;=Sale_t,1,0)</f>
        <v>83.2991376630354</v>
      </c>
      <c r="D43" s="17" t="n">
        <f aca="false">Declarations!$C$15+(Declarations!$H$15-Declarations!$C$15)*EXP(-Declarations!$D$15*$B43)+IF(Declarations!$E$15=0,0,Declarations!$E$15*($B43/Declarations!$F$15)*EXP(1-$B43/Declarations!$F$15))+Declarations!$G$15*IF($B43&gt;=Sale_t,1,0)</f>
        <v>71.5165599204197</v>
      </c>
      <c r="E43" s="17" t="n">
        <f aca="false">Declarations!$C$16+(Declarations!$H$16-Declarations!$C$16)*EXP(-Declarations!$D$16*$B43)+IF(Declarations!$E$16=0,0,Declarations!$E$16*($B43/Declarations!$F$16)*EXP(1-$B43/Declarations!$F$16))+Declarations!$G$16*IF($B43&gt;=Sale_t,1,0)</f>
        <v>69.5135952861703</v>
      </c>
      <c r="F43" s="17" t="n">
        <f aca="false">Declarations!$C$17+(Declarations!$H$17-Declarations!$C$17)*EXP(-Declarations!$D$17*$B43)+IF(Declarations!$E$17=0,0,Declarations!$E$17*($B43/Declarations!$F$17)*EXP(1-$B43/Declarations!$F$17))+Declarations!$G$17*IF($B43&gt;=Sale_t,1,0)</f>
        <v>61.8374528403716</v>
      </c>
      <c r="G43" s="17" t="n">
        <f aca="false">Declarations!$C$18+(Declarations!$H$18-Declarations!$C$18)*EXP(-Declarations!$D$18*$B43)+IF(Declarations!$E$18=0,0,Declarations!$E$18*($B43/Declarations!$F$18)*EXP(1-$B43/Declarations!$F$18))+Declarations!$G$18*IF($B43&gt;=Sale_t,1,0)</f>
        <v>120.453035906182</v>
      </c>
      <c r="H43" s="17" t="n">
        <f aca="false">Declarations!$C$19+(Declarations!$H$19-Declarations!$C$19)*EXP(-Declarations!$D$19*$B43)+IF(Declarations!$E$19=0,0,Declarations!$E$19*($B43/Declarations!$F$19)*EXP(1-$B43/Declarations!$F$19))+Declarations!$G$19*IF($B43&gt;=Sale_t,1,0)</f>
        <v>39.3592670518405</v>
      </c>
      <c r="I43" s="17" t="n">
        <f aca="false">Declarations!$C$20+(Declarations!$H$20-Declarations!$C$20)*EXP(-Declarations!$D$20*$B43)+IF(Declarations!$E$20=0,0,Declarations!$E$20*($B43/Declarations!$F$20)*EXP(1-$B43/Declarations!$F$20))+Declarations!$G$20*IF($B43&gt;=Sale_t,1,0)</f>
        <v>73.278474610375</v>
      </c>
      <c r="J43" s="17" t="n">
        <f aca="false">Declarations!$C$21+(Declarations!$H$21-Declarations!$C$21)*EXP(-Declarations!$D$21*$B43)+IF(Declarations!$E$21=0,0,Declarations!$E$21*($B43/Declarations!$F$21)*EXP(1-$B43/Declarations!$F$21))+Declarations!$G$21*IF($B43&gt;=Sale_t,1,0)</f>
        <v>50.6408694718839</v>
      </c>
      <c r="K43" s="17" t="n">
        <f aca="false">Declarations!$C$22+(Declarations!$H$22-Declarations!$C$22)*EXP(-Declarations!$D$22*$B43)+IF(Declarations!$E$22=0,0,Declarations!$E$22*($B43/Declarations!$F$22)*EXP(1-$B43/Declarations!$F$22))+Declarations!$G$22*IF($B43&gt;=Sale_t,1,0)</f>
        <v>104.55694922075</v>
      </c>
      <c r="L43" s="17" t="n">
        <f aca="false">Declarations!$C$23+(Declarations!$H$23-Declarations!$C$23)*EXP(-Declarations!$D$23*$B43)+IF(Declarations!$E$23=0,0,Declarations!$E$23*($B43/Declarations!$F$23)*EXP(1-$B43/Declarations!$F$23))+Declarations!$G$23*IF($B43&gt;=Sale_t,1,0)</f>
        <v>37.2465556044961</v>
      </c>
      <c r="M43" s="17" t="n">
        <f aca="false">Declarations!$C$24+(Declarations!$H$24-Declarations!$C$24)*EXP(-Declarations!$D$24*$B43)+IF(Declarations!$E$24=0,0,Declarations!$E$24*($B43/Declarations!$F$24)*EXP(1-$B43/Declarations!$F$24))+Declarations!$G$24*IF($B43&gt;=Sale_t,1,0)</f>
        <v>77.8034510462189</v>
      </c>
      <c r="N43" s="17" t="n">
        <f aca="false">Declarations!$C$25+(Declarations!$H$25-Declarations!$C$25)*EXP(-Declarations!$D$25*$B43)+IF(Declarations!$E$25=0,0,Declarations!$E$25*($B43/Declarations!$F$25)*EXP(1-$B43/Declarations!$F$25))+Declarations!$G$25*IF($B43&gt;=Sale_t,1,0)</f>
        <v>65.8397769296365</v>
      </c>
      <c r="O43" s="17" t="n">
        <f aca="false">W_L*S_L*C43+W_T*S_T*D43+W_E*S_E*E43+W_R*S_R*F43</f>
        <v>40.6229600073135</v>
      </c>
      <c r="P43" s="17" t="n">
        <f aca="false">W_L*S_L*G43+W_T*S_T*H43+W_E*S_E*I43+W_R*S_R*J43</f>
        <v>45.6124770241284</v>
      </c>
      <c r="Q43" s="17" t="n">
        <f aca="false">W_L*S_L*K43+W_T*S_T*L43+W_E*S_E*M43+W_R*S_R*N43</f>
        <v>38.4417947354571</v>
      </c>
      <c r="R43" s="16" t="n">
        <f aca="false">IF(O43&lt;Score_today,1,0)</f>
        <v>0</v>
      </c>
      <c r="S43" s="16" t="n">
        <f aca="false">IF(O43&gt;Q43,1,0)</f>
        <v>1</v>
      </c>
      <c r="T43" s="16" t="n">
        <f aca="false">IF(O43&gt;P43,1,0)</f>
        <v>0</v>
      </c>
      <c r="U43" s="16" t="n">
        <f aca="false">1+IF(P43&gt;O43,1,0)+IF(Q43&gt;O43,1,0)</f>
        <v>2</v>
      </c>
      <c r="V43" s="17" t="n">
        <f aca="false">ABS(P43-Q43)</f>
        <v>7.17068228867127</v>
      </c>
    </row>
    <row r="44" customFormat="false" ht="15" hidden="false" customHeight="false" outlineLevel="0" collapsed="false">
      <c r="A44" s="16" t="n">
        <v>39</v>
      </c>
      <c r="B44" s="17" t="n">
        <f aca="false">A44/12</f>
        <v>3.25</v>
      </c>
      <c r="C44" s="17" t="n">
        <f aca="false">Declarations!$C$14+(Declarations!$H$14-Declarations!$C$14)*EXP(-Declarations!$D$14*$B44)+IF(Declarations!$E$14=0,0,Declarations!$E$14*($B44/Declarations!$F$14)*EXP(1-$B44/Declarations!$F$14))+Declarations!$G$14*IF($B44&gt;=Sale_t,1,0)</f>
        <v>83.7981701667219</v>
      </c>
      <c r="D44" s="17" t="n">
        <f aca="false">Declarations!$C$15+(Declarations!$H$15-Declarations!$C$15)*EXP(-Declarations!$D$15*$B44)+IF(Declarations!$E$15=0,0,Declarations!$E$15*($B44/Declarations!$F$15)*EXP(1-$B44/Declarations!$F$15))+Declarations!$G$15*IF($B44&gt;=Sale_t,1,0)</f>
        <v>71.8070105857583</v>
      </c>
      <c r="E44" s="17" t="n">
        <f aca="false">Declarations!$C$16+(Declarations!$H$16-Declarations!$C$16)*EXP(-Declarations!$D$16*$B44)+IF(Declarations!$E$16=0,0,Declarations!$E$16*($B44/Declarations!$F$16)*EXP(1-$B44/Declarations!$F$16))+Declarations!$G$16*IF($B44&gt;=Sale_t,1,0)</f>
        <v>69.7461670824402</v>
      </c>
      <c r="F44" s="17" t="n">
        <f aca="false">Declarations!$C$17+(Declarations!$H$17-Declarations!$C$17)*EXP(-Declarations!$D$17*$B44)+IF(Declarations!$E$17=0,0,Declarations!$E$17*($B44/Declarations!$F$17)*EXP(1-$B44/Declarations!$F$17))+Declarations!$G$17*IF($B44&gt;=Sale_t,1,0)</f>
        <v>61.4121805228463</v>
      </c>
      <c r="G44" s="17" t="n">
        <f aca="false">Declarations!$C$18+(Declarations!$H$18-Declarations!$C$18)*EXP(-Declarations!$D$18*$B44)+IF(Declarations!$E$18=0,0,Declarations!$E$18*($B44/Declarations!$F$18)*EXP(1-$B44/Declarations!$F$18))+Declarations!$G$18*IF($B44&gt;=Sale_t,1,0)</f>
        <v>120.491230585747</v>
      </c>
      <c r="H44" s="17" t="n">
        <f aca="false">Declarations!$C$19+(Declarations!$H$19-Declarations!$C$19)*EXP(-Declarations!$D$19*$B44)+IF(Declarations!$E$19=0,0,Declarations!$E$19*($B44/Declarations!$F$19)*EXP(1-$B44/Declarations!$F$19))+Declarations!$G$19*IF($B44&gt;=Sale_t,1,0)</f>
        <v>39.3312419302432</v>
      </c>
      <c r="I44" s="17" t="n">
        <f aca="false">Declarations!$C$20+(Declarations!$H$20-Declarations!$C$20)*EXP(-Declarations!$D$20*$B44)+IF(Declarations!$E$20=0,0,Declarations!$E$20*($B44/Declarations!$F$20)*EXP(1-$B44/Declarations!$F$20))+Declarations!$G$20*IF($B44&gt;=Sale_t,1,0)</f>
        <v>73.3050307724693</v>
      </c>
      <c r="J44" s="17" t="n">
        <f aca="false">Declarations!$C$21+(Declarations!$H$21-Declarations!$C$21)*EXP(-Declarations!$D$21*$B44)+IF(Declarations!$E$21=0,0,Declarations!$E$21*($B44/Declarations!$F$21)*EXP(1-$B44/Declarations!$F$21))+Declarations!$G$21*IF($B44&gt;=Sale_t,1,0)</f>
        <v>50.5649565571094</v>
      </c>
      <c r="K44" s="17" t="n">
        <f aca="false">Declarations!$C$22+(Declarations!$H$22-Declarations!$C$22)*EXP(-Declarations!$D$22*$B44)+IF(Declarations!$E$22=0,0,Declarations!$E$22*($B44/Declarations!$F$22)*EXP(1-$B44/Declarations!$F$22))+Declarations!$G$22*IF($B44&gt;=Sale_t,1,0)</f>
        <v>104.610061544939</v>
      </c>
      <c r="L44" s="17" t="n">
        <f aca="false">Declarations!$C$23+(Declarations!$H$23-Declarations!$C$23)*EXP(-Declarations!$D$23*$B44)+IF(Declarations!$E$23=0,0,Declarations!$E$23*($B44/Declarations!$F$23)*EXP(1-$B44/Declarations!$F$23))+Declarations!$G$23*IF($B44&gt;=Sale_t,1,0)</f>
        <v>37.1763662140881</v>
      </c>
      <c r="M44" s="17" t="n">
        <f aca="false">Declarations!$C$24+(Declarations!$H$24-Declarations!$C$24)*EXP(-Declarations!$D$24*$B44)+IF(Declarations!$E$24=0,0,Declarations!$E$24*($B44/Declarations!$F$24)*EXP(1-$B44/Declarations!$F$24))+Declarations!$G$24*IF($B44&gt;=Sale_t,1,0)</f>
        <v>77.8618074273079</v>
      </c>
      <c r="N44" s="17" t="n">
        <f aca="false">Declarations!$C$25+(Declarations!$H$25-Declarations!$C$25)*EXP(-Declarations!$D$25*$B44)+IF(Declarations!$E$25=0,0,Declarations!$E$25*($B44/Declarations!$F$25)*EXP(1-$B44/Declarations!$F$25))+Declarations!$G$25*IF($B44&gt;=Sale_t,1,0)</f>
        <v>65.8684229393105</v>
      </c>
      <c r="O44" s="17" t="n">
        <f aca="false">W_L*S_L*C44+W_T*S_T*D44+W_E*S_E*E44+W_R*S_R*F44</f>
        <v>40.9847918280185</v>
      </c>
      <c r="P44" s="17" t="n">
        <f aca="false">W_L*S_L*G44+W_T*S_T*H44+W_E*S_E*I44+W_R*S_R*J44</f>
        <v>45.6406366828377</v>
      </c>
      <c r="Q44" s="17" t="n">
        <f aca="false">W_L*S_L*K44+W_T*S_T*L44+W_E*S_E*M44+W_R*S_R*N44</f>
        <v>38.444953061756</v>
      </c>
      <c r="R44" s="16" t="n">
        <f aca="false">IF(O44&lt;Score_today,1,0)</f>
        <v>0</v>
      </c>
      <c r="S44" s="16" t="n">
        <f aca="false">IF(O44&gt;Q44,1,0)</f>
        <v>1</v>
      </c>
      <c r="T44" s="16" t="n">
        <f aca="false">IF(O44&gt;P44,1,0)</f>
        <v>0</v>
      </c>
      <c r="U44" s="16" t="n">
        <f aca="false">1+IF(P44&gt;O44,1,0)+IF(Q44&gt;O44,1,0)</f>
        <v>2</v>
      </c>
      <c r="V44" s="17" t="n">
        <f aca="false">ABS(P44-Q44)</f>
        <v>7.19568362108161</v>
      </c>
    </row>
    <row r="45" customFormat="false" ht="15" hidden="false" customHeight="false" outlineLevel="0" collapsed="false">
      <c r="A45" s="16" t="n">
        <v>40</v>
      </c>
      <c r="B45" s="17" t="n">
        <f aca="false">A45/12</f>
        <v>3.33333333333333</v>
      </c>
      <c r="C45" s="17" t="n">
        <f aca="false">Declarations!$C$14+(Declarations!$H$14-Declarations!$C$14)*EXP(-Declarations!$D$14*$B45)+IF(Declarations!$E$14=0,0,Declarations!$E$14*($B45/Declarations!$F$14)*EXP(1-$B45/Declarations!$F$14))+Declarations!$G$14*IF($B45&gt;=Sale_t,1,0)</f>
        <v>84.3036957581705</v>
      </c>
      <c r="D45" s="17" t="n">
        <f aca="false">Declarations!$C$15+(Declarations!$H$15-Declarations!$C$15)*EXP(-Declarations!$D$15*$B45)+IF(Declarations!$E$15=0,0,Declarations!$E$15*($B45/Declarations!$F$15)*EXP(1-$B45/Declarations!$F$15))+Declarations!$G$15*IF($B45&gt;=Sale_t,1,0)</f>
        <v>72.0844493950513</v>
      </c>
      <c r="E45" s="17" t="n">
        <f aca="false">Declarations!$C$16+(Declarations!$H$16-Declarations!$C$16)*EXP(-Declarations!$D$16*$B45)+IF(Declarations!$E$16=0,0,Declarations!$E$16*($B45/Declarations!$F$16)*EXP(1-$B45/Declarations!$F$16))+Declarations!$G$16*IF($B45&gt;=Sale_t,1,0)</f>
        <v>69.9752498167725</v>
      </c>
      <c r="F45" s="17" t="n">
        <f aca="false">Declarations!$C$17+(Declarations!$H$17-Declarations!$C$17)*EXP(-Declarations!$D$17*$B45)+IF(Declarations!$E$17=0,0,Declarations!$E$17*($B45/Declarations!$F$17)*EXP(1-$B45/Declarations!$F$17))+Declarations!$G$17*IF($B45&gt;=Sale_t,1,0)</f>
        <v>60.9995028390737</v>
      </c>
      <c r="G45" s="17" t="n">
        <f aca="false">Declarations!$C$18+(Declarations!$H$18-Declarations!$C$18)*EXP(-Declarations!$D$18*$B45)+IF(Declarations!$E$18=0,0,Declarations!$E$18*($B45/Declarations!$F$18)*EXP(1-$B45/Declarations!$F$18))+Declarations!$G$18*IF($B45&gt;=Sale_t,1,0)</f>
        <v>120.528482235314</v>
      </c>
      <c r="H45" s="17" t="n">
        <f aca="false">Declarations!$C$19+(Declarations!$H$19-Declarations!$C$19)*EXP(-Declarations!$D$19*$B45)+IF(Declarations!$E$19=0,0,Declarations!$E$19*($B45/Declarations!$F$19)*EXP(1-$B45/Declarations!$F$19))+Declarations!$G$19*IF($B45&gt;=Sale_t,1,0)</f>
        <v>39.3037946255212</v>
      </c>
      <c r="I45" s="17" t="n">
        <f aca="false">Declarations!$C$20+(Declarations!$H$20-Declarations!$C$20)*EXP(-Declarations!$D$20*$B45)+IF(Declarations!$E$20=0,0,Declarations!$E$20*($B45/Declarations!$F$20)*EXP(1-$B45/Declarations!$F$20))+Declarations!$G$20*IF($B45&gt;=Sale_t,1,0)</f>
        <v>73.3306095195547</v>
      </c>
      <c r="J45" s="17" t="n">
        <f aca="false">Declarations!$C$21+(Declarations!$H$21-Declarations!$C$21)*EXP(-Declarations!$D$21*$B45)+IF(Declarations!$E$21=0,0,Declarations!$E$21*($B45/Declarations!$F$21)*EXP(1-$B45/Declarations!$F$21))+Declarations!$G$21*IF($B45&gt;=Sale_t,1,0)</f>
        <v>50.4912257913168</v>
      </c>
      <c r="K45" s="17" t="n">
        <f aca="false">Declarations!$C$22+(Declarations!$H$22-Declarations!$C$22)*EXP(-Declarations!$D$22*$B45)+IF(Declarations!$E$22=0,0,Declarations!$E$22*($B45/Declarations!$F$22)*EXP(1-$B45/Declarations!$F$22))+Declarations!$G$22*IF($B45&gt;=Sale_t,1,0)</f>
        <v>104.661219039109</v>
      </c>
      <c r="L45" s="17" t="n">
        <f aca="false">Declarations!$C$23+(Declarations!$H$23-Declarations!$C$23)*EXP(-Declarations!$D$23*$B45)+IF(Declarations!$E$23=0,0,Declarations!$E$23*($B45/Declarations!$F$23)*EXP(1-$B45/Declarations!$F$23))+Declarations!$G$23*IF($B45&gt;=Sale_t,1,0)</f>
        <v>37.1073369522607</v>
      </c>
      <c r="M45" s="17" t="n">
        <f aca="false">Declarations!$C$24+(Declarations!$H$24-Declarations!$C$24)*EXP(-Declarations!$D$24*$B45)+IF(Declarations!$E$24=0,0,Declarations!$E$24*($B45/Declarations!$F$24)*EXP(1-$B45/Declarations!$F$24))+Declarations!$G$24*IF($B45&gt;=Sale_t,1,0)</f>
        <v>77.9173177341071</v>
      </c>
      <c r="N45" s="17" t="n">
        <f aca="false">Declarations!$C$25+(Declarations!$H$25-Declarations!$C$25)*EXP(-Declarations!$D$25*$B45)+IF(Declarations!$E$25=0,0,Declarations!$E$25*($B45/Declarations!$F$25)*EXP(1-$B45/Declarations!$F$25))+Declarations!$G$25*IF($B45&gt;=Sale_t,1,0)</f>
        <v>65.8963616764857</v>
      </c>
      <c r="O45" s="17" t="n">
        <f aca="false">W_L*S_L*C45+W_T*S_T*D45+W_E*S_E*E45+W_R*S_R*F45</f>
        <v>41.3409730327302</v>
      </c>
      <c r="P45" s="17" t="n">
        <f aca="false">W_L*S_L*G45+W_T*S_T*H45+W_E*S_E*I45+W_R*S_R*J45</f>
        <v>45.6679151472683</v>
      </c>
      <c r="Q45" s="17" t="n">
        <f aca="false">W_L*S_L*K45+W_T*S_T*L45+W_E*S_E*M45+W_R*S_R*N45</f>
        <v>38.4473780122479</v>
      </c>
      <c r="R45" s="16" t="n">
        <f aca="false">IF(O45&lt;Score_today,1,0)</f>
        <v>0</v>
      </c>
      <c r="S45" s="16" t="n">
        <f aca="false">IF(O45&gt;Q45,1,0)</f>
        <v>1</v>
      </c>
      <c r="T45" s="16" t="n">
        <f aca="false">IF(O45&gt;P45,1,0)</f>
        <v>0</v>
      </c>
      <c r="U45" s="16" t="n">
        <f aca="false">1+IF(P45&gt;O45,1,0)+IF(Q45&gt;O45,1,0)</f>
        <v>2</v>
      </c>
      <c r="V45" s="17" t="n">
        <f aca="false">ABS(P45-Q45)</f>
        <v>7.22053713502044</v>
      </c>
    </row>
    <row r="46" customFormat="false" ht="15" hidden="false" customHeight="false" outlineLevel="0" collapsed="false">
      <c r="A46" s="16" t="n">
        <v>41</v>
      </c>
      <c r="B46" s="17" t="n">
        <f aca="false">A46/12</f>
        <v>3.41666666666667</v>
      </c>
      <c r="C46" s="17" t="n">
        <f aca="false">Declarations!$C$14+(Declarations!$H$14-Declarations!$C$14)*EXP(-Declarations!$D$14*$B46)+IF(Declarations!$E$14=0,0,Declarations!$E$14*($B46/Declarations!$F$14)*EXP(1-$B46/Declarations!$F$14))+Declarations!$G$14*IF($B46&gt;=Sale_t,1,0)</f>
        <v>84.8143699012995</v>
      </c>
      <c r="D46" s="17" t="n">
        <f aca="false">Declarations!$C$15+(Declarations!$H$15-Declarations!$C$15)*EXP(-Declarations!$D$15*$B46)+IF(Declarations!$E$15=0,0,Declarations!$E$15*($B46/Declarations!$F$15)*EXP(1-$B46/Declarations!$F$15))+Declarations!$G$15*IF($B46&gt;=Sale_t,1,0)</f>
        <v>72.3494592644975</v>
      </c>
      <c r="E46" s="17" t="n">
        <f aca="false">Declarations!$C$16+(Declarations!$H$16-Declarations!$C$16)*EXP(-Declarations!$D$16*$B46)+IF(Declarations!$E$16=0,0,Declarations!$E$16*($B46/Declarations!$F$16)*EXP(1-$B46/Declarations!$F$16))+Declarations!$G$16*IF($B46&gt;=Sale_t,1,0)</f>
        <v>70.2005501914171</v>
      </c>
      <c r="F46" s="17" t="n">
        <f aca="false">Declarations!$C$17+(Declarations!$H$17-Declarations!$C$17)*EXP(-Declarations!$D$17*$B46)+IF(Declarations!$E$17=0,0,Declarations!$E$17*($B46/Declarations!$F$17)*EXP(1-$B46/Declarations!$F$17))+Declarations!$G$17*IF($B46&gt;=Sale_t,1,0)</f>
        <v>60.5995026424849</v>
      </c>
      <c r="G46" s="17" t="n">
        <f aca="false">Declarations!$C$18+(Declarations!$H$18-Declarations!$C$18)*EXP(-Declarations!$D$18*$B46)+IF(Declarations!$E$18=0,0,Declarations!$E$18*($B46/Declarations!$F$18)*EXP(1-$B46/Declarations!$F$18))+Declarations!$G$18*IF($B46&gt;=Sale_t,1,0)</f>
        <v>120.564814138376</v>
      </c>
      <c r="H46" s="17" t="n">
        <f aca="false">Declarations!$C$19+(Declarations!$H$19-Declarations!$C$19)*EXP(-Declarations!$D$19*$B46)+IF(Declarations!$E$19=0,0,Declarations!$E$19*($B46/Declarations!$F$19)*EXP(1-$B46/Declarations!$F$19))+Declarations!$G$19*IF($B46&gt;=Sale_t,1,0)</f>
        <v>39.2769132243509</v>
      </c>
      <c r="I46" s="17" t="n">
        <f aca="false">Declarations!$C$20+(Declarations!$H$20-Declarations!$C$20)*EXP(-Declarations!$D$20*$B46)+IF(Declarations!$E$20=0,0,Declarations!$E$20*($B46/Declarations!$F$20)*EXP(1-$B46/Declarations!$F$20))+Declarations!$G$20*IF($B46&gt;=Sale_t,1,0)</f>
        <v>73.3552468259596</v>
      </c>
      <c r="J46" s="17" t="n">
        <f aca="false">Declarations!$C$21+(Declarations!$H$21-Declarations!$C$21)*EXP(-Declarations!$D$21*$B46)+IF(Declarations!$E$21=0,0,Declarations!$E$21*($B46/Declarations!$F$21)*EXP(1-$B46/Declarations!$F$21))+Declarations!$G$21*IF($B46&gt;=Sale_t,1,0)</f>
        <v>50.4196144477067</v>
      </c>
      <c r="K46" s="17" t="n">
        <f aca="false">Declarations!$C$22+(Declarations!$H$22-Declarations!$C$22)*EXP(-Declarations!$D$22*$B46)+IF(Declarations!$E$22=0,0,Declarations!$E$22*($B46/Declarations!$F$22)*EXP(1-$B46/Declarations!$F$22))+Declarations!$G$22*IF($B46&gt;=Sale_t,1,0)</f>
        <v>104.710493651919</v>
      </c>
      <c r="L46" s="17" t="n">
        <f aca="false">Declarations!$C$23+(Declarations!$H$23-Declarations!$C$23)*EXP(-Declarations!$D$23*$B46)+IF(Declarations!$E$23=0,0,Declarations!$E$23*($B46/Declarations!$F$23)*EXP(1-$B46/Declarations!$F$23))+Declarations!$G$23*IF($B46&gt;=Sale_t,1,0)</f>
        <v>37.0394486437751</v>
      </c>
      <c r="M46" s="17" t="n">
        <f aca="false">Declarations!$C$24+(Declarations!$H$24-Declarations!$C$24)*EXP(-Declarations!$D$24*$B46)+IF(Declarations!$E$24=0,0,Declarations!$E$24*($B46/Declarations!$F$24)*EXP(1-$B46/Declarations!$F$24))+Declarations!$G$24*IF($B46&gt;=Sale_t,1,0)</f>
        <v>77.9701207712976</v>
      </c>
      <c r="N46" s="17" t="n">
        <f aca="false">Declarations!$C$25+(Declarations!$H$25-Declarations!$C$25)*EXP(-Declarations!$D$25*$B46)+IF(Declarations!$E$25=0,0,Declarations!$E$25*($B46/Declarations!$F$25)*EXP(1-$B46/Declarations!$F$25))+Declarations!$G$25*IF($B46&gt;=Sale_t,1,0)</f>
        <v>65.9236106037822</v>
      </c>
      <c r="O46" s="17" t="n">
        <f aca="false">W_L*S_L*C46+W_T*S_T*D46+W_E*S_E*E46+W_R*S_R*F46</f>
        <v>41.6912191786823</v>
      </c>
      <c r="P46" s="17" t="n">
        <f aca="false">W_L*S_L*G46+W_T*S_T*H46+W_E*S_E*I46+W_R*S_R*J46</f>
        <v>45.694339935245</v>
      </c>
      <c r="Q46" s="17" t="n">
        <f aca="false">W_L*S_L*K46+W_T*S_T*L46+W_E*S_E*M46+W_R*S_R*N46</f>
        <v>38.4491131158025</v>
      </c>
      <c r="R46" s="16" t="n">
        <f aca="false">IF(O46&lt;Score_today,1,0)</f>
        <v>0</v>
      </c>
      <c r="S46" s="16" t="n">
        <f aca="false">IF(O46&gt;Q46,1,0)</f>
        <v>1</v>
      </c>
      <c r="T46" s="16" t="n">
        <f aca="false">IF(O46&gt;P46,1,0)</f>
        <v>0</v>
      </c>
      <c r="U46" s="16" t="n">
        <f aca="false">1+IF(P46&gt;O46,1,0)+IF(Q46&gt;O46,1,0)</f>
        <v>2</v>
      </c>
      <c r="V46" s="17" t="n">
        <f aca="false">ABS(P46-Q46)</f>
        <v>7.24522681944256</v>
      </c>
    </row>
    <row r="47" customFormat="false" ht="15" hidden="false" customHeight="false" outlineLevel="0" collapsed="false">
      <c r="A47" s="16" t="n">
        <v>42</v>
      </c>
      <c r="B47" s="17" t="n">
        <f aca="false">A47/12</f>
        <v>3.5</v>
      </c>
      <c r="C47" s="17" t="n">
        <f aca="false">Declarations!$C$14+(Declarations!$H$14-Declarations!$C$14)*EXP(-Declarations!$D$14*$B47)+IF(Declarations!$E$14=0,0,Declarations!$E$14*($B47/Declarations!$F$14)*EXP(1-$B47/Declarations!$F$14))+Declarations!$G$14*IF($B47&gt;=Sale_t,1,0)</f>
        <v>85.3289465118079</v>
      </c>
      <c r="D47" s="17" t="n">
        <f aca="false">Declarations!$C$15+(Declarations!$H$15-Declarations!$C$15)*EXP(-Declarations!$D$15*$B47)+IF(Declarations!$E$15=0,0,Declarations!$E$15*($B47/Declarations!$F$15)*EXP(1-$B47/Declarations!$F$15))+Declarations!$G$15*IF($B47&gt;=Sale_t,1,0)</f>
        <v>72.6025969963196</v>
      </c>
      <c r="E47" s="17" t="n">
        <f aca="false">Declarations!$C$16+(Declarations!$H$16-Declarations!$C$16)*EXP(-Declarations!$D$16*$B47)+IF(Declarations!$E$16=0,0,Declarations!$E$16*($B47/Declarations!$F$16)*EXP(1-$B47/Declarations!$F$16))+Declarations!$G$16*IF($B47&gt;=Sale_t,1,0)</f>
        <v>70.4218164388671</v>
      </c>
      <c r="F47" s="17" t="n">
        <f aca="false">Declarations!$C$17+(Declarations!$H$17-Declarations!$C$17)*EXP(-Declarations!$D$17*$B47)+IF(Declarations!$E$17=0,0,Declarations!$E$17*($B47/Declarations!$F$17)*EXP(1-$B47/Declarations!$F$17))+Declarations!$G$17*IF($B47&gt;=Sale_t,1,0)</f>
        <v>60.2121996164541</v>
      </c>
      <c r="G47" s="17" t="n">
        <f aca="false">Declarations!$C$18+(Declarations!$H$18-Declarations!$C$18)*EXP(-Declarations!$D$18*$B47)+IF(Declarations!$E$18=0,0,Declarations!$E$18*($B47/Declarations!$F$18)*EXP(1-$B47/Declarations!$F$18))+Declarations!$G$18*IF($B47&gt;=Sale_t,1,0)</f>
        <v>120.600249003555</v>
      </c>
      <c r="H47" s="17" t="n">
        <f aca="false">Declarations!$C$19+(Declarations!$H$19-Declarations!$C$19)*EXP(-Declarations!$D$19*$B47)+IF(Declarations!$E$19=0,0,Declarations!$E$19*($B47/Declarations!$F$19)*EXP(1-$B47/Declarations!$F$19))+Declarations!$G$19*IF($B47&gt;=Sale_t,1,0)</f>
        <v>39.2505860590355</v>
      </c>
      <c r="I47" s="17" t="n">
        <f aca="false">Declarations!$C$20+(Declarations!$H$20-Declarations!$C$20)*EXP(-Declarations!$D$20*$B47)+IF(Declarations!$E$20=0,0,Declarations!$E$20*($B47/Declarations!$F$20)*EXP(1-$B47/Declarations!$F$20))+Declarations!$G$20*IF($B47&gt;=Sale_t,1,0)</f>
        <v>73.3789773419565</v>
      </c>
      <c r="J47" s="17" t="n">
        <f aca="false">Declarations!$C$21+(Declarations!$H$21-Declarations!$C$21)*EXP(-Declarations!$D$21*$B47)+IF(Declarations!$E$21=0,0,Declarations!$E$21*($B47/Declarations!$F$21)*EXP(1-$B47/Declarations!$F$21))+Declarations!$G$21*IF($B47&gt;=Sale_t,1,0)</f>
        <v>50.3500616025883</v>
      </c>
      <c r="K47" s="17" t="n">
        <f aca="false">Declarations!$C$22+(Declarations!$H$22-Declarations!$C$22)*EXP(-Declarations!$D$22*$B47)+IF(Declarations!$E$22=0,0,Declarations!$E$22*($B47/Declarations!$F$22)*EXP(1-$B47/Declarations!$F$22))+Declarations!$G$22*IF($B47&gt;=Sale_t,1,0)</f>
        <v>104.757954683913</v>
      </c>
      <c r="L47" s="17" t="n">
        <f aca="false">Declarations!$C$23+(Declarations!$H$23-Declarations!$C$23)*EXP(-Declarations!$D$23*$B47)+IF(Declarations!$E$23=0,0,Declarations!$E$23*($B47/Declarations!$F$23)*EXP(1-$B47/Declarations!$F$23))+Declarations!$G$23*IF($B47&gt;=Sale_t,1,0)</f>
        <v>36.9726824303313</v>
      </c>
      <c r="M47" s="17" t="n">
        <f aca="false">Declarations!$C$24+(Declarations!$H$24-Declarations!$C$24)*EXP(-Declarations!$D$24*$B47)+IF(Declarations!$E$24=0,0,Declarations!$E$24*($B47/Declarations!$F$24)*EXP(1-$B47/Declarations!$F$24))+Declarations!$G$24*IF($B47&gt;=Sale_t,1,0)</f>
        <v>78.0203485739762</v>
      </c>
      <c r="N47" s="17" t="n">
        <f aca="false">Declarations!$C$25+(Declarations!$H$25-Declarations!$C$25)*EXP(-Declarations!$D$25*$B47)+IF(Declarations!$E$25=0,0,Declarations!$E$25*($B47/Declarations!$F$25)*EXP(1-$B47/Declarations!$F$25))+Declarations!$G$25*IF($B47&gt;=Sale_t,1,0)</f>
        <v>65.9501867526665</v>
      </c>
      <c r="O47" s="17" t="n">
        <f aca="false">W_L*S_L*C47+W_T*S_T*D47+W_E*S_E*E47+W_R*S_R*F47</f>
        <v>42.0352900826351</v>
      </c>
      <c r="P47" s="17" t="n">
        <f aca="false">W_L*S_L*G47+W_T*S_T*H47+W_E*S_E*I47+W_R*S_R*J47</f>
        <v>45.7199377004898</v>
      </c>
      <c r="Q47" s="17" t="n">
        <f aca="false">W_L*S_L*K47+W_T*S_T*L47+W_E*S_E*M47+W_R*S_R*N47</f>
        <v>38.4501997338885</v>
      </c>
      <c r="R47" s="16" t="n">
        <f aca="false">IF(O47&lt;Score_today,1,0)</f>
        <v>0</v>
      </c>
      <c r="S47" s="16" t="n">
        <f aca="false">IF(O47&gt;Q47,1,0)</f>
        <v>1</v>
      </c>
      <c r="T47" s="16" t="n">
        <f aca="false">IF(O47&gt;P47,1,0)</f>
        <v>0</v>
      </c>
      <c r="U47" s="16" t="n">
        <f aca="false">1+IF(P47&gt;O47,1,0)+IF(Q47&gt;O47,1,0)</f>
        <v>2</v>
      </c>
      <c r="V47" s="17" t="n">
        <f aca="false">ABS(P47-Q47)</f>
        <v>7.2697379666013</v>
      </c>
    </row>
    <row r="48" customFormat="false" ht="15" hidden="false" customHeight="false" outlineLevel="0" collapsed="false">
      <c r="A48" s="16" t="n">
        <v>43</v>
      </c>
      <c r="B48" s="17" t="n">
        <f aca="false">A48/12</f>
        <v>3.58333333333333</v>
      </c>
      <c r="C48" s="17" t="n">
        <f aca="false">Declarations!$C$14+(Declarations!$H$14-Declarations!$C$14)*EXP(-Declarations!$D$14*$B48)+IF(Declarations!$E$14=0,0,Declarations!$E$14*($B48/Declarations!$F$14)*EXP(1-$B48/Declarations!$F$14))+Declarations!$G$14*IF($B48&gt;=Sale_t,1,0)</f>
        <v>85.8462721744564</v>
      </c>
      <c r="D48" s="17" t="n">
        <f aca="false">Declarations!$C$15+(Declarations!$H$15-Declarations!$C$15)*EXP(-Declarations!$D$15*$B48)+IF(Declarations!$E$15=0,0,Declarations!$E$15*($B48/Declarations!$F$15)*EXP(1-$B48/Declarations!$F$15))+Declarations!$G$15*IF($B48&gt;=Sale_t,1,0)</f>
        <v>72.8443944486408</v>
      </c>
      <c r="E48" s="17" t="n">
        <f aca="false">Declarations!$C$16+(Declarations!$H$16-Declarations!$C$16)*EXP(-Declarations!$D$16*$B48)+IF(Declarations!$E$16=0,0,Declarations!$E$16*($B48/Declarations!$F$16)*EXP(1-$B48/Declarations!$F$16))+Declarations!$G$16*IF($B48&gt;=Sale_t,1,0)</f>
        <v>70.6388347044205</v>
      </c>
      <c r="F48" s="17" t="n">
        <f aca="false">Declarations!$C$17+(Declarations!$H$17-Declarations!$C$17)*EXP(-Declarations!$D$17*$B48)+IF(Declarations!$E$17=0,0,Declarations!$E$17*($B48/Declarations!$F$17)*EXP(1-$B48/Declarations!$F$17))+Declarations!$G$17*IF($B48&gt;=Sale_t,1,0)</f>
        <v>59.8375582254175</v>
      </c>
      <c r="G48" s="17" t="n">
        <f aca="false">Declarations!$C$18+(Declarations!$H$18-Declarations!$C$18)*EXP(-Declarations!$D$18*$B48)+IF(Declarations!$E$18=0,0,Declarations!$E$18*($B48/Declarations!$F$18)*EXP(1-$B48/Declarations!$F$18))+Declarations!$G$18*IF($B48&gt;=Sale_t,1,0)</f>
        <v>120.634808978796</v>
      </c>
      <c r="H48" s="17" t="n">
        <f aca="false">Declarations!$C$19+(Declarations!$H$19-Declarations!$C$19)*EXP(-Declarations!$D$19*$B48)+IF(Declarations!$E$19=0,0,Declarations!$E$19*($B48/Declarations!$F$19)*EXP(1-$B48/Declarations!$F$19))+Declarations!$G$19*IF($B48&gt;=Sale_t,1,0)</f>
        <v>39.2248017024407</v>
      </c>
      <c r="I48" s="17" t="n">
        <f aca="false">Declarations!$C$20+(Declarations!$H$20-Declarations!$C$20)*EXP(-Declarations!$D$20*$B48)+IF(Declarations!$E$20=0,0,Declarations!$E$20*($B48/Declarations!$F$20)*EXP(1-$B48/Declarations!$F$20))+Declarations!$G$20*IF($B48&gt;=Sale_t,1,0)</f>
        <v>73.4018344424944</v>
      </c>
      <c r="J48" s="17" t="n">
        <f aca="false">Declarations!$C$21+(Declarations!$H$21-Declarations!$C$21)*EXP(-Declarations!$D$21*$B48)+IF(Declarations!$E$21=0,0,Declarations!$E$21*($B48/Declarations!$F$21)*EXP(1-$B48/Declarations!$F$21))+Declarations!$G$21*IF($B48&gt;=Sale_t,1,0)</f>
        <v>50.2825080835478</v>
      </c>
      <c r="K48" s="17" t="n">
        <f aca="false">Declarations!$C$22+(Declarations!$H$22-Declarations!$C$22)*EXP(-Declarations!$D$22*$B48)+IF(Declarations!$E$22=0,0,Declarations!$E$22*($B48/Declarations!$F$22)*EXP(1-$B48/Declarations!$F$22))+Declarations!$G$22*IF($B48&gt;=Sale_t,1,0)</f>
        <v>104.803668884989</v>
      </c>
      <c r="L48" s="17" t="n">
        <f aca="false">Declarations!$C$23+(Declarations!$H$23-Declarations!$C$23)*EXP(-Declarations!$D$23*$B48)+IF(Declarations!$E$23=0,0,Declarations!$E$23*($B48/Declarations!$F$23)*EXP(1-$B48/Declarations!$F$23))+Declarations!$G$23*IF($B48&gt;=Sale_t,1,0)</f>
        <v>36.9070197653295</v>
      </c>
      <c r="M48" s="17" t="n">
        <f aca="false">Declarations!$C$24+(Declarations!$H$24-Declarations!$C$24)*EXP(-Declarations!$D$24*$B48)+IF(Declarations!$E$24=0,0,Declarations!$E$24*($B48/Declarations!$F$24)*EXP(1-$B48/Declarations!$F$24))+Declarations!$G$24*IF($B48&gt;=Sale_t,1,0)</f>
        <v>78.068126737812</v>
      </c>
      <c r="N48" s="17" t="n">
        <f aca="false">Declarations!$C$25+(Declarations!$H$25-Declarations!$C$25)*EXP(-Declarations!$D$25*$B48)+IF(Declarations!$E$25=0,0,Declarations!$E$25*($B48/Declarations!$F$25)*EXP(1-$B48/Declarations!$F$25))+Declarations!$G$25*IF($B48&gt;=Sale_t,1,0)</f>
        <v>65.976106734097</v>
      </c>
      <c r="O48" s="17" t="n">
        <f aca="false">W_L*S_L*C48+W_T*S_T*D48+W_E*S_E*E48+W_R*S_R*F48</f>
        <v>42.372985775525</v>
      </c>
      <c r="P48" s="17" t="n">
        <f aca="false">W_L*S_L*G48+W_T*S_T*H48+W_E*S_E*I48+W_R*S_R*J48</f>
        <v>45.7447342600458</v>
      </c>
      <c r="Q48" s="17" t="n">
        <f aca="false">W_L*S_L*K48+W_T*S_T*L48+W_E*S_E*M48+W_R*S_R*N48</f>
        <v>38.4506771635083</v>
      </c>
      <c r="R48" s="16" t="n">
        <f aca="false">IF(O48&lt;Score_today,1,0)</f>
        <v>0</v>
      </c>
      <c r="S48" s="16" t="n">
        <f aca="false">IF(O48&gt;Q48,1,0)</f>
        <v>1</v>
      </c>
      <c r="T48" s="16" t="n">
        <f aca="false">IF(O48&gt;P48,1,0)</f>
        <v>0</v>
      </c>
      <c r="U48" s="16" t="n">
        <f aca="false">1+IF(P48&gt;O48,1,0)+IF(Q48&gt;O48,1,0)</f>
        <v>2</v>
      </c>
      <c r="V48" s="17" t="n">
        <f aca="false">ABS(P48-Q48)</f>
        <v>7.2940570965375</v>
      </c>
    </row>
    <row r="49" customFormat="false" ht="15" hidden="false" customHeight="false" outlineLevel="0" collapsed="false">
      <c r="A49" s="16" t="n">
        <v>44</v>
      </c>
      <c r="B49" s="17" t="n">
        <f aca="false">A49/12</f>
        <v>3.66666666666667</v>
      </c>
      <c r="C49" s="17" t="n">
        <f aca="false">Declarations!$C$14+(Declarations!$H$14-Declarations!$C$14)*EXP(-Declarations!$D$14*$B49)+IF(Declarations!$E$14=0,0,Declarations!$E$14*($B49/Declarations!$F$14)*EXP(1-$B49/Declarations!$F$14))+Declarations!$G$14*IF($B49&gt;=Sale_t,1,0)</f>
        <v>86.3652806679746</v>
      </c>
      <c r="D49" s="17" t="n">
        <f aca="false">Declarations!$C$15+(Declarations!$H$15-Declarations!$C$15)*EXP(-Declarations!$D$15*$B49)+IF(Declarations!$E$15=0,0,Declarations!$E$15*($B49/Declarations!$F$15)*EXP(1-$B49/Declarations!$F$15))+Declarations!$G$15*IF($B49&gt;=Sale_t,1,0)</f>
        <v>73.0753596529513</v>
      </c>
      <c r="E49" s="17" t="n">
        <f aca="false">Declarations!$C$16+(Declarations!$H$16-Declarations!$C$16)*EXP(-Declarations!$D$16*$B49)+IF(Declarations!$E$16=0,0,Declarations!$E$16*($B49/Declarations!$F$16)*EXP(1-$B49/Declarations!$F$16))+Declarations!$G$16*IF($B49&gt;=Sale_t,1,0)</f>
        <v>70.8514256978364</v>
      </c>
      <c r="F49" s="17" t="n">
        <f aca="false">Declarations!$C$17+(Declarations!$H$17-Declarations!$C$17)*EXP(-Declarations!$D$17*$B49)+IF(Declarations!$E$17=0,0,Declarations!$E$17*($B49/Declarations!$F$17)*EXP(1-$B49/Declarations!$F$17))+Declarations!$G$17*IF($B49&gt;=Sale_t,1,0)</f>
        <v>59.4754948884388</v>
      </c>
      <c r="G49" s="17" t="n">
        <f aca="false">Declarations!$C$18+(Declarations!$H$18-Declarations!$C$18)*EXP(-Declarations!$D$18*$B49)+IF(Declarations!$E$18=0,0,Declarations!$E$18*($B49/Declarations!$F$18)*EXP(1-$B49/Declarations!$F$18))+Declarations!$G$18*IF($B49&gt;=Sale_t,1,0)</f>
        <v>120.668515665208</v>
      </c>
      <c r="H49" s="17" t="n">
        <f aca="false">Declarations!$C$19+(Declarations!$H$19-Declarations!$C$19)*EXP(-Declarations!$D$19*$B49)+IF(Declarations!$E$19=0,0,Declarations!$E$19*($B49/Declarations!$F$19)*EXP(1-$B49/Declarations!$F$19))+Declarations!$G$19*IF($B49&gt;=Sale_t,1,0)</f>
        <v>39.1995489630345</v>
      </c>
      <c r="I49" s="17" t="n">
        <f aca="false">Declarations!$C$20+(Declarations!$H$20-Declarations!$C$20)*EXP(-Declarations!$D$20*$B49)+IF(Declarations!$E$20=0,0,Declarations!$E$20*($B49/Declarations!$F$20)*EXP(1-$B49/Declarations!$F$20))+Declarations!$G$20*IF($B49&gt;=Sale_t,1,0)</f>
        <v>73.4238502741377</v>
      </c>
      <c r="J49" s="17" t="n">
        <f aca="false">Declarations!$C$21+(Declarations!$H$21-Declarations!$C$21)*EXP(-Declarations!$D$21*$B49)+IF(Declarations!$E$21=0,0,Declarations!$E$21*($B49/Declarations!$F$21)*EXP(1-$B49/Declarations!$F$21))+Declarations!$G$21*IF($B49&gt;=Sale_t,1,0)</f>
        <v>50.216896419108</v>
      </c>
      <c r="K49" s="17" t="n">
        <f aca="false">Declarations!$C$22+(Declarations!$H$22-Declarations!$C$22)*EXP(-Declarations!$D$22*$B49)+IF(Declarations!$E$22=0,0,Declarations!$E$22*($B49/Declarations!$F$22)*EXP(1-$B49/Declarations!$F$22))+Declarations!$G$22*IF($B49&gt;=Sale_t,1,0)</f>
        <v>104.847700548275</v>
      </c>
      <c r="L49" s="17" t="n">
        <f aca="false">Declarations!$C$23+(Declarations!$H$23-Declarations!$C$23)*EXP(-Declarations!$D$23*$B49)+IF(Declarations!$E$23=0,0,Declarations!$E$23*($B49/Declarations!$F$23)*EXP(1-$B49/Declarations!$F$23))+Declarations!$G$23*IF($B49&gt;=Sale_t,1,0)</f>
        <v>36.8424424087184</v>
      </c>
      <c r="M49" s="17" t="n">
        <f aca="false">Declarations!$C$24+(Declarations!$H$24-Declarations!$C$24)*EXP(-Declarations!$D$24*$B49)+IF(Declarations!$E$24=0,0,Declarations!$E$24*($B49/Declarations!$F$24)*EXP(1-$B49/Declarations!$F$24))+Declarations!$G$24*IF($B49&gt;=Sale_t,1,0)</f>
        <v>78.1135747331013</v>
      </c>
      <c r="N49" s="17" t="n">
        <f aca="false">Declarations!$C$25+(Declarations!$H$25-Declarations!$C$25)*EXP(-Declarations!$D$25*$B49)+IF(Declarations!$E$25=0,0,Declarations!$E$25*($B49/Declarations!$F$25)*EXP(1-$B49/Declarations!$F$25))+Declarations!$G$25*IF($B49&gt;=Sale_t,1,0)</f>
        <v>66.0013867489058</v>
      </c>
      <c r="O49" s="17" t="n">
        <f aca="false">W_L*S_L*C49+W_T*S_T*D49+W_E*S_E*E49+W_R*S_R*F49</f>
        <v>42.7041427825809</v>
      </c>
      <c r="P49" s="17" t="n">
        <f aca="false">W_L*S_L*G49+W_T*S_T*H49+W_E*S_E*I49+W_R*S_R*J49</f>
        <v>45.768754620818</v>
      </c>
      <c r="Q49" s="17" t="n">
        <f aca="false">W_L*S_L*K49+W_T*S_T*L49+W_E*S_E*M49+W_R*S_R*N49</f>
        <v>38.4505827352974</v>
      </c>
      <c r="R49" s="16" t="n">
        <f aca="false">IF(O49&lt;Score_today,1,0)</f>
        <v>0</v>
      </c>
      <c r="S49" s="16" t="n">
        <f aca="false">IF(O49&gt;Q49,1,0)</f>
        <v>1</v>
      </c>
      <c r="T49" s="16" t="n">
        <f aca="false">IF(O49&gt;P49,1,0)</f>
        <v>0</v>
      </c>
      <c r="U49" s="16" t="n">
        <f aca="false">1+IF(P49&gt;O49,1,0)+IF(Q49&gt;O49,1,0)</f>
        <v>2</v>
      </c>
      <c r="V49" s="17" t="n">
        <f aca="false">ABS(P49-Q49)</f>
        <v>7.31817188552063</v>
      </c>
    </row>
    <row r="50" customFormat="false" ht="15" hidden="false" customHeight="false" outlineLevel="0" collapsed="false">
      <c r="A50" s="16" t="n">
        <v>45</v>
      </c>
      <c r="B50" s="17" t="n">
        <f aca="false">A50/12</f>
        <v>3.75</v>
      </c>
      <c r="C50" s="17" t="n">
        <f aca="false">Declarations!$C$14+(Declarations!$H$14-Declarations!$C$14)*EXP(-Declarations!$D$14*$B50)+IF(Declarations!$E$14=0,0,Declarations!$E$14*($B50/Declarations!$F$14)*EXP(1-$B50/Declarations!$F$14))+Declarations!$G$14*IF($B50&gt;=Sale_t,1,0)</f>
        <v>86.8849877821281</v>
      </c>
      <c r="D50" s="17" t="n">
        <f aca="false">Declarations!$C$15+(Declarations!$H$15-Declarations!$C$15)*EXP(-Declarations!$D$15*$B50)+IF(Declarations!$E$15=0,0,Declarations!$E$15*($B50/Declarations!$F$15)*EXP(1-$B50/Declarations!$F$15))+Declarations!$G$15*IF($B50&gt;=Sale_t,1,0)</f>
        <v>73.2959778815147</v>
      </c>
      <c r="E50" s="17" t="n">
        <f aca="false">Declarations!$C$16+(Declarations!$H$16-Declarations!$C$16)*EXP(-Declarations!$D$16*$B50)+IF(Declarations!$E$16=0,0,Declarations!$E$16*($B50/Declarations!$F$16)*EXP(1-$B50/Declarations!$F$16))+Declarations!$G$16*IF($B50&gt;=Sale_t,1,0)</f>
        <v>71.0594415955908</v>
      </c>
      <c r="F50" s="17" t="n">
        <f aca="false">Declarations!$C$17+(Declarations!$H$17-Declarations!$C$17)*EXP(-Declarations!$D$17*$B50)+IF(Declarations!$E$17=0,0,Declarations!$E$17*($B50/Declarations!$F$17)*EXP(1-$B50/Declarations!$F$17))+Declarations!$G$17*IF($B50&gt;=Sale_t,1,0)</f>
        <v>59.1258844435986</v>
      </c>
      <c r="G50" s="17" t="n">
        <f aca="false">Declarations!$C$18+(Declarations!$H$18-Declarations!$C$18)*EXP(-Declarations!$D$18*$B50)+IF(Declarations!$E$18=0,0,Declarations!$E$18*($B50/Declarations!$F$18)*EXP(1-$B50/Declarations!$F$18))+Declarations!$G$18*IF($B50&gt;=Sale_t,1,0)</f>
        <v>120.701390130567</v>
      </c>
      <c r="H50" s="17" t="n">
        <f aca="false">Declarations!$C$19+(Declarations!$H$19-Declarations!$C$19)*EXP(-Declarations!$D$19*$B50)+IF(Declarations!$E$19=0,0,Declarations!$E$19*($B50/Declarations!$F$19)*EXP(1-$B50/Declarations!$F$19))+Declarations!$G$19*IF($B50&gt;=Sale_t,1,0)</f>
        <v>39.1748168800304</v>
      </c>
      <c r="I50" s="17" t="n">
        <f aca="false">Declarations!$C$20+(Declarations!$H$20-Declarations!$C$20)*EXP(-Declarations!$D$20*$B50)+IF(Declarations!$E$20=0,0,Declarations!$E$20*($B50/Declarations!$F$20)*EXP(1-$B50/Declarations!$F$20))+Declarations!$G$20*IF($B50&gt;=Sale_t,1,0)</f>
        <v>73.4450558002781</v>
      </c>
      <c r="J50" s="17" t="n">
        <f aca="false">Declarations!$C$21+(Declarations!$H$21-Declarations!$C$21)*EXP(-Declarations!$D$21*$B50)+IF(Declarations!$E$21=0,0,Declarations!$E$21*($B50/Declarations!$F$21)*EXP(1-$B50/Declarations!$F$21))+Declarations!$G$21*IF($B50&gt;=Sale_t,1,0)</f>
        <v>50.1531707898335</v>
      </c>
      <c r="K50" s="17" t="n">
        <f aca="false">Declarations!$C$22+(Declarations!$H$22-Declarations!$C$22)*EXP(-Declarations!$D$22*$B50)+IF(Declarations!$E$22=0,0,Declarations!$E$22*($B50/Declarations!$F$22)*EXP(1-$B50/Declarations!$F$22))+Declarations!$G$22*IF($B50&gt;=Sale_t,1,0)</f>
        <v>104.890111600556</v>
      </c>
      <c r="L50" s="17" t="n">
        <f aca="false">Declarations!$C$23+(Declarations!$H$23-Declarations!$C$23)*EXP(-Declarations!$D$23*$B50)+IF(Declarations!$E$23=0,0,Declarations!$E$23*($B50/Declarations!$F$23)*EXP(1-$B50/Declarations!$F$23))+Declarations!$G$23*IF($B50&gt;=Sale_t,1,0)</f>
        <v>36.7789324219281</v>
      </c>
      <c r="M50" s="17" t="n">
        <f aca="false">Declarations!$C$24+(Declarations!$H$24-Declarations!$C$24)*EXP(-Declarations!$D$24*$B50)+IF(Declarations!$E$24=0,0,Declarations!$E$24*($B50/Declarations!$F$24)*EXP(1-$B50/Declarations!$F$24))+Declarations!$G$24*IF($B50&gt;=Sale_t,1,0)</f>
        <v>78.1568062035051</v>
      </c>
      <c r="N50" s="17" t="n">
        <f aca="false">Declarations!$C$25+(Declarations!$H$25-Declarations!$C$25)*EXP(-Declarations!$D$25*$B50)+IF(Declarations!$E$25=0,0,Declarations!$E$25*($B50/Declarations!$F$25)*EXP(1-$B50/Declarations!$F$25))+Declarations!$G$25*IF($B50&gt;=Sale_t,1,0)</f>
        <v>66.026042597925</v>
      </c>
      <c r="O50" s="17" t="n">
        <f aca="false">W_L*S_L*C50+W_T*S_T*D50+W_E*S_E*E50+W_R*S_R*F50</f>
        <v>43.0286307039087</v>
      </c>
      <c r="P50" s="17" t="n">
        <f aca="false">W_L*S_L*G50+W_T*S_T*H50+W_E*S_E*I50+W_R*S_R*J50</f>
        <v>45.7920230052604</v>
      </c>
      <c r="Q50" s="17" t="n">
        <f aca="false">W_L*S_L*K50+W_T*S_T*L50+W_E*S_E*M50+W_R*S_R*N50</f>
        <v>38.4499519070161</v>
      </c>
      <c r="R50" s="16" t="n">
        <f aca="false">IF(O50&lt;Score_today,1,0)</f>
        <v>0</v>
      </c>
      <c r="S50" s="16" t="n">
        <f aca="false">IF(O50&gt;Q50,1,0)</f>
        <v>1</v>
      </c>
      <c r="T50" s="16" t="n">
        <f aca="false">IF(O50&gt;P50,1,0)</f>
        <v>0</v>
      </c>
      <c r="U50" s="16" t="n">
        <f aca="false">1+IF(P50&gt;O50,1,0)+IF(Q50&gt;O50,1,0)</f>
        <v>2</v>
      </c>
      <c r="V50" s="17" t="n">
        <f aca="false">ABS(P50-Q50)</f>
        <v>7.3420710982443</v>
      </c>
    </row>
    <row r="51" customFormat="false" ht="15" hidden="false" customHeight="false" outlineLevel="0" collapsed="false">
      <c r="A51" s="16" t="n">
        <v>46</v>
      </c>
      <c r="B51" s="17" t="n">
        <f aca="false">A51/12</f>
        <v>3.83333333333333</v>
      </c>
      <c r="C51" s="17" t="n">
        <f aca="false">Declarations!$C$14+(Declarations!$H$14-Declarations!$C$14)*EXP(-Declarations!$D$14*$B51)+IF(Declarations!$E$14=0,0,Declarations!$E$14*($B51/Declarations!$F$14)*EXP(1-$B51/Declarations!$F$14))+Declarations!$G$14*IF($B51&gt;=Sale_t,1,0)</f>
        <v>87.4044864122299</v>
      </c>
      <c r="D51" s="17" t="n">
        <f aca="false">Declarations!$C$15+(Declarations!$H$15-Declarations!$C$15)*EXP(-Declarations!$D$15*$B51)+IF(Declarations!$E$15=0,0,Declarations!$E$15*($B51/Declarations!$F$15)*EXP(1-$B51/Declarations!$F$15))+Declarations!$G$15*IF($B51&gt;=Sale_t,1,0)</f>
        <v>73.5067126669544</v>
      </c>
      <c r="E51" s="17" t="n">
        <f aca="false">Declarations!$C$16+(Declarations!$H$16-Declarations!$C$16)*EXP(-Declarations!$D$16*$B51)+IF(Declarations!$E$16=0,0,Declarations!$E$16*($B51/Declarations!$F$16)*EXP(1-$B51/Declarations!$F$16))+Declarations!$G$16*IF($B51&gt;=Sale_t,1,0)</f>
        <v>71.2627631764471</v>
      </c>
      <c r="F51" s="17" t="n">
        <f aca="false">Declarations!$C$17+(Declarations!$H$17-Declarations!$C$17)*EXP(-Declarations!$D$17*$B51)+IF(Declarations!$E$17=0,0,Declarations!$E$17*($B51/Declarations!$F$17)*EXP(1-$B51/Declarations!$F$17))+Declarations!$G$17*IF($B51&gt;=Sale_t,1,0)</f>
        <v>58.7885659659192</v>
      </c>
      <c r="G51" s="17" t="n">
        <f aca="false">Declarations!$C$18+(Declarations!$H$18-Declarations!$C$18)*EXP(-Declarations!$D$18*$B51)+IF(Declarations!$E$18=0,0,Declarations!$E$18*($B51/Declarations!$F$18)*EXP(1-$B51/Declarations!$F$18))+Declarations!$G$18*IF($B51&gt;=Sale_t,1,0)</f>
        <v>120.733452922484</v>
      </c>
      <c r="H51" s="17" t="n">
        <f aca="false">Declarations!$C$19+(Declarations!$H$19-Declarations!$C$19)*EXP(-Declarations!$D$19*$B51)+IF(Declarations!$E$19=0,0,Declarations!$E$19*($B51/Declarations!$F$19)*EXP(1-$B51/Declarations!$F$19))+Declarations!$G$19*IF($B51&gt;=Sale_t,1,0)</f>
        <v>39.1505947186289</v>
      </c>
      <c r="I51" s="17" t="n">
        <f aca="false">Declarations!$C$20+(Declarations!$H$20-Declarations!$C$20)*EXP(-Declarations!$D$20*$B51)+IF(Declarations!$E$20=0,0,Declarations!$E$20*($B51/Declarations!$F$20)*EXP(1-$B51/Declarations!$F$20))+Declarations!$G$20*IF($B51&gt;=Sale_t,1,0)</f>
        <v>73.4654808446813</v>
      </c>
      <c r="J51" s="17" t="n">
        <f aca="false">Declarations!$C$21+(Declarations!$H$21-Declarations!$C$21)*EXP(-Declarations!$D$21*$B51)+IF(Declarations!$E$21=0,0,Declarations!$E$21*($B51/Declarations!$F$21)*EXP(1-$B51/Declarations!$F$21))+Declarations!$G$21*IF($B51&gt;=Sale_t,1,0)</f>
        <v>50.0912769808422</v>
      </c>
      <c r="K51" s="17" t="n">
        <f aca="false">Declarations!$C$22+(Declarations!$H$22-Declarations!$C$22)*EXP(-Declarations!$D$22*$B51)+IF(Declarations!$E$22=0,0,Declarations!$E$22*($B51/Declarations!$F$22)*EXP(1-$B51/Declarations!$F$22))+Declarations!$G$22*IF($B51&gt;=Sale_t,1,0)</f>
        <v>104.930961689363</v>
      </c>
      <c r="L51" s="17" t="n">
        <f aca="false">Declarations!$C$23+(Declarations!$H$23-Declarations!$C$23)*EXP(-Declarations!$D$23*$B51)+IF(Declarations!$E$23=0,0,Declarations!$E$23*($B51/Declarations!$F$23)*EXP(1-$B51/Declarations!$F$23))+Declarations!$G$23*IF($B51&gt;=Sale_t,1,0)</f>
        <v>36.7164721628873</v>
      </c>
      <c r="M51" s="17" t="n">
        <f aca="false">Declarations!$C$24+(Declarations!$H$24-Declarations!$C$24)*EXP(-Declarations!$D$24*$B51)+IF(Declarations!$E$24=0,0,Declarations!$E$24*($B51/Declarations!$F$24)*EXP(1-$B51/Declarations!$F$24))+Declarations!$G$24*IF($B51&gt;=Sale_t,1,0)</f>
        <v>78.1979292502176</v>
      </c>
      <c r="N51" s="17" t="n">
        <f aca="false">Declarations!$C$25+(Declarations!$H$25-Declarations!$C$25)*EXP(-Declarations!$D$25*$B51)+IF(Declarations!$E$25=0,0,Declarations!$E$25*($B51/Declarations!$F$25)*EXP(1-$B51/Declarations!$F$25))+Declarations!$G$25*IF($B51&gt;=Sale_t,1,0)</f>
        <v>66.0500896918628</v>
      </c>
      <c r="O51" s="17" t="n">
        <f aca="false">W_L*S_L*C51+W_T*S_T*D51+W_E*S_E*E51+W_R*S_R*F51</f>
        <v>43.346349072428</v>
      </c>
      <c r="P51" s="17" t="n">
        <f aca="false">W_L*S_L*G51+W_T*S_T*H51+W_E*S_E*I51+W_R*S_R*J51</f>
        <v>45.814562876238</v>
      </c>
      <c r="Q51" s="17" t="n">
        <f aca="false">W_L*S_L*K51+W_T*S_T*L51+W_E*S_E*M51+W_R*S_R*N51</f>
        <v>38.4488183526512</v>
      </c>
      <c r="R51" s="16" t="n">
        <f aca="false">IF(O51&lt;Score_today,1,0)</f>
        <v>0</v>
      </c>
      <c r="S51" s="16" t="n">
        <f aca="false">IF(O51&gt;Q51,1,0)</f>
        <v>1</v>
      </c>
      <c r="T51" s="16" t="n">
        <f aca="false">IF(O51&gt;P51,1,0)</f>
        <v>0</v>
      </c>
      <c r="U51" s="16" t="n">
        <f aca="false">1+IF(P51&gt;O51,1,0)+IF(Q51&gt;O51,1,0)</f>
        <v>2</v>
      </c>
      <c r="V51" s="17" t="n">
        <f aca="false">ABS(P51-Q51)</f>
        <v>7.36574452358681</v>
      </c>
    </row>
    <row r="52" customFormat="false" ht="15" hidden="false" customHeight="false" outlineLevel="0" collapsed="false">
      <c r="A52" s="16" t="n">
        <v>47</v>
      </c>
      <c r="B52" s="17" t="n">
        <f aca="false">A52/12</f>
        <v>3.91666666666667</v>
      </c>
      <c r="C52" s="17" t="n">
        <f aca="false">Declarations!$C$14+(Declarations!$H$14-Declarations!$C$14)*EXP(-Declarations!$D$14*$B52)+IF(Declarations!$E$14=0,0,Declarations!$E$14*($B52/Declarations!$F$14)*EXP(1-$B52/Declarations!$F$14))+Declarations!$G$14*IF($B52&gt;=Sale_t,1,0)</f>
        <v>87.9229419170926</v>
      </c>
      <c r="D52" s="17" t="n">
        <f aca="false">Declarations!$C$15+(Declarations!$H$15-Declarations!$C$15)*EXP(-Declarations!$D$15*$B52)+IF(Declarations!$E$15=0,0,Declarations!$E$15*($B52/Declarations!$F$15)*EXP(1-$B52/Declarations!$F$15))+Declarations!$G$15*IF($B52&gt;=Sale_t,1,0)</f>
        <v>73.7080067761652</v>
      </c>
      <c r="E52" s="17" t="n">
        <f aca="false">Declarations!$C$16+(Declarations!$H$16-Declarations!$C$16)*EXP(-Declarations!$D$16*$B52)+IF(Declarations!$E$16=0,0,Declarations!$E$16*($B52/Declarations!$F$16)*EXP(1-$B52/Declarations!$F$16))+Declarations!$G$16*IF($B52&gt;=Sale_t,1,0)</f>
        <v>71.4612971741963</v>
      </c>
      <c r="F52" s="17" t="n">
        <f aca="false">Declarations!$C$17+(Declarations!$H$17-Declarations!$C$17)*EXP(-Declarations!$D$17*$B52)+IF(Declarations!$E$17=0,0,Declarations!$E$17*($B52/Declarations!$F$17)*EXP(1-$B52/Declarations!$F$17))+Declarations!$G$17*IF($B52&gt;=Sale_t,1,0)</f>
        <v>58.463347996316</v>
      </c>
      <c r="G52" s="17" t="n">
        <f aca="false">Declarations!$C$18+(Declarations!$H$18-Declarations!$C$18)*EXP(-Declarations!$D$18*$B52)+IF(Declarations!$E$18=0,0,Declarations!$E$18*($B52/Declarations!$F$18)*EXP(1-$B52/Declarations!$F$18))+Declarations!$G$18*IF($B52&gt;=Sale_t,1,0)</f>
        <v>120.764724081248</v>
      </c>
      <c r="H52" s="17" t="n">
        <f aca="false">Declarations!$C$19+(Declarations!$H$19-Declarations!$C$19)*EXP(-Declarations!$D$19*$B52)+IF(Declarations!$E$19=0,0,Declarations!$E$19*($B52/Declarations!$F$19)*EXP(1-$B52/Declarations!$F$19))+Declarations!$G$19*IF($B52&gt;=Sale_t,1,0)</f>
        <v>39.126871965359</v>
      </c>
      <c r="I52" s="17" t="n">
        <f aca="false">Declarations!$C$20+(Declarations!$H$20-Declarations!$C$20)*EXP(-Declarations!$D$20*$B52)+IF(Declarations!$E$20=0,0,Declarations!$E$20*($B52/Declarations!$F$20)*EXP(1-$B52/Declarations!$F$20))+Declarations!$G$20*IF($B52&gt;=Sale_t,1,0)</f>
        <v>73.4851541334322</v>
      </c>
      <c r="J52" s="17" t="n">
        <f aca="false">Declarations!$C$21+(Declarations!$H$21-Declarations!$C$21)*EXP(-Declarations!$D$21*$B52)+IF(Declarations!$E$21=0,0,Declarations!$E$21*($B52/Declarations!$F$21)*EXP(1-$B52/Declarations!$F$21))+Declarations!$G$21*IF($B52&gt;=Sale_t,1,0)</f>
        <v>50.031162335682</v>
      </c>
      <c r="K52" s="17" t="n">
        <f aca="false">Declarations!$C$22+(Declarations!$H$22-Declarations!$C$22)*EXP(-Declarations!$D$22*$B52)+IF(Declarations!$E$22=0,0,Declarations!$E$22*($B52/Declarations!$F$22)*EXP(1-$B52/Declarations!$F$22))+Declarations!$G$22*IF($B52&gt;=Sale_t,1,0)</f>
        <v>104.970308266864</v>
      </c>
      <c r="L52" s="17" t="n">
        <f aca="false">Declarations!$C$23+(Declarations!$H$23-Declarations!$C$23)*EXP(-Declarations!$D$23*$B52)+IF(Declarations!$E$23=0,0,Declarations!$E$23*($B52/Declarations!$F$23)*EXP(1-$B52/Declarations!$F$23))+Declarations!$G$23*IF($B52&gt;=Sale_t,1,0)</f>
        <v>36.6550442811223</v>
      </c>
      <c r="M52" s="17" t="n">
        <f aca="false">Declarations!$C$24+(Declarations!$H$24-Declarations!$C$24)*EXP(-Declarations!$D$24*$B52)+IF(Declarations!$E$24=0,0,Declarations!$E$24*($B52/Declarations!$F$24)*EXP(1-$B52/Declarations!$F$24))+Declarations!$G$24*IF($B52&gt;=Sale_t,1,0)</f>
        <v>78.2370467022756</v>
      </c>
      <c r="N52" s="17" t="n">
        <f aca="false">Declarations!$C$25+(Declarations!$H$25-Declarations!$C$25)*EXP(-Declarations!$D$25*$B52)+IF(Declarations!$E$25=0,0,Declarations!$E$25*($B52/Declarations!$F$25)*EXP(1-$B52/Declarations!$F$25))+Declarations!$G$25*IF($B52&gt;=Sale_t,1,0)</f>
        <v>66.073543060936</v>
      </c>
      <c r="O52" s="17" t="n">
        <f aca="false">W_L*S_L*C52+W_T*S_T*D52+W_E*S_E*E52+W_R*S_R*F52</f>
        <v>43.6572244677845</v>
      </c>
      <c r="P52" s="17" t="n">
        <f aca="false">W_L*S_L*G52+W_T*S_T*H52+W_E*S_E*I52+W_R*S_R*J52</f>
        <v>45.8363969610893</v>
      </c>
      <c r="Q52" s="17" t="n">
        <f aca="false">W_L*S_L*K52+W_T*S_T*L52+W_E*S_E*M52+W_R*S_R*N52</f>
        <v>38.4472140473316</v>
      </c>
      <c r="R52" s="16" t="n">
        <f aca="false">IF(O52&lt;Score_today,1,0)</f>
        <v>0</v>
      </c>
      <c r="S52" s="16" t="n">
        <f aca="false">IF(O52&gt;Q52,1,0)</f>
        <v>1</v>
      </c>
      <c r="T52" s="16" t="n">
        <f aca="false">IF(O52&gt;P52,1,0)</f>
        <v>0</v>
      </c>
      <c r="U52" s="16" t="n">
        <f aca="false">1+IF(P52&gt;O52,1,0)+IF(Q52&gt;O52,1,0)</f>
        <v>2</v>
      </c>
      <c r="V52" s="17" t="n">
        <f aca="false">ABS(P52-Q52)</f>
        <v>7.38918291375769</v>
      </c>
    </row>
    <row r="53" customFormat="false" ht="15" hidden="false" customHeight="false" outlineLevel="0" collapsed="false">
      <c r="A53" s="16" t="n">
        <v>48</v>
      </c>
      <c r="B53" s="17" t="n">
        <f aca="false">A53/12</f>
        <v>4</v>
      </c>
      <c r="C53" s="17" t="n">
        <f aca="false">Declarations!$C$14+(Declarations!$H$14-Declarations!$C$14)*EXP(-Declarations!$D$14*$B53)+IF(Declarations!$E$14=0,0,Declarations!$E$14*($B53/Declarations!$F$14)*EXP(1-$B53/Declarations!$F$14))+Declarations!$G$14*IF($B53&gt;=Sale_t,1,0)</f>
        <v>88.4395877271</v>
      </c>
      <c r="D53" s="17" t="n">
        <f aca="false">Declarations!$C$15+(Declarations!$H$15-Declarations!$C$15)*EXP(-Declarations!$D$15*$B53)+IF(Declarations!$E$15=0,0,Declarations!$E$15*($B53/Declarations!$F$15)*EXP(1-$B53/Declarations!$F$15))+Declarations!$G$15*IF($B53&gt;=Sale_t,1,0)</f>
        <v>73.9002831405936</v>
      </c>
      <c r="E53" s="17" t="n">
        <f aca="false">Declarations!$C$16+(Declarations!$H$16-Declarations!$C$16)*EXP(-Declarations!$D$16*$B53)+IF(Declarations!$E$16=0,0,Declarations!$E$16*($B53/Declarations!$F$16)*EXP(1-$B53/Declarations!$F$16))+Declarations!$G$16*IF($B53&gt;=Sale_t,1,0)</f>
        <v>71.6549738324788</v>
      </c>
      <c r="F53" s="17" t="n">
        <f aca="false">Declarations!$C$17+(Declarations!$H$17-Declarations!$C$17)*EXP(-Declarations!$D$17*$B53)+IF(Declarations!$E$17=0,0,Declarations!$E$17*($B53/Declarations!$F$17)*EXP(1-$B53/Declarations!$F$17))+Declarations!$G$17*IF($B53&gt;=Sale_t,1,0)</f>
        <v>58.1500132342694</v>
      </c>
      <c r="G53" s="17" t="n">
        <f aca="false">Declarations!$C$18+(Declarations!$H$18-Declarations!$C$18)*EXP(-Declarations!$D$18*$B53)+IF(Declarations!$E$18=0,0,Declarations!$E$18*($B53/Declarations!$F$18)*EXP(1-$B53/Declarations!$F$18))+Declarations!$G$18*IF($B53&gt;=Sale_t,1,0)</f>
        <v>120.795223152351</v>
      </c>
      <c r="H53" s="17" t="n">
        <f aca="false">Declarations!$C$19+(Declarations!$H$19-Declarations!$C$19)*EXP(-Declarations!$D$19*$B53)+IF(Declarations!$E$19=0,0,Declarations!$E$19*($B53/Declarations!$F$19)*EXP(1-$B53/Declarations!$F$19))+Declarations!$G$19*IF($B53&gt;=Sale_t,1,0)</f>
        <v>39.1036383235143</v>
      </c>
      <c r="I53" s="17" t="n">
        <f aca="false">Declarations!$C$20+(Declarations!$H$20-Declarations!$C$20)*EXP(-Declarations!$D$20*$B53)+IF(Declarations!$E$20=0,0,Declarations!$E$20*($B53/Declarations!$F$20)*EXP(1-$B53/Declarations!$F$20))+Declarations!$G$20*IF($B53&gt;=Sale_t,1,0)</f>
        <v>73.5041033353352</v>
      </c>
      <c r="J53" s="17" t="n">
        <f aca="false">Declarations!$C$21+(Declarations!$H$21-Declarations!$C$21)*EXP(-Declarations!$D$21*$B53)+IF(Declarations!$E$21=0,0,Declarations!$E$21*($B53/Declarations!$F$21)*EXP(1-$B53/Declarations!$F$21))+Declarations!$G$21*IF($B53&gt;=Sale_t,1,0)</f>
        <v>49.9727757115329</v>
      </c>
      <c r="K53" s="17" t="n">
        <f aca="false">Declarations!$C$22+(Declarations!$H$22-Declarations!$C$22)*EXP(-Declarations!$D$22*$B53)+IF(Declarations!$E$22=0,0,Declarations!$E$22*($B53/Declarations!$F$22)*EXP(1-$B53/Declarations!$F$22))+Declarations!$G$22*IF($B53&gt;=Sale_t,1,0)</f>
        <v>105.00820667067</v>
      </c>
      <c r="L53" s="17" t="n">
        <f aca="false">Declarations!$C$23+(Declarations!$H$23-Declarations!$C$23)*EXP(-Declarations!$D$23*$B53)+IF(Declarations!$E$23=0,0,Declarations!$E$23*($B53/Declarations!$F$23)*EXP(1-$B53/Declarations!$F$23))+Declarations!$G$23*IF($B53&gt;=Sale_t,1,0)</f>
        <v>36.5946317129378</v>
      </c>
      <c r="M53" s="17" t="n">
        <f aca="false">Declarations!$C$24+(Declarations!$H$24-Declarations!$C$24)*EXP(-Declarations!$D$24*$B53)+IF(Declarations!$E$24=0,0,Declarations!$E$24*($B53/Declarations!$F$24)*EXP(1-$B53/Declarations!$F$24))+Declarations!$G$24*IF($B53&gt;=Sale_t,1,0)</f>
        <v>78.2742563736847</v>
      </c>
      <c r="N53" s="17" t="n">
        <f aca="false">Declarations!$C$25+(Declarations!$H$25-Declarations!$C$25)*EXP(-Declarations!$D$25*$B53)+IF(Declarations!$E$25=0,0,Declarations!$E$25*($B53/Declarations!$F$25)*EXP(1-$B53/Declarations!$F$25))+Declarations!$G$25*IF($B53&gt;=Sale_t,1,0)</f>
        <v>66.0964173642634</v>
      </c>
      <c r="O53" s="17" t="n">
        <f aca="false">W_L*S_L*C53+W_T*S_T*D53+W_E*S_E*E53+W_R*S_R*F53</f>
        <v>43.9612078664758</v>
      </c>
      <c r="P53" s="17" t="n">
        <f aca="false">W_L*S_L*G53+W_T*S_T*H53+W_E*S_E*I53+W_R*S_R*J53</f>
        <v>45.857547274917</v>
      </c>
      <c r="Q53" s="17" t="n">
        <f aca="false">W_L*S_L*K53+W_T*S_T*L53+W_E*S_E*M53+W_R*S_R*N53</f>
        <v>38.4451693482574</v>
      </c>
      <c r="R53" s="16" t="n">
        <f aca="false">IF(O53&lt;Score_today,1,0)</f>
        <v>0</v>
      </c>
      <c r="S53" s="16" t="n">
        <f aca="false">IF(O53&gt;Q53,1,0)</f>
        <v>1</v>
      </c>
      <c r="T53" s="16" t="n">
        <f aca="false">IF(O53&gt;P53,1,0)</f>
        <v>0</v>
      </c>
      <c r="U53" s="16" t="n">
        <f aca="false">1+IF(P53&gt;O53,1,0)+IF(Q53&gt;O53,1,0)</f>
        <v>2</v>
      </c>
      <c r="V53" s="17" t="n">
        <f aca="false">ABS(P53-Q53)</f>
        <v>7.4123779266596</v>
      </c>
    </row>
    <row r="54" customFormat="false" ht="15" hidden="false" customHeight="false" outlineLevel="0" collapsed="false">
      <c r="A54" s="16" t="n">
        <v>49</v>
      </c>
      <c r="B54" s="17" t="n">
        <f aca="false">A54/12</f>
        <v>4.08333333333333</v>
      </c>
      <c r="C54" s="17" t="n">
        <f aca="false">Declarations!$C$14+(Declarations!$H$14-Declarations!$C$14)*EXP(-Declarations!$D$14*$B54)+IF(Declarations!$E$14=0,0,Declarations!$E$14*($B54/Declarations!$F$14)*EXP(1-$B54/Declarations!$F$14))+Declarations!$G$14*IF($B54&gt;=Sale_t,1,0)</f>
        <v>88.9537211897241</v>
      </c>
      <c r="D54" s="17" t="n">
        <f aca="false">Declarations!$C$15+(Declarations!$H$15-Declarations!$C$15)*EXP(-Declarations!$D$15*$B54)+IF(Declarations!$E$15=0,0,Declarations!$E$15*($B54/Declarations!$F$15)*EXP(1-$B54/Declarations!$F$15))+Declarations!$G$15*IF($B54&gt;=Sale_t,1,0)</f>
        <v>74.0839457448436</v>
      </c>
      <c r="E54" s="17" t="n">
        <f aca="false">Declarations!$C$16+(Declarations!$H$16-Declarations!$C$16)*EXP(-Declarations!$D$16*$B54)+IF(Declarations!$E$16=0,0,Declarations!$E$16*($B54/Declarations!$F$16)*EXP(1-$B54/Declarations!$F$16))+Declarations!$G$16*IF($B54&gt;=Sale_t,1,0)</f>
        <v>71.8437446476006</v>
      </c>
      <c r="F54" s="17" t="n">
        <f aca="false">Declarations!$C$17+(Declarations!$H$17-Declarations!$C$17)*EXP(-Declarations!$D$17*$B54)+IF(Declarations!$E$17=0,0,Declarations!$E$17*($B54/Declarations!$F$17)*EXP(1-$B54/Declarations!$F$17))+Declarations!$G$17*IF($B54&gt;=Sale_t,1,0)</f>
        <v>57.8483227424948</v>
      </c>
      <c r="G54" s="17" t="n">
        <f aca="false">Declarations!$C$18+(Declarations!$H$18-Declarations!$C$18)*EXP(-Declarations!$D$18*$B54)+IF(Declarations!$E$18=0,0,Declarations!$E$18*($B54/Declarations!$F$18)*EXP(1-$B54/Declarations!$F$18))+Declarations!$G$18*IF($B54&gt;=Sale_t,1,0)</f>
        <v>120.824969198706</v>
      </c>
      <c r="H54" s="17" t="n">
        <f aca="false">Declarations!$C$19+(Declarations!$H$19-Declarations!$C$19)*EXP(-Declarations!$D$19*$B54)+IF(Declarations!$E$19=0,0,Declarations!$E$19*($B54/Declarations!$F$19)*EXP(1-$B54/Declarations!$F$19))+Declarations!$G$19*IF($B54&gt;=Sale_t,1,0)</f>
        <v>39.0808837086842</v>
      </c>
      <c r="I54" s="17" t="n">
        <f aca="false">Declarations!$C$20+(Declarations!$H$20-Declarations!$C$20)*EXP(-Declarations!$D$20*$B54)+IF(Declarations!$E$20=0,0,Declarations!$E$20*($B54/Declarations!$F$20)*EXP(1-$B54/Declarations!$F$20))+Declarations!$G$20*IF($B54&gt;=Sale_t,1,0)</f>
        <v>73.5223551008285</v>
      </c>
      <c r="J54" s="17" t="n">
        <f aca="false">Declarations!$C$21+(Declarations!$H$21-Declarations!$C$21)*EXP(-Declarations!$D$21*$B54)+IF(Declarations!$E$21=0,0,Declarations!$E$21*($B54/Declarations!$F$21)*EXP(1-$B54/Declarations!$F$21))+Declarations!$G$21*IF($B54&gt;=Sale_t,1,0)</f>
        <v>49.9160674356967</v>
      </c>
      <c r="K54" s="17" t="n">
        <f aca="false">Declarations!$C$22+(Declarations!$H$22-Declarations!$C$22)*EXP(-Declarations!$D$22*$B54)+IF(Declarations!$E$22=0,0,Declarations!$E$22*($B54/Declarations!$F$22)*EXP(1-$B54/Declarations!$F$22))+Declarations!$G$22*IF($B54&gt;=Sale_t,1,0)</f>
        <v>105.044710201657</v>
      </c>
      <c r="L54" s="17" t="n">
        <f aca="false">Declarations!$C$23+(Declarations!$H$23-Declarations!$C$23)*EXP(-Declarations!$D$23*$B54)+IF(Declarations!$E$23=0,0,Declarations!$E$23*($B54/Declarations!$F$23)*EXP(1-$B54/Declarations!$F$23))+Declarations!$G$23*IF($B54&gt;=Sale_t,1,0)</f>
        <v>36.5352176766762</v>
      </c>
      <c r="M54" s="17" t="n">
        <f aca="false">Declarations!$C$24+(Declarations!$H$24-Declarations!$C$24)*EXP(-Declarations!$D$24*$B54)+IF(Declarations!$E$24=0,0,Declarations!$E$24*($B54/Declarations!$F$24)*EXP(1-$B54/Declarations!$F$24))+Declarations!$G$24*IF($B54&gt;=Sale_t,1,0)</f>
        <v>78.309651308005</v>
      </c>
      <c r="N54" s="17" t="n">
        <f aca="false">Declarations!$C$25+(Declarations!$H$25-Declarations!$C$25)*EXP(-Declarations!$D$25*$B54)+IF(Declarations!$E$25=0,0,Declarations!$E$25*($B54/Declarations!$F$25)*EXP(1-$B54/Declarations!$F$25))+Declarations!$G$25*IF($B54&gt;=Sale_t,1,0)</f>
        <v>66.1187268990294</v>
      </c>
      <c r="O54" s="17" t="n">
        <f aca="false">W_L*S_L*C54+W_T*S_T*D54+W_E*S_E*E54+W_R*S_R*F54</f>
        <v>44.2582722099184</v>
      </c>
      <c r="P54" s="17" t="n">
        <f aca="false">W_L*S_L*G54+W_T*S_T*H54+W_E*S_E*I54+W_R*S_R*J54</f>
        <v>45.8780351431305</v>
      </c>
      <c r="Q54" s="17" t="n">
        <f aca="false">W_L*S_L*K54+W_T*S_T*L54+W_E*S_E*M54+W_R*S_R*N54</f>
        <v>38.4427130718272</v>
      </c>
      <c r="R54" s="16" t="n">
        <f aca="false">IF(O54&lt;Score_today,1,0)</f>
        <v>0</v>
      </c>
      <c r="S54" s="16" t="n">
        <f aca="false">IF(O54&gt;Q54,1,0)</f>
        <v>1</v>
      </c>
      <c r="T54" s="16" t="n">
        <f aca="false">IF(O54&gt;P54,1,0)</f>
        <v>0</v>
      </c>
      <c r="U54" s="16" t="n">
        <f aca="false">1+IF(P54&gt;O54,1,0)+IF(Q54&gt;O54,1,0)</f>
        <v>2</v>
      </c>
      <c r="V54" s="17" t="n">
        <f aca="false">ABS(P54-Q54)</f>
        <v>7.43532207130328</v>
      </c>
    </row>
    <row r="55" customFormat="false" ht="15" hidden="false" customHeight="false" outlineLevel="0" collapsed="false">
      <c r="A55" s="16" t="n">
        <v>50</v>
      </c>
      <c r="B55" s="17" t="n">
        <f aca="false">A55/12</f>
        <v>4.16666666666667</v>
      </c>
      <c r="C55" s="17" t="n">
        <f aca="false">Declarations!$C$14+(Declarations!$H$14-Declarations!$C$14)*EXP(-Declarations!$D$14*$B55)+IF(Declarations!$E$14=0,0,Declarations!$E$14*($B55/Declarations!$F$14)*EXP(1-$B55/Declarations!$F$14))+Declarations!$G$14*IF($B55&gt;=Sale_t,1,0)</f>
        <v>89.4646996404325</v>
      </c>
      <c r="D55" s="17" t="n">
        <f aca="false">Declarations!$C$15+(Declarations!$H$15-Declarations!$C$15)*EXP(-Declarations!$D$15*$B55)+IF(Declarations!$E$15=0,0,Declarations!$E$15*($B55/Declarations!$F$15)*EXP(1-$B55/Declarations!$F$15))+Declarations!$G$15*IF($B55&gt;=Sale_t,1,0)</f>
        <v>74.2593804754729</v>
      </c>
      <c r="E55" s="17" t="n">
        <f aca="false">Declarations!$C$16+(Declarations!$H$16-Declarations!$C$16)*EXP(-Declarations!$D$16*$B55)+IF(Declarations!$E$16=0,0,Declarations!$E$16*($B55/Declarations!$F$16)*EXP(1-$B55/Declarations!$F$16))+Declarations!$G$16*IF($B55&gt;=Sale_t,1,0)</f>
        <v>72.0275802861836</v>
      </c>
      <c r="F55" s="17" t="n">
        <f aca="false">Declarations!$C$17+(Declarations!$H$17-Declarations!$C$17)*EXP(-Declarations!$D$17*$B55)+IF(Declarations!$E$17=0,0,Declarations!$E$17*($B55/Declarations!$F$17)*EXP(1-$B55/Declarations!$F$17))+Declarations!$G$17*IF($B55&gt;=Sale_t,1,0)</f>
        <v>57.5580197078313</v>
      </c>
      <c r="G55" s="17" t="n">
        <f aca="false">Declarations!$C$18+(Declarations!$H$18-Declarations!$C$18)*EXP(-Declarations!$D$18*$B55)+IF(Declarations!$E$18=0,0,Declarations!$E$18*($B55/Declarations!$F$18)*EXP(1-$B55/Declarations!$F$18))+Declarations!$G$18*IF($B55&gt;=Sale_t,1,0)</f>
        <v>120.853980812559</v>
      </c>
      <c r="H55" s="17" t="n">
        <f aca="false">Declarations!$C$19+(Declarations!$H$19-Declarations!$C$19)*EXP(-Declarations!$D$19*$B55)+IF(Declarations!$E$19=0,0,Declarations!$E$19*($B55/Declarations!$F$19)*EXP(1-$B55/Declarations!$F$19))+Declarations!$G$19*IF($B55&gt;=Sale_t,1,0)</f>
        <v>39.0585982443766</v>
      </c>
      <c r="I55" s="17" t="n">
        <f aca="false">Declarations!$C$20+(Declarations!$H$20-Declarations!$C$20)*EXP(-Declarations!$D$20*$B55)+IF(Declarations!$E$20=0,0,Declarations!$E$20*($B55/Declarations!$F$20)*EXP(1-$B55/Declarations!$F$20))+Declarations!$G$20*IF($B55&gt;=Sale_t,1,0)</f>
        <v>73.5399350994652</v>
      </c>
      <c r="J55" s="17" t="n">
        <f aca="false">Declarations!$C$21+(Declarations!$H$21-Declarations!$C$21)*EXP(-Declarations!$D$21*$B55)+IF(Declarations!$E$21=0,0,Declarations!$E$21*($B55/Declarations!$F$21)*EXP(1-$B55/Declarations!$F$21))+Declarations!$G$21*IF($B55&gt;=Sale_t,1,0)</f>
        <v>49.8609892633383</v>
      </c>
      <c r="K55" s="17" t="n">
        <f aca="false">Declarations!$C$22+(Declarations!$H$22-Declarations!$C$22)*EXP(-Declarations!$D$22*$B55)+IF(Declarations!$E$22=0,0,Declarations!$E$22*($B55/Declarations!$F$22)*EXP(1-$B55/Declarations!$F$22))+Declarations!$G$22*IF($B55&gt;=Sale_t,1,0)</f>
        <v>105.07987019893</v>
      </c>
      <c r="L55" s="17" t="n">
        <f aca="false">Declarations!$C$23+(Declarations!$H$23-Declarations!$C$23)*EXP(-Declarations!$D$23*$B55)+IF(Declarations!$E$23=0,0,Declarations!$E$23*($B55/Declarations!$F$23)*EXP(1-$B55/Declarations!$F$23))+Declarations!$G$23*IF($B55&gt;=Sale_t,1,0)</f>
        <v>36.4767856680566</v>
      </c>
      <c r="M55" s="17" t="n">
        <f aca="false">Declarations!$C$24+(Declarations!$H$24-Declarations!$C$24)*EXP(-Declarations!$D$24*$B55)+IF(Declarations!$E$24=0,0,Declarations!$E$24*($B55/Declarations!$F$24)*EXP(1-$B55/Declarations!$F$24))+Declarations!$G$24*IF($B55&gt;=Sale_t,1,0)</f>
        <v>78.3433200110088</v>
      </c>
      <c r="N55" s="17" t="n">
        <f aca="false">Declarations!$C$25+(Declarations!$H$25-Declarations!$C$25)*EXP(-Declarations!$D$25*$B55)+IF(Declarations!$E$25=0,0,Declarations!$E$25*($B55/Declarations!$F$25)*EXP(1-$B55/Declarations!$F$25))+Declarations!$G$25*IF($B55&gt;=Sale_t,1,0)</f>
        <v>66.1404856094194</v>
      </c>
      <c r="O55" s="17" t="n">
        <f aca="false">W_L*S_L*C55+W_T*S_T*D55+W_E*S_E*E55+W_R*S_R*F55</f>
        <v>44.5484101735645</v>
      </c>
      <c r="P55" s="17" t="n">
        <f aca="false">W_L*S_L*G55+W_T*S_T*H55+W_E*S_E*I55+W_R*S_R*J55</f>
        <v>45.8978812232657</v>
      </c>
      <c r="Q55" s="17" t="n">
        <f aca="false">W_L*S_L*K55+W_T*S_T*L55+W_E*S_E*M55+W_R*S_R*N55</f>
        <v>38.4398725671441</v>
      </c>
      <c r="R55" s="16" t="n">
        <f aca="false">IF(O55&lt;Score_today,1,0)</f>
        <v>0</v>
      </c>
      <c r="S55" s="16" t="n">
        <f aca="false">IF(O55&gt;Q55,1,0)</f>
        <v>1</v>
      </c>
      <c r="T55" s="16" t="n">
        <f aca="false">IF(O55&gt;P55,1,0)</f>
        <v>0</v>
      </c>
      <c r="U55" s="16" t="n">
        <f aca="false">1+IF(P55&gt;O55,1,0)+IF(Q55&gt;O55,1,0)</f>
        <v>2</v>
      </c>
      <c r="V55" s="17" t="n">
        <f aca="false">ABS(P55-Q55)</f>
        <v>7.45800865612155</v>
      </c>
    </row>
    <row r="56" customFormat="false" ht="15" hidden="false" customHeight="false" outlineLevel="0" collapsed="false">
      <c r="A56" s="16" t="n">
        <v>51</v>
      </c>
      <c r="B56" s="17" t="n">
        <f aca="false">A56/12</f>
        <v>4.25</v>
      </c>
      <c r="C56" s="17" t="n">
        <f aca="false">Declarations!$C$14+(Declarations!$H$14-Declarations!$C$14)*EXP(-Declarations!$D$14*$B56)+IF(Declarations!$E$14=0,0,Declarations!$E$14*($B56/Declarations!$F$14)*EXP(1-$B56/Declarations!$F$14))+Declarations!$G$14*IF($B56&gt;=Sale_t,1,0)</f>
        <v>89.9719366875169</v>
      </c>
      <c r="D56" s="17" t="n">
        <f aca="false">Declarations!$C$15+(Declarations!$H$15-Declarations!$C$15)*EXP(-Declarations!$D$15*$B56)+IF(Declarations!$E$15=0,0,Declarations!$E$15*($B56/Declarations!$F$15)*EXP(1-$B56/Declarations!$F$15))+Declarations!$G$15*IF($B56&gt;=Sale_t,1,0)</f>
        <v>74.4269559317649</v>
      </c>
      <c r="E56" s="17" t="n">
        <f aca="false">Declarations!$C$16+(Declarations!$H$16-Declarations!$C$16)*EXP(-Declarations!$D$16*$B56)+IF(Declarations!$E$16=0,0,Declarations!$E$16*($B56/Declarations!$F$16)*EXP(1-$B56/Declarations!$F$16))+Declarations!$G$16*IF($B56&gt;=Sale_t,1,0)</f>
        <v>72.2064686653675</v>
      </c>
      <c r="F56" s="17" t="n">
        <f aca="false">Declarations!$C$17+(Declarations!$H$17-Declarations!$C$17)*EXP(-Declarations!$D$17*$B56)+IF(Declarations!$E$17=0,0,Declarations!$E$17*($B56/Declarations!$F$17)*EXP(1-$B56/Declarations!$F$17))+Declarations!$G$17*IF($B56&gt;=Sale_t,1,0)</f>
        <v>57.2788327988341</v>
      </c>
      <c r="G56" s="17" t="n">
        <f aca="false">Declarations!$C$18+(Declarations!$H$18-Declarations!$C$18)*EXP(-Declarations!$D$18*$B56)+IF(Declarations!$E$18=0,0,Declarations!$E$18*($B56/Declarations!$F$18)*EXP(1-$B56/Declarations!$F$18))+Declarations!$G$18*IF($B56&gt;=Sale_t,1,0)</f>
        <v>120.882276127114</v>
      </c>
      <c r="H56" s="17" t="n">
        <f aca="false">Declarations!$C$19+(Declarations!$H$19-Declarations!$C$19)*EXP(-Declarations!$D$19*$B56)+IF(Declarations!$E$19=0,0,Declarations!$E$19*($B56/Declarations!$F$19)*EXP(1-$B56/Declarations!$F$19))+Declarations!$G$19*IF($B56&gt;=Sale_t,1,0)</f>
        <v>39.0367722577309</v>
      </c>
      <c r="I56" s="17" t="n">
        <f aca="false">Declarations!$C$20+(Declarations!$H$20-Declarations!$C$20)*EXP(-Declarations!$D$20*$B56)+IF(Declarations!$E$20=0,0,Declarations!$E$20*($B56/Declarations!$F$20)*EXP(1-$B56/Declarations!$F$20))+Declarations!$G$20*IF($B56&gt;=Sale_t,1,0)</f>
        <v>73.5568680560156</v>
      </c>
      <c r="J56" s="17" t="n">
        <f aca="false">Declarations!$C$21+(Declarations!$H$21-Declarations!$C$21)*EXP(-Declarations!$D$21*$B56)+IF(Declarations!$E$21=0,0,Declarations!$E$21*($B56/Declarations!$F$21)*EXP(1-$B56/Declarations!$F$21))+Declarations!$G$21*IF($B56&gt;=Sale_t,1,0)</f>
        <v>49.8074943364409</v>
      </c>
      <c r="K56" s="17" t="n">
        <f aca="false">Declarations!$C$22+(Declarations!$H$22-Declarations!$C$22)*EXP(-Declarations!$D$22*$B56)+IF(Declarations!$E$22=0,0,Declarations!$E$22*($B56/Declarations!$F$22)*EXP(1-$B56/Declarations!$F$22))+Declarations!$G$22*IF($B56&gt;=Sale_t,1,0)</f>
        <v>105.113736112031</v>
      </c>
      <c r="L56" s="17" t="n">
        <f aca="false">Declarations!$C$23+(Declarations!$H$23-Declarations!$C$23)*EXP(-Declarations!$D$23*$B56)+IF(Declarations!$E$23=0,0,Declarations!$E$23*($B56/Declarations!$F$23)*EXP(1-$B56/Declarations!$F$23))+Declarations!$G$23*IF($B56&gt;=Sale_t,1,0)</f>
        <v>36.4193194555898</v>
      </c>
      <c r="M56" s="17" t="n">
        <f aca="false">Declarations!$C$24+(Declarations!$H$24-Declarations!$C$24)*EXP(-Declarations!$D$24*$B56)+IF(Declarations!$E$24=0,0,Declarations!$E$24*($B56/Declarations!$F$24)*EXP(1-$B56/Declarations!$F$24))+Declarations!$G$24*IF($B56&gt;=Sale_t,1,0)</f>
        <v>78.3753466719908</v>
      </c>
      <c r="N56" s="17" t="n">
        <f aca="false">Declarations!$C$25+(Declarations!$H$25-Declarations!$C$25)*EXP(-Declarations!$D$25*$B56)+IF(Declarations!$E$25=0,0,Declarations!$E$25*($B56/Declarations!$F$25)*EXP(1-$B56/Declarations!$F$25))+Declarations!$G$25*IF($B56&gt;=Sale_t,1,0)</f>
        <v>66.1617070953358</v>
      </c>
      <c r="O56" s="17" t="n">
        <f aca="false">W_L*S_L*C56+W_T*S_T*D56+W_E*S_E*E56+W_R*S_R*F56</f>
        <v>44.8316321214538</v>
      </c>
      <c r="P56" s="17" t="n">
        <f aca="false">W_L*S_L*G56+W_T*S_T*H56+W_E*S_E*I56+W_R*S_R*J56</f>
        <v>45.917105526105</v>
      </c>
      <c r="Q56" s="17" t="n">
        <f aca="false">W_L*S_L*K56+W_T*S_T*L56+W_E*S_E*M56+W_R*S_R*N56</f>
        <v>38.436673786069</v>
      </c>
      <c r="R56" s="16" t="n">
        <f aca="false">IF(O56&lt;Score_today,1,0)</f>
        <v>0</v>
      </c>
      <c r="S56" s="16" t="n">
        <f aca="false">IF(O56&gt;Q56,1,0)</f>
        <v>1</v>
      </c>
      <c r="T56" s="16" t="n">
        <f aca="false">IF(O56&gt;P56,1,0)</f>
        <v>0</v>
      </c>
      <c r="U56" s="16" t="n">
        <f aca="false">1+IF(P56&gt;O56,1,0)+IF(Q56&gt;O56,1,0)</f>
        <v>2</v>
      </c>
      <c r="V56" s="17" t="n">
        <f aca="false">ABS(P56-Q56)</f>
        <v>7.480431740036</v>
      </c>
    </row>
    <row r="57" customFormat="false" ht="15" hidden="false" customHeight="false" outlineLevel="0" collapsed="false">
      <c r="A57" s="16" t="n">
        <v>52</v>
      </c>
      <c r="B57" s="17" t="n">
        <f aca="false">A57/12</f>
        <v>4.33333333333333</v>
      </c>
      <c r="C57" s="17" t="n">
        <f aca="false">Declarations!$C$14+(Declarations!$H$14-Declarations!$C$14)*EXP(-Declarations!$D$14*$B57)+IF(Declarations!$E$14=0,0,Declarations!$E$14*($B57/Declarations!$F$14)*EXP(1-$B57/Declarations!$F$14))+Declarations!$G$14*IF($B57&gt;=Sale_t,1,0)</f>
        <v>90.4748986999362</v>
      </c>
      <c r="D57" s="17" t="n">
        <f aca="false">Declarations!$C$15+(Declarations!$H$15-Declarations!$C$15)*EXP(-Declarations!$D$15*$B57)+IF(Declarations!$E$15=0,0,Declarations!$E$15*($B57/Declarations!$F$15)*EXP(1-$B57/Declarations!$F$15))+Declarations!$G$15*IF($B57&gt;=Sale_t,1,0)</f>
        <v>74.5870242001787</v>
      </c>
      <c r="E57" s="17" t="n">
        <f aca="false">Declarations!$C$16+(Declarations!$H$16-Declarations!$C$16)*EXP(-Declarations!$D$16*$B57)+IF(Declarations!$E$16=0,0,Declarations!$E$16*($B57/Declarations!$F$16)*EXP(1-$B57/Declarations!$F$16))+Declarations!$G$16*IF($B57&gt;=Sale_t,1,0)</f>
        <v>72.380413184091</v>
      </c>
      <c r="F57" s="17" t="n">
        <f aca="false">Declarations!$C$17+(Declarations!$H$17-Declarations!$C$17)*EXP(-Declarations!$D$17*$B57)+IF(Declarations!$E$17=0,0,Declarations!$E$17*($B57/Declarations!$F$17)*EXP(1-$B57/Declarations!$F$17))+Declarations!$G$17*IF($B57&gt;=Sale_t,1,0)</f>
        <v>57.0104791571291</v>
      </c>
      <c r="G57" s="17" t="n">
        <f aca="false">Declarations!$C$18+(Declarations!$H$18-Declarations!$C$18)*EXP(-Declarations!$D$18*$B57)+IF(Declarations!$E$18=0,0,Declarations!$E$18*($B57/Declarations!$F$18)*EXP(1-$B57/Declarations!$F$18))+Declarations!$G$18*IF($B57&gt;=Sale_t,1,0)</f>
        <v>120.909872827864</v>
      </c>
      <c r="H57" s="17" t="n">
        <f aca="false">Declarations!$C$19+(Declarations!$H$19-Declarations!$C$19)*EXP(-Declarations!$D$19*$B57)+IF(Declarations!$E$19=0,0,Declarations!$E$19*($B57/Declarations!$F$19)*EXP(1-$B57/Declarations!$F$19))+Declarations!$G$19*IF($B57&gt;=Sale_t,1,0)</f>
        <v>39.0153962753202</v>
      </c>
      <c r="I57" s="17" t="n">
        <f aca="false">Declarations!$C$20+(Declarations!$H$20-Declarations!$C$20)*EXP(-Declarations!$D$20*$B57)+IF(Declarations!$E$20=0,0,Declarations!$E$20*($B57/Declarations!$F$20)*EXP(1-$B57/Declarations!$F$20))+Declarations!$G$20*IF($B57&gt;=Sale_t,1,0)</f>
        <v>73.5731777852405</v>
      </c>
      <c r="J57" s="17" t="n">
        <f aca="false">Declarations!$C$21+(Declarations!$H$21-Declarations!$C$21)*EXP(-Declarations!$D$21*$B57)+IF(Declarations!$E$21=0,0,Declarations!$E$21*($B57/Declarations!$F$21)*EXP(1-$B57/Declarations!$F$21))+Declarations!$G$21*IF($B57&gt;=Sale_t,1,0)</f>
        <v>49.755537143941</v>
      </c>
      <c r="K57" s="17" t="n">
        <f aca="false">Declarations!$C$22+(Declarations!$H$22-Declarations!$C$22)*EXP(-Declarations!$D$22*$B57)+IF(Declarations!$E$22=0,0,Declarations!$E$22*($B57/Declarations!$F$22)*EXP(1-$B57/Declarations!$F$22))+Declarations!$G$22*IF($B57&gt;=Sale_t,1,0)</f>
        <v>105.146355570481</v>
      </c>
      <c r="L57" s="17" t="n">
        <f aca="false">Declarations!$C$23+(Declarations!$H$23-Declarations!$C$23)*EXP(-Declarations!$D$23*$B57)+IF(Declarations!$E$23=0,0,Declarations!$E$23*($B57/Declarations!$F$23)*EXP(1-$B57/Declarations!$F$23))+Declarations!$G$23*IF($B57&gt;=Sale_t,1,0)</f>
        <v>36.3628030760695</v>
      </c>
      <c r="M57" s="17" t="n">
        <f aca="false">Declarations!$C$24+(Declarations!$H$24-Declarations!$C$24)*EXP(-Declarations!$D$24*$B57)+IF(Declarations!$E$24=0,0,Declarations!$E$24*($B57/Declarations!$F$24)*EXP(1-$B57/Declarations!$F$24))+Declarations!$G$24*IF($B57&gt;=Sale_t,1,0)</f>
        <v>78.4058113742853</v>
      </c>
      <c r="N57" s="17" t="n">
        <f aca="false">Declarations!$C$25+(Declarations!$H$25-Declarations!$C$25)*EXP(-Declarations!$D$25*$B57)+IF(Declarations!$E$25=0,0,Declarations!$E$25*($B57/Declarations!$F$25)*EXP(1-$B57/Declarations!$F$25))+Declarations!$G$25*IF($B57&gt;=Sale_t,1,0)</f>
        <v>66.182404620898</v>
      </c>
      <c r="O57" s="17" t="n">
        <f aca="false">W_L*S_L*C57+W_T*S_T*D57+W_E*S_E*E57+W_R*S_R*F57</f>
        <v>45.1079642317692</v>
      </c>
      <c r="P57" s="17" t="n">
        <f aca="false">W_L*S_L*G57+W_T*S_T*H57+W_E*S_E*I57+W_R*S_R*J57</f>
        <v>45.9357274361209</v>
      </c>
      <c r="Q57" s="17" t="n">
        <f aca="false">W_L*S_L*K57+W_T*S_T*L57+W_E*S_E*M57+W_R*S_R*N57</f>
        <v>38.4331413499844</v>
      </c>
      <c r="R57" s="16" t="n">
        <f aca="false">IF(O57&lt;Score_today,1,0)</f>
        <v>0</v>
      </c>
      <c r="S57" s="16" t="n">
        <f aca="false">IF(O57&gt;Q57,1,0)</f>
        <v>1</v>
      </c>
      <c r="T57" s="16" t="n">
        <f aca="false">IF(O57&gt;P57,1,0)</f>
        <v>0</v>
      </c>
      <c r="U57" s="16" t="n">
        <f aca="false">1+IF(P57&gt;O57,1,0)+IF(Q57&gt;O57,1,0)</f>
        <v>2</v>
      </c>
      <c r="V57" s="17" t="n">
        <f aca="false">ABS(P57-Q57)</f>
        <v>7.50258608613647</v>
      </c>
    </row>
    <row r="58" customFormat="false" ht="15" hidden="false" customHeight="false" outlineLevel="0" collapsed="false">
      <c r="A58" s="16" t="n">
        <v>53</v>
      </c>
      <c r="B58" s="17" t="n">
        <f aca="false">A58/12</f>
        <v>4.41666666666667</v>
      </c>
      <c r="C58" s="17" t="n">
        <f aca="false">Declarations!$C$14+(Declarations!$H$14-Declarations!$C$14)*EXP(-Declarations!$D$14*$B58)+IF(Declarations!$E$14=0,0,Declarations!$E$14*($B58/Declarations!$F$14)*EXP(1-$B58/Declarations!$F$14))+Declarations!$G$14*IF($B58&gt;=Sale_t,1,0)</f>
        <v>90.9731014878013</v>
      </c>
      <c r="D58" s="17" t="n">
        <f aca="false">Declarations!$C$15+(Declarations!$H$15-Declarations!$C$15)*EXP(-Declarations!$D$15*$B58)+IF(Declarations!$E$15=0,0,Declarations!$E$15*($B58/Declarations!$F$15)*EXP(1-$B58/Declarations!$F$15))+Declarations!$G$15*IF($B58&gt;=Sale_t,1,0)</f>
        <v>74.7399215941046</v>
      </c>
      <c r="E58" s="17" t="n">
        <f aca="false">Declarations!$C$16+(Declarations!$H$16-Declarations!$C$16)*EXP(-Declarations!$D$16*$B58)+IF(Declarations!$E$16=0,0,Declarations!$E$16*($B58/Declarations!$F$16)*EXP(1-$B58/Declarations!$F$16))+Declarations!$G$16*IF($B58&gt;=Sale_t,1,0)</f>
        <v>72.5494310947498</v>
      </c>
      <c r="F58" s="17" t="n">
        <f aca="false">Declarations!$C$17+(Declarations!$H$17-Declarations!$C$17)*EXP(-Declarations!$D$17*$B58)+IF(Declarations!$E$17=0,0,Declarations!$E$17*($B58/Declarations!$F$17)*EXP(1-$B58/Declarations!$F$17))+Declarations!$G$17*IF($B58&gt;=Sale_t,1,0)</f>
        <v>56.7526670564307</v>
      </c>
      <c r="G58" s="17" t="n">
        <f aca="false">Declarations!$C$18+(Declarations!$H$18-Declarations!$C$18)*EXP(-Declarations!$D$18*$B58)+IF(Declarations!$E$18=0,0,Declarations!$E$18*($B58/Declarations!$F$18)*EXP(1-$B58/Declarations!$F$18))+Declarations!$G$18*IF($B58&gt;=Sale_t,1,0)</f>
        <v>120.936788163644</v>
      </c>
      <c r="H58" s="17" t="n">
        <f aca="false">Declarations!$C$19+(Declarations!$H$19-Declarations!$C$19)*EXP(-Declarations!$D$19*$B58)+IF(Declarations!$E$19=0,0,Declarations!$E$19*($B58/Declarations!$F$19)*EXP(1-$B58/Declarations!$F$19))+Declarations!$G$19*IF($B58&gt;=Sale_t,1,0)</f>
        <v>38.9944610190387</v>
      </c>
      <c r="I58" s="17" t="n">
        <f aca="false">Declarations!$C$20+(Declarations!$H$20-Declarations!$C$20)*EXP(-Declarations!$D$20*$B58)+IF(Declarations!$E$20=0,0,Declarations!$E$20*($B58/Declarations!$F$20)*EXP(1-$B58/Declarations!$F$20))+Declarations!$G$20*IF($B58&gt;=Sale_t,1,0)</f>
        <v>73.5888872253844</v>
      </c>
      <c r="J58" s="17" t="n">
        <f aca="false">Declarations!$C$21+(Declarations!$H$21-Declarations!$C$21)*EXP(-Declarations!$D$21*$B58)+IF(Declarations!$E$21=0,0,Declarations!$E$21*($B58/Declarations!$F$21)*EXP(1-$B58/Declarations!$F$21))+Declarations!$G$21*IF($B58&gt;=Sale_t,1,0)</f>
        <v>49.7050734830103</v>
      </c>
      <c r="K58" s="17" t="n">
        <f aca="false">Declarations!$C$22+(Declarations!$H$22-Declarations!$C$22)*EXP(-Declarations!$D$22*$B58)+IF(Declarations!$E$22=0,0,Declarations!$E$22*($B58/Declarations!$F$22)*EXP(1-$B58/Declarations!$F$22))+Declarations!$G$22*IF($B58&gt;=Sale_t,1,0)</f>
        <v>105.177774450769</v>
      </c>
      <c r="L58" s="17" t="n">
        <f aca="false">Declarations!$C$23+(Declarations!$H$23-Declarations!$C$23)*EXP(-Declarations!$D$23*$B58)+IF(Declarations!$E$23=0,0,Declarations!$E$23*($B58/Declarations!$F$23)*EXP(1-$B58/Declarations!$F$23))+Declarations!$G$23*IF($B58&gt;=Sale_t,1,0)</f>
        <v>36.3072208301378</v>
      </c>
      <c r="M58" s="17" t="n">
        <f aca="false">Declarations!$C$24+(Declarations!$H$24-Declarations!$C$24)*EXP(-Declarations!$D$24*$B58)+IF(Declarations!$E$24=0,0,Declarations!$E$24*($B58/Declarations!$F$24)*EXP(1-$B58/Declarations!$F$24))+Declarations!$G$24*IF($B58&gt;=Sale_t,1,0)</f>
        <v>78.4347902955166</v>
      </c>
      <c r="N58" s="17" t="n">
        <f aca="false">Declarations!$C$25+(Declarations!$H$25-Declarations!$C$25)*EXP(-Declarations!$D$25*$B58)+IF(Declarations!$E$25=0,0,Declarations!$E$25*($B58/Declarations!$F$25)*EXP(1-$B58/Declarations!$F$25))+Declarations!$G$25*IF($B58&gt;=Sale_t,1,0)</f>
        <v>66.2025911227332</v>
      </c>
      <c r="O58" s="17" t="n">
        <f aca="false">W_L*S_L*C58+W_T*S_T*D58+W_E*S_E*E58+W_R*S_R*F58</f>
        <v>45.3774467800563</v>
      </c>
      <c r="P58" s="17" t="n">
        <f aca="false">W_L*S_L*G58+W_T*S_T*H58+W_E*S_E*I58+W_R*S_R*J58</f>
        <v>45.9537657312643</v>
      </c>
      <c r="Q58" s="17" t="n">
        <f aca="false">W_L*S_L*K58+W_T*S_T*L58+W_E*S_E*M58+W_R*S_R*N58</f>
        <v>38.4292986134225</v>
      </c>
      <c r="R58" s="16" t="n">
        <f aca="false">IF(O58&lt;Score_today,1,0)</f>
        <v>0</v>
      </c>
      <c r="S58" s="16" t="n">
        <f aca="false">IF(O58&gt;Q58,1,0)</f>
        <v>1</v>
      </c>
      <c r="T58" s="16" t="n">
        <f aca="false">IF(O58&gt;P58,1,0)</f>
        <v>0</v>
      </c>
      <c r="U58" s="16" t="n">
        <f aca="false">1+IF(P58&gt;O58,1,0)+IF(Q58&gt;O58,1,0)</f>
        <v>2</v>
      </c>
      <c r="V58" s="17" t="n">
        <f aca="false">ABS(P58-Q58)</f>
        <v>7.5244671178418</v>
      </c>
    </row>
    <row r="59" customFormat="false" ht="15" hidden="false" customHeight="false" outlineLevel="0" collapsed="false">
      <c r="A59" s="16" t="n">
        <v>54</v>
      </c>
      <c r="B59" s="17" t="n">
        <f aca="false">A59/12</f>
        <v>4.5</v>
      </c>
      <c r="C59" s="17" t="n">
        <f aca="false">Declarations!$C$14+(Declarations!$H$14-Declarations!$C$14)*EXP(-Declarations!$D$14*$B59)+IF(Declarations!$E$14=0,0,Declarations!$E$14*($B59/Declarations!$F$14)*EXP(1-$B59/Declarations!$F$14))+Declarations!$G$14*IF($B59&gt;=Sale_t,1,0)</f>
        <v>91.4661071656342</v>
      </c>
      <c r="D59" s="17" t="n">
        <f aca="false">Declarations!$C$15+(Declarations!$H$15-Declarations!$C$15)*EXP(-Declarations!$D$15*$B59)+IF(Declarations!$E$15=0,0,Declarations!$E$15*($B59/Declarations!$F$15)*EXP(1-$B59/Declarations!$F$15))+Declarations!$G$15*IF($B59&gt;=Sale_t,1,0)</f>
        <v>74.8859693604795</v>
      </c>
      <c r="E59" s="17" t="n">
        <f aca="false">Declarations!$C$16+(Declarations!$H$16-Declarations!$C$16)*EXP(-Declarations!$D$16*$B59)+IF(Declarations!$E$16=0,0,Declarations!$E$16*($B59/Declarations!$F$16)*EXP(1-$B59/Declarations!$F$16))+Declarations!$G$16*IF($B59&gt;=Sale_t,1,0)</f>
        <v>72.7135520052403</v>
      </c>
      <c r="F59" s="17" t="n">
        <f aca="false">Declarations!$C$17+(Declarations!$H$17-Declarations!$C$17)*EXP(-Declarations!$D$17*$B59)+IF(Declarations!$E$17=0,0,Declarations!$E$17*($B59/Declarations!$F$17)*EXP(1-$B59/Declarations!$F$17))+Declarations!$G$17*IF($B59&gt;=Sale_t,1,0)</f>
        <v>56.5050982602328</v>
      </c>
      <c r="G59" s="17" t="n">
        <f aca="false">Declarations!$C$18+(Declarations!$H$18-Declarations!$C$18)*EXP(-Declarations!$D$18*$B59)+IF(Declarations!$E$18=0,0,Declarations!$E$18*($B59/Declarations!$F$18)*EXP(1-$B59/Declarations!$F$18))+Declarations!$G$18*IF($B59&gt;=Sale_t,1,0)</f>
        <v>120.963038957416</v>
      </c>
      <c r="H59" s="17" t="n">
        <f aca="false">Declarations!$C$19+(Declarations!$H$19-Declarations!$C$19)*EXP(-Declarations!$D$19*$B59)+IF(Declarations!$E$19=0,0,Declarations!$E$19*($B59/Declarations!$F$19)*EXP(1-$B59/Declarations!$F$19))+Declarations!$G$19*IF($B59&gt;=Sale_t,1,0)</f>
        <v>38.9739574020751</v>
      </c>
      <c r="I59" s="17" t="n">
        <f aca="false">Declarations!$C$20+(Declarations!$H$20-Declarations!$C$20)*EXP(-Declarations!$D$20*$B59)+IF(Declarations!$E$20=0,0,Declarations!$E$20*($B59/Declarations!$F$20)*EXP(1-$B59/Declarations!$F$20))+Declarations!$G$20*IF($B59&gt;=Sale_t,1,0)</f>
        <v>73.6040184704365</v>
      </c>
      <c r="J59" s="17" t="n">
        <f aca="false">Declarations!$C$21+(Declarations!$H$21-Declarations!$C$21)*EXP(-Declarations!$D$21*$B59)+IF(Declarations!$E$21=0,0,Declarations!$E$21*($B59/Declarations!$F$21)*EXP(1-$B59/Declarations!$F$21))+Declarations!$G$21*IF($B59&gt;=Sale_t,1,0)</f>
        <v>49.6560604214492</v>
      </c>
      <c r="K59" s="17" t="n">
        <f aca="false">Declarations!$C$22+(Declarations!$H$22-Declarations!$C$22)*EXP(-Declarations!$D$22*$B59)+IF(Declarations!$E$22=0,0,Declarations!$E$22*($B59/Declarations!$F$22)*EXP(1-$B59/Declarations!$F$22))+Declarations!$G$22*IF($B59&gt;=Sale_t,1,0)</f>
        <v>105.208036940873</v>
      </c>
      <c r="L59" s="17" t="n">
        <f aca="false">Declarations!$C$23+(Declarations!$H$23-Declarations!$C$23)*EXP(-Declarations!$D$23*$B59)+IF(Declarations!$E$23=0,0,Declarations!$E$23*($B59/Declarations!$F$23)*EXP(1-$B59/Declarations!$F$23))+Declarations!$G$23*IF($B59&gt;=Sale_t,1,0)</f>
        <v>36.2525572779248</v>
      </c>
      <c r="M59" s="17" t="n">
        <f aca="false">Declarations!$C$24+(Declarations!$H$24-Declarations!$C$24)*EXP(-Declarations!$D$24*$B59)+IF(Declarations!$E$24=0,0,Declarations!$E$24*($B59/Declarations!$F$24)*EXP(1-$B59/Declarations!$F$24))+Declarations!$G$24*IF($B59&gt;=Sale_t,1,0)</f>
        <v>78.462355898082</v>
      </c>
      <c r="N59" s="17" t="n">
        <f aca="false">Declarations!$C$25+(Declarations!$H$25-Declarations!$C$25)*EXP(-Declarations!$D$25*$B59)+IF(Declarations!$E$25=0,0,Declarations!$E$25*($B59/Declarations!$F$25)*EXP(1-$B59/Declarations!$F$25))+Declarations!$G$25*IF($B59&gt;=Sale_t,1,0)</f>
        <v>66.2222792180623</v>
      </c>
      <c r="O59" s="17" t="n">
        <f aca="false">W_L*S_L*C59+W_T*S_T*D59+W_E*S_E*E59+W_R*S_R*F59</f>
        <v>45.6401325677803</v>
      </c>
      <c r="P59" s="17" t="n">
        <f aca="false">W_L*S_L*G59+W_T*S_T*H59+W_E*S_E*I59+W_R*S_R*J59</f>
        <v>45.9712386021197</v>
      </c>
      <c r="Q59" s="17" t="n">
        <f aca="false">W_L*S_L*K59+W_T*S_T*L59+W_E*S_E*M59+W_R*S_R*N59</f>
        <v>38.4251677247044</v>
      </c>
      <c r="R59" s="16" t="n">
        <f aca="false">IF(O59&lt;Score_today,1,0)</f>
        <v>0</v>
      </c>
      <c r="S59" s="16" t="n">
        <f aca="false">IF(O59&gt;Q59,1,0)</f>
        <v>1</v>
      </c>
      <c r="T59" s="16" t="n">
        <f aca="false">IF(O59&gt;P59,1,0)</f>
        <v>0</v>
      </c>
      <c r="U59" s="16" t="n">
        <f aca="false">1+IF(P59&gt;O59,1,0)+IF(Q59&gt;O59,1,0)</f>
        <v>2</v>
      </c>
      <c r="V59" s="17" t="n">
        <f aca="false">ABS(P59-Q59)</f>
        <v>7.54607087741533</v>
      </c>
    </row>
    <row r="60" customFormat="false" ht="15" hidden="false" customHeight="false" outlineLevel="0" collapsed="false">
      <c r="A60" s="16" t="n">
        <v>55</v>
      </c>
      <c r="B60" s="17" t="n">
        <f aca="false">A60/12</f>
        <v>4.58333333333333</v>
      </c>
      <c r="C60" s="17" t="n">
        <f aca="false">Declarations!$C$14+(Declarations!$H$14-Declarations!$C$14)*EXP(-Declarations!$D$14*$B60)+IF(Declarations!$E$14=0,0,Declarations!$E$14*($B60/Declarations!$F$14)*EXP(1-$B60/Declarations!$F$14))+Declarations!$G$14*IF($B60&gt;=Sale_t,1,0)</f>
        <v>91.9535211890218</v>
      </c>
      <c r="D60" s="17" t="n">
        <f aca="false">Declarations!$C$15+(Declarations!$H$15-Declarations!$C$15)*EXP(-Declarations!$D$15*$B60)+IF(Declarations!$E$15=0,0,Declarations!$E$15*($B60/Declarations!$F$15)*EXP(1-$B60/Declarations!$F$15))+Declarations!$G$15*IF($B60&gt;=Sale_t,1,0)</f>
        <v>75.0254743547467</v>
      </c>
      <c r="E60" s="17" t="n">
        <f aca="false">Declarations!$C$16+(Declarations!$H$16-Declarations!$C$16)*EXP(-Declarations!$D$16*$B60)+IF(Declarations!$E$16=0,0,Declarations!$E$16*($B60/Declarations!$F$16)*EXP(1-$B60/Declarations!$F$16))+Declarations!$G$16*IF($B60&gt;=Sale_t,1,0)</f>
        <v>72.8728165020682</v>
      </c>
      <c r="F60" s="17" t="n">
        <f aca="false">Declarations!$C$17+(Declarations!$H$17-Declarations!$C$17)*EXP(-Declarations!$D$17*$B60)+IF(Declarations!$E$17=0,0,Declarations!$E$17*($B60/Declarations!$F$17)*EXP(1-$B60/Declarations!$F$17))+Declarations!$G$17*IF($B60&gt;=Sale_t,1,0)</f>
        <v>56.2674701065162</v>
      </c>
      <c r="G60" s="17" t="n">
        <f aca="false">Declarations!$C$18+(Declarations!$H$18-Declarations!$C$18)*EXP(-Declarations!$D$18*$B60)+IF(Declarations!$E$18=0,0,Declarations!$E$18*($B60/Declarations!$F$18)*EXP(1-$B60/Declarations!$F$18))+Declarations!$G$18*IF($B60&gt;=Sale_t,1,0)</f>
        <v>120.988641616781</v>
      </c>
      <c r="H60" s="17" t="n">
        <f aca="false">Declarations!$C$19+(Declarations!$H$19-Declarations!$C$19)*EXP(-Declarations!$D$19*$B60)+IF(Declarations!$E$19=0,0,Declarations!$E$19*($B60/Declarations!$F$19)*EXP(1-$B60/Declarations!$F$19))+Declarations!$G$19*IF($B60&gt;=Sale_t,1,0)</f>
        <v>38.953876524968</v>
      </c>
      <c r="I60" s="17" t="n">
        <f aca="false">Declarations!$C$20+(Declarations!$H$20-Declarations!$C$20)*EXP(-Declarations!$D$20*$B60)+IF(Declarations!$E$20=0,0,Declarations!$E$20*($B60/Declarations!$F$20)*EXP(1-$B60/Declarations!$F$20))+Declarations!$G$20*IF($B60&gt;=Sale_t,1,0)</f>
        <v>73.6185928012039</v>
      </c>
      <c r="J60" s="17" t="n">
        <f aca="false">Declarations!$C$21+(Declarations!$H$21-Declarations!$C$21)*EXP(-Declarations!$D$21*$B60)+IF(Declarations!$E$21=0,0,Declarations!$E$21*($B60/Declarations!$F$21)*EXP(1-$B60/Declarations!$F$21))+Declarations!$G$21*IF($B60&gt;=Sale_t,1,0)</f>
        <v>49.6084562611628</v>
      </c>
      <c r="K60" s="17" t="n">
        <f aca="false">Declarations!$C$22+(Declarations!$H$22-Declarations!$C$22)*EXP(-Declarations!$D$22*$B60)+IF(Declarations!$E$22=0,0,Declarations!$E$22*($B60/Declarations!$F$22)*EXP(1-$B60/Declarations!$F$22))+Declarations!$G$22*IF($B60&gt;=Sale_t,1,0)</f>
        <v>105.237185602408</v>
      </c>
      <c r="L60" s="17" t="n">
        <f aca="false">Declarations!$C$23+(Declarations!$H$23-Declarations!$C$23)*EXP(-Declarations!$D$23*$B60)+IF(Declarations!$E$23=0,0,Declarations!$E$23*($B60/Declarations!$F$23)*EXP(1-$B60/Declarations!$F$23))+Declarations!$G$23*IF($B60&gt;=Sale_t,1,0)</f>
        <v>36.1987972347588</v>
      </c>
      <c r="M60" s="17" t="n">
        <f aca="false">Declarations!$C$24+(Declarations!$H$24-Declarations!$C$24)*EXP(-Declarations!$D$24*$B60)+IF(Declarations!$E$24=0,0,Declarations!$E$24*($B60/Declarations!$F$24)*EXP(1-$B60/Declarations!$F$24))+Declarations!$G$24*IF($B60&gt;=Sale_t,1,0)</f>
        <v>78.4885771103463</v>
      </c>
      <c r="N60" s="17" t="n">
        <f aca="false">Declarations!$C$25+(Declarations!$H$25-Declarations!$C$25)*EXP(-Declarations!$D$25*$B60)+IF(Declarations!$E$25=0,0,Declarations!$E$25*($B60/Declarations!$F$25)*EXP(1-$B60/Declarations!$F$25))+Declarations!$G$25*IF($B60&gt;=Sale_t,1,0)</f>
        <v>66.2414812125858</v>
      </c>
      <c r="O60" s="17" t="n">
        <f aca="false">W_L*S_L*C60+W_T*S_T*D60+W_E*S_E*E60+W_R*S_R*F60</f>
        <v>45.8960854848301</v>
      </c>
      <c r="P60" s="17" t="n">
        <f aca="false">W_L*S_L*G60+W_T*S_T*H60+W_E*S_E*I60+W_R*S_R*J60</f>
        <v>45.9881636704475</v>
      </c>
      <c r="Q60" s="17" t="n">
        <f aca="false">W_L*S_L*K60+W_T*S_T*L60+W_E*S_E*M60+W_R*S_R*N60</f>
        <v>38.4207696837318</v>
      </c>
      <c r="R60" s="16" t="n">
        <f aca="false">IF(O60&lt;Score_today,1,0)</f>
        <v>0</v>
      </c>
      <c r="S60" s="16" t="n">
        <f aca="false">IF(O60&gt;Q60,1,0)</f>
        <v>1</v>
      </c>
      <c r="T60" s="16" t="n">
        <f aca="false">IF(O60&gt;P60,1,0)</f>
        <v>0</v>
      </c>
      <c r="U60" s="16" t="n">
        <f aca="false">1+IF(P60&gt;O60,1,0)+IF(Q60&gt;O60,1,0)</f>
        <v>2</v>
      </c>
      <c r="V60" s="17" t="n">
        <f aca="false">ABS(P60-Q60)</f>
        <v>7.56739398671571</v>
      </c>
    </row>
    <row r="61" customFormat="false" ht="15" hidden="false" customHeight="false" outlineLevel="0" collapsed="false">
      <c r="A61" s="16" t="n">
        <v>56</v>
      </c>
      <c r="B61" s="17" t="n">
        <f aca="false">A61/12</f>
        <v>4.66666666666667</v>
      </c>
      <c r="C61" s="17" t="n">
        <f aca="false">Declarations!$C$14+(Declarations!$H$14-Declarations!$C$14)*EXP(-Declarations!$D$14*$B61)+IF(Declarations!$E$14=0,0,Declarations!$E$14*($B61/Declarations!$F$14)*EXP(1-$B61/Declarations!$F$14))+Declarations!$G$14*IF($B61&gt;=Sale_t,1,0)</f>
        <v>92.4349895557443</v>
      </c>
      <c r="D61" s="17" t="n">
        <f aca="false">Declarations!$C$15+(Declarations!$H$15-Declarations!$C$15)*EXP(-Declarations!$D$15*$B61)+IF(Declarations!$E$15=0,0,Declarations!$E$15*($B61/Declarations!$F$15)*EXP(1-$B61/Declarations!$F$15))+Declarations!$G$15*IF($B61&gt;=Sale_t,1,0)</f>
        <v>75.1587296855782</v>
      </c>
      <c r="E61" s="17" t="n">
        <f aca="false">Declarations!$C$16+(Declarations!$H$16-Declarations!$C$16)*EXP(-Declarations!$D$16*$B61)+IF(Declarations!$E$16=0,0,Declarations!$E$16*($B61/Declarations!$F$16)*EXP(1-$B61/Declarations!$F$16))+Declarations!$G$16*IF($B61&gt;=Sale_t,1,0)</f>
        <v>73.0272748858283</v>
      </c>
      <c r="F61" s="17" t="n">
        <f aca="false">Declarations!$C$17+(Declarations!$H$17-Declarations!$C$17)*EXP(-Declarations!$D$17*$B61)+IF(Declarations!$E$17=0,0,Declarations!$E$17*($B61/Declarations!$F$17)*EXP(1-$B61/Declarations!$F$17))+Declarations!$G$17*IF($B61&gt;=Sale_t,1,0)</f>
        <v>56.0394773453784</v>
      </c>
      <c r="G61" s="17" t="n">
        <f aca="false">Declarations!$C$18+(Declarations!$H$18-Declarations!$C$18)*EXP(-Declarations!$D$18*$B61)+IF(Declarations!$E$18=0,0,Declarations!$E$18*($B61/Declarations!$F$18)*EXP(1-$B61/Declarations!$F$18))+Declarations!$G$18*IF($B61&gt;=Sale_t,1,0)</f>
        <v>121.013612144234</v>
      </c>
      <c r="H61" s="17" t="n">
        <f aca="false">Declarations!$C$19+(Declarations!$H$19-Declarations!$C$19)*EXP(-Declarations!$D$19*$B61)+IF(Declarations!$E$19=0,0,Declarations!$E$19*($B61/Declarations!$F$19)*EXP(1-$B61/Declarations!$F$19))+Declarations!$G$19*IF($B61&gt;=Sale_t,1,0)</f>
        <v>38.9342096717438</v>
      </c>
      <c r="I61" s="17" t="n">
        <f aca="false">Declarations!$C$20+(Declarations!$H$20-Declarations!$C$20)*EXP(-Declarations!$D$20*$B61)+IF(Declarations!$E$20=0,0,Declarations!$E$20*($B61/Declarations!$F$20)*EXP(1-$B61/Declarations!$F$20))+Declarations!$G$20*IF($B61&gt;=Sale_t,1,0)</f>
        <v>73.6326307152411</v>
      </c>
      <c r="J61" s="17" t="n">
        <f aca="false">Declarations!$C$21+(Declarations!$H$21-Declarations!$C$21)*EXP(-Declarations!$D$21*$B61)+IF(Declarations!$E$21=0,0,Declarations!$E$21*($B61/Declarations!$F$21)*EXP(1-$B61/Declarations!$F$21))+Declarations!$G$21*IF($B61&gt;=Sale_t,1,0)</f>
        <v>49.5622205026855</v>
      </c>
      <c r="K61" s="17" t="n">
        <f aca="false">Declarations!$C$22+(Declarations!$H$22-Declarations!$C$22)*EXP(-Declarations!$D$22*$B61)+IF(Declarations!$E$22=0,0,Declarations!$E$22*($B61/Declarations!$F$22)*EXP(1-$B61/Declarations!$F$22))+Declarations!$G$22*IF($B61&gt;=Sale_t,1,0)</f>
        <v>105.265261430482</v>
      </c>
      <c r="L61" s="17" t="n">
        <f aca="false">Declarations!$C$23+(Declarations!$H$23-Declarations!$C$23)*EXP(-Declarations!$D$23*$B61)+IF(Declarations!$E$23=0,0,Declarations!$E$23*($B61/Declarations!$F$23)*EXP(1-$B61/Declarations!$F$23))+Declarations!$G$23*IF($B61&gt;=Sale_t,1,0)</f>
        <v>36.1459257669488</v>
      </c>
      <c r="M61" s="17" t="n">
        <f aca="false">Declarations!$C$24+(Declarations!$H$24-Declarations!$C$24)*EXP(-Declarations!$D$24*$B61)+IF(Declarations!$E$24=0,0,Declarations!$E$24*($B61/Declarations!$F$24)*EXP(1-$B61/Declarations!$F$24))+Declarations!$G$24*IF($B61&gt;=Sale_t,1,0)</f>
        <v>78.5135194989983</v>
      </c>
      <c r="N61" s="17" t="n">
        <f aca="false">Declarations!$C$25+(Declarations!$H$25-Declarations!$C$25)*EXP(-Declarations!$D$25*$B61)+IF(Declarations!$E$25=0,0,Declarations!$E$25*($B61/Declarations!$F$25)*EXP(1-$B61/Declarations!$F$25))+Declarations!$G$25*IF($B61&gt;=Sale_t,1,0)</f>
        <v>66.2602091081752</v>
      </c>
      <c r="O61" s="17" t="n">
        <f aca="false">W_L*S_L*C61+W_T*S_T*D61+W_E*S_E*E61+W_R*S_R*F61</f>
        <v>46.1453791954431</v>
      </c>
      <c r="P61" s="17" t="n">
        <f aca="false">W_L*S_L*G61+W_T*S_T*H61+W_E*S_E*I61+W_R*S_R*J61</f>
        <v>46.0045580071332</v>
      </c>
      <c r="Q61" s="17" t="n">
        <f aca="false">W_L*S_L*K61+W_T*S_T*L61+W_E*S_E*M61+W_R*S_R*N61</f>
        <v>38.4161243970635</v>
      </c>
      <c r="R61" s="16" t="n">
        <f aca="false">IF(O61&lt;Score_today,1,0)</f>
        <v>0</v>
      </c>
      <c r="S61" s="16" t="n">
        <f aca="false">IF(O61&gt;Q61,1,0)</f>
        <v>1</v>
      </c>
      <c r="T61" s="16" t="n">
        <f aca="false">IF(O61&gt;P61,1,0)</f>
        <v>1</v>
      </c>
      <c r="U61" s="16" t="n">
        <f aca="false">1+IF(P61&gt;O61,1,0)+IF(Q61&gt;O61,1,0)</f>
        <v>1</v>
      </c>
      <c r="V61" s="17" t="n">
        <f aca="false">ABS(P61-Q61)</f>
        <v>7.58843361006974</v>
      </c>
    </row>
    <row r="62" customFormat="false" ht="15" hidden="false" customHeight="false" outlineLevel="0" collapsed="false">
      <c r="A62" s="16" t="n">
        <v>57</v>
      </c>
      <c r="B62" s="17" t="n">
        <f aca="false">A62/12</f>
        <v>4.75</v>
      </c>
      <c r="C62" s="17" t="n">
        <f aca="false">Declarations!$C$14+(Declarations!$H$14-Declarations!$C$14)*EXP(-Declarations!$D$14*$B62)+IF(Declarations!$E$14=0,0,Declarations!$E$14*($B62/Declarations!$F$14)*EXP(1-$B62/Declarations!$F$14))+Declarations!$G$14*IF($B62&gt;=Sale_t,1,0)</f>
        <v>92.9101961628956</v>
      </c>
      <c r="D62" s="17" t="n">
        <f aca="false">Declarations!$C$15+(Declarations!$H$15-Declarations!$C$15)*EXP(-Declarations!$D$15*$B62)+IF(Declarations!$E$15=0,0,Declarations!$E$15*($B62/Declarations!$F$15)*EXP(1-$B62/Declarations!$F$15))+Declarations!$G$15*IF($B62&gt;=Sale_t,1,0)</f>
        <v>75.2860153307143</v>
      </c>
      <c r="E62" s="17" t="n">
        <f aca="false">Declarations!$C$16+(Declarations!$H$16-Declarations!$C$16)*EXP(-Declarations!$D$16*$B62)+IF(Declarations!$E$16=0,0,Declarations!$E$16*($B62/Declarations!$F$16)*EXP(1-$B62/Declarations!$F$16))+Declarations!$G$16*IF($B62&gt;=Sale_t,1,0)</f>
        <v>73.1769860109444</v>
      </c>
      <c r="F62" s="17" t="n">
        <f aca="false">Declarations!$C$17+(Declarations!$H$17-Declarations!$C$17)*EXP(-Declarations!$D$17*$B62)+IF(Declarations!$E$17=0,0,Declarations!$E$17*($B62/Declarations!$F$17)*EXP(1-$B62/Declarations!$F$17))+Declarations!$G$17*IF($B62&gt;=Sale_t,1,0)</f>
        <v>55.8208137532435</v>
      </c>
      <c r="G62" s="17" t="n">
        <f aca="false">Declarations!$C$18+(Declarations!$H$18-Declarations!$C$18)*EXP(-Declarations!$D$18*$B62)+IF(Declarations!$E$18=0,0,Declarations!$E$18*($B62/Declarations!$F$18)*EXP(1-$B62/Declarations!$F$18))+Declarations!$G$18*IF($B62&gt;=Sale_t,1,0)</f>
        <v>121.037966147167</v>
      </c>
      <c r="H62" s="17" t="n">
        <f aca="false">Declarations!$C$19+(Declarations!$H$19-Declarations!$C$19)*EXP(-Declarations!$D$19*$B62)+IF(Declarations!$E$19=0,0,Declarations!$E$19*($B62/Declarations!$F$19)*EXP(1-$B62/Declarations!$F$19))+Declarations!$G$19*IF($B62&gt;=Sale_t,1,0)</f>
        <v>38.9149483061332</v>
      </c>
      <c r="I62" s="17" t="n">
        <f aca="false">Declarations!$C$20+(Declarations!$H$20-Declarations!$C$20)*EXP(-Declarations!$D$20*$B62)+IF(Declarations!$E$20=0,0,Declarations!$E$20*($B62/Declarations!$F$20)*EXP(1-$B62/Declarations!$F$20))+Declarations!$G$20*IF($B62&gt;=Sale_t,1,0)</f>
        <v>73.6461519556781</v>
      </c>
      <c r="J62" s="17" t="n">
        <f aca="false">Declarations!$C$21+(Declarations!$H$21-Declarations!$C$21)*EXP(-Declarations!$D$21*$B62)+IF(Declarations!$E$21=0,0,Declarations!$E$21*($B62/Declarations!$F$21)*EXP(1-$B62/Declarations!$F$21))+Declarations!$G$21*IF($B62&gt;=Sale_t,1,0)</f>
        <v>49.5173138107259</v>
      </c>
      <c r="K62" s="17" t="n">
        <f aca="false">Declarations!$C$22+(Declarations!$H$22-Declarations!$C$22)*EXP(-Declarations!$D$22*$B62)+IF(Declarations!$E$22=0,0,Declarations!$E$22*($B62/Declarations!$F$22)*EXP(1-$B62/Declarations!$F$22))+Declarations!$G$22*IF($B62&gt;=Sale_t,1,0)</f>
        <v>105.292303911356</v>
      </c>
      <c r="L62" s="17" t="n">
        <f aca="false">Declarations!$C$23+(Declarations!$H$23-Declarations!$C$23)*EXP(-Declarations!$D$23*$B62)+IF(Declarations!$E$23=0,0,Declarations!$E$23*($B62/Declarations!$F$23)*EXP(1-$B62/Declarations!$F$23))+Declarations!$G$23*IF($B62&gt;=Sale_t,1,0)</f>
        <v>36.093928187636</v>
      </c>
      <c r="M62" s="17" t="n">
        <f aca="false">Declarations!$C$24+(Declarations!$H$24-Declarations!$C$24)*EXP(-Declarations!$D$24*$B62)+IF(Declarations!$E$24=0,0,Declarations!$E$24*($B62/Declarations!$F$24)*EXP(1-$B62/Declarations!$F$24))+Declarations!$G$24*IF($B62&gt;=Sale_t,1,0)</f>
        <v>78.5372454330013</v>
      </c>
      <c r="N62" s="17" t="n">
        <f aca="false">Declarations!$C$25+(Declarations!$H$25-Declarations!$C$25)*EXP(-Declarations!$D$25*$B62)+IF(Declarations!$E$25=0,0,Declarations!$E$25*($B62/Declarations!$F$25)*EXP(1-$B62/Declarations!$F$25))+Declarations!$G$25*IF($B62&gt;=Sale_t,1,0)</f>
        <v>66.278474610375</v>
      </c>
      <c r="O62" s="17" t="n">
        <f aca="false">W_L*S_L*C62+W_T*S_T*D62+W_E*S_E*E62+W_R*S_R*F62</f>
        <v>46.3880959378277</v>
      </c>
      <c r="P62" s="17" t="n">
        <f aca="false">W_L*S_L*G62+W_T*S_T*H62+W_E*S_E*I62+W_R*S_R*J62</f>
        <v>46.020438149563</v>
      </c>
      <c r="Q62" s="17" t="n">
        <f aca="false">W_L*S_L*K62+W_T*S_T*L62+W_E*S_E*M62+W_R*S_R*N62</f>
        <v>38.4112507304046</v>
      </c>
      <c r="R62" s="16" t="n">
        <f aca="false">IF(O62&lt;Score_today,1,0)</f>
        <v>0</v>
      </c>
      <c r="S62" s="16" t="n">
        <f aca="false">IF(O62&gt;Q62,1,0)</f>
        <v>1</v>
      </c>
      <c r="T62" s="16" t="n">
        <f aca="false">IF(O62&gt;P62,1,0)</f>
        <v>1</v>
      </c>
      <c r="U62" s="16" t="n">
        <f aca="false">1+IF(P62&gt;O62,1,0)+IF(Q62&gt;O62,1,0)</f>
        <v>1</v>
      </c>
      <c r="V62" s="17" t="n">
        <f aca="false">ABS(P62-Q62)</f>
        <v>7.60918741915837</v>
      </c>
    </row>
    <row r="63" customFormat="false" ht="15" hidden="false" customHeight="false" outlineLevel="0" collapsed="false">
      <c r="A63" s="16" t="n">
        <v>58</v>
      </c>
      <c r="B63" s="17" t="n">
        <f aca="false">A63/12</f>
        <v>4.83333333333333</v>
      </c>
      <c r="C63" s="17" t="n">
        <f aca="false">Declarations!$C$14+(Declarations!$H$14-Declarations!$C$14)*EXP(-Declarations!$D$14*$B63)+IF(Declarations!$E$14=0,0,Declarations!$E$14*($B63/Declarations!$F$14)*EXP(1-$B63/Declarations!$F$14))+Declarations!$G$14*IF($B63&gt;=Sale_t,1,0)</f>
        <v>93.3788603119342</v>
      </c>
      <c r="D63" s="17" t="n">
        <f aca="false">Declarations!$C$15+(Declarations!$H$15-Declarations!$C$15)*EXP(-Declarations!$D$15*$B63)+IF(Declarations!$E$15=0,0,Declarations!$E$15*($B63/Declarations!$F$15)*EXP(1-$B63/Declarations!$F$15))+Declarations!$G$15*IF($B63&gt;=Sale_t,1,0)</f>
        <v>75.4075987252143</v>
      </c>
      <c r="E63" s="17" t="n">
        <f aca="false">Declarations!$C$16+(Declarations!$H$16-Declarations!$C$16)*EXP(-Declarations!$D$16*$B63)+IF(Declarations!$E$16=0,0,Declarations!$E$16*($B63/Declarations!$F$16)*EXP(1-$B63/Declarations!$F$16))+Declarations!$G$16*IF($B63&gt;=Sale_t,1,0)</f>
        <v>73.3220162221095</v>
      </c>
      <c r="F63" s="17" t="n">
        <f aca="false">Declarations!$C$17+(Declarations!$H$17-Declarations!$C$17)*EXP(-Declarations!$D$17*$B63)+IF(Declarations!$E$17=0,0,Declarations!$E$17*($B63/Declarations!$F$17)*EXP(1-$B63/Declarations!$F$17))+Declarations!$G$17*IF($B63&gt;=Sale_t,1,0)</f>
        <v>55.6111735452535</v>
      </c>
      <c r="G63" s="17" t="n">
        <f aca="false">Declarations!$C$18+(Declarations!$H$18-Declarations!$C$18)*EXP(-Declarations!$D$18*$B63)+IF(Declarations!$E$18=0,0,Declarations!$E$18*($B63/Declarations!$F$18)*EXP(1-$B63/Declarations!$F$18))+Declarations!$G$18*IF($B63&gt;=Sale_t,1,0)</f>
        <v>121.061718847625</v>
      </c>
      <c r="H63" s="17" t="n">
        <f aca="false">Declarations!$C$19+(Declarations!$H$19-Declarations!$C$19)*EXP(-Declarations!$D$19*$B63)+IF(Declarations!$E$19=0,0,Declarations!$E$19*($B63/Declarations!$F$19)*EXP(1-$B63/Declarations!$F$19))+Declarations!$G$19*IF($B63&gt;=Sale_t,1,0)</f>
        <v>38.896084067866</v>
      </c>
      <c r="I63" s="17" t="n">
        <f aca="false">Declarations!$C$20+(Declarations!$H$20-Declarations!$C$20)*EXP(-Declarations!$D$20*$B63)+IF(Declarations!$E$20=0,0,Declarations!$E$20*($B63/Declarations!$F$20)*EXP(1-$B63/Declarations!$F$20))+Declarations!$G$20*IF($B63&gt;=Sale_t,1,0)</f>
        <v>73.6591755389877</v>
      </c>
      <c r="J63" s="17" t="n">
        <f aca="false">Declarations!$C$21+(Declarations!$H$21-Declarations!$C$21)*EXP(-Declarations!$D$21*$B63)+IF(Declarations!$E$21=0,0,Declarations!$E$21*($B63/Declarations!$F$21)*EXP(1-$B63/Declarations!$F$21))+Declarations!$G$21*IF($B63&gt;=Sale_t,1,0)</f>
        <v>49.4736979807024</v>
      </c>
      <c r="K63" s="17" t="n">
        <f aca="false">Declarations!$C$22+(Declarations!$H$22-Declarations!$C$22)*EXP(-Declarations!$D$22*$B63)+IF(Declarations!$E$22=0,0,Declarations!$E$22*($B63/Declarations!$F$22)*EXP(1-$B63/Declarations!$F$22))+Declarations!$G$22*IF($B63&gt;=Sale_t,1,0)</f>
        <v>105.318351077975</v>
      </c>
      <c r="L63" s="17" t="n">
        <f aca="false">Declarations!$C$23+(Declarations!$H$23-Declarations!$C$23)*EXP(-Declarations!$D$23*$B63)+IF(Declarations!$E$23=0,0,Declarations!$E$23*($B63/Declarations!$F$23)*EXP(1-$B63/Declarations!$F$23))+Declarations!$G$23*IF($B63&gt;=Sale_t,1,0)</f>
        <v>36.0427900527141</v>
      </c>
      <c r="M63" s="17" t="n">
        <f aca="false">Declarations!$C$24+(Declarations!$H$24-Declarations!$C$24)*EXP(-Declarations!$D$24*$B63)+IF(Declarations!$E$24=0,0,Declarations!$E$24*($B63/Declarations!$F$24)*EXP(1-$B63/Declarations!$F$24))+Declarations!$G$24*IF($B63&gt;=Sale_t,1,0)</f>
        <v>78.5598142395487</v>
      </c>
      <c r="N63" s="17" t="n">
        <f aca="false">Declarations!$C$25+(Declarations!$H$25-Declarations!$C$25)*EXP(-Declarations!$D$25*$B63)+IF(Declarations!$E$25=0,0,Declarations!$E$25*($B63/Declarations!$F$25)*EXP(1-$B63/Declarations!$F$25))+Declarations!$G$25*IF($B63&gt;=Sale_t,1,0)</f>
        <v>66.2962891357186</v>
      </c>
      <c r="O63" s="17" t="n">
        <f aca="false">W_L*S_L*C63+W_T*S_T*D63+W_E*S_E*E63+W_R*S_R*F63</f>
        <v>46.6243254285011</v>
      </c>
      <c r="P63" s="17" t="n">
        <f aca="false">W_L*S_L*G63+W_T*S_T*H63+W_E*S_E*I63+W_R*S_R*J63</f>
        <v>46.035820118444</v>
      </c>
      <c r="Q63" s="17" t="n">
        <f aca="false">W_L*S_L*K63+W_T*S_T*L63+W_E*S_E*M63+W_R*S_R*N63</f>
        <v>38.4061665586299</v>
      </c>
      <c r="R63" s="16" t="n">
        <f aca="false">IF(O63&lt;Score_today,1,0)</f>
        <v>0</v>
      </c>
      <c r="S63" s="16" t="n">
        <f aca="false">IF(O63&gt;Q63,1,0)</f>
        <v>1</v>
      </c>
      <c r="T63" s="16" t="n">
        <f aca="false">IF(O63&gt;P63,1,0)</f>
        <v>1</v>
      </c>
      <c r="U63" s="16" t="n">
        <f aca="false">1+IF(P63&gt;O63,1,0)+IF(Q63&gt;O63,1,0)</f>
        <v>1</v>
      </c>
      <c r="V63" s="17" t="n">
        <f aca="false">ABS(P63-Q63)</f>
        <v>7.62965355981413</v>
      </c>
    </row>
    <row r="64" customFormat="false" ht="15" hidden="false" customHeight="false" outlineLevel="0" collapsed="false">
      <c r="A64" s="16" t="n">
        <v>59</v>
      </c>
      <c r="B64" s="17" t="n">
        <f aca="false">A64/12</f>
        <v>4.91666666666667</v>
      </c>
      <c r="C64" s="17" t="n">
        <f aca="false">Declarations!$C$14+(Declarations!$H$14-Declarations!$C$14)*EXP(-Declarations!$D$14*$B64)+IF(Declarations!$E$14=0,0,Declarations!$E$14*($B64/Declarations!$F$14)*EXP(1-$B64/Declarations!$F$14))+Declarations!$G$14*IF($B64&gt;=Sale_t,1,0)</f>
        <v>93.8407343539992</v>
      </c>
      <c r="D64" s="17" t="n">
        <f aca="false">Declarations!$C$15+(Declarations!$H$15-Declarations!$C$15)*EXP(-Declarations!$D$15*$B64)+IF(Declarations!$E$15=0,0,Declarations!$E$15*($B64/Declarations!$F$15)*EXP(1-$B64/Declarations!$F$15))+Declarations!$G$15*IF($B64&gt;=Sale_t,1,0)</f>
        <v>75.5237353233542</v>
      </c>
      <c r="E64" s="17" t="n">
        <f aca="false">Declarations!$C$16+(Declarations!$H$16-Declarations!$C$16)*EXP(-Declarations!$D$16*$B64)+IF(Declarations!$E$16=0,0,Declarations!$E$16*($B64/Declarations!$F$16)*EXP(1-$B64/Declarations!$F$16))+Declarations!$G$16*IF($B64&gt;=Sale_t,1,0)</f>
        <v>73.4624383803757</v>
      </c>
      <c r="F64" s="17" t="n">
        <f aca="false">Declarations!$C$17+(Declarations!$H$17-Declarations!$C$17)*EXP(-Declarations!$D$17*$B64)+IF(Declarations!$E$17=0,0,Declarations!$E$17*($B64/Declarations!$F$17)*EXP(1-$B64/Declarations!$F$17))+Declarations!$G$17*IF($B64&gt;=Sale_t,1,0)</f>
        <v>55.4102526055541</v>
      </c>
      <c r="G64" s="17" t="n">
        <f aca="false">Declarations!$C$18+(Declarations!$H$18-Declarations!$C$18)*EXP(-Declarations!$D$18*$B64)+IF(Declarations!$E$18=0,0,Declarations!$E$18*($B64/Declarations!$F$18)*EXP(1-$B64/Declarations!$F$18))+Declarations!$G$18*IF($B64&gt;=Sale_t,1,0)</f>
        <v>121.084885091819</v>
      </c>
      <c r="H64" s="17" t="n">
        <f aca="false">Declarations!$C$19+(Declarations!$H$19-Declarations!$C$19)*EXP(-Declarations!$D$19*$B64)+IF(Declarations!$E$19=0,0,Declarations!$E$19*($B64/Declarations!$F$19)*EXP(1-$B64/Declarations!$F$19))+Declarations!$G$19*IF($B64&gt;=Sale_t,1,0)</f>
        <v>38.8776087690428</v>
      </c>
      <c r="I64" s="17" t="n">
        <f aca="false">Declarations!$C$20+(Declarations!$H$20-Declarations!$C$20)*EXP(-Declarations!$D$20*$B64)+IF(Declarations!$E$20=0,0,Declarations!$E$20*($B64/Declarations!$F$20)*EXP(1-$B64/Declarations!$F$20))+Declarations!$G$20*IF($B64&gt;=Sale_t,1,0)</f>
        <v>73.6717197817303</v>
      </c>
      <c r="J64" s="17" t="n">
        <f aca="false">Declarations!$C$21+(Declarations!$H$21-Declarations!$C$21)*EXP(-Declarations!$D$21*$B64)+IF(Declarations!$E$21=0,0,Declarations!$E$21*($B64/Declarations!$F$21)*EXP(1-$B64/Declarations!$F$21))+Declarations!$G$21*IF($B64&gt;=Sale_t,1,0)</f>
        <v>49.4313359062404</v>
      </c>
      <c r="K64" s="17" t="n">
        <f aca="false">Declarations!$C$22+(Declarations!$H$22-Declarations!$C$22)*EXP(-Declarations!$D$22*$B64)+IF(Declarations!$E$22=0,0,Declarations!$E$22*($B64/Declarations!$F$22)*EXP(1-$B64/Declarations!$F$22))+Declarations!$G$22*IF($B64&gt;=Sale_t,1,0)</f>
        <v>105.343439563461</v>
      </c>
      <c r="L64" s="17" t="n">
        <f aca="false">Declarations!$C$23+(Declarations!$H$23-Declarations!$C$23)*EXP(-Declarations!$D$23*$B64)+IF(Declarations!$E$23=0,0,Declarations!$E$23*($B64/Declarations!$F$23)*EXP(1-$B64/Declarations!$F$23))+Declarations!$G$23*IF($B64&gt;=Sale_t,1,0)</f>
        <v>35.9924971568167</v>
      </c>
      <c r="M64" s="17" t="n">
        <f aca="false">Declarations!$C$24+(Declarations!$H$24-Declarations!$C$24)*EXP(-Declarations!$D$24*$B64)+IF(Declarations!$E$24=0,0,Declarations!$E$24*($B64/Declarations!$F$24)*EXP(1-$B64/Declarations!$F$24))+Declarations!$G$24*IF($B64&gt;=Sale_t,1,0)</f>
        <v>78.5812823524125</v>
      </c>
      <c r="N64" s="17" t="n">
        <f aca="false">Declarations!$C$25+(Declarations!$H$25-Declarations!$C$25)*EXP(-Declarations!$D$25*$B64)+IF(Declarations!$E$25=0,0,Declarations!$E$25*($B64/Declarations!$F$25)*EXP(1-$B64/Declarations!$F$25))+Declarations!$G$25*IF($B64&gt;=Sale_t,1,0)</f>
        <v>66.3136638188643</v>
      </c>
      <c r="O64" s="17" t="n">
        <f aca="false">W_L*S_L*C64+W_T*S_T*D64+W_E*S_E*E64+W_R*S_R*F64</f>
        <v>46.8541638630438</v>
      </c>
      <c r="P64" s="17" t="n">
        <f aca="false">W_L*S_L*G64+W_T*S_T*H64+W_E*S_E*I64+W_R*S_R*J64</f>
        <v>46.050719434088</v>
      </c>
      <c r="Q64" s="17" t="n">
        <f aca="false">W_L*S_L*K64+W_T*S_T*L64+W_E*S_E*M64+W_R*S_R*N64</f>
        <v>38.4008888134564</v>
      </c>
      <c r="R64" s="16" t="n">
        <f aca="false">IF(O64&lt;Score_today,1,0)</f>
        <v>0</v>
      </c>
      <c r="S64" s="16" t="n">
        <f aca="false">IF(O64&gt;Q64,1,0)</f>
        <v>1</v>
      </c>
      <c r="T64" s="16" t="n">
        <f aca="false">IF(O64&gt;P64,1,0)</f>
        <v>1</v>
      </c>
      <c r="U64" s="16" t="n">
        <f aca="false">1+IF(P64&gt;O64,1,0)+IF(Q64&gt;O64,1,0)</f>
        <v>1</v>
      </c>
      <c r="V64" s="17" t="n">
        <f aca="false">ABS(P64-Q64)</f>
        <v>7.6498306206316</v>
      </c>
    </row>
    <row r="65" customFormat="false" ht="15" hidden="false" customHeight="false" outlineLevel="0" collapsed="false">
      <c r="A65" s="16" t="n">
        <v>60</v>
      </c>
      <c r="B65" s="17" t="n">
        <f aca="false">A65/12</f>
        <v>5</v>
      </c>
      <c r="C65" s="17" t="n">
        <f aca="false">Declarations!$C$14+(Declarations!$H$14-Declarations!$C$14)*EXP(-Declarations!$D$14*$B65)+IF(Declarations!$E$14=0,0,Declarations!$E$14*($B65/Declarations!$F$14)*EXP(1-$B65/Declarations!$F$14))+Declarations!$G$14*IF($B65&gt;=Sale_t,1,0)</f>
        <v>94.2956014682046</v>
      </c>
      <c r="D65" s="17" t="n">
        <f aca="false">Declarations!$C$15+(Declarations!$H$15-Declarations!$C$15)*EXP(-Declarations!$D$15*$B65)+IF(Declarations!$E$15=0,0,Declarations!$E$15*($B65/Declarations!$F$15)*EXP(1-$B65/Declarations!$F$15))+Declarations!$G$15*IF($B65&gt;=Sale_t,1,0)</f>
        <v>75.6346691353518</v>
      </c>
      <c r="E65" s="17" t="n">
        <f aca="false">Declarations!$C$16+(Declarations!$H$16-Declarations!$C$16)*EXP(-Declarations!$D$16*$B65)+IF(Declarations!$E$16=0,0,Declarations!$E$16*($B65/Declarations!$F$16)*EXP(1-$B65/Declarations!$F$16))+Declarations!$G$16*IF($B65&gt;=Sale_t,1,0)</f>
        <v>73.5983309723245</v>
      </c>
      <c r="F65" s="17" t="n">
        <f aca="false">Declarations!$C$17+(Declarations!$H$17-Declarations!$C$17)*EXP(-Declarations!$D$17*$B65)+IF(Declarations!$E$17=0,0,Declarations!$E$17*($B65/Declarations!$F$17)*EXP(1-$B65/Declarations!$F$17))+Declarations!$G$17*IF($B65&gt;=Sale_t,1,0)</f>
        <v>55.2177495534504</v>
      </c>
      <c r="G65" s="17" t="n">
        <f aca="false">Declarations!$C$18+(Declarations!$H$18-Declarations!$C$18)*EXP(-Declarations!$D$18*$B65)+IF(Declarations!$E$18=0,0,Declarations!$E$18*($B65/Declarations!$F$18)*EXP(1-$B65/Declarations!$F$18))+Declarations!$G$18*IF($B65&gt;=Sale_t,1,0)</f>
        <v>121.107479359406</v>
      </c>
      <c r="H65" s="17" t="n">
        <f aca="false">Declarations!$C$19+(Declarations!$H$19-Declarations!$C$19)*EXP(-Declarations!$D$19*$B65)+IF(Declarations!$E$19=0,0,Declarations!$E$19*($B65/Declarations!$F$19)*EXP(1-$B65/Declarations!$F$19))+Declarations!$G$19*IF($B65&gt;=Sale_t,1,0)</f>
        <v>38.8595143905806</v>
      </c>
      <c r="I65" s="17" t="n">
        <f aca="false">Declarations!$C$20+(Declarations!$H$20-Declarations!$C$20)*EXP(-Declarations!$D$20*$B65)+IF(Declarations!$E$20=0,0,Declarations!$E$20*($B65/Declarations!$F$20)*EXP(1-$B65/Declarations!$F$20))+Declarations!$G$20*IF($B65&gt;=Sale_t,1,0)</f>
        <v>73.6838023263144</v>
      </c>
      <c r="J65" s="17" t="n">
        <f aca="false">Declarations!$C$21+(Declarations!$H$21-Declarations!$C$21)*EXP(-Declarations!$D$21*$B65)+IF(Declarations!$E$21=0,0,Declarations!$E$21*($B65/Declarations!$F$21)*EXP(1-$B65/Declarations!$F$21))+Declarations!$G$21*IF($B65&gt;=Sale_t,1,0)</f>
        <v>49.3901915476036</v>
      </c>
      <c r="K65" s="17" t="n">
        <f aca="false">Declarations!$C$22+(Declarations!$H$22-Declarations!$C$22)*EXP(-Declarations!$D$22*$B65)+IF(Declarations!$E$22=0,0,Declarations!$E$22*($B65/Declarations!$F$22)*EXP(1-$B65/Declarations!$F$22))+Declarations!$G$22*IF($B65&gt;=Sale_t,1,0)</f>
        <v>105.367604652629</v>
      </c>
      <c r="L65" s="17" t="n">
        <f aca="false">Declarations!$C$23+(Declarations!$H$23-Declarations!$C$23)*EXP(-Declarations!$D$23*$B65)+IF(Declarations!$E$23=0,0,Declarations!$E$23*($B65/Declarations!$F$23)*EXP(1-$B65/Declarations!$F$23))+Declarations!$G$23*IF($B65&gt;=Sale_t,1,0)</f>
        <v>35.9430355293715</v>
      </c>
      <c r="M65" s="17" t="n">
        <f aca="false">Declarations!$C$24+(Declarations!$H$24-Declarations!$C$24)*EXP(-Declarations!$D$24*$B65)+IF(Declarations!$E$24=0,0,Declarations!$E$24*($B65/Declarations!$F$24)*EXP(1-$B65/Declarations!$F$24))+Declarations!$G$24*IF($B65&gt;=Sale_t,1,0)</f>
        <v>78.6017034530571</v>
      </c>
      <c r="N65" s="17" t="n">
        <f aca="false">Declarations!$C$25+(Declarations!$H$25-Declarations!$C$25)*EXP(-Declarations!$D$25*$B65)+IF(Declarations!$E$25=0,0,Declarations!$E$25*($B65/Declarations!$F$25)*EXP(1-$B65/Declarations!$F$25))+Declarations!$G$25*IF($B65&gt;=Sale_t,1,0)</f>
        <v>66.3306095195547</v>
      </c>
      <c r="O65" s="17" t="n">
        <f aca="false">W_L*S_L*C65+W_T*S_T*D65+W_E*S_E*E65+W_R*S_R*F65</f>
        <v>47.0777130056076</v>
      </c>
      <c r="P65" s="17" t="n">
        <f aca="false">W_L*S_L*G65+W_T*S_T*H65+W_E*S_E*I65+W_R*S_R*J65</f>
        <v>46.0651511321744</v>
      </c>
      <c r="Q65" s="17" t="n">
        <f aca="false">W_L*S_L*K65+W_T*S_T*L65+W_E*S_E*M65+W_R*S_R*N65</f>
        <v>38.3954335288757</v>
      </c>
      <c r="R65" s="16" t="n">
        <f aca="false">IF(O65&lt;Score_today,1,0)</f>
        <v>0</v>
      </c>
      <c r="S65" s="16" t="n">
        <f aca="false">IF(O65&gt;Q65,1,0)</f>
        <v>1</v>
      </c>
      <c r="T65" s="16" t="n">
        <f aca="false">IF(O65&gt;P65,1,0)</f>
        <v>1</v>
      </c>
      <c r="U65" s="16" t="n">
        <f aca="false">1+IF(P65&gt;O65,1,0)+IF(Q65&gt;O65,1,0)</f>
        <v>1</v>
      </c>
      <c r="V65" s="17" t="n">
        <f aca="false">ABS(P65-Q65)</f>
        <v>7.66971760329874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7" min="6" style="0" width="16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103</v>
      </c>
    </row>
    <row r="3" customFormat="false" ht="15" hidden="false" customHeight="false" outlineLevel="0" collapsed="false">
      <c r="A3" s="8" t="s">
        <v>104</v>
      </c>
      <c r="B3" s="8" t="s">
        <v>105</v>
      </c>
      <c r="C3" s="8" t="s">
        <v>106</v>
      </c>
      <c r="D3" s="8" t="s">
        <v>107</v>
      </c>
    </row>
    <row r="4" customFormat="false" ht="15" hidden="false" customHeight="false" outlineLevel="0" collapsed="false">
      <c r="A4" s="2" t="s">
        <v>108</v>
      </c>
      <c r="B4" s="2" t="s">
        <v>109</v>
      </c>
      <c r="C4" s="2" t="s">
        <v>110</v>
      </c>
      <c r="D4" s="2" t="s">
        <v>111</v>
      </c>
    </row>
    <row r="5" customFormat="false" ht="15" hidden="false" customHeight="false" outlineLevel="0" collapsed="false">
      <c r="A5" s="2" t="s">
        <v>112</v>
      </c>
      <c r="B5" s="2" t="s">
        <v>113</v>
      </c>
      <c r="C5" s="2" t="s">
        <v>114</v>
      </c>
      <c r="D5" s="2" t="s">
        <v>115</v>
      </c>
    </row>
    <row r="6" customFormat="false" ht="15" hidden="false" customHeight="false" outlineLevel="0" collapsed="false">
      <c r="A6" s="2" t="s">
        <v>116</v>
      </c>
      <c r="B6" s="2" t="s">
        <v>117</v>
      </c>
      <c r="C6" s="2" t="s">
        <v>118</v>
      </c>
      <c r="D6" s="2" t="s">
        <v>119</v>
      </c>
    </row>
    <row r="7" customFormat="false" ht="15" hidden="false" customHeight="false" outlineLevel="0" collapsed="false">
      <c r="A7" s="2" t="s">
        <v>120</v>
      </c>
      <c r="B7" s="2" t="s">
        <v>121</v>
      </c>
      <c r="C7" s="2" t="s">
        <v>122</v>
      </c>
      <c r="D7" s="2" t="s">
        <v>123</v>
      </c>
    </row>
    <row r="8" customFormat="false" ht="15" hidden="false" customHeight="false" outlineLevel="0" collapsed="false">
      <c r="A8" s="2" t="s">
        <v>124</v>
      </c>
      <c r="B8" s="2" t="s">
        <v>125</v>
      </c>
      <c r="C8" s="2" t="s">
        <v>126</v>
      </c>
      <c r="D8" s="2" t="s">
        <v>127</v>
      </c>
    </row>
    <row r="9" customFormat="false" ht="15" hidden="false" customHeight="false" outlineLevel="0" collapsed="false">
      <c r="A9" s="2" t="s">
        <v>128</v>
      </c>
      <c r="B9" s="2" t="s">
        <v>129</v>
      </c>
      <c r="C9" s="2" t="s">
        <v>130</v>
      </c>
      <c r="D9" s="2" t="s">
        <v>131</v>
      </c>
    </row>
    <row r="10" customFormat="false" ht="15" hidden="false" customHeight="false" outlineLevel="0" collapsed="false">
      <c r="A10" s="2" t="s">
        <v>132</v>
      </c>
      <c r="B10" s="2" t="s">
        <v>133</v>
      </c>
      <c r="C10" s="2" t="s">
        <v>134</v>
      </c>
      <c r="D10" s="2" t="s">
        <v>135</v>
      </c>
    </row>
    <row r="11" customFormat="false" ht="15" hidden="false" customHeight="false" outlineLevel="0" collapsed="false">
      <c r="A11" s="2" t="s">
        <v>136</v>
      </c>
      <c r="B11" s="2" t="s">
        <v>137</v>
      </c>
      <c r="C11" s="2" t="s">
        <v>138</v>
      </c>
      <c r="D11" s="2" t="s">
        <v>139</v>
      </c>
    </row>
    <row r="12" customFormat="false" ht="15" hidden="false" customHeight="false" outlineLevel="0" collapsed="false">
      <c r="A12" s="2" t="s">
        <v>140</v>
      </c>
      <c r="B12" s="2" t="s">
        <v>141</v>
      </c>
      <c r="C12" s="2" t="s">
        <v>142</v>
      </c>
      <c r="D12" s="2" t="s">
        <v>143</v>
      </c>
    </row>
    <row r="13" customFormat="false" ht="15" hidden="false" customHeight="false" outlineLevel="0" collapsed="false">
      <c r="A13" s="2" t="s">
        <v>144</v>
      </c>
      <c r="B13" s="2" t="s">
        <v>145</v>
      </c>
      <c r="C13" s="2" t="s">
        <v>146</v>
      </c>
      <c r="D13" s="2" t="s">
        <v>147</v>
      </c>
    </row>
    <row r="14" customFormat="false" ht="15" hidden="false" customHeight="false" outlineLevel="0" collapsed="false">
      <c r="A14" s="4" t="s">
        <v>148</v>
      </c>
      <c r="D14" s="16" t="n">
        <f aca="false">COUNTA(A4:A13)</f>
        <v>10</v>
      </c>
    </row>
    <row r="16" customFormat="false" ht="15" hidden="false" customHeight="false" outlineLevel="0" collapsed="false">
      <c r="A16" s="8" t="s">
        <v>149</v>
      </c>
      <c r="B16" s="8" t="s">
        <v>150</v>
      </c>
      <c r="C16" s="8" t="s">
        <v>151</v>
      </c>
      <c r="D16" s="8" t="s">
        <v>152</v>
      </c>
      <c r="E16" s="8" t="s">
        <v>153</v>
      </c>
      <c r="F16" s="8" t="s">
        <v>154</v>
      </c>
      <c r="G16" s="8" t="s">
        <v>155</v>
      </c>
      <c r="H16" s="8" t="s">
        <v>156</v>
      </c>
    </row>
    <row r="17" customFormat="false" ht="15" hidden="false" customHeight="false" outlineLevel="0" collapsed="false">
      <c r="A17" s="2" t="s">
        <v>157</v>
      </c>
      <c r="B17" s="2" t="s">
        <v>158</v>
      </c>
      <c r="C17" s="2" t="s">
        <v>159</v>
      </c>
      <c r="D17" s="9" t="n">
        <v>8.3</v>
      </c>
      <c r="E17" s="9" t="n">
        <v>0.4</v>
      </c>
      <c r="F17" s="19" t="n">
        <f aca="false">D17-E17</f>
        <v>7.9</v>
      </c>
      <c r="G17" s="19" t="n">
        <f aca="false">D17+E17</f>
        <v>8.7</v>
      </c>
      <c r="H17" s="2" t="s">
        <v>160</v>
      </c>
    </row>
    <row r="18" customFormat="false" ht="15" hidden="false" customHeight="false" outlineLevel="0" collapsed="false">
      <c r="A18" s="2" t="s">
        <v>161</v>
      </c>
      <c r="B18" s="2" t="s">
        <v>162</v>
      </c>
      <c r="C18" s="2" t="s">
        <v>163</v>
      </c>
      <c r="D18" s="9" t="n">
        <v>71</v>
      </c>
      <c r="E18" s="9" t="n">
        <v>3</v>
      </c>
      <c r="F18" s="19" t="n">
        <f aca="false">D18-E18</f>
        <v>68</v>
      </c>
      <c r="G18" s="19" t="n">
        <f aca="false">D18+E18</f>
        <v>74</v>
      </c>
      <c r="H18" s="2" t="s">
        <v>164</v>
      </c>
    </row>
    <row r="19" customFormat="false" ht="15" hidden="false" customHeight="false" outlineLevel="0" collapsed="false">
      <c r="A19" s="2" t="s">
        <v>165</v>
      </c>
      <c r="B19" s="2" t="s">
        <v>166</v>
      </c>
      <c r="C19" s="2" t="s">
        <v>167</v>
      </c>
      <c r="D19" s="9" t="n">
        <v>19</v>
      </c>
      <c r="E19" s="9" t="n">
        <v>0.8</v>
      </c>
      <c r="F19" s="19" t="n">
        <f aca="false">D19-E19</f>
        <v>18.2</v>
      </c>
      <c r="G19" s="19" t="n">
        <f aca="false">D19+E19</f>
        <v>19.8</v>
      </c>
      <c r="H19" s="2" t="s">
        <v>160</v>
      </c>
    </row>
    <row r="20" customFormat="false" ht="15" hidden="false" customHeight="false" outlineLevel="0" collapsed="false">
      <c r="A20" s="2" t="s">
        <v>168</v>
      </c>
      <c r="B20" s="2" t="s">
        <v>50</v>
      </c>
      <c r="C20" s="2" t="s">
        <v>169</v>
      </c>
      <c r="H20" s="2" t="s">
        <v>170</v>
      </c>
    </row>
    <row r="21" customFormat="false" ht="15" hidden="false" customHeight="false" outlineLevel="0" collapsed="false">
      <c r="A21" s="2" t="s">
        <v>171</v>
      </c>
      <c r="B21" s="2" t="s">
        <v>172</v>
      </c>
      <c r="C21" s="2" t="s">
        <v>169</v>
      </c>
      <c r="H21" s="2" t="s">
        <v>173</v>
      </c>
    </row>
    <row r="22" customFormat="false" ht="15" hidden="false" customHeight="false" outlineLevel="0" collapsed="false">
      <c r="A22" s="2" t="s">
        <v>174</v>
      </c>
      <c r="B22" s="2" t="s">
        <v>158</v>
      </c>
      <c r="C22" s="2" t="s">
        <v>175</v>
      </c>
      <c r="D22" s="19" t="n">
        <f aca="false">B33-B34</f>
        <v>270</v>
      </c>
      <c r="E22" s="19" t="n">
        <f aca="false">0.01*B33</f>
        <v>6.2</v>
      </c>
      <c r="F22" s="19" t="n">
        <f aca="false">D22-E22</f>
        <v>263.8</v>
      </c>
      <c r="G22" s="19" t="n">
        <f aca="false">D22+E22</f>
        <v>276.2</v>
      </c>
      <c r="H22" s="2" t="s">
        <v>176</v>
      </c>
    </row>
    <row r="23" customFormat="false" ht="15" hidden="false" customHeight="false" outlineLevel="0" collapsed="false">
      <c r="A23" s="4" t="s">
        <v>177</v>
      </c>
      <c r="D23" s="16" t="n">
        <f aca="false">COUNTIF(C17:C22,"none declared")</f>
        <v>2</v>
      </c>
    </row>
    <row r="25" customFormat="false" ht="15" hidden="false" customHeight="false" outlineLevel="0" collapsed="false">
      <c r="A25" s="8" t="s">
        <v>178</v>
      </c>
      <c r="B25" s="8" t="s">
        <v>25</v>
      </c>
    </row>
    <row r="26" customFormat="false" ht="15" hidden="false" customHeight="false" outlineLevel="0" collapsed="false">
      <c r="A26" s="2" t="s">
        <v>26</v>
      </c>
      <c r="B26" s="7" t="str">
        <f aca="false">Declarations!F4</f>
        <v>ECA: capital</v>
      </c>
    </row>
    <row r="27" customFormat="false" ht="15" hidden="false" customHeight="false" outlineLevel="0" collapsed="false">
      <c r="A27" s="2" t="s">
        <v>29</v>
      </c>
      <c r="B27" s="7" t="str">
        <f aca="false">Declarations!F5</f>
        <v>ECA: capital</v>
      </c>
    </row>
    <row r="28" customFormat="false" ht="15" hidden="false" customHeight="false" outlineLevel="0" collapsed="false">
      <c r="A28" s="2" t="s">
        <v>31</v>
      </c>
      <c r="B28" s="7" t="str">
        <f aca="false">Declarations!F6</f>
        <v>EPA: performance</v>
      </c>
    </row>
    <row r="29" customFormat="false" ht="15" hidden="false" customHeight="false" outlineLevel="0" collapsed="false">
      <c r="A29" s="2" t="s">
        <v>34</v>
      </c>
      <c r="B29" s="7" t="str">
        <f aca="false">Declarations!F7</f>
        <v>ERRA: risk</v>
      </c>
    </row>
    <row r="30" customFormat="false" ht="15" hidden="false" customHeight="false" outlineLevel="0" collapsed="false">
      <c r="A30" s="4" t="s">
        <v>179</v>
      </c>
      <c r="B30" s="16" t="n">
        <f aca="false">SUMPRODUCT(--(LEFT(B26:B29,3)="EPA"))</f>
        <v>1</v>
      </c>
    </row>
    <row r="32" customFormat="false" ht="23.85" hidden="false" customHeight="false" outlineLevel="0" collapsed="false">
      <c r="A32" s="8" t="s">
        <v>180</v>
      </c>
      <c r="B32" s="8" t="s">
        <v>57</v>
      </c>
      <c r="C32" s="8" t="s">
        <v>20</v>
      </c>
    </row>
    <row r="33" customFormat="false" ht="15" hidden="false" customHeight="false" outlineLevel="0" collapsed="false">
      <c r="A33" s="2" t="s">
        <v>181</v>
      </c>
      <c r="B33" s="11" t="n">
        <v>620</v>
      </c>
      <c r="C33" s="14" t="s">
        <v>182</v>
      </c>
    </row>
    <row r="34" customFormat="false" ht="15" hidden="false" customHeight="false" outlineLevel="0" collapsed="false">
      <c r="A34" s="2" t="s">
        <v>183</v>
      </c>
      <c r="B34" s="11" t="n">
        <v>350</v>
      </c>
      <c r="C34" s="14" t="s">
        <v>184</v>
      </c>
    </row>
    <row r="35" customFormat="false" ht="15" hidden="false" customHeight="false" outlineLevel="0" collapsed="false">
      <c r="A35" s="2" t="s">
        <v>185</v>
      </c>
      <c r="B35" s="11" t="n">
        <v>4200</v>
      </c>
      <c r="C35" s="14" t="s">
        <v>186</v>
      </c>
    </row>
    <row r="36" customFormat="false" ht="15" hidden="false" customHeight="false" outlineLevel="0" collapsed="false">
      <c r="A36" s="2" t="s">
        <v>187</v>
      </c>
      <c r="B36" s="20" t="n">
        <v>0.118</v>
      </c>
    </row>
    <row r="37" customFormat="false" ht="15" hidden="false" customHeight="false" outlineLevel="0" collapsed="false">
      <c r="A37" s="2" t="s">
        <v>188</v>
      </c>
      <c r="B37" s="19" t="n">
        <f aca="false">B35*B36</f>
        <v>495.6</v>
      </c>
      <c r="C37" s="14" t="s">
        <v>189</v>
      </c>
    </row>
    <row r="38" customFormat="false" ht="15" hidden="false" customHeight="false" outlineLevel="0" collapsed="false">
      <c r="A38" s="2" t="s">
        <v>190</v>
      </c>
      <c r="B38" s="11" t="n">
        <v>450</v>
      </c>
    </row>
    <row r="39" customFormat="false" ht="15" hidden="false" customHeight="false" outlineLevel="0" collapsed="false">
      <c r="A39" s="2" t="s">
        <v>191</v>
      </c>
      <c r="B39" s="11" t="n">
        <v>150</v>
      </c>
    </row>
    <row r="40" customFormat="false" ht="15" hidden="false" customHeight="false" outlineLevel="0" collapsed="false">
      <c r="A40" s="2" t="s">
        <v>192</v>
      </c>
      <c r="B40" s="16" t="n">
        <f aca="false">B33-B39</f>
        <v>470</v>
      </c>
      <c r="C40" s="14" t="s">
        <v>193</v>
      </c>
    </row>
    <row r="41" customFormat="false" ht="15" hidden="false" customHeight="false" outlineLevel="0" collapsed="false">
      <c r="A41" s="2" t="s">
        <v>194</v>
      </c>
      <c r="B41" s="16" t="n">
        <f aca="false">B38-B39</f>
        <v>300</v>
      </c>
      <c r="C41" s="14" t="s">
        <v>195</v>
      </c>
    </row>
    <row r="42" customFormat="false" ht="15" hidden="false" customHeight="false" outlineLevel="0" collapsed="false">
      <c r="A42" s="2" t="s">
        <v>196</v>
      </c>
      <c r="B42" s="2" t="str">
        <f aca="false">IF(B40&gt;=B34,"above","below")</f>
        <v>above</v>
      </c>
    </row>
    <row r="43" customFormat="false" ht="15" hidden="false" customHeight="false" outlineLevel="0" collapsed="false">
      <c r="A43" s="2" t="s">
        <v>197</v>
      </c>
      <c r="B43" s="2" t="str">
        <f aca="false">IF(B41&gt;=B34,"above","below")</f>
        <v>below</v>
      </c>
    </row>
    <row r="45" customFormat="false" ht="15" hidden="false" customHeight="false" outlineLevel="0" collapsed="false">
      <c r="A45" s="8" t="s">
        <v>198</v>
      </c>
      <c r="B45" s="8" t="s">
        <v>57</v>
      </c>
      <c r="C45" s="8" t="s">
        <v>20</v>
      </c>
    </row>
    <row r="46" customFormat="false" ht="15" hidden="false" customHeight="false" outlineLevel="0" collapsed="false">
      <c r="A46" s="2" t="s">
        <v>199</v>
      </c>
      <c r="B46" s="21" t="n">
        <v>0.025</v>
      </c>
      <c r="C46" s="14" t="s">
        <v>200</v>
      </c>
    </row>
    <row r="47" customFormat="false" ht="15" hidden="false" customHeight="false" outlineLevel="0" collapsed="false">
      <c r="A47" s="2" t="s">
        <v>201</v>
      </c>
      <c r="B47" s="11" t="n">
        <v>58</v>
      </c>
    </row>
    <row r="48" customFormat="false" ht="15" hidden="false" customHeight="false" outlineLevel="0" collapsed="false">
      <c r="A48" s="2" t="s">
        <v>202</v>
      </c>
      <c r="B48" s="9" t="n">
        <v>4</v>
      </c>
      <c r="C48" s="14" t="s">
        <v>203</v>
      </c>
    </row>
    <row r="49" customFormat="false" ht="15" hidden="false" customHeight="false" outlineLevel="0" collapsed="false">
      <c r="A49" s="2" t="s">
        <v>204</v>
      </c>
      <c r="B49" s="11" t="n">
        <v>55</v>
      </c>
    </row>
    <row r="50" customFormat="false" ht="15" hidden="false" customHeight="false" outlineLevel="0" collapsed="false">
      <c r="A50" s="2" t="s">
        <v>205</v>
      </c>
      <c r="B50" s="13" t="n">
        <f aca="false">B46*B47</f>
        <v>1.45</v>
      </c>
      <c r="C50" s="14" t="s">
        <v>206</v>
      </c>
    </row>
    <row r="51" customFormat="false" ht="15" hidden="false" customHeight="false" outlineLevel="0" collapsed="false">
      <c r="A51" s="2" t="s">
        <v>207</v>
      </c>
      <c r="B51" s="19" t="n">
        <f aca="false">4*B50*B48</f>
        <v>23.2</v>
      </c>
      <c r="C51" s="14" t="s">
        <v>208</v>
      </c>
    </row>
    <row r="53" customFormat="false" ht="15" hidden="false" customHeight="false" outlineLevel="0" collapsed="false">
      <c r="A53" s="8" t="s">
        <v>209</v>
      </c>
      <c r="B53" s="8" t="s">
        <v>210</v>
      </c>
    </row>
    <row r="54" customFormat="false" ht="15" hidden="false" customHeight="false" outlineLevel="0" collapsed="false">
      <c r="A54" s="16" t="n">
        <v>0</v>
      </c>
      <c r="B54" s="13" t="n">
        <f aca="false">$B$47*(1-$B$46)^A54</f>
        <v>58</v>
      </c>
    </row>
    <row r="55" customFormat="false" ht="15" hidden="false" customHeight="false" outlineLevel="0" collapsed="false">
      <c r="A55" s="16" t="n">
        <v>1</v>
      </c>
      <c r="B55" s="13" t="n">
        <f aca="false">$B$47*(1-$B$46)^A55</f>
        <v>56.55</v>
      </c>
    </row>
    <row r="56" customFormat="false" ht="15" hidden="false" customHeight="false" outlineLevel="0" collapsed="false">
      <c r="A56" s="16" t="n">
        <v>2</v>
      </c>
      <c r="B56" s="13" t="n">
        <f aca="false">$B$47*(1-$B$46)^A56</f>
        <v>55.13625</v>
      </c>
    </row>
    <row r="57" customFormat="false" ht="15" hidden="false" customHeight="false" outlineLevel="0" collapsed="false">
      <c r="A57" s="16" t="n">
        <v>3</v>
      </c>
      <c r="B57" s="13" t="n">
        <f aca="false">$B$47*(1-$B$46)^A57</f>
        <v>53.75784375</v>
      </c>
    </row>
    <row r="58" customFormat="false" ht="15" hidden="false" customHeight="false" outlineLevel="0" collapsed="false">
      <c r="A58" s="16" t="n">
        <v>4</v>
      </c>
      <c r="B58" s="13" t="n">
        <f aca="false">$B$47*(1-$B$46)^A58</f>
        <v>52.41389765625</v>
      </c>
    </row>
    <row r="59" customFormat="false" ht="15" hidden="false" customHeight="false" outlineLevel="0" collapsed="false">
      <c r="A59" s="4" t="s">
        <v>211</v>
      </c>
      <c r="B59" s="16" t="n">
        <f aca="false">COUNTIF(B54:B58,"&gt;="&amp;B49)</f>
        <v>3</v>
      </c>
      <c r="C59" s="14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8" min="4" style="0" width="9"/>
  </cols>
  <sheetData>
    <row r="1" customFormat="false" ht="15" hidden="false" customHeight="false" outlineLevel="0" collapsed="false">
      <c r="A1" s="1" t="s">
        <v>213</v>
      </c>
    </row>
    <row r="2" customFormat="false" ht="15" hidden="false" customHeight="false" outlineLevel="0" collapsed="false">
      <c r="A2" s="14" t="s">
        <v>214</v>
      </c>
    </row>
    <row r="3" customFormat="false" ht="23.85" hidden="false" customHeight="false" outlineLevel="0" collapsed="false">
      <c r="A3" s="8" t="s">
        <v>215</v>
      </c>
      <c r="B3" s="8" t="s">
        <v>216</v>
      </c>
      <c r="C3" s="8" t="s">
        <v>217</v>
      </c>
    </row>
    <row r="4" customFormat="false" ht="15" hidden="false" customHeight="false" outlineLevel="0" collapsed="false">
      <c r="A4" s="5" t="s">
        <v>218</v>
      </c>
      <c r="B4" s="5" t="s">
        <v>219</v>
      </c>
      <c r="C4" s="12" t="s">
        <v>220</v>
      </c>
    </row>
    <row r="5" customFormat="false" ht="15" hidden="false" customHeight="false" outlineLevel="0" collapsed="false">
      <c r="A5" s="5" t="s">
        <v>218</v>
      </c>
      <c r="B5" s="5" t="s">
        <v>221</v>
      </c>
      <c r="C5" s="12" t="s">
        <v>220</v>
      </c>
    </row>
    <row r="6" customFormat="false" ht="15" hidden="false" customHeight="false" outlineLevel="0" collapsed="false">
      <c r="A6" s="5" t="s">
        <v>218</v>
      </c>
      <c r="B6" s="5" t="s">
        <v>222</v>
      </c>
      <c r="C6" s="12" t="s">
        <v>220</v>
      </c>
    </row>
    <row r="7" customFormat="false" ht="15" hidden="false" customHeight="false" outlineLevel="0" collapsed="false">
      <c r="A7" s="5" t="s">
        <v>219</v>
      </c>
      <c r="B7" s="5" t="s">
        <v>223</v>
      </c>
      <c r="C7" s="12" t="s">
        <v>224</v>
      </c>
    </row>
    <row r="8" customFormat="false" ht="15" hidden="false" customHeight="false" outlineLevel="0" collapsed="false">
      <c r="A8" s="5" t="s">
        <v>221</v>
      </c>
      <c r="B8" s="5" t="s">
        <v>223</v>
      </c>
      <c r="C8" s="12" t="s">
        <v>224</v>
      </c>
    </row>
    <row r="9" customFormat="false" ht="15" hidden="false" customHeight="false" outlineLevel="0" collapsed="false">
      <c r="A9" s="5" t="s">
        <v>222</v>
      </c>
      <c r="B9" s="5" t="s">
        <v>223</v>
      </c>
      <c r="C9" s="12" t="s">
        <v>224</v>
      </c>
    </row>
    <row r="10" customFormat="false" ht="15" hidden="false" customHeight="false" outlineLevel="0" collapsed="false">
      <c r="A10" s="5" t="s">
        <v>223</v>
      </c>
      <c r="B10" s="5" t="s">
        <v>219</v>
      </c>
      <c r="C10" s="12" t="s">
        <v>225</v>
      </c>
    </row>
    <row r="11" customFormat="false" ht="15" hidden="false" customHeight="false" outlineLevel="0" collapsed="false">
      <c r="A11" s="5" t="s">
        <v>223</v>
      </c>
      <c r="B11" s="5" t="s">
        <v>221</v>
      </c>
      <c r="C11" s="12" t="s">
        <v>225</v>
      </c>
    </row>
    <row r="12" customFormat="false" ht="15" hidden="false" customHeight="false" outlineLevel="0" collapsed="false">
      <c r="A12" s="5" t="s">
        <v>226</v>
      </c>
      <c r="B12" s="5" t="s">
        <v>219</v>
      </c>
      <c r="C12" s="12" t="s">
        <v>227</v>
      </c>
    </row>
    <row r="13" customFormat="false" ht="15" hidden="false" customHeight="false" outlineLevel="0" collapsed="false">
      <c r="A13" s="5" t="s">
        <v>219</v>
      </c>
      <c r="B13" s="5" t="s">
        <v>226</v>
      </c>
      <c r="C13" s="12" t="s">
        <v>227</v>
      </c>
    </row>
    <row r="14" customFormat="false" ht="15" hidden="false" customHeight="false" outlineLevel="0" collapsed="false">
      <c r="A14" s="5" t="s">
        <v>226</v>
      </c>
      <c r="B14" s="5" t="s">
        <v>221</v>
      </c>
      <c r="C14" s="12" t="s">
        <v>227</v>
      </c>
    </row>
    <row r="15" customFormat="false" ht="15" hidden="false" customHeight="false" outlineLevel="0" collapsed="false">
      <c r="A15" s="5" t="s">
        <v>221</v>
      </c>
      <c r="B15" s="5" t="s">
        <v>226</v>
      </c>
      <c r="C15" s="12" t="s">
        <v>227</v>
      </c>
    </row>
    <row r="16" customFormat="false" ht="15" hidden="false" customHeight="false" outlineLevel="0" collapsed="false">
      <c r="A16" s="5" t="s">
        <v>228</v>
      </c>
      <c r="B16" s="5" t="s">
        <v>223</v>
      </c>
      <c r="C16" s="12" t="s">
        <v>229</v>
      </c>
    </row>
    <row r="17" customFormat="false" ht="15" hidden="false" customHeight="false" outlineLevel="0" collapsed="false">
      <c r="A17" s="5" t="s">
        <v>228</v>
      </c>
      <c r="B17" s="5" t="s">
        <v>221</v>
      </c>
      <c r="C17" s="12" t="s">
        <v>229</v>
      </c>
    </row>
    <row r="20" customFormat="false" ht="15" hidden="false" customHeight="false" outlineLevel="0" collapsed="false">
      <c r="A20" s="4" t="s">
        <v>230</v>
      </c>
      <c r="B20" s="4" t="s">
        <v>218</v>
      </c>
      <c r="C20" s="4" t="s">
        <v>228</v>
      </c>
      <c r="D20" s="4" t="s">
        <v>222</v>
      </c>
      <c r="E20" s="4" t="s">
        <v>219</v>
      </c>
      <c r="F20" s="4" t="s">
        <v>221</v>
      </c>
      <c r="G20" s="4" t="s">
        <v>226</v>
      </c>
      <c r="H20" s="4" t="s">
        <v>223</v>
      </c>
    </row>
    <row r="21" customFormat="false" ht="15" hidden="false" customHeight="false" outlineLevel="0" collapsed="false">
      <c r="A21" s="4" t="s">
        <v>218</v>
      </c>
      <c r="B21" s="16" t="n">
        <f aca="false">COUNTIFS($A$4:$A$17,$A21,$B$4:$B$17,B$20)</f>
        <v>0</v>
      </c>
      <c r="C21" s="16" t="n">
        <f aca="false">COUNTIFS($A$4:$A$17,$A21,$B$4:$B$17,C$20)</f>
        <v>0</v>
      </c>
      <c r="D21" s="16" t="n">
        <f aca="false">COUNTIFS($A$4:$A$17,$A21,$B$4:$B$17,D$20)</f>
        <v>1</v>
      </c>
      <c r="E21" s="16" t="n">
        <f aca="false">COUNTIFS($A$4:$A$17,$A21,$B$4:$B$17,E$20)</f>
        <v>1</v>
      </c>
      <c r="F21" s="16" t="n">
        <f aca="false">COUNTIFS($A$4:$A$17,$A21,$B$4:$B$17,F$20)</f>
        <v>1</v>
      </c>
      <c r="G21" s="16" t="n">
        <f aca="false">COUNTIFS($A$4:$A$17,$A21,$B$4:$B$17,G$20)</f>
        <v>0</v>
      </c>
      <c r="H21" s="16" t="n">
        <f aca="false">COUNTIFS($A$4:$A$17,$A21,$B$4:$B$17,H$20)</f>
        <v>0</v>
      </c>
    </row>
    <row r="22" customFormat="false" ht="15" hidden="false" customHeight="false" outlineLevel="0" collapsed="false">
      <c r="A22" s="4" t="s">
        <v>228</v>
      </c>
      <c r="B22" s="16" t="n">
        <f aca="false">COUNTIFS($A$4:$A$17,$A22,$B$4:$B$17,B$20)</f>
        <v>0</v>
      </c>
      <c r="C22" s="16" t="n">
        <f aca="false">COUNTIFS($A$4:$A$17,$A22,$B$4:$B$17,C$20)</f>
        <v>0</v>
      </c>
      <c r="D22" s="16" t="n">
        <f aca="false">COUNTIFS($A$4:$A$17,$A22,$B$4:$B$17,D$20)</f>
        <v>0</v>
      </c>
      <c r="E22" s="16" t="n">
        <f aca="false">COUNTIFS($A$4:$A$17,$A22,$B$4:$B$17,E$20)</f>
        <v>0</v>
      </c>
      <c r="F22" s="16" t="n">
        <f aca="false">COUNTIFS($A$4:$A$17,$A22,$B$4:$B$17,F$20)</f>
        <v>1</v>
      </c>
      <c r="G22" s="16" t="n">
        <f aca="false">COUNTIFS($A$4:$A$17,$A22,$B$4:$B$17,G$20)</f>
        <v>0</v>
      </c>
      <c r="H22" s="16" t="n">
        <f aca="false">COUNTIFS($A$4:$A$17,$A22,$B$4:$B$17,H$20)</f>
        <v>1</v>
      </c>
    </row>
    <row r="23" customFormat="false" ht="15" hidden="false" customHeight="false" outlineLevel="0" collapsed="false">
      <c r="A23" s="4" t="s">
        <v>222</v>
      </c>
      <c r="B23" s="16" t="n">
        <f aca="false">COUNTIFS($A$4:$A$17,$A23,$B$4:$B$17,B$20)</f>
        <v>0</v>
      </c>
      <c r="C23" s="16" t="n">
        <f aca="false">COUNTIFS($A$4:$A$17,$A23,$B$4:$B$17,C$20)</f>
        <v>0</v>
      </c>
      <c r="D23" s="16" t="n">
        <f aca="false">COUNTIFS($A$4:$A$17,$A23,$B$4:$B$17,D$20)</f>
        <v>0</v>
      </c>
      <c r="E23" s="16" t="n">
        <f aca="false">COUNTIFS($A$4:$A$17,$A23,$B$4:$B$17,E$20)</f>
        <v>0</v>
      </c>
      <c r="F23" s="16" t="n">
        <f aca="false">COUNTIFS($A$4:$A$17,$A23,$B$4:$B$17,F$20)</f>
        <v>0</v>
      </c>
      <c r="G23" s="16" t="n">
        <f aca="false">COUNTIFS($A$4:$A$17,$A23,$B$4:$B$17,G$20)</f>
        <v>0</v>
      </c>
      <c r="H23" s="16" t="n">
        <f aca="false">COUNTIFS($A$4:$A$17,$A23,$B$4:$B$17,H$20)</f>
        <v>1</v>
      </c>
    </row>
    <row r="24" customFormat="false" ht="15" hidden="false" customHeight="false" outlineLevel="0" collapsed="false">
      <c r="A24" s="4" t="s">
        <v>219</v>
      </c>
      <c r="B24" s="16" t="n">
        <f aca="false">COUNTIFS($A$4:$A$17,$A24,$B$4:$B$17,B$20)</f>
        <v>0</v>
      </c>
      <c r="C24" s="16" t="n">
        <f aca="false">COUNTIFS($A$4:$A$17,$A24,$B$4:$B$17,C$20)</f>
        <v>0</v>
      </c>
      <c r="D24" s="16" t="n">
        <f aca="false">COUNTIFS($A$4:$A$17,$A24,$B$4:$B$17,D$20)</f>
        <v>0</v>
      </c>
      <c r="E24" s="16" t="n">
        <f aca="false">COUNTIFS($A$4:$A$17,$A24,$B$4:$B$17,E$20)</f>
        <v>0</v>
      </c>
      <c r="F24" s="16" t="n">
        <f aca="false">COUNTIFS($A$4:$A$17,$A24,$B$4:$B$17,F$20)</f>
        <v>0</v>
      </c>
      <c r="G24" s="16" t="n">
        <f aca="false">COUNTIFS($A$4:$A$17,$A24,$B$4:$B$17,G$20)</f>
        <v>1</v>
      </c>
      <c r="H24" s="16" t="n">
        <f aca="false">COUNTIFS($A$4:$A$17,$A24,$B$4:$B$17,H$20)</f>
        <v>1</v>
      </c>
    </row>
    <row r="25" customFormat="false" ht="15" hidden="false" customHeight="false" outlineLevel="0" collapsed="false">
      <c r="A25" s="4" t="s">
        <v>221</v>
      </c>
      <c r="B25" s="16" t="n">
        <f aca="false">COUNTIFS($A$4:$A$17,$A25,$B$4:$B$17,B$20)</f>
        <v>0</v>
      </c>
      <c r="C25" s="16" t="n">
        <f aca="false">COUNTIFS($A$4:$A$17,$A25,$B$4:$B$17,C$20)</f>
        <v>0</v>
      </c>
      <c r="D25" s="16" t="n">
        <f aca="false">COUNTIFS($A$4:$A$17,$A25,$B$4:$B$17,D$20)</f>
        <v>0</v>
      </c>
      <c r="E25" s="16" t="n">
        <f aca="false">COUNTIFS($A$4:$A$17,$A25,$B$4:$B$17,E$20)</f>
        <v>0</v>
      </c>
      <c r="F25" s="16" t="n">
        <f aca="false">COUNTIFS($A$4:$A$17,$A25,$B$4:$B$17,F$20)</f>
        <v>0</v>
      </c>
      <c r="G25" s="16" t="n">
        <f aca="false">COUNTIFS($A$4:$A$17,$A25,$B$4:$B$17,G$20)</f>
        <v>1</v>
      </c>
      <c r="H25" s="16" t="n">
        <f aca="false">COUNTIFS($A$4:$A$17,$A25,$B$4:$B$17,H$20)</f>
        <v>1</v>
      </c>
    </row>
    <row r="26" customFormat="false" ht="15" hidden="false" customHeight="false" outlineLevel="0" collapsed="false">
      <c r="A26" s="4" t="s">
        <v>226</v>
      </c>
      <c r="B26" s="16" t="n">
        <f aca="false">COUNTIFS($A$4:$A$17,$A26,$B$4:$B$17,B$20)</f>
        <v>0</v>
      </c>
      <c r="C26" s="16" t="n">
        <f aca="false">COUNTIFS($A$4:$A$17,$A26,$B$4:$B$17,C$20)</f>
        <v>0</v>
      </c>
      <c r="D26" s="16" t="n">
        <f aca="false">COUNTIFS($A$4:$A$17,$A26,$B$4:$B$17,D$20)</f>
        <v>0</v>
      </c>
      <c r="E26" s="16" t="n">
        <f aca="false">COUNTIFS($A$4:$A$17,$A26,$B$4:$B$17,E$20)</f>
        <v>1</v>
      </c>
      <c r="F26" s="16" t="n">
        <f aca="false">COUNTIFS($A$4:$A$17,$A26,$B$4:$B$17,F$20)</f>
        <v>1</v>
      </c>
      <c r="G26" s="16" t="n">
        <f aca="false">COUNTIFS($A$4:$A$17,$A26,$B$4:$B$17,G$20)</f>
        <v>0</v>
      </c>
      <c r="H26" s="16" t="n">
        <f aca="false">COUNTIFS($A$4:$A$17,$A26,$B$4:$B$17,H$20)</f>
        <v>0</v>
      </c>
    </row>
    <row r="27" customFormat="false" ht="15" hidden="false" customHeight="false" outlineLevel="0" collapsed="false">
      <c r="A27" s="4" t="s">
        <v>223</v>
      </c>
      <c r="B27" s="16" t="n">
        <f aca="false">COUNTIFS($A$4:$A$17,$A27,$B$4:$B$17,B$20)</f>
        <v>0</v>
      </c>
      <c r="C27" s="16" t="n">
        <f aca="false">COUNTIFS($A$4:$A$17,$A27,$B$4:$B$17,C$20)</f>
        <v>0</v>
      </c>
      <c r="D27" s="16" t="n">
        <f aca="false">COUNTIFS($A$4:$A$17,$A27,$B$4:$B$17,D$20)</f>
        <v>0</v>
      </c>
      <c r="E27" s="16" t="n">
        <f aca="false">COUNTIFS($A$4:$A$17,$A27,$B$4:$B$17,E$20)</f>
        <v>1</v>
      </c>
      <c r="F27" s="16" t="n">
        <f aca="false">COUNTIFS($A$4:$A$17,$A27,$B$4:$B$17,F$20)</f>
        <v>1</v>
      </c>
      <c r="G27" s="16" t="n">
        <f aca="false">COUNTIFS($A$4:$A$17,$A27,$B$4:$B$17,G$20)</f>
        <v>0</v>
      </c>
      <c r="H27" s="16" t="n">
        <f aca="false">COUNTIFS($A$4:$A$17,$A27,$B$4:$B$17,H$20)</f>
        <v>0</v>
      </c>
    </row>
    <row r="30" customFormat="false" ht="15" hidden="false" customHeight="false" outlineLevel="0" collapsed="false">
      <c r="A30" s="4" t="s">
        <v>231</v>
      </c>
      <c r="B30" s="4" t="s">
        <v>218</v>
      </c>
      <c r="C30" s="4" t="s">
        <v>228</v>
      </c>
      <c r="D30" s="4" t="s">
        <v>222</v>
      </c>
      <c r="E30" s="4" t="s">
        <v>219</v>
      </c>
      <c r="F30" s="4" t="s">
        <v>221</v>
      </c>
      <c r="G30" s="4" t="s">
        <v>226</v>
      </c>
      <c r="H30" s="4" t="s">
        <v>223</v>
      </c>
    </row>
    <row r="31" customFormat="false" ht="15" hidden="false" customHeight="false" outlineLevel="0" collapsed="false">
      <c r="A31" s="4" t="s">
        <v>218</v>
      </c>
      <c r="B31" s="16" t="n">
        <f aca="false">IF($A31=B$30,0,IF(B21&gt;0,1,99))</f>
        <v>0</v>
      </c>
      <c r="C31" s="16" t="n">
        <f aca="false">IF($A31=C$30,0,IF(C21&gt;0,1,99))</f>
        <v>99</v>
      </c>
      <c r="D31" s="16" t="n">
        <f aca="false">IF($A31=D$30,0,IF(D21&gt;0,1,99))</f>
        <v>1</v>
      </c>
      <c r="E31" s="16" t="n">
        <f aca="false">IF($A31=E$30,0,IF(E21&gt;0,1,99))</f>
        <v>1</v>
      </c>
      <c r="F31" s="16" t="n">
        <f aca="false">IF($A31=F$30,0,IF(F21&gt;0,1,99))</f>
        <v>1</v>
      </c>
      <c r="G31" s="16" t="n">
        <f aca="false">IF($A31=G$30,0,IF(G21&gt;0,1,99))</f>
        <v>99</v>
      </c>
      <c r="H31" s="16" t="n">
        <f aca="false">IF($A31=H$30,0,IF(H21&gt;0,1,99))</f>
        <v>99</v>
      </c>
    </row>
    <row r="32" customFormat="false" ht="15" hidden="false" customHeight="false" outlineLevel="0" collapsed="false">
      <c r="A32" s="4" t="s">
        <v>228</v>
      </c>
      <c r="B32" s="16" t="n">
        <f aca="false">IF($A32=B$30,0,IF(B22&gt;0,1,99))</f>
        <v>99</v>
      </c>
      <c r="C32" s="16" t="n">
        <f aca="false">IF($A32=C$30,0,IF(C22&gt;0,1,99))</f>
        <v>0</v>
      </c>
      <c r="D32" s="16" t="n">
        <f aca="false">IF($A32=D$30,0,IF(D22&gt;0,1,99))</f>
        <v>99</v>
      </c>
      <c r="E32" s="16" t="n">
        <f aca="false">IF($A32=E$30,0,IF(E22&gt;0,1,99))</f>
        <v>99</v>
      </c>
      <c r="F32" s="16" t="n">
        <f aca="false">IF($A32=F$30,0,IF(F22&gt;0,1,99))</f>
        <v>1</v>
      </c>
      <c r="G32" s="16" t="n">
        <f aca="false">IF($A32=G$30,0,IF(G22&gt;0,1,99))</f>
        <v>99</v>
      </c>
      <c r="H32" s="16" t="n">
        <f aca="false">IF($A32=H$30,0,IF(H22&gt;0,1,99))</f>
        <v>1</v>
      </c>
    </row>
    <row r="33" customFormat="false" ht="15" hidden="false" customHeight="false" outlineLevel="0" collapsed="false">
      <c r="A33" s="4" t="s">
        <v>222</v>
      </c>
      <c r="B33" s="16" t="n">
        <f aca="false">IF($A33=B$30,0,IF(B23&gt;0,1,99))</f>
        <v>99</v>
      </c>
      <c r="C33" s="16" t="n">
        <f aca="false">IF($A33=C$30,0,IF(C23&gt;0,1,99))</f>
        <v>99</v>
      </c>
      <c r="D33" s="16" t="n">
        <f aca="false">IF($A33=D$30,0,IF(D23&gt;0,1,99))</f>
        <v>0</v>
      </c>
      <c r="E33" s="16" t="n">
        <f aca="false">IF($A33=E$30,0,IF(E23&gt;0,1,99))</f>
        <v>99</v>
      </c>
      <c r="F33" s="16" t="n">
        <f aca="false">IF($A33=F$30,0,IF(F23&gt;0,1,99))</f>
        <v>99</v>
      </c>
      <c r="G33" s="16" t="n">
        <f aca="false">IF($A33=G$30,0,IF(G23&gt;0,1,99))</f>
        <v>99</v>
      </c>
      <c r="H33" s="16" t="n">
        <f aca="false">IF($A33=H$30,0,IF(H23&gt;0,1,99))</f>
        <v>1</v>
      </c>
    </row>
    <row r="34" customFormat="false" ht="15" hidden="false" customHeight="false" outlineLevel="0" collapsed="false">
      <c r="A34" s="4" t="s">
        <v>219</v>
      </c>
      <c r="B34" s="16" t="n">
        <f aca="false">IF($A34=B$30,0,IF(B24&gt;0,1,99))</f>
        <v>99</v>
      </c>
      <c r="C34" s="16" t="n">
        <f aca="false">IF($A34=C$30,0,IF(C24&gt;0,1,99))</f>
        <v>99</v>
      </c>
      <c r="D34" s="16" t="n">
        <f aca="false">IF($A34=D$30,0,IF(D24&gt;0,1,99))</f>
        <v>99</v>
      </c>
      <c r="E34" s="16" t="n">
        <f aca="false">IF($A34=E$30,0,IF(E24&gt;0,1,99))</f>
        <v>0</v>
      </c>
      <c r="F34" s="16" t="n">
        <f aca="false">IF($A34=F$30,0,IF(F24&gt;0,1,99))</f>
        <v>99</v>
      </c>
      <c r="G34" s="16" t="n">
        <f aca="false">IF($A34=G$30,0,IF(G24&gt;0,1,99))</f>
        <v>1</v>
      </c>
      <c r="H34" s="16" t="n">
        <f aca="false">IF($A34=H$30,0,IF(H24&gt;0,1,99))</f>
        <v>1</v>
      </c>
    </row>
    <row r="35" customFormat="false" ht="15" hidden="false" customHeight="false" outlineLevel="0" collapsed="false">
      <c r="A35" s="4" t="s">
        <v>221</v>
      </c>
      <c r="B35" s="16" t="n">
        <f aca="false">IF($A35=B$30,0,IF(B25&gt;0,1,99))</f>
        <v>99</v>
      </c>
      <c r="C35" s="16" t="n">
        <f aca="false">IF($A35=C$30,0,IF(C25&gt;0,1,99))</f>
        <v>99</v>
      </c>
      <c r="D35" s="16" t="n">
        <f aca="false">IF($A35=D$30,0,IF(D25&gt;0,1,99))</f>
        <v>99</v>
      </c>
      <c r="E35" s="16" t="n">
        <f aca="false">IF($A35=E$30,0,IF(E25&gt;0,1,99))</f>
        <v>99</v>
      </c>
      <c r="F35" s="16" t="n">
        <f aca="false">IF($A35=F$30,0,IF(F25&gt;0,1,99))</f>
        <v>0</v>
      </c>
      <c r="G35" s="16" t="n">
        <f aca="false">IF($A35=G$30,0,IF(G25&gt;0,1,99))</f>
        <v>1</v>
      </c>
      <c r="H35" s="16" t="n">
        <f aca="false">IF($A35=H$30,0,IF(H25&gt;0,1,99))</f>
        <v>1</v>
      </c>
    </row>
    <row r="36" customFormat="false" ht="15" hidden="false" customHeight="false" outlineLevel="0" collapsed="false">
      <c r="A36" s="4" t="s">
        <v>226</v>
      </c>
      <c r="B36" s="16" t="n">
        <f aca="false">IF($A36=B$30,0,IF(B26&gt;0,1,99))</f>
        <v>99</v>
      </c>
      <c r="C36" s="16" t="n">
        <f aca="false">IF($A36=C$30,0,IF(C26&gt;0,1,99))</f>
        <v>99</v>
      </c>
      <c r="D36" s="16" t="n">
        <f aca="false">IF($A36=D$30,0,IF(D26&gt;0,1,99))</f>
        <v>99</v>
      </c>
      <c r="E36" s="16" t="n">
        <f aca="false">IF($A36=E$30,0,IF(E26&gt;0,1,99))</f>
        <v>1</v>
      </c>
      <c r="F36" s="16" t="n">
        <f aca="false">IF($A36=F$30,0,IF(F26&gt;0,1,99))</f>
        <v>1</v>
      </c>
      <c r="G36" s="16" t="n">
        <f aca="false">IF($A36=G$30,0,IF(G26&gt;0,1,99))</f>
        <v>0</v>
      </c>
      <c r="H36" s="16" t="n">
        <f aca="false">IF($A36=H$30,0,IF(H26&gt;0,1,99))</f>
        <v>99</v>
      </c>
    </row>
    <row r="37" customFormat="false" ht="15" hidden="false" customHeight="false" outlineLevel="0" collapsed="false">
      <c r="A37" s="4" t="s">
        <v>223</v>
      </c>
      <c r="B37" s="16" t="n">
        <f aca="false">IF($A37=B$30,0,IF(B27&gt;0,1,99))</f>
        <v>99</v>
      </c>
      <c r="C37" s="16" t="n">
        <f aca="false">IF($A37=C$30,0,IF(C27&gt;0,1,99))</f>
        <v>99</v>
      </c>
      <c r="D37" s="16" t="n">
        <f aca="false">IF($A37=D$30,0,IF(D27&gt;0,1,99))</f>
        <v>99</v>
      </c>
      <c r="E37" s="16" t="n">
        <f aca="false">IF($A37=E$30,0,IF(E27&gt;0,1,99))</f>
        <v>1</v>
      </c>
      <c r="F37" s="16" t="n">
        <f aca="false">IF($A37=F$30,0,IF(F27&gt;0,1,99))</f>
        <v>1</v>
      </c>
      <c r="G37" s="16" t="n">
        <f aca="false">IF($A37=G$30,0,IF(G27&gt;0,1,99))</f>
        <v>99</v>
      </c>
      <c r="H37" s="16" t="n">
        <f aca="false">IF($A37=H$30,0,IF(H27&gt;0,1,99))</f>
        <v>0</v>
      </c>
    </row>
    <row r="40" customFormat="false" ht="15" hidden="false" customHeight="false" outlineLevel="0" collapsed="false">
      <c r="A40" s="4" t="s">
        <v>232</v>
      </c>
      <c r="B40" s="4" t="s">
        <v>218</v>
      </c>
      <c r="C40" s="4" t="s">
        <v>228</v>
      </c>
      <c r="D40" s="4" t="s">
        <v>222</v>
      </c>
      <c r="E40" s="4" t="s">
        <v>219</v>
      </c>
      <c r="F40" s="4" t="s">
        <v>221</v>
      </c>
      <c r="G40" s="4" t="s">
        <v>226</v>
      </c>
      <c r="H40" s="4" t="s">
        <v>223</v>
      </c>
    </row>
    <row r="41" customFormat="false" ht="15" hidden="false" customHeight="false" outlineLevel="0" collapsed="false">
      <c r="A41" s="4" t="s">
        <v>218</v>
      </c>
      <c r="B41" s="16" t="n">
        <f aca="false">MIN(99,B31+B31,C31+B32,D31+B33,E31+B34,F31+B35,G31+B36,H31+B37)</f>
        <v>0</v>
      </c>
      <c r="C41" s="16" t="n">
        <f aca="false">MIN(99,B31+C31,C31+C32,D31+C33,E31+C34,F31+C35,G31+C36,H31+C37)</f>
        <v>99</v>
      </c>
      <c r="D41" s="16" t="n">
        <f aca="false">MIN(99,B31+D31,C31+D32,D31+D33,E31+D34,F31+D35,G31+D36,H31+D37)</f>
        <v>1</v>
      </c>
      <c r="E41" s="16" t="n">
        <f aca="false">MIN(99,B31+E31,C31+E32,D31+E33,E31+E34,F31+E35,G31+E36,H31+E37)</f>
        <v>1</v>
      </c>
      <c r="F41" s="16" t="n">
        <f aca="false">MIN(99,B31+F31,C31+F32,D31+F33,E31+F34,F31+F35,G31+F36,H31+F37)</f>
        <v>1</v>
      </c>
      <c r="G41" s="16" t="n">
        <f aca="false">MIN(99,B31+G31,C31+G32,D31+G33,E31+G34,F31+G35,G31+G36,H31+G37)</f>
        <v>2</v>
      </c>
      <c r="H41" s="16" t="n">
        <f aca="false">MIN(99,B31+H31,C31+H32,D31+H33,E31+H34,F31+H35,G31+H36,H31+H37)</f>
        <v>2</v>
      </c>
    </row>
    <row r="42" customFormat="false" ht="15" hidden="false" customHeight="false" outlineLevel="0" collapsed="false">
      <c r="A42" s="4" t="s">
        <v>228</v>
      </c>
      <c r="B42" s="16" t="n">
        <f aca="false">MIN(99,B32+B31,C32+B32,D32+B33,E32+B34,F32+B35,G32+B36,H32+B37)</f>
        <v>99</v>
      </c>
      <c r="C42" s="16" t="n">
        <f aca="false">MIN(99,B32+C31,C32+C32,D32+C33,E32+C34,F32+C35,G32+C36,H32+C37)</f>
        <v>0</v>
      </c>
      <c r="D42" s="16" t="n">
        <f aca="false">MIN(99,B32+D31,C32+D32,D32+D33,E32+D34,F32+D35,G32+D36,H32+D37)</f>
        <v>99</v>
      </c>
      <c r="E42" s="16" t="n">
        <f aca="false">MIN(99,B32+E31,C32+E32,D32+E33,E32+E34,F32+E35,G32+E36,H32+E37)</f>
        <v>2</v>
      </c>
      <c r="F42" s="16" t="n">
        <f aca="false">MIN(99,B32+F31,C32+F32,D32+F33,E32+F34,F32+F35,G32+F36,H32+F37)</f>
        <v>1</v>
      </c>
      <c r="G42" s="16" t="n">
        <f aca="false">MIN(99,B32+G31,C32+G32,D32+G33,E32+G34,F32+G35,G32+G36,H32+G37)</f>
        <v>2</v>
      </c>
      <c r="H42" s="16" t="n">
        <f aca="false">MIN(99,B32+H31,C32+H32,D32+H33,E32+H34,F32+H35,G32+H36,H32+H37)</f>
        <v>1</v>
      </c>
    </row>
    <row r="43" customFormat="false" ht="15" hidden="false" customHeight="false" outlineLevel="0" collapsed="false">
      <c r="A43" s="4" t="s">
        <v>222</v>
      </c>
      <c r="B43" s="16" t="n">
        <f aca="false">MIN(99,B33+B31,C33+B32,D33+B33,E33+B34,F33+B35,G33+B36,H33+B37)</f>
        <v>99</v>
      </c>
      <c r="C43" s="16" t="n">
        <f aca="false">MIN(99,B33+C31,C33+C32,D33+C33,E33+C34,F33+C35,G33+C36,H33+C37)</f>
        <v>99</v>
      </c>
      <c r="D43" s="16" t="n">
        <f aca="false">MIN(99,B33+D31,C33+D32,D33+D33,E33+D34,F33+D35,G33+D36,H33+D37)</f>
        <v>0</v>
      </c>
      <c r="E43" s="16" t="n">
        <f aca="false">MIN(99,B33+E31,C33+E32,D33+E33,E33+E34,F33+E35,G33+E36,H33+E37)</f>
        <v>2</v>
      </c>
      <c r="F43" s="16" t="n">
        <f aca="false">MIN(99,B33+F31,C33+F32,D33+F33,E33+F34,F33+F35,G33+F36,H33+F37)</f>
        <v>2</v>
      </c>
      <c r="G43" s="16" t="n">
        <f aca="false">MIN(99,B33+G31,C33+G32,D33+G33,E33+G34,F33+G35,G33+G36,H33+G37)</f>
        <v>99</v>
      </c>
      <c r="H43" s="16" t="n">
        <f aca="false">MIN(99,B33+H31,C33+H32,D33+H33,E33+H34,F33+H35,G33+H36,H33+H37)</f>
        <v>1</v>
      </c>
    </row>
    <row r="44" customFormat="false" ht="15" hidden="false" customHeight="false" outlineLevel="0" collapsed="false">
      <c r="A44" s="4" t="s">
        <v>219</v>
      </c>
      <c r="B44" s="16" t="n">
        <f aca="false">MIN(99,B34+B31,C34+B32,D34+B33,E34+B34,F34+B35,G34+B36,H34+B37)</f>
        <v>99</v>
      </c>
      <c r="C44" s="16" t="n">
        <f aca="false">MIN(99,B34+C31,C34+C32,D34+C33,E34+C34,F34+C35,G34+C36,H34+C37)</f>
        <v>99</v>
      </c>
      <c r="D44" s="16" t="n">
        <f aca="false">MIN(99,B34+D31,C34+D32,D34+D33,E34+D34,F34+D35,G34+D36,H34+D37)</f>
        <v>99</v>
      </c>
      <c r="E44" s="16" t="n">
        <f aca="false">MIN(99,B34+E31,C34+E32,D34+E33,E34+E34,F34+E35,G34+E36,H34+E37)</f>
        <v>0</v>
      </c>
      <c r="F44" s="16" t="n">
        <f aca="false">MIN(99,B34+F31,C34+F32,D34+F33,E34+F34,F34+F35,G34+F36,H34+F37)</f>
        <v>2</v>
      </c>
      <c r="G44" s="16" t="n">
        <f aca="false">MIN(99,B34+G31,C34+G32,D34+G33,E34+G34,F34+G35,G34+G36,H34+G37)</f>
        <v>1</v>
      </c>
      <c r="H44" s="16" t="n">
        <f aca="false">MIN(99,B34+H31,C34+H32,D34+H33,E34+H34,F34+H35,G34+H36,H34+H37)</f>
        <v>1</v>
      </c>
    </row>
    <row r="45" customFormat="false" ht="15" hidden="false" customHeight="false" outlineLevel="0" collapsed="false">
      <c r="A45" s="4" t="s">
        <v>221</v>
      </c>
      <c r="B45" s="16" t="n">
        <f aca="false">MIN(99,B35+B31,C35+B32,D35+B33,E35+B34,F35+B35,G35+B36,H35+B37)</f>
        <v>99</v>
      </c>
      <c r="C45" s="16" t="n">
        <f aca="false">MIN(99,B35+C31,C35+C32,D35+C33,E35+C34,F35+C35,G35+C36,H35+C37)</f>
        <v>99</v>
      </c>
      <c r="D45" s="16" t="n">
        <f aca="false">MIN(99,B35+D31,C35+D32,D35+D33,E35+D34,F35+D35,G35+D36,H35+D37)</f>
        <v>99</v>
      </c>
      <c r="E45" s="16" t="n">
        <f aca="false">MIN(99,B35+E31,C35+E32,D35+E33,E35+E34,F35+E35,G35+E36,H35+E37)</f>
        <v>2</v>
      </c>
      <c r="F45" s="16" t="n">
        <f aca="false">MIN(99,B35+F31,C35+F32,D35+F33,E35+F34,F35+F35,G35+F36,H35+F37)</f>
        <v>0</v>
      </c>
      <c r="G45" s="16" t="n">
        <f aca="false">MIN(99,B35+G31,C35+G32,D35+G33,E35+G34,F35+G35,G35+G36,H35+G37)</f>
        <v>1</v>
      </c>
      <c r="H45" s="16" t="n">
        <f aca="false">MIN(99,B35+H31,C35+H32,D35+H33,E35+H34,F35+H35,G35+H36,H35+H37)</f>
        <v>1</v>
      </c>
    </row>
    <row r="46" customFormat="false" ht="15" hidden="false" customHeight="false" outlineLevel="0" collapsed="false">
      <c r="A46" s="4" t="s">
        <v>226</v>
      </c>
      <c r="B46" s="16" t="n">
        <f aca="false">MIN(99,B36+B31,C36+B32,D36+B33,E36+B34,F36+B35,G36+B36,H36+B37)</f>
        <v>99</v>
      </c>
      <c r="C46" s="16" t="n">
        <f aca="false">MIN(99,B36+C31,C36+C32,D36+C33,E36+C34,F36+C35,G36+C36,H36+C37)</f>
        <v>99</v>
      </c>
      <c r="D46" s="16" t="n">
        <f aca="false">MIN(99,B36+D31,C36+D32,D36+D33,E36+D34,F36+D35,G36+D36,H36+D37)</f>
        <v>99</v>
      </c>
      <c r="E46" s="16" t="n">
        <f aca="false">MIN(99,B36+E31,C36+E32,D36+E33,E36+E34,F36+E35,G36+E36,H36+E37)</f>
        <v>1</v>
      </c>
      <c r="F46" s="16" t="n">
        <f aca="false">MIN(99,B36+F31,C36+F32,D36+F33,E36+F34,F36+F35,G36+F36,H36+F37)</f>
        <v>1</v>
      </c>
      <c r="G46" s="16" t="n">
        <f aca="false">MIN(99,B36+G31,C36+G32,D36+G33,E36+G34,F36+G35,G36+G36,H36+G37)</f>
        <v>0</v>
      </c>
      <c r="H46" s="16" t="n">
        <f aca="false">MIN(99,B36+H31,C36+H32,D36+H33,E36+H34,F36+H35,G36+H36,H36+H37)</f>
        <v>2</v>
      </c>
    </row>
    <row r="47" customFormat="false" ht="15" hidden="false" customHeight="false" outlineLevel="0" collapsed="false">
      <c r="A47" s="4" t="s">
        <v>223</v>
      </c>
      <c r="B47" s="16" t="n">
        <f aca="false">MIN(99,B37+B31,C37+B32,D37+B33,E37+B34,F37+B35,G37+B36,H37+B37)</f>
        <v>99</v>
      </c>
      <c r="C47" s="16" t="n">
        <f aca="false">MIN(99,B37+C31,C37+C32,D37+C33,E37+C34,F37+C35,G37+C36,H37+C37)</f>
        <v>99</v>
      </c>
      <c r="D47" s="16" t="n">
        <f aca="false">MIN(99,B37+D31,C37+D32,D37+D33,E37+D34,F37+D35,G37+D36,H37+D37)</f>
        <v>99</v>
      </c>
      <c r="E47" s="16" t="n">
        <f aca="false">MIN(99,B37+E31,C37+E32,D37+E33,E37+E34,F37+E35,G37+E36,H37+E37)</f>
        <v>1</v>
      </c>
      <c r="F47" s="16" t="n">
        <f aca="false">MIN(99,B37+F31,C37+F32,D37+F33,E37+F34,F37+F35,G37+F36,H37+F37)</f>
        <v>1</v>
      </c>
      <c r="G47" s="16" t="n">
        <f aca="false">MIN(99,B37+G31,C37+G32,D37+G33,E37+G34,F37+G35,G37+G36,H37+G37)</f>
        <v>2</v>
      </c>
      <c r="H47" s="16" t="n">
        <f aca="false">MIN(99,B37+H31,C37+H32,D37+H33,E37+H34,F37+H35,G37+H36,H37+H37)</f>
        <v>0</v>
      </c>
    </row>
    <row r="50" customFormat="false" ht="15" hidden="false" customHeight="false" outlineLevel="0" collapsed="false">
      <c r="A50" s="4" t="s">
        <v>233</v>
      </c>
      <c r="B50" s="4" t="s">
        <v>218</v>
      </c>
      <c r="C50" s="4" t="s">
        <v>228</v>
      </c>
      <c r="D50" s="4" t="s">
        <v>222</v>
      </c>
      <c r="E50" s="4" t="s">
        <v>219</v>
      </c>
      <c r="F50" s="4" t="s">
        <v>221</v>
      </c>
      <c r="G50" s="4" t="s">
        <v>226</v>
      </c>
      <c r="H50" s="4" t="s">
        <v>223</v>
      </c>
    </row>
    <row r="51" customFormat="false" ht="15" hidden="false" customHeight="false" outlineLevel="0" collapsed="false">
      <c r="A51" s="4" t="s">
        <v>218</v>
      </c>
      <c r="B51" s="16" t="n">
        <f aca="false">MIN(99,B41+B41,C41+B42,D41+B43,E41+B44,F41+B45,G41+B46,H41+B47)</f>
        <v>0</v>
      </c>
      <c r="C51" s="16" t="n">
        <f aca="false">MIN(99,B41+C41,C41+C42,D41+C43,E41+C44,F41+C45,G41+C46,H41+C47)</f>
        <v>99</v>
      </c>
      <c r="D51" s="16" t="n">
        <f aca="false">MIN(99,B41+D41,C41+D42,D41+D43,E41+D44,F41+D45,G41+D46,H41+D47)</f>
        <v>1</v>
      </c>
      <c r="E51" s="16" t="n">
        <f aca="false">MIN(99,B41+E41,C41+E42,D41+E43,E41+E44,F41+E45,G41+E46,H41+E47)</f>
        <v>1</v>
      </c>
      <c r="F51" s="16" t="n">
        <f aca="false">MIN(99,B41+F41,C41+F42,D41+F43,E41+F44,F41+F45,G41+F46,H41+F47)</f>
        <v>1</v>
      </c>
      <c r="G51" s="16" t="n">
        <f aca="false">MIN(99,B41+G41,C41+G42,D41+G43,E41+G44,F41+G45,G41+G46,H41+G47)</f>
        <v>2</v>
      </c>
      <c r="H51" s="16" t="n">
        <f aca="false">MIN(99,B41+H41,C41+H42,D41+H43,E41+H44,F41+H45,G41+H46,H41+H47)</f>
        <v>2</v>
      </c>
    </row>
    <row r="52" customFormat="false" ht="15" hidden="false" customHeight="false" outlineLevel="0" collapsed="false">
      <c r="A52" s="4" t="s">
        <v>228</v>
      </c>
      <c r="B52" s="16" t="n">
        <f aca="false">MIN(99,B42+B41,C42+B42,D42+B43,E42+B44,F42+B45,G42+B46,H42+B47)</f>
        <v>99</v>
      </c>
      <c r="C52" s="16" t="n">
        <f aca="false">MIN(99,B42+C41,C42+C42,D42+C43,E42+C44,F42+C45,G42+C46,H42+C47)</f>
        <v>0</v>
      </c>
      <c r="D52" s="16" t="n">
        <f aca="false">MIN(99,B42+D41,C42+D42,D42+D43,E42+D44,F42+D45,G42+D46,H42+D47)</f>
        <v>99</v>
      </c>
      <c r="E52" s="16" t="n">
        <f aca="false">MIN(99,B42+E41,C42+E42,D42+E43,E42+E44,F42+E45,G42+E46,H42+E47)</f>
        <v>2</v>
      </c>
      <c r="F52" s="16" t="n">
        <f aca="false">MIN(99,B42+F41,C42+F42,D42+F43,E42+F44,F42+F45,G42+F46,H42+F47)</f>
        <v>1</v>
      </c>
      <c r="G52" s="16" t="n">
        <f aca="false">MIN(99,B42+G41,C42+G42,D42+G43,E42+G44,F42+G45,G42+G46,H42+G47)</f>
        <v>2</v>
      </c>
      <c r="H52" s="16" t="n">
        <f aca="false">MIN(99,B42+H41,C42+H42,D42+H43,E42+H44,F42+H45,G42+H46,H42+H47)</f>
        <v>1</v>
      </c>
    </row>
    <row r="53" customFormat="false" ht="15" hidden="false" customHeight="false" outlineLevel="0" collapsed="false">
      <c r="A53" s="4" t="s">
        <v>222</v>
      </c>
      <c r="B53" s="16" t="n">
        <f aca="false">MIN(99,B43+B41,C43+B42,D43+B43,E43+B44,F43+B45,G43+B46,H43+B47)</f>
        <v>99</v>
      </c>
      <c r="C53" s="16" t="n">
        <f aca="false">MIN(99,B43+C41,C43+C42,D43+C43,E43+C44,F43+C45,G43+C46,H43+C47)</f>
        <v>99</v>
      </c>
      <c r="D53" s="16" t="n">
        <f aca="false">MIN(99,B43+D41,C43+D42,D43+D43,E43+D44,F43+D45,G43+D46,H43+D47)</f>
        <v>0</v>
      </c>
      <c r="E53" s="16" t="n">
        <f aca="false">MIN(99,B43+E41,C43+E42,D43+E43,E43+E44,F43+E45,G43+E46,H43+E47)</f>
        <v>2</v>
      </c>
      <c r="F53" s="16" t="n">
        <f aca="false">MIN(99,B43+F41,C43+F42,D43+F43,E43+F44,F43+F45,G43+F46,H43+F47)</f>
        <v>2</v>
      </c>
      <c r="G53" s="16" t="n">
        <f aca="false">MIN(99,B43+G41,C43+G42,D43+G43,E43+G44,F43+G45,G43+G46,H43+G47)</f>
        <v>3</v>
      </c>
      <c r="H53" s="16" t="n">
        <f aca="false">MIN(99,B43+H41,C43+H42,D43+H43,E43+H44,F43+H45,G43+H46,H43+H47)</f>
        <v>1</v>
      </c>
    </row>
    <row r="54" customFormat="false" ht="15" hidden="false" customHeight="false" outlineLevel="0" collapsed="false">
      <c r="A54" s="4" t="s">
        <v>219</v>
      </c>
      <c r="B54" s="16" t="n">
        <f aca="false">MIN(99,B44+B41,C44+B42,D44+B43,E44+B44,F44+B45,G44+B46,H44+B47)</f>
        <v>99</v>
      </c>
      <c r="C54" s="16" t="n">
        <f aca="false">MIN(99,B44+C41,C44+C42,D44+C43,E44+C44,F44+C45,G44+C46,H44+C47)</f>
        <v>99</v>
      </c>
      <c r="D54" s="16" t="n">
        <f aca="false">MIN(99,B44+D41,C44+D42,D44+D43,E44+D44,F44+D45,G44+D46,H44+D47)</f>
        <v>99</v>
      </c>
      <c r="E54" s="16" t="n">
        <f aca="false">MIN(99,B44+E41,C44+E42,D44+E43,E44+E44,F44+E45,G44+E46,H44+E47)</f>
        <v>0</v>
      </c>
      <c r="F54" s="16" t="n">
        <f aca="false">MIN(99,B44+F41,C44+F42,D44+F43,E44+F44,F44+F45,G44+F46,H44+F47)</f>
        <v>2</v>
      </c>
      <c r="G54" s="16" t="n">
        <f aca="false">MIN(99,B44+G41,C44+G42,D44+G43,E44+G44,F44+G45,G44+G46,H44+G47)</f>
        <v>1</v>
      </c>
      <c r="H54" s="16" t="n">
        <f aca="false">MIN(99,B44+H41,C44+H42,D44+H43,E44+H44,F44+H45,G44+H46,H44+H47)</f>
        <v>1</v>
      </c>
    </row>
    <row r="55" customFormat="false" ht="15" hidden="false" customHeight="false" outlineLevel="0" collapsed="false">
      <c r="A55" s="4" t="s">
        <v>221</v>
      </c>
      <c r="B55" s="16" t="n">
        <f aca="false">MIN(99,B45+B41,C45+B42,D45+B43,E45+B44,F45+B45,G45+B46,H45+B47)</f>
        <v>99</v>
      </c>
      <c r="C55" s="16" t="n">
        <f aca="false">MIN(99,B45+C41,C45+C42,D45+C43,E45+C44,F45+C45,G45+C46,H45+C47)</f>
        <v>99</v>
      </c>
      <c r="D55" s="16" t="n">
        <f aca="false">MIN(99,B45+D41,C45+D42,D45+D43,E45+D44,F45+D45,G45+D46,H45+D47)</f>
        <v>99</v>
      </c>
      <c r="E55" s="16" t="n">
        <f aca="false">MIN(99,B45+E41,C45+E42,D45+E43,E45+E44,F45+E45,G45+E46,H45+E47)</f>
        <v>2</v>
      </c>
      <c r="F55" s="16" t="n">
        <f aca="false">MIN(99,B45+F41,C45+F42,D45+F43,E45+F44,F45+F45,G45+F46,H45+F47)</f>
        <v>0</v>
      </c>
      <c r="G55" s="16" t="n">
        <f aca="false">MIN(99,B45+G41,C45+G42,D45+G43,E45+G44,F45+G45,G45+G46,H45+G47)</f>
        <v>1</v>
      </c>
      <c r="H55" s="16" t="n">
        <f aca="false">MIN(99,B45+H41,C45+H42,D45+H43,E45+H44,F45+H45,G45+H46,H45+H47)</f>
        <v>1</v>
      </c>
    </row>
    <row r="56" customFormat="false" ht="15" hidden="false" customHeight="false" outlineLevel="0" collapsed="false">
      <c r="A56" s="4" t="s">
        <v>226</v>
      </c>
      <c r="B56" s="16" t="n">
        <f aca="false">MIN(99,B46+B41,C46+B42,D46+B43,E46+B44,F46+B45,G46+B46,H46+B47)</f>
        <v>99</v>
      </c>
      <c r="C56" s="16" t="n">
        <f aca="false">MIN(99,B46+C41,C46+C42,D46+C43,E46+C44,F46+C45,G46+C46,H46+C47)</f>
        <v>99</v>
      </c>
      <c r="D56" s="16" t="n">
        <f aca="false">MIN(99,B46+D41,C46+D42,D46+D43,E46+D44,F46+D45,G46+D46,H46+D47)</f>
        <v>99</v>
      </c>
      <c r="E56" s="16" t="n">
        <f aca="false">MIN(99,B46+E41,C46+E42,D46+E43,E46+E44,F46+E45,G46+E46,H46+E47)</f>
        <v>1</v>
      </c>
      <c r="F56" s="16" t="n">
        <f aca="false">MIN(99,B46+F41,C46+F42,D46+F43,E46+F44,F46+F45,G46+F46,H46+F47)</f>
        <v>1</v>
      </c>
      <c r="G56" s="16" t="n">
        <f aca="false">MIN(99,B46+G41,C46+G42,D46+G43,E46+G44,F46+G45,G46+G46,H46+G47)</f>
        <v>0</v>
      </c>
      <c r="H56" s="16" t="n">
        <f aca="false">MIN(99,B46+H41,C46+H42,D46+H43,E46+H44,F46+H45,G46+H46,H46+H47)</f>
        <v>2</v>
      </c>
    </row>
    <row r="57" customFormat="false" ht="15" hidden="false" customHeight="false" outlineLevel="0" collapsed="false">
      <c r="A57" s="4" t="s">
        <v>223</v>
      </c>
      <c r="B57" s="16" t="n">
        <f aca="false">MIN(99,B47+B41,C47+B42,D47+B43,E47+B44,F47+B45,G47+B46,H47+B47)</f>
        <v>99</v>
      </c>
      <c r="C57" s="16" t="n">
        <f aca="false">MIN(99,B47+C41,C47+C42,D47+C43,E47+C44,F47+C45,G47+C46,H47+C47)</f>
        <v>99</v>
      </c>
      <c r="D57" s="16" t="n">
        <f aca="false">MIN(99,B47+D41,C47+D42,D47+D43,E47+D44,F47+D45,G47+D46,H47+D47)</f>
        <v>99</v>
      </c>
      <c r="E57" s="16" t="n">
        <f aca="false">MIN(99,B47+E41,C47+E42,D47+E43,E47+E44,F47+E45,G47+E46,H47+E47)</f>
        <v>1</v>
      </c>
      <c r="F57" s="16" t="n">
        <f aca="false">MIN(99,B47+F41,C47+F42,D47+F43,E47+F44,F47+F45,G47+F46,H47+F47)</f>
        <v>1</v>
      </c>
      <c r="G57" s="16" t="n">
        <f aca="false">MIN(99,B47+G41,C47+G42,D47+G43,E47+G44,F47+G45,G47+G46,H47+G47)</f>
        <v>2</v>
      </c>
      <c r="H57" s="16" t="n">
        <f aca="false">MIN(99,B47+H41,C47+H42,D47+H43,E47+H44,F47+H45,G47+H46,H47+H47)</f>
        <v>0</v>
      </c>
    </row>
    <row r="60" customFormat="false" ht="15" hidden="false" customHeight="false" outlineLevel="0" collapsed="false">
      <c r="A60" s="4" t="s">
        <v>234</v>
      </c>
      <c r="B60" s="4" t="s">
        <v>218</v>
      </c>
      <c r="C60" s="4" t="s">
        <v>228</v>
      </c>
      <c r="D60" s="4" t="s">
        <v>222</v>
      </c>
      <c r="E60" s="4" t="s">
        <v>219</v>
      </c>
      <c r="F60" s="4" t="s">
        <v>221</v>
      </c>
      <c r="G60" s="4" t="s">
        <v>226</v>
      </c>
      <c r="H60" s="4" t="s">
        <v>223</v>
      </c>
    </row>
    <row r="61" customFormat="false" ht="15" hidden="false" customHeight="false" outlineLevel="0" collapsed="false">
      <c r="A61" s="4" t="s">
        <v>218</v>
      </c>
      <c r="B61" s="16" t="n">
        <f aca="false">MIN(99,B51+B51,C51+B52,D51+B53,E51+B54,F51+B55,G51+B56,H51+B57)</f>
        <v>0</v>
      </c>
      <c r="C61" s="16" t="n">
        <f aca="false">MIN(99,B51+C51,C51+C52,D51+C53,E51+C54,F51+C55,G51+C56,H51+C57)</f>
        <v>99</v>
      </c>
      <c r="D61" s="16" t="n">
        <f aca="false">MIN(99,B51+D51,C51+D52,D51+D53,E51+D54,F51+D55,G51+D56,H51+D57)</f>
        <v>1</v>
      </c>
      <c r="E61" s="16" t="n">
        <f aca="false">MIN(99,B51+E51,C51+E52,D51+E53,E51+E54,F51+E55,G51+E56,H51+E57)</f>
        <v>1</v>
      </c>
      <c r="F61" s="16" t="n">
        <f aca="false">MIN(99,B51+F51,C51+F52,D51+F53,E51+F54,F51+F55,G51+F56,H51+F57)</f>
        <v>1</v>
      </c>
      <c r="G61" s="16" t="n">
        <f aca="false">MIN(99,B51+G51,C51+G52,D51+G53,E51+G54,F51+G55,G51+G56,H51+G57)</f>
        <v>2</v>
      </c>
      <c r="H61" s="16" t="n">
        <f aca="false">MIN(99,B51+H51,C51+H52,D51+H53,E51+H54,F51+H55,G51+H56,H51+H57)</f>
        <v>2</v>
      </c>
    </row>
    <row r="62" customFormat="false" ht="15" hidden="false" customHeight="false" outlineLevel="0" collapsed="false">
      <c r="A62" s="4" t="s">
        <v>228</v>
      </c>
      <c r="B62" s="16" t="n">
        <f aca="false">MIN(99,B52+B51,C52+B52,D52+B53,E52+B54,F52+B55,G52+B56,H52+B57)</f>
        <v>99</v>
      </c>
      <c r="C62" s="16" t="n">
        <f aca="false">MIN(99,B52+C51,C52+C52,D52+C53,E52+C54,F52+C55,G52+C56,H52+C57)</f>
        <v>0</v>
      </c>
      <c r="D62" s="16" t="n">
        <f aca="false">MIN(99,B52+D51,C52+D52,D52+D53,E52+D54,F52+D55,G52+D56,H52+D57)</f>
        <v>99</v>
      </c>
      <c r="E62" s="16" t="n">
        <f aca="false">MIN(99,B52+E51,C52+E52,D52+E53,E52+E54,F52+E55,G52+E56,H52+E57)</f>
        <v>2</v>
      </c>
      <c r="F62" s="16" t="n">
        <f aca="false">MIN(99,B52+F51,C52+F52,D52+F53,E52+F54,F52+F55,G52+F56,H52+F57)</f>
        <v>1</v>
      </c>
      <c r="G62" s="16" t="n">
        <f aca="false">MIN(99,B52+G51,C52+G52,D52+G53,E52+G54,F52+G55,G52+G56,H52+G57)</f>
        <v>2</v>
      </c>
      <c r="H62" s="16" t="n">
        <f aca="false">MIN(99,B52+H51,C52+H52,D52+H53,E52+H54,F52+H55,G52+H56,H52+H57)</f>
        <v>1</v>
      </c>
    </row>
    <row r="63" customFormat="false" ht="15" hidden="false" customHeight="false" outlineLevel="0" collapsed="false">
      <c r="A63" s="4" t="s">
        <v>222</v>
      </c>
      <c r="B63" s="16" t="n">
        <f aca="false">MIN(99,B53+B51,C53+B52,D53+B53,E53+B54,F53+B55,G53+B56,H53+B57)</f>
        <v>99</v>
      </c>
      <c r="C63" s="16" t="n">
        <f aca="false">MIN(99,B53+C51,C53+C52,D53+C53,E53+C54,F53+C55,G53+C56,H53+C57)</f>
        <v>99</v>
      </c>
      <c r="D63" s="16" t="n">
        <f aca="false">MIN(99,B53+D51,C53+D52,D53+D53,E53+D54,F53+D55,G53+D56,H53+D57)</f>
        <v>0</v>
      </c>
      <c r="E63" s="16" t="n">
        <f aca="false">MIN(99,B53+E51,C53+E52,D53+E53,E53+E54,F53+E55,G53+E56,H53+E57)</f>
        <v>2</v>
      </c>
      <c r="F63" s="16" t="n">
        <f aca="false">MIN(99,B53+F51,C53+F52,D53+F53,E53+F54,F53+F55,G53+F56,H53+F57)</f>
        <v>2</v>
      </c>
      <c r="G63" s="16" t="n">
        <f aca="false">MIN(99,B53+G51,C53+G52,D53+G53,E53+G54,F53+G55,G53+G56,H53+G57)</f>
        <v>3</v>
      </c>
      <c r="H63" s="16" t="n">
        <f aca="false">MIN(99,B53+H51,C53+H52,D53+H53,E53+H54,F53+H55,G53+H56,H53+H57)</f>
        <v>1</v>
      </c>
    </row>
    <row r="64" customFormat="false" ht="15" hidden="false" customHeight="false" outlineLevel="0" collapsed="false">
      <c r="A64" s="4" t="s">
        <v>219</v>
      </c>
      <c r="B64" s="16" t="n">
        <f aca="false">MIN(99,B54+B51,C54+B52,D54+B53,E54+B54,F54+B55,G54+B56,H54+B57)</f>
        <v>99</v>
      </c>
      <c r="C64" s="16" t="n">
        <f aca="false">MIN(99,B54+C51,C54+C52,D54+C53,E54+C54,F54+C55,G54+C56,H54+C57)</f>
        <v>99</v>
      </c>
      <c r="D64" s="16" t="n">
        <f aca="false">MIN(99,B54+D51,C54+D52,D54+D53,E54+D54,F54+D55,G54+D56,H54+D57)</f>
        <v>99</v>
      </c>
      <c r="E64" s="16" t="n">
        <f aca="false">MIN(99,B54+E51,C54+E52,D54+E53,E54+E54,F54+E55,G54+E56,H54+E57)</f>
        <v>0</v>
      </c>
      <c r="F64" s="16" t="n">
        <f aca="false">MIN(99,B54+F51,C54+F52,D54+F53,E54+F54,F54+F55,G54+F56,H54+F57)</f>
        <v>2</v>
      </c>
      <c r="G64" s="16" t="n">
        <f aca="false">MIN(99,B54+G51,C54+G52,D54+G53,E54+G54,F54+G55,G54+G56,H54+G57)</f>
        <v>1</v>
      </c>
      <c r="H64" s="16" t="n">
        <f aca="false">MIN(99,B54+H51,C54+H52,D54+H53,E54+H54,F54+H55,G54+H56,H54+H57)</f>
        <v>1</v>
      </c>
    </row>
    <row r="65" customFormat="false" ht="15" hidden="false" customHeight="false" outlineLevel="0" collapsed="false">
      <c r="A65" s="4" t="s">
        <v>221</v>
      </c>
      <c r="B65" s="16" t="n">
        <f aca="false">MIN(99,B55+B51,C55+B52,D55+B53,E55+B54,F55+B55,G55+B56,H55+B57)</f>
        <v>99</v>
      </c>
      <c r="C65" s="16" t="n">
        <f aca="false">MIN(99,B55+C51,C55+C52,D55+C53,E55+C54,F55+C55,G55+C56,H55+C57)</f>
        <v>99</v>
      </c>
      <c r="D65" s="16" t="n">
        <f aca="false">MIN(99,B55+D51,C55+D52,D55+D53,E55+D54,F55+D55,G55+D56,H55+D57)</f>
        <v>99</v>
      </c>
      <c r="E65" s="16" t="n">
        <f aca="false">MIN(99,B55+E51,C55+E52,D55+E53,E55+E54,F55+E55,G55+E56,H55+E57)</f>
        <v>2</v>
      </c>
      <c r="F65" s="16" t="n">
        <f aca="false">MIN(99,B55+F51,C55+F52,D55+F53,E55+F54,F55+F55,G55+F56,H55+F57)</f>
        <v>0</v>
      </c>
      <c r="G65" s="16" t="n">
        <f aca="false">MIN(99,B55+G51,C55+G52,D55+G53,E55+G54,F55+G55,G55+G56,H55+G57)</f>
        <v>1</v>
      </c>
      <c r="H65" s="16" t="n">
        <f aca="false">MIN(99,B55+H51,C55+H52,D55+H53,E55+H54,F55+H55,G55+H56,H55+H57)</f>
        <v>1</v>
      </c>
    </row>
    <row r="66" customFormat="false" ht="15" hidden="false" customHeight="false" outlineLevel="0" collapsed="false">
      <c r="A66" s="4" t="s">
        <v>226</v>
      </c>
      <c r="B66" s="16" t="n">
        <f aca="false">MIN(99,B56+B51,C56+B52,D56+B53,E56+B54,F56+B55,G56+B56,H56+B57)</f>
        <v>99</v>
      </c>
      <c r="C66" s="16" t="n">
        <f aca="false">MIN(99,B56+C51,C56+C52,D56+C53,E56+C54,F56+C55,G56+C56,H56+C57)</f>
        <v>99</v>
      </c>
      <c r="D66" s="16" t="n">
        <f aca="false">MIN(99,B56+D51,C56+D52,D56+D53,E56+D54,F56+D55,G56+D56,H56+D57)</f>
        <v>99</v>
      </c>
      <c r="E66" s="16" t="n">
        <f aca="false">MIN(99,B56+E51,C56+E52,D56+E53,E56+E54,F56+E55,G56+E56,H56+E57)</f>
        <v>1</v>
      </c>
      <c r="F66" s="16" t="n">
        <f aca="false">MIN(99,B56+F51,C56+F52,D56+F53,E56+F54,F56+F55,G56+F56,H56+F57)</f>
        <v>1</v>
      </c>
      <c r="G66" s="16" t="n">
        <f aca="false">MIN(99,B56+G51,C56+G52,D56+G53,E56+G54,F56+G55,G56+G56,H56+G57)</f>
        <v>0</v>
      </c>
      <c r="H66" s="16" t="n">
        <f aca="false">MIN(99,B56+H51,C56+H52,D56+H53,E56+H54,F56+H55,G56+H56,H56+H57)</f>
        <v>2</v>
      </c>
    </row>
    <row r="67" customFormat="false" ht="15" hidden="false" customHeight="false" outlineLevel="0" collapsed="false">
      <c r="A67" s="4" t="s">
        <v>223</v>
      </c>
      <c r="B67" s="16" t="n">
        <f aca="false">MIN(99,B57+B51,C57+B52,D57+B53,E57+B54,F57+B55,G57+B56,H57+B57)</f>
        <v>99</v>
      </c>
      <c r="C67" s="16" t="n">
        <f aca="false">MIN(99,B57+C51,C57+C52,D57+C53,E57+C54,F57+C55,G57+C56,H57+C57)</f>
        <v>99</v>
      </c>
      <c r="D67" s="16" t="n">
        <f aca="false">MIN(99,B57+D51,C57+D52,D57+D53,E57+D54,F57+D55,G57+D56,H57+D57)</f>
        <v>99</v>
      </c>
      <c r="E67" s="16" t="n">
        <f aca="false">MIN(99,B57+E51,C57+E52,D57+E53,E57+E54,F57+E55,G57+E56,H57+E57)</f>
        <v>1</v>
      </c>
      <c r="F67" s="16" t="n">
        <f aca="false">MIN(99,B57+F51,C57+F52,D57+F53,E57+F54,F57+F55,G57+F56,H57+F57)</f>
        <v>1</v>
      </c>
      <c r="G67" s="16" t="n">
        <f aca="false">MIN(99,B57+G51,C57+G52,D57+G53,E57+G54,F57+G55,G57+G56,H57+G57)</f>
        <v>2</v>
      </c>
      <c r="H67" s="16" t="n">
        <f aca="false">MIN(99,B57+H51,C57+H52,D57+H53,E57+H54,F57+H55,G57+H56,H57+H57)</f>
        <v>0</v>
      </c>
    </row>
    <row r="70" customFormat="false" ht="35.05" hidden="false" customHeight="false" outlineLevel="0" collapsed="false">
      <c r="A70" s="8" t="s">
        <v>235</v>
      </c>
      <c r="B70" s="8" t="s">
        <v>236</v>
      </c>
    </row>
    <row r="71" customFormat="false" ht="15" hidden="false" customHeight="false" outlineLevel="0" collapsed="false">
      <c r="A71" s="2" t="s">
        <v>157</v>
      </c>
      <c r="B71" s="12" t="s">
        <v>223</v>
      </c>
    </row>
    <row r="72" customFormat="false" ht="15" hidden="false" customHeight="false" outlineLevel="0" collapsed="false">
      <c r="A72" s="2" t="s">
        <v>161</v>
      </c>
      <c r="B72" s="12" t="s">
        <v>237</v>
      </c>
    </row>
    <row r="73" customFormat="false" ht="15" hidden="false" customHeight="false" outlineLevel="0" collapsed="false">
      <c r="A73" s="2" t="s">
        <v>165</v>
      </c>
      <c r="B73" s="12" t="s">
        <v>238</v>
      </c>
    </row>
    <row r="74" customFormat="false" ht="15" hidden="false" customHeight="false" outlineLevel="0" collapsed="false">
      <c r="A74" s="2" t="s">
        <v>168</v>
      </c>
      <c r="B74" s="12" t="s">
        <v>221</v>
      </c>
    </row>
    <row r="75" customFormat="false" ht="15" hidden="false" customHeight="false" outlineLevel="0" collapsed="false">
      <c r="A75" s="2" t="s">
        <v>171</v>
      </c>
      <c r="B75" s="12" t="s">
        <v>239</v>
      </c>
    </row>
    <row r="76" customFormat="false" ht="15" hidden="false" customHeight="false" outlineLevel="0" collapsed="false">
      <c r="A76" s="2" t="s">
        <v>174</v>
      </c>
      <c r="B76" s="12" t="s">
        <v>223</v>
      </c>
    </row>
    <row r="78" customFormat="false" ht="15" hidden="false" customHeight="false" outlineLevel="0" collapsed="false">
      <c r="A78" s="4" t="s">
        <v>240</v>
      </c>
      <c r="B78" s="4" t="s">
        <v>108</v>
      </c>
      <c r="C78" s="4" t="s">
        <v>112</v>
      </c>
      <c r="D78" s="4" t="s">
        <v>116</v>
      </c>
      <c r="E78" s="4" t="s">
        <v>124</v>
      </c>
      <c r="F78" s="4" t="s">
        <v>128</v>
      </c>
      <c r="G78" s="4" t="s">
        <v>140</v>
      </c>
    </row>
    <row r="79" customFormat="false" ht="15" hidden="false" customHeight="false" outlineLevel="0" collapsed="false">
      <c r="A79" s="4" t="s">
        <v>108</v>
      </c>
      <c r="B79" s="16" t="n">
        <f aca="false">MIN(H67)</f>
        <v>0</v>
      </c>
      <c r="C79" s="16" t="n">
        <f aca="false">MIN(E67,D67)</f>
        <v>1</v>
      </c>
      <c r="D79" s="16" t="n">
        <f aca="false">MIN(E67,F67,D67)</f>
        <v>1</v>
      </c>
      <c r="E79" s="16" t="n">
        <f aca="false">MIN(F67)</f>
        <v>1</v>
      </c>
      <c r="F79" s="16" t="n">
        <f aca="false">MIN(F67,G67)</f>
        <v>1</v>
      </c>
      <c r="G79" s="16" t="n">
        <f aca="false">MIN(H67)</f>
        <v>0</v>
      </c>
    </row>
    <row r="80" customFormat="false" ht="15" hidden="false" customHeight="false" outlineLevel="0" collapsed="false">
      <c r="A80" s="4" t="s">
        <v>112</v>
      </c>
      <c r="B80" s="16" t="n">
        <f aca="false">MIN(H64,H63)</f>
        <v>1</v>
      </c>
      <c r="C80" s="16" t="n">
        <f aca="false">MIN(E64,D64,E63,D63)</f>
        <v>0</v>
      </c>
      <c r="D80" s="16" t="n">
        <f aca="false">MIN(E64,F64,D64,E63,F63,D63)</f>
        <v>0</v>
      </c>
      <c r="E80" s="16" t="n">
        <f aca="false">MIN(F64,F63)</f>
        <v>2</v>
      </c>
      <c r="F80" s="16" t="n">
        <f aca="false">MIN(F64,G64,F63,G63)</f>
        <v>1</v>
      </c>
      <c r="G80" s="16" t="n">
        <f aca="false">MIN(H64,H63)</f>
        <v>1</v>
      </c>
    </row>
    <row r="81" customFormat="false" ht="15" hidden="false" customHeight="false" outlineLevel="0" collapsed="false">
      <c r="A81" s="4" t="s">
        <v>116</v>
      </c>
      <c r="B81" s="16" t="n">
        <f aca="false">MIN(H64,H65,H63)</f>
        <v>1</v>
      </c>
      <c r="C81" s="16" t="n">
        <f aca="false">MIN(E64,D64,E65,D65,E63,D63)</f>
        <v>0</v>
      </c>
      <c r="D81" s="16" t="n">
        <f aca="false">MIN(E64,F64,D64,E65,F65,D65,E63,F63,D63)</f>
        <v>0</v>
      </c>
      <c r="E81" s="16" t="n">
        <f aca="false">MIN(F64,F65,F63)</f>
        <v>0</v>
      </c>
      <c r="F81" s="16" t="n">
        <f aca="false">MIN(F64,G64,F65,G65,F63,G63)</f>
        <v>0</v>
      </c>
      <c r="G81" s="16" t="n">
        <f aca="false">MIN(H64,H65,H63)</f>
        <v>1</v>
      </c>
    </row>
    <row r="82" customFormat="false" ht="15" hidden="false" customHeight="false" outlineLevel="0" collapsed="false">
      <c r="A82" s="4" t="s">
        <v>124</v>
      </c>
      <c r="B82" s="16" t="n">
        <f aca="false">MIN(H65)</f>
        <v>1</v>
      </c>
      <c r="C82" s="16" t="n">
        <f aca="false">MIN(E65,D65)</f>
        <v>2</v>
      </c>
      <c r="D82" s="16" t="n">
        <f aca="false">MIN(E65,F65,D65)</f>
        <v>0</v>
      </c>
      <c r="E82" s="16" t="n">
        <f aca="false">MIN(F65)</f>
        <v>0</v>
      </c>
      <c r="F82" s="16" t="n">
        <f aca="false">MIN(F65,G65)</f>
        <v>0</v>
      </c>
      <c r="G82" s="16" t="n">
        <f aca="false">MIN(H65)</f>
        <v>1</v>
      </c>
    </row>
    <row r="83" customFormat="false" ht="15" hidden="false" customHeight="false" outlineLevel="0" collapsed="false">
      <c r="A83" s="4" t="s">
        <v>128</v>
      </c>
      <c r="B83" s="16" t="n">
        <f aca="false">MIN(H65,H66)</f>
        <v>1</v>
      </c>
      <c r="C83" s="16" t="n">
        <f aca="false">MIN(E65,D65,E66,D66)</f>
        <v>1</v>
      </c>
      <c r="D83" s="16" t="n">
        <f aca="false">MIN(E65,F65,D65,E66,F66,D66)</f>
        <v>0</v>
      </c>
      <c r="E83" s="16" t="n">
        <f aca="false">MIN(F65,F66)</f>
        <v>0</v>
      </c>
      <c r="F83" s="16" t="n">
        <f aca="false">MIN(F65,G65,F66,G66)</f>
        <v>0</v>
      </c>
      <c r="G83" s="16" t="n">
        <f aca="false">MIN(H65,H66)</f>
        <v>1</v>
      </c>
    </row>
    <row r="84" customFormat="false" ht="15" hidden="false" customHeight="false" outlineLevel="0" collapsed="false">
      <c r="A84" s="4" t="s">
        <v>140</v>
      </c>
      <c r="B84" s="16" t="n">
        <f aca="false">MIN(H67)</f>
        <v>0</v>
      </c>
      <c r="C84" s="16" t="n">
        <f aca="false">MIN(E67,D67)</f>
        <v>1</v>
      </c>
      <c r="D84" s="16" t="n">
        <f aca="false">MIN(E67,F67,D67)</f>
        <v>1</v>
      </c>
      <c r="E84" s="16" t="n">
        <f aca="false">MIN(F67)</f>
        <v>1</v>
      </c>
      <c r="F84" s="16" t="n">
        <f aca="false">MIN(F67,G67)</f>
        <v>1</v>
      </c>
      <c r="G84" s="16" t="n">
        <f aca="false">MIN(H67)</f>
        <v>0</v>
      </c>
    </row>
    <row r="86" customFormat="false" ht="15" hidden="false" customHeight="false" outlineLevel="0" collapsed="false">
      <c r="A86" s="4" t="s">
        <v>241</v>
      </c>
      <c r="B86" s="4" t="s">
        <v>108</v>
      </c>
      <c r="C86" s="4" t="s">
        <v>112</v>
      </c>
      <c r="D86" s="4" t="s">
        <v>116</v>
      </c>
      <c r="E86" s="4" t="s">
        <v>124</v>
      </c>
      <c r="F86" s="4" t="s">
        <v>128</v>
      </c>
      <c r="G86" s="4" t="s">
        <v>140</v>
      </c>
    </row>
    <row r="87" customFormat="false" ht="15" hidden="false" customHeight="false" outlineLevel="0" collapsed="false">
      <c r="A87" s="4" t="s">
        <v>108</v>
      </c>
      <c r="B87" s="12" t="s">
        <v>242</v>
      </c>
      <c r="C87" s="11" t="n">
        <v>1</v>
      </c>
      <c r="D87" s="11" t="n">
        <v>1</v>
      </c>
      <c r="E87" s="11" t="n">
        <v>1</v>
      </c>
      <c r="F87" s="11" t="n">
        <v>1</v>
      </c>
      <c r="G87" s="11" t="n">
        <v>0</v>
      </c>
    </row>
    <row r="88" customFormat="false" ht="15" hidden="false" customHeight="false" outlineLevel="0" collapsed="false">
      <c r="A88" s="4" t="s">
        <v>112</v>
      </c>
      <c r="B88" s="11" t="n">
        <v>1</v>
      </c>
      <c r="C88" s="12" t="s">
        <v>242</v>
      </c>
      <c r="D88" s="11" t="n">
        <v>0</v>
      </c>
      <c r="G88" s="11" t="n">
        <v>1</v>
      </c>
    </row>
    <row r="89" customFormat="false" ht="15" hidden="false" customHeight="false" outlineLevel="0" collapsed="false">
      <c r="A89" s="4" t="s">
        <v>116</v>
      </c>
      <c r="B89" s="11" t="n">
        <v>1</v>
      </c>
      <c r="D89" s="12" t="s">
        <v>242</v>
      </c>
      <c r="F89" s="11" t="n">
        <v>0</v>
      </c>
    </row>
    <row r="90" customFormat="false" ht="15" hidden="false" customHeight="false" outlineLevel="0" collapsed="false">
      <c r="A90" s="4" t="s">
        <v>124</v>
      </c>
      <c r="B90" s="11" t="n">
        <v>1</v>
      </c>
      <c r="C90" s="11" t="n">
        <v>2</v>
      </c>
      <c r="D90" s="11" t="n">
        <v>0</v>
      </c>
      <c r="E90" s="12" t="s">
        <v>242</v>
      </c>
      <c r="F90" s="11" t="n">
        <v>0</v>
      </c>
      <c r="G90" s="11" t="n">
        <v>1</v>
      </c>
    </row>
    <row r="91" customFormat="false" ht="15" hidden="false" customHeight="false" outlineLevel="0" collapsed="false">
      <c r="A91" s="4" t="s">
        <v>128</v>
      </c>
      <c r="B91" s="11" t="n">
        <v>1</v>
      </c>
      <c r="D91" s="11" t="n">
        <v>0</v>
      </c>
      <c r="E91" s="11" t="n">
        <v>0</v>
      </c>
      <c r="F91" s="12" t="s">
        <v>242</v>
      </c>
    </row>
    <row r="92" customFormat="false" ht="15" hidden="false" customHeight="false" outlineLevel="0" collapsed="false">
      <c r="A92" s="4" t="s">
        <v>140</v>
      </c>
      <c r="B92" s="11" t="n">
        <v>0</v>
      </c>
      <c r="C92" s="11" t="n">
        <v>1</v>
      </c>
      <c r="G92" s="12" t="s">
        <v>242</v>
      </c>
    </row>
    <row r="95" customFormat="false" ht="15" hidden="false" customHeight="false" outlineLevel="0" collapsed="false">
      <c r="A95" s="4" t="s">
        <v>243</v>
      </c>
      <c r="B95" s="4" t="s">
        <v>108</v>
      </c>
      <c r="C95" s="4" t="s">
        <v>112</v>
      </c>
      <c r="D95" s="4" t="s">
        <v>116</v>
      </c>
      <c r="E95" s="4" t="s">
        <v>124</v>
      </c>
      <c r="F95" s="4" t="s">
        <v>128</v>
      </c>
      <c r="G95" s="4" t="s">
        <v>140</v>
      </c>
    </row>
    <row r="96" customFormat="false" ht="15" hidden="false" customHeight="false" outlineLevel="0" collapsed="false">
      <c r="A96" s="4" t="s">
        <v>108</v>
      </c>
      <c r="B96" s="12" t="s">
        <v>242</v>
      </c>
      <c r="C96" s="5" t="s">
        <v>244</v>
      </c>
      <c r="D96" s="5" t="s">
        <v>244</v>
      </c>
      <c r="E96" s="5" t="s">
        <v>244</v>
      </c>
      <c r="F96" s="5" t="s">
        <v>244</v>
      </c>
      <c r="G96" s="5" t="s">
        <v>244</v>
      </c>
    </row>
    <row r="97" customFormat="false" ht="15" hidden="false" customHeight="false" outlineLevel="0" collapsed="false">
      <c r="A97" s="4" t="s">
        <v>112</v>
      </c>
      <c r="B97" s="5" t="s">
        <v>244</v>
      </c>
      <c r="C97" s="12" t="s">
        <v>242</v>
      </c>
      <c r="D97" s="5" t="s">
        <v>244</v>
      </c>
      <c r="G97" s="5" t="s">
        <v>244</v>
      </c>
    </row>
    <row r="98" customFormat="false" ht="15" hidden="false" customHeight="false" outlineLevel="0" collapsed="false">
      <c r="A98" s="4" t="s">
        <v>116</v>
      </c>
      <c r="B98" s="5" t="s">
        <v>244</v>
      </c>
      <c r="D98" s="12" t="s">
        <v>242</v>
      </c>
      <c r="F98" s="5" t="s">
        <v>244</v>
      </c>
    </row>
    <row r="99" customFormat="false" ht="15" hidden="false" customHeight="false" outlineLevel="0" collapsed="false">
      <c r="A99" s="4" t="s">
        <v>124</v>
      </c>
      <c r="B99" s="5" t="s">
        <v>244</v>
      </c>
      <c r="C99" s="5" t="s">
        <v>244</v>
      </c>
      <c r="D99" s="5" t="s">
        <v>244</v>
      </c>
      <c r="E99" s="12" t="s">
        <v>242</v>
      </c>
      <c r="F99" s="5" t="s">
        <v>244</v>
      </c>
      <c r="G99" s="5" t="s">
        <v>244</v>
      </c>
    </row>
    <row r="100" customFormat="false" ht="15" hidden="false" customHeight="false" outlineLevel="0" collapsed="false">
      <c r="A100" s="4" t="s">
        <v>128</v>
      </c>
      <c r="B100" s="5" t="s">
        <v>244</v>
      </c>
      <c r="D100" s="5" t="s">
        <v>244</v>
      </c>
      <c r="E100" s="5" t="s">
        <v>244</v>
      </c>
      <c r="F100" s="12" t="s">
        <v>242</v>
      </c>
    </row>
    <row r="101" customFormat="false" ht="15" hidden="false" customHeight="false" outlineLevel="0" collapsed="false">
      <c r="A101" s="4" t="s">
        <v>140</v>
      </c>
      <c r="B101" s="5" t="s">
        <v>245</v>
      </c>
      <c r="C101" s="5" t="s">
        <v>245</v>
      </c>
      <c r="G101" s="12" t="s">
        <v>242</v>
      </c>
    </row>
    <row r="103" customFormat="false" ht="15" hidden="false" customHeight="false" outlineLevel="0" collapsed="false">
      <c r="A103" s="4" t="s">
        <v>246</v>
      </c>
    </row>
    <row r="104" customFormat="false" ht="15" hidden="false" customHeight="false" outlineLevel="0" collapsed="false">
      <c r="A104" s="4" t="s">
        <v>108</v>
      </c>
      <c r="B104" s="16" t="str">
        <f aca="false">IF(ISNUMBER(B87),IF(B87=B79,1,0),"")</f>
        <v/>
      </c>
      <c r="C104" s="16" t="n">
        <f aca="false">IF(ISNUMBER(C87),IF(C87=C79,1,0),"")</f>
        <v>1</v>
      </c>
      <c r="D104" s="16" t="n">
        <f aca="false">IF(ISNUMBER(D87),IF(D87=D79,1,0),"")</f>
        <v>1</v>
      </c>
      <c r="E104" s="16" t="n">
        <f aca="false">IF(ISNUMBER(E87),IF(E87=E79,1,0),"")</f>
        <v>1</v>
      </c>
      <c r="F104" s="16" t="n">
        <f aca="false">IF(ISNUMBER(F87),IF(F87=F79,1,0),"")</f>
        <v>1</v>
      </c>
      <c r="G104" s="16" t="n">
        <f aca="false">IF(ISNUMBER(G87),IF(G87=G79,1,0),"")</f>
        <v>1</v>
      </c>
    </row>
    <row r="105" customFormat="false" ht="15" hidden="false" customHeight="false" outlineLevel="0" collapsed="false">
      <c r="A105" s="4" t="s">
        <v>112</v>
      </c>
      <c r="B105" s="16" t="n">
        <f aca="false">IF(ISNUMBER(B88),IF(B88=B80,1,0),"")</f>
        <v>1</v>
      </c>
      <c r="C105" s="16" t="str">
        <f aca="false">IF(ISNUMBER(C88),IF(C88=C80,1,0),"")</f>
        <v/>
      </c>
      <c r="D105" s="16" t="n">
        <f aca="false">IF(ISNUMBER(D88),IF(D88=D80,1,0),"")</f>
        <v>1</v>
      </c>
      <c r="E105" s="16" t="str">
        <f aca="false">IF(ISNUMBER(E88),IF(E88=E80,1,0),"")</f>
        <v/>
      </c>
      <c r="F105" s="16" t="str">
        <f aca="false">IF(ISNUMBER(F88),IF(F88=F80,1,0),"")</f>
        <v/>
      </c>
      <c r="G105" s="16" t="n">
        <f aca="false">IF(ISNUMBER(G88),IF(G88=G80,1,0),"")</f>
        <v>1</v>
      </c>
    </row>
    <row r="106" customFormat="false" ht="15" hidden="false" customHeight="false" outlineLevel="0" collapsed="false">
      <c r="A106" s="4" t="s">
        <v>116</v>
      </c>
      <c r="B106" s="16" t="n">
        <f aca="false">IF(ISNUMBER(B89),IF(B89=B81,1,0),"")</f>
        <v>1</v>
      </c>
      <c r="C106" s="16" t="str">
        <f aca="false">IF(ISNUMBER(C89),IF(C89=C81,1,0),"")</f>
        <v/>
      </c>
      <c r="D106" s="16" t="str">
        <f aca="false">IF(ISNUMBER(D89),IF(D89=D81,1,0),"")</f>
        <v/>
      </c>
      <c r="E106" s="16" t="str">
        <f aca="false">IF(ISNUMBER(E89),IF(E89=E81,1,0),"")</f>
        <v/>
      </c>
      <c r="F106" s="16" t="n">
        <f aca="false">IF(ISNUMBER(F89),IF(F89=F81,1,0),"")</f>
        <v>1</v>
      </c>
      <c r="G106" s="16" t="str">
        <f aca="false">IF(ISNUMBER(G89),IF(G89=G81,1,0),"")</f>
        <v/>
      </c>
    </row>
    <row r="107" customFormat="false" ht="15" hidden="false" customHeight="false" outlineLevel="0" collapsed="false">
      <c r="A107" s="4" t="s">
        <v>124</v>
      </c>
      <c r="B107" s="16" t="n">
        <f aca="false">IF(ISNUMBER(B90),IF(B90=B82,1,0),"")</f>
        <v>1</v>
      </c>
      <c r="C107" s="16" t="n">
        <f aca="false">IF(ISNUMBER(C90),IF(C90=C82,1,0),"")</f>
        <v>1</v>
      </c>
      <c r="D107" s="16" t="n">
        <f aca="false">IF(ISNUMBER(D90),IF(D90=D82,1,0),"")</f>
        <v>1</v>
      </c>
      <c r="E107" s="16" t="str">
        <f aca="false">IF(ISNUMBER(E90),IF(E90=E82,1,0),"")</f>
        <v/>
      </c>
      <c r="F107" s="16" t="n">
        <f aca="false">IF(ISNUMBER(F90),IF(F90=F82,1,0),"")</f>
        <v>1</v>
      </c>
      <c r="G107" s="16" t="n">
        <f aca="false">IF(ISNUMBER(G90),IF(G90=G82,1,0),"")</f>
        <v>1</v>
      </c>
    </row>
    <row r="108" customFormat="false" ht="15" hidden="false" customHeight="false" outlineLevel="0" collapsed="false">
      <c r="A108" s="4" t="s">
        <v>128</v>
      </c>
      <c r="B108" s="16" t="n">
        <f aca="false">IF(ISNUMBER(B91),IF(B91=B83,1,0),"")</f>
        <v>1</v>
      </c>
      <c r="C108" s="16" t="str">
        <f aca="false">IF(ISNUMBER(C91),IF(C91=C83,1,0),"")</f>
        <v/>
      </c>
      <c r="D108" s="16" t="n">
        <f aca="false">IF(ISNUMBER(D91),IF(D91=D83,1,0),"")</f>
        <v>1</v>
      </c>
      <c r="E108" s="16" t="n">
        <f aca="false">IF(ISNUMBER(E91),IF(E91=E83,1,0),"")</f>
        <v>1</v>
      </c>
      <c r="F108" s="16" t="str">
        <f aca="false">IF(ISNUMBER(F91),IF(F91=F83,1,0),"")</f>
        <v/>
      </c>
      <c r="G108" s="16" t="str">
        <f aca="false">IF(ISNUMBER(G91),IF(G91=G83,1,0),"")</f>
        <v/>
      </c>
    </row>
    <row r="109" customFormat="false" ht="15" hidden="false" customHeight="false" outlineLevel="0" collapsed="false">
      <c r="A109" s="4" t="s">
        <v>140</v>
      </c>
      <c r="B109" s="16" t="n">
        <f aca="false">IF(ISNUMBER(B92),IF(B92=B84,1,0),"")</f>
        <v>1</v>
      </c>
      <c r="C109" s="16" t="n">
        <f aca="false">IF(ISNUMBER(C92),IF(C92=C84,1,0),"")</f>
        <v>1</v>
      </c>
      <c r="D109" s="16" t="str">
        <f aca="false">IF(ISNUMBER(D92),IF(D92=D84,1,0),"")</f>
        <v/>
      </c>
      <c r="E109" s="16" t="str">
        <f aca="false">IF(ISNUMBER(E92),IF(E92=E84,1,0),"")</f>
        <v/>
      </c>
      <c r="F109" s="16" t="str">
        <f aca="false">IF(ISNUMBER(F92),IF(F92=F84,1,0),"")</f>
        <v/>
      </c>
      <c r="G109" s="16" t="str">
        <f aca="false">IF(ISNUMBER(G92),IF(G92=G84,1,0),"")</f>
        <v/>
      </c>
    </row>
    <row r="111" customFormat="false" ht="15" hidden="false" customHeight="false" outlineLevel="0" collapsed="false">
      <c r="A111" s="2" t="s">
        <v>247</v>
      </c>
      <c r="B111" s="16" t="n">
        <f aca="false">COUNT(B87:G92)</f>
        <v>20</v>
      </c>
      <c r="C111" s="14" t="s">
        <v>248</v>
      </c>
    </row>
    <row r="112" customFormat="false" ht="15" hidden="false" customHeight="false" outlineLevel="0" collapsed="false">
      <c r="A112" s="2" t="s">
        <v>249</v>
      </c>
      <c r="B112" s="16" t="n">
        <f aca="false">SUM(B104:G109)</f>
        <v>20</v>
      </c>
      <c r="C112" s="14" t="s">
        <v>250</v>
      </c>
    </row>
    <row r="113" customFormat="false" ht="15" hidden="false" customHeight="false" outlineLevel="0" collapsed="false">
      <c r="A113" s="2" t="s">
        <v>251</v>
      </c>
      <c r="B113" s="16" t="n">
        <f aca="false">E65</f>
        <v>2</v>
      </c>
      <c r="C113" s="14" t="s">
        <v>252</v>
      </c>
    </row>
    <row r="114" customFormat="false" ht="15" hidden="false" customHeight="false" outlineLevel="0" collapsed="false">
      <c r="A114" s="2" t="s">
        <v>253</v>
      </c>
      <c r="B114" s="16" t="n">
        <f aca="false">D65</f>
        <v>99</v>
      </c>
      <c r="C114" s="14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1" t="s">
        <v>255</v>
      </c>
    </row>
    <row r="4" customFormat="false" ht="15" hidden="false" customHeight="false" outlineLevel="0" collapsed="false">
      <c r="A4" s="8" t="s">
        <v>256</v>
      </c>
      <c r="B4" s="8" t="s">
        <v>26</v>
      </c>
      <c r="C4" s="8" t="s">
        <v>29</v>
      </c>
      <c r="D4" s="8" t="s">
        <v>31</v>
      </c>
      <c r="E4" s="8" t="s">
        <v>34</v>
      </c>
      <c r="F4" s="8" t="s">
        <v>257</v>
      </c>
    </row>
    <row r="5" customFormat="false" ht="15" hidden="false" customHeight="false" outlineLevel="0" collapsed="false">
      <c r="A5" s="2" t="s">
        <v>50</v>
      </c>
      <c r="B5" s="22" t="n">
        <f aca="false">Paths!C65</f>
        <v>94.2956014682046</v>
      </c>
      <c r="C5" s="22" t="n">
        <f aca="false">Paths!D65</f>
        <v>75.6346691353518</v>
      </c>
      <c r="D5" s="22" t="n">
        <f aca="false">Paths!E65</f>
        <v>73.5983309723245</v>
      </c>
      <c r="E5" s="22" t="n">
        <f aca="false">Paths!F65</f>
        <v>55.2177495534504</v>
      </c>
      <c r="F5" s="13" t="n">
        <f aca="false">W_L*S_L*B5+W_T*S_T*C5+W_E*S_E*D5+W_R*S_R*E5</f>
        <v>47.0777130056076</v>
      </c>
    </row>
    <row r="6" customFormat="false" ht="15" hidden="false" customHeight="false" outlineLevel="0" collapsed="false">
      <c r="A6" s="2" t="s">
        <v>51</v>
      </c>
      <c r="B6" s="22" t="n">
        <f aca="false">Paths!G65</f>
        <v>121.107479359406</v>
      </c>
      <c r="C6" s="22" t="n">
        <f aca="false">Paths!H65</f>
        <v>38.8595143905806</v>
      </c>
      <c r="D6" s="22" t="n">
        <f aca="false">Paths!I65</f>
        <v>73.6838023263144</v>
      </c>
      <c r="E6" s="22" t="n">
        <f aca="false">Paths!J65</f>
        <v>49.3901915476036</v>
      </c>
      <c r="F6" s="13" t="n">
        <f aca="false">W_L*S_L*B6+W_T*S_T*C6+W_E*S_E*D6+W_R*S_R*E6</f>
        <v>46.0651511321744</v>
      </c>
    </row>
    <row r="7" customFormat="false" ht="15" hidden="false" customHeight="false" outlineLevel="0" collapsed="false">
      <c r="A7" s="2" t="s">
        <v>52</v>
      </c>
      <c r="B7" s="22" t="n">
        <f aca="false">Paths!K65</f>
        <v>105.367604652629</v>
      </c>
      <c r="C7" s="22" t="n">
        <f aca="false">Paths!L65</f>
        <v>35.9430355293715</v>
      </c>
      <c r="D7" s="22" t="n">
        <f aca="false">Paths!M65</f>
        <v>78.6017034530571</v>
      </c>
      <c r="E7" s="22" t="n">
        <f aca="false">Paths!N65</f>
        <v>66.3306095195547</v>
      </c>
      <c r="F7" s="13" t="n">
        <f aca="false">W_L*S_L*B7+W_T*S_T*C7+W_E*S_E*D7+W_R*S_R*E7</f>
        <v>38.3954335288757</v>
      </c>
    </row>
    <row r="8" customFormat="false" ht="15" hidden="false" customHeight="false" outlineLevel="0" collapsed="false">
      <c r="A8" s="2" t="s">
        <v>152</v>
      </c>
      <c r="B8" s="22" t="n">
        <f aca="false">Today_L</f>
        <v>100</v>
      </c>
      <c r="C8" s="22" t="n">
        <f aca="false">Today_T</f>
        <v>41</v>
      </c>
      <c r="D8" s="22" t="n">
        <f aca="false">Today_E</f>
        <v>71</v>
      </c>
      <c r="E8" s="22" t="n">
        <f aca="false">Today_R</f>
        <v>64</v>
      </c>
      <c r="F8" s="22" t="n">
        <f aca="false">Score_today</f>
        <v>37</v>
      </c>
    </row>
    <row r="10" customFormat="false" ht="15" hidden="false" customHeight="false" outlineLevel="0" collapsed="false">
      <c r="A10" s="8" t="s">
        <v>258</v>
      </c>
      <c r="B10" s="8" t="s">
        <v>26</v>
      </c>
      <c r="C10" s="8" t="s">
        <v>29</v>
      </c>
      <c r="D10" s="8" t="s">
        <v>31</v>
      </c>
      <c r="E10" s="8" t="s">
        <v>34</v>
      </c>
    </row>
    <row r="11" customFormat="false" ht="15" hidden="false" customHeight="false" outlineLevel="0" collapsed="false">
      <c r="A11" s="2" t="s">
        <v>50</v>
      </c>
      <c r="B11" s="13" t="n">
        <f aca="false">B5*S_L</f>
        <v>94.2956014682046</v>
      </c>
      <c r="C11" s="13" t="n">
        <f aca="false">C5*S_T</f>
        <v>75.6346691353518</v>
      </c>
      <c r="D11" s="13" t="n">
        <f aca="false">D5*S_E</f>
        <v>73.5983309723245</v>
      </c>
      <c r="E11" s="13" t="n">
        <f aca="false">E5*S_R</f>
        <v>-55.2177495534504</v>
      </c>
    </row>
    <row r="12" customFormat="false" ht="15" hidden="false" customHeight="false" outlineLevel="0" collapsed="false">
      <c r="A12" s="2" t="s">
        <v>51</v>
      </c>
      <c r="B12" s="13" t="n">
        <f aca="false">B6*S_L</f>
        <v>121.107479359406</v>
      </c>
      <c r="C12" s="13" t="n">
        <f aca="false">C6*S_T</f>
        <v>38.8595143905806</v>
      </c>
      <c r="D12" s="13" t="n">
        <f aca="false">D6*S_E</f>
        <v>73.6838023263144</v>
      </c>
      <c r="E12" s="13" t="n">
        <f aca="false">E6*S_R</f>
        <v>-49.3901915476036</v>
      </c>
    </row>
    <row r="13" customFormat="false" ht="15" hidden="false" customHeight="false" outlineLevel="0" collapsed="false">
      <c r="A13" s="2" t="s">
        <v>52</v>
      </c>
      <c r="B13" s="13" t="n">
        <f aca="false">B7*S_L</f>
        <v>105.367604652629</v>
      </c>
      <c r="C13" s="13" t="n">
        <f aca="false">C7*S_T</f>
        <v>35.9430355293715</v>
      </c>
      <c r="D13" s="13" t="n">
        <f aca="false">D7*S_E</f>
        <v>78.6017034530571</v>
      </c>
      <c r="E13" s="13" t="n">
        <f aca="false">E7*S_R</f>
        <v>-66.3306095195547</v>
      </c>
    </row>
    <row r="15" customFormat="false" ht="23.85" hidden="false" customHeight="false" outlineLevel="0" collapsed="false">
      <c r="A15" s="8" t="s">
        <v>259</v>
      </c>
      <c r="B15" s="8" t="s">
        <v>260</v>
      </c>
      <c r="C15" s="8" t="s">
        <v>261</v>
      </c>
      <c r="D15" s="8" t="s">
        <v>262</v>
      </c>
    </row>
    <row r="16" customFormat="false" ht="15" hidden="false" customHeight="false" outlineLevel="0" collapsed="false">
      <c r="A16" s="2" t="s">
        <v>263</v>
      </c>
      <c r="B16" s="16" t="n">
        <f aca="false">SUMPRODUCT(--(B11:E11&gt;=B12:E12))</f>
        <v>1</v>
      </c>
      <c r="C16" s="16" t="n">
        <f aca="false">SUMPRODUCT(--(B11:E11&gt;B12:E12))</f>
        <v>1</v>
      </c>
      <c r="D16" s="16" t="n">
        <f aca="false">IF(AND(B16=4,C16&gt;=1),1,0)</f>
        <v>0</v>
      </c>
    </row>
    <row r="17" customFormat="false" ht="15" hidden="false" customHeight="false" outlineLevel="0" collapsed="false">
      <c r="A17" s="2" t="s">
        <v>264</v>
      </c>
      <c r="B17" s="16" t="n">
        <f aca="false">SUMPRODUCT(--(B11:E11&gt;=B13:E13))</f>
        <v>2</v>
      </c>
      <c r="C17" s="16" t="n">
        <f aca="false">SUMPRODUCT(--(B11:E11&gt;B13:E13))</f>
        <v>2</v>
      </c>
      <c r="D17" s="16" t="n">
        <f aca="false">IF(AND(B17=4,C17&gt;=1),1,0)</f>
        <v>0</v>
      </c>
    </row>
    <row r="18" customFormat="false" ht="15" hidden="false" customHeight="false" outlineLevel="0" collapsed="false">
      <c r="A18" s="2" t="s">
        <v>265</v>
      </c>
      <c r="B18" s="16" t="n">
        <f aca="false">SUMPRODUCT(--(B12:E12&gt;=B11:E11))</f>
        <v>3</v>
      </c>
      <c r="C18" s="16" t="n">
        <f aca="false">SUMPRODUCT(--(B12:E12&gt;B11:E11))</f>
        <v>3</v>
      </c>
      <c r="D18" s="16" t="n">
        <f aca="false">IF(AND(B18=4,C18&gt;=1),1,0)</f>
        <v>0</v>
      </c>
    </row>
    <row r="19" customFormat="false" ht="15" hidden="false" customHeight="false" outlineLevel="0" collapsed="false">
      <c r="A19" s="2" t="s">
        <v>266</v>
      </c>
      <c r="B19" s="16" t="n">
        <f aca="false">SUMPRODUCT(--(B12:E12&gt;=B13:E13))</f>
        <v>3</v>
      </c>
      <c r="C19" s="16" t="n">
        <f aca="false">SUMPRODUCT(--(B12:E12&gt;B13:E13))</f>
        <v>3</v>
      </c>
      <c r="D19" s="16" t="n">
        <f aca="false">IF(AND(B19=4,C19&gt;=1),1,0)</f>
        <v>0</v>
      </c>
    </row>
    <row r="20" customFormat="false" ht="15" hidden="false" customHeight="false" outlineLevel="0" collapsed="false">
      <c r="A20" s="2" t="s">
        <v>267</v>
      </c>
      <c r="B20" s="16" t="n">
        <f aca="false">SUMPRODUCT(--(B13:E13&gt;=B11:E11))</f>
        <v>2</v>
      </c>
      <c r="C20" s="16" t="n">
        <f aca="false">SUMPRODUCT(--(B13:E13&gt;B11:E11))</f>
        <v>2</v>
      </c>
      <c r="D20" s="16" t="n">
        <f aca="false">IF(AND(B20=4,C20&gt;=1),1,0)</f>
        <v>0</v>
      </c>
    </row>
    <row r="21" customFormat="false" ht="15" hidden="false" customHeight="false" outlineLevel="0" collapsed="false">
      <c r="A21" s="2" t="s">
        <v>268</v>
      </c>
      <c r="B21" s="16" t="n">
        <f aca="false">SUMPRODUCT(--(B13:E13&gt;=B12:E12))</f>
        <v>1</v>
      </c>
      <c r="C21" s="16" t="n">
        <f aca="false">SUMPRODUCT(--(B13:E13&gt;B12:E12))</f>
        <v>1</v>
      </c>
      <c r="D21" s="16" t="n">
        <f aca="false">IF(AND(B21=4,C21&gt;=1),1,0)</f>
        <v>0</v>
      </c>
    </row>
    <row r="22" customFormat="false" ht="15" hidden="false" customHeight="false" outlineLevel="0" collapsed="false">
      <c r="A22" s="4" t="s">
        <v>269</v>
      </c>
      <c r="D22" s="16" t="n">
        <f aca="false">SUM(D16:D21)</f>
        <v>0</v>
      </c>
    </row>
    <row r="24" customFormat="false" ht="15" hidden="false" customHeight="false" outlineLevel="0" collapsed="false">
      <c r="A24" s="8" t="s">
        <v>270</v>
      </c>
      <c r="B24" s="8" t="s">
        <v>26</v>
      </c>
      <c r="C24" s="8" t="s">
        <v>29</v>
      </c>
      <c r="D24" s="8" t="s">
        <v>31</v>
      </c>
      <c r="E24" s="8" t="s">
        <v>34</v>
      </c>
    </row>
    <row r="25" customFormat="false" ht="15" hidden="false" customHeight="false" outlineLevel="0" collapsed="false">
      <c r="B25" s="13" t="n">
        <f aca="false">B11-B12</f>
        <v>-26.8118778912017</v>
      </c>
      <c r="C25" s="13" t="n">
        <f aca="false">C11-C12</f>
        <v>36.7751547447712</v>
      </c>
      <c r="D25" s="13" t="n">
        <f aca="false">D11-D12</f>
        <v>-0.085471353989945</v>
      </c>
      <c r="E25" s="13" t="n">
        <f aca="false">E11-E12</f>
        <v>-5.82755800584685</v>
      </c>
    </row>
    <row r="27" customFormat="false" ht="15" hidden="false" customHeight="false" outlineLevel="0" collapsed="false">
      <c r="A27" s="2" t="s">
        <v>271</v>
      </c>
      <c r="B27" s="13" t="n">
        <f aca="false">C25</f>
        <v>36.7751547447712</v>
      </c>
      <c r="C27" s="14" t="s">
        <v>272</v>
      </c>
    </row>
    <row r="28" customFormat="false" ht="15" hidden="false" customHeight="false" outlineLevel="0" collapsed="false">
      <c r="A28" s="2" t="s">
        <v>273</v>
      </c>
      <c r="B28" s="13" t="n">
        <f aca="false">-B25</f>
        <v>26.8118778912017</v>
      </c>
      <c r="C28" s="14" t="s">
        <v>274</v>
      </c>
    </row>
    <row r="29" customFormat="false" ht="15" hidden="false" customHeight="false" outlineLevel="0" collapsed="false">
      <c r="A29" s="2" t="s">
        <v>275</v>
      </c>
      <c r="B29" s="13" t="n">
        <f aca="false">-E25</f>
        <v>5.82755800584685</v>
      </c>
      <c r="C29" s="14" t="s">
        <v>276</v>
      </c>
    </row>
    <row r="30" customFormat="false" ht="15" hidden="false" customHeight="false" outlineLevel="0" collapsed="false">
      <c r="A30" s="2" t="s">
        <v>277</v>
      </c>
      <c r="B30" s="13" t="n">
        <f aca="false">-D25</f>
        <v>0.085471353989945</v>
      </c>
      <c r="C30" s="14" t="s">
        <v>278</v>
      </c>
    </row>
    <row r="31" customFormat="false" ht="15" hidden="false" customHeight="false" outlineLevel="0" collapsed="false">
      <c r="A31" s="2" t="s">
        <v>279</v>
      </c>
      <c r="B31" s="17" t="n">
        <f aca="false">W_L*B25+W_T*C25+W_E*D25+W_R*E25</f>
        <v>1.01256187343318</v>
      </c>
      <c r="C31" s="14" t="s">
        <v>280</v>
      </c>
    </row>
    <row r="32" customFormat="false" ht="15" hidden="false" customHeight="false" outlineLevel="0" collapsed="false">
      <c r="A32" s="2" t="s">
        <v>281</v>
      </c>
      <c r="B32" s="17" t="n">
        <f aca="false">(C25-B25)/100</f>
        <v>0.63587032635973</v>
      </c>
      <c r="C32" s="14" t="s">
        <v>282</v>
      </c>
    </row>
    <row r="33" customFormat="false" ht="15" hidden="false" customHeight="false" outlineLevel="0" collapsed="false">
      <c r="A33" s="2" t="s">
        <v>283</v>
      </c>
      <c r="B33" s="17" t="n">
        <f aca="false">B31/(C25-B25)</f>
        <v>0.0159240309141324</v>
      </c>
    </row>
    <row r="34" customFormat="false" ht="15" hidden="false" customHeight="false" outlineLevel="0" collapsed="false">
      <c r="A34" s="2" t="s">
        <v>284</v>
      </c>
      <c r="B34" s="13" t="n">
        <f aca="false">100*B33</f>
        <v>1.59240309141324</v>
      </c>
      <c r="C34" s="14" t="s">
        <v>285</v>
      </c>
    </row>
    <row r="35" customFormat="false" ht="15" hidden="false" customHeight="false" outlineLevel="0" collapsed="false">
      <c r="A35" s="2" t="s">
        <v>286</v>
      </c>
      <c r="B35" s="19" t="n">
        <f aca="false">100*(W_L+B33)</f>
        <v>26.5924030914132</v>
      </c>
      <c r="C35" s="14" t="s">
        <v>287</v>
      </c>
    </row>
    <row r="36" customFormat="false" ht="15" hidden="false" customHeight="false" outlineLevel="0" collapsed="false">
      <c r="A36" s="2" t="s">
        <v>288</v>
      </c>
      <c r="B36" s="19" t="n">
        <f aca="false">100*(W_T-B33)</f>
        <v>23.4075969085868</v>
      </c>
      <c r="C36" s="14" t="s">
        <v>289</v>
      </c>
    </row>
    <row r="37" customFormat="false" ht="15" hidden="false" customHeight="false" outlineLevel="0" collapsed="false">
      <c r="A37" s="2" t="s">
        <v>290</v>
      </c>
      <c r="B37" s="13" t="n">
        <f aca="false">100*B31/(C25-E25)</f>
        <v>2.37675445542723</v>
      </c>
      <c r="C37" s="14" t="s">
        <v>291</v>
      </c>
    </row>
    <row r="38" customFormat="false" ht="15" hidden="false" customHeight="false" outlineLevel="0" collapsed="false">
      <c r="A38" s="2" t="s">
        <v>292</v>
      </c>
      <c r="B38" s="13" t="n">
        <f aca="false">100*B31/(C25-D25)</f>
        <v>2.74700128728202</v>
      </c>
      <c r="C38" s="14" t="s">
        <v>293</v>
      </c>
    </row>
    <row r="39" customFormat="false" ht="15" hidden="false" customHeight="false" outlineLevel="0" collapsed="false">
      <c r="A39" s="2" t="s">
        <v>294</v>
      </c>
      <c r="B39" s="17" t="n">
        <f aca="false">(MAX(B25:E25)-MIN(B25:E25))/100</f>
        <v>0.63587032635973</v>
      </c>
      <c r="C39" s="14" t="s">
        <v>295</v>
      </c>
    </row>
    <row r="40" customFormat="false" ht="15" hidden="false" customHeight="false" outlineLevel="0" collapsed="false">
      <c r="A40" s="2" t="s">
        <v>296</v>
      </c>
      <c r="B40" s="13" t="n">
        <f aca="false">B31/B39</f>
        <v>1.59240309141324</v>
      </c>
      <c r="C40" s="14" t="s">
        <v>297</v>
      </c>
    </row>
    <row r="42" customFormat="false" ht="23.85" hidden="false" customHeight="false" outlineLevel="0" collapsed="false">
      <c r="A42" s="8" t="s">
        <v>298</v>
      </c>
      <c r="B42" s="8" t="s">
        <v>299</v>
      </c>
      <c r="C42" s="8" t="s">
        <v>300</v>
      </c>
      <c r="D42" s="8" t="s">
        <v>301</v>
      </c>
      <c r="E42" s="8" t="s">
        <v>302</v>
      </c>
      <c r="F42" s="8" t="s">
        <v>50</v>
      </c>
      <c r="G42" s="8" t="s">
        <v>51</v>
      </c>
      <c r="H42" s="8" t="s">
        <v>52</v>
      </c>
      <c r="I42" s="8" t="s">
        <v>303</v>
      </c>
    </row>
    <row r="43" customFormat="false" ht="15" hidden="false" customHeight="false" outlineLevel="0" collapsed="false">
      <c r="A43" s="10" t="n">
        <v>0</v>
      </c>
      <c r="B43" s="17" t="n">
        <f aca="false">W_L+A43/100</f>
        <v>0.25</v>
      </c>
      <c r="C43" s="17" t="n">
        <f aca="false">W_T-A43/100</f>
        <v>0.25</v>
      </c>
      <c r="D43" s="17" t="n">
        <f aca="false">W_E</f>
        <v>0.25</v>
      </c>
      <c r="E43" s="17" t="n">
        <f aca="false">W_R</f>
        <v>0.25</v>
      </c>
      <c r="F43" s="13" t="n">
        <f aca="false">$B43*$B$11+$C43*$C$11+$D43*$D$11+$E43*$E$11</f>
        <v>47.0777130056076</v>
      </c>
      <c r="G43" s="13" t="n">
        <f aca="false">$B43*$B$12+$C43*$C$12+$D43*$D$12+$E43*$E$12</f>
        <v>46.0651511321744</v>
      </c>
      <c r="H43" s="13" t="n">
        <f aca="false">$B43*$B$13+$C43*$C$13+$D43*$D$13+$E43*$E$13</f>
        <v>38.3954335288757</v>
      </c>
      <c r="I43" s="2" t="str">
        <f aca="false">INDEX($F$42:$H$42,MATCH(MAX(F43:H43),F43:H43,0))</f>
        <v>Digital</v>
      </c>
    </row>
    <row r="44" customFormat="false" ht="15" hidden="false" customHeight="false" outlineLevel="0" collapsed="false">
      <c r="A44" s="10" t="n">
        <v>0.5</v>
      </c>
      <c r="B44" s="17" t="n">
        <f aca="false">W_L+A44/100</f>
        <v>0.255</v>
      </c>
      <c r="C44" s="17" t="n">
        <f aca="false">W_T-A44/100</f>
        <v>0.245</v>
      </c>
      <c r="D44" s="17" t="n">
        <f aca="false">W_E</f>
        <v>0.25</v>
      </c>
      <c r="E44" s="17" t="n">
        <f aca="false">W_R</f>
        <v>0.25</v>
      </c>
      <c r="F44" s="13" t="n">
        <f aca="false">$B44*$B$11+$C44*$C$11+$D44*$D$11+$E44*$E$11</f>
        <v>47.1710176672719</v>
      </c>
      <c r="G44" s="13" t="n">
        <f aca="false">$B44*$B$12+$C44*$C$12+$D44*$D$12+$E44*$E$12</f>
        <v>46.4763909570186</v>
      </c>
      <c r="H44" s="13" t="n">
        <f aca="false">$B44*$B$13+$C44*$C$13+$D44*$D$13+$E44*$E$13</f>
        <v>38.742556374492</v>
      </c>
      <c r="I44" s="2" t="str">
        <f aca="false">INDEX($F$42:$H$42,MATCH(MAX(F44:H44),F44:H44,0))</f>
        <v>Digital</v>
      </c>
    </row>
    <row r="45" customFormat="false" ht="15" hidden="false" customHeight="false" outlineLevel="0" collapsed="false">
      <c r="A45" s="10" t="n">
        <v>1</v>
      </c>
      <c r="B45" s="17" t="n">
        <f aca="false">W_L+A45/100</f>
        <v>0.26</v>
      </c>
      <c r="C45" s="17" t="n">
        <f aca="false">W_T-A45/100</f>
        <v>0.24</v>
      </c>
      <c r="D45" s="17" t="n">
        <f aca="false">W_E</f>
        <v>0.25</v>
      </c>
      <c r="E45" s="17" t="n">
        <f aca="false">W_R</f>
        <v>0.25</v>
      </c>
      <c r="F45" s="13" t="n">
        <f aca="false">$B45*$B$11+$C45*$C$11+$D45*$D$11+$E45*$E$11</f>
        <v>47.2643223289361</v>
      </c>
      <c r="G45" s="13" t="n">
        <f aca="false">$B45*$B$12+$C45*$C$12+$D45*$D$12+$E45*$E$12</f>
        <v>46.8876307818627</v>
      </c>
      <c r="H45" s="13" t="n">
        <f aca="false">$B45*$B$13+$C45*$C$13+$D45*$D$13+$E45*$E$13</f>
        <v>39.0896792201083</v>
      </c>
      <c r="I45" s="2" t="str">
        <f aca="false">INDEX($F$42:$H$42,MATCH(MAX(F45:H45),F45:H45,0))</f>
        <v>Digital</v>
      </c>
    </row>
    <row r="46" customFormat="false" ht="15" hidden="false" customHeight="false" outlineLevel="0" collapsed="false">
      <c r="A46" s="10" t="n">
        <v>1.5</v>
      </c>
      <c r="B46" s="17" t="n">
        <f aca="false">W_L+A46/100</f>
        <v>0.265</v>
      </c>
      <c r="C46" s="17" t="n">
        <f aca="false">W_T-A46/100</f>
        <v>0.235</v>
      </c>
      <c r="D46" s="17" t="n">
        <f aca="false">W_E</f>
        <v>0.25</v>
      </c>
      <c r="E46" s="17" t="n">
        <f aca="false">W_R</f>
        <v>0.25</v>
      </c>
      <c r="F46" s="13" t="n">
        <f aca="false">$B46*$B$11+$C46*$C$11+$D46*$D$11+$E46*$E$11</f>
        <v>47.3576269906004</v>
      </c>
      <c r="G46" s="13" t="n">
        <f aca="false">$B46*$B$12+$C46*$C$12+$D46*$D$12+$E46*$E$12</f>
        <v>47.2988706067068</v>
      </c>
      <c r="H46" s="13" t="n">
        <f aca="false">$B46*$B$13+$C46*$C$13+$D46*$D$13+$E46*$E$13</f>
        <v>39.4368020657245</v>
      </c>
      <c r="I46" s="2" t="str">
        <f aca="false">INDEX($F$42:$H$42,MATCH(MAX(F46:H46),F46:H46,0))</f>
        <v>Digital</v>
      </c>
    </row>
    <row r="47" customFormat="false" ht="15" hidden="false" customHeight="false" outlineLevel="0" collapsed="false">
      <c r="A47" s="13" t="n">
        <f aca="false">B34</f>
        <v>1.59240309141324</v>
      </c>
      <c r="B47" s="17" t="n">
        <f aca="false">W_L+A47/100</f>
        <v>0.265924030914132</v>
      </c>
      <c r="C47" s="17" t="n">
        <f aca="false">W_T-A47/100</f>
        <v>0.234075969085868</v>
      </c>
      <c r="D47" s="17" t="n">
        <f aca="false">W_E</f>
        <v>0.25</v>
      </c>
      <c r="E47" s="17" t="n">
        <f aca="false">W_R</f>
        <v>0.25</v>
      </c>
      <c r="F47" s="13" t="n">
        <f aca="false">$B47*$B$11+$C47*$C$11+$D47*$D$11+$E47*$E$11</f>
        <v>47.3748702689625</v>
      </c>
      <c r="G47" s="13" t="n">
        <f aca="false">$B47*$B$12+$C47*$C$12+$D47*$D$12+$E47*$E$12</f>
        <v>47.3748702689625</v>
      </c>
      <c r="H47" s="13" t="n">
        <f aca="false">$B47*$B$13+$C47*$C$13+$D47*$D$13+$E47*$E$13</f>
        <v>39.5009525137948</v>
      </c>
      <c r="I47" s="2" t="str">
        <f aca="false">INDEX($F$42:$H$42,MATCH(MAX(F47:H47),F47:H47,0))</f>
        <v>Digital</v>
      </c>
    </row>
    <row r="48" customFormat="false" ht="15" hidden="false" customHeight="false" outlineLevel="0" collapsed="false">
      <c r="A48" s="10" t="n">
        <v>2</v>
      </c>
      <c r="B48" s="17" t="n">
        <f aca="false">W_L+A48/100</f>
        <v>0.27</v>
      </c>
      <c r="C48" s="17" t="n">
        <f aca="false">W_T-A48/100</f>
        <v>0.23</v>
      </c>
      <c r="D48" s="17" t="n">
        <f aca="false">W_E</f>
        <v>0.25</v>
      </c>
      <c r="E48" s="17" t="n">
        <f aca="false">W_R</f>
        <v>0.25</v>
      </c>
      <c r="F48" s="13" t="n">
        <f aca="false">$B48*$B$11+$C48*$C$11+$D48*$D$11+$E48*$E$11</f>
        <v>47.4509316522647</v>
      </c>
      <c r="G48" s="13" t="n">
        <f aca="false">$B48*$B$12+$C48*$C$12+$D48*$D$12+$E48*$E$12</f>
        <v>47.7101104315509</v>
      </c>
      <c r="H48" s="13" t="n">
        <f aca="false">$B48*$B$13+$C48*$C$13+$D48*$D$13+$E48*$E$13</f>
        <v>39.7839249113408</v>
      </c>
      <c r="I48" s="2" t="str">
        <f aca="false">INDEX($F$42:$H$42,MATCH(MAX(F48:H48),F48:H48,0))</f>
        <v>Restructuring</v>
      </c>
    </row>
    <row r="49" customFormat="false" ht="15" hidden="false" customHeight="false" outlineLevel="0" collapsed="false">
      <c r="A49" s="10" t="n">
        <v>2.5</v>
      </c>
      <c r="B49" s="17" t="n">
        <f aca="false">W_L+A49/100</f>
        <v>0.275</v>
      </c>
      <c r="C49" s="17" t="n">
        <f aca="false">W_T-A49/100</f>
        <v>0.225</v>
      </c>
      <c r="D49" s="17" t="n">
        <f aca="false">W_E</f>
        <v>0.25</v>
      </c>
      <c r="E49" s="17" t="n">
        <f aca="false">W_R</f>
        <v>0.25</v>
      </c>
      <c r="F49" s="13" t="n">
        <f aca="false">$B49*$B$11+$C49*$C$11+$D49*$D$11+$E49*$E$11</f>
        <v>47.5442363139289</v>
      </c>
      <c r="G49" s="13" t="n">
        <f aca="false">$B49*$B$12+$C49*$C$12+$D49*$D$12+$E49*$E$12</f>
        <v>48.1213502563951</v>
      </c>
      <c r="H49" s="13" t="n">
        <f aca="false">$B49*$B$13+$C49*$C$13+$D49*$D$13+$E49*$E$13</f>
        <v>40.1310477569571</v>
      </c>
      <c r="I49" s="2" t="str">
        <f aca="false">INDEX($F$42:$H$42,MATCH(MAX(F49:H49),F49:H49,0))</f>
        <v>Restructuring</v>
      </c>
    </row>
    <row r="50" customFormat="false" ht="15" hidden="false" customHeight="false" outlineLevel="0" collapsed="false">
      <c r="A50" s="10" t="n">
        <v>3</v>
      </c>
      <c r="B50" s="17" t="n">
        <f aca="false">W_L+A50/100</f>
        <v>0.28</v>
      </c>
      <c r="C50" s="17" t="n">
        <f aca="false">W_T-A50/100</f>
        <v>0.22</v>
      </c>
      <c r="D50" s="17" t="n">
        <f aca="false">W_E</f>
        <v>0.25</v>
      </c>
      <c r="E50" s="17" t="n">
        <f aca="false">W_R</f>
        <v>0.25</v>
      </c>
      <c r="F50" s="13" t="n">
        <f aca="false">$B50*$B$11+$C50*$C$11+$D50*$D$11+$E50*$E$11</f>
        <v>47.6375409755932</v>
      </c>
      <c r="G50" s="13" t="n">
        <f aca="false">$B50*$B$12+$C50*$C$12+$D50*$D$12+$E50*$E$12</f>
        <v>48.5325900812392</v>
      </c>
      <c r="H50" s="13" t="n">
        <f aca="false">$B50*$B$13+$C50*$C$13+$D50*$D$13+$E50*$E$13</f>
        <v>40.4781706025734</v>
      </c>
      <c r="I50" s="2" t="str">
        <f aca="false">INDEX($F$42:$H$42,MATCH(MAX(F50:H50),F50:H50,0))</f>
        <v>Restructuring</v>
      </c>
    </row>
    <row r="51" customFormat="false" ht="15" hidden="false" customHeight="false" outlineLevel="0" collapsed="false">
      <c r="A51" s="10" t="n">
        <v>4</v>
      </c>
      <c r="B51" s="17" t="n">
        <f aca="false">W_L+A51/100</f>
        <v>0.29</v>
      </c>
      <c r="C51" s="17" t="n">
        <f aca="false">W_T-A51/100</f>
        <v>0.21</v>
      </c>
      <c r="D51" s="17" t="n">
        <f aca="false">W_E</f>
        <v>0.25</v>
      </c>
      <c r="E51" s="17" t="n">
        <f aca="false">W_R</f>
        <v>0.25</v>
      </c>
      <c r="F51" s="13" t="n">
        <f aca="false">$B51*$B$11+$C51*$C$11+$D51*$D$11+$E51*$E$11</f>
        <v>47.8241502989217</v>
      </c>
      <c r="G51" s="13" t="n">
        <f aca="false">$B51*$B$12+$C51*$C$12+$D51*$D$12+$E51*$E$12</f>
        <v>49.3550697309275</v>
      </c>
      <c r="H51" s="13" t="n">
        <f aca="false">$B51*$B$13+$C51*$C$13+$D51*$D$13+$E51*$E$13</f>
        <v>41.172416293806</v>
      </c>
      <c r="I51" s="2" t="str">
        <f aca="false">INDEX($F$42:$H$42,MATCH(MAX(F51:H51),F51:H51,0))</f>
        <v>Restructuring</v>
      </c>
    </row>
    <row r="52" customFormat="false" ht="15" hidden="false" customHeight="false" outlineLevel="0" collapsed="false">
      <c r="A52" s="10" t="n">
        <v>5</v>
      </c>
      <c r="B52" s="17" t="n">
        <f aca="false">W_L+A52/100</f>
        <v>0.3</v>
      </c>
      <c r="C52" s="17" t="n">
        <f aca="false">W_T-A52/100</f>
        <v>0.2</v>
      </c>
      <c r="D52" s="17" t="n">
        <f aca="false">W_E</f>
        <v>0.25</v>
      </c>
      <c r="E52" s="17" t="n">
        <f aca="false">W_R</f>
        <v>0.25</v>
      </c>
      <c r="F52" s="13" t="n">
        <f aca="false">$B52*$B$11+$C52*$C$11+$D52*$D$11+$E52*$E$11</f>
        <v>48.0107596222503</v>
      </c>
      <c r="G52" s="13" t="n">
        <f aca="false">$B52*$B$12+$C52*$C$12+$D52*$D$12+$E52*$E$12</f>
        <v>50.1775493806157</v>
      </c>
      <c r="H52" s="13" t="n">
        <f aca="false">$B52*$B$13+$C52*$C$13+$D52*$D$13+$E52*$E$13</f>
        <v>41.8666619850385</v>
      </c>
      <c r="I52" s="2" t="str">
        <f aca="false">INDEX($F$42:$H$42,MATCH(MAX(F52:H52),F52:H52,0))</f>
        <v>Restructuring</v>
      </c>
    </row>
    <row r="54" customFormat="false" ht="15" hidden="false" customHeight="false" outlineLevel="0" collapsed="false">
      <c r="A54" s="14" t="s">
        <v>304</v>
      </c>
    </row>
    <row r="56" customFormat="false" ht="23.85" hidden="false" customHeight="false" outlineLevel="0" collapsed="false">
      <c r="A56" s="8" t="s">
        <v>305</v>
      </c>
      <c r="B56" s="8" t="s">
        <v>306</v>
      </c>
      <c r="C56" s="8" t="s">
        <v>20</v>
      </c>
    </row>
    <row r="57" customFormat="false" ht="15" hidden="false" customHeight="false" outlineLevel="0" collapsed="false">
      <c r="A57" s="2" t="s">
        <v>50</v>
      </c>
      <c r="B57" s="23" t="n">
        <v>0.493745</v>
      </c>
      <c r="C57" s="14" t="s">
        <v>307</v>
      </c>
    </row>
    <row r="58" customFormat="false" ht="15" hidden="false" customHeight="false" outlineLevel="0" collapsed="false">
      <c r="A58" s="2" t="s">
        <v>51</v>
      </c>
      <c r="B58" s="23" t="n">
        <v>0.492915</v>
      </c>
      <c r="C58" s="14" t="s">
        <v>308</v>
      </c>
    </row>
    <row r="59" customFormat="false" ht="15" hidden="false" customHeight="false" outlineLevel="0" collapsed="false">
      <c r="A59" s="2" t="s">
        <v>52</v>
      </c>
      <c r="B59" s="23" t="n">
        <v>0.01334</v>
      </c>
      <c r="C59" s="14" t="s">
        <v>309</v>
      </c>
    </row>
    <row r="60" customFormat="false" ht="15" hidden="false" customHeight="false" outlineLevel="0" collapsed="false">
      <c r="A60" s="2" t="s">
        <v>310</v>
      </c>
      <c r="B60" s="23" t="n">
        <v>0.683716505462273</v>
      </c>
      <c r="C60" s="14" t="s">
        <v>311</v>
      </c>
    </row>
    <row r="61" customFormat="false" ht="15" hidden="false" customHeight="false" outlineLevel="0" collapsed="false">
      <c r="A61" s="2" t="s">
        <v>312</v>
      </c>
      <c r="B61" s="23" t="n">
        <v>0.131093802971447</v>
      </c>
      <c r="C61" s="14" t="s">
        <v>313</v>
      </c>
    </row>
    <row r="62" customFormat="false" ht="15" hidden="false" customHeight="false" outlineLevel="0" collapsed="false">
      <c r="A62" s="14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" t="s">
        <v>315</v>
      </c>
    </row>
    <row r="3" customFormat="false" ht="15" hidden="false" customHeight="false" outlineLevel="0" collapsed="false">
      <c r="A3" s="8" t="s">
        <v>316</v>
      </c>
      <c r="B3" s="8" t="s">
        <v>26</v>
      </c>
      <c r="C3" s="8" t="s">
        <v>29</v>
      </c>
      <c r="D3" s="8" t="s">
        <v>31</v>
      </c>
      <c r="E3" s="8" t="s">
        <v>34</v>
      </c>
    </row>
    <row r="4" customFormat="false" ht="15" hidden="false" customHeight="false" outlineLevel="0" collapsed="false">
      <c r="A4" s="2" t="s">
        <v>50</v>
      </c>
      <c r="B4" s="22" t="n">
        <f aca="false">Weights!B11</f>
        <v>94.2956014682046</v>
      </c>
      <c r="C4" s="22" t="n">
        <f aca="false">Weights!C11</f>
        <v>75.6346691353518</v>
      </c>
      <c r="D4" s="22" t="n">
        <f aca="false">Weights!D11</f>
        <v>73.5983309723245</v>
      </c>
      <c r="E4" s="22" t="n">
        <f aca="false">Weights!E11</f>
        <v>-55.2177495534504</v>
      </c>
    </row>
    <row r="5" customFormat="false" ht="15" hidden="false" customHeight="false" outlineLevel="0" collapsed="false">
      <c r="A5" s="2" t="s">
        <v>51</v>
      </c>
      <c r="B5" s="22" t="n">
        <f aca="false">Weights!B12</f>
        <v>121.107479359406</v>
      </c>
      <c r="C5" s="22" t="n">
        <f aca="false">Weights!C12</f>
        <v>38.8595143905806</v>
      </c>
      <c r="D5" s="22" t="n">
        <f aca="false">Weights!D12</f>
        <v>73.6838023263144</v>
      </c>
      <c r="E5" s="22" t="n">
        <f aca="false">Weights!E12</f>
        <v>-49.3901915476036</v>
      </c>
    </row>
    <row r="6" customFormat="false" ht="15" hidden="false" customHeight="false" outlineLevel="0" collapsed="false">
      <c r="A6" s="2" t="s">
        <v>52</v>
      </c>
      <c r="B6" s="22" t="n">
        <f aca="false">Weights!B13</f>
        <v>105.367604652629</v>
      </c>
      <c r="C6" s="22" t="n">
        <f aca="false">Weights!C13</f>
        <v>35.9430355293715</v>
      </c>
      <c r="D6" s="22" t="n">
        <f aca="false">Weights!D13</f>
        <v>78.6017034530571</v>
      </c>
      <c r="E6" s="22" t="n">
        <f aca="false">Weights!E13</f>
        <v>-66.3306095195547</v>
      </c>
    </row>
    <row r="7" customFormat="false" ht="15" hidden="false" customHeight="false" outlineLevel="0" collapsed="false">
      <c r="A7" s="2" t="s">
        <v>152</v>
      </c>
      <c r="B7" s="13" t="n">
        <f aca="false">Today_L*S_L</f>
        <v>100</v>
      </c>
      <c r="C7" s="13" t="n">
        <f aca="false">Today_T*S_T</f>
        <v>41</v>
      </c>
      <c r="D7" s="13" t="n">
        <f aca="false">Today_E*S_E</f>
        <v>71</v>
      </c>
      <c r="E7" s="13" t="n">
        <f aca="false">Today_R*S_R</f>
        <v>-64</v>
      </c>
    </row>
    <row r="9" customFormat="false" ht="15" hidden="false" customHeight="false" outlineLevel="0" collapsed="false">
      <c r="A9" s="8" t="s">
        <v>317</v>
      </c>
      <c r="B9" s="8" t="s">
        <v>26</v>
      </c>
      <c r="C9" s="8" t="s">
        <v>29</v>
      </c>
      <c r="D9" s="8" t="s">
        <v>31</v>
      </c>
      <c r="E9" s="8" t="s">
        <v>34</v>
      </c>
      <c r="F9" s="8" t="s">
        <v>318</v>
      </c>
    </row>
    <row r="10" customFormat="false" ht="15" hidden="false" customHeight="false" outlineLevel="0" collapsed="false">
      <c r="A10" s="2" t="s">
        <v>319</v>
      </c>
      <c r="B10" s="13" t="n">
        <f aca="false">MIN(B$4:B$6)</f>
        <v>94.2956014682046</v>
      </c>
      <c r="C10" s="13" t="n">
        <f aca="false">MIN(C$4:C$6)</f>
        <v>35.9430355293715</v>
      </c>
      <c r="D10" s="13" t="n">
        <f aca="false">MIN(D$4:D$6)</f>
        <v>73.5983309723245</v>
      </c>
      <c r="E10" s="13" t="n">
        <f aca="false">MIN(E$4:E$6)</f>
        <v>-66.3306095195547</v>
      </c>
    </row>
    <row r="11" customFormat="false" ht="15" hidden="false" customHeight="false" outlineLevel="0" collapsed="false">
      <c r="A11" s="2" t="s">
        <v>320</v>
      </c>
      <c r="B11" s="13" t="n">
        <f aca="false">MAX(B$4:B$6)</f>
        <v>121.107479359406</v>
      </c>
      <c r="C11" s="13" t="n">
        <f aca="false">MAX(C$4:C$6)</f>
        <v>75.6346691353518</v>
      </c>
      <c r="D11" s="13" t="n">
        <f aca="false">MAX(D$4:D$6)</f>
        <v>78.6017034530571</v>
      </c>
      <c r="E11" s="13" t="n">
        <f aca="false">MAX(E$4:E$6)</f>
        <v>-49.3901915476036</v>
      </c>
    </row>
    <row r="12" customFormat="false" ht="15" hidden="false" customHeight="false" outlineLevel="0" collapsed="false">
      <c r="A12" s="2" t="s">
        <v>321</v>
      </c>
      <c r="B12" s="13" t="n">
        <f aca="false">B11-B10</f>
        <v>26.8118778912017</v>
      </c>
      <c r="C12" s="13" t="n">
        <f aca="false">C11-C10</f>
        <v>39.6916336059803</v>
      </c>
      <c r="D12" s="13" t="n">
        <f aca="false">D11-D10</f>
        <v>5.00337248073262</v>
      </c>
      <c r="E12" s="13" t="n">
        <f aca="false">E11-E10</f>
        <v>16.9404179719512</v>
      </c>
    </row>
    <row r="13" customFormat="false" ht="15" hidden="false" customHeight="false" outlineLevel="0" collapsed="false">
      <c r="A13" s="2" t="s">
        <v>50</v>
      </c>
      <c r="B13" s="19" t="n">
        <f aca="false">100*(B4-B$10)/B$12</f>
        <v>0</v>
      </c>
      <c r="C13" s="19" t="n">
        <f aca="false">100*(C4-C$10)/C$12</f>
        <v>100</v>
      </c>
      <c r="D13" s="19" t="n">
        <f aca="false">100*(D4-D$10)/D$12</f>
        <v>0</v>
      </c>
      <c r="E13" s="19" t="n">
        <f aca="false">100*(E4-E$10)/E$12</f>
        <v>65.5996799164239</v>
      </c>
      <c r="F13" s="13" t="n">
        <f aca="false">W_L*B13+W_T*C13+W_E*D13+W_R*E13</f>
        <v>41.399919979106</v>
      </c>
    </row>
    <row r="14" customFormat="false" ht="15" hidden="false" customHeight="false" outlineLevel="0" collapsed="false">
      <c r="A14" s="2" t="s">
        <v>51</v>
      </c>
      <c r="B14" s="19" t="n">
        <f aca="false">100*(B5-B$10)/B$12</f>
        <v>100</v>
      </c>
      <c r="C14" s="19" t="n">
        <f aca="false">100*(C5-C$10)/C$12</f>
        <v>7.34784284809484</v>
      </c>
      <c r="D14" s="19" t="n">
        <f aca="false">100*(D5-D$10)/D$12</f>
        <v>1.708274854992</v>
      </c>
      <c r="E14" s="19" t="n">
        <f aca="false">100*(E5-E$10)/E$12</f>
        <v>100</v>
      </c>
      <c r="F14" s="13" t="n">
        <f aca="false">W_L*B14+W_T*C14+W_E*D14+W_R*E14</f>
        <v>52.2640294257717</v>
      </c>
    </row>
    <row r="15" customFormat="false" ht="15" hidden="false" customHeight="false" outlineLevel="0" collapsed="false">
      <c r="A15" s="2" t="s">
        <v>52</v>
      </c>
      <c r="B15" s="19" t="n">
        <f aca="false">100*(B6-B$10)/B$12</f>
        <v>41.2951425086771</v>
      </c>
      <c r="C15" s="19" t="n">
        <f aca="false">100*(C6-C$10)/C$12</f>
        <v>0</v>
      </c>
      <c r="D15" s="19" t="n">
        <f aca="false">100*(D6-D$10)/D$12</f>
        <v>100</v>
      </c>
      <c r="E15" s="19" t="n">
        <f aca="false">100*(E6-E$10)/E$12</f>
        <v>0</v>
      </c>
      <c r="F15" s="13" t="n">
        <f aca="false">W_L*B15+W_T*C15+W_E*D15+W_R*E15</f>
        <v>35.3237856271693</v>
      </c>
    </row>
    <row r="16" customFormat="false" ht="15" hidden="false" customHeight="false" outlineLevel="0" collapsed="false">
      <c r="A16" s="4" t="s">
        <v>303</v>
      </c>
      <c r="F16" s="2" t="str">
        <f aca="false">INDEX(A13:A15,MATCH(MAX(F13:F15),F13:F15,0))</f>
        <v>Restructuring</v>
      </c>
    </row>
    <row r="17" customFormat="false" ht="15" hidden="false" customHeight="false" outlineLevel="0" collapsed="false">
      <c r="A17" s="2" t="s">
        <v>322</v>
      </c>
      <c r="B17" s="24" t="n">
        <f aca="false">(W_L/B12)/(W_L/$B12+W_T/$C12+W_E/$D12+W_R/$E12)</f>
        <v>0.116049910782311</v>
      </c>
      <c r="C17" s="24" t="n">
        <f aca="false">(W_T/C12)/(W_L/$B12+W_T/$C12+W_E/$D12+W_R/$E12)</f>
        <v>0.078392239232788</v>
      </c>
      <c r="D17" s="24" t="n">
        <f aca="false">(W_E/D12)/(W_L/$B12+W_T/$C12+W_E/$D12+W_R/$E12)</f>
        <v>0.621883749243584</v>
      </c>
      <c r="E17" s="24" t="n">
        <f aca="false">(W_R/E12)/(W_L/$B12+W_T/$C12+W_E/$D12+W_R/$E12)</f>
        <v>0.183674100741317</v>
      </c>
    </row>
    <row r="20" customFormat="false" ht="15" hidden="false" customHeight="false" outlineLevel="0" collapsed="false">
      <c r="A20" s="2" t="s">
        <v>323</v>
      </c>
      <c r="B20" s="19" t="n">
        <f aca="false">E14-E13</f>
        <v>34.4003200835762</v>
      </c>
      <c r="C20" s="14" t="s">
        <v>324</v>
      </c>
    </row>
    <row r="21" customFormat="false" ht="15" hidden="false" customHeight="false" outlineLevel="0" collapsed="false">
      <c r="A21" s="2" t="s">
        <v>325</v>
      </c>
      <c r="B21" s="19" t="n">
        <f aca="false">C13-C14</f>
        <v>92.6521571519052</v>
      </c>
      <c r="C21" s="14" t="s">
        <v>326</v>
      </c>
    </row>
    <row r="22" customFormat="false" ht="15" hidden="false" customHeight="false" outlineLevel="0" collapsed="false">
      <c r="A22" s="2" t="s">
        <v>327</v>
      </c>
      <c r="B22" s="19" t="n">
        <f aca="false">B14-B13</f>
        <v>100</v>
      </c>
      <c r="C22" s="14" t="s">
        <v>328</v>
      </c>
    </row>
    <row r="24" customFormat="false" ht="15" hidden="false" customHeight="false" outlineLevel="0" collapsed="false">
      <c r="A24" s="8" t="s">
        <v>329</v>
      </c>
      <c r="B24" s="8" t="s">
        <v>26</v>
      </c>
      <c r="C24" s="8" t="s">
        <v>29</v>
      </c>
      <c r="D24" s="8" t="s">
        <v>31</v>
      </c>
      <c r="E24" s="8" t="s">
        <v>34</v>
      </c>
      <c r="F24" s="8" t="s">
        <v>318</v>
      </c>
    </row>
    <row r="25" customFormat="false" ht="15" hidden="false" customHeight="false" outlineLevel="0" collapsed="false">
      <c r="A25" s="2" t="s">
        <v>50</v>
      </c>
      <c r="B25" s="19" t="n">
        <f aca="false">100*(Weights!B5-Today_L)/Today_L*S_L</f>
        <v>-5.70439853179544</v>
      </c>
      <c r="C25" s="19" t="n">
        <f aca="false">100*(Weights!C5-Today_T)/Today_T*S_T</f>
        <v>84.4748027691508</v>
      </c>
      <c r="D25" s="19" t="n">
        <f aca="false">100*(Weights!D5-Today_E)/Today_E*S_E</f>
        <v>3.65962108778093</v>
      </c>
      <c r="E25" s="19" t="n">
        <f aca="false">100*(Weights!E5-Today_R)/Today_R*S_R</f>
        <v>13.7222663227337</v>
      </c>
      <c r="F25" s="13" t="n">
        <f aca="false">W_L*B25+W_T*C25+W_E*D25+W_R*E25</f>
        <v>24.0380729119675</v>
      </c>
    </row>
    <row r="26" customFormat="false" ht="15" hidden="false" customHeight="false" outlineLevel="0" collapsed="false">
      <c r="A26" s="2" t="s">
        <v>51</v>
      </c>
      <c r="B26" s="19" t="n">
        <f aca="false">100*(Weights!B6-Today_L)/Today_L*S_L</f>
        <v>21.1074793594063</v>
      </c>
      <c r="C26" s="19" t="n">
        <f aca="false">100*(Weights!C6-Today_T)/Today_T*S_T</f>
        <v>-5.22069660834007</v>
      </c>
      <c r="D26" s="19" t="n">
        <f aca="false">100*(Weights!D6-Today_E)/Today_E*S_E</f>
        <v>3.78000327649916</v>
      </c>
      <c r="E26" s="19" t="n">
        <f aca="false">100*(Weights!E6-Today_R)/Today_R*S_R</f>
        <v>22.8278257068694</v>
      </c>
      <c r="F26" s="13" t="n">
        <f aca="false">W_L*B26+W_T*C26+W_E*D26+W_R*E26</f>
        <v>10.6236529336087</v>
      </c>
    </row>
    <row r="27" customFormat="false" ht="15" hidden="false" customHeight="false" outlineLevel="0" collapsed="false">
      <c r="A27" s="2" t="s">
        <v>52</v>
      </c>
      <c r="B27" s="19" t="n">
        <f aca="false">100*(Weights!B7-Today_L)/Today_L*S_L</f>
        <v>5.36760465262881</v>
      </c>
      <c r="C27" s="19" t="n">
        <f aca="false">100*(Weights!C7-Today_T)/Today_T*S_T</f>
        <v>-12.3340596844597</v>
      </c>
      <c r="D27" s="19" t="n">
        <f aca="false">100*(Weights!D7-Today_E)/Today_E*S_E</f>
        <v>10.7066245817705</v>
      </c>
      <c r="E27" s="19" t="n">
        <f aca="false">100*(Weights!E7-Today_R)/Today_R*S_R</f>
        <v>-3.64157737430424</v>
      </c>
      <c r="F27" s="13" t="n">
        <f aca="false">W_L*B27+W_T*C27+W_E*D27+W_R*E27</f>
        <v>0.0246480439088654</v>
      </c>
    </row>
    <row r="28" customFormat="false" ht="15" hidden="false" customHeight="false" outlineLevel="0" collapsed="false">
      <c r="A28" s="4" t="s">
        <v>303</v>
      </c>
      <c r="F28" s="2" t="str">
        <f aca="false">INDEX(A25:A27,MATCH(MAX(F25:F27),F25:F27,0))</f>
        <v>Digital</v>
      </c>
    </row>
    <row r="29" customFormat="false" ht="15" hidden="false" customHeight="false" outlineLevel="0" collapsed="false">
      <c r="A29" s="2" t="s">
        <v>330</v>
      </c>
      <c r="B29" s="24" t="n">
        <f aca="false">(W_L/Today_L)/(W_L/Today_L+W_T/Today_T+W_E/Today_E+W_R/Today_R)</f>
        <v>0.156006846401452</v>
      </c>
      <c r="C29" s="24" t="n">
        <f aca="false">(W_T/Today_T)/(W_L/Today_L+W_T/Today_T+W_E/Today_E+W_R/Today_R)</f>
        <v>0.380504503418176</v>
      </c>
      <c r="D29" s="24" t="n">
        <f aca="false">(W_E/Today_E)/(W_L/Today_L+W_T/Today_T+W_E/Today_E+W_R/Today_R)</f>
        <v>0.219727952678102</v>
      </c>
      <c r="E29" s="24" t="n">
        <f aca="false">(W_R/Today_R)/(W_L/Today_L+W_T/Today_T+W_E/Today_E+W_R/Today_R)</f>
        <v>0.243760697502269</v>
      </c>
    </row>
    <row r="30" customFormat="false" ht="15" hidden="false" customHeight="false" outlineLevel="0" collapsed="false">
      <c r="A30" s="2" t="s">
        <v>331</v>
      </c>
      <c r="B30" s="19" t="n">
        <f aca="false">F25-F26</f>
        <v>13.4144199783588</v>
      </c>
      <c r="C30" s="14" t="s">
        <v>332</v>
      </c>
    </row>
    <row r="31" customFormat="false" ht="15" hidden="false" customHeight="false" outlineLevel="0" collapsed="false">
      <c r="A31" s="2" t="s">
        <v>333</v>
      </c>
      <c r="B31" s="19" t="n">
        <f aca="false">C25</f>
        <v>84.4748027691508</v>
      </c>
      <c r="C31" s="14" t="s">
        <v>334</v>
      </c>
    </row>
    <row r="33" customFormat="false" ht="15" hidden="false" customHeight="false" outlineLevel="0" collapsed="false">
      <c r="A33" s="8" t="s">
        <v>335</v>
      </c>
      <c r="B33" s="8" t="s">
        <v>336</v>
      </c>
      <c r="C33" s="8" t="s">
        <v>337</v>
      </c>
      <c r="D33" s="8" t="s">
        <v>257</v>
      </c>
    </row>
    <row r="34" customFormat="false" ht="15" hidden="false" customHeight="false" outlineLevel="0" collapsed="false">
      <c r="A34" s="2" t="s">
        <v>338</v>
      </c>
      <c r="B34" s="11" t="n">
        <v>1</v>
      </c>
      <c r="C34" s="11" t="n">
        <v>1</v>
      </c>
    </row>
    <row r="35" customFormat="false" ht="15" hidden="false" customHeight="false" outlineLevel="0" collapsed="false">
      <c r="A35" s="2" t="s">
        <v>339</v>
      </c>
      <c r="B35" s="11" t="n">
        <v>3</v>
      </c>
      <c r="C35" s="11" t="n">
        <v>1</v>
      </c>
      <c r="D35" s="16" t="n">
        <f aca="false">B34*B35+C34*C35</f>
        <v>4</v>
      </c>
    </row>
    <row r="36" customFormat="false" ht="15" hidden="false" customHeight="false" outlineLevel="0" collapsed="false">
      <c r="A36" s="2" t="s">
        <v>340</v>
      </c>
      <c r="B36" s="11" t="n">
        <v>1</v>
      </c>
      <c r="C36" s="11" t="n">
        <v>2</v>
      </c>
      <c r="D36" s="16" t="n">
        <f aca="false">B34*B36+C34*C36</f>
        <v>3</v>
      </c>
    </row>
    <row r="37" customFormat="false" ht="15" hidden="false" customHeight="false" outlineLevel="0" collapsed="false">
      <c r="A37" s="2" t="s">
        <v>341</v>
      </c>
      <c r="B37" s="11" t="n">
        <v>1</v>
      </c>
      <c r="C37" s="11" t="n">
        <v>3</v>
      </c>
    </row>
    <row r="38" customFormat="false" ht="15" hidden="false" customHeight="false" outlineLevel="0" collapsed="false">
      <c r="A38" s="2" t="s">
        <v>342</v>
      </c>
      <c r="D38" s="16" t="n">
        <f aca="false">B34*B37*B35+C34*C37*C35</f>
        <v>6</v>
      </c>
    </row>
    <row r="39" customFormat="false" ht="15" hidden="false" customHeight="false" outlineLevel="0" collapsed="false">
      <c r="A39" s="2" t="s">
        <v>343</v>
      </c>
      <c r="D39" s="16" t="n">
        <f aca="false">B34*B37*B36+C34*C37*C36</f>
        <v>7</v>
      </c>
    </row>
    <row r="41" customFormat="false" ht="15" hidden="false" customHeight="false" outlineLevel="0" collapsed="false">
      <c r="A41" s="8" t="s">
        <v>344</v>
      </c>
      <c r="B41" s="8" t="s">
        <v>26</v>
      </c>
      <c r="C41" s="8" t="s">
        <v>29</v>
      </c>
      <c r="D41" s="8" t="s">
        <v>31</v>
      </c>
      <c r="E41" s="8" t="s">
        <v>34</v>
      </c>
      <c r="F41" s="8" t="s">
        <v>318</v>
      </c>
    </row>
    <row r="42" customFormat="false" ht="15" hidden="false" customHeight="false" outlineLevel="0" collapsed="false">
      <c r="A42" s="2" t="s">
        <v>319</v>
      </c>
      <c r="B42" s="13" t="n">
        <f aca="false">MIN(B$4:B$7)</f>
        <v>94.2956014682046</v>
      </c>
      <c r="C42" s="13" t="n">
        <f aca="false">MIN(C$4:C$7)</f>
        <v>35.9430355293715</v>
      </c>
      <c r="D42" s="13" t="n">
        <f aca="false">MIN(D$4:D$7)</f>
        <v>71</v>
      </c>
      <c r="E42" s="13" t="n">
        <f aca="false">MIN(E$4:E$7)</f>
        <v>-66.3306095195547</v>
      </c>
    </row>
    <row r="43" customFormat="false" ht="15" hidden="false" customHeight="false" outlineLevel="0" collapsed="false">
      <c r="A43" s="2" t="s">
        <v>320</v>
      </c>
      <c r="B43" s="13" t="n">
        <f aca="false">MAX(B$4:B$7)</f>
        <v>121.107479359406</v>
      </c>
      <c r="C43" s="13" t="n">
        <f aca="false">MAX(C$4:C$7)</f>
        <v>75.6346691353518</v>
      </c>
      <c r="D43" s="13" t="n">
        <f aca="false">MAX(D$4:D$7)</f>
        <v>78.6017034530571</v>
      </c>
      <c r="E43" s="13" t="n">
        <f aca="false">MAX(E$4:E$7)</f>
        <v>-49.3901915476036</v>
      </c>
    </row>
    <row r="44" customFormat="false" ht="15" hidden="false" customHeight="false" outlineLevel="0" collapsed="false">
      <c r="A44" s="2" t="s">
        <v>321</v>
      </c>
      <c r="B44" s="13" t="n">
        <f aca="false">B43-B42</f>
        <v>26.8118778912017</v>
      </c>
      <c r="C44" s="13" t="n">
        <f aca="false">C43-C42</f>
        <v>39.6916336059803</v>
      </c>
      <c r="D44" s="13" t="n">
        <f aca="false">D43-D42</f>
        <v>7.60170345305708</v>
      </c>
      <c r="E44" s="13" t="n">
        <f aca="false">E43-E42</f>
        <v>16.9404179719512</v>
      </c>
    </row>
    <row r="45" customFormat="false" ht="15" hidden="false" customHeight="false" outlineLevel="0" collapsed="false">
      <c r="A45" s="2" t="s">
        <v>50</v>
      </c>
      <c r="B45" s="19" t="n">
        <f aca="false">100*(B4-B$42)/B$44</f>
        <v>0</v>
      </c>
      <c r="C45" s="19" t="n">
        <f aca="false">100*(C4-C$42)/C$44</f>
        <v>100</v>
      </c>
      <c r="D45" s="19" t="n">
        <f aca="false">100*(D4-D$42)/D$44</f>
        <v>34.1809041666776</v>
      </c>
      <c r="E45" s="19" t="n">
        <f aca="false">100*(E4-E$42)/E$44</f>
        <v>65.5996799164239</v>
      </c>
      <c r="F45" s="13" t="n">
        <f aca="false">W_L*B45+W_T*C45+W_E*D45+W_R*E45</f>
        <v>49.9451460207754</v>
      </c>
    </row>
    <row r="46" customFormat="false" ht="15" hidden="false" customHeight="false" outlineLevel="0" collapsed="false">
      <c r="A46" s="2" t="s">
        <v>51</v>
      </c>
      <c r="B46" s="19" t="n">
        <f aca="false">100*(B5-B$42)/B$44</f>
        <v>100</v>
      </c>
      <c r="C46" s="19" t="n">
        <f aca="false">100*(C5-C$42)/C$44</f>
        <v>7.34784284809484</v>
      </c>
      <c r="D46" s="19" t="n">
        <f aca="false">100*(D5-D$42)/D$44</f>
        <v>35.3052752305813</v>
      </c>
      <c r="E46" s="19" t="n">
        <f aca="false">100*(E5-E$42)/E$44</f>
        <v>100</v>
      </c>
      <c r="F46" s="13" t="n">
        <f aca="false">W_L*B46+W_T*C46+W_E*D46+W_R*E46</f>
        <v>60.663279519669</v>
      </c>
    </row>
    <row r="47" customFormat="false" ht="15" hidden="false" customHeight="false" outlineLevel="0" collapsed="false">
      <c r="A47" s="2" t="s">
        <v>52</v>
      </c>
      <c r="B47" s="19" t="n">
        <f aca="false">100*(B6-B$42)/B$44</f>
        <v>41.2951425086771</v>
      </c>
      <c r="C47" s="19" t="n">
        <f aca="false">100*(C6-C$42)/C$44</f>
        <v>0</v>
      </c>
      <c r="D47" s="19" t="n">
        <f aca="false">100*(D6-D$42)/D$44</f>
        <v>100</v>
      </c>
      <c r="E47" s="19" t="n">
        <f aca="false">100*(E6-E$42)/E$44</f>
        <v>0</v>
      </c>
      <c r="F47" s="13" t="n">
        <f aca="false">W_L*B47+W_T*C47+W_E*D47+W_R*E47</f>
        <v>35.3237856271693</v>
      </c>
    </row>
    <row r="48" customFormat="false" ht="15" hidden="false" customHeight="false" outlineLevel="0" collapsed="false">
      <c r="A48" s="4" t="s">
        <v>303</v>
      </c>
      <c r="F48" s="2" t="str">
        <f aca="false">INDEX(A45:A47,MATCH(MAX(F45:F47),F45:F47,0))</f>
        <v>Restructuring</v>
      </c>
    </row>
    <row r="49" customFormat="false" ht="15" hidden="false" customHeight="false" outlineLevel="0" collapsed="false">
      <c r="A49" s="2" t="s">
        <v>322</v>
      </c>
      <c r="B49" s="24" t="n">
        <f aca="false">(W_L/B44)/(W_L/$B44+W_T/$C44+W_E/$D44+W_R/$E44)</f>
        <v>0.147377221935807</v>
      </c>
      <c r="C49" s="24" t="n">
        <f aca="false">(W_T/C44)/(W_L/$B44+W_T/$C44+W_E/$D44+W_R/$E44)</f>
        <v>0.0995539795039335</v>
      </c>
      <c r="D49" s="24" t="n">
        <f aca="false">(W_E/D44)/(W_L/$B44+W_T/$C44+W_E/$D44+W_R/$E44)</f>
        <v>0.519812447682142</v>
      </c>
      <c r="E49" s="24" t="n">
        <f aca="false">(W_R/E44)/(W_L/$B44+W_T/$C44+W_E/$D44+W_R/$E44)</f>
        <v>0.233256350878117</v>
      </c>
    </row>
    <row r="52" customFormat="false" ht="15" hidden="false" customHeight="false" outlineLevel="0" collapsed="false">
      <c r="A52" s="8" t="s">
        <v>345</v>
      </c>
      <c r="B52" s="8" t="s">
        <v>26</v>
      </c>
      <c r="C52" s="8" t="s">
        <v>29</v>
      </c>
      <c r="D52" s="8" t="s">
        <v>31</v>
      </c>
      <c r="E52" s="8" t="s">
        <v>34</v>
      </c>
      <c r="F52" s="8" t="s">
        <v>318</v>
      </c>
    </row>
    <row r="53" customFormat="false" ht="15" hidden="false" customHeight="false" outlineLevel="0" collapsed="false">
      <c r="A53" s="2" t="s">
        <v>319</v>
      </c>
      <c r="B53" s="13" t="n">
        <f aca="false">MIN(B$4:B$5)</f>
        <v>94.2956014682046</v>
      </c>
      <c r="C53" s="13" t="n">
        <f aca="false">MIN(C$4:C$5)</f>
        <v>38.8595143905806</v>
      </c>
      <c r="D53" s="13" t="n">
        <f aca="false">MIN(D$4:D$5)</f>
        <v>73.5983309723245</v>
      </c>
      <c r="E53" s="13" t="n">
        <f aca="false">MIN(E$4:E$5)</f>
        <v>-55.2177495534504</v>
      </c>
    </row>
    <row r="54" customFormat="false" ht="15" hidden="false" customHeight="false" outlineLevel="0" collapsed="false">
      <c r="A54" s="2" t="s">
        <v>320</v>
      </c>
      <c r="B54" s="13" t="n">
        <f aca="false">MAX(B$4:B$5)</f>
        <v>121.107479359406</v>
      </c>
      <c r="C54" s="13" t="n">
        <f aca="false">MAX(C$4:C$5)</f>
        <v>75.6346691353518</v>
      </c>
      <c r="D54" s="13" t="n">
        <f aca="false">MAX(D$4:D$5)</f>
        <v>73.6838023263144</v>
      </c>
      <c r="E54" s="13" t="n">
        <f aca="false">MAX(E$4:E$5)</f>
        <v>-49.3901915476036</v>
      </c>
    </row>
    <row r="55" customFormat="false" ht="15" hidden="false" customHeight="false" outlineLevel="0" collapsed="false">
      <c r="A55" s="2" t="s">
        <v>321</v>
      </c>
      <c r="B55" s="13" t="n">
        <f aca="false">B54-B53</f>
        <v>26.8118778912017</v>
      </c>
      <c r="C55" s="13" t="n">
        <f aca="false">C54-C53</f>
        <v>36.7751547447712</v>
      </c>
      <c r="D55" s="13" t="n">
        <f aca="false">D54-D53</f>
        <v>0.085471353989945</v>
      </c>
      <c r="E55" s="13" t="n">
        <f aca="false">E54-E53</f>
        <v>5.82755800584685</v>
      </c>
    </row>
    <row r="56" customFormat="false" ht="15" hidden="false" customHeight="false" outlineLevel="0" collapsed="false">
      <c r="A56" s="2" t="s">
        <v>50</v>
      </c>
      <c r="B56" s="19" t="n">
        <f aca="false">100*(B4-B$53)/B$55</f>
        <v>0</v>
      </c>
      <c r="C56" s="19" t="n">
        <f aca="false">100*(C4-C$53)/C$55</f>
        <v>100</v>
      </c>
      <c r="D56" s="19" t="n">
        <f aca="false">100*(D4-D$53)/D$55</f>
        <v>0</v>
      </c>
      <c r="E56" s="19" t="n">
        <f aca="false">100*(E4-E$53)/E$55</f>
        <v>0</v>
      </c>
      <c r="F56" s="13" t="n">
        <f aca="false">W_L*B56+W_T*C56+W_E*D56+W_R*E56</f>
        <v>25</v>
      </c>
    </row>
    <row r="57" customFormat="false" ht="15" hidden="false" customHeight="false" outlineLevel="0" collapsed="false">
      <c r="A57" s="2" t="s">
        <v>51</v>
      </c>
      <c r="B57" s="19" t="n">
        <f aca="false">100*(B5-B$53)/B$55</f>
        <v>100</v>
      </c>
      <c r="C57" s="19" t="n">
        <f aca="false">100*(C5-C$53)/C$55</f>
        <v>0</v>
      </c>
      <c r="D57" s="19" t="n">
        <f aca="false">100*(D5-D$53)/D$55</f>
        <v>100</v>
      </c>
      <c r="E57" s="19" t="n">
        <f aca="false">100*(E5-E$53)/E$55</f>
        <v>100</v>
      </c>
      <c r="F57" s="13" t="n">
        <f aca="false">W_L*B57+W_T*C57+W_E*D57+W_R*E57</f>
        <v>75</v>
      </c>
    </row>
    <row r="58" customFormat="false" ht="15" hidden="false" customHeight="false" outlineLevel="0" collapsed="false">
      <c r="A58" s="4" t="s">
        <v>303</v>
      </c>
      <c r="F58" s="2" t="str">
        <f aca="false">INDEX(A56:A57,MATCH(MAX(F56:F57),F56:F57,0))</f>
        <v>Restructuring</v>
      </c>
    </row>
    <row r="59" customFormat="false" ht="15" hidden="false" customHeight="false" outlineLevel="0" collapsed="false">
      <c r="A59" s="2" t="s">
        <v>322</v>
      </c>
      <c r="B59" s="24" t="n">
        <f aca="false">(W_L/B55)/(W_L/$B55+W_T/$C55+W_E/$D55+W_R/$E55)</f>
        <v>0.00312476302094953</v>
      </c>
      <c r="C59" s="24" t="n">
        <f aca="false">(W_T/C55)/(W_L/$B55+W_T/$C55+W_E/$D55+W_R/$E55)</f>
        <v>0.0022781893139023</v>
      </c>
      <c r="D59" s="24" t="n">
        <f aca="false">(W_E/D55)/(W_L/$B55+W_T/$C55+W_E/$D55+W_R/$E55)</f>
        <v>0.980220397192929</v>
      </c>
      <c r="E59" s="24" t="n">
        <f aca="false">(W_R/E55)/(W_L/$B55+W_T/$C55+W_E/$D55+W_R/$E55)</f>
        <v>0.0143766504722189</v>
      </c>
    </row>
    <row r="62" customFormat="false" ht="15" hidden="false" customHeight="false" outlineLevel="0" collapsed="false">
      <c r="A62" s="14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2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9" min="6" style="0" width="14"/>
  </cols>
  <sheetData>
    <row r="1" customFormat="false" ht="15" hidden="false" customHeight="false" outlineLevel="0" collapsed="false">
      <c r="A1" s="1" t="s">
        <v>347</v>
      </c>
    </row>
    <row r="2" customFormat="false" ht="15" hidden="false" customHeight="false" outlineLevel="0" collapsed="false">
      <c r="A2" s="14" t="s">
        <v>348</v>
      </c>
    </row>
    <row r="4" customFormat="false" ht="15" hidden="false" customHeight="false" outlineLevel="0" collapsed="false">
      <c r="A4" s="8" t="s">
        <v>349</v>
      </c>
      <c r="B4" s="8" t="s">
        <v>350</v>
      </c>
      <c r="C4" s="8" t="s">
        <v>351</v>
      </c>
      <c r="D4" s="8" t="s">
        <v>352</v>
      </c>
      <c r="E4" s="8" t="s">
        <v>353</v>
      </c>
      <c r="F4" s="8" t="s">
        <v>354</v>
      </c>
      <c r="G4" s="8" t="s">
        <v>355</v>
      </c>
      <c r="H4" s="8" t="s">
        <v>356</v>
      </c>
      <c r="I4" s="8" t="s">
        <v>357</v>
      </c>
    </row>
    <row r="5" customFormat="false" ht="15" hidden="false" customHeight="false" outlineLevel="0" collapsed="false">
      <c r="A5" s="2" t="s">
        <v>358</v>
      </c>
      <c r="B5" s="11" t="n">
        <v>40</v>
      </c>
      <c r="C5" s="11" t="n">
        <v>200</v>
      </c>
      <c r="D5" s="11" t="n">
        <v>22</v>
      </c>
      <c r="E5" s="11" t="n">
        <v>100</v>
      </c>
      <c r="F5" s="24" t="n">
        <f aca="false">B5/C5</f>
        <v>0.2</v>
      </c>
      <c r="G5" s="24" t="n">
        <f aca="false">D5/E5</f>
        <v>0.22</v>
      </c>
      <c r="H5" s="18" t="n">
        <f aca="false">C5/SUM($C$5:$C$6)</f>
        <v>0.666666666666667</v>
      </c>
      <c r="I5" s="18" t="n">
        <f aca="false">E5/SUM($E$5:$E$6)</f>
        <v>0.333333333333333</v>
      </c>
    </row>
    <row r="6" customFormat="false" ht="15" hidden="false" customHeight="false" outlineLevel="0" collapsed="false">
      <c r="A6" s="2" t="s">
        <v>359</v>
      </c>
      <c r="B6" s="11" t="n">
        <v>15</v>
      </c>
      <c r="C6" s="11" t="n">
        <v>100</v>
      </c>
      <c r="D6" s="11" t="n">
        <v>32</v>
      </c>
      <c r="E6" s="11" t="n">
        <v>200</v>
      </c>
      <c r="F6" s="24" t="n">
        <f aca="false">B6/C6</f>
        <v>0.15</v>
      </c>
      <c r="G6" s="24" t="n">
        <f aca="false">D6/E6</f>
        <v>0.16</v>
      </c>
      <c r="H6" s="18" t="n">
        <f aca="false">C6/SUM($C$5:$C$6)</f>
        <v>0.333333333333333</v>
      </c>
      <c r="I6" s="18" t="n">
        <f aca="false">E6/SUM($E$5:$E$6)</f>
        <v>0.666666666666667</v>
      </c>
    </row>
    <row r="7" customFormat="false" ht="15" hidden="false" customHeight="false" outlineLevel="0" collapsed="false">
      <c r="A7" s="2" t="s">
        <v>360</v>
      </c>
      <c r="B7" s="13" t="n">
        <f aca="false">100*SUM(B5:B6)/SUM(C5:C6)</f>
        <v>18.3333333333333</v>
      </c>
      <c r="C7" s="14" t="s">
        <v>361</v>
      </c>
    </row>
    <row r="8" customFormat="false" ht="15" hidden="false" customHeight="false" outlineLevel="0" collapsed="false">
      <c r="A8" s="2" t="s">
        <v>362</v>
      </c>
      <c r="B8" s="13" t="n">
        <f aca="false">100*SUM(D5:D6)/SUM(E5:E6)</f>
        <v>18</v>
      </c>
    </row>
    <row r="9" customFormat="false" ht="15" hidden="false" customHeight="false" outlineLevel="0" collapsed="false">
      <c r="A9" s="2" t="s">
        <v>363</v>
      </c>
      <c r="B9" s="13" t="n">
        <f aca="false">100*(I5*(G5-F5)+I6*(G6-F6))</f>
        <v>1.33333333333333</v>
      </c>
    </row>
    <row r="10" customFormat="false" ht="15" hidden="false" customHeight="false" outlineLevel="0" collapsed="false">
      <c r="A10" s="2" t="s">
        <v>364</v>
      </c>
      <c r="B10" s="13" t="n">
        <f aca="false">100*((I5-H5)*F5+(I6-H6)*F6)</f>
        <v>-1.66666666666667</v>
      </c>
    </row>
    <row r="11" customFormat="false" ht="15" hidden="false" customHeight="false" outlineLevel="0" collapsed="false">
      <c r="A11" s="2" t="s">
        <v>365</v>
      </c>
      <c r="B11" s="25" t="n">
        <f aca="false">B9+B10-(B8-B7)</f>
        <v>-1.33226762955019E-015</v>
      </c>
    </row>
    <row r="12" customFormat="false" ht="15" hidden="false" customHeight="false" outlineLevel="0" collapsed="false">
      <c r="A12" s="2" t="s">
        <v>366</v>
      </c>
      <c r="B12" s="13" t="n">
        <f aca="false">100*AVERAGE(F5:F6)</f>
        <v>17.5</v>
      </c>
    </row>
    <row r="13" customFormat="false" ht="15" hidden="false" customHeight="false" outlineLevel="0" collapsed="false">
      <c r="A13" s="2" t="s">
        <v>367</v>
      </c>
      <c r="B13" s="13" t="n">
        <f aca="false">100*AVERAGE(G5:G6)</f>
        <v>19</v>
      </c>
    </row>
    <row r="16" customFormat="false" ht="15" hidden="false" customHeight="false" outlineLevel="0" collapsed="false">
      <c r="A16" s="8" t="s">
        <v>368</v>
      </c>
      <c r="B16" s="8" t="s">
        <v>369</v>
      </c>
      <c r="C16" s="8" t="s">
        <v>370</v>
      </c>
      <c r="D16" s="8" t="s">
        <v>371</v>
      </c>
      <c r="E16" s="8" t="s">
        <v>372</v>
      </c>
      <c r="F16" s="8" t="s">
        <v>354</v>
      </c>
      <c r="G16" s="8" t="s">
        <v>355</v>
      </c>
      <c r="H16" s="8" t="s">
        <v>356</v>
      </c>
      <c r="I16" s="8" t="s">
        <v>357</v>
      </c>
    </row>
    <row r="17" customFormat="false" ht="15" hidden="false" customHeight="false" outlineLevel="0" collapsed="false">
      <c r="A17" s="2" t="s">
        <v>373</v>
      </c>
      <c r="B17" s="11" t="n">
        <v>160</v>
      </c>
      <c r="C17" s="11" t="n">
        <v>200</v>
      </c>
      <c r="D17" s="11" t="n">
        <v>78</v>
      </c>
      <c r="E17" s="11" t="n">
        <v>100</v>
      </c>
      <c r="F17" s="24" t="n">
        <f aca="false">B17/C17</f>
        <v>0.8</v>
      </c>
      <c r="G17" s="24" t="n">
        <f aca="false">D17/E17</f>
        <v>0.78</v>
      </c>
      <c r="H17" s="18" t="n">
        <f aca="false">C17/SUM($C$17:$C$18)</f>
        <v>0.666666666666667</v>
      </c>
      <c r="I17" s="18" t="n">
        <f aca="false">E17/SUM($E$17:$E$18)</f>
        <v>0.333333333333333</v>
      </c>
    </row>
    <row r="18" customFormat="false" ht="15" hidden="false" customHeight="false" outlineLevel="0" collapsed="false">
      <c r="A18" s="2" t="s">
        <v>374</v>
      </c>
      <c r="B18" s="11" t="n">
        <v>85</v>
      </c>
      <c r="C18" s="11" t="n">
        <v>100</v>
      </c>
      <c r="D18" s="11" t="n">
        <v>168</v>
      </c>
      <c r="E18" s="11" t="n">
        <v>200</v>
      </c>
      <c r="F18" s="24" t="n">
        <f aca="false">B18/C18</f>
        <v>0.85</v>
      </c>
      <c r="G18" s="24" t="n">
        <f aca="false">D18/E18</f>
        <v>0.84</v>
      </c>
      <c r="H18" s="18" t="n">
        <f aca="false">C18/SUM($C$17:$C$18)</f>
        <v>0.333333333333333</v>
      </c>
      <c r="I18" s="18" t="n">
        <f aca="false">E18/SUM($E$17:$E$18)</f>
        <v>0.666666666666667</v>
      </c>
    </row>
    <row r="19" customFormat="false" ht="15" hidden="false" customHeight="false" outlineLevel="0" collapsed="false">
      <c r="A19" s="2" t="s">
        <v>360</v>
      </c>
      <c r="B19" s="13" t="n">
        <f aca="false">100*SUM(B17:B18)/SUM(C17:C18)</f>
        <v>81.6666666666667</v>
      </c>
      <c r="C19" s="14" t="s">
        <v>375</v>
      </c>
    </row>
    <row r="20" customFormat="false" ht="15" hidden="false" customHeight="false" outlineLevel="0" collapsed="false">
      <c r="A20" s="2" t="s">
        <v>362</v>
      </c>
      <c r="B20" s="13" t="n">
        <f aca="false">100*SUM(D17:D18)/SUM(E17:E18)</f>
        <v>82</v>
      </c>
    </row>
    <row r="21" customFormat="false" ht="15" hidden="false" customHeight="false" outlineLevel="0" collapsed="false">
      <c r="A21" s="2" t="s">
        <v>363</v>
      </c>
      <c r="B21" s="13" t="n">
        <f aca="false">100*(I17*(G17-F17)+I18*(G18-F18))</f>
        <v>-1.33333333333333</v>
      </c>
    </row>
    <row r="22" customFormat="false" ht="15" hidden="false" customHeight="false" outlineLevel="0" collapsed="false">
      <c r="A22" s="2" t="s">
        <v>364</v>
      </c>
      <c r="B22" s="13" t="n">
        <f aca="false">100*((I17-H17)*F17+(I18-H18)*F18)</f>
        <v>1.66666666666667</v>
      </c>
    </row>
    <row r="23" customFormat="false" ht="15" hidden="false" customHeight="false" outlineLevel="0" collapsed="false">
      <c r="A23" s="2" t="s">
        <v>365</v>
      </c>
      <c r="B23" s="25" t="n">
        <f aca="false">B21+B22-(B20-B19)</f>
        <v>3.33066907387547E-015</v>
      </c>
    </row>
    <row r="24" customFormat="false" ht="15" hidden="false" customHeight="false" outlineLevel="0" collapsed="false">
      <c r="A24" s="2" t="s">
        <v>366</v>
      </c>
      <c r="B24" s="13" t="n">
        <f aca="false">100*AVERAGE(F17:F18)</f>
        <v>82.5</v>
      </c>
    </row>
    <row r="25" customFormat="false" ht="15" hidden="false" customHeight="false" outlineLevel="0" collapsed="false">
      <c r="A25" s="2" t="s">
        <v>367</v>
      </c>
      <c r="B25" s="13" t="n">
        <f aca="false">100*AVERAGE(G17:G18)</f>
        <v>81</v>
      </c>
    </row>
    <row r="28" customFormat="false" ht="23.85" hidden="false" customHeight="false" outlineLevel="0" collapsed="false">
      <c r="A28" s="8" t="s">
        <v>376</v>
      </c>
      <c r="B28" s="8" t="s">
        <v>377</v>
      </c>
      <c r="C28" s="8" t="s">
        <v>378</v>
      </c>
      <c r="D28" s="8" t="s">
        <v>379</v>
      </c>
    </row>
    <row r="29" customFormat="false" ht="15" hidden="false" customHeight="false" outlineLevel="0" collapsed="false">
      <c r="A29" s="26" t="n">
        <v>0</v>
      </c>
      <c r="B29" s="13" t="n">
        <f aca="false">100*(A29*$F$5+(1-A29)*$F$6)</f>
        <v>15</v>
      </c>
      <c r="C29" s="13" t="n">
        <f aca="false">100*(A29*$G$5+(1-A29)*$G$6)</f>
        <v>16</v>
      </c>
      <c r="D29" s="2" t="str">
        <f aca="false">IF(C29&lt;$B$7,"yes","no")</f>
        <v>yes</v>
      </c>
    </row>
    <row r="30" customFormat="false" ht="15" hidden="false" customHeight="false" outlineLevel="0" collapsed="false">
      <c r="A30" s="26" t="n">
        <v>0.05</v>
      </c>
      <c r="B30" s="13" t="n">
        <f aca="false">100*(A30*$F$5+(1-A30)*$F$6)</f>
        <v>15.25</v>
      </c>
      <c r="C30" s="13" t="n">
        <f aca="false">100*(A30*$G$5+(1-A30)*$G$6)</f>
        <v>16.3</v>
      </c>
      <c r="D30" s="2" t="str">
        <f aca="false">IF(C30&lt;$B$7,"yes","no")</f>
        <v>yes</v>
      </c>
    </row>
    <row r="31" customFormat="false" ht="15" hidden="false" customHeight="false" outlineLevel="0" collapsed="false">
      <c r="A31" s="26" t="n">
        <v>0.1</v>
      </c>
      <c r="B31" s="13" t="n">
        <f aca="false">100*(A31*$F$5+(1-A31)*$F$6)</f>
        <v>15.5</v>
      </c>
      <c r="C31" s="13" t="n">
        <f aca="false">100*(A31*$G$5+(1-A31)*$G$6)</f>
        <v>16.6</v>
      </c>
      <c r="D31" s="2" t="str">
        <f aca="false">IF(C31&lt;$B$7,"yes","no")</f>
        <v>yes</v>
      </c>
    </row>
    <row r="32" customFormat="false" ht="15" hidden="false" customHeight="false" outlineLevel="0" collapsed="false">
      <c r="A32" s="26" t="n">
        <v>0.15</v>
      </c>
      <c r="B32" s="13" t="n">
        <f aca="false">100*(A32*$F$5+(1-A32)*$F$6)</f>
        <v>15.75</v>
      </c>
      <c r="C32" s="13" t="n">
        <f aca="false">100*(A32*$G$5+(1-A32)*$G$6)</f>
        <v>16.9</v>
      </c>
      <c r="D32" s="2" t="str">
        <f aca="false">IF(C32&lt;$B$7,"yes","no")</f>
        <v>yes</v>
      </c>
    </row>
    <row r="33" customFormat="false" ht="15" hidden="false" customHeight="false" outlineLevel="0" collapsed="false">
      <c r="A33" s="26" t="n">
        <v>0.2</v>
      </c>
      <c r="B33" s="13" t="n">
        <f aca="false">100*(A33*$F$5+(1-A33)*$F$6)</f>
        <v>16</v>
      </c>
      <c r="C33" s="13" t="n">
        <f aca="false">100*(A33*$G$5+(1-A33)*$G$6)</f>
        <v>17.2</v>
      </c>
      <c r="D33" s="2" t="str">
        <f aca="false">IF(C33&lt;$B$7,"yes","no")</f>
        <v>yes</v>
      </c>
    </row>
    <row r="34" customFormat="false" ht="15" hidden="false" customHeight="false" outlineLevel="0" collapsed="false">
      <c r="A34" s="26" t="n">
        <v>0.25</v>
      </c>
      <c r="B34" s="13" t="n">
        <f aca="false">100*(A34*$F$5+(1-A34)*$F$6)</f>
        <v>16.25</v>
      </c>
      <c r="C34" s="13" t="n">
        <f aca="false">100*(A34*$G$5+(1-A34)*$G$6)</f>
        <v>17.5</v>
      </c>
      <c r="D34" s="2" t="str">
        <f aca="false">IF(C34&lt;$B$7,"yes","no")</f>
        <v>yes</v>
      </c>
    </row>
    <row r="35" customFormat="false" ht="15" hidden="false" customHeight="false" outlineLevel="0" collapsed="false">
      <c r="A35" s="26" t="n">
        <v>0.3</v>
      </c>
      <c r="B35" s="13" t="n">
        <f aca="false">100*(A35*$F$5+(1-A35)*$F$6)</f>
        <v>16.5</v>
      </c>
      <c r="C35" s="13" t="n">
        <f aca="false">100*(A35*$G$5+(1-A35)*$G$6)</f>
        <v>17.8</v>
      </c>
      <c r="D35" s="2" t="str">
        <f aca="false">IF(C35&lt;$B$7,"yes","no")</f>
        <v>yes</v>
      </c>
    </row>
    <row r="36" customFormat="false" ht="15" hidden="false" customHeight="false" outlineLevel="0" collapsed="false">
      <c r="A36" s="26" t="n">
        <v>0.35</v>
      </c>
      <c r="B36" s="13" t="n">
        <f aca="false">100*(A36*$F$5+(1-A36)*$F$6)</f>
        <v>16.75</v>
      </c>
      <c r="C36" s="13" t="n">
        <f aca="false">100*(A36*$G$5+(1-A36)*$G$6)</f>
        <v>18.1</v>
      </c>
      <c r="D36" s="2" t="str">
        <f aca="false">IF(C36&lt;$B$7,"yes","no")</f>
        <v>yes</v>
      </c>
    </row>
    <row r="37" customFormat="false" ht="15" hidden="false" customHeight="false" outlineLevel="0" collapsed="false">
      <c r="A37" s="26" t="n">
        <v>0.4</v>
      </c>
      <c r="B37" s="13" t="n">
        <f aca="false">100*(A37*$F$5+(1-A37)*$F$6)</f>
        <v>17</v>
      </c>
      <c r="C37" s="13" t="n">
        <f aca="false">100*(A37*$G$5+(1-A37)*$G$6)</f>
        <v>18.4</v>
      </c>
      <c r="D37" s="2" t="str">
        <f aca="false">IF(C37&lt;$B$7,"yes","no")</f>
        <v>no</v>
      </c>
    </row>
    <row r="38" customFormat="false" ht="15" hidden="false" customHeight="false" outlineLevel="0" collapsed="false">
      <c r="A38" s="26" t="n">
        <v>0.45</v>
      </c>
      <c r="B38" s="13" t="n">
        <f aca="false">100*(A38*$F$5+(1-A38)*$F$6)</f>
        <v>17.25</v>
      </c>
      <c r="C38" s="13" t="n">
        <f aca="false">100*(A38*$G$5+(1-A38)*$G$6)</f>
        <v>18.7</v>
      </c>
      <c r="D38" s="2" t="str">
        <f aca="false">IF(C38&lt;$B$7,"yes","no")</f>
        <v>no</v>
      </c>
    </row>
    <row r="39" customFormat="false" ht="15" hidden="false" customHeight="false" outlineLevel="0" collapsed="false">
      <c r="A39" s="26" t="n">
        <v>0.5</v>
      </c>
      <c r="B39" s="13" t="n">
        <f aca="false">100*(A39*$F$5+(1-A39)*$F$6)</f>
        <v>17.5</v>
      </c>
      <c r="C39" s="13" t="n">
        <f aca="false">100*(A39*$G$5+(1-A39)*$G$6)</f>
        <v>19</v>
      </c>
      <c r="D39" s="2" t="str">
        <f aca="false">IF(C39&lt;$B$7,"yes","no")</f>
        <v>no</v>
      </c>
    </row>
    <row r="40" customFormat="false" ht="15" hidden="false" customHeight="false" outlineLevel="0" collapsed="false">
      <c r="A40" s="26" t="n">
        <v>0.55</v>
      </c>
      <c r="B40" s="13" t="n">
        <f aca="false">100*(A40*$F$5+(1-A40)*$F$6)</f>
        <v>17.75</v>
      </c>
      <c r="C40" s="13" t="n">
        <f aca="false">100*(A40*$G$5+(1-A40)*$G$6)</f>
        <v>19.3</v>
      </c>
      <c r="D40" s="2" t="str">
        <f aca="false">IF(C40&lt;$B$7,"yes","no")</f>
        <v>no</v>
      </c>
    </row>
    <row r="41" customFormat="false" ht="15" hidden="false" customHeight="false" outlineLevel="0" collapsed="false">
      <c r="A41" s="26" t="n">
        <v>0.6</v>
      </c>
      <c r="B41" s="13" t="n">
        <f aca="false">100*(A41*$F$5+(1-A41)*$F$6)</f>
        <v>18</v>
      </c>
      <c r="C41" s="13" t="n">
        <f aca="false">100*(A41*$G$5+(1-A41)*$G$6)</f>
        <v>19.6</v>
      </c>
      <c r="D41" s="2" t="str">
        <f aca="false">IF(C41&lt;$B$7,"yes","no")</f>
        <v>no</v>
      </c>
    </row>
    <row r="42" customFormat="false" ht="15" hidden="false" customHeight="false" outlineLevel="0" collapsed="false">
      <c r="A42" s="26" t="n">
        <v>0.65</v>
      </c>
      <c r="B42" s="13" t="n">
        <f aca="false">100*(A42*$F$5+(1-A42)*$F$6)</f>
        <v>18.25</v>
      </c>
      <c r="C42" s="13" t="n">
        <f aca="false">100*(A42*$G$5+(1-A42)*$G$6)</f>
        <v>19.9</v>
      </c>
      <c r="D42" s="2" t="str">
        <f aca="false">IF(C42&lt;$B$7,"yes","no")</f>
        <v>no</v>
      </c>
    </row>
    <row r="43" customFormat="false" ht="15" hidden="false" customHeight="false" outlineLevel="0" collapsed="false">
      <c r="A43" s="26" t="n">
        <v>0.7</v>
      </c>
      <c r="B43" s="13" t="n">
        <f aca="false">100*(A43*$F$5+(1-A43)*$F$6)</f>
        <v>18.5</v>
      </c>
      <c r="C43" s="13" t="n">
        <f aca="false">100*(A43*$G$5+(1-A43)*$G$6)</f>
        <v>20.2</v>
      </c>
      <c r="D43" s="2" t="str">
        <f aca="false">IF(C43&lt;$B$7,"yes","no")</f>
        <v>no</v>
      </c>
    </row>
    <row r="44" customFormat="false" ht="15" hidden="false" customHeight="false" outlineLevel="0" collapsed="false">
      <c r="A44" s="26" t="n">
        <v>0.75</v>
      </c>
      <c r="B44" s="13" t="n">
        <f aca="false">100*(A44*$F$5+(1-A44)*$F$6)</f>
        <v>18.75</v>
      </c>
      <c r="C44" s="13" t="n">
        <f aca="false">100*(A44*$G$5+(1-A44)*$G$6)</f>
        <v>20.5</v>
      </c>
      <c r="D44" s="2" t="str">
        <f aca="false">IF(C44&lt;$B$7,"yes","no")</f>
        <v>no</v>
      </c>
    </row>
    <row r="45" customFormat="false" ht="15" hidden="false" customHeight="false" outlineLevel="0" collapsed="false">
      <c r="A45" s="26" t="n">
        <v>0.8</v>
      </c>
      <c r="B45" s="13" t="n">
        <f aca="false">100*(A45*$F$5+(1-A45)*$F$6)</f>
        <v>19</v>
      </c>
      <c r="C45" s="13" t="n">
        <f aca="false">100*(A45*$G$5+(1-A45)*$G$6)</f>
        <v>20.8</v>
      </c>
      <c r="D45" s="2" t="str">
        <f aca="false">IF(C45&lt;$B$7,"yes","no")</f>
        <v>no</v>
      </c>
    </row>
    <row r="46" customFormat="false" ht="15" hidden="false" customHeight="false" outlineLevel="0" collapsed="false">
      <c r="A46" s="26" t="n">
        <v>0.85</v>
      </c>
      <c r="B46" s="13" t="n">
        <f aca="false">100*(A46*$F$5+(1-A46)*$F$6)</f>
        <v>19.25</v>
      </c>
      <c r="C46" s="13" t="n">
        <f aca="false">100*(A46*$G$5+(1-A46)*$G$6)</f>
        <v>21.1</v>
      </c>
      <c r="D46" s="2" t="str">
        <f aca="false">IF(C46&lt;$B$7,"yes","no")</f>
        <v>no</v>
      </c>
    </row>
    <row r="47" customFormat="false" ht="15" hidden="false" customHeight="false" outlineLevel="0" collapsed="false">
      <c r="A47" s="26" t="n">
        <v>0.9</v>
      </c>
      <c r="B47" s="13" t="n">
        <f aca="false">100*(A47*$F$5+(1-A47)*$F$6)</f>
        <v>19.5</v>
      </c>
      <c r="C47" s="13" t="n">
        <f aca="false">100*(A47*$G$5+(1-A47)*$G$6)</f>
        <v>21.4</v>
      </c>
      <c r="D47" s="2" t="str">
        <f aca="false">IF(C47&lt;$B$7,"yes","no")</f>
        <v>no</v>
      </c>
    </row>
    <row r="48" customFormat="false" ht="15" hidden="false" customHeight="false" outlineLevel="0" collapsed="false">
      <c r="A48" s="26" t="n">
        <v>0.95</v>
      </c>
      <c r="B48" s="13" t="n">
        <f aca="false">100*(A48*$F$5+(1-A48)*$F$6)</f>
        <v>19.75</v>
      </c>
      <c r="C48" s="13" t="n">
        <f aca="false">100*(A48*$G$5+(1-A48)*$G$6)</f>
        <v>21.7</v>
      </c>
      <c r="D48" s="2" t="str">
        <f aca="false">IF(C48&lt;$B$7,"yes","no")</f>
        <v>no</v>
      </c>
    </row>
    <row r="49" customFormat="false" ht="15" hidden="false" customHeight="false" outlineLevel="0" collapsed="false">
      <c r="A49" s="26" t="n">
        <v>1</v>
      </c>
      <c r="B49" s="13" t="n">
        <f aca="false">100*(A49*$F$5+(1-A49)*$F$6)</f>
        <v>20</v>
      </c>
      <c r="C49" s="13" t="n">
        <f aca="false">100*(A49*$G$5+(1-A49)*$G$6)</f>
        <v>22</v>
      </c>
      <c r="D49" s="2" t="str">
        <f aca="false">IF(C49&lt;$B$7,"yes","no")</f>
        <v>no</v>
      </c>
    </row>
    <row r="51" customFormat="false" ht="15" hidden="false" customHeight="false" outlineLevel="0" collapsed="false">
      <c r="A51" s="2" t="s">
        <v>380</v>
      </c>
      <c r="B51" s="24" t="n">
        <f aca="false">(B7/100-G6)/(G5-G6)</f>
        <v>0.388888888888889</v>
      </c>
      <c r="C51" s="14" t="s">
        <v>381</v>
      </c>
    </row>
    <row r="53" customFormat="false" ht="15" hidden="false" customHeight="false" outlineLevel="0" collapsed="false">
      <c r="A53" s="2" t="s">
        <v>382</v>
      </c>
      <c r="B53" s="11" t="n">
        <v>10</v>
      </c>
    </row>
    <row r="54" customFormat="false" ht="15" hidden="false" customHeight="false" outlineLevel="0" collapsed="false">
      <c r="A54" s="2" t="s">
        <v>383</v>
      </c>
      <c r="B54" s="11" t="n">
        <v>4</v>
      </c>
      <c r="C54" s="14" t="s">
        <v>384</v>
      </c>
    </row>
    <row r="55" customFormat="false" ht="15" hidden="false" customHeight="false" outlineLevel="0" collapsed="false">
      <c r="A55" s="2" t="s">
        <v>385</v>
      </c>
      <c r="B55" s="16" t="n">
        <f aca="false">2*B54</f>
        <v>8</v>
      </c>
      <c r="C55" s="14" t="s">
        <v>386</v>
      </c>
    </row>
    <row r="56" customFormat="false" ht="15" hidden="false" customHeight="false" outlineLevel="0" collapsed="false">
      <c r="A56" s="2" t="s">
        <v>387</v>
      </c>
      <c r="B56" s="16" t="n">
        <f aca="false">3*B54</f>
        <v>12</v>
      </c>
      <c r="C56" s="14" t="s">
        <v>388</v>
      </c>
    </row>
    <row r="57" customFormat="false" ht="15" hidden="false" customHeight="false" outlineLevel="0" collapsed="false">
      <c r="A57" s="2" t="s">
        <v>389</v>
      </c>
      <c r="B57" s="2" t="str">
        <f aca="false">IF(B55&lt;=B53,"pairs fit","pairs fail")&amp;"; "&amp;IF(B56&lt;=B53,"jointly feasible","jointly infeasible")</f>
        <v>pairs fit; jointly infeasible</v>
      </c>
      <c r="C57" s="14" t="s">
        <v>390</v>
      </c>
    </row>
    <row r="59" customFormat="false" ht="15" hidden="false" customHeight="false" outlineLevel="0" collapsed="false">
      <c r="A59" s="2" t="s">
        <v>391</v>
      </c>
      <c r="B59" s="13" t="n">
        <f aca="false">100*AVERAGE(F5:F6)</f>
        <v>17.5</v>
      </c>
      <c r="C59" s="14" t="s">
        <v>392</v>
      </c>
    </row>
    <row r="60" customFormat="false" ht="15" hidden="false" customHeight="false" outlineLevel="0" collapsed="false">
      <c r="A60" s="2" t="s">
        <v>393</v>
      </c>
      <c r="B60" s="13" t="n">
        <f aca="false">100*(2*F5+F6)/3</f>
        <v>18.3333333333333</v>
      </c>
      <c r="C60" s="14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395</v>
      </c>
    </row>
    <row r="3" customFormat="false" ht="15" hidden="false" customHeight="false" outlineLevel="0" collapsed="false">
      <c r="A3" s="8" t="s">
        <v>396</v>
      </c>
      <c r="B3" s="8" t="s">
        <v>397</v>
      </c>
      <c r="C3" s="8" t="s">
        <v>398</v>
      </c>
      <c r="D3" s="8" t="s">
        <v>399</v>
      </c>
    </row>
    <row r="4" customFormat="false" ht="15" hidden="false" customHeight="false" outlineLevel="0" collapsed="false">
      <c r="A4" s="2" t="s">
        <v>400</v>
      </c>
      <c r="B4" s="11" t="n">
        <v>0</v>
      </c>
      <c r="C4" s="11" t="n">
        <v>10</v>
      </c>
      <c r="D4" s="16" t="n">
        <f aca="false">SUMPRODUCT(($B$4:$B$6&gt;=B4)*($C$4:$C$6&gt;=C4)*((($B$4:$B$6&gt;B4)+($C$4:$C$6&gt;C4))&gt;0))</f>
        <v>0</v>
      </c>
    </row>
    <row r="5" customFormat="false" ht="15" hidden="false" customHeight="false" outlineLevel="0" collapsed="false">
      <c r="A5" s="2" t="s">
        <v>401</v>
      </c>
      <c r="B5" s="11" t="n">
        <v>4</v>
      </c>
      <c r="C5" s="11" t="n">
        <v>4</v>
      </c>
      <c r="D5" s="16" t="n">
        <f aca="false">SUMPRODUCT(($B$4:$B$6&gt;=B5)*($C$4:$C$6&gt;=C5)*((($B$4:$B$6&gt;B5)+($C$4:$C$6&gt;C5))&gt;0))</f>
        <v>0</v>
      </c>
    </row>
    <row r="6" customFormat="false" ht="15" hidden="false" customHeight="false" outlineLevel="0" collapsed="false">
      <c r="A6" s="2" t="s">
        <v>402</v>
      </c>
      <c r="B6" s="11" t="n">
        <v>10</v>
      </c>
      <c r="C6" s="11" t="n">
        <v>0</v>
      </c>
      <c r="D6" s="16" t="n">
        <f aca="false">SUMPRODUCT(($B$4:$B$6&gt;=B6)*($C$4:$C$6&gt;=C6)*((($B$4:$B$6&gt;B6)+($C$4:$C$6&gt;C6))&gt;0))</f>
        <v>0</v>
      </c>
    </row>
    <row r="7" customFormat="false" ht="15" hidden="false" customHeight="false" outlineLevel="0" collapsed="false">
      <c r="A7" s="4" t="s">
        <v>403</v>
      </c>
      <c r="D7" s="16" t="n">
        <f aca="false">COUNTIF(D4:D6,0)</f>
        <v>3</v>
      </c>
    </row>
    <row r="9" customFormat="false" ht="15" hidden="false" customHeight="false" outlineLevel="0" collapsed="false">
      <c r="A9" s="8" t="s">
        <v>404</v>
      </c>
      <c r="B9" s="8" t="s">
        <v>400</v>
      </c>
      <c r="C9" s="8" t="s">
        <v>401</v>
      </c>
      <c r="D9" s="8" t="s">
        <v>402</v>
      </c>
      <c r="E9" s="8" t="s">
        <v>405</v>
      </c>
    </row>
    <row r="10" customFormat="false" ht="15" hidden="false" customHeight="false" outlineLevel="0" collapsed="false">
      <c r="A10" s="13" t="n">
        <v>0.01</v>
      </c>
      <c r="B10" s="13" t="n">
        <f aca="false">$A10*$B$4+(1-$A10)*$C$4</f>
        <v>9.9</v>
      </c>
      <c r="C10" s="13" t="n">
        <f aca="false">$A10*$B$5+(1-$A10)*$C$5</f>
        <v>4</v>
      </c>
      <c r="D10" s="13" t="n">
        <f aca="false">$A10*$B$6+(1-$A10)*$C$6</f>
        <v>0.1</v>
      </c>
      <c r="E10" s="16" t="n">
        <f aca="false">MATCH(MAX(B10:D10),B10:D10,0)</f>
        <v>1</v>
      </c>
    </row>
    <row r="11" customFormat="false" ht="15" hidden="false" customHeight="false" outlineLevel="0" collapsed="false">
      <c r="A11" s="13" t="n">
        <v>0.02</v>
      </c>
      <c r="B11" s="13" t="n">
        <f aca="false">$A11*$B$4+(1-$A11)*$C$4</f>
        <v>9.8</v>
      </c>
      <c r="C11" s="13" t="n">
        <f aca="false">$A11*$B$5+(1-$A11)*$C$5</f>
        <v>4</v>
      </c>
      <c r="D11" s="13" t="n">
        <f aca="false">$A11*$B$6+(1-$A11)*$C$6</f>
        <v>0.2</v>
      </c>
      <c r="E11" s="16" t="n">
        <f aca="false">MATCH(MAX(B11:D11),B11:D11,0)</f>
        <v>1</v>
      </c>
    </row>
    <row r="12" customFormat="false" ht="15" hidden="false" customHeight="false" outlineLevel="0" collapsed="false">
      <c r="A12" s="13" t="n">
        <v>0.03</v>
      </c>
      <c r="B12" s="13" t="n">
        <f aca="false">$A12*$B$4+(1-$A12)*$C$4</f>
        <v>9.7</v>
      </c>
      <c r="C12" s="13" t="n">
        <f aca="false">$A12*$B$5+(1-$A12)*$C$5</f>
        <v>4</v>
      </c>
      <c r="D12" s="13" t="n">
        <f aca="false">$A12*$B$6+(1-$A12)*$C$6</f>
        <v>0.3</v>
      </c>
      <c r="E12" s="16" t="n">
        <f aca="false">MATCH(MAX(B12:D12),B12:D12,0)</f>
        <v>1</v>
      </c>
    </row>
    <row r="13" customFormat="false" ht="15" hidden="false" customHeight="false" outlineLevel="0" collapsed="false">
      <c r="A13" s="13" t="n">
        <v>0.04</v>
      </c>
      <c r="B13" s="13" t="n">
        <f aca="false">$A13*$B$4+(1-$A13)*$C$4</f>
        <v>9.6</v>
      </c>
      <c r="C13" s="13" t="n">
        <f aca="false">$A13*$B$5+(1-$A13)*$C$5</f>
        <v>4</v>
      </c>
      <c r="D13" s="13" t="n">
        <f aca="false">$A13*$B$6+(1-$A13)*$C$6</f>
        <v>0.4</v>
      </c>
      <c r="E13" s="16" t="n">
        <f aca="false">MATCH(MAX(B13:D13),B13:D13,0)</f>
        <v>1</v>
      </c>
    </row>
    <row r="14" customFormat="false" ht="15" hidden="false" customHeight="false" outlineLevel="0" collapsed="false">
      <c r="A14" s="13" t="n">
        <v>0.05</v>
      </c>
      <c r="B14" s="13" t="n">
        <f aca="false">$A14*$B$4+(1-$A14)*$C$4</f>
        <v>9.5</v>
      </c>
      <c r="C14" s="13" t="n">
        <f aca="false">$A14*$B$5+(1-$A14)*$C$5</f>
        <v>4</v>
      </c>
      <c r="D14" s="13" t="n">
        <f aca="false">$A14*$B$6+(1-$A14)*$C$6</f>
        <v>0.5</v>
      </c>
      <c r="E14" s="16" t="n">
        <f aca="false">MATCH(MAX(B14:D14),B14:D14,0)</f>
        <v>1</v>
      </c>
    </row>
    <row r="15" customFormat="false" ht="15" hidden="false" customHeight="false" outlineLevel="0" collapsed="false">
      <c r="A15" s="13" t="n">
        <v>0.06</v>
      </c>
      <c r="B15" s="13" t="n">
        <f aca="false">$A15*$B$4+(1-$A15)*$C$4</f>
        <v>9.4</v>
      </c>
      <c r="C15" s="13" t="n">
        <f aca="false">$A15*$B$5+(1-$A15)*$C$5</f>
        <v>4</v>
      </c>
      <c r="D15" s="13" t="n">
        <f aca="false">$A15*$B$6+(1-$A15)*$C$6</f>
        <v>0.6</v>
      </c>
      <c r="E15" s="16" t="n">
        <f aca="false">MATCH(MAX(B15:D15),B15:D15,0)</f>
        <v>1</v>
      </c>
    </row>
    <row r="16" customFormat="false" ht="15" hidden="false" customHeight="false" outlineLevel="0" collapsed="false">
      <c r="A16" s="13" t="n">
        <v>0.07</v>
      </c>
      <c r="B16" s="13" t="n">
        <f aca="false">$A16*$B$4+(1-$A16)*$C$4</f>
        <v>9.3</v>
      </c>
      <c r="C16" s="13" t="n">
        <f aca="false">$A16*$B$5+(1-$A16)*$C$5</f>
        <v>4</v>
      </c>
      <c r="D16" s="13" t="n">
        <f aca="false">$A16*$B$6+(1-$A16)*$C$6</f>
        <v>0.7</v>
      </c>
      <c r="E16" s="16" t="n">
        <f aca="false">MATCH(MAX(B16:D16),B16:D16,0)</f>
        <v>1</v>
      </c>
    </row>
    <row r="17" customFormat="false" ht="15" hidden="false" customHeight="false" outlineLevel="0" collapsed="false">
      <c r="A17" s="13" t="n">
        <v>0.08</v>
      </c>
      <c r="B17" s="13" t="n">
        <f aca="false">$A17*$B$4+(1-$A17)*$C$4</f>
        <v>9.2</v>
      </c>
      <c r="C17" s="13" t="n">
        <f aca="false">$A17*$B$5+(1-$A17)*$C$5</f>
        <v>4</v>
      </c>
      <c r="D17" s="13" t="n">
        <f aca="false">$A17*$B$6+(1-$A17)*$C$6</f>
        <v>0.8</v>
      </c>
      <c r="E17" s="16" t="n">
        <f aca="false">MATCH(MAX(B17:D17),B17:D17,0)</f>
        <v>1</v>
      </c>
    </row>
    <row r="18" customFormat="false" ht="15" hidden="false" customHeight="false" outlineLevel="0" collapsed="false">
      <c r="A18" s="13" t="n">
        <v>0.09</v>
      </c>
      <c r="B18" s="13" t="n">
        <f aca="false">$A18*$B$4+(1-$A18)*$C$4</f>
        <v>9.1</v>
      </c>
      <c r="C18" s="13" t="n">
        <f aca="false">$A18*$B$5+(1-$A18)*$C$5</f>
        <v>4</v>
      </c>
      <c r="D18" s="13" t="n">
        <f aca="false">$A18*$B$6+(1-$A18)*$C$6</f>
        <v>0.9</v>
      </c>
      <c r="E18" s="16" t="n">
        <f aca="false">MATCH(MAX(B18:D18),B18:D18,0)</f>
        <v>1</v>
      </c>
    </row>
    <row r="19" customFormat="false" ht="15" hidden="false" customHeight="false" outlineLevel="0" collapsed="false">
      <c r="A19" s="13" t="n">
        <v>0.1</v>
      </c>
      <c r="B19" s="13" t="n">
        <f aca="false">$A19*$B$4+(1-$A19)*$C$4</f>
        <v>9</v>
      </c>
      <c r="C19" s="13" t="n">
        <f aca="false">$A19*$B$5+(1-$A19)*$C$5</f>
        <v>4</v>
      </c>
      <c r="D19" s="13" t="n">
        <f aca="false">$A19*$B$6+(1-$A19)*$C$6</f>
        <v>1</v>
      </c>
      <c r="E19" s="16" t="n">
        <f aca="false">MATCH(MAX(B19:D19),B19:D19,0)</f>
        <v>1</v>
      </c>
    </row>
    <row r="20" customFormat="false" ht="15" hidden="false" customHeight="false" outlineLevel="0" collapsed="false">
      <c r="A20" s="13" t="n">
        <v>0.11</v>
      </c>
      <c r="B20" s="13" t="n">
        <f aca="false">$A20*$B$4+(1-$A20)*$C$4</f>
        <v>8.9</v>
      </c>
      <c r="C20" s="13" t="n">
        <f aca="false">$A20*$B$5+(1-$A20)*$C$5</f>
        <v>4</v>
      </c>
      <c r="D20" s="13" t="n">
        <f aca="false">$A20*$B$6+(1-$A20)*$C$6</f>
        <v>1.1</v>
      </c>
      <c r="E20" s="16" t="n">
        <f aca="false">MATCH(MAX(B20:D20),B20:D20,0)</f>
        <v>1</v>
      </c>
    </row>
    <row r="21" customFormat="false" ht="15" hidden="false" customHeight="false" outlineLevel="0" collapsed="false">
      <c r="A21" s="13" t="n">
        <v>0.12</v>
      </c>
      <c r="B21" s="13" t="n">
        <f aca="false">$A21*$B$4+(1-$A21)*$C$4</f>
        <v>8.8</v>
      </c>
      <c r="C21" s="13" t="n">
        <f aca="false">$A21*$B$5+(1-$A21)*$C$5</f>
        <v>4</v>
      </c>
      <c r="D21" s="13" t="n">
        <f aca="false">$A21*$B$6+(1-$A21)*$C$6</f>
        <v>1.2</v>
      </c>
      <c r="E21" s="16" t="n">
        <f aca="false">MATCH(MAX(B21:D21),B21:D21,0)</f>
        <v>1</v>
      </c>
    </row>
    <row r="22" customFormat="false" ht="15" hidden="false" customHeight="false" outlineLevel="0" collapsed="false">
      <c r="A22" s="13" t="n">
        <v>0.13</v>
      </c>
      <c r="B22" s="13" t="n">
        <f aca="false">$A22*$B$4+(1-$A22)*$C$4</f>
        <v>8.7</v>
      </c>
      <c r="C22" s="13" t="n">
        <f aca="false">$A22*$B$5+(1-$A22)*$C$5</f>
        <v>4</v>
      </c>
      <c r="D22" s="13" t="n">
        <f aca="false">$A22*$B$6+(1-$A22)*$C$6</f>
        <v>1.3</v>
      </c>
      <c r="E22" s="16" t="n">
        <f aca="false">MATCH(MAX(B22:D22),B22:D22,0)</f>
        <v>1</v>
      </c>
    </row>
    <row r="23" customFormat="false" ht="15" hidden="false" customHeight="false" outlineLevel="0" collapsed="false">
      <c r="A23" s="13" t="n">
        <v>0.14</v>
      </c>
      <c r="B23" s="13" t="n">
        <f aca="false">$A23*$B$4+(1-$A23)*$C$4</f>
        <v>8.6</v>
      </c>
      <c r="C23" s="13" t="n">
        <f aca="false">$A23*$B$5+(1-$A23)*$C$5</f>
        <v>4</v>
      </c>
      <c r="D23" s="13" t="n">
        <f aca="false">$A23*$B$6+(1-$A23)*$C$6</f>
        <v>1.4</v>
      </c>
      <c r="E23" s="16" t="n">
        <f aca="false">MATCH(MAX(B23:D23),B23:D23,0)</f>
        <v>1</v>
      </c>
    </row>
    <row r="24" customFormat="false" ht="15" hidden="false" customHeight="false" outlineLevel="0" collapsed="false">
      <c r="A24" s="13" t="n">
        <v>0.15</v>
      </c>
      <c r="B24" s="13" t="n">
        <f aca="false">$A24*$B$4+(1-$A24)*$C$4</f>
        <v>8.5</v>
      </c>
      <c r="C24" s="13" t="n">
        <f aca="false">$A24*$B$5+(1-$A24)*$C$5</f>
        <v>4</v>
      </c>
      <c r="D24" s="13" t="n">
        <f aca="false">$A24*$B$6+(1-$A24)*$C$6</f>
        <v>1.5</v>
      </c>
      <c r="E24" s="16" t="n">
        <f aca="false">MATCH(MAX(B24:D24),B24:D24,0)</f>
        <v>1</v>
      </c>
    </row>
    <row r="25" customFormat="false" ht="15" hidden="false" customHeight="false" outlineLevel="0" collapsed="false">
      <c r="A25" s="13" t="n">
        <v>0.16</v>
      </c>
      <c r="B25" s="13" t="n">
        <f aca="false">$A25*$B$4+(1-$A25)*$C$4</f>
        <v>8.4</v>
      </c>
      <c r="C25" s="13" t="n">
        <f aca="false">$A25*$B$5+(1-$A25)*$C$5</f>
        <v>4</v>
      </c>
      <c r="D25" s="13" t="n">
        <f aca="false">$A25*$B$6+(1-$A25)*$C$6</f>
        <v>1.6</v>
      </c>
      <c r="E25" s="16" t="n">
        <f aca="false">MATCH(MAX(B25:D25),B25:D25,0)</f>
        <v>1</v>
      </c>
    </row>
    <row r="26" customFormat="false" ht="15" hidden="false" customHeight="false" outlineLevel="0" collapsed="false">
      <c r="A26" s="13" t="n">
        <v>0.17</v>
      </c>
      <c r="B26" s="13" t="n">
        <f aca="false">$A26*$B$4+(1-$A26)*$C$4</f>
        <v>8.3</v>
      </c>
      <c r="C26" s="13" t="n">
        <f aca="false">$A26*$B$5+(1-$A26)*$C$5</f>
        <v>4</v>
      </c>
      <c r="D26" s="13" t="n">
        <f aca="false">$A26*$B$6+(1-$A26)*$C$6</f>
        <v>1.7</v>
      </c>
      <c r="E26" s="16" t="n">
        <f aca="false">MATCH(MAX(B26:D26),B26:D26,0)</f>
        <v>1</v>
      </c>
    </row>
    <row r="27" customFormat="false" ht="15" hidden="false" customHeight="false" outlineLevel="0" collapsed="false">
      <c r="A27" s="13" t="n">
        <v>0.18</v>
      </c>
      <c r="B27" s="13" t="n">
        <f aca="false">$A27*$B$4+(1-$A27)*$C$4</f>
        <v>8.2</v>
      </c>
      <c r="C27" s="13" t="n">
        <f aca="false">$A27*$B$5+(1-$A27)*$C$5</f>
        <v>4</v>
      </c>
      <c r="D27" s="13" t="n">
        <f aca="false">$A27*$B$6+(1-$A27)*$C$6</f>
        <v>1.8</v>
      </c>
      <c r="E27" s="16" t="n">
        <f aca="false">MATCH(MAX(B27:D27),B27:D27,0)</f>
        <v>1</v>
      </c>
    </row>
    <row r="28" customFormat="false" ht="15" hidden="false" customHeight="false" outlineLevel="0" collapsed="false">
      <c r="A28" s="13" t="n">
        <v>0.19</v>
      </c>
      <c r="B28" s="13" t="n">
        <f aca="false">$A28*$B$4+(1-$A28)*$C$4</f>
        <v>8.1</v>
      </c>
      <c r="C28" s="13" t="n">
        <f aca="false">$A28*$B$5+(1-$A28)*$C$5</f>
        <v>4</v>
      </c>
      <c r="D28" s="13" t="n">
        <f aca="false">$A28*$B$6+(1-$A28)*$C$6</f>
        <v>1.9</v>
      </c>
      <c r="E28" s="16" t="n">
        <f aca="false">MATCH(MAX(B28:D28),B28:D28,0)</f>
        <v>1</v>
      </c>
    </row>
    <row r="29" customFormat="false" ht="15" hidden="false" customHeight="false" outlineLevel="0" collapsed="false">
      <c r="A29" s="13" t="n">
        <v>0.2</v>
      </c>
      <c r="B29" s="13" t="n">
        <f aca="false">$A29*$B$4+(1-$A29)*$C$4</f>
        <v>8</v>
      </c>
      <c r="C29" s="13" t="n">
        <f aca="false">$A29*$B$5+(1-$A29)*$C$5</f>
        <v>4</v>
      </c>
      <c r="D29" s="13" t="n">
        <f aca="false">$A29*$B$6+(1-$A29)*$C$6</f>
        <v>2</v>
      </c>
      <c r="E29" s="16" t="n">
        <f aca="false">MATCH(MAX(B29:D29),B29:D29,0)</f>
        <v>1</v>
      </c>
    </row>
    <row r="30" customFormat="false" ht="15" hidden="false" customHeight="false" outlineLevel="0" collapsed="false">
      <c r="A30" s="13" t="n">
        <v>0.21</v>
      </c>
      <c r="B30" s="13" t="n">
        <f aca="false">$A30*$B$4+(1-$A30)*$C$4</f>
        <v>7.9</v>
      </c>
      <c r="C30" s="13" t="n">
        <f aca="false">$A30*$B$5+(1-$A30)*$C$5</f>
        <v>4</v>
      </c>
      <c r="D30" s="13" t="n">
        <f aca="false">$A30*$B$6+(1-$A30)*$C$6</f>
        <v>2.1</v>
      </c>
      <c r="E30" s="16" t="n">
        <f aca="false">MATCH(MAX(B30:D30),B30:D30,0)</f>
        <v>1</v>
      </c>
    </row>
    <row r="31" customFormat="false" ht="15" hidden="false" customHeight="false" outlineLevel="0" collapsed="false">
      <c r="A31" s="13" t="n">
        <v>0.22</v>
      </c>
      <c r="B31" s="13" t="n">
        <f aca="false">$A31*$B$4+(1-$A31)*$C$4</f>
        <v>7.8</v>
      </c>
      <c r="C31" s="13" t="n">
        <f aca="false">$A31*$B$5+(1-$A31)*$C$5</f>
        <v>4</v>
      </c>
      <c r="D31" s="13" t="n">
        <f aca="false">$A31*$B$6+(1-$A31)*$C$6</f>
        <v>2.2</v>
      </c>
      <c r="E31" s="16" t="n">
        <f aca="false">MATCH(MAX(B31:D31),B31:D31,0)</f>
        <v>1</v>
      </c>
    </row>
    <row r="32" customFormat="false" ht="15" hidden="false" customHeight="false" outlineLevel="0" collapsed="false">
      <c r="A32" s="13" t="n">
        <v>0.23</v>
      </c>
      <c r="B32" s="13" t="n">
        <f aca="false">$A32*$B$4+(1-$A32)*$C$4</f>
        <v>7.7</v>
      </c>
      <c r="C32" s="13" t="n">
        <f aca="false">$A32*$B$5+(1-$A32)*$C$5</f>
        <v>4</v>
      </c>
      <c r="D32" s="13" t="n">
        <f aca="false">$A32*$B$6+(1-$A32)*$C$6</f>
        <v>2.3</v>
      </c>
      <c r="E32" s="16" t="n">
        <f aca="false">MATCH(MAX(B32:D32),B32:D32,0)</f>
        <v>1</v>
      </c>
    </row>
    <row r="33" customFormat="false" ht="15" hidden="false" customHeight="false" outlineLevel="0" collapsed="false">
      <c r="A33" s="13" t="n">
        <v>0.24</v>
      </c>
      <c r="B33" s="13" t="n">
        <f aca="false">$A33*$B$4+(1-$A33)*$C$4</f>
        <v>7.6</v>
      </c>
      <c r="C33" s="13" t="n">
        <f aca="false">$A33*$B$5+(1-$A33)*$C$5</f>
        <v>4</v>
      </c>
      <c r="D33" s="13" t="n">
        <f aca="false">$A33*$B$6+(1-$A33)*$C$6</f>
        <v>2.4</v>
      </c>
      <c r="E33" s="16" t="n">
        <f aca="false">MATCH(MAX(B33:D33),B33:D33,0)</f>
        <v>1</v>
      </c>
    </row>
    <row r="34" customFormat="false" ht="15" hidden="false" customHeight="false" outlineLevel="0" collapsed="false">
      <c r="A34" s="13" t="n">
        <v>0.25</v>
      </c>
      <c r="B34" s="13" t="n">
        <f aca="false">$A34*$B$4+(1-$A34)*$C$4</f>
        <v>7.5</v>
      </c>
      <c r="C34" s="13" t="n">
        <f aca="false">$A34*$B$5+(1-$A34)*$C$5</f>
        <v>4</v>
      </c>
      <c r="D34" s="13" t="n">
        <f aca="false">$A34*$B$6+(1-$A34)*$C$6</f>
        <v>2.5</v>
      </c>
      <c r="E34" s="16" t="n">
        <f aca="false">MATCH(MAX(B34:D34),B34:D34,0)</f>
        <v>1</v>
      </c>
    </row>
    <row r="35" customFormat="false" ht="15" hidden="false" customHeight="false" outlineLevel="0" collapsed="false">
      <c r="A35" s="13" t="n">
        <v>0.26</v>
      </c>
      <c r="B35" s="13" t="n">
        <f aca="false">$A35*$B$4+(1-$A35)*$C$4</f>
        <v>7.4</v>
      </c>
      <c r="C35" s="13" t="n">
        <f aca="false">$A35*$B$5+(1-$A35)*$C$5</f>
        <v>4</v>
      </c>
      <c r="D35" s="13" t="n">
        <f aca="false">$A35*$B$6+(1-$A35)*$C$6</f>
        <v>2.6</v>
      </c>
      <c r="E35" s="16" t="n">
        <f aca="false">MATCH(MAX(B35:D35),B35:D35,0)</f>
        <v>1</v>
      </c>
    </row>
    <row r="36" customFormat="false" ht="15" hidden="false" customHeight="false" outlineLevel="0" collapsed="false">
      <c r="A36" s="13" t="n">
        <v>0.27</v>
      </c>
      <c r="B36" s="13" t="n">
        <f aca="false">$A36*$B$4+(1-$A36)*$C$4</f>
        <v>7.3</v>
      </c>
      <c r="C36" s="13" t="n">
        <f aca="false">$A36*$B$5+(1-$A36)*$C$5</f>
        <v>4</v>
      </c>
      <c r="D36" s="13" t="n">
        <f aca="false">$A36*$B$6+(1-$A36)*$C$6</f>
        <v>2.7</v>
      </c>
      <c r="E36" s="16" t="n">
        <f aca="false">MATCH(MAX(B36:D36),B36:D36,0)</f>
        <v>1</v>
      </c>
    </row>
    <row r="37" customFormat="false" ht="15" hidden="false" customHeight="false" outlineLevel="0" collapsed="false">
      <c r="A37" s="13" t="n">
        <v>0.28</v>
      </c>
      <c r="B37" s="13" t="n">
        <f aca="false">$A37*$B$4+(1-$A37)*$C$4</f>
        <v>7.2</v>
      </c>
      <c r="C37" s="13" t="n">
        <f aca="false">$A37*$B$5+(1-$A37)*$C$5</f>
        <v>4</v>
      </c>
      <c r="D37" s="13" t="n">
        <f aca="false">$A37*$B$6+(1-$A37)*$C$6</f>
        <v>2.8</v>
      </c>
      <c r="E37" s="16" t="n">
        <f aca="false">MATCH(MAX(B37:D37),B37:D37,0)</f>
        <v>1</v>
      </c>
    </row>
    <row r="38" customFormat="false" ht="15" hidden="false" customHeight="false" outlineLevel="0" collapsed="false">
      <c r="A38" s="13" t="n">
        <v>0.29</v>
      </c>
      <c r="B38" s="13" t="n">
        <f aca="false">$A38*$B$4+(1-$A38)*$C$4</f>
        <v>7.1</v>
      </c>
      <c r="C38" s="13" t="n">
        <f aca="false">$A38*$B$5+(1-$A38)*$C$5</f>
        <v>4</v>
      </c>
      <c r="D38" s="13" t="n">
        <f aca="false">$A38*$B$6+(1-$A38)*$C$6</f>
        <v>2.9</v>
      </c>
      <c r="E38" s="16" t="n">
        <f aca="false">MATCH(MAX(B38:D38),B38:D38,0)</f>
        <v>1</v>
      </c>
    </row>
    <row r="39" customFormat="false" ht="15" hidden="false" customHeight="false" outlineLevel="0" collapsed="false">
      <c r="A39" s="13" t="n">
        <v>0.3</v>
      </c>
      <c r="B39" s="13" t="n">
        <f aca="false">$A39*$B$4+(1-$A39)*$C$4</f>
        <v>7</v>
      </c>
      <c r="C39" s="13" t="n">
        <f aca="false">$A39*$B$5+(1-$A39)*$C$5</f>
        <v>4</v>
      </c>
      <c r="D39" s="13" t="n">
        <f aca="false">$A39*$B$6+(1-$A39)*$C$6</f>
        <v>3</v>
      </c>
      <c r="E39" s="16" t="n">
        <f aca="false">MATCH(MAX(B39:D39),B39:D39,0)</f>
        <v>1</v>
      </c>
    </row>
    <row r="40" customFormat="false" ht="15" hidden="false" customHeight="false" outlineLevel="0" collapsed="false">
      <c r="A40" s="13" t="n">
        <v>0.31</v>
      </c>
      <c r="B40" s="13" t="n">
        <f aca="false">$A40*$B$4+(1-$A40)*$C$4</f>
        <v>6.9</v>
      </c>
      <c r="C40" s="13" t="n">
        <f aca="false">$A40*$B$5+(1-$A40)*$C$5</f>
        <v>4</v>
      </c>
      <c r="D40" s="13" t="n">
        <f aca="false">$A40*$B$6+(1-$A40)*$C$6</f>
        <v>3.1</v>
      </c>
      <c r="E40" s="16" t="n">
        <f aca="false">MATCH(MAX(B40:D40),B40:D40,0)</f>
        <v>1</v>
      </c>
    </row>
    <row r="41" customFormat="false" ht="15" hidden="false" customHeight="false" outlineLevel="0" collapsed="false">
      <c r="A41" s="13" t="n">
        <v>0.32</v>
      </c>
      <c r="B41" s="13" t="n">
        <f aca="false">$A41*$B$4+(1-$A41)*$C$4</f>
        <v>6.8</v>
      </c>
      <c r="C41" s="13" t="n">
        <f aca="false">$A41*$B$5+(1-$A41)*$C$5</f>
        <v>4</v>
      </c>
      <c r="D41" s="13" t="n">
        <f aca="false">$A41*$B$6+(1-$A41)*$C$6</f>
        <v>3.2</v>
      </c>
      <c r="E41" s="16" t="n">
        <f aca="false">MATCH(MAX(B41:D41),B41:D41,0)</f>
        <v>1</v>
      </c>
    </row>
    <row r="42" customFormat="false" ht="15" hidden="false" customHeight="false" outlineLevel="0" collapsed="false">
      <c r="A42" s="13" t="n">
        <v>0.33</v>
      </c>
      <c r="B42" s="13" t="n">
        <f aca="false">$A42*$B$4+(1-$A42)*$C$4</f>
        <v>6.7</v>
      </c>
      <c r="C42" s="13" t="n">
        <f aca="false">$A42*$B$5+(1-$A42)*$C$5</f>
        <v>4</v>
      </c>
      <c r="D42" s="13" t="n">
        <f aca="false">$A42*$B$6+(1-$A42)*$C$6</f>
        <v>3.3</v>
      </c>
      <c r="E42" s="16" t="n">
        <f aca="false">MATCH(MAX(B42:D42),B42:D42,0)</f>
        <v>1</v>
      </c>
    </row>
    <row r="43" customFormat="false" ht="15" hidden="false" customHeight="false" outlineLevel="0" collapsed="false">
      <c r="A43" s="13" t="n">
        <v>0.34</v>
      </c>
      <c r="B43" s="13" t="n">
        <f aca="false">$A43*$B$4+(1-$A43)*$C$4</f>
        <v>6.6</v>
      </c>
      <c r="C43" s="13" t="n">
        <f aca="false">$A43*$B$5+(1-$A43)*$C$5</f>
        <v>4</v>
      </c>
      <c r="D43" s="13" t="n">
        <f aca="false">$A43*$B$6+(1-$A43)*$C$6</f>
        <v>3.4</v>
      </c>
      <c r="E43" s="16" t="n">
        <f aca="false">MATCH(MAX(B43:D43),B43:D43,0)</f>
        <v>1</v>
      </c>
    </row>
    <row r="44" customFormat="false" ht="15" hidden="false" customHeight="false" outlineLevel="0" collapsed="false">
      <c r="A44" s="13" t="n">
        <v>0.35</v>
      </c>
      <c r="B44" s="13" t="n">
        <f aca="false">$A44*$B$4+(1-$A44)*$C$4</f>
        <v>6.5</v>
      </c>
      <c r="C44" s="13" t="n">
        <f aca="false">$A44*$B$5+(1-$A44)*$C$5</f>
        <v>4</v>
      </c>
      <c r="D44" s="13" t="n">
        <f aca="false">$A44*$B$6+(1-$A44)*$C$6</f>
        <v>3.5</v>
      </c>
      <c r="E44" s="16" t="n">
        <f aca="false">MATCH(MAX(B44:D44),B44:D44,0)</f>
        <v>1</v>
      </c>
    </row>
    <row r="45" customFormat="false" ht="15" hidden="false" customHeight="false" outlineLevel="0" collapsed="false">
      <c r="A45" s="13" t="n">
        <v>0.36</v>
      </c>
      <c r="B45" s="13" t="n">
        <f aca="false">$A45*$B$4+(1-$A45)*$C$4</f>
        <v>6.4</v>
      </c>
      <c r="C45" s="13" t="n">
        <f aca="false">$A45*$B$5+(1-$A45)*$C$5</f>
        <v>4</v>
      </c>
      <c r="D45" s="13" t="n">
        <f aca="false">$A45*$B$6+(1-$A45)*$C$6</f>
        <v>3.6</v>
      </c>
      <c r="E45" s="16" t="n">
        <f aca="false">MATCH(MAX(B45:D45),B45:D45,0)</f>
        <v>1</v>
      </c>
    </row>
    <row r="46" customFormat="false" ht="15" hidden="false" customHeight="false" outlineLevel="0" collapsed="false">
      <c r="A46" s="13" t="n">
        <v>0.37</v>
      </c>
      <c r="B46" s="13" t="n">
        <f aca="false">$A46*$B$4+(1-$A46)*$C$4</f>
        <v>6.3</v>
      </c>
      <c r="C46" s="13" t="n">
        <f aca="false">$A46*$B$5+(1-$A46)*$C$5</f>
        <v>4</v>
      </c>
      <c r="D46" s="13" t="n">
        <f aca="false">$A46*$B$6+(1-$A46)*$C$6</f>
        <v>3.7</v>
      </c>
      <c r="E46" s="16" t="n">
        <f aca="false">MATCH(MAX(B46:D46),B46:D46,0)</f>
        <v>1</v>
      </c>
    </row>
    <row r="47" customFormat="false" ht="15" hidden="false" customHeight="false" outlineLevel="0" collapsed="false">
      <c r="A47" s="13" t="n">
        <v>0.38</v>
      </c>
      <c r="B47" s="13" t="n">
        <f aca="false">$A47*$B$4+(1-$A47)*$C$4</f>
        <v>6.2</v>
      </c>
      <c r="C47" s="13" t="n">
        <f aca="false">$A47*$B$5+(1-$A47)*$C$5</f>
        <v>4</v>
      </c>
      <c r="D47" s="13" t="n">
        <f aca="false">$A47*$B$6+(1-$A47)*$C$6</f>
        <v>3.8</v>
      </c>
      <c r="E47" s="16" t="n">
        <f aca="false">MATCH(MAX(B47:D47),B47:D47,0)</f>
        <v>1</v>
      </c>
    </row>
    <row r="48" customFormat="false" ht="15" hidden="false" customHeight="false" outlineLevel="0" collapsed="false">
      <c r="A48" s="13" t="n">
        <v>0.39</v>
      </c>
      <c r="B48" s="13" t="n">
        <f aca="false">$A48*$B$4+(1-$A48)*$C$4</f>
        <v>6.1</v>
      </c>
      <c r="C48" s="13" t="n">
        <f aca="false">$A48*$B$5+(1-$A48)*$C$5</f>
        <v>4</v>
      </c>
      <c r="D48" s="13" t="n">
        <f aca="false">$A48*$B$6+(1-$A48)*$C$6</f>
        <v>3.9</v>
      </c>
      <c r="E48" s="16" t="n">
        <f aca="false">MATCH(MAX(B48:D48),B48:D48,0)</f>
        <v>1</v>
      </c>
    </row>
    <row r="49" customFormat="false" ht="15" hidden="false" customHeight="false" outlineLevel="0" collapsed="false">
      <c r="A49" s="13" t="n">
        <v>0.4</v>
      </c>
      <c r="B49" s="13" t="n">
        <f aca="false">$A49*$B$4+(1-$A49)*$C$4</f>
        <v>6</v>
      </c>
      <c r="C49" s="13" t="n">
        <f aca="false">$A49*$B$5+(1-$A49)*$C$5</f>
        <v>4</v>
      </c>
      <c r="D49" s="13" t="n">
        <f aca="false">$A49*$B$6+(1-$A49)*$C$6</f>
        <v>4</v>
      </c>
      <c r="E49" s="16" t="n">
        <f aca="false">MATCH(MAX(B49:D49),B49:D49,0)</f>
        <v>1</v>
      </c>
    </row>
    <row r="50" customFormat="false" ht="15" hidden="false" customHeight="false" outlineLevel="0" collapsed="false">
      <c r="A50" s="13" t="n">
        <v>0.41</v>
      </c>
      <c r="B50" s="13" t="n">
        <f aca="false">$A50*$B$4+(1-$A50)*$C$4</f>
        <v>5.9</v>
      </c>
      <c r="C50" s="13" t="n">
        <f aca="false">$A50*$B$5+(1-$A50)*$C$5</f>
        <v>4</v>
      </c>
      <c r="D50" s="13" t="n">
        <f aca="false">$A50*$B$6+(1-$A50)*$C$6</f>
        <v>4.1</v>
      </c>
      <c r="E50" s="16" t="n">
        <f aca="false">MATCH(MAX(B50:D50),B50:D50,0)</f>
        <v>1</v>
      </c>
    </row>
    <row r="51" customFormat="false" ht="15" hidden="false" customHeight="false" outlineLevel="0" collapsed="false">
      <c r="A51" s="13" t="n">
        <v>0.42</v>
      </c>
      <c r="B51" s="13" t="n">
        <f aca="false">$A51*$B$4+(1-$A51)*$C$4</f>
        <v>5.8</v>
      </c>
      <c r="C51" s="13" t="n">
        <f aca="false">$A51*$B$5+(1-$A51)*$C$5</f>
        <v>4</v>
      </c>
      <c r="D51" s="13" t="n">
        <f aca="false">$A51*$B$6+(1-$A51)*$C$6</f>
        <v>4.2</v>
      </c>
      <c r="E51" s="16" t="n">
        <f aca="false">MATCH(MAX(B51:D51),B51:D51,0)</f>
        <v>1</v>
      </c>
    </row>
    <row r="52" customFormat="false" ht="15" hidden="false" customHeight="false" outlineLevel="0" collapsed="false">
      <c r="A52" s="13" t="n">
        <v>0.43</v>
      </c>
      <c r="B52" s="13" t="n">
        <f aca="false">$A52*$B$4+(1-$A52)*$C$4</f>
        <v>5.7</v>
      </c>
      <c r="C52" s="13" t="n">
        <f aca="false">$A52*$B$5+(1-$A52)*$C$5</f>
        <v>4</v>
      </c>
      <c r="D52" s="13" t="n">
        <f aca="false">$A52*$B$6+(1-$A52)*$C$6</f>
        <v>4.3</v>
      </c>
      <c r="E52" s="16" t="n">
        <f aca="false">MATCH(MAX(B52:D52),B52:D52,0)</f>
        <v>1</v>
      </c>
    </row>
    <row r="53" customFormat="false" ht="15" hidden="false" customHeight="false" outlineLevel="0" collapsed="false">
      <c r="A53" s="13" t="n">
        <v>0.44</v>
      </c>
      <c r="B53" s="13" t="n">
        <f aca="false">$A53*$B$4+(1-$A53)*$C$4</f>
        <v>5.6</v>
      </c>
      <c r="C53" s="13" t="n">
        <f aca="false">$A53*$B$5+(1-$A53)*$C$5</f>
        <v>4</v>
      </c>
      <c r="D53" s="13" t="n">
        <f aca="false">$A53*$B$6+(1-$A53)*$C$6</f>
        <v>4.4</v>
      </c>
      <c r="E53" s="16" t="n">
        <f aca="false">MATCH(MAX(B53:D53),B53:D53,0)</f>
        <v>1</v>
      </c>
    </row>
    <row r="54" customFormat="false" ht="15" hidden="false" customHeight="false" outlineLevel="0" collapsed="false">
      <c r="A54" s="13" t="n">
        <v>0.45</v>
      </c>
      <c r="B54" s="13" t="n">
        <f aca="false">$A54*$B$4+(1-$A54)*$C$4</f>
        <v>5.5</v>
      </c>
      <c r="C54" s="13" t="n">
        <f aca="false">$A54*$B$5+(1-$A54)*$C$5</f>
        <v>4</v>
      </c>
      <c r="D54" s="13" t="n">
        <f aca="false">$A54*$B$6+(1-$A54)*$C$6</f>
        <v>4.5</v>
      </c>
      <c r="E54" s="16" t="n">
        <f aca="false">MATCH(MAX(B54:D54),B54:D54,0)</f>
        <v>1</v>
      </c>
    </row>
    <row r="55" customFormat="false" ht="15" hidden="false" customHeight="false" outlineLevel="0" collapsed="false">
      <c r="A55" s="13" t="n">
        <v>0.46</v>
      </c>
      <c r="B55" s="13" t="n">
        <f aca="false">$A55*$B$4+(1-$A55)*$C$4</f>
        <v>5.4</v>
      </c>
      <c r="C55" s="13" t="n">
        <f aca="false">$A55*$B$5+(1-$A55)*$C$5</f>
        <v>4</v>
      </c>
      <c r="D55" s="13" t="n">
        <f aca="false">$A55*$B$6+(1-$A55)*$C$6</f>
        <v>4.6</v>
      </c>
      <c r="E55" s="16" t="n">
        <f aca="false">MATCH(MAX(B55:D55),B55:D55,0)</f>
        <v>1</v>
      </c>
    </row>
    <row r="56" customFormat="false" ht="15" hidden="false" customHeight="false" outlineLevel="0" collapsed="false">
      <c r="A56" s="13" t="n">
        <v>0.47</v>
      </c>
      <c r="B56" s="13" t="n">
        <f aca="false">$A56*$B$4+(1-$A56)*$C$4</f>
        <v>5.3</v>
      </c>
      <c r="C56" s="13" t="n">
        <f aca="false">$A56*$B$5+(1-$A56)*$C$5</f>
        <v>4</v>
      </c>
      <c r="D56" s="13" t="n">
        <f aca="false">$A56*$B$6+(1-$A56)*$C$6</f>
        <v>4.7</v>
      </c>
      <c r="E56" s="16" t="n">
        <f aca="false">MATCH(MAX(B56:D56),B56:D56,0)</f>
        <v>1</v>
      </c>
    </row>
    <row r="57" customFormat="false" ht="15" hidden="false" customHeight="false" outlineLevel="0" collapsed="false">
      <c r="A57" s="13" t="n">
        <v>0.48</v>
      </c>
      <c r="B57" s="13" t="n">
        <f aca="false">$A57*$B$4+(1-$A57)*$C$4</f>
        <v>5.2</v>
      </c>
      <c r="C57" s="13" t="n">
        <f aca="false">$A57*$B$5+(1-$A57)*$C$5</f>
        <v>4</v>
      </c>
      <c r="D57" s="13" t="n">
        <f aca="false">$A57*$B$6+(1-$A57)*$C$6</f>
        <v>4.8</v>
      </c>
      <c r="E57" s="16" t="n">
        <f aca="false">MATCH(MAX(B57:D57),B57:D57,0)</f>
        <v>1</v>
      </c>
    </row>
    <row r="58" customFormat="false" ht="15" hidden="false" customHeight="false" outlineLevel="0" collapsed="false">
      <c r="A58" s="13" t="n">
        <v>0.49</v>
      </c>
      <c r="B58" s="13" t="n">
        <f aca="false">$A58*$B$4+(1-$A58)*$C$4</f>
        <v>5.1</v>
      </c>
      <c r="C58" s="13" t="n">
        <f aca="false">$A58*$B$5+(1-$A58)*$C$5</f>
        <v>4</v>
      </c>
      <c r="D58" s="13" t="n">
        <f aca="false">$A58*$B$6+(1-$A58)*$C$6</f>
        <v>4.9</v>
      </c>
      <c r="E58" s="16" t="n">
        <f aca="false">MATCH(MAX(B58:D58),B58:D58,0)</f>
        <v>1</v>
      </c>
    </row>
    <row r="59" customFormat="false" ht="15" hidden="false" customHeight="false" outlineLevel="0" collapsed="false">
      <c r="A59" s="13" t="n">
        <v>0.5</v>
      </c>
      <c r="B59" s="13" t="n">
        <f aca="false">$A59*$B$4+(1-$A59)*$C$4</f>
        <v>5</v>
      </c>
      <c r="C59" s="13" t="n">
        <f aca="false">$A59*$B$5+(1-$A59)*$C$5</f>
        <v>4</v>
      </c>
      <c r="D59" s="13" t="n">
        <f aca="false">$A59*$B$6+(1-$A59)*$C$6</f>
        <v>5</v>
      </c>
      <c r="E59" s="16" t="n">
        <f aca="false">MATCH(MAX(B59:D59),B59:D59,0)</f>
        <v>1</v>
      </c>
    </row>
    <row r="60" customFormat="false" ht="15" hidden="false" customHeight="false" outlineLevel="0" collapsed="false">
      <c r="A60" s="13" t="n">
        <v>0.51</v>
      </c>
      <c r="B60" s="13" t="n">
        <f aca="false">$A60*$B$4+(1-$A60)*$C$4</f>
        <v>4.9</v>
      </c>
      <c r="C60" s="13" t="n">
        <f aca="false">$A60*$B$5+(1-$A60)*$C$5</f>
        <v>4</v>
      </c>
      <c r="D60" s="13" t="n">
        <f aca="false">$A60*$B$6+(1-$A60)*$C$6</f>
        <v>5.1</v>
      </c>
      <c r="E60" s="16" t="n">
        <f aca="false">MATCH(MAX(B60:D60),B60:D60,0)</f>
        <v>3</v>
      </c>
    </row>
    <row r="61" customFormat="false" ht="15" hidden="false" customHeight="false" outlineLevel="0" collapsed="false">
      <c r="A61" s="13" t="n">
        <v>0.52</v>
      </c>
      <c r="B61" s="13" t="n">
        <f aca="false">$A61*$B$4+(1-$A61)*$C$4</f>
        <v>4.8</v>
      </c>
      <c r="C61" s="13" t="n">
        <f aca="false">$A61*$B$5+(1-$A61)*$C$5</f>
        <v>4</v>
      </c>
      <c r="D61" s="13" t="n">
        <f aca="false">$A61*$B$6+(1-$A61)*$C$6</f>
        <v>5.2</v>
      </c>
      <c r="E61" s="16" t="n">
        <f aca="false">MATCH(MAX(B61:D61),B61:D61,0)</f>
        <v>3</v>
      </c>
    </row>
    <row r="62" customFormat="false" ht="15" hidden="false" customHeight="false" outlineLevel="0" collapsed="false">
      <c r="A62" s="13" t="n">
        <v>0.53</v>
      </c>
      <c r="B62" s="13" t="n">
        <f aca="false">$A62*$B$4+(1-$A62)*$C$4</f>
        <v>4.7</v>
      </c>
      <c r="C62" s="13" t="n">
        <f aca="false">$A62*$B$5+(1-$A62)*$C$5</f>
        <v>4</v>
      </c>
      <c r="D62" s="13" t="n">
        <f aca="false">$A62*$B$6+(1-$A62)*$C$6</f>
        <v>5.3</v>
      </c>
      <c r="E62" s="16" t="n">
        <f aca="false">MATCH(MAX(B62:D62),B62:D62,0)</f>
        <v>3</v>
      </c>
    </row>
    <row r="63" customFormat="false" ht="15" hidden="false" customHeight="false" outlineLevel="0" collapsed="false">
      <c r="A63" s="13" t="n">
        <v>0.54</v>
      </c>
      <c r="B63" s="13" t="n">
        <f aca="false">$A63*$B$4+(1-$A63)*$C$4</f>
        <v>4.6</v>
      </c>
      <c r="C63" s="13" t="n">
        <f aca="false">$A63*$B$5+(1-$A63)*$C$5</f>
        <v>4</v>
      </c>
      <c r="D63" s="13" t="n">
        <f aca="false">$A63*$B$6+(1-$A63)*$C$6</f>
        <v>5.4</v>
      </c>
      <c r="E63" s="16" t="n">
        <f aca="false">MATCH(MAX(B63:D63),B63:D63,0)</f>
        <v>3</v>
      </c>
    </row>
    <row r="64" customFormat="false" ht="15" hidden="false" customHeight="false" outlineLevel="0" collapsed="false">
      <c r="A64" s="13" t="n">
        <v>0.55</v>
      </c>
      <c r="B64" s="13" t="n">
        <f aca="false">$A64*$B$4+(1-$A64)*$C$4</f>
        <v>4.5</v>
      </c>
      <c r="C64" s="13" t="n">
        <f aca="false">$A64*$B$5+(1-$A64)*$C$5</f>
        <v>4</v>
      </c>
      <c r="D64" s="13" t="n">
        <f aca="false">$A64*$B$6+(1-$A64)*$C$6</f>
        <v>5.5</v>
      </c>
      <c r="E64" s="16" t="n">
        <f aca="false">MATCH(MAX(B64:D64),B64:D64,0)</f>
        <v>3</v>
      </c>
    </row>
    <row r="65" customFormat="false" ht="15" hidden="false" customHeight="false" outlineLevel="0" collapsed="false">
      <c r="A65" s="13" t="n">
        <v>0.56</v>
      </c>
      <c r="B65" s="13" t="n">
        <f aca="false">$A65*$B$4+(1-$A65)*$C$4</f>
        <v>4.4</v>
      </c>
      <c r="C65" s="13" t="n">
        <f aca="false">$A65*$B$5+(1-$A65)*$C$5</f>
        <v>4</v>
      </c>
      <c r="D65" s="13" t="n">
        <f aca="false">$A65*$B$6+(1-$A65)*$C$6</f>
        <v>5.6</v>
      </c>
      <c r="E65" s="16" t="n">
        <f aca="false">MATCH(MAX(B65:D65),B65:D65,0)</f>
        <v>3</v>
      </c>
    </row>
    <row r="66" customFormat="false" ht="15" hidden="false" customHeight="false" outlineLevel="0" collapsed="false">
      <c r="A66" s="13" t="n">
        <v>0.57</v>
      </c>
      <c r="B66" s="13" t="n">
        <f aca="false">$A66*$B$4+(1-$A66)*$C$4</f>
        <v>4.3</v>
      </c>
      <c r="C66" s="13" t="n">
        <f aca="false">$A66*$B$5+(1-$A66)*$C$5</f>
        <v>4</v>
      </c>
      <c r="D66" s="13" t="n">
        <f aca="false">$A66*$B$6+(1-$A66)*$C$6</f>
        <v>5.7</v>
      </c>
      <c r="E66" s="16" t="n">
        <f aca="false">MATCH(MAX(B66:D66),B66:D66,0)</f>
        <v>3</v>
      </c>
    </row>
    <row r="67" customFormat="false" ht="15" hidden="false" customHeight="false" outlineLevel="0" collapsed="false">
      <c r="A67" s="13" t="n">
        <v>0.58</v>
      </c>
      <c r="B67" s="13" t="n">
        <f aca="false">$A67*$B$4+(1-$A67)*$C$4</f>
        <v>4.2</v>
      </c>
      <c r="C67" s="13" t="n">
        <f aca="false">$A67*$B$5+(1-$A67)*$C$5</f>
        <v>4</v>
      </c>
      <c r="D67" s="13" t="n">
        <f aca="false">$A67*$B$6+(1-$A67)*$C$6</f>
        <v>5.8</v>
      </c>
      <c r="E67" s="16" t="n">
        <f aca="false">MATCH(MAX(B67:D67),B67:D67,0)</f>
        <v>3</v>
      </c>
    </row>
    <row r="68" customFormat="false" ht="15" hidden="false" customHeight="false" outlineLevel="0" collapsed="false">
      <c r="A68" s="13" t="n">
        <v>0.59</v>
      </c>
      <c r="B68" s="13" t="n">
        <f aca="false">$A68*$B$4+(1-$A68)*$C$4</f>
        <v>4.1</v>
      </c>
      <c r="C68" s="13" t="n">
        <f aca="false">$A68*$B$5+(1-$A68)*$C$5</f>
        <v>4</v>
      </c>
      <c r="D68" s="13" t="n">
        <f aca="false">$A68*$B$6+(1-$A68)*$C$6</f>
        <v>5.9</v>
      </c>
      <c r="E68" s="16" t="n">
        <f aca="false">MATCH(MAX(B68:D68),B68:D68,0)</f>
        <v>3</v>
      </c>
    </row>
    <row r="69" customFormat="false" ht="15" hidden="false" customHeight="false" outlineLevel="0" collapsed="false">
      <c r="A69" s="13" t="n">
        <v>0.6</v>
      </c>
      <c r="B69" s="13" t="n">
        <f aca="false">$A69*$B$4+(1-$A69)*$C$4</f>
        <v>4</v>
      </c>
      <c r="C69" s="13" t="n">
        <f aca="false">$A69*$B$5+(1-$A69)*$C$5</f>
        <v>4</v>
      </c>
      <c r="D69" s="13" t="n">
        <f aca="false">$A69*$B$6+(1-$A69)*$C$6</f>
        <v>6</v>
      </c>
      <c r="E69" s="16" t="n">
        <f aca="false">MATCH(MAX(B69:D69),B69:D69,0)</f>
        <v>3</v>
      </c>
    </row>
    <row r="70" customFormat="false" ht="15" hidden="false" customHeight="false" outlineLevel="0" collapsed="false">
      <c r="A70" s="13" t="n">
        <v>0.61</v>
      </c>
      <c r="B70" s="13" t="n">
        <f aca="false">$A70*$B$4+(1-$A70)*$C$4</f>
        <v>3.9</v>
      </c>
      <c r="C70" s="13" t="n">
        <f aca="false">$A70*$B$5+(1-$A70)*$C$5</f>
        <v>4</v>
      </c>
      <c r="D70" s="13" t="n">
        <f aca="false">$A70*$B$6+(1-$A70)*$C$6</f>
        <v>6.1</v>
      </c>
      <c r="E70" s="16" t="n">
        <f aca="false">MATCH(MAX(B70:D70),B70:D70,0)</f>
        <v>3</v>
      </c>
    </row>
    <row r="71" customFormat="false" ht="15" hidden="false" customHeight="false" outlineLevel="0" collapsed="false">
      <c r="A71" s="13" t="n">
        <v>0.62</v>
      </c>
      <c r="B71" s="13" t="n">
        <f aca="false">$A71*$B$4+(1-$A71)*$C$4</f>
        <v>3.8</v>
      </c>
      <c r="C71" s="13" t="n">
        <f aca="false">$A71*$B$5+(1-$A71)*$C$5</f>
        <v>4</v>
      </c>
      <c r="D71" s="13" t="n">
        <f aca="false">$A71*$B$6+(1-$A71)*$C$6</f>
        <v>6.2</v>
      </c>
      <c r="E71" s="16" t="n">
        <f aca="false">MATCH(MAX(B71:D71),B71:D71,0)</f>
        <v>3</v>
      </c>
    </row>
    <row r="72" customFormat="false" ht="15" hidden="false" customHeight="false" outlineLevel="0" collapsed="false">
      <c r="A72" s="13" t="n">
        <v>0.63</v>
      </c>
      <c r="B72" s="13" t="n">
        <f aca="false">$A72*$B$4+(1-$A72)*$C$4</f>
        <v>3.7</v>
      </c>
      <c r="C72" s="13" t="n">
        <f aca="false">$A72*$B$5+(1-$A72)*$C$5</f>
        <v>4</v>
      </c>
      <c r="D72" s="13" t="n">
        <f aca="false">$A72*$B$6+(1-$A72)*$C$6</f>
        <v>6.3</v>
      </c>
      <c r="E72" s="16" t="n">
        <f aca="false">MATCH(MAX(B72:D72),B72:D72,0)</f>
        <v>3</v>
      </c>
    </row>
    <row r="73" customFormat="false" ht="15" hidden="false" customHeight="false" outlineLevel="0" collapsed="false">
      <c r="A73" s="13" t="n">
        <v>0.64</v>
      </c>
      <c r="B73" s="13" t="n">
        <f aca="false">$A73*$B$4+(1-$A73)*$C$4</f>
        <v>3.6</v>
      </c>
      <c r="C73" s="13" t="n">
        <f aca="false">$A73*$B$5+(1-$A73)*$C$5</f>
        <v>4</v>
      </c>
      <c r="D73" s="13" t="n">
        <f aca="false">$A73*$B$6+(1-$A73)*$C$6</f>
        <v>6.4</v>
      </c>
      <c r="E73" s="16" t="n">
        <f aca="false">MATCH(MAX(B73:D73),B73:D73,0)</f>
        <v>3</v>
      </c>
    </row>
    <row r="74" customFormat="false" ht="15" hidden="false" customHeight="false" outlineLevel="0" collapsed="false">
      <c r="A74" s="13" t="n">
        <v>0.65</v>
      </c>
      <c r="B74" s="13" t="n">
        <f aca="false">$A74*$B$4+(1-$A74)*$C$4</f>
        <v>3.5</v>
      </c>
      <c r="C74" s="13" t="n">
        <f aca="false">$A74*$B$5+(1-$A74)*$C$5</f>
        <v>4</v>
      </c>
      <c r="D74" s="13" t="n">
        <f aca="false">$A74*$B$6+(1-$A74)*$C$6</f>
        <v>6.5</v>
      </c>
      <c r="E74" s="16" t="n">
        <f aca="false">MATCH(MAX(B74:D74),B74:D74,0)</f>
        <v>3</v>
      </c>
    </row>
    <row r="75" customFormat="false" ht="15" hidden="false" customHeight="false" outlineLevel="0" collapsed="false">
      <c r="A75" s="13" t="n">
        <v>0.66</v>
      </c>
      <c r="B75" s="13" t="n">
        <f aca="false">$A75*$B$4+(1-$A75)*$C$4</f>
        <v>3.4</v>
      </c>
      <c r="C75" s="13" t="n">
        <f aca="false">$A75*$B$5+(1-$A75)*$C$5</f>
        <v>4</v>
      </c>
      <c r="D75" s="13" t="n">
        <f aca="false">$A75*$B$6+(1-$A75)*$C$6</f>
        <v>6.6</v>
      </c>
      <c r="E75" s="16" t="n">
        <f aca="false">MATCH(MAX(B75:D75),B75:D75,0)</f>
        <v>3</v>
      </c>
    </row>
    <row r="76" customFormat="false" ht="15" hidden="false" customHeight="false" outlineLevel="0" collapsed="false">
      <c r="A76" s="13" t="n">
        <v>0.67</v>
      </c>
      <c r="B76" s="13" t="n">
        <f aca="false">$A76*$B$4+(1-$A76)*$C$4</f>
        <v>3.3</v>
      </c>
      <c r="C76" s="13" t="n">
        <f aca="false">$A76*$B$5+(1-$A76)*$C$5</f>
        <v>4</v>
      </c>
      <c r="D76" s="13" t="n">
        <f aca="false">$A76*$B$6+(1-$A76)*$C$6</f>
        <v>6.7</v>
      </c>
      <c r="E76" s="16" t="n">
        <f aca="false">MATCH(MAX(B76:D76),B76:D76,0)</f>
        <v>3</v>
      </c>
    </row>
    <row r="77" customFormat="false" ht="15" hidden="false" customHeight="false" outlineLevel="0" collapsed="false">
      <c r="A77" s="13" t="n">
        <v>0.68</v>
      </c>
      <c r="B77" s="13" t="n">
        <f aca="false">$A77*$B$4+(1-$A77)*$C$4</f>
        <v>3.2</v>
      </c>
      <c r="C77" s="13" t="n">
        <f aca="false">$A77*$B$5+(1-$A77)*$C$5</f>
        <v>4</v>
      </c>
      <c r="D77" s="13" t="n">
        <f aca="false">$A77*$B$6+(1-$A77)*$C$6</f>
        <v>6.8</v>
      </c>
      <c r="E77" s="16" t="n">
        <f aca="false">MATCH(MAX(B77:D77),B77:D77,0)</f>
        <v>3</v>
      </c>
    </row>
    <row r="78" customFormat="false" ht="15" hidden="false" customHeight="false" outlineLevel="0" collapsed="false">
      <c r="A78" s="13" t="n">
        <v>0.69</v>
      </c>
      <c r="B78" s="13" t="n">
        <f aca="false">$A78*$B$4+(1-$A78)*$C$4</f>
        <v>3.1</v>
      </c>
      <c r="C78" s="13" t="n">
        <f aca="false">$A78*$B$5+(1-$A78)*$C$5</f>
        <v>4</v>
      </c>
      <c r="D78" s="13" t="n">
        <f aca="false">$A78*$B$6+(1-$A78)*$C$6</f>
        <v>6.9</v>
      </c>
      <c r="E78" s="16" t="n">
        <f aca="false">MATCH(MAX(B78:D78),B78:D78,0)</f>
        <v>3</v>
      </c>
    </row>
    <row r="79" customFormat="false" ht="15" hidden="false" customHeight="false" outlineLevel="0" collapsed="false">
      <c r="A79" s="13" t="n">
        <v>0.7</v>
      </c>
      <c r="B79" s="13" t="n">
        <f aca="false">$A79*$B$4+(1-$A79)*$C$4</f>
        <v>3</v>
      </c>
      <c r="C79" s="13" t="n">
        <f aca="false">$A79*$B$5+(1-$A79)*$C$5</f>
        <v>4</v>
      </c>
      <c r="D79" s="13" t="n">
        <f aca="false">$A79*$B$6+(1-$A79)*$C$6</f>
        <v>7</v>
      </c>
      <c r="E79" s="16" t="n">
        <f aca="false">MATCH(MAX(B79:D79),B79:D79,0)</f>
        <v>3</v>
      </c>
    </row>
    <row r="80" customFormat="false" ht="15" hidden="false" customHeight="false" outlineLevel="0" collapsed="false">
      <c r="A80" s="13" t="n">
        <v>0.71</v>
      </c>
      <c r="B80" s="13" t="n">
        <f aca="false">$A80*$B$4+(1-$A80)*$C$4</f>
        <v>2.9</v>
      </c>
      <c r="C80" s="13" t="n">
        <f aca="false">$A80*$B$5+(1-$A80)*$C$5</f>
        <v>4</v>
      </c>
      <c r="D80" s="13" t="n">
        <f aca="false">$A80*$B$6+(1-$A80)*$C$6</f>
        <v>7.1</v>
      </c>
      <c r="E80" s="16" t="n">
        <f aca="false">MATCH(MAX(B80:D80),B80:D80,0)</f>
        <v>3</v>
      </c>
    </row>
    <row r="81" customFormat="false" ht="15" hidden="false" customHeight="false" outlineLevel="0" collapsed="false">
      <c r="A81" s="13" t="n">
        <v>0.72</v>
      </c>
      <c r="B81" s="13" t="n">
        <f aca="false">$A81*$B$4+(1-$A81)*$C$4</f>
        <v>2.8</v>
      </c>
      <c r="C81" s="13" t="n">
        <f aca="false">$A81*$B$5+(1-$A81)*$C$5</f>
        <v>4</v>
      </c>
      <c r="D81" s="13" t="n">
        <f aca="false">$A81*$B$6+(1-$A81)*$C$6</f>
        <v>7.2</v>
      </c>
      <c r="E81" s="16" t="n">
        <f aca="false">MATCH(MAX(B81:D81),B81:D81,0)</f>
        <v>3</v>
      </c>
    </row>
    <row r="82" customFormat="false" ht="15" hidden="false" customHeight="false" outlineLevel="0" collapsed="false">
      <c r="A82" s="13" t="n">
        <v>0.73</v>
      </c>
      <c r="B82" s="13" t="n">
        <f aca="false">$A82*$B$4+(1-$A82)*$C$4</f>
        <v>2.7</v>
      </c>
      <c r="C82" s="13" t="n">
        <f aca="false">$A82*$B$5+(1-$A82)*$C$5</f>
        <v>4</v>
      </c>
      <c r="D82" s="13" t="n">
        <f aca="false">$A82*$B$6+(1-$A82)*$C$6</f>
        <v>7.3</v>
      </c>
      <c r="E82" s="16" t="n">
        <f aca="false">MATCH(MAX(B82:D82),B82:D82,0)</f>
        <v>3</v>
      </c>
    </row>
    <row r="83" customFormat="false" ht="15" hidden="false" customHeight="false" outlineLevel="0" collapsed="false">
      <c r="A83" s="13" t="n">
        <v>0.74</v>
      </c>
      <c r="B83" s="13" t="n">
        <f aca="false">$A83*$B$4+(1-$A83)*$C$4</f>
        <v>2.6</v>
      </c>
      <c r="C83" s="13" t="n">
        <f aca="false">$A83*$B$5+(1-$A83)*$C$5</f>
        <v>4</v>
      </c>
      <c r="D83" s="13" t="n">
        <f aca="false">$A83*$B$6+(1-$A83)*$C$6</f>
        <v>7.4</v>
      </c>
      <c r="E83" s="16" t="n">
        <f aca="false">MATCH(MAX(B83:D83),B83:D83,0)</f>
        <v>3</v>
      </c>
    </row>
    <row r="84" customFormat="false" ht="15" hidden="false" customHeight="false" outlineLevel="0" collapsed="false">
      <c r="A84" s="13" t="n">
        <v>0.75</v>
      </c>
      <c r="B84" s="13" t="n">
        <f aca="false">$A84*$B$4+(1-$A84)*$C$4</f>
        <v>2.5</v>
      </c>
      <c r="C84" s="13" t="n">
        <f aca="false">$A84*$B$5+(1-$A84)*$C$5</f>
        <v>4</v>
      </c>
      <c r="D84" s="13" t="n">
        <f aca="false">$A84*$B$6+(1-$A84)*$C$6</f>
        <v>7.5</v>
      </c>
      <c r="E84" s="16" t="n">
        <f aca="false">MATCH(MAX(B84:D84),B84:D84,0)</f>
        <v>3</v>
      </c>
    </row>
    <row r="85" customFormat="false" ht="15" hidden="false" customHeight="false" outlineLevel="0" collapsed="false">
      <c r="A85" s="13" t="n">
        <v>0.76</v>
      </c>
      <c r="B85" s="13" t="n">
        <f aca="false">$A85*$B$4+(1-$A85)*$C$4</f>
        <v>2.4</v>
      </c>
      <c r="C85" s="13" t="n">
        <f aca="false">$A85*$B$5+(1-$A85)*$C$5</f>
        <v>4</v>
      </c>
      <c r="D85" s="13" t="n">
        <f aca="false">$A85*$B$6+(1-$A85)*$C$6</f>
        <v>7.6</v>
      </c>
      <c r="E85" s="16" t="n">
        <f aca="false">MATCH(MAX(B85:D85),B85:D85,0)</f>
        <v>3</v>
      </c>
    </row>
    <row r="86" customFormat="false" ht="15" hidden="false" customHeight="false" outlineLevel="0" collapsed="false">
      <c r="A86" s="13" t="n">
        <v>0.77</v>
      </c>
      <c r="B86" s="13" t="n">
        <f aca="false">$A86*$B$4+(1-$A86)*$C$4</f>
        <v>2.3</v>
      </c>
      <c r="C86" s="13" t="n">
        <f aca="false">$A86*$B$5+(1-$A86)*$C$5</f>
        <v>4</v>
      </c>
      <c r="D86" s="13" t="n">
        <f aca="false">$A86*$B$6+(1-$A86)*$C$6</f>
        <v>7.7</v>
      </c>
      <c r="E86" s="16" t="n">
        <f aca="false">MATCH(MAX(B86:D86),B86:D86,0)</f>
        <v>3</v>
      </c>
    </row>
    <row r="87" customFormat="false" ht="15" hidden="false" customHeight="false" outlineLevel="0" collapsed="false">
      <c r="A87" s="13" t="n">
        <v>0.78</v>
      </c>
      <c r="B87" s="13" t="n">
        <f aca="false">$A87*$B$4+(1-$A87)*$C$4</f>
        <v>2.2</v>
      </c>
      <c r="C87" s="13" t="n">
        <f aca="false">$A87*$B$5+(1-$A87)*$C$5</f>
        <v>4</v>
      </c>
      <c r="D87" s="13" t="n">
        <f aca="false">$A87*$B$6+(1-$A87)*$C$6</f>
        <v>7.8</v>
      </c>
      <c r="E87" s="16" t="n">
        <f aca="false">MATCH(MAX(B87:D87),B87:D87,0)</f>
        <v>3</v>
      </c>
    </row>
    <row r="88" customFormat="false" ht="15" hidden="false" customHeight="false" outlineLevel="0" collapsed="false">
      <c r="A88" s="13" t="n">
        <v>0.79</v>
      </c>
      <c r="B88" s="13" t="n">
        <f aca="false">$A88*$B$4+(1-$A88)*$C$4</f>
        <v>2.1</v>
      </c>
      <c r="C88" s="13" t="n">
        <f aca="false">$A88*$B$5+(1-$A88)*$C$5</f>
        <v>4</v>
      </c>
      <c r="D88" s="13" t="n">
        <f aca="false">$A88*$B$6+(1-$A88)*$C$6</f>
        <v>7.9</v>
      </c>
      <c r="E88" s="16" t="n">
        <f aca="false">MATCH(MAX(B88:D88),B88:D88,0)</f>
        <v>3</v>
      </c>
    </row>
    <row r="89" customFormat="false" ht="15" hidden="false" customHeight="false" outlineLevel="0" collapsed="false">
      <c r="A89" s="13" t="n">
        <v>0.8</v>
      </c>
      <c r="B89" s="13" t="n">
        <f aca="false">$A89*$B$4+(1-$A89)*$C$4</f>
        <v>2</v>
      </c>
      <c r="C89" s="13" t="n">
        <f aca="false">$A89*$B$5+(1-$A89)*$C$5</f>
        <v>4</v>
      </c>
      <c r="D89" s="13" t="n">
        <f aca="false">$A89*$B$6+(1-$A89)*$C$6</f>
        <v>8</v>
      </c>
      <c r="E89" s="16" t="n">
        <f aca="false">MATCH(MAX(B89:D89),B89:D89,0)</f>
        <v>3</v>
      </c>
    </row>
    <row r="90" customFormat="false" ht="15" hidden="false" customHeight="false" outlineLevel="0" collapsed="false">
      <c r="A90" s="13" t="n">
        <v>0.81</v>
      </c>
      <c r="B90" s="13" t="n">
        <f aca="false">$A90*$B$4+(1-$A90)*$C$4</f>
        <v>1.9</v>
      </c>
      <c r="C90" s="13" t="n">
        <f aca="false">$A90*$B$5+(1-$A90)*$C$5</f>
        <v>4</v>
      </c>
      <c r="D90" s="13" t="n">
        <f aca="false">$A90*$B$6+(1-$A90)*$C$6</f>
        <v>8.1</v>
      </c>
      <c r="E90" s="16" t="n">
        <f aca="false">MATCH(MAX(B90:D90),B90:D90,0)</f>
        <v>3</v>
      </c>
    </row>
    <row r="91" customFormat="false" ht="15" hidden="false" customHeight="false" outlineLevel="0" collapsed="false">
      <c r="A91" s="13" t="n">
        <v>0.82</v>
      </c>
      <c r="B91" s="13" t="n">
        <f aca="false">$A91*$B$4+(1-$A91)*$C$4</f>
        <v>1.8</v>
      </c>
      <c r="C91" s="13" t="n">
        <f aca="false">$A91*$B$5+(1-$A91)*$C$5</f>
        <v>4</v>
      </c>
      <c r="D91" s="13" t="n">
        <f aca="false">$A91*$B$6+(1-$A91)*$C$6</f>
        <v>8.2</v>
      </c>
      <c r="E91" s="16" t="n">
        <f aca="false">MATCH(MAX(B91:D91),B91:D91,0)</f>
        <v>3</v>
      </c>
    </row>
    <row r="92" customFormat="false" ht="15" hidden="false" customHeight="false" outlineLevel="0" collapsed="false">
      <c r="A92" s="13" t="n">
        <v>0.83</v>
      </c>
      <c r="B92" s="13" t="n">
        <f aca="false">$A92*$B$4+(1-$A92)*$C$4</f>
        <v>1.7</v>
      </c>
      <c r="C92" s="13" t="n">
        <f aca="false">$A92*$B$5+(1-$A92)*$C$5</f>
        <v>4</v>
      </c>
      <c r="D92" s="13" t="n">
        <f aca="false">$A92*$B$6+(1-$A92)*$C$6</f>
        <v>8.3</v>
      </c>
      <c r="E92" s="16" t="n">
        <f aca="false">MATCH(MAX(B92:D92),B92:D92,0)</f>
        <v>3</v>
      </c>
    </row>
    <row r="93" customFormat="false" ht="15" hidden="false" customHeight="false" outlineLevel="0" collapsed="false">
      <c r="A93" s="13" t="n">
        <v>0.84</v>
      </c>
      <c r="B93" s="13" t="n">
        <f aca="false">$A93*$B$4+(1-$A93)*$C$4</f>
        <v>1.6</v>
      </c>
      <c r="C93" s="13" t="n">
        <f aca="false">$A93*$B$5+(1-$A93)*$C$5</f>
        <v>4</v>
      </c>
      <c r="D93" s="13" t="n">
        <f aca="false">$A93*$B$6+(1-$A93)*$C$6</f>
        <v>8.4</v>
      </c>
      <c r="E93" s="16" t="n">
        <f aca="false">MATCH(MAX(B93:D93),B93:D93,0)</f>
        <v>3</v>
      </c>
    </row>
    <row r="94" customFormat="false" ht="15" hidden="false" customHeight="false" outlineLevel="0" collapsed="false">
      <c r="A94" s="13" t="n">
        <v>0.85</v>
      </c>
      <c r="B94" s="13" t="n">
        <f aca="false">$A94*$B$4+(1-$A94)*$C$4</f>
        <v>1.5</v>
      </c>
      <c r="C94" s="13" t="n">
        <f aca="false">$A94*$B$5+(1-$A94)*$C$5</f>
        <v>4</v>
      </c>
      <c r="D94" s="13" t="n">
        <f aca="false">$A94*$B$6+(1-$A94)*$C$6</f>
        <v>8.5</v>
      </c>
      <c r="E94" s="16" t="n">
        <f aca="false">MATCH(MAX(B94:D94),B94:D94,0)</f>
        <v>3</v>
      </c>
    </row>
    <row r="95" customFormat="false" ht="15" hidden="false" customHeight="false" outlineLevel="0" collapsed="false">
      <c r="A95" s="13" t="n">
        <v>0.86</v>
      </c>
      <c r="B95" s="13" t="n">
        <f aca="false">$A95*$B$4+(1-$A95)*$C$4</f>
        <v>1.4</v>
      </c>
      <c r="C95" s="13" t="n">
        <f aca="false">$A95*$B$5+(1-$A95)*$C$5</f>
        <v>4</v>
      </c>
      <c r="D95" s="13" t="n">
        <f aca="false">$A95*$B$6+(1-$A95)*$C$6</f>
        <v>8.6</v>
      </c>
      <c r="E95" s="16" t="n">
        <f aca="false">MATCH(MAX(B95:D95),B95:D95,0)</f>
        <v>3</v>
      </c>
    </row>
    <row r="96" customFormat="false" ht="15" hidden="false" customHeight="false" outlineLevel="0" collapsed="false">
      <c r="A96" s="13" t="n">
        <v>0.87</v>
      </c>
      <c r="B96" s="13" t="n">
        <f aca="false">$A96*$B$4+(1-$A96)*$C$4</f>
        <v>1.3</v>
      </c>
      <c r="C96" s="13" t="n">
        <f aca="false">$A96*$B$5+(1-$A96)*$C$5</f>
        <v>4</v>
      </c>
      <c r="D96" s="13" t="n">
        <f aca="false">$A96*$B$6+(1-$A96)*$C$6</f>
        <v>8.7</v>
      </c>
      <c r="E96" s="16" t="n">
        <f aca="false">MATCH(MAX(B96:D96),B96:D96,0)</f>
        <v>3</v>
      </c>
    </row>
    <row r="97" customFormat="false" ht="15" hidden="false" customHeight="false" outlineLevel="0" collapsed="false">
      <c r="A97" s="13" t="n">
        <v>0.88</v>
      </c>
      <c r="B97" s="13" t="n">
        <f aca="false">$A97*$B$4+(1-$A97)*$C$4</f>
        <v>1.2</v>
      </c>
      <c r="C97" s="13" t="n">
        <f aca="false">$A97*$B$5+(1-$A97)*$C$5</f>
        <v>4</v>
      </c>
      <c r="D97" s="13" t="n">
        <f aca="false">$A97*$B$6+(1-$A97)*$C$6</f>
        <v>8.8</v>
      </c>
      <c r="E97" s="16" t="n">
        <f aca="false">MATCH(MAX(B97:D97),B97:D97,0)</f>
        <v>3</v>
      </c>
    </row>
    <row r="98" customFormat="false" ht="15" hidden="false" customHeight="false" outlineLevel="0" collapsed="false">
      <c r="A98" s="13" t="n">
        <v>0.89</v>
      </c>
      <c r="B98" s="13" t="n">
        <f aca="false">$A98*$B$4+(1-$A98)*$C$4</f>
        <v>1.1</v>
      </c>
      <c r="C98" s="13" t="n">
        <f aca="false">$A98*$B$5+(1-$A98)*$C$5</f>
        <v>4</v>
      </c>
      <c r="D98" s="13" t="n">
        <f aca="false">$A98*$B$6+(1-$A98)*$C$6</f>
        <v>8.9</v>
      </c>
      <c r="E98" s="16" t="n">
        <f aca="false">MATCH(MAX(B98:D98),B98:D98,0)</f>
        <v>3</v>
      </c>
    </row>
    <row r="99" customFormat="false" ht="15" hidden="false" customHeight="false" outlineLevel="0" collapsed="false">
      <c r="A99" s="13" t="n">
        <v>0.9</v>
      </c>
      <c r="B99" s="13" t="n">
        <f aca="false">$A99*$B$4+(1-$A99)*$C$4</f>
        <v>1</v>
      </c>
      <c r="C99" s="13" t="n">
        <f aca="false">$A99*$B$5+(1-$A99)*$C$5</f>
        <v>4</v>
      </c>
      <c r="D99" s="13" t="n">
        <f aca="false">$A99*$B$6+(1-$A99)*$C$6</f>
        <v>9</v>
      </c>
      <c r="E99" s="16" t="n">
        <f aca="false">MATCH(MAX(B99:D99),B99:D99,0)</f>
        <v>3</v>
      </c>
    </row>
    <row r="100" customFormat="false" ht="15" hidden="false" customHeight="false" outlineLevel="0" collapsed="false">
      <c r="A100" s="13" t="n">
        <v>0.91</v>
      </c>
      <c r="B100" s="13" t="n">
        <f aca="false">$A100*$B$4+(1-$A100)*$C$4</f>
        <v>0.9</v>
      </c>
      <c r="C100" s="13" t="n">
        <f aca="false">$A100*$B$5+(1-$A100)*$C$5</f>
        <v>4</v>
      </c>
      <c r="D100" s="13" t="n">
        <f aca="false">$A100*$B$6+(1-$A100)*$C$6</f>
        <v>9.1</v>
      </c>
      <c r="E100" s="16" t="n">
        <f aca="false">MATCH(MAX(B100:D100),B100:D100,0)</f>
        <v>3</v>
      </c>
    </row>
    <row r="101" customFormat="false" ht="15" hidden="false" customHeight="false" outlineLevel="0" collapsed="false">
      <c r="A101" s="13" t="n">
        <v>0.92</v>
      </c>
      <c r="B101" s="13" t="n">
        <f aca="false">$A101*$B$4+(1-$A101)*$C$4</f>
        <v>0.8</v>
      </c>
      <c r="C101" s="13" t="n">
        <f aca="false">$A101*$B$5+(1-$A101)*$C$5</f>
        <v>4</v>
      </c>
      <c r="D101" s="13" t="n">
        <f aca="false">$A101*$B$6+(1-$A101)*$C$6</f>
        <v>9.2</v>
      </c>
      <c r="E101" s="16" t="n">
        <f aca="false">MATCH(MAX(B101:D101),B101:D101,0)</f>
        <v>3</v>
      </c>
    </row>
    <row r="102" customFormat="false" ht="15" hidden="false" customHeight="false" outlineLevel="0" collapsed="false">
      <c r="A102" s="13" t="n">
        <v>0.93</v>
      </c>
      <c r="B102" s="13" t="n">
        <f aca="false">$A102*$B$4+(1-$A102)*$C$4</f>
        <v>0.7</v>
      </c>
      <c r="C102" s="13" t="n">
        <f aca="false">$A102*$B$5+(1-$A102)*$C$5</f>
        <v>4</v>
      </c>
      <c r="D102" s="13" t="n">
        <f aca="false">$A102*$B$6+(1-$A102)*$C$6</f>
        <v>9.3</v>
      </c>
      <c r="E102" s="16" t="n">
        <f aca="false">MATCH(MAX(B102:D102),B102:D102,0)</f>
        <v>3</v>
      </c>
    </row>
    <row r="103" customFormat="false" ht="15" hidden="false" customHeight="false" outlineLevel="0" collapsed="false">
      <c r="A103" s="13" t="n">
        <v>0.94</v>
      </c>
      <c r="B103" s="13" t="n">
        <f aca="false">$A103*$B$4+(1-$A103)*$C$4</f>
        <v>0.600000000000001</v>
      </c>
      <c r="C103" s="13" t="n">
        <f aca="false">$A103*$B$5+(1-$A103)*$C$5</f>
        <v>4</v>
      </c>
      <c r="D103" s="13" t="n">
        <f aca="false">$A103*$B$6+(1-$A103)*$C$6</f>
        <v>9.4</v>
      </c>
      <c r="E103" s="16" t="n">
        <f aca="false">MATCH(MAX(B103:D103),B103:D103,0)</f>
        <v>3</v>
      </c>
    </row>
    <row r="104" customFormat="false" ht="15" hidden="false" customHeight="false" outlineLevel="0" collapsed="false">
      <c r="A104" s="13" t="n">
        <v>0.95</v>
      </c>
      <c r="B104" s="13" t="n">
        <f aca="false">$A104*$B$4+(1-$A104)*$C$4</f>
        <v>0.5</v>
      </c>
      <c r="C104" s="13" t="n">
        <f aca="false">$A104*$B$5+(1-$A104)*$C$5</f>
        <v>4</v>
      </c>
      <c r="D104" s="13" t="n">
        <f aca="false">$A104*$B$6+(1-$A104)*$C$6</f>
        <v>9.5</v>
      </c>
      <c r="E104" s="16" t="n">
        <f aca="false">MATCH(MAX(B104:D104),B104:D104,0)</f>
        <v>3</v>
      </c>
    </row>
    <row r="105" customFormat="false" ht="15" hidden="false" customHeight="false" outlineLevel="0" collapsed="false">
      <c r="A105" s="13" t="n">
        <v>0.96</v>
      </c>
      <c r="B105" s="13" t="n">
        <f aca="false">$A105*$B$4+(1-$A105)*$C$4</f>
        <v>0.4</v>
      </c>
      <c r="C105" s="13" t="n">
        <f aca="false">$A105*$B$5+(1-$A105)*$C$5</f>
        <v>4</v>
      </c>
      <c r="D105" s="13" t="n">
        <f aca="false">$A105*$B$6+(1-$A105)*$C$6</f>
        <v>9.6</v>
      </c>
      <c r="E105" s="16" t="n">
        <f aca="false">MATCH(MAX(B105:D105),B105:D105,0)</f>
        <v>3</v>
      </c>
    </row>
    <row r="106" customFormat="false" ht="15" hidden="false" customHeight="false" outlineLevel="0" collapsed="false">
      <c r="A106" s="13" t="n">
        <v>0.97</v>
      </c>
      <c r="B106" s="13" t="n">
        <f aca="false">$A106*$B$4+(1-$A106)*$C$4</f>
        <v>0.3</v>
      </c>
      <c r="C106" s="13" t="n">
        <f aca="false">$A106*$B$5+(1-$A106)*$C$5</f>
        <v>4</v>
      </c>
      <c r="D106" s="13" t="n">
        <f aca="false">$A106*$B$6+(1-$A106)*$C$6</f>
        <v>9.7</v>
      </c>
      <c r="E106" s="16" t="n">
        <f aca="false">MATCH(MAX(B106:D106),B106:D106,0)</f>
        <v>3</v>
      </c>
    </row>
    <row r="107" customFormat="false" ht="15" hidden="false" customHeight="false" outlineLevel="0" collapsed="false">
      <c r="A107" s="13" t="n">
        <v>0.98</v>
      </c>
      <c r="B107" s="13" t="n">
        <f aca="false">$A107*$B$4+(1-$A107)*$C$4</f>
        <v>0.2</v>
      </c>
      <c r="C107" s="13" t="n">
        <f aca="false">$A107*$B$5+(1-$A107)*$C$5</f>
        <v>4</v>
      </c>
      <c r="D107" s="13" t="n">
        <f aca="false">$A107*$B$6+(1-$A107)*$C$6</f>
        <v>9.8</v>
      </c>
      <c r="E107" s="16" t="n">
        <f aca="false">MATCH(MAX(B107:D107),B107:D107,0)</f>
        <v>3</v>
      </c>
    </row>
    <row r="108" customFormat="false" ht="15" hidden="false" customHeight="false" outlineLevel="0" collapsed="false">
      <c r="A108" s="13" t="n">
        <v>0.99</v>
      </c>
      <c r="B108" s="13" t="n">
        <f aca="false">$A108*$B$4+(1-$A108)*$C$4</f>
        <v>0.1</v>
      </c>
      <c r="C108" s="13" t="n">
        <f aca="false">$A108*$B$5+(1-$A108)*$C$5</f>
        <v>4</v>
      </c>
      <c r="D108" s="13" t="n">
        <f aca="false">$A108*$B$6+(1-$A108)*$C$6</f>
        <v>9.9</v>
      </c>
      <c r="E108" s="16" t="n">
        <f aca="false">MATCH(MAX(B108:D108),B108:D108,0)</f>
        <v>3</v>
      </c>
    </row>
    <row r="110" customFormat="false" ht="15" hidden="false" customHeight="false" outlineLevel="0" collapsed="false">
      <c r="A110" s="2" t="s">
        <v>406</v>
      </c>
      <c r="B110" s="16" t="n">
        <f aca="false">COUNTIF(E10:E108,2)</f>
        <v>0</v>
      </c>
      <c r="C110" s="14" t="s">
        <v>407</v>
      </c>
    </row>
    <row r="112" customFormat="false" ht="15" hidden="false" customHeight="false" outlineLevel="0" collapsed="false">
      <c r="A112" s="8" t="s">
        <v>408</v>
      </c>
      <c r="B112" s="8" t="s">
        <v>409</v>
      </c>
      <c r="C112" s="8" t="s">
        <v>410</v>
      </c>
      <c r="D112" s="8" t="s">
        <v>411</v>
      </c>
      <c r="E112" s="8" t="s">
        <v>412</v>
      </c>
      <c r="F112" s="8" t="s">
        <v>413</v>
      </c>
    </row>
    <row r="113" customFormat="false" ht="15" hidden="false" customHeight="false" outlineLevel="0" collapsed="false">
      <c r="A113" s="2" t="s">
        <v>414</v>
      </c>
      <c r="B113" s="11" t="n">
        <v>4</v>
      </c>
      <c r="C113" s="11" t="n">
        <v>10</v>
      </c>
      <c r="D113" s="19" t="n">
        <f aca="false">B113</f>
        <v>4</v>
      </c>
      <c r="E113" s="19" t="n">
        <f aca="false">C113/2</f>
        <v>5</v>
      </c>
      <c r="F113" s="2" t="str">
        <f aca="false">IF(2*B113&gt;C113,"first at equal weights",IF(2*B113=C113,"ties at equal weights","never first"))</f>
        <v>never first</v>
      </c>
    </row>
    <row r="114" customFormat="false" ht="15" hidden="false" customHeight="false" outlineLevel="0" collapsed="false">
      <c r="A114" s="2" t="s">
        <v>415</v>
      </c>
      <c r="B114" s="11" t="n">
        <v>5</v>
      </c>
      <c r="C114" s="11" t="n">
        <v>10</v>
      </c>
      <c r="D114" s="19" t="n">
        <f aca="false">B114</f>
        <v>5</v>
      </c>
      <c r="E114" s="19" t="n">
        <f aca="false">C114/2</f>
        <v>5</v>
      </c>
      <c r="F114" s="2" t="str">
        <f aca="false">IF(2*B114&gt;C114,"first at equal weights",IF(2*B114=C114,"ties at equal weights","never first"))</f>
        <v>ties at equal weights</v>
      </c>
    </row>
    <row r="115" customFormat="false" ht="15" hidden="false" customHeight="false" outlineLevel="0" collapsed="false">
      <c r="A115" s="2" t="s">
        <v>416</v>
      </c>
      <c r="B115" s="11" t="n">
        <v>6</v>
      </c>
      <c r="C115" s="11" t="n">
        <v>10</v>
      </c>
      <c r="D115" s="19" t="n">
        <f aca="false">B115</f>
        <v>6</v>
      </c>
      <c r="E115" s="19" t="n">
        <f aca="false">C115/2</f>
        <v>5</v>
      </c>
      <c r="F115" s="2" t="str">
        <f aca="false">IF(2*B115&gt;C115,"first at equal weights",IF(2*B115=C115,"ties at equal weights","never first"))</f>
        <v>first at equal weights</v>
      </c>
    </row>
    <row r="117" customFormat="false" ht="15" hidden="false" customHeight="false" outlineLevel="0" collapsed="false">
      <c r="A117" s="8" t="s">
        <v>417</v>
      </c>
      <c r="B117" s="8" t="s">
        <v>57</v>
      </c>
      <c r="C117" s="8" t="s">
        <v>20</v>
      </c>
    </row>
    <row r="118" customFormat="false" ht="15" hidden="false" customHeight="false" outlineLevel="0" collapsed="false">
      <c r="A118" s="2" t="s">
        <v>418</v>
      </c>
      <c r="B118" s="11" t="n">
        <v>16</v>
      </c>
    </row>
    <row r="119" customFormat="false" ht="15" hidden="false" customHeight="false" outlineLevel="0" collapsed="false">
      <c r="A119" s="2" t="s">
        <v>419</v>
      </c>
      <c r="B119" s="11" t="n">
        <v>12</v>
      </c>
    </row>
    <row r="120" customFormat="false" ht="15" hidden="false" customHeight="false" outlineLevel="0" collapsed="false">
      <c r="A120" s="2" t="s">
        <v>420</v>
      </c>
      <c r="B120" s="11" t="n">
        <v>9</v>
      </c>
    </row>
    <row r="121" customFormat="false" ht="15" hidden="false" customHeight="false" outlineLevel="0" collapsed="false">
      <c r="A121" s="2" t="s">
        <v>421</v>
      </c>
      <c r="B121" s="11" t="n">
        <v>6</v>
      </c>
    </row>
    <row r="122" customFormat="false" ht="15" hidden="false" customHeight="false" outlineLevel="0" collapsed="false">
      <c r="A122" s="2" t="s">
        <v>422</v>
      </c>
      <c r="B122" s="17" t="n">
        <f aca="false">(B120/B118)^2+(B121/B119)^2</f>
        <v>0.56640625</v>
      </c>
      <c r="C122" s="14" t="s">
        <v>423</v>
      </c>
    </row>
    <row r="123" customFormat="false" ht="15" hidden="false" customHeight="false" outlineLevel="0" collapsed="false">
      <c r="A123" s="2" t="s">
        <v>424</v>
      </c>
      <c r="B123" s="17" t="n">
        <f aca="false">1/SQRT(B122)</f>
        <v>1.32872767765984</v>
      </c>
    </row>
    <row r="124" customFormat="false" ht="15" hidden="false" customHeight="false" outlineLevel="0" collapsed="false">
      <c r="A124" s="2" t="s">
        <v>425</v>
      </c>
      <c r="B124" s="13" t="n">
        <f aca="false">B123*B120</f>
        <v>11.9585490989386</v>
      </c>
    </row>
    <row r="125" customFormat="false" ht="15" hidden="false" customHeight="false" outlineLevel="0" collapsed="false">
      <c r="A125" s="2" t="s">
        <v>426</v>
      </c>
      <c r="B125" s="13" t="n">
        <f aca="false">B123*B121</f>
        <v>7.97236606595904</v>
      </c>
    </row>
    <row r="126" customFormat="false" ht="15" hidden="false" customHeight="false" outlineLevel="0" collapsed="false">
      <c r="A126" s="2" t="s">
        <v>427</v>
      </c>
      <c r="B126" s="17" t="n">
        <f aca="false">-(B119^2*B124)/(B118^2*B125)</f>
        <v>-0.84375</v>
      </c>
      <c r="C126" s="14" t="s">
        <v>428</v>
      </c>
    </row>
    <row r="127" customFormat="false" ht="15" hidden="false" customHeight="false" outlineLevel="0" collapsed="false">
      <c r="A127" s="2" t="s">
        <v>429</v>
      </c>
      <c r="B127" s="13" t="n">
        <f aca="false">-B126</f>
        <v>0.84375</v>
      </c>
      <c r="C127" s="14" t="s">
        <v>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7" min="5" style="0" width="16"/>
    <col collapsed="false" customWidth="true" hidden="false" outlineLevel="0" max="16" min="8" style="0" width="10"/>
    <col collapsed="false" customWidth="true" hidden="false" outlineLevel="0" max="17" min="17" style="0" width="14"/>
    <col collapsed="false" customWidth="true" hidden="false" outlineLevel="0" max="18" min="18" style="0" width="16"/>
  </cols>
  <sheetData>
    <row r="1" customFormat="false" ht="15" hidden="false" customHeight="false" outlineLevel="0" collapsed="false">
      <c r="A1" s="1" t="s">
        <v>431</v>
      </c>
    </row>
    <row r="3" customFormat="false" ht="15" hidden="false" customHeight="false" outlineLevel="0" collapsed="false">
      <c r="A3" s="8" t="s">
        <v>432</v>
      </c>
      <c r="B3" s="8" t="s">
        <v>59</v>
      </c>
      <c r="C3" s="8" t="s">
        <v>50</v>
      </c>
      <c r="D3" s="8" t="s">
        <v>51</v>
      </c>
      <c r="E3" s="8" t="s">
        <v>52</v>
      </c>
      <c r="F3" s="8" t="s">
        <v>303</v>
      </c>
      <c r="G3" s="8" t="s">
        <v>79</v>
      </c>
    </row>
    <row r="4" customFormat="false" ht="15" hidden="false" customHeight="false" outlineLevel="0" collapsed="false">
      <c r="A4" s="2" t="s">
        <v>433</v>
      </c>
      <c r="B4" s="16" t="n">
        <v>12</v>
      </c>
      <c r="C4" s="22" t="n">
        <f aca="false">INDEX(Paths!$O$5:$O$65,B4+1)</f>
        <v>32.1512362230352</v>
      </c>
      <c r="D4" s="22" t="n">
        <f aca="false">INDEX(Paths!$P$5:$P$65,B4+1)</f>
        <v>44.4556850734681</v>
      </c>
      <c r="E4" s="22" t="n">
        <f aca="false">INDEX(Paths!$Q$5:$Q$65,B4+1)</f>
        <v>37.8890096720465</v>
      </c>
      <c r="F4" s="2" t="str">
        <f aca="false">INDEX($C$3:$E$3,MATCH(MAX(C4:E4),C4:E4,0))</f>
        <v>Restructuring</v>
      </c>
      <c r="G4" s="16" t="n">
        <f aca="false">INDEX(Paths!$U$5:$U$65,B4+1)</f>
        <v>3</v>
      </c>
    </row>
    <row r="5" customFormat="false" ht="15" hidden="false" customHeight="false" outlineLevel="0" collapsed="false">
      <c r="A5" s="2" t="s">
        <v>434</v>
      </c>
      <c r="B5" s="16" t="n">
        <v>24</v>
      </c>
      <c r="C5" s="22" t="n">
        <f aca="false">INDEX(Paths!$O$5:$O$65,B5+1)</f>
        <v>35.2745211432023</v>
      </c>
      <c r="D5" s="22" t="n">
        <f aca="false">INDEX(Paths!$P$5:$P$65,B5+1)</f>
        <v>45.1079885063022</v>
      </c>
      <c r="E5" s="22" t="n">
        <f aca="false">INDEX(Paths!$Q$5:$Q$65,B5+1)</f>
        <v>38.2900059057065</v>
      </c>
      <c r="F5" s="2" t="str">
        <f aca="false">INDEX($C$3:$E$3,MATCH(MAX(C5:E5),C5:E5,0))</f>
        <v>Restructuring</v>
      </c>
      <c r="G5" s="16" t="n">
        <f aca="false">INDEX(Paths!$U$5:$U$65,B5+1)</f>
        <v>3</v>
      </c>
    </row>
    <row r="6" customFormat="false" ht="15" hidden="false" customHeight="false" outlineLevel="0" collapsed="false">
      <c r="A6" s="2" t="s">
        <v>435</v>
      </c>
      <c r="B6" s="16" t="n">
        <v>36</v>
      </c>
      <c r="C6" s="22" t="n">
        <f aca="false">INDEX(Paths!$O$5:$O$65,B6+1)</f>
        <v>39.8837303554344</v>
      </c>
      <c r="D6" s="22" t="n">
        <f aca="false">INDEX(Paths!$P$5:$P$65,B6+1)</f>
        <v>45.5533995611084</v>
      </c>
      <c r="E6" s="22" t="n">
        <f aca="false">INDEX(Paths!$Q$5:$Q$65,B6+1)</f>
        <v>38.4330923495815</v>
      </c>
      <c r="F6" s="2" t="str">
        <f aca="false">INDEX($C$3:$E$3,MATCH(MAX(C6:E6),C6:E6,0))</f>
        <v>Restructuring</v>
      </c>
      <c r="G6" s="16" t="n">
        <f aca="false">INDEX(Paths!$U$5:$U$65,B6+1)</f>
        <v>2</v>
      </c>
    </row>
    <row r="7" customFormat="false" ht="15" hidden="false" customHeight="false" outlineLevel="0" collapsed="false">
      <c r="A7" s="2" t="s">
        <v>436</v>
      </c>
      <c r="B7" s="16" t="n">
        <v>48</v>
      </c>
      <c r="C7" s="22" t="n">
        <f aca="false">INDEX(Paths!$O$5:$O$65,B7+1)</f>
        <v>43.9612078664758</v>
      </c>
      <c r="D7" s="22" t="n">
        <f aca="false">INDEX(Paths!$P$5:$P$65,B7+1)</f>
        <v>45.857547274917</v>
      </c>
      <c r="E7" s="22" t="n">
        <f aca="false">INDEX(Paths!$Q$5:$Q$65,B7+1)</f>
        <v>38.4451693482574</v>
      </c>
      <c r="F7" s="2" t="str">
        <f aca="false">INDEX($C$3:$E$3,MATCH(MAX(C7:E7),C7:E7,0))</f>
        <v>Restructuring</v>
      </c>
      <c r="G7" s="16" t="n">
        <f aca="false">INDEX(Paths!$U$5:$U$65,B7+1)</f>
        <v>2</v>
      </c>
    </row>
    <row r="8" customFormat="false" ht="15" hidden="false" customHeight="false" outlineLevel="0" collapsed="false">
      <c r="A8" s="2" t="s">
        <v>437</v>
      </c>
      <c r="B8" s="16" t="n">
        <v>60</v>
      </c>
      <c r="C8" s="22" t="n">
        <f aca="false">INDEX(Paths!$O$5:$O$65,B8+1)</f>
        <v>47.0777130056076</v>
      </c>
      <c r="D8" s="22" t="n">
        <f aca="false">INDEX(Paths!$P$5:$P$65,B8+1)</f>
        <v>46.0651511321744</v>
      </c>
      <c r="E8" s="22" t="n">
        <f aca="false">INDEX(Paths!$Q$5:$Q$65,B8+1)</f>
        <v>38.3954335288757</v>
      </c>
      <c r="F8" s="2" t="str">
        <f aca="false">INDEX($C$3:$E$3,MATCH(MAX(C8:E8),C8:E8,0))</f>
        <v>Digital</v>
      </c>
      <c r="G8" s="16" t="n">
        <f aca="false">INDEX(Paths!$U$5:$U$65,B8+1)</f>
        <v>1</v>
      </c>
    </row>
    <row r="9" customFormat="false" ht="15" hidden="false" customHeight="false" outlineLevel="0" collapsed="false">
      <c r="A9" s="14" t="s">
        <v>438</v>
      </c>
    </row>
    <row r="11" customFormat="false" ht="23.85" hidden="false" customHeight="false" outlineLevel="0" collapsed="false">
      <c r="A11" s="8" t="s">
        <v>439</v>
      </c>
      <c r="B11" s="8" t="s">
        <v>57</v>
      </c>
      <c r="C11" s="8" t="s">
        <v>20</v>
      </c>
    </row>
    <row r="12" customFormat="false" ht="15" hidden="false" customHeight="false" outlineLevel="0" collapsed="false">
      <c r="A12" s="2" t="s">
        <v>440</v>
      </c>
      <c r="B12" s="11" t="n">
        <v>10</v>
      </c>
    </row>
    <row r="13" customFormat="false" ht="15" hidden="false" customHeight="false" outlineLevel="0" collapsed="false">
      <c r="A13" s="2" t="s">
        <v>441</v>
      </c>
      <c r="B13" s="11" t="n">
        <v>3</v>
      </c>
    </row>
    <row r="14" customFormat="false" ht="15" hidden="false" customHeight="false" outlineLevel="0" collapsed="false">
      <c r="A14" s="2" t="s">
        <v>442</v>
      </c>
      <c r="B14" s="13" t="n">
        <f aca="false">1+B12/B13</f>
        <v>4.33333333333333</v>
      </c>
      <c r="C14" s="14" t="s">
        <v>443</v>
      </c>
    </row>
    <row r="16" customFormat="false" ht="23.85" hidden="false" customHeight="false" outlineLevel="0" collapsed="false">
      <c r="A16" s="8" t="s">
        <v>444</v>
      </c>
      <c r="B16" s="8" t="s">
        <v>445</v>
      </c>
      <c r="C16" s="8" t="s">
        <v>446</v>
      </c>
      <c r="D16" s="8" t="s">
        <v>447</v>
      </c>
      <c r="E16" s="8" t="s">
        <v>448</v>
      </c>
      <c r="F16" s="8" t="s">
        <v>449</v>
      </c>
      <c r="G16" s="8" t="s">
        <v>450</v>
      </c>
      <c r="H16" s="8" t="s">
        <v>451</v>
      </c>
      <c r="I16" s="8" t="s">
        <v>452</v>
      </c>
      <c r="J16" s="8" t="s">
        <v>453</v>
      </c>
      <c r="K16" s="8" t="s">
        <v>454</v>
      </c>
      <c r="L16" s="8" t="s">
        <v>455</v>
      </c>
      <c r="M16" s="8" t="s">
        <v>456</v>
      </c>
      <c r="N16" s="8" t="s">
        <v>457</v>
      </c>
      <c r="O16" s="8" t="s">
        <v>458</v>
      </c>
      <c r="P16" s="8" t="s">
        <v>459</v>
      </c>
      <c r="Q16" s="8" t="s">
        <v>460</v>
      </c>
      <c r="R16" s="8" t="s">
        <v>461</v>
      </c>
    </row>
    <row r="17" customFormat="false" ht="15" hidden="false" customHeight="false" outlineLevel="0" collapsed="false">
      <c r="A17" s="27" t="n">
        <v>0</v>
      </c>
      <c r="B17" s="17" t="n">
        <f aca="false">$B$12*A17/$B$13</f>
        <v>0</v>
      </c>
      <c r="C17" s="2" t="str">
        <f aca="false">IF(B17&lt;1-0.000000000001,"yes","never")</f>
        <v>yes</v>
      </c>
      <c r="D17" s="13" t="n">
        <f aca="false">IF(A17=0,$B$14,IF(B17&lt;1-0.000000000001,1+LN(1/(1-B17))/LN(1/(1-A17)),"never"))</f>
        <v>4.33333333333333</v>
      </c>
      <c r="E17" s="13" t="n">
        <f aca="false">IF($A17=0,-$B$12+$B$13*(1-1),-$B$12+$B$13*(1-(1-$A17)^(1-1))/$A17)</f>
        <v>-10</v>
      </c>
      <c r="F17" s="13" t="n">
        <f aca="false">IF($A17=0,-$B$12+$B$13*(2-1),-$B$12+$B$13*(1-(1-$A17)^(2-1))/$A17)</f>
        <v>-7</v>
      </c>
      <c r="G17" s="13" t="n">
        <f aca="false">IF($A17=0,-$B$12+$B$13*(3-1),-$B$12+$B$13*(1-(1-$A17)^(3-1))/$A17)</f>
        <v>-4</v>
      </c>
      <c r="H17" s="13" t="n">
        <f aca="false">IF($A17=0,-$B$12+$B$13*(4-1),-$B$12+$B$13*(1-(1-$A17)^(4-1))/$A17)</f>
        <v>-1</v>
      </c>
      <c r="I17" s="13" t="n">
        <f aca="false">IF($A17=0,-$B$12+$B$13*(5-1),-$B$12+$B$13*(1-(1-$A17)^(5-1))/$A17)</f>
        <v>2</v>
      </c>
      <c r="J17" s="13" t="n">
        <f aca="false">IF($A17=0,-$B$12+$B$13*(6-1),-$B$12+$B$13*(1-(1-$A17)^(6-1))/$A17)</f>
        <v>5</v>
      </c>
      <c r="K17" s="13" t="n">
        <f aca="false">IF($A17=0,-$B$12+$B$13*(7-1),-$B$12+$B$13*(1-(1-$A17)^(7-1))/$A17)</f>
        <v>8</v>
      </c>
      <c r="L17" s="13" t="n">
        <f aca="false">IF($A17=0,-$B$12+$B$13*(8-1),-$B$12+$B$13*(1-(1-$A17)^(8-1))/$A17)</f>
        <v>11</v>
      </c>
      <c r="M17" s="13" t="n">
        <f aca="false">IF($A17=0,-$B$12+$B$13*(9-1),-$B$12+$B$13*(1-(1-$A17)^(9-1))/$A17)</f>
        <v>14</v>
      </c>
      <c r="N17" s="13" t="n">
        <f aca="false">IF($A17=0,-$B$12+$B$13*(10-1),-$B$12+$B$13*(1-(1-$A17)^(10-1))/$A17)</f>
        <v>17</v>
      </c>
      <c r="O17" s="13" t="n">
        <f aca="false">IF($A17=0,-$B$12+$B$13*(11-1),-$B$12+$B$13*(1-(1-$A17)^(11-1))/$A17)</f>
        <v>20</v>
      </c>
      <c r="P17" s="13" t="n">
        <f aca="false">IF($A17=0,-$B$12+$B$13*(12-1),-$B$12+$B$13*(1-(1-$A17)^(12-1))/$A17)</f>
        <v>23</v>
      </c>
      <c r="Q17" s="16" t="n">
        <f aca="false">IF(R17=0,"never",COUNTIF(E17:P17,"&lt;=1E-9")+1)</f>
        <v>5</v>
      </c>
      <c r="R17" s="16" t="n">
        <f aca="false">COUNTIF(E17:P17,"&gt;1E-6")</f>
        <v>8</v>
      </c>
    </row>
    <row r="18" customFormat="false" ht="15" hidden="false" customHeight="false" outlineLevel="0" collapsed="false">
      <c r="A18" s="27" t="n">
        <v>0.1</v>
      </c>
      <c r="B18" s="17" t="n">
        <f aca="false">$B$12*A18/$B$13</f>
        <v>0.333333333333333</v>
      </c>
      <c r="C18" s="2" t="str">
        <f aca="false">IF(B18&lt;1-0.000000000001,"yes","never")</f>
        <v>yes</v>
      </c>
      <c r="D18" s="13" t="n">
        <f aca="false">IF(A18=0,$B$14,IF(B18&lt;1-0.000000000001,1+LN(1/(1-B18))/LN(1/(1-A18)),"never"))</f>
        <v>4.84835918443083</v>
      </c>
      <c r="E18" s="13" t="n">
        <f aca="false">IF($A18=0,-$B$12+$B$13*(1-1),-$B$12+$B$13*(1-(1-$A18)^(1-1))/$A18)</f>
        <v>-10</v>
      </c>
      <c r="F18" s="13" t="n">
        <f aca="false">IF($A18=0,-$B$12+$B$13*(2-1),-$B$12+$B$13*(1-(1-$A18)^(2-1))/$A18)</f>
        <v>-7</v>
      </c>
      <c r="G18" s="13" t="n">
        <f aca="false">IF($A18=0,-$B$12+$B$13*(3-1),-$B$12+$B$13*(1-(1-$A18)^(3-1))/$A18)</f>
        <v>-4.3</v>
      </c>
      <c r="H18" s="13" t="n">
        <f aca="false">IF($A18=0,-$B$12+$B$13*(4-1),-$B$12+$B$13*(1-(1-$A18)^(4-1))/$A18)</f>
        <v>-1.87</v>
      </c>
      <c r="I18" s="13" t="n">
        <f aca="false">IF($A18=0,-$B$12+$B$13*(5-1),-$B$12+$B$13*(1-(1-$A18)^(5-1))/$A18)</f>
        <v>0.316999999999998</v>
      </c>
      <c r="J18" s="13" t="n">
        <f aca="false">IF($A18=0,-$B$12+$B$13*(6-1),-$B$12+$B$13*(1-(1-$A18)^(6-1))/$A18)</f>
        <v>2.2853</v>
      </c>
      <c r="K18" s="13" t="n">
        <f aca="false">IF($A18=0,-$B$12+$B$13*(7-1),-$B$12+$B$13*(1-(1-$A18)^(7-1))/$A18)</f>
        <v>4.05677</v>
      </c>
      <c r="L18" s="13" t="n">
        <f aca="false">IF($A18=0,-$B$12+$B$13*(8-1),-$B$12+$B$13*(1-(1-$A18)^(8-1))/$A18)</f>
        <v>5.651093</v>
      </c>
      <c r="M18" s="13" t="n">
        <f aca="false">IF($A18=0,-$B$12+$B$13*(9-1),-$B$12+$B$13*(1-(1-$A18)^(9-1))/$A18)</f>
        <v>7.0859837</v>
      </c>
      <c r="N18" s="13" t="n">
        <f aca="false">IF($A18=0,-$B$12+$B$13*(10-1),-$B$12+$B$13*(1-(1-$A18)^(10-1))/$A18)</f>
        <v>8.37738533</v>
      </c>
      <c r="O18" s="13" t="n">
        <f aca="false">IF($A18=0,-$B$12+$B$13*(11-1),-$B$12+$B$13*(1-(1-$A18)^(11-1))/$A18)</f>
        <v>9.539646797</v>
      </c>
      <c r="P18" s="13" t="n">
        <f aca="false">IF($A18=0,-$B$12+$B$13*(12-1),-$B$12+$B$13*(1-(1-$A18)^(12-1))/$A18)</f>
        <v>10.5856821173</v>
      </c>
      <c r="Q18" s="16" t="n">
        <f aca="false">IF(R18=0,"never",COUNTIF(E18:P18,"&lt;=1E-9")+1)</f>
        <v>5</v>
      </c>
      <c r="R18" s="16" t="n">
        <f aca="false">COUNTIF(E18:P18,"&gt;1E-6")</f>
        <v>8</v>
      </c>
    </row>
    <row r="19" customFormat="false" ht="15" hidden="false" customHeight="false" outlineLevel="0" collapsed="false">
      <c r="A19" s="27" t="n">
        <v>0.2</v>
      </c>
      <c r="B19" s="17" t="n">
        <f aca="false">$B$12*A19/$B$13</f>
        <v>0.666666666666667</v>
      </c>
      <c r="C19" s="2" t="str">
        <f aca="false">IF(B19&lt;1-0.000000000001,"yes","never")</f>
        <v>yes</v>
      </c>
      <c r="D19" s="13" t="n">
        <f aca="false">IF(A19=0,$B$14,IF(B19&lt;1-0.000000000001,1+LN(1/(1-B19))/LN(1/(1-A19)),"never"))</f>
        <v>5.92334321201668</v>
      </c>
      <c r="E19" s="13" t="n">
        <f aca="false">IF($A19=0,-$B$12+$B$13*(1-1),-$B$12+$B$13*(1-(1-$A19)^(1-1))/$A19)</f>
        <v>-10</v>
      </c>
      <c r="F19" s="13" t="n">
        <f aca="false">IF($A19=0,-$B$12+$B$13*(2-1),-$B$12+$B$13*(1-(1-$A19)^(2-1))/$A19)</f>
        <v>-7</v>
      </c>
      <c r="G19" s="13" t="n">
        <f aca="false">IF($A19=0,-$B$12+$B$13*(3-1),-$B$12+$B$13*(1-(1-$A19)^(3-1))/$A19)</f>
        <v>-4.6</v>
      </c>
      <c r="H19" s="13" t="n">
        <f aca="false">IF($A19=0,-$B$12+$B$13*(4-1),-$B$12+$B$13*(1-(1-$A19)^(4-1))/$A19)</f>
        <v>-2.68</v>
      </c>
      <c r="I19" s="13" t="n">
        <f aca="false">IF($A19=0,-$B$12+$B$13*(5-1),-$B$12+$B$13*(1-(1-$A19)^(5-1))/$A19)</f>
        <v>-1.144</v>
      </c>
      <c r="J19" s="13" t="n">
        <f aca="false">IF($A19=0,-$B$12+$B$13*(6-1),-$B$12+$B$13*(1-(1-$A19)^(6-1))/$A19)</f>
        <v>0.0847999999999978</v>
      </c>
      <c r="K19" s="13" t="n">
        <f aca="false">IF($A19=0,-$B$12+$B$13*(7-1),-$B$12+$B$13*(1-(1-$A19)^(7-1))/$A19)</f>
        <v>1.06784</v>
      </c>
      <c r="L19" s="13" t="n">
        <f aca="false">IF($A19=0,-$B$12+$B$13*(8-1),-$B$12+$B$13*(1-(1-$A19)^(8-1))/$A19)</f>
        <v>1.854272</v>
      </c>
      <c r="M19" s="13" t="n">
        <f aca="false">IF($A19=0,-$B$12+$B$13*(9-1),-$B$12+$B$13*(1-(1-$A19)^(9-1))/$A19)</f>
        <v>2.4834176</v>
      </c>
      <c r="N19" s="13" t="n">
        <f aca="false">IF($A19=0,-$B$12+$B$13*(10-1),-$B$12+$B$13*(1-(1-$A19)^(10-1))/$A19)</f>
        <v>2.98673408</v>
      </c>
      <c r="O19" s="13" t="n">
        <f aca="false">IF($A19=0,-$B$12+$B$13*(11-1),-$B$12+$B$13*(1-(1-$A19)^(11-1))/$A19)</f>
        <v>3.389387264</v>
      </c>
      <c r="P19" s="13" t="n">
        <f aca="false">IF($A19=0,-$B$12+$B$13*(12-1),-$B$12+$B$13*(1-(1-$A19)^(12-1))/$A19)</f>
        <v>3.7115098112</v>
      </c>
      <c r="Q19" s="16" t="n">
        <f aca="false">IF(R19=0,"never",COUNTIF(E19:P19,"&lt;=1E-9")+1)</f>
        <v>6</v>
      </c>
      <c r="R19" s="16" t="n">
        <f aca="false">COUNTIF(E19:P19,"&gt;1E-6")</f>
        <v>7</v>
      </c>
    </row>
    <row r="20" customFormat="false" ht="15" hidden="false" customHeight="false" outlineLevel="0" collapsed="false">
      <c r="A20" s="27" t="n">
        <v>0.3</v>
      </c>
      <c r="B20" s="17" t="n">
        <f aca="false">$B$12*A20/$B$13</f>
        <v>1</v>
      </c>
      <c r="C20" s="2" t="str">
        <f aca="false">IF(B20&lt;1-0.000000000001,"yes","never")</f>
        <v>never</v>
      </c>
      <c r="D20" s="13" t="str">
        <f aca="false">IF(A20=0,$B$14,IF(B20&lt;1-0.000000000001,1+LN(1/(1-B20))/LN(1/(1-A20)),"never"))</f>
        <v>never</v>
      </c>
      <c r="E20" s="13" t="n">
        <f aca="false">IF($A20=0,-$B$12+$B$13*(1-1),-$B$12+$B$13*(1-(1-$A20)^(1-1))/$A20)</f>
        <v>-10</v>
      </c>
      <c r="F20" s="13" t="n">
        <f aca="false">IF($A20=0,-$B$12+$B$13*(2-1),-$B$12+$B$13*(1-(1-$A20)^(2-1))/$A20)</f>
        <v>-7</v>
      </c>
      <c r="G20" s="13" t="n">
        <f aca="false">IF($A20=0,-$B$12+$B$13*(3-1),-$B$12+$B$13*(1-(1-$A20)^(3-1))/$A20)</f>
        <v>-4.9</v>
      </c>
      <c r="H20" s="13" t="n">
        <f aca="false">IF($A20=0,-$B$12+$B$13*(4-1),-$B$12+$B$13*(1-(1-$A20)^(4-1))/$A20)</f>
        <v>-3.43</v>
      </c>
      <c r="I20" s="13" t="n">
        <f aca="false">IF($A20=0,-$B$12+$B$13*(5-1),-$B$12+$B$13*(1-(1-$A20)^(5-1))/$A20)</f>
        <v>-2.401</v>
      </c>
      <c r="J20" s="13" t="n">
        <f aca="false">IF($A20=0,-$B$12+$B$13*(6-1),-$B$12+$B$13*(1-(1-$A20)^(6-1))/$A20)</f>
        <v>-1.6807</v>
      </c>
      <c r="K20" s="13" t="n">
        <f aca="false">IF($A20=0,-$B$12+$B$13*(7-1),-$B$12+$B$13*(1-(1-$A20)^(7-1))/$A20)</f>
        <v>-1.17649</v>
      </c>
      <c r="L20" s="13" t="n">
        <f aca="false">IF($A20=0,-$B$12+$B$13*(8-1),-$B$12+$B$13*(1-(1-$A20)^(8-1))/$A20)</f>
        <v>-0.823542999999999</v>
      </c>
      <c r="M20" s="13" t="n">
        <f aca="false">IF($A20=0,-$B$12+$B$13*(9-1),-$B$12+$B$13*(1-(1-$A20)^(9-1))/$A20)</f>
        <v>-0.5764801</v>
      </c>
      <c r="N20" s="13" t="n">
        <f aca="false">IF($A20=0,-$B$12+$B$13*(10-1),-$B$12+$B$13*(1-(1-$A20)^(10-1))/$A20)</f>
        <v>-0.403536069999999</v>
      </c>
      <c r="O20" s="13" t="n">
        <f aca="false">IF($A20=0,-$B$12+$B$13*(11-1),-$B$12+$B$13*(1-(1-$A20)^(11-1))/$A20)</f>
        <v>-0.282475248999999</v>
      </c>
      <c r="P20" s="13" t="n">
        <f aca="false">IF($A20=0,-$B$12+$B$13*(12-1),-$B$12+$B$13*(1-(1-$A20)^(12-1))/$A20)</f>
        <v>-0.197732674299999</v>
      </c>
      <c r="Q20" s="16" t="str">
        <f aca="false">IF(R20=0,"never",COUNTIF(E20:P20,"&lt;=1E-9")+1)</f>
        <v>never</v>
      </c>
      <c r="R20" s="16" t="n">
        <f aca="false">COUNTIF(E20:P20,"&gt;1E-6")</f>
        <v>0</v>
      </c>
    </row>
    <row r="22" customFormat="false" ht="15" hidden="false" customHeight="false" outlineLevel="0" collapsed="false">
      <c r="A22" s="14" t="s">
        <v>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463</v>
      </c>
    </row>
    <row r="3" customFormat="false" ht="15" hidden="false" customHeight="false" outlineLevel="0" collapsed="false">
      <c r="A3" s="8" t="s">
        <v>464</v>
      </c>
      <c r="B3" s="8" t="s">
        <v>50</v>
      </c>
      <c r="C3" s="8" t="s">
        <v>51</v>
      </c>
      <c r="D3" s="8" t="s">
        <v>52</v>
      </c>
      <c r="E3" s="8" t="s">
        <v>303</v>
      </c>
    </row>
    <row r="4" customFormat="false" ht="15" hidden="false" customHeight="false" outlineLevel="0" collapsed="false">
      <c r="A4" s="2" t="s">
        <v>465</v>
      </c>
      <c r="B4" s="28" t="n">
        <f aca="false">Weights!F5</f>
        <v>47.0777130056076</v>
      </c>
      <c r="C4" s="28" t="n">
        <f aca="false">Weights!F6</f>
        <v>46.0651511321744</v>
      </c>
      <c r="D4" s="28" t="n">
        <f aca="false">Weights!F7</f>
        <v>38.3954335288757</v>
      </c>
      <c r="E4" s="2" t="str">
        <f aca="false">INDEX($B$3:$D$3,MATCH(MAX(B4:D4),B4:D4,0))</f>
        <v>Digital</v>
      </c>
    </row>
    <row r="5" customFormat="false" ht="15" hidden="false" customHeight="false" outlineLevel="0" collapsed="false">
      <c r="A5" s="2" t="s">
        <v>466</v>
      </c>
      <c r="B5" s="28" t="n">
        <f aca="false">Weights!F48</f>
        <v>47.4509316522647</v>
      </c>
      <c r="C5" s="28" t="n">
        <f aca="false">Weights!G48</f>
        <v>47.7101104315509</v>
      </c>
      <c r="D5" s="28" t="n">
        <f aca="false">Weights!H48</f>
        <v>39.7839249113408</v>
      </c>
      <c r="E5" s="2" t="str">
        <f aca="false">INDEX($B$3:$D$3,MATCH(MAX(B5:D5),B5:D5,0))</f>
        <v>Restructuring</v>
      </c>
    </row>
    <row r="6" customFormat="false" ht="15" hidden="false" customHeight="false" outlineLevel="0" collapsed="false">
      <c r="A6" s="2" t="s">
        <v>467</v>
      </c>
      <c r="B6" s="28" t="n">
        <f aca="false">Yardsticks!F13</f>
        <v>41.399919979106</v>
      </c>
      <c r="C6" s="28" t="n">
        <f aca="false">Yardsticks!F14</f>
        <v>52.2640294257717</v>
      </c>
      <c r="D6" s="28" t="n">
        <f aca="false">Yardsticks!F15</f>
        <v>35.3237856271693</v>
      </c>
      <c r="E6" s="2" t="str">
        <f aca="false">INDEX($B$3:$D$3,MATCH(MAX(B6:D6),B6:D6,0))</f>
        <v>Restructuring</v>
      </c>
    </row>
    <row r="7" customFormat="false" ht="15" hidden="false" customHeight="false" outlineLevel="0" collapsed="false">
      <c r="A7" s="2" t="s">
        <v>329</v>
      </c>
      <c r="B7" s="28" t="n">
        <f aca="false">Yardsticks!F25</f>
        <v>24.0380729119675</v>
      </c>
      <c r="C7" s="28" t="n">
        <f aca="false">Yardsticks!F26</f>
        <v>10.6236529336087</v>
      </c>
      <c r="D7" s="28" t="n">
        <f aca="false">Yardsticks!F27</f>
        <v>0.0246480439088654</v>
      </c>
      <c r="E7" s="2" t="str">
        <f aca="false">INDEX($B$3:$D$3,MATCH(MAX(B7:D7),B7:D7,0))</f>
        <v>Digital</v>
      </c>
    </row>
    <row r="8" customFormat="false" ht="15" hidden="false" customHeight="false" outlineLevel="0" collapsed="false">
      <c r="A8" s="2" t="s">
        <v>468</v>
      </c>
      <c r="B8" s="28" t="n">
        <f aca="false">Window!C4</f>
        <v>32.1512362230352</v>
      </c>
      <c r="C8" s="28" t="n">
        <f aca="false">Window!D4</f>
        <v>44.4556850734681</v>
      </c>
      <c r="D8" s="28" t="n">
        <f aca="false">Window!E4</f>
        <v>37.8890096720465</v>
      </c>
      <c r="E8" s="2" t="str">
        <f aca="false">INDEX($B$3:$D$3,MATCH(MAX(B8:D8),B8:D8,0))</f>
        <v>Restructuring</v>
      </c>
    </row>
    <row r="9" customFormat="false" ht="15" hidden="false" customHeight="false" outlineLevel="0" collapsed="false">
      <c r="A9" s="2" t="s">
        <v>469</v>
      </c>
      <c r="B9" s="28" t="n">
        <f aca="false">Window!C6</f>
        <v>39.8837303554344</v>
      </c>
      <c r="C9" s="28" t="n">
        <f aca="false">Window!D6</f>
        <v>45.5533995611084</v>
      </c>
      <c r="D9" s="28" t="n">
        <f aca="false">Window!E6</f>
        <v>38.4330923495815</v>
      </c>
      <c r="E9" s="2" t="str">
        <f aca="false">INDEX($B$3:$D$3,MATCH(MAX(B9:D9),B9:D9,0))</f>
        <v>Restructuring</v>
      </c>
    </row>
    <row r="11" customFormat="false" ht="15" hidden="false" customHeight="false" outlineLevel="0" collapsed="false">
      <c r="A11" s="2" t="s">
        <v>470</v>
      </c>
      <c r="B11" s="16" t="n">
        <f aca="false">COUNTIF(E4:E9,"Digital")</f>
        <v>2</v>
      </c>
    </row>
    <row r="12" customFormat="false" ht="15" hidden="false" customHeight="false" outlineLevel="0" collapsed="false">
      <c r="A12" s="2" t="s">
        <v>471</v>
      </c>
      <c r="B12" s="16" t="n">
        <f aca="false">COUNTIF(E4:E9,"Restructuring")</f>
        <v>4</v>
      </c>
    </row>
    <row r="13" customFormat="false" ht="15" hidden="false" customHeight="false" outlineLevel="0" collapsed="false">
      <c r="A13" s="14" t="s">
        <v>472</v>
      </c>
    </row>
    <row r="15" customFormat="false" ht="15" hidden="false" customHeight="false" outlineLevel="0" collapsed="false">
      <c r="A15" s="8" t="s">
        <v>473</v>
      </c>
      <c r="B15" s="8" t="s">
        <v>474</v>
      </c>
      <c r="C15" s="8" t="s">
        <v>475</v>
      </c>
      <c r="D15" s="8" t="s">
        <v>476</v>
      </c>
    </row>
    <row r="16" customFormat="false" ht="15" hidden="false" customHeight="false" outlineLevel="0" collapsed="false">
      <c r="A16" s="2" t="s">
        <v>477</v>
      </c>
      <c r="B16" s="2" t="s">
        <v>478</v>
      </c>
      <c r="C16" s="2" t="s">
        <v>479</v>
      </c>
      <c r="D16" s="2" t="s">
        <v>480</v>
      </c>
    </row>
    <row r="17" customFormat="false" ht="15" hidden="false" customHeight="false" outlineLevel="0" collapsed="false">
      <c r="A17" s="2" t="s">
        <v>481</v>
      </c>
      <c r="B17" s="2" t="s">
        <v>482</v>
      </c>
      <c r="C17" s="2" t="s">
        <v>483</v>
      </c>
      <c r="D17" s="2" t="s">
        <v>484</v>
      </c>
    </row>
    <row r="18" customFormat="false" ht="15" hidden="false" customHeight="false" outlineLevel="0" collapsed="false">
      <c r="A18" s="2" t="s">
        <v>485</v>
      </c>
      <c r="B18" s="2" t="s">
        <v>486</v>
      </c>
      <c r="C18" s="2" t="s">
        <v>487</v>
      </c>
      <c r="D18" s="2" t="s">
        <v>488</v>
      </c>
    </row>
    <row r="19" customFormat="false" ht="15" hidden="false" customHeight="false" outlineLevel="0" collapsed="false">
      <c r="A19" s="2" t="s">
        <v>489</v>
      </c>
      <c r="B19" s="2" t="s">
        <v>490</v>
      </c>
      <c r="C19" s="2" t="s">
        <v>491</v>
      </c>
      <c r="D19" s="2" t="s">
        <v>492</v>
      </c>
    </row>
    <row r="21" customFormat="false" ht="15" hidden="false" customHeight="false" outlineLevel="0" collapsed="false">
      <c r="A21" s="8" t="s">
        <v>493</v>
      </c>
      <c r="B21" s="8" t="s">
        <v>494</v>
      </c>
      <c r="C21" s="8" t="s">
        <v>413</v>
      </c>
    </row>
    <row r="22" customFormat="false" ht="15" hidden="false" customHeight="false" outlineLevel="0" collapsed="false">
      <c r="A22" s="2" t="s">
        <v>495</v>
      </c>
      <c r="B22" s="20" t="n">
        <v>0.05</v>
      </c>
    </row>
    <row r="23" customFormat="false" ht="15" hidden="false" customHeight="false" outlineLevel="0" collapsed="false">
      <c r="A23" s="2" t="s">
        <v>496</v>
      </c>
      <c r="B23" s="23" t="n">
        <v>0.24622</v>
      </c>
      <c r="C23" s="2" t="str">
        <f aca="false">IF(B23&lt;=$B$22,"passes: scored","fails its tier: not scored")</f>
        <v>fails its tier: not scored</v>
      </c>
    </row>
    <row r="24" customFormat="false" ht="15" hidden="false" customHeight="false" outlineLevel="0" collapsed="false">
      <c r="A24" s="2" t="s">
        <v>497</v>
      </c>
      <c r="B24" s="23" t="n">
        <v>0.03003</v>
      </c>
      <c r="C24" s="2" t="str">
        <f aca="false">IF(B24&lt;=$B$22,"passes: scored","fails its tier: not scored")</f>
        <v>passes: scored</v>
      </c>
    </row>
    <row r="25" customFormat="false" ht="15" hidden="false" customHeight="false" outlineLevel="0" collapsed="false">
      <c r="A25" s="4" t="s">
        <v>498</v>
      </c>
      <c r="B25" s="16" t="n">
        <f aca="false">SUMPRODUCT(--(LEFT(C23:C24,6)="passes"))</f>
        <v>1</v>
      </c>
    </row>
    <row r="26" customFormat="false" ht="15" hidden="false" customHeight="false" outlineLevel="0" collapsed="false">
      <c r="A26" s="14" t="s">
        <v>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500</v>
      </c>
      <c r="B1" s="8" t="s">
        <v>501</v>
      </c>
      <c r="C1" s="8" t="s">
        <v>502</v>
      </c>
    </row>
    <row r="2" customFormat="false" ht="15" hidden="false" customHeight="false" outlineLevel="0" collapsed="false">
      <c r="A2" s="2" t="s">
        <v>503</v>
      </c>
      <c r="B2" s="29" t="n">
        <v>37</v>
      </c>
      <c r="C2" s="2" t="s">
        <v>504</v>
      </c>
    </row>
    <row r="3" customFormat="false" ht="15" hidden="false" customHeight="false" outlineLevel="0" collapsed="false">
      <c r="A3" s="2" t="s">
        <v>505</v>
      </c>
      <c r="B3" s="29" t="n">
        <v>94.2956014682046</v>
      </c>
      <c r="C3" s="2" t="s">
        <v>506</v>
      </c>
    </row>
    <row r="4" customFormat="false" ht="15" hidden="false" customHeight="false" outlineLevel="0" collapsed="false">
      <c r="A4" s="2" t="s">
        <v>507</v>
      </c>
      <c r="B4" s="29" t="n">
        <v>75.6346691353518</v>
      </c>
      <c r="C4" s="2" t="s">
        <v>508</v>
      </c>
    </row>
    <row r="5" customFormat="false" ht="15" hidden="false" customHeight="false" outlineLevel="0" collapsed="false">
      <c r="A5" s="2" t="s">
        <v>509</v>
      </c>
      <c r="B5" s="29" t="n">
        <v>73.5983309723245</v>
      </c>
      <c r="C5" s="2" t="s">
        <v>506</v>
      </c>
    </row>
    <row r="6" customFormat="false" ht="15" hidden="false" customHeight="false" outlineLevel="0" collapsed="false">
      <c r="A6" s="2" t="s">
        <v>510</v>
      </c>
      <c r="B6" s="29" t="n">
        <v>55.2177495534504</v>
      </c>
      <c r="C6" s="2" t="s">
        <v>506</v>
      </c>
    </row>
    <row r="7" customFormat="false" ht="15" hidden="false" customHeight="false" outlineLevel="0" collapsed="false">
      <c r="A7" s="2" t="s">
        <v>511</v>
      </c>
      <c r="B7" s="29" t="n">
        <v>121.107479359406</v>
      </c>
      <c r="C7" s="2" t="s">
        <v>506</v>
      </c>
    </row>
    <row r="8" customFormat="false" ht="15" hidden="false" customHeight="false" outlineLevel="0" collapsed="false">
      <c r="A8" s="2" t="s">
        <v>512</v>
      </c>
      <c r="B8" s="29" t="n">
        <v>38.8595143905806</v>
      </c>
      <c r="C8" s="2" t="s">
        <v>506</v>
      </c>
    </row>
    <row r="9" customFormat="false" ht="15" hidden="false" customHeight="false" outlineLevel="0" collapsed="false">
      <c r="A9" s="2" t="s">
        <v>513</v>
      </c>
      <c r="B9" s="29" t="n">
        <v>73.6838023263144</v>
      </c>
      <c r="C9" s="2" t="s">
        <v>506</v>
      </c>
    </row>
    <row r="10" customFormat="false" ht="15" hidden="false" customHeight="false" outlineLevel="0" collapsed="false">
      <c r="A10" s="2" t="s">
        <v>514</v>
      </c>
      <c r="B10" s="29" t="n">
        <v>49.3901915476036</v>
      </c>
      <c r="C10" s="2" t="s">
        <v>506</v>
      </c>
    </row>
    <row r="11" customFormat="false" ht="15" hidden="false" customHeight="false" outlineLevel="0" collapsed="false">
      <c r="A11" s="2" t="s">
        <v>515</v>
      </c>
      <c r="B11" s="29" t="n">
        <v>105.367604652629</v>
      </c>
      <c r="C11" s="2" t="s">
        <v>506</v>
      </c>
    </row>
    <row r="12" customFormat="false" ht="15" hidden="false" customHeight="false" outlineLevel="0" collapsed="false">
      <c r="A12" s="2" t="s">
        <v>516</v>
      </c>
      <c r="B12" s="29" t="n">
        <v>35.9430355293715</v>
      </c>
      <c r="C12" s="2" t="s">
        <v>506</v>
      </c>
    </row>
    <row r="13" customFormat="false" ht="15" hidden="false" customHeight="false" outlineLevel="0" collapsed="false">
      <c r="A13" s="2" t="s">
        <v>517</v>
      </c>
      <c r="B13" s="29" t="n">
        <v>78.6017034530571</v>
      </c>
      <c r="C13" s="2" t="s">
        <v>506</v>
      </c>
    </row>
    <row r="14" customFormat="false" ht="15" hidden="false" customHeight="false" outlineLevel="0" collapsed="false">
      <c r="A14" s="2" t="s">
        <v>518</v>
      </c>
      <c r="B14" s="29" t="n">
        <v>66.3306095195547</v>
      </c>
      <c r="C14" s="2" t="s">
        <v>506</v>
      </c>
    </row>
    <row r="15" customFormat="false" ht="15" hidden="false" customHeight="false" outlineLevel="0" collapsed="false">
      <c r="A15" s="2" t="s">
        <v>519</v>
      </c>
      <c r="B15" s="29" t="n">
        <v>47.0777130056076</v>
      </c>
      <c r="C15" s="2" t="s">
        <v>520</v>
      </c>
    </row>
    <row r="16" customFormat="false" ht="15" hidden="false" customHeight="false" outlineLevel="0" collapsed="false">
      <c r="A16" s="2" t="s">
        <v>521</v>
      </c>
      <c r="B16" s="29" t="n">
        <v>46.0651511321744</v>
      </c>
      <c r="C16" s="2" t="s">
        <v>520</v>
      </c>
    </row>
    <row r="17" customFormat="false" ht="15" hidden="false" customHeight="false" outlineLevel="0" collapsed="false">
      <c r="A17" s="2" t="s">
        <v>522</v>
      </c>
      <c r="B17" s="29" t="n">
        <v>38.3954335288757</v>
      </c>
      <c r="C17" s="2" t="s">
        <v>520</v>
      </c>
    </row>
    <row r="18" customFormat="false" ht="15" hidden="false" customHeight="false" outlineLevel="0" collapsed="false">
      <c r="A18" s="2" t="s">
        <v>269</v>
      </c>
      <c r="B18" s="29" t="n">
        <v>0</v>
      </c>
      <c r="C18" s="2" t="s">
        <v>523</v>
      </c>
    </row>
    <row r="19" customFormat="false" ht="15" hidden="false" customHeight="false" outlineLevel="0" collapsed="false">
      <c r="A19" s="2" t="s">
        <v>271</v>
      </c>
      <c r="B19" s="29" t="n">
        <v>36.7751547447712</v>
      </c>
      <c r="C19" s="2" t="s">
        <v>524</v>
      </c>
    </row>
    <row r="20" customFormat="false" ht="15" hidden="false" customHeight="false" outlineLevel="0" collapsed="false">
      <c r="A20" s="2" t="s">
        <v>273</v>
      </c>
      <c r="B20" s="29" t="n">
        <v>26.8118778912017</v>
      </c>
      <c r="C20" s="2" t="s">
        <v>525</v>
      </c>
    </row>
    <row r="21" customFormat="false" ht="15" hidden="false" customHeight="false" outlineLevel="0" collapsed="false">
      <c r="A21" s="2" t="s">
        <v>275</v>
      </c>
      <c r="B21" s="29" t="n">
        <v>5.82755800584685</v>
      </c>
      <c r="C21" s="2" t="s">
        <v>526</v>
      </c>
    </row>
    <row r="22" customFormat="false" ht="15" hidden="false" customHeight="false" outlineLevel="0" collapsed="false">
      <c r="A22" s="2" t="s">
        <v>277</v>
      </c>
      <c r="B22" s="29" t="n">
        <v>0.085471353989945</v>
      </c>
      <c r="C22" s="2" t="s">
        <v>527</v>
      </c>
    </row>
    <row r="23" customFormat="false" ht="15" hidden="false" customHeight="false" outlineLevel="0" collapsed="false">
      <c r="A23" s="2" t="s">
        <v>528</v>
      </c>
      <c r="B23" s="29" t="n">
        <v>1.01256187343318</v>
      </c>
      <c r="C23" s="2" t="s">
        <v>529</v>
      </c>
    </row>
    <row r="24" customFormat="false" ht="15" hidden="false" customHeight="false" outlineLevel="0" collapsed="false">
      <c r="A24" s="2" t="s">
        <v>530</v>
      </c>
      <c r="B24" s="29" t="n">
        <v>0.63587032635973</v>
      </c>
      <c r="C24" s="2" t="s">
        <v>531</v>
      </c>
    </row>
    <row r="25" customFormat="false" ht="15" hidden="false" customHeight="false" outlineLevel="0" collapsed="false">
      <c r="A25" s="2" t="s">
        <v>284</v>
      </c>
      <c r="B25" s="29" t="n">
        <v>1.59240309141324</v>
      </c>
      <c r="C25" s="2" t="s">
        <v>532</v>
      </c>
    </row>
    <row r="26" customFormat="false" ht="15" hidden="false" customHeight="false" outlineLevel="0" collapsed="false">
      <c r="A26" s="2" t="s">
        <v>286</v>
      </c>
      <c r="B26" s="29" t="n">
        <v>26.5924030914132</v>
      </c>
      <c r="C26" s="2" t="s">
        <v>533</v>
      </c>
    </row>
    <row r="27" customFormat="false" ht="15" hidden="false" customHeight="false" outlineLevel="0" collapsed="false">
      <c r="A27" s="2" t="s">
        <v>288</v>
      </c>
      <c r="B27" s="29" t="n">
        <v>23.4075969085868</v>
      </c>
      <c r="C27" s="2" t="s">
        <v>534</v>
      </c>
    </row>
    <row r="28" customFormat="false" ht="15" hidden="false" customHeight="false" outlineLevel="0" collapsed="false">
      <c r="A28" s="2" t="s">
        <v>535</v>
      </c>
      <c r="B28" s="29" t="n">
        <v>47.4509316522647</v>
      </c>
      <c r="C28" s="2" t="s">
        <v>536</v>
      </c>
    </row>
    <row r="29" customFormat="false" ht="15" hidden="false" customHeight="false" outlineLevel="0" collapsed="false">
      <c r="A29" s="2" t="s">
        <v>537</v>
      </c>
      <c r="B29" s="29" t="n">
        <v>47.7101104315509</v>
      </c>
      <c r="C29" s="2" t="s">
        <v>538</v>
      </c>
    </row>
    <row r="30" customFormat="false" ht="15" hidden="false" customHeight="false" outlineLevel="0" collapsed="false">
      <c r="A30" s="2" t="s">
        <v>539</v>
      </c>
      <c r="B30" s="29" t="n">
        <v>39.7839249113408</v>
      </c>
      <c r="C30" s="2" t="s">
        <v>540</v>
      </c>
    </row>
    <row r="31" customFormat="false" ht="15" hidden="false" customHeight="false" outlineLevel="0" collapsed="false">
      <c r="A31" s="2" t="s">
        <v>541</v>
      </c>
      <c r="B31" s="29" t="n">
        <v>2.37675445542723</v>
      </c>
      <c r="C31" s="2" t="s">
        <v>542</v>
      </c>
    </row>
    <row r="32" customFormat="false" ht="15" hidden="false" customHeight="false" outlineLevel="0" collapsed="false">
      <c r="A32" s="2" t="s">
        <v>543</v>
      </c>
      <c r="B32" s="29" t="n">
        <v>2.74700128728202</v>
      </c>
      <c r="C32" s="2" t="s">
        <v>544</v>
      </c>
    </row>
    <row r="33" customFormat="false" ht="15" hidden="false" customHeight="false" outlineLevel="0" collapsed="false">
      <c r="A33" s="2" t="s">
        <v>545</v>
      </c>
      <c r="B33" s="29" t="n">
        <v>1.59240309141324</v>
      </c>
      <c r="C33" s="2" t="s">
        <v>546</v>
      </c>
    </row>
    <row r="34" customFormat="false" ht="15" hidden="false" customHeight="false" outlineLevel="0" collapsed="false">
      <c r="A34" s="2" t="s">
        <v>547</v>
      </c>
      <c r="B34" s="29" t="n">
        <v>41.399919979106</v>
      </c>
      <c r="C34" s="2" t="s">
        <v>548</v>
      </c>
    </row>
    <row r="35" customFormat="false" ht="15" hidden="false" customHeight="false" outlineLevel="0" collapsed="false">
      <c r="A35" s="2" t="s">
        <v>549</v>
      </c>
      <c r="B35" s="29" t="n">
        <v>52.2640294257717</v>
      </c>
      <c r="C35" s="2" t="s">
        <v>548</v>
      </c>
    </row>
    <row r="36" customFormat="false" ht="15" hidden="false" customHeight="false" outlineLevel="0" collapsed="false">
      <c r="A36" s="2" t="s">
        <v>550</v>
      </c>
      <c r="B36" s="29" t="n">
        <v>35.3237856271693</v>
      </c>
      <c r="C36" s="2" t="s">
        <v>548</v>
      </c>
    </row>
    <row r="37" customFormat="false" ht="15" hidden="false" customHeight="false" outlineLevel="0" collapsed="false">
      <c r="A37" s="2" t="s">
        <v>551</v>
      </c>
      <c r="B37" s="29" t="n">
        <v>26.8118778912017</v>
      </c>
      <c r="C37" s="2" t="s">
        <v>552</v>
      </c>
    </row>
    <row r="38" customFormat="false" ht="15" hidden="false" customHeight="false" outlineLevel="0" collapsed="false">
      <c r="A38" s="2" t="s">
        <v>553</v>
      </c>
      <c r="B38" s="29" t="n">
        <v>39.6916336059803</v>
      </c>
      <c r="C38" s="2" t="s">
        <v>552</v>
      </c>
    </row>
    <row r="39" customFormat="false" ht="15" hidden="false" customHeight="false" outlineLevel="0" collapsed="false">
      <c r="A39" s="2" t="s">
        <v>554</v>
      </c>
      <c r="B39" s="29" t="n">
        <v>5.00337248073262</v>
      </c>
      <c r="C39" s="2" t="s">
        <v>552</v>
      </c>
    </row>
    <row r="40" customFormat="false" ht="15" hidden="false" customHeight="false" outlineLevel="0" collapsed="false">
      <c r="A40" s="2" t="s">
        <v>555</v>
      </c>
      <c r="B40" s="29" t="n">
        <v>16.9404179719512</v>
      </c>
      <c r="C40" s="2" t="s">
        <v>552</v>
      </c>
    </row>
    <row r="41" customFormat="false" ht="15" hidden="false" customHeight="false" outlineLevel="0" collapsed="false">
      <c r="A41" s="2" t="s">
        <v>556</v>
      </c>
      <c r="B41" s="29" t="n">
        <v>34.4003200835762</v>
      </c>
      <c r="C41" s="2" t="s">
        <v>557</v>
      </c>
    </row>
    <row r="42" customFormat="false" ht="15" hidden="false" customHeight="false" outlineLevel="0" collapsed="false">
      <c r="A42" s="2" t="s">
        <v>558</v>
      </c>
      <c r="B42" s="29" t="n">
        <v>92.6521571519052</v>
      </c>
      <c r="C42" s="2" t="s">
        <v>559</v>
      </c>
    </row>
    <row r="43" customFormat="false" ht="15" hidden="false" customHeight="false" outlineLevel="0" collapsed="false">
      <c r="A43" s="2" t="s">
        <v>560</v>
      </c>
      <c r="B43" s="29" t="n">
        <v>100</v>
      </c>
      <c r="C43" s="2" t="s">
        <v>561</v>
      </c>
    </row>
    <row r="44" customFormat="false" ht="15" hidden="false" customHeight="false" outlineLevel="0" collapsed="false">
      <c r="A44" s="2" t="s">
        <v>562</v>
      </c>
      <c r="B44" s="29" t="n">
        <v>24.0380729119675</v>
      </c>
      <c r="C44" s="2" t="s">
        <v>563</v>
      </c>
    </row>
    <row r="45" customFormat="false" ht="15" hidden="false" customHeight="false" outlineLevel="0" collapsed="false">
      <c r="A45" s="2" t="s">
        <v>564</v>
      </c>
      <c r="B45" s="29" t="n">
        <v>10.6236529336087</v>
      </c>
      <c r="C45" s="2" t="s">
        <v>563</v>
      </c>
    </row>
    <row r="46" customFormat="false" ht="15" hidden="false" customHeight="false" outlineLevel="0" collapsed="false">
      <c r="A46" s="2" t="s">
        <v>565</v>
      </c>
      <c r="B46" s="29" t="n">
        <v>0.0246480439088654</v>
      </c>
      <c r="C46" s="2" t="s">
        <v>563</v>
      </c>
    </row>
    <row r="47" customFormat="false" ht="15" hidden="false" customHeight="false" outlineLevel="0" collapsed="false">
      <c r="A47" s="2" t="s">
        <v>333</v>
      </c>
      <c r="B47" s="29" t="n">
        <v>84.4748027691508</v>
      </c>
      <c r="C47" s="2" t="s">
        <v>566</v>
      </c>
    </row>
    <row r="48" customFormat="false" ht="15" hidden="false" customHeight="false" outlineLevel="0" collapsed="false">
      <c r="A48" s="2" t="s">
        <v>567</v>
      </c>
      <c r="B48" s="29" t="n">
        <v>13.4144199783588</v>
      </c>
      <c r="C48" s="2" t="s">
        <v>568</v>
      </c>
    </row>
    <row r="49" customFormat="false" ht="15" hidden="false" customHeight="false" outlineLevel="0" collapsed="false">
      <c r="A49" s="2" t="s">
        <v>569</v>
      </c>
      <c r="B49" s="29" t="n">
        <v>11.6049910782311</v>
      </c>
      <c r="C49" s="2" t="s">
        <v>570</v>
      </c>
    </row>
    <row r="50" customFormat="false" ht="15" hidden="false" customHeight="false" outlineLevel="0" collapsed="false">
      <c r="A50" s="2" t="s">
        <v>571</v>
      </c>
      <c r="B50" s="29" t="n">
        <v>7.8392239232788</v>
      </c>
      <c r="C50" s="2" t="s">
        <v>570</v>
      </c>
    </row>
    <row r="51" customFormat="false" ht="15" hidden="false" customHeight="false" outlineLevel="0" collapsed="false">
      <c r="A51" s="2" t="s">
        <v>572</v>
      </c>
      <c r="B51" s="29" t="n">
        <v>62.1883749243584</v>
      </c>
      <c r="C51" s="2" t="s">
        <v>570</v>
      </c>
    </row>
    <row r="52" customFormat="false" ht="15" hidden="false" customHeight="false" outlineLevel="0" collapsed="false">
      <c r="A52" s="2" t="s">
        <v>573</v>
      </c>
      <c r="B52" s="29" t="n">
        <v>18.3674100741317</v>
      </c>
      <c r="C52" s="2" t="s">
        <v>570</v>
      </c>
    </row>
    <row r="53" customFormat="false" ht="15" hidden="false" customHeight="false" outlineLevel="0" collapsed="false">
      <c r="A53" s="2" t="s">
        <v>574</v>
      </c>
      <c r="B53" s="29" t="n">
        <v>15.6006846401452</v>
      </c>
      <c r="C53" s="2" t="s">
        <v>575</v>
      </c>
    </row>
    <row r="54" customFormat="false" ht="15" hidden="false" customHeight="false" outlineLevel="0" collapsed="false">
      <c r="A54" s="2" t="s">
        <v>576</v>
      </c>
      <c r="B54" s="29" t="n">
        <v>38.0504503418176</v>
      </c>
      <c r="C54" s="2" t="s">
        <v>575</v>
      </c>
    </row>
    <row r="55" customFormat="false" ht="15" hidden="false" customHeight="false" outlineLevel="0" collapsed="false">
      <c r="A55" s="2" t="s">
        <v>577</v>
      </c>
      <c r="B55" s="29" t="n">
        <v>21.9727952678102</v>
      </c>
      <c r="C55" s="2" t="s">
        <v>575</v>
      </c>
    </row>
    <row r="56" customFormat="false" ht="15" hidden="false" customHeight="false" outlineLevel="0" collapsed="false">
      <c r="A56" s="2" t="s">
        <v>578</v>
      </c>
      <c r="B56" s="29" t="n">
        <v>24.3760697502269</v>
      </c>
      <c r="C56" s="2" t="s">
        <v>575</v>
      </c>
    </row>
    <row r="57" customFormat="false" ht="15" hidden="false" customHeight="false" outlineLevel="0" collapsed="false">
      <c r="A57" s="2" t="s">
        <v>579</v>
      </c>
      <c r="B57" s="29" t="n">
        <v>6</v>
      </c>
      <c r="C57" s="2" t="s">
        <v>580</v>
      </c>
    </row>
    <row r="58" customFormat="false" ht="15" hidden="false" customHeight="false" outlineLevel="0" collapsed="false">
      <c r="A58" s="2" t="s">
        <v>581</v>
      </c>
      <c r="B58" s="29" t="n">
        <v>7</v>
      </c>
      <c r="C58" s="2" t="s">
        <v>582</v>
      </c>
    </row>
    <row r="59" customFormat="false" ht="15" hidden="false" customHeight="false" outlineLevel="0" collapsed="false">
      <c r="A59" s="2" t="s">
        <v>583</v>
      </c>
      <c r="B59" s="29" t="n">
        <v>49.9451460207754</v>
      </c>
      <c r="C59" s="2" t="s">
        <v>584</v>
      </c>
    </row>
    <row r="60" customFormat="false" ht="15" hidden="false" customHeight="false" outlineLevel="0" collapsed="false">
      <c r="A60" s="2" t="s">
        <v>585</v>
      </c>
      <c r="B60" s="29" t="n">
        <v>60.663279519669</v>
      </c>
      <c r="C60" s="2" t="s">
        <v>586</v>
      </c>
    </row>
    <row r="61" customFormat="false" ht="15" hidden="false" customHeight="false" outlineLevel="0" collapsed="false">
      <c r="A61" s="2" t="s">
        <v>587</v>
      </c>
      <c r="B61" s="29" t="n">
        <v>25</v>
      </c>
      <c r="C61" s="2" t="s">
        <v>586</v>
      </c>
    </row>
    <row r="62" customFormat="false" ht="15" hidden="false" customHeight="false" outlineLevel="0" collapsed="false">
      <c r="A62" s="2" t="s">
        <v>588</v>
      </c>
      <c r="B62" s="29" t="n">
        <v>75</v>
      </c>
      <c r="C62" s="2" t="s">
        <v>586</v>
      </c>
    </row>
    <row r="63" customFormat="false" ht="15" hidden="false" customHeight="false" outlineLevel="0" collapsed="false">
      <c r="A63" s="2" t="s">
        <v>589</v>
      </c>
      <c r="B63" s="29" t="n">
        <v>0.980220397192929</v>
      </c>
      <c r="C63" s="2" t="s">
        <v>586</v>
      </c>
    </row>
    <row r="64" customFormat="false" ht="15" hidden="false" customHeight="false" outlineLevel="0" collapsed="false">
      <c r="A64" s="2" t="s">
        <v>590</v>
      </c>
      <c r="B64" s="29" t="n">
        <v>18.3333333333333</v>
      </c>
      <c r="C64" s="2" t="s">
        <v>591</v>
      </c>
    </row>
    <row r="65" customFormat="false" ht="15" hidden="false" customHeight="false" outlineLevel="0" collapsed="false">
      <c r="A65" s="2" t="s">
        <v>592</v>
      </c>
      <c r="B65" s="29" t="n">
        <v>18</v>
      </c>
      <c r="C65" s="2" t="s">
        <v>593</v>
      </c>
    </row>
    <row r="66" customFormat="false" ht="15" hidden="false" customHeight="false" outlineLevel="0" collapsed="false">
      <c r="A66" s="2" t="s">
        <v>594</v>
      </c>
      <c r="B66" s="29" t="n">
        <v>1.33333333333333</v>
      </c>
      <c r="C66" s="2" t="s">
        <v>595</v>
      </c>
    </row>
    <row r="67" customFormat="false" ht="15" hidden="false" customHeight="false" outlineLevel="0" collapsed="false">
      <c r="A67" s="2" t="s">
        <v>596</v>
      </c>
      <c r="B67" s="29" t="n">
        <v>-1.66666666666667</v>
      </c>
      <c r="C67" s="2" t="s">
        <v>597</v>
      </c>
    </row>
    <row r="68" customFormat="false" ht="15" hidden="false" customHeight="false" outlineLevel="0" collapsed="false">
      <c r="A68" s="2" t="s">
        <v>598</v>
      </c>
      <c r="B68" s="29" t="n">
        <v>81.6666666666667</v>
      </c>
      <c r="C68" s="2" t="s">
        <v>599</v>
      </c>
    </row>
    <row r="69" customFormat="false" ht="15" hidden="false" customHeight="false" outlineLevel="0" collapsed="false">
      <c r="A69" s="2" t="s">
        <v>600</v>
      </c>
      <c r="B69" s="29" t="n">
        <v>82</v>
      </c>
      <c r="C69" s="2" t="s">
        <v>601</v>
      </c>
    </row>
    <row r="70" customFormat="false" ht="15" hidden="false" customHeight="false" outlineLevel="0" collapsed="false">
      <c r="A70" s="2" t="s">
        <v>602</v>
      </c>
      <c r="B70" s="29" t="n">
        <v>-1.33333333333333</v>
      </c>
      <c r="C70" s="2" t="s">
        <v>603</v>
      </c>
    </row>
    <row r="71" customFormat="false" ht="15" hidden="false" customHeight="false" outlineLevel="0" collapsed="false">
      <c r="A71" s="2" t="s">
        <v>604</v>
      </c>
      <c r="B71" s="29" t="n">
        <v>1.66666666666667</v>
      </c>
      <c r="C71" s="2" t="s">
        <v>605</v>
      </c>
    </row>
    <row r="72" customFormat="false" ht="15" hidden="false" customHeight="false" outlineLevel="0" collapsed="false">
      <c r="A72" s="2" t="s">
        <v>606</v>
      </c>
      <c r="B72" s="29" t="n">
        <v>82.5</v>
      </c>
      <c r="C72" s="2" t="s">
        <v>607</v>
      </c>
    </row>
    <row r="73" customFormat="false" ht="15" hidden="false" customHeight="false" outlineLevel="0" collapsed="false">
      <c r="A73" s="2" t="s">
        <v>608</v>
      </c>
      <c r="B73" s="29" t="n">
        <v>81</v>
      </c>
      <c r="C73" s="2" t="s">
        <v>609</v>
      </c>
    </row>
    <row r="74" customFormat="false" ht="15" hidden="false" customHeight="false" outlineLevel="0" collapsed="false">
      <c r="A74" s="2" t="s">
        <v>610</v>
      </c>
      <c r="B74" s="29" t="n">
        <v>0.388888888888889</v>
      </c>
      <c r="C74" s="2" t="s">
        <v>611</v>
      </c>
    </row>
    <row r="75" customFormat="false" ht="15" hidden="false" customHeight="false" outlineLevel="0" collapsed="false">
      <c r="A75" s="2" t="s">
        <v>612</v>
      </c>
      <c r="B75" s="29" t="n">
        <v>12</v>
      </c>
      <c r="C75" s="2" t="s">
        <v>613</v>
      </c>
    </row>
    <row r="76" customFormat="false" ht="15" hidden="false" customHeight="false" outlineLevel="0" collapsed="false">
      <c r="A76" s="2" t="s">
        <v>614</v>
      </c>
      <c r="B76" s="29" t="n">
        <v>0</v>
      </c>
      <c r="C76" s="2" t="s">
        <v>615</v>
      </c>
    </row>
    <row r="77" customFormat="false" ht="15" hidden="false" customHeight="false" outlineLevel="0" collapsed="false">
      <c r="A77" s="2" t="s">
        <v>616</v>
      </c>
      <c r="B77" s="29" t="n">
        <v>3</v>
      </c>
      <c r="C77" s="2" t="s">
        <v>617</v>
      </c>
    </row>
    <row r="78" customFormat="false" ht="15" hidden="false" customHeight="false" outlineLevel="0" collapsed="false">
      <c r="A78" s="2" t="s">
        <v>618</v>
      </c>
      <c r="B78" s="29" t="n">
        <v>0.84375</v>
      </c>
      <c r="C78" s="2" t="s">
        <v>619</v>
      </c>
    </row>
    <row r="79" customFormat="false" ht="15" hidden="false" customHeight="false" outlineLevel="0" collapsed="false">
      <c r="A79" s="2" t="s">
        <v>425</v>
      </c>
      <c r="B79" s="29" t="n">
        <v>11.9585490989386</v>
      </c>
      <c r="C79" s="2" t="s">
        <v>620</v>
      </c>
    </row>
    <row r="80" customFormat="false" ht="15" hidden="false" customHeight="false" outlineLevel="0" collapsed="false">
      <c r="A80" s="2" t="s">
        <v>81</v>
      </c>
      <c r="B80" s="29" t="n">
        <v>32.1064672146718</v>
      </c>
      <c r="C80" s="2" t="s">
        <v>621</v>
      </c>
    </row>
    <row r="81" customFormat="false" ht="15" hidden="false" customHeight="false" outlineLevel="0" collapsed="false">
      <c r="A81" s="2" t="s">
        <v>83</v>
      </c>
      <c r="B81" s="29" t="n">
        <v>11</v>
      </c>
      <c r="C81" s="2" t="s">
        <v>622</v>
      </c>
    </row>
    <row r="82" customFormat="false" ht="15" hidden="false" customHeight="false" outlineLevel="0" collapsed="false">
      <c r="A82" s="2" t="s">
        <v>86</v>
      </c>
      <c r="B82" s="29" t="n">
        <v>29</v>
      </c>
      <c r="C82" s="2" t="s">
        <v>623</v>
      </c>
    </row>
    <row r="83" customFormat="false" ht="15" hidden="false" customHeight="false" outlineLevel="0" collapsed="false">
      <c r="A83" s="2" t="s">
        <v>624</v>
      </c>
      <c r="B83" s="29" t="n">
        <v>37.1874101717979</v>
      </c>
      <c r="C83" s="2" t="s">
        <v>625</v>
      </c>
    </row>
    <row r="84" customFormat="false" ht="15" hidden="false" customHeight="false" outlineLevel="0" collapsed="false">
      <c r="A84" s="2" t="s">
        <v>90</v>
      </c>
      <c r="B84" s="29" t="n">
        <v>33</v>
      </c>
      <c r="C84" s="2" t="s">
        <v>626</v>
      </c>
    </row>
    <row r="85" customFormat="false" ht="15" hidden="false" customHeight="false" outlineLevel="0" collapsed="false">
      <c r="A85" s="2" t="s">
        <v>627</v>
      </c>
      <c r="B85" s="29" t="n">
        <v>38.7426826822583</v>
      </c>
      <c r="C85" s="2" t="s">
        <v>628</v>
      </c>
    </row>
    <row r="86" customFormat="false" ht="15" hidden="false" customHeight="false" outlineLevel="0" collapsed="false">
      <c r="A86" s="2" t="s">
        <v>629</v>
      </c>
      <c r="B86" s="29" t="n">
        <v>38.4133131725227</v>
      </c>
      <c r="C86" s="2" t="s">
        <v>630</v>
      </c>
    </row>
    <row r="87" customFormat="false" ht="15" hidden="false" customHeight="false" outlineLevel="0" collapsed="false">
      <c r="A87" s="2" t="s">
        <v>95</v>
      </c>
      <c r="B87" s="29" t="n">
        <v>56</v>
      </c>
      <c r="C87" s="2" t="s">
        <v>631</v>
      </c>
    </row>
    <row r="88" customFormat="false" ht="15" hidden="false" customHeight="false" outlineLevel="0" collapsed="false">
      <c r="A88" s="2" t="s">
        <v>632</v>
      </c>
      <c r="B88" s="29" t="n">
        <v>46.1453791954431</v>
      </c>
      <c r="C88" s="2" t="s">
        <v>633</v>
      </c>
    </row>
    <row r="89" customFormat="false" ht="15" hidden="false" customHeight="false" outlineLevel="0" collapsed="false">
      <c r="A89" s="2" t="s">
        <v>634</v>
      </c>
      <c r="B89" s="29" t="n">
        <v>46.0045580071332</v>
      </c>
      <c r="C89" s="2" t="s">
        <v>635</v>
      </c>
    </row>
    <row r="90" customFormat="false" ht="15" hidden="false" customHeight="false" outlineLevel="0" collapsed="false">
      <c r="A90" s="2" t="s">
        <v>636</v>
      </c>
      <c r="B90" s="29" t="n">
        <v>32.1512362230352</v>
      </c>
      <c r="C90" s="2" t="s">
        <v>506</v>
      </c>
    </row>
    <row r="91" customFormat="false" ht="15" hidden="false" customHeight="false" outlineLevel="0" collapsed="false">
      <c r="A91" s="2" t="s">
        <v>637</v>
      </c>
      <c r="B91" s="29" t="n">
        <v>44.4556850734681</v>
      </c>
      <c r="C91" s="2" t="s">
        <v>506</v>
      </c>
    </row>
    <row r="92" customFormat="false" ht="15" hidden="false" customHeight="false" outlineLevel="0" collapsed="false">
      <c r="A92" s="2" t="s">
        <v>638</v>
      </c>
      <c r="B92" s="29" t="n">
        <v>37.8890096720465</v>
      </c>
      <c r="C92" s="2" t="s">
        <v>506</v>
      </c>
    </row>
    <row r="93" customFormat="false" ht="15" hidden="false" customHeight="false" outlineLevel="0" collapsed="false">
      <c r="A93" s="2" t="s">
        <v>639</v>
      </c>
      <c r="B93" s="29" t="n">
        <v>35.2745211432023</v>
      </c>
      <c r="C93" s="2" t="s">
        <v>506</v>
      </c>
    </row>
    <row r="94" customFormat="false" ht="15" hidden="false" customHeight="false" outlineLevel="0" collapsed="false">
      <c r="A94" s="2" t="s">
        <v>640</v>
      </c>
      <c r="B94" s="29" t="n">
        <v>45.1079885063022</v>
      </c>
      <c r="C94" s="2" t="s">
        <v>506</v>
      </c>
    </row>
    <row r="95" customFormat="false" ht="15" hidden="false" customHeight="false" outlineLevel="0" collapsed="false">
      <c r="A95" s="2" t="s">
        <v>641</v>
      </c>
      <c r="B95" s="29" t="n">
        <v>38.2900059057065</v>
      </c>
      <c r="C95" s="2" t="s">
        <v>506</v>
      </c>
    </row>
    <row r="96" customFormat="false" ht="15" hidden="false" customHeight="false" outlineLevel="0" collapsed="false">
      <c r="A96" s="2" t="s">
        <v>642</v>
      </c>
      <c r="B96" s="29" t="n">
        <v>39.8837303554344</v>
      </c>
      <c r="C96" s="2" t="s">
        <v>506</v>
      </c>
    </row>
    <row r="97" customFormat="false" ht="15" hidden="false" customHeight="false" outlineLevel="0" collapsed="false">
      <c r="A97" s="2" t="s">
        <v>643</v>
      </c>
      <c r="B97" s="29" t="n">
        <v>45.5533995611084</v>
      </c>
      <c r="C97" s="2" t="s">
        <v>506</v>
      </c>
    </row>
    <row r="98" customFormat="false" ht="15" hidden="false" customHeight="false" outlineLevel="0" collapsed="false">
      <c r="A98" s="2" t="s">
        <v>644</v>
      </c>
      <c r="B98" s="29" t="n">
        <v>38.4330923495815</v>
      </c>
      <c r="C98" s="2" t="s">
        <v>506</v>
      </c>
    </row>
    <row r="99" customFormat="false" ht="15" hidden="false" customHeight="false" outlineLevel="0" collapsed="false">
      <c r="A99" s="2" t="s">
        <v>645</v>
      </c>
      <c r="B99" s="29" t="n">
        <v>43.9612078664758</v>
      </c>
      <c r="C99" s="2" t="s">
        <v>506</v>
      </c>
    </row>
    <row r="100" customFormat="false" ht="15" hidden="false" customHeight="false" outlineLevel="0" collapsed="false">
      <c r="A100" s="2" t="s">
        <v>646</v>
      </c>
      <c r="B100" s="29" t="n">
        <v>45.857547274917</v>
      </c>
      <c r="C100" s="2" t="s">
        <v>506</v>
      </c>
    </row>
    <row r="101" customFormat="false" ht="15" hidden="false" customHeight="false" outlineLevel="0" collapsed="false">
      <c r="A101" s="2" t="s">
        <v>647</v>
      </c>
      <c r="B101" s="29" t="n">
        <v>38.4451693482574</v>
      </c>
      <c r="C101" s="2" t="s">
        <v>506</v>
      </c>
    </row>
    <row r="102" customFormat="false" ht="15" hidden="false" customHeight="false" outlineLevel="0" collapsed="false">
      <c r="A102" s="2" t="s">
        <v>648</v>
      </c>
      <c r="B102" s="29" t="n">
        <v>3</v>
      </c>
      <c r="C102" s="2" t="s">
        <v>649</v>
      </c>
    </row>
    <row r="103" customFormat="false" ht="15" hidden="false" customHeight="false" outlineLevel="0" collapsed="false">
      <c r="A103" s="2" t="s">
        <v>650</v>
      </c>
      <c r="B103" s="29" t="n">
        <v>3</v>
      </c>
      <c r="C103" s="2" t="s">
        <v>649</v>
      </c>
    </row>
    <row r="104" customFormat="false" ht="15" hidden="false" customHeight="false" outlineLevel="0" collapsed="false">
      <c r="A104" s="2" t="s">
        <v>651</v>
      </c>
      <c r="B104" s="29" t="n">
        <v>2</v>
      </c>
      <c r="C104" s="2" t="s">
        <v>649</v>
      </c>
    </row>
    <row r="105" customFormat="false" ht="15" hidden="false" customHeight="false" outlineLevel="0" collapsed="false">
      <c r="A105" s="2" t="s">
        <v>652</v>
      </c>
      <c r="B105" s="29" t="n">
        <v>2</v>
      </c>
      <c r="C105" s="2" t="s">
        <v>649</v>
      </c>
    </row>
    <row r="106" customFormat="false" ht="15" hidden="false" customHeight="false" outlineLevel="0" collapsed="false">
      <c r="A106" s="2" t="s">
        <v>653</v>
      </c>
      <c r="B106" s="29" t="n">
        <v>1</v>
      </c>
      <c r="C106" s="2" t="s">
        <v>649</v>
      </c>
    </row>
    <row r="107" customFormat="false" ht="15" hidden="false" customHeight="false" outlineLevel="0" collapsed="false">
      <c r="A107" s="2" t="s">
        <v>654</v>
      </c>
      <c r="B107" s="29" t="n">
        <v>6.5664434317472</v>
      </c>
      <c r="C107" s="2" t="s">
        <v>655</v>
      </c>
    </row>
    <row r="108" customFormat="false" ht="15" hidden="false" customHeight="false" outlineLevel="0" collapsed="false">
      <c r="A108" s="2" t="s">
        <v>101</v>
      </c>
      <c r="B108" s="29" t="n">
        <v>0.0514707398761658</v>
      </c>
      <c r="C108" s="2" t="s">
        <v>656</v>
      </c>
    </row>
    <row r="109" customFormat="false" ht="15" hidden="false" customHeight="false" outlineLevel="0" collapsed="false">
      <c r="A109" s="2" t="s">
        <v>657</v>
      </c>
      <c r="B109" s="29" t="n">
        <v>4.33333333333333</v>
      </c>
      <c r="C109" s="2" t="s">
        <v>658</v>
      </c>
    </row>
    <row r="110" customFormat="false" ht="15" hidden="false" customHeight="false" outlineLevel="0" collapsed="false">
      <c r="A110" s="2" t="s">
        <v>659</v>
      </c>
      <c r="B110" s="29" t="n">
        <v>4.84835918443083</v>
      </c>
      <c r="C110" s="2" t="s">
        <v>660</v>
      </c>
    </row>
    <row r="111" customFormat="false" ht="15" hidden="false" customHeight="false" outlineLevel="0" collapsed="false">
      <c r="A111" s="2" t="s">
        <v>661</v>
      </c>
      <c r="B111" s="29" t="n">
        <v>5.92334321201668</v>
      </c>
      <c r="C111" s="2" t="s">
        <v>662</v>
      </c>
    </row>
    <row r="112" customFormat="false" ht="15" hidden="false" customHeight="false" outlineLevel="0" collapsed="false">
      <c r="A112" s="2" t="s">
        <v>663</v>
      </c>
      <c r="B112" s="29" t="n">
        <v>0</v>
      </c>
      <c r="C112" s="2" t="s">
        <v>664</v>
      </c>
    </row>
    <row r="113" customFormat="false" ht="15" hidden="false" customHeight="false" outlineLevel="0" collapsed="false">
      <c r="A113" s="2" t="s">
        <v>665</v>
      </c>
      <c r="B113" s="29" t="n">
        <v>20</v>
      </c>
      <c r="C113" s="2" t="s">
        <v>248</v>
      </c>
    </row>
    <row r="114" customFormat="false" ht="15" hidden="false" customHeight="false" outlineLevel="0" collapsed="false">
      <c r="A114" s="2" t="s">
        <v>666</v>
      </c>
      <c r="B114" s="29" t="n">
        <v>20</v>
      </c>
      <c r="C114" s="2" t="s">
        <v>667</v>
      </c>
    </row>
    <row r="115" customFormat="false" ht="15" hidden="false" customHeight="false" outlineLevel="0" collapsed="false">
      <c r="A115" s="2" t="s">
        <v>668</v>
      </c>
      <c r="B115" s="29" t="n">
        <v>2</v>
      </c>
      <c r="C115" s="2" t="s">
        <v>669</v>
      </c>
    </row>
    <row r="116" customFormat="false" ht="15" hidden="false" customHeight="false" outlineLevel="0" collapsed="false">
      <c r="A116" s="2" t="s">
        <v>253</v>
      </c>
      <c r="B116" s="29" t="n">
        <v>99</v>
      </c>
      <c r="C116" s="2" t="s">
        <v>670</v>
      </c>
    </row>
    <row r="117" customFormat="false" ht="15" hidden="false" customHeight="false" outlineLevel="0" collapsed="false">
      <c r="A117" s="2" t="s">
        <v>671</v>
      </c>
      <c r="B117" s="29" t="n">
        <v>10</v>
      </c>
      <c r="C117" s="2" t="s">
        <v>672</v>
      </c>
    </row>
    <row r="118" customFormat="false" ht="15" hidden="false" customHeight="false" outlineLevel="0" collapsed="false">
      <c r="A118" s="2" t="s">
        <v>673</v>
      </c>
      <c r="B118" s="29" t="n">
        <v>2</v>
      </c>
      <c r="C118" s="2" t="s">
        <v>674</v>
      </c>
    </row>
    <row r="119" customFormat="false" ht="15" hidden="false" customHeight="false" outlineLevel="0" collapsed="false">
      <c r="A119" s="2" t="s">
        <v>675</v>
      </c>
      <c r="B119" s="29" t="n">
        <v>1</v>
      </c>
      <c r="C119" s="2" t="s">
        <v>676</v>
      </c>
    </row>
    <row r="120" customFormat="false" ht="15" hidden="false" customHeight="false" outlineLevel="0" collapsed="false">
      <c r="A120" s="2" t="s">
        <v>677</v>
      </c>
      <c r="B120" s="29" t="n">
        <v>23.2</v>
      </c>
      <c r="C120" s="2" t="s">
        <v>208</v>
      </c>
    </row>
    <row r="121" customFormat="false" ht="15" hidden="false" customHeight="false" outlineLevel="0" collapsed="false">
      <c r="A121" s="2" t="s">
        <v>678</v>
      </c>
      <c r="B121" s="29" t="n">
        <v>3</v>
      </c>
      <c r="C121" s="2" t="s">
        <v>679</v>
      </c>
    </row>
    <row r="122" customFormat="false" ht="15" hidden="false" customHeight="false" outlineLevel="0" collapsed="false">
      <c r="A122" s="2" t="s">
        <v>680</v>
      </c>
      <c r="B122" s="29" t="n">
        <v>495.6</v>
      </c>
      <c r="C122" s="2" t="s">
        <v>681</v>
      </c>
    </row>
    <row r="123" customFormat="false" ht="15" hidden="false" customHeight="false" outlineLevel="0" collapsed="false">
      <c r="A123" s="2" t="s">
        <v>682</v>
      </c>
      <c r="B123" s="29" t="n">
        <v>300</v>
      </c>
      <c r="C123" s="2" t="s">
        <v>683</v>
      </c>
    </row>
    <row r="124" customFormat="false" ht="15" hidden="false" customHeight="false" outlineLevel="0" collapsed="false">
      <c r="A124" s="2" t="s">
        <v>684</v>
      </c>
      <c r="B124" s="29" t="n">
        <v>2</v>
      </c>
      <c r="C124" s="2" t="s">
        <v>685</v>
      </c>
    </row>
    <row r="125" customFormat="false" ht="15" hidden="false" customHeight="false" outlineLevel="0" collapsed="false">
      <c r="A125" s="2" t="s">
        <v>686</v>
      </c>
      <c r="B125" s="29" t="n">
        <v>4</v>
      </c>
      <c r="C125" s="2" t="s">
        <v>687</v>
      </c>
    </row>
    <row r="126" customFormat="false" ht="15" hidden="false" customHeight="false" outlineLevel="0" collapsed="false">
      <c r="A126" s="2" t="s">
        <v>688</v>
      </c>
      <c r="B126" s="29" t="n">
        <v>1</v>
      </c>
      <c r="C126" s="2" t="s">
        <v>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8" t="s">
        <v>500</v>
      </c>
      <c r="B1" s="8" t="s">
        <v>690</v>
      </c>
      <c r="C1" s="8" t="s">
        <v>501</v>
      </c>
      <c r="D1" s="8" t="s">
        <v>691</v>
      </c>
      <c r="E1" s="8" t="s">
        <v>692</v>
      </c>
      <c r="F1" s="8" t="s">
        <v>693</v>
      </c>
    </row>
    <row r="2" customFormat="false" ht="15" hidden="false" customHeight="false" outlineLevel="0" collapsed="false">
      <c r="A2" s="2" t="s">
        <v>503</v>
      </c>
      <c r="B2" s="30" t="n">
        <f aca="false">Score_today</f>
        <v>37</v>
      </c>
      <c r="C2" s="31" t="n">
        <f aca="false">Reference_Values!B2</f>
        <v>37</v>
      </c>
      <c r="D2" s="25" t="n">
        <f aca="false">ABS(B2-C2)</f>
        <v>0</v>
      </c>
      <c r="E2" s="32" t="n">
        <v>1E-009</v>
      </c>
      <c r="F2" s="4" t="str">
        <f aca="false">IF(D2&lt;=E2,"PASS","FAIL")</f>
        <v>PASS</v>
      </c>
    </row>
    <row r="3" customFormat="false" ht="15" hidden="false" customHeight="false" outlineLevel="0" collapsed="false">
      <c r="A3" s="2" t="s">
        <v>505</v>
      </c>
      <c r="B3" s="30" t="n">
        <f aca="false">Weights!B5</f>
        <v>94.2956014682046</v>
      </c>
      <c r="C3" s="31" t="n">
        <f aca="false">Reference_Values!B3</f>
        <v>94.2956014682046</v>
      </c>
      <c r="D3" s="25" t="n">
        <f aca="false">ABS(B3-C3)</f>
        <v>0</v>
      </c>
      <c r="E3" s="32" t="n">
        <v>1E-009</v>
      </c>
      <c r="F3" s="4" t="str">
        <f aca="false">IF(D3&lt;=E3,"PASS","FAIL")</f>
        <v>PASS</v>
      </c>
    </row>
    <row r="4" customFormat="false" ht="15" hidden="false" customHeight="false" outlineLevel="0" collapsed="false">
      <c r="A4" s="2" t="s">
        <v>507</v>
      </c>
      <c r="B4" s="30" t="n">
        <f aca="false">Weights!C5</f>
        <v>75.6346691353518</v>
      </c>
      <c r="C4" s="31" t="n">
        <f aca="false">Reference_Values!B4</f>
        <v>75.6346691353518</v>
      </c>
      <c r="D4" s="25" t="n">
        <f aca="false">ABS(B4-C4)</f>
        <v>0</v>
      </c>
      <c r="E4" s="32" t="n">
        <v>1E-009</v>
      </c>
      <c r="F4" s="4" t="str">
        <f aca="false">IF(D4&lt;=E4,"PASS","FAIL")</f>
        <v>PASS</v>
      </c>
    </row>
    <row r="5" customFormat="false" ht="15" hidden="false" customHeight="false" outlineLevel="0" collapsed="false">
      <c r="A5" s="2" t="s">
        <v>509</v>
      </c>
      <c r="B5" s="30" t="n">
        <f aca="false">Weights!D5</f>
        <v>73.5983309723245</v>
      </c>
      <c r="C5" s="31" t="n">
        <f aca="false">Reference_Values!B5</f>
        <v>73.5983309723245</v>
      </c>
      <c r="D5" s="25" t="n">
        <f aca="false">ABS(B5-C5)</f>
        <v>0</v>
      </c>
      <c r="E5" s="32" t="n">
        <v>1E-009</v>
      </c>
      <c r="F5" s="4" t="str">
        <f aca="false">IF(D5&lt;=E5,"PASS","FAIL")</f>
        <v>PASS</v>
      </c>
    </row>
    <row r="6" customFormat="false" ht="15" hidden="false" customHeight="false" outlineLevel="0" collapsed="false">
      <c r="A6" s="2" t="s">
        <v>510</v>
      </c>
      <c r="B6" s="30" t="n">
        <f aca="false">Weights!E5</f>
        <v>55.2177495534504</v>
      </c>
      <c r="C6" s="31" t="n">
        <f aca="false">Reference_Values!B6</f>
        <v>55.2177495534504</v>
      </c>
      <c r="D6" s="25" t="n">
        <f aca="false">ABS(B6-C6)</f>
        <v>0</v>
      </c>
      <c r="E6" s="32" t="n">
        <v>1E-009</v>
      </c>
      <c r="F6" s="4" t="str">
        <f aca="false">IF(D6&lt;=E6,"PASS","FAIL")</f>
        <v>PASS</v>
      </c>
    </row>
    <row r="7" customFormat="false" ht="15" hidden="false" customHeight="false" outlineLevel="0" collapsed="false">
      <c r="A7" s="2" t="s">
        <v>511</v>
      </c>
      <c r="B7" s="30" t="n">
        <f aca="false">Weights!B6</f>
        <v>121.107479359406</v>
      </c>
      <c r="C7" s="31" t="n">
        <f aca="false">Reference_Values!B7</f>
        <v>121.107479359406</v>
      </c>
      <c r="D7" s="25" t="n">
        <f aca="false">ABS(B7-C7)</f>
        <v>0</v>
      </c>
      <c r="E7" s="32" t="n">
        <v>1E-009</v>
      </c>
      <c r="F7" s="4" t="str">
        <f aca="false">IF(D7&lt;=E7,"PASS","FAIL")</f>
        <v>PASS</v>
      </c>
    </row>
    <row r="8" customFormat="false" ht="15" hidden="false" customHeight="false" outlineLevel="0" collapsed="false">
      <c r="A8" s="2" t="s">
        <v>512</v>
      </c>
      <c r="B8" s="30" t="n">
        <f aca="false">Weights!C6</f>
        <v>38.8595143905806</v>
      </c>
      <c r="C8" s="31" t="n">
        <f aca="false">Reference_Values!B8</f>
        <v>38.8595143905806</v>
      </c>
      <c r="D8" s="25" t="n">
        <f aca="false">ABS(B8-C8)</f>
        <v>0</v>
      </c>
      <c r="E8" s="32" t="n">
        <v>1E-009</v>
      </c>
      <c r="F8" s="4" t="str">
        <f aca="false">IF(D8&lt;=E8,"PASS","FAIL")</f>
        <v>PASS</v>
      </c>
    </row>
    <row r="9" customFormat="false" ht="15" hidden="false" customHeight="false" outlineLevel="0" collapsed="false">
      <c r="A9" s="2" t="s">
        <v>513</v>
      </c>
      <c r="B9" s="30" t="n">
        <f aca="false">Weights!D6</f>
        <v>73.6838023263144</v>
      </c>
      <c r="C9" s="31" t="n">
        <f aca="false">Reference_Values!B9</f>
        <v>73.6838023263144</v>
      </c>
      <c r="D9" s="25" t="n">
        <f aca="false">ABS(B9-C9)</f>
        <v>0</v>
      </c>
      <c r="E9" s="32" t="n">
        <v>1E-009</v>
      </c>
      <c r="F9" s="4" t="str">
        <f aca="false">IF(D9&lt;=E9,"PASS","FAIL")</f>
        <v>PASS</v>
      </c>
    </row>
    <row r="10" customFormat="false" ht="15" hidden="false" customHeight="false" outlineLevel="0" collapsed="false">
      <c r="A10" s="2" t="s">
        <v>514</v>
      </c>
      <c r="B10" s="30" t="n">
        <f aca="false">Weights!E6</f>
        <v>49.3901915476036</v>
      </c>
      <c r="C10" s="31" t="n">
        <f aca="false">Reference_Values!B10</f>
        <v>49.3901915476036</v>
      </c>
      <c r="D10" s="25" t="n">
        <f aca="false">ABS(B10-C10)</f>
        <v>0</v>
      </c>
      <c r="E10" s="32" t="n">
        <v>1E-009</v>
      </c>
      <c r="F10" s="4" t="str">
        <f aca="false">IF(D10&lt;=E10,"PASS","FAIL")</f>
        <v>PASS</v>
      </c>
    </row>
    <row r="11" customFormat="false" ht="15" hidden="false" customHeight="false" outlineLevel="0" collapsed="false">
      <c r="A11" s="2" t="s">
        <v>515</v>
      </c>
      <c r="B11" s="30" t="n">
        <f aca="false">Weights!B7</f>
        <v>105.367604652629</v>
      </c>
      <c r="C11" s="31" t="n">
        <f aca="false">Reference_Values!B11</f>
        <v>105.367604652629</v>
      </c>
      <c r="D11" s="25" t="n">
        <f aca="false">ABS(B11-C11)</f>
        <v>0</v>
      </c>
      <c r="E11" s="32" t="n">
        <v>1E-009</v>
      </c>
      <c r="F11" s="4" t="str">
        <f aca="false">IF(D11&lt;=E11,"PASS","FAIL")</f>
        <v>PASS</v>
      </c>
    </row>
    <row r="12" customFormat="false" ht="15" hidden="false" customHeight="false" outlineLevel="0" collapsed="false">
      <c r="A12" s="2" t="s">
        <v>516</v>
      </c>
      <c r="B12" s="30" t="n">
        <f aca="false">Weights!C7</f>
        <v>35.9430355293715</v>
      </c>
      <c r="C12" s="31" t="n">
        <f aca="false">Reference_Values!B12</f>
        <v>35.9430355293715</v>
      </c>
      <c r="D12" s="25" t="n">
        <f aca="false">ABS(B12-C12)</f>
        <v>0</v>
      </c>
      <c r="E12" s="32" t="n">
        <v>1E-009</v>
      </c>
      <c r="F12" s="4" t="str">
        <f aca="false">IF(D12&lt;=E12,"PASS","FAIL")</f>
        <v>PASS</v>
      </c>
    </row>
    <row r="13" customFormat="false" ht="15" hidden="false" customHeight="false" outlineLevel="0" collapsed="false">
      <c r="A13" s="2" t="s">
        <v>517</v>
      </c>
      <c r="B13" s="30" t="n">
        <f aca="false">Weights!D7</f>
        <v>78.6017034530571</v>
      </c>
      <c r="C13" s="31" t="n">
        <f aca="false">Reference_Values!B13</f>
        <v>78.6017034530571</v>
      </c>
      <c r="D13" s="25" t="n">
        <f aca="false">ABS(B13-C13)</f>
        <v>0</v>
      </c>
      <c r="E13" s="32" t="n">
        <v>1E-009</v>
      </c>
      <c r="F13" s="4" t="str">
        <f aca="false">IF(D13&lt;=E13,"PASS","FAIL")</f>
        <v>PASS</v>
      </c>
    </row>
    <row r="14" customFormat="false" ht="15" hidden="false" customHeight="false" outlineLevel="0" collapsed="false">
      <c r="A14" s="2" t="s">
        <v>518</v>
      </c>
      <c r="B14" s="30" t="n">
        <f aca="false">Weights!E7</f>
        <v>66.3306095195547</v>
      </c>
      <c r="C14" s="31" t="n">
        <f aca="false">Reference_Values!B14</f>
        <v>66.3306095195547</v>
      </c>
      <c r="D14" s="25" t="n">
        <f aca="false">ABS(B14-C14)</f>
        <v>0</v>
      </c>
      <c r="E14" s="32" t="n">
        <v>1E-009</v>
      </c>
      <c r="F14" s="4" t="str">
        <f aca="false">IF(D14&lt;=E14,"PASS","FAIL")</f>
        <v>PASS</v>
      </c>
    </row>
    <row r="15" customFormat="false" ht="15" hidden="false" customHeight="false" outlineLevel="0" collapsed="false">
      <c r="A15" s="2" t="s">
        <v>519</v>
      </c>
      <c r="B15" s="30" t="n">
        <f aca="false">Weights!F5</f>
        <v>47.0777130056076</v>
      </c>
      <c r="C15" s="31" t="n">
        <f aca="false">Reference_Values!B15</f>
        <v>47.0777130056076</v>
      </c>
      <c r="D15" s="25" t="n">
        <f aca="false">ABS(B15-C15)</f>
        <v>0</v>
      </c>
      <c r="E15" s="32" t="n">
        <v>1E-009</v>
      </c>
      <c r="F15" s="4" t="str">
        <f aca="false">IF(D15&lt;=E15,"PASS","FAIL")</f>
        <v>PASS</v>
      </c>
    </row>
    <row r="16" customFormat="false" ht="15" hidden="false" customHeight="false" outlineLevel="0" collapsed="false">
      <c r="A16" s="2" t="s">
        <v>521</v>
      </c>
      <c r="B16" s="30" t="n">
        <f aca="false">Weights!F6</f>
        <v>46.0651511321744</v>
      </c>
      <c r="C16" s="31" t="n">
        <f aca="false">Reference_Values!B16</f>
        <v>46.0651511321744</v>
      </c>
      <c r="D16" s="25" t="n">
        <f aca="false">ABS(B16-C16)</f>
        <v>0</v>
      </c>
      <c r="E16" s="32" t="n">
        <v>1E-009</v>
      </c>
      <c r="F16" s="4" t="str">
        <f aca="false">IF(D16&lt;=E16,"PASS","FAIL")</f>
        <v>PASS</v>
      </c>
    </row>
    <row r="17" customFormat="false" ht="15" hidden="false" customHeight="false" outlineLevel="0" collapsed="false">
      <c r="A17" s="2" t="s">
        <v>522</v>
      </c>
      <c r="B17" s="30" t="n">
        <f aca="false">Weights!F7</f>
        <v>38.3954335288757</v>
      </c>
      <c r="C17" s="31" t="n">
        <f aca="false">Reference_Values!B17</f>
        <v>38.3954335288757</v>
      </c>
      <c r="D17" s="25" t="n">
        <f aca="false">ABS(B17-C17)</f>
        <v>0</v>
      </c>
      <c r="E17" s="32" t="n">
        <v>1E-009</v>
      </c>
      <c r="F17" s="4" t="str">
        <f aca="false">IF(D17&lt;=E17,"PASS","FAIL")</f>
        <v>PASS</v>
      </c>
    </row>
    <row r="18" customFormat="false" ht="15" hidden="false" customHeight="false" outlineLevel="0" collapsed="false">
      <c r="A18" s="2" t="s">
        <v>269</v>
      </c>
      <c r="B18" s="30" t="n">
        <f aca="false">Weights!D22</f>
        <v>0</v>
      </c>
      <c r="C18" s="31" t="n">
        <f aca="false">Reference_Values!B18</f>
        <v>0</v>
      </c>
      <c r="D18" s="25" t="n">
        <f aca="false">ABS(B18-C18)</f>
        <v>0</v>
      </c>
      <c r="E18" s="32" t="n">
        <v>0</v>
      </c>
      <c r="F18" s="4" t="str">
        <f aca="false">IF(D18&lt;=E18,"PASS","FAIL")</f>
        <v>PASS</v>
      </c>
    </row>
    <row r="19" customFormat="false" ht="15" hidden="false" customHeight="false" outlineLevel="0" collapsed="false">
      <c r="A19" s="2" t="s">
        <v>271</v>
      </c>
      <c r="B19" s="30" t="n">
        <f aca="false">Weights!B27</f>
        <v>36.7751547447712</v>
      </c>
      <c r="C19" s="31" t="n">
        <f aca="false">Reference_Values!B19</f>
        <v>36.7751547447712</v>
      </c>
      <c r="D19" s="25" t="n">
        <f aca="false">ABS(B19-C19)</f>
        <v>0</v>
      </c>
      <c r="E19" s="32" t="n">
        <v>1E-009</v>
      </c>
      <c r="F19" s="4" t="str">
        <f aca="false">IF(D19&lt;=E19,"PASS","FAIL")</f>
        <v>PASS</v>
      </c>
    </row>
    <row r="20" customFormat="false" ht="15" hidden="false" customHeight="false" outlineLevel="0" collapsed="false">
      <c r="A20" s="2" t="s">
        <v>273</v>
      </c>
      <c r="B20" s="30" t="n">
        <f aca="false">Weights!B28</f>
        <v>26.8118778912017</v>
      </c>
      <c r="C20" s="31" t="n">
        <f aca="false">Reference_Values!B20</f>
        <v>26.8118778912017</v>
      </c>
      <c r="D20" s="25" t="n">
        <f aca="false">ABS(B20-C20)</f>
        <v>0</v>
      </c>
      <c r="E20" s="32" t="n">
        <v>1E-009</v>
      </c>
      <c r="F20" s="4" t="str">
        <f aca="false">IF(D20&lt;=E20,"PASS","FAIL")</f>
        <v>PASS</v>
      </c>
    </row>
    <row r="21" customFormat="false" ht="15" hidden="false" customHeight="false" outlineLevel="0" collapsed="false">
      <c r="A21" s="2" t="s">
        <v>275</v>
      </c>
      <c r="B21" s="30" t="n">
        <f aca="false">Weights!B29</f>
        <v>5.82755800584685</v>
      </c>
      <c r="C21" s="31" t="n">
        <f aca="false">Reference_Values!B21</f>
        <v>5.82755800584685</v>
      </c>
      <c r="D21" s="25" t="n">
        <f aca="false">ABS(B21-C21)</f>
        <v>0</v>
      </c>
      <c r="E21" s="32" t="n">
        <v>1E-009</v>
      </c>
      <c r="F21" s="4" t="str">
        <f aca="false">IF(D21&lt;=E21,"PASS","FAIL")</f>
        <v>PASS</v>
      </c>
    </row>
    <row r="22" customFormat="false" ht="15" hidden="false" customHeight="false" outlineLevel="0" collapsed="false">
      <c r="A22" s="2" t="s">
        <v>277</v>
      </c>
      <c r="B22" s="30" t="n">
        <f aca="false">Weights!B30</f>
        <v>0.085471353989945</v>
      </c>
      <c r="C22" s="31" t="n">
        <f aca="false">Reference_Values!B22</f>
        <v>0.085471353989945</v>
      </c>
      <c r="D22" s="25" t="n">
        <f aca="false">ABS(B22-C22)</f>
        <v>0</v>
      </c>
      <c r="E22" s="32" t="n">
        <v>1E-009</v>
      </c>
      <c r="F22" s="4" t="str">
        <f aca="false">IF(D22&lt;=E22,"PASS","FAIL")</f>
        <v>PASS</v>
      </c>
    </row>
    <row r="23" customFormat="false" ht="15" hidden="false" customHeight="false" outlineLevel="0" collapsed="false">
      <c r="A23" s="2" t="s">
        <v>528</v>
      </c>
      <c r="B23" s="30" t="n">
        <f aca="false">Weights!B31</f>
        <v>1.01256187343318</v>
      </c>
      <c r="C23" s="31" t="n">
        <f aca="false">Reference_Values!B23</f>
        <v>1.01256187343318</v>
      </c>
      <c r="D23" s="25" t="n">
        <f aca="false">ABS(B23-C23)</f>
        <v>0</v>
      </c>
      <c r="E23" s="32" t="n">
        <v>1E-009</v>
      </c>
      <c r="F23" s="4" t="str">
        <f aca="false">IF(D23&lt;=E23,"PASS","FAIL")</f>
        <v>PASS</v>
      </c>
    </row>
    <row r="24" customFormat="false" ht="15" hidden="false" customHeight="false" outlineLevel="0" collapsed="false">
      <c r="A24" s="2" t="s">
        <v>530</v>
      </c>
      <c r="B24" s="30" t="n">
        <f aca="false">Weights!B32</f>
        <v>0.63587032635973</v>
      </c>
      <c r="C24" s="31" t="n">
        <f aca="false">Reference_Values!B24</f>
        <v>0.63587032635973</v>
      </c>
      <c r="D24" s="25" t="n">
        <f aca="false">ABS(B24-C24)</f>
        <v>0</v>
      </c>
      <c r="E24" s="32" t="n">
        <v>1E-009</v>
      </c>
      <c r="F24" s="4" t="str">
        <f aca="false">IF(D24&lt;=E24,"PASS","FAIL")</f>
        <v>PASS</v>
      </c>
    </row>
    <row r="25" customFormat="false" ht="15" hidden="false" customHeight="false" outlineLevel="0" collapsed="false">
      <c r="A25" s="2" t="s">
        <v>284</v>
      </c>
      <c r="B25" s="30" t="n">
        <f aca="false">Weights!B34</f>
        <v>1.59240309141324</v>
      </c>
      <c r="C25" s="31" t="n">
        <f aca="false">Reference_Values!B25</f>
        <v>1.59240309141324</v>
      </c>
      <c r="D25" s="25" t="n">
        <f aca="false">ABS(B25-C25)</f>
        <v>0</v>
      </c>
      <c r="E25" s="32" t="n">
        <v>1E-009</v>
      </c>
      <c r="F25" s="4" t="str">
        <f aca="false">IF(D25&lt;=E25,"PASS","FAIL")</f>
        <v>PASS</v>
      </c>
    </row>
    <row r="26" customFormat="false" ht="15" hidden="false" customHeight="false" outlineLevel="0" collapsed="false">
      <c r="A26" s="2" t="s">
        <v>286</v>
      </c>
      <c r="B26" s="30" t="n">
        <f aca="false">Weights!B35</f>
        <v>26.5924030914132</v>
      </c>
      <c r="C26" s="31" t="n">
        <f aca="false">Reference_Values!B26</f>
        <v>26.5924030914132</v>
      </c>
      <c r="D26" s="25" t="n">
        <f aca="false">ABS(B26-C26)</f>
        <v>0</v>
      </c>
      <c r="E26" s="32" t="n">
        <v>1E-009</v>
      </c>
      <c r="F26" s="4" t="str">
        <f aca="false">IF(D26&lt;=E26,"PASS","FAIL")</f>
        <v>PASS</v>
      </c>
    </row>
    <row r="27" customFormat="false" ht="15" hidden="false" customHeight="false" outlineLevel="0" collapsed="false">
      <c r="A27" s="2" t="s">
        <v>288</v>
      </c>
      <c r="B27" s="30" t="n">
        <f aca="false">Weights!B36</f>
        <v>23.4075969085868</v>
      </c>
      <c r="C27" s="31" t="n">
        <f aca="false">Reference_Values!B27</f>
        <v>23.4075969085868</v>
      </c>
      <c r="D27" s="25" t="n">
        <f aca="false">ABS(B27-C27)</f>
        <v>0</v>
      </c>
      <c r="E27" s="32" t="n">
        <v>1E-009</v>
      </c>
      <c r="F27" s="4" t="str">
        <f aca="false">IF(D27&lt;=E27,"PASS","FAIL")</f>
        <v>PASS</v>
      </c>
    </row>
    <row r="28" customFormat="false" ht="15" hidden="false" customHeight="false" outlineLevel="0" collapsed="false">
      <c r="A28" s="2" t="s">
        <v>535</v>
      </c>
      <c r="B28" s="30" t="n">
        <f aca="false">Weights!F48</f>
        <v>47.4509316522647</v>
      </c>
      <c r="C28" s="31" t="n">
        <f aca="false">Reference_Values!B28</f>
        <v>47.4509316522647</v>
      </c>
      <c r="D28" s="25" t="n">
        <f aca="false">ABS(B28-C28)</f>
        <v>0</v>
      </c>
      <c r="E28" s="32" t="n">
        <v>1E-009</v>
      </c>
      <c r="F28" s="4" t="str">
        <f aca="false">IF(D28&lt;=E28,"PASS","FAIL")</f>
        <v>PASS</v>
      </c>
    </row>
    <row r="29" customFormat="false" ht="15" hidden="false" customHeight="false" outlineLevel="0" collapsed="false">
      <c r="A29" s="2" t="s">
        <v>537</v>
      </c>
      <c r="B29" s="30" t="n">
        <f aca="false">Weights!G48</f>
        <v>47.7101104315509</v>
      </c>
      <c r="C29" s="31" t="n">
        <f aca="false">Reference_Values!B29</f>
        <v>47.7101104315509</v>
      </c>
      <c r="D29" s="25" t="n">
        <f aca="false">ABS(B29-C29)</f>
        <v>0</v>
      </c>
      <c r="E29" s="32" t="n">
        <v>1E-009</v>
      </c>
      <c r="F29" s="4" t="str">
        <f aca="false">IF(D29&lt;=E29,"PASS","FAIL")</f>
        <v>PASS</v>
      </c>
    </row>
    <row r="30" customFormat="false" ht="15" hidden="false" customHeight="false" outlineLevel="0" collapsed="false">
      <c r="A30" s="2" t="s">
        <v>539</v>
      </c>
      <c r="B30" s="30" t="n">
        <f aca="false">Weights!H48</f>
        <v>39.7839249113408</v>
      </c>
      <c r="C30" s="31" t="n">
        <f aca="false">Reference_Values!B30</f>
        <v>39.7839249113408</v>
      </c>
      <c r="D30" s="25" t="n">
        <f aca="false">ABS(B30-C30)</f>
        <v>0</v>
      </c>
      <c r="E30" s="32" t="n">
        <v>1E-009</v>
      </c>
      <c r="F30" s="4" t="str">
        <f aca="false">IF(D30&lt;=E30,"PASS","FAIL")</f>
        <v>PASS</v>
      </c>
    </row>
    <row r="31" customFormat="false" ht="15" hidden="false" customHeight="false" outlineLevel="0" collapsed="false">
      <c r="A31" s="2" t="s">
        <v>541</v>
      </c>
      <c r="B31" s="30" t="n">
        <f aca="false">Weights!B37</f>
        <v>2.37675445542723</v>
      </c>
      <c r="C31" s="31" t="n">
        <f aca="false">Reference_Values!B31</f>
        <v>2.37675445542723</v>
      </c>
      <c r="D31" s="25" t="n">
        <f aca="false">ABS(B31-C31)</f>
        <v>0</v>
      </c>
      <c r="E31" s="32" t="n">
        <v>1E-009</v>
      </c>
      <c r="F31" s="4" t="str">
        <f aca="false">IF(D31&lt;=E31,"PASS","FAIL")</f>
        <v>PASS</v>
      </c>
    </row>
    <row r="32" customFormat="false" ht="15" hidden="false" customHeight="false" outlineLevel="0" collapsed="false">
      <c r="A32" s="2" t="s">
        <v>543</v>
      </c>
      <c r="B32" s="30" t="n">
        <f aca="false">Weights!B38</f>
        <v>2.74700128728202</v>
      </c>
      <c r="C32" s="31" t="n">
        <f aca="false">Reference_Values!B32</f>
        <v>2.74700128728202</v>
      </c>
      <c r="D32" s="25" t="n">
        <f aca="false">ABS(B32-C32)</f>
        <v>0</v>
      </c>
      <c r="E32" s="32" t="n">
        <v>1E-009</v>
      </c>
      <c r="F32" s="4" t="str">
        <f aca="false">IF(D32&lt;=E32,"PASS","FAIL")</f>
        <v>PASS</v>
      </c>
    </row>
    <row r="33" customFormat="false" ht="15" hidden="false" customHeight="false" outlineLevel="0" collapsed="false">
      <c r="A33" s="2" t="s">
        <v>545</v>
      </c>
      <c r="B33" s="30" t="n">
        <f aca="false">Weights!B40</f>
        <v>1.59240309141324</v>
      </c>
      <c r="C33" s="31" t="n">
        <f aca="false">Reference_Values!B33</f>
        <v>1.59240309141324</v>
      </c>
      <c r="D33" s="25" t="n">
        <f aca="false">ABS(B33-C33)</f>
        <v>0</v>
      </c>
      <c r="E33" s="32" t="n">
        <v>1E-009</v>
      </c>
      <c r="F33" s="4" t="str">
        <f aca="false">IF(D33&lt;=E33,"PASS","FAIL")</f>
        <v>PASS</v>
      </c>
    </row>
    <row r="34" customFormat="false" ht="15" hidden="false" customHeight="false" outlineLevel="0" collapsed="false">
      <c r="A34" s="2" t="s">
        <v>547</v>
      </c>
      <c r="B34" s="30" t="n">
        <f aca="false">Yardsticks!F13</f>
        <v>41.399919979106</v>
      </c>
      <c r="C34" s="31" t="n">
        <f aca="false">Reference_Values!B34</f>
        <v>41.399919979106</v>
      </c>
      <c r="D34" s="25" t="n">
        <f aca="false">ABS(B34-C34)</f>
        <v>0</v>
      </c>
      <c r="E34" s="32" t="n">
        <v>1E-009</v>
      </c>
      <c r="F34" s="4" t="str">
        <f aca="false">IF(D34&lt;=E34,"PASS","FAIL")</f>
        <v>PASS</v>
      </c>
    </row>
    <row r="35" customFormat="false" ht="15" hidden="false" customHeight="false" outlineLevel="0" collapsed="false">
      <c r="A35" s="2" t="s">
        <v>549</v>
      </c>
      <c r="B35" s="30" t="n">
        <f aca="false">Yardsticks!F14</f>
        <v>52.2640294257717</v>
      </c>
      <c r="C35" s="31" t="n">
        <f aca="false">Reference_Values!B35</f>
        <v>52.2640294257717</v>
      </c>
      <c r="D35" s="25" t="n">
        <f aca="false">ABS(B35-C35)</f>
        <v>0</v>
      </c>
      <c r="E35" s="32" t="n">
        <v>1E-009</v>
      </c>
      <c r="F35" s="4" t="str">
        <f aca="false">IF(D35&lt;=E35,"PASS","FAIL")</f>
        <v>PASS</v>
      </c>
    </row>
    <row r="36" customFormat="false" ht="15" hidden="false" customHeight="false" outlineLevel="0" collapsed="false">
      <c r="A36" s="2" t="s">
        <v>550</v>
      </c>
      <c r="B36" s="30" t="n">
        <f aca="false">Yardsticks!F15</f>
        <v>35.3237856271693</v>
      </c>
      <c r="C36" s="31" t="n">
        <f aca="false">Reference_Values!B36</f>
        <v>35.3237856271693</v>
      </c>
      <c r="D36" s="25" t="n">
        <f aca="false">ABS(B36-C36)</f>
        <v>0</v>
      </c>
      <c r="E36" s="32" t="n">
        <v>1E-009</v>
      </c>
      <c r="F36" s="4" t="str">
        <f aca="false">IF(D36&lt;=E36,"PASS","FAIL")</f>
        <v>PASS</v>
      </c>
    </row>
    <row r="37" customFormat="false" ht="15" hidden="false" customHeight="false" outlineLevel="0" collapsed="false">
      <c r="A37" s="2" t="s">
        <v>551</v>
      </c>
      <c r="B37" s="30" t="n">
        <f aca="false">Yardsticks!B12</f>
        <v>26.8118778912017</v>
      </c>
      <c r="C37" s="31" t="n">
        <f aca="false">Reference_Values!B37</f>
        <v>26.8118778912017</v>
      </c>
      <c r="D37" s="25" t="n">
        <f aca="false">ABS(B37-C37)</f>
        <v>0</v>
      </c>
      <c r="E37" s="32" t="n">
        <v>1E-009</v>
      </c>
      <c r="F37" s="4" t="str">
        <f aca="false">IF(D37&lt;=E37,"PASS","FAIL")</f>
        <v>PASS</v>
      </c>
    </row>
    <row r="38" customFormat="false" ht="15" hidden="false" customHeight="false" outlineLevel="0" collapsed="false">
      <c r="A38" s="2" t="s">
        <v>553</v>
      </c>
      <c r="B38" s="30" t="n">
        <f aca="false">Yardsticks!C12</f>
        <v>39.6916336059803</v>
      </c>
      <c r="C38" s="31" t="n">
        <f aca="false">Reference_Values!B38</f>
        <v>39.6916336059803</v>
      </c>
      <c r="D38" s="25" t="n">
        <f aca="false">ABS(B38-C38)</f>
        <v>0</v>
      </c>
      <c r="E38" s="32" t="n">
        <v>1E-009</v>
      </c>
      <c r="F38" s="4" t="str">
        <f aca="false">IF(D38&lt;=E38,"PASS","FAIL")</f>
        <v>PASS</v>
      </c>
    </row>
    <row r="39" customFormat="false" ht="15" hidden="false" customHeight="false" outlineLevel="0" collapsed="false">
      <c r="A39" s="2" t="s">
        <v>554</v>
      </c>
      <c r="B39" s="30" t="n">
        <f aca="false">Yardsticks!D12</f>
        <v>5.00337248073262</v>
      </c>
      <c r="C39" s="31" t="n">
        <f aca="false">Reference_Values!B39</f>
        <v>5.00337248073262</v>
      </c>
      <c r="D39" s="25" t="n">
        <f aca="false">ABS(B39-C39)</f>
        <v>0</v>
      </c>
      <c r="E39" s="32" t="n">
        <v>1E-009</v>
      </c>
      <c r="F39" s="4" t="str">
        <f aca="false">IF(D39&lt;=E39,"PASS","FAIL")</f>
        <v>PASS</v>
      </c>
    </row>
    <row r="40" customFormat="false" ht="15" hidden="false" customHeight="false" outlineLevel="0" collapsed="false">
      <c r="A40" s="2" t="s">
        <v>555</v>
      </c>
      <c r="B40" s="30" t="n">
        <f aca="false">Yardsticks!E12</f>
        <v>16.9404179719512</v>
      </c>
      <c r="C40" s="31" t="n">
        <f aca="false">Reference_Values!B40</f>
        <v>16.9404179719512</v>
      </c>
      <c r="D40" s="25" t="n">
        <f aca="false">ABS(B40-C40)</f>
        <v>0</v>
      </c>
      <c r="E40" s="32" t="n">
        <v>1E-009</v>
      </c>
      <c r="F40" s="4" t="str">
        <f aca="false">IF(D40&lt;=E40,"PASS","FAIL")</f>
        <v>PASS</v>
      </c>
    </row>
    <row r="41" customFormat="false" ht="15" hidden="false" customHeight="false" outlineLevel="0" collapsed="false">
      <c r="A41" s="2" t="s">
        <v>556</v>
      </c>
      <c r="B41" s="30" t="n">
        <f aca="false">Yardsticks!B20</f>
        <v>34.4003200835762</v>
      </c>
      <c r="C41" s="31" t="n">
        <f aca="false">Reference_Values!B41</f>
        <v>34.4003200835762</v>
      </c>
      <c r="D41" s="25" t="n">
        <f aca="false">ABS(B41-C41)</f>
        <v>0</v>
      </c>
      <c r="E41" s="32" t="n">
        <v>1E-009</v>
      </c>
      <c r="F41" s="4" t="str">
        <f aca="false">IF(D41&lt;=E41,"PASS","FAIL")</f>
        <v>PASS</v>
      </c>
    </row>
    <row r="42" customFormat="false" ht="15" hidden="false" customHeight="false" outlineLevel="0" collapsed="false">
      <c r="A42" s="2" t="s">
        <v>558</v>
      </c>
      <c r="B42" s="30" t="n">
        <f aca="false">Yardsticks!B21</f>
        <v>92.6521571519052</v>
      </c>
      <c r="C42" s="31" t="n">
        <f aca="false">Reference_Values!B42</f>
        <v>92.6521571519052</v>
      </c>
      <c r="D42" s="25" t="n">
        <f aca="false">ABS(B42-C42)</f>
        <v>0</v>
      </c>
      <c r="E42" s="32" t="n">
        <v>1E-009</v>
      </c>
      <c r="F42" s="4" t="str">
        <f aca="false">IF(D42&lt;=E42,"PASS","FAIL")</f>
        <v>PASS</v>
      </c>
    </row>
    <row r="43" customFormat="false" ht="15" hidden="false" customHeight="false" outlineLevel="0" collapsed="false">
      <c r="A43" s="2" t="s">
        <v>560</v>
      </c>
      <c r="B43" s="30" t="n">
        <f aca="false">Yardsticks!B22</f>
        <v>100</v>
      </c>
      <c r="C43" s="31" t="n">
        <f aca="false">Reference_Values!B43</f>
        <v>100</v>
      </c>
      <c r="D43" s="25" t="n">
        <f aca="false">ABS(B43-C43)</f>
        <v>0</v>
      </c>
      <c r="E43" s="32" t="n">
        <v>1E-009</v>
      </c>
      <c r="F43" s="4" t="str">
        <f aca="false">IF(D43&lt;=E43,"PASS","FAIL")</f>
        <v>PASS</v>
      </c>
    </row>
    <row r="44" customFormat="false" ht="15" hidden="false" customHeight="false" outlineLevel="0" collapsed="false">
      <c r="A44" s="2" t="s">
        <v>562</v>
      </c>
      <c r="B44" s="30" t="n">
        <f aca="false">Yardsticks!F25</f>
        <v>24.0380729119675</v>
      </c>
      <c r="C44" s="31" t="n">
        <f aca="false">Reference_Values!B44</f>
        <v>24.0380729119675</v>
      </c>
      <c r="D44" s="25" t="n">
        <f aca="false">ABS(B44-C44)</f>
        <v>0</v>
      </c>
      <c r="E44" s="32" t="n">
        <v>1E-009</v>
      </c>
      <c r="F44" s="4" t="str">
        <f aca="false">IF(D44&lt;=E44,"PASS","FAIL")</f>
        <v>PASS</v>
      </c>
    </row>
    <row r="45" customFormat="false" ht="15" hidden="false" customHeight="false" outlineLevel="0" collapsed="false">
      <c r="A45" s="2" t="s">
        <v>564</v>
      </c>
      <c r="B45" s="30" t="n">
        <f aca="false">Yardsticks!F26</f>
        <v>10.6236529336087</v>
      </c>
      <c r="C45" s="31" t="n">
        <f aca="false">Reference_Values!B45</f>
        <v>10.6236529336087</v>
      </c>
      <c r="D45" s="25" t="n">
        <f aca="false">ABS(B45-C45)</f>
        <v>0</v>
      </c>
      <c r="E45" s="32" t="n">
        <v>1E-009</v>
      </c>
      <c r="F45" s="4" t="str">
        <f aca="false">IF(D45&lt;=E45,"PASS","FAIL")</f>
        <v>PASS</v>
      </c>
    </row>
    <row r="46" customFormat="false" ht="15" hidden="false" customHeight="false" outlineLevel="0" collapsed="false">
      <c r="A46" s="2" t="s">
        <v>565</v>
      </c>
      <c r="B46" s="30" t="n">
        <f aca="false">Yardsticks!F27</f>
        <v>0.0246480439088654</v>
      </c>
      <c r="C46" s="31" t="n">
        <f aca="false">Reference_Values!B46</f>
        <v>0.0246480439088654</v>
      </c>
      <c r="D46" s="25" t="n">
        <f aca="false">ABS(B46-C46)</f>
        <v>0</v>
      </c>
      <c r="E46" s="32" t="n">
        <v>1E-009</v>
      </c>
      <c r="F46" s="4" t="str">
        <f aca="false">IF(D46&lt;=E46,"PASS","FAIL")</f>
        <v>PASS</v>
      </c>
    </row>
    <row r="47" customFormat="false" ht="15" hidden="false" customHeight="false" outlineLevel="0" collapsed="false">
      <c r="A47" s="2" t="s">
        <v>333</v>
      </c>
      <c r="B47" s="30" t="n">
        <f aca="false">Yardsticks!B31</f>
        <v>84.4748027691508</v>
      </c>
      <c r="C47" s="31" t="n">
        <f aca="false">Reference_Values!B47</f>
        <v>84.4748027691508</v>
      </c>
      <c r="D47" s="25" t="n">
        <f aca="false">ABS(B47-C47)</f>
        <v>0</v>
      </c>
      <c r="E47" s="32" t="n">
        <v>1E-009</v>
      </c>
      <c r="F47" s="4" t="str">
        <f aca="false">IF(D47&lt;=E47,"PASS","FAIL")</f>
        <v>PASS</v>
      </c>
    </row>
    <row r="48" customFormat="false" ht="15" hidden="false" customHeight="false" outlineLevel="0" collapsed="false">
      <c r="A48" s="2" t="s">
        <v>567</v>
      </c>
      <c r="B48" s="30" t="n">
        <f aca="false">Yardsticks!B30</f>
        <v>13.4144199783588</v>
      </c>
      <c r="C48" s="31" t="n">
        <f aca="false">Reference_Values!B48</f>
        <v>13.4144199783588</v>
      </c>
      <c r="D48" s="25" t="n">
        <f aca="false">ABS(B48-C48)</f>
        <v>0</v>
      </c>
      <c r="E48" s="32" t="n">
        <v>1E-009</v>
      </c>
      <c r="F48" s="4" t="str">
        <f aca="false">IF(D48&lt;=E48,"PASS","FAIL")</f>
        <v>PASS</v>
      </c>
    </row>
    <row r="49" customFormat="false" ht="15" hidden="false" customHeight="false" outlineLevel="0" collapsed="false">
      <c r="A49" s="2" t="s">
        <v>569</v>
      </c>
      <c r="B49" s="30" t="n">
        <f aca="false">100*Yardsticks!B17</f>
        <v>11.6049910782311</v>
      </c>
      <c r="C49" s="31" t="n">
        <f aca="false">Reference_Values!B49</f>
        <v>11.6049910782311</v>
      </c>
      <c r="D49" s="25" t="n">
        <f aca="false">ABS(B49-C49)</f>
        <v>0</v>
      </c>
      <c r="E49" s="32" t="n">
        <v>1E-009</v>
      </c>
      <c r="F49" s="4" t="str">
        <f aca="false">IF(D49&lt;=E49,"PASS","FAIL")</f>
        <v>PASS</v>
      </c>
    </row>
    <row r="50" customFormat="false" ht="15" hidden="false" customHeight="false" outlineLevel="0" collapsed="false">
      <c r="A50" s="2" t="s">
        <v>571</v>
      </c>
      <c r="B50" s="30" t="n">
        <f aca="false">100*Yardsticks!C17</f>
        <v>7.8392239232788</v>
      </c>
      <c r="C50" s="31" t="n">
        <f aca="false">Reference_Values!B50</f>
        <v>7.8392239232788</v>
      </c>
      <c r="D50" s="25" t="n">
        <f aca="false">ABS(B50-C50)</f>
        <v>0</v>
      </c>
      <c r="E50" s="32" t="n">
        <v>1E-009</v>
      </c>
      <c r="F50" s="4" t="str">
        <f aca="false">IF(D50&lt;=E50,"PASS","FAIL")</f>
        <v>PASS</v>
      </c>
    </row>
    <row r="51" customFormat="false" ht="15" hidden="false" customHeight="false" outlineLevel="0" collapsed="false">
      <c r="A51" s="2" t="s">
        <v>572</v>
      </c>
      <c r="B51" s="30" t="n">
        <f aca="false">100*Yardsticks!D17</f>
        <v>62.1883749243584</v>
      </c>
      <c r="C51" s="31" t="n">
        <f aca="false">Reference_Values!B51</f>
        <v>62.1883749243584</v>
      </c>
      <c r="D51" s="25" t="n">
        <f aca="false">ABS(B51-C51)</f>
        <v>0</v>
      </c>
      <c r="E51" s="32" t="n">
        <v>1E-009</v>
      </c>
      <c r="F51" s="4" t="str">
        <f aca="false">IF(D51&lt;=E51,"PASS","FAIL")</f>
        <v>PASS</v>
      </c>
    </row>
    <row r="52" customFormat="false" ht="15" hidden="false" customHeight="false" outlineLevel="0" collapsed="false">
      <c r="A52" s="2" t="s">
        <v>573</v>
      </c>
      <c r="B52" s="30" t="n">
        <f aca="false">100*Yardsticks!E17</f>
        <v>18.3674100741317</v>
      </c>
      <c r="C52" s="31" t="n">
        <f aca="false">Reference_Values!B52</f>
        <v>18.3674100741317</v>
      </c>
      <c r="D52" s="25" t="n">
        <f aca="false">ABS(B52-C52)</f>
        <v>0</v>
      </c>
      <c r="E52" s="32" t="n">
        <v>1E-009</v>
      </c>
      <c r="F52" s="4" t="str">
        <f aca="false">IF(D52&lt;=E52,"PASS","FAIL")</f>
        <v>PASS</v>
      </c>
    </row>
    <row r="53" customFormat="false" ht="15" hidden="false" customHeight="false" outlineLevel="0" collapsed="false">
      <c r="A53" s="2" t="s">
        <v>574</v>
      </c>
      <c r="B53" s="30" t="n">
        <f aca="false">100*Yardsticks!B29</f>
        <v>15.6006846401452</v>
      </c>
      <c r="C53" s="31" t="n">
        <f aca="false">Reference_Values!B53</f>
        <v>15.6006846401452</v>
      </c>
      <c r="D53" s="25" t="n">
        <f aca="false">ABS(B53-C53)</f>
        <v>0</v>
      </c>
      <c r="E53" s="32" t="n">
        <v>1E-009</v>
      </c>
      <c r="F53" s="4" t="str">
        <f aca="false">IF(D53&lt;=E53,"PASS","FAIL")</f>
        <v>PASS</v>
      </c>
    </row>
    <row r="54" customFormat="false" ht="15" hidden="false" customHeight="false" outlineLevel="0" collapsed="false">
      <c r="A54" s="2" t="s">
        <v>576</v>
      </c>
      <c r="B54" s="30" t="n">
        <f aca="false">100*Yardsticks!C29</f>
        <v>38.0504503418176</v>
      </c>
      <c r="C54" s="31" t="n">
        <f aca="false">Reference_Values!B54</f>
        <v>38.0504503418176</v>
      </c>
      <c r="D54" s="25" t="n">
        <f aca="false">ABS(B54-C54)</f>
        <v>0</v>
      </c>
      <c r="E54" s="32" t="n">
        <v>1E-009</v>
      </c>
      <c r="F54" s="4" t="str">
        <f aca="false">IF(D54&lt;=E54,"PASS","FAIL")</f>
        <v>PASS</v>
      </c>
    </row>
    <row r="55" customFormat="false" ht="15" hidden="false" customHeight="false" outlineLevel="0" collapsed="false">
      <c r="A55" s="2" t="s">
        <v>577</v>
      </c>
      <c r="B55" s="30" t="n">
        <f aca="false">100*Yardsticks!D29</f>
        <v>21.9727952678102</v>
      </c>
      <c r="C55" s="31" t="n">
        <f aca="false">Reference_Values!B55</f>
        <v>21.9727952678102</v>
      </c>
      <c r="D55" s="25" t="n">
        <f aca="false">ABS(B55-C55)</f>
        <v>0</v>
      </c>
      <c r="E55" s="32" t="n">
        <v>1E-009</v>
      </c>
      <c r="F55" s="4" t="str">
        <f aca="false">IF(D55&lt;=E55,"PASS","FAIL")</f>
        <v>PASS</v>
      </c>
    </row>
    <row r="56" customFormat="false" ht="15" hidden="false" customHeight="false" outlineLevel="0" collapsed="false">
      <c r="A56" s="2" t="s">
        <v>578</v>
      </c>
      <c r="B56" s="30" t="n">
        <f aca="false">100*Yardsticks!E29</f>
        <v>24.3760697502269</v>
      </c>
      <c r="C56" s="31" t="n">
        <f aca="false">Reference_Values!B56</f>
        <v>24.3760697502269</v>
      </c>
      <c r="D56" s="25" t="n">
        <f aca="false">ABS(B56-C56)</f>
        <v>0</v>
      </c>
      <c r="E56" s="32" t="n">
        <v>1E-009</v>
      </c>
      <c r="F56" s="4" t="str">
        <f aca="false">IF(D56&lt;=E56,"PASS","FAIL")</f>
        <v>PASS</v>
      </c>
    </row>
    <row r="57" customFormat="false" ht="15" hidden="false" customHeight="false" outlineLevel="0" collapsed="false">
      <c r="A57" s="2" t="s">
        <v>579</v>
      </c>
      <c r="B57" s="30" t="n">
        <f aca="false">Yardsticks!D38</f>
        <v>6</v>
      </c>
      <c r="C57" s="31" t="n">
        <f aca="false">Reference_Values!B57</f>
        <v>6</v>
      </c>
      <c r="D57" s="25" t="n">
        <f aca="false">ABS(B57-C57)</f>
        <v>0</v>
      </c>
      <c r="E57" s="32" t="n">
        <v>0</v>
      </c>
      <c r="F57" s="4" t="str">
        <f aca="false">IF(D57&lt;=E57,"PASS","FAIL")</f>
        <v>PASS</v>
      </c>
    </row>
    <row r="58" customFormat="false" ht="15" hidden="false" customHeight="false" outlineLevel="0" collapsed="false">
      <c r="A58" s="2" t="s">
        <v>581</v>
      </c>
      <c r="B58" s="30" t="n">
        <f aca="false">Yardsticks!D39</f>
        <v>7</v>
      </c>
      <c r="C58" s="31" t="n">
        <f aca="false">Reference_Values!B58</f>
        <v>7</v>
      </c>
      <c r="D58" s="25" t="n">
        <f aca="false">ABS(B58-C58)</f>
        <v>0</v>
      </c>
      <c r="E58" s="32" t="n">
        <v>0</v>
      </c>
      <c r="F58" s="4" t="str">
        <f aca="false">IF(D58&lt;=E58,"PASS","FAIL")</f>
        <v>PASS</v>
      </c>
    </row>
    <row r="59" customFormat="false" ht="15" hidden="false" customHeight="false" outlineLevel="0" collapsed="false">
      <c r="A59" s="2" t="s">
        <v>583</v>
      </c>
      <c r="B59" s="30" t="n">
        <f aca="false">Yardsticks!F45</f>
        <v>49.9451460207754</v>
      </c>
      <c r="C59" s="31" t="n">
        <f aca="false">Reference_Values!B59</f>
        <v>49.9451460207754</v>
      </c>
      <c r="D59" s="25" t="n">
        <f aca="false">ABS(B59-C59)</f>
        <v>0</v>
      </c>
      <c r="E59" s="32" t="n">
        <v>1E-009</v>
      </c>
      <c r="F59" s="4" t="str">
        <f aca="false">IF(D59&lt;=E59,"PASS","FAIL")</f>
        <v>PASS</v>
      </c>
    </row>
    <row r="60" customFormat="false" ht="15" hidden="false" customHeight="false" outlineLevel="0" collapsed="false">
      <c r="A60" s="2" t="s">
        <v>585</v>
      </c>
      <c r="B60" s="30" t="n">
        <f aca="false">Yardsticks!F46</f>
        <v>60.663279519669</v>
      </c>
      <c r="C60" s="31" t="n">
        <f aca="false">Reference_Values!B60</f>
        <v>60.663279519669</v>
      </c>
      <c r="D60" s="25" t="n">
        <f aca="false">ABS(B60-C60)</f>
        <v>0</v>
      </c>
      <c r="E60" s="32" t="n">
        <v>1E-009</v>
      </c>
      <c r="F60" s="4" t="str">
        <f aca="false">IF(D60&lt;=E60,"PASS","FAIL")</f>
        <v>PASS</v>
      </c>
    </row>
    <row r="61" customFormat="false" ht="15" hidden="false" customHeight="false" outlineLevel="0" collapsed="false">
      <c r="A61" s="2" t="s">
        <v>587</v>
      </c>
      <c r="B61" s="30" t="n">
        <f aca="false">Yardsticks!F56</f>
        <v>25</v>
      </c>
      <c r="C61" s="31" t="n">
        <f aca="false">Reference_Values!B61</f>
        <v>25</v>
      </c>
      <c r="D61" s="25" t="n">
        <f aca="false">ABS(B61-C61)</f>
        <v>0</v>
      </c>
      <c r="E61" s="32" t="n">
        <v>1E-009</v>
      </c>
      <c r="F61" s="4" t="str">
        <f aca="false">IF(D61&lt;=E61,"PASS","FAIL")</f>
        <v>PASS</v>
      </c>
    </row>
    <row r="62" customFormat="false" ht="15" hidden="false" customHeight="false" outlineLevel="0" collapsed="false">
      <c r="A62" s="2" t="s">
        <v>588</v>
      </c>
      <c r="B62" s="30" t="n">
        <f aca="false">Yardsticks!F57</f>
        <v>75</v>
      </c>
      <c r="C62" s="31" t="n">
        <f aca="false">Reference_Values!B62</f>
        <v>75</v>
      </c>
      <c r="D62" s="25" t="n">
        <f aca="false">ABS(B62-C62)</f>
        <v>0</v>
      </c>
      <c r="E62" s="32" t="n">
        <v>1E-009</v>
      </c>
      <c r="F62" s="4" t="str">
        <f aca="false">IF(D62&lt;=E62,"PASS","FAIL")</f>
        <v>PASS</v>
      </c>
    </row>
    <row r="63" customFormat="false" ht="15" hidden="false" customHeight="false" outlineLevel="0" collapsed="false">
      <c r="A63" s="2" t="s">
        <v>589</v>
      </c>
      <c r="B63" s="30" t="n">
        <f aca="false">Yardsticks!D59</f>
        <v>0.980220397192929</v>
      </c>
      <c r="C63" s="31" t="n">
        <f aca="false">Reference_Values!B63</f>
        <v>0.980220397192929</v>
      </c>
      <c r="D63" s="25" t="n">
        <f aca="false">ABS(B63-C63)</f>
        <v>0</v>
      </c>
      <c r="E63" s="32" t="n">
        <v>1E-009</v>
      </c>
      <c r="F63" s="4" t="str">
        <f aca="false">IF(D63&lt;=E63,"PASS","FAIL")</f>
        <v>PASS</v>
      </c>
    </row>
    <row r="64" customFormat="false" ht="15" hidden="false" customHeight="false" outlineLevel="0" collapsed="false">
      <c r="A64" s="2" t="s">
        <v>590</v>
      </c>
      <c r="B64" s="30" t="n">
        <f aca="false">Ratios!B7</f>
        <v>18.3333333333333</v>
      </c>
      <c r="C64" s="31" t="n">
        <f aca="false">Reference_Values!B64</f>
        <v>18.3333333333333</v>
      </c>
      <c r="D64" s="25" t="n">
        <f aca="false">ABS(B64-C64)</f>
        <v>0</v>
      </c>
      <c r="E64" s="32" t="n">
        <v>1E-009</v>
      </c>
      <c r="F64" s="4" t="str">
        <f aca="false">IF(D64&lt;=E64,"PASS","FAIL")</f>
        <v>PASS</v>
      </c>
    </row>
    <row r="65" customFormat="false" ht="15" hidden="false" customHeight="false" outlineLevel="0" collapsed="false">
      <c r="A65" s="2" t="s">
        <v>592</v>
      </c>
      <c r="B65" s="30" t="n">
        <f aca="false">Ratios!B8</f>
        <v>18</v>
      </c>
      <c r="C65" s="31" t="n">
        <f aca="false">Reference_Values!B65</f>
        <v>18</v>
      </c>
      <c r="D65" s="25" t="n">
        <f aca="false">ABS(B65-C65)</f>
        <v>0</v>
      </c>
      <c r="E65" s="32" t="n">
        <v>1E-009</v>
      </c>
      <c r="F65" s="4" t="str">
        <f aca="false">IF(D65&lt;=E65,"PASS","FAIL")</f>
        <v>PASS</v>
      </c>
    </row>
    <row r="66" customFormat="false" ht="15" hidden="false" customHeight="false" outlineLevel="0" collapsed="false">
      <c r="A66" s="2" t="s">
        <v>594</v>
      </c>
      <c r="B66" s="30" t="n">
        <f aca="false">Ratios!B9</f>
        <v>1.33333333333333</v>
      </c>
      <c r="C66" s="31" t="n">
        <f aca="false">Reference_Values!B66</f>
        <v>1.33333333333333</v>
      </c>
      <c r="D66" s="25" t="n">
        <f aca="false">ABS(B66-C66)</f>
        <v>0</v>
      </c>
      <c r="E66" s="32" t="n">
        <v>1E-009</v>
      </c>
      <c r="F66" s="4" t="str">
        <f aca="false">IF(D66&lt;=E66,"PASS","FAIL")</f>
        <v>PASS</v>
      </c>
    </row>
    <row r="67" customFormat="false" ht="15" hidden="false" customHeight="false" outlineLevel="0" collapsed="false">
      <c r="A67" s="2" t="s">
        <v>596</v>
      </c>
      <c r="B67" s="30" t="n">
        <f aca="false">Ratios!B10</f>
        <v>-1.66666666666667</v>
      </c>
      <c r="C67" s="31" t="n">
        <f aca="false">Reference_Values!B67</f>
        <v>-1.66666666666667</v>
      </c>
      <c r="D67" s="25" t="n">
        <f aca="false">ABS(B67-C67)</f>
        <v>0</v>
      </c>
      <c r="E67" s="32" t="n">
        <v>1E-009</v>
      </c>
      <c r="F67" s="4" t="str">
        <f aca="false">IF(D67&lt;=E67,"PASS","FAIL")</f>
        <v>PASS</v>
      </c>
    </row>
    <row r="68" customFormat="false" ht="15" hidden="false" customHeight="false" outlineLevel="0" collapsed="false">
      <c r="A68" s="2" t="s">
        <v>598</v>
      </c>
      <c r="B68" s="30" t="n">
        <f aca="false">Ratios!B19</f>
        <v>81.6666666666667</v>
      </c>
      <c r="C68" s="31" t="n">
        <f aca="false">Reference_Values!B68</f>
        <v>81.6666666666667</v>
      </c>
      <c r="D68" s="25" t="n">
        <f aca="false">ABS(B68-C68)</f>
        <v>0</v>
      </c>
      <c r="E68" s="32" t="n">
        <v>1E-009</v>
      </c>
      <c r="F68" s="4" t="str">
        <f aca="false">IF(D68&lt;=E68,"PASS","FAIL")</f>
        <v>PASS</v>
      </c>
    </row>
    <row r="69" customFormat="false" ht="15" hidden="false" customHeight="false" outlineLevel="0" collapsed="false">
      <c r="A69" s="2" t="s">
        <v>600</v>
      </c>
      <c r="B69" s="30" t="n">
        <f aca="false">Ratios!B20</f>
        <v>82</v>
      </c>
      <c r="C69" s="31" t="n">
        <f aca="false">Reference_Values!B69</f>
        <v>82</v>
      </c>
      <c r="D69" s="25" t="n">
        <f aca="false">ABS(B69-C69)</f>
        <v>0</v>
      </c>
      <c r="E69" s="32" t="n">
        <v>1E-009</v>
      </c>
      <c r="F69" s="4" t="str">
        <f aca="false">IF(D69&lt;=E69,"PASS","FAIL")</f>
        <v>PASS</v>
      </c>
    </row>
    <row r="70" customFormat="false" ht="15" hidden="false" customHeight="false" outlineLevel="0" collapsed="false">
      <c r="A70" s="2" t="s">
        <v>602</v>
      </c>
      <c r="B70" s="30" t="n">
        <f aca="false">Ratios!B21</f>
        <v>-1.33333333333333</v>
      </c>
      <c r="C70" s="31" t="n">
        <f aca="false">Reference_Values!B70</f>
        <v>-1.33333333333333</v>
      </c>
      <c r="D70" s="25" t="n">
        <f aca="false">ABS(B70-C70)</f>
        <v>0</v>
      </c>
      <c r="E70" s="32" t="n">
        <v>1E-009</v>
      </c>
      <c r="F70" s="4" t="str">
        <f aca="false">IF(D70&lt;=E70,"PASS","FAIL")</f>
        <v>PASS</v>
      </c>
    </row>
    <row r="71" customFormat="false" ht="15" hidden="false" customHeight="false" outlineLevel="0" collapsed="false">
      <c r="A71" s="2" t="s">
        <v>604</v>
      </c>
      <c r="B71" s="30" t="n">
        <f aca="false">Ratios!B22</f>
        <v>1.66666666666667</v>
      </c>
      <c r="C71" s="31" t="n">
        <f aca="false">Reference_Values!B71</f>
        <v>1.66666666666667</v>
      </c>
      <c r="D71" s="25" t="n">
        <f aca="false">ABS(B71-C71)</f>
        <v>0</v>
      </c>
      <c r="E71" s="32" t="n">
        <v>1E-009</v>
      </c>
      <c r="F71" s="4" t="str">
        <f aca="false">IF(D71&lt;=E71,"PASS","FAIL")</f>
        <v>PASS</v>
      </c>
    </row>
    <row r="72" customFormat="false" ht="15" hidden="false" customHeight="false" outlineLevel="0" collapsed="false">
      <c r="A72" s="2" t="s">
        <v>606</v>
      </c>
      <c r="B72" s="30" t="n">
        <f aca="false">Ratios!B24</f>
        <v>82.5</v>
      </c>
      <c r="C72" s="31" t="n">
        <f aca="false">Reference_Values!B72</f>
        <v>82.5</v>
      </c>
      <c r="D72" s="25" t="n">
        <f aca="false">ABS(B72-C72)</f>
        <v>0</v>
      </c>
      <c r="E72" s="32" t="n">
        <v>1E-009</v>
      </c>
      <c r="F72" s="4" t="str">
        <f aca="false">IF(D72&lt;=E72,"PASS","FAIL")</f>
        <v>PASS</v>
      </c>
    </row>
    <row r="73" customFormat="false" ht="15" hidden="false" customHeight="false" outlineLevel="0" collapsed="false">
      <c r="A73" s="2" t="s">
        <v>608</v>
      </c>
      <c r="B73" s="30" t="n">
        <f aca="false">Ratios!B25</f>
        <v>81</v>
      </c>
      <c r="C73" s="31" t="n">
        <f aca="false">Reference_Values!B73</f>
        <v>81</v>
      </c>
      <c r="D73" s="25" t="n">
        <f aca="false">ABS(B73-C73)</f>
        <v>0</v>
      </c>
      <c r="E73" s="32" t="n">
        <v>1E-009</v>
      </c>
      <c r="F73" s="4" t="str">
        <f aca="false">IF(D73&lt;=E73,"PASS","FAIL")</f>
        <v>PASS</v>
      </c>
    </row>
    <row r="74" customFormat="false" ht="15" hidden="false" customHeight="false" outlineLevel="0" collapsed="false">
      <c r="A74" s="2" t="s">
        <v>610</v>
      </c>
      <c r="B74" s="30" t="n">
        <f aca="false">Ratios!B51</f>
        <v>0.388888888888889</v>
      </c>
      <c r="C74" s="31" t="n">
        <f aca="false">Reference_Values!B74</f>
        <v>0.388888888888889</v>
      </c>
      <c r="D74" s="25" t="n">
        <f aca="false">ABS(B74-C74)</f>
        <v>0</v>
      </c>
      <c r="E74" s="32" t="n">
        <v>1E-009</v>
      </c>
      <c r="F74" s="4" t="str">
        <f aca="false">IF(D74&lt;=E74,"PASS","FAIL")</f>
        <v>PASS</v>
      </c>
    </row>
    <row r="75" customFormat="false" ht="15" hidden="false" customHeight="false" outlineLevel="0" collapsed="false">
      <c r="A75" s="2" t="s">
        <v>612</v>
      </c>
      <c r="B75" s="30" t="n">
        <f aca="false">Ratios!B56</f>
        <v>12</v>
      </c>
      <c r="C75" s="31" t="n">
        <f aca="false">Reference_Values!B75</f>
        <v>12</v>
      </c>
      <c r="D75" s="25" t="n">
        <f aca="false">ABS(B75-C75)</f>
        <v>0</v>
      </c>
      <c r="E75" s="32" t="n">
        <v>0</v>
      </c>
      <c r="F75" s="4" t="str">
        <f aca="false">IF(D75&lt;=E75,"PASS","FAIL")</f>
        <v>PASS</v>
      </c>
    </row>
    <row r="76" customFormat="false" ht="15" hidden="false" customHeight="false" outlineLevel="0" collapsed="false">
      <c r="A76" s="2" t="s">
        <v>614</v>
      </c>
      <c r="B76" s="30" t="n">
        <f aca="false">Frontier!B110</f>
        <v>0</v>
      </c>
      <c r="C76" s="31" t="n">
        <f aca="false">Reference_Values!B76</f>
        <v>0</v>
      </c>
      <c r="D76" s="25" t="n">
        <f aca="false">ABS(B76-C76)</f>
        <v>0</v>
      </c>
      <c r="E76" s="32" t="n">
        <v>0</v>
      </c>
      <c r="F76" s="4" t="str">
        <f aca="false">IF(D76&lt;=E76,"PASS","FAIL")</f>
        <v>PASS</v>
      </c>
    </row>
    <row r="77" customFormat="false" ht="15" hidden="false" customHeight="false" outlineLevel="0" collapsed="false">
      <c r="A77" s="2" t="s">
        <v>616</v>
      </c>
      <c r="B77" s="30" t="n">
        <f aca="false">Frontier!D7</f>
        <v>3</v>
      </c>
      <c r="C77" s="31" t="n">
        <f aca="false">Reference_Values!B77</f>
        <v>3</v>
      </c>
      <c r="D77" s="25" t="n">
        <f aca="false">ABS(B77-C77)</f>
        <v>0</v>
      </c>
      <c r="E77" s="32" t="n">
        <v>0</v>
      </c>
      <c r="F77" s="4" t="str">
        <f aca="false">IF(D77&lt;=E77,"PASS","FAIL")</f>
        <v>PASS</v>
      </c>
    </row>
    <row r="78" customFormat="false" ht="15" hidden="false" customHeight="false" outlineLevel="0" collapsed="false">
      <c r="A78" s="2" t="s">
        <v>618</v>
      </c>
      <c r="B78" s="30" t="n">
        <f aca="false">Frontier!B127</f>
        <v>0.84375</v>
      </c>
      <c r="C78" s="31" t="n">
        <f aca="false">Reference_Values!B78</f>
        <v>0.84375</v>
      </c>
      <c r="D78" s="25" t="n">
        <f aca="false">ABS(B78-C78)</f>
        <v>0</v>
      </c>
      <c r="E78" s="32" t="n">
        <v>1E-009</v>
      </c>
      <c r="F78" s="4" t="str">
        <f aca="false">IF(D78&lt;=E78,"PASS","FAIL")</f>
        <v>PASS</v>
      </c>
    </row>
    <row r="79" customFormat="false" ht="15" hidden="false" customHeight="false" outlineLevel="0" collapsed="false">
      <c r="A79" s="2" t="s">
        <v>425</v>
      </c>
      <c r="B79" s="30" t="n">
        <f aca="false">Frontier!B124</f>
        <v>11.9585490989386</v>
      </c>
      <c r="C79" s="31" t="n">
        <f aca="false">Reference_Values!B79</f>
        <v>11.9585490989386</v>
      </c>
      <c r="D79" s="25" t="n">
        <f aca="false">ABS(B79-C79)</f>
        <v>0</v>
      </c>
      <c r="E79" s="32" t="n">
        <v>1E-009</v>
      </c>
      <c r="F79" s="4" t="str">
        <f aca="false">IF(D79&lt;=E79,"PASS","FAIL")</f>
        <v>PASS</v>
      </c>
    </row>
    <row r="80" customFormat="false" ht="15" hidden="false" customHeight="false" outlineLevel="0" collapsed="false">
      <c r="A80" s="2" t="s">
        <v>81</v>
      </c>
      <c r="B80" s="30" t="n">
        <f aca="false">Paths!Y4</f>
        <v>32.1064672146718</v>
      </c>
      <c r="C80" s="31" t="n">
        <f aca="false">Reference_Values!B80</f>
        <v>32.1064672146718</v>
      </c>
      <c r="D80" s="25" t="n">
        <f aca="false">ABS(B80-C80)</f>
        <v>0</v>
      </c>
      <c r="E80" s="32" t="n">
        <v>1E-009</v>
      </c>
      <c r="F80" s="4" t="str">
        <f aca="false">IF(D80&lt;=E80,"PASS","FAIL")</f>
        <v>PASS</v>
      </c>
    </row>
    <row r="81" customFormat="false" ht="15" hidden="false" customHeight="false" outlineLevel="0" collapsed="false">
      <c r="A81" s="2" t="s">
        <v>83</v>
      </c>
      <c r="B81" s="30" t="n">
        <f aca="false">Paths!Y5</f>
        <v>11</v>
      </c>
      <c r="C81" s="31" t="n">
        <f aca="false">Reference_Values!B81</f>
        <v>11</v>
      </c>
      <c r="D81" s="25" t="n">
        <f aca="false">ABS(B81-C81)</f>
        <v>0</v>
      </c>
      <c r="E81" s="32" t="n">
        <v>0</v>
      </c>
      <c r="F81" s="4" t="str">
        <f aca="false">IF(D81&lt;=E81,"PASS","FAIL")</f>
        <v>PASS</v>
      </c>
    </row>
    <row r="82" customFormat="false" ht="15" hidden="false" customHeight="false" outlineLevel="0" collapsed="false">
      <c r="A82" s="2" t="s">
        <v>86</v>
      </c>
      <c r="B82" s="30" t="n">
        <f aca="false">Paths!Y7</f>
        <v>29</v>
      </c>
      <c r="C82" s="31" t="n">
        <f aca="false">Reference_Values!B82</f>
        <v>29</v>
      </c>
      <c r="D82" s="25" t="n">
        <f aca="false">ABS(B82-C82)</f>
        <v>0</v>
      </c>
      <c r="E82" s="32" t="n">
        <v>0</v>
      </c>
      <c r="F82" s="4" t="str">
        <f aca="false">IF(D82&lt;=E82,"PASS","FAIL")</f>
        <v>PASS</v>
      </c>
    </row>
    <row r="83" customFormat="false" ht="15" hidden="false" customHeight="false" outlineLevel="0" collapsed="false">
      <c r="A83" s="2" t="s">
        <v>624</v>
      </c>
      <c r="B83" s="30" t="n">
        <f aca="false">Paths!Y8</f>
        <v>37.1874101717979</v>
      </c>
      <c r="C83" s="31" t="n">
        <f aca="false">Reference_Values!B83</f>
        <v>37.1874101717979</v>
      </c>
      <c r="D83" s="25" t="n">
        <f aca="false">ABS(B83-C83)</f>
        <v>0</v>
      </c>
      <c r="E83" s="32" t="n">
        <v>1E-009</v>
      </c>
      <c r="F83" s="4" t="str">
        <f aca="false">IF(D83&lt;=E83,"PASS","FAIL")</f>
        <v>PASS</v>
      </c>
    </row>
    <row r="84" customFormat="false" ht="15" hidden="false" customHeight="false" outlineLevel="0" collapsed="false">
      <c r="A84" s="2" t="s">
        <v>90</v>
      </c>
      <c r="B84" s="30" t="n">
        <f aca="false">Paths!Y9</f>
        <v>33</v>
      </c>
      <c r="C84" s="31" t="n">
        <f aca="false">Reference_Values!B84</f>
        <v>33</v>
      </c>
      <c r="D84" s="25" t="n">
        <f aca="false">ABS(B84-C84)</f>
        <v>0</v>
      </c>
      <c r="E84" s="32" t="n">
        <v>0</v>
      </c>
      <c r="F84" s="4" t="str">
        <f aca="false">IF(D84&lt;=E84,"PASS","FAIL")</f>
        <v>PASS</v>
      </c>
    </row>
    <row r="85" customFormat="false" ht="15" hidden="false" customHeight="false" outlineLevel="0" collapsed="false">
      <c r="A85" s="2" t="s">
        <v>627</v>
      </c>
      <c r="B85" s="30" t="n">
        <f aca="false">Paths!Y10</f>
        <v>38.7426826822583</v>
      </c>
      <c r="C85" s="31" t="n">
        <f aca="false">Reference_Values!B85</f>
        <v>38.7426826822583</v>
      </c>
      <c r="D85" s="25" t="n">
        <f aca="false">ABS(B85-C85)</f>
        <v>0</v>
      </c>
      <c r="E85" s="32" t="n">
        <v>1E-009</v>
      </c>
      <c r="F85" s="4" t="str">
        <f aca="false">IF(D85&lt;=E85,"PASS","FAIL")</f>
        <v>PASS</v>
      </c>
    </row>
    <row r="86" customFormat="false" ht="15" hidden="false" customHeight="false" outlineLevel="0" collapsed="false">
      <c r="A86" s="2" t="s">
        <v>629</v>
      </c>
      <c r="B86" s="30" t="n">
        <f aca="false">Paths!Y11</f>
        <v>38.4133131725227</v>
      </c>
      <c r="C86" s="31" t="n">
        <f aca="false">Reference_Values!B86</f>
        <v>38.4133131725227</v>
      </c>
      <c r="D86" s="25" t="n">
        <f aca="false">ABS(B86-C86)</f>
        <v>0</v>
      </c>
      <c r="E86" s="32" t="n">
        <v>1E-009</v>
      </c>
      <c r="F86" s="4" t="str">
        <f aca="false">IF(D86&lt;=E86,"PASS","FAIL")</f>
        <v>PASS</v>
      </c>
    </row>
    <row r="87" customFormat="false" ht="15" hidden="false" customHeight="false" outlineLevel="0" collapsed="false">
      <c r="A87" s="2" t="s">
        <v>95</v>
      </c>
      <c r="B87" s="30" t="n">
        <f aca="false">Paths!Y12</f>
        <v>56</v>
      </c>
      <c r="C87" s="31" t="n">
        <f aca="false">Reference_Values!B87</f>
        <v>56</v>
      </c>
      <c r="D87" s="25" t="n">
        <f aca="false">ABS(B87-C87)</f>
        <v>0</v>
      </c>
      <c r="E87" s="32" t="n">
        <v>0</v>
      </c>
      <c r="F87" s="4" t="str">
        <f aca="false">IF(D87&lt;=E87,"PASS","FAIL")</f>
        <v>PASS</v>
      </c>
    </row>
    <row r="88" customFormat="false" ht="15" hidden="false" customHeight="false" outlineLevel="0" collapsed="false">
      <c r="A88" s="2" t="s">
        <v>632</v>
      </c>
      <c r="B88" s="30" t="n">
        <f aca="false">Paths!Y13</f>
        <v>46.1453791954431</v>
      </c>
      <c r="C88" s="31" t="n">
        <f aca="false">Reference_Values!B88</f>
        <v>46.1453791954431</v>
      </c>
      <c r="D88" s="25" t="n">
        <f aca="false">ABS(B88-C88)</f>
        <v>0</v>
      </c>
      <c r="E88" s="32" t="n">
        <v>1E-009</v>
      </c>
      <c r="F88" s="4" t="str">
        <f aca="false">IF(D88&lt;=E88,"PASS","FAIL")</f>
        <v>PASS</v>
      </c>
    </row>
    <row r="89" customFormat="false" ht="15" hidden="false" customHeight="false" outlineLevel="0" collapsed="false">
      <c r="A89" s="2" t="s">
        <v>634</v>
      </c>
      <c r="B89" s="30" t="n">
        <f aca="false">Paths!Y14</f>
        <v>46.0045580071332</v>
      </c>
      <c r="C89" s="31" t="n">
        <f aca="false">Reference_Values!B89</f>
        <v>46.0045580071332</v>
      </c>
      <c r="D89" s="25" t="n">
        <f aca="false">ABS(B89-C89)</f>
        <v>0</v>
      </c>
      <c r="E89" s="32" t="n">
        <v>1E-009</v>
      </c>
      <c r="F89" s="4" t="str">
        <f aca="false">IF(D89&lt;=E89,"PASS","FAIL")</f>
        <v>PASS</v>
      </c>
    </row>
    <row r="90" customFormat="false" ht="15" hidden="false" customHeight="false" outlineLevel="0" collapsed="false">
      <c r="A90" s="2" t="s">
        <v>636</v>
      </c>
      <c r="B90" s="30" t="n">
        <f aca="false">Window!C4</f>
        <v>32.1512362230352</v>
      </c>
      <c r="C90" s="31" t="n">
        <f aca="false">Reference_Values!B90</f>
        <v>32.1512362230352</v>
      </c>
      <c r="D90" s="25" t="n">
        <f aca="false">ABS(B90-C90)</f>
        <v>0</v>
      </c>
      <c r="E90" s="32" t="n">
        <v>1E-009</v>
      </c>
      <c r="F90" s="4" t="str">
        <f aca="false">IF(D90&lt;=E90,"PASS","FAIL")</f>
        <v>PASS</v>
      </c>
    </row>
    <row r="91" customFormat="false" ht="15" hidden="false" customHeight="false" outlineLevel="0" collapsed="false">
      <c r="A91" s="2" t="s">
        <v>637</v>
      </c>
      <c r="B91" s="30" t="n">
        <f aca="false">Window!D4</f>
        <v>44.4556850734681</v>
      </c>
      <c r="C91" s="31" t="n">
        <f aca="false">Reference_Values!B91</f>
        <v>44.4556850734681</v>
      </c>
      <c r="D91" s="25" t="n">
        <f aca="false">ABS(B91-C91)</f>
        <v>0</v>
      </c>
      <c r="E91" s="32" t="n">
        <v>1E-009</v>
      </c>
      <c r="F91" s="4" t="str">
        <f aca="false">IF(D91&lt;=E91,"PASS","FAIL")</f>
        <v>PASS</v>
      </c>
    </row>
    <row r="92" customFormat="false" ht="15" hidden="false" customHeight="false" outlineLevel="0" collapsed="false">
      <c r="A92" s="2" t="s">
        <v>638</v>
      </c>
      <c r="B92" s="30" t="n">
        <f aca="false">Window!E4</f>
        <v>37.8890096720465</v>
      </c>
      <c r="C92" s="31" t="n">
        <f aca="false">Reference_Values!B92</f>
        <v>37.8890096720465</v>
      </c>
      <c r="D92" s="25" t="n">
        <f aca="false">ABS(B92-C92)</f>
        <v>0</v>
      </c>
      <c r="E92" s="32" t="n">
        <v>1E-009</v>
      </c>
      <c r="F92" s="4" t="str">
        <f aca="false">IF(D92&lt;=E92,"PASS","FAIL")</f>
        <v>PASS</v>
      </c>
    </row>
    <row r="93" customFormat="false" ht="15" hidden="false" customHeight="false" outlineLevel="0" collapsed="false">
      <c r="A93" s="2" t="s">
        <v>639</v>
      </c>
      <c r="B93" s="30" t="n">
        <f aca="false">Window!C5</f>
        <v>35.2745211432023</v>
      </c>
      <c r="C93" s="31" t="n">
        <f aca="false">Reference_Values!B93</f>
        <v>35.2745211432023</v>
      </c>
      <c r="D93" s="25" t="n">
        <f aca="false">ABS(B93-C93)</f>
        <v>0</v>
      </c>
      <c r="E93" s="32" t="n">
        <v>1E-009</v>
      </c>
      <c r="F93" s="4" t="str">
        <f aca="false">IF(D93&lt;=E93,"PASS","FAIL")</f>
        <v>PASS</v>
      </c>
    </row>
    <row r="94" customFormat="false" ht="15" hidden="false" customHeight="false" outlineLevel="0" collapsed="false">
      <c r="A94" s="2" t="s">
        <v>640</v>
      </c>
      <c r="B94" s="30" t="n">
        <f aca="false">Window!D5</f>
        <v>45.1079885063022</v>
      </c>
      <c r="C94" s="31" t="n">
        <f aca="false">Reference_Values!B94</f>
        <v>45.1079885063022</v>
      </c>
      <c r="D94" s="25" t="n">
        <f aca="false">ABS(B94-C94)</f>
        <v>0</v>
      </c>
      <c r="E94" s="32" t="n">
        <v>1E-009</v>
      </c>
      <c r="F94" s="4" t="str">
        <f aca="false">IF(D94&lt;=E94,"PASS","FAIL")</f>
        <v>PASS</v>
      </c>
    </row>
    <row r="95" customFormat="false" ht="15" hidden="false" customHeight="false" outlineLevel="0" collapsed="false">
      <c r="A95" s="2" t="s">
        <v>641</v>
      </c>
      <c r="B95" s="30" t="n">
        <f aca="false">Window!E5</f>
        <v>38.2900059057065</v>
      </c>
      <c r="C95" s="31" t="n">
        <f aca="false">Reference_Values!B95</f>
        <v>38.2900059057065</v>
      </c>
      <c r="D95" s="25" t="n">
        <f aca="false">ABS(B95-C95)</f>
        <v>0</v>
      </c>
      <c r="E95" s="32" t="n">
        <v>1E-009</v>
      </c>
      <c r="F95" s="4" t="str">
        <f aca="false">IF(D95&lt;=E95,"PASS","FAIL")</f>
        <v>PASS</v>
      </c>
    </row>
    <row r="96" customFormat="false" ht="15" hidden="false" customHeight="false" outlineLevel="0" collapsed="false">
      <c r="A96" s="2" t="s">
        <v>642</v>
      </c>
      <c r="B96" s="30" t="n">
        <f aca="false">Window!C6</f>
        <v>39.8837303554344</v>
      </c>
      <c r="C96" s="31" t="n">
        <f aca="false">Reference_Values!B96</f>
        <v>39.8837303554344</v>
      </c>
      <c r="D96" s="25" t="n">
        <f aca="false">ABS(B96-C96)</f>
        <v>0</v>
      </c>
      <c r="E96" s="32" t="n">
        <v>1E-009</v>
      </c>
      <c r="F96" s="4" t="str">
        <f aca="false">IF(D96&lt;=E96,"PASS","FAIL")</f>
        <v>PASS</v>
      </c>
    </row>
    <row r="97" customFormat="false" ht="15" hidden="false" customHeight="false" outlineLevel="0" collapsed="false">
      <c r="A97" s="2" t="s">
        <v>643</v>
      </c>
      <c r="B97" s="30" t="n">
        <f aca="false">Window!D6</f>
        <v>45.5533995611084</v>
      </c>
      <c r="C97" s="31" t="n">
        <f aca="false">Reference_Values!B97</f>
        <v>45.5533995611084</v>
      </c>
      <c r="D97" s="25" t="n">
        <f aca="false">ABS(B97-C97)</f>
        <v>0</v>
      </c>
      <c r="E97" s="32" t="n">
        <v>1E-009</v>
      </c>
      <c r="F97" s="4" t="str">
        <f aca="false">IF(D97&lt;=E97,"PASS","FAIL")</f>
        <v>PASS</v>
      </c>
    </row>
    <row r="98" customFormat="false" ht="15" hidden="false" customHeight="false" outlineLevel="0" collapsed="false">
      <c r="A98" s="2" t="s">
        <v>644</v>
      </c>
      <c r="B98" s="30" t="n">
        <f aca="false">Window!E6</f>
        <v>38.4330923495815</v>
      </c>
      <c r="C98" s="31" t="n">
        <f aca="false">Reference_Values!B98</f>
        <v>38.4330923495815</v>
      </c>
      <c r="D98" s="25" t="n">
        <f aca="false">ABS(B98-C98)</f>
        <v>0</v>
      </c>
      <c r="E98" s="32" t="n">
        <v>1E-009</v>
      </c>
      <c r="F98" s="4" t="str">
        <f aca="false">IF(D98&lt;=E98,"PASS","FAIL")</f>
        <v>PASS</v>
      </c>
    </row>
    <row r="99" customFormat="false" ht="15" hidden="false" customHeight="false" outlineLevel="0" collapsed="false">
      <c r="A99" s="2" t="s">
        <v>645</v>
      </c>
      <c r="B99" s="30" t="n">
        <f aca="false">Window!C7</f>
        <v>43.9612078664758</v>
      </c>
      <c r="C99" s="31" t="n">
        <f aca="false">Reference_Values!B99</f>
        <v>43.9612078664758</v>
      </c>
      <c r="D99" s="25" t="n">
        <f aca="false">ABS(B99-C99)</f>
        <v>0</v>
      </c>
      <c r="E99" s="32" t="n">
        <v>1E-009</v>
      </c>
      <c r="F99" s="4" t="str">
        <f aca="false">IF(D99&lt;=E99,"PASS","FAIL")</f>
        <v>PASS</v>
      </c>
    </row>
    <row r="100" customFormat="false" ht="15" hidden="false" customHeight="false" outlineLevel="0" collapsed="false">
      <c r="A100" s="2" t="s">
        <v>646</v>
      </c>
      <c r="B100" s="30" t="n">
        <f aca="false">Window!D7</f>
        <v>45.857547274917</v>
      </c>
      <c r="C100" s="31" t="n">
        <f aca="false">Reference_Values!B100</f>
        <v>45.857547274917</v>
      </c>
      <c r="D100" s="25" t="n">
        <f aca="false">ABS(B100-C100)</f>
        <v>0</v>
      </c>
      <c r="E100" s="32" t="n">
        <v>1E-009</v>
      </c>
      <c r="F100" s="4" t="str">
        <f aca="false">IF(D100&lt;=E100,"PASS","FAIL")</f>
        <v>PASS</v>
      </c>
    </row>
    <row r="101" customFormat="false" ht="15" hidden="false" customHeight="false" outlineLevel="0" collapsed="false">
      <c r="A101" s="2" t="s">
        <v>647</v>
      </c>
      <c r="B101" s="30" t="n">
        <f aca="false">Window!E7</f>
        <v>38.4451693482574</v>
      </c>
      <c r="C101" s="31" t="n">
        <f aca="false">Reference_Values!B101</f>
        <v>38.4451693482574</v>
      </c>
      <c r="D101" s="25" t="n">
        <f aca="false">ABS(B101-C101)</f>
        <v>0</v>
      </c>
      <c r="E101" s="32" t="n">
        <v>1E-009</v>
      </c>
      <c r="F101" s="4" t="str">
        <f aca="false">IF(D101&lt;=E101,"PASS","FAIL")</f>
        <v>PASS</v>
      </c>
    </row>
    <row r="102" customFormat="false" ht="15" hidden="false" customHeight="false" outlineLevel="0" collapsed="false">
      <c r="A102" s="2" t="s">
        <v>648</v>
      </c>
      <c r="B102" s="30" t="n">
        <f aca="false">Window!G4</f>
        <v>3</v>
      </c>
      <c r="C102" s="31" t="n">
        <f aca="false">Reference_Values!B102</f>
        <v>3</v>
      </c>
      <c r="D102" s="25" t="n">
        <f aca="false">ABS(B102-C102)</f>
        <v>0</v>
      </c>
      <c r="E102" s="32" t="n">
        <v>0</v>
      </c>
      <c r="F102" s="4" t="str">
        <f aca="false">IF(D102&lt;=E102,"PASS","FAIL")</f>
        <v>PASS</v>
      </c>
    </row>
    <row r="103" customFormat="false" ht="15" hidden="false" customHeight="false" outlineLevel="0" collapsed="false">
      <c r="A103" s="2" t="s">
        <v>650</v>
      </c>
      <c r="B103" s="30" t="n">
        <f aca="false">Window!G5</f>
        <v>3</v>
      </c>
      <c r="C103" s="31" t="n">
        <f aca="false">Reference_Values!B103</f>
        <v>3</v>
      </c>
      <c r="D103" s="25" t="n">
        <f aca="false">ABS(B103-C103)</f>
        <v>0</v>
      </c>
      <c r="E103" s="32" t="n">
        <v>0</v>
      </c>
      <c r="F103" s="4" t="str">
        <f aca="false">IF(D103&lt;=E103,"PASS","FAIL")</f>
        <v>PASS</v>
      </c>
    </row>
    <row r="104" customFormat="false" ht="15" hidden="false" customHeight="false" outlineLevel="0" collapsed="false">
      <c r="A104" s="2" t="s">
        <v>651</v>
      </c>
      <c r="B104" s="30" t="n">
        <f aca="false">Window!G6</f>
        <v>2</v>
      </c>
      <c r="C104" s="31" t="n">
        <f aca="false">Reference_Values!B104</f>
        <v>2</v>
      </c>
      <c r="D104" s="25" t="n">
        <f aca="false">ABS(B104-C104)</f>
        <v>0</v>
      </c>
      <c r="E104" s="32" t="n">
        <v>0</v>
      </c>
      <c r="F104" s="4" t="str">
        <f aca="false">IF(D104&lt;=E104,"PASS","FAIL")</f>
        <v>PASS</v>
      </c>
    </row>
    <row r="105" customFormat="false" ht="15" hidden="false" customHeight="false" outlineLevel="0" collapsed="false">
      <c r="A105" s="2" t="s">
        <v>652</v>
      </c>
      <c r="B105" s="30" t="n">
        <f aca="false">Window!G7</f>
        <v>2</v>
      </c>
      <c r="C105" s="31" t="n">
        <f aca="false">Reference_Values!B105</f>
        <v>2</v>
      </c>
      <c r="D105" s="25" t="n">
        <f aca="false">ABS(B105-C105)</f>
        <v>0</v>
      </c>
      <c r="E105" s="32" t="n">
        <v>0</v>
      </c>
      <c r="F105" s="4" t="str">
        <f aca="false">IF(D105&lt;=E105,"PASS","FAIL")</f>
        <v>PASS</v>
      </c>
    </row>
    <row r="106" customFormat="false" ht="15" hidden="false" customHeight="false" outlineLevel="0" collapsed="false">
      <c r="A106" s="2" t="s">
        <v>653</v>
      </c>
      <c r="B106" s="30" t="n">
        <f aca="false">Window!G8</f>
        <v>1</v>
      </c>
      <c r="C106" s="31" t="n">
        <f aca="false">Reference_Values!B106</f>
        <v>1</v>
      </c>
      <c r="D106" s="25" t="n">
        <f aca="false">ABS(B106-C106)</f>
        <v>0</v>
      </c>
      <c r="E106" s="32" t="n">
        <v>0</v>
      </c>
      <c r="F106" s="4" t="str">
        <f aca="false">IF(D106&lt;=E106,"PASS","FAIL")</f>
        <v>PASS</v>
      </c>
    </row>
    <row r="107" customFormat="false" ht="15" hidden="false" customHeight="false" outlineLevel="0" collapsed="false">
      <c r="A107" s="2" t="s">
        <v>654</v>
      </c>
      <c r="B107" s="30" t="n">
        <f aca="false">Paths!Y15</f>
        <v>6.5664434317472</v>
      </c>
      <c r="C107" s="31" t="n">
        <f aca="false">Reference_Values!B107</f>
        <v>6.5664434317472</v>
      </c>
      <c r="D107" s="25" t="n">
        <f aca="false">ABS(B107-C107)</f>
        <v>0</v>
      </c>
      <c r="E107" s="32" t="n">
        <v>1E-009</v>
      </c>
      <c r="F107" s="4" t="str">
        <f aca="false">IF(D107&lt;=E107,"PASS","FAIL")</f>
        <v>PASS</v>
      </c>
    </row>
    <row r="108" customFormat="false" ht="15" hidden="false" customHeight="false" outlineLevel="0" collapsed="false">
      <c r="A108" s="2" t="s">
        <v>101</v>
      </c>
      <c r="B108" s="30" t="n">
        <f aca="false">Paths!Y16</f>
        <v>0.0514707398761658</v>
      </c>
      <c r="C108" s="31" t="n">
        <f aca="false">Reference_Values!B108</f>
        <v>0.0514707398761658</v>
      </c>
      <c r="D108" s="25" t="n">
        <f aca="false">ABS(B108-C108)</f>
        <v>0</v>
      </c>
      <c r="E108" s="32" t="n">
        <v>1E-009</v>
      </c>
      <c r="F108" s="4" t="str">
        <f aca="false">IF(D108&lt;=E108,"PASS","FAIL")</f>
        <v>PASS</v>
      </c>
    </row>
    <row r="109" customFormat="false" ht="15" hidden="false" customHeight="false" outlineLevel="0" collapsed="false">
      <c r="A109" s="2" t="s">
        <v>657</v>
      </c>
      <c r="B109" s="30" t="n">
        <f aca="false">Window!D17</f>
        <v>4.33333333333333</v>
      </c>
      <c r="C109" s="31" t="n">
        <f aca="false">Reference_Values!B109</f>
        <v>4.33333333333333</v>
      </c>
      <c r="D109" s="25" t="n">
        <f aca="false">ABS(B109-C109)</f>
        <v>0</v>
      </c>
      <c r="E109" s="32" t="n">
        <v>1E-009</v>
      </c>
      <c r="F109" s="4" t="str">
        <f aca="false">IF(D109&lt;=E109,"PASS","FAIL")</f>
        <v>PASS</v>
      </c>
    </row>
    <row r="110" customFormat="false" ht="15" hidden="false" customHeight="false" outlineLevel="0" collapsed="false">
      <c r="A110" s="2" t="s">
        <v>659</v>
      </c>
      <c r="B110" s="30" t="n">
        <f aca="false">Window!D18</f>
        <v>4.84835918443083</v>
      </c>
      <c r="C110" s="31" t="n">
        <f aca="false">Reference_Values!B110</f>
        <v>4.84835918443083</v>
      </c>
      <c r="D110" s="25" t="n">
        <f aca="false">ABS(B110-C110)</f>
        <v>0</v>
      </c>
      <c r="E110" s="32" t="n">
        <v>1E-009</v>
      </c>
      <c r="F110" s="4" t="str">
        <f aca="false">IF(D110&lt;=E110,"PASS","FAIL")</f>
        <v>PASS</v>
      </c>
    </row>
    <row r="111" customFormat="false" ht="15" hidden="false" customHeight="false" outlineLevel="0" collapsed="false">
      <c r="A111" s="2" t="s">
        <v>661</v>
      </c>
      <c r="B111" s="30" t="n">
        <f aca="false">Window!D19</f>
        <v>5.92334321201668</v>
      </c>
      <c r="C111" s="31" t="n">
        <f aca="false">Reference_Values!B111</f>
        <v>5.92334321201668</v>
      </c>
      <c r="D111" s="25" t="n">
        <f aca="false">ABS(B111-C111)</f>
        <v>0</v>
      </c>
      <c r="E111" s="32" t="n">
        <v>1E-009</v>
      </c>
      <c r="F111" s="4" t="str">
        <f aca="false">IF(D111&lt;=E111,"PASS","FAIL")</f>
        <v>PASS</v>
      </c>
    </row>
    <row r="112" customFormat="false" ht="15" hidden="false" customHeight="false" outlineLevel="0" collapsed="false">
      <c r="A112" s="2" t="s">
        <v>663</v>
      </c>
      <c r="B112" s="30" t="n">
        <f aca="false">Window!R20</f>
        <v>0</v>
      </c>
      <c r="C112" s="31" t="n">
        <f aca="false">Reference_Values!B112</f>
        <v>0</v>
      </c>
      <c r="D112" s="25" t="n">
        <f aca="false">ABS(B112-C112)</f>
        <v>0</v>
      </c>
      <c r="E112" s="32" t="n">
        <v>0</v>
      </c>
      <c r="F112" s="4" t="str">
        <f aca="false">IF(D112&lt;=E112,"PASS","FAIL")</f>
        <v>PASS</v>
      </c>
    </row>
    <row r="113" customFormat="false" ht="15" hidden="false" customHeight="false" outlineLevel="0" collapsed="false">
      <c r="A113" s="2" t="s">
        <v>665</v>
      </c>
      <c r="B113" s="30" t="n">
        <f aca="false">Dependencies!B111</f>
        <v>20</v>
      </c>
      <c r="C113" s="31" t="n">
        <f aca="false">Reference_Values!B113</f>
        <v>20</v>
      </c>
      <c r="D113" s="25" t="n">
        <f aca="false">ABS(B113-C113)</f>
        <v>0</v>
      </c>
      <c r="E113" s="32" t="n">
        <v>0</v>
      </c>
      <c r="F113" s="4" t="str">
        <f aca="false">IF(D113&lt;=E113,"PASS","FAIL")</f>
        <v>PASS</v>
      </c>
    </row>
    <row r="114" customFormat="false" ht="15" hidden="false" customHeight="false" outlineLevel="0" collapsed="false">
      <c r="A114" s="2" t="s">
        <v>666</v>
      </c>
      <c r="B114" s="30" t="n">
        <f aca="false">Dependencies!B112</f>
        <v>20</v>
      </c>
      <c r="C114" s="31" t="n">
        <f aca="false">Reference_Values!B114</f>
        <v>20</v>
      </c>
      <c r="D114" s="25" t="n">
        <f aca="false">ABS(B114-C114)</f>
        <v>0</v>
      </c>
      <c r="E114" s="32" t="n">
        <v>0</v>
      </c>
      <c r="F114" s="4" t="str">
        <f aca="false">IF(D114&lt;=E114,"PASS","FAIL")</f>
        <v>PASS</v>
      </c>
    </row>
    <row r="115" customFormat="false" ht="15" hidden="false" customHeight="false" outlineLevel="0" collapsed="false">
      <c r="A115" s="2" t="s">
        <v>668</v>
      </c>
      <c r="B115" s="30" t="n">
        <f aca="false">Dependencies!B113</f>
        <v>2</v>
      </c>
      <c r="C115" s="31" t="n">
        <f aca="false">Reference_Values!B115</f>
        <v>2</v>
      </c>
      <c r="D115" s="25" t="n">
        <f aca="false">ABS(B115-C115)</f>
        <v>0</v>
      </c>
      <c r="E115" s="32" t="n">
        <v>0</v>
      </c>
      <c r="F115" s="4" t="str">
        <f aca="false">IF(D115&lt;=E115,"PASS","FAIL")</f>
        <v>PASS</v>
      </c>
    </row>
    <row r="116" customFormat="false" ht="15" hidden="false" customHeight="false" outlineLevel="0" collapsed="false">
      <c r="A116" s="2" t="s">
        <v>253</v>
      </c>
      <c r="B116" s="30" t="n">
        <f aca="false">Dependencies!B114</f>
        <v>99</v>
      </c>
      <c r="C116" s="31" t="n">
        <f aca="false">Reference_Values!B116</f>
        <v>99</v>
      </c>
      <c r="D116" s="25" t="n">
        <f aca="false">ABS(B116-C116)</f>
        <v>0</v>
      </c>
      <c r="E116" s="32" t="n">
        <v>0</v>
      </c>
      <c r="F116" s="4" t="str">
        <f aca="false">IF(D116&lt;=E116,"PASS","FAIL")</f>
        <v>PASS</v>
      </c>
    </row>
    <row r="117" customFormat="false" ht="15" hidden="false" customHeight="false" outlineLevel="0" collapsed="false">
      <c r="A117" s="2" t="s">
        <v>671</v>
      </c>
      <c r="B117" s="30" t="n">
        <f aca="false">Dashboard!D14</f>
        <v>10</v>
      </c>
      <c r="C117" s="31" t="n">
        <f aca="false">Reference_Values!B117</f>
        <v>10</v>
      </c>
      <c r="D117" s="25" t="n">
        <f aca="false">ABS(B117-C117)</f>
        <v>0</v>
      </c>
      <c r="E117" s="32" t="n">
        <v>0</v>
      </c>
      <c r="F117" s="4" t="str">
        <f aca="false">IF(D117&lt;=E117,"PASS","FAIL")</f>
        <v>PASS</v>
      </c>
    </row>
    <row r="118" customFormat="false" ht="15" hidden="false" customHeight="false" outlineLevel="0" collapsed="false">
      <c r="A118" s="2" t="s">
        <v>673</v>
      </c>
      <c r="B118" s="30" t="n">
        <f aca="false">Dashboard!D23</f>
        <v>2</v>
      </c>
      <c r="C118" s="31" t="n">
        <f aca="false">Reference_Values!B118</f>
        <v>2</v>
      </c>
      <c r="D118" s="25" t="n">
        <f aca="false">ABS(B118-C118)</f>
        <v>0</v>
      </c>
      <c r="E118" s="32" t="n">
        <v>0</v>
      </c>
      <c r="F118" s="4" t="str">
        <f aca="false">IF(D118&lt;=E118,"PASS","FAIL")</f>
        <v>PASS</v>
      </c>
    </row>
    <row r="119" customFormat="false" ht="15" hidden="false" customHeight="false" outlineLevel="0" collapsed="false">
      <c r="A119" s="2" t="s">
        <v>675</v>
      </c>
      <c r="B119" s="30" t="n">
        <f aca="false">Dashboard!B30</f>
        <v>1</v>
      </c>
      <c r="C119" s="31" t="n">
        <f aca="false">Reference_Values!B119</f>
        <v>1</v>
      </c>
      <c r="D119" s="25" t="n">
        <f aca="false">ABS(B119-C119)</f>
        <v>0</v>
      </c>
      <c r="E119" s="32" t="n">
        <v>0</v>
      </c>
      <c r="F119" s="4" t="str">
        <f aca="false">IF(D119&lt;=E119,"PASS","FAIL")</f>
        <v>PASS</v>
      </c>
    </row>
    <row r="120" customFormat="false" ht="15" hidden="false" customHeight="false" outlineLevel="0" collapsed="false">
      <c r="A120" s="2" t="s">
        <v>677</v>
      </c>
      <c r="B120" s="30" t="n">
        <f aca="false">Dashboard!B51</f>
        <v>23.2</v>
      </c>
      <c r="C120" s="31" t="n">
        <f aca="false">Reference_Values!B120</f>
        <v>23.2</v>
      </c>
      <c r="D120" s="25" t="n">
        <f aca="false">ABS(B120-C120)</f>
        <v>0</v>
      </c>
      <c r="E120" s="32" t="n">
        <v>1E-009</v>
      </c>
      <c r="F120" s="4" t="str">
        <f aca="false">IF(D120&lt;=E120,"PASS","FAIL")</f>
        <v>PASS</v>
      </c>
    </row>
    <row r="121" customFormat="false" ht="15" hidden="false" customHeight="false" outlineLevel="0" collapsed="false">
      <c r="A121" s="2" t="s">
        <v>678</v>
      </c>
      <c r="B121" s="30" t="n">
        <f aca="false">Dashboard!B59</f>
        <v>3</v>
      </c>
      <c r="C121" s="31" t="n">
        <f aca="false">Reference_Values!B121</f>
        <v>3</v>
      </c>
      <c r="D121" s="25" t="n">
        <f aca="false">ABS(B121-C121)</f>
        <v>0</v>
      </c>
      <c r="E121" s="32" t="n">
        <v>0</v>
      </c>
      <c r="F121" s="4" t="str">
        <f aca="false">IF(D121&lt;=E121,"PASS","FAIL")</f>
        <v>PASS</v>
      </c>
    </row>
    <row r="122" customFormat="false" ht="15" hidden="false" customHeight="false" outlineLevel="0" collapsed="false">
      <c r="A122" s="2" t="s">
        <v>680</v>
      </c>
      <c r="B122" s="30" t="n">
        <f aca="false">Dashboard!B37</f>
        <v>495.6</v>
      </c>
      <c r="C122" s="31" t="n">
        <f aca="false">Reference_Values!B122</f>
        <v>495.6</v>
      </c>
      <c r="D122" s="25" t="n">
        <f aca="false">ABS(B122-C122)</f>
        <v>0</v>
      </c>
      <c r="E122" s="32" t="n">
        <v>1E-009</v>
      </c>
      <c r="F122" s="4" t="str">
        <f aca="false">IF(D122&lt;=E122,"PASS","FAIL")</f>
        <v>PASS</v>
      </c>
    </row>
    <row r="123" customFormat="false" ht="15" hidden="false" customHeight="false" outlineLevel="0" collapsed="false">
      <c r="A123" s="2" t="s">
        <v>682</v>
      </c>
      <c r="B123" s="30" t="n">
        <f aca="false">Dashboard!B41</f>
        <v>300</v>
      </c>
      <c r="C123" s="31" t="n">
        <f aca="false">Reference_Values!B123</f>
        <v>300</v>
      </c>
      <c r="D123" s="25" t="n">
        <f aca="false">ABS(B123-C123)</f>
        <v>0</v>
      </c>
      <c r="E123" s="32" t="n">
        <v>1E-009</v>
      </c>
      <c r="F123" s="4" t="str">
        <f aca="false">IF(D123&lt;=E123,"PASS","FAIL")</f>
        <v>PASS</v>
      </c>
    </row>
    <row r="124" customFormat="false" ht="15" hidden="false" customHeight="false" outlineLevel="0" collapsed="false">
      <c r="A124" s="2" t="s">
        <v>684</v>
      </c>
      <c r="B124" s="30" t="n">
        <f aca="false">Apparatus!B11</f>
        <v>2</v>
      </c>
      <c r="C124" s="31" t="n">
        <f aca="false">Reference_Values!B124</f>
        <v>2</v>
      </c>
      <c r="D124" s="25" t="n">
        <f aca="false">ABS(B124-C124)</f>
        <v>0</v>
      </c>
      <c r="E124" s="32" t="n">
        <v>0</v>
      </c>
      <c r="F124" s="4" t="str">
        <f aca="false">IF(D124&lt;=E124,"PASS","FAIL")</f>
        <v>PASS</v>
      </c>
    </row>
    <row r="125" customFormat="false" ht="15" hidden="false" customHeight="false" outlineLevel="0" collapsed="false">
      <c r="A125" s="2" t="s">
        <v>686</v>
      </c>
      <c r="B125" s="30" t="n">
        <f aca="false">Apparatus!B12</f>
        <v>4</v>
      </c>
      <c r="C125" s="31" t="n">
        <f aca="false">Reference_Values!B125</f>
        <v>4</v>
      </c>
      <c r="D125" s="25" t="n">
        <f aca="false">ABS(B125-C125)</f>
        <v>0</v>
      </c>
      <c r="E125" s="32" t="n">
        <v>0</v>
      </c>
      <c r="F125" s="4" t="str">
        <f aca="false">IF(D125&lt;=E125,"PASS","FAIL")</f>
        <v>PASS</v>
      </c>
    </row>
    <row r="126" customFormat="false" ht="15" hidden="false" customHeight="false" outlineLevel="0" collapsed="false">
      <c r="A126" s="2" t="s">
        <v>688</v>
      </c>
      <c r="B126" s="30" t="n">
        <f aca="false">Apparatus!B25</f>
        <v>1</v>
      </c>
      <c r="C126" s="31" t="n">
        <f aca="false">Reference_Values!B126</f>
        <v>1</v>
      </c>
      <c r="D126" s="25" t="n">
        <f aca="false">ABS(B126-C126)</f>
        <v>0</v>
      </c>
      <c r="E126" s="32" t="n">
        <v>0</v>
      </c>
      <c r="F126" s="4" t="str">
        <f aca="false">IF(D126&lt;=E126,"PASS","FAIL")</f>
        <v>PASS</v>
      </c>
    </row>
    <row r="128" customFormat="false" ht="15" hidden="false" customHeight="false" outlineLevel="0" collapsed="false">
      <c r="A128" s="4" t="s">
        <v>694</v>
      </c>
      <c r="F128" s="4" t="str">
        <f aca="false">IF(COUNTIF(F2:F126,"PASS")=125,"ALL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2026-10-05T08:38:18Z</dcterms:created>
  <dc:creator>openpyxl</dc:creator>
  <dc:description/>
  <dc:language>en-US</dc:language>
  <cp:lastModifiedBy/>
  <dcterms:modified xsi:type="dcterms:W3CDTF">2026-10-05T08:38:18Z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